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"/>
    </mc:Choice>
  </mc:AlternateContent>
  <xr:revisionPtr revIDLastSave="2" documentId="13_ncr:1_{0B4951EB-7F40-4B0E-95E8-FDB4E6E9F484}" xr6:coauthVersionLast="47" xr6:coauthVersionMax="47" xr10:uidLastSave="{834E4FDD-1DCE-460B-A046-B8DF80EFEC22}"/>
  <bookViews>
    <workbookView xWindow="2850" yWindow="2625" windowWidth="15375" windowHeight="8325" activeTab="1" xr2:uid="{2C67C069-12BF-41CC-9360-EC98BB03CD96}"/>
  </bookViews>
  <sheets>
    <sheet name="Planilha1" sheetId="1" r:id="rId1"/>
    <sheet name="Planilha2" sheetId="2" r:id="rId2"/>
    <sheet name="Planilha3" sheetId="3" r:id="rId3"/>
  </sheets>
  <definedNames>
    <definedName name="_xlnm._FilterDatabase" localSheetId="0" hidden="1">Planilha1!$A$13:$A$173</definedName>
    <definedName name="_xlnm._FilterDatabase" localSheetId="2" hidden="1">Planilha3!$A$1:$D$820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V7" i="2" a="1"/>
  <c r="V7" i="2" s="1"/>
  <c r="W7" i="2" s="1"/>
  <c r="V8" i="2" a="1"/>
  <c r="V8" i="2" s="1"/>
  <c r="V9" i="2" s="1" a="1"/>
  <c r="V9" i="2" s="1"/>
  <c r="X9" i="2" s="1"/>
  <c r="Y9" i="2" s="1"/>
  <c r="V10" i="2" a="1"/>
  <c r="V10" i="2" s="1"/>
  <c r="V11" i="2" a="1"/>
  <c r="V11" i="2" s="1"/>
  <c r="V12" i="2" a="1"/>
  <c r="V12" i="2" s="1"/>
  <c r="V13" i="2" s="1" a="1"/>
  <c r="V13" i="2" s="1"/>
  <c r="V14" i="2" a="1"/>
  <c r="V14" i="2" s="1"/>
  <c r="V15" i="2" s="1" a="1"/>
  <c r="V15" i="2" s="1"/>
  <c r="V16" i="2" a="1"/>
  <c r="V16" i="2" s="1"/>
  <c r="V17" i="2" a="1"/>
  <c r="V17" i="2" s="1"/>
  <c r="V18" i="2" s="1" a="1"/>
  <c r="V18" i="2" s="1"/>
  <c r="V19" i="2" a="1"/>
  <c r="V19" i="2" s="1"/>
  <c r="V20" i="2" s="1" a="1"/>
  <c r="V20" i="2" s="1"/>
  <c r="V21" i="2" s="1" a="1"/>
  <c r="V21" i="2" s="1"/>
  <c r="V22" i="2" s="1" a="1"/>
  <c r="V22" i="2" s="1"/>
  <c r="V23" i="2" a="1"/>
  <c r="V23" i="2" s="1"/>
  <c r="V24" i="2" a="1"/>
  <c r="V24" i="2" s="1"/>
  <c r="V25" i="2" s="1" a="1"/>
  <c r="V25" i="2" s="1"/>
  <c r="V26" i="2" a="1"/>
  <c r="V26" i="2" s="1"/>
  <c r="V27" i="2" a="1"/>
  <c r="V27" i="2" s="1"/>
  <c r="V28" i="2" a="1"/>
  <c r="V28" i="2" s="1"/>
  <c r="V29" i="2" s="1" a="1"/>
  <c r="V29" i="2" s="1"/>
  <c r="V30" i="2" a="1"/>
  <c r="V30" i="2" s="1"/>
  <c r="V31" i="2" s="1" a="1"/>
  <c r="V31" i="2" s="1"/>
  <c r="V32" i="2" s="1" a="1"/>
  <c r="V32" i="2" s="1"/>
  <c r="V33" i="2" s="1" a="1"/>
  <c r="V33" i="2" s="1"/>
  <c r="V34" i="2" s="1" a="1"/>
  <c r="V34" i="2" s="1"/>
  <c r="V35" i="2" a="1"/>
  <c r="V35" i="2" s="1"/>
  <c r="V36" i="2" a="1"/>
  <c r="V36" i="2" s="1"/>
  <c r="V37" i="2" s="1" a="1"/>
  <c r="V37" i="2" s="1"/>
  <c r="V38" i="2" a="1"/>
  <c r="V38" i="2" s="1"/>
  <c r="V39" i="2" a="1"/>
  <c r="V39" i="2" s="1"/>
  <c r="V40" i="2" a="1"/>
  <c r="V40" i="2" s="1"/>
  <c r="V41" i="2" s="1" a="1"/>
  <c r="V41" i="2" s="1"/>
  <c r="V42" i="2" a="1"/>
  <c r="V42" i="2" s="1"/>
  <c r="V43" i="2" s="1" a="1"/>
  <c r="V43" i="2" s="1"/>
  <c r="V44" i="2" s="1" a="1"/>
  <c r="V44" i="2" s="1"/>
  <c r="V45" i="2" a="1"/>
  <c r="V45" i="2" s="1"/>
  <c r="V46" i="2" a="1"/>
  <c r="V46" i="2" s="1"/>
  <c r="V47" i="2" s="1" a="1"/>
  <c r="V47" i="2" s="1"/>
  <c r="V48" i="2" a="1"/>
  <c r="V48" i="2" s="1"/>
  <c r="V49" i="2" a="1"/>
  <c r="V49" i="2" s="1"/>
  <c r="V50" i="2" a="1"/>
  <c r="V50" i="2" s="1"/>
  <c r="V51" i="2" s="1" a="1"/>
  <c r="V51" i="2" s="1"/>
  <c r="V52" i="2" a="1"/>
  <c r="V52" i="2" s="1"/>
  <c r="V53" i="2" s="1" a="1"/>
  <c r="V53" i="2" s="1"/>
  <c r="V54" i="2" s="1" a="1"/>
  <c r="V54" i="2" s="1"/>
  <c r="V55" i="2" a="1"/>
  <c r="V55" i="2" s="1"/>
  <c r="V56" i="2" a="1"/>
  <c r="V56" i="2" s="1"/>
  <c r="V57" i="2" s="1" a="1"/>
  <c r="V57" i="2" s="1"/>
  <c r="V58" i="2" a="1"/>
  <c r="V58" i="2" s="1"/>
  <c r="V59" i="2" s="1" a="1"/>
  <c r="V59" i="2" s="1"/>
  <c r="V60" i="2" a="1"/>
  <c r="V60" i="2" s="1"/>
  <c r="V61" i="2" a="1"/>
  <c r="V61" i="2" s="1"/>
  <c r="V62" i="2" s="1" a="1"/>
  <c r="V62" i="2" s="1"/>
  <c r="V63" i="2" a="1"/>
  <c r="V63" i="2" s="1"/>
  <c r="V64" i="2" s="1" a="1"/>
  <c r="V64" i="2" s="1"/>
  <c r="V65" i="2" a="1"/>
  <c r="V65" i="2" s="1"/>
  <c r="V66" i="2" a="1"/>
  <c r="V66" i="2" s="1"/>
  <c r="V67" i="2" s="1" a="1"/>
  <c r="V67" i="2" s="1"/>
  <c r="V68" i="2" a="1"/>
  <c r="V68" i="2" s="1"/>
  <c r="V69" i="2" s="1" a="1"/>
  <c r="V69" i="2" s="1"/>
  <c r="V70" i="2" s="1" a="1"/>
  <c r="V70" i="2" s="1"/>
  <c r="V71" i="2" a="1"/>
  <c r="V71" i="2" s="1"/>
  <c r="V72" i="2" a="1"/>
  <c r="V72" i="2" s="1"/>
  <c r="V73" i="2" s="1" a="1"/>
  <c r="V73" i="2" s="1"/>
  <c r="V74" i="2" a="1"/>
  <c r="V74" i="2" s="1"/>
  <c r="V75" i="2" s="1" a="1"/>
  <c r="V75" i="2" s="1"/>
  <c r="V76" i="2" s="1" a="1"/>
  <c r="V76" i="2" s="1"/>
  <c r="V77" i="2" a="1"/>
  <c r="V77" i="2" s="1"/>
  <c r="V78" i="2" a="1"/>
  <c r="V78" i="2" s="1"/>
  <c r="V79" i="2" s="1" a="1"/>
  <c r="V79" i="2" s="1"/>
  <c r="V80" i="2" a="1"/>
  <c r="V80" i="2" s="1"/>
  <c r="V81" i="2" s="1" a="1"/>
  <c r="V81" i="2" s="1"/>
  <c r="V82" i="2" s="1" a="1"/>
  <c r="V82" i="2" s="1"/>
  <c r="V83" i="2" s="1" a="1"/>
  <c r="V83" i="2" s="1"/>
  <c r="V84" i="2" s="1" a="1"/>
  <c r="V84" i="2" s="1"/>
  <c r="V85" i="2" s="1" a="1"/>
  <c r="V85" i="2" s="1"/>
  <c r="V86" i="2" a="1"/>
  <c r="V86" i="2" s="1"/>
  <c r="V87" i="2" a="1"/>
  <c r="V87" i="2" s="1"/>
  <c r="V88" i="2" s="1" a="1"/>
  <c r="V88" i="2" s="1"/>
  <c r="V89" i="2" a="1"/>
  <c r="V89" i="2" s="1"/>
  <c r="V90" i="2" s="1" a="1"/>
  <c r="V90" i="2" s="1"/>
  <c r="V91" i="2" s="1" a="1"/>
  <c r="V91" i="2" s="1"/>
  <c r="V92" i="2" s="1" a="1"/>
  <c r="V92" i="2" s="1"/>
  <c r="V93" i="2" s="1" a="1"/>
  <c r="V93" i="2" s="1"/>
  <c r="V94" i="2" s="1" a="1"/>
  <c r="V94" i="2" s="1"/>
  <c r="V95" i="2" s="1" a="1"/>
  <c r="V95" i="2" s="1"/>
  <c r="V96" i="2" a="1"/>
  <c r="V96" i="2" s="1"/>
  <c r="V97" i="2" a="1"/>
  <c r="V97" i="2" s="1"/>
  <c r="V98" i="2" s="1" a="1"/>
  <c r="V98" i="2" s="1"/>
  <c r="V99" i="2" a="1"/>
  <c r="V99" i="2" s="1"/>
  <c r="V100" i="2" s="1" a="1"/>
  <c r="V100" i="2" s="1"/>
  <c r="V101" i="2" a="1"/>
  <c r="V101" i="2" s="1"/>
  <c r="V102" i="2" a="1"/>
  <c r="V102" i="2" s="1"/>
  <c r="V103" i="2" s="1" a="1"/>
  <c r="V103" i="2" s="1"/>
  <c r="V104" i="2" a="1"/>
  <c r="V104" i="2" s="1"/>
  <c r="V105" i="2" s="1" a="1"/>
  <c r="V105" i="2" s="1"/>
  <c r="V106" i="2" s="1" a="1"/>
  <c r="V106" i="2" s="1"/>
  <c r="V107" i="2" s="1" a="1"/>
  <c r="V107" i="2" s="1"/>
  <c r="V108" i="2" s="1" a="1"/>
  <c r="V108" i="2" s="1"/>
  <c r="V109" i="2" a="1"/>
  <c r="V109" i="2" s="1"/>
  <c r="V110" i="2" a="1"/>
  <c r="V110" i="2" s="1"/>
  <c r="V111" i="2" s="1" a="1"/>
  <c r="V111" i="2" s="1"/>
  <c r="V112" i="2" a="1"/>
  <c r="V112" i="2" s="1"/>
  <c r="V113" i="2" s="1" a="1"/>
  <c r="V113" i="2" s="1"/>
  <c r="V114" i="2" a="1"/>
  <c r="V114" i="2" s="1"/>
  <c r="V115" i="2" a="1"/>
  <c r="V115" i="2" s="1"/>
  <c r="V116" i="2" s="1" a="1"/>
  <c r="V116" i="2" s="1"/>
  <c r="V117" i="2" a="1"/>
  <c r="V117" i="2" s="1"/>
  <c r="V118" i="2" s="1" a="1"/>
  <c r="V118" i="2" s="1"/>
  <c r="V119" i="2" s="1" a="1"/>
  <c r="V119" i="2" s="1"/>
  <c r="V120" i="2" s="1" a="1"/>
  <c r="V120" i="2" s="1"/>
  <c r="V121" i="2" s="1" a="1"/>
  <c r="V121" i="2" s="1"/>
  <c r="V122" i="2" s="1" a="1"/>
  <c r="V122" i="2" s="1"/>
  <c r="V123" i="2" s="1" a="1"/>
  <c r="V123" i="2" s="1"/>
  <c r="V124" i="2" a="1"/>
  <c r="V124" i="2" s="1"/>
  <c r="V125" i="2" a="1"/>
  <c r="V125" i="2" s="1"/>
  <c r="V126" i="2" s="1" a="1"/>
  <c r="V126" i="2" s="1"/>
  <c r="V127" i="2" a="1"/>
  <c r="V127" i="2" s="1"/>
  <c r="V128" i="2" a="1"/>
  <c r="V128" i="2" s="1"/>
  <c r="V129" i="2" a="1"/>
  <c r="V129" i="2" s="1"/>
  <c r="V130" i="2" s="1" a="1"/>
  <c r="V130" i="2" s="1"/>
  <c r="V131" i="2" a="1"/>
  <c r="V131" i="2" s="1"/>
  <c r="V132" i="2" s="1" a="1"/>
  <c r="V132" i="2" s="1"/>
  <c r="V133" i="2" s="1" a="1"/>
  <c r="V133" i="2" s="1"/>
  <c r="V134" i="2" s="1" a="1"/>
  <c r="V134" i="2" s="1"/>
  <c r="V135" i="2" a="1"/>
  <c r="V135" i="2" s="1"/>
  <c r="V136" i="2" a="1"/>
  <c r="V136" i="2" s="1"/>
  <c r="V137" i="2" s="1" a="1"/>
  <c r="V137" i="2" s="1"/>
  <c r="V138" i="2" a="1"/>
  <c r="V138" i="2" s="1"/>
  <c r="V139" i="2" s="1" a="1"/>
  <c r="V139" i="2" s="1"/>
  <c r="V140" i="2" s="1" a="1"/>
  <c r="V140" i="2" s="1"/>
  <c r="V141" i="2" s="1" a="1"/>
  <c r="V141" i="2" s="1"/>
  <c r="V142" i="2" s="1" a="1"/>
  <c r="V142" i="2" s="1"/>
  <c r="V143" i="2" s="1" a="1"/>
  <c r="V143" i="2" s="1"/>
  <c r="V144" i="2" s="1" a="1"/>
  <c r="V144" i="2" s="1"/>
  <c r="V145" i="2" a="1"/>
  <c r="V145" i="2" s="1"/>
  <c r="V146" i="2" a="1"/>
  <c r="V146" i="2" s="1"/>
  <c r="V147" i="2" s="1" a="1"/>
  <c r="V147" i="2" s="1"/>
  <c r="V148" i="2" a="1"/>
  <c r="V148" i="2" s="1"/>
  <c r="V149" i="2" s="1" a="1"/>
  <c r="V149" i="2" s="1"/>
  <c r="V150" i="2" a="1"/>
  <c r="V150" i="2" s="1"/>
  <c r="V151" i="2" a="1"/>
  <c r="V151" i="2" s="1"/>
  <c r="V152" i="2" s="1" a="1"/>
  <c r="V152" i="2" s="1"/>
  <c r="V153" i="2" a="1"/>
  <c r="V153" i="2" s="1"/>
  <c r="V154" i="2" s="1" a="1"/>
  <c r="V154" i="2" s="1"/>
  <c r="V155" i="2" s="1" a="1"/>
  <c r="V155" i="2" s="1"/>
  <c r="V156" i="2" a="1"/>
  <c r="V156" i="2" s="1"/>
  <c r="V157" i="2" a="1"/>
  <c r="V157" i="2" s="1"/>
  <c r="V158" i="2" s="1" a="1"/>
  <c r="V158" i="2" s="1"/>
  <c r="V159" i="2" a="1"/>
  <c r="V159" i="2" s="1"/>
  <c r="V160" i="2" s="1" a="1"/>
  <c r="V160" i="2" s="1"/>
  <c r="V161" i="2" a="1"/>
  <c r="V161" i="2" s="1"/>
  <c r="V162" i="2" a="1"/>
  <c r="V162" i="2" s="1"/>
  <c r="V163" i="2" a="1"/>
  <c r="V163" i="2" s="1"/>
  <c r="V164" i="2" a="1"/>
  <c r="V164" i="2" s="1"/>
  <c r="V165" i="2" a="1"/>
  <c r="V165" i="2" s="1"/>
  <c r="V166" i="2" a="1"/>
  <c r="V166" i="2" s="1"/>
  <c r="V167" i="2" a="1"/>
  <c r="V167" i="2" s="1"/>
  <c r="V168" i="2" a="1"/>
  <c r="V168" i="2" s="1"/>
  <c r="V169" i="2" a="1"/>
  <c r="V169" i="2" s="1"/>
  <c r="V170" i="2" a="1"/>
  <c r="V170" i="2" s="1"/>
  <c r="V171" i="2" a="1"/>
  <c r="V171" i="2" s="1"/>
  <c r="V172" i="2" s="1" a="1"/>
  <c r="V172" i="2" s="1"/>
  <c r="V173" i="2" s="1" a="1"/>
  <c r="V173" i="2" s="1"/>
  <c r="V174" i="2" s="1" a="1"/>
  <c r="V174" i="2" s="1"/>
  <c r="V175" i="2" s="1" a="1"/>
  <c r="V175" i="2" s="1"/>
  <c r="V176" i="2" a="1"/>
  <c r="V176" i="2" s="1"/>
  <c r="V177" i="2" s="1" a="1"/>
  <c r="V177" i="2" s="1"/>
  <c r="V178" i="2" s="1" a="1"/>
  <c r="V178" i="2" s="1"/>
  <c r="V179" i="2" s="1" a="1"/>
  <c r="V179" i="2" s="1"/>
  <c r="V180" i="2" a="1"/>
  <c r="V180" i="2" s="1"/>
  <c r="V181" i="2" a="1"/>
  <c r="V181" i="2" s="1"/>
  <c r="V182" i="2" s="1" a="1"/>
  <c r="V182" i="2" s="1"/>
  <c r="V183" i="2" a="1"/>
  <c r="V183" i="2" s="1"/>
  <c r="V184" i="2" s="1" a="1"/>
  <c r="V184" i="2" s="1"/>
  <c r="V185" i="2" a="1"/>
  <c r="V185" i="2" s="1"/>
  <c r="V186" i="2" a="1"/>
  <c r="V186" i="2" s="1"/>
  <c r="V187" i="2" s="1" a="1"/>
  <c r="V187" i="2" s="1"/>
  <c r="V188" i="2" a="1"/>
  <c r="V188" i="2" s="1"/>
  <c r="V189" i="2" s="1" a="1"/>
  <c r="V189" i="2" s="1"/>
  <c r="V190" i="2" a="1"/>
  <c r="V190" i="2" s="1"/>
  <c r="V191" i="2" a="1"/>
  <c r="V191" i="2" s="1"/>
  <c r="V192" i="2" s="1" a="1"/>
  <c r="V192" i="2" s="1"/>
  <c r="V193" i="2" a="1"/>
  <c r="V193" i="2" s="1"/>
  <c r="V194" i="2" s="1" a="1"/>
  <c r="V194" i="2" s="1"/>
  <c r="V195" i="2" s="1" a="1"/>
  <c r="V195" i="2" s="1"/>
  <c r="V196" i="2" s="1" a="1"/>
  <c r="V196" i="2" s="1"/>
  <c r="V197" i="2" s="1" a="1"/>
  <c r="V197" i="2" s="1"/>
  <c r="V198" i="2" a="1"/>
  <c r="V198" i="2" s="1"/>
  <c r="V199" i="2" a="1"/>
  <c r="V199" i="2" s="1"/>
  <c r="V200" i="2" s="1" a="1"/>
  <c r="V200" i="2" s="1"/>
  <c r="V201" i="2" a="1"/>
  <c r="V201" i="2" s="1"/>
  <c r="V202" i="2" a="1"/>
  <c r="V202" i="2" s="1"/>
  <c r="V203" i="2" a="1"/>
  <c r="V203" i="2" s="1"/>
  <c r="V204" i="2" s="1" a="1"/>
  <c r="V204" i="2" s="1"/>
  <c r="V205" i="2" a="1"/>
  <c r="V205" i="2" s="1"/>
  <c r="V206" i="2" s="1" a="1"/>
  <c r="V206" i="2" s="1"/>
  <c r="V207" i="2" s="1" a="1"/>
  <c r="V207" i="2" s="1"/>
  <c r="V208" i="2" s="1" a="1"/>
  <c r="V208" i="2" s="1"/>
  <c r="V209" i="2" s="1" a="1"/>
  <c r="V209" i="2" s="1"/>
  <c r="V210" i="2" a="1"/>
  <c r="V210" i="2" s="1"/>
  <c r="V211" i="2" a="1"/>
  <c r="V211" i="2" s="1"/>
  <c r="V212" i="2" s="1" a="1"/>
  <c r="V212" i="2" s="1"/>
  <c r="V213" i="2" a="1"/>
  <c r="V213" i="2" s="1"/>
  <c r="V214" i="2" a="1"/>
  <c r="V214" i="2" s="1"/>
  <c r="V215" i="2" a="1"/>
  <c r="V215" i="2" s="1"/>
  <c r="V216" i="2" s="1" a="1"/>
  <c r="V216" i="2" s="1"/>
  <c r="V217" i="2" a="1"/>
  <c r="V217" i="2" s="1"/>
  <c r="V218" i="2" s="1" a="1"/>
  <c r="V218" i="2" s="1"/>
  <c r="V219" i="2" a="1"/>
  <c r="V219" i="2" s="1"/>
  <c r="V220" i="2" a="1"/>
  <c r="V220" i="2" s="1"/>
  <c r="V221" i="2" s="1" a="1"/>
  <c r="V221" i="2" s="1"/>
  <c r="V222" i="2" a="1"/>
  <c r="V222" i="2" s="1"/>
  <c r="V223" i="2" s="1" a="1"/>
  <c r="V223" i="2" s="1"/>
  <c r="V224" i="2" s="1" a="1"/>
  <c r="V224" i="2" s="1"/>
  <c r="V225" i="2" s="1" a="1"/>
  <c r="V225" i="2" s="1"/>
  <c r="V226" i="2" a="1"/>
  <c r="V226" i="2" s="1"/>
  <c r="V227" i="2" a="1"/>
  <c r="V227" i="2" s="1"/>
  <c r="V228" i="2" s="1" a="1"/>
  <c r="V228" i="2" s="1"/>
  <c r="V229" i="2" a="1"/>
  <c r="V229" i="2" s="1"/>
  <c r="V230" i="2" s="1" a="1"/>
  <c r="V230" i="2" s="1"/>
  <c r="V231" i="2" a="1"/>
  <c r="V231" i="2" s="1"/>
  <c r="V232" i="2" a="1"/>
  <c r="V232" i="2" s="1"/>
  <c r="V233" i="2" s="1" a="1"/>
  <c r="V233" i="2" s="1"/>
  <c r="V234" i="2" a="1"/>
  <c r="V234" i="2" s="1"/>
  <c r="V235" i="2" s="1" a="1"/>
  <c r="V235" i="2" s="1"/>
  <c r="V236" i="2" s="1" a="1"/>
  <c r="V236" i="2" s="1"/>
  <c r="V237" i="2" s="1" a="1"/>
  <c r="V237" i="2" s="1"/>
  <c r="V238" i="2" s="1" a="1"/>
  <c r="V238" i="2" s="1"/>
  <c r="V239" i="2" a="1"/>
  <c r="V239" i="2" s="1"/>
  <c r="V240" i="2" a="1"/>
  <c r="V240" i="2" s="1"/>
  <c r="V241" i="2" s="1" a="1"/>
  <c r="V241" i="2" s="1"/>
  <c r="V242" i="2" a="1"/>
  <c r="V242" i="2" s="1"/>
  <c r="V243" i="2" s="1" a="1"/>
  <c r="V243" i="2" s="1"/>
  <c r="V244" i="2" a="1"/>
  <c r="V244" i="2" s="1"/>
  <c r="V245" i="2" a="1"/>
  <c r="V245" i="2" s="1"/>
  <c r="V246" i="2" s="1" a="1"/>
  <c r="V246" i="2" s="1"/>
  <c r="V247" i="2" a="1"/>
  <c r="V247" i="2" s="1"/>
  <c r="V248" i="2" s="1" a="1"/>
  <c r="V248" i="2" s="1"/>
  <c r="V249" i="2" s="1" a="1"/>
  <c r="V249" i="2" s="1"/>
  <c r="V250" i="2" s="1" a="1"/>
  <c r="V250" i="2" s="1"/>
  <c r="V251" i="2" s="1" a="1"/>
  <c r="V251" i="2" s="1"/>
  <c r="V252" i="2" a="1"/>
  <c r="V252" i="2" s="1"/>
  <c r="V253" i="2" a="1"/>
  <c r="V253" i="2" s="1"/>
  <c r="V254" i="2" s="1" a="1"/>
  <c r="V254" i="2" s="1"/>
  <c r="V255" i="2" a="1"/>
  <c r="V255" i="2" s="1"/>
  <c r="V256" i="2" s="1" a="1"/>
  <c r="V256" i="2" s="1"/>
  <c r="V257" i="2" s="1" a="1"/>
  <c r="V257" i="2" s="1"/>
  <c r="V258" i="2" s="1" a="1"/>
  <c r="V258" i="2" s="1"/>
  <c r="V259" i="2" s="1" a="1"/>
  <c r="V259" i="2" s="1"/>
  <c r="V260" i="2" s="1" a="1"/>
  <c r="V260" i="2" s="1"/>
  <c r="V261" i="2" s="1" a="1"/>
  <c r="V261" i="2" s="1"/>
  <c r="V262" i="2" a="1"/>
  <c r="V262" i="2" s="1"/>
  <c r="V263" i="2" a="1"/>
  <c r="V263" i="2" s="1"/>
  <c r="V264" i="2" a="1"/>
  <c r="V264" i="2" s="1"/>
  <c r="V265" i="2" a="1"/>
  <c r="V265" i="2" s="1"/>
  <c r="V266" i="2" s="1" a="1"/>
  <c r="V266" i="2" s="1"/>
  <c r="V267" i="2" s="1" a="1"/>
  <c r="V267" i="2" s="1"/>
  <c r="V268" i="2" s="1" a="1"/>
  <c r="V268" i="2" s="1"/>
  <c r="V269" i="2" s="1" a="1"/>
  <c r="V269" i="2" s="1"/>
  <c r="V270" i="2" s="1" a="1"/>
  <c r="V270" i="2" s="1"/>
  <c r="V271" i="2" s="1" a="1"/>
  <c r="V271" i="2" s="1"/>
  <c r="V272" i="2" s="1" a="1"/>
  <c r="V272" i="2" s="1"/>
  <c r="V273" i="2" s="1" a="1"/>
  <c r="V273" i="2" s="1"/>
  <c r="V274" i="2" a="1"/>
  <c r="V274" i="2" s="1"/>
  <c r="V275" i="2" a="1"/>
  <c r="V275" i="2" s="1"/>
  <c r="V276" i="2" s="1" a="1"/>
  <c r="V276" i="2" s="1"/>
  <c r="V277" i="2" a="1"/>
  <c r="V277" i="2" s="1"/>
  <c r="V278" i="2" s="1" a="1"/>
  <c r="V278" i="2" s="1"/>
  <c r="V279" i="2" a="1"/>
  <c r="V279" i="2" s="1"/>
  <c r="V280" i="2" a="1"/>
  <c r="V280" i="2" s="1"/>
  <c r="V281" i="2" a="1"/>
  <c r="V281" i="2" s="1"/>
  <c r="V282" i="2" a="1"/>
  <c r="V282" i="2" s="1"/>
  <c r="V283" i="2" s="1" a="1"/>
  <c r="V283" i="2" s="1"/>
  <c r="V284" i="2" s="1" a="1"/>
  <c r="V284" i="2" s="1"/>
  <c r="V285" i="2" s="1" a="1"/>
  <c r="V285" i="2" s="1"/>
  <c r="V286" i="2" s="1" a="1"/>
  <c r="V286" i="2" s="1"/>
  <c r="V287" i="2" s="1" a="1"/>
  <c r="V287" i="2" s="1"/>
  <c r="V288" i="2" s="1" a="1"/>
  <c r="V288" i="2" s="1"/>
  <c r="V289" i="2" s="1" a="1"/>
  <c r="V289" i="2" s="1"/>
  <c r="V290" i="2" a="1"/>
  <c r="V290" i="2" s="1"/>
  <c r="V291" i="2" a="1"/>
  <c r="V291" i="2" s="1"/>
  <c r="V292" i="2" s="1" a="1"/>
  <c r="V292" i="2" s="1"/>
  <c r="V293" i="2" a="1"/>
  <c r="V293" i="2" s="1"/>
  <c r="V294" i="2" s="1" a="1"/>
  <c r="V294" i="2" s="1"/>
  <c r="V295" i="2" s="1" a="1"/>
  <c r="V295" i="2" s="1"/>
  <c r="V296" i="2" s="1" a="1"/>
  <c r="V296" i="2" s="1"/>
  <c r="V297" i="2" s="1" a="1"/>
  <c r="V297" i="2" s="1"/>
  <c r="V298" i="2" s="1" a="1"/>
  <c r="V298" i="2" s="1"/>
  <c r="V299" i="2" a="1"/>
  <c r="V299" i="2" s="1"/>
  <c r="V300" i="2" a="1"/>
  <c r="V300" i="2" s="1"/>
  <c r="V301" i="2" s="1" a="1"/>
  <c r="V301" i="2" s="1"/>
  <c r="V302" i="2" a="1"/>
  <c r="V302" i="2" s="1"/>
  <c r="V303" i="2" s="1" a="1"/>
  <c r="V303" i="2" s="1"/>
  <c r="V304" i="2" s="1" a="1"/>
  <c r="V304" i="2" s="1"/>
  <c r="V305" i="2" s="1" a="1"/>
  <c r="V305" i="2" s="1"/>
  <c r="V306" i="2" s="1" a="1"/>
  <c r="V306" i="2" s="1"/>
  <c r="V307" i="2" s="1" a="1"/>
  <c r="V307" i="2" s="1"/>
  <c r="V308" i="2" s="1" a="1"/>
  <c r="V308" i="2" s="1"/>
  <c r="V309" i="2" a="1"/>
  <c r="V309" i="2" s="1"/>
  <c r="V310" i="2" a="1"/>
  <c r="V310" i="2" s="1"/>
  <c r="V311" i="2" s="1" a="1"/>
  <c r="V311" i="2" s="1"/>
  <c r="V312" i="2" a="1"/>
  <c r="V312" i="2" s="1"/>
  <c r="V313" i="2" a="1"/>
  <c r="V313" i="2" s="1"/>
  <c r="V314" i="2" a="1"/>
  <c r="V314" i="2" s="1"/>
  <c r="V315" i="2" s="1" a="1"/>
  <c r="V315" i="2" s="1"/>
  <c r="V316" i="2" a="1"/>
  <c r="V316" i="2" s="1"/>
  <c r="V317" i="2" a="1"/>
  <c r="V317" i="2" s="1"/>
  <c r="V318" i="2" a="1"/>
  <c r="V318" i="2" s="1"/>
  <c r="V319" i="2" s="1" a="1"/>
  <c r="V319" i="2" s="1"/>
  <c r="V320" i="2" a="1"/>
  <c r="V320" i="2" s="1"/>
  <c r="V321" i="2" s="1" a="1"/>
  <c r="V321" i="2" s="1"/>
  <c r="V322" i="2" s="1" a="1"/>
  <c r="V322" i="2" s="1"/>
  <c r="V323" i="2" s="1" a="1"/>
  <c r="V323" i="2" s="1"/>
  <c r="V324" i="2" s="1" a="1"/>
  <c r="V324" i="2" s="1"/>
  <c r="V325" i="2" a="1"/>
  <c r="V325" i="2" s="1"/>
  <c r="V326" i="2" a="1"/>
  <c r="V326" i="2" s="1"/>
  <c r="V327" i="2" s="1" a="1"/>
  <c r="V327" i="2" s="1"/>
  <c r="V328" i="2" a="1"/>
  <c r="V328" i="2" s="1"/>
  <c r="V329" i="2" s="1" a="1"/>
  <c r="V329" i="2" s="1"/>
  <c r="V330" i="2" a="1"/>
  <c r="V330" i="2" s="1"/>
  <c r="V331" i="2" a="1"/>
  <c r="V331" i="2" s="1"/>
  <c r="V332" i="2" s="1" a="1"/>
  <c r="V332" i="2" s="1"/>
  <c r="V333" i="2" a="1"/>
  <c r="V333" i="2" s="1"/>
  <c r="V334" i="2" s="1" a="1"/>
  <c r="V334" i="2" s="1"/>
  <c r="V335" i="2" a="1"/>
  <c r="V335" i="2" s="1"/>
  <c r="V336" i="2" a="1"/>
  <c r="V336" i="2" s="1"/>
  <c r="V337" i="2" a="1"/>
  <c r="V337" i="2" s="1"/>
  <c r="V338" i="2" a="1"/>
  <c r="V338" i="2" s="1"/>
  <c r="V339" i="2" a="1"/>
  <c r="V339" i="2" s="1"/>
  <c r="V340" i="2" a="1"/>
  <c r="V340" i="2" s="1"/>
  <c r="V341" i="2" a="1"/>
  <c r="V341" i="2" s="1"/>
  <c r="V342" i="2" a="1"/>
  <c r="V342" i="2" s="1"/>
  <c r="V343" i="2" a="1"/>
  <c r="V343" i="2" s="1"/>
  <c r="V344" i="2" a="1"/>
  <c r="V344" i="2" s="1"/>
  <c r="V345" i="2" a="1"/>
  <c r="V345" i="2" s="1"/>
  <c r="V346" i="2" a="1"/>
  <c r="V346" i="2" s="1"/>
  <c r="V347" i="2" s="1" a="1"/>
  <c r="V347" i="2" s="1"/>
  <c r="V348" i="2" s="1" a="1"/>
  <c r="V348" i="2" s="1"/>
  <c r="V349" i="2" s="1" a="1"/>
  <c r="V349" i="2" s="1"/>
  <c r="V350" i="2" a="1"/>
  <c r="V350" i="2" s="1"/>
  <c r="V351" i="2" s="1" a="1"/>
  <c r="V351" i="2" s="1"/>
  <c r="V352" i="2" s="1" a="1"/>
  <c r="V352" i="2" s="1"/>
  <c r="V353" i="2" s="1" a="1"/>
  <c r="V353" i="2" s="1"/>
  <c r="V354" i="2" s="1" a="1"/>
  <c r="V354" i="2" s="1"/>
  <c r="V355" i="2" a="1"/>
  <c r="V355" i="2" s="1"/>
  <c r="V356" i="2" a="1"/>
  <c r="V356" i="2" s="1"/>
  <c r="V357" i="2" s="1" a="1"/>
  <c r="V357" i="2" s="1"/>
  <c r="V358" i="2" a="1"/>
  <c r="V358" i="2" s="1"/>
  <c r="V359" i="2" s="1" a="1"/>
  <c r="V359" i="2" s="1"/>
  <c r="V360" i="2" s="1" a="1"/>
  <c r="V360" i="2" s="1"/>
  <c r="V361" i="2" a="1"/>
  <c r="V361" i="2" s="1"/>
  <c r="V362" i="2" a="1"/>
  <c r="V362" i="2" s="1"/>
  <c r="V363" i="2" s="1" a="1"/>
  <c r="V363" i="2" s="1"/>
  <c r="V364" i="2" a="1"/>
  <c r="V364" i="2" s="1"/>
  <c r="V365" i="2" s="1" a="1"/>
  <c r="V365" i="2" s="1"/>
  <c r="V366" i="2" s="1" a="1"/>
  <c r="V366" i="2" s="1"/>
  <c r="V367" i="2" s="1" a="1"/>
  <c r="V367" i="2" s="1"/>
  <c r="V368" i="2" s="1" a="1"/>
  <c r="V368" i="2" s="1"/>
  <c r="V369" i="2" a="1"/>
  <c r="V369" i="2" s="1"/>
  <c r="V370" i="2" a="1"/>
  <c r="V370" i="2" s="1"/>
  <c r="V371" i="2" s="1" a="1"/>
  <c r="V371" i="2" s="1"/>
  <c r="V372" i="2" a="1"/>
  <c r="V372" i="2" s="1"/>
  <c r="V373" i="2" a="1"/>
  <c r="V373" i="2" s="1"/>
  <c r="V374" i="2" a="1"/>
  <c r="V374" i="2" s="1"/>
  <c r="V375" i="2" s="1" a="1"/>
  <c r="V375" i="2" s="1"/>
  <c r="V376" i="2" a="1"/>
  <c r="V376" i="2" s="1"/>
  <c r="V377" i="2" s="1" a="1"/>
  <c r="V377" i="2" s="1"/>
  <c r="V378" i="2" a="1"/>
  <c r="V378" i="2" s="1"/>
  <c r="V379" i="2" a="1"/>
  <c r="V379" i="2" s="1"/>
  <c r="V380" i="2" s="1" a="1"/>
  <c r="V380" i="2" s="1"/>
  <c r="V381" i="2" a="1"/>
  <c r="V381" i="2" s="1"/>
  <c r="V382" i="2" s="1" a="1"/>
  <c r="V382" i="2" s="1"/>
  <c r="V383" i="2" s="1" a="1"/>
  <c r="V383" i="2" s="1"/>
  <c r="V384" i="2" s="1" a="1"/>
  <c r="V384" i="2" s="1"/>
  <c r="V385" i="2" a="1"/>
  <c r="V385" i="2" s="1"/>
  <c r="V386" i="2" a="1"/>
  <c r="V386" i="2" s="1"/>
  <c r="V387" i="2" s="1" a="1"/>
  <c r="V387" i="2" s="1"/>
  <c r="V388" i="2" a="1"/>
  <c r="V388" i="2" s="1"/>
  <c r="V389" i="2" s="1" a="1"/>
  <c r="V389" i="2" s="1"/>
  <c r="V390" i="2" s="1" a="1"/>
  <c r="V390" i="2" s="1"/>
  <c r="V391" i="2" a="1"/>
  <c r="V391" i="2" s="1"/>
  <c r="V392" i="2" a="1"/>
  <c r="V392" i="2" s="1"/>
  <c r="V393" i="2" s="1" a="1"/>
  <c r="V393" i="2" s="1"/>
  <c r="V394" i="2" a="1"/>
  <c r="V394" i="2" s="1"/>
  <c r="V395" i="2" s="1" a="1"/>
  <c r="V395" i="2" s="1"/>
  <c r="V396" i="2" s="1" a="1"/>
  <c r="V396" i="2" s="1"/>
  <c r="V397" i="2" s="1" a="1"/>
  <c r="V397" i="2" s="1"/>
  <c r="V398" i="2" s="1" a="1"/>
  <c r="V398" i="2" s="1"/>
  <c r="V399" i="2" s="1" a="1"/>
  <c r="V399" i="2" s="1"/>
  <c r="V400" i="2" a="1"/>
  <c r="V400" i="2" s="1"/>
  <c r="V401" i="2" a="1"/>
  <c r="V401" i="2" s="1"/>
  <c r="V402" i="2" s="1" a="1"/>
  <c r="V402" i="2" s="1"/>
  <c r="V403" i="2" a="1"/>
  <c r="V403" i="2" s="1"/>
  <c r="V404" i="2" s="1" a="1"/>
  <c r="V404" i="2" s="1"/>
  <c r="V405" i="2" s="1" a="1"/>
  <c r="V405" i="2" s="1"/>
  <c r="V406" i="2" a="1"/>
  <c r="V406" i="2" s="1"/>
  <c r="V407" i="2" a="1"/>
  <c r="V407" i="2" s="1"/>
  <c r="V408" i="2" s="1" a="1"/>
  <c r="V408" i="2" s="1"/>
  <c r="V409" i="2" a="1"/>
  <c r="V409" i="2" s="1"/>
  <c r="V410" i="2" s="1" a="1"/>
  <c r="V410" i="2" s="1"/>
  <c r="V411" i="2" s="1" a="1"/>
  <c r="V411" i="2" s="1"/>
  <c r="V412" i="2" s="1" a="1"/>
  <c r="V412" i="2" s="1"/>
  <c r="V413" i="2" s="1" a="1"/>
  <c r="V413" i="2" s="1"/>
  <c r="V414" i="2" s="1" a="1"/>
  <c r="V414" i="2" s="1"/>
  <c r="V415" i="2" a="1"/>
  <c r="V415" i="2" s="1"/>
  <c r="V416" i="2" a="1"/>
  <c r="V416" i="2" s="1"/>
  <c r="V417" i="2" s="1" a="1"/>
  <c r="V417" i="2" s="1"/>
  <c r="V418" i="2" a="1"/>
  <c r="V418" i="2" s="1"/>
  <c r="V419" i="2" s="1" a="1"/>
  <c r="V419" i="2" s="1"/>
  <c r="V420" i="2" s="1" a="1"/>
  <c r="V420" i="2" s="1"/>
  <c r="V421" i="2" s="1" a="1"/>
  <c r="V421" i="2" s="1"/>
  <c r="V422" i="2" s="1" a="1"/>
  <c r="V422" i="2" s="1"/>
  <c r="V423" i="2" s="1" a="1"/>
  <c r="V423" i="2" s="1"/>
  <c r="V424" i="2" a="1"/>
  <c r="V424" i="2" s="1"/>
  <c r="V425" i="2" a="1"/>
  <c r="V425" i="2" s="1"/>
  <c r="V426" i="2" s="1" a="1"/>
  <c r="V426" i="2" s="1"/>
  <c r="V427" i="2" a="1"/>
  <c r="V427" i="2" s="1"/>
  <c r="V428" i="2" s="1" a="1"/>
  <c r="V428" i="2" s="1"/>
  <c r="V429" i="2" s="1" a="1"/>
  <c r="V429" i="2" s="1"/>
  <c r="V430" i="2" s="1" a="1"/>
  <c r="V430" i="2" s="1"/>
  <c r="V431" i="2" a="1"/>
  <c r="V431" i="2" s="1"/>
  <c r="V432" i="2" a="1"/>
  <c r="V432" i="2" s="1"/>
  <c r="V433" i="2" s="1" a="1"/>
  <c r="V433" i="2" s="1"/>
  <c r="V434" i="2" a="1"/>
  <c r="V434" i="2" s="1"/>
  <c r="V435" i="2" s="1" a="1"/>
  <c r="V435" i="2" s="1"/>
  <c r="V436" i="2" a="1"/>
  <c r="V436" i="2" s="1"/>
  <c r="V437" i="2" a="1"/>
  <c r="V437" i="2" s="1"/>
  <c r="V438" i="2" s="1" a="1"/>
  <c r="V438" i="2" s="1"/>
  <c r="V439" i="2" a="1"/>
  <c r="V439" i="2" s="1"/>
  <c r="V440" i="2" a="1"/>
  <c r="V440" i="2" s="1"/>
  <c r="V441" i="2" a="1"/>
  <c r="V441" i="2" s="1"/>
  <c r="V442" i="2" s="1" a="1"/>
  <c r="V442" i="2" s="1"/>
  <c r="V443" i="2" a="1"/>
  <c r="V443" i="2" s="1"/>
  <c r="V444" i="2" s="1" a="1"/>
  <c r="V444" i="2" s="1"/>
  <c r="V445" i="2" a="1"/>
  <c r="V445" i="2" s="1"/>
  <c r="V446" i="2" a="1"/>
  <c r="V446" i="2" s="1"/>
  <c r="V447" i="2" s="1" a="1"/>
  <c r="V447" i="2" s="1"/>
  <c r="V448" i="2" a="1"/>
  <c r="V448" i="2" s="1"/>
  <c r="V449" i="2" a="1"/>
  <c r="V449" i="2" s="1"/>
  <c r="V450" i="2" a="1"/>
  <c r="V450" i="2" s="1"/>
  <c r="V451" i="2" s="1" a="1"/>
  <c r="V451" i="2" s="1"/>
  <c r="V452" i="2" a="1"/>
  <c r="V452" i="2" s="1"/>
  <c r="V453" i="2" s="1" a="1"/>
  <c r="V453" i="2" s="1"/>
  <c r="V454" i="2" a="1"/>
  <c r="V454" i="2" s="1"/>
  <c r="V455" i="2" a="1"/>
  <c r="V455" i="2" s="1"/>
  <c r="V456" i="2" s="1" a="1"/>
  <c r="V456" i="2" s="1"/>
  <c r="V457" i="2" a="1"/>
  <c r="V457" i="2" s="1"/>
  <c r="V458" i="2" a="1"/>
  <c r="V458" i="2" s="1"/>
  <c r="V459" i="2" a="1"/>
  <c r="V459" i="2" s="1"/>
  <c r="V460" i="2" s="1" a="1"/>
  <c r="V460" i="2" s="1"/>
  <c r="V461" i="2" a="1"/>
  <c r="V461" i="2" s="1"/>
  <c r="V462" i="2" s="1" a="1"/>
  <c r="V462" i="2" s="1"/>
  <c r="V463" i="2" a="1"/>
  <c r="V463" i="2" s="1"/>
  <c r="V464" i="2" a="1"/>
  <c r="V464" i="2" s="1"/>
  <c r="V465" i="2" s="1" a="1"/>
  <c r="V465" i="2" s="1"/>
  <c r="V466" i="2" a="1"/>
  <c r="V466" i="2" s="1"/>
  <c r="V467" i="2" s="1" a="1"/>
  <c r="V467" i="2" s="1"/>
  <c r="V468" i="2" a="1"/>
  <c r="V468" i="2" s="1"/>
  <c r="V469" i="2" a="1"/>
  <c r="V469" i="2" s="1"/>
  <c r="V470" i="2" s="1" a="1"/>
  <c r="V470" i="2" s="1"/>
  <c r="V471" i="2" a="1"/>
  <c r="V471" i="2" s="1"/>
  <c r="V472" i="2" s="1" a="1"/>
  <c r="V472" i="2" s="1"/>
  <c r="V473" i="2" a="1"/>
  <c r="V473" i="2" s="1"/>
  <c r="V474" i="2" a="1"/>
  <c r="V474" i="2" s="1"/>
  <c r="V475" i="2" s="1" a="1"/>
  <c r="V475" i="2" s="1"/>
  <c r="V476" i="2" a="1"/>
  <c r="V476" i="2" s="1"/>
  <c r="V477" i="2" s="1" a="1"/>
  <c r="V477" i="2" s="1"/>
  <c r="V478" i="2" s="1" a="1"/>
  <c r="V478" i="2" s="1"/>
  <c r="V479" i="2" s="1" a="1"/>
  <c r="V479" i="2" s="1"/>
  <c r="V480" i="2" s="1" a="1"/>
  <c r="V480" i="2" s="1"/>
  <c r="V481" i="2" a="1"/>
  <c r="V481" i="2" s="1"/>
  <c r="V482" i="2" a="1"/>
  <c r="V482" i="2" s="1"/>
  <c r="V483" i="2" s="1" a="1"/>
  <c r="V483" i="2" s="1"/>
  <c r="V484" i="2" a="1"/>
  <c r="V484" i="2" s="1"/>
  <c r="V485" i="2" a="1"/>
  <c r="V485" i="2" s="1"/>
  <c r="V486" i="2" a="1"/>
  <c r="V486" i="2" s="1"/>
  <c r="V487" i="2" s="1" a="1"/>
  <c r="V487" i="2" s="1"/>
  <c r="V488" i="2" a="1"/>
  <c r="V488" i="2" s="1"/>
  <c r="V489" i="2" a="1"/>
  <c r="V489" i="2" s="1"/>
  <c r="V490" i="2" a="1"/>
  <c r="V490" i="2" s="1"/>
  <c r="V491" i="2" s="1" a="1"/>
  <c r="V491" i="2" s="1"/>
  <c r="V492" i="2" a="1"/>
  <c r="V492" i="2" s="1"/>
  <c r="V493" i="2" a="1"/>
  <c r="V493" i="2" s="1"/>
  <c r="V494" i="2" a="1"/>
  <c r="V494" i="2" s="1"/>
  <c r="V495" i="2" s="1" a="1"/>
  <c r="V495" i="2" s="1"/>
  <c r="V496" i="2" a="1"/>
  <c r="V496" i="2" s="1"/>
  <c r="V497" i="2" s="1" a="1"/>
  <c r="V497" i="2" s="1"/>
  <c r="V498" i="2" a="1"/>
  <c r="V498" i="2" s="1"/>
  <c r="V499" i="2" a="1"/>
  <c r="V499" i="2" s="1"/>
  <c r="V500" i="2" a="1"/>
  <c r="V500" i="2" s="1"/>
  <c r="V501" i="2" a="1"/>
  <c r="V501" i="2" s="1"/>
  <c r="V502" i="2" s="1" a="1"/>
  <c r="V502" i="2" s="1"/>
  <c r="V503" i="2" s="1" a="1"/>
  <c r="V503" i="2" s="1"/>
  <c r="V504" i="2" s="1" a="1"/>
  <c r="V504" i="2" s="1"/>
  <c r="V505" i="2" s="1" a="1"/>
  <c r="V505" i="2" s="1"/>
  <c r="V506" i="2" s="1" a="1"/>
  <c r="V506" i="2" s="1"/>
  <c r="V507" i="2" s="1" a="1"/>
  <c r="V507" i="2" s="1"/>
  <c r="V508" i="2" s="1" a="1"/>
  <c r="V508" i="2" s="1"/>
  <c r="V509" i="2" a="1"/>
  <c r="V509" i="2" s="1"/>
  <c r="V510" i="2" a="1"/>
  <c r="V510" i="2" s="1"/>
  <c r="V511" i="2" a="1"/>
  <c r="V511" i="2" s="1"/>
  <c r="V512" i="2" a="1"/>
  <c r="V512" i="2" s="1"/>
  <c r="V513" i="2" a="1"/>
  <c r="V513" i="2" s="1"/>
  <c r="V514" i="2" a="1"/>
  <c r="V514" i="2" s="1"/>
  <c r="V515" i="2" a="1"/>
  <c r="V515" i="2" s="1"/>
  <c r="V516" i="2" a="1"/>
  <c r="V516" i="2" s="1"/>
  <c r="V517" i="2" s="1" a="1"/>
  <c r="V517" i="2" s="1"/>
  <c r="V518" i="2" s="1" a="1"/>
  <c r="V518" i="2" s="1"/>
  <c r="V519" i="2" s="1" a="1"/>
  <c r="V519" i="2" s="1"/>
  <c r="V520" i="2" s="1" a="1"/>
  <c r="V520" i="2" s="1"/>
  <c r="V521" i="2" s="1" a="1"/>
  <c r="V521" i="2" s="1"/>
  <c r="V522" i="2" s="1" a="1"/>
  <c r="V522" i="2" s="1"/>
  <c r="V523" i="2" s="1" a="1"/>
  <c r="V523" i="2" s="1"/>
  <c r="V524" i="2" a="1"/>
  <c r="V524" i="2" s="1"/>
  <c r="V525" i="2" a="1"/>
  <c r="V525" i="2" s="1"/>
  <c r="V526" i="2" a="1"/>
  <c r="V526" i="2" s="1"/>
  <c r="V527" i="2" s="1" a="1"/>
  <c r="V527" i="2" s="1"/>
  <c r="V528" i="2" a="1"/>
  <c r="V528" i="2" s="1"/>
  <c r="V529" i="2" s="1" a="1"/>
  <c r="V529" i="2" s="1"/>
  <c r="V530" i="2" s="1" a="1"/>
  <c r="V530" i="2" s="1"/>
  <c r="V531" i="2" s="1" a="1"/>
  <c r="V531" i="2" s="1"/>
  <c r="V532" i="2" s="1" a="1"/>
  <c r="V532" i="2" s="1"/>
  <c r="V533" i="2" a="1"/>
  <c r="V533" i="2" s="1"/>
  <c r="V534" i="2" a="1"/>
  <c r="V534" i="2" s="1"/>
  <c r="V535" i="2" s="1" a="1"/>
  <c r="V535" i="2" s="1"/>
  <c r="V536" i="2" a="1"/>
  <c r="V536" i="2" s="1"/>
  <c r="V537" i="2" s="1" a="1"/>
  <c r="V537" i="2" s="1"/>
  <c r="V538" i="2" a="1"/>
  <c r="V538" i="2" s="1"/>
  <c r="V539" i="2" a="1"/>
  <c r="V539" i="2" s="1"/>
  <c r="V540" i="2" s="1" a="1"/>
  <c r="V540" i="2" s="1"/>
  <c r="V541" i="2" a="1"/>
  <c r="V541" i="2" s="1"/>
  <c r="V542" i="2" s="1" a="1"/>
  <c r="V542" i="2" s="1"/>
  <c r="V543" i="2" s="1" a="1"/>
  <c r="V543" i="2" s="1"/>
  <c r="V544" i="2" s="1" a="1"/>
  <c r="V544" i="2" s="1"/>
  <c r="V545" i="2" a="1"/>
  <c r="V545" i="2" s="1"/>
  <c r="V546" i="2" a="1"/>
  <c r="V546" i="2" s="1"/>
  <c r="V547" i="2" s="1" a="1"/>
  <c r="V547" i="2" s="1"/>
  <c r="V548" i="2" a="1"/>
  <c r="V548" i="2" s="1"/>
  <c r="V549" i="2" s="1" a="1"/>
  <c r="V549" i="2" s="1"/>
  <c r="V550" i="2" a="1"/>
  <c r="V550" i="2" s="1"/>
  <c r="V551" i="2" a="1"/>
  <c r="V551" i="2" s="1"/>
  <c r="V552" i="2" s="1" a="1"/>
  <c r="V552" i="2" s="1"/>
  <c r="V553" i="2" a="1"/>
  <c r="V553" i="2" s="1"/>
  <c r="V554" i="2" s="1" a="1"/>
  <c r="V554" i="2" s="1"/>
  <c r="V555" i="2" s="1" a="1"/>
  <c r="V555" i="2" s="1"/>
  <c r="V556" i="2" a="1"/>
  <c r="V556" i="2" s="1"/>
  <c r="V557" i="2" a="1"/>
  <c r="V557" i="2" s="1"/>
  <c r="V558" i="2" s="1" a="1"/>
  <c r="V558" i="2" s="1"/>
  <c r="V559" i="2" a="1"/>
  <c r="V559" i="2" s="1"/>
  <c r="V560" i="2" s="1" a="1"/>
  <c r="V560" i="2" s="1"/>
  <c r="V561" i="2" a="1"/>
  <c r="V561" i="2" s="1"/>
  <c r="V562" i="2" a="1"/>
  <c r="V562" i="2" s="1"/>
  <c r="V563" i="2" s="1" a="1"/>
  <c r="V563" i="2" s="1"/>
  <c r="V564" i="2" a="1"/>
  <c r="V564" i="2" s="1"/>
  <c r="V565" i="2" a="1"/>
  <c r="V565" i="2" s="1"/>
  <c r="V566" i="2" a="1"/>
  <c r="V566" i="2" s="1"/>
  <c r="V567" i="2" s="1" a="1"/>
  <c r="V567" i="2" s="1"/>
  <c r="V568" i="2" a="1"/>
  <c r="V568" i="2" s="1"/>
  <c r="V569" i="2" s="1" a="1"/>
  <c r="V569" i="2" s="1"/>
  <c r="V570" i="2" a="1"/>
  <c r="V570" i="2" s="1"/>
  <c r="V571" i="2" a="1"/>
  <c r="V571" i="2" s="1"/>
  <c r="V572" i="2" s="1" a="1"/>
  <c r="V572" i="2" s="1"/>
  <c r="V573" i="2" a="1"/>
  <c r="V573" i="2" s="1"/>
  <c r="V574" i="2" s="1" a="1"/>
  <c r="V574" i="2" s="1"/>
  <c r="V575" i="2" a="1"/>
  <c r="V575" i="2" s="1"/>
  <c r="V576" i="2" a="1"/>
  <c r="V576" i="2" s="1"/>
  <c r="V577" i="2" s="1" a="1"/>
  <c r="V577" i="2" s="1"/>
  <c r="V578" i="2" a="1"/>
  <c r="V578" i="2" s="1"/>
  <c r="V579" i="2" s="1" a="1"/>
  <c r="V579" i="2" s="1"/>
  <c r="V580" i="2" a="1"/>
  <c r="V580" i="2" s="1"/>
  <c r="V581" i="2" a="1"/>
  <c r="V581" i="2" s="1"/>
  <c r="V582" i="2" s="1" a="1"/>
  <c r="V582" i="2" s="1"/>
  <c r="V583" i="2" a="1"/>
  <c r="V583" i="2" s="1"/>
  <c r="V584" i="2" s="1" a="1"/>
  <c r="V584" i="2" s="1"/>
  <c r="V585" i="2" a="1"/>
  <c r="V585" i="2" s="1"/>
  <c r="V586" i="2" a="1"/>
  <c r="V586" i="2" s="1"/>
  <c r="V587" i="2" s="1" a="1"/>
  <c r="V587" i="2" s="1"/>
  <c r="V588" i="2" a="1"/>
  <c r="V588" i="2" s="1"/>
  <c r="V589" i="2" a="1"/>
  <c r="V589" i="2" s="1"/>
  <c r="V590" i="2" a="1"/>
  <c r="V590" i="2" s="1"/>
  <c r="V591" i="2" s="1" a="1"/>
  <c r="V591" i="2" s="1"/>
  <c r="V592" i="2" a="1"/>
  <c r="V592" i="2" s="1"/>
  <c r="V593" i="2" a="1"/>
  <c r="V593" i="2" s="1"/>
  <c r="V594" i="2" a="1"/>
  <c r="V594" i="2" s="1"/>
  <c r="V595" i="2" s="1" a="1"/>
  <c r="V595" i="2" s="1"/>
  <c r="V596" i="2" a="1"/>
  <c r="V596" i="2" s="1"/>
  <c r="V597" i="2" a="1"/>
  <c r="V597" i="2" s="1"/>
  <c r="V598" i="2" a="1"/>
  <c r="V598" i="2" s="1"/>
  <c r="V599" i="2" s="1" a="1"/>
  <c r="V599" i="2" s="1"/>
  <c r="V600" i="2" a="1"/>
  <c r="V600" i="2" s="1"/>
  <c r="V601" i="2" s="1" a="1"/>
  <c r="V601" i="2" s="1"/>
  <c r="V602" i="2" s="1" a="1"/>
  <c r="V602" i="2" s="1"/>
  <c r="V603" i="2" a="1"/>
  <c r="V603" i="2" s="1"/>
  <c r="V604" i="2" a="1"/>
  <c r="V604" i="2" s="1"/>
  <c r="V605" i="2" s="1" a="1"/>
  <c r="V605" i="2" s="1"/>
  <c r="V606" i="2" a="1"/>
  <c r="V606" i="2" s="1"/>
  <c r="V607" i="2" s="1" a="1"/>
  <c r="V607" i="2" s="1"/>
  <c r="V608" i="2" s="1" a="1"/>
  <c r="V608" i="2" s="1"/>
  <c r="V609" i="2" s="1" a="1"/>
  <c r="V609" i="2" s="1"/>
  <c r="V610" i="2" a="1"/>
  <c r="V610" i="2" s="1"/>
  <c r="V611" i="2" a="1"/>
  <c r="V611" i="2" s="1"/>
  <c r="V612" i="2" s="1" a="1"/>
  <c r="V612" i="2" s="1"/>
  <c r="V613" i="2" a="1"/>
  <c r="V613" i="2" s="1"/>
  <c r="V614" i="2" s="1" a="1"/>
  <c r="V614" i="2" s="1"/>
  <c r="V615" i="2" a="1"/>
  <c r="V615" i="2" s="1"/>
  <c r="V616" i="2" a="1"/>
  <c r="V616" i="2" s="1"/>
  <c r="V617" i="2" s="1" a="1"/>
  <c r="V617" i="2" s="1"/>
  <c r="V618" i="2" a="1"/>
  <c r="V618" i="2" s="1"/>
  <c r="V619" i="2" s="1" a="1"/>
  <c r="V619" i="2" s="1"/>
  <c r="V620" i="2" s="1" a="1"/>
  <c r="V620" i="2" s="1"/>
  <c r="V621" i="2" s="1" a="1"/>
  <c r="V621" i="2" s="1"/>
  <c r="V622" i="2" a="1"/>
  <c r="V622" i="2" s="1"/>
  <c r="V623" i="2" a="1"/>
  <c r="V623" i="2" s="1"/>
  <c r="V624" i="2" s="1" a="1"/>
  <c r="V624" i="2" s="1"/>
  <c r="V625" i="2" a="1"/>
  <c r="V625" i="2" s="1"/>
  <c r="V626" i="2" a="1"/>
  <c r="V626" i="2" s="1"/>
  <c r="V627" i="2" a="1"/>
  <c r="V627" i="2" s="1"/>
  <c r="V628" i="2" s="1" a="1"/>
  <c r="V628" i="2" s="1"/>
  <c r="V629" i="2" a="1"/>
  <c r="V629" i="2" s="1"/>
  <c r="V630" i="2" s="1" a="1"/>
  <c r="V630" i="2" s="1"/>
  <c r="V631" i="2" a="1"/>
  <c r="V631" i="2" s="1"/>
  <c r="V632" i="2" a="1"/>
  <c r="V632" i="2" s="1"/>
  <c r="V633" i="2" s="1" a="1"/>
  <c r="V633" i="2" s="1"/>
  <c r="V634" i="2" a="1"/>
  <c r="V634" i="2" s="1"/>
  <c r="V635" i="2" a="1"/>
  <c r="V635" i="2" s="1"/>
  <c r="V636" i="2" a="1"/>
  <c r="V636" i="2" s="1"/>
  <c r="V637" i="2" s="1" a="1"/>
  <c r="V637" i="2" s="1"/>
  <c r="V638" i="2" a="1"/>
  <c r="V638" i="2" s="1"/>
  <c r="V639" i="2" s="1" a="1"/>
  <c r="V639" i="2" s="1"/>
  <c r="V640" i="2" a="1"/>
  <c r="V640" i="2" s="1"/>
  <c r="V641" i="2" a="1"/>
  <c r="V641" i="2" s="1"/>
  <c r="V642" i="2" s="1" a="1"/>
  <c r="V642" i="2" s="1"/>
  <c r="V643" i="2" a="1"/>
  <c r="V643" i="2" s="1"/>
  <c r="V644" i="2" a="1"/>
  <c r="V644" i="2" s="1"/>
  <c r="V645" i="2" a="1"/>
  <c r="V645" i="2" s="1"/>
  <c r="V646" i="2" s="1" a="1"/>
  <c r="V646" i="2" s="1"/>
  <c r="V647" i="2" a="1"/>
  <c r="V647" i="2" s="1"/>
  <c r="V648" i="2" a="1"/>
  <c r="V648" i="2" s="1"/>
  <c r="V649" i="2" a="1"/>
  <c r="V649" i="2" s="1"/>
  <c r="V650" i="2" s="1" a="1"/>
  <c r="V650" i="2" s="1"/>
  <c r="V651" i="2" a="1"/>
  <c r="V651" i="2" s="1"/>
  <c r="V652" i="2" s="1" a="1"/>
  <c r="V652" i="2" s="1"/>
  <c r="V653" i="2" s="1" a="1"/>
  <c r="V653" i="2" s="1"/>
  <c r="V654" i="2" a="1"/>
  <c r="V654" i="2" s="1"/>
  <c r="V655" i="2" a="1"/>
  <c r="V655" i="2" s="1"/>
  <c r="V656" i="2" s="1" a="1"/>
  <c r="V656" i="2" s="1"/>
  <c r="V657" i="2" a="1"/>
  <c r="V657" i="2" s="1"/>
  <c r="V658" i="2" s="1" a="1"/>
  <c r="V658" i="2" s="1"/>
  <c r="V659" i="2" s="1" a="1"/>
  <c r="V659" i="2" s="1"/>
  <c r="V660" i="2" a="1"/>
  <c r="V660" i="2" s="1"/>
  <c r="V661" i="2" a="1"/>
  <c r="V661" i="2" s="1"/>
  <c r="V662" i="2" s="1" a="1"/>
  <c r="V662" i="2" s="1"/>
  <c r="V663" i="2" a="1"/>
  <c r="V663" i="2" s="1"/>
  <c r="V664" i="2" s="1" a="1"/>
  <c r="V664" i="2" s="1"/>
  <c r="V665" i="2" s="1" a="1"/>
  <c r="V665" i="2" s="1"/>
  <c r="V666" i="2" s="1" a="1"/>
  <c r="V666" i="2" s="1"/>
  <c r="V667" i="2" s="1" a="1"/>
  <c r="V667" i="2" s="1"/>
  <c r="V668" i="2" a="1"/>
  <c r="V668" i="2" s="1"/>
  <c r="V669" i="2" a="1"/>
  <c r="V669" i="2" s="1"/>
  <c r="V670" i="2" s="1" a="1"/>
  <c r="V670" i="2" s="1"/>
  <c r="V671" i="2" a="1"/>
  <c r="V671" i="2" s="1"/>
  <c r="V672" i="2" a="1"/>
  <c r="V672" i="2" s="1"/>
  <c r="V673" i="2" a="1"/>
  <c r="V673" i="2" s="1"/>
  <c r="V674" i="2" s="1" a="1"/>
  <c r="V674" i="2" s="1"/>
  <c r="V675" i="2" a="1"/>
  <c r="V675" i="2" s="1"/>
  <c r="V676" i="2" s="1" a="1"/>
  <c r="V676" i="2" s="1"/>
  <c r="V677" i="2" s="1" a="1"/>
  <c r="V677" i="2" s="1"/>
  <c r="V678" i="2" s="1" a="1"/>
  <c r="V678" i="2" s="1"/>
  <c r="V679" i="2" s="1" a="1"/>
  <c r="V679" i="2" s="1"/>
  <c r="V680" i="2" s="1" a="1"/>
  <c r="V680" i="2" s="1"/>
  <c r="V681" i="2" a="1"/>
  <c r="V681" i="2" s="1"/>
  <c r="V682" i="2" a="1"/>
  <c r="V682" i="2" s="1"/>
  <c r="V683" i="2" a="1"/>
  <c r="V683" i="2" s="1"/>
  <c r="V684" i="2" a="1"/>
  <c r="V684" i="2" s="1"/>
  <c r="V685" i="2" a="1"/>
  <c r="V685" i="2" s="1"/>
  <c r="V686" i="2" a="1"/>
  <c r="V686" i="2" s="1"/>
  <c r="V687" i="2" a="1"/>
  <c r="V687" i="2" s="1"/>
  <c r="V688" i="2" a="1"/>
  <c r="V688" i="2" s="1"/>
  <c r="V689" i="2" a="1"/>
  <c r="V689" i="2" s="1"/>
  <c r="V690" i="2" s="1" a="1"/>
  <c r="V690" i="2" s="1"/>
  <c r="V691" i="2" s="1" a="1"/>
  <c r="V691" i="2" s="1"/>
  <c r="V692" i="2" s="1" a="1"/>
  <c r="V692" i="2" s="1"/>
  <c r="V693" i="2" s="1" a="1"/>
  <c r="V693" i="2" s="1"/>
  <c r="V694" i="2" s="1" a="1"/>
  <c r="V694" i="2" s="1"/>
  <c r="V695" i="2" s="1" a="1"/>
  <c r="V695" i="2" s="1"/>
  <c r="V696" i="2" a="1"/>
  <c r="V696" i="2" s="1"/>
  <c r="V697" i="2" s="1" a="1"/>
  <c r="V697" i="2" s="1"/>
  <c r="V698" i="2" a="1"/>
  <c r="V698" i="2" s="1"/>
  <c r="V699" i="2" a="1"/>
  <c r="V699" i="2" s="1"/>
  <c r="V700" i="2" s="1" a="1"/>
  <c r="V700" i="2" s="1"/>
  <c r="V701" i="2" a="1"/>
  <c r="V701" i="2" s="1"/>
  <c r="V702" i="2" s="1" a="1"/>
  <c r="V702" i="2" s="1"/>
  <c r="V703" i="2" s="1" a="1"/>
  <c r="V703" i="2" s="1"/>
  <c r="V704" i="2" a="1"/>
  <c r="V704" i="2" s="1"/>
  <c r="V705" i="2" a="1"/>
  <c r="V705" i="2" s="1"/>
  <c r="V706" i="2" s="1" a="1"/>
  <c r="V706" i="2" s="1"/>
  <c r="V707" i="2" a="1"/>
  <c r="V707" i="2" s="1"/>
  <c r="V708" i="2" a="1"/>
  <c r="V708" i="2" s="1"/>
  <c r="V709" i="2" a="1"/>
  <c r="V709" i="2" s="1"/>
  <c r="V710" i="2" s="1" a="1"/>
  <c r="V710" i="2" s="1"/>
  <c r="V711" i="2" a="1"/>
  <c r="V711" i="2" s="1"/>
  <c r="V712" i="2" s="1" a="1"/>
  <c r="V712" i="2" s="1"/>
  <c r="V713" i="2" a="1"/>
  <c r="V713" i="2" s="1"/>
  <c r="V714" i="2" a="1"/>
  <c r="V714" i="2" s="1"/>
  <c r="V715" i="2" s="1" a="1"/>
  <c r="V715" i="2" s="1"/>
  <c r="V716" i="2" a="1"/>
  <c r="V716" i="2" s="1"/>
  <c r="V717" i="2" a="1"/>
  <c r="V717" i="2" s="1"/>
  <c r="V718" i="2" a="1"/>
  <c r="V718" i="2" s="1"/>
  <c r="V719" i="2" s="1" a="1"/>
  <c r="V719" i="2" s="1"/>
  <c r="V720" i="2" a="1"/>
  <c r="V720" i="2" s="1"/>
  <c r="V721" i="2" s="1" a="1"/>
  <c r="V721" i="2" s="1"/>
  <c r="V722" i="2" s="1" a="1"/>
  <c r="V722" i="2" s="1"/>
  <c r="V723" i="2" a="1"/>
  <c r="V723" i="2" s="1"/>
  <c r="V724" i="2" a="1"/>
  <c r="V724" i="2" s="1"/>
  <c r="V725" i="2" s="1" a="1"/>
  <c r="V725" i="2" s="1"/>
  <c r="V726" i="2" a="1"/>
  <c r="V726" i="2" s="1"/>
  <c r="V727" i="2" s="1" a="1"/>
  <c r="V727" i="2" s="1"/>
  <c r="V728" i="2" a="1"/>
  <c r="V728" i="2" s="1"/>
  <c r="V729" i="2" a="1"/>
  <c r="V729" i="2" s="1"/>
  <c r="V730" i="2" s="1" a="1"/>
  <c r="V730" i="2" s="1"/>
  <c r="V731" i="2" a="1"/>
  <c r="V731" i="2" s="1"/>
  <c r="V732" i="2" s="1" a="1"/>
  <c r="V732" i="2" s="1"/>
  <c r="V733" i="2" s="1" a="1"/>
  <c r="V733" i="2" s="1"/>
  <c r="V734" i="2" a="1"/>
  <c r="V734" i="2" s="1"/>
  <c r="V735" i="2" a="1"/>
  <c r="V735" i="2" s="1"/>
  <c r="V736" i="2" s="1" a="1"/>
  <c r="V736" i="2" s="1"/>
  <c r="V737" i="2" a="1"/>
  <c r="V737" i="2" s="1"/>
  <c r="V738" i="2" s="1" a="1"/>
  <c r="V738" i="2" s="1"/>
  <c r="V739" i="2" s="1" a="1"/>
  <c r="V739" i="2" s="1"/>
  <c r="V740" i="2" a="1"/>
  <c r="V740" i="2" s="1"/>
  <c r="V741" i="2" a="1"/>
  <c r="V741" i="2" s="1"/>
  <c r="V742" i="2" s="1" a="1"/>
  <c r="V742" i="2" s="1"/>
  <c r="V743" i="2" a="1"/>
  <c r="V743" i="2" s="1"/>
  <c r="V744" i="2" s="1" a="1"/>
  <c r="V744" i="2" s="1"/>
  <c r="V745" i="2" s="1" a="1"/>
  <c r="V745" i="2" s="1"/>
  <c r="V746" i="2" a="1"/>
  <c r="V746" i="2" s="1"/>
  <c r="V747" i="2" a="1"/>
  <c r="V747" i="2" s="1"/>
  <c r="V748" i="2" s="1" a="1"/>
  <c r="V748" i="2" s="1"/>
  <c r="V749" i="2" a="1"/>
  <c r="V749" i="2" s="1"/>
  <c r="V750" i="2" s="1" a="1"/>
  <c r="V750" i="2" s="1"/>
  <c r="V751" i="2" s="1" a="1"/>
  <c r="V751" i="2" s="1"/>
  <c r="V752" i="2" a="1"/>
  <c r="V752" i="2" s="1"/>
  <c r="V753" i="2" a="1"/>
  <c r="V753" i="2" s="1"/>
  <c r="V754" i="2" s="1" a="1"/>
  <c r="V754" i="2" s="1"/>
  <c r="V755" i="2" a="1"/>
  <c r="V755" i="2" s="1"/>
  <c r="V756" i="2" s="1" a="1"/>
  <c r="V756" i="2" s="1"/>
  <c r="V757" i="2" s="1" a="1"/>
  <c r="V757" i="2" s="1"/>
  <c r="V758" i="2" s="1" a="1"/>
  <c r="V758" i="2" s="1"/>
  <c r="V759" i="2" a="1"/>
  <c r="V759" i="2" s="1"/>
  <c r="V760" i="2" a="1"/>
  <c r="V760" i="2" s="1"/>
  <c r="V761" i="2" s="1" a="1"/>
  <c r="V761" i="2" s="1"/>
  <c r="V762" i="2" a="1"/>
  <c r="V762" i="2" s="1"/>
  <c r="V763" i="2" s="1" a="1"/>
  <c r="V763" i="2" s="1"/>
  <c r="V764" i="2" a="1"/>
  <c r="V764" i="2" s="1"/>
  <c r="V765" i="2" a="1"/>
  <c r="V765" i="2" s="1"/>
  <c r="V766" i="2" s="1" a="1"/>
  <c r="V766" i="2" s="1"/>
  <c r="V767" i="2" a="1"/>
  <c r="V767" i="2" s="1"/>
  <c r="V768" i="2" s="1" a="1"/>
  <c r="V768" i="2" s="1"/>
  <c r="V769" i="2" s="1" a="1"/>
  <c r="V769" i="2" s="1"/>
  <c r="V770" i="2" a="1"/>
  <c r="V770" i="2" s="1"/>
  <c r="V771" i="2" a="1"/>
  <c r="V771" i="2" s="1"/>
  <c r="V772" i="2" s="1" a="1"/>
  <c r="V772" i="2" s="1"/>
  <c r="V773" i="2" a="1"/>
  <c r="V773" i="2" s="1"/>
  <c r="V774" i="2" s="1" a="1"/>
  <c r="V774" i="2" s="1"/>
  <c r="V775" i="2" s="1" a="1"/>
  <c r="V775" i="2" s="1"/>
  <c r="V776" i="2" s="1" a="1"/>
  <c r="V776" i="2" s="1"/>
  <c r="V777" i="2" a="1"/>
  <c r="V777" i="2" s="1"/>
  <c r="V778" i="2" a="1"/>
  <c r="V778" i="2" s="1"/>
  <c r="V779" i="2" s="1" a="1"/>
  <c r="V779" i="2" s="1"/>
  <c r="V780" i="2" a="1"/>
  <c r="V780" i="2" s="1"/>
  <c r="V781" i="2" s="1" a="1"/>
  <c r="V781" i="2" s="1"/>
  <c r="V782" i="2" a="1"/>
  <c r="V782" i="2" s="1"/>
  <c r="V783" i="2" a="1"/>
  <c r="V783" i="2" s="1"/>
  <c r="V784" i="2" s="1" a="1"/>
  <c r="V784" i="2" s="1"/>
  <c r="V785" i="2" a="1"/>
  <c r="V785" i="2" s="1"/>
  <c r="V786" i="2" s="1" a="1"/>
  <c r="V786" i="2" s="1"/>
  <c r="V787" i="2" a="1"/>
  <c r="V787" i="2" s="1"/>
  <c r="V788" i="2" a="1"/>
  <c r="V788" i="2" s="1"/>
  <c r="V789" i="2" s="1" a="1"/>
  <c r="V789" i="2" s="1"/>
  <c r="V790" i="2" a="1"/>
  <c r="V790" i="2" s="1"/>
  <c r="V791" i="2" s="1" a="1"/>
  <c r="V791" i="2" s="1"/>
  <c r="V792" i="2" s="1" a="1"/>
  <c r="V792" i="2" s="1"/>
  <c r="V793" i="2" s="1" a="1"/>
  <c r="V793" i="2" s="1"/>
  <c r="V794" i="2" s="1" a="1"/>
  <c r="V794" i="2" s="1"/>
  <c r="V795" i="2" a="1"/>
  <c r="V795" i="2" s="1"/>
  <c r="V796" i="2" a="1"/>
  <c r="V796" i="2" s="1"/>
  <c r="V797" i="2" s="1" a="1"/>
  <c r="V797" i="2" s="1"/>
  <c r="V798" i="2" a="1"/>
  <c r="V798" i="2" s="1"/>
  <c r="V799" i="2" s="1" a="1"/>
  <c r="V799" i="2" s="1"/>
  <c r="V800" i="2" s="1" a="1"/>
  <c r="V800" i="2" s="1"/>
  <c r="V801" i="2" s="1" a="1"/>
  <c r="V801" i="2" s="1"/>
  <c r="V802" i="2" s="1" a="1"/>
  <c r="V802" i="2" s="1"/>
  <c r="V803" i="2" s="1" a="1"/>
  <c r="V803" i="2" s="1"/>
  <c r="V804" i="2" a="1"/>
  <c r="V804" i="2" s="1"/>
  <c r="V805" i="2" a="1"/>
  <c r="V805" i="2" s="1"/>
  <c r="V806" i="2" a="1"/>
  <c r="V806" i="2" s="1"/>
  <c r="V807" i="2" a="1"/>
  <c r="V807" i="2" s="1"/>
  <c r="V808" i="2" s="1" a="1"/>
  <c r="V808" i="2" s="1"/>
  <c r="V809" i="2" s="1" a="1"/>
  <c r="V809" i="2" s="1"/>
  <c r="V810" i="2" s="1" a="1"/>
  <c r="V810" i="2" s="1"/>
  <c r="V811" i="2" s="1" a="1"/>
  <c r="V811" i="2" s="1"/>
  <c r="V812" i="2" s="1" a="1"/>
  <c r="V812" i="2" s="1"/>
  <c r="V813" i="2" s="1" a="1"/>
  <c r="V813" i="2" s="1"/>
  <c r="V814" i="2" s="1" a="1"/>
  <c r="V814" i="2" s="1"/>
  <c r="V815" i="2" s="1" a="1"/>
  <c r="V815" i="2" s="1"/>
  <c r="V816" i="2" a="1"/>
  <c r="V816" i="2" s="1"/>
  <c r="V817" i="2" a="1"/>
  <c r="V817" i="2" s="1"/>
  <c r="V818" i="2" s="1" a="1"/>
  <c r="V818" i="2" s="1"/>
  <c r="V819" i="2" a="1"/>
  <c r="V819" i="2" s="1"/>
  <c r="V820" i="2" s="1" a="1"/>
  <c r="V820" i="2" s="1"/>
  <c r="V821" i="2" a="1"/>
  <c r="V821" i="2" s="1"/>
  <c r="V822" i="2" a="1"/>
  <c r="V822" i="2" s="1"/>
  <c r="V823" i="2" s="1" a="1"/>
  <c r="V823" i="2" s="1"/>
  <c r="V824" i="2" a="1"/>
  <c r="V824" i="2" s="1"/>
  <c r="V825" i="2" s="1" a="1"/>
  <c r="V825" i="2" s="1"/>
  <c r="V826" i="2" a="1"/>
  <c r="V826" i="2" s="1"/>
  <c r="V827" i="2" a="1"/>
  <c r="V827" i="2" s="1"/>
  <c r="V828" i="2" s="1" a="1"/>
  <c r="V828" i="2" s="1"/>
  <c r="V829" i="2" a="1"/>
  <c r="V829" i="2" s="1"/>
  <c r="V830" i="2" s="1" a="1"/>
  <c r="V830" i="2" s="1"/>
  <c r="V831" i="2" s="1" a="1"/>
  <c r="V831" i="2" s="1"/>
  <c r="V832" i="2" a="1"/>
  <c r="V832" i="2" s="1"/>
  <c r="V833" i="2" a="1"/>
  <c r="V833" i="2" s="1"/>
  <c r="V834" i="2" s="1" a="1"/>
  <c r="V834" i="2" s="1"/>
  <c r="V835" i="2" a="1"/>
  <c r="V835" i="2" s="1"/>
  <c r="V836" i="2" s="1" a="1"/>
  <c r="V836" i="2" s="1"/>
  <c r="V837" i="2" s="1" a="1"/>
  <c r="V837" i="2" s="1"/>
  <c r="V838" i="2" a="1"/>
  <c r="V838" i="2" s="1"/>
  <c r="V839" i="2" a="1"/>
  <c r="V839" i="2" s="1"/>
  <c r="V840" i="2" s="1" a="1"/>
  <c r="V840" i="2" s="1"/>
  <c r="V841" i="2" a="1"/>
  <c r="V841" i="2" s="1"/>
  <c r="V842" i="2" a="1"/>
  <c r="V842" i="2" s="1"/>
  <c r="V843" i="2" a="1"/>
  <c r="V843" i="2" s="1"/>
  <c r="V844" i="2" a="1"/>
  <c r="V844" i="2" s="1"/>
  <c r="V845" i="2" a="1"/>
  <c r="V845" i="2" s="1"/>
  <c r="V846" i="2" a="1"/>
  <c r="V846" i="2" s="1"/>
  <c r="V847" i="2" s="1" a="1"/>
  <c r="V847" i="2" s="1"/>
  <c r="V848" i="2" s="1" a="1"/>
  <c r="V848" i="2" s="1"/>
  <c r="V849" i="2" s="1" a="1"/>
  <c r="V849" i="2" s="1"/>
  <c r="V850" i="2" s="1" a="1"/>
  <c r="V850" i="2" s="1"/>
  <c r="V851" i="2" s="1" a="1"/>
  <c r="V851" i="2" s="1"/>
  <c r="V852" i="2" s="1" a="1"/>
  <c r="V852" i="2" s="1"/>
  <c r="V853" i="2" s="1" a="1"/>
  <c r="V853" i="2" s="1"/>
  <c r="V854" i="2" s="1" a="1"/>
  <c r="V854" i="2" s="1"/>
  <c r="V855" i="2" a="1"/>
  <c r="V855" i="2" s="1"/>
  <c r="V856" i="2" a="1"/>
  <c r="V856" i="2" s="1"/>
  <c r="V857" i="2" a="1"/>
  <c r="V857" i="2" s="1"/>
  <c r="V858" i="2" a="1"/>
  <c r="V858" i="2" s="1"/>
  <c r="V859" i="2" a="1"/>
  <c r="V859" i="2" s="1"/>
  <c r="V860" i="2" a="1"/>
  <c r="V860" i="2" s="1"/>
  <c r="V861" i="2" a="1"/>
  <c r="V861" i="2" s="1"/>
  <c r="V862" i="2" a="1"/>
  <c r="V862" i="2" s="1"/>
  <c r="V863" i="2" s="1" a="1"/>
  <c r="V863" i="2" s="1"/>
  <c r="V864" i="2" s="1" a="1"/>
  <c r="V864" i="2" s="1"/>
  <c r="V865" i="2" s="1" a="1"/>
  <c r="V865" i="2" s="1"/>
  <c r="V866" i="2" s="1" a="1"/>
  <c r="V866" i="2" s="1"/>
  <c r="V867" i="2" s="1" a="1"/>
  <c r="V867" i="2" s="1"/>
  <c r="V868" i="2" s="1" a="1"/>
  <c r="V868" i="2" s="1"/>
  <c r="V869" i="2" s="1" a="1"/>
  <c r="V869" i="2" s="1"/>
  <c r="V870" i="2" a="1"/>
  <c r="V870" i="2" s="1"/>
  <c r="V871" i="2" a="1"/>
  <c r="V871" i="2" s="1"/>
  <c r="V872" i="2" a="1"/>
  <c r="V872" i="2" s="1"/>
  <c r="V873" i="2" s="1" a="1"/>
  <c r="V873" i="2" s="1"/>
  <c r="V874" i="2" a="1"/>
  <c r="V874" i="2" s="1"/>
  <c r="V875" i="2" a="1"/>
  <c r="V875" i="2" s="1"/>
  <c r="V876" i="2" a="1"/>
  <c r="V876" i="2" s="1"/>
  <c r="V877" i="2" s="1" a="1"/>
  <c r="V877" i="2" s="1"/>
  <c r="V878" i="2" a="1"/>
  <c r="V878" i="2" s="1"/>
  <c r="V879" i="2" s="1" a="1"/>
  <c r="V879" i="2" s="1"/>
  <c r="V880" i="2" s="1" a="1"/>
  <c r="V880" i="2" s="1"/>
  <c r="V881" i="2" a="1"/>
  <c r="V881" i="2" s="1"/>
  <c r="V882" i="2" a="1"/>
  <c r="V882" i="2" s="1"/>
  <c r="V883" i="2" a="1"/>
  <c r="V883" i="2" s="1"/>
  <c r="V884" i="2" a="1"/>
  <c r="V884" i="2" s="1"/>
  <c r="V885" i="2" s="1" a="1"/>
  <c r="V885" i="2" s="1"/>
  <c r="V886" i="2" s="1" a="1"/>
  <c r="V886" i="2" s="1"/>
  <c r="V887" i="2" s="1" a="1"/>
  <c r="V887" i="2" s="1"/>
  <c r="V888" i="2" s="1" a="1"/>
  <c r="V888" i="2" s="1"/>
  <c r="V889" i="2" s="1" a="1"/>
  <c r="V889" i="2" s="1"/>
  <c r="V890" i="2" s="1" a="1"/>
  <c r="V890" i="2" s="1"/>
  <c r="V891" i="2" s="1" a="1"/>
  <c r="V891" i="2" s="1"/>
  <c r="V892" i="2" a="1"/>
  <c r="V892" i="2" s="1"/>
  <c r="V893" i="2" a="1"/>
  <c r="V893" i="2" s="1"/>
  <c r="V894" i="2" s="1" a="1"/>
  <c r="V894" i="2" s="1"/>
  <c r="V895" i="2" a="1"/>
  <c r="V895" i="2" s="1"/>
  <c r="V896" i="2" a="1"/>
  <c r="V896" i="2" s="1"/>
  <c r="V897" i="2" a="1"/>
  <c r="V897" i="2" s="1"/>
  <c r="V898" i="2" s="1" a="1"/>
  <c r="V898" i="2" s="1"/>
  <c r="V899" i="2" a="1"/>
  <c r="V899" i="2" s="1"/>
  <c r="V900" i="2" s="1" a="1"/>
  <c r="V900" i="2" s="1"/>
  <c r="V901" i="2" a="1"/>
  <c r="V901" i="2" s="1"/>
  <c r="V902" i="2" a="1"/>
  <c r="V902" i="2" s="1"/>
  <c r="V903" i="2" s="1" a="1"/>
  <c r="V903" i="2" s="1"/>
  <c r="V904" i="2" a="1"/>
  <c r="V904" i="2" s="1"/>
  <c r="V905" i="2" s="1" a="1"/>
  <c r="V905" i="2" s="1"/>
  <c r="V906" i="2" a="1"/>
  <c r="V906" i="2" s="1"/>
  <c r="V907" i="2" a="1"/>
  <c r="V907" i="2" s="1"/>
  <c r="V908" i="2" s="1" a="1"/>
  <c r="V908" i="2" s="1"/>
  <c r="V909" i="2" a="1"/>
  <c r="V909" i="2" s="1"/>
  <c r="V910" i="2" s="1" a="1"/>
  <c r="V910" i="2" s="1"/>
  <c r="V911" i="2" a="1"/>
  <c r="V911" i="2" s="1"/>
  <c r="V912" i="2" a="1"/>
  <c r="V912" i="2" s="1"/>
  <c r="V913" i="2" s="1" a="1"/>
  <c r="V913" i="2" s="1"/>
  <c r="V914" i="2" a="1"/>
  <c r="V914" i="2" s="1"/>
  <c r="V915" i="2" s="1" a="1"/>
  <c r="V915" i="2" s="1"/>
  <c r="V916" i="2" a="1"/>
  <c r="V916" i="2" s="1"/>
  <c r="V917" i="2" a="1"/>
  <c r="V917" i="2" s="1"/>
  <c r="V918" i="2" s="1" a="1"/>
  <c r="V918" i="2" s="1"/>
  <c r="V919" i="2" a="1"/>
  <c r="V919" i="2" s="1"/>
  <c r="V920" i="2" a="1"/>
  <c r="V920" i="2" s="1"/>
  <c r="V921" i="2" a="1"/>
  <c r="V921" i="2" s="1"/>
  <c r="V922" i="2" s="1" a="1"/>
  <c r="V922" i="2" s="1"/>
  <c r="V923" i="2" a="1"/>
  <c r="V923" i="2" s="1"/>
  <c r="V924" i="2" a="1"/>
  <c r="V924" i="2" s="1"/>
  <c r="V925" i="2" a="1"/>
  <c r="V925" i="2" s="1"/>
  <c r="V926" i="2" s="1" a="1"/>
  <c r="V926" i="2" s="1"/>
  <c r="V927" i="2" a="1"/>
  <c r="V927" i="2" s="1"/>
  <c r="V928" i="2" s="1" a="1"/>
  <c r="V928" i="2" s="1"/>
  <c r="V929" i="2" a="1"/>
  <c r="V929" i="2" s="1"/>
  <c r="V930" i="2" a="1"/>
  <c r="V930" i="2" s="1"/>
  <c r="V931" i="2" s="1" a="1"/>
  <c r="V931" i="2" s="1"/>
  <c r="V932" i="2" a="1"/>
  <c r="V932" i="2" s="1"/>
  <c r="V933" i="2" s="1" a="1"/>
  <c r="V933" i="2" s="1"/>
  <c r="V934" i="2" a="1"/>
  <c r="V934" i="2" s="1"/>
  <c r="V935" i="2" a="1"/>
  <c r="V935" i="2" s="1"/>
  <c r="V936" i="2" s="1" a="1"/>
  <c r="V936" i="2" s="1"/>
  <c r="V937" i="2" a="1"/>
  <c r="V937" i="2" s="1"/>
  <c r="V938" i="2" a="1"/>
  <c r="V938" i="2" s="1"/>
  <c r="V939" i="2" a="1"/>
  <c r="V939" i="2" s="1"/>
  <c r="V940" i="2" s="1" a="1"/>
  <c r="V940" i="2" s="1"/>
  <c r="V941" i="2" a="1"/>
  <c r="V941" i="2" s="1"/>
  <c r="V942" i="2" s="1" a="1"/>
  <c r="V942" i="2" s="1"/>
  <c r="V943" i="2" a="1"/>
  <c r="V943" i="2" s="1"/>
  <c r="V944" i="2" a="1"/>
  <c r="V944" i="2" s="1"/>
  <c r="V945" i="2" s="1" a="1"/>
  <c r="V945" i="2" s="1"/>
  <c r="V946" i="2" a="1"/>
  <c r="V946" i="2" s="1"/>
  <c r="V947" i="2" s="1" a="1"/>
  <c r="V947" i="2" s="1"/>
  <c r="V948" i="2" a="1"/>
  <c r="V948" i="2" s="1"/>
  <c r="V949" i="2" a="1"/>
  <c r="V949" i="2" s="1"/>
  <c r="V950" i="2" s="1" a="1"/>
  <c r="V950" i="2" s="1"/>
  <c r="V951" i="2" a="1"/>
  <c r="V951" i="2" s="1"/>
  <c r="V952" i="2" a="1"/>
  <c r="V952" i="2" s="1"/>
  <c r="V953" i="2" a="1"/>
  <c r="V953" i="2" s="1"/>
  <c r="V954" i="2" s="1" a="1"/>
  <c r="V954" i="2" s="1"/>
  <c r="V955" i="2" a="1"/>
  <c r="V955" i="2" s="1"/>
  <c r="V956" i="2" a="1"/>
  <c r="V956" i="2" s="1"/>
  <c r="V957" i="2" a="1"/>
  <c r="V957" i="2" s="1"/>
  <c r="V958" i="2" s="1" a="1"/>
  <c r="V958" i="2" s="1"/>
  <c r="V959" i="2" a="1"/>
  <c r="V959" i="2" s="1"/>
  <c r="V960" i="2" a="1"/>
  <c r="V960" i="2" s="1"/>
  <c r="V961" i="2" a="1"/>
  <c r="V961" i="2" s="1"/>
  <c r="V962" i="2" s="1" a="1"/>
  <c r="V962" i="2" s="1"/>
  <c r="V963" i="2" a="1"/>
  <c r="V963" i="2" s="1"/>
  <c r="V964" i="2" a="1"/>
  <c r="V964" i="2" s="1"/>
  <c r="V965" i="2" a="1"/>
  <c r="V965" i="2" s="1"/>
  <c r="V966" i="2" s="1" a="1"/>
  <c r="V966" i="2" s="1"/>
  <c r="V967" i="2" a="1"/>
  <c r="V967" i="2" s="1"/>
  <c r="V968" i="2" a="1"/>
  <c r="V968" i="2" s="1"/>
  <c r="V969" i="2" a="1"/>
  <c r="V969" i="2" s="1"/>
  <c r="V970" i="2" s="1" a="1"/>
  <c r="V970" i="2" s="1"/>
  <c r="V971" i="2" a="1"/>
  <c r="V971" i="2" s="1"/>
  <c r="V972" i="2" s="1" a="1"/>
  <c r="V972" i="2" s="1"/>
  <c r="V973" i="2" a="1"/>
  <c r="V973" i="2" s="1"/>
  <c r="V974" i="2" a="1"/>
  <c r="V974" i="2" s="1"/>
  <c r="V975" i="2" s="1" a="1"/>
  <c r="V975" i="2" s="1"/>
  <c r="V976" i="2" a="1"/>
  <c r="V976" i="2" s="1"/>
  <c r="V977" i="2" a="1"/>
  <c r="V977" i="2" s="1"/>
  <c r="V978" i="2" a="1"/>
  <c r="V978" i="2" s="1"/>
  <c r="V979" i="2" s="1" a="1"/>
  <c r="V979" i="2" s="1"/>
  <c r="V980" i="2" a="1"/>
  <c r="V980" i="2" s="1"/>
  <c r="V981" i="2" a="1"/>
  <c r="V981" i="2" s="1"/>
  <c r="V982" i="2" a="1"/>
  <c r="V982" i="2" s="1"/>
  <c r="V983" i="2" s="1" a="1"/>
  <c r="V983" i="2" s="1"/>
  <c r="V984" i="2" a="1"/>
  <c r="V984" i="2" s="1"/>
  <c r="V985" i="2" a="1"/>
  <c r="V985" i="2" s="1"/>
  <c r="V986" i="2" a="1"/>
  <c r="V986" i="2" s="1"/>
  <c r="V987" i="2" s="1" a="1"/>
  <c r="V987" i="2" s="1"/>
  <c r="V988" i="2" a="1"/>
  <c r="V988" i="2" s="1"/>
  <c r="V989" i="2" a="1"/>
  <c r="V989" i="2" s="1"/>
  <c r="V990" i="2" a="1"/>
  <c r="V990" i="2" s="1"/>
  <c r="V991" i="2" s="1" a="1"/>
  <c r="V991" i="2" s="1"/>
  <c r="V992" i="2" a="1"/>
  <c r="V992" i="2" s="1"/>
  <c r="V993" i="2" s="1" a="1"/>
  <c r="V993" i="2" s="1"/>
  <c r="V994" i="2" s="1" a="1"/>
  <c r="V994" i="2" s="1"/>
  <c r="V995" i="2" s="1" a="1"/>
  <c r="V995" i="2" s="1"/>
  <c r="V996" i="2" a="1"/>
  <c r="V996" i="2" s="1"/>
  <c r="V997" i="2" a="1"/>
  <c r="V997" i="2" s="1"/>
  <c r="V998" i="2" s="1" a="1"/>
  <c r="V998" i="2" s="1"/>
  <c r="V999" i="2" a="1"/>
  <c r="V999" i="2" s="1"/>
  <c r="V1000" i="2" a="1"/>
  <c r="V1000" i="2" s="1"/>
  <c r="V1001" i="2" a="1"/>
  <c r="V1001" i="2" s="1"/>
  <c r="V1002" i="2" s="1" a="1"/>
  <c r="V1002" i="2" s="1"/>
  <c r="V1003" i="2" a="1"/>
  <c r="V1003" i="2" s="1"/>
  <c r="V1004" i="2" s="1" a="1"/>
  <c r="V1004" i="2" s="1"/>
  <c r="V1005" i="2" a="1"/>
  <c r="V1005" i="2" s="1"/>
  <c r="V1006" i="2" a="1"/>
  <c r="V1006" i="2" s="1"/>
  <c r="V1007" i="2" s="1" a="1"/>
  <c r="V1007" i="2" s="1"/>
  <c r="V1008" i="2" a="1"/>
  <c r="V1008" i="2" s="1"/>
  <c r="V1009" i="2" a="1"/>
  <c r="V1009" i="2" s="1"/>
  <c r="V1010" i="2" a="1"/>
  <c r="V1010" i="2" s="1"/>
  <c r="V1011" i="2" s="1" a="1"/>
  <c r="V1011" i="2" s="1"/>
  <c r="V1012" i="2" a="1"/>
  <c r="V1012" i="2" s="1"/>
  <c r="V1013" i="2" s="1" a="1"/>
  <c r="V1013" i="2" s="1"/>
  <c r="V1014" i="2" s="1" a="1"/>
  <c r="V1014" i="2" s="1"/>
  <c r="V1015" i="2" a="1"/>
  <c r="V1015" i="2" s="1"/>
  <c r="V1016" i="2" a="1"/>
  <c r="V1016" i="2" s="1"/>
  <c r="V1017" i="2" s="1" a="1"/>
  <c r="V1017" i="2" s="1"/>
  <c r="V1018" i="2" a="1"/>
  <c r="V1018" i="2" s="1"/>
  <c r="V1019" i="2" a="1"/>
  <c r="V1019" i="2" s="1"/>
  <c r="V1020" i="2" a="1"/>
  <c r="V1020" i="2" s="1"/>
  <c r="V1021" i="2" s="1" a="1"/>
  <c r="V1021" i="2" s="1"/>
  <c r="V1022" i="2" a="1"/>
  <c r="V1022" i="2" s="1"/>
  <c r="V1023" i="2" s="1" a="1"/>
  <c r="V1023" i="2" s="1"/>
  <c r="V1024" i="2" a="1"/>
  <c r="V1024" i="2" s="1"/>
  <c r="V1025" i="2" a="1"/>
  <c r="V1025" i="2" s="1"/>
  <c r="V1026" i="2" a="1"/>
  <c r="V1026" i="2" s="1"/>
  <c r="V1027" i="2" a="1"/>
  <c r="V1027" i="2" s="1"/>
  <c r="V1028" i="2" a="1"/>
  <c r="V1028" i="2" s="1"/>
  <c r="V1029" i="2" a="1"/>
  <c r="V1029" i="2" s="1"/>
  <c r="V1030" i="2" a="1"/>
  <c r="V1030" i="2" s="1"/>
  <c r="V1031" i="2" a="1"/>
  <c r="V1031" i="2" s="1"/>
  <c r="V1032" i="2" a="1"/>
  <c r="V1032" i="2" s="1"/>
  <c r="V1033" i="2" s="1" a="1"/>
  <c r="V1033" i="2" s="1"/>
  <c r="V1034" i="2" s="1" a="1"/>
  <c r="V1034" i="2" s="1"/>
  <c r="V1035" i="2" s="1" a="1"/>
  <c r="V1035" i="2" s="1"/>
  <c r="V1036" i="2" s="1" a="1"/>
  <c r="V1036" i="2" s="1"/>
  <c r="V1037" i="2" s="1" a="1"/>
  <c r="V1037" i="2" s="1"/>
  <c r="V1038" i="2" s="1" a="1"/>
  <c r="V1038" i="2" s="1"/>
  <c r="V1039" i="2" a="1"/>
  <c r="V1039" i="2" s="1"/>
  <c r="V1040" i="2" s="1" a="1"/>
  <c r="V1040" i="2" s="1"/>
  <c r="V1041" i="2" a="1"/>
  <c r="V1041" i="2" s="1"/>
  <c r="V1042" i="2" a="1"/>
  <c r="V1042" i="2" s="1"/>
  <c r="V1043" i="2" s="1" a="1"/>
  <c r="V1043" i="2" s="1"/>
  <c r="V1044" i="2" a="1"/>
  <c r="V1044" i="2" s="1"/>
  <c r="V1045" i="2" a="1"/>
  <c r="V1045" i="2" s="1"/>
  <c r="V1046" i="2" a="1"/>
  <c r="V1046" i="2" s="1"/>
  <c r="V1047" i="2" s="1" a="1"/>
  <c r="V1047" i="2" s="1"/>
  <c r="V1048" i="2" a="1"/>
  <c r="V1048" i="2" s="1"/>
  <c r="V1049" i="2" a="1"/>
  <c r="V1049" i="2" s="1"/>
  <c r="V1050" i="2" a="1"/>
  <c r="V1050" i="2" s="1"/>
  <c r="V1051" i="2" s="1" a="1"/>
  <c r="V1051" i="2" s="1"/>
  <c r="V1052" i="2" a="1"/>
  <c r="V1052" i="2" s="1"/>
  <c r="V1053" i="2" a="1"/>
  <c r="V1053" i="2" s="1"/>
  <c r="V1054" i="2" a="1"/>
  <c r="V1054" i="2" s="1"/>
  <c r="V1055" i="2" s="1" a="1"/>
  <c r="V1055" i="2" s="1"/>
  <c r="V1056" i="2" a="1"/>
  <c r="V1056" i="2" s="1"/>
  <c r="V1057" i="2" a="1"/>
  <c r="V1057" i="2" s="1"/>
  <c r="V1058" i="2" a="1"/>
  <c r="V1058" i="2" s="1"/>
  <c r="V1059" i="2" s="1" a="1"/>
  <c r="V1059" i="2" s="1"/>
  <c r="V1060" i="2" a="1"/>
  <c r="V1060" i="2" s="1"/>
  <c r="V1061" i="2" a="1"/>
  <c r="V1061" i="2" s="1"/>
  <c r="V1062" i="2" a="1"/>
  <c r="V1062" i="2" s="1"/>
  <c r="V1063" i="2" s="1" a="1"/>
  <c r="V1063" i="2" s="1"/>
  <c r="V1064" i="2" a="1"/>
  <c r="V1064" i="2" s="1"/>
  <c r="V1065" i="2" s="1" a="1"/>
  <c r="V1065" i="2" s="1"/>
  <c r="V1066" i="2" a="1"/>
  <c r="V1066" i="2" s="1"/>
  <c r="V1067" i="2" a="1"/>
  <c r="V1067" i="2" s="1"/>
  <c r="V1068" i="2" s="1" a="1"/>
  <c r="V1068" i="2" s="1"/>
  <c r="V1069" i="2" a="1"/>
  <c r="V1069" i="2" s="1"/>
  <c r="V1070" i="2" s="1" a="1"/>
  <c r="V1070" i="2" s="1"/>
  <c r="V1071" i="2" a="1"/>
  <c r="V1071" i="2" s="1"/>
  <c r="V1072" i="2" a="1"/>
  <c r="V1072" i="2" s="1"/>
  <c r="V1073" i="2" s="1" a="1"/>
  <c r="V1073" i="2" s="1"/>
  <c r="V1074" i="2" a="1"/>
  <c r="V1074" i="2" s="1"/>
  <c r="V1075" i="2" a="1"/>
  <c r="V1075" i="2" s="1"/>
  <c r="V1076" i="2" a="1"/>
  <c r="V1076" i="2" s="1"/>
  <c r="V1077" i="2" s="1" a="1"/>
  <c r="V1077" i="2" s="1"/>
  <c r="V1078" i="2" a="1"/>
  <c r="V1078" i="2" s="1"/>
  <c r="V1079" i="2" a="1"/>
  <c r="V1079" i="2" s="1"/>
  <c r="V1080" i="2" a="1"/>
  <c r="V1080" i="2" s="1"/>
  <c r="V1081" i="2" s="1" a="1"/>
  <c r="V1081" i="2" s="1"/>
  <c r="V1082" i="2" a="1"/>
  <c r="V1082" i="2" s="1"/>
  <c r="V1083" i="2" s="1" a="1"/>
  <c r="V1083" i="2" s="1"/>
  <c r="V1084" i="2" s="1" a="1"/>
  <c r="V1084" i="2" s="1"/>
  <c r="V1085" i="2" a="1"/>
  <c r="V1085" i="2" s="1"/>
  <c r="V1086" i="2" a="1"/>
  <c r="V1086" i="2" s="1"/>
  <c r="V1087" i="2" s="1" a="1"/>
  <c r="V1087" i="2" s="1"/>
  <c r="V1088" i="2" a="1"/>
  <c r="V1088" i="2" s="1"/>
  <c r="V1089" i="2" a="1"/>
  <c r="V1089" i="2" s="1"/>
  <c r="V1090" i="2" a="1"/>
  <c r="V1090" i="2" s="1"/>
  <c r="V1091" i="2" s="1" a="1"/>
  <c r="V1091" i="2" s="1"/>
  <c r="V1092" i="2" a="1"/>
  <c r="V1092" i="2" s="1"/>
  <c r="V1093" i="2" s="1" a="1"/>
  <c r="V1093" i="2" s="1"/>
  <c r="V1094" i="2" a="1"/>
  <c r="V1094" i="2" s="1"/>
  <c r="V1095" i="2" a="1"/>
  <c r="V1095" i="2" s="1"/>
  <c r="V1096" i="2" s="1" a="1"/>
  <c r="V1096" i="2" s="1"/>
  <c r="V1097" i="2" a="1"/>
  <c r="V1097" i="2" s="1"/>
  <c r="V1098" i="2" a="1"/>
  <c r="V1098" i="2" s="1"/>
  <c r="V1099" i="2" a="1"/>
  <c r="V1099" i="2" s="1"/>
  <c r="V1100" i="2" s="1" a="1"/>
  <c r="V1100" i="2" s="1"/>
  <c r="V1101" i="2" a="1"/>
  <c r="V1101" i="2" s="1"/>
  <c r="V1102" i="2" a="1"/>
  <c r="V1102" i="2" s="1"/>
  <c r="V1103" i="2" a="1"/>
  <c r="V1103" i="2" s="1"/>
  <c r="V1104" i="2" s="1" a="1"/>
  <c r="V1104" i="2" s="1"/>
  <c r="V1105" i="2" a="1"/>
  <c r="V1105" i="2" s="1"/>
  <c r="V1106" i="2" a="1"/>
  <c r="V1106" i="2" s="1"/>
  <c r="V1107" i="2" a="1"/>
  <c r="V1107" i="2" s="1"/>
  <c r="V1108" i="2" s="1" a="1"/>
  <c r="V1108" i="2" s="1"/>
  <c r="V1109" i="2" a="1"/>
  <c r="V1109" i="2" s="1"/>
  <c r="V1110" i="2" a="1"/>
  <c r="V1110" i="2" s="1"/>
  <c r="V1111" i="2" a="1"/>
  <c r="V1111" i="2" s="1"/>
  <c r="V1112" i="2" s="1" a="1"/>
  <c r="V1112" i="2" s="1"/>
  <c r="V1113" i="2" a="1"/>
  <c r="V1113" i="2" s="1"/>
  <c r="V1114" i="2" a="1"/>
  <c r="V1114" i="2" s="1"/>
  <c r="V1115" i="2" a="1"/>
  <c r="V1115" i="2" s="1"/>
  <c r="V1116" i="2" s="1" a="1"/>
  <c r="V1116" i="2" s="1"/>
  <c r="V1117" i="2" a="1"/>
  <c r="V1117" i="2" s="1"/>
  <c r="V1118" i="2" a="1"/>
  <c r="V1118" i="2" s="1"/>
  <c r="V1119" i="2" a="1"/>
  <c r="V1119" i="2" s="1"/>
  <c r="V1120" i="2" s="1" a="1"/>
  <c r="V1120" i="2" s="1"/>
  <c r="V1121" i="2" a="1"/>
  <c r="V1121" i="2" s="1"/>
  <c r="V1122" i="2" s="1" a="1"/>
  <c r="V1122" i="2" s="1"/>
  <c r="V1123" i="2" a="1"/>
  <c r="V1123" i="2" s="1"/>
  <c r="V1124" i="2" a="1"/>
  <c r="V1124" i="2" s="1"/>
  <c r="V1125" i="2" s="1" a="1"/>
  <c r="V1125" i="2" s="1"/>
  <c r="V1126" i="2" a="1"/>
  <c r="V1126" i="2" s="1"/>
  <c r="V1127" i="2" s="1" a="1"/>
  <c r="V1127" i="2" s="1"/>
  <c r="V1128" i="2" a="1"/>
  <c r="V1128" i="2" s="1"/>
  <c r="V1129" i="2" a="1"/>
  <c r="V1129" i="2" s="1"/>
  <c r="V1130" i="2" s="1" a="1"/>
  <c r="V1130" i="2" s="1"/>
  <c r="V1131" i="2" a="1"/>
  <c r="V1131" i="2" s="1"/>
  <c r="V1132" i="2" a="1"/>
  <c r="V1132" i="2" s="1"/>
  <c r="V1133" i="2" a="1"/>
  <c r="V1133" i="2" s="1"/>
  <c r="V1134" i="2" s="1" a="1"/>
  <c r="V1134" i="2" s="1"/>
  <c r="V1135" i="2" a="1"/>
  <c r="V1135" i="2" s="1"/>
  <c r="V1136" i="2" a="1"/>
  <c r="V1136" i="2" s="1"/>
  <c r="V1137" i="2" a="1"/>
  <c r="V1137" i="2" s="1"/>
  <c r="V1138" i="2" s="1" a="1"/>
  <c r="V1138" i="2" s="1"/>
  <c r="V1139" i="2" a="1"/>
  <c r="V1139" i="2" s="1"/>
  <c r="V1140" i="2" a="1"/>
  <c r="V1140" i="2" s="1"/>
  <c r="V1141" i="2" a="1"/>
  <c r="V1141" i="2" s="1"/>
  <c r="V1142" i="2" s="1" a="1"/>
  <c r="V1142" i="2" s="1"/>
  <c r="V1143" i="2" a="1"/>
  <c r="V1143" i="2" s="1"/>
  <c r="V1144" i="2" a="1"/>
  <c r="V1144" i="2" s="1"/>
  <c r="V1145" i="2" a="1"/>
  <c r="V1145" i="2" s="1"/>
  <c r="V1146" i="2" s="1" a="1"/>
  <c r="V1146" i="2" s="1"/>
  <c r="V1147" i="2" a="1"/>
  <c r="V1147" i="2" s="1"/>
  <c r="V1148" i="2" a="1"/>
  <c r="V1148" i="2" s="1"/>
  <c r="V1149" i="2" a="1"/>
  <c r="V1149" i="2" s="1"/>
  <c r="V1150" i="2" s="1" a="1"/>
  <c r="V1150" i="2" s="1"/>
  <c r="V1151" i="2" a="1"/>
  <c r="V1151" i="2" s="1"/>
  <c r="V1152" i="2" a="1"/>
  <c r="V1152" i="2" s="1"/>
  <c r="V1153" i="2" a="1"/>
  <c r="V1153" i="2" s="1"/>
  <c r="V1154" i="2" s="1" a="1"/>
  <c r="V1154" i="2" s="1"/>
  <c r="V1155" i="2" a="1"/>
  <c r="V1155" i="2" s="1"/>
  <c r="V1156" i="2" s="1" a="1"/>
  <c r="V1156" i="2" s="1"/>
  <c r="V1157" i="2" a="1"/>
  <c r="V1157" i="2" s="1"/>
  <c r="V1158" i="2" a="1"/>
  <c r="V1158" i="2" s="1"/>
  <c r="V1159" i="2" s="1" a="1"/>
  <c r="V1159" i="2" s="1"/>
  <c r="V1160" i="2" a="1"/>
  <c r="V1160" i="2" s="1"/>
  <c r="V1161" i="2" a="1"/>
  <c r="V1161" i="2" s="1"/>
  <c r="V1162" i="2" a="1"/>
  <c r="V1162" i="2" s="1"/>
  <c r="V1163" i="2" s="1" a="1"/>
  <c r="V1163" i="2" s="1"/>
  <c r="V1164" i="2" a="1"/>
  <c r="V1164" i="2" s="1"/>
  <c r="V1165" i="2" s="1" a="1"/>
  <c r="V1165" i="2" s="1"/>
  <c r="V1166" i="2" a="1"/>
  <c r="V1166" i="2" s="1"/>
  <c r="V1167" i="2" a="1"/>
  <c r="V1167" i="2" s="1"/>
  <c r="V1168" i="2" s="1" a="1"/>
  <c r="V1168" i="2" s="1"/>
  <c r="V1169" i="2" a="1"/>
  <c r="V1169" i="2" s="1"/>
  <c r="V1170" i="2" a="1"/>
  <c r="V1170" i="2" s="1"/>
  <c r="V1171" i="2" a="1"/>
  <c r="V1171" i="2" s="1"/>
  <c r="V1172" i="2" s="1" a="1"/>
  <c r="V1172" i="2" s="1"/>
  <c r="V1173" i="2" a="1"/>
  <c r="V1173" i="2" s="1"/>
  <c r="V1174" i="2" s="1" a="1"/>
  <c r="V1174" i="2" s="1"/>
  <c r="V1175" i="2" a="1"/>
  <c r="V1175" i="2" s="1"/>
  <c r="V1176" i="2" a="1"/>
  <c r="V1176" i="2" s="1"/>
  <c r="V1177" i="2" a="1"/>
  <c r="V1177" i="2" s="1"/>
  <c r="V1178" i="2" a="1"/>
  <c r="V1178" i="2" s="1"/>
  <c r="V1179" i="2" s="1" a="1"/>
  <c r="V1179" i="2" s="1"/>
  <c r="V1180" i="2" s="1" a="1"/>
  <c r="V1180" i="2" s="1"/>
  <c r="V1181" i="2" s="1" a="1"/>
  <c r="V1181" i="2" s="1"/>
  <c r="V1182" i="2" s="1" a="1"/>
  <c r="V1182" i="2" s="1"/>
  <c r="V1183" i="2" s="1" a="1"/>
  <c r="V1183" i="2" s="1"/>
  <c r="V1184" i="2" s="1" a="1"/>
  <c r="V1184" i="2" s="1"/>
  <c r="V1185" i="2" s="1" a="1"/>
  <c r="V1185" i="2" s="1"/>
  <c r="V1186" i="2" s="1" a="1"/>
  <c r="V1186" i="2" s="1"/>
  <c r="V1187" i="2" a="1"/>
  <c r="V1187" i="2" s="1"/>
  <c r="V1188" i="2" a="1"/>
  <c r="V1188" i="2" s="1"/>
  <c r="V1189" i="2" s="1" a="1"/>
  <c r="V1189" i="2" s="1"/>
  <c r="V1190" i="2" a="1"/>
  <c r="V1190" i="2" s="1"/>
  <c r="V1191" i="2" a="1"/>
  <c r="V1191" i="2" s="1"/>
  <c r="V1192" i="2" a="1"/>
  <c r="V1192" i="2" s="1"/>
  <c r="V1193" i="2" a="1"/>
  <c r="V1193" i="2" s="1"/>
  <c r="V1194" i="2" a="1"/>
  <c r="V1194" i="2" s="1"/>
  <c r="V1195" i="2" a="1"/>
  <c r="V1195" i="2" s="1"/>
  <c r="V1196" i="2" a="1"/>
  <c r="V1196" i="2" s="1"/>
  <c r="V1197" i="2" a="1"/>
  <c r="V1197" i="2" s="1"/>
  <c r="V1198" i="2" a="1"/>
  <c r="V1198" i="2" s="1"/>
  <c r="V1199" i="2" s="1" a="1"/>
  <c r="V1199" i="2" s="1"/>
  <c r="V1200" i="2" s="1" a="1"/>
  <c r="V1200" i="2" s="1"/>
  <c r="V1201" i="2" s="1" a="1"/>
  <c r="V1201" i="2" s="1"/>
  <c r="V1202" i="2" s="1" a="1"/>
  <c r="V1202" i="2" s="1"/>
  <c r="V1203" i="2" s="1" a="1"/>
  <c r="V1203" i="2" s="1"/>
  <c r="V1204" i="2" s="1" a="1"/>
  <c r="V1204" i="2" s="1"/>
  <c r="V1205" i="2" s="1" a="1"/>
  <c r="V1205" i="2" s="1"/>
  <c r="V1206" i="2" a="1"/>
  <c r="V1206" i="2" s="1"/>
  <c r="V1207" i="2" a="1"/>
  <c r="V1207" i="2" s="1"/>
  <c r="V1208" i="2" a="1"/>
  <c r="V1208" i="2" s="1"/>
  <c r="V1209" i="2" s="1" a="1"/>
  <c r="V1209" i="2" s="1"/>
  <c r="V1210" i="2" a="1"/>
  <c r="V1210" i="2" s="1"/>
  <c r="V1211" i="2" a="1"/>
  <c r="V1211" i="2" s="1"/>
  <c r="V1212" i="2" a="1"/>
  <c r="V1212" i="2" s="1"/>
  <c r="V1213" i="2" s="1" a="1"/>
  <c r="V1213" i="2" s="1"/>
  <c r="V1214" i="2" a="1"/>
  <c r="V1214" i="2" s="1"/>
  <c r="V1215" i="2" s="1" a="1"/>
  <c r="V1215" i="2" s="1"/>
  <c r="V1216" i="2" a="1"/>
  <c r="V1216" i="2" s="1"/>
  <c r="V1217" i="2" a="1"/>
  <c r="V1217" i="2" s="1"/>
  <c r="V1218" i="2" s="1" a="1"/>
  <c r="V1218" i="2" s="1"/>
  <c r="V1219" i="2" a="1"/>
  <c r="V1219" i="2" s="1"/>
  <c r="V1220" i="2" s="1" a="1"/>
  <c r="V1220" i="2" s="1"/>
  <c r="V1221" i="2" a="1"/>
  <c r="V1221" i="2" s="1"/>
  <c r="V1222" i="2" a="1"/>
  <c r="V1222" i="2" s="1"/>
  <c r="V1223" i="2" s="1" a="1"/>
  <c r="V1223" i="2" s="1"/>
  <c r="V1224" i="2" a="1"/>
  <c r="V1224" i="2" s="1"/>
  <c r="V1225" i="2" a="1"/>
  <c r="V1225" i="2" s="1"/>
  <c r="V1226" i="2" a="1"/>
  <c r="V1226" i="2" s="1"/>
  <c r="V1227" i="2" s="1" a="1"/>
  <c r="V1227" i="2" s="1"/>
  <c r="V1228" i="2" a="1"/>
  <c r="V1228" i="2" s="1"/>
  <c r="V1229" i="2" s="1" a="1"/>
  <c r="V1229" i="2" s="1"/>
  <c r="V1230" i="2" a="1"/>
  <c r="V1230" i="2" s="1"/>
  <c r="V1231" i="2" a="1"/>
  <c r="V1231" i="2" s="1"/>
  <c r="V1232" i="2" s="1" a="1"/>
  <c r="V1232" i="2" s="1"/>
  <c r="V1233" i="2" a="1"/>
  <c r="V1233" i="2" s="1"/>
  <c r="V1234" i="2" s="1" a="1"/>
  <c r="V1234" i="2" s="1"/>
  <c r="V1235" i="2" s="1" a="1"/>
  <c r="V1235" i="2" s="1"/>
  <c r="V1236" i="2" a="1"/>
  <c r="V1236" i="2" s="1"/>
  <c r="V1237" i="2" a="1"/>
  <c r="V1237" i="2" s="1"/>
  <c r="V1238" i="2" s="1" a="1"/>
  <c r="V1238" i="2" s="1"/>
  <c r="V1239" i="2" a="1"/>
  <c r="V1239" i="2" s="1"/>
  <c r="V1240" i="2" a="1"/>
  <c r="V1240" i="2" s="1"/>
  <c r="V1241" i="2" a="1"/>
  <c r="V1241" i="2" s="1"/>
  <c r="V1242" i="2" s="1" a="1"/>
  <c r="V1242" i="2" s="1"/>
  <c r="V1243" i="2" a="1"/>
  <c r="V1243" i="2" s="1"/>
  <c r="V1244" i="2" s="1" a="1"/>
  <c r="V1244" i="2" s="1"/>
  <c r="V1245" i="2" a="1"/>
  <c r="V1245" i="2" s="1"/>
  <c r="V1246" i="2" a="1"/>
  <c r="V1246" i="2" s="1"/>
  <c r="V1247" i="2" s="1" a="1"/>
  <c r="V1247" i="2" s="1"/>
  <c r="V1248" i="2" a="1"/>
  <c r="V1248" i="2" s="1"/>
  <c r="V1249" i="2" s="1" a="1"/>
  <c r="V1249" i="2" s="1"/>
  <c r="V1250" i="2" a="1"/>
  <c r="V1250" i="2" s="1"/>
  <c r="V1251" i="2" a="1"/>
  <c r="V1251" i="2" s="1"/>
  <c r="V1252" i="2" s="1" a="1"/>
  <c r="V1252" i="2" s="1"/>
  <c r="V1253" i="2" a="1"/>
  <c r="V1253" i="2" s="1"/>
  <c r="V1254" i="2" s="1" a="1"/>
  <c r="V1254" i="2" s="1"/>
  <c r="V1255" i="2" a="1"/>
  <c r="V1255" i="2" s="1"/>
  <c r="V1256" i="2" a="1"/>
  <c r="V1256" i="2" s="1"/>
  <c r="V1257" i="2" s="1" a="1"/>
  <c r="V1257" i="2" s="1"/>
  <c r="V1258" i="2" a="1"/>
  <c r="V1258" i="2" s="1"/>
  <c r="V1259" i="2" a="1"/>
  <c r="V1259" i="2" s="1"/>
  <c r="V1260" i="2" a="1"/>
  <c r="V1260" i="2" s="1"/>
  <c r="V1261" i="2" s="1" a="1"/>
  <c r="V1261" i="2" s="1"/>
  <c r="V1262" i="2" a="1"/>
  <c r="V1262" i="2" s="1"/>
  <c r="V1263" i="2" a="1"/>
  <c r="V1263" i="2" s="1"/>
  <c r="V1264" i="2" a="1"/>
  <c r="V1264" i="2" s="1"/>
  <c r="V1265" i="2" s="1" a="1"/>
  <c r="V1265" i="2" s="1"/>
  <c r="V1266" i="2" a="1"/>
  <c r="V1266" i="2" s="1"/>
  <c r="V1267" i="2" a="1"/>
  <c r="V1267" i="2" s="1"/>
  <c r="V1268" i="2" a="1"/>
  <c r="V1268" i="2" s="1"/>
  <c r="V1269" i="2" s="1" a="1"/>
  <c r="V1269" i="2" s="1"/>
  <c r="V1270" i="2" a="1"/>
  <c r="V1270" i="2" s="1"/>
  <c r="V1271" i="2" a="1"/>
  <c r="V1271" i="2" s="1"/>
  <c r="V1272" i="2" a="1"/>
  <c r="V1272" i="2" s="1"/>
  <c r="V1273" i="2" s="1" a="1"/>
  <c r="V1273" i="2" s="1"/>
  <c r="V1274" i="2" a="1"/>
  <c r="V1274" i="2" s="1"/>
  <c r="V1275" i="2" s="1" a="1"/>
  <c r="V1275" i="2" s="1"/>
  <c r="V1276" i="2" s="1" a="1"/>
  <c r="V1276" i="2" s="1"/>
  <c r="V1277" i="2" a="1"/>
  <c r="V1277" i="2" s="1"/>
  <c r="V1278" i="2" a="1"/>
  <c r="V1278" i="2" s="1"/>
  <c r="V1279" i="2" s="1" a="1"/>
  <c r="V1279" i="2" s="1"/>
  <c r="V1280" i="2" a="1"/>
  <c r="V1280" i="2" s="1"/>
  <c r="V1281" i="2" s="1" a="1"/>
  <c r="V1281" i="2" s="1"/>
  <c r="V1282" i="2" a="1"/>
  <c r="V1282" i="2" s="1"/>
  <c r="V1283" i="2" a="1"/>
  <c r="V1283" i="2" s="1"/>
  <c r="V1284" i="2" s="1" a="1"/>
  <c r="V1284" i="2" s="1"/>
  <c r="V1285" i="2" a="1"/>
  <c r="V1285" i="2" s="1"/>
  <c r="V1286" i="2" a="1"/>
  <c r="V1286" i="2" s="1"/>
  <c r="V1287" i="2" a="1"/>
  <c r="V1287" i="2" s="1"/>
  <c r="V1288" i="2" s="1" a="1"/>
  <c r="V1288" i="2" s="1"/>
  <c r="V1289" i="2" a="1"/>
  <c r="V1289" i="2" s="1"/>
  <c r="V1290" i="2" s="1" a="1"/>
  <c r="V1290" i="2" s="1"/>
  <c r="V1291" i="2" s="1" a="1"/>
  <c r="V1291" i="2" s="1"/>
  <c r="V1292" i="2" a="1"/>
  <c r="V1292" i="2" s="1"/>
  <c r="V1293" i="2" a="1"/>
  <c r="V1293" i="2" s="1"/>
  <c r="V1294" i="2" s="1" a="1"/>
  <c r="V1294" i="2" s="1"/>
  <c r="V1295" i="2" a="1"/>
  <c r="V1295" i="2" s="1"/>
  <c r="V1296" i="2" a="1"/>
  <c r="V1296" i="2" s="1"/>
  <c r="V1297" i="2" a="1"/>
  <c r="V1297" i="2" s="1"/>
  <c r="V1298" i="2" s="1" a="1"/>
  <c r="V1298" i="2" s="1"/>
  <c r="V1299" i="2" a="1"/>
  <c r="V1299" i="2" s="1"/>
  <c r="V1300" i="2" s="1" a="1"/>
  <c r="V1300" i="2" s="1"/>
  <c r="V1301" i="2" s="1" a="1"/>
  <c r="V1301" i="2" s="1"/>
  <c r="V1302" i="2" a="1"/>
  <c r="V1302" i="2" s="1"/>
  <c r="V1303" i="2" a="1"/>
  <c r="V1303" i="2" s="1"/>
  <c r="V1304" i="2" s="1" a="1"/>
  <c r="V1304" i="2" s="1"/>
  <c r="V1305" i="2" a="1"/>
  <c r="V1305" i="2" s="1"/>
  <c r="V1306" i="2" a="1"/>
  <c r="V1306" i="2" s="1"/>
  <c r="V1307" i="2" a="1"/>
  <c r="V1307" i="2" s="1"/>
  <c r="V1308" i="2" s="1" a="1"/>
  <c r="V1308" i="2" s="1"/>
  <c r="V1309" i="2" a="1"/>
  <c r="V1309" i="2" s="1"/>
  <c r="V1310" i="2" s="1" a="1"/>
  <c r="V1310" i="2" s="1"/>
  <c r="V1311" i="2" s="1" a="1"/>
  <c r="V1311" i="2" s="1"/>
  <c r="V1312" i="2" a="1"/>
  <c r="V1312" i="2" s="1"/>
  <c r="V1313" i="2" a="1"/>
  <c r="V1313" i="2" s="1"/>
  <c r="V1314" i="2" s="1" a="1"/>
  <c r="V1314" i="2" s="1"/>
  <c r="V1315" i="2" a="1"/>
  <c r="V1315" i="2" s="1"/>
  <c r="V1316" i="2" a="1"/>
  <c r="V1316" i="2" s="1"/>
  <c r="V1317" i="2" a="1"/>
  <c r="V1317" i="2" s="1"/>
  <c r="V1318" i="2" s="1" a="1"/>
  <c r="V1318" i="2" s="1"/>
  <c r="V1319" i="2" a="1"/>
  <c r="V1319" i="2" s="1"/>
  <c r="V1320" i="2" a="1"/>
  <c r="V1320" i="2" s="1"/>
  <c r="V1321" i="2" a="1"/>
  <c r="V1321" i="2" s="1"/>
  <c r="V1322" i="2" s="1" a="1"/>
  <c r="V1322" i="2" s="1"/>
  <c r="V1323" i="2" a="1"/>
  <c r="V1323" i="2" s="1"/>
  <c r="V1324" i="2" a="1"/>
  <c r="V1324" i="2" s="1"/>
  <c r="V1325" i="2" a="1"/>
  <c r="V1325" i="2" s="1"/>
  <c r="V1326" i="2" s="1" a="1"/>
  <c r="V1326" i="2" s="1"/>
  <c r="V1327" i="2" a="1"/>
  <c r="V1327" i="2" s="1"/>
  <c r="V1328" i="2" a="1"/>
  <c r="V1328" i="2" s="1"/>
  <c r="V1329" i="2" a="1"/>
  <c r="V1329" i="2" s="1"/>
  <c r="V1330" i="2" s="1" a="1"/>
  <c r="V1330" i="2" s="1"/>
  <c r="V1331" i="2" a="1"/>
  <c r="V1331" i="2" s="1"/>
  <c r="V1332" i="2" s="1" a="1"/>
  <c r="V1332" i="2" s="1"/>
  <c r="V1333" i="2" s="1" a="1"/>
  <c r="V1333" i="2" s="1"/>
  <c r="V1334" i="2" s="1" a="1"/>
  <c r="V1334" i="2" s="1"/>
  <c r="V1335" i="2" s="1" a="1"/>
  <c r="V1335" i="2" s="1"/>
  <c r="V1336" i="2" a="1"/>
  <c r="V1336" i="2" s="1"/>
  <c r="V1337" i="2" a="1"/>
  <c r="V1337" i="2" s="1"/>
  <c r="V1338" i="2" a="1"/>
  <c r="V1338" i="2" s="1"/>
  <c r="V1339" i="2" a="1"/>
  <c r="V1339" i="2" s="1"/>
  <c r="V1340" i="2" a="1"/>
  <c r="V1340" i="2" s="1"/>
  <c r="V1341" i="2" s="1" a="1"/>
  <c r="V1341" i="2" s="1"/>
  <c r="V1342" i="2" s="1" a="1"/>
  <c r="V1342" i="2" s="1"/>
  <c r="V1343" i="2" s="1" a="1"/>
  <c r="V1343" i="2" s="1"/>
  <c r="V1344" i="2" s="1" a="1"/>
  <c r="V1344" i="2" s="1"/>
  <c r="V1345" i="2" s="1" a="1"/>
  <c r="V1345" i="2" s="1"/>
  <c r="V1346" i="2" s="1" a="1"/>
  <c r="V1346" i="2" s="1"/>
  <c r="V1347" i="2" s="1" a="1"/>
  <c r="V1347" i="2" s="1"/>
  <c r="V1348" i="2" s="1" a="1"/>
  <c r="V1348" i="2" s="1"/>
  <c r="V1349" i="2" a="1"/>
  <c r="V1349" i="2" s="1"/>
  <c r="V1350" i="2" a="1"/>
  <c r="V1350" i="2" s="1"/>
  <c r="V1351" i="2" s="1" a="1"/>
  <c r="V1351" i="2" s="1"/>
  <c r="V1352" i="2" a="1"/>
  <c r="V1352" i="2" s="1"/>
  <c r="V1353" i="2" a="1"/>
  <c r="V1353" i="2" s="1"/>
  <c r="V1354" i="2" a="1"/>
  <c r="V1354" i="2" s="1"/>
  <c r="V1355" i="2" s="1" a="1"/>
  <c r="V1355" i="2" s="1"/>
  <c r="V1356" i="2" a="1"/>
  <c r="V1356" i="2" s="1"/>
  <c r="V1357" i="2" s="1" a="1"/>
  <c r="V1357" i="2" s="1"/>
  <c r="V1358" i="2" a="1"/>
  <c r="V1358" i="2" s="1"/>
  <c r="V1359" i="2" a="1"/>
  <c r="V1359" i="2" s="1"/>
  <c r="V1360" i="2" a="1"/>
  <c r="V1360" i="2" s="1"/>
  <c r="V1361" i="2" a="1"/>
  <c r="V1361" i="2" s="1"/>
  <c r="V1362" i="2" a="1"/>
  <c r="V1362" i="2" s="1"/>
  <c r="V1363" i="2" a="1"/>
  <c r="V1363" i="2" s="1"/>
  <c r="V1364" i="2" a="1"/>
  <c r="V1364" i="2" s="1"/>
  <c r="V1365" i="2" a="1"/>
  <c r="V1365" i="2" s="1"/>
  <c r="V1366" i="2" a="1"/>
  <c r="V1366" i="2" s="1"/>
  <c r="V1367" i="2" a="1"/>
  <c r="V1367" i="2" s="1"/>
  <c r="V1368" i="2" a="1"/>
  <c r="V1368" i="2" s="1"/>
  <c r="V1369" i="2" s="1" a="1"/>
  <c r="V1369" i="2" s="1"/>
  <c r="V1370" i="2" s="1" a="1"/>
  <c r="V1370" i="2" s="1"/>
  <c r="V1371" i="2" s="1" a="1"/>
  <c r="V1371" i="2" s="1"/>
  <c r="V1372" i="2" s="1" a="1"/>
  <c r="V1372" i="2" s="1"/>
  <c r="V1373" i="2" a="1"/>
  <c r="V1373" i="2" s="1"/>
  <c r="V1374" i="2" s="1" a="1"/>
  <c r="V1374" i="2" s="1"/>
  <c r="V1375" i="2" s="1" a="1"/>
  <c r="V1375" i="2" s="1"/>
  <c r="V1376" i="2" s="1" a="1"/>
  <c r="V1376" i="2" s="1"/>
  <c r="V1377" i="2" a="1"/>
  <c r="V1377" i="2" s="1"/>
  <c r="V1378" i="2" a="1"/>
  <c r="V1378" i="2" s="1"/>
  <c r="V1379" i="2" s="1" a="1"/>
  <c r="V1379" i="2" s="1"/>
  <c r="V1380" i="2" a="1"/>
  <c r="V1380" i="2" s="1"/>
  <c r="V1381" i="2" s="1" a="1"/>
  <c r="V1381" i="2" s="1"/>
  <c r="V1382" i="2" a="1"/>
  <c r="V1382" i="2" s="1"/>
  <c r="V1383" i="2" a="1"/>
  <c r="V1383" i="2" s="1"/>
  <c r="V1384" i="2" s="1" a="1"/>
  <c r="V1384" i="2" s="1"/>
  <c r="V1385" i="2" a="1"/>
  <c r="V1385" i="2" s="1"/>
  <c r="V1386" i="2" s="1" a="1"/>
  <c r="V1386" i="2" s="1"/>
  <c r="V1387" i="2" a="1"/>
  <c r="V1387" i="2" s="1"/>
  <c r="V1388" i="2" a="1"/>
  <c r="V1388" i="2" s="1"/>
  <c r="V1389" i="2" s="1" a="1"/>
  <c r="V1389" i="2" s="1"/>
  <c r="V1390" i="2" a="1"/>
  <c r="V1390" i="2" s="1"/>
  <c r="V1391" i="2" a="1"/>
  <c r="V1391" i="2" s="1"/>
  <c r="V1392" i="2" a="1"/>
  <c r="V1392" i="2" s="1"/>
  <c r="V1393" i="2" s="1" a="1"/>
  <c r="V1393" i="2" s="1"/>
  <c r="V1394" i="2" a="1"/>
  <c r="V1394" i="2" s="1"/>
  <c r="V1395" i="2" s="1" a="1"/>
  <c r="V1395" i="2" s="1"/>
  <c r="V1396" i="2" s="1" a="1"/>
  <c r="V1396" i="2" s="1"/>
  <c r="V1397" i="2" a="1"/>
  <c r="V1397" i="2" s="1"/>
  <c r="V1398" i="2" a="1"/>
  <c r="V1398" i="2" s="1"/>
  <c r="V1399" i="2" s="1" a="1"/>
  <c r="V1399" i="2" s="1"/>
  <c r="V1400" i="2" a="1"/>
  <c r="V1400" i="2" s="1"/>
  <c r="V1401" i="2" s="1" a="1"/>
  <c r="V1401" i="2" s="1"/>
  <c r="V1402" i="2" s="1" a="1"/>
  <c r="V1402" i="2" s="1"/>
  <c r="V1403" i="2" a="1"/>
  <c r="V1403" i="2" s="1"/>
  <c r="V1404" i="2" a="1"/>
  <c r="V1404" i="2" s="1"/>
  <c r="V1405" i="2" s="1" a="1"/>
  <c r="V1405" i="2" s="1"/>
  <c r="V1406" i="2" a="1"/>
  <c r="V1406" i="2" s="1"/>
  <c r="V1407" i="2" s="1" a="1"/>
  <c r="V1407" i="2" s="1"/>
  <c r="V1408" i="2" s="1" a="1"/>
  <c r="V1408" i="2" s="1"/>
  <c r="V1409" i="2" a="1"/>
  <c r="V1409" i="2" s="1"/>
  <c r="V1410" i="2" a="1"/>
  <c r="V1410" i="2" s="1"/>
  <c r="V1411" i="2" s="1" a="1"/>
  <c r="V1411" i="2" s="1"/>
  <c r="V1412" i="2" a="1"/>
  <c r="V1412" i="2" s="1"/>
  <c r="V1413" i="2" s="1" a="1"/>
  <c r="V1413" i="2" s="1"/>
  <c r="V1414" i="2" s="1" a="1"/>
  <c r="V1414" i="2" s="1"/>
  <c r="V1415" i="2" a="1"/>
  <c r="V1415" i="2" s="1"/>
  <c r="V1416" i="2" a="1"/>
  <c r="V1416" i="2" s="1"/>
  <c r="V1417" i="2" s="1" a="1"/>
  <c r="V1417" i="2" s="1"/>
  <c r="V1418" i="2" a="1"/>
  <c r="V1418" i="2" s="1"/>
  <c r="V1419" i="2" s="1" a="1"/>
  <c r="V1419" i="2" s="1"/>
  <c r="V1420" i="2" s="1" a="1"/>
  <c r="V1420" i="2" s="1"/>
  <c r="V1421" i="2" a="1"/>
  <c r="V1421" i="2" s="1"/>
  <c r="V1422" i="2" a="1"/>
  <c r="V1422" i="2" s="1"/>
  <c r="V1423" i="2" s="1" a="1"/>
  <c r="V1423" i="2" s="1"/>
  <c r="V1424" i="2" a="1"/>
  <c r="V1424" i="2" s="1"/>
  <c r="V1425" i="2" s="1" a="1"/>
  <c r="V1425" i="2" s="1"/>
  <c r="V1426" i="2" a="1"/>
  <c r="V1426" i="2" s="1"/>
  <c r="V1427" i="2" a="1"/>
  <c r="V1427" i="2" s="1"/>
  <c r="V1428" i="2" s="1" a="1"/>
  <c r="V1428" i="2" s="1"/>
  <c r="V1429" i="2" a="1"/>
  <c r="V1429" i="2" s="1"/>
  <c r="V1430" i="2" a="1"/>
  <c r="V1430" i="2" s="1"/>
  <c r="V1431" i="2" a="1"/>
  <c r="V1431" i="2" s="1"/>
  <c r="V1432" i="2" s="1" a="1"/>
  <c r="V1432" i="2" s="1"/>
  <c r="V1433" i="2" a="1"/>
  <c r="V1433" i="2" s="1"/>
  <c r="V1434" i="2" a="1"/>
  <c r="V1434" i="2" s="1"/>
  <c r="V1435" i="2" a="1"/>
  <c r="V1435" i="2" s="1"/>
  <c r="V1436" i="2" s="1" a="1"/>
  <c r="V1436" i="2" s="1"/>
  <c r="V1437" i="2" a="1"/>
  <c r="V1437" i="2" s="1"/>
  <c r="V1438" i="2" s="1" a="1"/>
  <c r="V1438" i="2" s="1"/>
  <c r="V1439" i="2" s="1" a="1"/>
  <c r="V1439" i="2" s="1"/>
  <c r="V1440" i="2" a="1"/>
  <c r="V1440" i="2" s="1"/>
  <c r="V1441" i="2" a="1"/>
  <c r="V1441" i="2" s="1"/>
  <c r="V1442" i="2" s="1" a="1"/>
  <c r="V1442" i="2" s="1"/>
  <c r="V1443" i="2" a="1"/>
  <c r="V1443" i="2" s="1"/>
  <c r="V1444" i="2" s="1" a="1"/>
  <c r="V1444" i="2" s="1"/>
  <c r="V1445" i="2" a="1"/>
  <c r="V1445" i="2" s="1"/>
  <c r="V1446" i="2" a="1"/>
  <c r="V1446" i="2" s="1"/>
  <c r="V1447" i="2" s="1" a="1"/>
  <c r="V1447" i="2" s="1"/>
  <c r="V1448" i="2" a="1"/>
  <c r="V1448" i="2" s="1"/>
  <c r="V1449" i="2" s="1" a="1"/>
  <c r="V1449" i="2" s="1"/>
  <c r="V1450" i="2" a="1"/>
  <c r="V1450" i="2" s="1"/>
  <c r="V1451" i="2" a="1"/>
  <c r="V1451" i="2" s="1"/>
  <c r="V1452" i="2" s="1" a="1"/>
  <c r="V1452" i="2" s="1"/>
  <c r="V1453" i="2" a="1"/>
  <c r="V1453" i="2" s="1"/>
  <c r="V1454" i="2" a="1"/>
  <c r="V1454" i="2" s="1"/>
  <c r="V1455" i="2" a="1"/>
  <c r="V1455" i="2" s="1"/>
  <c r="V1456" i="2" s="1" a="1"/>
  <c r="V1456" i="2" s="1"/>
  <c r="V1457" i="2" a="1"/>
  <c r="V1457" i="2" s="1"/>
  <c r="V1458" i="2" a="1"/>
  <c r="V1458" i="2" s="1"/>
  <c r="V1459" i="2" a="1"/>
  <c r="V1459" i="2" s="1"/>
  <c r="V1460" i="2" s="1" a="1"/>
  <c r="V1460" i="2" s="1"/>
  <c r="V1461" i="2" a="1"/>
  <c r="V1461" i="2" s="1"/>
  <c r="V1462" i="2" s="1" a="1"/>
  <c r="V1462" i="2" s="1"/>
  <c r="V1463" i="2" s="1" a="1"/>
  <c r="V1463" i="2" s="1"/>
  <c r="V1464" i="2" a="1"/>
  <c r="V1464" i="2" s="1"/>
  <c r="V1465" i="2" a="1"/>
  <c r="V1465" i="2" s="1"/>
  <c r="V1466" i="2" s="1" a="1"/>
  <c r="V1466" i="2" s="1"/>
  <c r="V1467" i="2" a="1"/>
  <c r="V1467" i="2" s="1"/>
  <c r="V1468" i="2" s="1" a="1"/>
  <c r="V1468" i="2" s="1"/>
  <c r="V1469" i="2" a="1"/>
  <c r="V1469" i="2" s="1"/>
  <c r="V1470" i="2" a="1"/>
  <c r="V1470" i="2" s="1"/>
  <c r="V1471" i="2" s="1" a="1"/>
  <c r="V1471" i="2" s="1"/>
  <c r="V1472" i="2" a="1"/>
  <c r="V1472" i="2" s="1"/>
  <c r="V1473" i="2" a="1"/>
  <c r="V1473" i="2" s="1"/>
  <c r="V1474" i="2" a="1"/>
  <c r="V1474" i="2" s="1"/>
  <c r="V1475" i="2" s="1" a="1"/>
  <c r="V1475" i="2" s="1"/>
  <c r="V1476" i="2" a="1"/>
  <c r="V1476" i="2" s="1"/>
  <c r="V1477" i="2" a="1"/>
  <c r="V1477" i="2" s="1"/>
  <c r="V1478" i="2" a="1"/>
  <c r="V1478" i="2" s="1"/>
  <c r="V1479" i="2" s="1" a="1"/>
  <c r="V1479" i="2" s="1"/>
  <c r="V1480" i="2" a="1"/>
  <c r="V1480" i="2" s="1"/>
  <c r="V1481" i="2" a="1"/>
  <c r="V1481" i="2" s="1"/>
  <c r="V1482" i="2" a="1"/>
  <c r="V1482" i="2" s="1"/>
  <c r="V1483" i="2" s="1" a="1"/>
  <c r="V1483" i="2" s="1"/>
  <c r="V1484" i="2" a="1"/>
  <c r="V1484" i="2" s="1"/>
  <c r="V1485" i="2" a="1"/>
  <c r="V1485" i="2" s="1"/>
  <c r="V1486" i="2" a="1"/>
  <c r="V1486" i="2" s="1"/>
  <c r="V1487" i="2" s="1" a="1"/>
  <c r="V1487" i="2" s="1"/>
  <c r="V1488" i="2" a="1"/>
  <c r="V1488" i="2" s="1"/>
  <c r="V1489" i="2" a="1"/>
  <c r="V1489" i="2" s="1"/>
  <c r="V1490" i="2" a="1"/>
  <c r="V1490" i="2" s="1"/>
  <c r="V1491" i="2" s="1" a="1"/>
  <c r="V1491" i="2" s="1"/>
  <c r="V1492" i="2" a="1"/>
  <c r="V1492" i="2" s="1"/>
  <c r="V1493" i="2" a="1"/>
  <c r="V1493" i="2" s="1"/>
  <c r="V1494" i="2" a="1"/>
  <c r="V1494" i="2" s="1"/>
  <c r="V1495" i="2" s="1" a="1"/>
  <c r="V1495" i="2" s="1"/>
  <c r="V1496" i="2" a="1"/>
  <c r="V1496" i="2" s="1"/>
  <c r="V1497" i="2" a="1"/>
  <c r="V1497" i="2" s="1"/>
  <c r="V1498" i="2" a="1"/>
  <c r="V1498" i="2" s="1"/>
  <c r="V1499" i="2" s="1" a="1"/>
  <c r="V1499" i="2" s="1"/>
  <c r="V1500" i="2" a="1"/>
  <c r="V1500" i="2" s="1"/>
  <c r="V1501" i="2" a="1"/>
  <c r="V1501" i="2" s="1"/>
  <c r="V1502" i="2" a="1"/>
  <c r="V1502" i="2" s="1"/>
  <c r="V1503" i="2" s="1" a="1"/>
  <c r="V1503" i="2" s="1"/>
  <c r="V1504" i="2" a="1"/>
  <c r="V1504" i="2" s="1"/>
  <c r="V1505" i="2" s="1" a="1"/>
  <c r="V1505" i="2" s="1"/>
  <c r="V1506" i="2" s="1" a="1"/>
  <c r="V1506" i="2" s="1"/>
  <c r="V1507" i="2" a="1"/>
  <c r="V1507" i="2" s="1"/>
  <c r="V1508" i="2" a="1"/>
  <c r="V1508" i="2" s="1"/>
  <c r="V1509" i="2" s="1" a="1"/>
  <c r="V1509" i="2" s="1"/>
  <c r="V1510" i="2" a="1"/>
  <c r="V1510" i="2" s="1"/>
  <c r="V1511" i="2" s="1" a="1"/>
  <c r="V1511" i="2" s="1"/>
  <c r="V1512" i="2" a="1"/>
  <c r="V1512" i="2" s="1"/>
  <c r="V1513" i="2" a="1"/>
  <c r="V1513" i="2" s="1"/>
  <c r="V1514" i="2" s="1" a="1"/>
  <c r="V1514" i="2" s="1"/>
  <c r="V1515" i="2" a="1"/>
  <c r="V1515" i="2" s="1"/>
  <c r="V1516" i="2" s="1" a="1"/>
  <c r="V1516" i="2" s="1"/>
  <c r="V1517" i="2" a="1"/>
  <c r="V1517" i="2" s="1"/>
  <c r="V1518" i="2" a="1"/>
  <c r="V1518" i="2" s="1"/>
  <c r="V1519" i="2" s="1" a="1"/>
  <c r="V1519" i="2" s="1"/>
  <c r="V1520" i="2" a="1"/>
  <c r="V1520" i="2" s="1"/>
  <c r="V1521" i="2" a="1"/>
  <c r="V1521" i="2" s="1"/>
  <c r="V1522" i="2" a="1"/>
  <c r="V1522" i="2" s="1"/>
  <c r="V1523" i="2" s="1" a="1"/>
  <c r="V1523" i="2" s="1"/>
  <c r="V1524" i="2" a="1"/>
  <c r="V1524" i="2" s="1"/>
  <c r="V1525" i="2" a="1"/>
  <c r="V1525" i="2" s="1"/>
  <c r="V1526" i="2" a="1"/>
  <c r="V1526" i="2" s="1"/>
  <c r="V1527" i="2" a="1"/>
  <c r="V1527" i="2" s="1"/>
  <c r="V1528" i="2" a="1"/>
  <c r="V1528" i="2" s="1"/>
  <c r="V1529" i="2" a="1"/>
  <c r="V1529" i="2" s="1"/>
  <c r="V1530" i="2" a="1"/>
  <c r="V1530" i="2" s="1"/>
  <c r="V1531" i="2" a="1"/>
  <c r="V1531" i="2" s="1"/>
  <c r="V1532" i="2" a="1"/>
  <c r="V1532" i="2" s="1"/>
  <c r="V1533" i="2" a="1"/>
  <c r="V1533" i="2" s="1"/>
  <c r="V1534" i="2" a="1"/>
  <c r="V1534" i="2" s="1"/>
  <c r="V1535" i="2" s="1" a="1"/>
  <c r="V1535" i="2" s="1"/>
  <c r="V1536" i="2" s="1" a="1"/>
  <c r="V1536" i="2" s="1"/>
  <c r="V1537" i="2" s="1" a="1"/>
  <c r="V1537" i="2" s="1"/>
  <c r="V1538" i="2" s="1" a="1"/>
  <c r="V1538" i="2" s="1"/>
  <c r="V1539" i="2" s="1" a="1"/>
  <c r="V1539" i="2" s="1"/>
  <c r="V1540" i="2" a="1"/>
  <c r="V1540" i="2" s="1"/>
  <c r="V1541" i="2" s="1" a="1"/>
  <c r="V1541" i="2" s="1"/>
  <c r="V1542" i="2" s="1" a="1"/>
  <c r="V1542" i="2" s="1"/>
  <c r="V1543" i="2" a="1"/>
  <c r="V1543" i="2" s="1"/>
  <c r="V1544" i="2" a="1"/>
  <c r="V1544" i="2" s="1"/>
  <c r="V1545" i="2" s="1" a="1"/>
  <c r="V1545" i="2" s="1"/>
  <c r="V1546" i="2" a="1"/>
  <c r="V1546" i="2" s="1"/>
  <c r="V1547" i="2" a="1"/>
  <c r="V1547" i="2" s="1"/>
  <c r="V1548" i="2" a="1"/>
  <c r="V1548" i="2" s="1"/>
  <c r="V1549" i="2" s="1" a="1"/>
  <c r="V1549" i="2" s="1"/>
  <c r="V1550" i="2" a="1"/>
  <c r="V1550" i="2" s="1"/>
  <c r="V1551" i="2" s="1" a="1"/>
  <c r="V1551" i="2" s="1"/>
  <c r="V1552" i="2" a="1"/>
  <c r="V1552" i="2" s="1"/>
  <c r="V1553" i="2" a="1"/>
  <c r="V1553" i="2" s="1"/>
  <c r="V1554" i="2" s="1" a="1"/>
  <c r="V1554" i="2" s="1"/>
  <c r="V1555" i="2" a="1"/>
  <c r="V1555" i="2" s="1"/>
  <c r="V1556" i="2" s="1" a="1"/>
  <c r="V1556" i="2" s="1"/>
  <c r="V1557" i="2" a="1"/>
  <c r="V1557" i="2" s="1"/>
  <c r="V1558" i="2" a="1"/>
  <c r="V1558" i="2" s="1"/>
  <c r="V1559" i="2" s="1" a="1"/>
  <c r="V1559" i="2" s="1"/>
  <c r="V1560" i="2" a="1"/>
  <c r="V1560" i="2" s="1"/>
  <c r="V1561" i="2" a="1"/>
  <c r="V1561" i="2" s="1"/>
  <c r="V1562" i="2" a="1"/>
  <c r="V1562" i="2" s="1"/>
  <c r="V1563" i="2" s="1" a="1"/>
  <c r="V1563" i="2" s="1"/>
  <c r="V1564" i="2" a="1"/>
  <c r="V1564" i="2" s="1"/>
  <c r="V1565" i="2" s="1" a="1"/>
  <c r="V1565" i="2" s="1"/>
  <c r="V1566" i="2" a="1"/>
  <c r="V1566" i="2" s="1"/>
  <c r="V1567" i="2" a="1"/>
  <c r="V1567" i="2" s="1"/>
  <c r="V1568" i="2" s="1" a="1"/>
  <c r="V1568" i="2" s="1"/>
  <c r="V1569" i="2" a="1"/>
  <c r="V1569" i="2" s="1"/>
  <c r="V1570" i="2" s="1" a="1"/>
  <c r="V1570" i="2" s="1"/>
  <c r="V1571" i="2" a="1"/>
  <c r="V1571" i="2" s="1"/>
  <c r="V1572" i="2" a="1"/>
  <c r="V1572" i="2" s="1"/>
  <c r="V1573" i="2" s="1" a="1"/>
  <c r="V1573" i="2" s="1"/>
  <c r="V1574" i="2" a="1"/>
  <c r="V1574" i="2" s="1"/>
  <c r="V1575" i="2" s="1" a="1"/>
  <c r="V1575" i="2" s="1"/>
  <c r="V1576" i="2" a="1"/>
  <c r="V1576" i="2" s="1"/>
  <c r="V1577" i="2" a="1"/>
  <c r="V1577" i="2" s="1"/>
  <c r="V1578" i="2" s="1" a="1"/>
  <c r="V1578" i="2" s="1"/>
  <c r="V1579" i="2" a="1"/>
  <c r="V1579" i="2" s="1"/>
  <c r="V1580" i="2" s="1" a="1"/>
  <c r="V1580" i="2" s="1"/>
  <c r="V1581" i="2" a="1"/>
  <c r="V1581" i="2" s="1"/>
  <c r="V1582" i="2" a="1"/>
  <c r="V1582" i="2" s="1"/>
  <c r="V1583" i="2" s="1" a="1"/>
  <c r="V1583" i="2" s="1"/>
  <c r="V1584" i="2" a="1"/>
  <c r="V1584" i="2" s="1"/>
  <c r="V1585" i="2" s="1" a="1"/>
  <c r="V1585" i="2" s="1"/>
  <c r="V1586" i="2" s="1" a="1"/>
  <c r="V1586" i="2" s="1"/>
  <c r="V1587" i="2" a="1"/>
  <c r="V1587" i="2" s="1"/>
  <c r="V1588" i="2" a="1"/>
  <c r="V1588" i="2" s="1"/>
  <c r="V1589" i="2" s="1" a="1"/>
  <c r="V1589" i="2" s="1"/>
  <c r="V1590" i="2" a="1"/>
  <c r="V1590" i="2" s="1"/>
  <c r="V1591" i="2" s="1" a="1"/>
  <c r="V1591" i="2" s="1"/>
  <c r="V1592" i="2" a="1"/>
  <c r="V1592" i="2" s="1"/>
  <c r="V1593" i="2" a="1"/>
  <c r="V1593" i="2" s="1"/>
  <c r="V1594" i="2" s="1" a="1"/>
  <c r="V1594" i="2" s="1"/>
  <c r="V1595" i="2" a="1"/>
  <c r="V1595" i="2" s="1"/>
  <c r="V1596" i="2" s="1" a="1"/>
  <c r="V1596" i="2" s="1"/>
  <c r="V1597" i="2" a="1"/>
  <c r="V1597" i="2" s="1"/>
  <c r="V1598" i="2" a="1"/>
  <c r="V1598" i="2" s="1"/>
  <c r="V1599" i="2" s="1" a="1"/>
  <c r="V1599" i="2" s="1"/>
  <c r="V1600" i="2" a="1"/>
  <c r="V1600" i="2" s="1"/>
  <c r="V1601" i="2" s="1" a="1"/>
  <c r="V1601" i="2" s="1"/>
  <c r="V1602" i="2" s="1" a="1"/>
  <c r="V1602" i="2" s="1"/>
  <c r="V1603" i="2" a="1"/>
  <c r="V1603" i="2" s="1"/>
  <c r="V1604" i="2" a="1"/>
  <c r="V1604" i="2" s="1"/>
  <c r="V1605" i="2" s="1" a="1"/>
  <c r="V1605" i="2" s="1"/>
  <c r="V1606" i="2" a="1"/>
  <c r="V1606" i="2" s="1"/>
  <c r="V1607" i="2" s="1" a="1"/>
  <c r="V1607" i="2" s="1"/>
  <c r="V1608" i="2" s="1" a="1"/>
  <c r="V1608" i="2" s="1"/>
  <c r="V1609" i="2" a="1"/>
  <c r="V1609" i="2" s="1"/>
  <c r="V1610" i="2" a="1"/>
  <c r="V1610" i="2" s="1"/>
  <c r="V1611" i="2" s="1" a="1"/>
  <c r="V1611" i="2" s="1"/>
  <c r="V1612" i="2" a="1"/>
  <c r="V1612" i="2" s="1"/>
  <c r="V1613" i="2" a="1"/>
  <c r="V1613" i="2" s="1"/>
  <c r="V1614" i="2" a="1"/>
  <c r="V1614" i="2" s="1"/>
  <c r="V1615" i="2" s="1" a="1"/>
  <c r="V1615" i="2" s="1"/>
  <c r="V1616" i="2" a="1"/>
  <c r="V1616" i="2" s="1"/>
  <c r="V1617" i="2" s="1" a="1"/>
  <c r="V1617" i="2" s="1"/>
  <c r="V1618" i="2" a="1"/>
  <c r="V1618" i="2" s="1"/>
  <c r="V1619" i="2" a="1"/>
  <c r="V1619" i="2" s="1"/>
  <c r="V1620" i="2" s="1" a="1"/>
  <c r="V1620" i="2" s="1"/>
  <c r="V1621" i="2" a="1"/>
  <c r="V1621" i="2" s="1"/>
  <c r="V1622" i="2" a="1"/>
  <c r="V1622" i="2" s="1"/>
  <c r="V1623" i="2" a="1"/>
  <c r="V1623" i="2" s="1"/>
  <c r="V1624" i="2" s="1" a="1"/>
  <c r="V1624" i="2" s="1"/>
  <c r="V1625" i="2" a="1"/>
  <c r="V1625" i="2" s="1"/>
  <c r="V1626" i="2" s="1" a="1"/>
  <c r="V1626" i="2" s="1"/>
  <c r="V1627" i="2" s="1" a="1"/>
  <c r="V1627" i="2" s="1"/>
  <c r="V1628" i="2" a="1"/>
  <c r="V1628" i="2" s="1"/>
  <c r="V1629" i="2" a="1"/>
  <c r="V1629" i="2" s="1"/>
  <c r="V1630" i="2" s="1" a="1"/>
  <c r="V1630" i="2" s="1"/>
  <c r="V1631" i="2" a="1"/>
  <c r="V1631" i="2" s="1"/>
  <c r="V1632" i="2" a="1"/>
  <c r="V1632" i="2" s="1"/>
  <c r="V1633" i="2" a="1"/>
  <c r="V1633" i="2" s="1"/>
  <c r="V1634" i="2" s="1" a="1"/>
  <c r="V1634" i="2" s="1"/>
  <c r="V1635" i="2" a="1"/>
  <c r="V1635" i="2" s="1"/>
  <c r="V1636" i="2" a="1"/>
  <c r="V1636" i="2" s="1"/>
  <c r="V1637" i="2" a="1"/>
  <c r="V1637" i="2" s="1"/>
  <c r="V1638" i="2" s="1" a="1"/>
  <c r="V1638" i="2" s="1"/>
  <c r="V1639" i="2" a="1"/>
  <c r="V1639" i="2" s="1"/>
  <c r="V1640" i="2" s="1" a="1"/>
  <c r="V1640" i="2" s="1"/>
  <c r="V1641" i="2" s="1" a="1"/>
  <c r="V1641" i="2" s="1"/>
  <c r="V1642" i="2" a="1"/>
  <c r="V1642" i="2" s="1"/>
  <c r="V1643" i="2" a="1"/>
  <c r="V1643" i="2" s="1"/>
  <c r="V1644" i="2" s="1" a="1"/>
  <c r="V1644" i="2" s="1"/>
  <c r="V1645" i="2" a="1"/>
  <c r="V1645" i="2" s="1"/>
  <c r="V1646" i="2" s="1" a="1"/>
  <c r="V1646" i="2" s="1"/>
  <c r="V1647" i="2" s="1" a="1"/>
  <c r="V1647" i="2" s="1"/>
  <c r="V1648" i="2" s="1" a="1"/>
  <c r="V1648" i="2" s="1"/>
  <c r="V1649" i="2" s="1" a="1"/>
  <c r="V1649" i="2" s="1"/>
  <c r="V1650" i="2" s="1" a="1"/>
  <c r="V1650" i="2" s="1"/>
  <c r="V1651" i="2" s="1" a="1"/>
  <c r="V1651" i="2" s="1"/>
  <c r="V1652" i="2" a="1"/>
  <c r="V1652" i="2" s="1"/>
  <c r="V1653" i="2" a="1"/>
  <c r="V1653" i="2" s="1"/>
  <c r="V1654" i="2" s="1" a="1"/>
  <c r="V1654" i="2" s="1"/>
  <c r="V1655" i="2" a="1"/>
  <c r="V1655" i="2" s="1"/>
  <c r="V1656" i="2" a="1"/>
  <c r="V1656" i="2" s="1"/>
  <c r="V1657" i="2" a="1"/>
  <c r="V1657" i="2" s="1"/>
  <c r="V1658" i="2" s="1" a="1"/>
  <c r="V1658" i="2" s="1"/>
  <c r="V1659" i="2" a="1"/>
  <c r="V1659" i="2" s="1"/>
  <c r="V1660" i="2" s="1" a="1"/>
  <c r="V1660" i="2" s="1"/>
  <c r="V1661" i="2" a="1"/>
  <c r="V1661" i="2" s="1"/>
  <c r="V1662" i="2" a="1"/>
  <c r="V1662" i="2" s="1"/>
  <c r="V1663" i="2" s="1" a="1"/>
  <c r="V1663" i="2" s="1"/>
  <c r="V1664" i="2" a="1"/>
  <c r="V1664" i="2" s="1"/>
  <c r="V1665" i="2" s="1" a="1"/>
  <c r="V1665" i="2" s="1"/>
  <c r="V1666" i="2" s="1" a="1"/>
  <c r="V1666" i="2" s="1"/>
  <c r="V1667" i="2" a="1"/>
  <c r="V1667" i="2" s="1"/>
  <c r="V1668" i="2" a="1"/>
  <c r="V1668" i="2" s="1"/>
  <c r="V1669" i="2" s="1" a="1"/>
  <c r="V1669" i="2" s="1"/>
  <c r="V1670" i="2" a="1"/>
  <c r="V1670" i="2" s="1"/>
  <c r="V1671" i="2" s="1" a="1"/>
  <c r="V1671" i="2" s="1"/>
  <c r="V1672" i="2" a="1"/>
  <c r="V1672" i="2" s="1"/>
  <c r="V1673" i="2" a="1"/>
  <c r="V1673" i="2" s="1"/>
  <c r="V1674" i="2" s="1" a="1"/>
  <c r="V1674" i="2" s="1"/>
  <c r="V1675" i="2" a="1"/>
  <c r="V1675" i="2" s="1"/>
  <c r="V1676" i="2" s="1" a="1"/>
  <c r="V1676" i="2" s="1"/>
  <c r="V1677" i="2" s="1" a="1"/>
  <c r="V1677" i="2" s="1"/>
  <c r="V1678" i="2" s="1" a="1"/>
  <c r="V1678" i="2" s="1"/>
  <c r="V1679" i="2" a="1"/>
  <c r="V1679" i="2" s="1"/>
  <c r="V1680" i="2" a="1"/>
  <c r="V1680" i="2" s="1"/>
  <c r="V1681" i="2" s="1" a="1"/>
  <c r="V1681" i="2" s="1"/>
  <c r="V1682" i="2" a="1"/>
  <c r="V1682" i="2" s="1"/>
  <c r="V1683" i="2" s="1" a="1"/>
  <c r="V1683" i="2" s="1"/>
  <c r="V1684" i="2" s="1" a="1"/>
  <c r="V1684" i="2" s="1"/>
  <c r="V1685" i="2" a="1"/>
  <c r="V1685" i="2" s="1"/>
  <c r="V1686" i="2" a="1"/>
  <c r="V1686" i="2" s="1"/>
  <c r="V1687" i="2" s="1" a="1"/>
  <c r="V1687" i="2" s="1"/>
  <c r="V1688" i="2" a="1"/>
  <c r="V1688" i="2" s="1"/>
  <c r="V1689" i="2" a="1"/>
  <c r="V1689" i="2" s="1"/>
  <c r="V1690" i="2" a="1"/>
  <c r="V1690" i="2" s="1"/>
  <c r="V1691" i="2" s="1" a="1"/>
  <c r="V1691" i="2" s="1"/>
  <c r="V1692" i="2" a="1"/>
  <c r="V1692" i="2" s="1"/>
  <c r="V1693" i="2" s="1" a="1"/>
  <c r="V1693" i="2" s="1"/>
  <c r="V1694" i="2" a="1"/>
  <c r="V1694" i="2" s="1"/>
  <c r="V1695" i="2" a="1"/>
  <c r="V1695" i="2" s="1"/>
  <c r="V1696" i="2" a="1"/>
  <c r="V1696" i="2" s="1"/>
  <c r="V1697" i="2" a="1"/>
  <c r="V1697" i="2" s="1"/>
  <c r="V1698" i="2" a="1"/>
  <c r="V1698" i="2" s="1"/>
  <c r="V1699" i="2" a="1"/>
  <c r="V1699" i="2" s="1"/>
  <c r="V1700" i="2" a="1"/>
  <c r="V1700" i="2" s="1"/>
  <c r="V1701" i="2" a="1"/>
  <c r="V1701" i="2" s="1"/>
  <c r="V1702" i="2" a="1"/>
  <c r="V1702" i="2" s="1"/>
  <c r="V1703" i="2" a="1"/>
  <c r="V1703" i="2" s="1"/>
  <c r="V1704" i="2" s="1" a="1"/>
  <c r="V1704" i="2" s="1"/>
  <c r="V1705" i="2" s="1" a="1"/>
  <c r="V1705" i="2" s="1"/>
  <c r="V1706" i="2" s="1" a="1"/>
  <c r="V1706" i="2" s="1"/>
  <c r="V1707" i="2" s="1" a="1"/>
  <c r="V1707" i="2" s="1"/>
  <c r="V1708" i="2" s="1" a="1"/>
  <c r="V1708" i="2" s="1"/>
  <c r="V1709" i="2" a="1"/>
  <c r="V1709" i="2" s="1"/>
  <c r="V1710" i="2" s="1" a="1"/>
  <c r="V1710" i="2" s="1"/>
  <c r="V1711" i="2" s="1" a="1"/>
  <c r="V1711" i="2" s="1"/>
  <c r="V1712" i="2" a="1"/>
  <c r="V1712" i="2" s="1"/>
  <c r="V1713" i="2" a="1"/>
  <c r="V1713" i="2" s="1"/>
  <c r="V1714" i="2" s="1" a="1"/>
  <c r="V1714" i="2" s="1"/>
  <c r="V1715" i="2" a="1"/>
  <c r="V1715" i="2" s="1"/>
  <c r="V1716" i="2" s="1" a="1"/>
  <c r="V1716" i="2" s="1"/>
  <c r="V1717" i="2" s="1" a="1"/>
  <c r="V1717" i="2" s="1"/>
  <c r="V1718" i="2" a="1"/>
  <c r="V1718" i="2" s="1"/>
  <c r="V1719" i="2" a="1"/>
  <c r="V1719" i="2" s="1"/>
  <c r="V1720" i="2" s="1" a="1"/>
  <c r="V1720" i="2" s="1"/>
  <c r="V1721" i="2" a="1"/>
  <c r="V1721" i="2" s="1"/>
  <c r="V1722" i="2" a="1"/>
  <c r="V1722" i="2" s="1"/>
  <c r="V1723" i="2" a="1"/>
  <c r="V1723" i="2" s="1"/>
  <c r="V1724" i="2" s="1" a="1"/>
  <c r="V1724" i="2" s="1"/>
  <c r="V1725" i="2" a="1"/>
  <c r="V1725" i="2" s="1"/>
  <c r="V1726" i="2" a="1"/>
  <c r="V1726" i="2" s="1"/>
  <c r="V1727" i="2" a="1"/>
  <c r="V1727" i="2" s="1"/>
  <c r="V1728" i="2" s="1" a="1"/>
  <c r="V1728" i="2" s="1"/>
  <c r="V1729" i="2" a="1"/>
  <c r="V1729" i="2" s="1"/>
  <c r="V1730" i="2" a="1"/>
  <c r="V1730" i="2" s="1"/>
  <c r="V1731" i="2" a="1"/>
  <c r="V1731" i="2" s="1"/>
  <c r="V1732" i="2" s="1" a="1"/>
  <c r="V1732" i="2" s="1"/>
  <c r="V1733" i="2" a="1"/>
  <c r="V1733" i="2" s="1"/>
  <c r="V1734" i="2" s="1" a="1"/>
  <c r="V1734" i="2" s="1"/>
  <c r="V1735" i="2" a="1"/>
  <c r="V1735" i="2" s="1"/>
  <c r="V1736" i="2" a="1"/>
  <c r="V1736" i="2" s="1"/>
  <c r="V1737" i="2" s="1" a="1"/>
  <c r="V1737" i="2" s="1"/>
  <c r="V1738" i="2" a="1"/>
  <c r="V1738" i="2" s="1"/>
  <c r="V1739" i="2" s="1" a="1"/>
  <c r="V1739" i="2" s="1"/>
  <c r="V1740" i="2" s="1" a="1"/>
  <c r="V1740" i="2" s="1"/>
  <c r="V1741" i="2" a="1"/>
  <c r="V1741" i="2" s="1"/>
  <c r="V1742" i="2" a="1"/>
  <c r="V1742" i="2" s="1"/>
  <c r="V1743" i="2" a="1"/>
  <c r="V1743" i="2" s="1"/>
  <c r="V1744" i="2" a="1"/>
  <c r="V1744" i="2" s="1"/>
  <c r="V1745" i="2" s="1" a="1"/>
  <c r="V1745" i="2" s="1"/>
  <c r="V1746" i="2" s="1" a="1"/>
  <c r="V1746" i="2" s="1"/>
  <c r="V1747" i="2" s="1" a="1"/>
  <c r="V1747" i="2" s="1"/>
  <c r="V1748" i="2" s="1" a="1"/>
  <c r="V1748" i="2" s="1"/>
  <c r="V1749" i="2" s="1" a="1"/>
  <c r="V1749" i="2" s="1"/>
  <c r="V1750" i="2" s="1" a="1"/>
  <c r="V1750" i="2" s="1"/>
  <c r="V1751" i="2" s="1" a="1"/>
  <c r="V1751" i="2" s="1"/>
  <c r="V1752" i="2" a="1"/>
  <c r="V1752" i="2" s="1"/>
  <c r="V1753" i="2" a="1"/>
  <c r="V1753" i="2" s="1"/>
  <c r="V1754" i="2" s="1" a="1"/>
  <c r="V1754" i="2" s="1"/>
  <c r="V1755" i="2" a="1"/>
  <c r="V1755" i="2" s="1"/>
  <c r="V1756" i="2" s="1" a="1"/>
  <c r="V1756" i="2" s="1"/>
  <c r="V1757" i="2" a="1"/>
  <c r="V1757" i="2" s="1"/>
  <c r="V1758" i="2" a="1"/>
  <c r="V1758" i="2" s="1"/>
  <c r="V1759" i="2" s="1" a="1"/>
  <c r="V1759" i="2" s="1"/>
  <c r="V1760" i="2" a="1"/>
  <c r="V1760" i="2" s="1"/>
  <c r="V1761" i="2" s="1" a="1"/>
  <c r="V1761" i="2" s="1"/>
  <c r="V1762" i="2" s="1" a="1"/>
  <c r="V1762" i="2" s="1"/>
  <c r="V1763" i="2" a="1"/>
  <c r="V1763" i="2" s="1"/>
  <c r="V1764" i="2" a="1"/>
  <c r="V1764" i="2" s="1"/>
  <c r="V1765" i="2" s="1" a="1"/>
  <c r="V1765" i="2" s="1"/>
  <c r="V1766" i="2" a="1"/>
  <c r="V1766" i="2" s="1"/>
  <c r="V1767" i="2" s="1" a="1"/>
  <c r="V1767" i="2" s="1"/>
  <c r="V1768" i="2" a="1"/>
  <c r="V1768" i="2" s="1"/>
  <c r="V1769" i="2" a="1"/>
  <c r="V1769" i="2" s="1"/>
  <c r="V1770" i="2" a="1"/>
  <c r="V1770" i="2" s="1"/>
  <c r="V1771" i="2" a="1"/>
  <c r="V1771" i="2" s="1"/>
  <c r="V1772" i="2" s="1" a="1"/>
  <c r="V1772" i="2" s="1"/>
  <c r="V1773" i="2" s="1" a="1"/>
  <c r="V1773" i="2" s="1"/>
  <c r="V1774" i="2" s="1" a="1"/>
  <c r="V1774" i="2" s="1"/>
  <c r="V1775" i="2" s="1" a="1"/>
  <c r="V1775" i="2" s="1"/>
  <c r="V1776" i="2" s="1" a="1"/>
  <c r="V1776" i="2" s="1"/>
  <c r="V1777" i="2" s="1" a="1"/>
  <c r="V1777" i="2" s="1"/>
  <c r="V1778" i="2" s="1" a="1"/>
  <c r="V1778" i="2" s="1"/>
  <c r="V1779" i="2" a="1"/>
  <c r="V1779" i="2" s="1"/>
  <c r="V1780" i="2" a="1"/>
  <c r="V1780" i="2" s="1"/>
  <c r="V1781" i="2" s="1" a="1"/>
  <c r="V1781" i="2" s="1"/>
  <c r="V1782" i="2" a="1"/>
  <c r="V1782" i="2" s="1"/>
  <c r="V1783" i="2" s="1" a="1"/>
  <c r="V1783" i="2" s="1"/>
  <c r="V1784" i="2" a="1"/>
  <c r="V1784" i="2" s="1"/>
  <c r="V1785" i="2" a="1"/>
  <c r="V1785" i="2" s="1"/>
  <c r="V1786" i="2" s="1" a="1"/>
  <c r="V1786" i="2" s="1"/>
  <c r="V1787" i="2" a="1"/>
  <c r="V1787" i="2" s="1"/>
  <c r="V1788" i="2" a="1"/>
  <c r="V1788" i="2" s="1"/>
  <c r="V1789" i="2" a="1"/>
  <c r="V1789" i="2" s="1"/>
  <c r="V1790" i="2" s="1" a="1"/>
  <c r="V1790" i="2" s="1"/>
  <c r="V1791" i="2" a="1"/>
  <c r="V1791" i="2" s="1"/>
  <c r="V1792" i="2" s="1" a="1"/>
  <c r="V1792" i="2" s="1"/>
  <c r="V1793" i="2" a="1"/>
  <c r="V1793" i="2" s="1"/>
  <c r="V1794" i="2" a="1"/>
  <c r="V1794" i="2" s="1"/>
  <c r="V1795" i="2" s="1" a="1"/>
  <c r="V1795" i="2" s="1"/>
  <c r="V1796" i="2" a="1"/>
  <c r="V1796" i="2" s="1"/>
  <c r="V1797" i="2" a="1"/>
  <c r="V1797" i="2" s="1"/>
  <c r="V1798" i="2" a="1"/>
  <c r="V1798" i="2" s="1"/>
  <c r="V1799" i="2" s="1" a="1"/>
  <c r="V1799" i="2" s="1"/>
  <c r="V1800" i="2" a="1"/>
  <c r="V1800" i="2" s="1"/>
  <c r="V1801" i="2" a="1"/>
  <c r="V1801" i="2" s="1"/>
  <c r="V1802" i="2" a="1"/>
  <c r="V1802" i="2" s="1"/>
  <c r="V1803" i="2" s="1" a="1"/>
  <c r="V1803" i="2" s="1"/>
  <c r="V1804" i="2" a="1"/>
  <c r="V1804" i="2" s="1"/>
  <c r="V1805" i="2" s="1" a="1"/>
  <c r="V1805" i="2" s="1"/>
  <c r="V1806" i="2" a="1"/>
  <c r="V1806" i="2" s="1"/>
  <c r="V1807" i="2" a="1"/>
  <c r="V1807" i="2" s="1"/>
  <c r="V1808" i="2" s="1" a="1"/>
  <c r="V1808" i="2" s="1"/>
  <c r="V1809" i="2" a="1"/>
  <c r="V1809" i="2" s="1"/>
  <c r="V1810" i="2" s="1" a="1"/>
  <c r="V1810" i="2" s="1"/>
  <c r="V1811" i="2" a="1"/>
  <c r="V1811" i="2" s="1"/>
  <c r="V1812" i="2" a="1"/>
  <c r="V1812" i="2" s="1"/>
  <c r="V1813" i="2" s="1" a="1"/>
  <c r="V1813" i="2" s="1"/>
  <c r="V1814" i="2" a="1"/>
  <c r="V1814" i="2" s="1"/>
  <c r="V1815" i="2" a="1"/>
  <c r="V1815" i="2" s="1"/>
  <c r="V1816" i="2" a="1"/>
  <c r="V1816" i="2" s="1"/>
  <c r="V1817" i="2" s="1" a="1"/>
  <c r="V1817" i="2" s="1"/>
  <c r="V1818" i="2" a="1"/>
  <c r="V1818" i="2" s="1"/>
  <c r="V1819" i="2" s="1" a="1"/>
  <c r="V1819" i="2" s="1"/>
  <c r="V1820" i="2" a="1"/>
  <c r="V1820" i="2" s="1"/>
  <c r="V1821" i="2" a="1"/>
  <c r="V1821" i="2" s="1"/>
  <c r="V1822" i="2" s="1" a="1"/>
  <c r="V1822" i="2" s="1"/>
  <c r="V1823" i="2" a="1"/>
  <c r="V1823" i="2" s="1"/>
  <c r="V1824" i="2" s="1" a="1"/>
  <c r="V1824" i="2" s="1"/>
  <c r="V1825" i="2" a="1"/>
  <c r="V1825" i="2" s="1"/>
  <c r="V1826" i="2" a="1"/>
  <c r="V1826" i="2" s="1"/>
  <c r="V1827" i="2" s="1" a="1"/>
  <c r="V1827" i="2" s="1"/>
  <c r="V1828" i="2" a="1"/>
  <c r="V1828" i="2" s="1"/>
  <c r="V1829" i="2" s="1" a="1"/>
  <c r="V1829" i="2" s="1"/>
  <c r="V1830" i="2" s="1" a="1"/>
  <c r="V1830" i="2" s="1"/>
  <c r="V1831" i="2" a="1"/>
  <c r="V1831" i="2" s="1"/>
  <c r="V1832" i="2" a="1"/>
  <c r="V1832" i="2" s="1"/>
  <c r="V1833" i="2" s="1" a="1"/>
  <c r="V1833" i="2" s="1"/>
  <c r="V1834" i="2" a="1"/>
  <c r="V1834" i="2" s="1"/>
  <c r="V1835" i="2" s="1" a="1"/>
  <c r="V1835" i="2" s="1"/>
  <c r="V1836" i="2" s="1" a="1"/>
  <c r="V1836" i="2" s="1"/>
  <c r="V1837" i="2" a="1"/>
  <c r="V1837" i="2" s="1"/>
  <c r="V1838" i="2" a="1"/>
  <c r="V1838" i="2" s="1"/>
  <c r="V1839" i="2" s="1" a="1"/>
  <c r="V1839" i="2" s="1"/>
  <c r="V1840" i="2" a="1"/>
  <c r="V1840" i="2" s="1"/>
  <c r="V1841" i="2" a="1"/>
  <c r="V1841" i="2" s="1"/>
  <c r="V1842" i="2" a="1"/>
  <c r="V1842" i="2" s="1"/>
  <c r="V1843" i="2" s="1" a="1"/>
  <c r="V1843" i="2" s="1"/>
  <c r="V1844" i="2" a="1"/>
  <c r="V1844" i="2" s="1"/>
  <c r="V1845" i="2" a="1"/>
  <c r="V1845" i="2" s="1"/>
  <c r="V1846" i="2" a="1"/>
  <c r="V1846" i="2" s="1"/>
  <c r="V1847" i="2" s="1" a="1"/>
  <c r="V1847" i="2" s="1"/>
  <c r="V1848" i="2" a="1"/>
  <c r="V1848" i="2" s="1"/>
  <c r="V1849" i="2" a="1"/>
  <c r="V1849" i="2" s="1"/>
  <c r="V1850" i="2" a="1"/>
  <c r="V1850" i="2" s="1"/>
  <c r="V1851" i="2" s="1" a="1"/>
  <c r="V1851" i="2" s="1"/>
  <c r="V1852" i="2" a="1"/>
  <c r="V1852" i="2" s="1"/>
  <c r="V1853" i="2" s="1" a="1"/>
  <c r="V1853" i="2" s="1"/>
  <c r="V1854" i="2" s="1" a="1"/>
  <c r="V1854" i="2" s="1"/>
  <c r="V1855" i="2" s="1" a="1"/>
  <c r="V1855" i="2" s="1"/>
  <c r="V1856" i="2" s="1" a="1"/>
  <c r="V1856" i="2" s="1"/>
  <c r="V1857" i="2" a="1"/>
  <c r="V1857" i="2" s="1"/>
  <c r="V1858" i="2" a="1"/>
  <c r="V1858" i="2" s="1"/>
  <c r="V1859" i="2" s="1" a="1"/>
  <c r="V1859" i="2" s="1"/>
  <c r="V1860" i="2" a="1"/>
  <c r="V1860" i="2" s="1"/>
  <c r="V1861" i="2" s="1" a="1"/>
  <c r="V1861" i="2" s="1"/>
  <c r="V1862" i="2" s="1" a="1"/>
  <c r="V1862" i="2" s="1"/>
  <c r="V1863" i="2" s="1" a="1"/>
  <c r="V1863" i="2" s="1"/>
  <c r="V1864" i="2" a="1"/>
  <c r="V1864" i="2" s="1"/>
  <c r="V1865" i="2" a="1"/>
  <c r="V1865" i="2" s="1"/>
  <c r="V1866" i="2" a="1"/>
  <c r="V1866" i="2" s="1"/>
  <c r="V1867" i="2" a="1"/>
  <c r="V1867" i="2" s="1"/>
  <c r="V1868" i="2" a="1"/>
  <c r="V1868" i="2" s="1"/>
  <c r="V1869" i="2" a="1"/>
  <c r="V1869" i="2" s="1"/>
  <c r="V1870" i="2" a="1"/>
  <c r="V1870" i="2" s="1"/>
  <c r="V1871" i="2" a="1"/>
  <c r="V1871" i="2" s="1"/>
  <c r="V1872" i="2" a="1"/>
  <c r="V1872" i="2" s="1"/>
  <c r="V1873" i="2" a="1"/>
  <c r="V1873" i="2" s="1"/>
  <c r="V1874" i="2" a="1"/>
  <c r="V1874" i="2" s="1"/>
  <c r="V1875" i="2" s="1" a="1"/>
  <c r="V1875" i="2" s="1"/>
  <c r="V1876" i="2" s="1" a="1"/>
  <c r="V1876" i="2" s="1"/>
  <c r="V1877" i="2" s="1" a="1"/>
  <c r="V1877" i="2" s="1"/>
  <c r="V1878" i="2" s="1" a="1"/>
  <c r="V1878" i="2" s="1"/>
  <c r="V1879" i="2" a="1"/>
  <c r="V1879" i="2" s="1"/>
  <c r="V1880" i="2" s="1" a="1"/>
  <c r="V1880" i="2" s="1"/>
  <c r="V1881" i="2" s="1" a="1"/>
  <c r="V1881" i="2" s="1"/>
  <c r="V1882" i="2" s="1" a="1"/>
  <c r="V1882" i="2" s="1"/>
  <c r="V1883" i="2" a="1"/>
  <c r="V1883" i="2" s="1"/>
  <c r="V1884" i="2" a="1"/>
  <c r="V1884" i="2" s="1"/>
  <c r="V1885" i="2" s="1" a="1"/>
  <c r="V1885" i="2" s="1"/>
  <c r="V1886" i="2" a="1"/>
  <c r="V1886" i="2" s="1"/>
  <c r="V1887" i="2" s="1" a="1"/>
  <c r="V1887" i="2" s="1"/>
  <c r="V1888" i="2" s="1" a="1"/>
  <c r="V1888" i="2" s="1"/>
  <c r="V1889" i="2" s="1" a="1"/>
  <c r="V1889" i="2" s="1"/>
  <c r="V1890" i="2" a="1"/>
  <c r="V1890" i="2" s="1"/>
  <c r="V1891" i="2" a="1"/>
  <c r="V1891" i="2" s="1"/>
  <c r="V1892" i="2" s="1" a="1"/>
  <c r="V1892" i="2" s="1"/>
  <c r="V1893" i="2" a="1"/>
  <c r="V1893" i="2" s="1"/>
  <c r="V1894" i="2" s="1" a="1"/>
  <c r="V1894" i="2" s="1"/>
  <c r="V1895" i="2" s="1" a="1"/>
  <c r="V1895" i="2" s="1"/>
  <c r="V1896" i="2" a="1"/>
  <c r="V1896" i="2" s="1"/>
  <c r="V1897" i="2" a="1"/>
  <c r="V1897" i="2" s="1"/>
  <c r="V1898" i="2" s="1" a="1"/>
  <c r="V1898" i="2" s="1"/>
  <c r="V1899" i="2" a="1"/>
  <c r="V1899" i="2" s="1"/>
  <c r="V1900" i="2" a="1"/>
  <c r="V1900" i="2" s="1"/>
  <c r="V1901" i="2" a="1"/>
  <c r="V1901" i="2" s="1"/>
  <c r="V1902" i="2" s="1" a="1"/>
  <c r="V1902" i="2" s="1"/>
  <c r="V1903" i="2" a="1"/>
  <c r="V1903" i="2" s="1"/>
  <c r="V1904" i="2" a="1"/>
  <c r="V1904" i="2" s="1"/>
  <c r="V1905" i="2" a="1"/>
  <c r="V1905" i="2" s="1"/>
  <c r="V1906" i="2" s="1" a="1"/>
  <c r="V1906" i="2" s="1"/>
  <c r="V1907" i="2" a="1"/>
  <c r="V1907" i="2" s="1"/>
  <c r="V1908" i="2" s="1" a="1"/>
  <c r="V1908" i="2" s="1"/>
  <c r="V1909" i="2" s="1" a="1"/>
  <c r="V1909" i="2" s="1"/>
  <c r="V1910" i="2" a="1"/>
  <c r="V1910" i="2" s="1"/>
  <c r="V1911" i="2" a="1"/>
  <c r="V1911" i="2" s="1"/>
  <c r="V1912" i="2" s="1" a="1"/>
  <c r="V1912" i="2" s="1"/>
  <c r="V1913" i="2" a="1"/>
  <c r="V1913" i="2" s="1"/>
  <c r="V1914" i="2" a="1"/>
  <c r="V1914" i="2" s="1"/>
  <c r="V1915" i="2" a="1"/>
  <c r="V1915" i="2" s="1"/>
  <c r="V1916" i="2" s="1" a="1"/>
  <c r="V1916" i="2" s="1"/>
  <c r="V1917" i="2" a="1"/>
  <c r="V1917" i="2" s="1"/>
  <c r="V1918" i="2" a="1"/>
  <c r="V1918" i="2" s="1"/>
  <c r="V1919" i="2" a="1"/>
  <c r="V1919" i="2" s="1"/>
  <c r="V1920" i="2" s="1" a="1"/>
  <c r="V1920" i="2" s="1"/>
  <c r="V1921" i="2" a="1"/>
  <c r="V1921" i="2" s="1"/>
  <c r="V1922" i="2" a="1"/>
  <c r="V1922" i="2" s="1"/>
  <c r="V1923" i="2" a="1"/>
  <c r="V1923" i="2" s="1"/>
  <c r="V1924" i="2" s="1" a="1"/>
  <c r="V1924" i="2" s="1"/>
  <c r="V1925" i="2" a="1"/>
  <c r="V1925" i="2" s="1"/>
  <c r="V1926" i="2" s="1" a="1"/>
  <c r="V1926" i="2" s="1"/>
  <c r="V1927" i="2" a="1"/>
  <c r="V1927" i="2" s="1"/>
  <c r="V1928" i="2" a="1"/>
  <c r="V1928" i="2" s="1"/>
  <c r="V1929" i="2" s="1" a="1"/>
  <c r="V1929" i="2" s="1"/>
  <c r="V1930" i="2" a="1"/>
  <c r="V1930" i="2" s="1"/>
  <c r="V1931" i="2" a="1"/>
  <c r="V1931" i="2" s="1"/>
  <c r="V1932" i="2" a="1"/>
  <c r="V1932" i="2" s="1"/>
  <c r="V1933" i="2" s="1" a="1"/>
  <c r="V1933" i="2" s="1"/>
  <c r="V1934" i="2" a="1"/>
  <c r="V1934" i="2" s="1"/>
  <c r="V1935" i="2" a="1"/>
  <c r="V1935" i="2" s="1"/>
  <c r="V1936" i="2" a="1"/>
  <c r="V1936" i="2" s="1"/>
  <c r="V1937" i="2" s="1" a="1"/>
  <c r="V1937" i="2" s="1"/>
  <c r="V1938" i="2" a="1"/>
  <c r="V1938" i="2" s="1"/>
  <c r="V1939" i="2" a="1"/>
  <c r="V1939" i="2" s="1"/>
  <c r="V1940" i="2" a="1"/>
  <c r="V1940" i="2" s="1"/>
  <c r="V1941" i="2" s="1" a="1"/>
  <c r="V1941" i="2" s="1"/>
  <c r="V1942" i="2" a="1"/>
  <c r="V1942" i="2" s="1"/>
  <c r="V1943" i="2" a="1"/>
  <c r="V1943" i="2" s="1"/>
  <c r="V1944" i="2" a="1"/>
  <c r="V1944" i="2" s="1"/>
  <c r="V1945" i="2" s="1" a="1"/>
  <c r="V1945" i="2" s="1"/>
  <c r="V1946" i="2" a="1"/>
  <c r="V1946" i="2" s="1"/>
  <c r="V1947" i="2" s="1" a="1"/>
  <c r="V1947" i="2" s="1"/>
  <c r="V1948" i="2" s="1" a="1"/>
  <c r="V1948" i="2" s="1"/>
  <c r="V1949" i="2" s="1" a="1"/>
  <c r="V1949" i="2" s="1"/>
  <c r="V1950" i="2" s="1" a="1"/>
  <c r="V1950" i="2" s="1"/>
  <c r="V1951" i="2" s="1" a="1"/>
  <c r="V1951" i="2" s="1"/>
  <c r="V1952" i="2" a="1"/>
  <c r="V1952" i="2" s="1"/>
  <c r="V1953" i="2" a="1"/>
  <c r="V1953" i="2" s="1"/>
  <c r="V1954" i="2" s="1" a="1"/>
  <c r="V1954" i="2" s="1"/>
  <c r="V1955" i="2" a="1"/>
  <c r="V1955" i="2" s="1"/>
  <c r="V1956" i="2" s="1" a="1"/>
  <c r="V1956" i="2" s="1"/>
  <c r="V1957" i="2" s="1" a="1"/>
  <c r="V1957" i="2" s="1"/>
  <c r="V1958" i="2" s="1" a="1"/>
  <c r="V1958" i="2" s="1"/>
  <c r="V1959" i="2" a="1"/>
  <c r="V1959" i="2" s="1"/>
  <c r="V1960" i="2" a="1"/>
  <c r="V1960" i="2" s="1"/>
  <c r="V1961" i="2" s="1" a="1"/>
  <c r="V1961" i="2" s="1"/>
  <c r="V1962" i="2" a="1"/>
  <c r="V1962" i="2" s="1"/>
  <c r="V1963" i="2" s="1" a="1"/>
  <c r="V1963" i="2" s="1"/>
  <c r="V1964" i="2" s="1" a="1"/>
  <c r="V1964" i="2" s="1"/>
  <c r="V1965" i="2" s="1" a="1"/>
  <c r="V1965" i="2" s="1"/>
  <c r="V1966" i="2" s="1" a="1"/>
  <c r="V1966" i="2" s="1"/>
  <c r="V1967" i="2" s="1" a="1"/>
  <c r="V1967" i="2" s="1"/>
  <c r="V1968" i="2" a="1"/>
  <c r="V1968" i="2" s="1"/>
  <c r="V1969" i="2" a="1"/>
  <c r="V1969" i="2" s="1"/>
  <c r="V1970" i="2" s="1" a="1"/>
  <c r="V1970" i="2" s="1"/>
  <c r="V1971" i="2" a="1"/>
  <c r="V1971" i="2" s="1"/>
  <c r="V1972" i="2" a="1"/>
  <c r="V1972" i="2" s="1"/>
  <c r="V1973" i="2" a="1"/>
  <c r="V1973" i="2" s="1"/>
  <c r="V1974" i="2" s="1" a="1"/>
  <c r="V1974" i="2" s="1"/>
  <c r="V1975" i="2" a="1"/>
  <c r="V1975" i="2" s="1"/>
  <c r="V1976" i="2" a="1"/>
  <c r="V1976" i="2" s="1"/>
  <c r="V1977" i="2" a="1"/>
  <c r="V1977" i="2" s="1"/>
  <c r="V1978" i="2" s="1" a="1"/>
  <c r="V1978" i="2" s="1"/>
  <c r="V1979" i="2" a="1"/>
  <c r="V1979" i="2" s="1"/>
  <c r="V1980" i="2" a="1"/>
  <c r="V1980" i="2" s="1"/>
  <c r="V1981" i="2" a="1"/>
  <c r="V1981" i="2" s="1"/>
  <c r="V1982" i="2" s="1" a="1"/>
  <c r="V1982" i="2" s="1"/>
  <c r="V1983" i="2" a="1"/>
  <c r="V1983" i="2" s="1"/>
  <c r="V1984" i="2" s="1" a="1"/>
  <c r="V1984" i="2" s="1"/>
  <c r="V1985" i="2" a="1"/>
  <c r="V1985" i="2" s="1"/>
  <c r="V1986" i="2" a="1"/>
  <c r="V1986" i="2" s="1"/>
  <c r="V1987" i="2" s="1" a="1"/>
  <c r="V1987" i="2" s="1"/>
  <c r="V1988" i="2" a="1"/>
  <c r="V1988" i="2" s="1"/>
  <c r="V1989" i="2" s="1" a="1"/>
  <c r="V1989" i="2" s="1"/>
  <c r="V1990" i="2" a="1"/>
  <c r="V1990" i="2" s="1"/>
  <c r="V1991" i="2" a="1"/>
  <c r="V1991" i="2" s="1"/>
  <c r="V1992" i="2" s="1" a="1"/>
  <c r="V1992" i="2" s="1"/>
  <c r="V1993" i="2" a="1"/>
  <c r="V1993" i="2" s="1"/>
  <c r="V1994" i="2" s="1" a="1"/>
  <c r="V1994" i="2" s="1"/>
  <c r="V1995" i="2" a="1"/>
  <c r="V1995" i="2" s="1"/>
  <c r="V1996" i="2" a="1"/>
  <c r="V1996" i="2" s="1"/>
  <c r="V1997" i="2" s="1" a="1"/>
  <c r="V1997" i="2" s="1"/>
  <c r="V1998" i="2" a="1"/>
  <c r="V1998" i="2" s="1"/>
  <c r="V1999" i="2" s="1" a="1"/>
  <c r="V1999" i="2" s="1"/>
  <c r="V2000" i="2" s="1" a="1"/>
  <c r="V2000" i="2" s="1"/>
  <c r="V2001" i="2" a="1"/>
  <c r="V2001" i="2" s="1"/>
  <c r="V2002" i="2" a="1"/>
  <c r="V2002" i="2" s="1"/>
  <c r="V2003" i="2" s="1" a="1"/>
  <c r="V2003" i="2" s="1"/>
  <c r="V2004" i="2" a="1"/>
  <c r="V2004" i="2" s="1"/>
  <c r="V2005" i="2" a="1"/>
  <c r="V2005" i="2" s="1"/>
  <c r="V2006" i="2" a="1"/>
  <c r="V2006" i="2" s="1"/>
  <c r="V2007" i="2" s="1" a="1"/>
  <c r="V2007" i="2" s="1"/>
  <c r="V2008" i="2" a="1"/>
  <c r="V2008" i="2" s="1"/>
  <c r="V2009" i="2" a="1"/>
  <c r="V2009" i="2" s="1"/>
  <c r="V2010" i="2" a="1"/>
  <c r="V2010" i="2" s="1"/>
  <c r="V2011" i="2" s="1" a="1"/>
  <c r="V2011" i="2" s="1"/>
  <c r="V2012" i="2" a="1"/>
  <c r="V2012" i="2" s="1"/>
  <c r="V2013" i="2" s="1" a="1"/>
  <c r="V2013" i="2" s="1"/>
  <c r="V2014" i="2" s="1" a="1"/>
  <c r="V2014" i="2" s="1"/>
  <c r="V2015" i="2" a="1"/>
  <c r="V2015" i="2" s="1"/>
  <c r="V2016" i="2" a="1"/>
  <c r="V2016" i="2" s="1"/>
  <c r="V2017" i="2" s="1" a="1"/>
  <c r="V2017" i="2" s="1"/>
  <c r="V2018" i="2" a="1"/>
  <c r="V2018" i="2" s="1"/>
  <c r="V2019" i="2" s="1" a="1"/>
  <c r="V2019" i="2" s="1"/>
  <c r="V2020" i="2" a="1"/>
  <c r="V2020" i="2" s="1"/>
  <c r="V2021" i="2" a="1"/>
  <c r="V2021" i="2" s="1"/>
  <c r="V2022" i="2" a="1"/>
  <c r="V2022" i="2" s="1"/>
  <c r="V2023" i="2" a="1"/>
  <c r="V2023" i="2" s="1"/>
  <c r="V2024" i="2" a="1"/>
  <c r="V2024" i="2" s="1"/>
  <c r="V2025" i="2" a="1"/>
  <c r="V2025" i="2" s="1"/>
  <c r="V2026" i="2" a="1"/>
  <c r="V2026" i="2" s="1"/>
  <c r="V2027" i="2" a="1"/>
  <c r="V2027" i="2" s="1"/>
  <c r="V2028" i="2" a="1"/>
  <c r="V2028" i="2" s="1"/>
  <c r="V2029" i="2" a="1"/>
  <c r="V2029" i="2" s="1"/>
  <c r="V2030" i="2" a="1"/>
  <c r="V2030" i="2" s="1"/>
  <c r="V2031" i="2" a="1"/>
  <c r="V2031" i="2" s="1"/>
  <c r="V2032" i="2" a="1"/>
  <c r="V2032" i="2" s="1"/>
  <c r="V2033" i="2" a="1"/>
  <c r="V2033" i="2" s="1"/>
  <c r="V2034" i="2" a="1"/>
  <c r="V2034" i="2" s="1"/>
  <c r="S1668" i="1"/>
  <c r="AC1703" i="1"/>
  <c r="AE1761" i="1"/>
  <c r="U1766" i="1"/>
  <c r="U1799" i="1"/>
  <c r="AC1803" i="1"/>
  <c r="X1837" i="1"/>
  <c r="AF1841" i="1"/>
  <c r="AF1863" i="1"/>
  <c r="Q1864" i="1"/>
  <c r="R1868" i="1"/>
  <c r="AE1868" i="1"/>
  <c r="AB1871" i="1"/>
  <c r="W1872" i="1"/>
  <c r="T1875" i="1"/>
  <c r="AG1875" i="1"/>
  <c r="AD1878" i="1"/>
  <c r="Y1879" i="1"/>
  <c r="V1882" i="1"/>
  <c r="Q1883" i="1"/>
  <c r="AF1885" i="1"/>
  <c r="AA1886" i="1"/>
  <c r="X1889" i="1"/>
  <c r="S1890" i="1"/>
  <c r="AC1893" i="1"/>
  <c r="Z1896" i="1"/>
  <c r="U1897" i="1"/>
  <c r="R1900" i="1"/>
  <c r="AE1900" i="1"/>
  <c r="AB1903" i="1"/>
  <c r="W1904" i="1"/>
  <c r="T1907" i="1"/>
  <c r="AG1907" i="1"/>
  <c r="AD1910" i="1"/>
  <c r="Y1911" i="1"/>
  <c r="V1914" i="1"/>
  <c r="Q1915" i="1"/>
  <c r="AF1917" i="1"/>
  <c r="AA1918" i="1"/>
  <c r="X1921" i="1"/>
  <c r="S1922" i="1"/>
  <c r="AC1925" i="1"/>
  <c r="Z1928" i="1"/>
  <c r="U1929" i="1"/>
  <c r="R1932" i="1"/>
  <c r="AE1932" i="1"/>
  <c r="AB1935" i="1"/>
  <c r="W1936" i="1"/>
  <c r="T1939" i="1"/>
  <c r="AG1939" i="1"/>
  <c r="AD1942" i="1"/>
  <c r="Y1943" i="1"/>
  <c r="V1946" i="1"/>
  <c r="Q1947" i="1"/>
  <c r="AF1949" i="1"/>
  <c r="AA1950" i="1"/>
  <c r="X1953" i="1"/>
  <c r="S1954" i="1"/>
  <c r="AC1957" i="1"/>
  <c r="Z1960" i="1"/>
  <c r="U1961" i="1"/>
  <c r="R1964" i="1"/>
  <c r="AE1964" i="1"/>
  <c r="AB1967" i="1"/>
  <c r="W1968" i="1"/>
  <c r="T1971" i="1"/>
  <c r="AG1971" i="1"/>
  <c r="AD1974" i="1"/>
  <c r="Y1975" i="1"/>
  <c r="V1978" i="1"/>
  <c r="Q1979" i="1"/>
  <c r="AF1981" i="1"/>
  <c r="AA1982" i="1"/>
  <c r="W1985" i="1"/>
  <c r="X1985" i="1"/>
  <c r="AC1987" i="1"/>
  <c r="AD1987" i="1"/>
  <c r="AA1988" i="1"/>
  <c r="AB1988" i="1"/>
  <c r="Y1989" i="1"/>
  <c r="Z1989" i="1"/>
  <c r="W1990" i="1"/>
  <c r="X1990" i="1"/>
  <c r="U1991" i="1"/>
  <c r="V1991" i="1"/>
  <c r="S1992" i="1"/>
  <c r="T1992" i="1"/>
  <c r="Q1993" i="1"/>
  <c r="R1993" i="1"/>
  <c r="AH1993" i="1"/>
  <c r="AE1994" i="1"/>
  <c r="AF1994" i="1"/>
  <c r="AC1995" i="1"/>
  <c r="AD1995" i="1"/>
  <c r="AA1996" i="1"/>
  <c r="AB1996" i="1"/>
  <c r="Y1997" i="1"/>
  <c r="Z1997" i="1"/>
  <c r="W1998" i="1"/>
  <c r="X1998" i="1"/>
  <c r="U1999" i="1"/>
  <c r="V1999" i="1"/>
  <c r="S2000" i="1"/>
  <c r="T2000" i="1"/>
  <c r="Q2001" i="1"/>
  <c r="R2001" i="1"/>
  <c r="AH2001" i="1"/>
  <c r="AE2002" i="1"/>
  <c r="AF2002" i="1"/>
  <c r="AC2003" i="1"/>
  <c r="AD2003" i="1"/>
  <c r="AA2004" i="1"/>
  <c r="AB2004" i="1"/>
  <c r="Y2005" i="1"/>
  <c r="Z2005" i="1"/>
  <c r="W2006" i="1"/>
  <c r="X2006" i="1"/>
  <c r="U2007" i="1"/>
  <c r="V2007" i="1"/>
  <c r="S2008" i="1"/>
  <c r="T2008" i="1"/>
  <c r="Q2009" i="1"/>
  <c r="R2009" i="1"/>
  <c r="AH2009" i="1"/>
  <c r="AE2010" i="1"/>
  <c r="AF2010" i="1"/>
  <c r="AC2011" i="1"/>
  <c r="AD2011" i="1"/>
  <c r="AA2012" i="1"/>
  <c r="AB2012" i="1"/>
  <c r="Y2013" i="1"/>
  <c r="Z2013" i="1"/>
  <c r="W2014" i="1"/>
  <c r="X2014" i="1"/>
  <c r="U2015" i="1"/>
  <c r="V2015" i="1"/>
  <c r="S2016" i="1"/>
  <c r="T2016" i="1"/>
  <c r="Q2017" i="1"/>
  <c r="R2017" i="1"/>
  <c r="AH2017" i="1"/>
  <c r="AE2018" i="1"/>
  <c r="AF2018" i="1"/>
  <c r="AC2019" i="1"/>
  <c r="AD2019" i="1"/>
  <c r="AA2020" i="1"/>
  <c r="AB2020" i="1"/>
  <c r="Y2021" i="1"/>
  <c r="Z2021" i="1"/>
  <c r="W2022" i="1"/>
  <c r="X2022" i="1"/>
  <c r="U2023" i="1"/>
  <c r="V2023" i="1"/>
  <c r="S2024" i="1"/>
  <c r="T2024" i="1"/>
  <c r="Q2025" i="1"/>
  <c r="R2025" i="1"/>
  <c r="AH2025" i="1"/>
  <c r="AE2026" i="1"/>
  <c r="AF2026" i="1"/>
  <c r="AC2027" i="1"/>
  <c r="AD2027" i="1"/>
  <c r="AA2028" i="1"/>
  <c r="AB2028" i="1"/>
  <c r="Y2029" i="1"/>
  <c r="Z2029" i="1"/>
  <c r="W2030" i="1"/>
  <c r="X2030" i="1"/>
  <c r="U2031" i="1"/>
  <c r="V2031" i="1"/>
  <c r="S2032" i="1"/>
  <c r="T2032" i="1"/>
  <c r="Q2033" i="1"/>
  <c r="R2033" i="1"/>
  <c r="AH2033" i="1"/>
  <c r="AE2034" i="1"/>
  <c r="AF2034" i="1"/>
  <c r="AC2035" i="1"/>
  <c r="AD2035" i="1"/>
  <c r="AA2036" i="1"/>
  <c r="AB2036" i="1"/>
  <c r="Y2037" i="1"/>
  <c r="Z2037" i="1"/>
  <c r="W2038" i="1"/>
  <c r="X2038" i="1"/>
  <c r="U2039" i="1"/>
  <c r="V2039" i="1"/>
  <c r="S2040" i="1"/>
  <c r="T2040" i="1"/>
  <c r="Q2041" i="1"/>
  <c r="R2041" i="1"/>
  <c r="AH2041" i="1"/>
  <c r="AE2042" i="1"/>
  <c r="AF2042" i="1"/>
  <c r="AC2043" i="1"/>
  <c r="AD2043" i="1"/>
  <c r="AA2044" i="1"/>
  <c r="AB2044" i="1"/>
  <c r="P2036" i="1"/>
  <c r="P2035" i="1"/>
  <c r="P2020" i="1"/>
  <c r="P2019" i="1"/>
  <c r="P2004" i="1"/>
  <c r="P2003" i="1"/>
  <c r="P1988" i="1"/>
  <c r="P1987" i="1"/>
  <c r="P1972" i="1"/>
  <c r="P1971" i="1"/>
  <c r="P1956" i="1"/>
  <c r="P1955" i="1"/>
  <c r="P1940" i="1"/>
  <c r="P1939" i="1"/>
  <c r="P1924" i="1"/>
  <c r="P1923" i="1"/>
  <c r="P1908" i="1"/>
  <c r="P1907" i="1"/>
  <c r="P1892" i="1"/>
  <c r="P1891" i="1"/>
  <c r="P1876" i="1"/>
  <c r="P1875" i="1"/>
  <c r="P1860" i="1"/>
  <c r="P1859" i="1"/>
  <c r="P1844" i="1"/>
  <c r="P1843" i="1"/>
  <c r="P1828" i="1"/>
  <c r="P1827" i="1"/>
  <c r="P1812" i="1"/>
  <c r="P1811" i="1"/>
  <c r="P1796" i="1"/>
  <c r="P1795" i="1"/>
  <c r="P1780" i="1"/>
  <c r="P1779" i="1"/>
  <c r="P1764" i="1"/>
  <c r="P1763" i="1"/>
  <c r="P1748" i="1"/>
  <c r="P1747" i="1"/>
  <c r="P1732" i="1"/>
  <c r="P1731" i="1"/>
  <c r="P1716" i="1"/>
  <c r="P1715" i="1"/>
  <c r="P1700" i="1"/>
  <c r="P1699" i="1"/>
  <c r="P1684" i="1"/>
  <c r="P1683" i="1"/>
  <c r="P1668" i="1"/>
  <c r="P1667" i="1"/>
  <c r="P1652" i="1"/>
  <c r="P1651" i="1"/>
  <c r="P1636" i="1"/>
  <c r="P1635" i="1"/>
  <c r="P1620" i="1"/>
  <c r="P1619" i="1"/>
  <c r="P1604" i="1"/>
  <c r="P1603" i="1"/>
  <c r="P1588" i="1"/>
  <c r="P1587" i="1"/>
  <c r="P1572" i="1"/>
  <c r="P1571" i="1"/>
  <c r="P1556" i="1"/>
  <c r="P1555" i="1"/>
  <c r="P1540" i="1"/>
  <c r="P1539" i="1"/>
  <c r="P1524" i="1"/>
  <c r="P1523" i="1"/>
  <c r="P1508" i="1"/>
  <c r="P1507" i="1"/>
  <c r="P1492" i="1"/>
  <c r="P1491" i="1"/>
  <c r="P1476" i="1"/>
  <c r="P1475" i="1"/>
  <c r="P1460" i="1"/>
  <c r="P1459" i="1"/>
  <c r="P1444" i="1"/>
  <c r="P1443" i="1"/>
  <c r="P1428" i="1"/>
  <c r="P1427" i="1"/>
  <c r="P1412" i="1"/>
  <c r="P1411" i="1"/>
  <c r="P1396" i="1"/>
  <c r="P1395" i="1"/>
  <c r="P1380" i="1"/>
  <c r="P1379" i="1"/>
  <c r="P1364" i="1"/>
  <c r="P1363" i="1"/>
  <c r="P1348" i="1"/>
  <c r="P1347" i="1"/>
  <c r="P1332" i="1"/>
  <c r="P1331" i="1"/>
  <c r="P1316" i="1"/>
  <c r="P1315" i="1"/>
  <c r="P1300" i="1"/>
  <c r="P1299" i="1"/>
  <c r="P1284" i="1"/>
  <c r="P1283" i="1"/>
  <c r="P1268" i="1"/>
  <c r="P1267" i="1"/>
  <c r="P1252" i="1"/>
  <c r="P1251" i="1"/>
  <c r="P1236" i="1"/>
  <c r="P1235" i="1"/>
  <c r="P1220" i="1"/>
  <c r="P1219" i="1"/>
  <c r="P1204" i="1"/>
  <c r="P1203" i="1"/>
  <c r="P1188" i="1"/>
  <c r="P1187" i="1"/>
  <c r="P1172" i="1"/>
  <c r="P1171" i="1"/>
  <c r="P1156" i="1"/>
  <c r="P1155" i="1"/>
  <c r="P1140" i="1"/>
  <c r="P1139" i="1"/>
  <c r="P1124" i="1"/>
  <c r="P1123" i="1"/>
  <c r="P1108" i="1"/>
  <c r="P1107" i="1"/>
  <c r="P1092" i="1"/>
  <c r="P1091" i="1"/>
  <c r="P1076" i="1"/>
  <c r="P1075" i="1"/>
  <c r="P1060" i="1"/>
  <c r="P1059" i="1"/>
  <c r="P1044" i="1"/>
  <c r="P1043" i="1"/>
  <c r="P1028" i="1"/>
  <c r="P1027" i="1"/>
  <c r="P1012" i="1"/>
  <c r="P1011" i="1"/>
  <c r="P996" i="1"/>
  <c r="P995" i="1"/>
  <c r="P980" i="1"/>
  <c r="P979" i="1"/>
  <c r="P964" i="1"/>
  <c r="P963" i="1"/>
  <c r="P948" i="1"/>
  <c r="P947" i="1"/>
  <c r="P932" i="1"/>
  <c r="P931" i="1"/>
  <c r="P916" i="1"/>
  <c r="P915" i="1"/>
  <c r="P900" i="1"/>
  <c r="P899" i="1"/>
  <c r="P884" i="1"/>
  <c r="P883" i="1"/>
  <c r="P868" i="1"/>
  <c r="P867" i="1"/>
  <c r="P852" i="1"/>
  <c r="P851" i="1"/>
  <c r="P836" i="1"/>
  <c r="P835" i="1"/>
  <c r="P820" i="1"/>
  <c r="P819" i="1"/>
  <c r="P804" i="1"/>
  <c r="P803" i="1"/>
  <c r="P788" i="1"/>
  <c r="P787" i="1"/>
  <c r="P772" i="1"/>
  <c r="P771" i="1"/>
  <c r="P756" i="1"/>
  <c r="P755" i="1"/>
  <c r="P740" i="1"/>
  <c r="P739" i="1"/>
  <c r="P724" i="1"/>
  <c r="P723" i="1"/>
  <c r="P708" i="1"/>
  <c r="P707" i="1"/>
  <c r="P692" i="1"/>
  <c r="P691" i="1"/>
  <c r="P676" i="1"/>
  <c r="P675" i="1"/>
  <c r="P660" i="1"/>
  <c r="P659" i="1"/>
  <c r="P644" i="1"/>
  <c r="P643" i="1"/>
  <c r="P628" i="1"/>
  <c r="P627" i="1"/>
  <c r="P612" i="1"/>
  <c r="P611" i="1"/>
  <c r="P596" i="1"/>
  <c r="P595" i="1"/>
  <c r="P580" i="1"/>
  <c r="P579" i="1"/>
  <c r="P564" i="1"/>
  <c r="P563" i="1"/>
  <c r="P548" i="1"/>
  <c r="P547" i="1"/>
  <c r="P532" i="1"/>
  <c r="P531" i="1"/>
  <c r="P516" i="1"/>
  <c r="P515" i="1"/>
  <c r="P500" i="1"/>
  <c r="P499" i="1"/>
  <c r="P484" i="1"/>
  <c r="P483" i="1"/>
  <c r="P468" i="1"/>
  <c r="P467" i="1"/>
  <c r="P452" i="1"/>
  <c r="P451" i="1"/>
  <c r="P436" i="1"/>
  <c r="P435" i="1"/>
  <c r="P420" i="1"/>
  <c r="P419" i="1"/>
  <c r="P404" i="1"/>
  <c r="P403" i="1"/>
  <c r="P388" i="1"/>
  <c r="P387" i="1"/>
  <c r="P372" i="1"/>
  <c r="P371" i="1"/>
  <c r="P356" i="1"/>
  <c r="P355" i="1"/>
  <c r="P340" i="1"/>
  <c r="P339" i="1"/>
  <c r="P324" i="1"/>
  <c r="P323" i="1"/>
  <c r="P308" i="1"/>
  <c r="P307" i="1"/>
  <c r="P292" i="1"/>
  <c r="P291" i="1"/>
  <c r="P276" i="1"/>
  <c r="P275" i="1"/>
  <c r="P260" i="1"/>
  <c r="P259" i="1"/>
  <c r="P244" i="1"/>
  <c r="P243" i="1"/>
  <c r="P228" i="1"/>
  <c r="P227" i="1"/>
  <c r="P212" i="1"/>
  <c r="P211" i="1"/>
  <c r="P196" i="1"/>
  <c r="P195" i="1"/>
  <c r="P180" i="1"/>
  <c r="P179" i="1"/>
  <c r="P164" i="1"/>
  <c r="P163" i="1"/>
  <c r="P148" i="1"/>
  <c r="P147" i="1"/>
  <c r="P132" i="1"/>
  <c r="P131" i="1"/>
  <c r="P116" i="1"/>
  <c r="P115" i="1"/>
  <c r="P100" i="1"/>
  <c r="P99" i="1"/>
  <c r="P84" i="1"/>
  <c r="P83" i="1"/>
  <c r="P68" i="1"/>
  <c r="P67" i="1"/>
  <c r="P52" i="1"/>
  <c r="P51" i="1"/>
  <c r="P36" i="1"/>
  <c r="P35" i="1"/>
  <c r="AH26" i="1"/>
  <c r="AE26" i="1"/>
  <c r="AE12" i="1"/>
  <c r="AD14" i="1"/>
  <c r="AD15" i="1"/>
  <c r="AC15" i="1"/>
  <c r="AC16" i="1"/>
  <c r="AB15" i="1"/>
  <c r="AB16" i="1"/>
  <c r="AA15" i="1"/>
  <c r="AA16" i="1"/>
  <c r="Z15" i="1"/>
  <c r="Z16" i="1"/>
  <c r="Y16" i="1"/>
  <c r="Y17" i="1"/>
  <c r="X17" i="1"/>
  <c r="X18" i="1"/>
  <c r="W18" i="1"/>
  <c r="W19" i="1"/>
  <c r="V18" i="1"/>
  <c r="V19" i="1"/>
  <c r="U18" i="1"/>
  <c r="U19" i="1"/>
  <c r="T19" i="1"/>
  <c r="T20" i="1"/>
  <c r="S19" i="1"/>
  <c r="S20" i="1"/>
  <c r="R19" i="1"/>
  <c r="R20" i="1"/>
  <c r="AG15" i="1"/>
  <c r="AG12" i="1"/>
  <c r="V8" i="1"/>
  <c r="W8" i="1"/>
  <c r="X8" i="1"/>
  <c r="X1873" i="1" s="1"/>
  <c r="Y8" i="1"/>
  <c r="Y1895" i="1" s="1"/>
  <c r="Z8" i="1"/>
  <c r="AA1747" i="1" s="1"/>
  <c r="AA8" i="1"/>
  <c r="AB8" i="1"/>
  <c r="AC8" i="1"/>
  <c r="AD8" i="1"/>
  <c r="AD1794" i="1" s="1"/>
  <c r="AE8" i="1"/>
  <c r="AF8" i="1"/>
  <c r="AG8" i="1"/>
  <c r="AH1883" i="1" s="1"/>
  <c r="AH8" i="1"/>
  <c r="AI8" i="1"/>
  <c r="AJ8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I22" i="1" s="1"/>
  <c r="AJ9" i="1"/>
  <c r="R8" i="1"/>
  <c r="R9" i="1"/>
  <c r="S8" i="1"/>
  <c r="S9" i="1"/>
  <c r="T8" i="1"/>
  <c r="U8" i="1"/>
  <c r="U1775" i="1" s="1"/>
  <c r="T9" i="1"/>
  <c r="U9" i="1"/>
  <c r="Q8" i="1"/>
  <c r="S1832" i="1" s="1"/>
  <c r="P8" i="1"/>
  <c r="P13" i="1" s="1"/>
  <c r="Q9" i="1"/>
  <c r="P9" i="1"/>
  <c r="V5" i="2" l="1" a="1"/>
  <c r="V5" i="2" s="1"/>
  <c r="V6" i="2" s="1" a="1"/>
  <c r="V6" i="2" s="1"/>
  <c r="W6" i="2" s="1"/>
  <c r="W9" i="2"/>
  <c r="W8" i="2"/>
  <c r="X8" i="2"/>
  <c r="Y8" i="2" s="1"/>
  <c r="X4" i="2"/>
  <c r="Y4" i="2" s="1"/>
  <c r="W4" i="2"/>
  <c r="W164" i="2"/>
  <c r="X151" i="2"/>
  <c r="Y151" i="2" s="1"/>
  <c r="X1339" i="2"/>
  <c r="Y1339" i="2" s="1"/>
  <c r="W1699" i="2"/>
  <c r="X806" i="2"/>
  <c r="Y806" i="2" s="1"/>
  <c r="X1191" i="2"/>
  <c r="Y1191" i="2" s="1"/>
  <c r="AJ18" i="1"/>
  <c r="AF33" i="1"/>
  <c r="AF41" i="1"/>
  <c r="AF49" i="1"/>
  <c r="AF27" i="1"/>
  <c r="AF35" i="1"/>
  <c r="AF43" i="1"/>
  <c r="AF28" i="1"/>
  <c r="AF36" i="1"/>
  <c r="AF44" i="1"/>
  <c r="AF31" i="1"/>
  <c r="AF39" i="1"/>
  <c r="AF47" i="1"/>
  <c r="AF32" i="1"/>
  <c r="AF53" i="1"/>
  <c r="AF61" i="1"/>
  <c r="AF69" i="1"/>
  <c r="AF77" i="1"/>
  <c r="AF85" i="1"/>
  <c r="AF45" i="1"/>
  <c r="AF55" i="1"/>
  <c r="AF63" i="1"/>
  <c r="AF71" i="1"/>
  <c r="AF79" i="1"/>
  <c r="AF34" i="1"/>
  <c r="AF42" i="1"/>
  <c r="AF56" i="1"/>
  <c r="AF64" i="1"/>
  <c r="AF72" i="1"/>
  <c r="AF80" i="1"/>
  <c r="AF57" i="1"/>
  <c r="AF65" i="1"/>
  <c r="AF73" i="1"/>
  <c r="AF30" i="1"/>
  <c r="AF51" i="1"/>
  <c r="AF59" i="1"/>
  <c r="AF67" i="1"/>
  <c r="AF75" i="1"/>
  <c r="AF83" i="1"/>
  <c r="AF38" i="1"/>
  <c r="AF92" i="1"/>
  <c r="AF100" i="1"/>
  <c r="AF108" i="1"/>
  <c r="AF116" i="1"/>
  <c r="AF124" i="1"/>
  <c r="AF46" i="1"/>
  <c r="AF66" i="1"/>
  <c r="AF76" i="1"/>
  <c r="AF82" i="1"/>
  <c r="AF58" i="1"/>
  <c r="AF68" i="1"/>
  <c r="AF78" i="1"/>
  <c r="AF94" i="1"/>
  <c r="AF102" i="1"/>
  <c r="AF110" i="1"/>
  <c r="AF118" i="1"/>
  <c r="AF50" i="1"/>
  <c r="AF60" i="1"/>
  <c r="AF70" i="1"/>
  <c r="AF52" i="1"/>
  <c r="AF62" i="1"/>
  <c r="AF95" i="1"/>
  <c r="AF103" i="1"/>
  <c r="AF111" i="1"/>
  <c r="AF54" i="1"/>
  <c r="AF29" i="1"/>
  <c r="AF84" i="1"/>
  <c r="AF96" i="1"/>
  <c r="AF104" i="1"/>
  <c r="AF112" i="1"/>
  <c r="AF120" i="1"/>
  <c r="AF128" i="1"/>
  <c r="AF87" i="1"/>
  <c r="AF86" i="1"/>
  <c r="AF105" i="1"/>
  <c r="AF115" i="1"/>
  <c r="AF130" i="1"/>
  <c r="AF138" i="1"/>
  <c r="AF146" i="1"/>
  <c r="AF154" i="1"/>
  <c r="AF162" i="1"/>
  <c r="AF170" i="1"/>
  <c r="AF91" i="1"/>
  <c r="AF93" i="1"/>
  <c r="AF127" i="1"/>
  <c r="AF37" i="1"/>
  <c r="AF132" i="1"/>
  <c r="AF140" i="1"/>
  <c r="AF148" i="1"/>
  <c r="AF156" i="1"/>
  <c r="AF164" i="1"/>
  <c r="AF126" i="1"/>
  <c r="AF121" i="1"/>
  <c r="AF133" i="1"/>
  <c r="AF141" i="1"/>
  <c r="AF149" i="1"/>
  <c r="AF157" i="1"/>
  <c r="AF165" i="1"/>
  <c r="AF114" i="1"/>
  <c r="AF81" i="1"/>
  <c r="AF106" i="1"/>
  <c r="AF125" i="1"/>
  <c r="AF134" i="1"/>
  <c r="AF142" i="1"/>
  <c r="AF150" i="1"/>
  <c r="AF158" i="1"/>
  <c r="AF40" i="1"/>
  <c r="AF98" i="1"/>
  <c r="AF136" i="1"/>
  <c r="AF144" i="1"/>
  <c r="AF152" i="1"/>
  <c r="AF160" i="1"/>
  <c r="AF168" i="1"/>
  <c r="AF88" i="1"/>
  <c r="AF101" i="1"/>
  <c r="AF151" i="1"/>
  <c r="AF161" i="1"/>
  <c r="AF48" i="1"/>
  <c r="AF97" i="1"/>
  <c r="AF143" i="1"/>
  <c r="AF153" i="1"/>
  <c r="AF163" i="1"/>
  <c r="AF180" i="1"/>
  <c r="AF188" i="1"/>
  <c r="AF196" i="1"/>
  <c r="AF204" i="1"/>
  <c r="AF212" i="1"/>
  <c r="AF123" i="1"/>
  <c r="AF135" i="1"/>
  <c r="AF145" i="1"/>
  <c r="AF155" i="1"/>
  <c r="AF167" i="1"/>
  <c r="AF131" i="1"/>
  <c r="AF182" i="1"/>
  <c r="AF190" i="1"/>
  <c r="AF198" i="1"/>
  <c r="AF206" i="1"/>
  <c r="AF89" i="1"/>
  <c r="AF90" i="1"/>
  <c r="AF117" i="1"/>
  <c r="AF171" i="1"/>
  <c r="AF172" i="1"/>
  <c r="AF173" i="1"/>
  <c r="AF174" i="1"/>
  <c r="AF175" i="1"/>
  <c r="AF183" i="1"/>
  <c r="AF191" i="1"/>
  <c r="AF199" i="1"/>
  <c r="AF207" i="1"/>
  <c r="AF113" i="1"/>
  <c r="AF166" i="1"/>
  <c r="AF169" i="1"/>
  <c r="AF74" i="1"/>
  <c r="AF99" i="1"/>
  <c r="AF176" i="1"/>
  <c r="AF184" i="1"/>
  <c r="AF192" i="1"/>
  <c r="AF200" i="1"/>
  <c r="AF208" i="1"/>
  <c r="AF122" i="1"/>
  <c r="AF178" i="1"/>
  <c r="AF186" i="1"/>
  <c r="AF194" i="1"/>
  <c r="AF107" i="1"/>
  <c r="AF119" i="1"/>
  <c r="AF217" i="1"/>
  <c r="AF225" i="1"/>
  <c r="AF233" i="1"/>
  <c r="AF241" i="1"/>
  <c r="AF249" i="1"/>
  <c r="AF257" i="1"/>
  <c r="AF109" i="1"/>
  <c r="AF139" i="1"/>
  <c r="AF187" i="1"/>
  <c r="AF201" i="1"/>
  <c r="AF218" i="1"/>
  <c r="AF226" i="1"/>
  <c r="AF234" i="1"/>
  <c r="AF242" i="1"/>
  <c r="AF250" i="1"/>
  <c r="AF258" i="1"/>
  <c r="AF197" i="1"/>
  <c r="AF203" i="1"/>
  <c r="AF220" i="1"/>
  <c r="AF228" i="1"/>
  <c r="AF236" i="1"/>
  <c r="AF244" i="1"/>
  <c r="AF252" i="1"/>
  <c r="AF205" i="1"/>
  <c r="AF195" i="1"/>
  <c r="AF213" i="1"/>
  <c r="AF221" i="1"/>
  <c r="AF229" i="1"/>
  <c r="AF237" i="1"/>
  <c r="AF147" i="1"/>
  <c r="AF181" i="1"/>
  <c r="AF193" i="1"/>
  <c r="AF209" i="1"/>
  <c r="AF214" i="1"/>
  <c r="AF222" i="1"/>
  <c r="AF230" i="1"/>
  <c r="AF238" i="1"/>
  <c r="AF246" i="1"/>
  <c r="AF254" i="1"/>
  <c r="AF177" i="1"/>
  <c r="AF189" i="1"/>
  <c r="AF235" i="1"/>
  <c r="AF211" i="1"/>
  <c r="AF261" i="1"/>
  <c r="AF269" i="1"/>
  <c r="AF277" i="1"/>
  <c r="AF285" i="1"/>
  <c r="AF293" i="1"/>
  <c r="AF301" i="1"/>
  <c r="AF309" i="1"/>
  <c r="AF317" i="1"/>
  <c r="AF129" i="1"/>
  <c r="AF159" i="1"/>
  <c r="AF202" i="1"/>
  <c r="AF248" i="1"/>
  <c r="AF185" i="1"/>
  <c r="AF224" i="1"/>
  <c r="AF263" i="1"/>
  <c r="AF271" i="1"/>
  <c r="AF279" i="1"/>
  <c r="AF287" i="1"/>
  <c r="AF295" i="1"/>
  <c r="AF303" i="1"/>
  <c r="AF311" i="1"/>
  <c r="AF319" i="1"/>
  <c r="AF179" i="1"/>
  <c r="AF264" i="1"/>
  <c r="AF272" i="1"/>
  <c r="AF280" i="1"/>
  <c r="AF288" i="1"/>
  <c r="AF296" i="1"/>
  <c r="AF304" i="1"/>
  <c r="AF215" i="1"/>
  <c r="AF256" i="1"/>
  <c r="AF137" i="1"/>
  <c r="AF265" i="1"/>
  <c r="AF273" i="1"/>
  <c r="AF281" i="1"/>
  <c r="AF289" i="1"/>
  <c r="AF297" i="1"/>
  <c r="AF305" i="1"/>
  <c r="AF313" i="1"/>
  <c r="AF227" i="1"/>
  <c r="AF245" i="1"/>
  <c r="AF247" i="1"/>
  <c r="AF251" i="1"/>
  <c r="AF259" i="1"/>
  <c r="AF267" i="1"/>
  <c r="AF275" i="1"/>
  <c r="AF283" i="1"/>
  <c r="AF291" i="1"/>
  <c r="AF299" i="1"/>
  <c r="AF307" i="1"/>
  <c r="AF216" i="1"/>
  <c r="AF276" i="1"/>
  <c r="AF310" i="1"/>
  <c r="AF315" i="1"/>
  <c r="AF321" i="1"/>
  <c r="AF329" i="1"/>
  <c r="AF337" i="1"/>
  <c r="AF345" i="1"/>
  <c r="AF353" i="1"/>
  <c r="AF361" i="1"/>
  <c r="AF369" i="1"/>
  <c r="AF377" i="1"/>
  <c r="AF385" i="1"/>
  <c r="AF393" i="1"/>
  <c r="AF401" i="1"/>
  <c r="AF409" i="1"/>
  <c r="AF417" i="1"/>
  <c r="AF425" i="1"/>
  <c r="AF433" i="1"/>
  <c r="AF223" i="1"/>
  <c r="AF262" i="1"/>
  <c r="AF274" i="1"/>
  <c r="AF300" i="1"/>
  <c r="AF312" i="1"/>
  <c r="AF322" i="1"/>
  <c r="AF330" i="1"/>
  <c r="AF338" i="1"/>
  <c r="AF346" i="1"/>
  <c r="AF354" i="1"/>
  <c r="AF362" i="1"/>
  <c r="AF370" i="1"/>
  <c r="AF378" i="1"/>
  <c r="AF386" i="1"/>
  <c r="AF394" i="1"/>
  <c r="AF402" i="1"/>
  <c r="AF410" i="1"/>
  <c r="AF418" i="1"/>
  <c r="AF426" i="1"/>
  <c r="AF210" i="1"/>
  <c r="AF253" i="1"/>
  <c r="AF286" i="1"/>
  <c r="AF298" i="1"/>
  <c r="AF260" i="1"/>
  <c r="AF314" i="1"/>
  <c r="AF323" i="1"/>
  <c r="AF331" i="1"/>
  <c r="AF339" i="1"/>
  <c r="AF347" i="1"/>
  <c r="AF355" i="1"/>
  <c r="AF363" i="1"/>
  <c r="AF371" i="1"/>
  <c r="AF379" i="1"/>
  <c r="AF387" i="1"/>
  <c r="AF395" i="1"/>
  <c r="AF403" i="1"/>
  <c r="AF411" i="1"/>
  <c r="AF419" i="1"/>
  <c r="AF427" i="1"/>
  <c r="AF243" i="1"/>
  <c r="AF231" i="1"/>
  <c r="AF284" i="1"/>
  <c r="AF324" i="1"/>
  <c r="AF332" i="1"/>
  <c r="AF340" i="1"/>
  <c r="AF348" i="1"/>
  <c r="AF356" i="1"/>
  <c r="AF364" i="1"/>
  <c r="AF372" i="1"/>
  <c r="AF380" i="1"/>
  <c r="AF388" i="1"/>
  <c r="AF396" i="1"/>
  <c r="AF404" i="1"/>
  <c r="AF412" i="1"/>
  <c r="AF420" i="1"/>
  <c r="AF428" i="1"/>
  <c r="AF232" i="1"/>
  <c r="AF270" i="1"/>
  <c r="AF282" i="1"/>
  <c r="AF219" i="1"/>
  <c r="AF325" i="1"/>
  <c r="AF333" i="1"/>
  <c r="AF341" i="1"/>
  <c r="AF349" i="1"/>
  <c r="AF357" i="1"/>
  <c r="AF365" i="1"/>
  <c r="AF373" i="1"/>
  <c r="AF381" i="1"/>
  <c r="AF389" i="1"/>
  <c r="AF397" i="1"/>
  <c r="AF405" i="1"/>
  <c r="AF413" i="1"/>
  <c r="AF421" i="1"/>
  <c r="AF239" i="1"/>
  <c r="AF294" i="1"/>
  <c r="AF268" i="1"/>
  <c r="AF326" i="1"/>
  <c r="AF334" i="1"/>
  <c r="AF342" i="1"/>
  <c r="AF350" i="1"/>
  <c r="AF358" i="1"/>
  <c r="AF366" i="1"/>
  <c r="AF374" i="1"/>
  <c r="AF382" i="1"/>
  <c r="AF390" i="1"/>
  <c r="AF398" i="1"/>
  <c r="AF406" i="1"/>
  <c r="AF414" i="1"/>
  <c r="AF422" i="1"/>
  <c r="AF430" i="1"/>
  <c r="AF255" i="1"/>
  <c r="AF266" i="1"/>
  <c r="AF292" i="1"/>
  <c r="AF306" i="1"/>
  <c r="AF316" i="1"/>
  <c r="AF327" i="1"/>
  <c r="AF335" i="1"/>
  <c r="AF343" i="1"/>
  <c r="AF351" i="1"/>
  <c r="AF359" i="1"/>
  <c r="AF367" i="1"/>
  <c r="AF375" i="1"/>
  <c r="AF383" i="1"/>
  <c r="AF391" i="1"/>
  <c r="AF399" i="1"/>
  <c r="AF407" i="1"/>
  <c r="AF415" i="1"/>
  <c r="AF423" i="1"/>
  <c r="AF240" i="1"/>
  <c r="AF278" i="1"/>
  <c r="AF290" i="1"/>
  <c r="AF320" i="1"/>
  <c r="AF352" i="1"/>
  <c r="AF384" i="1"/>
  <c r="AF416" i="1"/>
  <c r="AF441" i="1"/>
  <c r="AF449" i="1"/>
  <c r="AF457" i="1"/>
  <c r="AF465" i="1"/>
  <c r="AF308" i="1"/>
  <c r="AF431" i="1"/>
  <c r="AF434" i="1"/>
  <c r="AF442" i="1"/>
  <c r="AF450" i="1"/>
  <c r="AF458" i="1"/>
  <c r="AF466" i="1"/>
  <c r="AF328" i="1"/>
  <c r="AF360" i="1"/>
  <c r="AF392" i="1"/>
  <c r="AF424" i="1"/>
  <c r="AF429" i="1"/>
  <c r="AF435" i="1"/>
  <c r="AF443" i="1"/>
  <c r="AF451" i="1"/>
  <c r="AF459" i="1"/>
  <c r="AF467" i="1"/>
  <c r="AF475" i="1"/>
  <c r="AF436" i="1"/>
  <c r="AF444" i="1"/>
  <c r="AF452" i="1"/>
  <c r="AF460" i="1"/>
  <c r="AF468" i="1"/>
  <c r="AF302" i="1"/>
  <c r="AF336" i="1"/>
  <c r="AF368" i="1"/>
  <c r="AF400" i="1"/>
  <c r="AF437" i="1"/>
  <c r="AF445" i="1"/>
  <c r="AF453" i="1"/>
  <c r="AF461" i="1"/>
  <c r="AF469" i="1"/>
  <c r="AF432" i="1"/>
  <c r="AF318" i="1"/>
  <c r="AF438" i="1"/>
  <c r="AF446" i="1"/>
  <c r="AF454" i="1"/>
  <c r="AF462" i="1"/>
  <c r="AF344" i="1"/>
  <c r="AF376" i="1"/>
  <c r="AF408" i="1"/>
  <c r="AF439" i="1"/>
  <c r="AF447" i="1"/>
  <c r="AF455" i="1"/>
  <c r="AF463" i="1"/>
  <c r="AF484" i="1"/>
  <c r="AF492" i="1"/>
  <c r="AF500" i="1"/>
  <c r="AF508" i="1"/>
  <c r="AF516" i="1"/>
  <c r="AF524" i="1"/>
  <c r="AF532" i="1"/>
  <c r="AF540" i="1"/>
  <c r="AF548" i="1"/>
  <c r="AF556" i="1"/>
  <c r="AF564" i="1"/>
  <c r="AF572" i="1"/>
  <c r="AF580" i="1"/>
  <c r="AF588" i="1"/>
  <c r="AF596" i="1"/>
  <c r="AF604" i="1"/>
  <c r="AF464" i="1"/>
  <c r="AF476" i="1"/>
  <c r="AF485" i="1"/>
  <c r="AF493" i="1"/>
  <c r="AF501" i="1"/>
  <c r="AF509" i="1"/>
  <c r="AF517" i="1"/>
  <c r="AF525" i="1"/>
  <c r="AF533" i="1"/>
  <c r="AF541" i="1"/>
  <c r="AF549" i="1"/>
  <c r="AF557" i="1"/>
  <c r="AF565" i="1"/>
  <c r="AF573" i="1"/>
  <c r="AF581" i="1"/>
  <c r="AF589" i="1"/>
  <c r="AF597" i="1"/>
  <c r="AF605" i="1"/>
  <c r="AF477" i="1"/>
  <c r="AF478" i="1"/>
  <c r="AF486" i="1"/>
  <c r="AF494" i="1"/>
  <c r="AF502" i="1"/>
  <c r="AF510" i="1"/>
  <c r="AF518" i="1"/>
  <c r="AF526" i="1"/>
  <c r="AF534" i="1"/>
  <c r="AF542" i="1"/>
  <c r="AF550" i="1"/>
  <c r="AF558" i="1"/>
  <c r="AF566" i="1"/>
  <c r="AF574" i="1"/>
  <c r="AF582" i="1"/>
  <c r="AF590" i="1"/>
  <c r="AF598" i="1"/>
  <c r="AF606" i="1"/>
  <c r="AF470" i="1"/>
  <c r="AF472" i="1"/>
  <c r="AF479" i="1"/>
  <c r="AF487" i="1"/>
  <c r="AF495" i="1"/>
  <c r="AF503" i="1"/>
  <c r="AF511" i="1"/>
  <c r="AF519" i="1"/>
  <c r="AF527" i="1"/>
  <c r="AF535" i="1"/>
  <c r="AF543" i="1"/>
  <c r="AF551" i="1"/>
  <c r="AF559" i="1"/>
  <c r="AF567" i="1"/>
  <c r="AF575" i="1"/>
  <c r="AF583" i="1"/>
  <c r="AF591" i="1"/>
  <c r="AF599" i="1"/>
  <c r="AF607" i="1"/>
  <c r="AF440" i="1"/>
  <c r="AF480" i="1"/>
  <c r="AF488" i="1"/>
  <c r="AF496" i="1"/>
  <c r="AF504" i="1"/>
  <c r="AF512" i="1"/>
  <c r="AF520" i="1"/>
  <c r="AF528" i="1"/>
  <c r="AF536" i="1"/>
  <c r="AF544" i="1"/>
  <c r="AF552" i="1"/>
  <c r="AF560" i="1"/>
  <c r="AF568" i="1"/>
  <c r="AF576" i="1"/>
  <c r="AF584" i="1"/>
  <c r="AF592" i="1"/>
  <c r="AF600" i="1"/>
  <c r="AF474" i="1"/>
  <c r="AF448" i="1"/>
  <c r="AF481" i="1"/>
  <c r="AF489" i="1"/>
  <c r="AF497" i="1"/>
  <c r="AF505" i="1"/>
  <c r="AF513" i="1"/>
  <c r="AF521" i="1"/>
  <c r="AF529" i="1"/>
  <c r="AF537" i="1"/>
  <c r="AF545" i="1"/>
  <c r="AF553" i="1"/>
  <c r="AF561" i="1"/>
  <c r="AF569" i="1"/>
  <c r="AF577" i="1"/>
  <c r="AF585" i="1"/>
  <c r="AF593" i="1"/>
  <c r="AF601" i="1"/>
  <c r="AF456" i="1"/>
  <c r="AF471" i="1"/>
  <c r="AF482" i="1"/>
  <c r="AF490" i="1"/>
  <c r="AF498" i="1"/>
  <c r="AF506" i="1"/>
  <c r="AF514" i="1"/>
  <c r="AF522" i="1"/>
  <c r="AF530" i="1"/>
  <c r="AF538" i="1"/>
  <c r="AF546" i="1"/>
  <c r="AF554" i="1"/>
  <c r="AF562" i="1"/>
  <c r="AF570" i="1"/>
  <c r="AF578" i="1"/>
  <c r="AF586" i="1"/>
  <c r="AF594" i="1"/>
  <c r="AF602" i="1"/>
  <c r="AF610" i="1"/>
  <c r="AF612" i="1"/>
  <c r="AF531" i="1"/>
  <c r="AF595" i="1"/>
  <c r="AF618" i="1"/>
  <c r="AF626" i="1"/>
  <c r="AF634" i="1"/>
  <c r="AF642" i="1"/>
  <c r="AF650" i="1"/>
  <c r="AF658" i="1"/>
  <c r="AF666" i="1"/>
  <c r="AF674" i="1"/>
  <c r="AF682" i="1"/>
  <c r="AF690" i="1"/>
  <c r="AF698" i="1"/>
  <c r="AF706" i="1"/>
  <c r="AF714" i="1"/>
  <c r="AF722" i="1"/>
  <c r="AF730" i="1"/>
  <c r="AF738" i="1"/>
  <c r="AF473" i="1"/>
  <c r="AF539" i="1"/>
  <c r="AF603" i="1"/>
  <c r="AF619" i="1"/>
  <c r="AF627" i="1"/>
  <c r="AF635" i="1"/>
  <c r="AF643" i="1"/>
  <c r="AF651" i="1"/>
  <c r="AF659" i="1"/>
  <c r="AF667" i="1"/>
  <c r="AF675" i="1"/>
  <c r="AF683" i="1"/>
  <c r="AF691" i="1"/>
  <c r="AF699" i="1"/>
  <c r="AF707" i="1"/>
  <c r="AF715" i="1"/>
  <c r="AF723" i="1"/>
  <c r="AF731" i="1"/>
  <c r="AF739" i="1"/>
  <c r="AF608" i="1"/>
  <c r="AF483" i="1"/>
  <c r="AF547" i="1"/>
  <c r="AF620" i="1"/>
  <c r="AF628" i="1"/>
  <c r="AF636" i="1"/>
  <c r="AF644" i="1"/>
  <c r="AF652" i="1"/>
  <c r="AF660" i="1"/>
  <c r="AF668" i="1"/>
  <c r="AF676" i="1"/>
  <c r="AF684" i="1"/>
  <c r="AF692" i="1"/>
  <c r="AF700" i="1"/>
  <c r="AF708" i="1"/>
  <c r="AF716" i="1"/>
  <c r="AF724" i="1"/>
  <c r="AF732" i="1"/>
  <c r="AF740" i="1"/>
  <c r="AF491" i="1"/>
  <c r="AF555" i="1"/>
  <c r="AF611" i="1"/>
  <c r="AF621" i="1"/>
  <c r="AF629" i="1"/>
  <c r="AF637" i="1"/>
  <c r="AF645" i="1"/>
  <c r="AF653" i="1"/>
  <c r="AF661" i="1"/>
  <c r="AF669" i="1"/>
  <c r="AF677" i="1"/>
  <c r="AF685" i="1"/>
  <c r="AF693" i="1"/>
  <c r="AF701" i="1"/>
  <c r="AF709" i="1"/>
  <c r="AF717" i="1"/>
  <c r="AF725" i="1"/>
  <c r="AF733" i="1"/>
  <c r="AF499" i="1"/>
  <c r="AF563" i="1"/>
  <c r="AF609" i="1"/>
  <c r="AF614" i="1"/>
  <c r="AF622" i="1"/>
  <c r="AF630" i="1"/>
  <c r="AF638" i="1"/>
  <c r="AF646" i="1"/>
  <c r="AF654" i="1"/>
  <c r="AF662" i="1"/>
  <c r="AF670" i="1"/>
  <c r="AF678" i="1"/>
  <c r="AF686" i="1"/>
  <c r="AF694" i="1"/>
  <c r="AF702" i="1"/>
  <c r="AF710" i="1"/>
  <c r="AF718" i="1"/>
  <c r="AF726" i="1"/>
  <c r="AF734" i="1"/>
  <c r="AF507" i="1"/>
  <c r="AF571" i="1"/>
  <c r="AF613" i="1"/>
  <c r="AF615" i="1"/>
  <c r="AF623" i="1"/>
  <c r="AF631" i="1"/>
  <c r="AF639" i="1"/>
  <c r="AF647" i="1"/>
  <c r="AF655" i="1"/>
  <c r="AF663" i="1"/>
  <c r="AF671" i="1"/>
  <c r="AF679" i="1"/>
  <c r="AF687" i="1"/>
  <c r="AF695" i="1"/>
  <c r="AF703" i="1"/>
  <c r="AF711" i="1"/>
  <c r="AF719" i="1"/>
  <c r="AF727" i="1"/>
  <c r="AF735" i="1"/>
  <c r="AF743" i="1"/>
  <c r="AF515" i="1"/>
  <c r="AF579" i="1"/>
  <c r="AF616" i="1"/>
  <c r="AF624" i="1"/>
  <c r="AF632" i="1"/>
  <c r="AF640" i="1"/>
  <c r="AF648" i="1"/>
  <c r="AF656" i="1"/>
  <c r="AF664" i="1"/>
  <c r="AF672" i="1"/>
  <c r="AF680" i="1"/>
  <c r="AF688" i="1"/>
  <c r="AF696" i="1"/>
  <c r="AF704" i="1"/>
  <c r="AF712" i="1"/>
  <c r="AF720" i="1"/>
  <c r="AF728" i="1"/>
  <c r="AF736" i="1"/>
  <c r="AF617" i="1"/>
  <c r="AF681" i="1"/>
  <c r="AF745" i="1"/>
  <c r="AF753" i="1"/>
  <c r="AF761" i="1"/>
  <c r="AF769" i="1"/>
  <c r="AF777" i="1"/>
  <c r="AF785" i="1"/>
  <c r="AF793" i="1"/>
  <c r="AF801" i="1"/>
  <c r="AF809" i="1"/>
  <c r="AF817" i="1"/>
  <c r="AF825" i="1"/>
  <c r="AF833" i="1"/>
  <c r="AF841" i="1"/>
  <c r="AF849" i="1"/>
  <c r="AF857" i="1"/>
  <c r="AF865" i="1"/>
  <c r="AF873" i="1"/>
  <c r="AF625" i="1"/>
  <c r="AF689" i="1"/>
  <c r="AF746" i="1"/>
  <c r="AF754" i="1"/>
  <c r="AF762" i="1"/>
  <c r="AF770" i="1"/>
  <c r="AF778" i="1"/>
  <c r="AF786" i="1"/>
  <c r="AF794" i="1"/>
  <c r="AF802" i="1"/>
  <c r="AF810" i="1"/>
  <c r="AF818" i="1"/>
  <c r="AF826" i="1"/>
  <c r="AF834" i="1"/>
  <c r="AF842" i="1"/>
  <c r="AF850" i="1"/>
  <c r="AF858" i="1"/>
  <c r="AF866" i="1"/>
  <c r="AF742" i="1"/>
  <c r="AF633" i="1"/>
  <c r="AF697" i="1"/>
  <c r="AF747" i="1"/>
  <c r="AF755" i="1"/>
  <c r="AF763" i="1"/>
  <c r="AF771" i="1"/>
  <c r="AF779" i="1"/>
  <c r="AF787" i="1"/>
  <c r="AF795" i="1"/>
  <c r="AF803" i="1"/>
  <c r="AF811" i="1"/>
  <c r="AF819" i="1"/>
  <c r="AF827" i="1"/>
  <c r="AF835" i="1"/>
  <c r="AF843" i="1"/>
  <c r="AF851" i="1"/>
  <c r="AF859" i="1"/>
  <c r="AF867" i="1"/>
  <c r="AF741" i="1"/>
  <c r="AF641" i="1"/>
  <c r="AF705" i="1"/>
  <c r="AF748" i="1"/>
  <c r="AF756" i="1"/>
  <c r="AF764" i="1"/>
  <c r="AF772" i="1"/>
  <c r="AF780" i="1"/>
  <c r="AF788" i="1"/>
  <c r="AF796" i="1"/>
  <c r="AF804" i="1"/>
  <c r="AF812" i="1"/>
  <c r="AF820" i="1"/>
  <c r="AF828" i="1"/>
  <c r="AF836" i="1"/>
  <c r="AF844" i="1"/>
  <c r="AF852" i="1"/>
  <c r="AF860" i="1"/>
  <c r="AF868" i="1"/>
  <c r="AF649" i="1"/>
  <c r="AF713" i="1"/>
  <c r="AF749" i="1"/>
  <c r="AF757" i="1"/>
  <c r="AF765" i="1"/>
  <c r="AF773" i="1"/>
  <c r="AF781" i="1"/>
  <c r="AF789" i="1"/>
  <c r="AF797" i="1"/>
  <c r="AF805" i="1"/>
  <c r="AF813" i="1"/>
  <c r="AF821" i="1"/>
  <c r="AF829" i="1"/>
  <c r="AF837" i="1"/>
  <c r="AF845" i="1"/>
  <c r="AF853" i="1"/>
  <c r="AF861" i="1"/>
  <c r="AF523" i="1"/>
  <c r="AF657" i="1"/>
  <c r="AF721" i="1"/>
  <c r="AF750" i="1"/>
  <c r="AF758" i="1"/>
  <c r="AF766" i="1"/>
  <c r="AF774" i="1"/>
  <c r="AF782" i="1"/>
  <c r="AF790" i="1"/>
  <c r="AF798" i="1"/>
  <c r="AF806" i="1"/>
  <c r="AF814" i="1"/>
  <c r="AF822" i="1"/>
  <c r="AF830" i="1"/>
  <c r="AF838" i="1"/>
  <c r="AF846" i="1"/>
  <c r="AF854" i="1"/>
  <c r="AF862" i="1"/>
  <c r="AF587" i="1"/>
  <c r="AF665" i="1"/>
  <c r="AF729" i="1"/>
  <c r="AF751" i="1"/>
  <c r="AF759" i="1"/>
  <c r="AF767" i="1"/>
  <c r="AF775" i="1"/>
  <c r="AF783" i="1"/>
  <c r="AF791" i="1"/>
  <c r="AF799" i="1"/>
  <c r="AF807" i="1"/>
  <c r="AF815" i="1"/>
  <c r="AF823" i="1"/>
  <c r="AF831" i="1"/>
  <c r="AF839" i="1"/>
  <c r="AF847" i="1"/>
  <c r="AF855" i="1"/>
  <c r="AF863" i="1"/>
  <c r="AF871" i="1"/>
  <c r="AF869" i="1"/>
  <c r="AF880" i="1"/>
  <c r="AF888" i="1"/>
  <c r="AF896" i="1"/>
  <c r="AF904" i="1"/>
  <c r="AF912" i="1"/>
  <c r="AF920" i="1"/>
  <c r="AF928" i="1"/>
  <c r="AF936" i="1"/>
  <c r="AF944" i="1"/>
  <c r="AF952" i="1"/>
  <c r="AF960" i="1"/>
  <c r="AF968" i="1"/>
  <c r="AF976" i="1"/>
  <c r="AF984" i="1"/>
  <c r="AF992" i="1"/>
  <c r="AF1000" i="1"/>
  <c r="AF776" i="1"/>
  <c r="AF840" i="1"/>
  <c r="AF737" i="1"/>
  <c r="AF881" i="1"/>
  <c r="AF889" i="1"/>
  <c r="AF897" i="1"/>
  <c r="AF905" i="1"/>
  <c r="AF913" i="1"/>
  <c r="AF921" i="1"/>
  <c r="AF929" i="1"/>
  <c r="AF937" i="1"/>
  <c r="AF945" i="1"/>
  <c r="AF953" i="1"/>
  <c r="AF961" i="1"/>
  <c r="AF969" i="1"/>
  <c r="AF977" i="1"/>
  <c r="AF985" i="1"/>
  <c r="AF993" i="1"/>
  <c r="AF1001" i="1"/>
  <c r="AF784" i="1"/>
  <c r="AF848" i="1"/>
  <c r="AF874" i="1"/>
  <c r="AF882" i="1"/>
  <c r="AF890" i="1"/>
  <c r="AF898" i="1"/>
  <c r="AF906" i="1"/>
  <c r="AF914" i="1"/>
  <c r="AF922" i="1"/>
  <c r="AF930" i="1"/>
  <c r="AF938" i="1"/>
  <c r="AF946" i="1"/>
  <c r="AF954" i="1"/>
  <c r="AF962" i="1"/>
  <c r="AF970" i="1"/>
  <c r="AF978" i="1"/>
  <c r="AF986" i="1"/>
  <c r="AF994" i="1"/>
  <c r="AF1002" i="1"/>
  <c r="AF792" i="1"/>
  <c r="AF856" i="1"/>
  <c r="AF875" i="1"/>
  <c r="AF883" i="1"/>
  <c r="AF891" i="1"/>
  <c r="AF899" i="1"/>
  <c r="AF907" i="1"/>
  <c r="AF915" i="1"/>
  <c r="AF923" i="1"/>
  <c r="AF931" i="1"/>
  <c r="AF939" i="1"/>
  <c r="AF947" i="1"/>
  <c r="AF955" i="1"/>
  <c r="AF963" i="1"/>
  <c r="AF971" i="1"/>
  <c r="AF979" i="1"/>
  <c r="AF987" i="1"/>
  <c r="AF995" i="1"/>
  <c r="AF800" i="1"/>
  <c r="AF864" i="1"/>
  <c r="AF876" i="1"/>
  <c r="AF884" i="1"/>
  <c r="AF892" i="1"/>
  <c r="AF900" i="1"/>
  <c r="AF908" i="1"/>
  <c r="AF916" i="1"/>
  <c r="AF924" i="1"/>
  <c r="AF932" i="1"/>
  <c r="AF940" i="1"/>
  <c r="AF948" i="1"/>
  <c r="AF956" i="1"/>
  <c r="AF964" i="1"/>
  <c r="AF972" i="1"/>
  <c r="AF980" i="1"/>
  <c r="AF988" i="1"/>
  <c r="AF996" i="1"/>
  <c r="AF744" i="1"/>
  <c r="AF808" i="1"/>
  <c r="AF870" i="1"/>
  <c r="AF877" i="1"/>
  <c r="AF885" i="1"/>
  <c r="AF893" i="1"/>
  <c r="AF901" i="1"/>
  <c r="AF909" i="1"/>
  <c r="AF917" i="1"/>
  <c r="AF925" i="1"/>
  <c r="AF933" i="1"/>
  <c r="AF941" i="1"/>
  <c r="AF949" i="1"/>
  <c r="AF957" i="1"/>
  <c r="AF965" i="1"/>
  <c r="AF973" i="1"/>
  <c r="AF981" i="1"/>
  <c r="AF989" i="1"/>
  <c r="AF997" i="1"/>
  <c r="AF752" i="1"/>
  <c r="AF816" i="1"/>
  <c r="AF872" i="1"/>
  <c r="AF878" i="1"/>
  <c r="AF886" i="1"/>
  <c r="AF894" i="1"/>
  <c r="AF902" i="1"/>
  <c r="AF910" i="1"/>
  <c r="AF918" i="1"/>
  <c r="AF926" i="1"/>
  <c r="AF934" i="1"/>
  <c r="AF942" i="1"/>
  <c r="AF950" i="1"/>
  <c r="AF958" i="1"/>
  <c r="AF966" i="1"/>
  <c r="AF974" i="1"/>
  <c r="AF982" i="1"/>
  <c r="AF990" i="1"/>
  <c r="AF998" i="1"/>
  <c r="AF760" i="1"/>
  <c r="AF824" i="1"/>
  <c r="AF927" i="1"/>
  <c r="AF1003" i="1"/>
  <c r="AF1011" i="1"/>
  <c r="AF1019" i="1"/>
  <c r="AF1027" i="1"/>
  <c r="AF1035" i="1"/>
  <c r="AF1043" i="1"/>
  <c r="AF1051" i="1"/>
  <c r="AF1059" i="1"/>
  <c r="AF1067" i="1"/>
  <c r="AF1075" i="1"/>
  <c r="AF1083" i="1"/>
  <c r="AF1091" i="1"/>
  <c r="AF1099" i="1"/>
  <c r="AF1107" i="1"/>
  <c r="AF1115" i="1"/>
  <c r="AF1123" i="1"/>
  <c r="AF951" i="1"/>
  <c r="AF975" i="1"/>
  <c r="AF1004" i="1"/>
  <c r="AF1012" i="1"/>
  <c r="AF1020" i="1"/>
  <c r="AF1028" i="1"/>
  <c r="AF1036" i="1"/>
  <c r="AF1044" i="1"/>
  <c r="AF1052" i="1"/>
  <c r="AF1060" i="1"/>
  <c r="AF1068" i="1"/>
  <c r="AF1076" i="1"/>
  <c r="AF1084" i="1"/>
  <c r="AF1092" i="1"/>
  <c r="AF1100" i="1"/>
  <c r="AF1108" i="1"/>
  <c r="AF1116" i="1"/>
  <c r="AF1124" i="1"/>
  <c r="AF1005" i="1"/>
  <c r="AF1013" i="1"/>
  <c r="AF1021" i="1"/>
  <c r="AF1029" i="1"/>
  <c r="AF1037" i="1"/>
  <c r="AF1045" i="1"/>
  <c r="AF1053" i="1"/>
  <c r="AF1061" i="1"/>
  <c r="AF1069" i="1"/>
  <c r="AF1077" i="1"/>
  <c r="AF1085" i="1"/>
  <c r="AF1093" i="1"/>
  <c r="AF1101" i="1"/>
  <c r="AF1109" i="1"/>
  <c r="AF1117" i="1"/>
  <c r="AF879" i="1"/>
  <c r="AF919" i="1"/>
  <c r="AF768" i="1"/>
  <c r="AF943" i="1"/>
  <c r="AF1006" i="1"/>
  <c r="AF1014" i="1"/>
  <c r="AF1022" i="1"/>
  <c r="AF1030" i="1"/>
  <c r="AF1038" i="1"/>
  <c r="AF1046" i="1"/>
  <c r="AF1054" i="1"/>
  <c r="AF1062" i="1"/>
  <c r="AF1070" i="1"/>
  <c r="AF1078" i="1"/>
  <c r="AF1086" i="1"/>
  <c r="AF1094" i="1"/>
  <c r="AF1102" i="1"/>
  <c r="AF1110" i="1"/>
  <c r="AF1118" i="1"/>
  <c r="AF887" i="1"/>
  <c r="AF967" i="1"/>
  <c r="AF999" i="1"/>
  <c r="AF832" i="1"/>
  <c r="AF1007" i="1"/>
  <c r="AF1015" i="1"/>
  <c r="AF1023" i="1"/>
  <c r="AF1031" i="1"/>
  <c r="AF1039" i="1"/>
  <c r="AF1047" i="1"/>
  <c r="AF1055" i="1"/>
  <c r="AF1063" i="1"/>
  <c r="AF1071" i="1"/>
  <c r="AF1079" i="1"/>
  <c r="AF1087" i="1"/>
  <c r="AF1095" i="1"/>
  <c r="AF1103" i="1"/>
  <c r="AF1111" i="1"/>
  <c r="AF1119" i="1"/>
  <c r="AF1127" i="1"/>
  <c r="AF895" i="1"/>
  <c r="AF1008" i="1"/>
  <c r="AF1016" i="1"/>
  <c r="AF1024" i="1"/>
  <c r="AF1032" i="1"/>
  <c r="AF1040" i="1"/>
  <c r="AF1048" i="1"/>
  <c r="AF1056" i="1"/>
  <c r="AF1064" i="1"/>
  <c r="AF1072" i="1"/>
  <c r="AF1080" i="1"/>
  <c r="AF1088" i="1"/>
  <c r="AF1096" i="1"/>
  <c r="AF1104" i="1"/>
  <c r="AF1112" i="1"/>
  <c r="AF1120" i="1"/>
  <c r="AF903" i="1"/>
  <c r="AF935" i="1"/>
  <c r="AF673" i="1"/>
  <c r="AF959" i="1"/>
  <c r="AF1009" i="1"/>
  <c r="AF1017" i="1"/>
  <c r="AF1025" i="1"/>
  <c r="AF1033" i="1"/>
  <c r="AF1041" i="1"/>
  <c r="AF1049" i="1"/>
  <c r="AF1057" i="1"/>
  <c r="AF1065" i="1"/>
  <c r="AF1073" i="1"/>
  <c r="AF1081" i="1"/>
  <c r="AF1089" i="1"/>
  <c r="AF1097" i="1"/>
  <c r="AF1105" i="1"/>
  <c r="AF1113" i="1"/>
  <c r="AF1121" i="1"/>
  <c r="AF911" i="1"/>
  <c r="AF983" i="1"/>
  <c r="AF991" i="1"/>
  <c r="AF1058" i="1"/>
  <c r="AF1134" i="1"/>
  <c r="AF1142" i="1"/>
  <c r="AF1150" i="1"/>
  <c r="AF1158" i="1"/>
  <c r="AF1166" i="1"/>
  <c r="AF1174" i="1"/>
  <c r="AF1182" i="1"/>
  <c r="AF1190" i="1"/>
  <c r="AF1198" i="1"/>
  <c r="AF1206" i="1"/>
  <c r="AF1214" i="1"/>
  <c r="AF1222" i="1"/>
  <c r="AF1230" i="1"/>
  <c r="AF1238" i="1"/>
  <c r="AF1246" i="1"/>
  <c r="AF1066" i="1"/>
  <c r="AF1135" i="1"/>
  <c r="AF1143" i="1"/>
  <c r="AF1151" i="1"/>
  <c r="AF1159" i="1"/>
  <c r="AF1167" i="1"/>
  <c r="AF1175" i="1"/>
  <c r="AF1183" i="1"/>
  <c r="AF1191" i="1"/>
  <c r="AF1199" i="1"/>
  <c r="AF1207" i="1"/>
  <c r="AF1215" i="1"/>
  <c r="AF1223" i="1"/>
  <c r="AF1231" i="1"/>
  <c r="AF1239" i="1"/>
  <c r="AF1247" i="1"/>
  <c r="AF1255" i="1"/>
  <c r="AF1010" i="1"/>
  <c r="AF1074" i="1"/>
  <c r="AF1128" i="1"/>
  <c r="AF1136" i="1"/>
  <c r="AF1144" i="1"/>
  <c r="AF1152" i="1"/>
  <c r="AF1160" i="1"/>
  <c r="AF1168" i="1"/>
  <c r="AF1176" i="1"/>
  <c r="AF1184" i="1"/>
  <c r="AF1192" i="1"/>
  <c r="AF1200" i="1"/>
  <c r="AF1208" i="1"/>
  <c r="AF1216" i="1"/>
  <c r="AF1224" i="1"/>
  <c r="AF1232" i="1"/>
  <c r="AF1240" i="1"/>
  <c r="AF1248" i="1"/>
  <c r="AF1126" i="1"/>
  <c r="AF1018" i="1"/>
  <c r="AF1082" i="1"/>
  <c r="AF1114" i="1"/>
  <c r="AF1122" i="1"/>
  <c r="AF1125" i="1"/>
  <c r="AF1129" i="1"/>
  <c r="AF1137" i="1"/>
  <c r="AF1145" i="1"/>
  <c r="AF1153" i="1"/>
  <c r="AF1161" i="1"/>
  <c r="AF1169" i="1"/>
  <c r="AF1177" i="1"/>
  <c r="AF1185" i="1"/>
  <c r="AF1193" i="1"/>
  <c r="AF1201" i="1"/>
  <c r="AF1209" i="1"/>
  <c r="AF1217" i="1"/>
  <c r="AF1225" i="1"/>
  <c r="AF1233" i="1"/>
  <c r="AF1241" i="1"/>
  <c r="AF1249" i="1"/>
  <c r="AF1026" i="1"/>
  <c r="AF1090" i="1"/>
  <c r="AF1130" i="1"/>
  <c r="AF1138" i="1"/>
  <c r="AF1146" i="1"/>
  <c r="AF1154" i="1"/>
  <c r="AF1162" i="1"/>
  <c r="AF1170" i="1"/>
  <c r="AF1178" i="1"/>
  <c r="AF1186" i="1"/>
  <c r="AF1194" i="1"/>
  <c r="AF1202" i="1"/>
  <c r="AF1210" i="1"/>
  <c r="AF1218" i="1"/>
  <c r="AF1226" i="1"/>
  <c r="AF1234" i="1"/>
  <c r="AF1034" i="1"/>
  <c r="AF1098" i="1"/>
  <c r="AF1131" i="1"/>
  <c r="AF1139" i="1"/>
  <c r="AF1147" i="1"/>
  <c r="AF1155" i="1"/>
  <c r="AF1163" i="1"/>
  <c r="AF1171" i="1"/>
  <c r="AF1179" i="1"/>
  <c r="AF1187" i="1"/>
  <c r="AF1195" i="1"/>
  <c r="AF1203" i="1"/>
  <c r="AF1211" i="1"/>
  <c r="AF1219" i="1"/>
  <c r="AF1227" i="1"/>
  <c r="AF1235" i="1"/>
  <c r="AF1243" i="1"/>
  <c r="AF1251" i="1"/>
  <c r="AF1042" i="1"/>
  <c r="AF1106" i="1"/>
  <c r="AF1132" i="1"/>
  <c r="AF1140" i="1"/>
  <c r="AF1148" i="1"/>
  <c r="AF1156" i="1"/>
  <c r="AF1164" i="1"/>
  <c r="AF1172" i="1"/>
  <c r="AF1180" i="1"/>
  <c r="AF1188" i="1"/>
  <c r="AF1196" i="1"/>
  <c r="AF1204" i="1"/>
  <c r="AF1212" i="1"/>
  <c r="AF1220" i="1"/>
  <c r="AF1228" i="1"/>
  <c r="AF1236" i="1"/>
  <c r="AF1157" i="1"/>
  <c r="AF1221" i="1"/>
  <c r="AF1245" i="1"/>
  <c r="AF1257" i="1"/>
  <c r="AF1265" i="1"/>
  <c r="AF1273" i="1"/>
  <c r="AF1281" i="1"/>
  <c r="AF1289" i="1"/>
  <c r="AF1297" i="1"/>
  <c r="AF1305" i="1"/>
  <c r="AF1313" i="1"/>
  <c r="AF1321" i="1"/>
  <c r="AF1329" i="1"/>
  <c r="AF1337" i="1"/>
  <c r="AF1345" i="1"/>
  <c r="AF1353" i="1"/>
  <c r="AF1361" i="1"/>
  <c r="AF1369" i="1"/>
  <c r="AF1377" i="1"/>
  <c r="AF1165" i="1"/>
  <c r="AF1229" i="1"/>
  <c r="AF1242" i="1"/>
  <c r="AF1258" i="1"/>
  <c r="AF1266" i="1"/>
  <c r="AF1274" i="1"/>
  <c r="AF1282" i="1"/>
  <c r="AF1290" i="1"/>
  <c r="AF1298" i="1"/>
  <c r="AF1306" i="1"/>
  <c r="AF1314" i="1"/>
  <c r="AF1322" i="1"/>
  <c r="AF1330" i="1"/>
  <c r="AF1338" i="1"/>
  <c r="AF1346" i="1"/>
  <c r="AF1354" i="1"/>
  <c r="AF1362" i="1"/>
  <c r="AF1370" i="1"/>
  <c r="AF1378" i="1"/>
  <c r="AF1173" i="1"/>
  <c r="AF1237" i="1"/>
  <c r="AF1259" i="1"/>
  <c r="AF1267" i="1"/>
  <c r="AF1275" i="1"/>
  <c r="AF1283" i="1"/>
  <c r="AF1291" i="1"/>
  <c r="AF1299" i="1"/>
  <c r="AF1307" i="1"/>
  <c r="AF1315" i="1"/>
  <c r="AF1323" i="1"/>
  <c r="AF1331" i="1"/>
  <c r="AF1339" i="1"/>
  <c r="AF1347" i="1"/>
  <c r="AF1355" i="1"/>
  <c r="AF1363" i="1"/>
  <c r="AF1371" i="1"/>
  <c r="AF1379" i="1"/>
  <c r="AF1181" i="1"/>
  <c r="AF1260" i="1"/>
  <c r="AF1268" i="1"/>
  <c r="AF1276" i="1"/>
  <c r="AF1284" i="1"/>
  <c r="AF1292" i="1"/>
  <c r="AF1300" i="1"/>
  <c r="AF1308" i="1"/>
  <c r="AF1316" i="1"/>
  <c r="AF1324" i="1"/>
  <c r="AF1332" i="1"/>
  <c r="AF1340" i="1"/>
  <c r="AF1348" i="1"/>
  <c r="AF1356" i="1"/>
  <c r="AF1364" i="1"/>
  <c r="AF1372" i="1"/>
  <c r="AF1380" i="1"/>
  <c r="AF1189" i="1"/>
  <c r="AF1261" i="1"/>
  <c r="AF1269" i="1"/>
  <c r="AF1277" i="1"/>
  <c r="AF1285" i="1"/>
  <c r="AF1293" i="1"/>
  <c r="AF1301" i="1"/>
  <c r="AF1309" i="1"/>
  <c r="AF1317" i="1"/>
  <c r="AF1325" i="1"/>
  <c r="AF1333" i="1"/>
  <c r="AF1341" i="1"/>
  <c r="AF1349" i="1"/>
  <c r="AF1357" i="1"/>
  <c r="AF1365" i="1"/>
  <c r="AF1133" i="1"/>
  <c r="AF1197" i="1"/>
  <c r="AF1244" i="1"/>
  <c r="AF1262" i="1"/>
  <c r="AF1270" i="1"/>
  <c r="AF1278" i="1"/>
  <c r="AF1286" i="1"/>
  <c r="AF1294" i="1"/>
  <c r="AF1302" i="1"/>
  <c r="AF1310" i="1"/>
  <c r="AF1318" i="1"/>
  <c r="AF1326" i="1"/>
  <c r="AF1334" i="1"/>
  <c r="AF1342" i="1"/>
  <c r="AF1350" i="1"/>
  <c r="AF1358" i="1"/>
  <c r="AF1366" i="1"/>
  <c r="AF1374" i="1"/>
  <c r="AF1382" i="1"/>
  <c r="AF1205" i="1"/>
  <c r="AF1279" i="1"/>
  <c r="AF1311" i="1"/>
  <c r="AF1343" i="1"/>
  <c r="AF1376" i="1"/>
  <c r="AF1388" i="1"/>
  <c r="AF1396" i="1"/>
  <c r="AF1404" i="1"/>
  <c r="AF1412" i="1"/>
  <c r="AF1420" i="1"/>
  <c r="AF1428" i="1"/>
  <c r="AF1436" i="1"/>
  <c r="AF1444" i="1"/>
  <c r="AF1452" i="1"/>
  <c r="AF1460" i="1"/>
  <c r="AF1468" i="1"/>
  <c r="AF1476" i="1"/>
  <c r="AF1484" i="1"/>
  <c r="AF1492" i="1"/>
  <c r="AF1149" i="1"/>
  <c r="AF1254" i="1"/>
  <c r="AF1272" i="1"/>
  <c r="AF1304" i="1"/>
  <c r="AF1336" i="1"/>
  <c r="AF1389" i="1"/>
  <c r="AF1397" i="1"/>
  <c r="AF1405" i="1"/>
  <c r="AF1413" i="1"/>
  <c r="AF1421" i="1"/>
  <c r="AF1429" i="1"/>
  <c r="AF1437" i="1"/>
  <c r="AF1445" i="1"/>
  <c r="AF1453" i="1"/>
  <c r="AF1461" i="1"/>
  <c r="AF1469" i="1"/>
  <c r="AF1477" i="1"/>
  <c r="AF1485" i="1"/>
  <c r="AF1250" i="1"/>
  <c r="AF1368" i="1"/>
  <c r="AF1287" i="1"/>
  <c r="AF1319" i="1"/>
  <c r="AF1351" i="1"/>
  <c r="AF1390" i="1"/>
  <c r="AF1398" i="1"/>
  <c r="AF1406" i="1"/>
  <c r="AF1414" i="1"/>
  <c r="AF1422" i="1"/>
  <c r="AF1430" i="1"/>
  <c r="AF1438" i="1"/>
  <c r="AF1446" i="1"/>
  <c r="AF1454" i="1"/>
  <c r="AF1462" i="1"/>
  <c r="AF1470" i="1"/>
  <c r="AF1478" i="1"/>
  <c r="AF1486" i="1"/>
  <c r="AF1213" i="1"/>
  <c r="AF1280" i="1"/>
  <c r="AF1312" i="1"/>
  <c r="AF1344" i="1"/>
  <c r="AF1383" i="1"/>
  <c r="AF1391" i="1"/>
  <c r="AF1399" i="1"/>
  <c r="AF1407" i="1"/>
  <c r="AF1415" i="1"/>
  <c r="AF1423" i="1"/>
  <c r="AF1431" i="1"/>
  <c r="AF1439" i="1"/>
  <c r="AF1447" i="1"/>
  <c r="AF1455" i="1"/>
  <c r="AF1463" i="1"/>
  <c r="AF1263" i="1"/>
  <c r="AF1295" i="1"/>
  <c r="AF1327" i="1"/>
  <c r="AF1359" i="1"/>
  <c r="AF1384" i="1"/>
  <c r="AF1392" i="1"/>
  <c r="AF1400" i="1"/>
  <c r="AF1408" i="1"/>
  <c r="AF1416" i="1"/>
  <c r="AF1424" i="1"/>
  <c r="AF1432" i="1"/>
  <c r="AF1440" i="1"/>
  <c r="AF1448" i="1"/>
  <c r="AF1456" i="1"/>
  <c r="AF1464" i="1"/>
  <c r="AF1472" i="1"/>
  <c r="AF1480" i="1"/>
  <c r="AF1488" i="1"/>
  <c r="AF1375" i="1"/>
  <c r="AF1252" i="1"/>
  <c r="AF1256" i="1"/>
  <c r="AF1288" i="1"/>
  <c r="AF1320" i="1"/>
  <c r="AF1352" i="1"/>
  <c r="AF1385" i="1"/>
  <c r="AF1393" i="1"/>
  <c r="AF1401" i="1"/>
  <c r="AF1409" i="1"/>
  <c r="AF1141" i="1"/>
  <c r="AF1271" i="1"/>
  <c r="AF1303" i="1"/>
  <c r="AF1335" i="1"/>
  <c r="AF1367" i="1"/>
  <c r="AF1386" i="1"/>
  <c r="AF1394" i="1"/>
  <c r="AF1402" i="1"/>
  <c r="AF1410" i="1"/>
  <c r="AF1418" i="1"/>
  <c r="AF1426" i="1"/>
  <c r="AF1434" i="1"/>
  <c r="AF1442" i="1"/>
  <c r="AF1450" i="1"/>
  <c r="AF1458" i="1"/>
  <c r="AF1466" i="1"/>
  <c r="AF1474" i="1"/>
  <c r="AF1482" i="1"/>
  <c r="AF1490" i="1"/>
  <c r="AF1360" i="1"/>
  <c r="AF1425" i="1"/>
  <c r="AF1457" i="1"/>
  <c r="AF1502" i="1"/>
  <c r="AF1510" i="1"/>
  <c r="AF1518" i="1"/>
  <c r="AF1526" i="1"/>
  <c r="AF1534" i="1"/>
  <c r="AF1542" i="1"/>
  <c r="AF1550" i="1"/>
  <c r="AF1558" i="1"/>
  <c r="AF1566" i="1"/>
  <c r="AF1574" i="1"/>
  <c r="AF1582" i="1"/>
  <c r="AF1590" i="1"/>
  <c r="AF1598" i="1"/>
  <c r="AF1606" i="1"/>
  <c r="AF1395" i="1"/>
  <c r="AF1467" i="1"/>
  <c r="AF1443" i="1"/>
  <c r="AF1489" i="1"/>
  <c r="AF1503" i="1"/>
  <c r="AF1511" i="1"/>
  <c r="AF1519" i="1"/>
  <c r="AF1527" i="1"/>
  <c r="AF1535" i="1"/>
  <c r="AF1543" i="1"/>
  <c r="AF1551" i="1"/>
  <c r="AF1559" i="1"/>
  <c r="AF1567" i="1"/>
  <c r="AF1575" i="1"/>
  <c r="AF1583" i="1"/>
  <c r="AF1591" i="1"/>
  <c r="AF1599" i="1"/>
  <c r="AF1607" i="1"/>
  <c r="AF1381" i="1"/>
  <c r="AF1433" i="1"/>
  <c r="AF1495" i="1"/>
  <c r="AF1328" i="1"/>
  <c r="AF1465" i="1"/>
  <c r="AF1487" i="1"/>
  <c r="AF1494" i="1"/>
  <c r="AF1496" i="1"/>
  <c r="AF1504" i="1"/>
  <c r="AF1512" i="1"/>
  <c r="AF1520" i="1"/>
  <c r="AF1528" i="1"/>
  <c r="AF1536" i="1"/>
  <c r="AF1544" i="1"/>
  <c r="AF1552" i="1"/>
  <c r="AF1560" i="1"/>
  <c r="AF1568" i="1"/>
  <c r="AF1576" i="1"/>
  <c r="AF1584" i="1"/>
  <c r="AF1592" i="1"/>
  <c r="AF1600" i="1"/>
  <c r="AF1608" i="1"/>
  <c r="AF1253" i="1"/>
  <c r="AF1475" i="1"/>
  <c r="AF1491" i="1"/>
  <c r="AF1387" i="1"/>
  <c r="AF1419" i="1"/>
  <c r="AF1451" i="1"/>
  <c r="AF1473" i="1"/>
  <c r="AF1497" i="1"/>
  <c r="AF1505" i="1"/>
  <c r="AF1513" i="1"/>
  <c r="AF1521" i="1"/>
  <c r="AF1529" i="1"/>
  <c r="AF1537" i="1"/>
  <c r="AF1545" i="1"/>
  <c r="AF1553" i="1"/>
  <c r="AF1561" i="1"/>
  <c r="AF1569" i="1"/>
  <c r="AF1577" i="1"/>
  <c r="AF1585" i="1"/>
  <c r="AF1593" i="1"/>
  <c r="AF1601" i="1"/>
  <c r="AF1411" i="1"/>
  <c r="AF1441" i="1"/>
  <c r="AF1471" i="1"/>
  <c r="AF1493" i="1"/>
  <c r="AF1498" i="1"/>
  <c r="AF1506" i="1"/>
  <c r="AF1514" i="1"/>
  <c r="AF1522" i="1"/>
  <c r="AF1530" i="1"/>
  <c r="AF1538" i="1"/>
  <c r="AF1546" i="1"/>
  <c r="AF1554" i="1"/>
  <c r="AF1562" i="1"/>
  <c r="AF1570" i="1"/>
  <c r="AF1578" i="1"/>
  <c r="AF1586" i="1"/>
  <c r="AF1594" i="1"/>
  <c r="AF1602" i="1"/>
  <c r="AF1050" i="1"/>
  <c r="AF1296" i="1"/>
  <c r="AF1427" i="1"/>
  <c r="AF1459" i="1"/>
  <c r="AF1499" i="1"/>
  <c r="AF1507" i="1"/>
  <c r="AF1515" i="1"/>
  <c r="AF1523" i="1"/>
  <c r="AF1531" i="1"/>
  <c r="AF1539" i="1"/>
  <c r="AF1547" i="1"/>
  <c r="AF1555" i="1"/>
  <c r="AF1563" i="1"/>
  <c r="AF1571" i="1"/>
  <c r="AF1579" i="1"/>
  <c r="AF1587" i="1"/>
  <c r="AF1595" i="1"/>
  <c r="AF1603" i="1"/>
  <c r="AF1373" i="1"/>
  <c r="AF1417" i="1"/>
  <c r="AF1449" i="1"/>
  <c r="AF1483" i="1"/>
  <c r="AF1540" i="1"/>
  <c r="AF1549" i="1"/>
  <c r="AF1614" i="1"/>
  <c r="AF1622" i="1"/>
  <c r="AF1630" i="1"/>
  <c r="AF1638" i="1"/>
  <c r="AF1646" i="1"/>
  <c r="AF1654" i="1"/>
  <c r="AF1662" i="1"/>
  <c r="AF1670" i="1"/>
  <c r="AF1678" i="1"/>
  <c r="AF1686" i="1"/>
  <c r="AF1694" i="1"/>
  <c r="AF1702" i="1"/>
  <c r="AF1710" i="1"/>
  <c r="AF1718" i="1"/>
  <c r="AF1726" i="1"/>
  <c r="AF1479" i="1"/>
  <c r="AF1564" i="1"/>
  <c r="AF1573" i="1"/>
  <c r="AF1481" i="1"/>
  <c r="AF1588" i="1"/>
  <c r="AF1597" i="1"/>
  <c r="AF1615" i="1"/>
  <c r="AF1623" i="1"/>
  <c r="AF1631" i="1"/>
  <c r="AF1639" i="1"/>
  <c r="AF1647" i="1"/>
  <c r="AF1655" i="1"/>
  <c r="AF1663" i="1"/>
  <c r="AF1671" i="1"/>
  <c r="AF1679" i="1"/>
  <c r="AF1687" i="1"/>
  <c r="AF1695" i="1"/>
  <c r="AF1703" i="1"/>
  <c r="AF1711" i="1"/>
  <c r="AF1719" i="1"/>
  <c r="AF1727" i="1"/>
  <c r="AF1508" i="1"/>
  <c r="AF1517" i="1"/>
  <c r="AF1616" i="1"/>
  <c r="AF1624" i="1"/>
  <c r="AF1632" i="1"/>
  <c r="AF1640" i="1"/>
  <c r="AF1648" i="1"/>
  <c r="AF1656" i="1"/>
  <c r="AF1664" i="1"/>
  <c r="AF1672" i="1"/>
  <c r="AF1680" i="1"/>
  <c r="AF1688" i="1"/>
  <c r="AF1696" i="1"/>
  <c r="AF1704" i="1"/>
  <c r="AF1712" i="1"/>
  <c r="AF1720" i="1"/>
  <c r="AF1728" i="1"/>
  <c r="AF1532" i="1"/>
  <c r="AF1541" i="1"/>
  <c r="AF1556" i="1"/>
  <c r="AF1565" i="1"/>
  <c r="AF1609" i="1"/>
  <c r="AF1617" i="1"/>
  <c r="AF1625" i="1"/>
  <c r="AF1633" i="1"/>
  <c r="AF1641" i="1"/>
  <c r="AF1649" i="1"/>
  <c r="AF1657" i="1"/>
  <c r="AF1665" i="1"/>
  <c r="AF1673" i="1"/>
  <c r="AF1681" i="1"/>
  <c r="AF1689" i="1"/>
  <c r="AF1697" i="1"/>
  <c r="AF1705" i="1"/>
  <c r="AF1713" i="1"/>
  <c r="AF1721" i="1"/>
  <c r="AF1729" i="1"/>
  <c r="AF1435" i="1"/>
  <c r="AF1580" i="1"/>
  <c r="AF1589" i="1"/>
  <c r="AF1604" i="1"/>
  <c r="AF1610" i="1"/>
  <c r="AF1618" i="1"/>
  <c r="AF1626" i="1"/>
  <c r="AF1634" i="1"/>
  <c r="AF1642" i="1"/>
  <c r="AF1650" i="1"/>
  <c r="AF1658" i="1"/>
  <c r="AF1666" i="1"/>
  <c r="AF1674" i="1"/>
  <c r="AF1682" i="1"/>
  <c r="AF1690" i="1"/>
  <c r="AF1698" i="1"/>
  <c r="AF1706" i="1"/>
  <c r="AF1714" i="1"/>
  <c r="AF1722" i="1"/>
  <c r="AF1730" i="1"/>
  <c r="AF1500" i="1"/>
  <c r="AF1509" i="1"/>
  <c r="AF1524" i="1"/>
  <c r="AF1533" i="1"/>
  <c r="AF1611" i="1"/>
  <c r="AF1619" i="1"/>
  <c r="AF1627" i="1"/>
  <c r="AF1635" i="1"/>
  <c r="AF1643" i="1"/>
  <c r="AF1651" i="1"/>
  <c r="AF1659" i="1"/>
  <c r="AF1667" i="1"/>
  <c r="AF1675" i="1"/>
  <c r="AF1683" i="1"/>
  <c r="AF1691" i="1"/>
  <c r="AF1699" i="1"/>
  <c r="AF1707" i="1"/>
  <c r="AF1715" i="1"/>
  <c r="AF1723" i="1"/>
  <c r="AF1731" i="1"/>
  <c r="AF1548" i="1"/>
  <c r="AF1557" i="1"/>
  <c r="AF1572" i="1"/>
  <c r="AF1581" i="1"/>
  <c r="AF1612" i="1"/>
  <c r="AF1620" i="1"/>
  <c r="AF1628" i="1"/>
  <c r="AF1636" i="1"/>
  <c r="AF1644" i="1"/>
  <c r="AF1652" i="1"/>
  <c r="AF1660" i="1"/>
  <c r="AF1668" i="1"/>
  <c r="AF1676" i="1"/>
  <c r="AF1684" i="1"/>
  <c r="AF1692" i="1"/>
  <c r="AF1700" i="1"/>
  <c r="AF1708" i="1"/>
  <c r="AF1716" i="1"/>
  <c r="AF1724" i="1"/>
  <c r="AF1403" i="1"/>
  <c r="AF1596" i="1"/>
  <c r="AF1605" i="1"/>
  <c r="AF1738" i="1"/>
  <c r="AF1746" i="1"/>
  <c r="AF1754" i="1"/>
  <c r="AF1762" i="1"/>
  <c r="AF1770" i="1"/>
  <c r="AF1778" i="1"/>
  <c r="AF1786" i="1"/>
  <c r="AF1794" i="1"/>
  <c r="AF1802" i="1"/>
  <c r="AF1810" i="1"/>
  <c r="AF1818" i="1"/>
  <c r="AF1826" i="1"/>
  <c r="AF1834" i="1"/>
  <c r="AF1842" i="1"/>
  <c r="AF1850" i="1"/>
  <c r="AF1858" i="1"/>
  <c r="AF1669" i="1"/>
  <c r="AF1516" i="1"/>
  <c r="AF1739" i="1"/>
  <c r="AF1747" i="1"/>
  <c r="AF1755" i="1"/>
  <c r="AF1763" i="1"/>
  <c r="AF1771" i="1"/>
  <c r="AF1779" i="1"/>
  <c r="AF1787" i="1"/>
  <c r="AF1795" i="1"/>
  <c r="AF1803" i="1"/>
  <c r="AF1811" i="1"/>
  <c r="AF1819" i="1"/>
  <c r="AF1827" i="1"/>
  <c r="AF1835" i="1"/>
  <c r="AF1843" i="1"/>
  <c r="AF1851" i="1"/>
  <c r="AF1859" i="1"/>
  <c r="AF1613" i="1"/>
  <c r="AF1677" i="1"/>
  <c r="AF1732" i="1"/>
  <c r="AF1740" i="1"/>
  <c r="AF1748" i="1"/>
  <c r="AF1756" i="1"/>
  <c r="AF1764" i="1"/>
  <c r="AF1772" i="1"/>
  <c r="AF1780" i="1"/>
  <c r="AF1788" i="1"/>
  <c r="AF1796" i="1"/>
  <c r="AF1804" i="1"/>
  <c r="AF1812" i="1"/>
  <c r="AF1820" i="1"/>
  <c r="AF1828" i="1"/>
  <c r="AF1836" i="1"/>
  <c r="AF1844" i="1"/>
  <c r="AF1852" i="1"/>
  <c r="AF1860" i="1"/>
  <c r="AF1621" i="1"/>
  <c r="AF1685" i="1"/>
  <c r="AF1525" i="1"/>
  <c r="AF1733" i="1"/>
  <c r="AF1741" i="1"/>
  <c r="AF1749" i="1"/>
  <c r="AF1757" i="1"/>
  <c r="AF1765" i="1"/>
  <c r="AF1773" i="1"/>
  <c r="AF1781" i="1"/>
  <c r="AF1789" i="1"/>
  <c r="AF1797" i="1"/>
  <c r="AF1805" i="1"/>
  <c r="AF1813" i="1"/>
  <c r="AF1821" i="1"/>
  <c r="AF1829" i="1"/>
  <c r="AF1837" i="1"/>
  <c r="AF1845" i="1"/>
  <c r="AF1853" i="1"/>
  <c r="AF1861" i="1"/>
  <c r="AF1629" i="1"/>
  <c r="AF1693" i="1"/>
  <c r="AF1734" i="1"/>
  <c r="AF1742" i="1"/>
  <c r="AF1750" i="1"/>
  <c r="AF1758" i="1"/>
  <c r="AF1766" i="1"/>
  <c r="AF1774" i="1"/>
  <c r="AF1782" i="1"/>
  <c r="AF1790" i="1"/>
  <c r="AF1798" i="1"/>
  <c r="AF1806" i="1"/>
  <c r="AF1814" i="1"/>
  <c r="AF1822" i="1"/>
  <c r="AF1830" i="1"/>
  <c r="AF1838" i="1"/>
  <c r="AF1846" i="1"/>
  <c r="AF1854" i="1"/>
  <c r="AF1862" i="1"/>
  <c r="AF1264" i="1"/>
  <c r="AF1637" i="1"/>
  <c r="AF1701" i="1"/>
  <c r="AF1735" i="1"/>
  <c r="AF1743" i="1"/>
  <c r="AF1751" i="1"/>
  <c r="AF1759" i="1"/>
  <c r="AF1767" i="1"/>
  <c r="AF1775" i="1"/>
  <c r="AF1783" i="1"/>
  <c r="AF1791" i="1"/>
  <c r="AF1799" i="1"/>
  <c r="AF1807" i="1"/>
  <c r="AF1815" i="1"/>
  <c r="AF1823" i="1"/>
  <c r="AF1831" i="1"/>
  <c r="AF1839" i="1"/>
  <c r="AF1847" i="1"/>
  <c r="AF1855" i="1"/>
  <c r="AF1501" i="1"/>
  <c r="AF1645" i="1"/>
  <c r="AF1709" i="1"/>
  <c r="AF1736" i="1"/>
  <c r="AF1744" i="1"/>
  <c r="AF1752" i="1"/>
  <c r="AF1760" i="1"/>
  <c r="AF1768" i="1"/>
  <c r="AF1776" i="1"/>
  <c r="AF1784" i="1"/>
  <c r="AF1792" i="1"/>
  <c r="AF1800" i="1"/>
  <c r="AF1808" i="1"/>
  <c r="AF1816" i="1"/>
  <c r="AF1824" i="1"/>
  <c r="AF1832" i="1"/>
  <c r="AF1840" i="1"/>
  <c r="AF1848" i="1"/>
  <c r="AF1856" i="1"/>
  <c r="AF1785" i="1"/>
  <c r="AF1809" i="1"/>
  <c r="AF1870" i="1"/>
  <c r="AF1878" i="1"/>
  <c r="AF1886" i="1"/>
  <c r="AF1894" i="1"/>
  <c r="AF1902" i="1"/>
  <c r="AF1910" i="1"/>
  <c r="AF1918" i="1"/>
  <c r="AF1926" i="1"/>
  <c r="AF1934" i="1"/>
  <c r="AF1942" i="1"/>
  <c r="AF1950" i="1"/>
  <c r="AF1958" i="1"/>
  <c r="AF1966" i="1"/>
  <c r="AF1974" i="1"/>
  <c r="AF1982" i="1"/>
  <c r="AF1717" i="1"/>
  <c r="AF1833" i="1"/>
  <c r="AF1857" i="1"/>
  <c r="AF1871" i="1"/>
  <c r="AF1879" i="1"/>
  <c r="AF1887" i="1"/>
  <c r="AF1895" i="1"/>
  <c r="AF1903" i="1"/>
  <c r="AF1911" i="1"/>
  <c r="AF1919" i="1"/>
  <c r="AF1927" i="1"/>
  <c r="AF1935" i="1"/>
  <c r="AF1943" i="1"/>
  <c r="AF1951" i="1"/>
  <c r="AF1959" i="1"/>
  <c r="AF1967" i="1"/>
  <c r="AF1975" i="1"/>
  <c r="AF1983" i="1"/>
  <c r="AF1753" i="1"/>
  <c r="AF1777" i="1"/>
  <c r="AF1872" i="1"/>
  <c r="AF1880" i="1"/>
  <c r="AF1888" i="1"/>
  <c r="AF1896" i="1"/>
  <c r="AF1904" i="1"/>
  <c r="AF1912" i="1"/>
  <c r="AF1920" i="1"/>
  <c r="AF1928" i="1"/>
  <c r="AF1936" i="1"/>
  <c r="AF1944" i="1"/>
  <c r="AF1952" i="1"/>
  <c r="AF1960" i="1"/>
  <c r="AF1968" i="1"/>
  <c r="AF1976" i="1"/>
  <c r="AF1801" i="1"/>
  <c r="AF1864" i="1"/>
  <c r="AF1653" i="1"/>
  <c r="AF1725" i="1"/>
  <c r="AF1825" i="1"/>
  <c r="AF1865" i="1"/>
  <c r="AF1873" i="1"/>
  <c r="AF1881" i="1"/>
  <c r="AF1889" i="1"/>
  <c r="AF1897" i="1"/>
  <c r="AF1905" i="1"/>
  <c r="AF1913" i="1"/>
  <c r="AF1921" i="1"/>
  <c r="AF1929" i="1"/>
  <c r="AF1937" i="1"/>
  <c r="AF1945" i="1"/>
  <c r="AF1953" i="1"/>
  <c r="AF1961" i="1"/>
  <c r="AF1969" i="1"/>
  <c r="AF1977" i="1"/>
  <c r="AF1985" i="1"/>
  <c r="AF1849" i="1"/>
  <c r="AF1745" i="1"/>
  <c r="AF1866" i="1"/>
  <c r="AF1874" i="1"/>
  <c r="AF1882" i="1"/>
  <c r="AF1890" i="1"/>
  <c r="AF1898" i="1"/>
  <c r="AF1906" i="1"/>
  <c r="AF1914" i="1"/>
  <c r="AF1922" i="1"/>
  <c r="AF1930" i="1"/>
  <c r="AF1938" i="1"/>
  <c r="AF1946" i="1"/>
  <c r="AF1954" i="1"/>
  <c r="AF1962" i="1"/>
  <c r="AF1970" i="1"/>
  <c r="AF1978" i="1"/>
  <c r="AF1986" i="1"/>
  <c r="AF1769" i="1"/>
  <c r="AF1793" i="1"/>
  <c r="AF1867" i="1"/>
  <c r="AF1875" i="1"/>
  <c r="AF1883" i="1"/>
  <c r="AF1891" i="1"/>
  <c r="AF1899" i="1"/>
  <c r="AF1907" i="1"/>
  <c r="AF1915" i="1"/>
  <c r="AF1923" i="1"/>
  <c r="AF1931" i="1"/>
  <c r="AF1939" i="1"/>
  <c r="AF1947" i="1"/>
  <c r="AF1955" i="1"/>
  <c r="AF1963" i="1"/>
  <c r="AF1971" i="1"/>
  <c r="AF1979" i="1"/>
  <c r="AF1661" i="1"/>
  <c r="AF1817" i="1"/>
  <c r="AF1761" i="1"/>
  <c r="AF26" i="1"/>
  <c r="AG13" i="1"/>
  <c r="R18" i="1"/>
  <c r="S18" i="1"/>
  <c r="T18" i="1"/>
  <c r="U17" i="1"/>
  <c r="V17" i="1"/>
  <c r="W17" i="1"/>
  <c r="X16" i="1"/>
  <c r="Y15" i="1"/>
  <c r="Z14" i="1"/>
  <c r="AA14" i="1"/>
  <c r="AB14" i="1"/>
  <c r="AC14" i="1"/>
  <c r="AD13" i="1"/>
  <c r="AE25" i="1"/>
  <c r="AH24" i="1"/>
  <c r="AI20" i="1"/>
  <c r="AJ16" i="1"/>
  <c r="P37" i="1"/>
  <c r="P53" i="1"/>
  <c r="P69" i="1"/>
  <c r="P85" i="1"/>
  <c r="P101" i="1"/>
  <c r="P117" i="1"/>
  <c r="P133" i="1"/>
  <c r="P149" i="1"/>
  <c r="P165" i="1"/>
  <c r="P181" i="1"/>
  <c r="P197" i="1"/>
  <c r="P213" i="1"/>
  <c r="P229" i="1"/>
  <c r="P245" i="1"/>
  <c r="P261" i="1"/>
  <c r="P277" i="1"/>
  <c r="P293" i="1"/>
  <c r="P309" i="1"/>
  <c r="P325" i="1"/>
  <c r="P341" i="1"/>
  <c r="P357" i="1"/>
  <c r="P373" i="1"/>
  <c r="P389" i="1"/>
  <c r="P405" i="1"/>
  <c r="P421" i="1"/>
  <c r="P437" i="1"/>
  <c r="P453" i="1"/>
  <c r="P469" i="1"/>
  <c r="P485" i="1"/>
  <c r="P501" i="1"/>
  <c r="P517" i="1"/>
  <c r="P533" i="1"/>
  <c r="P549" i="1"/>
  <c r="P565" i="1"/>
  <c r="P581" i="1"/>
  <c r="P597" i="1"/>
  <c r="P613" i="1"/>
  <c r="P629" i="1"/>
  <c r="P645" i="1"/>
  <c r="P661" i="1"/>
  <c r="P677" i="1"/>
  <c r="P693" i="1"/>
  <c r="P709" i="1"/>
  <c r="P725" i="1"/>
  <c r="P741" i="1"/>
  <c r="P757" i="1"/>
  <c r="P773" i="1"/>
  <c r="P789" i="1"/>
  <c r="P805" i="1"/>
  <c r="P821" i="1"/>
  <c r="P837" i="1"/>
  <c r="P853" i="1"/>
  <c r="P869" i="1"/>
  <c r="P885" i="1"/>
  <c r="P901" i="1"/>
  <c r="P917" i="1"/>
  <c r="P933" i="1"/>
  <c r="P949" i="1"/>
  <c r="P965" i="1"/>
  <c r="P981" i="1"/>
  <c r="P997" i="1"/>
  <c r="P1013" i="1"/>
  <c r="P1029" i="1"/>
  <c r="P1045" i="1"/>
  <c r="P1061" i="1"/>
  <c r="P1077" i="1"/>
  <c r="P1093" i="1"/>
  <c r="P1109" i="1"/>
  <c r="P1125" i="1"/>
  <c r="P1141" i="1"/>
  <c r="P1157" i="1"/>
  <c r="P1173" i="1"/>
  <c r="P1189" i="1"/>
  <c r="P1205" i="1"/>
  <c r="P1221" i="1"/>
  <c r="P1237" i="1"/>
  <c r="P1253" i="1"/>
  <c r="P1269" i="1"/>
  <c r="P1285" i="1"/>
  <c r="P1301" i="1"/>
  <c r="P1317" i="1"/>
  <c r="P1333" i="1"/>
  <c r="P1349" i="1"/>
  <c r="P1365" i="1"/>
  <c r="P1381" i="1"/>
  <c r="P1397" i="1"/>
  <c r="P1413" i="1"/>
  <c r="P1429" i="1"/>
  <c r="P1445" i="1"/>
  <c r="P1461" i="1"/>
  <c r="P1477" i="1"/>
  <c r="P1493" i="1"/>
  <c r="P1509" i="1"/>
  <c r="P1525" i="1"/>
  <c r="P1541" i="1"/>
  <c r="P1557" i="1"/>
  <c r="P1573" i="1"/>
  <c r="P1589" i="1"/>
  <c r="P1605" i="1"/>
  <c r="P1621" i="1"/>
  <c r="P1637" i="1"/>
  <c r="P1653" i="1"/>
  <c r="P1669" i="1"/>
  <c r="P1685" i="1"/>
  <c r="P1701" i="1"/>
  <c r="P1717" i="1"/>
  <c r="P1733" i="1"/>
  <c r="P1749" i="1"/>
  <c r="P1765" i="1"/>
  <c r="P1781" i="1"/>
  <c r="P1797" i="1"/>
  <c r="P1813" i="1"/>
  <c r="P1829" i="1"/>
  <c r="P1845" i="1"/>
  <c r="P1861" i="1"/>
  <c r="P1877" i="1"/>
  <c r="P1893" i="1"/>
  <c r="P1909" i="1"/>
  <c r="P1925" i="1"/>
  <c r="P1941" i="1"/>
  <c r="P1957" i="1"/>
  <c r="P1973" i="1"/>
  <c r="P1989" i="1"/>
  <c r="P2005" i="1"/>
  <c r="P2021" i="1"/>
  <c r="P2037" i="1"/>
  <c r="Z2044" i="1"/>
  <c r="AB2043" i="1"/>
  <c r="AD2042" i="1"/>
  <c r="AF2041" i="1"/>
  <c r="AH2040" i="1"/>
  <c r="R2040" i="1"/>
  <c r="T2039" i="1"/>
  <c r="V2038" i="1"/>
  <c r="X2037" i="1"/>
  <c r="Z2036" i="1"/>
  <c r="AB2035" i="1"/>
  <c r="AD2034" i="1"/>
  <c r="AF2033" i="1"/>
  <c r="AH2032" i="1"/>
  <c r="R2032" i="1"/>
  <c r="T2031" i="1"/>
  <c r="V2030" i="1"/>
  <c r="X2029" i="1"/>
  <c r="Z2028" i="1"/>
  <c r="AB2027" i="1"/>
  <c r="AD2026" i="1"/>
  <c r="AF2025" i="1"/>
  <c r="AH2024" i="1"/>
  <c r="R2024" i="1"/>
  <c r="T2023" i="1"/>
  <c r="V2022" i="1"/>
  <c r="X2021" i="1"/>
  <c r="Z2020" i="1"/>
  <c r="AB2019" i="1"/>
  <c r="AD2018" i="1"/>
  <c r="AF2017" i="1"/>
  <c r="AH2016" i="1"/>
  <c r="R2016" i="1"/>
  <c r="T2015" i="1"/>
  <c r="V2014" i="1"/>
  <c r="X2013" i="1"/>
  <c r="Z2012" i="1"/>
  <c r="AB2011" i="1"/>
  <c r="AD2010" i="1"/>
  <c r="AF2009" i="1"/>
  <c r="AH2008" i="1"/>
  <c r="R2008" i="1"/>
  <c r="T2007" i="1"/>
  <c r="V2006" i="1"/>
  <c r="X2005" i="1"/>
  <c r="Z2004" i="1"/>
  <c r="AB2003" i="1"/>
  <c r="AD2002" i="1"/>
  <c r="AF2001" i="1"/>
  <c r="AH2000" i="1"/>
  <c r="R2000" i="1"/>
  <c r="T1999" i="1"/>
  <c r="V1998" i="1"/>
  <c r="X1997" i="1"/>
  <c r="Z1996" i="1"/>
  <c r="AB1995" i="1"/>
  <c r="AD1994" i="1"/>
  <c r="AF1993" i="1"/>
  <c r="AH1992" i="1"/>
  <c r="R1992" i="1"/>
  <c r="T1991" i="1"/>
  <c r="V1990" i="1"/>
  <c r="X1989" i="1"/>
  <c r="Z1988" i="1"/>
  <c r="AB1987" i="1"/>
  <c r="V1985" i="1"/>
  <c r="AE1981" i="1"/>
  <c r="U1978" i="1"/>
  <c r="AC1974" i="1"/>
  <c r="S1971" i="1"/>
  <c r="AA1967" i="1"/>
  <c r="Q1964" i="1"/>
  <c r="Y1960" i="1"/>
  <c r="AG1956" i="1"/>
  <c r="W1953" i="1"/>
  <c r="AE1949" i="1"/>
  <c r="U1946" i="1"/>
  <c r="AC1942" i="1"/>
  <c r="S1939" i="1"/>
  <c r="AA1935" i="1"/>
  <c r="Q1932" i="1"/>
  <c r="Y1928" i="1"/>
  <c r="AG1924" i="1"/>
  <c r="W1921" i="1"/>
  <c r="AE1917" i="1"/>
  <c r="U1914" i="1"/>
  <c r="AC1910" i="1"/>
  <c r="S1907" i="1"/>
  <c r="AA1903" i="1"/>
  <c r="Q1900" i="1"/>
  <c r="Y1896" i="1"/>
  <c r="AG1892" i="1"/>
  <c r="W1889" i="1"/>
  <c r="AE1885" i="1"/>
  <c r="U1882" i="1"/>
  <c r="AC1878" i="1"/>
  <c r="S1875" i="1"/>
  <c r="AA1871" i="1"/>
  <c r="Q1868" i="1"/>
  <c r="U1863" i="1"/>
  <c r="W1837" i="1"/>
  <c r="T1799" i="1"/>
  <c r="Q1761" i="1"/>
  <c r="R1668" i="1"/>
  <c r="AG25" i="1"/>
  <c r="Z11" i="1"/>
  <c r="R17" i="1"/>
  <c r="S17" i="1"/>
  <c r="T17" i="1"/>
  <c r="U16" i="1"/>
  <c r="V16" i="1"/>
  <c r="W16" i="1"/>
  <c r="X15" i="1"/>
  <c r="Y14" i="1"/>
  <c r="Z13" i="1"/>
  <c r="AA13" i="1"/>
  <c r="AB13" i="1"/>
  <c r="AC13" i="1"/>
  <c r="AD12" i="1"/>
  <c r="AE24" i="1"/>
  <c r="AH23" i="1"/>
  <c r="AI19" i="1"/>
  <c r="AJ15" i="1"/>
  <c r="P38" i="1"/>
  <c r="P54" i="1"/>
  <c r="P70" i="1"/>
  <c r="P86" i="1"/>
  <c r="P102" i="1"/>
  <c r="P118" i="1"/>
  <c r="P134" i="1"/>
  <c r="P150" i="1"/>
  <c r="P166" i="1"/>
  <c r="P182" i="1"/>
  <c r="P198" i="1"/>
  <c r="P214" i="1"/>
  <c r="P230" i="1"/>
  <c r="P246" i="1"/>
  <c r="P262" i="1"/>
  <c r="P278" i="1"/>
  <c r="P294" i="1"/>
  <c r="P310" i="1"/>
  <c r="P326" i="1"/>
  <c r="P342" i="1"/>
  <c r="P358" i="1"/>
  <c r="P374" i="1"/>
  <c r="P390" i="1"/>
  <c r="P406" i="1"/>
  <c r="P422" i="1"/>
  <c r="P438" i="1"/>
  <c r="P454" i="1"/>
  <c r="P470" i="1"/>
  <c r="P486" i="1"/>
  <c r="P502" i="1"/>
  <c r="P518" i="1"/>
  <c r="P534" i="1"/>
  <c r="P550" i="1"/>
  <c r="P566" i="1"/>
  <c r="P582" i="1"/>
  <c r="P598" i="1"/>
  <c r="P614" i="1"/>
  <c r="P630" i="1"/>
  <c r="P646" i="1"/>
  <c r="P662" i="1"/>
  <c r="P678" i="1"/>
  <c r="P694" i="1"/>
  <c r="P710" i="1"/>
  <c r="P726" i="1"/>
  <c r="P742" i="1"/>
  <c r="P758" i="1"/>
  <c r="P774" i="1"/>
  <c r="P790" i="1"/>
  <c r="P806" i="1"/>
  <c r="P822" i="1"/>
  <c r="P838" i="1"/>
  <c r="P854" i="1"/>
  <c r="P870" i="1"/>
  <c r="P886" i="1"/>
  <c r="P902" i="1"/>
  <c r="P918" i="1"/>
  <c r="P934" i="1"/>
  <c r="P950" i="1"/>
  <c r="P966" i="1"/>
  <c r="P982" i="1"/>
  <c r="P998" i="1"/>
  <c r="P1014" i="1"/>
  <c r="P1030" i="1"/>
  <c r="P1046" i="1"/>
  <c r="P1062" i="1"/>
  <c r="P1078" i="1"/>
  <c r="P1094" i="1"/>
  <c r="P1110" i="1"/>
  <c r="P1126" i="1"/>
  <c r="P1142" i="1"/>
  <c r="P1158" i="1"/>
  <c r="P1174" i="1"/>
  <c r="P1190" i="1"/>
  <c r="P1206" i="1"/>
  <c r="P1222" i="1"/>
  <c r="P1238" i="1"/>
  <c r="P1254" i="1"/>
  <c r="P1270" i="1"/>
  <c r="P1286" i="1"/>
  <c r="P1302" i="1"/>
  <c r="P1318" i="1"/>
  <c r="P1334" i="1"/>
  <c r="P1350" i="1"/>
  <c r="P1366" i="1"/>
  <c r="P1382" i="1"/>
  <c r="P1398" i="1"/>
  <c r="P1414" i="1"/>
  <c r="P1430" i="1"/>
  <c r="P1446" i="1"/>
  <c r="P1462" i="1"/>
  <c r="P1478" i="1"/>
  <c r="P1494" i="1"/>
  <c r="P1510" i="1"/>
  <c r="P1526" i="1"/>
  <c r="P1542" i="1"/>
  <c r="P1558" i="1"/>
  <c r="P1574" i="1"/>
  <c r="P1590" i="1"/>
  <c r="P1606" i="1"/>
  <c r="P1622" i="1"/>
  <c r="P1638" i="1"/>
  <c r="P1654" i="1"/>
  <c r="P1670" i="1"/>
  <c r="P1686" i="1"/>
  <c r="P1702" i="1"/>
  <c r="P1718" i="1"/>
  <c r="P1734" i="1"/>
  <c r="P1750" i="1"/>
  <c r="P1766" i="1"/>
  <c r="P1782" i="1"/>
  <c r="P1798" i="1"/>
  <c r="P1814" i="1"/>
  <c r="P1830" i="1"/>
  <c r="P1846" i="1"/>
  <c r="P1862" i="1"/>
  <c r="P1878" i="1"/>
  <c r="P1894" i="1"/>
  <c r="P1910" i="1"/>
  <c r="P1926" i="1"/>
  <c r="P1942" i="1"/>
  <c r="P1958" i="1"/>
  <c r="P1974" i="1"/>
  <c r="P1990" i="1"/>
  <c r="P2006" i="1"/>
  <c r="P2022" i="1"/>
  <c r="P2038" i="1"/>
  <c r="Y2044" i="1"/>
  <c r="AA2043" i="1"/>
  <c r="AC2042" i="1"/>
  <c r="AE2041" i="1"/>
  <c r="AG2040" i="1"/>
  <c r="Q2040" i="1"/>
  <c r="S2039" i="1"/>
  <c r="U2038" i="1"/>
  <c r="W2037" i="1"/>
  <c r="Y2036" i="1"/>
  <c r="AA2035" i="1"/>
  <c r="AC2034" i="1"/>
  <c r="AE2033" i="1"/>
  <c r="AG2032" i="1"/>
  <c r="Q2032" i="1"/>
  <c r="S2031" i="1"/>
  <c r="U2030" i="1"/>
  <c r="W2029" i="1"/>
  <c r="Y2028" i="1"/>
  <c r="AA2027" i="1"/>
  <c r="AC2026" i="1"/>
  <c r="AE2025" i="1"/>
  <c r="AG2024" i="1"/>
  <c r="Q2024" i="1"/>
  <c r="S2023" i="1"/>
  <c r="U2022" i="1"/>
  <c r="W2021" i="1"/>
  <c r="Y2020" i="1"/>
  <c r="AA2019" i="1"/>
  <c r="AC2018" i="1"/>
  <c r="AE2017" i="1"/>
  <c r="AG2016" i="1"/>
  <c r="Q2016" i="1"/>
  <c r="S2015" i="1"/>
  <c r="U2014" i="1"/>
  <c r="W2013" i="1"/>
  <c r="Y2012" i="1"/>
  <c r="AA2011" i="1"/>
  <c r="AC2010" i="1"/>
  <c r="AE2009" i="1"/>
  <c r="AG2008" i="1"/>
  <c r="Q2008" i="1"/>
  <c r="S2007" i="1"/>
  <c r="U2006" i="1"/>
  <c r="W2005" i="1"/>
  <c r="Y2004" i="1"/>
  <c r="AA2003" i="1"/>
  <c r="AC2002" i="1"/>
  <c r="AE2001" i="1"/>
  <c r="AG2000" i="1"/>
  <c r="Q2000" i="1"/>
  <c r="S1999" i="1"/>
  <c r="U1998" i="1"/>
  <c r="W1997" i="1"/>
  <c r="Y1996" i="1"/>
  <c r="AA1995" i="1"/>
  <c r="AC1994" i="1"/>
  <c r="AE1993" i="1"/>
  <c r="AG1992" i="1"/>
  <c r="Q1992" i="1"/>
  <c r="S1991" i="1"/>
  <c r="U1990" i="1"/>
  <c r="W1989" i="1"/>
  <c r="Y1988" i="1"/>
  <c r="AA1987" i="1"/>
  <c r="U1985" i="1"/>
  <c r="AD1981" i="1"/>
  <c r="T1978" i="1"/>
  <c r="AB1974" i="1"/>
  <c r="R1971" i="1"/>
  <c r="Z1967" i="1"/>
  <c r="AH1963" i="1"/>
  <c r="X1960" i="1"/>
  <c r="AF1956" i="1"/>
  <c r="V1953" i="1"/>
  <c r="AD1949" i="1"/>
  <c r="T1946" i="1"/>
  <c r="AB1942" i="1"/>
  <c r="R1939" i="1"/>
  <c r="Z1935" i="1"/>
  <c r="AH1931" i="1"/>
  <c r="X1928" i="1"/>
  <c r="AF1924" i="1"/>
  <c r="V1921" i="1"/>
  <c r="AD1917" i="1"/>
  <c r="T1914" i="1"/>
  <c r="AB1910" i="1"/>
  <c r="R1907" i="1"/>
  <c r="Z1903" i="1"/>
  <c r="AH1899" i="1"/>
  <c r="X1896" i="1"/>
  <c r="AF1892" i="1"/>
  <c r="V1889" i="1"/>
  <c r="AD1885" i="1"/>
  <c r="T1882" i="1"/>
  <c r="AB1878" i="1"/>
  <c r="R1875" i="1"/>
  <c r="Z1871" i="1"/>
  <c r="AH1867" i="1"/>
  <c r="Y1860" i="1"/>
  <c r="AG1832" i="1"/>
  <c r="AA1756" i="1"/>
  <c r="Z1632" i="1"/>
  <c r="AD34" i="1"/>
  <c r="AD42" i="1"/>
  <c r="AE27" i="1"/>
  <c r="AE35" i="1"/>
  <c r="AE43" i="1"/>
  <c r="AD28" i="1"/>
  <c r="AD36" i="1"/>
  <c r="AD44" i="1"/>
  <c r="AE28" i="1"/>
  <c r="AE36" i="1"/>
  <c r="AE44" i="1"/>
  <c r="AD29" i="1"/>
  <c r="AD37" i="1"/>
  <c r="AD45" i="1"/>
  <c r="AE31" i="1"/>
  <c r="AE39" i="1"/>
  <c r="AE47" i="1"/>
  <c r="AD32" i="1"/>
  <c r="AD40" i="1"/>
  <c r="AD48" i="1"/>
  <c r="AE29" i="1"/>
  <c r="AE40" i="1"/>
  <c r="AD54" i="1"/>
  <c r="AD62" i="1"/>
  <c r="AD70" i="1"/>
  <c r="AD78" i="1"/>
  <c r="AD86" i="1"/>
  <c r="AE55" i="1"/>
  <c r="AE63" i="1"/>
  <c r="AE71" i="1"/>
  <c r="AE79" i="1"/>
  <c r="AE34" i="1"/>
  <c r="AD56" i="1"/>
  <c r="AD64" i="1"/>
  <c r="AD72" i="1"/>
  <c r="AD80" i="1"/>
  <c r="AD31" i="1"/>
  <c r="AE42" i="1"/>
  <c r="AE56" i="1"/>
  <c r="AE64" i="1"/>
  <c r="AE72" i="1"/>
  <c r="AE80" i="1"/>
  <c r="AD39" i="1"/>
  <c r="AD57" i="1"/>
  <c r="AD65" i="1"/>
  <c r="AD73" i="1"/>
  <c r="AD81" i="1"/>
  <c r="AD47" i="1"/>
  <c r="AE57" i="1"/>
  <c r="AE65" i="1"/>
  <c r="AE73" i="1"/>
  <c r="AE81" i="1"/>
  <c r="AD50" i="1"/>
  <c r="AD58" i="1"/>
  <c r="AD66" i="1"/>
  <c r="AD74" i="1"/>
  <c r="AD33" i="1"/>
  <c r="AE50" i="1"/>
  <c r="AE58" i="1"/>
  <c r="AE66" i="1"/>
  <c r="AE74" i="1"/>
  <c r="AE82" i="1"/>
  <c r="AE38" i="1"/>
  <c r="AD46" i="1"/>
  <c r="AE49" i="1"/>
  <c r="AD52" i="1"/>
  <c r="AD60" i="1"/>
  <c r="AD68" i="1"/>
  <c r="AD76" i="1"/>
  <c r="AD84" i="1"/>
  <c r="AE45" i="1"/>
  <c r="AD49" i="1"/>
  <c r="AE92" i="1"/>
  <c r="AE100" i="1"/>
  <c r="AE108" i="1"/>
  <c r="AE116" i="1"/>
  <c r="AE124" i="1"/>
  <c r="AD93" i="1"/>
  <c r="AD101" i="1"/>
  <c r="AD109" i="1"/>
  <c r="AD117" i="1"/>
  <c r="AD125" i="1"/>
  <c r="AE68" i="1"/>
  <c r="AE78" i="1"/>
  <c r="AE94" i="1"/>
  <c r="AE102" i="1"/>
  <c r="AE110" i="1"/>
  <c r="AE118" i="1"/>
  <c r="AE126" i="1"/>
  <c r="AE60" i="1"/>
  <c r="AE70" i="1"/>
  <c r="AD95" i="1"/>
  <c r="AD103" i="1"/>
  <c r="AD111" i="1"/>
  <c r="AD119" i="1"/>
  <c r="AE32" i="1"/>
  <c r="AE52" i="1"/>
  <c r="AE62" i="1"/>
  <c r="AE95" i="1"/>
  <c r="AE103" i="1"/>
  <c r="AE111" i="1"/>
  <c r="AE119" i="1"/>
  <c r="AD43" i="1"/>
  <c r="AE54" i="1"/>
  <c r="AD96" i="1"/>
  <c r="AD104" i="1"/>
  <c r="AD112" i="1"/>
  <c r="AE84" i="1"/>
  <c r="AD88" i="1"/>
  <c r="AE96" i="1"/>
  <c r="AE104" i="1"/>
  <c r="AE112" i="1"/>
  <c r="AE120" i="1"/>
  <c r="AE33" i="1"/>
  <c r="AE88" i="1"/>
  <c r="AD89" i="1"/>
  <c r="AD97" i="1"/>
  <c r="AD105" i="1"/>
  <c r="AD113" i="1"/>
  <c r="AD121" i="1"/>
  <c r="AD129" i="1"/>
  <c r="AE30" i="1"/>
  <c r="AE37" i="1"/>
  <c r="AD41" i="1"/>
  <c r="AD59" i="1"/>
  <c r="AE67" i="1"/>
  <c r="AD69" i="1"/>
  <c r="AE77" i="1"/>
  <c r="AD79" i="1"/>
  <c r="AE90" i="1"/>
  <c r="AE98" i="1"/>
  <c r="AE106" i="1"/>
  <c r="AE114" i="1"/>
  <c r="AD51" i="1"/>
  <c r="AD55" i="1"/>
  <c r="AD83" i="1"/>
  <c r="AE97" i="1"/>
  <c r="AD99" i="1"/>
  <c r="AE107" i="1"/>
  <c r="AE109" i="1"/>
  <c r="AE117" i="1"/>
  <c r="AD122" i="1"/>
  <c r="AE128" i="1"/>
  <c r="AD131" i="1"/>
  <c r="AD139" i="1"/>
  <c r="AD147" i="1"/>
  <c r="AD155" i="1"/>
  <c r="AD163" i="1"/>
  <c r="AD171" i="1"/>
  <c r="AD61" i="1"/>
  <c r="AE75" i="1"/>
  <c r="AD87" i="1"/>
  <c r="AE132" i="1"/>
  <c r="AE140" i="1"/>
  <c r="AE148" i="1"/>
  <c r="AE156" i="1"/>
  <c r="AE164" i="1"/>
  <c r="AE61" i="1"/>
  <c r="AE87" i="1"/>
  <c r="AD126" i="1"/>
  <c r="AD133" i="1"/>
  <c r="AD141" i="1"/>
  <c r="AD149" i="1"/>
  <c r="AD157" i="1"/>
  <c r="AD165" i="1"/>
  <c r="AD30" i="1"/>
  <c r="AE121" i="1"/>
  <c r="AE133" i="1"/>
  <c r="AE141" i="1"/>
  <c r="AE149" i="1"/>
  <c r="AE157" i="1"/>
  <c r="AE165" i="1"/>
  <c r="AD38" i="1"/>
  <c r="AE46" i="1"/>
  <c r="AD71" i="1"/>
  <c r="AD114" i="1"/>
  <c r="AD134" i="1"/>
  <c r="AD142" i="1"/>
  <c r="AD150" i="1"/>
  <c r="AD158" i="1"/>
  <c r="AD166" i="1"/>
  <c r="AD67" i="1"/>
  <c r="AD106" i="1"/>
  <c r="AD116" i="1"/>
  <c r="AE125" i="1"/>
  <c r="AE134" i="1"/>
  <c r="AE142" i="1"/>
  <c r="AE150" i="1"/>
  <c r="AE158" i="1"/>
  <c r="AE166" i="1"/>
  <c r="AD53" i="1"/>
  <c r="AE76" i="1"/>
  <c r="AD98" i="1"/>
  <c r="AD108" i="1"/>
  <c r="AD110" i="1"/>
  <c r="AD135" i="1"/>
  <c r="AD143" i="1"/>
  <c r="AD151" i="1"/>
  <c r="AD159" i="1"/>
  <c r="AE48" i="1"/>
  <c r="AE53" i="1"/>
  <c r="AD90" i="1"/>
  <c r="AD100" i="1"/>
  <c r="AD102" i="1"/>
  <c r="AD118" i="1"/>
  <c r="AE135" i="1"/>
  <c r="AE143" i="1"/>
  <c r="AE151" i="1"/>
  <c r="AE159" i="1"/>
  <c r="AE167" i="1"/>
  <c r="AE59" i="1"/>
  <c r="AD137" i="1"/>
  <c r="AD145" i="1"/>
  <c r="AD153" i="1"/>
  <c r="AD161" i="1"/>
  <c r="AD169" i="1"/>
  <c r="AD123" i="1"/>
  <c r="AE153" i="1"/>
  <c r="AE163" i="1"/>
  <c r="AE180" i="1"/>
  <c r="AE188" i="1"/>
  <c r="AE196" i="1"/>
  <c r="AE204" i="1"/>
  <c r="AE212" i="1"/>
  <c r="AD27" i="1"/>
  <c r="AE69" i="1"/>
  <c r="AD120" i="1"/>
  <c r="AE123" i="1"/>
  <c r="AE145" i="1"/>
  <c r="AE155" i="1"/>
  <c r="AD167" i="1"/>
  <c r="AD181" i="1"/>
  <c r="AD189" i="1"/>
  <c r="AD197" i="1"/>
  <c r="AD205" i="1"/>
  <c r="AE137" i="1"/>
  <c r="AE147" i="1"/>
  <c r="AE181" i="1"/>
  <c r="AE189" i="1"/>
  <c r="AE197" i="1"/>
  <c r="AE205" i="1"/>
  <c r="AE89" i="1"/>
  <c r="AD94" i="1"/>
  <c r="AD124" i="1"/>
  <c r="AD172" i="1"/>
  <c r="AD173" i="1"/>
  <c r="AD174" i="1"/>
  <c r="AD175" i="1"/>
  <c r="AD183" i="1"/>
  <c r="AD191" i="1"/>
  <c r="AD199" i="1"/>
  <c r="AD207" i="1"/>
  <c r="AE51" i="1"/>
  <c r="AD160" i="1"/>
  <c r="AD170" i="1"/>
  <c r="AE171" i="1"/>
  <c r="AE172" i="1"/>
  <c r="AE173" i="1"/>
  <c r="AE174" i="1"/>
  <c r="AE175" i="1"/>
  <c r="AE183" i="1"/>
  <c r="AE191" i="1"/>
  <c r="AE199" i="1"/>
  <c r="AE207" i="1"/>
  <c r="AD63" i="1"/>
  <c r="AE83" i="1"/>
  <c r="AE113" i="1"/>
  <c r="AD152" i="1"/>
  <c r="AE160" i="1"/>
  <c r="AD162" i="1"/>
  <c r="AE169" i="1"/>
  <c r="AE170" i="1"/>
  <c r="AD176" i="1"/>
  <c r="AD184" i="1"/>
  <c r="AD192" i="1"/>
  <c r="AD200" i="1"/>
  <c r="AD208" i="1"/>
  <c r="AD35" i="1"/>
  <c r="AE99" i="1"/>
  <c r="AD127" i="1"/>
  <c r="AD144" i="1"/>
  <c r="AE152" i="1"/>
  <c r="AD154" i="1"/>
  <c r="AE162" i="1"/>
  <c r="AD164" i="1"/>
  <c r="AE176" i="1"/>
  <c r="AE184" i="1"/>
  <c r="AE192" i="1"/>
  <c r="AE200" i="1"/>
  <c r="AD85" i="1"/>
  <c r="AE127" i="1"/>
  <c r="AD136" i="1"/>
  <c r="AE144" i="1"/>
  <c r="AD146" i="1"/>
  <c r="AE154" i="1"/>
  <c r="AD156" i="1"/>
  <c r="AD177" i="1"/>
  <c r="AD185" i="1"/>
  <c r="AD193" i="1"/>
  <c r="AD201" i="1"/>
  <c r="AD209" i="1"/>
  <c r="AD75" i="1"/>
  <c r="AE85" i="1"/>
  <c r="AE136" i="1"/>
  <c r="AD138" i="1"/>
  <c r="AE146" i="1"/>
  <c r="AD148" i="1"/>
  <c r="AE177" i="1"/>
  <c r="AE185" i="1"/>
  <c r="AE193" i="1"/>
  <c r="AE201" i="1"/>
  <c r="AE209" i="1"/>
  <c r="AE86" i="1"/>
  <c r="AE91" i="1"/>
  <c r="AD179" i="1"/>
  <c r="AD187" i="1"/>
  <c r="AD195" i="1"/>
  <c r="AE182" i="1"/>
  <c r="AE194" i="1"/>
  <c r="AE206" i="1"/>
  <c r="AD218" i="1"/>
  <c r="AD226" i="1"/>
  <c r="AD234" i="1"/>
  <c r="AD242" i="1"/>
  <c r="AD250" i="1"/>
  <c r="AD258" i="1"/>
  <c r="AD128" i="1"/>
  <c r="AE139" i="1"/>
  <c r="AE187" i="1"/>
  <c r="AE208" i="1"/>
  <c r="AE218" i="1"/>
  <c r="AE226" i="1"/>
  <c r="AE234" i="1"/>
  <c r="AE242" i="1"/>
  <c r="AE250" i="1"/>
  <c r="AE258" i="1"/>
  <c r="AD82" i="1"/>
  <c r="AE161" i="1"/>
  <c r="AD180" i="1"/>
  <c r="AD210" i="1"/>
  <c r="AD219" i="1"/>
  <c r="AD227" i="1"/>
  <c r="AD235" i="1"/>
  <c r="AD243" i="1"/>
  <c r="AD251" i="1"/>
  <c r="AD130" i="1"/>
  <c r="AD190" i="1"/>
  <c r="AE203" i="1"/>
  <c r="AE220" i="1"/>
  <c r="AE228" i="1"/>
  <c r="AE236" i="1"/>
  <c r="AE244" i="1"/>
  <c r="AE252" i="1"/>
  <c r="AE130" i="1"/>
  <c r="AE190" i="1"/>
  <c r="AD212" i="1"/>
  <c r="AD213" i="1"/>
  <c r="AD221" i="1"/>
  <c r="AD229" i="1"/>
  <c r="AD237" i="1"/>
  <c r="AD245" i="1"/>
  <c r="AD253" i="1"/>
  <c r="AD168" i="1"/>
  <c r="AE195" i="1"/>
  <c r="AE213" i="1"/>
  <c r="AE221" i="1"/>
  <c r="AE229" i="1"/>
  <c r="AE237" i="1"/>
  <c r="AE245" i="1"/>
  <c r="AE101" i="1"/>
  <c r="AE168" i="1"/>
  <c r="AD188" i="1"/>
  <c r="AD214" i="1"/>
  <c r="AD222" i="1"/>
  <c r="AD230" i="1"/>
  <c r="AD238" i="1"/>
  <c r="AD115" i="1"/>
  <c r="AD186" i="1"/>
  <c r="AE214" i="1"/>
  <c r="AE222" i="1"/>
  <c r="AE230" i="1"/>
  <c r="AE238" i="1"/>
  <c r="AE246" i="1"/>
  <c r="AE254" i="1"/>
  <c r="AD91" i="1"/>
  <c r="AE115" i="1"/>
  <c r="AE131" i="1"/>
  <c r="AE186" i="1"/>
  <c r="AD202" i="1"/>
  <c r="AD215" i="1"/>
  <c r="AD223" i="1"/>
  <c r="AD231" i="1"/>
  <c r="AD239" i="1"/>
  <c r="AD247" i="1"/>
  <c r="AD77" i="1"/>
  <c r="AE138" i="1"/>
  <c r="AE211" i="1"/>
  <c r="AE216" i="1"/>
  <c r="AE224" i="1"/>
  <c r="AE232" i="1"/>
  <c r="AE240" i="1"/>
  <c r="AE248" i="1"/>
  <c r="AE256" i="1"/>
  <c r="AD206" i="1"/>
  <c r="AD211" i="1"/>
  <c r="AD228" i="1"/>
  <c r="AE261" i="1"/>
  <c r="AE269" i="1"/>
  <c r="AE277" i="1"/>
  <c r="AE285" i="1"/>
  <c r="AE293" i="1"/>
  <c r="AE301" i="1"/>
  <c r="AE309" i="1"/>
  <c r="AE317" i="1"/>
  <c r="AE129" i="1"/>
  <c r="AD196" i="1"/>
  <c r="AE202" i="1"/>
  <c r="AD233" i="1"/>
  <c r="AD246" i="1"/>
  <c r="AD248" i="1"/>
  <c r="AD252" i="1"/>
  <c r="AD257" i="1"/>
  <c r="AD262" i="1"/>
  <c r="AD270" i="1"/>
  <c r="AD278" i="1"/>
  <c r="AD286" i="1"/>
  <c r="AD294" i="1"/>
  <c r="AD302" i="1"/>
  <c r="AD310" i="1"/>
  <c r="AD318" i="1"/>
  <c r="AE105" i="1"/>
  <c r="AE233" i="1"/>
  <c r="AD240" i="1"/>
  <c r="AD244" i="1"/>
  <c r="AE257" i="1"/>
  <c r="AE262" i="1"/>
  <c r="AE270" i="1"/>
  <c r="AE278" i="1"/>
  <c r="AE286" i="1"/>
  <c r="AE294" i="1"/>
  <c r="AE302" i="1"/>
  <c r="AE310" i="1"/>
  <c r="AE318" i="1"/>
  <c r="AE179" i="1"/>
  <c r="AD198" i="1"/>
  <c r="AD217" i="1"/>
  <c r="AD264" i="1"/>
  <c r="AD272" i="1"/>
  <c r="AD280" i="1"/>
  <c r="AD288" i="1"/>
  <c r="AD296" i="1"/>
  <c r="AD304" i="1"/>
  <c r="AD312" i="1"/>
  <c r="AD320" i="1"/>
  <c r="AE198" i="1"/>
  <c r="AD203" i="1"/>
  <c r="AE217" i="1"/>
  <c r="AD236" i="1"/>
  <c r="AE264" i="1"/>
  <c r="AE272" i="1"/>
  <c r="AE280" i="1"/>
  <c r="AE288" i="1"/>
  <c r="AE296" i="1"/>
  <c r="AE304" i="1"/>
  <c r="AE312" i="1"/>
  <c r="AE215" i="1"/>
  <c r="AD256" i="1"/>
  <c r="AD265" i="1"/>
  <c r="AD273" i="1"/>
  <c r="AD281" i="1"/>
  <c r="AD289" i="1"/>
  <c r="AD297" i="1"/>
  <c r="AD305" i="1"/>
  <c r="AE265" i="1"/>
  <c r="AE273" i="1"/>
  <c r="AE281" i="1"/>
  <c r="AE289" i="1"/>
  <c r="AE297" i="1"/>
  <c r="AD204" i="1"/>
  <c r="AE227" i="1"/>
  <c r="AE247" i="1"/>
  <c r="AD249" i="1"/>
  <c r="AE251" i="1"/>
  <c r="AD266" i="1"/>
  <c r="AD274" i="1"/>
  <c r="AD282" i="1"/>
  <c r="AD290" i="1"/>
  <c r="AD298" i="1"/>
  <c r="AD306" i="1"/>
  <c r="AD314" i="1"/>
  <c r="AD220" i="1"/>
  <c r="AD232" i="1"/>
  <c r="AE239" i="1"/>
  <c r="AD241" i="1"/>
  <c r="AE243" i="1"/>
  <c r="AE249" i="1"/>
  <c r="AE253" i="1"/>
  <c r="AE266" i="1"/>
  <c r="AE274" i="1"/>
  <c r="AE282" i="1"/>
  <c r="AE290" i="1"/>
  <c r="AE298" i="1"/>
  <c r="AE306" i="1"/>
  <c r="AE314" i="1"/>
  <c r="AE93" i="1"/>
  <c r="AD140" i="1"/>
  <c r="AE210" i="1"/>
  <c r="AE223" i="1"/>
  <c r="AE255" i="1"/>
  <c r="AD260" i="1"/>
  <c r="AD268" i="1"/>
  <c r="AD276" i="1"/>
  <c r="AD284" i="1"/>
  <c r="AD292" i="1"/>
  <c r="AD300" i="1"/>
  <c r="AD308" i="1"/>
  <c r="AD194" i="1"/>
  <c r="AE235" i="1"/>
  <c r="AD269" i="1"/>
  <c r="AE295" i="1"/>
  <c r="AE319" i="1"/>
  <c r="AD322" i="1"/>
  <c r="AD330" i="1"/>
  <c r="AD338" i="1"/>
  <c r="AD346" i="1"/>
  <c r="AD354" i="1"/>
  <c r="AD362" i="1"/>
  <c r="AD370" i="1"/>
  <c r="AD378" i="1"/>
  <c r="AD386" i="1"/>
  <c r="AD394" i="1"/>
  <c r="AD402" i="1"/>
  <c r="AD410" i="1"/>
  <c r="AD418" i="1"/>
  <c r="AD426" i="1"/>
  <c r="AD178" i="1"/>
  <c r="AD267" i="1"/>
  <c r="AE300" i="1"/>
  <c r="AE322" i="1"/>
  <c r="AE330" i="1"/>
  <c r="AE338" i="1"/>
  <c r="AE346" i="1"/>
  <c r="AE354" i="1"/>
  <c r="AE362" i="1"/>
  <c r="AE370" i="1"/>
  <c r="AE378" i="1"/>
  <c r="AE386" i="1"/>
  <c r="AE394" i="1"/>
  <c r="AE402" i="1"/>
  <c r="AE410" i="1"/>
  <c r="AE418" i="1"/>
  <c r="AE426" i="1"/>
  <c r="AE178" i="1"/>
  <c r="AE267" i="1"/>
  <c r="AD293" i="1"/>
  <c r="AD323" i="1"/>
  <c r="AD331" i="1"/>
  <c r="AD339" i="1"/>
  <c r="AD347" i="1"/>
  <c r="AD355" i="1"/>
  <c r="AD363" i="1"/>
  <c r="AD371" i="1"/>
  <c r="AD379" i="1"/>
  <c r="AD387" i="1"/>
  <c r="AD395" i="1"/>
  <c r="AD403" i="1"/>
  <c r="AD411" i="1"/>
  <c r="AD419" i="1"/>
  <c r="AD427" i="1"/>
  <c r="AE260" i="1"/>
  <c r="AD279" i="1"/>
  <c r="AD291" i="1"/>
  <c r="AD107" i="1"/>
  <c r="AD224" i="1"/>
  <c r="AE279" i="1"/>
  <c r="AE291" i="1"/>
  <c r="AE305" i="1"/>
  <c r="AD307" i="1"/>
  <c r="AD324" i="1"/>
  <c r="AD332" i="1"/>
  <c r="AD340" i="1"/>
  <c r="AD348" i="1"/>
  <c r="AD356" i="1"/>
  <c r="AD364" i="1"/>
  <c r="AD372" i="1"/>
  <c r="AD380" i="1"/>
  <c r="AD388" i="1"/>
  <c r="AD396" i="1"/>
  <c r="AD404" i="1"/>
  <c r="AD412" i="1"/>
  <c r="AD420" i="1"/>
  <c r="AD428" i="1"/>
  <c r="AD182" i="1"/>
  <c r="AD225" i="1"/>
  <c r="AE231" i="1"/>
  <c r="AE284" i="1"/>
  <c r="AD303" i="1"/>
  <c r="AE307" i="1"/>
  <c r="AE324" i="1"/>
  <c r="AE332" i="1"/>
  <c r="AE340" i="1"/>
  <c r="AE348" i="1"/>
  <c r="AE356" i="1"/>
  <c r="AE364" i="1"/>
  <c r="AE372" i="1"/>
  <c r="AE380" i="1"/>
  <c r="AE388" i="1"/>
  <c r="AE396" i="1"/>
  <c r="AE404" i="1"/>
  <c r="AE412" i="1"/>
  <c r="AE420" i="1"/>
  <c r="AE428" i="1"/>
  <c r="AE122" i="1"/>
  <c r="AE225" i="1"/>
  <c r="AD277" i="1"/>
  <c r="AE303" i="1"/>
  <c r="AD325" i="1"/>
  <c r="AD333" i="1"/>
  <c r="AD341" i="1"/>
  <c r="AD349" i="1"/>
  <c r="AD357" i="1"/>
  <c r="AD365" i="1"/>
  <c r="AD373" i="1"/>
  <c r="AD381" i="1"/>
  <c r="AD389" i="1"/>
  <c r="AD397" i="1"/>
  <c r="AD405" i="1"/>
  <c r="AD413" i="1"/>
  <c r="AD421" i="1"/>
  <c r="AD429" i="1"/>
  <c r="AE219" i="1"/>
  <c r="AD254" i="1"/>
  <c r="AD263" i="1"/>
  <c r="AD275" i="1"/>
  <c r="AD309" i="1"/>
  <c r="AD317" i="1"/>
  <c r="AE325" i="1"/>
  <c r="AE333" i="1"/>
  <c r="AE341" i="1"/>
  <c r="AE349" i="1"/>
  <c r="AE357" i="1"/>
  <c r="AE365" i="1"/>
  <c r="AE373" i="1"/>
  <c r="AE381" i="1"/>
  <c r="AE389" i="1"/>
  <c r="AE397" i="1"/>
  <c r="AE405" i="1"/>
  <c r="AE413" i="1"/>
  <c r="AE421" i="1"/>
  <c r="AE429" i="1"/>
  <c r="AE263" i="1"/>
  <c r="AE275" i="1"/>
  <c r="AD301" i="1"/>
  <c r="AD311" i="1"/>
  <c r="AD326" i="1"/>
  <c r="AD334" i="1"/>
  <c r="AD342" i="1"/>
  <c r="AD350" i="1"/>
  <c r="AD358" i="1"/>
  <c r="AD366" i="1"/>
  <c r="AD374" i="1"/>
  <c r="AD382" i="1"/>
  <c r="AD390" i="1"/>
  <c r="AD398" i="1"/>
  <c r="AD406" i="1"/>
  <c r="AD414" i="1"/>
  <c r="AD422" i="1"/>
  <c r="AE268" i="1"/>
  <c r="AD287" i="1"/>
  <c r="AD299" i="1"/>
  <c r="AE311" i="1"/>
  <c r="AE326" i="1"/>
  <c r="AE334" i="1"/>
  <c r="AE342" i="1"/>
  <c r="AE350" i="1"/>
  <c r="AE358" i="1"/>
  <c r="AE366" i="1"/>
  <c r="AE374" i="1"/>
  <c r="AE382" i="1"/>
  <c r="AE390" i="1"/>
  <c r="AE398" i="1"/>
  <c r="AE406" i="1"/>
  <c r="AE414" i="1"/>
  <c r="AE422" i="1"/>
  <c r="AE430" i="1"/>
  <c r="AD132" i="1"/>
  <c r="AD255" i="1"/>
  <c r="AD261" i="1"/>
  <c r="AE287" i="1"/>
  <c r="AE299" i="1"/>
  <c r="AD313" i="1"/>
  <c r="AD316" i="1"/>
  <c r="AD327" i="1"/>
  <c r="AD335" i="1"/>
  <c r="AD343" i="1"/>
  <c r="AD351" i="1"/>
  <c r="AD359" i="1"/>
  <c r="AD367" i="1"/>
  <c r="AD375" i="1"/>
  <c r="AD383" i="1"/>
  <c r="AD391" i="1"/>
  <c r="AD399" i="1"/>
  <c r="AD407" i="1"/>
  <c r="AD415" i="1"/>
  <c r="AD423" i="1"/>
  <c r="AD431" i="1"/>
  <c r="AD259" i="1"/>
  <c r="AE292" i="1"/>
  <c r="AE41" i="1"/>
  <c r="AE259" i="1"/>
  <c r="AD285" i="1"/>
  <c r="AD328" i="1"/>
  <c r="AD336" i="1"/>
  <c r="AD344" i="1"/>
  <c r="AD352" i="1"/>
  <c r="AD360" i="1"/>
  <c r="AD368" i="1"/>
  <c r="AD376" i="1"/>
  <c r="AD384" i="1"/>
  <c r="AD392" i="1"/>
  <c r="AD400" i="1"/>
  <c r="AD408" i="1"/>
  <c r="AD416" i="1"/>
  <c r="AD424" i="1"/>
  <c r="AD271" i="1"/>
  <c r="AD283" i="1"/>
  <c r="AE320" i="1"/>
  <c r="AE328" i="1"/>
  <c r="AE336" i="1"/>
  <c r="AE344" i="1"/>
  <c r="AE352" i="1"/>
  <c r="AE360" i="1"/>
  <c r="AE368" i="1"/>
  <c r="AE376" i="1"/>
  <c r="AE384" i="1"/>
  <c r="AE392" i="1"/>
  <c r="AE400" i="1"/>
  <c r="AE408" i="1"/>
  <c r="AE416" i="1"/>
  <c r="AE424" i="1"/>
  <c r="AE432" i="1"/>
  <c r="AE327" i="1"/>
  <c r="AE359" i="1"/>
  <c r="AE391" i="1"/>
  <c r="AE423" i="1"/>
  <c r="AE441" i="1"/>
  <c r="AE449" i="1"/>
  <c r="AE457" i="1"/>
  <c r="AE465" i="1"/>
  <c r="AE473" i="1"/>
  <c r="AE308" i="1"/>
  <c r="AD315" i="1"/>
  <c r="AD345" i="1"/>
  <c r="AD377" i="1"/>
  <c r="AD409" i="1"/>
  <c r="AD433" i="1"/>
  <c r="AD434" i="1"/>
  <c r="AD442" i="1"/>
  <c r="AD450" i="1"/>
  <c r="AD458" i="1"/>
  <c r="AD466" i="1"/>
  <c r="AE276" i="1"/>
  <c r="AD295" i="1"/>
  <c r="AE315" i="1"/>
  <c r="AE345" i="1"/>
  <c r="AE377" i="1"/>
  <c r="AE409" i="1"/>
  <c r="AE431" i="1"/>
  <c r="AE433" i="1"/>
  <c r="AE434" i="1"/>
  <c r="AE442" i="1"/>
  <c r="AE450" i="1"/>
  <c r="AE458" i="1"/>
  <c r="AE466" i="1"/>
  <c r="AE474" i="1"/>
  <c r="AE331" i="1"/>
  <c r="AE363" i="1"/>
  <c r="AE395" i="1"/>
  <c r="AD435" i="1"/>
  <c r="AD443" i="1"/>
  <c r="AD451" i="1"/>
  <c r="AD459" i="1"/>
  <c r="AD467" i="1"/>
  <c r="AD216" i="1"/>
  <c r="AE316" i="1"/>
  <c r="AE335" i="1"/>
  <c r="AE367" i="1"/>
  <c r="AE399" i="1"/>
  <c r="AE435" i="1"/>
  <c r="AE443" i="1"/>
  <c r="AE451" i="1"/>
  <c r="AE459" i="1"/>
  <c r="AE467" i="1"/>
  <c r="AE475" i="1"/>
  <c r="AD321" i="1"/>
  <c r="AD353" i="1"/>
  <c r="AD385" i="1"/>
  <c r="AD417" i="1"/>
  <c r="AD436" i="1"/>
  <c r="AD444" i="1"/>
  <c r="AD452" i="1"/>
  <c r="AD460" i="1"/>
  <c r="AD468" i="1"/>
  <c r="AE321" i="1"/>
  <c r="AE353" i="1"/>
  <c r="AE385" i="1"/>
  <c r="AE417" i="1"/>
  <c r="AE436" i="1"/>
  <c r="AE444" i="1"/>
  <c r="AE452" i="1"/>
  <c r="AE460" i="1"/>
  <c r="AE468" i="1"/>
  <c r="AE283" i="1"/>
  <c r="AE339" i="1"/>
  <c r="AE371" i="1"/>
  <c r="AE403" i="1"/>
  <c r="AD437" i="1"/>
  <c r="AD445" i="1"/>
  <c r="AD453" i="1"/>
  <c r="AD461" i="1"/>
  <c r="AD469" i="1"/>
  <c r="AE343" i="1"/>
  <c r="AE375" i="1"/>
  <c r="AE407" i="1"/>
  <c r="AE427" i="1"/>
  <c r="AE437" i="1"/>
  <c r="AE445" i="1"/>
  <c r="AE453" i="1"/>
  <c r="AD329" i="1"/>
  <c r="AD361" i="1"/>
  <c r="AD393" i="1"/>
  <c r="AD432" i="1"/>
  <c r="AD438" i="1"/>
  <c r="AD446" i="1"/>
  <c r="AD454" i="1"/>
  <c r="AD462" i="1"/>
  <c r="AD470" i="1"/>
  <c r="AD92" i="1"/>
  <c r="AE329" i="1"/>
  <c r="AE361" i="1"/>
  <c r="AE393" i="1"/>
  <c r="AD425" i="1"/>
  <c r="AE438" i="1"/>
  <c r="AE446" i="1"/>
  <c r="AE454" i="1"/>
  <c r="AE462" i="1"/>
  <c r="AE470" i="1"/>
  <c r="AE347" i="1"/>
  <c r="AE379" i="1"/>
  <c r="AE411" i="1"/>
  <c r="AE425" i="1"/>
  <c r="AD430" i="1"/>
  <c r="AD439" i="1"/>
  <c r="AD447" i="1"/>
  <c r="AD455" i="1"/>
  <c r="AD463" i="1"/>
  <c r="AE241" i="1"/>
  <c r="AE313" i="1"/>
  <c r="AE351" i="1"/>
  <c r="AE383" i="1"/>
  <c r="AE415" i="1"/>
  <c r="AE439" i="1"/>
  <c r="AE447" i="1"/>
  <c r="AE455" i="1"/>
  <c r="AE463" i="1"/>
  <c r="AE471" i="1"/>
  <c r="AE271" i="1"/>
  <c r="AD337" i="1"/>
  <c r="AD369" i="1"/>
  <c r="AD401" i="1"/>
  <c r="AD440" i="1"/>
  <c r="AD448" i="1"/>
  <c r="AD456" i="1"/>
  <c r="AD464" i="1"/>
  <c r="AD476" i="1"/>
  <c r="AD485" i="1"/>
  <c r="AD493" i="1"/>
  <c r="AD501" i="1"/>
  <c r="AD509" i="1"/>
  <c r="AD517" i="1"/>
  <c r="AD525" i="1"/>
  <c r="AD533" i="1"/>
  <c r="AD541" i="1"/>
  <c r="AD549" i="1"/>
  <c r="AD557" i="1"/>
  <c r="AD565" i="1"/>
  <c r="AD573" i="1"/>
  <c r="AD581" i="1"/>
  <c r="AD589" i="1"/>
  <c r="AD597" i="1"/>
  <c r="AD605" i="1"/>
  <c r="AE369" i="1"/>
  <c r="AE464" i="1"/>
  <c r="AE476" i="1"/>
  <c r="AD477" i="1"/>
  <c r="AE485" i="1"/>
  <c r="AE493" i="1"/>
  <c r="AE501" i="1"/>
  <c r="AE509" i="1"/>
  <c r="AE517" i="1"/>
  <c r="AE525" i="1"/>
  <c r="AE533" i="1"/>
  <c r="AE541" i="1"/>
  <c r="AE549" i="1"/>
  <c r="AE557" i="1"/>
  <c r="AE565" i="1"/>
  <c r="AE573" i="1"/>
  <c r="AE581" i="1"/>
  <c r="AE589" i="1"/>
  <c r="AE597" i="1"/>
  <c r="AE605" i="1"/>
  <c r="AE469" i="1"/>
  <c r="AE477" i="1"/>
  <c r="AD478" i="1"/>
  <c r="AD486" i="1"/>
  <c r="AD494" i="1"/>
  <c r="AD502" i="1"/>
  <c r="AD510" i="1"/>
  <c r="AD518" i="1"/>
  <c r="AD526" i="1"/>
  <c r="AD534" i="1"/>
  <c r="AD542" i="1"/>
  <c r="AD550" i="1"/>
  <c r="AD558" i="1"/>
  <c r="AD566" i="1"/>
  <c r="AD574" i="1"/>
  <c r="AD582" i="1"/>
  <c r="AD590" i="1"/>
  <c r="AD598" i="1"/>
  <c r="AD606" i="1"/>
  <c r="AE401" i="1"/>
  <c r="AD475" i="1"/>
  <c r="AE478" i="1"/>
  <c r="AE486" i="1"/>
  <c r="AE494" i="1"/>
  <c r="AE502" i="1"/>
  <c r="AE510" i="1"/>
  <c r="AE518" i="1"/>
  <c r="AE526" i="1"/>
  <c r="AE534" i="1"/>
  <c r="AE542" i="1"/>
  <c r="AE550" i="1"/>
  <c r="AE558" i="1"/>
  <c r="AE566" i="1"/>
  <c r="AE574" i="1"/>
  <c r="AE582" i="1"/>
  <c r="AE590" i="1"/>
  <c r="AE598" i="1"/>
  <c r="AE606" i="1"/>
  <c r="AD472" i="1"/>
  <c r="AD479" i="1"/>
  <c r="AD487" i="1"/>
  <c r="AD495" i="1"/>
  <c r="AD503" i="1"/>
  <c r="AD511" i="1"/>
  <c r="AD519" i="1"/>
  <c r="AD527" i="1"/>
  <c r="AD535" i="1"/>
  <c r="AD543" i="1"/>
  <c r="AD551" i="1"/>
  <c r="AD559" i="1"/>
  <c r="AD567" i="1"/>
  <c r="AD575" i="1"/>
  <c r="AD583" i="1"/>
  <c r="AD591" i="1"/>
  <c r="AD599" i="1"/>
  <c r="AD607" i="1"/>
  <c r="AD319" i="1"/>
  <c r="AD465" i="1"/>
  <c r="AE472" i="1"/>
  <c r="AE479" i="1"/>
  <c r="AE487" i="1"/>
  <c r="AE495" i="1"/>
  <c r="AE503" i="1"/>
  <c r="AE511" i="1"/>
  <c r="AE519" i="1"/>
  <c r="AE527" i="1"/>
  <c r="AE535" i="1"/>
  <c r="AE543" i="1"/>
  <c r="AE551" i="1"/>
  <c r="AE559" i="1"/>
  <c r="AE567" i="1"/>
  <c r="AE575" i="1"/>
  <c r="AE583" i="1"/>
  <c r="AE591" i="1"/>
  <c r="AE599" i="1"/>
  <c r="AE607" i="1"/>
  <c r="AD480" i="1"/>
  <c r="AD488" i="1"/>
  <c r="AD496" i="1"/>
  <c r="AD504" i="1"/>
  <c r="AD512" i="1"/>
  <c r="AD520" i="1"/>
  <c r="AD528" i="1"/>
  <c r="AD536" i="1"/>
  <c r="AD544" i="1"/>
  <c r="AD552" i="1"/>
  <c r="AD560" i="1"/>
  <c r="AD568" i="1"/>
  <c r="AD576" i="1"/>
  <c r="AD584" i="1"/>
  <c r="AD592" i="1"/>
  <c r="AD600" i="1"/>
  <c r="AD608" i="1"/>
  <c r="AE440" i="1"/>
  <c r="AE461" i="1"/>
  <c r="AE480" i="1"/>
  <c r="AE488" i="1"/>
  <c r="AE496" i="1"/>
  <c r="AE504" i="1"/>
  <c r="AE512" i="1"/>
  <c r="AE520" i="1"/>
  <c r="AE528" i="1"/>
  <c r="AE536" i="1"/>
  <c r="AE544" i="1"/>
  <c r="AE552" i="1"/>
  <c r="AE560" i="1"/>
  <c r="AE568" i="1"/>
  <c r="AE576" i="1"/>
  <c r="AE584" i="1"/>
  <c r="AE592" i="1"/>
  <c r="AE600" i="1"/>
  <c r="AE608" i="1"/>
  <c r="AE323" i="1"/>
  <c r="AD474" i="1"/>
  <c r="AD481" i="1"/>
  <c r="AD489" i="1"/>
  <c r="AD497" i="1"/>
  <c r="AD505" i="1"/>
  <c r="AD513" i="1"/>
  <c r="AD521" i="1"/>
  <c r="AD529" i="1"/>
  <c r="AD537" i="1"/>
  <c r="AD545" i="1"/>
  <c r="AD553" i="1"/>
  <c r="AD561" i="1"/>
  <c r="AD569" i="1"/>
  <c r="AD577" i="1"/>
  <c r="AD585" i="1"/>
  <c r="AD593" i="1"/>
  <c r="AD601" i="1"/>
  <c r="AE448" i="1"/>
  <c r="AE481" i="1"/>
  <c r="AE489" i="1"/>
  <c r="AE497" i="1"/>
  <c r="AE505" i="1"/>
  <c r="AE513" i="1"/>
  <c r="AE521" i="1"/>
  <c r="AE529" i="1"/>
  <c r="AE537" i="1"/>
  <c r="AE545" i="1"/>
  <c r="AE553" i="1"/>
  <c r="AE561" i="1"/>
  <c r="AE569" i="1"/>
  <c r="AE577" i="1"/>
  <c r="AE585" i="1"/>
  <c r="AE593" i="1"/>
  <c r="AE601" i="1"/>
  <c r="AE609" i="1"/>
  <c r="AE355" i="1"/>
  <c r="AD441" i="1"/>
  <c r="AD482" i="1"/>
  <c r="AD490" i="1"/>
  <c r="AD498" i="1"/>
  <c r="AD506" i="1"/>
  <c r="AD514" i="1"/>
  <c r="AD522" i="1"/>
  <c r="AD530" i="1"/>
  <c r="AD538" i="1"/>
  <c r="AD546" i="1"/>
  <c r="AD554" i="1"/>
  <c r="AD562" i="1"/>
  <c r="AD570" i="1"/>
  <c r="AD578" i="1"/>
  <c r="AD586" i="1"/>
  <c r="AD594" i="1"/>
  <c r="AD602" i="1"/>
  <c r="AE456" i="1"/>
  <c r="AD471" i="1"/>
  <c r="AE482" i="1"/>
  <c r="AE490" i="1"/>
  <c r="AE498" i="1"/>
  <c r="AE506" i="1"/>
  <c r="AE514" i="1"/>
  <c r="AE522" i="1"/>
  <c r="AE530" i="1"/>
  <c r="AE538" i="1"/>
  <c r="AE546" i="1"/>
  <c r="AE554" i="1"/>
  <c r="AE562" i="1"/>
  <c r="AE570" i="1"/>
  <c r="AE578" i="1"/>
  <c r="AE586" i="1"/>
  <c r="AE594" i="1"/>
  <c r="AE602" i="1"/>
  <c r="AE610" i="1"/>
  <c r="AE387" i="1"/>
  <c r="AD449" i="1"/>
  <c r="AD483" i="1"/>
  <c r="AD491" i="1"/>
  <c r="AD499" i="1"/>
  <c r="AD507" i="1"/>
  <c r="AD515" i="1"/>
  <c r="AD523" i="1"/>
  <c r="AD531" i="1"/>
  <c r="AD539" i="1"/>
  <c r="AD547" i="1"/>
  <c r="AD555" i="1"/>
  <c r="AD563" i="1"/>
  <c r="AD571" i="1"/>
  <c r="AD579" i="1"/>
  <c r="AD587" i="1"/>
  <c r="AD595" i="1"/>
  <c r="AD603" i="1"/>
  <c r="AD611" i="1"/>
  <c r="AE483" i="1"/>
  <c r="AE491" i="1"/>
  <c r="AE499" i="1"/>
  <c r="AE507" i="1"/>
  <c r="AE515" i="1"/>
  <c r="AE523" i="1"/>
  <c r="AE531" i="1"/>
  <c r="AE539" i="1"/>
  <c r="AE547" i="1"/>
  <c r="AE555" i="1"/>
  <c r="AE563" i="1"/>
  <c r="AE571" i="1"/>
  <c r="AE579" i="1"/>
  <c r="AE587" i="1"/>
  <c r="AE595" i="1"/>
  <c r="AE603" i="1"/>
  <c r="AE611" i="1"/>
  <c r="AE516" i="1"/>
  <c r="AE580" i="1"/>
  <c r="AE618" i="1"/>
  <c r="AE626" i="1"/>
  <c r="AE634" i="1"/>
  <c r="AE642" i="1"/>
  <c r="AE650" i="1"/>
  <c r="AE658" i="1"/>
  <c r="AE666" i="1"/>
  <c r="AE674" i="1"/>
  <c r="AE682" i="1"/>
  <c r="AE690" i="1"/>
  <c r="AE698" i="1"/>
  <c r="AE706" i="1"/>
  <c r="AE714" i="1"/>
  <c r="AE722" i="1"/>
  <c r="AE730" i="1"/>
  <c r="AE738" i="1"/>
  <c r="AE419" i="1"/>
  <c r="AD473" i="1"/>
  <c r="AD524" i="1"/>
  <c r="AD588" i="1"/>
  <c r="AD619" i="1"/>
  <c r="AD627" i="1"/>
  <c r="AD635" i="1"/>
  <c r="AD643" i="1"/>
  <c r="AD651" i="1"/>
  <c r="AD659" i="1"/>
  <c r="AD667" i="1"/>
  <c r="AD675" i="1"/>
  <c r="AD683" i="1"/>
  <c r="AD691" i="1"/>
  <c r="AD699" i="1"/>
  <c r="AD707" i="1"/>
  <c r="AD715" i="1"/>
  <c r="AD723" i="1"/>
  <c r="AD731" i="1"/>
  <c r="AD739" i="1"/>
  <c r="AE524" i="1"/>
  <c r="AE588" i="1"/>
  <c r="AE619" i="1"/>
  <c r="AE627" i="1"/>
  <c r="AE635" i="1"/>
  <c r="AE643" i="1"/>
  <c r="AE651" i="1"/>
  <c r="AE659" i="1"/>
  <c r="AE667" i="1"/>
  <c r="AE675" i="1"/>
  <c r="AE683" i="1"/>
  <c r="AE691" i="1"/>
  <c r="AE699" i="1"/>
  <c r="AE707" i="1"/>
  <c r="AE715" i="1"/>
  <c r="AE723" i="1"/>
  <c r="AE731" i="1"/>
  <c r="AE739" i="1"/>
  <c r="AD532" i="1"/>
  <c r="AD596" i="1"/>
  <c r="AD620" i="1"/>
  <c r="AD628" i="1"/>
  <c r="AD636" i="1"/>
  <c r="AD644" i="1"/>
  <c r="AD652" i="1"/>
  <c r="AD660" i="1"/>
  <c r="AD668" i="1"/>
  <c r="AD676" i="1"/>
  <c r="AD684" i="1"/>
  <c r="AD692" i="1"/>
  <c r="AD700" i="1"/>
  <c r="AD708" i="1"/>
  <c r="AD716" i="1"/>
  <c r="AD724" i="1"/>
  <c r="AD732" i="1"/>
  <c r="AD740" i="1"/>
  <c r="AE532" i="1"/>
  <c r="AE596" i="1"/>
  <c r="AE620" i="1"/>
  <c r="AE628" i="1"/>
  <c r="AE636" i="1"/>
  <c r="AE644" i="1"/>
  <c r="AE652" i="1"/>
  <c r="AE660" i="1"/>
  <c r="AE668" i="1"/>
  <c r="AE676" i="1"/>
  <c r="AE684" i="1"/>
  <c r="AE692" i="1"/>
  <c r="AE700" i="1"/>
  <c r="AE708" i="1"/>
  <c r="AE716" i="1"/>
  <c r="AE724" i="1"/>
  <c r="AE732" i="1"/>
  <c r="AE740" i="1"/>
  <c r="AD540" i="1"/>
  <c r="AD621" i="1"/>
  <c r="AD629" i="1"/>
  <c r="AD637" i="1"/>
  <c r="AD645" i="1"/>
  <c r="AD653" i="1"/>
  <c r="AD661" i="1"/>
  <c r="AD669" i="1"/>
  <c r="AD677" i="1"/>
  <c r="AD685" i="1"/>
  <c r="AD693" i="1"/>
  <c r="AD701" i="1"/>
  <c r="AD709" i="1"/>
  <c r="AD717" i="1"/>
  <c r="AD725" i="1"/>
  <c r="AD733" i="1"/>
  <c r="AD741" i="1"/>
  <c r="AE540" i="1"/>
  <c r="AD604" i="1"/>
  <c r="AE621" i="1"/>
  <c r="AE629" i="1"/>
  <c r="AE637" i="1"/>
  <c r="AE645" i="1"/>
  <c r="AE653" i="1"/>
  <c r="AE661" i="1"/>
  <c r="AE669" i="1"/>
  <c r="AE677" i="1"/>
  <c r="AE685" i="1"/>
  <c r="AE693" i="1"/>
  <c r="AE701" i="1"/>
  <c r="AE709" i="1"/>
  <c r="AE717" i="1"/>
  <c r="AE725" i="1"/>
  <c r="AE733" i="1"/>
  <c r="AD484" i="1"/>
  <c r="AD548" i="1"/>
  <c r="AE604" i="1"/>
  <c r="AD614" i="1"/>
  <c r="AD622" i="1"/>
  <c r="AD630" i="1"/>
  <c r="AD638" i="1"/>
  <c r="AD646" i="1"/>
  <c r="AD654" i="1"/>
  <c r="AD662" i="1"/>
  <c r="AD670" i="1"/>
  <c r="AD678" i="1"/>
  <c r="AD686" i="1"/>
  <c r="AD694" i="1"/>
  <c r="AD702" i="1"/>
  <c r="AD710" i="1"/>
  <c r="AD718" i="1"/>
  <c r="AD726" i="1"/>
  <c r="AD734" i="1"/>
  <c r="AE484" i="1"/>
  <c r="AE548" i="1"/>
  <c r="AD609" i="1"/>
  <c r="AE614" i="1"/>
  <c r="AE622" i="1"/>
  <c r="AE630" i="1"/>
  <c r="AE638" i="1"/>
  <c r="AE646" i="1"/>
  <c r="AE654" i="1"/>
  <c r="AE662" i="1"/>
  <c r="AE670" i="1"/>
  <c r="AE678" i="1"/>
  <c r="AE686" i="1"/>
  <c r="AE694" i="1"/>
  <c r="AE702" i="1"/>
  <c r="AE710" i="1"/>
  <c r="AE718" i="1"/>
  <c r="AE726" i="1"/>
  <c r="AE734" i="1"/>
  <c r="AD457" i="1"/>
  <c r="AD492" i="1"/>
  <c r="AD556" i="1"/>
  <c r="AD613" i="1"/>
  <c r="AD615" i="1"/>
  <c r="AD623" i="1"/>
  <c r="AD631" i="1"/>
  <c r="AD639" i="1"/>
  <c r="AD647" i="1"/>
  <c r="AD655" i="1"/>
  <c r="AD663" i="1"/>
  <c r="AD671" i="1"/>
  <c r="AD679" i="1"/>
  <c r="AD687" i="1"/>
  <c r="AD695" i="1"/>
  <c r="AD703" i="1"/>
  <c r="AD711" i="1"/>
  <c r="AD719" i="1"/>
  <c r="AD727" i="1"/>
  <c r="AD735" i="1"/>
  <c r="AE492" i="1"/>
  <c r="AE556" i="1"/>
  <c r="AE613" i="1"/>
  <c r="AE615" i="1"/>
  <c r="AE623" i="1"/>
  <c r="AE631" i="1"/>
  <c r="AE639" i="1"/>
  <c r="AE647" i="1"/>
  <c r="AE655" i="1"/>
  <c r="AE663" i="1"/>
  <c r="AE671" i="1"/>
  <c r="AE679" i="1"/>
  <c r="AE687" i="1"/>
  <c r="AE695" i="1"/>
  <c r="AE703" i="1"/>
  <c r="AE711" i="1"/>
  <c r="AE719" i="1"/>
  <c r="AE727" i="1"/>
  <c r="AE735" i="1"/>
  <c r="AD500" i="1"/>
  <c r="AD564" i="1"/>
  <c r="AD616" i="1"/>
  <c r="AD624" i="1"/>
  <c r="AD632" i="1"/>
  <c r="AD640" i="1"/>
  <c r="AD648" i="1"/>
  <c r="AD656" i="1"/>
  <c r="AD664" i="1"/>
  <c r="AD672" i="1"/>
  <c r="AD680" i="1"/>
  <c r="AD688" i="1"/>
  <c r="AD696" i="1"/>
  <c r="AD704" i="1"/>
  <c r="AD712" i="1"/>
  <c r="AD720" i="1"/>
  <c r="AD728" i="1"/>
  <c r="AD736" i="1"/>
  <c r="AD744" i="1"/>
  <c r="AE337" i="1"/>
  <c r="AE500" i="1"/>
  <c r="AE564" i="1"/>
  <c r="AE616" i="1"/>
  <c r="AE624" i="1"/>
  <c r="AE632" i="1"/>
  <c r="AE640" i="1"/>
  <c r="AE648" i="1"/>
  <c r="AE656" i="1"/>
  <c r="AE664" i="1"/>
  <c r="AE672" i="1"/>
  <c r="AE680" i="1"/>
  <c r="AE688" i="1"/>
  <c r="AE696" i="1"/>
  <c r="AE704" i="1"/>
  <c r="AE712" i="1"/>
  <c r="AE720" i="1"/>
  <c r="AE728" i="1"/>
  <c r="AE736" i="1"/>
  <c r="AD508" i="1"/>
  <c r="AD572" i="1"/>
  <c r="AD617" i="1"/>
  <c r="AD625" i="1"/>
  <c r="AD633" i="1"/>
  <c r="AD641" i="1"/>
  <c r="AD649" i="1"/>
  <c r="AD657" i="1"/>
  <c r="AD665" i="1"/>
  <c r="AD673" i="1"/>
  <c r="AD681" i="1"/>
  <c r="AD689" i="1"/>
  <c r="AD697" i="1"/>
  <c r="AD705" i="1"/>
  <c r="AD713" i="1"/>
  <c r="AD721" i="1"/>
  <c r="AD729" i="1"/>
  <c r="AD737" i="1"/>
  <c r="AD674" i="1"/>
  <c r="AE743" i="1"/>
  <c r="AD746" i="1"/>
  <c r="AD754" i="1"/>
  <c r="AD762" i="1"/>
  <c r="AD770" i="1"/>
  <c r="AD778" i="1"/>
  <c r="AD786" i="1"/>
  <c r="AD794" i="1"/>
  <c r="AD802" i="1"/>
  <c r="AD810" i="1"/>
  <c r="AD818" i="1"/>
  <c r="AD826" i="1"/>
  <c r="AD834" i="1"/>
  <c r="AD842" i="1"/>
  <c r="AD850" i="1"/>
  <c r="AD858" i="1"/>
  <c r="AD866" i="1"/>
  <c r="AE625" i="1"/>
  <c r="AE689" i="1"/>
  <c r="AD742" i="1"/>
  <c r="AE746" i="1"/>
  <c r="AE754" i="1"/>
  <c r="AE762" i="1"/>
  <c r="AE770" i="1"/>
  <c r="AE778" i="1"/>
  <c r="AE786" i="1"/>
  <c r="AE794" i="1"/>
  <c r="AE802" i="1"/>
  <c r="AE810" i="1"/>
  <c r="AE818" i="1"/>
  <c r="AE826" i="1"/>
  <c r="AE834" i="1"/>
  <c r="AE842" i="1"/>
  <c r="AE850" i="1"/>
  <c r="AE858" i="1"/>
  <c r="AE866" i="1"/>
  <c r="AD618" i="1"/>
  <c r="AD682" i="1"/>
  <c r="AD738" i="1"/>
  <c r="AE742" i="1"/>
  <c r="AD747" i="1"/>
  <c r="AD755" i="1"/>
  <c r="AD763" i="1"/>
  <c r="AD771" i="1"/>
  <c r="AD779" i="1"/>
  <c r="AD787" i="1"/>
  <c r="AD795" i="1"/>
  <c r="AD803" i="1"/>
  <c r="AD811" i="1"/>
  <c r="AD819" i="1"/>
  <c r="AD827" i="1"/>
  <c r="AD835" i="1"/>
  <c r="AD843" i="1"/>
  <c r="AD851" i="1"/>
  <c r="AD859" i="1"/>
  <c r="AD867" i="1"/>
  <c r="AE633" i="1"/>
  <c r="AE697" i="1"/>
  <c r="AE747" i="1"/>
  <c r="AE755" i="1"/>
  <c r="AE763" i="1"/>
  <c r="AE771" i="1"/>
  <c r="AE779" i="1"/>
  <c r="AE787" i="1"/>
  <c r="AE795" i="1"/>
  <c r="AE803" i="1"/>
  <c r="AE811" i="1"/>
  <c r="AE819" i="1"/>
  <c r="AE827" i="1"/>
  <c r="AE835" i="1"/>
  <c r="AE843" i="1"/>
  <c r="AE851" i="1"/>
  <c r="AE859" i="1"/>
  <c r="AE867" i="1"/>
  <c r="AD610" i="1"/>
  <c r="AD626" i="1"/>
  <c r="AD690" i="1"/>
  <c r="AE741" i="1"/>
  <c r="AD748" i="1"/>
  <c r="AD756" i="1"/>
  <c r="AD764" i="1"/>
  <c r="AD772" i="1"/>
  <c r="AD780" i="1"/>
  <c r="AD788" i="1"/>
  <c r="AD796" i="1"/>
  <c r="AD804" i="1"/>
  <c r="AD812" i="1"/>
  <c r="AD820" i="1"/>
  <c r="AD828" i="1"/>
  <c r="AD836" i="1"/>
  <c r="AD844" i="1"/>
  <c r="AD852" i="1"/>
  <c r="AD860" i="1"/>
  <c r="AD868" i="1"/>
  <c r="AE508" i="1"/>
  <c r="AD612" i="1"/>
  <c r="AE641" i="1"/>
  <c r="AE705" i="1"/>
  <c r="AE748" i="1"/>
  <c r="AE756" i="1"/>
  <c r="AE764" i="1"/>
  <c r="AE772" i="1"/>
  <c r="AE780" i="1"/>
  <c r="AE788" i="1"/>
  <c r="AE796" i="1"/>
  <c r="AE804" i="1"/>
  <c r="AE812" i="1"/>
  <c r="AE820" i="1"/>
  <c r="AE828" i="1"/>
  <c r="AE836" i="1"/>
  <c r="AE844" i="1"/>
  <c r="AE852" i="1"/>
  <c r="AE860" i="1"/>
  <c r="AE868" i="1"/>
  <c r="AE612" i="1"/>
  <c r="AD634" i="1"/>
  <c r="AD698" i="1"/>
  <c r="AD749" i="1"/>
  <c r="AD757" i="1"/>
  <c r="AD765" i="1"/>
  <c r="AD773" i="1"/>
  <c r="AD781" i="1"/>
  <c r="AD789" i="1"/>
  <c r="AD797" i="1"/>
  <c r="AD805" i="1"/>
  <c r="AD813" i="1"/>
  <c r="AD821" i="1"/>
  <c r="AD829" i="1"/>
  <c r="AD837" i="1"/>
  <c r="AD845" i="1"/>
  <c r="AD853" i="1"/>
  <c r="AD861" i="1"/>
  <c r="AD869" i="1"/>
  <c r="AE572" i="1"/>
  <c r="AE649" i="1"/>
  <c r="AE713" i="1"/>
  <c r="AE749" i="1"/>
  <c r="AE757" i="1"/>
  <c r="AE765" i="1"/>
  <c r="AE773" i="1"/>
  <c r="AE781" i="1"/>
  <c r="AE789" i="1"/>
  <c r="AE797" i="1"/>
  <c r="AE805" i="1"/>
  <c r="AE813" i="1"/>
  <c r="AE821" i="1"/>
  <c r="AE829" i="1"/>
  <c r="AE837" i="1"/>
  <c r="AE845" i="1"/>
  <c r="AE853" i="1"/>
  <c r="AE861" i="1"/>
  <c r="AD516" i="1"/>
  <c r="AD642" i="1"/>
  <c r="AD706" i="1"/>
  <c r="AD750" i="1"/>
  <c r="AD758" i="1"/>
  <c r="AD766" i="1"/>
  <c r="AD774" i="1"/>
  <c r="AD782" i="1"/>
  <c r="AD790" i="1"/>
  <c r="AD798" i="1"/>
  <c r="AD806" i="1"/>
  <c r="AD814" i="1"/>
  <c r="AD822" i="1"/>
  <c r="AD830" i="1"/>
  <c r="AD838" i="1"/>
  <c r="AD846" i="1"/>
  <c r="AD854" i="1"/>
  <c r="AD862" i="1"/>
  <c r="AE657" i="1"/>
  <c r="AE721" i="1"/>
  <c r="AE750" i="1"/>
  <c r="AE758" i="1"/>
  <c r="AE766" i="1"/>
  <c r="AE774" i="1"/>
  <c r="AE782" i="1"/>
  <c r="AE790" i="1"/>
  <c r="AE798" i="1"/>
  <c r="AE806" i="1"/>
  <c r="AE814" i="1"/>
  <c r="AE822" i="1"/>
  <c r="AE830" i="1"/>
  <c r="AE838" i="1"/>
  <c r="AE846" i="1"/>
  <c r="AE854" i="1"/>
  <c r="AE862" i="1"/>
  <c r="AD580" i="1"/>
  <c r="AD650" i="1"/>
  <c r="AD714" i="1"/>
  <c r="AD751" i="1"/>
  <c r="AD759" i="1"/>
  <c r="AD767" i="1"/>
  <c r="AD775" i="1"/>
  <c r="AD783" i="1"/>
  <c r="AD791" i="1"/>
  <c r="AD799" i="1"/>
  <c r="AD807" i="1"/>
  <c r="AD815" i="1"/>
  <c r="AD823" i="1"/>
  <c r="AD831" i="1"/>
  <c r="AD839" i="1"/>
  <c r="AD847" i="1"/>
  <c r="AD855" i="1"/>
  <c r="AD863" i="1"/>
  <c r="AE665" i="1"/>
  <c r="AE729" i="1"/>
  <c r="AE751" i="1"/>
  <c r="AE759" i="1"/>
  <c r="AE767" i="1"/>
  <c r="AE775" i="1"/>
  <c r="AE783" i="1"/>
  <c r="AE791" i="1"/>
  <c r="AE799" i="1"/>
  <c r="AE807" i="1"/>
  <c r="AE815" i="1"/>
  <c r="AE823" i="1"/>
  <c r="AE831" i="1"/>
  <c r="AE839" i="1"/>
  <c r="AE847" i="1"/>
  <c r="AE855" i="1"/>
  <c r="AE863" i="1"/>
  <c r="AE871" i="1"/>
  <c r="AD658" i="1"/>
  <c r="AD722" i="1"/>
  <c r="AD752" i="1"/>
  <c r="AD760" i="1"/>
  <c r="AD768" i="1"/>
  <c r="AD776" i="1"/>
  <c r="AD784" i="1"/>
  <c r="AD792" i="1"/>
  <c r="AD800" i="1"/>
  <c r="AD808" i="1"/>
  <c r="AD816" i="1"/>
  <c r="AD824" i="1"/>
  <c r="AD832" i="1"/>
  <c r="AD840" i="1"/>
  <c r="AD848" i="1"/>
  <c r="AD856" i="1"/>
  <c r="AD864" i="1"/>
  <c r="AD872" i="1"/>
  <c r="AE673" i="1"/>
  <c r="AE744" i="1"/>
  <c r="AE752" i="1"/>
  <c r="AE760" i="1"/>
  <c r="AE768" i="1"/>
  <c r="AE776" i="1"/>
  <c r="AE784" i="1"/>
  <c r="AE792" i="1"/>
  <c r="AE800" i="1"/>
  <c r="AE808" i="1"/>
  <c r="AE816" i="1"/>
  <c r="AE824" i="1"/>
  <c r="AE832" i="1"/>
  <c r="AE840" i="1"/>
  <c r="AE848" i="1"/>
  <c r="AE856" i="1"/>
  <c r="AE864" i="1"/>
  <c r="AE617" i="1"/>
  <c r="AE761" i="1"/>
  <c r="AE825" i="1"/>
  <c r="AD881" i="1"/>
  <c r="AD889" i="1"/>
  <c r="AD897" i="1"/>
  <c r="AD905" i="1"/>
  <c r="AD913" i="1"/>
  <c r="AD921" i="1"/>
  <c r="AD929" i="1"/>
  <c r="AD937" i="1"/>
  <c r="AD945" i="1"/>
  <c r="AD953" i="1"/>
  <c r="AD961" i="1"/>
  <c r="AD969" i="1"/>
  <c r="AD977" i="1"/>
  <c r="AD985" i="1"/>
  <c r="AD993" i="1"/>
  <c r="AE737" i="1"/>
  <c r="AD769" i="1"/>
  <c r="AD833" i="1"/>
  <c r="AD871" i="1"/>
  <c r="AE881" i="1"/>
  <c r="AE889" i="1"/>
  <c r="AE897" i="1"/>
  <c r="AE905" i="1"/>
  <c r="AE913" i="1"/>
  <c r="AE921" i="1"/>
  <c r="AE929" i="1"/>
  <c r="AE937" i="1"/>
  <c r="AE945" i="1"/>
  <c r="AE953" i="1"/>
  <c r="AE961" i="1"/>
  <c r="AE969" i="1"/>
  <c r="AE977" i="1"/>
  <c r="AE985" i="1"/>
  <c r="AE993" i="1"/>
  <c r="AE1001" i="1"/>
  <c r="AE681" i="1"/>
  <c r="AE769" i="1"/>
  <c r="AE833" i="1"/>
  <c r="AD874" i="1"/>
  <c r="AD882" i="1"/>
  <c r="AD890" i="1"/>
  <c r="AD898" i="1"/>
  <c r="AD906" i="1"/>
  <c r="AD914" i="1"/>
  <c r="AD922" i="1"/>
  <c r="AD930" i="1"/>
  <c r="AD938" i="1"/>
  <c r="AD946" i="1"/>
  <c r="AD954" i="1"/>
  <c r="AD962" i="1"/>
  <c r="AD970" i="1"/>
  <c r="AD978" i="1"/>
  <c r="AD986" i="1"/>
  <c r="AD994" i="1"/>
  <c r="AD1002" i="1"/>
  <c r="AD777" i="1"/>
  <c r="AD841" i="1"/>
  <c r="AE874" i="1"/>
  <c r="AE882" i="1"/>
  <c r="AE890" i="1"/>
  <c r="AE898" i="1"/>
  <c r="AE906" i="1"/>
  <c r="AE914" i="1"/>
  <c r="AE922" i="1"/>
  <c r="AE930" i="1"/>
  <c r="AE938" i="1"/>
  <c r="AE946" i="1"/>
  <c r="AE954" i="1"/>
  <c r="AE962" i="1"/>
  <c r="AE970" i="1"/>
  <c r="AE978" i="1"/>
  <c r="AE986" i="1"/>
  <c r="AE994" i="1"/>
  <c r="AE1002" i="1"/>
  <c r="AE777" i="1"/>
  <c r="AE841" i="1"/>
  <c r="AD875" i="1"/>
  <c r="AD883" i="1"/>
  <c r="AD891" i="1"/>
  <c r="AD899" i="1"/>
  <c r="AD907" i="1"/>
  <c r="AD915" i="1"/>
  <c r="AD923" i="1"/>
  <c r="AD931" i="1"/>
  <c r="AD939" i="1"/>
  <c r="AD947" i="1"/>
  <c r="AD955" i="1"/>
  <c r="AD963" i="1"/>
  <c r="AD971" i="1"/>
  <c r="AD979" i="1"/>
  <c r="AD987" i="1"/>
  <c r="AD995" i="1"/>
  <c r="AD1003" i="1"/>
  <c r="AD785" i="1"/>
  <c r="AD849" i="1"/>
  <c r="AD873" i="1"/>
  <c r="AE875" i="1"/>
  <c r="AE883" i="1"/>
  <c r="AE891" i="1"/>
  <c r="AE899" i="1"/>
  <c r="AE907" i="1"/>
  <c r="AE915" i="1"/>
  <c r="AE923" i="1"/>
  <c r="AE931" i="1"/>
  <c r="AE939" i="1"/>
  <c r="AE947" i="1"/>
  <c r="AE955" i="1"/>
  <c r="AE963" i="1"/>
  <c r="AE971" i="1"/>
  <c r="AE979" i="1"/>
  <c r="AE785" i="1"/>
  <c r="AE849" i="1"/>
  <c r="AE873" i="1"/>
  <c r="AD876" i="1"/>
  <c r="AD884" i="1"/>
  <c r="AD892" i="1"/>
  <c r="AD900" i="1"/>
  <c r="AD908" i="1"/>
  <c r="AD916" i="1"/>
  <c r="AD924" i="1"/>
  <c r="AD932" i="1"/>
  <c r="AD940" i="1"/>
  <c r="AD948" i="1"/>
  <c r="AD956" i="1"/>
  <c r="AD964" i="1"/>
  <c r="AD972" i="1"/>
  <c r="AD980" i="1"/>
  <c r="AD988" i="1"/>
  <c r="AD996" i="1"/>
  <c r="AD793" i="1"/>
  <c r="AD857" i="1"/>
  <c r="AD870" i="1"/>
  <c r="AE876" i="1"/>
  <c r="AE884" i="1"/>
  <c r="AE892" i="1"/>
  <c r="AE900" i="1"/>
  <c r="AE908" i="1"/>
  <c r="AE916" i="1"/>
  <c r="AE924" i="1"/>
  <c r="AE932" i="1"/>
  <c r="AE940" i="1"/>
  <c r="AE948" i="1"/>
  <c r="AE956" i="1"/>
  <c r="AE964" i="1"/>
  <c r="AE972" i="1"/>
  <c r="AE980" i="1"/>
  <c r="AE988" i="1"/>
  <c r="AD743" i="1"/>
  <c r="AE793" i="1"/>
  <c r="AE857" i="1"/>
  <c r="AE870" i="1"/>
  <c r="AD877" i="1"/>
  <c r="AD885" i="1"/>
  <c r="AD893" i="1"/>
  <c r="AD901" i="1"/>
  <c r="AD909" i="1"/>
  <c r="AD917" i="1"/>
  <c r="AD925" i="1"/>
  <c r="AD933" i="1"/>
  <c r="AD941" i="1"/>
  <c r="AD949" i="1"/>
  <c r="AD957" i="1"/>
  <c r="AD965" i="1"/>
  <c r="AD973" i="1"/>
  <c r="AD981" i="1"/>
  <c r="AD989" i="1"/>
  <c r="AD997" i="1"/>
  <c r="AD801" i="1"/>
  <c r="AD865" i="1"/>
  <c r="AE877" i="1"/>
  <c r="AE885" i="1"/>
  <c r="AE893" i="1"/>
  <c r="AE901" i="1"/>
  <c r="AE909" i="1"/>
  <c r="AE917" i="1"/>
  <c r="AE925" i="1"/>
  <c r="AE933" i="1"/>
  <c r="AE941" i="1"/>
  <c r="AE949" i="1"/>
  <c r="AE957" i="1"/>
  <c r="AE965" i="1"/>
  <c r="AE973" i="1"/>
  <c r="AE981" i="1"/>
  <c r="AE989" i="1"/>
  <c r="AE997" i="1"/>
  <c r="AE801" i="1"/>
  <c r="AE865" i="1"/>
  <c r="AE872" i="1"/>
  <c r="AD878" i="1"/>
  <c r="AD886" i="1"/>
  <c r="AD894" i="1"/>
  <c r="AD902" i="1"/>
  <c r="AD910" i="1"/>
  <c r="AD918" i="1"/>
  <c r="AD926" i="1"/>
  <c r="AD934" i="1"/>
  <c r="AD942" i="1"/>
  <c r="AD950" i="1"/>
  <c r="AD958" i="1"/>
  <c r="AD966" i="1"/>
  <c r="AD974" i="1"/>
  <c r="AD982" i="1"/>
  <c r="AD990" i="1"/>
  <c r="AD998" i="1"/>
  <c r="AD745" i="1"/>
  <c r="AD809" i="1"/>
  <c r="AE878" i="1"/>
  <c r="AE886" i="1"/>
  <c r="AE894" i="1"/>
  <c r="AE902" i="1"/>
  <c r="AE910" i="1"/>
  <c r="AE918" i="1"/>
  <c r="AE926" i="1"/>
  <c r="AE934" i="1"/>
  <c r="AE942" i="1"/>
  <c r="AE950" i="1"/>
  <c r="AE958" i="1"/>
  <c r="AE966" i="1"/>
  <c r="AE974" i="1"/>
  <c r="AE982" i="1"/>
  <c r="AE990" i="1"/>
  <c r="AE998" i="1"/>
  <c r="AE745" i="1"/>
  <c r="AE809" i="1"/>
  <c r="AD879" i="1"/>
  <c r="AD887" i="1"/>
  <c r="AD895" i="1"/>
  <c r="AD903" i="1"/>
  <c r="AD911" i="1"/>
  <c r="AD919" i="1"/>
  <c r="AD927" i="1"/>
  <c r="AD935" i="1"/>
  <c r="AD943" i="1"/>
  <c r="AD951" i="1"/>
  <c r="AD959" i="1"/>
  <c r="AD967" i="1"/>
  <c r="AD975" i="1"/>
  <c r="AD983" i="1"/>
  <c r="AD991" i="1"/>
  <c r="AD666" i="1"/>
  <c r="AD753" i="1"/>
  <c r="AD817" i="1"/>
  <c r="AE879" i="1"/>
  <c r="AE887" i="1"/>
  <c r="AE895" i="1"/>
  <c r="AE903" i="1"/>
  <c r="AE911" i="1"/>
  <c r="AE912" i="1"/>
  <c r="AE951" i="1"/>
  <c r="AE960" i="1"/>
  <c r="AD984" i="1"/>
  <c r="AD1004" i="1"/>
  <c r="AD1012" i="1"/>
  <c r="AD1020" i="1"/>
  <c r="AD1028" i="1"/>
  <c r="AD1036" i="1"/>
  <c r="AD1044" i="1"/>
  <c r="AD1052" i="1"/>
  <c r="AD1060" i="1"/>
  <c r="AD1068" i="1"/>
  <c r="AD1076" i="1"/>
  <c r="AD1084" i="1"/>
  <c r="AD1092" i="1"/>
  <c r="AD1100" i="1"/>
  <c r="AD1108" i="1"/>
  <c r="AD1116" i="1"/>
  <c r="AD1124" i="1"/>
  <c r="AE753" i="1"/>
  <c r="AE975" i="1"/>
  <c r="AE984" i="1"/>
  <c r="AD992" i="1"/>
  <c r="AE1004" i="1"/>
  <c r="AE1012" i="1"/>
  <c r="AE1020" i="1"/>
  <c r="AE1028" i="1"/>
  <c r="AE1036" i="1"/>
  <c r="AE1044" i="1"/>
  <c r="AE1052" i="1"/>
  <c r="AE1060" i="1"/>
  <c r="AE1068" i="1"/>
  <c r="AE1076" i="1"/>
  <c r="AE1084" i="1"/>
  <c r="AE1092" i="1"/>
  <c r="AE1100" i="1"/>
  <c r="AE1108" i="1"/>
  <c r="AE1116" i="1"/>
  <c r="AE992" i="1"/>
  <c r="AD1005" i="1"/>
  <c r="AD1013" i="1"/>
  <c r="AD1021" i="1"/>
  <c r="AD1029" i="1"/>
  <c r="AD1037" i="1"/>
  <c r="AD1045" i="1"/>
  <c r="AD1053" i="1"/>
  <c r="AD1061" i="1"/>
  <c r="AD1069" i="1"/>
  <c r="AD1077" i="1"/>
  <c r="AD1085" i="1"/>
  <c r="AD1093" i="1"/>
  <c r="AD1101" i="1"/>
  <c r="AD1109" i="1"/>
  <c r="AD1117" i="1"/>
  <c r="AD1125" i="1"/>
  <c r="AE817" i="1"/>
  <c r="AD928" i="1"/>
  <c r="AE1005" i="1"/>
  <c r="AE1013" i="1"/>
  <c r="AE1021" i="1"/>
  <c r="AE1029" i="1"/>
  <c r="AE1037" i="1"/>
  <c r="AE1045" i="1"/>
  <c r="AE1053" i="1"/>
  <c r="AE1061" i="1"/>
  <c r="AE1069" i="1"/>
  <c r="AE1077" i="1"/>
  <c r="AE1085" i="1"/>
  <c r="AE1093" i="1"/>
  <c r="AE1101" i="1"/>
  <c r="AE1109" i="1"/>
  <c r="AE1117" i="1"/>
  <c r="AD761" i="1"/>
  <c r="AE869" i="1"/>
  <c r="AE919" i="1"/>
  <c r="AE928" i="1"/>
  <c r="AD952" i="1"/>
  <c r="AE996" i="1"/>
  <c r="AD1006" i="1"/>
  <c r="AD1014" i="1"/>
  <c r="AD1022" i="1"/>
  <c r="AD1030" i="1"/>
  <c r="AD1038" i="1"/>
  <c r="AD1046" i="1"/>
  <c r="AD1054" i="1"/>
  <c r="AD1062" i="1"/>
  <c r="AD1070" i="1"/>
  <c r="AD1078" i="1"/>
  <c r="AD1086" i="1"/>
  <c r="AD1094" i="1"/>
  <c r="AD1102" i="1"/>
  <c r="AD1110" i="1"/>
  <c r="AD1118" i="1"/>
  <c r="AE943" i="1"/>
  <c r="AE952" i="1"/>
  <c r="AD976" i="1"/>
  <c r="AD999" i="1"/>
  <c r="AE1006" i="1"/>
  <c r="AE1014" i="1"/>
  <c r="AE1022" i="1"/>
  <c r="AE1030" i="1"/>
  <c r="AE1038" i="1"/>
  <c r="AE1046" i="1"/>
  <c r="AE1054" i="1"/>
  <c r="AE1062" i="1"/>
  <c r="AE1070" i="1"/>
  <c r="AE1078" i="1"/>
  <c r="AE1086" i="1"/>
  <c r="AE1094" i="1"/>
  <c r="AE1102" i="1"/>
  <c r="AE1110" i="1"/>
  <c r="AE1118" i="1"/>
  <c r="AD825" i="1"/>
  <c r="AE967" i="1"/>
  <c r="AE976" i="1"/>
  <c r="AE999" i="1"/>
  <c r="AD1007" i="1"/>
  <c r="AD1015" i="1"/>
  <c r="AD1023" i="1"/>
  <c r="AD1031" i="1"/>
  <c r="AD1039" i="1"/>
  <c r="AD1047" i="1"/>
  <c r="AD1055" i="1"/>
  <c r="AD1063" i="1"/>
  <c r="AD1071" i="1"/>
  <c r="AD1079" i="1"/>
  <c r="AD1087" i="1"/>
  <c r="AD1095" i="1"/>
  <c r="AD1103" i="1"/>
  <c r="AD1111" i="1"/>
  <c r="AD1119" i="1"/>
  <c r="AD880" i="1"/>
  <c r="AE1007" i="1"/>
  <c r="AE1015" i="1"/>
  <c r="AE1023" i="1"/>
  <c r="AE1031" i="1"/>
  <c r="AE1039" i="1"/>
  <c r="AE1047" i="1"/>
  <c r="AE1055" i="1"/>
  <c r="AE1063" i="1"/>
  <c r="AE1071" i="1"/>
  <c r="AE1079" i="1"/>
  <c r="AE1087" i="1"/>
  <c r="AE1095" i="1"/>
  <c r="AE1103" i="1"/>
  <c r="AE1111" i="1"/>
  <c r="AE1119" i="1"/>
  <c r="AE880" i="1"/>
  <c r="AD920" i="1"/>
  <c r="AD1008" i="1"/>
  <c r="AD1016" i="1"/>
  <c r="AD1024" i="1"/>
  <c r="AD1032" i="1"/>
  <c r="AD1040" i="1"/>
  <c r="AD1048" i="1"/>
  <c r="AD1056" i="1"/>
  <c r="AD1064" i="1"/>
  <c r="AD1072" i="1"/>
  <c r="AD1080" i="1"/>
  <c r="AD1088" i="1"/>
  <c r="AD1096" i="1"/>
  <c r="AD1104" i="1"/>
  <c r="AD1112" i="1"/>
  <c r="AD1120" i="1"/>
  <c r="AD888" i="1"/>
  <c r="AE920" i="1"/>
  <c r="AD944" i="1"/>
  <c r="AD1001" i="1"/>
  <c r="AE1008" i="1"/>
  <c r="AE1016" i="1"/>
  <c r="AE1024" i="1"/>
  <c r="AE1032" i="1"/>
  <c r="AE1040" i="1"/>
  <c r="AE1048" i="1"/>
  <c r="AE1056" i="1"/>
  <c r="AE1064" i="1"/>
  <c r="AE1072" i="1"/>
  <c r="AE1080" i="1"/>
  <c r="AE1088" i="1"/>
  <c r="AE1096" i="1"/>
  <c r="AE1104" i="1"/>
  <c r="AE1112" i="1"/>
  <c r="AE1120" i="1"/>
  <c r="AE888" i="1"/>
  <c r="AE935" i="1"/>
  <c r="AE944" i="1"/>
  <c r="AD968" i="1"/>
  <c r="AD1009" i="1"/>
  <c r="AD1017" i="1"/>
  <c r="AD1025" i="1"/>
  <c r="AD1033" i="1"/>
  <c r="AD1041" i="1"/>
  <c r="AD1049" i="1"/>
  <c r="AD1057" i="1"/>
  <c r="AD1065" i="1"/>
  <c r="AD1073" i="1"/>
  <c r="AD1081" i="1"/>
  <c r="AD1089" i="1"/>
  <c r="AD1097" i="1"/>
  <c r="AD1105" i="1"/>
  <c r="AD1113" i="1"/>
  <c r="AD1121" i="1"/>
  <c r="AD896" i="1"/>
  <c r="AE959" i="1"/>
  <c r="AE968" i="1"/>
  <c r="AE987" i="1"/>
  <c r="AE1009" i="1"/>
  <c r="AE1017" i="1"/>
  <c r="AE1025" i="1"/>
  <c r="AE1033" i="1"/>
  <c r="AE1041" i="1"/>
  <c r="AE1049" i="1"/>
  <c r="AE1057" i="1"/>
  <c r="AE1065" i="1"/>
  <c r="AE1073" i="1"/>
  <c r="AE1081" i="1"/>
  <c r="AE1089" i="1"/>
  <c r="AE1097" i="1"/>
  <c r="AE1105" i="1"/>
  <c r="AE1113" i="1"/>
  <c r="AE896" i="1"/>
  <c r="AE983" i="1"/>
  <c r="AE991" i="1"/>
  <c r="AD1010" i="1"/>
  <c r="AD1018" i="1"/>
  <c r="AD1026" i="1"/>
  <c r="AD1034" i="1"/>
  <c r="AD1042" i="1"/>
  <c r="AD1050" i="1"/>
  <c r="AD1058" i="1"/>
  <c r="AD1066" i="1"/>
  <c r="AD1074" i="1"/>
  <c r="AD1082" i="1"/>
  <c r="AD1090" i="1"/>
  <c r="AD1098" i="1"/>
  <c r="AD1106" i="1"/>
  <c r="AD1114" i="1"/>
  <c r="AD1122" i="1"/>
  <c r="AD904" i="1"/>
  <c r="AE1010" i="1"/>
  <c r="AE1018" i="1"/>
  <c r="AE1026" i="1"/>
  <c r="AE1034" i="1"/>
  <c r="AE1042" i="1"/>
  <c r="AE1050" i="1"/>
  <c r="AE1058" i="1"/>
  <c r="AE1066" i="1"/>
  <c r="AE1074" i="1"/>
  <c r="AE1082" i="1"/>
  <c r="AE1090" i="1"/>
  <c r="AE1098" i="1"/>
  <c r="AE1106" i="1"/>
  <c r="AE927" i="1"/>
  <c r="AE1043" i="1"/>
  <c r="AE1107" i="1"/>
  <c r="AE1121" i="1"/>
  <c r="AE1134" i="1"/>
  <c r="AE1142" i="1"/>
  <c r="AE1150" i="1"/>
  <c r="AE1158" i="1"/>
  <c r="AE1166" i="1"/>
  <c r="AE1174" i="1"/>
  <c r="AE1182" i="1"/>
  <c r="AE1190" i="1"/>
  <c r="AE1198" i="1"/>
  <c r="AE1206" i="1"/>
  <c r="AE1214" i="1"/>
  <c r="AE1222" i="1"/>
  <c r="AE1230" i="1"/>
  <c r="AE1238" i="1"/>
  <c r="AE1246" i="1"/>
  <c r="AD1000" i="1"/>
  <c r="AD1051" i="1"/>
  <c r="AD1135" i="1"/>
  <c r="AD1143" i="1"/>
  <c r="AD1151" i="1"/>
  <c r="AD1159" i="1"/>
  <c r="AD1167" i="1"/>
  <c r="AD1175" i="1"/>
  <c r="AD1183" i="1"/>
  <c r="AD1191" i="1"/>
  <c r="AD1199" i="1"/>
  <c r="AD1207" i="1"/>
  <c r="AD1215" i="1"/>
  <c r="AD1223" i="1"/>
  <c r="AD1231" i="1"/>
  <c r="AD1239" i="1"/>
  <c r="AD1247" i="1"/>
  <c r="AE1000" i="1"/>
  <c r="AE1051" i="1"/>
  <c r="AE1135" i="1"/>
  <c r="AE1143" i="1"/>
  <c r="AE1151" i="1"/>
  <c r="AE1159" i="1"/>
  <c r="AE1167" i="1"/>
  <c r="AE1175" i="1"/>
  <c r="AE1183" i="1"/>
  <c r="AE1191" i="1"/>
  <c r="AE1199" i="1"/>
  <c r="AE1207" i="1"/>
  <c r="AE1215" i="1"/>
  <c r="AE1223" i="1"/>
  <c r="AE1231" i="1"/>
  <c r="AE1239" i="1"/>
  <c r="AE1247" i="1"/>
  <c r="AD936" i="1"/>
  <c r="AD1059" i="1"/>
  <c r="AD1127" i="1"/>
  <c r="AD1128" i="1"/>
  <c r="AD1136" i="1"/>
  <c r="AD1144" i="1"/>
  <c r="AD1152" i="1"/>
  <c r="AD1160" i="1"/>
  <c r="AD1168" i="1"/>
  <c r="AD1176" i="1"/>
  <c r="AD1184" i="1"/>
  <c r="AD1192" i="1"/>
  <c r="AD1200" i="1"/>
  <c r="AD1208" i="1"/>
  <c r="AD1216" i="1"/>
  <c r="AD1224" i="1"/>
  <c r="AD1232" i="1"/>
  <c r="AD1240" i="1"/>
  <c r="AD1248" i="1"/>
  <c r="AE936" i="1"/>
  <c r="AE1059" i="1"/>
  <c r="AD1126" i="1"/>
  <c r="AE1127" i="1"/>
  <c r="AE1128" i="1"/>
  <c r="AE1136" i="1"/>
  <c r="AE1144" i="1"/>
  <c r="AE1152" i="1"/>
  <c r="AE1160" i="1"/>
  <c r="AE1168" i="1"/>
  <c r="AE1176" i="1"/>
  <c r="AE1184" i="1"/>
  <c r="AE1192" i="1"/>
  <c r="AE1200" i="1"/>
  <c r="AE1208" i="1"/>
  <c r="AE1216" i="1"/>
  <c r="AE1224" i="1"/>
  <c r="AE1232" i="1"/>
  <c r="AE1240" i="1"/>
  <c r="AE1248" i="1"/>
  <c r="AD1067" i="1"/>
  <c r="AE1126" i="1"/>
  <c r="AD1129" i="1"/>
  <c r="AD1137" i="1"/>
  <c r="AD1145" i="1"/>
  <c r="AD1153" i="1"/>
  <c r="AD1161" i="1"/>
  <c r="AD1169" i="1"/>
  <c r="AD1177" i="1"/>
  <c r="AD1185" i="1"/>
  <c r="AD1193" i="1"/>
  <c r="AD1201" i="1"/>
  <c r="AD1209" i="1"/>
  <c r="AD1217" i="1"/>
  <c r="AD1225" i="1"/>
  <c r="AD1233" i="1"/>
  <c r="AD1241" i="1"/>
  <c r="AD1249" i="1"/>
  <c r="AE1003" i="1"/>
  <c r="AE1067" i="1"/>
  <c r="AE1114" i="1"/>
  <c r="AE1122" i="1"/>
  <c r="AE1125" i="1"/>
  <c r="AE1129" i="1"/>
  <c r="AE1137" i="1"/>
  <c r="AE1145" i="1"/>
  <c r="AE1153" i="1"/>
  <c r="AE1161" i="1"/>
  <c r="AE1169" i="1"/>
  <c r="AE1177" i="1"/>
  <c r="AE1185" i="1"/>
  <c r="AE1193" i="1"/>
  <c r="AE1201" i="1"/>
  <c r="AE1209" i="1"/>
  <c r="AE1217" i="1"/>
  <c r="AE1225" i="1"/>
  <c r="AE1233" i="1"/>
  <c r="AE1241" i="1"/>
  <c r="AE904" i="1"/>
  <c r="AD1011" i="1"/>
  <c r="AD1075" i="1"/>
  <c r="AD1130" i="1"/>
  <c r="AD1138" i="1"/>
  <c r="AD1146" i="1"/>
  <c r="AD1154" i="1"/>
  <c r="AD1162" i="1"/>
  <c r="AD1170" i="1"/>
  <c r="AD1178" i="1"/>
  <c r="AD1186" i="1"/>
  <c r="AD1194" i="1"/>
  <c r="AD1202" i="1"/>
  <c r="AD1210" i="1"/>
  <c r="AD1218" i="1"/>
  <c r="AD1226" i="1"/>
  <c r="AD1234" i="1"/>
  <c r="AD1242" i="1"/>
  <c r="AD1250" i="1"/>
  <c r="AE1011" i="1"/>
  <c r="AE1075" i="1"/>
  <c r="AE1124" i="1"/>
  <c r="AE1130" i="1"/>
  <c r="AE1138" i="1"/>
  <c r="AE1146" i="1"/>
  <c r="AE1154" i="1"/>
  <c r="AE1162" i="1"/>
  <c r="AE1170" i="1"/>
  <c r="AE1178" i="1"/>
  <c r="AE1186" i="1"/>
  <c r="AE1194" i="1"/>
  <c r="AE1202" i="1"/>
  <c r="AE1210" i="1"/>
  <c r="AE1218" i="1"/>
  <c r="AE1226" i="1"/>
  <c r="AE1234" i="1"/>
  <c r="AE1242" i="1"/>
  <c r="AD730" i="1"/>
  <c r="AD1019" i="1"/>
  <c r="AD1083" i="1"/>
  <c r="AD1131" i="1"/>
  <c r="AD1139" i="1"/>
  <c r="AD1147" i="1"/>
  <c r="AD1155" i="1"/>
  <c r="AD1163" i="1"/>
  <c r="AD1171" i="1"/>
  <c r="AD1179" i="1"/>
  <c r="AD1187" i="1"/>
  <c r="AD1195" i="1"/>
  <c r="AD1203" i="1"/>
  <c r="AD1211" i="1"/>
  <c r="AD1219" i="1"/>
  <c r="AD1227" i="1"/>
  <c r="AD1235" i="1"/>
  <c r="AD912" i="1"/>
  <c r="AE1019" i="1"/>
  <c r="AE1083" i="1"/>
  <c r="AD1115" i="1"/>
  <c r="AE1131" i="1"/>
  <c r="AE1139" i="1"/>
  <c r="AE1147" i="1"/>
  <c r="AE1155" i="1"/>
  <c r="AE1163" i="1"/>
  <c r="AE1171" i="1"/>
  <c r="AE1179" i="1"/>
  <c r="AE1187" i="1"/>
  <c r="AE1195" i="1"/>
  <c r="AE1203" i="1"/>
  <c r="AE1211" i="1"/>
  <c r="AE1219" i="1"/>
  <c r="AE1227" i="1"/>
  <c r="AE1235" i="1"/>
  <c r="AE1243" i="1"/>
  <c r="AD1027" i="1"/>
  <c r="AD1091" i="1"/>
  <c r="AE1115" i="1"/>
  <c r="AD1132" i="1"/>
  <c r="AD1140" i="1"/>
  <c r="AD1148" i="1"/>
  <c r="AD1156" i="1"/>
  <c r="AD1164" i="1"/>
  <c r="AD1172" i="1"/>
  <c r="AD1180" i="1"/>
  <c r="AD1188" i="1"/>
  <c r="AD1196" i="1"/>
  <c r="AD1204" i="1"/>
  <c r="AD1212" i="1"/>
  <c r="AD1220" i="1"/>
  <c r="AD1228" i="1"/>
  <c r="AD1236" i="1"/>
  <c r="AD1244" i="1"/>
  <c r="AD1252" i="1"/>
  <c r="AE1027" i="1"/>
  <c r="AE1091" i="1"/>
  <c r="AE1132" i="1"/>
  <c r="AE1140" i="1"/>
  <c r="AE1148" i="1"/>
  <c r="AE1156" i="1"/>
  <c r="AE1164" i="1"/>
  <c r="AE1172" i="1"/>
  <c r="AE1180" i="1"/>
  <c r="AE1188" i="1"/>
  <c r="AE1196" i="1"/>
  <c r="AE1204" i="1"/>
  <c r="AE1212" i="1"/>
  <c r="AE1220" i="1"/>
  <c r="AE1228" i="1"/>
  <c r="AE1236" i="1"/>
  <c r="AE1244" i="1"/>
  <c r="AD1035" i="1"/>
  <c r="AD1099" i="1"/>
  <c r="AD1123" i="1"/>
  <c r="AD1133" i="1"/>
  <c r="AD1141" i="1"/>
  <c r="AD1149" i="1"/>
  <c r="AD1157" i="1"/>
  <c r="AD1165" i="1"/>
  <c r="AD1173" i="1"/>
  <c r="AD1181" i="1"/>
  <c r="AD1189" i="1"/>
  <c r="AD1197" i="1"/>
  <c r="AD1205" i="1"/>
  <c r="AD1213" i="1"/>
  <c r="AD1221" i="1"/>
  <c r="AD1229" i="1"/>
  <c r="AD1237" i="1"/>
  <c r="AD1150" i="1"/>
  <c r="AD1214" i="1"/>
  <c r="AD1258" i="1"/>
  <c r="AD1266" i="1"/>
  <c r="AD1274" i="1"/>
  <c r="AD1282" i="1"/>
  <c r="AD1290" i="1"/>
  <c r="AD1298" i="1"/>
  <c r="AD1306" i="1"/>
  <c r="AD1314" i="1"/>
  <c r="AD1322" i="1"/>
  <c r="AD1330" i="1"/>
  <c r="AD1338" i="1"/>
  <c r="AD1346" i="1"/>
  <c r="AD1354" i="1"/>
  <c r="AD1362" i="1"/>
  <c r="AD1370" i="1"/>
  <c r="AD1378" i="1"/>
  <c r="AE1165" i="1"/>
  <c r="AE1229" i="1"/>
  <c r="AE1258" i="1"/>
  <c r="AE1266" i="1"/>
  <c r="AE1274" i="1"/>
  <c r="AE1282" i="1"/>
  <c r="AE1290" i="1"/>
  <c r="AE1298" i="1"/>
  <c r="AE1306" i="1"/>
  <c r="AE1314" i="1"/>
  <c r="AE1322" i="1"/>
  <c r="AE1330" i="1"/>
  <c r="AE1338" i="1"/>
  <c r="AE1346" i="1"/>
  <c r="AE1354" i="1"/>
  <c r="AE1362" i="1"/>
  <c r="AE1370" i="1"/>
  <c r="AE1378" i="1"/>
  <c r="AD1158" i="1"/>
  <c r="AD1222" i="1"/>
  <c r="AD1259" i="1"/>
  <c r="AD1267" i="1"/>
  <c r="AD1275" i="1"/>
  <c r="AD1283" i="1"/>
  <c r="AD1291" i="1"/>
  <c r="AD1299" i="1"/>
  <c r="AD1307" i="1"/>
  <c r="AD1315" i="1"/>
  <c r="AD1323" i="1"/>
  <c r="AD1331" i="1"/>
  <c r="AD1339" i="1"/>
  <c r="AD1347" i="1"/>
  <c r="AD1355" i="1"/>
  <c r="AD1363" i="1"/>
  <c r="AD1371" i="1"/>
  <c r="AD1379" i="1"/>
  <c r="AE1173" i="1"/>
  <c r="AE1237" i="1"/>
  <c r="AE1259" i="1"/>
  <c r="AE1267" i="1"/>
  <c r="AE1275" i="1"/>
  <c r="AE1283" i="1"/>
  <c r="AE1291" i="1"/>
  <c r="AE1299" i="1"/>
  <c r="AE1307" i="1"/>
  <c r="AE1315" i="1"/>
  <c r="AE1323" i="1"/>
  <c r="AE1331" i="1"/>
  <c r="AE1339" i="1"/>
  <c r="AE1347" i="1"/>
  <c r="AE1355" i="1"/>
  <c r="AE1363" i="1"/>
  <c r="AE1371" i="1"/>
  <c r="AE1379" i="1"/>
  <c r="AD1166" i="1"/>
  <c r="AD1230" i="1"/>
  <c r="AD1246" i="1"/>
  <c r="AE1249" i="1"/>
  <c r="AD1260" i="1"/>
  <c r="AD1268" i="1"/>
  <c r="AD1276" i="1"/>
  <c r="AD1284" i="1"/>
  <c r="AD1292" i="1"/>
  <c r="AD1300" i="1"/>
  <c r="AD1308" i="1"/>
  <c r="AD1316" i="1"/>
  <c r="AD1324" i="1"/>
  <c r="AD1332" i="1"/>
  <c r="AD1340" i="1"/>
  <c r="AD1348" i="1"/>
  <c r="AD1356" i="1"/>
  <c r="AD1364" i="1"/>
  <c r="AD1372" i="1"/>
  <c r="AD1380" i="1"/>
  <c r="AE1123" i="1"/>
  <c r="AE1181" i="1"/>
  <c r="AD1243" i="1"/>
  <c r="AE1260" i="1"/>
  <c r="AE1268" i="1"/>
  <c r="AE1276" i="1"/>
  <c r="AE1284" i="1"/>
  <c r="AE1292" i="1"/>
  <c r="AE1300" i="1"/>
  <c r="AE1308" i="1"/>
  <c r="AE1316" i="1"/>
  <c r="AE1324" i="1"/>
  <c r="AE1332" i="1"/>
  <c r="AE1340" i="1"/>
  <c r="AE1348" i="1"/>
  <c r="AE1356" i="1"/>
  <c r="AE1364" i="1"/>
  <c r="AE1372" i="1"/>
  <c r="AE1380" i="1"/>
  <c r="AD1174" i="1"/>
  <c r="AD1238" i="1"/>
  <c r="AD1261" i="1"/>
  <c r="AD1269" i="1"/>
  <c r="AD1277" i="1"/>
  <c r="AD1285" i="1"/>
  <c r="AD1293" i="1"/>
  <c r="AD1301" i="1"/>
  <c r="AD1309" i="1"/>
  <c r="AD1317" i="1"/>
  <c r="AD1325" i="1"/>
  <c r="AD1333" i="1"/>
  <c r="AD1341" i="1"/>
  <c r="AD1349" i="1"/>
  <c r="AD1357" i="1"/>
  <c r="AD1365" i="1"/>
  <c r="AD1373" i="1"/>
  <c r="AE1189" i="1"/>
  <c r="AE1261" i="1"/>
  <c r="AE1269" i="1"/>
  <c r="AE1277" i="1"/>
  <c r="AE1285" i="1"/>
  <c r="AE1293" i="1"/>
  <c r="AE1301" i="1"/>
  <c r="AE1309" i="1"/>
  <c r="AE1317" i="1"/>
  <c r="AE1325" i="1"/>
  <c r="AE1333" i="1"/>
  <c r="AE1341" i="1"/>
  <c r="AE1349" i="1"/>
  <c r="AE1357" i="1"/>
  <c r="AE1365" i="1"/>
  <c r="AE1373" i="1"/>
  <c r="AE1381" i="1"/>
  <c r="AD1182" i="1"/>
  <c r="AD1262" i="1"/>
  <c r="AD1270" i="1"/>
  <c r="AD1278" i="1"/>
  <c r="AD1286" i="1"/>
  <c r="AD1294" i="1"/>
  <c r="AD1302" i="1"/>
  <c r="AD1310" i="1"/>
  <c r="AD1318" i="1"/>
  <c r="AD1326" i="1"/>
  <c r="AD1334" i="1"/>
  <c r="AD1342" i="1"/>
  <c r="AD1350" i="1"/>
  <c r="AD1358" i="1"/>
  <c r="AD1366" i="1"/>
  <c r="AE1035" i="1"/>
  <c r="AE1133" i="1"/>
  <c r="AE1197" i="1"/>
  <c r="AE1262" i="1"/>
  <c r="AE1270" i="1"/>
  <c r="AE1278" i="1"/>
  <c r="AE1286" i="1"/>
  <c r="AE1294" i="1"/>
  <c r="AE1302" i="1"/>
  <c r="AE1310" i="1"/>
  <c r="AE1318" i="1"/>
  <c r="AE1326" i="1"/>
  <c r="AE1334" i="1"/>
  <c r="AE1342" i="1"/>
  <c r="AE1350" i="1"/>
  <c r="AE1358" i="1"/>
  <c r="AE1366" i="1"/>
  <c r="AE1374" i="1"/>
  <c r="AD1190" i="1"/>
  <c r="AD1263" i="1"/>
  <c r="AD1271" i="1"/>
  <c r="AD1279" i="1"/>
  <c r="AD1287" i="1"/>
  <c r="AD1295" i="1"/>
  <c r="AD1303" i="1"/>
  <c r="AD1311" i="1"/>
  <c r="AD1319" i="1"/>
  <c r="AD1327" i="1"/>
  <c r="AD1335" i="1"/>
  <c r="AD1343" i="1"/>
  <c r="AD1351" i="1"/>
  <c r="AD1359" i="1"/>
  <c r="AD1367" i="1"/>
  <c r="AD1375" i="1"/>
  <c r="AE1099" i="1"/>
  <c r="AE1141" i="1"/>
  <c r="AE1205" i="1"/>
  <c r="AE1263" i="1"/>
  <c r="AE1271" i="1"/>
  <c r="AE1279" i="1"/>
  <c r="AE1287" i="1"/>
  <c r="AE1295" i="1"/>
  <c r="AE1303" i="1"/>
  <c r="AE1311" i="1"/>
  <c r="AE1319" i="1"/>
  <c r="AE1327" i="1"/>
  <c r="AE1335" i="1"/>
  <c r="AE1343" i="1"/>
  <c r="AE1351" i="1"/>
  <c r="AE1359" i="1"/>
  <c r="AE1367" i="1"/>
  <c r="AE1375" i="1"/>
  <c r="AE1257" i="1"/>
  <c r="AE1289" i="1"/>
  <c r="AE1321" i="1"/>
  <c r="AE1353" i="1"/>
  <c r="AE1376" i="1"/>
  <c r="AE1388" i="1"/>
  <c r="AE1396" i="1"/>
  <c r="AE1404" i="1"/>
  <c r="AE1412" i="1"/>
  <c r="AE1420" i="1"/>
  <c r="AE1428" i="1"/>
  <c r="AE1436" i="1"/>
  <c r="AE1444" i="1"/>
  <c r="AE1452" i="1"/>
  <c r="AE1460" i="1"/>
  <c r="AE1468" i="1"/>
  <c r="AE1476" i="1"/>
  <c r="AE1484" i="1"/>
  <c r="AE1492" i="1"/>
  <c r="AD1254" i="1"/>
  <c r="AD1272" i="1"/>
  <c r="AD1304" i="1"/>
  <c r="AD1336" i="1"/>
  <c r="AD1389" i="1"/>
  <c r="AD1397" i="1"/>
  <c r="AD1405" i="1"/>
  <c r="AD1413" i="1"/>
  <c r="AD1421" i="1"/>
  <c r="AD1429" i="1"/>
  <c r="AD1437" i="1"/>
  <c r="AD1445" i="1"/>
  <c r="AD1453" i="1"/>
  <c r="AD1461" i="1"/>
  <c r="AD1469" i="1"/>
  <c r="AD1477" i="1"/>
  <c r="AD1485" i="1"/>
  <c r="AD1493" i="1"/>
  <c r="AE1149" i="1"/>
  <c r="AE1254" i="1"/>
  <c r="AE1272" i="1"/>
  <c r="AE1304" i="1"/>
  <c r="AE1336" i="1"/>
  <c r="AD1368" i="1"/>
  <c r="AE1389" i="1"/>
  <c r="AE1397" i="1"/>
  <c r="AE1405" i="1"/>
  <c r="AE1413" i="1"/>
  <c r="AE1421" i="1"/>
  <c r="AE1429" i="1"/>
  <c r="AE1437" i="1"/>
  <c r="AE1445" i="1"/>
  <c r="AE1453" i="1"/>
  <c r="AE1461" i="1"/>
  <c r="AE1469" i="1"/>
  <c r="AE1477" i="1"/>
  <c r="AE1485" i="1"/>
  <c r="AE1493" i="1"/>
  <c r="AD1107" i="1"/>
  <c r="AD1206" i="1"/>
  <c r="AE1250" i="1"/>
  <c r="AD1265" i="1"/>
  <c r="AD1297" i="1"/>
  <c r="AD1329" i="1"/>
  <c r="AD1361" i="1"/>
  <c r="AE1368" i="1"/>
  <c r="AD1390" i="1"/>
  <c r="AD1398" i="1"/>
  <c r="AD1406" i="1"/>
  <c r="AD1414" i="1"/>
  <c r="AD1422" i="1"/>
  <c r="AD1430" i="1"/>
  <c r="AD1438" i="1"/>
  <c r="AD1446" i="1"/>
  <c r="AD1454" i="1"/>
  <c r="AD1462" i="1"/>
  <c r="AD1470" i="1"/>
  <c r="AD1478" i="1"/>
  <c r="AD1486" i="1"/>
  <c r="AE1265" i="1"/>
  <c r="AE1297" i="1"/>
  <c r="AE1329" i="1"/>
  <c r="AE1361" i="1"/>
  <c r="AD1374" i="1"/>
  <c r="AE1390" i="1"/>
  <c r="AE1398" i="1"/>
  <c r="AE1406" i="1"/>
  <c r="AE1414" i="1"/>
  <c r="AE1422" i="1"/>
  <c r="AE1430" i="1"/>
  <c r="AE1438" i="1"/>
  <c r="AE1446" i="1"/>
  <c r="AE1454" i="1"/>
  <c r="AE1462" i="1"/>
  <c r="AE1470" i="1"/>
  <c r="AE1478" i="1"/>
  <c r="AE1486" i="1"/>
  <c r="AE1494" i="1"/>
  <c r="AD1255" i="1"/>
  <c r="AD1280" i="1"/>
  <c r="AD1312" i="1"/>
  <c r="AD1344" i="1"/>
  <c r="AD1382" i="1"/>
  <c r="AD1383" i="1"/>
  <c r="AD1391" i="1"/>
  <c r="AD1399" i="1"/>
  <c r="AD1407" i="1"/>
  <c r="AD1415" i="1"/>
  <c r="AD1423" i="1"/>
  <c r="AD1431" i="1"/>
  <c r="AD1439" i="1"/>
  <c r="AD1447" i="1"/>
  <c r="AD1455" i="1"/>
  <c r="AD1463" i="1"/>
  <c r="AD1471" i="1"/>
  <c r="AD1479" i="1"/>
  <c r="AD1487" i="1"/>
  <c r="AE1213" i="1"/>
  <c r="AD1251" i="1"/>
  <c r="AE1255" i="1"/>
  <c r="AE1280" i="1"/>
  <c r="AE1312" i="1"/>
  <c r="AE1344" i="1"/>
  <c r="AD1377" i="1"/>
  <c r="AE1382" i="1"/>
  <c r="AE1383" i="1"/>
  <c r="AE1391" i="1"/>
  <c r="AE1399" i="1"/>
  <c r="AE1407" i="1"/>
  <c r="AE1415" i="1"/>
  <c r="AE1423" i="1"/>
  <c r="AE1431" i="1"/>
  <c r="AE1439" i="1"/>
  <c r="AE1447" i="1"/>
  <c r="AE1455" i="1"/>
  <c r="AE1463" i="1"/>
  <c r="AE1471" i="1"/>
  <c r="AE1479" i="1"/>
  <c r="AE1487" i="1"/>
  <c r="AE1251" i="1"/>
  <c r="AD1273" i="1"/>
  <c r="AD1305" i="1"/>
  <c r="AD1337" i="1"/>
  <c r="AE1377" i="1"/>
  <c r="AD1384" i="1"/>
  <c r="AD1392" i="1"/>
  <c r="AD1400" i="1"/>
  <c r="AD1408" i="1"/>
  <c r="AD1416" i="1"/>
  <c r="AD1424" i="1"/>
  <c r="AD1432" i="1"/>
  <c r="AD1440" i="1"/>
  <c r="AD1448" i="1"/>
  <c r="AD1456" i="1"/>
  <c r="AD1464" i="1"/>
  <c r="AE1157" i="1"/>
  <c r="AE1273" i="1"/>
  <c r="AE1305" i="1"/>
  <c r="AE1337" i="1"/>
  <c r="AE1384" i="1"/>
  <c r="AE1392" i="1"/>
  <c r="AE1400" i="1"/>
  <c r="AE1408" i="1"/>
  <c r="AE1416" i="1"/>
  <c r="AE1424" i="1"/>
  <c r="AE1432" i="1"/>
  <c r="AE1440" i="1"/>
  <c r="AE1448" i="1"/>
  <c r="AE1456" i="1"/>
  <c r="AE1464" i="1"/>
  <c r="AD1134" i="1"/>
  <c r="AD1256" i="1"/>
  <c r="AD1288" i="1"/>
  <c r="AD1320" i="1"/>
  <c r="AD1352" i="1"/>
  <c r="AD1369" i="1"/>
  <c r="AD1385" i="1"/>
  <c r="AD1393" i="1"/>
  <c r="AD1401" i="1"/>
  <c r="AD1409" i="1"/>
  <c r="AD1417" i="1"/>
  <c r="AD1425" i="1"/>
  <c r="AD1433" i="1"/>
  <c r="AD1441" i="1"/>
  <c r="AD1449" i="1"/>
  <c r="AD1457" i="1"/>
  <c r="AD1465" i="1"/>
  <c r="AD1473" i="1"/>
  <c r="AD1481" i="1"/>
  <c r="AD1489" i="1"/>
  <c r="AD960" i="1"/>
  <c r="AE1252" i="1"/>
  <c r="AE1256" i="1"/>
  <c r="AE1288" i="1"/>
  <c r="AE1320" i="1"/>
  <c r="AE1352" i="1"/>
  <c r="AE1369" i="1"/>
  <c r="AE1385" i="1"/>
  <c r="AE1393" i="1"/>
  <c r="AE1401" i="1"/>
  <c r="AE1409" i="1"/>
  <c r="AE1417" i="1"/>
  <c r="AE1425" i="1"/>
  <c r="AE1433" i="1"/>
  <c r="AE1441" i="1"/>
  <c r="AE1449" i="1"/>
  <c r="AE1457" i="1"/>
  <c r="AE1465" i="1"/>
  <c r="AE1473" i="1"/>
  <c r="AE1481" i="1"/>
  <c r="AE1489" i="1"/>
  <c r="AD1245" i="1"/>
  <c r="AD1281" i="1"/>
  <c r="AD1313" i="1"/>
  <c r="AD1345" i="1"/>
  <c r="AD1386" i="1"/>
  <c r="AD1394" i="1"/>
  <c r="AD1402" i="1"/>
  <c r="AD1410" i="1"/>
  <c r="AE995" i="1"/>
  <c r="AE1221" i="1"/>
  <c r="AE1245" i="1"/>
  <c r="AD1043" i="1"/>
  <c r="AD1198" i="1"/>
  <c r="AD1253" i="1"/>
  <c r="AD1264" i="1"/>
  <c r="AD1296" i="1"/>
  <c r="AD1328" i="1"/>
  <c r="AD1360" i="1"/>
  <c r="AD1381" i="1"/>
  <c r="AD1387" i="1"/>
  <c r="AD1395" i="1"/>
  <c r="AD1403" i="1"/>
  <c r="AD1411" i="1"/>
  <c r="AD1419" i="1"/>
  <c r="AD1427" i="1"/>
  <c r="AD1435" i="1"/>
  <c r="AD1443" i="1"/>
  <c r="AD1451" i="1"/>
  <c r="AD1459" i="1"/>
  <c r="AD1467" i="1"/>
  <c r="AD1475" i="1"/>
  <c r="AD1483" i="1"/>
  <c r="AD1491" i="1"/>
  <c r="AD1404" i="1"/>
  <c r="AD1418" i="1"/>
  <c r="AD1450" i="1"/>
  <c r="AE1472" i="1"/>
  <c r="AE1502" i="1"/>
  <c r="AE1510" i="1"/>
  <c r="AE1518" i="1"/>
  <c r="AE1526" i="1"/>
  <c r="AE1534" i="1"/>
  <c r="AE1542" i="1"/>
  <c r="AE1550" i="1"/>
  <c r="AE1558" i="1"/>
  <c r="AE1566" i="1"/>
  <c r="AE1574" i="1"/>
  <c r="AE1582" i="1"/>
  <c r="AE1590" i="1"/>
  <c r="AE1598" i="1"/>
  <c r="AE1606" i="1"/>
  <c r="AE1395" i="1"/>
  <c r="AE1418" i="1"/>
  <c r="AE1450" i="1"/>
  <c r="AE1467" i="1"/>
  <c r="AD1503" i="1"/>
  <c r="AD1511" i="1"/>
  <c r="AD1519" i="1"/>
  <c r="AD1527" i="1"/>
  <c r="AD1535" i="1"/>
  <c r="AD1543" i="1"/>
  <c r="AD1551" i="1"/>
  <c r="AD1559" i="1"/>
  <c r="AD1567" i="1"/>
  <c r="AD1575" i="1"/>
  <c r="AD1583" i="1"/>
  <c r="AD1591" i="1"/>
  <c r="AD1599" i="1"/>
  <c r="AD1607" i="1"/>
  <c r="AE1345" i="1"/>
  <c r="AE1386" i="1"/>
  <c r="AE1443" i="1"/>
  <c r="AD1484" i="1"/>
  <c r="AD1495" i="1"/>
  <c r="AE1503" i="1"/>
  <c r="AE1511" i="1"/>
  <c r="AE1519" i="1"/>
  <c r="AE1527" i="1"/>
  <c r="AE1535" i="1"/>
  <c r="AE1543" i="1"/>
  <c r="AE1551" i="1"/>
  <c r="AE1559" i="1"/>
  <c r="AE1567" i="1"/>
  <c r="AE1575" i="1"/>
  <c r="AE1583" i="1"/>
  <c r="AE1591" i="1"/>
  <c r="AE1599" i="1"/>
  <c r="AE1607" i="1"/>
  <c r="AE1410" i="1"/>
  <c r="AD1436" i="1"/>
  <c r="AD1482" i="1"/>
  <c r="AE1495" i="1"/>
  <c r="AD1496" i="1"/>
  <c r="AD1504" i="1"/>
  <c r="AD1512" i="1"/>
  <c r="AD1520" i="1"/>
  <c r="AD1528" i="1"/>
  <c r="AD1536" i="1"/>
  <c r="AD1544" i="1"/>
  <c r="AD1552" i="1"/>
  <c r="AD1560" i="1"/>
  <c r="AD1568" i="1"/>
  <c r="AD1576" i="1"/>
  <c r="AD1584" i="1"/>
  <c r="AD1592" i="1"/>
  <c r="AD1600" i="1"/>
  <c r="AD1608" i="1"/>
  <c r="AD1289" i="1"/>
  <c r="AE1328" i="1"/>
  <c r="AD1426" i="1"/>
  <c r="AD1458" i="1"/>
  <c r="AE1482" i="1"/>
  <c r="AD1494" i="1"/>
  <c r="AE1496" i="1"/>
  <c r="AE1504" i="1"/>
  <c r="AE1512" i="1"/>
  <c r="AE1520" i="1"/>
  <c r="AE1528" i="1"/>
  <c r="AE1536" i="1"/>
  <c r="AE1544" i="1"/>
  <c r="AE1552" i="1"/>
  <c r="AE1560" i="1"/>
  <c r="AE1568" i="1"/>
  <c r="AE1576" i="1"/>
  <c r="AE1584" i="1"/>
  <c r="AE1592" i="1"/>
  <c r="AE1600" i="1"/>
  <c r="AE1608" i="1"/>
  <c r="AE1253" i="1"/>
  <c r="AD1396" i="1"/>
  <c r="AE1426" i="1"/>
  <c r="AE1458" i="1"/>
  <c r="AE1475" i="1"/>
  <c r="AD1480" i="1"/>
  <c r="AE1491" i="1"/>
  <c r="AD1497" i="1"/>
  <c r="AD1505" i="1"/>
  <c r="AD1513" i="1"/>
  <c r="AD1521" i="1"/>
  <c r="AD1529" i="1"/>
  <c r="AD1537" i="1"/>
  <c r="AD1545" i="1"/>
  <c r="AD1553" i="1"/>
  <c r="AD1561" i="1"/>
  <c r="AD1569" i="1"/>
  <c r="AD1577" i="1"/>
  <c r="AD1585" i="1"/>
  <c r="AD1593" i="1"/>
  <c r="AD1601" i="1"/>
  <c r="AE1387" i="1"/>
  <c r="AE1419" i="1"/>
  <c r="AE1451" i="1"/>
  <c r="AE1480" i="1"/>
  <c r="AE1497" i="1"/>
  <c r="AE1505" i="1"/>
  <c r="AE1513" i="1"/>
  <c r="AE1521" i="1"/>
  <c r="AE1529" i="1"/>
  <c r="AE1537" i="1"/>
  <c r="AE1545" i="1"/>
  <c r="AE1553" i="1"/>
  <c r="AE1561" i="1"/>
  <c r="AE1569" i="1"/>
  <c r="AE1577" i="1"/>
  <c r="AE1585" i="1"/>
  <c r="AE1593" i="1"/>
  <c r="AE1601" i="1"/>
  <c r="AE1313" i="1"/>
  <c r="AE1411" i="1"/>
  <c r="AD1444" i="1"/>
  <c r="AD1468" i="1"/>
  <c r="AD1498" i="1"/>
  <c r="AD1506" i="1"/>
  <c r="AD1514" i="1"/>
  <c r="AD1522" i="1"/>
  <c r="AD1530" i="1"/>
  <c r="AD1538" i="1"/>
  <c r="AD1546" i="1"/>
  <c r="AD1554" i="1"/>
  <c r="AD1562" i="1"/>
  <c r="AD1570" i="1"/>
  <c r="AD1578" i="1"/>
  <c r="AD1586" i="1"/>
  <c r="AD1594" i="1"/>
  <c r="AD1602" i="1"/>
  <c r="AE1402" i="1"/>
  <c r="AD1434" i="1"/>
  <c r="AE1498" i="1"/>
  <c r="AE1506" i="1"/>
  <c r="AE1514" i="1"/>
  <c r="AE1522" i="1"/>
  <c r="AE1530" i="1"/>
  <c r="AE1538" i="1"/>
  <c r="AE1546" i="1"/>
  <c r="AE1554" i="1"/>
  <c r="AE1562" i="1"/>
  <c r="AE1570" i="1"/>
  <c r="AE1578" i="1"/>
  <c r="AE1586" i="1"/>
  <c r="AE1594" i="1"/>
  <c r="AE1602" i="1"/>
  <c r="AD1257" i="1"/>
  <c r="AE1296" i="1"/>
  <c r="AE1434" i="1"/>
  <c r="AD1499" i="1"/>
  <c r="AD1507" i="1"/>
  <c r="AD1515" i="1"/>
  <c r="AD1523" i="1"/>
  <c r="AD1531" i="1"/>
  <c r="AD1539" i="1"/>
  <c r="AD1547" i="1"/>
  <c r="AD1555" i="1"/>
  <c r="AD1563" i="1"/>
  <c r="AD1571" i="1"/>
  <c r="AD1579" i="1"/>
  <c r="AD1587" i="1"/>
  <c r="AD1595" i="1"/>
  <c r="AD1603" i="1"/>
  <c r="AD1353" i="1"/>
  <c r="AD1388" i="1"/>
  <c r="AE1427" i="1"/>
  <c r="AE1459" i="1"/>
  <c r="AD1466" i="1"/>
  <c r="AE1499" i="1"/>
  <c r="AE1507" i="1"/>
  <c r="AE1515" i="1"/>
  <c r="AE1523" i="1"/>
  <c r="AE1531" i="1"/>
  <c r="AE1539" i="1"/>
  <c r="AE1547" i="1"/>
  <c r="AE1555" i="1"/>
  <c r="AE1563" i="1"/>
  <c r="AE1571" i="1"/>
  <c r="AE1579" i="1"/>
  <c r="AE1587" i="1"/>
  <c r="AE1595" i="1"/>
  <c r="AE1603" i="1"/>
  <c r="AD1412" i="1"/>
  <c r="AD1420" i="1"/>
  <c r="AD1452" i="1"/>
  <c r="AE1466" i="1"/>
  <c r="AE1483" i="1"/>
  <c r="AD1488" i="1"/>
  <c r="AD1490" i="1"/>
  <c r="AD1500" i="1"/>
  <c r="AD1508" i="1"/>
  <c r="AD1516" i="1"/>
  <c r="AD1524" i="1"/>
  <c r="AD1532" i="1"/>
  <c r="AD1540" i="1"/>
  <c r="AD1548" i="1"/>
  <c r="AD1556" i="1"/>
  <c r="AD1564" i="1"/>
  <c r="AD1572" i="1"/>
  <c r="AD1580" i="1"/>
  <c r="AD1588" i="1"/>
  <c r="AD1596" i="1"/>
  <c r="AD1604" i="1"/>
  <c r="AD1142" i="1"/>
  <c r="AE1281" i="1"/>
  <c r="AE1403" i="1"/>
  <c r="AD1442" i="1"/>
  <c r="AD1476" i="1"/>
  <c r="AE1488" i="1"/>
  <c r="AE1490" i="1"/>
  <c r="AE1500" i="1"/>
  <c r="AE1508" i="1"/>
  <c r="AE1516" i="1"/>
  <c r="AE1524" i="1"/>
  <c r="AE1532" i="1"/>
  <c r="AE1540" i="1"/>
  <c r="AE1548" i="1"/>
  <c r="AE1556" i="1"/>
  <c r="AE1564" i="1"/>
  <c r="AE1572" i="1"/>
  <c r="AE1580" i="1"/>
  <c r="AE1588" i="1"/>
  <c r="AE1596" i="1"/>
  <c r="AE1604" i="1"/>
  <c r="AD1376" i="1"/>
  <c r="AE1573" i="1"/>
  <c r="AD1597" i="1"/>
  <c r="AD1606" i="1"/>
  <c r="AD1615" i="1"/>
  <c r="AD1623" i="1"/>
  <c r="AD1631" i="1"/>
  <c r="AD1639" i="1"/>
  <c r="AD1647" i="1"/>
  <c r="AD1655" i="1"/>
  <c r="AD1663" i="1"/>
  <c r="AD1671" i="1"/>
  <c r="AD1679" i="1"/>
  <c r="AD1687" i="1"/>
  <c r="AD1695" i="1"/>
  <c r="AD1703" i="1"/>
  <c r="AD1711" i="1"/>
  <c r="AD1719" i="1"/>
  <c r="AD1727" i="1"/>
  <c r="AD1428" i="1"/>
  <c r="AD1502" i="1"/>
  <c r="AE1597" i="1"/>
  <c r="AE1615" i="1"/>
  <c r="AE1623" i="1"/>
  <c r="AE1631" i="1"/>
  <c r="AE1639" i="1"/>
  <c r="AE1647" i="1"/>
  <c r="AE1655" i="1"/>
  <c r="AE1663" i="1"/>
  <c r="AE1671" i="1"/>
  <c r="AE1679" i="1"/>
  <c r="AE1687" i="1"/>
  <c r="AE1695" i="1"/>
  <c r="AE1703" i="1"/>
  <c r="AE1711" i="1"/>
  <c r="AE1719" i="1"/>
  <c r="AE1727" i="1"/>
  <c r="AD1492" i="1"/>
  <c r="AD1517" i="1"/>
  <c r="AD1526" i="1"/>
  <c r="AD1616" i="1"/>
  <c r="AD1624" i="1"/>
  <c r="AD1632" i="1"/>
  <c r="AD1640" i="1"/>
  <c r="AD1648" i="1"/>
  <c r="AD1656" i="1"/>
  <c r="AD1664" i="1"/>
  <c r="AD1672" i="1"/>
  <c r="AD1680" i="1"/>
  <c r="AD1688" i="1"/>
  <c r="AD1696" i="1"/>
  <c r="AD1704" i="1"/>
  <c r="AD1712" i="1"/>
  <c r="AD1720" i="1"/>
  <c r="AD1728" i="1"/>
  <c r="AE1517" i="1"/>
  <c r="AD1541" i="1"/>
  <c r="AD1550" i="1"/>
  <c r="AE1616" i="1"/>
  <c r="AE1624" i="1"/>
  <c r="AE1632" i="1"/>
  <c r="AE1640" i="1"/>
  <c r="AE1648" i="1"/>
  <c r="AE1656" i="1"/>
  <c r="AE1664" i="1"/>
  <c r="AE1672" i="1"/>
  <c r="AE1680" i="1"/>
  <c r="AE1688" i="1"/>
  <c r="AE1696" i="1"/>
  <c r="AE1704" i="1"/>
  <c r="AE1712" i="1"/>
  <c r="AE1720" i="1"/>
  <c r="AE1728" i="1"/>
  <c r="AE1541" i="1"/>
  <c r="AD1565" i="1"/>
  <c r="AD1574" i="1"/>
  <c r="AD1609" i="1"/>
  <c r="AD1617" i="1"/>
  <c r="AD1625" i="1"/>
  <c r="AD1633" i="1"/>
  <c r="AD1641" i="1"/>
  <c r="AD1649" i="1"/>
  <c r="AD1657" i="1"/>
  <c r="AD1665" i="1"/>
  <c r="AD1673" i="1"/>
  <c r="AD1681" i="1"/>
  <c r="AD1689" i="1"/>
  <c r="AD1697" i="1"/>
  <c r="AD1705" i="1"/>
  <c r="AD1713" i="1"/>
  <c r="AD1721" i="1"/>
  <c r="AD1729" i="1"/>
  <c r="AE1565" i="1"/>
  <c r="AD1589" i="1"/>
  <c r="AD1598" i="1"/>
  <c r="AE1609" i="1"/>
  <c r="AE1617" i="1"/>
  <c r="AE1625" i="1"/>
  <c r="AE1633" i="1"/>
  <c r="AE1641" i="1"/>
  <c r="AE1649" i="1"/>
  <c r="AE1657" i="1"/>
  <c r="AE1665" i="1"/>
  <c r="AE1673" i="1"/>
  <c r="AE1681" i="1"/>
  <c r="AE1689" i="1"/>
  <c r="AE1697" i="1"/>
  <c r="AE1705" i="1"/>
  <c r="AE1713" i="1"/>
  <c r="AE1721" i="1"/>
  <c r="AE1729" i="1"/>
  <c r="AE1435" i="1"/>
  <c r="AE1589" i="1"/>
  <c r="AD1610" i="1"/>
  <c r="AD1618" i="1"/>
  <c r="AD1626" i="1"/>
  <c r="AD1634" i="1"/>
  <c r="AD1642" i="1"/>
  <c r="AD1650" i="1"/>
  <c r="AD1658" i="1"/>
  <c r="AD1666" i="1"/>
  <c r="AD1674" i="1"/>
  <c r="AD1682" i="1"/>
  <c r="AD1690" i="1"/>
  <c r="AD1698" i="1"/>
  <c r="AD1706" i="1"/>
  <c r="AD1714" i="1"/>
  <c r="AD1722" i="1"/>
  <c r="AD1730" i="1"/>
  <c r="AD1321" i="1"/>
  <c r="AE1394" i="1"/>
  <c r="AD1509" i="1"/>
  <c r="AD1518" i="1"/>
  <c r="AE1610" i="1"/>
  <c r="AE1618" i="1"/>
  <c r="AE1626" i="1"/>
  <c r="AE1634" i="1"/>
  <c r="AE1642" i="1"/>
  <c r="AE1650" i="1"/>
  <c r="AE1658" i="1"/>
  <c r="AE1666" i="1"/>
  <c r="AE1674" i="1"/>
  <c r="AE1682" i="1"/>
  <c r="AE1690" i="1"/>
  <c r="AE1698" i="1"/>
  <c r="AE1706" i="1"/>
  <c r="AE1714" i="1"/>
  <c r="AE1722" i="1"/>
  <c r="AD1472" i="1"/>
  <c r="AE1509" i="1"/>
  <c r="AD1533" i="1"/>
  <c r="AD1542" i="1"/>
  <c r="AD1611" i="1"/>
  <c r="AD1619" i="1"/>
  <c r="AD1627" i="1"/>
  <c r="AD1635" i="1"/>
  <c r="AD1643" i="1"/>
  <c r="AD1651" i="1"/>
  <c r="AD1659" i="1"/>
  <c r="AD1667" i="1"/>
  <c r="AD1675" i="1"/>
  <c r="AD1683" i="1"/>
  <c r="AD1691" i="1"/>
  <c r="AD1699" i="1"/>
  <c r="AD1707" i="1"/>
  <c r="AD1715" i="1"/>
  <c r="AD1723" i="1"/>
  <c r="AD1731" i="1"/>
  <c r="AD1474" i="1"/>
  <c r="AE1533" i="1"/>
  <c r="AD1557" i="1"/>
  <c r="AD1566" i="1"/>
  <c r="AE1611" i="1"/>
  <c r="AE1619" i="1"/>
  <c r="AE1627" i="1"/>
  <c r="AE1635" i="1"/>
  <c r="AE1643" i="1"/>
  <c r="AE1651" i="1"/>
  <c r="AE1659" i="1"/>
  <c r="AE1667" i="1"/>
  <c r="AE1675" i="1"/>
  <c r="AE1683" i="1"/>
  <c r="AE1691" i="1"/>
  <c r="AE1699" i="1"/>
  <c r="AE1707" i="1"/>
  <c r="AE1715" i="1"/>
  <c r="AE1723" i="1"/>
  <c r="AE1474" i="1"/>
  <c r="AE1557" i="1"/>
  <c r="AD1581" i="1"/>
  <c r="AD1590" i="1"/>
  <c r="AD1612" i="1"/>
  <c r="AD1620" i="1"/>
  <c r="AD1628" i="1"/>
  <c r="AD1636" i="1"/>
  <c r="AD1644" i="1"/>
  <c r="AD1652" i="1"/>
  <c r="AD1660" i="1"/>
  <c r="AD1668" i="1"/>
  <c r="AD1676" i="1"/>
  <c r="AD1684" i="1"/>
  <c r="AD1692" i="1"/>
  <c r="AD1700" i="1"/>
  <c r="AD1708" i="1"/>
  <c r="AD1716" i="1"/>
  <c r="AD1724" i="1"/>
  <c r="AE1442" i="1"/>
  <c r="AE1581" i="1"/>
  <c r="AD1605" i="1"/>
  <c r="AE1612" i="1"/>
  <c r="AE1620" i="1"/>
  <c r="AE1628" i="1"/>
  <c r="AE1636" i="1"/>
  <c r="AE1644" i="1"/>
  <c r="AE1652" i="1"/>
  <c r="AE1660" i="1"/>
  <c r="AE1668" i="1"/>
  <c r="AE1676" i="1"/>
  <c r="AE1684" i="1"/>
  <c r="AE1692" i="1"/>
  <c r="AE1700" i="1"/>
  <c r="AE1708" i="1"/>
  <c r="AE1716" i="1"/>
  <c r="AE1724" i="1"/>
  <c r="AD1460" i="1"/>
  <c r="AD1501" i="1"/>
  <c r="AD1510" i="1"/>
  <c r="AE1605" i="1"/>
  <c r="AD1613" i="1"/>
  <c r="AD1621" i="1"/>
  <c r="AD1629" i="1"/>
  <c r="AD1637" i="1"/>
  <c r="AD1645" i="1"/>
  <c r="AD1653" i="1"/>
  <c r="AD1661" i="1"/>
  <c r="AD1669" i="1"/>
  <c r="AD1677" i="1"/>
  <c r="AD1685" i="1"/>
  <c r="AD1693" i="1"/>
  <c r="AD1701" i="1"/>
  <c r="AD1709" i="1"/>
  <c r="AD1717" i="1"/>
  <c r="AD1725" i="1"/>
  <c r="AE1264" i="1"/>
  <c r="AE1360" i="1"/>
  <c r="AE1501" i="1"/>
  <c r="AD1525" i="1"/>
  <c r="AD1534" i="1"/>
  <c r="AE1613" i="1"/>
  <c r="AE1621" i="1"/>
  <c r="AE1629" i="1"/>
  <c r="AE1637" i="1"/>
  <c r="AE1645" i="1"/>
  <c r="AE1653" i="1"/>
  <c r="AE1661" i="1"/>
  <c r="AE1669" i="1"/>
  <c r="AE1677" i="1"/>
  <c r="AE1685" i="1"/>
  <c r="AE1693" i="1"/>
  <c r="AE1701" i="1"/>
  <c r="AE1709" i="1"/>
  <c r="AE1717" i="1"/>
  <c r="AE1725" i="1"/>
  <c r="AE1549" i="1"/>
  <c r="AE1654" i="1"/>
  <c r="AE1718" i="1"/>
  <c r="AD1739" i="1"/>
  <c r="AD1747" i="1"/>
  <c r="AD1755" i="1"/>
  <c r="AD1763" i="1"/>
  <c r="AD1771" i="1"/>
  <c r="AD1779" i="1"/>
  <c r="AD1787" i="1"/>
  <c r="AD1795" i="1"/>
  <c r="AD1803" i="1"/>
  <c r="AD1811" i="1"/>
  <c r="AD1819" i="1"/>
  <c r="AD1827" i="1"/>
  <c r="AD1835" i="1"/>
  <c r="AD1843" i="1"/>
  <c r="AD1851" i="1"/>
  <c r="AD1859" i="1"/>
  <c r="AD1662" i="1"/>
  <c r="AD1726" i="1"/>
  <c r="AE1739" i="1"/>
  <c r="AE1747" i="1"/>
  <c r="AE1755" i="1"/>
  <c r="AE1763" i="1"/>
  <c r="AE1771" i="1"/>
  <c r="AE1779" i="1"/>
  <c r="AE1787" i="1"/>
  <c r="AE1795" i="1"/>
  <c r="AE1803" i="1"/>
  <c r="AE1811" i="1"/>
  <c r="AE1819" i="1"/>
  <c r="AE1827" i="1"/>
  <c r="AE1835" i="1"/>
  <c r="AE1843" i="1"/>
  <c r="AE1851" i="1"/>
  <c r="AE1859" i="1"/>
  <c r="AE1662" i="1"/>
  <c r="AE1726" i="1"/>
  <c r="AD1732" i="1"/>
  <c r="AD1740" i="1"/>
  <c r="AD1748" i="1"/>
  <c r="AD1756" i="1"/>
  <c r="AD1764" i="1"/>
  <c r="AD1772" i="1"/>
  <c r="AD1780" i="1"/>
  <c r="AD1788" i="1"/>
  <c r="AD1796" i="1"/>
  <c r="AD1804" i="1"/>
  <c r="AD1812" i="1"/>
  <c r="AD1820" i="1"/>
  <c r="AD1828" i="1"/>
  <c r="AD1836" i="1"/>
  <c r="AD1844" i="1"/>
  <c r="AD1852" i="1"/>
  <c r="AD1860" i="1"/>
  <c r="AD1558" i="1"/>
  <c r="AD1670" i="1"/>
  <c r="AE1732" i="1"/>
  <c r="AE1740" i="1"/>
  <c r="AE1748" i="1"/>
  <c r="AE1756" i="1"/>
  <c r="AE1764" i="1"/>
  <c r="AE1772" i="1"/>
  <c r="AE1780" i="1"/>
  <c r="AE1788" i="1"/>
  <c r="AE1796" i="1"/>
  <c r="AE1804" i="1"/>
  <c r="AE1812" i="1"/>
  <c r="AE1820" i="1"/>
  <c r="AE1828" i="1"/>
  <c r="AE1836" i="1"/>
  <c r="AE1844" i="1"/>
  <c r="AE1852" i="1"/>
  <c r="AE1860" i="1"/>
  <c r="AE1670" i="1"/>
  <c r="AD1733" i="1"/>
  <c r="AD1741" i="1"/>
  <c r="AD1749" i="1"/>
  <c r="AD1757" i="1"/>
  <c r="AD1765" i="1"/>
  <c r="AD1773" i="1"/>
  <c r="AD1781" i="1"/>
  <c r="AD1789" i="1"/>
  <c r="AD1797" i="1"/>
  <c r="AD1805" i="1"/>
  <c r="AD1813" i="1"/>
  <c r="AD1821" i="1"/>
  <c r="AD1829" i="1"/>
  <c r="AD1837" i="1"/>
  <c r="AD1845" i="1"/>
  <c r="AD1853" i="1"/>
  <c r="AD1861" i="1"/>
  <c r="AE1525" i="1"/>
  <c r="AD1614" i="1"/>
  <c r="AD1678" i="1"/>
  <c r="AE1733" i="1"/>
  <c r="AE1741" i="1"/>
  <c r="AE1749" i="1"/>
  <c r="AE1757" i="1"/>
  <c r="AE1765" i="1"/>
  <c r="AE1773" i="1"/>
  <c r="AE1781" i="1"/>
  <c r="AE1789" i="1"/>
  <c r="AE1797" i="1"/>
  <c r="AE1805" i="1"/>
  <c r="AE1813" i="1"/>
  <c r="AE1821" i="1"/>
  <c r="AE1829" i="1"/>
  <c r="AE1837" i="1"/>
  <c r="AE1845" i="1"/>
  <c r="AE1853" i="1"/>
  <c r="AE1861" i="1"/>
  <c r="AE1614" i="1"/>
  <c r="AE1678" i="1"/>
  <c r="AD1734" i="1"/>
  <c r="AD1742" i="1"/>
  <c r="AD1750" i="1"/>
  <c r="AD1758" i="1"/>
  <c r="AD1766" i="1"/>
  <c r="AD1774" i="1"/>
  <c r="AD1782" i="1"/>
  <c r="AD1790" i="1"/>
  <c r="AD1798" i="1"/>
  <c r="AD1806" i="1"/>
  <c r="AD1814" i="1"/>
  <c r="AD1822" i="1"/>
  <c r="AD1830" i="1"/>
  <c r="AD1838" i="1"/>
  <c r="AD1846" i="1"/>
  <c r="AD1854" i="1"/>
  <c r="AD1862" i="1"/>
  <c r="AD1622" i="1"/>
  <c r="AD1686" i="1"/>
  <c r="AE1731" i="1"/>
  <c r="AE1734" i="1"/>
  <c r="AE1742" i="1"/>
  <c r="AE1750" i="1"/>
  <c r="AE1758" i="1"/>
  <c r="AE1766" i="1"/>
  <c r="AE1774" i="1"/>
  <c r="AE1782" i="1"/>
  <c r="AE1790" i="1"/>
  <c r="AE1798" i="1"/>
  <c r="AE1806" i="1"/>
  <c r="AE1814" i="1"/>
  <c r="AE1822" i="1"/>
  <c r="AE1830" i="1"/>
  <c r="AE1838" i="1"/>
  <c r="AE1846" i="1"/>
  <c r="AE1854" i="1"/>
  <c r="AE1862" i="1"/>
  <c r="AE1622" i="1"/>
  <c r="AE1686" i="1"/>
  <c r="AD1735" i="1"/>
  <c r="AD1743" i="1"/>
  <c r="AD1751" i="1"/>
  <c r="AD1759" i="1"/>
  <c r="AD1767" i="1"/>
  <c r="AD1775" i="1"/>
  <c r="AD1783" i="1"/>
  <c r="AD1791" i="1"/>
  <c r="AD1799" i="1"/>
  <c r="AD1807" i="1"/>
  <c r="AD1815" i="1"/>
  <c r="AD1823" i="1"/>
  <c r="AD1831" i="1"/>
  <c r="AD1839" i="1"/>
  <c r="AD1847" i="1"/>
  <c r="AD1855" i="1"/>
  <c r="AD1863" i="1"/>
  <c r="AD1630" i="1"/>
  <c r="AD1694" i="1"/>
  <c r="AE1735" i="1"/>
  <c r="AE1743" i="1"/>
  <c r="AE1751" i="1"/>
  <c r="AE1759" i="1"/>
  <c r="AE1767" i="1"/>
  <c r="AE1775" i="1"/>
  <c r="AE1783" i="1"/>
  <c r="AE1791" i="1"/>
  <c r="AE1799" i="1"/>
  <c r="AE1807" i="1"/>
  <c r="AE1815" i="1"/>
  <c r="AE1823" i="1"/>
  <c r="AE1831" i="1"/>
  <c r="AE1839" i="1"/>
  <c r="AE1847" i="1"/>
  <c r="AE1855" i="1"/>
  <c r="AE1863" i="1"/>
  <c r="AD1573" i="1"/>
  <c r="AE1630" i="1"/>
  <c r="AE1694" i="1"/>
  <c r="AD1736" i="1"/>
  <c r="AD1744" i="1"/>
  <c r="AD1752" i="1"/>
  <c r="AD1760" i="1"/>
  <c r="AD1768" i="1"/>
  <c r="AD1776" i="1"/>
  <c r="AD1784" i="1"/>
  <c r="AD1792" i="1"/>
  <c r="AD1800" i="1"/>
  <c r="AD1808" i="1"/>
  <c r="AD1816" i="1"/>
  <c r="AD1824" i="1"/>
  <c r="AD1832" i="1"/>
  <c r="AD1840" i="1"/>
  <c r="AD1848" i="1"/>
  <c r="AD1856" i="1"/>
  <c r="AD1638" i="1"/>
  <c r="AD1702" i="1"/>
  <c r="AE1736" i="1"/>
  <c r="AE1744" i="1"/>
  <c r="AE1752" i="1"/>
  <c r="AE1760" i="1"/>
  <c r="AE1768" i="1"/>
  <c r="AE1776" i="1"/>
  <c r="AE1784" i="1"/>
  <c r="AE1792" i="1"/>
  <c r="AE1800" i="1"/>
  <c r="AE1808" i="1"/>
  <c r="AE1816" i="1"/>
  <c r="AE1824" i="1"/>
  <c r="AE1832" i="1"/>
  <c r="AE1840" i="1"/>
  <c r="AE1848" i="1"/>
  <c r="AE1856" i="1"/>
  <c r="AE1638" i="1"/>
  <c r="AE1702" i="1"/>
  <c r="AD1737" i="1"/>
  <c r="AD1745" i="1"/>
  <c r="AD1753" i="1"/>
  <c r="AD1761" i="1"/>
  <c r="AD1769" i="1"/>
  <c r="AD1777" i="1"/>
  <c r="AD1785" i="1"/>
  <c r="AD1793" i="1"/>
  <c r="AD1801" i="1"/>
  <c r="AD1809" i="1"/>
  <c r="AD1817" i="1"/>
  <c r="AD1825" i="1"/>
  <c r="AD1833" i="1"/>
  <c r="AD1841" i="1"/>
  <c r="AD1849" i="1"/>
  <c r="AD1857" i="1"/>
  <c r="AE1710" i="1"/>
  <c r="AE1809" i="1"/>
  <c r="AE1818" i="1"/>
  <c r="AD1842" i="1"/>
  <c r="AE1870" i="1"/>
  <c r="AE1878" i="1"/>
  <c r="AE1886" i="1"/>
  <c r="AE1894" i="1"/>
  <c r="AE1902" i="1"/>
  <c r="AE1910" i="1"/>
  <c r="AE1918" i="1"/>
  <c r="AE1926" i="1"/>
  <c r="AE1934" i="1"/>
  <c r="AE1942" i="1"/>
  <c r="AE1950" i="1"/>
  <c r="AE1958" i="1"/>
  <c r="AE1966" i="1"/>
  <c r="AE1974" i="1"/>
  <c r="AE1982" i="1"/>
  <c r="AD1549" i="1"/>
  <c r="AD1738" i="1"/>
  <c r="AE1833" i="1"/>
  <c r="AE1842" i="1"/>
  <c r="AD1871" i="1"/>
  <c r="AD1879" i="1"/>
  <c r="AD1887" i="1"/>
  <c r="AD1895" i="1"/>
  <c r="AD1903" i="1"/>
  <c r="AD1911" i="1"/>
  <c r="AD1919" i="1"/>
  <c r="AD1927" i="1"/>
  <c r="AD1935" i="1"/>
  <c r="AD1943" i="1"/>
  <c r="AD1951" i="1"/>
  <c r="AD1959" i="1"/>
  <c r="AD1967" i="1"/>
  <c r="AD1975" i="1"/>
  <c r="AD1983" i="1"/>
  <c r="AE1738" i="1"/>
  <c r="AD1762" i="1"/>
  <c r="AE1857" i="1"/>
  <c r="AE1871" i="1"/>
  <c r="AE1879" i="1"/>
  <c r="AE1887" i="1"/>
  <c r="AE1895" i="1"/>
  <c r="AE1903" i="1"/>
  <c r="AE1911" i="1"/>
  <c r="AE1919" i="1"/>
  <c r="AE1927" i="1"/>
  <c r="AE1935" i="1"/>
  <c r="AE1943" i="1"/>
  <c r="AE1951" i="1"/>
  <c r="AE1959" i="1"/>
  <c r="AE1967" i="1"/>
  <c r="AE1975" i="1"/>
  <c r="AE1983" i="1"/>
  <c r="AD1582" i="1"/>
  <c r="AE1753" i="1"/>
  <c r="AE1762" i="1"/>
  <c r="AD1786" i="1"/>
  <c r="AD1872" i="1"/>
  <c r="AD1880" i="1"/>
  <c r="AD1888" i="1"/>
  <c r="AD1896" i="1"/>
  <c r="AD1904" i="1"/>
  <c r="AD1912" i="1"/>
  <c r="AD1920" i="1"/>
  <c r="AD1928" i="1"/>
  <c r="AD1936" i="1"/>
  <c r="AD1944" i="1"/>
  <c r="AD1952" i="1"/>
  <c r="AD1960" i="1"/>
  <c r="AD1968" i="1"/>
  <c r="AD1976" i="1"/>
  <c r="AD1984" i="1"/>
  <c r="AD1646" i="1"/>
  <c r="AD1718" i="1"/>
  <c r="AE1777" i="1"/>
  <c r="AE1786" i="1"/>
  <c r="AD1810" i="1"/>
  <c r="AD1864" i="1"/>
  <c r="AE1872" i="1"/>
  <c r="AE1880" i="1"/>
  <c r="AE1888" i="1"/>
  <c r="AE1896" i="1"/>
  <c r="AE1904" i="1"/>
  <c r="AE1912" i="1"/>
  <c r="AE1920" i="1"/>
  <c r="AE1928" i="1"/>
  <c r="AE1936" i="1"/>
  <c r="AE1944" i="1"/>
  <c r="AE1952" i="1"/>
  <c r="AE1960" i="1"/>
  <c r="AE1968" i="1"/>
  <c r="AE1976" i="1"/>
  <c r="AE1984" i="1"/>
  <c r="AE1646" i="1"/>
  <c r="AE1801" i="1"/>
  <c r="AE1810" i="1"/>
  <c r="AD1834" i="1"/>
  <c r="AE1864" i="1"/>
  <c r="AD1865" i="1"/>
  <c r="AD1873" i="1"/>
  <c r="AD1881" i="1"/>
  <c r="AD1889" i="1"/>
  <c r="AD1897" i="1"/>
  <c r="AD1905" i="1"/>
  <c r="AD1913" i="1"/>
  <c r="AD1921" i="1"/>
  <c r="AD1929" i="1"/>
  <c r="AD1937" i="1"/>
  <c r="AD1945" i="1"/>
  <c r="AD1953" i="1"/>
  <c r="AD1961" i="1"/>
  <c r="AD1969" i="1"/>
  <c r="AD1977" i="1"/>
  <c r="AE1825" i="1"/>
  <c r="AE1834" i="1"/>
  <c r="AE1865" i="1"/>
  <c r="AE1873" i="1"/>
  <c r="AE1881" i="1"/>
  <c r="AE1889" i="1"/>
  <c r="AE1897" i="1"/>
  <c r="AE1905" i="1"/>
  <c r="AE1913" i="1"/>
  <c r="AE1921" i="1"/>
  <c r="AE1929" i="1"/>
  <c r="AE1937" i="1"/>
  <c r="AE1945" i="1"/>
  <c r="AE1953" i="1"/>
  <c r="AE1961" i="1"/>
  <c r="AE1969" i="1"/>
  <c r="AE1977" i="1"/>
  <c r="AE1985" i="1"/>
  <c r="AD1754" i="1"/>
  <c r="AE1849" i="1"/>
  <c r="AD1858" i="1"/>
  <c r="AD1866" i="1"/>
  <c r="AD1874" i="1"/>
  <c r="AD1882" i="1"/>
  <c r="AD1890" i="1"/>
  <c r="AD1898" i="1"/>
  <c r="AD1906" i="1"/>
  <c r="AD1914" i="1"/>
  <c r="AD1922" i="1"/>
  <c r="AD1930" i="1"/>
  <c r="AD1938" i="1"/>
  <c r="AD1946" i="1"/>
  <c r="AD1954" i="1"/>
  <c r="AD1962" i="1"/>
  <c r="AD1970" i="1"/>
  <c r="AD1978" i="1"/>
  <c r="AD1986" i="1"/>
  <c r="AE1745" i="1"/>
  <c r="AE1754" i="1"/>
  <c r="AD1778" i="1"/>
  <c r="AE1858" i="1"/>
  <c r="AE1866" i="1"/>
  <c r="AE1874" i="1"/>
  <c r="AE1882" i="1"/>
  <c r="AE1890" i="1"/>
  <c r="AE1898" i="1"/>
  <c r="AE1906" i="1"/>
  <c r="AE1914" i="1"/>
  <c r="AE1922" i="1"/>
  <c r="AE1930" i="1"/>
  <c r="AE1938" i="1"/>
  <c r="AE1946" i="1"/>
  <c r="AE1954" i="1"/>
  <c r="AE1962" i="1"/>
  <c r="AE1970" i="1"/>
  <c r="AE1978" i="1"/>
  <c r="AE1986" i="1"/>
  <c r="AD1654" i="1"/>
  <c r="AE1769" i="1"/>
  <c r="AE1778" i="1"/>
  <c r="AD1802" i="1"/>
  <c r="AD1867" i="1"/>
  <c r="AD1875" i="1"/>
  <c r="AD1883" i="1"/>
  <c r="AD1891" i="1"/>
  <c r="AD1899" i="1"/>
  <c r="AD1907" i="1"/>
  <c r="AD1915" i="1"/>
  <c r="AD1923" i="1"/>
  <c r="AD1931" i="1"/>
  <c r="AD1939" i="1"/>
  <c r="AD1947" i="1"/>
  <c r="AD1955" i="1"/>
  <c r="AD1963" i="1"/>
  <c r="AD1971" i="1"/>
  <c r="AD1979" i="1"/>
  <c r="AE1730" i="1"/>
  <c r="AE1793" i="1"/>
  <c r="AE1802" i="1"/>
  <c r="AD1826" i="1"/>
  <c r="AE1867" i="1"/>
  <c r="AE1875" i="1"/>
  <c r="AE1883" i="1"/>
  <c r="AE1891" i="1"/>
  <c r="AE1899" i="1"/>
  <c r="AE1907" i="1"/>
  <c r="AE1915" i="1"/>
  <c r="AE1923" i="1"/>
  <c r="AE1931" i="1"/>
  <c r="AE1939" i="1"/>
  <c r="AE1947" i="1"/>
  <c r="AE1955" i="1"/>
  <c r="AE1963" i="1"/>
  <c r="AE1971" i="1"/>
  <c r="AE1979" i="1"/>
  <c r="AE1817" i="1"/>
  <c r="AE1826" i="1"/>
  <c r="AD1850" i="1"/>
  <c r="AD1868" i="1"/>
  <c r="AD1876" i="1"/>
  <c r="AD1884" i="1"/>
  <c r="AD1892" i="1"/>
  <c r="AD1900" i="1"/>
  <c r="AD1908" i="1"/>
  <c r="AD1916" i="1"/>
  <c r="AD1924" i="1"/>
  <c r="AD1932" i="1"/>
  <c r="AD1940" i="1"/>
  <c r="AD1948" i="1"/>
  <c r="AD1956" i="1"/>
  <c r="AD1964" i="1"/>
  <c r="AD1972" i="1"/>
  <c r="AD1980" i="1"/>
  <c r="AD1746" i="1"/>
  <c r="AE1841" i="1"/>
  <c r="AD1710" i="1"/>
  <c r="AE1785" i="1"/>
  <c r="AE1794" i="1"/>
  <c r="AD1818" i="1"/>
  <c r="AF25" i="1"/>
  <c r="Y11" i="1"/>
  <c r="R16" i="1"/>
  <c r="S16" i="1"/>
  <c r="T16" i="1"/>
  <c r="U15" i="1"/>
  <c r="V15" i="1"/>
  <c r="W15" i="1"/>
  <c r="X14" i="1"/>
  <c r="Y13" i="1"/>
  <c r="Z12" i="1"/>
  <c r="AA12" i="1"/>
  <c r="AB12" i="1"/>
  <c r="AC12" i="1"/>
  <c r="AE11" i="1"/>
  <c r="AF22" i="1"/>
  <c r="AH22" i="1"/>
  <c r="AI18" i="1"/>
  <c r="AJ14" i="1"/>
  <c r="P39" i="1"/>
  <c r="P55" i="1"/>
  <c r="P71" i="1"/>
  <c r="P87" i="1"/>
  <c r="P103" i="1"/>
  <c r="P119" i="1"/>
  <c r="P135" i="1"/>
  <c r="P151" i="1"/>
  <c r="P167" i="1"/>
  <c r="P183" i="1"/>
  <c r="P199" i="1"/>
  <c r="P215" i="1"/>
  <c r="P231" i="1"/>
  <c r="P247" i="1"/>
  <c r="P263" i="1"/>
  <c r="P279" i="1"/>
  <c r="P295" i="1"/>
  <c r="P311" i="1"/>
  <c r="P327" i="1"/>
  <c r="P343" i="1"/>
  <c r="P359" i="1"/>
  <c r="P375" i="1"/>
  <c r="P391" i="1"/>
  <c r="P407" i="1"/>
  <c r="P423" i="1"/>
  <c r="P439" i="1"/>
  <c r="P455" i="1"/>
  <c r="P471" i="1"/>
  <c r="P487" i="1"/>
  <c r="P503" i="1"/>
  <c r="P519" i="1"/>
  <c r="P535" i="1"/>
  <c r="P551" i="1"/>
  <c r="P567" i="1"/>
  <c r="P583" i="1"/>
  <c r="P599" i="1"/>
  <c r="P615" i="1"/>
  <c r="P631" i="1"/>
  <c r="P647" i="1"/>
  <c r="P663" i="1"/>
  <c r="P679" i="1"/>
  <c r="P695" i="1"/>
  <c r="P711" i="1"/>
  <c r="P727" i="1"/>
  <c r="P743" i="1"/>
  <c r="P759" i="1"/>
  <c r="P775" i="1"/>
  <c r="P791" i="1"/>
  <c r="P807" i="1"/>
  <c r="P823" i="1"/>
  <c r="P839" i="1"/>
  <c r="P855" i="1"/>
  <c r="P871" i="1"/>
  <c r="P887" i="1"/>
  <c r="P903" i="1"/>
  <c r="P919" i="1"/>
  <c r="P935" i="1"/>
  <c r="P951" i="1"/>
  <c r="P967" i="1"/>
  <c r="P983" i="1"/>
  <c r="P999" i="1"/>
  <c r="P1015" i="1"/>
  <c r="P1031" i="1"/>
  <c r="P1047" i="1"/>
  <c r="P1063" i="1"/>
  <c r="P1079" i="1"/>
  <c r="P1095" i="1"/>
  <c r="P1111" i="1"/>
  <c r="P1127" i="1"/>
  <c r="P1143" i="1"/>
  <c r="P1159" i="1"/>
  <c r="P1175" i="1"/>
  <c r="P1191" i="1"/>
  <c r="P1207" i="1"/>
  <c r="P1223" i="1"/>
  <c r="P1239" i="1"/>
  <c r="P1255" i="1"/>
  <c r="P1271" i="1"/>
  <c r="P1287" i="1"/>
  <c r="P1303" i="1"/>
  <c r="P1319" i="1"/>
  <c r="P1335" i="1"/>
  <c r="P1351" i="1"/>
  <c r="P1367" i="1"/>
  <c r="P1383" i="1"/>
  <c r="P1399" i="1"/>
  <c r="P1415" i="1"/>
  <c r="P1431" i="1"/>
  <c r="P1447" i="1"/>
  <c r="P1463" i="1"/>
  <c r="P1479" i="1"/>
  <c r="P1495" i="1"/>
  <c r="P1511" i="1"/>
  <c r="P1527" i="1"/>
  <c r="P1543" i="1"/>
  <c r="P1559" i="1"/>
  <c r="P1575" i="1"/>
  <c r="P1591" i="1"/>
  <c r="P1607" i="1"/>
  <c r="P1623" i="1"/>
  <c r="P1639" i="1"/>
  <c r="P1655" i="1"/>
  <c r="P1671" i="1"/>
  <c r="P1687" i="1"/>
  <c r="P1703" i="1"/>
  <c r="P1719" i="1"/>
  <c r="P1735" i="1"/>
  <c r="P1751" i="1"/>
  <c r="P1767" i="1"/>
  <c r="P1783" i="1"/>
  <c r="P1799" i="1"/>
  <c r="P1815" i="1"/>
  <c r="P1831" i="1"/>
  <c r="P1847" i="1"/>
  <c r="P1863" i="1"/>
  <c r="P1879" i="1"/>
  <c r="P1895" i="1"/>
  <c r="P1911" i="1"/>
  <c r="P1927" i="1"/>
  <c r="P1943" i="1"/>
  <c r="P1959" i="1"/>
  <c r="P1975" i="1"/>
  <c r="P1991" i="1"/>
  <c r="P2007" i="1"/>
  <c r="P2023" i="1"/>
  <c r="P2039" i="1"/>
  <c r="X2044" i="1"/>
  <c r="Z2043" i="1"/>
  <c r="AB2042" i="1"/>
  <c r="AD2041" i="1"/>
  <c r="AF2040" i="1"/>
  <c r="AH2039" i="1"/>
  <c r="R2039" i="1"/>
  <c r="T2038" i="1"/>
  <c r="V2037" i="1"/>
  <c r="X2036" i="1"/>
  <c r="Z2035" i="1"/>
  <c r="AB2034" i="1"/>
  <c r="AD2033" i="1"/>
  <c r="AF2032" i="1"/>
  <c r="AH2031" i="1"/>
  <c r="R2031" i="1"/>
  <c r="T2030" i="1"/>
  <c r="V2029" i="1"/>
  <c r="X2028" i="1"/>
  <c r="Z2027" i="1"/>
  <c r="AB2026" i="1"/>
  <c r="AD2025" i="1"/>
  <c r="AF2024" i="1"/>
  <c r="AH2023" i="1"/>
  <c r="R2023" i="1"/>
  <c r="T2022" i="1"/>
  <c r="V2021" i="1"/>
  <c r="X2020" i="1"/>
  <c r="Z2019" i="1"/>
  <c r="AB2018" i="1"/>
  <c r="AD2017" i="1"/>
  <c r="AF2016" i="1"/>
  <c r="AH2015" i="1"/>
  <c r="R2015" i="1"/>
  <c r="T2014" i="1"/>
  <c r="V2013" i="1"/>
  <c r="X2012" i="1"/>
  <c r="Z2011" i="1"/>
  <c r="AB2010" i="1"/>
  <c r="AD2009" i="1"/>
  <c r="AF2008" i="1"/>
  <c r="AH2007" i="1"/>
  <c r="R2007" i="1"/>
  <c r="T2006" i="1"/>
  <c r="V2005" i="1"/>
  <c r="X2004" i="1"/>
  <c r="Z2003" i="1"/>
  <c r="AB2002" i="1"/>
  <c r="AD2001" i="1"/>
  <c r="AF2000" i="1"/>
  <c r="AH1999" i="1"/>
  <c r="R1999" i="1"/>
  <c r="T1998" i="1"/>
  <c r="V1997" i="1"/>
  <c r="X1996" i="1"/>
  <c r="Z1995" i="1"/>
  <c r="AB1994" i="1"/>
  <c r="AD1993" i="1"/>
  <c r="AF1992" i="1"/>
  <c r="AH1991" i="1"/>
  <c r="R1991" i="1"/>
  <c r="T1990" i="1"/>
  <c r="V1989" i="1"/>
  <c r="X1988" i="1"/>
  <c r="Z1987" i="1"/>
  <c r="AF1984" i="1"/>
  <c r="AC1981" i="1"/>
  <c r="S1978" i="1"/>
  <c r="AA1974" i="1"/>
  <c r="Q1971" i="1"/>
  <c r="Y1967" i="1"/>
  <c r="AG1963" i="1"/>
  <c r="W1960" i="1"/>
  <c r="AE1956" i="1"/>
  <c r="U1953" i="1"/>
  <c r="AC1949" i="1"/>
  <c r="S1946" i="1"/>
  <c r="AA1942" i="1"/>
  <c r="Q1939" i="1"/>
  <c r="Y1935" i="1"/>
  <c r="AG1931" i="1"/>
  <c r="W1928" i="1"/>
  <c r="AE1924" i="1"/>
  <c r="U1921" i="1"/>
  <c r="AC1917" i="1"/>
  <c r="S1914" i="1"/>
  <c r="AA1910" i="1"/>
  <c r="Q1907" i="1"/>
  <c r="Y1903" i="1"/>
  <c r="AG1899" i="1"/>
  <c r="W1896" i="1"/>
  <c r="AE1892" i="1"/>
  <c r="U1889" i="1"/>
  <c r="AC1885" i="1"/>
  <c r="S1882" i="1"/>
  <c r="AA1878" i="1"/>
  <c r="Q1875" i="1"/>
  <c r="Y1871" i="1"/>
  <c r="AG1867" i="1"/>
  <c r="V1860" i="1"/>
  <c r="AC1794" i="1"/>
  <c r="Z1756" i="1"/>
  <c r="V1626" i="1"/>
  <c r="Q12" i="1"/>
  <c r="T31" i="1"/>
  <c r="R32" i="1"/>
  <c r="T39" i="1"/>
  <c r="R40" i="1"/>
  <c r="T47" i="1"/>
  <c r="R48" i="1"/>
  <c r="S33" i="1"/>
  <c r="Q34" i="1"/>
  <c r="S41" i="1"/>
  <c r="Q42" i="1"/>
  <c r="S49" i="1"/>
  <c r="Q50" i="1"/>
  <c r="T33" i="1"/>
  <c r="R34" i="1"/>
  <c r="T41" i="1"/>
  <c r="R42" i="1"/>
  <c r="T49" i="1"/>
  <c r="R50" i="1"/>
  <c r="Q27" i="1"/>
  <c r="S34" i="1"/>
  <c r="Q35" i="1"/>
  <c r="S42" i="1"/>
  <c r="Q43" i="1"/>
  <c r="S50" i="1"/>
  <c r="R27" i="1"/>
  <c r="T34" i="1"/>
  <c r="R35" i="1"/>
  <c r="T42" i="1"/>
  <c r="R43" i="1"/>
  <c r="T50" i="1"/>
  <c r="S29" i="1"/>
  <c r="Q30" i="1"/>
  <c r="S37" i="1"/>
  <c r="Q38" i="1"/>
  <c r="S45" i="1"/>
  <c r="Q46" i="1"/>
  <c r="T29" i="1"/>
  <c r="R30" i="1"/>
  <c r="T37" i="1"/>
  <c r="R38" i="1"/>
  <c r="T45" i="1"/>
  <c r="R46" i="1"/>
  <c r="S28" i="1"/>
  <c r="R36" i="1"/>
  <c r="S39" i="1"/>
  <c r="Q44" i="1"/>
  <c r="R47" i="1"/>
  <c r="T51" i="1"/>
  <c r="R52" i="1"/>
  <c r="T59" i="1"/>
  <c r="R60" i="1"/>
  <c r="T67" i="1"/>
  <c r="R68" i="1"/>
  <c r="T75" i="1"/>
  <c r="R76" i="1"/>
  <c r="T83" i="1"/>
  <c r="R84" i="1"/>
  <c r="R33" i="1"/>
  <c r="Q41" i="1"/>
  <c r="T44" i="1"/>
  <c r="S53" i="1"/>
  <c r="Q54" i="1"/>
  <c r="S61" i="1"/>
  <c r="Q62" i="1"/>
  <c r="S69" i="1"/>
  <c r="Q70" i="1"/>
  <c r="S77" i="1"/>
  <c r="Q78" i="1"/>
  <c r="S85" i="1"/>
  <c r="S30" i="1"/>
  <c r="R41" i="1"/>
  <c r="Q49" i="1"/>
  <c r="T53" i="1"/>
  <c r="R54" i="1"/>
  <c r="T61" i="1"/>
  <c r="R62" i="1"/>
  <c r="T69" i="1"/>
  <c r="R70" i="1"/>
  <c r="T77" i="1"/>
  <c r="R78" i="1"/>
  <c r="T85" i="1"/>
  <c r="R86" i="1"/>
  <c r="S27" i="1"/>
  <c r="T30" i="1"/>
  <c r="S38" i="1"/>
  <c r="R49" i="1"/>
  <c r="S54" i="1"/>
  <c r="Q55" i="1"/>
  <c r="S62" i="1"/>
  <c r="Q63" i="1"/>
  <c r="S70" i="1"/>
  <c r="Q71" i="1"/>
  <c r="S78" i="1"/>
  <c r="Q79" i="1"/>
  <c r="S86" i="1"/>
  <c r="Q87" i="1"/>
  <c r="T27" i="1"/>
  <c r="S35" i="1"/>
  <c r="T38" i="1"/>
  <c r="S46" i="1"/>
  <c r="T54" i="1"/>
  <c r="R55" i="1"/>
  <c r="T62" i="1"/>
  <c r="R63" i="1"/>
  <c r="T70" i="1"/>
  <c r="R71" i="1"/>
  <c r="T78" i="1"/>
  <c r="R79" i="1"/>
  <c r="T86" i="1"/>
  <c r="R87" i="1"/>
  <c r="T35" i="1"/>
  <c r="S43" i="1"/>
  <c r="T46" i="1"/>
  <c r="S55" i="1"/>
  <c r="Q56" i="1"/>
  <c r="S63" i="1"/>
  <c r="Q64" i="1"/>
  <c r="S71" i="1"/>
  <c r="Q72" i="1"/>
  <c r="S79" i="1"/>
  <c r="Q80" i="1"/>
  <c r="S87" i="1"/>
  <c r="Q88" i="1"/>
  <c r="Q32" i="1"/>
  <c r="T43" i="1"/>
  <c r="T55" i="1"/>
  <c r="R56" i="1"/>
  <c r="T63" i="1"/>
  <c r="R64" i="1"/>
  <c r="T71" i="1"/>
  <c r="R72" i="1"/>
  <c r="T79" i="1"/>
  <c r="R80" i="1"/>
  <c r="Q29" i="1"/>
  <c r="S32" i="1"/>
  <c r="Q40" i="1"/>
  <c r="S56" i="1"/>
  <c r="Q57" i="1"/>
  <c r="S64" i="1"/>
  <c r="Q65" i="1"/>
  <c r="S72" i="1"/>
  <c r="Q73" i="1"/>
  <c r="S80" i="1"/>
  <c r="Q81" i="1"/>
  <c r="R45" i="1"/>
  <c r="T48" i="1"/>
  <c r="T57" i="1"/>
  <c r="R58" i="1"/>
  <c r="T65" i="1"/>
  <c r="R66" i="1"/>
  <c r="T73" i="1"/>
  <c r="R74" i="1"/>
  <c r="T81" i="1"/>
  <c r="R82" i="1"/>
  <c r="T89" i="1"/>
  <c r="Q28" i="1"/>
  <c r="T56" i="1"/>
  <c r="S58" i="1"/>
  <c r="Q60" i="1"/>
  <c r="T66" i="1"/>
  <c r="S68" i="1"/>
  <c r="T76" i="1"/>
  <c r="S90" i="1"/>
  <c r="Q91" i="1"/>
  <c r="S98" i="1"/>
  <c r="Q99" i="1"/>
  <c r="S106" i="1"/>
  <c r="Q107" i="1"/>
  <c r="S114" i="1"/>
  <c r="Q115" i="1"/>
  <c r="S122" i="1"/>
  <c r="Q123" i="1"/>
  <c r="R28" i="1"/>
  <c r="Q39" i="1"/>
  <c r="Q52" i="1"/>
  <c r="T58" i="1"/>
  <c r="S60" i="1"/>
  <c r="T68" i="1"/>
  <c r="Q84" i="1"/>
  <c r="T90" i="1"/>
  <c r="R91" i="1"/>
  <c r="T98" i="1"/>
  <c r="R99" i="1"/>
  <c r="T106" i="1"/>
  <c r="R107" i="1"/>
  <c r="T114" i="1"/>
  <c r="R115" i="1"/>
  <c r="T122" i="1"/>
  <c r="R123" i="1"/>
  <c r="R29" i="1"/>
  <c r="Q36" i="1"/>
  <c r="R81" i="1"/>
  <c r="S92" i="1"/>
  <c r="Q93" i="1"/>
  <c r="S100" i="1"/>
  <c r="Q101" i="1"/>
  <c r="S108" i="1"/>
  <c r="Q109" i="1"/>
  <c r="S116" i="1"/>
  <c r="Q117" i="1"/>
  <c r="S124" i="1"/>
  <c r="Q125" i="1"/>
  <c r="S36" i="1"/>
  <c r="S40" i="1"/>
  <c r="Q47" i="1"/>
  <c r="R73" i="1"/>
  <c r="Q75" i="1"/>
  <c r="S81" i="1"/>
  <c r="T92" i="1"/>
  <c r="R93" i="1"/>
  <c r="T100" i="1"/>
  <c r="R101" i="1"/>
  <c r="T108" i="1"/>
  <c r="R109" i="1"/>
  <c r="T116" i="1"/>
  <c r="R117" i="1"/>
  <c r="T36" i="1"/>
  <c r="T40" i="1"/>
  <c r="S47" i="1"/>
  <c r="R65" i="1"/>
  <c r="Q67" i="1"/>
  <c r="S73" i="1"/>
  <c r="R75" i="1"/>
  <c r="Q77" i="1"/>
  <c r="Q83" i="1"/>
  <c r="Q86" i="1"/>
  <c r="S93" i="1"/>
  <c r="Q94" i="1"/>
  <c r="S101" i="1"/>
  <c r="Q102" i="1"/>
  <c r="S109" i="1"/>
  <c r="Q110" i="1"/>
  <c r="S117" i="1"/>
  <c r="Q118" i="1"/>
  <c r="Q37" i="1"/>
  <c r="R57" i="1"/>
  <c r="Q59" i="1"/>
  <c r="S65" i="1"/>
  <c r="R67" i="1"/>
  <c r="Q69" i="1"/>
  <c r="S75" i="1"/>
  <c r="R77" i="1"/>
  <c r="R83" i="1"/>
  <c r="T93" i="1"/>
  <c r="R94" i="1"/>
  <c r="T101" i="1"/>
  <c r="R102" i="1"/>
  <c r="T109" i="1"/>
  <c r="R110" i="1"/>
  <c r="Q33" i="1"/>
  <c r="R37" i="1"/>
  <c r="R44" i="1"/>
  <c r="Q48" i="1"/>
  <c r="Q51" i="1"/>
  <c r="S57" i="1"/>
  <c r="R59" i="1"/>
  <c r="Q61" i="1"/>
  <c r="S67" i="1"/>
  <c r="R69" i="1"/>
  <c r="S83" i="1"/>
  <c r="S94" i="1"/>
  <c r="Q95" i="1"/>
  <c r="S102" i="1"/>
  <c r="Q103" i="1"/>
  <c r="S110" i="1"/>
  <c r="Q111" i="1"/>
  <c r="S118" i="1"/>
  <c r="Q119" i="1"/>
  <c r="S44" i="1"/>
  <c r="S48" i="1"/>
  <c r="R51" i="1"/>
  <c r="Q53" i="1"/>
  <c r="S59" i="1"/>
  <c r="R61" i="1"/>
  <c r="T94" i="1"/>
  <c r="R95" i="1"/>
  <c r="T102" i="1"/>
  <c r="R103" i="1"/>
  <c r="T110" i="1"/>
  <c r="R111" i="1"/>
  <c r="T118" i="1"/>
  <c r="R119" i="1"/>
  <c r="T126" i="1"/>
  <c r="R127" i="1"/>
  <c r="R85" i="1"/>
  <c r="S96" i="1"/>
  <c r="Q97" i="1"/>
  <c r="S104" i="1"/>
  <c r="Q105" i="1"/>
  <c r="S112" i="1"/>
  <c r="Q113" i="1"/>
  <c r="S120" i="1"/>
  <c r="Q121" i="1"/>
  <c r="Q112" i="1"/>
  <c r="T121" i="1"/>
  <c r="Q124" i="1"/>
  <c r="T136" i="1"/>
  <c r="R137" i="1"/>
  <c r="T144" i="1"/>
  <c r="R145" i="1"/>
  <c r="T152" i="1"/>
  <c r="R153" i="1"/>
  <c r="T160" i="1"/>
  <c r="R161" i="1"/>
  <c r="T168" i="1"/>
  <c r="R169" i="1"/>
  <c r="S52" i="1"/>
  <c r="S66" i="1"/>
  <c r="S84" i="1"/>
  <c r="R96" i="1"/>
  <c r="Q98" i="1"/>
  <c r="Q100" i="1"/>
  <c r="T104" i="1"/>
  <c r="R106" i="1"/>
  <c r="R108" i="1"/>
  <c r="Q120" i="1"/>
  <c r="Q129" i="1"/>
  <c r="S130" i="1"/>
  <c r="Q131" i="1"/>
  <c r="S138" i="1"/>
  <c r="Q139" i="1"/>
  <c r="S146" i="1"/>
  <c r="Q147" i="1"/>
  <c r="S154" i="1"/>
  <c r="Q155" i="1"/>
  <c r="S162" i="1"/>
  <c r="Q163" i="1"/>
  <c r="T52" i="1"/>
  <c r="T84" i="1"/>
  <c r="Q90" i="1"/>
  <c r="Q92" i="1"/>
  <c r="T96" i="1"/>
  <c r="R98" i="1"/>
  <c r="R100" i="1"/>
  <c r="R120" i="1"/>
  <c r="R129" i="1"/>
  <c r="T130" i="1"/>
  <c r="R131" i="1"/>
  <c r="T138" i="1"/>
  <c r="R139" i="1"/>
  <c r="T146" i="1"/>
  <c r="R147" i="1"/>
  <c r="T154" i="1"/>
  <c r="R155" i="1"/>
  <c r="T162" i="1"/>
  <c r="R163" i="1"/>
  <c r="R53" i="1"/>
  <c r="Q76" i="1"/>
  <c r="R88" i="1"/>
  <c r="R90" i="1"/>
  <c r="R92" i="1"/>
  <c r="T120" i="1"/>
  <c r="S123" i="1"/>
  <c r="Q128" i="1"/>
  <c r="S129" i="1"/>
  <c r="S131" i="1"/>
  <c r="Q132" i="1"/>
  <c r="S139" i="1"/>
  <c r="Q140" i="1"/>
  <c r="S147" i="1"/>
  <c r="Q148" i="1"/>
  <c r="S155" i="1"/>
  <c r="Q156" i="1"/>
  <c r="S163" i="1"/>
  <c r="Q164" i="1"/>
  <c r="Q31" i="1"/>
  <c r="S76" i="1"/>
  <c r="Q85" i="1"/>
  <c r="S88" i="1"/>
  <c r="T123" i="1"/>
  <c r="R128" i="1"/>
  <c r="T129" i="1"/>
  <c r="T131" i="1"/>
  <c r="R132" i="1"/>
  <c r="T139" i="1"/>
  <c r="R140" i="1"/>
  <c r="T147" i="1"/>
  <c r="R148" i="1"/>
  <c r="T155" i="1"/>
  <c r="R156" i="1"/>
  <c r="T163" i="1"/>
  <c r="R164" i="1"/>
  <c r="R31" i="1"/>
  <c r="R39" i="1"/>
  <c r="Q58" i="1"/>
  <c r="T72" i="1"/>
  <c r="T88" i="1"/>
  <c r="S128" i="1"/>
  <c r="S132" i="1"/>
  <c r="Q133" i="1"/>
  <c r="S140" i="1"/>
  <c r="Q141" i="1"/>
  <c r="S148" i="1"/>
  <c r="Q149" i="1"/>
  <c r="S156" i="1"/>
  <c r="Q157" i="1"/>
  <c r="S164" i="1"/>
  <c r="Q165" i="1"/>
  <c r="S31" i="1"/>
  <c r="Q122" i="1"/>
  <c r="Q127" i="1"/>
  <c r="T128" i="1"/>
  <c r="T132" i="1"/>
  <c r="R133" i="1"/>
  <c r="T140" i="1"/>
  <c r="R141" i="1"/>
  <c r="T148" i="1"/>
  <c r="R149" i="1"/>
  <c r="T156" i="1"/>
  <c r="R157" i="1"/>
  <c r="T164" i="1"/>
  <c r="R165" i="1"/>
  <c r="T32" i="1"/>
  <c r="Q82" i="1"/>
  <c r="S111" i="1"/>
  <c r="R113" i="1"/>
  <c r="R122" i="1"/>
  <c r="S127" i="1"/>
  <c r="S133" i="1"/>
  <c r="Q134" i="1"/>
  <c r="S141" i="1"/>
  <c r="Q142" i="1"/>
  <c r="S149" i="1"/>
  <c r="Q150" i="1"/>
  <c r="S157" i="1"/>
  <c r="Q158" i="1"/>
  <c r="S165" i="1"/>
  <c r="Q166" i="1"/>
  <c r="S173" i="1"/>
  <c r="Q174" i="1"/>
  <c r="T64" i="1"/>
  <c r="Q89" i="1"/>
  <c r="T95" i="1"/>
  <c r="S97" i="1"/>
  <c r="S99" i="1"/>
  <c r="T105" i="1"/>
  <c r="T107" i="1"/>
  <c r="T119" i="1"/>
  <c r="S126" i="1"/>
  <c r="T134" i="1"/>
  <c r="R135" i="1"/>
  <c r="T142" i="1"/>
  <c r="R143" i="1"/>
  <c r="T150" i="1"/>
  <c r="R151" i="1"/>
  <c r="T158" i="1"/>
  <c r="R159" i="1"/>
  <c r="T166" i="1"/>
  <c r="R167" i="1"/>
  <c r="S107" i="1"/>
  <c r="Q116" i="1"/>
  <c r="R166" i="1"/>
  <c r="S169" i="1"/>
  <c r="S178" i="1"/>
  <c r="Q179" i="1"/>
  <c r="S186" i="1"/>
  <c r="Q187" i="1"/>
  <c r="S194" i="1"/>
  <c r="Q195" i="1"/>
  <c r="S202" i="1"/>
  <c r="Q203" i="1"/>
  <c r="S210" i="1"/>
  <c r="Q211" i="1"/>
  <c r="T80" i="1"/>
  <c r="S103" i="1"/>
  <c r="R116" i="1"/>
  <c r="R158" i="1"/>
  <c r="Q160" i="1"/>
  <c r="S166" i="1"/>
  <c r="T169" i="1"/>
  <c r="T178" i="1"/>
  <c r="R179" i="1"/>
  <c r="T186" i="1"/>
  <c r="R187" i="1"/>
  <c r="T194" i="1"/>
  <c r="R195" i="1"/>
  <c r="T202" i="1"/>
  <c r="R203" i="1"/>
  <c r="T210" i="1"/>
  <c r="R211" i="1"/>
  <c r="T28" i="1"/>
  <c r="S82" i="1"/>
  <c r="R89" i="1"/>
  <c r="T103" i="1"/>
  <c r="R112" i="1"/>
  <c r="T117" i="1"/>
  <c r="R150" i="1"/>
  <c r="Q152" i="1"/>
  <c r="S158" i="1"/>
  <c r="R160" i="1"/>
  <c r="Q162" i="1"/>
  <c r="S179" i="1"/>
  <c r="Q180" i="1"/>
  <c r="S187" i="1"/>
  <c r="Q188" i="1"/>
  <c r="S195" i="1"/>
  <c r="Q196" i="1"/>
  <c r="S203" i="1"/>
  <c r="Q204" i="1"/>
  <c r="S211" i="1"/>
  <c r="Q212" i="1"/>
  <c r="T99" i="1"/>
  <c r="Q108" i="1"/>
  <c r="T113" i="1"/>
  <c r="S134" i="1"/>
  <c r="R136" i="1"/>
  <c r="Q138" i="1"/>
  <c r="S144" i="1"/>
  <c r="R146" i="1"/>
  <c r="R168" i="1"/>
  <c r="T180" i="1"/>
  <c r="R181" i="1"/>
  <c r="T188" i="1"/>
  <c r="R189" i="1"/>
  <c r="T196" i="1"/>
  <c r="R197" i="1"/>
  <c r="T204" i="1"/>
  <c r="R205" i="1"/>
  <c r="T212" i="1"/>
  <c r="Q74" i="1"/>
  <c r="S95" i="1"/>
  <c r="Q104" i="1"/>
  <c r="Q130" i="1"/>
  <c r="S136" i="1"/>
  <c r="R138" i="1"/>
  <c r="S168" i="1"/>
  <c r="S181" i="1"/>
  <c r="Q182" i="1"/>
  <c r="S189" i="1"/>
  <c r="Q190" i="1"/>
  <c r="S197" i="1"/>
  <c r="Q198" i="1"/>
  <c r="S205" i="1"/>
  <c r="Q206" i="1"/>
  <c r="S74" i="1"/>
  <c r="R104" i="1"/>
  <c r="R125" i="1"/>
  <c r="R130" i="1"/>
  <c r="T181" i="1"/>
  <c r="R182" i="1"/>
  <c r="T189" i="1"/>
  <c r="R190" i="1"/>
  <c r="T197" i="1"/>
  <c r="R198" i="1"/>
  <c r="T205" i="1"/>
  <c r="R206" i="1"/>
  <c r="T74" i="1"/>
  <c r="R105" i="1"/>
  <c r="R118" i="1"/>
  <c r="S125" i="1"/>
  <c r="S182" i="1"/>
  <c r="Q183" i="1"/>
  <c r="S190" i="1"/>
  <c r="Q191" i="1"/>
  <c r="S198" i="1"/>
  <c r="Q199" i="1"/>
  <c r="S91" i="1"/>
  <c r="S105" i="1"/>
  <c r="Q114" i="1"/>
  <c r="T125" i="1"/>
  <c r="Q159" i="1"/>
  <c r="T165" i="1"/>
  <c r="Q175" i="1"/>
  <c r="T182" i="1"/>
  <c r="R183" i="1"/>
  <c r="T190" i="1"/>
  <c r="R191" i="1"/>
  <c r="T198" i="1"/>
  <c r="R199" i="1"/>
  <c r="T206" i="1"/>
  <c r="R207" i="1"/>
  <c r="T91" i="1"/>
  <c r="R114" i="1"/>
  <c r="S119" i="1"/>
  <c r="Q151" i="1"/>
  <c r="T157" i="1"/>
  <c r="S159" i="1"/>
  <c r="Q161" i="1"/>
  <c r="Q167" i="1"/>
  <c r="Q170" i="1"/>
  <c r="Q171" i="1"/>
  <c r="Q172" i="1"/>
  <c r="Q173" i="1"/>
  <c r="R174" i="1"/>
  <c r="R175" i="1"/>
  <c r="Q176" i="1"/>
  <c r="S183" i="1"/>
  <c r="Q184" i="1"/>
  <c r="S191" i="1"/>
  <c r="Q192" i="1"/>
  <c r="S199" i="1"/>
  <c r="Q200" i="1"/>
  <c r="S207" i="1"/>
  <c r="Q208" i="1"/>
  <c r="Q68" i="1"/>
  <c r="R97" i="1"/>
  <c r="T111" i="1"/>
  <c r="R126" i="1"/>
  <c r="T133" i="1"/>
  <c r="S135" i="1"/>
  <c r="Q137" i="1"/>
  <c r="T143" i="1"/>
  <c r="S145" i="1"/>
  <c r="T153" i="1"/>
  <c r="T170" i="1"/>
  <c r="T171" i="1"/>
  <c r="T172" i="1"/>
  <c r="T176" i="1"/>
  <c r="R177" i="1"/>
  <c r="T184" i="1"/>
  <c r="R185" i="1"/>
  <c r="T192" i="1"/>
  <c r="R193" i="1"/>
  <c r="S51" i="1"/>
  <c r="R134" i="1"/>
  <c r="Q145" i="1"/>
  <c r="T161" i="1"/>
  <c r="T173" i="1"/>
  <c r="R178" i="1"/>
  <c r="T185" i="1"/>
  <c r="Q197" i="1"/>
  <c r="Q205" i="1"/>
  <c r="S212" i="1"/>
  <c r="T215" i="1"/>
  <c r="R216" i="1"/>
  <c r="T223" i="1"/>
  <c r="R224" i="1"/>
  <c r="T231" i="1"/>
  <c r="R232" i="1"/>
  <c r="T239" i="1"/>
  <c r="R240" i="1"/>
  <c r="T247" i="1"/>
  <c r="R248" i="1"/>
  <c r="T255" i="1"/>
  <c r="R256" i="1"/>
  <c r="T82" i="1"/>
  <c r="T97" i="1"/>
  <c r="R121" i="1"/>
  <c r="T145" i="1"/>
  <c r="S151" i="1"/>
  <c r="S167" i="1"/>
  <c r="R176" i="1"/>
  <c r="T183" i="1"/>
  <c r="Q207" i="1"/>
  <c r="S216" i="1"/>
  <c r="Q217" i="1"/>
  <c r="S224" i="1"/>
  <c r="Q225" i="1"/>
  <c r="S232" i="1"/>
  <c r="Q233" i="1"/>
  <c r="S240" i="1"/>
  <c r="Q241" i="1"/>
  <c r="S248" i="1"/>
  <c r="Q249" i="1"/>
  <c r="S256" i="1"/>
  <c r="Q257" i="1"/>
  <c r="S121" i="1"/>
  <c r="Q135" i="1"/>
  <c r="T151" i="1"/>
  <c r="T167" i="1"/>
  <c r="S176" i="1"/>
  <c r="T207" i="1"/>
  <c r="T216" i="1"/>
  <c r="R217" i="1"/>
  <c r="T224" i="1"/>
  <c r="R225" i="1"/>
  <c r="T232" i="1"/>
  <c r="R233" i="1"/>
  <c r="T240" i="1"/>
  <c r="R241" i="1"/>
  <c r="T248" i="1"/>
  <c r="R249" i="1"/>
  <c r="T256" i="1"/>
  <c r="R257" i="1"/>
  <c r="T60" i="1"/>
  <c r="T87" i="1"/>
  <c r="T112" i="1"/>
  <c r="R152" i="1"/>
  <c r="S174" i="1"/>
  <c r="Q186" i="1"/>
  <c r="S193" i="1"/>
  <c r="T200" i="1"/>
  <c r="Q202" i="1"/>
  <c r="S209" i="1"/>
  <c r="S218" i="1"/>
  <c r="Q219" i="1"/>
  <c r="S226" i="1"/>
  <c r="Q227" i="1"/>
  <c r="S234" i="1"/>
  <c r="Q235" i="1"/>
  <c r="S242" i="1"/>
  <c r="Q243" i="1"/>
  <c r="S250" i="1"/>
  <c r="Q251" i="1"/>
  <c r="S258" i="1"/>
  <c r="S113" i="1"/>
  <c r="Q136" i="1"/>
  <c r="S152" i="1"/>
  <c r="Q168" i="1"/>
  <c r="T174" i="1"/>
  <c r="R186" i="1"/>
  <c r="T193" i="1"/>
  <c r="R202" i="1"/>
  <c r="T209" i="1"/>
  <c r="T218" i="1"/>
  <c r="R219" i="1"/>
  <c r="T226" i="1"/>
  <c r="R227" i="1"/>
  <c r="T234" i="1"/>
  <c r="R235" i="1"/>
  <c r="T242" i="1"/>
  <c r="R243" i="1"/>
  <c r="T250" i="1"/>
  <c r="R251" i="1"/>
  <c r="T258" i="1"/>
  <c r="S89" i="1"/>
  <c r="S115" i="1"/>
  <c r="R124" i="1"/>
  <c r="R142" i="1"/>
  <c r="Q153" i="1"/>
  <c r="T179" i="1"/>
  <c r="R184" i="1"/>
  <c r="T191" i="1"/>
  <c r="R204" i="1"/>
  <c r="T211" i="1"/>
  <c r="S219" i="1"/>
  <c r="Q220" i="1"/>
  <c r="S227" i="1"/>
  <c r="Q228" i="1"/>
  <c r="S235" i="1"/>
  <c r="Q236" i="1"/>
  <c r="S243" i="1"/>
  <c r="Q244" i="1"/>
  <c r="S251" i="1"/>
  <c r="Q252" i="1"/>
  <c r="Q66" i="1"/>
  <c r="T115" i="1"/>
  <c r="T124" i="1"/>
  <c r="S142" i="1"/>
  <c r="S153" i="1"/>
  <c r="Q177" i="1"/>
  <c r="S184" i="1"/>
  <c r="S204" i="1"/>
  <c r="T219" i="1"/>
  <c r="R220" i="1"/>
  <c r="T227" i="1"/>
  <c r="R228" i="1"/>
  <c r="T235" i="1"/>
  <c r="R236" i="1"/>
  <c r="S137" i="1"/>
  <c r="Q143" i="1"/>
  <c r="T159" i="1"/>
  <c r="R172" i="1"/>
  <c r="S177" i="1"/>
  <c r="R196" i="1"/>
  <c r="S206" i="1"/>
  <c r="Q213" i="1"/>
  <c r="S220" i="1"/>
  <c r="Q221" i="1"/>
  <c r="S228" i="1"/>
  <c r="Q229" i="1"/>
  <c r="S236" i="1"/>
  <c r="Q237" i="1"/>
  <c r="S244" i="1"/>
  <c r="Q245" i="1"/>
  <c r="S252" i="1"/>
  <c r="Q253" i="1"/>
  <c r="Q126" i="1"/>
  <c r="T137" i="1"/>
  <c r="S143" i="1"/>
  <c r="Q169" i="1"/>
  <c r="S172" i="1"/>
  <c r="T177" i="1"/>
  <c r="Q189" i="1"/>
  <c r="S196" i="1"/>
  <c r="R208" i="1"/>
  <c r="R213" i="1"/>
  <c r="T220" i="1"/>
  <c r="R221" i="1"/>
  <c r="T228" i="1"/>
  <c r="R229" i="1"/>
  <c r="T236" i="1"/>
  <c r="R237" i="1"/>
  <c r="T244" i="1"/>
  <c r="R245" i="1"/>
  <c r="T252" i="1"/>
  <c r="R253" i="1"/>
  <c r="Q106" i="1"/>
  <c r="T127" i="1"/>
  <c r="Q144" i="1"/>
  <c r="S160" i="1"/>
  <c r="R170" i="1"/>
  <c r="R180" i="1"/>
  <c r="T187" i="1"/>
  <c r="R192" i="1"/>
  <c r="T199" i="1"/>
  <c r="S201" i="1"/>
  <c r="Q210" i="1"/>
  <c r="S214" i="1"/>
  <c r="Q215" i="1"/>
  <c r="S222" i="1"/>
  <c r="Q223" i="1"/>
  <c r="S230" i="1"/>
  <c r="Q231" i="1"/>
  <c r="S238" i="1"/>
  <c r="Q239" i="1"/>
  <c r="S246" i="1"/>
  <c r="Q247" i="1"/>
  <c r="S254" i="1"/>
  <c r="Q255" i="1"/>
  <c r="Q224" i="1"/>
  <c r="S231" i="1"/>
  <c r="Q256" i="1"/>
  <c r="S259" i="1"/>
  <c r="Q260" i="1"/>
  <c r="S267" i="1"/>
  <c r="Q268" i="1"/>
  <c r="S275" i="1"/>
  <c r="Q276" i="1"/>
  <c r="S283" i="1"/>
  <c r="Q284" i="1"/>
  <c r="S291" i="1"/>
  <c r="Q292" i="1"/>
  <c r="S299" i="1"/>
  <c r="Q300" i="1"/>
  <c r="S307" i="1"/>
  <c r="Q308" i="1"/>
  <c r="S315" i="1"/>
  <c r="Q316" i="1"/>
  <c r="Q45" i="1"/>
  <c r="R144" i="1"/>
  <c r="R171" i="1"/>
  <c r="S217" i="1"/>
  <c r="Q222" i="1"/>
  <c r="S229" i="1"/>
  <c r="T259" i="1"/>
  <c r="R260" i="1"/>
  <c r="T267" i="1"/>
  <c r="R268" i="1"/>
  <c r="T275" i="1"/>
  <c r="R276" i="1"/>
  <c r="T283" i="1"/>
  <c r="R284" i="1"/>
  <c r="T291" i="1"/>
  <c r="R292" i="1"/>
  <c r="T299" i="1"/>
  <c r="R300" i="1"/>
  <c r="T307" i="1"/>
  <c r="R308" i="1"/>
  <c r="T315" i="1"/>
  <c r="R316" i="1"/>
  <c r="S171" i="1"/>
  <c r="Q178" i="1"/>
  <c r="R212" i="1"/>
  <c r="T217" i="1"/>
  <c r="R222" i="1"/>
  <c r="T229" i="1"/>
  <c r="S260" i="1"/>
  <c r="Q261" i="1"/>
  <c r="S268" i="1"/>
  <c r="Q269" i="1"/>
  <c r="S276" i="1"/>
  <c r="Q277" i="1"/>
  <c r="S284" i="1"/>
  <c r="Q285" i="1"/>
  <c r="S292" i="1"/>
  <c r="Q293" i="1"/>
  <c r="S300" i="1"/>
  <c r="Q301" i="1"/>
  <c r="S308" i="1"/>
  <c r="Q309" i="1"/>
  <c r="S316" i="1"/>
  <c r="Q317" i="1"/>
  <c r="T149" i="1"/>
  <c r="R162" i="1"/>
  <c r="S192" i="1"/>
  <c r="S213" i="1"/>
  <c r="R239" i="1"/>
  <c r="S241" i="1"/>
  <c r="T243" i="1"/>
  <c r="T245" i="1"/>
  <c r="S247" i="1"/>
  <c r="T249" i="1"/>
  <c r="T253" i="1"/>
  <c r="T261" i="1"/>
  <c r="R262" i="1"/>
  <c r="T269" i="1"/>
  <c r="R270" i="1"/>
  <c r="T277" i="1"/>
  <c r="R278" i="1"/>
  <c r="T285" i="1"/>
  <c r="R286" i="1"/>
  <c r="T293" i="1"/>
  <c r="R294" i="1"/>
  <c r="T301" i="1"/>
  <c r="R302" i="1"/>
  <c r="T309" i="1"/>
  <c r="R310" i="1"/>
  <c r="T317" i="1"/>
  <c r="R318" i="1"/>
  <c r="R173" i="1"/>
  <c r="T213" i="1"/>
  <c r="Q232" i="1"/>
  <c r="S239" i="1"/>
  <c r="T241" i="1"/>
  <c r="R255" i="1"/>
  <c r="S262" i="1"/>
  <c r="Q263" i="1"/>
  <c r="S270" i="1"/>
  <c r="Q271" i="1"/>
  <c r="S278" i="1"/>
  <c r="Q279" i="1"/>
  <c r="S286" i="1"/>
  <c r="Q287" i="1"/>
  <c r="S294" i="1"/>
  <c r="Q295" i="1"/>
  <c r="S302" i="1"/>
  <c r="Q303" i="1"/>
  <c r="S310" i="1"/>
  <c r="Q311" i="1"/>
  <c r="T135" i="1"/>
  <c r="S180" i="1"/>
  <c r="Q209" i="1"/>
  <c r="Q218" i="1"/>
  <c r="S225" i="1"/>
  <c r="Q230" i="1"/>
  <c r="S237" i="1"/>
  <c r="S255" i="1"/>
  <c r="T262" i="1"/>
  <c r="R263" i="1"/>
  <c r="T270" i="1"/>
  <c r="R271" i="1"/>
  <c r="T278" i="1"/>
  <c r="R279" i="1"/>
  <c r="T286" i="1"/>
  <c r="R287" i="1"/>
  <c r="T294" i="1"/>
  <c r="R295" i="1"/>
  <c r="T302" i="1"/>
  <c r="R303" i="1"/>
  <c r="S150" i="1"/>
  <c r="Q193" i="1"/>
  <c r="R209" i="1"/>
  <c r="R218" i="1"/>
  <c r="T225" i="1"/>
  <c r="R230" i="1"/>
  <c r="T237" i="1"/>
  <c r="S263" i="1"/>
  <c r="Q264" i="1"/>
  <c r="S271" i="1"/>
  <c r="Q272" i="1"/>
  <c r="S279" i="1"/>
  <c r="Q280" i="1"/>
  <c r="S287" i="1"/>
  <c r="Q288" i="1"/>
  <c r="S295" i="1"/>
  <c r="Q296" i="1"/>
  <c r="S303" i="1"/>
  <c r="Q304" i="1"/>
  <c r="S175" i="1"/>
  <c r="Q194" i="1"/>
  <c r="R200" i="1"/>
  <c r="R223" i="1"/>
  <c r="T230" i="1"/>
  <c r="T263" i="1"/>
  <c r="R264" i="1"/>
  <c r="T271" i="1"/>
  <c r="R272" i="1"/>
  <c r="T279" i="1"/>
  <c r="R280" i="1"/>
  <c r="T287" i="1"/>
  <c r="R288" i="1"/>
  <c r="T295" i="1"/>
  <c r="R296" i="1"/>
  <c r="T303" i="1"/>
  <c r="R304" i="1"/>
  <c r="T311" i="1"/>
  <c r="R312" i="1"/>
  <c r="T175" i="1"/>
  <c r="Q181" i="1"/>
  <c r="R194" i="1"/>
  <c r="S200" i="1"/>
  <c r="Q216" i="1"/>
  <c r="S223" i="1"/>
  <c r="S257" i="1"/>
  <c r="S264" i="1"/>
  <c r="Q265" i="1"/>
  <c r="S272" i="1"/>
  <c r="Q273" i="1"/>
  <c r="S280" i="1"/>
  <c r="Q281" i="1"/>
  <c r="S288" i="1"/>
  <c r="Q289" i="1"/>
  <c r="S296" i="1"/>
  <c r="Q297" i="1"/>
  <c r="S304" i="1"/>
  <c r="Q305" i="1"/>
  <c r="S312" i="1"/>
  <c r="Q313" i="1"/>
  <c r="S320" i="1"/>
  <c r="T195" i="1"/>
  <c r="T201" i="1"/>
  <c r="T214" i="1"/>
  <c r="Q226" i="1"/>
  <c r="S233" i="1"/>
  <c r="Q238" i="1"/>
  <c r="Q240" i="1"/>
  <c r="R242" i="1"/>
  <c r="T246" i="1"/>
  <c r="R254" i="1"/>
  <c r="T265" i="1"/>
  <c r="R266" i="1"/>
  <c r="T273" i="1"/>
  <c r="R274" i="1"/>
  <c r="T281" i="1"/>
  <c r="R282" i="1"/>
  <c r="T289" i="1"/>
  <c r="R290" i="1"/>
  <c r="T297" i="1"/>
  <c r="R298" i="1"/>
  <c r="T305" i="1"/>
  <c r="R306" i="1"/>
  <c r="T313" i="1"/>
  <c r="R314" i="1"/>
  <c r="Q146" i="1"/>
  <c r="T208" i="1"/>
  <c r="Q242" i="1"/>
  <c r="R247" i="1"/>
  <c r="S265" i="1"/>
  <c r="R291" i="1"/>
  <c r="T298" i="1"/>
  <c r="R309" i="1"/>
  <c r="T327" i="1"/>
  <c r="R328" i="1"/>
  <c r="T335" i="1"/>
  <c r="R336" i="1"/>
  <c r="T343" i="1"/>
  <c r="R344" i="1"/>
  <c r="T351" i="1"/>
  <c r="R352" i="1"/>
  <c r="T359" i="1"/>
  <c r="R360" i="1"/>
  <c r="T367" i="1"/>
  <c r="R368" i="1"/>
  <c r="T375" i="1"/>
  <c r="R376" i="1"/>
  <c r="T383" i="1"/>
  <c r="R384" i="1"/>
  <c r="T391" i="1"/>
  <c r="R392" i="1"/>
  <c r="T399" i="1"/>
  <c r="R400" i="1"/>
  <c r="T407" i="1"/>
  <c r="R408" i="1"/>
  <c r="T415" i="1"/>
  <c r="R416" i="1"/>
  <c r="T423" i="1"/>
  <c r="R424" i="1"/>
  <c r="T431" i="1"/>
  <c r="R432" i="1"/>
  <c r="Q96" i="1"/>
  <c r="Q154" i="1"/>
  <c r="R210" i="1"/>
  <c r="R277" i="1"/>
  <c r="T284" i="1"/>
  <c r="R289" i="1"/>
  <c r="T296" i="1"/>
  <c r="S309" i="1"/>
  <c r="Q321" i="1"/>
  <c r="S328" i="1"/>
  <c r="Q329" i="1"/>
  <c r="S336" i="1"/>
  <c r="Q337" i="1"/>
  <c r="S344" i="1"/>
  <c r="Q345" i="1"/>
  <c r="S352" i="1"/>
  <c r="Q353" i="1"/>
  <c r="S360" i="1"/>
  <c r="Q361" i="1"/>
  <c r="S368" i="1"/>
  <c r="Q369" i="1"/>
  <c r="S376" i="1"/>
  <c r="Q377" i="1"/>
  <c r="S384" i="1"/>
  <c r="Q385" i="1"/>
  <c r="S392" i="1"/>
  <c r="Q393" i="1"/>
  <c r="S400" i="1"/>
  <c r="Q401" i="1"/>
  <c r="S408" i="1"/>
  <c r="Q409" i="1"/>
  <c r="S416" i="1"/>
  <c r="Q417" i="1"/>
  <c r="S424" i="1"/>
  <c r="Q425" i="1"/>
  <c r="S432" i="1"/>
  <c r="Q433" i="1"/>
  <c r="R154" i="1"/>
  <c r="Q248" i="1"/>
  <c r="S253" i="1"/>
  <c r="Q270" i="1"/>
  <c r="S277" i="1"/>
  <c r="Q282" i="1"/>
  <c r="S289" i="1"/>
  <c r="R311" i="1"/>
  <c r="R321" i="1"/>
  <c r="T328" i="1"/>
  <c r="R329" i="1"/>
  <c r="T336" i="1"/>
  <c r="R337" i="1"/>
  <c r="T344" i="1"/>
  <c r="R345" i="1"/>
  <c r="T352" i="1"/>
  <c r="R353" i="1"/>
  <c r="T360" i="1"/>
  <c r="R361" i="1"/>
  <c r="T368" i="1"/>
  <c r="R369" i="1"/>
  <c r="T376" i="1"/>
  <c r="R377" i="1"/>
  <c r="T384" i="1"/>
  <c r="R385" i="1"/>
  <c r="T392" i="1"/>
  <c r="R393" i="1"/>
  <c r="T400" i="1"/>
  <c r="R401" i="1"/>
  <c r="T408" i="1"/>
  <c r="R409" i="1"/>
  <c r="T416" i="1"/>
  <c r="R417" i="1"/>
  <c r="T424" i="1"/>
  <c r="R425" i="1"/>
  <c r="T432" i="1"/>
  <c r="R433" i="1"/>
  <c r="Q258" i="1"/>
  <c r="Q275" i="1"/>
  <c r="S282" i="1"/>
  <c r="R301" i="1"/>
  <c r="R231" i="1"/>
  <c r="Q254" i="1"/>
  <c r="R258" i="1"/>
  <c r="R275" i="1"/>
  <c r="T282" i="1"/>
  <c r="Q294" i="1"/>
  <c r="S301" i="1"/>
  <c r="R313" i="1"/>
  <c r="R320" i="1"/>
  <c r="T321" i="1"/>
  <c r="R322" i="1"/>
  <c r="T329" i="1"/>
  <c r="R330" i="1"/>
  <c r="T337" i="1"/>
  <c r="R338" i="1"/>
  <c r="T345" i="1"/>
  <c r="R346" i="1"/>
  <c r="T353" i="1"/>
  <c r="R354" i="1"/>
  <c r="T361" i="1"/>
  <c r="R362" i="1"/>
  <c r="T369" i="1"/>
  <c r="R370" i="1"/>
  <c r="T377" i="1"/>
  <c r="R378" i="1"/>
  <c r="T385" i="1"/>
  <c r="R386" i="1"/>
  <c r="T393" i="1"/>
  <c r="R394" i="1"/>
  <c r="T401" i="1"/>
  <c r="R402" i="1"/>
  <c r="T409" i="1"/>
  <c r="R410" i="1"/>
  <c r="T417" i="1"/>
  <c r="R418" i="1"/>
  <c r="T425" i="1"/>
  <c r="R426" i="1"/>
  <c r="T433" i="1"/>
  <c r="Q201" i="1"/>
  <c r="R238" i="1"/>
  <c r="T254" i="1"/>
  <c r="R261" i="1"/>
  <c r="T268" i="1"/>
  <c r="R273" i="1"/>
  <c r="T280" i="1"/>
  <c r="Q299" i="1"/>
  <c r="S313" i="1"/>
  <c r="Q319" i="1"/>
  <c r="T320" i="1"/>
  <c r="S322" i="1"/>
  <c r="Q323" i="1"/>
  <c r="S330" i="1"/>
  <c r="Q331" i="1"/>
  <c r="S338" i="1"/>
  <c r="Q339" i="1"/>
  <c r="S346" i="1"/>
  <c r="Q347" i="1"/>
  <c r="S354" i="1"/>
  <c r="Q355" i="1"/>
  <c r="S362" i="1"/>
  <c r="Q363" i="1"/>
  <c r="S370" i="1"/>
  <c r="Q371" i="1"/>
  <c r="S378" i="1"/>
  <c r="Q379" i="1"/>
  <c r="S386" i="1"/>
  <c r="Q387" i="1"/>
  <c r="S394" i="1"/>
  <c r="Q395" i="1"/>
  <c r="S402" i="1"/>
  <c r="Q403" i="1"/>
  <c r="S410" i="1"/>
  <c r="Q411" i="1"/>
  <c r="S418" i="1"/>
  <c r="Q419" i="1"/>
  <c r="S426" i="1"/>
  <c r="Q427" i="1"/>
  <c r="S161" i="1"/>
  <c r="R201" i="1"/>
  <c r="T238" i="1"/>
  <c r="R244" i="1"/>
  <c r="S249" i="1"/>
  <c r="S261" i="1"/>
  <c r="Q266" i="1"/>
  <c r="S273" i="1"/>
  <c r="R299" i="1"/>
  <c r="Q306" i="1"/>
  <c r="R319" i="1"/>
  <c r="T322" i="1"/>
  <c r="R323" i="1"/>
  <c r="T330" i="1"/>
  <c r="R331" i="1"/>
  <c r="T338" i="1"/>
  <c r="R339" i="1"/>
  <c r="T346" i="1"/>
  <c r="R347" i="1"/>
  <c r="T354" i="1"/>
  <c r="R355" i="1"/>
  <c r="T362" i="1"/>
  <c r="R363" i="1"/>
  <c r="T370" i="1"/>
  <c r="R371" i="1"/>
  <c r="T378" i="1"/>
  <c r="R379" i="1"/>
  <c r="T386" i="1"/>
  <c r="R387" i="1"/>
  <c r="T394" i="1"/>
  <c r="R395" i="1"/>
  <c r="T402" i="1"/>
  <c r="R403" i="1"/>
  <c r="T410" i="1"/>
  <c r="R411" i="1"/>
  <c r="T418" i="1"/>
  <c r="R419" i="1"/>
  <c r="T426" i="1"/>
  <c r="R427" i="1"/>
  <c r="T434" i="1"/>
  <c r="Q185" i="1"/>
  <c r="Q214" i="1"/>
  <c r="R226" i="1"/>
  <c r="Q250" i="1"/>
  <c r="Q259" i="1"/>
  <c r="S266" i="1"/>
  <c r="R285" i="1"/>
  <c r="T292" i="1"/>
  <c r="R297" i="1"/>
  <c r="T304" i="1"/>
  <c r="S306" i="1"/>
  <c r="Q315" i="1"/>
  <c r="S319" i="1"/>
  <c r="S323" i="1"/>
  <c r="Q324" i="1"/>
  <c r="S331" i="1"/>
  <c r="Q332" i="1"/>
  <c r="S339" i="1"/>
  <c r="Q340" i="1"/>
  <c r="S347" i="1"/>
  <c r="Q348" i="1"/>
  <c r="S355" i="1"/>
  <c r="Q356" i="1"/>
  <c r="S363" i="1"/>
  <c r="Q364" i="1"/>
  <c r="S371" i="1"/>
  <c r="Q372" i="1"/>
  <c r="S379" i="1"/>
  <c r="Q380" i="1"/>
  <c r="S387" i="1"/>
  <c r="Q388" i="1"/>
  <c r="S395" i="1"/>
  <c r="Q396" i="1"/>
  <c r="S403" i="1"/>
  <c r="Q404" i="1"/>
  <c r="S411" i="1"/>
  <c r="Q412" i="1"/>
  <c r="S419" i="1"/>
  <c r="Q420" i="1"/>
  <c r="S427" i="1"/>
  <c r="Q428" i="1"/>
  <c r="S185" i="1"/>
  <c r="R214" i="1"/>
  <c r="R250" i="1"/>
  <c r="R259" i="1"/>
  <c r="T266" i="1"/>
  <c r="Q278" i="1"/>
  <c r="S285" i="1"/>
  <c r="Q290" i="1"/>
  <c r="S297" i="1"/>
  <c r="T306" i="1"/>
  <c r="T308" i="1"/>
  <c r="R315" i="1"/>
  <c r="T319" i="1"/>
  <c r="T323" i="1"/>
  <c r="R324" i="1"/>
  <c r="T331" i="1"/>
  <c r="R332" i="1"/>
  <c r="T339" i="1"/>
  <c r="R340" i="1"/>
  <c r="T347" i="1"/>
  <c r="R348" i="1"/>
  <c r="T355" i="1"/>
  <c r="R356" i="1"/>
  <c r="T363" i="1"/>
  <c r="R364" i="1"/>
  <c r="T371" i="1"/>
  <c r="R372" i="1"/>
  <c r="T379" i="1"/>
  <c r="R380" i="1"/>
  <c r="T387" i="1"/>
  <c r="R388" i="1"/>
  <c r="T395" i="1"/>
  <c r="R396" i="1"/>
  <c r="T403" i="1"/>
  <c r="R404" i="1"/>
  <c r="T411" i="1"/>
  <c r="R412" i="1"/>
  <c r="T419" i="1"/>
  <c r="R420" i="1"/>
  <c r="R188" i="1"/>
  <c r="S221" i="1"/>
  <c r="T233" i="1"/>
  <c r="T264" i="1"/>
  <c r="Q283" i="1"/>
  <c r="S290" i="1"/>
  <c r="Q310" i="1"/>
  <c r="Q318" i="1"/>
  <c r="S324" i="1"/>
  <c r="Q325" i="1"/>
  <c r="S332" i="1"/>
  <c r="Q333" i="1"/>
  <c r="S340" i="1"/>
  <c r="Q341" i="1"/>
  <c r="S348" i="1"/>
  <c r="Q349" i="1"/>
  <c r="S356" i="1"/>
  <c r="Q357" i="1"/>
  <c r="S364" i="1"/>
  <c r="Q365" i="1"/>
  <c r="S372" i="1"/>
  <c r="Q373" i="1"/>
  <c r="S380" i="1"/>
  <c r="Q381" i="1"/>
  <c r="S388" i="1"/>
  <c r="Q389" i="1"/>
  <c r="S396" i="1"/>
  <c r="Q397" i="1"/>
  <c r="S404" i="1"/>
  <c r="Q405" i="1"/>
  <c r="S412" i="1"/>
  <c r="Q413" i="1"/>
  <c r="S420" i="1"/>
  <c r="Q421" i="1"/>
  <c r="S428" i="1"/>
  <c r="Q429" i="1"/>
  <c r="S170" i="1"/>
  <c r="S188" i="1"/>
  <c r="T203" i="1"/>
  <c r="T221" i="1"/>
  <c r="S245" i="1"/>
  <c r="R283" i="1"/>
  <c r="T290" i="1"/>
  <c r="Q302" i="1"/>
  <c r="T310" i="1"/>
  <c r="S318" i="1"/>
  <c r="T324" i="1"/>
  <c r="R325" i="1"/>
  <c r="T332" i="1"/>
  <c r="R333" i="1"/>
  <c r="T340" i="1"/>
  <c r="R341" i="1"/>
  <c r="T348" i="1"/>
  <c r="R349" i="1"/>
  <c r="T356" i="1"/>
  <c r="R357" i="1"/>
  <c r="T364" i="1"/>
  <c r="R365" i="1"/>
  <c r="T372" i="1"/>
  <c r="R373" i="1"/>
  <c r="T380" i="1"/>
  <c r="R381" i="1"/>
  <c r="T388" i="1"/>
  <c r="R389" i="1"/>
  <c r="T396" i="1"/>
  <c r="R397" i="1"/>
  <c r="T404" i="1"/>
  <c r="R405" i="1"/>
  <c r="T412" i="1"/>
  <c r="R413" i="1"/>
  <c r="T420" i="1"/>
  <c r="R421" i="1"/>
  <c r="T428" i="1"/>
  <c r="R429" i="1"/>
  <c r="R215" i="1"/>
  <c r="Q234" i="1"/>
  <c r="Q246" i="1"/>
  <c r="R269" i="1"/>
  <c r="T276" i="1"/>
  <c r="R281" i="1"/>
  <c r="T288" i="1"/>
  <c r="S215" i="1"/>
  <c r="R234" i="1"/>
  <c r="R246" i="1"/>
  <c r="T251" i="1"/>
  <c r="Q262" i="1"/>
  <c r="S269" i="1"/>
  <c r="Q274" i="1"/>
  <c r="S281" i="1"/>
  <c r="T312" i="1"/>
  <c r="T325" i="1"/>
  <c r="R326" i="1"/>
  <c r="T333" i="1"/>
  <c r="R334" i="1"/>
  <c r="T341" i="1"/>
  <c r="R342" i="1"/>
  <c r="T349" i="1"/>
  <c r="R350" i="1"/>
  <c r="T357" i="1"/>
  <c r="R358" i="1"/>
  <c r="T365" i="1"/>
  <c r="R366" i="1"/>
  <c r="T373" i="1"/>
  <c r="R374" i="1"/>
  <c r="T381" i="1"/>
  <c r="R382" i="1"/>
  <c r="T389" i="1"/>
  <c r="R390" i="1"/>
  <c r="T397" i="1"/>
  <c r="R398" i="1"/>
  <c r="T405" i="1"/>
  <c r="R406" i="1"/>
  <c r="T413" i="1"/>
  <c r="R414" i="1"/>
  <c r="T421" i="1"/>
  <c r="R422" i="1"/>
  <c r="T141" i="1"/>
  <c r="T222" i="1"/>
  <c r="R252" i="1"/>
  <c r="Q267" i="1"/>
  <c r="S274" i="1"/>
  <c r="R293" i="1"/>
  <c r="T300" i="1"/>
  <c r="Q314" i="1"/>
  <c r="R317" i="1"/>
  <c r="S326" i="1"/>
  <c r="Q327" i="1"/>
  <c r="S334" i="1"/>
  <c r="Q335" i="1"/>
  <c r="S342" i="1"/>
  <c r="Q343" i="1"/>
  <c r="S350" i="1"/>
  <c r="Q351" i="1"/>
  <c r="S358" i="1"/>
  <c r="Q359" i="1"/>
  <c r="S366" i="1"/>
  <c r="Q367" i="1"/>
  <c r="S374" i="1"/>
  <c r="Q375" i="1"/>
  <c r="S382" i="1"/>
  <c r="Q383" i="1"/>
  <c r="S390" i="1"/>
  <c r="Q391" i="1"/>
  <c r="S398" i="1"/>
  <c r="Q399" i="1"/>
  <c r="S406" i="1"/>
  <c r="Q407" i="1"/>
  <c r="S414" i="1"/>
  <c r="Q415" i="1"/>
  <c r="S422" i="1"/>
  <c r="Q423" i="1"/>
  <c r="S430" i="1"/>
  <c r="Q431" i="1"/>
  <c r="Q342" i="1"/>
  <c r="S349" i="1"/>
  <c r="Q374" i="1"/>
  <c r="S381" i="1"/>
  <c r="Q406" i="1"/>
  <c r="S413" i="1"/>
  <c r="S429" i="1"/>
  <c r="S439" i="1"/>
  <c r="Q440" i="1"/>
  <c r="S447" i="1"/>
  <c r="Q448" i="1"/>
  <c r="S455" i="1"/>
  <c r="Q456" i="1"/>
  <c r="S463" i="1"/>
  <c r="Q464" i="1"/>
  <c r="S471" i="1"/>
  <c r="Q472" i="1"/>
  <c r="R335" i="1"/>
  <c r="T342" i="1"/>
  <c r="R367" i="1"/>
  <c r="T374" i="1"/>
  <c r="R399" i="1"/>
  <c r="T406" i="1"/>
  <c r="T429" i="1"/>
  <c r="T439" i="1"/>
  <c r="R440" i="1"/>
  <c r="T447" i="1"/>
  <c r="R448" i="1"/>
  <c r="T455" i="1"/>
  <c r="R456" i="1"/>
  <c r="T463" i="1"/>
  <c r="R464" i="1"/>
  <c r="T471" i="1"/>
  <c r="R472" i="1"/>
  <c r="S208" i="1"/>
  <c r="T257" i="1"/>
  <c r="Q328" i="1"/>
  <c r="S335" i="1"/>
  <c r="Q360" i="1"/>
  <c r="S367" i="1"/>
  <c r="Q392" i="1"/>
  <c r="S399" i="1"/>
  <c r="Q424" i="1"/>
  <c r="S440" i="1"/>
  <c r="Q441" i="1"/>
  <c r="S448" i="1"/>
  <c r="Q449" i="1"/>
  <c r="S456" i="1"/>
  <c r="Q457" i="1"/>
  <c r="S464" i="1"/>
  <c r="Q465" i="1"/>
  <c r="S472" i="1"/>
  <c r="Q473" i="1"/>
  <c r="Q298" i="1"/>
  <c r="T316" i="1"/>
  <c r="S321" i="1"/>
  <c r="Q346" i="1"/>
  <c r="S353" i="1"/>
  <c r="Q378" i="1"/>
  <c r="S385" i="1"/>
  <c r="Q410" i="1"/>
  <c r="S417" i="1"/>
  <c r="T427" i="1"/>
  <c r="T440" i="1"/>
  <c r="R441" i="1"/>
  <c r="T448" i="1"/>
  <c r="R449" i="1"/>
  <c r="T456" i="1"/>
  <c r="R457" i="1"/>
  <c r="T464" i="1"/>
  <c r="R465" i="1"/>
  <c r="T472" i="1"/>
  <c r="R473" i="1"/>
  <c r="T260" i="1"/>
  <c r="S298" i="1"/>
  <c r="S325" i="1"/>
  <c r="Q350" i="1"/>
  <c r="S357" i="1"/>
  <c r="Q382" i="1"/>
  <c r="S389" i="1"/>
  <c r="Q414" i="1"/>
  <c r="S421" i="1"/>
  <c r="S441" i="1"/>
  <c r="Q442" i="1"/>
  <c r="S449" i="1"/>
  <c r="Q450" i="1"/>
  <c r="S457" i="1"/>
  <c r="Q458" i="1"/>
  <c r="S465" i="1"/>
  <c r="Q466" i="1"/>
  <c r="S473" i="1"/>
  <c r="Q474" i="1"/>
  <c r="S317" i="1"/>
  <c r="R343" i="1"/>
  <c r="T350" i="1"/>
  <c r="R375" i="1"/>
  <c r="T382" i="1"/>
  <c r="R407" i="1"/>
  <c r="T414" i="1"/>
  <c r="Q432" i="1"/>
  <c r="Q434" i="1"/>
  <c r="T441" i="1"/>
  <c r="R442" i="1"/>
  <c r="T449" i="1"/>
  <c r="R450" i="1"/>
  <c r="T457" i="1"/>
  <c r="R458" i="1"/>
  <c r="T465" i="1"/>
  <c r="R466" i="1"/>
  <c r="T473" i="1"/>
  <c r="R474" i="1"/>
  <c r="Q336" i="1"/>
  <c r="S343" i="1"/>
  <c r="Q368" i="1"/>
  <c r="S375" i="1"/>
  <c r="Q400" i="1"/>
  <c r="S407" i="1"/>
  <c r="Q430" i="1"/>
  <c r="R434" i="1"/>
  <c r="Q435" i="1"/>
  <c r="S442" i="1"/>
  <c r="Q443" i="1"/>
  <c r="S450" i="1"/>
  <c r="Q451" i="1"/>
  <c r="S458" i="1"/>
  <c r="Q459" i="1"/>
  <c r="S466" i="1"/>
  <c r="Q467" i="1"/>
  <c r="S311" i="1"/>
  <c r="Q322" i="1"/>
  <c r="S329" i="1"/>
  <c r="Q354" i="1"/>
  <c r="S361" i="1"/>
  <c r="Q386" i="1"/>
  <c r="S393" i="1"/>
  <c r="Q418" i="1"/>
  <c r="S425" i="1"/>
  <c r="R430" i="1"/>
  <c r="S434" i="1"/>
  <c r="R435" i="1"/>
  <c r="T442" i="1"/>
  <c r="R443" i="1"/>
  <c r="T450" i="1"/>
  <c r="R451" i="1"/>
  <c r="T458" i="1"/>
  <c r="R459" i="1"/>
  <c r="T466" i="1"/>
  <c r="R467" i="1"/>
  <c r="R265" i="1"/>
  <c r="Q312" i="1"/>
  <c r="T318" i="1"/>
  <c r="Q326" i="1"/>
  <c r="S333" i="1"/>
  <c r="Q358" i="1"/>
  <c r="S365" i="1"/>
  <c r="Q390" i="1"/>
  <c r="S397" i="1"/>
  <c r="Q422" i="1"/>
  <c r="T430" i="1"/>
  <c r="S435" i="1"/>
  <c r="Q436" i="1"/>
  <c r="S443" i="1"/>
  <c r="Q444" i="1"/>
  <c r="S451" i="1"/>
  <c r="Q452" i="1"/>
  <c r="S459" i="1"/>
  <c r="Q460" i="1"/>
  <c r="R267" i="1"/>
  <c r="Q286" i="1"/>
  <c r="R305" i="1"/>
  <c r="T326" i="1"/>
  <c r="R351" i="1"/>
  <c r="T358" i="1"/>
  <c r="R383" i="1"/>
  <c r="T390" i="1"/>
  <c r="R415" i="1"/>
  <c r="T422" i="1"/>
  <c r="R428" i="1"/>
  <c r="T435" i="1"/>
  <c r="R436" i="1"/>
  <c r="T443" i="1"/>
  <c r="R444" i="1"/>
  <c r="T451" i="1"/>
  <c r="R452" i="1"/>
  <c r="T459" i="1"/>
  <c r="R460" i="1"/>
  <c r="T467" i="1"/>
  <c r="R468" i="1"/>
  <c r="T475" i="1"/>
  <c r="S305" i="1"/>
  <c r="Q344" i="1"/>
  <c r="S351" i="1"/>
  <c r="Q376" i="1"/>
  <c r="S383" i="1"/>
  <c r="Q408" i="1"/>
  <c r="S415" i="1"/>
  <c r="S436" i="1"/>
  <c r="Q437" i="1"/>
  <c r="S444" i="1"/>
  <c r="Q445" i="1"/>
  <c r="S452" i="1"/>
  <c r="Q453" i="1"/>
  <c r="S460" i="1"/>
  <c r="Q461" i="1"/>
  <c r="S468" i="1"/>
  <c r="Q469" i="1"/>
  <c r="Q330" i="1"/>
  <c r="S337" i="1"/>
  <c r="Q362" i="1"/>
  <c r="S369" i="1"/>
  <c r="Q394" i="1"/>
  <c r="S401" i="1"/>
  <c r="T436" i="1"/>
  <c r="R437" i="1"/>
  <c r="T444" i="1"/>
  <c r="R445" i="1"/>
  <c r="T452" i="1"/>
  <c r="R453" i="1"/>
  <c r="T460" i="1"/>
  <c r="R461" i="1"/>
  <c r="T468" i="1"/>
  <c r="R469" i="1"/>
  <c r="Q334" i="1"/>
  <c r="S341" i="1"/>
  <c r="Q366" i="1"/>
  <c r="S373" i="1"/>
  <c r="Q398" i="1"/>
  <c r="S405" i="1"/>
  <c r="Q426" i="1"/>
  <c r="S433" i="1"/>
  <c r="S437" i="1"/>
  <c r="Q438" i="1"/>
  <c r="S445" i="1"/>
  <c r="Q446" i="1"/>
  <c r="S453" i="1"/>
  <c r="Q454" i="1"/>
  <c r="S461" i="1"/>
  <c r="Q462" i="1"/>
  <c r="S469" i="1"/>
  <c r="Q470" i="1"/>
  <c r="Q307" i="1"/>
  <c r="S314" i="1"/>
  <c r="R327" i="1"/>
  <c r="T334" i="1"/>
  <c r="R359" i="1"/>
  <c r="T366" i="1"/>
  <c r="R391" i="1"/>
  <c r="T398" i="1"/>
  <c r="R423" i="1"/>
  <c r="T437" i="1"/>
  <c r="R438" i="1"/>
  <c r="T445" i="1"/>
  <c r="R446" i="1"/>
  <c r="T453" i="1"/>
  <c r="R454" i="1"/>
  <c r="T461" i="1"/>
  <c r="R462" i="1"/>
  <c r="T469" i="1"/>
  <c r="R470" i="1"/>
  <c r="S293" i="1"/>
  <c r="Q338" i="1"/>
  <c r="S474" i="1"/>
  <c r="T482" i="1"/>
  <c r="R483" i="1"/>
  <c r="T490" i="1"/>
  <c r="R491" i="1"/>
  <c r="T498" i="1"/>
  <c r="R499" i="1"/>
  <c r="T506" i="1"/>
  <c r="R507" i="1"/>
  <c r="T514" i="1"/>
  <c r="R515" i="1"/>
  <c r="T522" i="1"/>
  <c r="R523" i="1"/>
  <c r="T530" i="1"/>
  <c r="R531" i="1"/>
  <c r="T538" i="1"/>
  <c r="R539" i="1"/>
  <c r="T546" i="1"/>
  <c r="R547" i="1"/>
  <c r="T554" i="1"/>
  <c r="R555" i="1"/>
  <c r="T562" i="1"/>
  <c r="R563" i="1"/>
  <c r="T570" i="1"/>
  <c r="R571" i="1"/>
  <c r="T578" i="1"/>
  <c r="R579" i="1"/>
  <c r="T586" i="1"/>
  <c r="R587" i="1"/>
  <c r="T594" i="1"/>
  <c r="R595" i="1"/>
  <c r="T602" i="1"/>
  <c r="R603" i="1"/>
  <c r="T610" i="1"/>
  <c r="R611" i="1"/>
  <c r="R307" i="1"/>
  <c r="S438" i="1"/>
  <c r="T474" i="1"/>
  <c r="S483" i="1"/>
  <c r="Q484" i="1"/>
  <c r="S491" i="1"/>
  <c r="Q492" i="1"/>
  <c r="S499" i="1"/>
  <c r="Q500" i="1"/>
  <c r="S507" i="1"/>
  <c r="Q508" i="1"/>
  <c r="S515" i="1"/>
  <c r="Q516" i="1"/>
  <c r="S523" i="1"/>
  <c r="Q524" i="1"/>
  <c r="S531" i="1"/>
  <c r="Q532" i="1"/>
  <c r="S539" i="1"/>
  <c r="Q540" i="1"/>
  <c r="S547" i="1"/>
  <c r="Q548" i="1"/>
  <c r="S555" i="1"/>
  <c r="Q556" i="1"/>
  <c r="S563" i="1"/>
  <c r="Q564" i="1"/>
  <c r="S571" i="1"/>
  <c r="Q572" i="1"/>
  <c r="S579" i="1"/>
  <c r="Q580" i="1"/>
  <c r="S587" i="1"/>
  <c r="Q588" i="1"/>
  <c r="S595" i="1"/>
  <c r="Q596" i="1"/>
  <c r="S603" i="1"/>
  <c r="Q604" i="1"/>
  <c r="Q370" i="1"/>
  <c r="T438" i="1"/>
  <c r="T483" i="1"/>
  <c r="R484" i="1"/>
  <c r="T491" i="1"/>
  <c r="R492" i="1"/>
  <c r="T499" i="1"/>
  <c r="R500" i="1"/>
  <c r="T507" i="1"/>
  <c r="R508" i="1"/>
  <c r="T515" i="1"/>
  <c r="R516" i="1"/>
  <c r="T523" i="1"/>
  <c r="R524" i="1"/>
  <c r="T531" i="1"/>
  <c r="R532" i="1"/>
  <c r="T539" i="1"/>
  <c r="R540" i="1"/>
  <c r="T547" i="1"/>
  <c r="R548" i="1"/>
  <c r="T555" i="1"/>
  <c r="R556" i="1"/>
  <c r="T563" i="1"/>
  <c r="R564" i="1"/>
  <c r="T571" i="1"/>
  <c r="R572" i="1"/>
  <c r="T579" i="1"/>
  <c r="R580" i="1"/>
  <c r="T587" i="1"/>
  <c r="R588" i="1"/>
  <c r="T595" i="1"/>
  <c r="R596" i="1"/>
  <c r="T603" i="1"/>
  <c r="R604" i="1"/>
  <c r="T611" i="1"/>
  <c r="R612" i="1"/>
  <c r="T314" i="1"/>
  <c r="Q439" i="1"/>
  <c r="S446" i="1"/>
  <c r="S470" i="1"/>
  <c r="S484" i="1"/>
  <c r="Q485" i="1"/>
  <c r="S492" i="1"/>
  <c r="Q493" i="1"/>
  <c r="S500" i="1"/>
  <c r="Q501" i="1"/>
  <c r="S508" i="1"/>
  <c r="Q509" i="1"/>
  <c r="S516" i="1"/>
  <c r="Q517" i="1"/>
  <c r="S524" i="1"/>
  <c r="Q525" i="1"/>
  <c r="S532" i="1"/>
  <c r="Q533" i="1"/>
  <c r="S540" i="1"/>
  <c r="Q541" i="1"/>
  <c r="S548" i="1"/>
  <c r="Q549" i="1"/>
  <c r="S556" i="1"/>
  <c r="Q557" i="1"/>
  <c r="S564" i="1"/>
  <c r="Q565" i="1"/>
  <c r="S572" i="1"/>
  <c r="Q573" i="1"/>
  <c r="S580" i="1"/>
  <c r="Q581" i="1"/>
  <c r="S588" i="1"/>
  <c r="Q589" i="1"/>
  <c r="S596" i="1"/>
  <c r="Q597" i="1"/>
  <c r="S604" i="1"/>
  <c r="Q605" i="1"/>
  <c r="S345" i="1"/>
  <c r="Q402" i="1"/>
  <c r="R439" i="1"/>
  <c r="T446" i="1"/>
  <c r="T470" i="1"/>
  <c r="T484" i="1"/>
  <c r="R485" i="1"/>
  <c r="T492" i="1"/>
  <c r="R493" i="1"/>
  <c r="T500" i="1"/>
  <c r="R501" i="1"/>
  <c r="T508" i="1"/>
  <c r="R509" i="1"/>
  <c r="T516" i="1"/>
  <c r="R517" i="1"/>
  <c r="T524" i="1"/>
  <c r="R525" i="1"/>
  <c r="T532" i="1"/>
  <c r="R533" i="1"/>
  <c r="T540" i="1"/>
  <c r="R541" i="1"/>
  <c r="T548" i="1"/>
  <c r="R549" i="1"/>
  <c r="T556" i="1"/>
  <c r="R557" i="1"/>
  <c r="T564" i="1"/>
  <c r="R565" i="1"/>
  <c r="T572" i="1"/>
  <c r="R573" i="1"/>
  <c r="T580" i="1"/>
  <c r="R581" i="1"/>
  <c r="T588" i="1"/>
  <c r="R589" i="1"/>
  <c r="T596" i="1"/>
  <c r="R597" i="1"/>
  <c r="T604" i="1"/>
  <c r="R605" i="1"/>
  <c r="T612" i="1"/>
  <c r="R431" i="1"/>
  <c r="Q447" i="1"/>
  <c r="S454" i="1"/>
  <c r="Q477" i="1"/>
  <c r="S485" i="1"/>
  <c r="Q486" i="1"/>
  <c r="S493" i="1"/>
  <c r="Q494" i="1"/>
  <c r="S501" i="1"/>
  <c r="Q502" i="1"/>
  <c r="S509" i="1"/>
  <c r="Q510" i="1"/>
  <c r="S517" i="1"/>
  <c r="Q518" i="1"/>
  <c r="S525" i="1"/>
  <c r="Q526" i="1"/>
  <c r="S533" i="1"/>
  <c r="Q534" i="1"/>
  <c r="S541" i="1"/>
  <c r="Q542" i="1"/>
  <c r="S549" i="1"/>
  <c r="Q550" i="1"/>
  <c r="S557" i="1"/>
  <c r="Q558" i="1"/>
  <c r="S565" i="1"/>
  <c r="Q566" i="1"/>
  <c r="S573" i="1"/>
  <c r="Q574" i="1"/>
  <c r="S581" i="1"/>
  <c r="Q582" i="1"/>
  <c r="S589" i="1"/>
  <c r="Q590" i="1"/>
  <c r="S597" i="1"/>
  <c r="Q598" i="1"/>
  <c r="S605" i="1"/>
  <c r="Q606" i="1"/>
  <c r="Q320" i="1"/>
  <c r="S377" i="1"/>
  <c r="S431" i="1"/>
  <c r="R447" i="1"/>
  <c r="T454" i="1"/>
  <c r="Q476" i="1"/>
  <c r="R477" i="1"/>
  <c r="Q478" i="1"/>
  <c r="T485" i="1"/>
  <c r="R486" i="1"/>
  <c r="T493" i="1"/>
  <c r="R494" i="1"/>
  <c r="T501" i="1"/>
  <c r="R502" i="1"/>
  <c r="T509" i="1"/>
  <c r="R510" i="1"/>
  <c r="T517" i="1"/>
  <c r="R518" i="1"/>
  <c r="T525" i="1"/>
  <c r="R526" i="1"/>
  <c r="T533" i="1"/>
  <c r="R534" i="1"/>
  <c r="T541" i="1"/>
  <c r="R542" i="1"/>
  <c r="T549" i="1"/>
  <c r="R550" i="1"/>
  <c r="T557" i="1"/>
  <c r="R558" i="1"/>
  <c r="T565" i="1"/>
  <c r="R566" i="1"/>
  <c r="T573" i="1"/>
  <c r="R574" i="1"/>
  <c r="T581" i="1"/>
  <c r="R582" i="1"/>
  <c r="T589" i="1"/>
  <c r="R590" i="1"/>
  <c r="T597" i="1"/>
  <c r="R598" i="1"/>
  <c r="T605" i="1"/>
  <c r="R606" i="1"/>
  <c r="T613" i="1"/>
  <c r="Q352" i="1"/>
  <c r="Q455" i="1"/>
  <c r="Q471" i="1"/>
  <c r="R476" i="1"/>
  <c r="S477" i="1"/>
  <c r="R478" i="1"/>
  <c r="Q479" i="1"/>
  <c r="S486" i="1"/>
  <c r="Q487" i="1"/>
  <c r="S494" i="1"/>
  <c r="Q495" i="1"/>
  <c r="S502" i="1"/>
  <c r="Q503" i="1"/>
  <c r="S510" i="1"/>
  <c r="Q511" i="1"/>
  <c r="S518" i="1"/>
  <c r="Q519" i="1"/>
  <c r="S526" i="1"/>
  <c r="Q527" i="1"/>
  <c r="S534" i="1"/>
  <c r="Q535" i="1"/>
  <c r="S542" i="1"/>
  <c r="Q543" i="1"/>
  <c r="S550" i="1"/>
  <c r="Q551" i="1"/>
  <c r="S558" i="1"/>
  <c r="Q559" i="1"/>
  <c r="S566" i="1"/>
  <c r="Q567" i="1"/>
  <c r="S574" i="1"/>
  <c r="Q575" i="1"/>
  <c r="S582" i="1"/>
  <c r="Q583" i="1"/>
  <c r="S590" i="1"/>
  <c r="Q591" i="1"/>
  <c r="S598" i="1"/>
  <c r="Q599" i="1"/>
  <c r="S606" i="1"/>
  <c r="Q607" i="1"/>
  <c r="S409" i="1"/>
  <c r="R455" i="1"/>
  <c r="S462" i="1"/>
  <c r="R471" i="1"/>
  <c r="S476" i="1"/>
  <c r="T477" i="1"/>
  <c r="S478" i="1"/>
  <c r="R479" i="1"/>
  <c r="T486" i="1"/>
  <c r="R487" i="1"/>
  <c r="T494" i="1"/>
  <c r="R495" i="1"/>
  <c r="T502" i="1"/>
  <c r="R503" i="1"/>
  <c r="T510" i="1"/>
  <c r="R511" i="1"/>
  <c r="T518" i="1"/>
  <c r="R519" i="1"/>
  <c r="T526" i="1"/>
  <c r="R527" i="1"/>
  <c r="T534" i="1"/>
  <c r="R535" i="1"/>
  <c r="T542" i="1"/>
  <c r="R543" i="1"/>
  <c r="T550" i="1"/>
  <c r="R551" i="1"/>
  <c r="T558" i="1"/>
  <c r="R559" i="1"/>
  <c r="T566" i="1"/>
  <c r="R567" i="1"/>
  <c r="T574" i="1"/>
  <c r="R575" i="1"/>
  <c r="T582" i="1"/>
  <c r="R583" i="1"/>
  <c r="T590" i="1"/>
  <c r="R591" i="1"/>
  <c r="T598" i="1"/>
  <c r="R599" i="1"/>
  <c r="S327" i="1"/>
  <c r="Q384" i="1"/>
  <c r="T462" i="1"/>
  <c r="S467" i="1"/>
  <c r="T476" i="1"/>
  <c r="T478" i="1"/>
  <c r="S479" i="1"/>
  <c r="Q480" i="1"/>
  <c r="S487" i="1"/>
  <c r="Q488" i="1"/>
  <c r="S495" i="1"/>
  <c r="Q496" i="1"/>
  <c r="S503" i="1"/>
  <c r="Q504" i="1"/>
  <c r="S511" i="1"/>
  <c r="Q512" i="1"/>
  <c r="S519" i="1"/>
  <c r="Q520" i="1"/>
  <c r="S527" i="1"/>
  <c r="Q528" i="1"/>
  <c r="S535" i="1"/>
  <c r="Q536" i="1"/>
  <c r="S543" i="1"/>
  <c r="Q544" i="1"/>
  <c r="S551" i="1"/>
  <c r="Q552" i="1"/>
  <c r="S559" i="1"/>
  <c r="Q560" i="1"/>
  <c r="S567" i="1"/>
  <c r="Q568" i="1"/>
  <c r="S575" i="1"/>
  <c r="Q576" i="1"/>
  <c r="S583" i="1"/>
  <c r="Q584" i="1"/>
  <c r="S591" i="1"/>
  <c r="Q592" i="1"/>
  <c r="S599" i="1"/>
  <c r="Q600" i="1"/>
  <c r="S607" i="1"/>
  <c r="Q608" i="1"/>
  <c r="Q475" i="1"/>
  <c r="T479" i="1"/>
  <c r="R480" i="1"/>
  <c r="T487" i="1"/>
  <c r="R488" i="1"/>
  <c r="T495" i="1"/>
  <c r="R496" i="1"/>
  <c r="T503" i="1"/>
  <c r="R504" i="1"/>
  <c r="T511" i="1"/>
  <c r="R512" i="1"/>
  <c r="T519" i="1"/>
  <c r="R520" i="1"/>
  <c r="T527" i="1"/>
  <c r="R528" i="1"/>
  <c r="T535" i="1"/>
  <c r="R536" i="1"/>
  <c r="T543" i="1"/>
  <c r="R544" i="1"/>
  <c r="T551" i="1"/>
  <c r="R552" i="1"/>
  <c r="T559" i="1"/>
  <c r="R560" i="1"/>
  <c r="T567" i="1"/>
  <c r="R568" i="1"/>
  <c r="T575" i="1"/>
  <c r="R576" i="1"/>
  <c r="T583" i="1"/>
  <c r="R584" i="1"/>
  <c r="T591" i="1"/>
  <c r="R592" i="1"/>
  <c r="T599" i="1"/>
  <c r="R600" i="1"/>
  <c r="T607" i="1"/>
  <c r="R608" i="1"/>
  <c r="S359" i="1"/>
  <c r="Q416" i="1"/>
  <c r="Q463" i="1"/>
  <c r="R475" i="1"/>
  <c r="S480" i="1"/>
  <c r="Q481" i="1"/>
  <c r="S488" i="1"/>
  <c r="Q489" i="1"/>
  <c r="S496" i="1"/>
  <c r="Q497" i="1"/>
  <c r="S504" i="1"/>
  <c r="Q505" i="1"/>
  <c r="S512" i="1"/>
  <c r="Q513" i="1"/>
  <c r="S520" i="1"/>
  <c r="Q521" i="1"/>
  <c r="S528" i="1"/>
  <c r="Q529" i="1"/>
  <c r="S536" i="1"/>
  <c r="Q537" i="1"/>
  <c r="S544" i="1"/>
  <c r="Q545" i="1"/>
  <c r="S552" i="1"/>
  <c r="Q553" i="1"/>
  <c r="S560" i="1"/>
  <c r="Q561" i="1"/>
  <c r="S568" i="1"/>
  <c r="Q569" i="1"/>
  <c r="S576" i="1"/>
  <c r="Q577" i="1"/>
  <c r="S584" i="1"/>
  <c r="Q585" i="1"/>
  <c r="S592" i="1"/>
  <c r="Q593" i="1"/>
  <c r="S600" i="1"/>
  <c r="Q601" i="1"/>
  <c r="S608" i="1"/>
  <c r="Q609" i="1"/>
  <c r="R463" i="1"/>
  <c r="Q468" i="1"/>
  <c r="S475" i="1"/>
  <c r="T480" i="1"/>
  <c r="R481" i="1"/>
  <c r="T488" i="1"/>
  <c r="R489" i="1"/>
  <c r="T496" i="1"/>
  <c r="R497" i="1"/>
  <c r="T504" i="1"/>
  <c r="R505" i="1"/>
  <c r="T512" i="1"/>
  <c r="R513" i="1"/>
  <c r="T520" i="1"/>
  <c r="R521" i="1"/>
  <c r="T528" i="1"/>
  <c r="R529" i="1"/>
  <c r="T536" i="1"/>
  <c r="R537" i="1"/>
  <c r="T544" i="1"/>
  <c r="R545" i="1"/>
  <c r="T552" i="1"/>
  <c r="R553" i="1"/>
  <c r="T560" i="1"/>
  <c r="R561" i="1"/>
  <c r="T568" i="1"/>
  <c r="R569" i="1"/>
  <c r="T576" i="1"/>
  <c r="R577" i="1"/>
  <c r="T584" i="1"/>
  <c r="R585" i="1"/>
  <c r="T592" i="1"/>
  <c r="R593" i="1"/>
  <c r="T600" i="1"/>
  <c r="R601" i="1"/>
  <c r="T608" i="1"/>
  <c r="R609" i="1"/>
  <c r="T272" i="1"/>
  <c r="S391" i="1"/>
  <c r="S481" i="1"/>
  <c r="Q482" i="1"/>
  <c r="S489" i="1"/>
  <c r="Q490" i="1"/>
  <c r="S497" i="1"/>
  <c r="Q498" i="1"/>
  <c r="S505" i="1"/>
  <c r="Q506" i="1"/>
  <c r="S513" i="1"/>
  <c r="Q514" i="1"/>
  <c r="S521" i="1"/>
  <c r="Q522" i="1"/>
  <c r="S529" i="1"/>
  <c r="Q530" i="1"/>
  <c r="S537" i="1"/>
  <c r="Q538" i="1"/>
  <c r="S545" i="1"/>
  <c r="Q546" i="1"/>
  <c r="S553" i="1"/>
  <c r="Q554" i="1"/>
  <c r="S561" i="1"/>
  <c r="Q562" i="1"/>
  <c r="S569" i="1"/>
  <c r="Q570" i="1"/>
  <c r="S577" i="1"/>
  <c r="Q578" i="1"/>
  <c r="S585" i="1"/>
  <c r="Q586" i="1"/>
  <c r="S593" i="1"/>
  <c r="Q594" i="1"/>
  <c r="S601" i="1"/>
  <c r="Q602" i="1"/>
  <c r="S609" i="1"/>
  <c r="Q610" i="1"/>
  <c r="Q531" i="1"/>
  <c r="S538" i="1"/>
  <c r="Q595" i="1"/>
  <c r="S602" i="1"/>
  <c r="S614" i="1"/>
  <c r="S616" i="1"/>
  <c r="Q617" i="1"/>
  <c r="S624" i="1"/>
  <c r="Q625" i="1"/>
  <c r="S632" i="1"/>
  <c r="Q633" i="1"/>
  <c r="S640" i="1"/>
  <c r="Q641" i="1"/>
  <c r="S648" i="1"/>
  <c r="Q649" i="1"/>
  <c r="S656" i="1"/>
  <c r="Q657" i="1"/>
  <c r="S664" i="1"/>
  <c r="Q665" i="1"/>
  <c r="S672" i="1"/>
  <c r="Q673" i="1"/>
  <c r="S680" i="1"/>
  <c r="Q681" i="1"/>
  <c r="S688" i="1"/>
  <c r="Q689" i="1"/>
  <c r="S696" i="1"/>
  <c r="Q697" i="1"/>
  <c r="S704" i="1"/>
  <c r="Q705" i="1"/>
  <c r="S712" i="1"/>
  <c r="Q713" i="1"/>
  <c r="S720" i="1"/>
  <c r="Q721" i="1"/>
  <c r="S728" i="1"/>
  <c r="Q729" i="1"/>
  <c r="S736" i="1"/>
  <c r="Q737" i="1"/>
  <c r="R482" i="1"/>
  <c r="T489" i="1"/>
  <c r="R546" i="1"/>
  <c r="T553" i="1"/>
  <c r="Q611" i="1"/>
  <c r="T614" i="1"/>
  <c r="T616" i="1"/>
  <c r="R617" i="1"/>
  <c r="T624" i="1"/>
  <c r="R625" i="1"/>
  <c r="T632" i="1"/>
  <c r="R633" i="1"/>
  <c r="T640" i="1"/>
  <c r="R641" i="1"/>
  <c r="T648" i="1"/>
  <c r="R649" i="1"/>
  <c r="T656" i="1"/>
  <c r="R657" i="1"/>
  <c r="T664" i="1"/>
  <c r="R665" i="1"/>
  <c r="T672" i="1"/>
  <c r="R673" i="1"/>
  <c r="T680" i="1"/>
  <c r="R681" i="1"/>
  <c r="T688" i="1"/>
  <c r="R689" i="1"/>
  <c r="T696" i="1"/>
  <c r="R697" i="1"/>
  <c r="T704" i="1"/>
  <c r="R705" i="1"/>
  <c r="T712" i="1"/>
  <c r="R713" i="1"/>
  <c r="T720" i="1"/>
  <c r="R721" i="1"/>
  <c r="T728" i="1"/>
  <c r="R729" i="1"/>
  <c r="T736" i="1"/>
  <c r="R737" i="1"/>
  <c r="T744" i="1"/>
  <c r="S423" i="1"/>
  <c r="S482" i="1"/>
  <c r="Q539" i="1"/>
  <c r="S546" i="1"/>
  <c r="Q603" i="1"/>
  <c r="S611" i="1"/>
  <c r="Q613" i="1"/>
  <c r="S617" i="1"/>
  <c r="Q618" i="1"/>
  <c r="S625" i="1"/>
  <c r="Q626" i="1"/>
  <c r="S633" i="1"/>
  <c r="Q634" i="1"/>
  <c r="S641" i="1"/>
  <c r="Q642" i="1"/>
  <c r="S649" i="1"/>
  <c r="Q650" i="1"/>
  <c r="S657" i="1"/>
  <c r="Q658" i="1"/>
  <c r="S665" i="1"/>
  <c r="Q666" i="1"/>
  <c r="S673" i="1"/>
  <c r="Q674" i="1"/>
  <c r="S681" i="1"/>
  <c r="Q682" i="1"/>
  <c r="S689" i="1"/>
  <c r="Q690" i="1"/>
  <c r="S697" i="1"/>
  <c r="Q698" i="1"/>
  <c r="S705" i="1"/>
  <c r="Q706" i="1"/>
  <c r="S713" i="1"/>
  <c r="Q714" i="1"/>
  <c r="S721" i="1"/>
  <c r="Q722" i="1"/>
  <c r="S729" i="1"/>
  <c r="Q730" i="1"/>
  <c r="S737" i="1"/>
  <c r="Q738" i="1"/>
  <c r="R490" i="1"/>
  <c r="T497" i="1"/>
  <c r="R554" i="1"/>
  <c r="T561" i="1"/>
  <c r="R613" i="1"/>
  <c r="T617" i="1"/>
  <c r="R618" i="1"/>
  <c r="T625" i="1"/>
  <c r="R626" i="1"/>
  <c r="T633" i="1"/>
  <c r="R634" i="1"/>
  <c r="T641" i="1"/>
  <c r="R642" i="1"/>
  <c r="T649" i="1"/>
  <c r="R650" i="1"/>
  <c r="T657" i="1"/>
  <c r="R658" i="1"/>
  <c r="T665" i="1"/>
  <c r="R666" i="1"/>
  <c r="T673" i="1"/>
  <c r="R674" i="1"/>
  <c r="T681" i="1"/>
  <c r="R682" i="1"/>
  <c r="T689" i="1"/>
  <c r="R690" i="1"/>
  <c r="T697" i="1"/>
  <c r="R698" i="1"/>
  <c r="T705" i="1"/>
  <c r="R706" i="1"/>
  <c r="T713" i="1"/>
  <c r="R714" i="1"/>
  <c r="T721" i="1"/>
  <c r="R722" i="1"/>
  <c r="T729" i="1"/>
  <c r="R730" i="1"/>
  <c r="T737" i="1"/>
  <c r="R738" i="1"/>
  <c r="Q483" i="1"/>
  <c r="S490" i="1"/>
  <c r="Q547" i="1"/>
  <c r="S554" i="1"/>
  <c r="S613" i="1"/>
  <c r="S618" i="1"/>
  <c r="Q619" i="1"/>
  <c r="S626" i="1"/>
  <c r="Q627" i="1"/>
  <c r="S634" i="1"/>
  <c r="Q635" i="1"/>
  <c r="S642" i="1"/>
  <c r="Q643" i="1"/>
  <c r="S650" i="1"/>
  <c r="Q651" i="1"/>
  <c r="S658" i="1"/>
  <c r="Q659" i="1"/>
  <c r="S666" i="1"/>
  <c r="Q667" i="1"/>
  <c r="S674" i="1"/>
  <c r="Q675" i="1"/>
  <c r="S682" i="1"/>
  <c r="Q683" i="1"/>
  <c r="S690" i="1"/>
  <c r="Q691" i="1"/>
  <c r="S698" i="1"/>
  <c r="Q699" i="1"/>
  <c r="S706" i="1"/>
  <c r="Q707" i="1"/>
  <c r="S714" i="1"/>
  <c r="Q715" i="1"/>
  <c r="S722" i="1"/>
  <c r="Q723" i="1"/>
  <c r="S730" i="1"/>
  <c r="Q731" i="1"/>
  <c r="S738" i="1"/>
  <c r="Q739" i="1"/>
  <c r="R498" i="1"/>
  <c r="T505" i="1"/>
  <c r="R562" i="1"/>
  <c r="T569" i="1"/>
  <c r="T618" i="1"/>
  <c r="R619" i="1"/>
  <c r="T626" i="1"/>
  <c r="R627" i="1"/>
  <c r="T634" i="1"/>
  <c r="R635" i="1"/>
  <c r="T642" i="1"/>
  <c r="R643" i="1"/>
  <c r="T650" i="1"/>
  <c r="R651" i="1"/>
  <c r="T658" i="1"/>
  <c r="R659" i="1"/>
  <c r="T666" i="1"/>
  <c r="R667" i="1"/>
  <c r="T674" i="1"/>
  <c r="R675" i="1"/>
  <c r="T682" i="1"/>
  <c r="R683" i="1"/>
  <c r="T690" i="1"/>
  <c r="R691" i="1"/>
  <c r="T698" i="1"/>
  <c r="R699" i="1"/>
  <c r="T706" i="1"/>
  <c r="R707" i="1"/>
  <c r="T714" i="1"/>
  <c r="R715" i="1"/>
  <c r="T722" i="1"/>
  <c r="R723" i="1"/>
  <c r="T730" i="1"/>
  <c r="R731" i="1"/>
  <c r="T738" i="1"/>
  <c r="R739" i="1"/>
  <c r="Q491" i="1"/>
  <c r="S498" i="1"/>
  <c r="Q555" i="1"/>
  <c r="S562" i="1"/>
  <c r="T609" i="1"/>
  <c r="S619" i="1"/>
  <c r="Q620" i="1"/>
  <c r="S627" i="1"/>
  <c r="Q628" i="1"/>
  <c r="S635" i="1"/>
  <c r="Q636" i="1"/>
  <c r="S643" i="1"/>
  <c r="Q644" i="1"/>
  <c r="S651" i="1"/>
  <c r="Q652" i="1"/>
  <c r="S659" i="1"/>
  <c r="Q660" i="1"/>
  <c r="S667" i="1"/>
  <c r="Q668" i="1"/>
  <c r="S675" i="1"/>
  <c r="Q676" i="1"/>
  <c r="S683" i="1"/>
  <c r="Q684" i="1"/>
  <c r="S691" i="1"/>
  <c r="Q692" i="1"/>
  <c r="S699" i="1"/>
  <c r="Q700" i="1"/>
  <c r="S707" i="1"/>
  <c r="Q708" i="1"/>
  <c r="S715" i="1"/>
  <c r="Q716" i="1"/>
  <c r="S723" i="1"/>
  <c r="Q724" i="1"/>
  <c r="S731" i="1"/>
  <c r="Q732" i="1"/>
  <c r="S739" i="1"/>
  <c r="Q740" i="1"/>
  <c r="R506" i="1"/>
  <c r="T513" i="1"/>
  <c r="R570" i="1"/>
  <c r="T577" i="1"/>
  <c r="T619" i="1"/>
  <c r="R620" i="1"/>
  <c r="T627" i="1"/>
  <c r="R628" i="1"/>
  <c r="T635" i="1"/>
  <c r="R636" i="1"/>
  <c r="T643" i="1"/>
  <c r="R644" i="1"/>
  <c r="T651" i="1"/>
  <c r="R652" i="1"/>
  <c r="T659" i="1"/>
  <c r="R660" i="1"/>
  <c r="T667" i="1"/>
  <c r="R668" i="1"/>
  <c r="T675" i="1"/>
  <c r="R676" i="1"/>
  <c r="T683" i="1"/>
  <c r="R684" i="1"/>
  <c r="T691" i="1"/>
  <c r="R692" i="1"/>
  <c r="T699" i="1"/>
  <c r="R700" i="1"/>
  <c r="T707" i="1"/>
  <c r="R708" i="1"/>
  <c r="T715" i="1"/>
  <c r="R716" i="1"/>
  <c r="T723" i="1"/>
  <c r="R724" i="1"/>
  <c r="T731" i="1"/>
  <c r="R732" i="1"/>
  <c r="T739" i="1"/>
  <c r="R740" i="1"/>
  <c r="Q499" i="1"/>
  <c r="S506" i="1"/>
  <c r="Q563" i="1"/>
  <c r="S570" i="1"/>
  <c r="S620" i="1"/>
  <c r="Q621" i="1"/>
  <c r="S628" i="1"/>
  <c r="Q629" i="1"/>
  <c r="S636" i="1"/>
  <c r="Q637" i="1"/>
  <c r="S644" i="1"/>
  <c r="Q645" i="1"/>
  <c r="S652" i="1"/>
  <c r="Q653" i="1"/>
  <c r="S660" i="1"/>
  <c r="Q661" i="1"/>
  <c r="S668" i="1"/>
  <c r="Q669" i="1"/>
  <c r="S676" i="1"/>
  <c r="Q677" i="1"/>
  <c r="S684" i="1"/>
  <c r="Q685" i="1"/>
  <c r="S692" i="1"/>
  <c r="Q693" i="1"/>
  <c r="S700" i="1"/>
  <c r="Q701" i="1"/>
  <c r="S708" i="1"/>
  <c r="Q709" i="1"/>
  <c r="S716" i="1"/>
  <c r="Q717" i="1"/>
  <c r="S724" i="1"/>
  <c r="Q725" i="1"/>
  <c r="S732" i="1"/>
  <c r="Q733" i="1"/>
  <c r="T274" i="1"/>
  <c r="R514" i="1"/>
  <c r="T521" i="1"/>
  <c r="R578" i="1"/>
  <c r="T585" i="1"/>
  <c r="Q612" i="1"/>
  <c r="T620" i="1"/>
  <c r="R621" i="1"/>
  <c r="T628" i="1"/>
  <c r="R629" i="1"/>
  <c r="T636" i="1"/>
  <c r="R637" i="1"/>
  <c r="T644" i="1"/>
  <c r="R645" i="1"/>
  <c r="T652" i="1"/>
  <c r="R653" i="1"/>
  <c r="T660" i="1"/>
  <c r="R661" i="1"/>
  <c r="T668" i="1"/>
  <c r="R669" i="1"/>
  <c r="T676" i="1"/>
  <c r="R677" i="1"/>
  <c r="T684" i="1"/>
  <c r="R685" i="1"/>
  <c r="T692" i="1"/>
  <c r="R693" i="1"/>
  <c r="T700" i="1"/>
  <c r="R701" i="1"/>
  <c r="T708" i="1"/>
  <c r="R709" i="1"/>
  <c r="T716" i="1"/>
  <c r="R717" i="1"/>
  <c r="T724" i="1"/>
  <c r="R725" i="1"/>
  <c r="T732" i="1"/>
  <c r="R733" i="1"/>
  <c r="T740" i="1"/>
  <c r="R741" i="1"/>
  <c r="Q291" i="1"/>
  <c r="Q507" i="1"/>
  <c r="S514" i="1"/>
  <c r="Q571" i="1"/>
  <c r="S578" i="1"/>
  <c r="R610" i="1"/>
  <c r="S612" i="1"/>
  <c r="S621" i="1"/>
  <c r="Q622" i="1"/>
  <c r="S629" i="1"/>
  <c r="Q630" i="1"/>
  <c r="S637" i="1"/>
  <c r="Q638" i="1"/>
  <c r="S645" i="1"/>
  <c r="Q646" i="1"/>
  <c r="S653" i="1"/>
  <c r="Q654" i="1"/>
  <c r="S661" i="1"/>
  <c r="Q662" i="1"/>
  <c r="S669" i="1"/>
  <c r="Q670" i="1"/>
  <c r="S677" i="1"/>
  <c r="Q678" i="1"/>
  <c r="S685" i="1"/>
  <c r="Q686" i="1"/>
  <c r="S693" i="1"/>
  <c r="Q694" i="1"/>
  <c r="S701" i="1"/>
  <c r="Q702" i="1"/>
  <c r="S709" i="1"/>
  <c r="Q710" i="1"/>
  <c r="S717" i="1"/>
  <c r="Q718" i="1"/>
  <c r="S725" i="1"/>
  <c r="Q726" i="1"/>
  <c r="S733" i="1"/>
  <c r="Q734" i="1"/>
  <c r="S741" i="1"/>
  <c r="R522" i="1"/>
  <c r="T529" i="1"/>
  <c r="R586" i="1"/>
  <c r="T593" i="1"/>
  <c r="T606" i="1"/>
  <c r="S610" i="1"/>
  <c r="T621" i="1"/>
  <c r="R622" i="1"/>
  <c r="T629" i="1"/>
  <c r="R630" i="1"/>
  <c r="T637" i="1"/>
  <c r="R638" i="1"/>
  <c r="T645" i="1"/>
  <c r="R646" i="1"/>
  <c r="T653" i="1"/>
  <c r="R654" i="1"/>
  <c r="T661" i="1"/>
  <c r="R662" i="1"/>
  <c r="T669" i="1"/>
  <c r="R670" i="1"/>
  <c r="T677" i="1"/>
  <c r="R678" i="1"/>
  <c r="T685" i="1"/>
  <c r="R686" i="1"/>
  <c r="T693" i="1"/>
  <c r="R694" i="1"/>
  <c r="T701" i="1"/>
  <c r="R702" i="1"/>
  <c r="T709" i="1"/>
  <c r="R710" i="1"/>
  <c r="T717" i="1"/>
  <c r="R718" i="1"/>
  <c r="T725" i="1"/>
  <c r="R726" i="1"/>
  <c r="T733" i="1"/>
  <c r="R734" i="1"/>
  <c r="T741" i="1"/>
  <c r="R742" i="1"/>
  <c r="Q515" i="1"/>
  <c r="S522" i="1"/>
  <c r="Q579" i="1"/>
  <c r="S586" i="1"/>
  <c r="Q615" i="1"/>
  <c r="S622" i="1"/>
  <c r="Q623" i="1"/>
  <c r="S630" i="1"/>
  <c r="Q631" i="1"/>
  <c r="S638" i="1"/>
  <c r="Q639" i="1"/>
  <c r="S646" i="1"/>
  <c r="Q647" i="1"/>
  <c r="S654" i="1"/>
  <c r="Q655" i="1"/>
  <c r="S662" i="1"/>
  <c r="Q663" i="1"/>
  <c r="S670" i="1"/>
  <c r="Q671" i="1"/>
  <c r="S678" i="1"/>
  <c r="Q679" i="1"/>
  <c r="S686" i="1"/>
  <c r="Q687" i="1"/>
  <c r="S694" i="1"/>
  <c r="Q695" i="1"/>
  <c r="S702" i="1"/>
  <c r="Q703" i="1"/>
  <c r="S710" i="1"/>
  <c r="Q711" i="1"/>
  <c r="S718" i="1"/>
  <c r="Q719" i="1"/>
  <c r="S726" i="1"/>
  <c r="Q727" i="1"/>
  <c r="S734" i="1"/>
  <c r="Q735" i="1"/>
  <c r="R530" i="1"/>
  <c r="T537" i="1"/>
  <c r="R594" i="1"/>
  <c r="T601" i="1"/>
  <c r="R615" i="1"/>
  <c r="T622" i="1"/>
  <c r="R623" i="1"/>
  <c r="T630" i="1"/>
  <c r="R631" i="1"/>
  <c r="T638" i="1"/>
  <c r="R639" i="1"/>
  <c r="T646" i="1"/>
  <c r="R647" i="1"/>
  <c r="T654" i="1"/>
  <c r="R655" i="1"/>
  <c r="T662" i="1"/>
  <c r="R663" i="1"/>
  <c r="T670" i="1"/>
  <c r="R671" i="1"/>
  <c r="T678" i="1"/>
  <c r="R679" i="1"/>
  <c r="T686" i="1"/>
  <c r="R687" i="1"/>
  <c r="T694" i="1"/>
  <c r="R695" i="1"/>
  <c r="T702" i="1"/>
  <c r="R703" i="1"/>
  <c r="T710" i="1"/>
  <c r="R711" i="1"/>
  <c r="T718" i="1"/>
  <c r="R719" i="1"/>
  <c r="T726" i="1"/>
  <c r="R727" i="1"/>
  <c r="T734" i="1"/>
  <c r="R735" i="1"/>
  <c r="T545" i="1"/>
  <c r="R602" i="1"/>
  <c r="R632" i="1"/>
  <c r="T639" i="1"/>
  <c r="R696" i="1"/>
  <c r="T703" i="1"/>
  <c r="T751" i="1"/>
  <c r="R752" i="1"/>
  <c r="T759" i="1"/>
  <c r="R760" i="1"/>
  <c r="T767" i="1"/>
  <c r="R768" i="1"/>
  <c r="T775" i="1"/>
  <c r="R776" i="1"/>
  <c r="T783" i="1"/>
  <c r="R784" i="1"/>
  <c r="T791" i="1"/>
  <c r="R792" i="1"/>
  <c r="T799" i="1"/>
  <c r="R800" i="1"/>
  <c r="T807" i="1"/>
  <c r="R808" i="1"/>
  <c r="T815" i="1"/>
  <c r="R816" i="1"/>
  <c r="T823" i="1"/>
  <c r="R824" i="1"/>
  <c r="T831" i="1"/>
  <c r="R832" i="1"/>
  <c r="T839" i="1"/>
  <c r="R840" i="1"/>
  <c r="T847" i="1"/>
  <c r="R848" i="1"/>
  <c r="T855" i="1"/>
  <c r="R856" i="1"/>
  <c r="T863" i="1"/>
  <c r="R864" i="1"/>
  <c r="T871" i="1"/>
  <c r="R872" i="1"/>
  <c r="R607" i="1"/>
  <c r="Q640" i="1"/>
  <c r="S647" i="1"/>
  <c r="Q704" i="1"/>
  <c r="S711" i="1"/>
  <c r="Q745" i="1"/>
  <c r="S752" i="1"/>
  <c r="Q753" i="1"/>
  <c r="S760" i="1"/>
  <c r="Q761" i="1"/>
  <c r="S768" i="1"/>
  <c r="Q769" i="1"/>
  <c r="S776" i="1"/>
  <c r="Q777" i="1"/>
  <c r="S784" i="1"/>
  <c r="Q785" i="1"/>
  <c r="S792" i="1"/>
  <c r="Q793" i="1"/>
  <c r="S800" i="1"/>
  <c r="Q801" i="1"/>
  <c r="S808" i="1"/>
  <c r="Q809" i="1"/>
  <c r="S816" i="1"/>
  <c r="Q817" i="1"/>
  <c r="S824" i="1"/>
  <c r="Q825" i="1"/>
  <c r="S832" i="1"/>
  <c r="Q833" i="1"/>
  <c r="S840" i="1"/>
  <c r="Q841" i="1"/>
  <c r="S848" i="1"/>
  <c r="Q849" i="1"/>
  <c r="S856" i="1"/>
  <c r="Q857" i="1"/>
  <c r="S864" i="1"/>
  <c r="Q865" i="1"/>
  <c r="R640" i="1"/>
  <c r="T647" i="1"/>
  <c r="R704" i="1"/>
  <c r="T711" i="1"/>
  <c r="R745" i="1"/>
  <c r="T752" i="1"/>
  <c r="R753" i="1"/>
  <c r="T760" i="1"/>
  <c r="R761" i="1"/>
  <c r="T768" i="1"/>
  <c r="R769" i="1"/>
  <c r="T776" i="1"/>
  <c r="R777" i="1"/>
  <c r="T784" i="1"/>
  <c r="R785" i="1"/>
  <c r="T792" i="1"/>
  <c r="R793" i="1"/>
  <c r="T800" i="1"/>
  <c r="R801" i="1"/>
  <c r="T808" i="1"/>
  <c r="R809" i="1"/>
  <c r="T816" i="1"/>
  <c r="R817" i="1"/>
  <c r="T824" i="1"/>
  <c r="R825" i="1"/>
  <c r="T832" i="1"/>
  <c r="R833" i="1"/>
  <c r="T840" i="1"/>
  <c r="R841" i="1"/>
  <c r="T848" i="1"/>
  <c r="R849" i="1"/>
  <c r="T856" i="1"/>
  <c r="R857" i="1"/>
  <c r="T864" i="1"/>
  <c r="R865" i="1"/>
  <c r="T872" i="1"/>
  <c r="R873" i="1"/>
  <c r="Q648" i="1"/>
  <c r="S655" i="1"/>
  <c r="Q712" i="1"/>
  <c r="S719" i="1"/>
  <c r="Q744" i="1"/>
  <c r="S745" i="1"/>
  <c r="Q746" i="1"/>
  <c r="S753" i="1"/>
  <c r="Q754" i="1"/>
  <c r="S761" i="1"/>
  <c r="Q762" i="1"/>
  <c r="S769" i="1"/>
  <c r="Q770" i="1"/>
  <c r="S777" i="1"/>
  <c r="Q778" i="1"/>
  <c r="S785" i="1"/>
  <c r="Q786" i="1"/>
  <c r="S793" i="1"/>
  <c r="Q794" i="1"/>
  <c r="S801" i="1"/>
  <c r="Q802" i="1"/>
  <c r="S809" i="1"/>
  <c r="Q810" i="1"/>
  <c r="S817" i="1"/>
  <c r="Q818" i="1"/>
  <c r="S825" i="1"/>
  <c r="Q826" i="1"/>
  <c r="S833" i="1"/>
  <c r="Q834" i="1"/>
  <c r="S841" i="1"/>
  <c r="Q842" i="1"/>
  <c r="S849" i="1"/>
  <c r="Q850" i="1"/>
  <c r="S857" i="1"/>
  <c r="Q858" i="1"/>
  <c r="S865" i="1"/>
  <c r="Q866" i="1"/>
  <c r="S873" i="1"/>
  <c r="R648" i="1"/>
  <c r="T655" i="1"/>
  <c r="R712" i="1"/>
  <c r="T719" i="1"/>
  <c r="R744" i="1"/>
  <c r="T745" i="1"/>
  <c r="R746" i="1"/>
  <c r="T753" i="1"/>
  <c r="R754" i="1"/>
  <c r="T761" i="1"/>
  <c r="R762" i="1"/>
  <c r="T769" i="1"/>
  <c r="R770" i="1"/>
  <c r="T777" i="1"/>
  <c r="R778" i="1"/>
  <c r="T785" i="1"/>
  <c r="R786" i="1"/>
  <c r="T793" i="1"/>
  <c r="R794" i="1"/>
  <c r="T801" i="1"/>
  <c r="R802" i="1"/>
  <c r="T809" i="1"/>
  <c r="R810" i="1"/>
  <c r="T817" i="1"/>
  <c r="R818" i="1"/>
  <c r="T825" i="1"/>
  <c r="R826" i="1"/>
  <c r="T833" i="1"/>
  <c r="R834" i="1"/>
  <c r="T841" i="1"/>
  <c r="R842" i="1"/>
  <c r="T849" i="1"/>
  <c r="R850" i="1"/>
  <c r="T857" i="1"/>
  <c r="R858" i="1"/>
  <c r="T865" i="1"/>
  <c r="R866" i="1"/>
  <c r="T873" i="1"/>
  <c r="R874" i="1"/>
  <c r="Q656" i="1"/>
  <c r="S663" i="1"/>
  <c r="Q720" i="1"/>
  <c r="S727" i="1"/>
  <c r="Q743" i="1"/>
  <c r="S744" i="1"/>
  <c r="S746" i="1"/>
  <c r="Q747" i="1"/>
  <c r="S754" i="1"/>
  <c r="Q755" i="1"/>
  <c r="S762" i="1"/>
  <c r="Q763" i="1"/>
  <c r="S770" i="1"/>
  <c r="Q771" i="1"/>
  <c r="S778" i="1"/>
  <c r="Q779" i="1"/>
  <c r="S786" i="1"/>
  <c r="Q787" i="1"/>
  <c r="S794" i="1"/>
  <c r="Q795" i="1"/>
  <c r="S802" i="1"/>
  <c r="Q803" i="1"/>
  <c r="S810" i="1"/>
  <c r="Q811" i="1"/>
  <c r="S818" i="1"/>
  <c r="Q819" i="1"/>
  <c r="S826" i="1"/>
  <c r="Q827" i="1"/>
  <c r="S834" i="1"/>
  <c r="Q835" i="1"/>
  <c r="S842" i="1"/>
  <c r="Q843" i="1"/>
  <c r="S850" i="1"/>
  <c r="Q851" i="1"/>
  <c r="S858" i="1"/>
  <c r="Q859" i="1"/>
  <c r="S866" i="1"/>
  <c r="Q867" i="1"/>
  <c r="R656" i="1"/>
  <c r="T663" i="1"/>
  <c r="R720" i="1"/>
  <c r="T727" i="1"/>
  <c r="S740" i="1"/>
  <c r="R743" i="1"/>
  <c r="T746" i="1"/>
  <c r="R747" i="1"/>
  <c r="T754" i="1"/>
  <c r="R755" i="1"/>
  <c r="T762" i="1"/>
  <c r="R763" i="1"/>
  <c r="T770" i="1"/>
  <c r="R771" i="1"/>
  <c r="T778" i="1"/>
  <c r="R779" i="1"/>
  <c r="T786" i="1"/>
  <c r="R787" i="1"/>
  <c r="T794" i="1"/>
  <c r="R795" i="1"/>
  <c r="T802" i="1"/>
  <c r="R803" i="1"/>
  <c r="T810" i="1"/>
  <c r="R811" i="1"/>
  <c r="T818" i="1"/>
  <c r="R819" i="1"/>
  <c r="T826" i="1"/>
  <c r="R827" i="1"/>
  <c r="T834" i="1"/>
  <c r="R835" i="1"/>
  <c r="T842" i="1"/>
  <c r="R843" i="1"/>
  <c r="T850" i="1"/>
  <c r="R851" i="1"/>
  <c r="T858" i="1"/>
  <c r="R859" i="1"/>
  <c r="T866" i="1"/>
  <c r="R867" i="1"/>
  <c r="T874" i="1"/>
  <c r="Q614" i="1"/>
  <c r="Q664" i="1"/>
  <c r="S671" i="1"/>
  <c r="Q728" i="1"/>
  <c r="S735" i="1"/>
  <c r="S743" i="1"/>
  <c r="S747" i="1"/>
  <c r="Q748" i="1"/>
  <c r="S755" i="1"/>
  <c r="Q756" i="1"/>
  <c r="S763" i="1"/>
  <c r="Q764" i="1"/>
  <c r="S771" i="1"/>
  <c r="Q772" i="1"/>
  <c r="S779" i="1"/>
  <c r="Q780" i="1"/>
  <c r="S787" i="1"/>
  <c r="Q788" i="1"/>
  <c r="S795" i="1"/>
  <c r="Q796" i="1"/>
  <c r="S803" i="1"/>
  <c r="Q804" i="1"/>
  <c r="S811" i="1"/>
  <c r="Q812" i="1"/>
  <c r="S819" i="1"/>
  <c r="Q820" i="1"/>
  <c r="S827" i="1"/>
  <c r="Q828" i="1"/>
  <c r="S835" i="1"/>
  <c r="Q836" i="1"/>
  <c r="S843" i="1"/>
  <c r="Q844" i="1"/>
  <c r="S851" i="1"/>
  <c r="Q852" i="1"/>
  <c r="S859" i="1"/>
  <c r="Q860" i="1"/>
  <c r="S867" i="1"/>
  <c r="Q868" i="1"/>
  <c r="R614" i="1"/>
  <c r="R664" i="1"/>
  <c r="T671" i="1"/>
  <c r="R728" i="1"/>
  <c r="T735" i="1"/>
  <c r="Q742" i="1"/>
  <c r="T743" i="1"/>
  <c r="T747" i="1"/>
  <c r="R748" i="1"/>
  <c r="T755" i="1"/>
  <c r="R756" i="1"/>
  <c r="T763" i="1"/>
  <c r="R764" i="1"/>
  <c r="T771" i="1"/>
  <c r="R772" i="1"/>
  <c r="T779" i="1"/>
  <c r="R780" i="1"/>
  <c r="T787" i="1"/>
  <c r="R788" i="1"/>
  <c r="T795" i="1"/>
  <c r="R796" i="1"/>
  <c r="T803" i="1"/>
  <c r="R804" i="1"/>
  <c r="T811" i="1"/>
  <c r="R812" i="1"/>
  <c r="T819" i="1"/>
  <c r="R820" i="1"/>
  <c r="T827" i="1"/>
  <c r="R828" i="1"/>
  <c r="T835" i="1"/>
  <c r="R836" i="1"/>
  <c r="T843" i="1"/>
  <c r="R844" i="1"/>
  <c r="T851" i="1"/>
  <c r="R852" i="1"/>
  <c r="T859" i="1"/>
  <c r="R860" i="1"/>
  <c r="Q523" i="1"/>
  <c r="S615" i="1"/>
  <c r="Q672" i="1"/>
  <c r="S679" i="1"/>
  <c r="Q736" i="1"/>
  <c r="S742" i="1"/>
  <c r="S748" i="1"/>
  <c r="Q749" i="1"/>
  <c r="S756" i="1"/>
  <c r="Q757" i="1"/>
  <c r="S764" i="1"/>
  <c r="Q765" i="1"/>
  <c r="S772" i="1"/>
  <c r="Q773" i="1"/>
  <c r="S780" i="1"/>
  <c r="Q781" i="1"/>
  <c r="S788" i="1"/>
  <c r="Q789" i="1"/>
  <c r="S796" i="1"/>
  <c r="Q797" i="1"/>
  <c r="S804" i="1"/>
  <c r="Q805" i="1"/>
  <c r="S812" i="1"/>
  <c r="Q813" i="1"/>
  <c r="S820" i="1"/>
  <c r="Q821" i="1"/>
  <c r="S828" i="1"/>
  <c r="Q829" i="1"/>
  <c r="S836" i="1"/>
  <c r="Q837" i="1"/>
  <c r="S844" i="1"/>
  <c r="Q845" i="1"/>
  <c r="S852" i="1"/>
  <c r="Q853" i="1"/>
  <c r="S860" i="1"/>
  <c r="Q861" i="1"/>
  <c r="T615" i="1"/>
  <c r="R672" i="1"/>
  <c r="T679" i="1"/>
  <c r="R736" i="1"/>
  <c r="T742" i="1"/>
  <c r="T748" i="1"/>
  <c r="R749" i="1"/>
  <c r="T756" i="1"/>
  <c r="R757" i="1"/>
  <c r="T764" i="1"/>
  <c r="R765" i="1"/>
  <c r="T772" i="1"/>
  <c r="R773" i="1"/>
  <c r="T780" i="1"/>
  <c r="R781" i="1"/>
  <c r="T788" i="1"/>
  <c r="R789" i="1"/>
  <c r="T796" i="1"/>
  <c r="R797" i="1"/>
  <c r="T804" i="1"/>
  <c r="R805" i="1"/>
  <c r="T812" i="1"/>
  <c r="R813" i="1"/>
  <c r="T820" i="1"/>
  <c r="R821" i="1"/>
  <c r="T828" i="1"/>
  <c r="R829" i="1"/>
  <c r="T836" i="1"/>
  <c r="R837" i="1"/>
  <c r="T844" i="1"/>
  <c r="R845" i="1"/>
  <c r="T852" i="1"/>
  <c r="R853" i="1"/>
  <c r="T860" i="1"/>
  <c r="R861" i="1"/>
  <c r="S530" i="1"/>
  <c r="Q587" i="1"/>
  <c r="Q616" i="1"/>
  <c r="S623" i="1"/>
  <c r="Q680" i="1"/>
  <c r="S687" i="1"/>
  <c r="S749" i="1"/>
  <c r="Q750" i="1"/>
  <c r="S757" i="1"/>
  <c r="Q758" i="1"/>
  <c r="S765" i="1"/>
  <c r="Q766" i="1"/>
  <c r="S773" i="1"/>
  <c r="Q774" i="1"/>
  <c r="S781" i="1"/>
  <c r="Q782" i="1"/>
  <c r="S789" i="1"/>
  <c r="Q790" i="1"/>
  <c r="S797" i="1"/>
  <c r="Q798" i="1"/>
  <c r="S805" i="1"/>
  <c r="Q806" i="1"/>
  <c r="S813" i="1"/>
  <c r="Q814" i="1"/>
  <c r="S821" i="1"/>
  <c r="Q822" i="1"/>
  <c r="S829" i="1"/>
  <c r="Q830" i="1"/>
  <c r="S837" i="1"/>
  <c r="Q838" i="1"/>
  <c r="S845" i="1"/>
  <c r="Q846" i="1"/>
  <c r="S853" i="1"/>
  <c r="Q854" i="1"/>
  <c r="S861" i="1"/>
  <c r="Q862" i="1"/>
  <c r="S869" i="1"/>
  <c r="Q870" i="1"/>
  <c r="R616" i="1"/>
  <c r="T623" i="1"/>
  <c r="R680" i="1"/>
  <c r="T687" i="1"/>
  <c r="Q741" i="1"/>
  <c r="T749" i="1"/>
  <c r="R750" i="1"/>
  <c r="T757" i="1"/>
  <c r="R758" i="1"/>
  <c r="T765" i="1"/>
  <c r="R766" i="1"/>
  <c r="T773" i="1"/>
  <c r="R774" i="1"/>
  <c r="T781" i="1"/>
  <c r="R782" i="1"/>
  <c r="T789" i="1"/>
  <c r="R790" i="1"/>
  <c r="T797" i="1"/>
  <c r="R798" i="1"/>
  <c r="T805" i="1"/>
  <c r="R806" i="1"/>
  <c r="T813" i="1"/>
  <c r="R814" i="1"/>
  <c r="T821" i="1"/>
  <c r="R822" i="1"/>
  <c r="T829" i="1"/>
  <c r="R830" i="1"/>
  <c r="T837" i="1"/>
  <c r="R838" i="1"/>
  <c r="T845" i="1"/>
  <c r="R846" i="1"/>
  <c r="T853" i="1"/>
  <c r="R854" i="1"/>
  <c r="T861" i="1"/>
  <c r="R862" i="1"/>
  <c r="T869" i="1"/>
  <c r="R870" i="1"/>
  <c r="S594" i="1"/>
  <c r="Q624" i="1"/>
  <c r="S631" i="1"/>
  <c r="Q688" i="1"/>
  <c r="S695" i="1"/>
  <c r="S750" i="1"/>
  <c r="Q751" i="1"/>
  <c r="S758" i="1"/>
  <c r="Q759" i="1"/>
  <c r="S766" i="1"/>
  <c r="Q767" i="1"/>
  <c r="S774" i="1"/>
  <c r="Q775" i="1"/>
  <c r="S782" i="1"/>
  <c r="Q783" i="1"/>
  <c r="S790" i="1"/>
  <c r="Q791" i="1"/>
  <c r="S798" i="1"/>
  <c r="Q799" i="1"/>
  <c r="S806" i="1"/>
  <c r="Q807" i="1"/>
  <c r="S814" i="1"/>
  <c r="Q815" i="1"/>
  <c r="S822" i="1"/>
  <c r="Q823" i="1"/>
  <c r="S830" i="1"/>
  <c r="Q831" i="1"/>
  <c r="S838" i="1"/>
  <c r="Q839" i="1"/>
  <c r="S846" i="1"/>
  <c r="Q847" i="1"/>
  <c r="S854" i="1"/>
  <c r="Q855" i="1"/>
  <c r="S862" i="1"/>
  <c r="Q863" i="1"/>
  <c r="S870" i="1"/>
  <c r="Q871" i="1"/>
  <c r="Q776" i="1"/>
  <c r="S783" i="1"/>
  <c r="Q840" i="1"/>
  <c r="S847" i="1"/>
  <c r="T878" i="1"/>
  <c r="R879" i="1"/>
  <c r="T886" i="1"/>
  <c r="R887" i="1"/>
  <c r="T894" i="1"/>
  <c r="R895" i="1"/>
  <c r="T902" i="1"/>
  <c r="R903" i="1"/>
  <c r="T910" i="1"/>
  <c r="R911" i="1"/>
  <c r="T918" i="1"/>
  <c r="R919" i="1"/>
  <c r="T926" i="1"/>
  <c r="R927" i="1"/>
  <c r="T934" i="1"/>
  <c r="R935" i="1"/>
  <c r="T942" i="1"/>
  <c r="R943" i="1"/>
  <c r="T950" i="1"/>
  <c r="R951" i="1"/>
  <c r="T958" i="1"/>
  <c r="R959" i="1"/>
  <c r="T966" i="1"/>
  <c r="R967" i="1"/>
  <c r="T974" i="1"/>
  <c r="R975" i="1"/>
  <c r="T982" i="1"/>
  <c r="R983" i="1"/>
  <c r="T990" i="1"/>
  <c r="R991" i="1"/>
  <c r="T998" i="1"/>
  <c r="R999" i="1"/>
  <c r="R624" i="1"/>
  <c r="R791" i="1"/>
  <c r="T798" i="1"/>
  <c r="R855" i="1"/>
  <c r="T862" i="1"/>
  <c r="S879" i="1"/>
  <c r="Q880" i="1"/>
  <c r="S887" i="1"/>
  <c r="Q888" i="1"/>
  <c r="S895" i="1"/>
  <c r="Q896" i="1"/>
  <c r="S903" i="1"/>
  <c r="Q904" i="1"/>
  <c r="S911" i="1"/>
  <c r="Q912" i="1"/>
  <c r="S919" i="1"/>
  <c r="Q920" i="1"/>
  <c r="S927" i="1"/>
  <c r="Q928" i="1"/>
  <c r="S935" i="1"/>
  <c r="Q936" i="1"/>
  <c r="S943" i="1"/>
  <c r="Q944" i="1"/>
  <c r="S951" i="1"/>
  <c r="Q952" i="1"/>
  <c r="S959" i="1"/>
  <c r="Q960" i="1"/>
  <c r="S967" i="1"/>
  <c r="Q968" i="1"/>
  <c r="S975" i="1"/>
  <c r="Q976" i="1"/>
  <c r="S983" i="1"/>
  <c r="Q984" i="1"/>
  <c r="S991" i="1"/>
  <c r="Q992" i="1"/>
  <c r="S999" i="1"/>
  <c r="Q1000" i="1"/>
  <c r="Q784" i="1"/>
  <c r="S791" i="1"/>
  <c r="Q848" i="1"/>
  <c r="S855" i="1"/>
  <c r="T879" i="1"/>
  <c r="R880" i="1"/>
  <c r="T887" i="1"/>
  <c r="R888" i="1"/>
  <c r="T895" i="1"/>
  <c r="R896" i="1"/>
  <c r="T903" i="1"/>
  <c r="R904" i="1"/>
  <c r="T911" i="1"/>
  <c r="R912" i="1"/>
  <c r="T919" i="1"/>
  <c r="R920" i="1"/>
  <c r="T927" i="1"/>
  <c r="R928" i="1"/>
  <c r="T935" i="1"/>
  <c r="R936" i="1"/>
  <c r="T943" i="1"/>
  <c r="R944" i="1"/>
  <c r="T951" i="1"/>
  <c r="R952" i="1"/>
  <c r="T959" i="1"/>
  <c r="R960" i="1"/>
  <c r="T967" i="1"/>
  <c r="R968" i="1"/>
  <c r="T975" i="1"/>
  <c r="R976" i="1"/>
  <c r="T983" i="1"/>
  <c r="R984" i="1"/>
  <c r="T991" i="1"/>
  <c r="R992" i="1"/>
  <c r="T999" i="1"/>
  <c r="R1000" i="1"/>
  <c r="T631" i="1"/>
  <c r="R688" i="1"/>
  <c r="R799" i="1"/>
  <c r="T806" i="1"/>
  <c r="R863" i="1"/>
  <c r="T870" i="1"/>
  <c r="Q872" i="1"/>
  <c r="S880" i="1"/>
  <c r="Q881" i="1"/>
  <c r="S888" i="1"/>
  <c r="Q889" i="1"/>
  <c r="S896" i="1"/>
  <c r="Q897" i="1"/>
  <c r="S904" i="1"/>
  <c r="Q905" i="1"/>
  <c r="S912" i="1"/>
  <c r="Q913" i="1"/>
  <c r="S920" i="1"/>
  <c r="Q921" i="1"/>
  <c r="S928" i="1"/>
  <c r="Q929" i="1"/>
  <c r="S936" i="1"/>
  <c r="Q937" i="1"/>
  <c r="S944" i="1"/>
  <c r="Q945" i="1"/>
  <c r="S952" i="1"/>
  <c r="Q953" i="1"/>
  <c r="S960" i="1"/>
  <c r="Q961" i="1"/>
  <c r="S968" i="1"/>
  <c r="Q969" i="1"/>
  <c r="S976" i="1"/>
  <c r="Q977" i="1"/>
  <c r="S984" i="1"/>
  <c r="Q985" i="1"/>
  <c r="S992" i="1"/>
  <c r="Q993" i="1"/>
  <c r="S1000" i="1"/>
  <c r="Q1001" i="1"/>
  <c r="Q632" i="1"/>
  <c r="Q792" i="1"/>
  <c r="S799" i="1"/>
  <c r="Q856" i="1"/>
  <c r="S863" i="1"/>
  <c r="R868" i="1"/>
  <c r="S872" i="1"/>
  <c r="T880" i="1"/>
  <c r="R881" i="1"/>
  <c r="T888" i="1"/>
  <c r="R889" i="1"/>
  <c r="T896" i="1"/>
  <c r="R897" i="1"/>
  <c r="T904" i="1"/>
  <c r="R905" i="1"/>
  <c r="T912" i="1"/>
  <c r="R913" i="1"/>
  <c r="T920" i="1"/>
  <c r="R921" i="1"/>
  <c r="T928" i="1"/>
  <c r="R929" i="1"/>
  <c r="T936" i="1"/>
  <c r="R937" i="1"/>
  <c r="T944" i="1"/>
  <c r="R945" i="1"/>
  <c r="T952" i="1"/>
  <c r="R953" i="1"/>
  <c r="T960" i="1"/>
  <c r="R961" i="1"/>
  <c r="T968" i="1"/>
  <c r="R969" i="1"/>
  <c r="T976" i="1"/>
  <c r="R977" i="1"/>
  <c r="T984" i="1"/>
  <c r="R985" i="1"/>
  <c r="T992" i="1"/>
  <c r="R993" i="1"/>
  <c r="T1000" i="1"/>
  <c r="R1001" i="1"/>
  <c r="T695" i="1"/>
  <c r="T750" i="1"/>
  <c r="R807" i="1"/>
  <c r="T814" i="1"/>
  <c r="S868" i="1"/>
  <c r="S881" i="1"/>
  <c r="Q882" i="1"/>
  <c r="S889" i="1"/>
  <c r="Q890" i="1"/>
  <c r="S897" i="1"/>
  <c r="Q898" i="1"/>
  <c r="S905" i="1"/>
  <c r="Q906" i="1"/>
  <c r="S913" i="1"/>
  <c r="Q914" i="1"/>
  <c r="S921" i="1"/>
  <c r="Q922" i="1"/>
  <c r="S929" i="1"/>
  <c r="Q930" i="1"/>
  <c r="S937" i="1"/>
  <c r="Q938" i="1"/>
  <c r="S945" i="1"/>
  <c r="Q946" i="1"/>
  <c r="S953" i="1"/>
  <c r="Q954" i="1"/>
  <c r="S961" i="1"/>
  <c r="Q962" i="1"/>
  <c r="S969" i="1"/>
  <c r="Q970" i="1"/>
  <c r="S977" i="1"/>
  <c r="Q978" i="1"/>
  <c r="S985" i="1"/>
  <c r="Q986" i="1"/>
  <c r="S639" i="1"/>
  <c r="Q696" i="1"/>
  <c r="Q800" i="1"/>
  <c r="S807" i="1"/>
  <c r="Q864" i="1"/>
  <c r="T868" i="1"/>
  <c r="T881" i="1"/>
  <c r="R882" i="1"/>
  <c r="T889" i="1"/>
  <c r="R890" i="1"/>
  <c r="T897" i="1"/>
  <c r="R898" i="1"/>
  <c r="T905" i="1"/>
  <c r="R906" i="1"/>
  <c r="T913" i="1"/>
  <c r="R914" i="1"/>
  <c r="T921" i="1"/>
  <c r="R922" i="1"/>
  <c r="T929" i="1"/>
  <c r="R930" i="1"/>
  <c r="T937" i="1"/>
  <c r="R938" i="1"/>
  <c r="T945" i="1"/>
  <c r="R946" i="1"/>
  <c r="T953" i="1"/>
  <c r="R954" i="1"/>
  <c r="T961" i="1"/>
  <c r="R962" i="1"/>
  <c r="T969" i="1"/>
  <c r="R970" i="1"/>
  <c r="T977" i="1"/>
  <c r="R978" i="1"/>
  <c r="T985" i="1"/>
  <c r="R986" i="1"/>
  <c r="T993" i="1"/>
  <c r="R994" i="1"/>
  <c r="R751" i="1"/>
  <c r="T758" i="1"/>
  <c r="R815" i="1"/>
  <c r="T822" i="1"/>
  <c r="Q875" i="1"/>
  <c r="S882" i="1"/>
  <c r="Q883" i="1"/>
  <c r="S890" i="1"/>
  <c r="Q891" i="1"/>
  <c r="S898" i="1"/>
  <c r="Q899" i="1"/>
  <c r="S906" i="1"/>
  <c r="Q907" i="1"/>
  <c r="S914" i="1"/>
  <c r="Q915" i="1"/>
  <c r="S922" i="1"/>
  <c r="Q923" i="1"/>
  <c r="S930" i="1"/>
  <c r="Q931" i="1"/>
  <c r="S938" i="1"/>
  <c r="Q939" i="1"/>
  <c r="S946" i="1"/>
  <c r="Q947" i="1"/>
  <c r="S954" i="1"/>
  <c r="Q955" i="1"/>
  <c r="S962" i="1"/>
  <c r="Q963" i="1"/>
  <c r="S970" i="1"/>
  <c r="Q971" i="1"/>
  <c r="S978" i="1"/>
  <c r="Q979" i="1"/>
  <c r="S986" i="1"/>
  <c r="Q987" i="1"/>
  <c r="S994" i="1"/>
  <c r="Q995" i="1"/>
  <c r="S703" i="1"/>
  <c r="S751" i="1"/>
  <c r="Q808" i="1"/>
  <c r="S815" i="1"/>
  <c r="Q874" i="1"/>
  <c r="R875" i="1"/>
  <c r="T882" i="1"/>
  <c r="R883" i="1"/>
  <c r="T890" i="1"/>
  <c r="R891" i="1"/>
  <c r="T898" i="1"/>
  <c r="R899" i="1"/>
  <c r="T906" i="1"/>
  <c r="R907" i="1"/>
  <c r="T914" i="1"/>
  <c r="R915" i="1"/>
  <c r="T922" i="1"/>
  <c r="R923" i="1"/>
  <c r="T930" i="1"/>
  <c r="R931" i="1"/>
  <c r="T938" i="1"/>
  <c r="R939" i="1"/>
  <c r="T946" i="1"/>
  <c r="R947" i="1"/>
  <c r="T954" i="1"/>
  <c r="R955" i="1"/>
  <c r="T962" i="1"/>
  <c r="R963" i="1"/>
  <c r="T970" i="1"/>
  <c r="R971" i="1"/>
  <c r="T978" i="1"/>
  <c r="R979" i="1"/>
  <c r="T986" i="1"/>
  <c r="R987" i="1"/>
  <c r="T994" i="1"/>
  <c r="R995" i="1"/>
  <c r="T1002" i="1"/>
  <c r="T481" i="1"/>
  <c r="R759" i="1"/>
  <c r="T766" i="1"/>
  <c r="R823" i="1"/>
  <c r="T830" i="1"/>
  <c r="S874" i="1"/>
  <c r="S875" i="1"/>
  <c r="Q876" i="1"/>
  <c r="S883" i="1"/>
  <c r="Q884" i="1"/>
  <c r="S891" i="1"/>
  <c r="Q892" i="1"/>
  <c r="S899" i="1"/>
  <c r="Q900" i="1"/>
  <c r="S907" i="1"/>
  <c r="Q908" i="1"/>
  <c r="S915" i="1"/>
  <c r="Q916" i="1"/>
  <c r="S923" i="1"/>
  <c r="Q924" i="1"/>
  <c r="S931" i="1"/>
  <c r="Q932" i="1"/>
  <c r="S939" i="1"/>
  <c r="Q940" i="1"/>
  <c r="S947" i="1"/>
  <c r="Q948" i="1"/>
  <c r="S955" i="1"/>
  <c r="Q956" i="1"/>
  <c r="S963" i="1"/>
  <c r="Q964" i="1"/>
  <c r="S971" i="1"/>
  <c r="Q972" i="1"/>
  <c r="S979" i="1"/>
  <c r="Q980" i="1"/>
  <c r="S987" i="1"/>
  <c r="Q988" i="1"/>
  <c r="S995" i="1"/>
  <c r="Q996" i="1"/>
  <c r="S1003" i="1"/>
  <c r="Q752" i="1"/>
  <c r="S759" i="1"/>
  <c r="Q816" i="1"/>
  <c r="S823" i="1"/>
  <c r="Q869" i="1"/>
  <c r="R871" i="1"/>
  <c r="T875" i="1"/>
  <c r="R876" i="1"/>
  <c r="T883" i="1"/>
  <c r="R884" i="1"/>
  <c r="T891" i="1"/>
  <c r="R892" i="1"/>
  <c r="T899" i="1"/>
  <c r="R900" i="1"/>
  <c r="T907" i="1"/>
  <c r="R908" i="1"/>
  <c r="T915" i="1"/>
  <c r="R916" i="1"/>
  <c r="T923" i="1"/>
  <c r="R924" i="1"/>
  <c r="T931" i="1"/>
  <c r="R932" i="1"/>
  <c r="T939" i="1"/>
  <c r="R940" i="1"/>
  <c r="T947" i="1"/>
  <c r="R948" i="1"/>
  <c r="T955" i="1"/>
  <c r="R956" i="1"/>
  <c r="T963" i="1"/>
  <c r="R964" i="1"/>
  <c r="T971" i="1"/>
  <c r="R972" i="1"/>
  <c r="T979" i="1"/>
  <c r="R980" i="1"/>
  <c r="T987" i="1"/>
  <c r="R988" i="1"/>
  <c r="T995" i="1"/>
  <c r="R996" i="1"/>
  <c r="R538" i="1"/>
  <c r="R767" i="1"/>
  <c r="T774" i="1"/>
  <c r="R831" i="1"/>
  <c r="T838" i="1"/>
  <c r="R869" i="1"/>
  <c r="S871" i="1"/>
  <c r="S876" i="1"/>
  <c r="Q877" i="1"/>
  <c r="S884" i="1"/>
  <c r="Q885" i="1"/>
  <c r="S892" i="1"/>
  <c r="Q893" i="1"/>
  <c r="S900" i="1"/>
  <c r="Q901" i="1"/>
  <c r="S908" i="1"/>
  <c r="Q909" i="1"/>
  <c r="S916" i="1"/>
  <c r="Q917" i="1"/>
  <c r="S924" i="1"/>
  <c r="Q925" i="1"/>
  <c r="S932" i="1"/>
  <c r="Q933" i="1"/>
  <c r="S940" i="1"/>
  <c r="Q941" i="1"/>
  <c r="S948" i="1"/>
  <c r="Q949" i="1"/>
  <c r="S956" i="1"/>
  <c r="Q957" i="1"/>
  <c r="S964" i="1"/>
  <c r="Q965" i="1"/>
  <c r="S972" i="1"/>
  <c r="Q973" i="1"/>
  <c r="S980" i="1"/>
  <c r="Q981" i="1"/>
  <c r="S988" i="1"/>
  <c r="Q989" i="1"/>
  <c r="S996" i="1"/>
  <c r="Q997" i="1"/>
  <c r="Q760" i="1"/>
  <c r="S767" i="1"/>
  <c r="Q824" i="1"/>
  <c r="S831" i="1"/>
  <c r="T876" i="1"/>
  <c r="R877" i="1"/>
  <c r="T884" i="1"/>
  <c r="R885" i="1"/>
  <c r="T892" i="1"/>
  <c r="R893" i="1"/>
  <c r="T900" i="1"/>
  <c r="R901" i="1"/>
  <c r="T908" i="1"/>
  <c r="R909" i="1"/>
  <c r="T916" i="1"/>
  <c r="R917" i="1"/>
  <c r="T924" i="1"/>
  <c r="R925" i="1"/>
  <c r="T932" i="1"/>
  <c r="R933" i="1"/>
  <c r="T940" i="1"/>
  <c r="R941" i="1"/>
  <c r="T948" i="1"/>
  <c r="R949" i="1"/>
  <c r="T956" i="1"/>
  <c r="R957" i="1"/>
  <c r="T964" i="1"/>
  <c r="R965" i="1"/>
  <c r="T972" i="1"/>
  <c r="R973" i="1"/>
  <c r="T980" i="1"/>
  <c r="R981" i="1"/>
  <c r="T988" i="1"/>
  <c r="R989" i="1"/>
  <c r="T996" i="1"/>
  <c r="R997" i="1"/>
  <c r="R775" i="1"/>
  <c r="T782" i="1"/>
  <c r="R839" i="1"/>
  <c r="T846" i="1"/>
  <c r="Q873" i="1"/>
  <c r="S877" i="1"/>
  <c r="Q878" i="1"/>
  <c r="S885" i="1"/>
  <c r="Q886" i="1"/>
  <c r="S893" i="1"/>
  <c r="Q894" i="1"/>
  <c r="S901" i="1"/>
  <c r="Q902" i="1"/>
  <c r="S909" i="1"/>
  <c r="Q910" i="1"/>
  <c r="S918" i="1"/>
  <c r="R942" i="1"/>
  <c r="Q966" i="1"/>
  <c r="Q975" i="1"/>
  <c r="S989" i="1"/>
  <c r="S1001" i="1"/>
  <c r="T1009" i="1"/>
  <c r="R1010" i="1"/>
  <c r="T1017" i="1"/>
  <c r="R1018" i="1"/>
  <c r="T1025" i="1"/>
  <c r="R1026" i="1"/>
  <c r="T1033" i="1"/>
  <c r="R1034" i="1"/>
  <c r="T1041" i="1"/>
  <c r="R1042" i="1"/>
  <c r="T1049" i="1"/>
  <c r="R1050" i="1"/>
  <c r="T1057" i="1"/>
  <c r="R1058" i="1"/>
  <c r="T1065" i="1"/>
  <c r="R1066" i="1"/>
  <c r="T1073" i="1"/>
  <c r="R1074" i="1"/>
  <c r="T1081" i="1"/>
  <c r="R1082" i="1"/>
  <c r="T1089" i="1"/>
  <c r="R1090" i="1"/>
  <c r="T1097" i="1"/>
  <c r="R1098" i="1"/>
  <c r="T1105" i="1"/>
  <c r="R1106" i="1"/>
  <c r="T1113" i="1"/>
  <c r="R1114" i="1"/>
  <c r="T1121" i="1"/>
  <c r="R1122" i="1"/>
  <c r="R878" i="1"/>
  <c r="T885" i="1"/>
  <c r="S933" i="1"/>
  <c r="S942" i="1"/>
  <c r="R966" i="1"/>
  <c r="T989" i="1"/>
  <c r="Q999" i="1"/>
  <c r="T1001" i="1"/>
  <c r="S1010" i="1"/>
  <c r="Q1011" i="1"/>
  <c r="S1018" i="1"/>
  <c r="Q1019" i="1"/>
  <c r="S1026" i="1"/>
  <c r="Q1027" i="1"/>
  <c r="S1034" i="1"/>
  <c r="Q1035" i="1"/>
  <c r="S1042" i="1"/>
  <c r="Q1043" i="1"/>
  <c r="S1050" i="1"/>
  <c r="Q1051" i="1"/>
  <c r="S1058" i="1"/>
  <c r="Q1059" i="1"/>
  <c r="S1066" i="1"/>
  <c r="Q1067" i="1"/>
  <c r="S1074" i="1"/>
  <c r="Q1075" i="1"/>
  <c r="S1082" i="1"/>
  <c r="Q1083" i="1"/>
  <c r="S1090" i="1"/>
  <c r="Q1091" i="1"/>
  <c r="S1098" i="1"/>
  <c r="Q1099" i="1"/>
  <c r="S1106" i="1"/>
  <c r="Q1107" i="1"/>
  <c r="S1114" i="1"/>
  <c r="Q1115" i="1"/>
  <c r="S1122" i="1"/>
  <c r="Q1123" i="1"/>
  <c r="T867" i="1"/>
  <c r="S878" i="1"/>
  <c r="T933" i="1"/>
  <c r="S957" i="1"/>
  <c r="S966" i="1"/>
  <c r="T1010" i="1"/>
  <c r="R1011" i="1"/>
  <c r="T1018" i="1"/>
  <c r="R1019" i="1"/>
  <c r="T1026" i="1"/>
  <c r="R1027" i="1"/>
  <c r="T1034" i="1"/>
  <c r="R1035" i="1"/>
  <c r="T1042" i="1"/>
  <c r="R1043" i="1"/>
  <c r="T1050" i="1"/>
  <c r="R1051" i="1"/>
  <c r="T1058" i="1"/>
  <c r="R1059" i="1"/>
  <c r="T1066" i="1"/>
  <c r="R1067" i="1"/>
  <c r="T1074" i="1"/>
  <c r="R1075" i="1"/>
  <c r="T1082" i="1"/>
  <c r="R1083" i="1"/>
  <c r="T1090" i="1"/>
  <c r="R1091" i="1"/>
  <c r="T1098" i="1"/>
  <c r="R1099" i="1"/>
  <c r="T1106" i="1"/>
  <c r="R1107" i="1"/>
  <c r="T1114" i="1"/>
  <c r="R1115" i="1"/>
  <c r="T1122" i="1"/>
  <c r="R1123" i="1"/>
  <c r="R886" i="1"/>
  <c r="T893" i="1"/>
  <c r="Q919" i="1"/>
  <c r="T957" i="1"/>
  <c r="S981" i="1"/>
  <c r="S993" i="1"/>
  <c r="Q1004" i="1"/>
  <c r="S1011" i="1"/>
  <c r="Q1012" i="1"/>
  <c r="S1019" i="1"/>
  <c r="Q1020" i="1"/>
  <c r="S1027" i="1"/>
  <c r="Q1028" i="1"/>
  <c r="S1035" i="1"/>
  <c r="Q1036" i="1"/>
  <c r="S1043" i="1"/>
  <c r="Q1044" i="1"/>
  <c r="S1051" i="1"/>
  <c r="Q1052" i="1"/>
  <c r="S1059" i="1"/>
  <c r="Q1060" i="1"/>
  <c r="S1067" i="1"/>
  <c r="Q1068" i="1"/>
  <c r="S1075" i="1"/>
  <c r="Q1076" i="1"/>
  <c r="S1083" i="1"/>
  <c r="Q1084" i="1"/>
  <c r="S1091" i="1"/>
  <c r="Q1092" i="1"/>
  <c r="S1099" i="1"/>
  <c r="Q1100" i="1"/>
  <c r="S1107" i="1"/>
  <c r="Q1108" i="1"/>
  <c r="S1115" i="1"/>
  <c r="Q1116" i="1"/>
  <c r="S1123" i="1"/>
  <c r="Q1124" i="1"/>
  <c r="Q879" i="1"/>
  <c r="S886" i="1"/>
  <c r="Q934" i="1"/>
  <c r="Q943" i="1"/>
  <c r="T981" i="1"/>
  <c r="Q990" i="1"/>
  <c r="R1004" i="1"/>
  <c r="T1011" i="1"/>
  <c r="R1012" i="1"/>
  <c r="T1019" i="1"/>
  <c r="R1020" i="1"/>
  <c r="T1027" i="1"/>
  <c r="R1028" i="1"/>
  <c r="T1035" i="1"/>
  <c r="R1036" i="1"/>
  <c r="T1043" i="1"/>
  <c r="R1044" i="1"/>
  <c r="T1051" i="1"/>
  <c r="R1052" i="1"/>
  <c r="T1059" i="1"/>
  <c r="R1060" i="1"/>
  <c r="T1067" i="1"/>
  <c r="R1068" i="1"/>
  <c r="T1075" i="1"/>
  <c r="R1076" i="1"/>
  <c r="T1083" i="1"/>
  <c r="R1084" i="1"/>
  <c r="T1091" i="1"/>
  <c r="R1092" i="1"/>
  <c r="T1099" i="1"/>
  <c r="R1100" i="1"/>
  <c r="T1107" i="1"/>
  <c r="R1108" i="1"/>
  <c r="T1115" i="1"/>
  <c r="R1116" i="1"/>
  <c r="T1123" i="1"/>
  <c r="R1124" i="1"/>
  <c r="Q768" i="1"/>
  <c r="R894" i="1"/>
  <c r="T901" i="1"/>
  <c r="R934" i="1"/>
  <c r="Q958" i="1"/>
  <c r="Q967" i="1"/>
  <c r="R990" i="1"/>
  <c r="S997" i="1"/>
  <c r="S1004" i="1"/>
  <c r="Q1005" i="1"/>
  <c r="S1012" i="1"/>
  <c r="Q1013" i="1"/>
  <c r="S1020" i="1"/>
  <c r="Q1021" i="1"/>
  <c r="S1028" i="1"/>
  <c r="Q1029" i="1"/>
  <c r="S1036" i="1"/>
  <c r="Q1037" i="1"/>
  <c r="S1044" i="1"/>
  <c r="Q1045" i="1"/>
  <c r="S1052" i="1"/>
  <c r="Q1053" i="1"/>
  <c r="S1060" i="1"/>
  <c r="Q1061" i="1"/>
  <c r="S1068" i="1"/>
  <c r="Q1069" i="1"/>
  <c r="S1076" i="1"/>
  <c r="Q1077" i="1"/>
  <c r="S1084" i="1"/>
  <c r="Q1085" i="1"/>
  <c r="S1092" i="1"/>
  <c r="Q1093" i="1"/>
  <c r="S1100" i="1"/>
  <c r="Q1101" i="1"/>
  <c r="S1108" i="1"/>
  <c r="Q1109" i="1"/>
  <c r="S1116" i="1"/>
  <c r="Q1117" i="1"/>
  <c r="Q887" i="1"/>
  <c r="S894" i="1"/>
  <c r="S925" i="1"/>
  <c r="S934" i="1"/>
  <c r="R958" i="1"/>
  <c r="Q982" i="1"/>
  <c r="S990" i="1"/>
  <c r="T997" i="1"/>
  <c r="Q1003" i="1"/>
  <c r="T1004" i="1"/>
  <c r="R1005" i="1"/>
  <c r="T1012" i="1"/>
  <c r="R1013" i="1"/>
  <c r="T1020" i="1"/>
  <c r="R1021" i="1"/>
  <c r="T1028" i="1"/>
  <c r="R1029" i="1"/>
  <c r="T1036" i="1"/>
  <c r="R1037" i="1"/>
  <c r="T1044" i="1"/>
  <c r="R1045" i="1"/>
  <c r="T1052" i="1"/>
  <c r="R1053" i="1"/>
  <c r="T1060" i="1"/>
  <c r="R1061" i="1"/>
  <c r="T1068" i="1"/>
  <c r="R1069" i="1"/>
  <c r="T1076" i="1"/>
  <c r="R1077" i="1"/>
  <c r="T1084" i="1"/>
  <c r="R1085" i="1"/>
  <c r="T1092" i="1"/>
  <c r="R1093" i="1"/>
  <c r="T1100" i="1"/>
  <c r="R1101" i="1"/>
  <c r="T1108" i="1"/>
  <c r="R1109" i="1"/>
  <c r="T1116" i="1"/>
  <c r="R1117" i="1"/>
  <c r="S775" i="1"/>
  <c r="Q832" i="1"/>
  <c r="R902" i="1"/>
  <c r="T909" i="1"/>
  <c r="T925" i="1"/>
  <c r="S949" i="1"/>
  <c r="S958" i="1"/>
  <c r="R982" i="1"/>
  <c r="Q994" i="1"/>
  <c r="R1003" i="1"/>
  <c r="S1005" i="1"/>
  <c r="Q1006" i="1"/>
  <c r="S1013" i="1"/>
  <c r="Q1014" i="1"/>
  <c r="S1021" i="1"/>
  <c r="Q1022" i="1"/>
  <c r="S1029" i="1"/>
  <c r="Q1030" i="1"/>
  <c r="S1037" i="1"/>
  <c r="Q1038" i="1"/>
  <c r="S1045" i="1"/>
  <c r="Q1046" i="1"/>
  <c r="S1053" i="1"/>
  <c r="Q1054" i="1"/>
  <c r="S1061" i="1"/>
  <c r="Q1062" i="1"/>
  <c r="S1069" i="1"/>
  <c r="Q1070" i="1"/>
  <c r="S1077" i="1"/>
  <c r="Q1078" i="1"/>
  <c r="S1085" i="1"/>
  <c r="Q1086" i="1"/>
  <c r="S1093" i="1"/>
  <c r="Q1094" i="1"/>
  <c r="S1101" i="1"/>
  <c r="Q1102" i="1"/>
  <c r="S1109" i="1"/>
  <c r="Q1110" i="1"/>
  <c r="S1117" i="1"/>
  <c r="Q1118" i="1"/>
  <c r="Q895" i="1"/>
  <c r="S902" i="1"/>
  <c r="T949" i="1"/>
  <c r="S973" i="1"/>
  <c r="S982" i="1"/>
  <c r="T1003" i="1"/>
  <c r="T1005" i="1"/>
  <c r="R1006" i="1"/>
  <c r="T1013" i="1"/>
  <c r="R1014" i="1"/>
  <c r="T1021" i="1"/>
  <c r="R1022" i="1"/>
  <c r="T1029" i="1"/>
  <c r="R1030" i="1"/>
  <c r="T1037" i="1"/>
  <c r="R1038" i="1"/>
  <c r="T1045" i="1"/>
  <c r="R1046" i="1"/>
  <c r="T1053" i="1"/>
  <c r="R1054" i="1"/>
  <c r="T1061" i="1"/>
  <c r="R1062" i="1"/>
  <c r="T1069" i="1"/>
  <c r="R1070" i="1"/>
  <c r="T1077" i="1"/>
  <c r="R1078" i="1"/>
  <c r="T1085" i="1"/>
  <c r="R1086" i="1"/>
  <c r="T1093" i="1"/>
  <c r="R1094" i="1"/>
  <c r="T1101" i="1"/>
  <c r="R1102" i="1"/>
  <c r="T1109" i="1"/>
  <c r="R1110" i="1"/>
  <c r="T1117" i="1"/>
  <c r="R1118" i="1"/>
  <c r="T1125" i="1"/>
  <c r="R1126" i="1"/>
  <c r="S839" i="1"/>
  <c r="R910" i="1"/>
  <c r="Q926" i="1"/>
  <c r="Q935" i="1"/>
  <c r="T973" i="1"/>
  <c r="S1006" i="1"/>
  <c r="Q1007" i="1"/>
  <c r="S1014" i="1"/>
  <c r="Q1015" i="1"/>
  <c r="S1022" i="1"/>
  <c r="Q1023" i="1"/>
  <c r="S1030" i="1"/>
  <c r="Q1031" i="1"/>
  <c r="S1038" i="1"/>
  <c r="Q1039" i="1"/>
  <c r="S1046" i="1"/>
  <c r="Q1047" i="1"/>
  <c r="S1054" i="1"/>
  <c r="Q1055" i="1"/>
  <c r="S1062" i="1"/>
  <c r="Q1063" i="1"/>
  <c r="S1070" i="1"/>
  <c r="Q1071" i="1"/>
  <c r="S1078" i="1"/>
  <c r="Q1079" i="1"/>
  <c r="S1086" i="1"/>
  <c r="Q1087" i="1"/>
  <c r="S1094" i="1"/>
  <c r="Q1095" i="1"/>
  <c r="S1102" i="1"/>
  <c r="Q1103" i="1"/>
  <c r="S1110" i="1"/>
  <c r="Q1111" i="1"/>
  <c r="S1118" i="1"/>
  <c r="Q1119" i="1"/>
  <c r="R783" i="1"/>
  <c r="Q903" i="1"/>
  <c r="S910" i="1"/>
  <c r="R926" i="1"/>
  <c r="Q950" i="1"/>
  <c r="Q959" i="1"/>
  <c r="Q991" i="1"/>
  <c r="Q998" i="1"/>
  <c r="Q1002" i="1"/>
  <c r="T1006" i="1"/>
  <c r="R1007" i="1"/>
  <c r="T1014" i="1"/>
  <c r="R1015" i="1"/>
  <c r="T1022" i="1"/>
  <c r="R1023" i="1"/>
  <c r="T1030" i="1"/>
  <c r="R1031" i="1"/>
  <c r="T1038" i="1"/>
  <c r="R1039" i="1"/>
  <c r="T1046" i="1"/>
  <c r="R1047" i="1"/>
  <c r="T1054" i="1"/>
  <c r="R1055" i="1"/>
  <c r="T1062" i="1"/>
  <c r="R1063" i="1"/>
  <c r="T1070" i="1"/>
  <c r="R1071" i="1"/>
  <c r="T1078" i="1"/>
  <c r="R1079" i="1"/>
  <c r="T1086" i="1"/>
  <c r="R1087" i="1"/>
  <c r="T1094" i="1"/>
  <c r="R1095" i="1"/>
  <c r="T1102" i="1"/>
  <c r="R1103" i="1"/>
  <c r="T1110" i="1"/>
  <c r="R1111" i="1"/>
  <c r="T1118" i="1"/>
  <c r="R1119" i="1"/>
  <c r="S917" i="1"/>
  <c r="S926" i="1"/>
  <c r="R950" i="1"/>
  <c r="Q974" i="1"/>
  <c r="Q983" i="1"/>
  <c r="R998" i="1"/>
  <c r="R1002" i="1"/>
  <c r="S1007" i="1"/>
  <c r="Q1008" i="1"/>
  <c r="S1015" i="1"/>
  <c r="Q1016" i="1"/>
  <c r="S1023" i="1"/>
  <c r="Q1024" i="1"/>
  <c r="S1031" i="1"/>
  <c r="Q1032" i="1"/>
  <c r="S1039" i="1"/>
  <c r="Q1040" i="1"/>
  <c r="S1047" i="1"/>
  <c r="Q1048" i="1"/>
  <c r="S1055" i="1"/>
  <c r="Q1056" i="1"/>
  <c r="S1063" i="1"/>
  <c r="Q1064" i="1"/>
  <c r="S1071" i="1"/>
  <c r="Q1072" i="1"/>
  <c r="S1079" i="1"/>
  <c r="Q1080" i="1"/>
  <c r="S1087" i="1"/>
  <c r="Q1088" i="1"/>
  <c r="S1095" i="1"/>
  <c r="Q1096" i="1"/>
  <c r="S1103" i="1"/>
  <c r="Q1104" i="1"/>
  <c r="S1111" i="1"/>
  <c r="Q1112" i="1"/>
  <c r="S1119" i="1"/>
  <c r="T790" i="1"/>
  <c r="R847" i="1"/>
  <c r="Q911" i="1"/>
  <c r="T917" i="1"/>
  <c r="S941" i="1"/>
  <c r="S950" i="1"/>
  <c r="R974" i="1"/>
  <c r="S998" i="1"/>
  <c r="S1002" i="1"/>
  <c r="T1007" i="1"/>
  <c r="R1008" i="1"/>
  <c r="T1015" i="1"/>
  <c r="R1016" i="1"/>
  <c r="T1023" i="1"/>
  <c r="R1024" i="1"/>
  <c r="T1031" i="1"/>
  <c r="R1032" i="1"/>
  <c r="T1039" i="1"/>
  <c r="R1040" i="1"/>
  <c r="T1047" i="1"/>
  <c r="R1048" i="1"/>
  <c r="T1055" i="1"/>
  <c r="R1056" i="1"/>
  <c r="T1063" i="1"/>
  <c r="R1064" i="1"/>
  <c r="T1071" i="1"/>
  <c r="R1072" i="1"/>
  <c r="T1079" i="1"/>
  <c r="R1080" i="1"/>
  <c r="T1087" i="1"/>
  <c r="R1088" i="1"/>
  <c r="T1095" i="1"/>
  <c r="R1096" i="1"/>
  <c r="T1103" i="1"/>
  <c r="R1104" i="1"/>
  <c r="T1111" i="1"/>
  <c r="R1112" i="1"/>
  <c r="T1119" i="1"/>
  <c r="R1120" i="1"/>
  <c r="T941" i="1"/>
  <c r="S965" i="1"/>
  <c r="S974" i="1"/>
  <c r="S1008" i="1"/>
  <c r="Q1009" i="1"/>
  <c r="S1016" i="1"/>
  <c r="Q1017" i="1"/>
  <c r="S1024" i="1"/>
  <c r="Q1025" i="1"/>
  <c r="S1032" i="1"/>
  <c r="Q1033" i="1"/>
  <c r="S1040" i="1"/>
  <c r="Q1041" i="1"/>
  <c r="S1048" i="1"/>
  <c r="Q1049" i="1"/>
  <c r="S1056" i="1"/>
  <c r="Q1057" i="1"/>
  <c r="S1064" i="1"/>
  <c r="Q1065" i="1"/>
  <c r="S1072" i="1"/>
  <c r="Q1073" i="1"/>
  <c r="S1080" i="1"/>
  <c r="Q1081" i="1"/>
  <c r="S1088" i="1"/>
  <c r="Q1089" i="1"/>
  <c r="S1096" i="1"/>
  <c r="Q1097" i="1"/>
  <c r="S1104" i="1"/>
  <c r="Q1105" i="1"/>
  <c r="T877" i="1"/>
  <c r="Q1058" i="1"/>
  <c r="S1065" i="1"/>
  <c r="Q1113" i="1"/>
  <c r="T1124" i="1"/>
  <c r="S1132" i="1"/>
  <c r="Q1133" i="1"/>
  <c r="S1140" i="1"/>
  <c r="Q1141" i="1"/>
  <c r="S1148" i="1"/>
  <c r="Q1149" i="1"/>
  <c r="S1156" i="1"/>
  <c r="Q1157" i="1"/>
  <c r="S1164" i="1"/>
  <c r="Q1165" i="1"/>
  <c r="S1172" i="1"/>
  <c r="Q1173" i="1"/>
  <c r="S1180" i="1"/>
  <c r="Q1181" i="1"/>
  <c r="S1188" i="1"/>
  <c r="Q1189" i="1"/>
  <c r="S1196" i="1"/>
  <c r="Q1197" i="1"/>
  <c r="S1204" i="1"/>
  <c r="Q1205" i="1"/>
  <c r="S1212" i="1"/>
  <c r="Q1213" i="1"/>
  <c r="S1220" i="1"/>
  <c r="Q1221" i="1"/>
  <c r="S1228" i="1"/>
  <c r="Q1229" i="1"/>
  <c r="S1236" i="1"/>
  <c r="Q1237" i="1"/>
  <c r="S1244" i="1"/>
  <c r="Q1245" i="1"/>
  <c r="R1009" i="1"/>
  <c r="T1016" i="1"/>
  <c r="R1073" i="1"/>
  <c r="T1080" i="1"/>
  <c r="R1113" i="1"/>
  <c r="T1132" i="1"/>
  <c r="R1133" i="1"/>
  <c r="T1140" i="1"/>
  <c r="R1141" i="1"/>
  <c r="T1148" i="1"/>
  <c r="R1149" i="1"/>
  <c r="T1156" i="1"/>
  <c r="R1157" i="1"/>
  <c r="T1164" i="1"/>
  <c r="R1165" i="1"/>
  <c r="T1172" i="1"/>
  <c r="R1173" i="1"/>
  <c r="T1180" i="1"/>
  <c r="R1181" i="1"/>
  <c r="T1188" i="1"/>
  <c r="R1189" i="1"/>
  <c r="T1196" i="1"/>
  <c r="R1197" i="1"/>
  <c r="T1204" i="1"/>
  <c r="R1205" i="1"/>
  <c r="T1212" i="1"/>
  <c r="R1213" i="1"/>
  <c r="T1220" i="1"/>
  <c r="R1221" i="1"/>
  <c r="T1228" i="1"/>
  <c r="R1229" i="1"/>
  <c r="T1236" i="1"/>
  <c r="R1237" i="1"/>
  <c r="T1244" i="1"/>
  <c r="R1245" i="1"/>
  <c r="S1009" i="1"/>
  <c r="Q1066" i="1"/>
  <c r="S1073" i="1"/>
  <c r="S1113" i="1"/>
  <c r="S1133" i="1"/>
  <c r="Q1134" i="1"/>
  <c r="S1141" i="1"/>
  <c r="Q1142" i="1"/>
  <c r="S1149" i="1"/>
  <c r="Q1150" i="1"/>
  <c r="S1157" i="1"/>
  <c r="Q1158" i="1"/>
  <c r="S1165" i="1"/>
  <c r="Q1166" i="1"/>
  <c r="S1173" i="1"/>
  <c r="Q1174" i="1"/>
  <c r="S1181" i="1"/>
  <c r="Q1182" i="1"/>
  <c r="S1189" i="1"/>
  <c r="Q1190" i="1"/>
  <c r="S1197" i="1"/>
  <c r="Q1198" i="1"/>
  <c r="S1205" i="1"/>
  <c r="Q1206" i="1"/>
  <c r="S1213" i="1"/>
  <c r="Q1214" i="1"/>
  <c r="S1221" i="1"/>
  <c r="Q1222" i="1"/>
  <c r="S1229" i="1"/>
  <c r="Q1230" i="1"/>
  <c r="S1237" i="1"/>
  <c r="Q1238" i="1"/>
  <c r="S1245" i="1"/>
  <c r="Q1246" i="1"/>
  <c r="R1017" i="1"/>
  <c r="T1024" i="1"/>
  <c r="R1081" i="1"/>
  <c r="T1088" i="1"/>
  <c r="Q1122" i="1"/>
  <c r="T1133" i="1"/>
  <c r="R1134" i="1"/>
  <c r="T1141" i="1"/>
  <c r="R1142" i="1"/>
  <c r="T1149" i="1"/>
  <c r="R1150" i="1"/>
  <c r="T1157" i="1"/>
  <c r="R1158" i="1"/>
  <c r="T1165" i="1"/>
  <c r="R1166" i="1"/>
  <c r="T1173" i="1"/>
  <c r="R1174" i="1"/>
  <c r="T1181" i="1"/>
  <c r="R1182" i="1"/>
  <c r="T1189" i="1"/>
  <c r="R1190" i="1"/>
  <c r="T1197" i="1"/>
  <c r="R1198" i="1"/>
  <c r="T1205" i="1"/>
  <c r="R1206" i="1"/>
  <c r="T1213" i="1"/>
  <c r="R1214" i="1"/>
  <c r="T1221" i="1"/>
  <c r="R1222" i="1"/>
  <c r="T1229" i="1"/>
  <c r="R1230" i="1"/>
  <c r="T1237" i="1"/>
  <c r="R1238" i="1"/>
  <c r="T1245" i="1"/>
  <c r="R1246" i="1"/>
  <c r="T1253" i="1"/>
  <c r="R1254" i="1"/>
  <c r="Q1010" i="1"/>
  <c r="S1017" i="1"/>
  <c r="Q1074" i="1"/>
  <c r="S1081" i="1"/>
  <c r="S1134" i="1"/>
  <c r="Q1135" i="1"/>
  <c r="S1142" i="1"/>
  <c r="Q1143" i="1"/>
  <c r="S1150" i="1"/>
  <c r="Q1151" i="1"/>
  <c r="S1158" i="1"/>
  <c r="Q1159" i="1"/>
  <c r="S1166" i="1"/>
  <c r="Q1167" i="1"/>
  <c r="S1174" i="1"/>
  <c r="Q1175" i="1"/>
  <c r="S1182" i="1"/>
  <c r="Q1183" i="1"/>
  <c r="S1190" i="1"/>
  <c r="Q1191" i="1"/>
  <c r="S1198" i="1"/>
  <c r="Q1199" i="1"/>
  <c r="S1206" i="1"/>
  <c r="Q1207" i="1"/>
  <c r="S1214" i="1"/>
  <c r="Q1215" i="1"/>
  <c r="S1222" i="1"/>
  <c r="Q1223" i="1"/>
  <c r="S1230" i="1"/>
  <c r="Q1231" i="1"/>
  <c r="S1238" i="1"/>
  <c r="Q1239" i="1"/>
  <c r="S1246" i="1"/>
  <c r="Q1247" i="1"/>
  <c r="R1025" i="1"/>
  <c r="T1032" i="1"/>
  <c r="R1089" i="1"/>
  <c r="T1096" i="1"/>
  <c r="Q1114" i="1"/>
  <c r="T1134" i="1"/>
  <c r="R1135" i="1"/>
  <c r="T1142" i="1"/>
  <c r="R1143" i="1"/>
  <c r="T1150" i="1"/>
  <c r="R1151" i="1"/>
  <c r="T1158" i="1"/>
  <c r="R1159" i="1"/>
  <c r="T1166" i="1"/>
  <c r="R1167" i="1"/>
  <c r="T1174" i="1"/>
  <c r="R1175" i="1"/>
  <c r="T1182" i="1"/>
  <c r="R1183" i="1"/>
  <c r="T1190" i="1"/>
  <c r="R1191" i="1"/>
  <c r="T1198" i="1"/>
  <c r="R1199" i="1"/>
  <c r="T1206" i="1"/>
  <c r="R1207" i="1"/>
  <c r="T1214" i="1"/>
  <c r="R1215" i="1"/>
  <c r="T1222" i="1"/>
  <c r="R1223" i="1"/>
  <c r="T1230" i="1"/>
  <c r="R1231" i="1"/>
  <c r="T1238" i="1"/>
  <c r="R1239" i="1"/>
  <c r="T1246" i="1"/>
  <c r="R1247" i="1"/>
  <c r="Q942" i="1"/>
  <c r="Q1018" i="1"/>
  <c r="S1025" i="1"/>
  <c r="Q1082" i="1"/>
  <c r="S1089" i="1"/>
  <c r="S1135" i="1"/>
  <c r="Q1136" i="1"/>
  <c r="S1143" i="1"/>
  <c r="Q1144" i="1"/>
  <c r="S1151" i="1"/>
  <c r="Q1152" i="1"/>
  <c r="S1159" i="1"/>
  <c r="Q1160" i="1"/>
  <c r="S1167" i="1"/>
  <c r="Q1168" i="1"/>
  <c r="S1175" i="1"/>
  <c r="Q1176" i="1"/>
  <c r="S1183" i="1"/>
  <c r="Q1184" i="1"/>
  <c r="S1191" i="1"/>
  <c r="Q1192" i="1"/>
  <c r="S1199" i="1"/>
  <c r="Q1200" i="1"/>
  <c r="S1207" i="1"/>
  <c r="Q1208" i="1"/>
  <c r="S1215" i="1"/>
  <c r="Q1216" i="1"/>
  <c r="S1223" i="1"/>
  <c r="Q1224" i="1"/>
  <c r="S1231" i="1"/>
  <c r="Q1232" i="1"/>
  <c r="S1239" i="1"/>
  <c r="Q1240" i="1"/>
  <c r="S1247" i="1"/>
  <c r="Q1248" i="1"/>
  <c r="R1033" i="1"/>
  <c r="T1040" i="1"/>
  <c r="R1097" i="1"/>
  <c r="T1104" i="1"/>
  <c r="Q1128" i="1"/>
  <c r="T1135" i="1"/>
  <c r="R1136" i="1"/>
  <c r="T1143" i="1"/>
  <c r="R1144" i="1"/>
  <c r="T1151" i="1"/>
  <c r="R1152" i="1"/>
  <c r="T1159" i="1"/>
  <c r="R1160" i="1"/>
  <c r="T1167" i="1"/>
  <c r="R1168" i="1"/>
  <c r="T1175" i="1"/>
  <c r="R1176" i="1"/>
  <c r="T1183" i="1"/>
  <c r="R1184" i="1"/>
  <c r="T1191" i="1"/>
  <c r="R1192" i="1"/>
  <c r="T1199" i="1"/>
  <c r="R1200" i="1"/>
  <c r="T1207" i="1"/>
  <c r="R1208" i="1"/>
  <c r="T1215" i="1"/>
  <c r="R1216" i="1"/>
  <c r="T1223" i="1"/>
  <c r="R1224" i="1"/>
  <c r="T1231" i="1"/>
  <c r="R1232" i="1"/>
  <c r="T1239" i="1"/>
  <c r="R1240" i="1"/>
  <c r="T1247" i="1"/>
  <c r="R1248" i="1"/>
  <c r="Q1026" i="1"/>
  <c r="S1033" i="1"/>
  <c r="Q1090" i="1"/>
  <c r="S1097" i="1"/>
  <c r="Q1120" i="1"/>
  <c r="Q1127" i="1"/>
  <c r="R1128" i="1"/>
  <c r="Q1129" i="1"/>
  <c r="S1136" i="1"/>
  <c r="Q1137" i="1"/>
  <c r="S1144" i="1"/>
  <c r="Q1145" i="1"/>
  <c r="S1152" i="1"/>
  <c r="Q1153" i="1"/>
  <c r="S1160" i="1"/>
  <c r="Q1161" i="1"/>
  <c r="S1168" i="1"/>
  <c r="Q1169" i="1"/>
  <c r="S1176" i="1"/>
  <c r="Q1177" i="1"/>
  <c r="S1184" i="1"/>
  <c r="Q1185" i="1"/>
  <c r="S1192" i="1"/>
  <c r="Q1193" i="1"/>
  <c r="S1200" i="1"/>
  <c r="Q1201" i="1"/>
  <c r="S1208" i="1"/>
  <c r="Q1209" i="1"/>
  <c r="S1216" i="1"/>
  <c r="Q1217" i="1"/>
  <c r="S1224" i="1"/>
  <c r="Q1225" i="1"/>
  <c r="S1232" i="1"/>
  <c r="Q1233" i="1"/>
  <c r="S1240" i="1"/>
  <c r="Q1241" i="1"/>
  <c r="S1248" i="1"/>
  <c r="Q1249" i="1"/>
  <c r="R1041" i="1"/>
  <c r="T1048" i="1"/>
  <c r="R1105" i="1"/>
  <c r="S1120" i="1"/>
  <c r="R1127" i="1"/>
  <c r="S1128" i="1"/>
  <c r="R1129" i="1"/>
  <c r="T1136" i="1"/>
  <c r="R1137" i="1"/>
  <c r="T1144" i="1"/>
  <c r="R1145" i="1"/>
  <c r="T1152" i="1"/>
  <c r="R1153" i="1"/>
  <c r="T1160" i="1"/>
  <c r="R1161" i="1"/>
  <c r="T1168" i="1"/>
  <c r="R1169" i="1"/>
  <c r="T1176" i="1"/>
  <c r="R1177" i="1"/>
  <c r="T1184" i="1"/>
  <c r="R1185" i="1"/>
  <c r="T1192" i="1"/>
  <c r="R1193" i="1"/>
  <c r="T1200" i="1"/>
  <c r="R1201" i="1"/>
  <c r="T1208" i="1"/>
  <c r="R1209" i="1"/>
  <c r="T1216" i="1"/>
  <c r="R1217" i="1"/>
  <c r="T1224" i="1"/>
  <c r="R1225" i="1"/>
  <c r="T1232" i="1"/>
  <c r="R1233" i="1"/>
  <c r="Q951" i="1"/>
  <c r="Q1034" i="1"/>
  <c r="S1041" i="1"/>
  <c r="Q1098" i="1"/>
  <c r="S1105" i="1"/>
  <c r="T1120" i="1"/>
  <c r="Q1126" i="1"/>
  <c r="S1127" i="1"/>
  <c r="T1128" i="1"/>
  <c r="S1129" i="1"/>
  <c r="Q1130" i="1"/>
  <c r="S1137" i="1"/>
  <c r="Q1138" i="1"/>
  <c r="S1145" i="1"/>
  <c r="Q1146" i="1"/>
  <c r="S1153" i="1"/>
  <c r="Q1154" i="1"/>
  <c r="S1161" i="1"/>
  <c r="Q1162" i="1"/>
  <c r="S1169" i="1"/>
  <c r="Q1170" i="1"/>
  <c r="S1177" i="1"/>
  <c r="Q1178" i="1"/>
  <c r="S1185" i="1"/>
  <c r="Q1186" i="1"/>
  <c r="S1193" i="1"/>
  <c r="Q1194" i="1"/>
  <c r="S1201" i="1"/>
  <c r="Q1202" i="1"/>
  <c r="S1209" i="1"/>
  <c r="Q1210" i="1"/>
  <c r="S1217" i="1"/>
  <c r="Q1218" i="1"/>
  <c r="S1225" i="1"/>
  <c r="Q1226" i="1"/>
  <c r="S1233" i="1"/>
  <c r="Q1234" i="1"/>
  <c r="S1241" i="1"/>
  <c r="Q1242" i="1"/>
  <c r="S1249" i="1"/>
  <c r="Q1250" i="1"/>
  <c r="Q918" i="1"/>
  <c r="R1049" i="1"/>
  <c r="T1056" i="1"/>
  <c r="Q1125" i="1"/>
  <c r="S1126" i="1"/>
  <c r="T1127" i="1"/>
  <c r="T1129" i="1"/>
  <c r="R1130" i="1"/>
  <c r="T1137" i="1"/>
  <c r="R1138" i="1"/>
  <c r="T1145" i="1"/>
  <c r="R1146" i="1"/>
  <c r="T1153" i="1"/>
  <c r="R1154" i="1"/>
  <c r="T1161" i="1"/>
  <c r="R1162" i="1"/>
  <c r="T1169" i="1"/>
  <c r="R1170" i="1"/>
  <c r="T1177" i="1"/>
  <c r="R1178" i="1"/>
  <c r="T1185" i="1"/>
  <c r="R1186" i="1"/>
  <c r="T1193" i="1"/>
  <c r="R1194" i="1"/>
  <c r="T1201" i="1"/>
  <c r="R1202" i="1"/>
  <c r="T1209" i="1"/>
  <c r="R1210" i="1"/>
  <c r="T1217" i="1"/>
  <c r="R1218" i="1"/>
  <c r="T1225" i="1"/>
  <c r="R1226" i="1"/>
  <c r="T1233" i="1"/>
  <c r="R1234" i="1"/>
  <c r="T1241" i="1"/>
  <c r="R1242" i="1"/>
  <c r="T1249" i="1"/>
  <c r="R1250" i="1"/>
  <c r="R918" i="1"/>
  <c r="Q1042" i="1"/>
  <c r="S1049" i="1"/>
  <c r="Q1106" i="1"/>
  <c r="R1125" i="1"/>
  <c r="T1126" i="1"/>
  <c r="S1130" i="1"/>
  <c r="Q1131" i="1"/>
  <c r="S1138" i="1"/>
  <c r="Q1139" i="1"/>
  <c r="S1146" i="1"/>
  <c r="Q1147" i="1"/>
  <c r="S1154" i="1"/>
  <c r="Q1155" i="1"/>
  <c r="S1162" i="1"/>
  <c r="Q1163" i="1"/>
  <c r="S1170" i="1"/>
  <c r="Q1171" i="1"/>
  <c r="S1178" i="1"/>
  <c r="Q1179" i="1"/>
  <c r="S1186" i="1"/>
  <c r="Q1187" i="1"/>
  <c r="S1194" i="1"/>
  <c r="Q1195" i="1"/>
  <c r="S1202" i="1"/>
  <c r="Q1203" i="1"/>
  <c r="S1210" i="1"/>
  <c r="Q1211" i="1"/>
  <c r="S1218" i="1"/>
  <c r="Q1219" i="1"/>
  <c r="S1226" i="1"/>
  <c r="Q1227" i="1"/>
  <c r="S1234" i="1"/>
  <c r="Q1235" i="1"/>
  <c r="S1242" i="1"/>
  <c r="Q1243" i="1"/>
  <c r="T854" i="1"/>
  <c r="R1057" i="1"/>
  <c r="T1064" i="1"/>
  <c r="S1112" i="1"/>
  <c r="Q1121" i="1"/>
  <c r="S1125" i="1"/>
  <c r="T1130" i="1"/>
  <c r="R1131" i="1"/>
  <c r="T1138" i="1"/>
  <c r="R1139" i="1"/>
  <c r="T1146" i="1"/>
  <c r="R1147" i="1"/>
  <c r="T1154" i="1"/>
  <c r="R1155" i="1"/>
  <c r="T1162" i="1"/>
  <c r="R1163" i="1"/>
  <c r="T1170" i="1"/>
  <c r="R1171" i="1"/>
  <c r="T1178" i="1"/>
  <c r="R1179" i="1"/>
  <c r="T1186" i="1"/>
  <c r="R1187" i="1"/>
  <c r="T1194" i="1"/>
  <c r="R1195" i="1"/>
  <c r="T1202" i="1"/>
  <c r="R1203" i="1"/>
  <c r="T1210" i="1"/>
  <c r="R1211" i="1"/>
  <c r="T1218" i="1"/>
  <c r="R1219" i="1"/>
  <c r="T1226" i="1"/>
  <c r="R1227" i="1"/>
  <c r="T1234" i="1"/>
  <c r="R1235" i="1"/>
  <c r="T1242" i="1"/>
  <c r="R1243" i="1"/>
  <c r="R1172" i="1"/>
  <c r="T1179" i="1"/>
  <c r="R1236" i="1"/>
  <c r="Q1255" i="1"/>
  <c r="Q1256" i="1"/>
  <c r="T1263" i="1"/>
  <c r="R1264" i="1"/>
  <c r="T1271" i="1"/>
  <c r="R1272" i="1"/>
  <c r="T1279" i="1"/>
  <c r="R1280" i="1"/>
  <c r="T1287" i="1"/>
  <c r="R1288" i="1"/>
  <c r="T1295" i="1"/>
  <c r="R1296" i="1"/>
  <c r="T1303" i="1"/>
  <c r="R1304" i="1"/>
  <c r="T1311" i="1"/>
  <c r="R1312" i="1"/>
  <c r="T1319" i="1"/>
  <c r="R1320" i="1"/>
  <c r="T1327" i="1"/>
  <c r="R1328" i="1"/>
  <c r="T1335" i="1"/>
  <c r="R1336" i="1"/>
  <c r="T1343" i="1"/>
  <c r="R1344" i="1"/>
  <c r="T1351" i="1"/>
  <c r="R1352" i="1"/>
  <c r="T1359" i="1"/>
  <c r="R1360" i="1"/>
  <c r="T1367" i="1"/>
  <c r="R1368" i="1"/>
  <c r="T1375" i="1"/>
  <c r="R1376" i="1"/>
  <c r="Q1180" i="1"/>
  <c r="S1187" i="1"/>
  <c r="Q1251" i="1"/>
  <c r="Q1252" i="1"/>
  <c r="Q1253" i="1"/>
  <c r="Q1254" i="1"/>
  <c r="R1255" i="1"/>
  <c r="R1256" i="1"/>
  <c r="Q1257" i="1"/>
  <c r="S1264" i="1"/>
  <c r="Q1265" i="1"/>
  <c r="S1272" i="1"/>
  <c r="Q1273" i="1"/>
  <c r="S1280" i="1"/>
  <c r="Q1281" i="1"/>
  <c r="S1288" i="1"/>
  <c r="Q1289" i="1"/>
  <c r="S1296" i="1"/>
  <c r="Q1297" i="1"/>
  <c r="S1304" i="1"/>
  <c r="Q1305" i="1"/>
  <c r="S1312" i="1"/>
  <c r="Q1313" i="1"/>
  <c r="S1320" i="1"/>
  <c r="Q1321" i="1"/>
  <c r="S1328" i="1"/>
  <c r="Q1329" i="1"/>
  <c r="S1336" i="1"/>
  <c r="Q1337" i="1"/>
  <c r="S1344" i="1"/>
  <c r="Q1345" i="1"/>
  <c r="S1352" i="1"/>
  <c r="Q1353" i="1"/>
  <c r="S1360" i="1"/>
  <c r="Q1361" i="1"/>
  <c r="S1368" i="1"/>
  <c r="Q1369" i="1"/>
  <c r="S1376" i="1"/>
  <c r="Q1377" i="1"/>
  <c r="T1008" i="1"/>
  <c r="R1065" i="1"/>
  <c r="R1180" i="1"/>
  <c r="T1187" i="1"/>
  <c r="R1251" i="1"/>
  <c r="R1252" i="1"/>
  <c r="R1253" i="1"/>
  <c r="S1254" i="1"/>
  <c r="S1255" i="1"/>
  <c r="S1256" i="1"/>
  <c r="R1257" i="1"/>
  <c r="T1264" i="1"/>
  <c r="R1265" i="1"/>
  <c r="T1272" i="1"/>
  <c r="R1273" i="1"/>
  <c r="T1280" i="1"/>
  <c r="R1281" i="1"/>
  <c r="T1288" i="1"/>
  <c r="R1289" i="1"/>
  <c r="T1296" i="1"/>
  <c r="R1297" i="1"/>
  <c r="T1304" i="1"/>
  <c r="R1305" i="1"/>
  <c r="T1312" i="1"/>
  <c r="R1313" i="1"/>
  <c r="T1320" i="1"/>
  <c r="R1321" i="1"/>
  <c r="T1328" i="1"/>
  <c r="R1329" i="1"/>
  <c r="T1336" i="1"/>
  <c r="R1337" i="1"/>
  <c r="T1344" i="1"/>
  <c r="R1345" i="1"/>
  <c r="T1352" i="1"/>
  <c r="R1353" i="1"/>
  <c r="T1360" i="1"/>
  <c r="R1361" i="1"/>
  <c r="T1368" i="1"/>
  <c r="R1369" i="1"/>
  <c r="T1376" i="1"/>
  <c r="R1377" i="1"/>
  <c r="R1121" i="1"/>
  <c r="S1131" i="1"/>
  <c r="Q1188" i="1"/>
  <c r="S1195" i="1"/>
  <c r="S1243" i="1"/>
  <c r="S1251" i="1"/>
  <c r="S1252" i="1"/>
  <c r="S1253" i="1"/>
  <c r="T1254" i="1"/>
  <c r="T1255" i="1"/>
  <c r="T1256" i="1"/>
  <c r="S1257" i="1"/>
  <c r="Q1258" i="1"/>
  <c r="S1265" i="1"/>
  <c r="Q1266" i="1"/>
  <c r="S1273" i="1"/>
  <c r="Q1274" i="1"/>
  <c r="S1281" i="1"/>
  <c r="Q1282" i="1"/>
  <c r="S1289" i="1"/>
  <c r="Q1290" i="1"/>
  <c r="S1297" i="1"/>
  <c r="Q1298" i="1"/>
  <c r="S1305" i="1"/>
  <c r="Q1306" i="1"/>
  <c r="S1313" i="1"/>
  <c r="Q1314" i="1"/>
  <c r="S1321" i="1"/>
  <c r="Q1322" i="1"/>
  <c r="S1329" i="1"/>
  <c r="Q1330" i="1"/>
  <c r="S1337" i="1"/>
  <c r="Q1338" i="1"/>
  <c r="S1345" i="1"/>
  <c r="Q1346" i="1"/>
  <c r="S1353" i="1"/>
  <c r="Q1354" i="1"/>
  <c r="S1361" i="1"/>
  <c r="Q1362" i="1"/>
  <c r="S1369" i="1"/>
  <c r="Q1370" i="1"/>
  <c r="S1377" i="1"/>
  <c r="Q1378" i="1"/>
  <c r="T1072" i="1"/>
  <c r="S1121" i="1"/>
  <c r="T1131" i="1"/>
  <c r="R1188" i="1"/>
  <c r="T1195" i="1"/>
  <c r="T1243" i="1"/>
  <c r="T1251" i="1"/>
  <c r="T1252" i="1"/>
  <c r="T1257" i="1"/>
  <c r="R1258" i="1"/>
  <c r="T1265" i="1"/>
  <c r="R1266" i="1"/>
  <c r="T1273" i="1"/>
  <c r="R1274" i="1"/>
  <c r="T1281" i="1"/>
  <c r="R1282" i="1"/>
  <c r="T1289" i="1"/>
  <c r="R1290" i="1"/>
  <c r="T1297" i="1"/>
  <c r="R1298" i="1"/>
  <c r="T1305" i="1"/>
  <c r="R1306" i="1"/>
  <c r="T1313" i="1"/>
  <c r="R1314" i="1"/>
  <c r="T1321" i="1"/>
  <c r="R1322" i="1"/>
  <c r="T1329" i="1"/>
  <c r="R1330" i="1"/>
  <c r="T1337" i="1"/>
  <c r="R1338" i="1"/>
  <c r="T1345" i="1"/>
  <c r="R1346" i="1"/>
  <c r="T1353" i="1"/>
  <c r="R1354" i="1"/>
  <c r="T1361" i="1"/>
  <c r="R1362" i="1"/>
  <c r="T1369" i="1"/>
  <c r="R1370" i="1"/>
  <c r="T1377" i="1"/>
  <c r="R1378" i="1"/>
  <c r="Q1132" i="1"/>
  <c r="S1139" i="1"/>
  <c r="Q1196" i="1"/>
  <c r="S1203" i="1"/>
  <c r="S1258" i="1"/>
  <c r="Q1259" i="1"/>
  <c r="S1266" i="1"/>
  <c r="Q1267" i="1"/>
  <c r="S1274" i="1"/>
  <c r="Q1275" i="1"/>
  <c r="S1282" i="1"/>
  <c r="Q1283" i="1"/>
  <c r="S1290" i="1"/>
  <c r="Q1291" i="1"/>
  <c r="S1298" i="1"/>
  <c r="Q1299" i="1"/>
  <c r="S1306" i="1"/>
  <c r="Q1307" i="1"/>
  <c r="S1314" i="1"/>
  <c r="Q1315" i="1"/>
  <c r="S1322" i="1"/>
  <c r="Q1323" i="1"/>
  <c r="S1330" i="1"/>
  <c r="Q1331" i="1"/>
  <c r="S1338" i="1"/>
  <c r="Q1339" i="1"/>
  <c r="S1346" i="1"/>
  <c r="Q1347" i="1"/>
  <c r="S1354" i="1"/>
  <c r="Q1355" i="1"/>
  <c r="S1362" i="1"/>
  <c r="Q1363" i="1"/>
  <c r="S1370" i="1"/>
  <c r="Q1371" i="1"/>
  <c r="S1378" i="1"/>
  <c r="Q1379" i="1"/>
  <c r="S1124" i="1"/>
  <c r="R1132" i="1"/>
  <c r="T1139" i="1"/>
  <c r="R1196" i="1"/>
  <c r="T1203" i="1"/>
  <c r="T1258" i="1"/>
  <c r="R1259" i="1"/>
  <c r="T1266" i="1"/>
  <c r="R1267" i="1"/>
  <c r="T1274" i="1"/>
  <c r="R1275" i="1"/>
  <c r="T1282" i="1"/>
  <c r="R1283" i="1"/>
  <c r="T1290" i="1"/>
  <c r="R1291" i="1"/>
  <c r="T1298" i="1"/>
  <c r="R1299" i="1"/>
  <c r="T1306" i="1"/>
  <c r="R1307" i="1"/>
  <c r="T1314" i="1"/>
  <c r="R1315" i="1"/>
  <c r="T1322" i="1"/>
  <c r="R1323" i="1"/>
  <c r="T1330" i="1"/>
  <c r="R1331" i="1"/>
  <c r="T1338" i="1"/>
  <c r="R1339" i="1"/>
  <c r="T1346" i="1"/>
  <c r="R1347" i="1"/>
  <c r="T1354" i="1"/>
  <c r="R1355" i="1"/>
  <c r="T1362" i="1"/>
  <c r="R1363" i="1"/>
  <c r="T1370" i="1"/>
  <c r="R1371" i="1"/>
  <c r="T1378" i="1"/>
  <c r="R1379" i="1"/>
  <c r="Q1140" i="1"/>
  <c r="S1147" i="1"/>
  <c r="Q1204" i="1"/>
  <c r="S1211" i="1"/>
  <c r="Q1244" i="1"/>
  <c r="S1250" i="1"/>
  <c r="S1259" i="1"/>
  <c r="Q1260" i="1"/>
  <c r="S1267" i="1"/>
  <c r="Q1268" i="1"/>
  <c r="S1275" i="1"/>
  <c r="Q1276" i="1"/>
  <c r="S1283" i="1"/>
  <c r="Q1284" i="1"/>
  <c r="S1291" i="1"/>
  <c r="Q1292" i="1"/>
  <c r="S1299" i="1"/>
  <c r="Q1300" i="1"/>
  <c r="S1307" i="1"/>
  <c r="Q1308" i="1"/>
  <c r="S1315" i="1"/>
  <c r="Q1316" i="1"/>
  <c r="S1323" i="1"/>
  <c r="Q1324" i="1"/>
  <c r="S1331" i="1"/>
  <c r="Q1332" i="1"/>
  <c r="S1339" i="1"/>
  <c r="Q1340" i="1"/>
  <c r="S1347" i="1"/>
  <c r="Q1348" i="1"/>
  <c r="S1355" i="1"/>
  <c r="Q1356" i="1"/>
  <c r="S1363" i="1"/>
  <c r="Q1364" i="1"/>
  <c r="S1371" i="1"/>
  <c r="Q1372" i="1"/>
  <c r="S1379" i="1"/>
  <c r="Q1380" i="1"/>
  <c r="R1140" i="1"/>
  <c r="T1147" i="1"/>
  <c r="R1204" i="1"/>
  <c r="T1211" i="1"/>
  <c r="R1244" i="1"/>
  <c r="T1250" i="1"/>
  <c r="T1259" i="1"/>
  <c r="R1260" i="1"/>
  <c r="T1267" i="1"/>
  <c r="R1268" i="1"/>
  <c r="T1275" i="1"/>
  <c r="R1276" i="1"/>
  <c r="T1283" i="1"/>
  <c r="R1284" i="1"/>
  <c r="T1291" i="1"/>
  <c r="R1292" i="1"/>
  <c r="T1299" i="1"/>
  <c r="R1300" i="1"/>
  <c r="T1307" i="1"/>
  <c r="R1308" i="1"/>
  <c r="T1315" i="1"/>
  <c r="R1316" i="1"/>
  <c r="T1323" i="1"/>
  <c r="R1324" i="1"/>
  <c r="T1331" i="1"/>
  <c r="R1332" i="1"/>
  <c r="T1339" i="1"/>
  <c r="R1340" i="1"/>
  <c r="T1347" i="1"/>
  <c r="R1348" i="1"/>
  <c r="T1355" i="1"/>
  <c r="R1356" i="1"/>
  <c r="T1363" i="1"/>
  <c r="R1364" i="1"/>
  <c r="Q1148" i="1"/>
  <c r="S1155" i="1"/>
  <c r="Q1212" i="1"/>
  <c r="S1219" i="1"/>
  <c r="T1240" i="1"/>
  <c r="T1248" i="1"/>
  <c r="S1260" i="1"/>
  <c r="Q1261" i="1"/>
  <c r="S1268" i="1"/>
  <c r="Q1269" i="1"/>
  <c r="S1276" i="1"/>
  <c r="Q1277" i="1"/>
  <c r="S1284" i="1"/>
  <c r="Q1285" i="1"/>
  <c r="S1292" i="1"/>
  <c r="Q1293" i="1"/>
  <c r="S1300" i="1"/>
  <c r="Q1301" i="1"/>
  <c r="S1308" i="1"/>
  <c r="Q1309" i="1"/>
  <c r="S1316" i="1"/>
  <c r="Q1317" i="1"/>
  <c r="S1324" i="1"/>
  <c r="Q1325" i="1"/>
  <c r="S1332" i="1"/>
  <c r="Q1333" i="1"/>
  <c r="S1340" i="1"/>
  <c r="Q1341" i="1"/>
  <c r="S1348" i="1"/>
  <c r="Q1349" i="1"/>
  <c r="S1356" i="1"/>
  <c r="Q1357" i="1"/>
  <c r="S1364" i="1"/>
  <c r="Q1365" i="1"/>
  <c r="S1372" i="1"/>
  <c r="Q1373" i="1"/>
  <c r="S1380" i="1"/>
  <c r="Q1381" i="1"/>
  <c r="R1148" i="1"/>
  <c r="T1155" i="1"/>
  <c r="R1212" i="1"/>
  <c r="T1219" i="1"/>
  <c r="T1260" i="1"/>
  <c r="R1261" i="1"/>
  <c r="T1268" i="1"/>
  <c r="R1269" i="1"/>
  <c r="T1276" i="1"/>
  <c r="R1277" i="1"/>
  <c r="T1284" i="1"/>
  <c r="R1285" i="1"/>
  <c r="T1292" i="1"/>
  <c r="R1293" i="1"/>
  <c r="T1300" i="1"/>
  <c r="R1301" i="1"/>
  <c r="T1308" i="1"/>
  <c r="R1309" i="1"/>
  <c r="T1316" i="1"/>
  <c r="R1317" i="1"/>
  <c r="T1324" i="1"/>
  <c r="R1325" i="1"/>
  <c r="T1332" i="1"/>
  <c r="R1333" i="1"/>
  <c r="T1340" i="1"/>
  <c r="R1341" i="1"/>
  <c r="T1348" i="1"/>
  <c r="R1349" i="1"/>
  <c r="T1356" i="1"/>
  <c r="R1357" i="1"/>
  <c r="T1364" i="1"/>
  <c r="R1365" i="1"/>
  <c r="T1372" i="1"/>
  <c r="R1373" i="1"/>
  <c r="T1380" i="1"/>
  <c r="R1381" i="1"/>
  <c r="Q1156" i="1"/>
  <c r="S1163" i="1"/>
  <c r="Q1220" i="1"/>
  <c r="S1227" i="1"/>
  <c r="S1261" i="1"/>
  <c r="Q1262" i="1"/>
  <c r="S1269" i="1"/>
  <c r="Q1270" i="1"/>
  <c r="S1277" i="1"/>
  <c r="Q1278" i="1"/>
  <c r="S1285" i="1"/>
  <c r="Q1286" i="1"/>
  <c r="S1293" i="1"/>
  <c r="Q1294" i="1"/>
  <c r="S1301" i="1"/>
  <c r="Q1302" i="1"/>
  <c r="S1309" i="1"/>
  <c r="Q1310" i="1"/>
  <c r="S1317" i="1"/>
  <c r="Q1318" i="1"/>
  <c r="S1325" i="1"/>
  <c r="Q1326" i="1"/>
  <c r="S1333" i="1"/>
  <c r="Q1334" i="1"/>
  <c r="S1341" i="1"/>
  <c r="Q1342" i="1"/>
  <c r="S1349" i="1"/>
  <c r="Q1350" i="1"/>
  <c r="S1357" i="1"/>
  <c r="Q1358" i="1"/>
  <c r="S1365" i="1"/>
  <c r="Q1366" i="1"/>
  <c r="S1373" i="1"/>
  <c r="Q1374" i="1"/>
  <c r="S1057" i="1"/>
  <c r="Q1172" i="1"/>
  <c r="Q1272" i="1"/>
  <c r="S1279" i="1"/>
  <c r="Q1304" i="1"/>
  <c r="S1311" i="1"/>
  <c r="Q1336" i="1"/>
  <c r="S1343" i="1"/>
  <c r="Q1368" i="1"/>
  <c r="T1371" i="1"/>
  <c r="R1374" i="1"/>
  <c r="R1382" i="1"/>
  <c r="S1386" i="1"/>
  <c r="Q1387" i="1"/>
  <c r="S1394" i="1"/>
  <c r="Q1395" i="1"/>
  <c r="S1402" i="1"/>
  <c r="Q1403" i="1"/>
  <c r="S1410" i="1"/>
  <c r="Q1411" i="1"/>
  <c r="S1418" i="1"/>
  <c r="Q1419" i="1"/>
  <c r="S1426" i="1"/>
  <c r="Q1427" i="1"/>
  <c r="S1434" i="1"/>
  <c r="Q1435" i="1"/>
  <c r="S1442" i="1"/>
  <c r="Q1443" i="1"/>
  <c r="S1450" i="1"/>
  <c r="Q1451" i="1"/>
  <c r="S1458" i="1"/>
  <c r="Q1459" i="1"/>
  <c r="S1466" i="1"/>
  <c r="Q1467" i="1"/>
  <c r="S1474" i="1"/>
  <c r="Q1475" i="1"/>
  <c r="S1482" i="1"/>
  <c r="Q1483" i="1"/>
  <c r="S1490" i="1"/>
  <c r="Q1491" i="1"/>
  <c r="R1262" i="1"/>
  <c r="T1269" i="1"/>
  <c r="R1294" i="1"/>
  <c r="T1301" i="1"/>
  <c r="R1326" i="1"/>
  <c r="T1333" i="1"/>
  <c r="R1358" i="1"/>
  <c r="T1365" i="1"/>
  <c r="S1374" i="1"/>
  <c r="S1382" i="1"/>
  <c r="T1386" i="1"/>
  <c r="R1387" i="1"/>
  <c r="T1394" i="1"/>
  <c r="R1395" i="1"/>
  <c r="T1402" i="1"/>
  <c r="R1403" i="1"/>
  <c r="T1410" i="1"/>
  <c r="R1411" i="1"/>
  <c r="T1418" i="1"/>
  <c r="R1419" i="1"/>
  <c r="T1426" i="1"/>
  <c r="R1427" i="1"/>
  <c r="T1434" i="1"/>
  <c r="R1435" i="1"/>
  <c r="T1442" i="1"/>
  <c r="R1443" i="1"/>
  <c r="T1450" i="1"/>
  <c r="R1451" i="1"/>
  <c r="T1458" i="1"/>
  <c r="R1459" i="1"/>
  <c r="T1466" i="1"/>
  <c r="R1467" i="1"/>
  <c r="T1474" i="1"/>
  <c r="R1475" i="1"/>
  <c r="T1482" i="1"/>
  <c r="R1483" i="1"/>
  <c r="T1490" i="1"/>
  <c r="R1491" i="1"/>
  <c r="S1235" i="1"/>
  <c r="S1262" i="1"/>
  <c r="Q1287" i="1"/>
  <c r="S1294" i="1"/>
  <c r="Q1319" i="1"/>
  <c r="S1326" i="1"/>
  <c r="Q1351" i="1"/>
  <c r="S1358" i="1"/>
  <c r="T1374" i="1"/>
  <c r="R1380" i="1"/>
  <c r="T1382" i="1"/>
  <c r="S1387" i="1"/>
  <c r="Q1388" i="1"/>
  <c r="S1395" i="1"/>
  <c r="Q1396" i="1"/>
  <c r="S1403" i="1"/>
  <c r="Q1404" i="1"/>
  <c r="S1411" i="1"/>
  <c r="Q1412" i="1"/>
  <c r="S1419" i="1"/>
  <c r="Q1420" i="1"/>
  <c r="S1427" i="1"/>
  <c r="Q1428" i="1"/>
  <c r="S1435" i="1"/>
  <c r="Q1436" i="1"/>
  <c r="S1443" i="1"/>
  <c r="Q1444" i="1"/>
  <c r="S1451" i="1"/>
  <c r="Q1452" i="1"/>
  <c r="S1459" i="1"/>
  <c r="Q1460" i="1"/>
  <c r="S1467" i="1"/>
  <c r="Q1468" i="1"/>
  <c r="S1475" i="1"/>
  <c r="Q1476" i="1"/>
  <c r="S1483" i="1"/>
  <c r="Q1484" i="1"/>
  <c r="S1491" i="1"/>
  <c r="Q1492" i="1"/>
  <c r="T1235" i="1"/>
  <c r="T1262" i="1"/>
  <c r="R1287" i="1"/>
  <c r="T1294" i="1"/>
  <c r="R1319" i="1"/>
  <c r="T1326" i="1"/>
  <c r="R1351" i="1"/>
  <c r="T1358" i="1"/>
  <c r="T1387" i="1"/>
  <c r="R1388" i="1"/>
  <c r="T1395" i="1"/>
  <c r="R1396" i="1"/>
  <c r="T1403" i="1"/>
  <c r="R1404" i="1"/>
  <c r="T1411" i="1"/>
  <c r="R1412" i="1"/>
  <c r="T1419" i="1"/>
  <c r="R1420" i="1"/>
  <c r="T1427" i="1"/>
  <c r="R1428" i="1"/>
  <c r="T1435" i="1"/>
  <c r="R1436" i="1"/>
  <c r="T1443" i="1"/>
  <c r="R1444" i="1"/>
  <c r="T1451" i="1"/>
  <c r="R1452" i="1"/>
  <c r="T1459" i="1"/>
  <c r="R1460" i="1"/>
  <c r="T1467" i="1"/>
  <c r="R1468" i="1"/>
  <c r="T1475" i="1"/>
  <c r="R1476" i="1"/>
  <c r="T1483" i="1"/>
  <c r="R1484" i="1"/>
  <c r="T1112" i="1"/>
  <c r="S1179" i="1"/>
  <c r="Q1236" i="1"/>
  <c r="Q1280" i="1"/>
  <c r="S1287" i="1"/>
  <c r="Q1312" i="1"/>
  <c r="S1319" i="1"/>
  <c r="Q1344" i="1"/>
  <c r="S1351" i="1"/>
  <c r="S1388" i="1"/>
  <c r="Q1389" i="1"/>
  <c r="S1396" i="1"/>
  <c r="Q1397" i="1"/>
  <c r="S1404" i="1"/>
  <c r="Q1405" i="1"/>
  <c r="S1412" i="1"/>
  <c r="Q1413" i="1"/>
  <c r="S1420" i="1"/>
  <c r="Q1421" i="1"/>
  <c r="S1428" i="1"/>
  <c r="Q1429" i="1"/>
  <c r="S1436" i="1"/>
  <c r="Q1437" i="1"/>
  <c r="S1444" i="1"/>
  <c r="Q1445" i="1"/>
  <c r="S1452" i="1"/>
  <c r="Q1453" i="1"/>
  <c r="S1460" i="1"/>
  <c r="Q1461" i="1"/>
  <c r="S1468" i="1"/>
  <c r="Q1469" i="1"/>
  <c r="S1476" i="1"/>
  <c r="Q1477" i="1"/>
  <c r="S1484" i="1"/>
  <c r="Q1485" i="1"/>
  <c r="S1492" i="1"/>
  <c r="Q1493" i="1"/>
  <c r="R1156" i="1"/>
  <c r="R1241" i="1"/>
  <c r="R1270" i="1"/>
  <c r="T1277" i="1"/>
  <c r="R1302" i="1"/>
  <c r="T1309" i="1"/>
  <c r="R1334" i="1"/>
  <c r="T1341" i="1"/>
  <c r="R1366" i="1"/>
  <c r="R1372" i="1"/>
  <c r="T1388" i="1"/>
  <c r="R1389" i="1"/>
  <c r="T1396" i="1"/>
  <c r="R1397" i="1"/>
  <c r="T1404" i="1"/>
  <c r="R1405" i="1"/>
  <c r="T1412" i="1"/>
  <c r="R1413" i="1"/>
  <c r="T1420" i="1"/>
  <c r="R1421" i="1"/>
  <c r="T1428" i="1"/>
  <c r="R1429" i="1"/>
  <c r="T1436" i="1"/>
  <c r="R1437" i="1"/>
  <c r="T1444" i="1"/>
  <c r="R1445" i="1"/>
  <c r="T1452" i="1"/>
  <c r="R1453" i="1"/>
  <c r="T1460" i="1"/>
  <c r="R1461" i="1"/>
  <c r="T1468" i="1"/>
  <c r="R1469" i="1"/>
  <c r="T1476" i="1"/>
  <c r="R1477" i="1"/>
  <c r="T1484" i="1"/>
  <c r="R1485" i="1"/>
  <c r="Q1263" i="1"/>
  <c r="S1270" i="1"/>
  <c r="Q1295" i="1"/>
  <c r="S1302" i="1"/>
  <c r="Q1327" i="1"/>
  <c r="S1334" i="1"/>
  <c r="Q1359" i="1"/>
  <c r="S1366" i="1"/>
  <c r="Q1375" i="1"/>
  <c r="S1389" i="1"/>
  <c r="Q1390" i="1"/>
  <c r="S1397" i="1"/>
  <c r="Q1398" i="1"/>
  <c r="S1405" i="1"/>
  <c r="Q1406" i="1"/>
  <c r="S1413" i="1"/>
  <c r="Q1414" i="1"/>
  <c r="S1421" i="1"/>
  <c r="Q1422" i="1"/>
  <c r="S1429" i="1"/>
  <c r="Q1430" i="1"/>
  <c r="S1437" i="1"/>
  <c r="Q1438" i="1"/>
  <c r="S1445" i="1"/>
  <c r="Q1446" i="1"/>
  <c r="S1453" i="1"/>
  <c r="Q1454" i="1"/>
  <c r="S1461" i="1"/>
  <c r="Q1462" i="1"/>
  <c r="S1469" i="1"/>
  <c r="Q1470" i="1"/>
  <c r="S1477" i="1"/>
  <c r="Q1478" i="1"/>
  <c r="S1485" i="1"/>
  <c r="Q1486" i="1"/>
  <c r="S1493" i="1"/>
  <c r="Q1494" i="1"/>
  <c r="R1263" i="1"/>
  <c r="T1270" i="1"/>
  <c r="R1295" i="1"/>
  <c r="T1302" i="1"/>
  <c r="R1327" i="1"/>
  <c r="T1334" i="1"/>
  <c r="R1359" i="1"/>
  <c r="T1366" i="1"/>
  <c r="R1375" i="1"/>
  <c r="T1389" i="1"/>
  <c r="R1390" i="1"/>
  <c r="T1397" i="1"/>
  <c r="R1398" i="1"/>
  <c r="T1405" i="1"/>
  <c r="R1406" i="1"/>
  <c r="T1413" i="1"/>
  <c r="R1414" i="1"/>
  <c r="T1421" i="1"/>
  <c r="R1422" i="1"/>
  <c r="T1429" i="1"/>
  <c r="R1430" i="1"/>
  <c r="T1437" i="1"/>
  <c r="R1438" i="1"/>
  <c r="T1445" i="1"/>
  <c r="R1446" i="1"/>
  <c r="T1453" i="1"/>
  <c r="R1454" i="1"/>
  <c r="T1461" i="1"/>
  <c r="R1462" i="1"/>
  <c r="S1263" i="1"/>
  <c r="Q1288" i="1"/>
  <c r="S1295" i="1"/>
  <c r="Q1320" i="1"/>
  <c r="S1327" i="1"/>
  <c r="Q1352" i="1"/>
  <c r="S1359" i="1"/>
  <c r="S1375" i="1"/>
  <c r="S1381" i="1"/>
  <c r="S1390" i="1"/>
  <c r="Q1391" i="1"/>
  <c r="S1398" i="1"/>
  <c r="Q1399" i="1"/>
  <c r="S1406" i="1"/>
  <c r="Q1407" i="1"/>
  <c r="S1414" i="1"/>
  <c r="Q1415" i="1"/>
  <c r="S1422" i="1"/>
  <c r="Q1423" i="1"/>
  <c r="S1430" i="1"/>
  <c r="Q1431" i="1"/>
  <c r="S1438" i="1"/>
  <c r="Q1439" i="1"/>
  <c r="S1446" i="1"/>
  <c r="Q1447" i="1"/>
  <c r="S1454" i="1"/>
  <c r="Q1455" i="1"/>
  <c r="S1462" i="1"/>
  <c r="Q1463" i="1"/>
  <c r="Q927" i="1"/>
  <c r="T1163" i="1"/>
  <c r="R1220" i="1"/>
  <c r="R1278" i="1"/>
  <c r="T1285" i="1"/>
  <c r="R1310" i="1"/>
  <c r="T1317" i="1"/>
  <c r="R1342" i="1"/>
  <c r="T1349" i="1"/>
  <c r="T1381" i="1"/>
  <c r="Q1383" i="1"/>
  <c r="T1390" i="1"/>
  <c r="R1391" i="1"/>
  <c r="T1398" i="1"/>
  <c r="R1399" i="1"/>
  <c r="T1406" i="1"/>
  <c r="R1407" i="1"/>
  <c r="T1414" i="1"/>
  <c r="R1415" i="1"/>
  <c r="T1422" i="1"/>
  <c r="R1423" i="1"/>
  <c r="T1430" i="1"/>
  <c r="R1431" i="1"/>
  <c r="T1438" i="1"/>
  <c r="R1439" i="1"/>
  <c r="T1446" i="1"/>
  <c r="R1447" i="1"/>
  <c r="T1454" i="1"/>
  <c r="R1455" i="1"/>
  <c r="T1462" i="1"/>
  <c r="R1463" i="1"/>
  <c r="T1470" i="1"/>
  <c r="R1471" i="1"/>
  <c r="T1478" i="1"/>
  <c r="R1479" i="1"/>
  <c r="T1486" i="1"/>
  <c r="R1487" i="1"/>
  <c r="Q1164" i="1"/>
  <c r="Q1271" i="1"/>
  <c r="S1278" i="1"/>
  <c r="Q1303" i="1"/>
  <c r="S1310" i="1"/>
  <c r="Q1335" i="1"/>
  <c r="S1342" i="1"/>
  <c r="Q1367" i="1"/>
  <c r="R1383" i="1"/>
  <c r="Q1384" i="1"/>
  <c r="S1391" i="1"/>
  <c r="Q1392" i="1"/>
  <c r="S1399" i="1"/>
  <c r="Q1400" i="1"/>
  <c r="S1407" i="1"/>
  <c r="Q1408" i="1"/>
  <c r="S1415" i="1"/>
  <c r="Q1416" i="1"/>
  <c r="S1423" i="1"/>
  <c r="Q1424" i="1"/>
  <c r="S1431" i="1"/>
  <c r="Q1432" i="1"/>
  <c r="S1439" i="1"/>
  <c r="Q1440" i="1"/>
  <c r="S1447" i="1"/>
  <c r="Q1448" i="1"/>
  <c r="S1455" i="1"/>
  <c r="Q1456" i="1"/>
  <c r="S1463" i="1"/>
  <c r="Q1464" i="1"/>
  <c r="S1471" i="1"/>
  <c r="Q1472" i="1"/>
  <c r="S1479" i="1"/>
  <c r="Q1480" i="1"/>
  <c r="S1487" i="1"/>
  <c r="Q1488" i="1"/>
  <c r="S1495" i="1"/>
  <c r="Q1496" i="1"/>
  <c r="T965" i="1"/>
  <c r="R1164" i="1"/>
  <c r="R1271" i="1"/>
  <c r="T1278" i="1"/>
  <c r="R1303" i="1"/>
  <c r="T1310" i="1"/>
  <c r="R1335" i="1"/>
  <c r="T1342" i="1"/>
  <c r="R1367" i="1"/>
  <c r="T1373" i="1"/>
  <c r="S1383" i="1"/>
  <c r="R1384" i="1"/>
  <c r="T1391" i="1"/>
  <c r="R1392" i="1"/>
  <c r="T1399" i="1"/>
  <c r="R1400" i="1"/>
  <c r="T1407" i="1"/>
  <c r="R1408" i="1"/>
  <c r="T1415" i="1"/>
  <c r="R1416" i="1"/>
  <c r="T1227" i="1"/>
  <c r="T1261" i="1"/>
  <c r="R1286" i="1"/>
  <c r="T1293" i="1"/>
  <c r="R1318" i="1"/>
  <c r="T1325" i="1"/>
  <c r="R1350" i="1"/>
  <c r="T1357" i="1"/>
  <c r="Q1376" i="1"/>
  <c r="T1379" i="1"/>
  <c r="T1384" i="1"/>
  <c r="R1385" i="1"/>
  <c r="T1392" i="1"/>
  <c r="R1393" i="1"/>
  <c r="T1400" i="1"/>
  <c r="R1401" i="1"/>
  <c r="T1408" i="1"/>
  <c r="R1409" i="1"/>
  <c r="T1416" i="1"/>
  <c r="R1417" i="1"/>
  <c r="T1424" i="1"/>
  <c r="R1425" i="1"/>
  <c r="T1432" i="1"/>
  <c r="R1433" i="1"/>
  <c r="T1440" i="1"/>
  <c r="R1441" i="1"/>
  <c r="T1448" i="1"/>
  <c r="R1449" i="1"/>
  <c r="T1456" i="1"/>
  <c r="R1457" i="1"/>
  <c r="T1464" i="1"/>
  <c r="R1465" i="1"/>
  <c r="T1472" i="1"/>
  <c r="R1473" i="1"/>
  <c r="T1480" i="1"/>
  <c r="R1481" i="1"/>
  <c r="T1488" i="1"/>
  <c r="R1489" i="1"/>
  <c r="S1286" i="1"/>
  <c r="Q1343" i="1"/>
  <c r="Q1386" i="1"/>
  <c r="R1440" i="1"/>
  <c r="T1447" i="1"/>
  <c r="R1482" i="1"/>
  <c r="Q1487" i="1"/>
  <c r="T1489" i="1"/>
  <c r="R1493" i="1"/>
  <c r="S1500" i="1"/>
  <c r="Q1501" i="1"/>
  <c r="S1508" i="1"/>
  <c r="Q1509" i="1"/>
  <c r="S1516" i="1"/>
  <c r="Q1517" i="1"/>
  <c r="S1524" i="1"/>
  <c r="Q1525" i="1"/>
  <c r="S1532" i="1"/>
  <c r="Q1533" i="1"/>
  <c r="S1540" i="1"/>
  <c r="Q1541" i="1"/>
  <c r="S1548" i="1"/>
  <c r="Q1549" i="1"/>
  <c r="S1556" i="1"/>
  <c r="Q1557" i="1"/>
  <c r="S1564" i="1"/>
  <c r="Q1565" i="1"/>
  <c r="S1572" i="1"/>
  <c r="Q1573" i="1"/>
  <c r="S1580" i="1"/>
  <c r="Q1581" i="1"/>
  <c r="S1588" i="1"/>
  <c r="Q1589" i="1"/>
  <c r="S1596" i="1"/>
  <c r="Q1597" i="1"/>
  <c r="S1604" i="1"/>
  <c r="Q1605" i="1"/>
  <c r="Q1228" i="1"/>
  <c r="T1286" i="1"/>
  <c r="R1343" i="1"/>
  <c r="R1386" i="1"/>
  <c r="Q1410" i="1"/>
  <c r="Q1433" i="1"/>
  <c r="S1440" i="1"/>
  <c r="Q1465" i="1"/>
  <c r="R1480" i="1"/>
  <c r="T1487" i="1"/>
  <c r="T1493" i="1"/>
  <c r="T1500" i="1"/>
  <c r="R1501" i="1"/>
  <c r="T1508" i="1"/>
  <c r="R1509" i="1"/>
  <c r="T1516" i="1"/>
  <c r="R1517" i="1"/>
  <c r="T1524" i="1"/>
  <c r="R1525" i="1"/>
  <c r="T1532" i="1"/>
  <c r="R1533" i="1"/>
  <c r="T1540" i="1"/>
  <c r="R1541" i="1"/>
  <c r="T1548" i="1"/>
  <c r="R1549" i="1"/>
  <c r="T1556" i="1"/>
  <c r="R1557" i="1"/>
  <c r="T1564" i="1"/>
  <c r="R1565" i="1"/>
  <c r="T1572" i="1"/>
  <c r="R1573" i="1"/>
  <c r="T1580" i="1"/>
  <c r="R1581" i="1"/>
  <c r="T1588" i="1"/>
  <c r="R1589" i="1"/>
  <c r="T1596" i="1"/>
  <c r="R1597" i="1"/>
  <c r="T1604" i="1"/>
  <c r="R1605" i="1"/>
  <c r="R1228" i="1"/>
  <c r="Q1401" i="1"/>
  <c r="R1410" i="1"/>
  <c r="Q1426" i="1"/>
  <c r="S1433" i="1"/>
  <c r="Q1458" i="1"/>
  <c r="S1465" i="1"/>
  <c r="Q1473" i="1"/>
  <c r="S1480" i="1"/>
  <c r="S1501" i="1"/>
  <c r="Q1502" i="1"/>
  <c r="S1509" i="1"/>
  <c r="Q1510" i="1"/>
  <c r="S1517" i="1"/>
  <c r="Q1518" i="1"/>
  <c r="S1525" i="1"/>
  <c r="Q1526" i="1"/>
  <c r="S1533" i="1"/>
  <c r="Q1534" i="1"/>
  <c r="S1541" i="1"/>
  <c r="Q1542" i="1"/>
  <c r="S1549" i="1"/>
  <c r="Q1550" i="1"/>
  <c r="S1557" i="1"/>
  <c r="Q1558" i="1"/>
  <c r="S1565" i="1"/>
  <c r="Q1566" i="1"/>
  <c r="S1573" i="1"/>
  <c r="Q1574" i="1"/>
  <c r="S1581" i="1"/>
  <c r="Q1582" i="1"/>
  <c r="S1589" i="1"/>
  <c r="Q1590" i="1"/>
  <c r="S1597" i="1"/>
  <c r="Q1598" i="1"/>
  <c r="S1605" i="1"/>
  <c r="Q1606" i="1"/>
  <c r="S1271" i="1"/>
  <c r="Q1328" i="1"/>
  <c r="S1401" i="1"/>
  <c r="R1426" i="1"/>
  <c r="T1433" i="1"/>
  <c r="R1458" i="1"/>
  <c r="T1465" i="1"/>
  <c r="S1473" i="1"/>
  <c r="R1478" i="1"/>
  <c r="T1485" i="1"/>
  <c r="T1501" i="1"/>
  <c r="R1502" i="1"/>
  <c r="T1509" i="1"/>
  <c r="R1510" i="1"/>
  <c r="T1517" i="1"/>
  <c r="R1518" i="1"/>
  <c r="T1525" i="1"/>
  <c r="R1526" i="1"/>
  <c r="T1533" i="1"/>
  <c r="R1534" i="1"/>
  <c r="T1541" i="1"/>
  <c r="R1542" i="1"/>
  <c r="T1549" i="1"/>
  <c r="R1550" i="1"/>
  <c r="T1557" i="1"/>
  <c r="R1558" i="1"/>
  <c r="T1565" i="1"/>
  <c r="R1566" i="1"/>
  <c r="T1573" i="1"/>
  <c r="R1574" i="1"/>
  <c r="T1581" i="1"/>
  <c r="R1582" i="1"/>
  <c r="T1589" i="1"/>
  <c r="R1590" i="1"/>
  <c r="T1597" i="1"/>
  <c r="R1598" i="1"/>
  <c r="T1605" i="1"/>
  <c r="R1606" i="1"/>
  <c r="R1249" i="1"/>
  <c r="S1367" i="1"/>
  <c r="S1392" i="1"/>
  <c r="T1401" i="1"/>
  <c r="T1423" i="1"/>
  <c r="R1448" i="1"/>
  <c r="T1455" i="1"/>
  <c r="Q1471" i="1"/>
  <c r="T1473" i="1"/>
  <c r="S1478" i="1"/>
  <c r="S1502" i="1"/>
  <c r="Q1503" i="1"/>
  <c r="S1510" i="1"/>
  <c r="Q1511" i="1"/>
  <c r="S1518" i="1"/>
  <c r="Q1519" i="1"/>
  <c r="S1526" i="1"/>
  <c r="Q1527" i="1"/>
  <c r="S1534" i="1"/>
  <c r="Q1535" i="1"/>
  <c r="S1542" i="1"/>
  <c r="Q1543" i="1"/>
  <c r="S1550" i="1"/>
  <c r="Q1551" i="1"/>
  <c r="S1558" i="1"/>
  <c r="Q1559" i="1"/>
  <c r="S1566" i="1"/>
  <c r="Q1567" i="1"/>
  <c r="S1574" i="1"/>
  <c r="Q1575" i="1"/>
  <c r="S1582" i="1"/>
  <c r="Q1583" i="1"/>
  <c r="S1590" i="1"/>
  <c r="Q1591" i="1"/>
  <c r="S1598" i="1"/>
  <c r="Q1599" i="1"/>
  <c r="S1606" i="1"/>
  <c r="Q1607" i="1"/>
  <c r="Q1311" i="1"/>
  <c r="Q1382" i="1"/>
  <c r="S1416" i="1"/>
  <c r="Q1441" i="1"/>
  <c r="S1448" i="1"/>
  <c r="T1471" i="1"/>
  <c r="Q1490" i="1"/>
  <c r="T1502" i="1"/>
  <c r="R1503" i="1"/>
  <c r="T1510" i="1"/>
  <c r="R1511" i="1"/>
  <c r="T1518" i="1"/>
  <c r="R1519" i="1"/>
  <c r="T1526" i="1"/>
  <c r="R1527" i="1"/>
  <c r="T1534" i="1"/>
  <c r="R1535" i="1"/>
  <c r="T1542" i="1"/>
  <c r="R1543" i="1"/>
  <c r="T1550" i="1"/>
  <c r="R1551" i="1"/>
  <c r="T1558" i="1"/>
  <c r="R1559" i="1"/>
  <c r="T1566" i="1"/>
  <c r="R1567" i="1"/>
  <c r="T1574" i="1"/>
  <c r="R1575" i="1"/>
  <c r="T1582" i="1"/>
  <c r="R1583" i="1"/>
  <c r="T1590" i="1"/>
  <c r="R1591" i="1"/>
  <c r="T1598" i="1"/>
  <c r="R1599" i="1"/>
  <c r="T1606" i="1"/>
  <c r="R1607" i="1"/>
  <c r="R1311" i="1"/>
  <c r="S1350" i="1"/>
  <c r="T1383" i="1"/>
  <c r="Q1402" i="1"/>
  <c r="Q1434" i="1"/>
  <c r="S1441" i="1"/>
  <c r="R1490" i="1"/>
  <c r="S1503" i="1"/>
  <c r="Q1504" i="1"/>
  <c r="S1511" i="1"/>
  <c r="Q1512" i="1"/>
  <c r="S1519" i="1"/>
  <c r="Q1520" i="1"/>
  <c r="S1527" i="1"/>
  <c r="Q1528" i="1"/>
  <c r="S1535" i="1"/>
  <c r="Q1536" i="1"/>
  <c r="S1543" i="1"/>
  <c r="Q1544" i="1"/>
  <c r="S1551" i="1"/>
  <c r="Q1552" i="1"/>
  <c r="S1559" i="1"/>
  <c r="Q1560" i="1"/>
  <c r="S1567" i="1"/>
  <c r="Q1568" i="1"/>
  <c r="S1575" i="1"/>
  <c r="Q1576" i="1"/>
  <c r="S1583" i="1"/>
  <c r="Q1584" i="1"/>
  <c r="S1591" i="1"/>
  <c r="Q1592" i="1"/>
  <c r="S1599" i="1"/>
  <c r="Q1600" i="1"/>
  <c r="S1607" i="1"/>
  <c r="Q1608" i="1"/>
  <c r="T1350" i="1"/>
  <c r="Q1393" i="1"/>
  <c r="R1402" i="1"/>
  <c r="R1434" i="1"/>
  <c r="T1441" i="1"/>
  <c r="Q1466" i="1"/>
  <c r="R1488" i="1"/>
  <c r="R1492" i="1"/>
  <c r="Q1495" i="1"/>
  <c r="R1496" i="1"/>
  <c r="T1503" i="1"/>
  <c r="R1504" i="1"/>
  <c r="T1511" i="1"/>
  <c r="R1512" i="1"/>
  <c r="T1519" i="1"/>
  <c r="R1520" i="1"/>
  <c r="T1527" i="1"/>
  <c r="R1528" i="1"/>
  <c r="T1535" i="1"/>
  <c r="R1536" i="1"/>
  <c r="T1543" i="1"/>
  <c r="R1544" i="1"/>
  <c r="T1551" i="1"/>
  <c r="R1552" i="1"/>
  <c r="T1559" i="1"/>
  <c r="R1560" i="1"/>
  <c r="T1567" i="1"/>
  <c r="R1568" i="1"/>
  <c r="T1575" i="1"/>
  <c r="R1576" i="1"/>
  <c r="T1583" i="1"/>
  <c r="R1584" i="1"/>
  <c r="T1591" i="1"/>
  <c r="R1592" i="1"/>
  <c r="T1599" i="1"/>
  <c r="R1600" i="1"/>
  <c r="T1607" i="1"/>
  <c r="R1608" i="1"/>
  <c r="Q1296" i="1"/>
  <c r="S1393" i="1"/>
  <c r="R1424" i="1"/>
  <c r="T1431" i="1"/>
  <c r="R1456" i="1"/>
  <c r="T1463" i="1"/>
  <c r="R1466" i="1"/>
  <c r="T1469" i="1"/>
  <c r="Q1481" i="1"/>
  <c r="S1488" i="1"/>
  <c r="T1492" i="1"/>
  <c r="R1495" i="1"/>
  <c r="S1496" i="1"/>
  <c r="Q1497" i="1"/>
  <c r="S1504" i="1"/>
  <c r="Q1505" i="1"/>
  <c r="S1512" i="1"/>
  <c r="Q1513" i="1"/>
  <c r="S1520" i="1"/>
  <c r="Q1521" i="1"/>
  <c r="S1528" i="1"/>
  <c r="Q1529" i="1"/>
  <c r="S1536" i="1"/>
  <c r="Q1537" i="1"/>
  <c r="S1544" i="1"/>
  <c r="Q1545" i="1"/>
  <c r="S1552" i="1"/>
  <c r="Q1553" i="1"/>
  <c r="S1560" i="1"/>
  <c r="Q1561" i="1"/>
  <c r="S1568" i="1"/>
  <c r="Q1569" i="1"/>
  <c r="S1576" i="1"/>
  <c r="Q1577" i="1"/>
  <c r="S1584" i="1"/>
  <c r="Q1585" i="1"/>
  <c r="S1592" i="1"/>
  <c r="Q1593" i="1"/>
  <c r="S1600" i="1"/>
  <c r="Q1601" i="1"/>
  <c r="S1608" i="1"/>
  <c r="Q1050" i="1"/>
  <c r="S1335" i="1"/>
  <c r="S1384" i="1"/>
  <c r="T1393" i="1"/>
  <c r="Q1417" i="1"/>
  <c r="S1424" i="1"/>
  <c r="Q1449" i="1"/>
  <c r="S1456" i="1"/>
  <c r="Q1474" i="1"/>
  <c r="S1481" i="1"/>
  <c r="R1486" i="1"/>
  <c r="T1495" i="1"/>
  <c r="T1496" i="1"/>
  <c r="R1497" i="1"/>
  <c r="T1504" i="1"/>
  <c r="R1505" i="1"/>
  <c r="T1512" i="1"/>
  <c r="R1513" i="1"/>
  <c r="T1520" i="1"/>
  <c r="R1521" i="1"/>
  <c r="T1528" i="1"/>
  <c r="R1529" i="1"/>
  <c r="T1536" i="1"/>
  <c r="R1537" i="1"/>
  <c r="T1544" i="1"/>
  <c r="R1545" i="1"/>
  <c r="T1552" i="1"/>
  <c r="R1553" i="1"/>
  <c r="T1560" i="1"/>
  <c r="R1561" i="1"/>
  <c r="T1568" i="1"/>
  <c r="R1569" i="1"/>
  <c r="T1576" i="1"/>
  <c r="R1577" i="1"/>
  <c r="T1584" i="1"/>
  <c r="R1585" i="1"/>
  <c r="T1592" i="1"/>
  <c r="R1593" i="1"/>
  <c r="T1600" i="1"/>
  <c r="R1601" i="1"/>
  <c r="T1608" i="1"/>
  <c r="R1609" i="1"/>
  <c r="Q1279" i="1"/>
  <c r="S1408" i="1"/>
  <c r="S1417" i="1"/>
  <c r="Q1442" i="1"/>
  <c r="S1449" i="1"/>
  <c r="R1474" i="1"/>
  <c r="Q1479" i="1"/>
  <c r="T1481" i="1"/>
  <c r="S1486" i="1"/>
  <c r="S1497" i="1"/>
  <c r="Q1498" i="1"/>
  <c r="S1505" i="1"/>
  <c r="Q1506" i="1"/>
  <c r="S1513" i="1"/>
  <c r="Q1514" i="1"/>
  <c r="S1521" i="1"/>
  <c r="Q1522" i="1"/>
  <c r="S1529" i="1"/>
  <c r="Q1530" i="1"/>
  <c r="S1537" i="1"/>
  <c r="Q1538" i="1"/>
  <c r="S1545" i="1"/>
  <c r="Q1546" i="1"/>
  <c r="S1553" i="1"/>
  <c r="Q1554" i="1"/>
  <c r="S1561" i="1"/>
  <c r="Q1562" i="1"/>
  <c r="S1569" i="1"/>
  <c r="Q1570" i="1"/>
  <c r="S1577" i="1"/>
  <c r="Q1578" i="1"/>
  <c r="S1585" i="1"/>
  <c r="Q1586" i="1"/>
  <c r="S1593" i="1"/>
  <c r="Q1594" i="1"/>
  <c r="S1601" i="1"/>
  <c r="Q1602" i="1"/>
  <c r="R1279" i="1"/>
  <c r="S1318" i="1"/>
  <c r="Q1394" i="1"/>
  <c r="T1417" i="1"/>
  <c r="R1442" i="1"/>
  <c r="T1449" i="1"/>
  <c r="R1472" i="1"/>
  <c r="T1479" i="1"/>
  <c r="R1494" i="1"/>
  <c r="T1497" i="1"/>
  <c r="R1498" i="1"/>
  <c r="T1505" i="1"/>
  <c r="R1506" i="1"/>
  <c r="T1513" i="1"/>
  <c r="R1514" i="1"/>
  <c r="T1521" i="1"/>
  <c r="R1522" i="1"/>
  <c r="T1529" i="1"/>
  <c r="R1530" i="1"/>
  <c r="T1537" i="1"/>
  <c r="R1538" i="1"/>
  <c r="T1545" i="1"/>
  <c r="R1546" i="1"/>
  <c r="T1553" i="1"/>
  <c r="R1554" i="1"/>
  <c r="T1561" i="1"/>
  <c r="R1562" i="1"/>
  <c r="T1569" i="1"/>
  <c r="R1570" i="1"/>
  <c r="T1577" i="1"/>
  <c r="R1578" i="1"/>
  <c r="T1585" i="1"/>
  <c r="R1586" i="1"/>
  <c r="T1593" i="1"/>
  <c r="R1594" i="1"/>
  <c r="T1601" i="1"/>
  <c r="R1602" i="1"/>
  <c r="T1609" i="1"/>
  <c r="T1318" i="1"/>
  <c r="Q1385" i="1"/>
  <c r="R1394" i="1"/>
  <c r="R1432" i="1"/>
  <c r="T1439" i="1"/>
  <c r="R1464" i="1"/>
  <c r="S1472" i="1"/>
  <c r="S1494" i="1"/>
  <c r="S1498" i="1"/>
  <c r="Q1499" i="1"/>
  <c r="S1506" i="1"/>
  <c r="Q1507" i="1"/>
  <c r="S1514" i="1"/>
  <c r="Q1515" i="1"/>
  <c r="S1522" i="1"/>
  <c r="Q1523" i="1"/>
  <c r="S1530" i="1"/>
  <c r="Q1531" i="1"/>
  <c r="S1538" i="1"/>
  <c r="Q1539" i="1"/>
  <c r="S1546" i="1"/>
  <c r="Q1547" i="1"/>
  <c r="S1554" i="1"/>
  <c r="Q1555" i="1"/>
  <c r="S1562" i="1"/>
  <c r="Q1563" i="1"/>
  <c r="S1570" i="1"/>
  <c r="Q1571" i="1"/>
  <c r="S1578" i="1"/>
  <c r="Q1579" i="1"/>
  <c r="S1586" i="1"/>
  <c r="Q1587" i="1"/>
  <c r="S1594" i="1"/>
  <c r="Q1595" i="1"/>
  <c r="S1602" i="1"/>
  <c r="Q1603" i="1"/>
  <c r="Q1409" i="1"/>
  <c r="T1491" i="1"/>
  <c r="T1498" i="1"/>
  <c r="T1507" i="1"/>
  <c r="S1531" i="1"/>
  <c r="R1555" i="1"/>
  <c r="R1564" i="1"/>
  <c r="Q1588" i="1"/>
  <c r="T1612" i="1"/>
  <c r="R1613" i="1"/>
  <c r="T1620" i="1"/>
  <c r="R1621" i="1"/>
  <c r="T1628" i="1"/>
  <c r="R1629" i="1"/>
  <c r="T1636" i="1"/>
  <c r="R1637" i="1"/>
  <c r="T1644" i="1"/>
  <c r="R1645" i="1"/>
  <c r="T1652" i="1"/>
  <c r="R1653" i="1"/>
  <c r="T1660" i="1"/>
  <c r="R1661" i="1"/>
  <c r="T1668" i="1"/>
  <c r="R1669" i="1"/>
  <c r="T1676" i="1"/>
  <c r="R1677" i="1"/>
  <c r="T1684" i="1"/>
  <c r="R1685" i="1"/>
  <c r="T1692" i="1"/>
  <c r="R1693" i="1"/>
  <c r="T1700" i="1"/>
  <c r="R1701" i="1"/>
  <c r="T1708" i="1"/>
  <c r="R1709" i="1"/>
  <c r="T1716" i="1"/>
  <c r="R1717" i="1"/>
  <c r="T1724" i="1"/>
  <c r="R1725" i="1"/>
  <c r="S1385" i="1"/>
  <c r="S1409" i="1"/>
  <c r="T1522" i="1"/>
  <c r="T1531" i="1"/>
  <c r="S1555" i="1"/>
  <c r="R1579" i="1"/>
  <c r="R1588" i="1"/>
  <c r="S1613" i="1"/>
  <c r="Q1614" i="1"/>
  <c r="S1621" i="1"/>
  <c r="Q1622" i="1"/>
  <c r="S1629" i="1"/>
  <c r="Q1630" i="1"/>
  <c r="S1637" i="1"/>
  <c r="Q1638" i="1"/>
  <c r="S1645" i="1"/>
  <c r="Q1646" i="1"/>
  <c r="S1653" i="1"/>
  <c r="Q1654" i="1"/>
  <c r="S1661" i="1"/>
  <c r="Q1662" i="1"/>
  <c r="S1669" i="1"/>
  <c r="Q1670" i="1"/>
  <c r="S1677" i="1"/>
  <c r="Q1678" i="1"/>
  <c r="S1685" i="1"/>
  <c r="Q1686" i="1"/>
  <c r="S1693" i="1"/>
  <c r="Q1694" i="1"/>
  <c r="S1701" i="1"/>
  <c r="Q1702" i="1"/>
  <c r="S1709" i="1"/>
  <c r="Q1710" i="1"/>
  <c r="S1717" i="1"/>
  <c r="Q1718" i="1"/>
  <c r="S1725" i="1"/>
  <c r="Q1726" i="1"/>
  <c r="T1385" i="1"/>
  <c r="T1409" i="1"/>
  <c r="S1432" i="1"/>
  <c r="Q1450" i="1"/>
  <c r="Q1508" i="1"/>
  <c r="T1546" i="1"/>
  <c r="T1555" i="1"/>
  <c r="S1579" i="1"/>
  <c r="R1603" i="1"/>
  <c r="T1613" i="1"/>
  <c r="R1614" i="1"/>
  <c r="T1621" i="1"/>
  <c r="R1622" i="1"/>
  <c r="T1629" i="1"/>
  <c r="R1630" i="1"/>
  <c r="T1637" i="1"/>
  <c r="R1638" i="1"/>
  <c r="T1645" i="1"/>
  <c r="R1646" i="1"/>
  <c r="T1653" i="1"/>
  <c r="R1654" i="1"/>
  <c r="T1661" i="1"/>
  <c r="R1662" i="1"/>
  <c r="T1669" i="1"/>
  <c r="R1670" i="1"/>
  <c r="T1677" i="1"/>
  <c r="R1678" i="1"/>
  <c r="T1685" i="1"/>
  <c r="R1686" i="1"/>
  <c r="T1693" i="1"/>
  <c r="R1694" i="1"/>
  <c r="T1701" i="1"/>
  <c r="R1702" i="1"/>
  <c r="T1709" i="1"/>
  <c r="R1710" i="1"/>
  <c r="T1717" i="1"/>
  <c r="R1718" i="1"/>
  <c r="T1725" i="1"/>
  <c r="R1726" i="1"/>
  <c r="S1303" i="1"/>
  <c r="R1450" i="1"/>
  <c r="R1470" i="1"/>
  <c r="R1499" i="1"/>
  <c r="R1508" i="1"/>
  <c r="Q1532" i="1"/>
  <c r="T1570" i="1"/>
  <c r="T1579" i="1"/>
  <c r="S1603" i="1"/>
  <c r="S1614" i="1"/>
  <c r="Q1615" i="1"/>
  <c r="S1622" i="1"/>
  <c r="Q1623" i="1"/>
  <c r="S1630" i="1"/>
  <c r="Q1631" i="1"/>
  <c r="S1638" i="1"/>
  <c r="Q1639" i="1"/>
  <c r="S1646" i="1"/>
  <c r="Q1647" i="1"/>
  <c r="S1654" i="1"/>
  <c r="Q1655" i="1"/>
  <c r="S1662" i="1"/>
  <c r="Q1663" i="1"/>
  <c r="S1670" i="1"/>
  <c r="Q1671" i="1"/>
  <c r="S1678" i="1"/>
  <c r="Q1679" i="1"/>
  <c r="S1686" i="1"/>
  <c r="Q1687" i="1"/>
  <c r="S1694" i="1"/>
  <c r="Q1695" i="1"/>
  <c r="S1702" i="1"/>
  <c r="Q1703" i="1"/>
  <c r="S1710" i="1"/>
  <c r="Q1711" i="1"/>
  <c r="S1718" i="1"/>
  <c r="Q1719" i="1"/>
  <c r="S1726" i="1"/>
  <c r="Q1727" i="1"/>
  <c r="S1470" i="1"/>
  <c r="Q1482" i="1"/>
  <c r="T1494" i="1"/>
  <c r="S1499" i="1"/>
  <c r="R1523" i="1"/>
  <c r="R1532" i="1"/>
  <c r="Q1556" i="1"/>
  <c r="T1594" i="1"/>
  <c r="T1603" i="1"/>
  <c r="T1614" i="1"/>
  <c r="R1615" i="1"/>
  <c r="T1622" i="1"/>
  <c r="R1623" i="1"/>
  <c r="T1630" i="1"/>
  <c r="R1631" i="1"/>
  <c r="T1638" i="1"/>
  <c r="R1639" i="1"/>
  <c r="T1646" i="1"/>
  <c r="R1647" i="1"/>
  <c r="T1654" i="1"/>
  <c r="R1655" i="1"/>
  <c r="T1662" i="1"/>
  <c r="R1663" i="1"/>
  <c r="T1670" i="1"/>
  <c r="R1671" i="1"/>
  <c r="T1678" i="1"/>
  <c r="R1679" i="1"/>
  <c r="T1686" i="1"/>
  <c r="R1687" i="1"/>
  <c r="T1694" i="1"/>
  <c r="R1695" i="1"/>
  <c r="T1702" i="1"/>
  <c r="R1703" i="1"/>
  <c r="T1710" i="1"/>
  <c r="R1711" i="1"/>
  <c r="T1718" i="1"/>
  <c r="R1719" i="1"/>
  <c r="T1726" i="1"/>
  <c r="R1727" i="1"/>
  <c r="T1499" i="1"/>
  <c r="S1523" i="1"/>
  <c r="R1547" i="1"/>
  <c r="R1556" i="1"/>
  <c r="Q1580" i="1"/>
  <c r="S1615" i="1"/>
  <c r="Q1616" i="1"/>
  <c r="S1623" i="1"/>
  <c r="Q1624" i="1"/>
  <c r="S1631" i="1"/>
  <c r="Q1632" i="1"/>
  <c r="S1639" i="1"/>
  <c r="Q1640" i="1"/>
  <c r="S1647" i="1"/>
  <c r="Q1648" i="1"/>
  <c r="S1655" i="1"/>
  <c r="Q1656" i="1"/>
  <c r="S1663" i="1"/>
  <c r="Q1664" i="1"/>
  <c r="S1671" i="1"/>
  <c r="Q1672" i="1"/>
  <c r="S1679" i="1"/>
  <c r="Q1680" i="1"/>
  <c r="S1687" i="1"/>
  <c r="Q1688" i="1"/>
  <c r="S1695" i="1"/>
  <c r="Q1696" i="1"/>
  <c r="S1703" i="1"/>
  <c r="Q1704" i="1"/>
  <c r="S1711" i="1"/>
  <c r="Q1712" i="1"/>
  <c r="S1719" i="1"/>
  <c r="Q1720" i="1"/>
  <c r="S1727" i="1"/>
  <c r="Q1728" i="1"/>
  <c r="T1514" i="1"/>
  <c r="T1523" i="1"/>
  <c r="S1547" i="1"/>
  <c r="R1571" i="1"/>
  <c r="R1580" i="1"/>
  <c r="Q1604" i="1"/>
  <c r="T1615" i="1"/>
  <c r="R1616" i="1"/>
  <c r="T1623" i="1"/>
  <c r="R1624" i="1"/>
  <c r="T1631" i="1"/>
  <c r="R1632" i="1"/>
  <c r="T1639" i="1"/>
  <c r="R1640" i="1"/>
  <c r="T1647" i="1"/>
  <c r="R1648" i="1"/>
  <c r="T1655" i="1"/>
  <c r="R1656" i="1"/>
  <c r="T1663" i="1"/>
  <c r="R1664" i="1"/>
  <c r="T1671" i="1"/>
  <c r="R1672" i="1"/>
  <c r="T1679" i="1"/>
  <c r="R1680" i="1"/>
  <c r="T1687" i="1"/>
  <c r="R1688" i="1"/>
  <c r="T1695" i="1"/>
  <c r="R1696" i="1"/>
  <c r="T1703" i="1"/>
  <c r="R1704" i="1"/>
  <c r="T1711" i="1"/>
  <c r="R1712" i="1"/>
  <c r="T1719" i="1"/>
  <c r="R1720" i="1"/>
  <c r="T1727" i="1"/>
  <c r="R1728" i="1"/>
  <c r="Q1418" i="1"/>
  <c r="Q1457" i="1"/>
  <c r="Q1500" i="1"/>
  <c r="T1538" i="1"/>
  <c r="T1547" i="1"/>
  <c r="S1571" i="1"/>
  <c r="R1595" i="1"/>
  <c r="R1604" i="1"/>
  <c r="S1616" i="1"/>
  <c r="Q1617" i="1"/>
  <c r="S1624" i="1"/>
  <c r="Q1625" i="1"/>
  <c r="S1632" i="1"/>
  <c r="Q1633" i="1"/>
  <c r="S1640" i="1"/>
  <c r="Q1641" i="1"/>
  <c r="S1648" i="1"/>
  <c r="Q1649" i="1"/>
  <c r="S1656" i="1"/>
  <c r="Q1657" i="1"/>
  <c r="S1664" i="1"/>
  <c r="Q1665" i="1"/>
  <c r="S1672" i="1"/>
  <c r="Q1673" i="1"/>
  <c r="S1680" i="1"/>
  <c r="Q1681" i="1"/>
  <c r="S1688" i="1"/>
  <c r="Q1689" i="1"/>
  <c r="S1696" i="1"/>
  <c r="Q1697" i="1"/>
  <c r="S1704" i="1"/>
  <c r="Q1705" i="1"/>
  <c r="S1712" i="1"/>
  <c r="Q1713" i="1"/>
  <c r="S1720" i="1"/>
  <c r="Q1721" i="1"/>
  <c r="S1728" i="1"/>
  <c r="Q1729" i="1"/>
  <c r="R1418" i="1"/>
  <c r="S1457" i="1"/>
  <c r="R1500" i="1"/>
  <c r="Q1524" i="1"/>
  <c r="T1562" i="1"/>
  <c r="T1571" i="1"/>
  <c r="S1595" i="1"/>
  <c r="T1616" i="1"/>
  <c r="R1617" i="1"/>
  <c r="T1624" i="1"/>
  <c r="R1625" i="1"/>
  <c r="T1632" i="1"/>
  <c r="R1633" i="1"/>
  <c r="T1640" i="1"/>
  <c r="R1641" i="1"/>
  <c r="T1648" i="1"/>
  <c r="R1649" i="1"/>
  <c r="T1656" i="1"/>
  <c r="R1657" i="1"/>
  <c r="T1664" i="1"/>
  <c r="R1665" i="1"/>
  <c r="T1672" i="1"/>
  <c r="R1673" i="1"/>
  <c r="T1680" i="1"/>
  <c r="R1681" i="1"/>
  <c r="T1688" i="1"/>
  <c r="R1689" i="1"/>
  <c r="T1696" i="1"/>
  <c r="R1697" i="1"/>
  <c r="T1704" i="1"/>
  <c r="R1705" i="1"/>
  <c r="T1712" i="1"/>
  <c r="R1713" i="1"/>
  <c r="T1720" i="1"/>
  <c r="R1721" i="1"/>
  <c r="T1728" i="1"/>
  <c r="R1729" i="1"/>
  <c r="S1171" i="1"/>
  <c r="T1457" i="1"/>
  <c r="R1515" i="1"/>
  <c r="R1524" i="1"/>
  <c r="Q1548" i="1"/>
  <c r="T1586" i="1"/>
  <c r="T1595" i="1"/>
  <c r="Q1610" i="1"/>
  <c r="S1617" i="1"/>
  <c r="Q1618" i="1"/>
  <c r="S1625" i="1"/>
  <c r="Q1626" i="1"/>
  <c r="S1633" i="1"/>
  <c r="Q1634" i="1"/>
  <c r="S1641" i="1"/>
  <c r="Q1642" i="1"/>
  <c r="S1649" i="1"/>
  <c r="Q1650" i="1"/>
  <c r="S1657" i="1"/>
  <c r="Q1658" i="1"/>
  <c r="S1665" i="1"/>
  <c r="Q1666" i="1"/>
  <c r="S1673" i="1"/>
  <c r="Q1674" i="1"/>
  <c r="S1681" i="1"/>
  <c r="Q1682" i="1"/>
  <c r="S1689" i="1"/>
  <c r="Q1690" i="1"/>
  <c r="S1697" i="1"/>
  <c r="Q1698" i="1"/>
  <c r="S1705" i="1"/>
  <c r="Q1706" i="1"/>
  <c r="S1713" i="1"/>
  <c r="Q1714" i="1"/>
  <c r="S1721" i="1"/>
  <c r="Q1722" i="1"/>
  <c r="S1729" i="1"/>
  <c r="T1171" i="1"/>
  <c r="S1515" i="1"/>
  <c r="R1539" i="1"/>
  <c r="R1548" i="1"/>
  <c r="Q1572" i="1"/>
  <c r="Q1609" i="1"/>
  <c r="R1610" i="1"/>
  <c r="T1617" i="1"/>
  <c r="R1618" i="1"/>
  <c r="T1625" i="1"/>
  <c r="R1626" i="1"/>
  <c r="T1633" i="1"/>
  <c r="R1634" i="1"/>
  <c r="T1641" i="1"/>
  <c r="R1642" i="1"/>
  <c r="T1649" i="1"/>
  <c r="R1650" i="1"/>
  <c r="T1657" i="1"/>
  <c r="R1658" i="1"/>
  <c r="T1665" i="1"/>
  <c r="R1666" i="1"/>
  <c r="T1673" i="1"/>
  <c r="R1674" i="1"/>
  <c r="T1681" i="1"/>
  <c r="R1682" i="1"/>
  <c r="T1689" i="1"/>
  <c r="R1690" i="1"/>
  <c r="T1697" i="1"/>
  <c r="R1698" i="1"/>
  <c r="T1705" i="1"/>
  <c r="R1706" i="1"/>
  <c r="T1713" i="1"/>
  <c r="R1714" i="1"/>
  <c r="T1721" i="1"/>
  <c r="R1722" i="1"/>
  <c r="T1729" i="1"/>
  <c r="R1730" i="1"/>
  <c r="T1506" i="1"/>
  <c r="T1515" i="1"/>
  <c r="S1539" i="1"/>
  <c r="R1563" i="1"/>
  <c r="R1572" i="1"/>
  <c r="Q1596" i="1"/>
  <c r="S1609" i="1"/>
  <c r="S1610" i="1"/>
  <c r="Q1611" i="1"/>
  <c r="S1618" i="1"/>
  <c r="Q1619" i="1"/>
  <c r="S1626" i="1"/>
  <c r="Q1627" i="1"/>
  <c r="S1634" i="1"/>
  <c r="Q1635" i="1"/>
  <c r="S1642" i="1"/>
  <c r="Q1643" i="1"/>
  <c r="S1650" i="1"/>
  <c r="Q1651" i="1"/>
  <c r="S1658" i="1"/>
  <c r="Q1659" i="1"/>
  <c r="S1666" i="1"/>
  <c r="Q1667" i="1"/>
  <c r="S1674" i="1"/>
  <c r="Q1675" i="1"/>
  <c r="S1682" i="1"/>
  <c r="Q1683" i="1"/>
  <c r="S1690" i="1"/>
  <c r="Q1691" i="1"/>
  <c r="S1698" i="1"/>
  <c r="Q1699" i="1"/>
  <c r="S1706" i="1"/>
  <c r="Q1707" i="1"/>
  <c r="S1714" i="1"/>
  <c r="Q1715" i="1"/>
  <c r="S1722" i="1"/>
  <c r="Q1723" i="1"/>
  <c r="S1730" i="1"/>
  <c r="Q1264" i="1"/>
  <c r="Q1360" i="1"/>
  <c r="S1400" i="1"/>
  <c r="Q1425" i="1"/>
  <c r="T1477" i="1"/>
  <c r="Q1489" i="1"/>
  <c r="T1530" i="1"/>
  <c r="T1539" i="1"/>
  <c r="S1563" i="1"/>
  <c r="R1587" i="1"/>
  <c r="R1596" i="1"/>
  <c r="T1610" i="1"/>
  <c r="R1611" i="1"/>
  <c r="T1618" i="1"/>
  <c r="R1619" i="1"/>
  <c r="T1626" i="1"/>
  <c r="R1627" i="1"/>
  <c r="T1634" i="1"/>
  <c r="R1635" i="1"/>
  <c r="T1642" i="1"/>
  <c r="R1643" i="1"/>
  <c r="T1650" i="1"/>
  <c r="R1651" i="1"/>
  <c r="T1658" i="1"/>
  <c r="R1659" i="1"/>
  <c r="T1666" i="1"/>
  <c r="R1667" i="1"/>
  <c r="T1674" i="1"/>
  <c r="R1675" i="1"/>
  <c r="T1682" i="1"/>
  <c r="R1683" i="1"/>
  <c r="T1690" i="1"/>
  <c r="R1691" i="1"/>
  <c r="T1698" i="1"/>
  <c r="R1699" i="1"/>
  <c r="T1706" i="1"/>
  <c r="R1707" i="1"/>
  <c r="T1714" i="1"/>
  <c r="R1715" i="1"/>
  <c r="T1722" i="1"/>
  <c r="R1723" i="1"/>
  <c r="T1730" i="1"/>
  <c r="R1731" i="1"/>
  <c r="S1425" i="1"/>
  <c r="S1464" i="1"/>
  <c r="S1489" i="1"/>
  <c r="Q1516" i="1"/>
  <c r="T1554" i="1"/>
  <c r="T1563" i="1"/>
  <c r="S1587" i="1"/>
  <c r="S1611" i="1"/>
  <c r="Q1612" i="1"/>
  <c r="S1619" i="1"/>
  <c r="Q1620" i="1"/>
  <c r="S1627" i="1"/>
  <c r="Q1628" i="1"/>
  <c r="S1635" i="1"/>
  <c r="Q1636" i="1"/>
  <c r="S1643" i="1"/>
  <c r="Q1644" i="1"/>
  <c r="S1651" i="1"/>
  <c r="Q1652" i="1"/>
  <c r="S1659" i="1"/>
  <c r="Q1660" i="1"/>
  <c r="S1667" i="1"/>
  <c r="Q1668" i="1"/>
  <c r="S1675" i="1"/>
  <c r="Q1676" i="1"/>
  <c r="S1683" i="1"/>
  <c r="Q1684" i="1"/>
  <c r="S1691" i="1"/>
  <c r="Q1692" i="1"/>
  <c r="S1699" i="1"/>
  <c r="Q1700" i="1"/>
  <c r="S1707" i="1"/>
  <c r="Q1708" i="1"/>
  <c r="S1715" i="1"/>
  <c r="Q1716" i="1"/>
  <c r="S1723" i="1"/>
  <c r="Q1724" i="1"/>
  <c r="S1612" i="1"/>
  <c r="Q1669" i="1"/>
  <c r="S1676" i="1"/>
  <c r="T1736" i="1"/>
  <c r="R1737" i="1"/>
  <c r="T1744" i="1"/>
  <c r="R1745" i="1"/>
  <c r="T1752" i="1"/>
  <c r="R1753" i="1"/>
  <c r="T1760" i="1"/>
  <c r="R1761" i="1"/>
  <c r="T1768" i="1"/>
  <c r="R1769" i="1"/>
  <c r="T1776" i="1"/>
  <c r="R1777" i="1"/>
  <c r="T1784" i="1"/>
  <c r="R1785" i="1"/>
  <c r="T1792" i="1"/>
  <c r="R1793" i="1"/>
  <c r="T1800" i="1"/>
  <c r="R1801" i="1"/>
  <c r="T1808" i="1"/>
  <c r="R1809" i="1"/>
  <c r="T1816" i="1"/>
  <c r="R1817" i="1"/>
  <c r="T1824" i="1"/>
  <c r="R1825" i="1"/>
  <c r="T1832" i="1"/>
  <c r="R1833" i="1"/>
  <c r="T1840" i="1"/>
  <c r="R1841" i="1"/>
  <c r="T1848" i="1"/>
  <c r="R1849" i="1"/>
  <c r="T1856" i="1"/>
  <c r="R1857" i="1"/>
  <c r="T1864" i="1"/>
  <c r="R1516" i="1"/>
  <c r="R1620" i="1"/>
  <c r="T1627" i="1"/>
  <c r="R1684" i="1"/>
  <c r="T1691" i="1"/>
  <c r="Q1731" i="1"/>
  <c r="S1737" i="1"/>
  <c r="Q1738" i="1"/>
  <c r="S1745" i="1"/>
  <c r="Q1746" i="1"/>
  <c r="S1753" i="1"/>
  <c r="Q1754" i="1"/>
  <c r="S1761" i="1"/>
  <c r="Q1762" i="1"/>
  <c r="S1769" i="1"/>
  <c r="Q1770" i="1"/>
  <c r="S1777" i="1"/>
  <c r="Q1778" i="1"/>
  <c r="S1785" i="1"/>
  <c r="Q1786" i="1"/>
  <c r="S1793" i="1"/>
  <c r="Q1794" i="1"/>
  <c r="S1801" i="1"/>
  <c r="Q1802" i="1"/>
  <c r="S1809" i="1"/>
  <c r="Q1810" i="1"/>
  <c r="S1817" i="1"/>
  <c r="Q1818" i="1"/>
  <c r="S1825" i="1"/>
  <c r="Q1826" i="1"/>
  <c r="S1833" i="1"/>
  <c r="Q1834" i="1"/>
  <c r="S1841" i="1"/>
  <c r="Q1842" i="1"/>
  <c r="S1849" i="1"/>
  <c r="Q1850" i="1"/>
  <c r="S1857" i="1"/>
  <c r="Q1858" i="1"/>
  <c r="S1865" i="1"/>
  <c r="Q1613" i="1"/>
  <c r="S1620" i="1"/>
  <c r="Q1677" i="1"/>
  <c r="S1684" i="1"/>
  <c r="S1731" i="1"/>
  <c r="T1737" i="1"/>
  <c r="R1738" i="1"/>
  <c r="T1745" i="1"/>
  <c r="R1746" i="1"/>
  <c r="T1753" i="1"/>
  <c r="R1754" i="1"/>
  <c r="T1761" i="1"/>
  <c r="R1762" i="1"/>
  <c r="T1769" i="1"/>
  <c r="R1770" i="1"/>
  <c r="T1777" i="1"/>
  <c r="R1778" i="1"/>
  <c r="T1785" i="1"/>
  <c r="R1786" i="1"/>
  <c r="T1793" i="1"/>
  <c r="R1794" i="1"/>
  <c r="T1801" i="1"/>
  <c r="R1802" i="1"/>
  <c r="T1809" i="1"/>
  <c r="R1810" i="1"/>
  <c r="T1817" i="1"/>
  <c r="R1818" i="1"/>
  <c r="T1825" i="1"/>
  <c r="R1826" i="1"/>
  <c r="T1833" i="1"/>
  <c r="R1834" i="1"/>
  <c r="T1841" i="1"/>
  <c r="R1842" i="1"/>
  <c r="T1849" i="1"/>
  <c r="R1850" i="1"/>
  <c r="T1857" i="1"/>
  <c r="R1858" i="1"/>
  <c r="R1628" i="1"/>
  <c r="T1635" i="1"/>
  <c r="R1692" i="1"/>
  <c r="T1699" i="1"/>
  <c r="T1731" i="1"/>
  <c r="S1738" i="1"/>
  <c r="Q1739" i="1"/>
  <c r="S1746" i="1"/>
  <c r="Q1747" i="1"/>
  <c r="S1754" i="1"/>
  <c r="Q1755" i="1"/>
  <c r="S1762" i="1"/>
  <c r="Q1763" i="1"/>
  <c r="S1770" i="1"/>
  <c r="Q1771" i="1"/>
  <c r="S1778" i="1"/>
  <c r="Q1779" i="1"/>
  <c r="S1786" i="1"/>
  <c r="Q1787" i="1"/>
  <c r="S1794" i="1"/>
  <c r="Q1795" i="1"/>
  <c r="S1802" i="1"/>
  <c r="Q1803" i="1"/>
  <c r="S1810" i="1"/>
  <c r="Q1811" i="1"/>
  <c r="S1818" i="1"/>
  <c r="Q1819" i="1"/>
  <c r="S1826" i="1"/>
  <c r="Q1827" i="1"/>
  <c r="S1834" i="1"/>
  <c r="Q1835" i="1"/>
  <c r="S1842" i="1"/>
  <c r="Q1843" i="1"/>
  <c r="S1850" i="1"/>
  <c r="Q1851" i="1"/>
  <c r="S1858" i="1"/>
  <c r="Q1859" i="1"/>
  <c r="Q1621" i="1"/>
  <c r="S1628" i="1"/>
  <c r="Q1685" i="1"/>
  <c r="S1692" i="1"/>
  <c r="T1738" i="1"/>
  <c r="R1739" i="1"/>
  <c r="T1746" i="1"/>
  <c r="R1747" i="1"/>
  <c r="T1754" i="1"/>
  <c r="R1755" i="1"/>
  <c r="T1762" i="1"/>
  <c r="R1763" i="1"/>
  <c r="T1770" i="1"/>
  <c r="R1771" i="1"/>
  <c r="T1778" i="1"/>
  <c r="R1779" i="1"/>
  <c r="T1786" i="1"/>
  <c r="R1787" i="1"/>
  <c r="T1794" i="1"/>
  <c r="R1795" i="1"/>
  <c r="T1802" i="1"/>
  <c r="R1803" i="1"/>
  <c r="T1810" i="1"/>
  <c r="R1811" i="1"/>
  <c r="T1818" i="1"/>
  <c r="R1819" i="1"/>
  <c r="T1826" i="1"/>
  <c r="R1827" i="1"/>
  <c r="T1834" i="1"/>
  <c r="R1835" i="1"/>
  <c r="T1842" i="1"/>
  <c r="R1843" i="1"/>
  <c r="T1850" i="1"/>
  <c r="R1851" i="1"/>
  <c r="T1858" i="1"/>
  <c r="R1859" i="1"/>
  <c r="R1636" i="1"/>
  <c r="T1643" i="1"/>
  <c r="R1700" i="1"/>
  <c r="T1707" i="1"/>
  <c r="S1739" i="1"/>
  <c r="Q1740" i="1"/>
  <c r="S1747" i="1"/>
  <c r="Q1748" i="1"/>
  <c r="S1755" i="1"/>
  <c r="Q1756" i="1"/>
  <c r="S1763" i="1"/>
  <c r="Q1764" i="1"/>
  <c r="S1771" i="1"/>
  <c r="Q1772" i="1"/>
  <c r="S1779" i="1"/>
  <c r="Q1780" i="1"/>
  <c r="S1787" i="1"/>
  <c r="Q1788" i="1"/>
  <c r="S1795" i="1"/>
  <c r="Q1796" i="1"/>
  <c r="S1803" i="1"/>
  <c r="Q1804" i="1"/>
  <c r="S1811" i="1"/>
  <c r="Q1812" i="1"/>
  <c r="S1819" i="1"/>
  <c r="Q1820" i="1"/>
  <c r="S1827" i="1"/>
  <c r="Q1828" i="1"/>
  <c r="S1835" i="1"/>
  <c r="Q1836" i="1"/>
  <c r="S1843" i="1"/>
  <c r="Q1844" i="1"/>
  <c r="S1851" i="1"/>
  <c r="Q1852" i="1"/>
  <c r="S1859" i="1"/>
  <c r="Q1860" i="1"/>
  <c r="Q1564" i="1"/>
  <c r="T1602" i="1"/>
  <c r="Q1629" i="1"/>
  <c r="S1636" i="1"/>
  <c r="Q1693" i="1"/>
  <c r="S1700" i="1"/>
  <c r="T1739" i="1"/>
  <c r="R1740" i="1"/>
  <c r="T1747" i="1"/>
  <c r="R1748" i="1"/>
  <c r="T1755" i="1"/>
  <c r="R1756" i="1"/>
  <c r="T1763" i="1"/>
  <c r="R1764" i="1"/>
  <c r="T1771" i="1"/>
  <c r="R1772" i="1"/>
  <c r="T1779" i="1"/>
  <c r="R1780" i="1"/>
  <c r="T1787" i="1"/>
  <c r="R1788" i="1"/>
  <c r="T1795" i="1"/>
  <c r="R1796" i="1"/>
  <c r="T1803" i="1"/>
  <c r="R1804" i="1"/>
  <c r="T1811" i="1"/>
  <c r="R1812" i="1"/>
  <c r="T1819" i="1"/>
  <c r="R1820" i="1"/>
  <c r="T1827" i="1"/>
  <c r="R1828" i="1"/>
  <c r="T1835" i="1"/>
  <c r="R1836" i="1"/>
  <c r="T1843" i="1"/>
  <c r="R1844" i="1"/>
  <c r="T1851" i="1"/>
  <c r="R1852" i="1"/>
  <c r="T1859" i="1"/>
  <c r="R1860" i="1"/>
  <c r="R1644" i="1"/>
  <c r="T1651" i="1"/>
  <c r="R1708" i="1"/>
  <c r="T1715" i="1"/>
  <c r="Q1733" i="1"/>
  <c r="S1740" i="1"/>
  <c r="Q1741" i="1"/>
  <c r="S1748" i="1"/>
  <c r="Q1749" i="1"/>
  <c r="S1756" i="1"/>
  <c r="Q1757" i="1"/>
  <c r="S1764" i="1"/>
  <c r="Q1765" i="1"/>
  <c r="S1772" i="1"/>
  <c r="Q1773" i="1"/>
  <c r="S1780" i="1"/>
  <c r="Q1781" i="1"/>
  <c r="S1788" i="1"/>
  <c r="Q1789" i="1"/>
  <c r="S1796" i="1"/>
  <c r="Q1797" i="1"/>
  <c r="S1804" i="1"/>
  <c r="Q1805" i="1"/>
  <c r="S1812" i="1"/>
  <c r="Q1813" i="1"/>
  <c r="S1820" i="1"/>
  <c r="Q1821" i="1"/>
  <c r="S1828" i="1"/>
  <c r="Q1829" i="1"/>
  <c r="S1836" i="1"/>
  <c r="Q1837" i="1"/>
  <c r="S1844" i="1"/>
  <c r="Q1845" i="1"/>
  <c r="S1852" i="1"/>
  <c r="Q1853" i="1"/>
  <c r="S1860" i="1"/>
  <c r="Q1861" i="1"/>
  <c r="R1531" i="1"/>
  <c r="Q1637" i="1"/>
  <c r="S1644" i="1"/>
  <c r="Q1701" i="1"/>
  <c r="S1708" i="1"/>
  <c r="R1733" i="1"/>
  <c r="T1740" i="1"/>
  <c r="R1741" i="1"/>
  <c r="T1748" i="1"/>
  <c r="R1749" i="1"/>
  <c r="T1756" i="1"/>
  <c r="R1757" i="1"/>
  <c r="T1764" i="1"/>
  <c r="R1765" i="1"/>
  <c r="T1772" i="1"/>
  <c r="R1773" i="1"/>
  <c r="T1780" i="1"/>
  <c r="R1781" i="1"/>
  <c r="T1788" i="1"/>
  <c r="R1789" i="1"/>
  <c r="T1796" i="1"/>
  <c r="R1797" i="1"/>
  <c r="T1804" i="1"/>
  <c r="R1805" i="1"/>
  <c r="T1812" i="1"/>
  <c r="R1813" i="1"/>
  <c r="T1820" i="1"/>
  <c r="R1821" i="1"/>
  <c r="T1828" i="1"/>
  <c r="R1829" i="1"/>
  <c r="T1836" i="1"/>
  <c r="R1837" i="1"/>
  <c r="T1844" i="1"/>
  <c r="R1845" i="1"/>
  <c r="T1852" i="1"/>
  <c r="R1853" i="1"/>
  <c r="T1860" i="1"/>
  <c r="R1861" i="1"/>
  <c r="R1652" i="1"/>
  <c r="T1659" i="1"/>
  <c r="R1716" i="1"/>
  <c r="T1723" i="1"/>
  <c r="Q1732" i="1"/>
  <c r="S1733" i="1"/>
  <c r="Q1734" i="1"/>
  <c r="S1741" i="1"/>
  <c r="Q1742" i="1"/>
  <c r="S1749" i="1"/>
  <c r="Q1750" i="1"/>
  <c r="S1757" i="1"/>
  <c r="Q1758" i="1"/>
  <c r="S1765" i="1"/>
  <c r="Q1766" i="1"/>
  <c r="S1773" i="1"/>
  <c r="Q1774" i="1"/>
  <c r="S1781" i="1"/>
  <c r="Q1782" i="1"/>
  <c r="S1789" i="1"/>
  <c r="Q1790" i="1"/>
  <c r="S1797" i="1"/>
  <c r="Q1798" i="1"/>
  <c r="S1805" i="1"/>
  <c r="Q1806" i="1"/>
  <c r="S1813" i="1"/>
  <c r="Q1814" i="1"/>
  <c r="S1821" i="1"/>
  <c r="Q1822" i="1"/>
  <c r="S1829" i="1"/>
  <c r="Q1830" i="1"/>
  <c r="S1837" i="1"/>
  <c r="Q1838" i="1"/>
  <c r="S1845" i="1"/>
  <c r="Q1846" i="1"/>
  <c r="S1853" i="1"/>
  <c r="Q1854" i="1"/>
  <c r="S1861" i="1"/>
  <c r="Q1862" i="1"/>
  <c r="Q1645" i="1"/>
  <c r="S1652" i="1"/>
  <c r="Q1709" i="1"/>
  <c r="S1716" i="1"/>
  <c r="R1732" i="1"/>
  <c r="T1733" i="1"/>
  <c r="R1734" i="1"/>
  <c r="T1741" i="1"/>
  <c r="R1742" i="1"/>
  <c r="T1749" i="1"/>
  <c r="R1750" i="1"/>
  <c r="T1757" i="1"/>
  <c r="R1758" i="1"/>
  <c r="T1765" i="1"/>
  <c r="R1766" i="1"/>
  <c r="T1773" i="1"/>
  <c r="R1774" i="1"/>
  <c r="T1781" i="1"/>
  <c r="R1782" i="1"/>
  <c r="T1789" i="1"/>
  <c r="R1790" i="1"/>
  <c r="T1797" i="1"/>
  <c r="R1798" i="1"/>
  <c r="T1805" i="1"/>
  <c r="R1806" i="1"/>
  <c r="T1813" i="1"/>
  <c r="R1814" i="1"/>
  <c r="T1821" i="1"/>
  <c r="R1822" i="1"/>
  <c r="T1829" i="1"/>
  <c r="R1830" i="1"/>
  <c r="T1837" i="1"/>
  <c r="R1838" i="1"/>
  <c r="T1845" i="1"/>
  <c r="R1846" i="1"/>
  <c r="T1853" i="1"/>
  <c r="R1854" i="1"/>
  <c r="Q1540" i="1"/>
  <c r="T1578" i="1"/>
  <c r="R1660" i="1"/>
  <c r="T1667" i="1"/>
  <c r="R1724" i="1"/>
  <c r="Q1730" i="1"/>
  <c r="S1732" i="1"/>
  <c r="S1734" i="1"/>
  <c r="Q1735" i="1"/>
  <c r="S1742" i="1"/>
  <c r="Q1743" i="1"/>
  <c r="S1750" i="1"/>
  <c r="Q1751" i="1"/>
  <c r="S1758" i="1"/>
  <c r="Q1759" i="1"/>
  <c r="S1766" i="1"/>
  <c r="Q1767" i="1"/>
  <c r="S1774" i="1"/>
  <c r="Q1775" i="1"/>
  <c r="S1782" i="1"/>
  <c r="Q1783" i="1"/>
  <c r="S1790" i="1"/>
  <c r="Q1791" i="1"/>
  <c r="S1798" i="1"/>
  <c r="Q1799" i="1"/>
  <c r="S1806" i="1"/>
  <c r="Q1807" i="1"/>
  <c r="S1814" i="1"/>
  <c r="Q1815" i="1"/>
  <c r="S1822" i="1"/>
  <c r="Q1823" i="1"/>
  <c r="S1830" i="1"/>
  <c r="Q1831" i="1"/>
  <c r="S1838" i="1"/>
  <c r="Q1839" i="1"/>
  <c r="S1846" i="1"/>
  <c r="Q1847" i="1"/>
  <c r="S1854" i="1"/>
  <c r="Q1855" i="1"/>
  <c r="S1862" i="1"/>
  <c r="Q1863" i="1"/>
  <c r="R1540" i="1"/>
  <c r="Q1653" i="1"/>
  <c r="S1660" i="1"/>
  <c r="Q1717" i="1"/>
  <c r="S1724" i="1"/>
  <c r="T1732" i="1"/>
  <c r="T1734" i="1"/>
  <c r="R1735" i="1"/>
  <c r="T1742" i="1"/>
  <c r="R1743" i="1"/>
  <c r="T1750" i="1"/>
  <c r="R1751" i="1"/>
  <c r="T1758" i="1"/>
  <c r="R1759" i="1"/>
  <c r="T1766" i="1"/>
  <c r="R1767" i="1"/>
  <c r="T1774" i="1"/>
  <c r="R1775" i="1"/>
  <c r="T1782" i="1"/>
  <c r="R1783" i="1"/>
  <c r="T1790" i="1"/>
  <c r="R1791" i="1"/>
  <c r="T1798" i="1"/>
  <c r="R1799" i="1"/>
  <c r="T1806" i="1"/>
  <c r="R1807" i="1"/>
  <c r="T1814" i="1"/>
  <c r="R1815" i="1"/>
  <c r="T1822" i="1"/>
  <c r="R1823" i="1"/>
  <c r="T1830" i="1"/>
  <c r="R1831" i="1"/>
  <c r="T1838" i="1"/>
  <c r="R1839" i="1"/>
  <c r="T1846" i="1"/>
  <c r="R1847" i="1"/>
  <c r="T1854" i="1"/>
  <c r="R1855" i="1"/>
  <c r="T1862" i="1"/>
  <c r="R1863" i="1"/>
  <c r="T1675" i="1"/>
  <c r="T1743" i="1"/>
  <c r="S1767" i="1"/>
  <c r="S1776" i="1"/>
  <c r="R1800" i="1"/>
  <c r="Q1824" i="1"/>
  <c r="Q1833" i="1"/>
  <c r="S1864" i="1"/>
  <c r="S1868" i="1"/>
  <c r="Q1869" i="1"/>
  <c r="S1876" i="1"/>
  <c r="Q1877" i="1"/>
  <c r="S1884" i="1"/>
  <c r="Q1885" i="1"/>
  <c r="S1892" i="1"/>
  <c r="Q1893" i="1"/>
  <c r="S1900" i="1"/>
  <c r="Q1901" i="1"/>
  <c r="S1908" i="1"/>
  <c r="Q1909" i="1"/>
  <c r="S1916" i="1"/>
  <c r="Q1917" i="1"/>
  <c r="S1924" i="1"/>
  <c r="Q1925" i="1"/>
  <c r="S1932" i="1"/>
  <c r="Q1933" i="1"/>
  <c r="S1940" i="1"/>
  <c r="Q1941" i="1"/>
  <c r="S1948" i="1"/>
  <c r="Q1949" i="1"/>
  <c r="S1956" i="1"/>
  <c r="Q1957" i="1"/>
  <c r="S1964" i="1"/>
  <c r="Q1965" i="1"/>
  <c r="S1972" i="1"/>
  <c r="Q1973" i="1"/>
  <c r="S1980" i="1"/>
  <c r="Q1981" i="1"/>
  <c r="T1767" i="1"/>
  <c r="S1791" i="1"/>
  <c r="S1800" i="1"/>
  <c r="R1824" i="1"/>
  <c r="Q1848" i="1"/>
  <c r="Q1857" i="1"/>
  <c r="T1861" i="1"/>
  <c r="T1868" i="1"/>
  <c r="R1869" i="1"/>
  <c r="T1876" i="1"/>
  <c r="R1877" i="1"/>
  <c r="T1884" i="1"/>
  <c r="R1885" i="1"/>
  <c r="T1892" i="1"/>
  <c r="R1893" i="1"/>
  <c r="T1900" i="1"/>
  <c r="R1901" i="1"/>
  <c r="T1908" i="1"/>
  <c r="R1909" i="1"/>
  <c r="T1916" i="1"/>
  <c r="R1917" i="1"/>
  <c r="T1924" i="1"/>
  <c r="R1925" i="1"/>
  <c r="T1932" i="1"/>
  <c r="R1933" i="1"/>
  <c r="T1940" i="1"/>
  <c r="R1941" i="1"/>
  <c r="T1948" i="1"/>
  <c r="R1949" i="1"/>
  <c r="T1956" i="1"/>
  <c r="R1957" i="1"/>
  <c r="T1964" i="1"/>
  <c r="R1965" i="1"/>
  <c r="T1972" i="1"/>
  <c r="R1973" i="1"/>
  <c r="T1980" i="1"/>
  <c r="R1981" i="1"/>
  <c r="R1676" i="1"/>
  <c r="Q1744" i="1"/>
  <c r="Q1753" i="1"/>
  <c r="T1791" i="1"/>
  <c r="S1815" i="1"/>
  <c r="S1824" i="1"/>
  <c r="R1848" i="1"/>
  <c r="S1869" i="1"/>
  <c r="Q1870" i="1"/>
  <c r="S1877" i="1"/>
  <c r="Q1878" i="1"/>
  <c r="S1885" i="1"/>
  <c r="Q1886" i="1"/>
  <c r="S1893" i="1"/>
  <c r="Q1894" i="1"/>
  <c r="S1901" i="1"/>
  <c r="Q1902" i="1"/>
  <c r="S1909" i="1"/>
  <c r="Q1910" i="1"/>
  <c r="S1917" i="1"/>
  <c r="Q1918" i="1"/>
  <c r="S1925" i="1"/>
  <c r="Q1926" i="1"/>
  <c r="S1933" i="1"/>
  <c r="Q1934" i="1"/>
  <c r="S1941" i="1"/>
  <c r="Q1942" i="1"/>
  <c r="S1949" i="1"/>
  <c r="Q1950" i="1"/>
  <c r="S1957" i="1"/>
  <c r="Q1958" i="1"/>
  <c r="S1965" i="1"/>
  <c r="Q1966" i="1"/>
  <c r="S1973" i="1"/>
  <c r="Q1974" i="1"/>
  <c r="S1981" i="1"/>
  <c r="Q1982" i="1"/>
  <c r="R1744" i="1"/>
  <c r="Q1768" i="1"/>
  <c r="Q1777" i="1"/>
  <c r="T1815" i="1"/>
  <c r="S1839" i="1"/>
  <c r="S1848" i="1"/>
  <c r="T1869" i="1"/>
  <c r="R1870" i="1"/>
  <c r="T1877" i="1"/>
  <c r="R1878" i="1"/>
  <c r="T1885" i="1"/>
  <c r="R1886" i="1"/>
  <c r="T1893" i="1"/>
  <c r="R1894" i="1"/>
  <c r="T1901" i="1"/>
  <c r="R1902" i="1"/>
  <c r="T1909" i="1"/>
  <c r="R1910" i="1"/>
  <c r="T1917" i="1"/>
  <c r="R1918" i="1"/>
  <c r="T1925" i="1"/>
  <c r="R1926" i="1"/>
  <c r="T1933" i="1"/>
  <c r="R1934" i="1"/>
  <c r="T1941" i="1"/>
  <c r="R1942" i="1"/>
  <c r="T1949" i="1"/>
  <c r="R1950" i="1"/>
  <c r="T1957" i="1"/>
  <c r="R1958" i="1"/>
  <c r="T1965" i="1"/>
  <c r="R1966" i="1"/>
  <c r="T1973" i="1"/>
  <c r="R1974" i="1"/>
  <c r="T1981" i="1"/>
  <c r="R1982" i="1"/>
  <c r="T1587" i="1"/>
  <c r="S1735" i="1"/>
  <c r="S1744" i="1"/>
  <c r="R1768" i="1"/>
  <c r="Q1792" i="1"/>
  <c r="Q1801" i="1"/>
  <c r="T1839" i="1"/>
  <c r="S1870" i="1"/>
  <c r="Q1871" i="1"/>
  <c r="S1878" i="1"/>
  <c r="Q1879" i="1"/>
  <c r="S1886" i="1"/>
  <c r="Q1887" i="1"/>
  <c r="S1894" i="1"/>
  <c r="Q1895" i="1"/>
  <c r="S1902" i="1"/>
  <c r="Q1903" i="1"/>
  <c r="S1910" i="1"/>
  <c r="Q1911" i="1"/>
  <c r="S1918" i="1"/>
  <c r="Q1919" i="1"/>
  <c r="S1926" i="1"/>
  <c r="Q1927" i="1"/>
  <c r="S1934" i="1"/>
  <c r="Q1935" i="1"/>
  <c r="S1942" i="1"/>
  <c r="Q1943" i="1"/>
  <c r="S1950" i="1"/>
  <c r="Q1951" i="1"/>
  <c r="S1958" i="1"/>
  <c r="Q1959" i="1"/>
  <c r="S1966" i="1"/>
  <c r="Q1967" i="1"/>
  <c r="S1974" i="1"/>
  <c r="Q1975" i="1"/>
  <c r="S1982" i="1"/>
  <c r="Q1983" i="1"/>
  <c r="T1611" i="1"/>
  <c r="T1683" i="1"/>
  <c r="T1735" i="1"/>
  <c r="S1759" i="1"/>
  <c r="S1768" i="1"/>
  <c r="R1792" i="1"/>
  <c r="Q1816" i="1"/>
  <c r="Q1825" i="1"/>
  <c r="R1862" i="1"/>
  <c r="T1870" i="1"/>
  <c r="R1871" i="1"/>
  <c r="T1878" i="1"/>
  <c r="R1879" i="1"/>
  <c r="T1886" i="1"/>
  <c r="R1887" i="1"/>
  <c r="T1894" i="1"/>
  <c r="R1895" i="1"/>
  <c r="T1902" i="1"/>
  <c r="R1903" i="1"/>
  <c r="T1910" i="1"/>
  <c r="R1911" i="1"/>
  <c r="T1918" i="1"/>
  <c r="R1919" i="1"/>
  <c r="T1926" i="1"/>
  <c r="R1927" i="1"/>
  <c r="T1934" i="1"/>
  <c r="R1935" i="1"/>
  <c r="T1942" i="1"/>
  <c r="R1943" i="1"/>
  <c r="T1950" i="1"/>
  <c r="R1951" i="1"/>
  <c r="T1958" i="1"/>
  <c r="R1959" i="1"/>
  <c r="T1966" i="1"/>
  <c r="R1967" i="1"/>
  <c r="T1974" i="1"/>
  <c r="R1975" i="1"/>
  <c r="T1982" i="1"/>
  <c r="R1983" i="1"/>
  <c r="Q1725" i="1"/>
  <c r="T1759" i="1"/>
  <c r="S1783" i="1"/>
  <c r="S1792" i="1"/>
  <c r="R1816" i="1"/>
  <c r="Q1840" i="1"/>
  <c r="Q1849" i="1"/>
  <c r="S1871" i="1"/>
  <c r="Q1872" i="1"/>
  <c r="S1879" i="1"/>
  <c r="Q1880" i="1"/>
  <c r="S1887" i="1"/>
  <c r="Q1888" i="1"/>
  <c r="S1895" i="1"/>
  <c r="Q1896" i="1"/>
  <c r="S1903" i="1"/>
  <c r="Q1904" i="1"/>
  <c r="S1911" i="1"/>
  <c r="Q1912" i="1"/>
  <c r="S1919" i="1"/>
  <c r="Q1920" i="1"/>
  <c r="S1927" i="1"/>
  <c r="Q1928" i="1"/>
  <c r="S1935" i="1"/>
  <c r="Q1936" i="1"/>
  <c r="S1943" i="1"/>
  <c r="Q1944" i="1"/>
  <c r="S1951" i="1"/>
  <c r="Q1952" i="1"/>
  <c r="S1959" i="1"/>
  <c r="Q1960" i="1"/>
  <c r="S1967" i="1"/>
  <c r="Q1968" i="1"/>
  <c r="S1975" i="1"/>
  <c r="Q1976" i="1"/>
  <c r="S1983" i="1"/>
  <c r="Q1984" i="1"/>
  <c r="R1612" i="1"/>
  <c r="Q1736" i="1"/>
  <c r="Q1745" i="1"/>
  <c r="T1783" i="1"/>
  <c r="S1807" i="1"/>
  <c r="S1816" i="1"/>
  <c r="R1840" i="1"/>
  <c r="T1871" i="1"/>
  <c r="R1872" i="1"/>
  <c r="T1879" i="1"/>
  <c r="R1880" i="1"/>
  <c r="T1887" i="1"/>
  <c r="R1888" i="1"/>
  <c r="T1895" i="1"/>
  <c r="R1896" i="1"/>
  <c r="T1903" i="1"/>
  <c r="R1904" i="1"/>
  <c r="T1911" i="1"/>
  <c r="R1912" i="1"/>
  <c r="T1919" i="1"/>
  <c r="R1920" i="1"/>
  <c r="T1927" i="1"/>
  <c r="R1928" i="1"/>
  <c r="T1935" i="1"/>
  <c r="R1936" i="1"/>
  <c r="T1943" i="1"/>
  <c r="R1944" i="1"/>
  <c r="T1951" i="1"/>
  <c r="R1952" i="1"/>
  <c r="T1959" i="1"/>
  <c r="R1960" i="1"/>
  <c r="T1967" i="1"/>
  <c r="R1968" i="1"/>
  <c r="T1975" i="1"/>
  <c r="R1976" i="1"/>
  <c r="T1983" i="1"/>
  <c r="R1984" i="1"/>
  <c r="R1736" i="1"/>
  <c r="Q1760" i="1"/>
  <c r="Q1769" i="1"/>
  <c r="T1807" i="1"/>
  <c r="S1831" i="1"/>
  <c r="S1840" i="1"/>
  <c r="S1872" i="1"/>
  <c r="Q1873" i="1"/>
  <c r="S1880" i="1"/>
  <c r="Q1881" i="1"/>
  <c r="S1888" i="1"/>
  <c r="Q1889" i="1"/>
  <c r="S1896" i="1"/>
  <c r="Q1897" i="1"/>
  <c r="S1904" i="1"/>
  <c r="Q1905" i="1"/>
  <c r="S1912" i="1"/>
  <c r="Q1913" i="1"/>
  <c r="S1920" i="1"/>
  <c r="Q1921" i="1"/>
  <c r="S1928" i="1"/>
  <c r="Q1929" i="1"/>
  <c r="S1936" i="1"/>
  <c r="Q1937" i="1"/>
  <c r="S1944" i="1"/>
  <c r="Q1945" i="1"/>
  <c r="S1952" i="1"/>
  <c r="Q1953" i="1"/>
  <c r="S1960" i="1"/>
  <c r="Q1961" i="1"/>
  <c r="S1968" i="1"/>
  <c r="Q1969" i="1"/>
  <c r="S1976" i="1"/>
  <c r="Q1977" i="1"/>
  <c r="S1984" i="1"/>
  <c r="Q1985" i="1"/>
  <c r="S1736" i="1"/>
  <c r="R1760" i="1"/>
  <c r="Q1784" i="1"/>
  <c r="Q1793" i="1"/>
  <c r="T1831" i="1"/>
  <c r="S1855" i="1"/>
  <c r="Q1865" i="1"/>
  <c r="T1872" i="1"/>
  <c r="R1873" i="1"/>
  <c r="T1880" i="1"/>
  <c r="R1881" i="1"/>
  <c r="T1888" i="1"/>
  <c r="R1889" i="1"/>
  <c r="T1896" i="1"/>
  <c r="R1897" i="1"/>
  <c r="T1904" i="1"/>
  <c r="R1905" i="1"/>
  <c r="T1912" i="1"/>
  <c r="R1913" i="1"/>
  <c r="T1920" i="1"/>
  <c r="R1921" i="1"/>
  <c r="T1928" i="1"/>
  <c r="R1929" i="1"/>
  <c r="T1936" i="1"/>
  <c r="R1937" i="1"/>
  <c r="T1944" i="1"/>
  <c r="R1945" i="1"/>
  <c r="T1952" i="1"/>
  <c r="R1953" i="1"/>
  <c r="T1960" i="1"/>
  <c r="R1961" i="1"/>
  <c r="T1968" i="1"/>
  <c r="R1969" i="1"/>
  <c r="T1976" i="1"/>
  <c r="R1977" i="1"/>
  <c r="T1984" i="1"/>
  <c r="R1985" i="1"/>
  <c r="T1619" i="1"/>
  <c r="S1751" i="1"/>
  <c r="S1760" i="1"/>
  <c r="R1784" i="1"/>
  <c r="Q1808" i="1"/>
  <c r="Q1817" i="1"/>
  <c r="T1855" i="1"/>
  <c r="S1863" i="1"/>
  <c r="R1865" i="1"/>
  <c r="Q1866" i="1"/>
  <c r="S1873" i="1"/>
  <c r="Q1874" i="1"/>
  <c r="S1881" i="1"/>
  <c r="Q1882" i="1"/>
  <c r="S1889" i="1"/>
  <c r="Q1890" i="1"/>
  <c r="S1897" i="1"/>
  <c r="Q1898" i="1"/>
  <c r="S1905" i="1"/>
  <c r="Q1906" i="1"/>
  <c r="S1913" i="1"/>
  <c r="Q1914" i="1"/>
  <c r="S1921" i="1"/>
  <c r="Q1922" i="1"/>
  <c r="S1929" i="1"/>
  <c r="Q1930" i="1"/>
  <c r="S1937" i="1"/>
  <c r="Q1938" i="1"/>
  <c r="S1945" i="1"/>
  <c r="Q1946" i="1"/>
  <c r="S1953" i="1"/>
  <c r="Q1954" i="1"/>
  <c r="S1961" i="1"/>
  <c r="Q1962" i="1"/>
  <c r="S1969" i="1"/>
  <c r="Q1970" i="1"/>
  <c r="S1977" i="1"/>
  <c r="Q1978" i="1"/>
  <c r="S1985" i="1"/>
  <c r="Q1986" i="1"/>
  <c r="T1425" i="1"/>
  <c r="Q1661" i="1"/>
  <c r="T1751" i="1"/>
  <c r="S1775" i="1"/>
  <c r="S1784" i="1"/>
  <c r="R1808" i="1"/>
  <c r="Q1832" i="1"/>
  <c r="Q1841" i="1"/>
  <c r="T1863" i="1"/>
  <c r="T1865" i="1"/>
  <c r="R1866" i="1"/>
  <c r="T1873" i="1"/>
  <c r="R1874" i="1"/>
  <c r="T1881" i="1"/>
  <c r="R1882" i="1"/>
  <c r="T1889" i="1"/>
  <c r="R1890" i="1"/>
  <c r="T1897" i="1"/>
  <c r="R1898" i="1"/>
  <c r="T1905" i="1"/>
  <c r="R1906" i="1"/>
  <c r="T1913" i="1"/>
  <c r="R1914" i="1"/>
  <c r="T1921" i="1"/>
  <c r="R1922" i="1"/>
  <c r="T1929" i="1"/>
  <c r="R1930" i="1"/>
  <c r="T1937" i="1"/>
  <c r="R1938" i="1"/>
  <c r="T1945" i="1"/>
  <c r="R1946" i="1"/>
  <c r="T1953" i="1"/>
  <c r="R1954" i="1"/>
  <c r="T1961" i="1"/>
  <c r="R1962" i="1"/>
  <c r="T1969" i="1"/>
  <c r="R1970" i="1"/>
  <c r="T1977" i="1"/>
  <c r="R1978" i="1"/>
  <c r="T1985" i="1"/>
  <c r="R1986" i="1"/>
  <c r="R1507" i="1"/>
  <c r="Q1737" i="1"/>
  <c r="T1775" i="1"/>
  <c r="S1799" i="1"/>
  <c r="S1808" i="1"/>
  <c r="R1832" i="1"/>
  <c r="S1743" i="1"/>
  <c r="S1752" i="1"/>
  <c r="R1776" i="1"/>
  <c r="Q1800" i="1"/>
  <c r="Q1809" i="1"/>
  <c r="T1847" i="1"/>
  <c r="R1864" i="1"/>
  <c r="AG24" i="1"/>
  <c r="X11" i="1"/>
  <c r="R15" i="1"/>
  <c r="S15" i="1"/>
  <c r="T15" i="1"/>
  <c r="U14" i="1"/>
  <c r="V14" i="1"/>
  <c r="W14" i="1"/>
  <c r="X13" i="1"/>
  <c r="Y12" i="1"/>
  <c r="AA11" i="1"/>
  <c r="AB11" i="1"/>
  <c r="AC11" i="1"/>
  <c r="AD26" i="1"/>
  <c r="AE23" i="1"/>
  <c r="AF21" i="1"/>
  <c r="AH21" i="1"/>
  <c r="AI17" i="1"/>
  <c r="AJ13" i="1"/>
  <c r="P40" i="1"/>
  <c r="P56" i="1"/>
  <c r="P72" i="1"/>
  <c r="P88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4" i="1"/>
  <c r="P360" i="1"/>
  <c r="P376" i="1"/>
  <c r="P392" i="1"/>
  <c r="P408" i="1"/>
  <c r="P424" i="1"/>
  <c r="P440" i="1"/>
  <c r="P456" i="1"/>
  <c r="P472" i="1"/>
  <c r="P488" i="1"/>
  <c r="P504" i="1"/>
  <c r="P520" i="1"/>
  <c r="P536" i="1"/>
  <c r="P552" i="1"/>
  <c r="P568" i="1"/>
  <c r="P584" i="1"/>
  <c r="P600" i="1"/>
  <c r="P616" i="1"/>
  <c r="P632" i="1"/>
  <c r="P648" i="1"/>
  <c r="P664" i="1"/>
  <c r="P680" i="1"/>
  <c r="P696" i="1"/>
  <c r="P712" i="1"/>
  <c r="P728" i="1"/>
  <c r="P744" i="1"/>
  <c r="P760" i="1"/>
  <c r="P776" i="1"/>
  <c r="P792" i="1"/>
  <c r="P808" i="1"/>
  <c r="P824" i="1"/>
  <c r="P840" i="1"/>
  <c r="P856" i="1"/>
  <c r="P872" i="1"/>
  <c r="P888" i="1"/>
  <c r="P904" i="1"/>
  <c r="P920" i="1"/>
  <c r="P936" i="1"/>
  <c r="P952" i="1"/>
  <c r="P968" i="1"/>
  <c r="P984" i="1"/>
  <c r="P1000" i="1"/>
  <c r="P1016" i="1"/>
  <c r="P1032" i="1"/>
  <c r="P1048" i="1"/>
  <c r="P1064" i="1"/>
  <c r="P1080" i="1"/>
  <c r="P1096" i="1"/>
  <c r="P1112" i="1"/>
  <c r="P1128" i="1"/>
  <c r="P1144" i="1"/>
  <c r="P1160" i="1"/>
  <c r="P1176" i="1"/>
  <c r="P1192" i="1"/>
  <c r="P1208" i="1"/>
  <c r="P1224" i="1"/>
  <c r="P1240" i="1"/>
  <c r="P1256" i="1"/>
  <c r="P1272" i="1"/>
  <c r="P1288" i="1"/>
  <c r="P1304" i="1"/>
  <c r="P1320" i="1"/>
  <c r="P1336" i="1"/>
  <c r="P1352" i="1"/>
  <c r="P1368" i="1"/>
  <c r="P1384" i="1"/>
  <c r="P1400" i="1"/>
  <c r="P1416" i="1"/>
  <c r="P1432" i="1"/>
  <c r="P1448" i="1"/>
  <c r="P1464" i="1"/>
  <c r="P1480" i="1"/>
  <c r="P1496" i="1"/>
  <c r="P1512" i="1"/>
  <c r="P1528" i="1"/>
  <c r="P1544" i="1"/>
  <c r="P1560" i="1"/>
  <c r="P1576" i="1"/>
  <c r="P1592" i="1"/>
  <c r="P1608" i="1"/>
  <c r="P1624" i="1"/>
  <c r="P1640" i="1"/>
  <c r="P1656" i="1"/>
  <c r="P1672" i="1"/>
  <c r="P1688" i="1"/>
  <c r="P1704" i="1"/>
  <c r="P1720" i="1"/>
  <c r="P1736" i="1"/>
  <c r="P1752" i="1"/>
  <c r="P1768" i="1"/>
  <c r="P1784" i="1"/>
  <c r="P1800" i="1"/>
  <c r="P1816" i="1"/>
  <c r="P1832" i="1"/>
  <c r="P1848" i="1"/>
  <c r="P1864" i="1"/>
  <c r="P1880" i="1"/>
  <c r="P1896" i="1"/>
  <c r="P1912" i="1"/>
  <c r="P1928" i="1"/>
  <c r="P1944" i="1"/>
  <c r="P1960" i="1"/>
  <c r="P1976" i="1"/>
  <c r="P1992" i="1"/>
  <c r="P2008" i="1"/>
  <c r="P2024" i="1"/>
  <c r="P2040" i="1"/>
  <c r="W2044" i="1"/>
  <c r="Y2043" i="1"/>
  <c r="AA2042" i="1"/>
  <c r="AC2041" i="1"/>
  <c r="AE2040" i="1"/>
  <c r="AG2039" i="1"/>
  <c r="Q2039" i="1"/>
  <c r="S2038" i="1"/>
  <c r="U2037" i="1"/>
  <c r="W2036" i="1"/>
  <c r="Y2035" i="1"/>
  <c r="AA2034" i="1"/>
  <c r="AC2033" i="1"/>
  <c r="AE2032" i="1"/>
  <c r="AG2031" i="1"/>
  <c r="Q2031" i="1"/>
  <c r="S2030" i="1"/>
  <c r="U2029" i="1"/>
  <c r="W2028" i="1"/>
  <c r="Y2027" i="1"/>
  <c r="AA2026" i="1"/>
  <c r="AC2025" i="1"/>
  <c r="AE2024" i="1"/>
  <c r="AG2023" i="1"/>
  <c r="Q2023" i="1"/>
  <c r="S2022" i="1"/>
  <c r="U2021" i="1"/>
  <c r="W2020" i="1"/>
  <c r="Y2019" i="1"/>
  <c r="AA2018" i="1"/>
  <c r="AC2017" i="1"/>
  <c r="AE2016" i="1"/>
  <c r="AG2015" i="1"/>
  <c r="Q2015" i="1"/>
  <c r="S2014" i="1"/>
  <c r="U2013" i="1"/>
  <c r="W2012" i="1"/>
  <c r="Y2011" i="1"/>
  <c r="AA2010" i="1"/>
  <c r="AC2009" i="1"/>
  <c r="AE2008" i="1"/>
  <c r="AG2007" i="1"/>
  <c r="Q2007" i="1"/>
  <c r="S2006" i="1"/>
  <c r="U2005" i="1"/>
  <c r="W2004" i="1"/>
  <c r="Y2003" i="1"/>
  <c r="AA2002" i="1"/>
  <c r="AC2001" i="1"/>
  <c r="AE2000" i="1"/>
  <c r="AG1999" i="1"/>
  <c r="Q1999" i="1"/>
  <c r="S1998" i="1"/>
  <c r="U1997" i="1"/>
  <c r="W1996" i="1"/>
  <c r="Y1995" i="1"/>
  <c r="AA1994" i="1"/>
  <c r="AC1993" i="1"/>
  <c r="AE1992" i="1"/>
  <c r="AG1991" i="1"/>
  <c r="Q1991" i="1"/>
  <c r="S1990" i="1"/>
  <c r="U1989" i="1"/>
  <c r="W1988" i="1"/>
  <c r="Y1987" i="1"/>
  <c r="Z1984" i="1"/>
  <c r="AH1980" i="1"/>
  <c r="X1977" i="1"/>
  <c r="AF1973" i="1"/>
  <c r="V1970" i="1"/>
  <c r="AD1966" i="1"/>
  <c r="T1963" i="1"/>
  <c r="AB1959" i="1"/>
  <c r="R1956" i="1"/>
  <c r="Z1952" i="1"/>
  <c r="AH1948" i="1"/>
  <c r="X1945" i="1"/>
  <c r="AF1941" i="1"/>
  <c r="V1938" i="1"/>
  <c r="AD1934" i="1"/>
  <c r="T1931" i="1"/>
  <c r="AB1927" i="1"/>
  <c r="R1924" i="1"/>
  <c r="Z1920" i="1"/>
  <c r="AH1916" i="1"/>
  <c r="X1913" i="1"/>
  <c r="AF1909" i="1"/>
  <c r="V1906" i="1"/>
  <c r="AD1902" i="1"/>
  <c r="T1899" i="1"/>
  <c r="AB1895" i="1"/>
  <c r="R1892" i="1"/>
  <c r="Z1888" i="1"/>
  <c r="AH1884" i="1"/>
  <c r="X1881" i="1"/>
  <c r="AF1877" i="1"/>
  <c r="V1874" i="1"/>
  <c r="AD1870" i="1"/>
  <c r="T1867" i="1"/>
  <c r="AC1859" i="1"/>
  <c r="AC1827" i="1"/>
  <c r="U1790" i="1"/>
  <c r="R1752" i="1"/>
  <c r="AA1511" i="1"/>
  <c r="AG2041" i="1"/>
  <c r="Q14" i="1"/>
  <c r="AF24" i="1"/>
  <c r="U11" i="1"/>
  <c r="R14" i="1"/>
  <c r="S14" i="1"/>
  <c r="T14" i="1"/>
  <c r="U13" i="1"/>
  <c r="V13" i="1"/>
  <c r="W13" i="1"/>
  <c r="X12" i="1"/>
  <c r="Z26" i="1"/>
  <c r="AA26" i="1"/>
  <c r="AB26" i="1"/>
  <c r="AC26" i="1"/>
  <c r="AD25" i="1"/>
  <c r="AE22" i="1"/>
  <c r="AF20" i="1"/>
  <c r="AH20" i="1"/>
  <c r="AI16" i="1"/>
  <c r="AJ12" i="1"/>
  <c r="P41" i="1"/>
  <c r="P57" i="1"/>
  <c r="P73" i="1"/>
  <c r="P89" i="1"/>
  <c r="P105" i="1"/>
  <c r="P121" i="1"/>
  <c r="P137" i="1"/>
  <c r="P153" i="1"/>
  <c r="P169" i="1"/>
  <c r="P185" i="1"/>
  <c r="P201" i="1"/>
  <c r="P217" i="1"/>
  <c r="P233" i="1"/>
  <c r="P249" i="1"/>
  <c r="P265" i="1"/>
  <c r="P281" i="1"/>
  <c r="P297" i="1"/>
  <c r="P313" i="1"/>
  <c r="P329" i="1"/>
  <c r="P345" i="1"/>
  <c r="P361" i="1"/>
  <c r="P377" i="1"/>
  <c r="P393" i="1"/>
  <c r="P409" i="1"/>
  <c r="P425" i="1"/>
  <c r="P441" i="1"/>
  <c r="P457" i="1"/>
  <c r="P473" i="1"/>
  <c r="P489" i="1"/>
  <c r="P505" i="1"/>
  <c r="P521" i="1"/>
  <c r="P537" i="1"/>
  <c r="P553" i="1"/>
  <c r="P569" i="1"/>
  <c r="P585" i="1"/>
  <c r="P601" i="1"/>
  <c r="P617" i="1"/>
  <c r="P633" i="1"/>
  <c r="P649" i="1"/>
  <c r="P665" i="1"/>
  <c r="P681" i="1"/>
  <c r="P697" i="1"/>
  <c r="P713" i="1"/>
  <c r="P729" i="1"/>
  <c r="P745" i="1"/>
  <c r="P761" i="1"/>
  <c r="P777" i="1"/>
  <c r="P793" i="1"/>
  <c r="P809" i="1"/>
  <c r="P825" i="1"/>
  <c r="P841" i="1"/>
  <c r="P857" i="1"/>
  <c r="P873" i="1"/>
  <c r="P889" i="1"/>
  <c r="P905" i="1"/>
  <c r="P921" i="1"/>
  <c r="P937" i="1"/>
  <c r="P953" i="1"/>
  <c r="P969" i="1"/>
  <c r="P985" i="1"/>
  <c r="P1001" i="1"/>
  <c r="P1017" i="1"/>
  <c r="P1033" i="1"/>
  <c r="P1049" i="1"/>
  <c r="P1065" i="1"/>
  <c r="P1081" i="1"/>
  <c r="P1097" i="1"/>
  <c r="P1113" i="1"/>
  <c r="P1129" i="1"/>
  <c r="P1145" i="1"/>
  <c r="P1161" i="1"/>
  <c r="P1177" i="1"/>
  <c r="P1193" i="1"/>
  <c r="P1209" i="1"/>
  <c r="P1225" i="1"/>
  <c r="P1241" i="1"/>
  <c r="P1257" i="1"/>
  <c r="P1273" i="1"/>
  <c r="P1289" i="1"/>
  <c r="P1305" i="1"/>
  <c r="P1321" i="1"/>
  <c r="P1337" i="1"/>
  <c r="P1353" i="1"/>
  <c r="P1369" i="1"/>
  <c r="P1385" i="1"/>
  <c r="P1401" i="1"/>
  <c r="P1417" i="1"/>
  <c r="P1433" i="1"/>
  <c r="P1449" i="1"/>
  <c r="P1465" i="1"/>
  <c r="P1481" i="1"/>
  <c r="P1497" i="1"/>
  <c r="P1513" i="1"/>
  <c r="P1529" i="1"/>
  <c r="P1545" i="1"/>
  <c r="P1561" i="1"/>
  <c r="P1577" i="1"/>
  <c r="P1593" i="1"/>
  <c r="P1609" i="1"/>
  <c r="P1625" i="1"/>
  <c r="P1641" i="1"/>
  <c r="P1657" i="1"/>
  <c r="P1673" i="1"/>
  <c r="P1689" i="1"/>
  <c r="P1705" i="1"/>
  <c r="P1721" i="1"/>
  <c r="P1737" i="1"/>
  <c r="P1753" i="1"/>
  <c r="P1769" i="1"/>
  <c r="P1785" i="1"/>
  <c r="P1801" i="1"/>
  <c r="P1817" i="1"/>
  <c r="P1833" i="1"/>
  <c r="P1849" i="1"/>
  <c r="P1865" i="1"/>
  <c r="P1881" i="1"/>
  <c r="P1897" i="1"/>
  <c r="P1913" i="1"/>
  <c r="P1929" i="1"/>
  <c r="P1945" i="1"/>
  <c r="P1961" i="1"/>
  <c r="P1977" i="1"/>
  <c r="P1993" i="1"/>
  <c r="P2009" i="1"/>
  <c r="P2025" i="1"/>
  <c r="P2041" i="1"/>
  <c r="V2044" i="1"/>
  <c r="X2043" i="1"/>
  <c r="Z2042" i="1"/>
  <c r="AB2041" i="1"/>
  <c r="AD2040" i="1"/>
  <c r="AF2039" i="1"/>
  <c r="AH2038" i="1"/>
  <c r="R2038" i="1"/>
  <c r="T2037" i="1"/>
  <c r="V2036" i="1"/>
  <c r="X2035" i="1"/>
  <c r="Z2034" i="1"/>
  <c r="AB2033" i="1"/>
  <c r="AD2032" i="1"/>
  <c r="AF2031" i="1"/>
  <c r="AH2030" i="1"/>
  <c r="R2030" i="1"/>
  <c r="T2029" i="1"/>
  <c r="V2028" i="1"/>
  <c r="X2027" i="1"/>
  <c r="Z2026" i="1"/>
  <c r="AB2025" i="1"/>
  <c r="AD2024" i="1"/>
  <c r="AF2023" i="1"/>
  <c r="AH2022" i="1"/>
  <c r="R2022" i="1"/>
  <c r="T2021" i="1"/>
  <c r="V2020" i="1"/>
  <c r="X2019" i="1"/>
  <c r="Z2018" i="1"/>
  <c r="AB2017" i="1"/>
  <c r="AD2016" i="1"/>
  <c r="AF2015" i="1"/>
  <c r="AH2014" i="1"/>
  <c r="R2014" i="1"/>
  <c r="T2013" i="1"/>
  <c r="V2012" i="1"/>
  <c r="X2011" i="1"/>
  <c r="Z2010" i="1"/>
  <c r="AB2009" i="1"/>
  <c r="AD2008" i="1"/>
  <c r="AF2007" i="1"/>
  <c r="AH2006" i="1"/>
  <c r="R2006" i="1"/>
  <c r="T2005" i="1"/>
  <c r="V2004" i="1"/>
  <c r="X2003" i="1"/>
  <c r="Z2002" i="1"/>
  <c r="AB2001" i="1"/>
  <c r="AD2000" i="1"/>
  <c r="AF1999" i="1"/>
  <c r="AH1998" i="1"/>
  <c r="R1998" i="1"/>
  <c r="T1997" i="1"/>
  <c r="V1996" i="1"/>
  <c r="X1995" i="1"/>
  <c r="Z1994" i="1"/>
  <c r="AB1993" i="1"/>
  <c r="AD1992" i="1"/>
  <c r="AF1991" i="1"/>
  <c r="AH1990" i="1"/>
  <c r="R1990" i="1"/>
  <c r="T1989" i="1"/>
  <c r="V1988" i="1"/>
  <c r="T1987" i="1"/>
  <c r="Y1984" i="1"/>
  <c r="AG1980" i="1"/>
  <c r="W1977" i="1"/>
  <c r="AE1973" i="1"/>
  <c r="U1970" i="1"/>
  <c r="AC1966" i="1"/>
  <c r="S1963" i="1"/>
  <c r="AA1959" i="1"/>
  <c r="Q1956" i="1"/>
  <c r="Y1952" i="1"/>
  <c r="AG1948" i="1"/>
  <c r="W1945" i="1"/>
  <c r="AE1941" i="1"/>
  <c r="U1938" i="1"/>
  <c r="AC1934" i="1"/>
  <c r="S1931" i="1"/>
  <c r="AA1927" i="1"/>
  <c r="Q1924" i="1"/>
  <c r="Y1920" i="1"/>
  <c r="AG1916" i="1"/>
  <c r="W1913" i="1"/>
  <c r="AE1909" i="1"/>
  <c r="U1906" i="1"/>
  <c r="AC1902" i="1"/>
  <c r="S1899" i="1"/>
  <c r="AA1895" i="1"/>
  <c r="Q1892" i="1"/>
  <c r="Y1888" i="1"/>
  <c r="AG1884" i="1"/>
  <c r="W1881" i="1"/>
  <c r="AE1877" i="1"/>
  <c r="U1874" i="1"/>
  <c r="AC1870" i="1"/>
  <c r="S1867" i="1"/>
  <c r="S1856" i="1"/>
  <c r="AB1827" i="1"/>
  <c r="Y1789" i="1"/>
  <c r="Q1752" i="1"/>
  <c r="S1507" i="1"/>
  <c r="AG14" i="1"/>
  <c r="AH1892" i="1"/>
  <c r="AG23" i="1"/>
  <c r="Q11" i="1"/>
  <c r="R13" i="1"/>
  <c r="S13" i="1"/>
  <c r="T13" i="1"/>
  <c r="U12" i="1"/>
  <c r="V12" i="1"/>
  <c r="W12" i="1"/>
  <c r="Y26" i="1"/>
  <c r="Z25" i="1"/>
  <c r="AA25" i="1"/>
  <c r="AB25" i="1"/>
  <c r="AC25" i="1"/>
  <c r="AD24" i="1"/>
  <c r="AE21" i="1"/>
  <c r="AF19" i="1"/>
  <c r="AH19" i="1"/>
  <c r="AI15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8" i="1"/>
  <c r="P234" i="1"/>
  <c r="P250" i="1"/>
  <c r="P266" i="1"/>
  <c r="P282" i="1"/>
  <c r="P298" i="1"/>
  <c r="P314" i="1"/>
  <c r="P330" i="1"/>
  <c r="P346" i="1"/>
  <c r="P362" i="1"/>
  <c r="P378" i="1"/>
  <c r="P394" i="1"/>
  <c r="P410" i="1"/>
  <c r="P426" i="1"/>
  <c r="P442" i="1"/>
  <c r="P458" i="1"/>
  <c r="P474" i="1"/>
  <c r="P490" i="1"/>
  <c r="P506" i="1"/>
  <c r="P522" i="1"/>
  <c r="P538" i="1"/>
  <c r="P554" i="1"/>
  <c r="P570" i="1"/>
  <c r="P586" i="1"/>
  <c r="P602" i="1"/>
  <c r="P618" i="1"/>
  <c r="P634" i="1"/>
  <c r="P650" i="1"/>
  <c r="P666" i="1"/>
  <c r="P682" i="1"/>
  <c r="P698" i="1"/>
  <c r="P714" i="1"/>
  <c r="P730" i="1"/>
  <c r="P746" i="1"/>
  <c r="P762" i="1"/>
  <c r="P778" i="1"/>
  <c r="P794" i="1"/>
  <c r="P810" i="1"/>
  <c r="P826" i="1"/>
  <c r="P842" i="1"/>
  <c r="P858" i="1"/>
  <c r="P874" i="1"/>
  <c r="P890" i="1"/>
  <c r="P906" i="1"/>
  <c r="P922" i="1"/>
  <c r="P938" i="1"/>
  <c r="P954" i="1"/>
  <c r="P970" i="1"/>
  <c r="P986" i="1"/>
  <c r="P1002" i="1"/>
  <c r="P1018" i="1"/>
  <c r="P1034" i="1"/>
  <c r="P1050" i="1"/>
  <c r="P1066" i="1"/>
  <c r="P1082" i="1"/>
  <c r="P1098" i="1"/>
  <c r="P1114" i="1"/>
  <c r="P1130" i="1"/>
  <c r="P1146" i="1"/>
  <c r="P1162" i="1"/>
  <c r="P1178" i="1"/>
  <c r="P1194" i="1"/>
  <c r="P1210" i="1"/>
  <c r="P1226" i="1"/>
  <c r="P1242" i="1"/>
  <c r="P1258" i="1"/>
  <c r="P1274" i="1"/>
  <c r="P1290" i="1"/>
  <c r="P1306" i="1"/>
  <c r="P1322" i="1"/>
  <c r="P1338" i="1"/>
  <c r="P1354" i="1"/>
  <c r="P1370" i="1"/>
  <c r="P1386" i="1"/>
  <c r="P1402" i="1"/>
  <c r="P1418" i="1"/>
  <c r="P1434" i="1"/>
  <c r="P1450" i="1"/>
  <c r="P1466" i="1"/>
  <c r="P1482" i="1"/>
  <c r="P1498" i="1"/>
  <c r="P1514" i="1"/>
  <c r="P1530" i="1"/>
  <c r="P1546" i="1"/>
  <c r="P1562" i="1"/>
  <c r="P1578" i="1"/>
  <c r="P1594" i="1"/>
  <c r="P1610" i="1"/>
  <c r="P1626" i="1"/>
  <c r="P1642" i="1"/>
  <c r="P1658" i="1"/>
  <c r="P1674" i="1"/>
  <c r="P1690" i="1"/>
  <c r="P1706" i="1"/>
  <c r="P1722" i="1"/>
  <c r="P1738" i="1"/>
  <c r="P1754" i="1"/>
  <c r="P1770" i="1"/>
  <c r="P1786" i="1"/>
  <c r="P1802" i="1"/>
  <c r="P1818" i="1"/>
  <c r="P1834" i="1"/>
  <c r="P1850" i="1"/>
  <c r="P1866" i="1"/>
  <c r="P1882" i="1"/>
  <c r="P1898" i="1"/>
  <c r="P1914" i="1"/>
  <c r="P1930" i="1"/>
  <c r="P1946" i="1"/>
  <c r="P1962" i="1"/>
  <c r="P1978" i="1"/>
  <c r="P1994" i="1"/>
  <c r="P2010" i="1"/>
  <c r="P2026" i="1"/>
  <c r="P2042" i="1"/>
  <c r="U2044" i="1"/>
  <c r="W2043" i="1"/>
  <c r="Y2042" i="1"/>
  <c r="AA2041" i="1"/>
  <c r="AC2040" i="1"/>
  <c r="AE2039" i="1"/>
  <c r="AG2038" i="1"/>
  <c r="Q2038" i="1"/>
  <c r="S2037" i="1"/>
  <c r="U2036" i="1"/>
  <c r="W2035" i="1"/>
  <c r="Y2034" i="1"/>
  <c r="AA2033" i="1"/>
  <c r="AC2032" i="1"/>
  <c r="AE2031" i="1"/>
  <c r="AG2030" i="1"/>
  <c r="Q2030" i="1"/>
  <c r="S2029" i="1"/>
  <c r="U2028" i="1"/>
  <c r="W2027" i="1"/>
  <c r="Y2026" i="1"/>
  <c r="AA2025" i="1"/>
  <c r="AC2024" i="1"/>
  <c r="AE2023" i="1"/>
  <c r="AG2022" i="1"/>
  <c r="Q2022" i="1"/>
  <c r="S2021" i="1"/>
  <c r="U2020" i="1"/>
  <c r="W2019" i="1"/>
  <c r="Y2018" i="1"/>
  <c r="AA2017" i="1"/>
  <c r="AC2016" i="1"/>
  <c r="AE2015" i="1"/>
  <c r="AG2014" i="1"/>
  <c r="Q2014" i="1"/>
  <c r="S2013" i="1"/>
  <c r="U2012" i="1"/>
  <c r="W2011" i="1"/>
  <c r="Y2010" i="1"/>
  <c r="AA2009" i="1"/>
  <c r="AC2008" i="1"/>
  <c r="AE2007" i="1"/>
  <c r="AG2006" i="1"/>
  <c r="Q2006" i="1"/>
  <c r="S2005" i="1"/>
  <c r="U2004" i="1"/>
  <c r="W2003" i="1"/>
  <c r="Y2002" i="1"/>
  <c r="AA2001" i="1"/>
  <c r="AC2000" i="1"/>
  <c r="AE1999" i="1"/>
  <c r="AG1998" i="1"/>
  <c r="Q1998" i="1"/>
  <c r="S1997" i="1"/>
  <c r="U1996" i="1"/>
  <c r="W1995" i="1"/>
  <c r="Y1994" i="1"/>
  <c r="AA1993" i="1"/>
  <c r="AC1992" i="1"/>
  <c r="AE1991" i="1"/>
  <c r="AG1990" i="1"/>
  <c r="Q1990" i="1"/>
  <c r="S1989" i="1"/>
  <c r="U1988" i="1"/>
  <c r="S1987" i="1"/>
  <c r="X1984" i="1"/>
  <c r="AF1980" i="1"/>
  <c r="V1977" i="1"/>
  <c r="AD1973" i="1"/>
  <c r="T1970" i="1"/>
  <c r="AB1966" i="1"/>
  <c r="R1963" i="1"/>
  <c r="Z1959" i="1"/>
  <c r="AH1955" i="1"/>
  <c r="X1952" i="1"/>
  <c r="AF1948" i="1"/>
  <c r="V1945" i="1"/>
  <c r="AD1941" i="1"/>
  <c r="T1938" i="1"/>
  <c r="AB1934" i="1"/>
  <c r="R1931" i="1"/>
  <c r="Z1927" i="1"/>
  <c r="AH1923" i="1"/>
  <c r="X1920" i="1"/>
  <c r="AF1916" i="1"/>
  <c r="V1913" i="1"/>
  <c r="AD1909" i="1"/>
  <c r="T1906" i="1"/>
  <c r="AB1902" i="1"/>
  <c r="R1899" i="1"/>
  <c r="Z1895" i="1"/>
  <c r="AH1891" i="1"/>
  <c r="X1888" i="1"/>
  <c r="AF1884" i="1"/>
  <c r="V1881" i="1"/>
  <c r="AD1877" i="1"/>
  <c r="T1874" i="1"/>
  <c r="AB1870" i="1"/>
  <c r="R1867" i="1"/>
  <c r="R1856" i="1"/>
  <c r="T1823" i="1"/>
  <c r="Q1785" i="1"/>
  <c r="AI21" i="1"/>
  <c r="AB27" i="1"/>
  <c r="Z28" i="1"/>
  <c r="AB35" i="1"/>
  <c r="Z36" i="1"/>
  <c r="AB43" i="1"/>
  <c r="Z44" i="1"/>
  <c r="AC28" i="1"/>
  <c r="AA29" i="1"/>
  <c r="AC36" i="1"/>
  <c r="AA37" i="1"/>
  <c r="AC44" i="1"/>
  <c r="AA45" i="1"/>
  <c r="AB29" i="1"/>
  <c r="Z30" i="1"/>
  <c r="AB37" i="1"/>
  <c r="Z38" i="1"/>
  <c r="AB45" i="1"/>
  <c r="Z46" i="1"/>
  <c r="AC29" i="1"/>
  <c r="AA30" i="1"/>
  <c r="AC37" i="1"/>
  <c r="AA38" i="1"/>
  <c r="AC45" i="1"/>
  <c r="AA46" i="1"/>
  <c r="AB30" i="1"/>
  <c r="Z31" i="1"/>
  <c r="AB38" i="1"/>
  <c r="Z39" i="1"/>
  <c r="AB46" i="1"/>
  <c r="Z47" i="1"/>
  <c r="AC32" i="1"/>
  <c r="AA33" i="1"/>
  <c r="AC40" i="1"/>
  <c r="AA41" i="1"/>
  <c r="AC48" i="1"/>
  <c r="AA49" i="1"/>
  <c r="AB33" i="1"/>
  <c r="Z34" i="1"/>
  <c r="AB41" i="1"/>
  <c r="Z42" i="1"/>
  <c r="AB49" i="1"/>
  <c r="Z37" i="1"/>
  <c r="AB48" i="1"/>
  <c r="AB55" i="1"/>
  <c r="Z56" i="1"/>
  <c r="AB63" i="1"/>
  <c r="Z64" i="1"/>
  <c r="AB71" i="1"/>
  <c r="Z72" i="1"/>
  <c r="AB79" i="1"/>
  <c r="Z80" i="1"/>
  <c r="AB87" i="1"/>
  <c r="AB31" i="1"/>
  <c r="AC34" i="1"/>
  <c r="AA39" i="1"/>
  <c r="AB42" i="1"/>
  <c r="AC56" i="1"/>
  <c r="AA57" i="1"/>
  <c r="AC64" i="1"/>
  <c r="AA65" i="1"/>
  <c r="AC72" i="1"/>
  <c r="AA73" i="1"/>
  <c r="AC80" i="1"/>
  <c r="AA81" i="1"/>
  <c r="AC31" i="1"/>
  <c r="AB39" i="1"/>
  <c r="AC42" i="1"/>
  <c r="AA47" i="1"/>
  <c r="Z50" i="1"/>
  <c r="AB57" i="1"/>
  <c r="Z58" i="1"/>
  <c r="AB65" i="1"/>
  <c r="Z66" i="1"/>
  <c r="AB73" i="1"/>
  <c r="Z74" i="1"/>
  <c r="AB81" i="1"/>
  <c r="Z82" i="1"/>
  <c r="AA28" i="1"/>
  <c r="AC39" i="1"/>
  <c r="AB47" i="1"/>
  <c r="AA50" i="1"/>
  <c r="AC57" i="1"/>
  <c r="AA58" i="1"/>
  <c r="AC65" i="1"/>
  <c r="AA66" i="1"/>
  <c r="AC73" i="1"/>
  <c r="AA74" i="1"/>
  <c r="AC81" i="1"/>
  <c r="AA82" i="1"/>
  <c r="AB28" i="1"/>
  <c r="AA36" i="1"/>
  <c r="AC47" i="1"/>
  <c r="AB50" i="1"/>
  <c r="Z51" i="1"/>
  <c r="AB58" i="1"/>
  <c r="Z59" i="1"/>
  <c r="AB66" i="1"/>
  <c r="Z67" i="1"/>
  <c r="AB74" i="1"/>
  <c r="Z75" i="1"/>
  <c r="AB82" i="1"/>
  <c r="Z83" i="1"/>
  <c r="Z33" i="1"/>
  <c r="AB36" i="1"/>
  <c r="AA44" i="1"/>
  <c r="AC50" i="1"/>
  <c r="AA51" i="1"/>
  <c r="AC58" i="1"/>
  <c r="AA59" i="1"/>
  <c r="AC66" i="1"/>
  <c r="AA67" i="1"/>
  <c r="AC74" i="1"/>
  <c r="AA75" i="1"/>
  <c r="AC82" i="1"/>
  <c r="AA83" i="1"/>
  <c r="AC33" i="1"/>
  <c r="Z41" i="1"/>
  <c r="AB44" i="1"/>
  <c r="AB51" i="1"/>
  <c r="Z52" i="1"/>
  <c r="AB59" i="1"/>
  <c r="Z60" i="1"/>
  <c r="AB67" i="1"/>
  <c r="Z68" i="1"/>
  <c r="AB75" i="1"/>
  <c r="Z76" i="1"/>
  <c r="AC30" i="1"/>
  <c r="AC41" i="1"/>
  <c r="Z49" i="1"/>
  <c r="AC51" i="1"/>
  <c r="AA52" i="1"/>
  <c r="AC59" i="1"/>
  <c r="AA60" i="1"/>
  <c r="AC67" i="1"/>
  <c r="AA68" i="1"/>
  <c r="AC75" i="1"/>
  <c r="AA76" i="1"/>
  <c r="AC27" i="1"/>
  <c r="Z32" i="1"/>
  <c r="AA35" i="1"/>
  <c r="Z43" i="1"/>
  <c r="AB53" i="1"/>
  <c r="Z54" i="1"/>
  <c r="AB61" i="1"/>
  <c r="Z62" i="1"/>
  <c r="AB69" i="1"/>
  <c r="Z70" i="1"/>
  <c r="AB77" i="1"/>
  <c r="Z78" i="1"/>
  <c r="AB85" i="1"/>
  <c r="Z86" i="1"/>
  <c r="AA85" i="1"/>
  <c r="AC93" i="1"/>
  <c r="AA94" i="1"/>
  <c r="AC101" i="1"/>
  <c r="AA102" i="1"/>
  <c r="AC109" i="1"/>
  <c r="AA110" i="1"/>
  <c r="AC117" i="1"/>
  <c r="AA118" i="1"/>
  <c r="AC125" i="1"/>
  <c r="AA126" i="1"/>
  <c r="AA31" i="1"/>
  <c r="Z35" i="1"/>
  <c r="AB76" i="1"/>
  <c r="AA78" i="1"/>
  <c r="AC85" i="1"/>
  <c r="AB94" i="1"/>
  <c r="Z95" i="1"/>
  <c r="AB102" i="1"/>
  <c r="Z103" i="1"/>
  <c r="AB110" i="1"/>
  <c r="Z111" i="1"/>
  <c r="AB118" i="1"/>
  <c r="Z119" i="1"/>
  <c r="AB126" i="1"/>
  <c r="Z127" i="1"/>
  <c r="AA32" i="1"/>
  <c r="AB52" i="1"/>
  <c r="AA54" i="1"/>
  <c r="AC60" i="1"/>
  <c r="AB62" i="1"/>
  <c r="AA64" i="1"/>
  <c r="AC70" i="1"/>
  <c r="AB72" i="1"/>
  <c r="Z84" i="1"/>
  <c r="Z88" i="1"/>
  <c r="AC95" i="1"/>
  <c r="AA96" i="1"/>
  <c r="AC103" i="1"/>
  <c r="AA104" i="1"/>
  <c r="AC111" i="1"/>
  <c r="AA112" i="1"/>
  <c r="AC119" i="1"/>
  <c r="AA120" i="1"/>
  <c r="AC127" i="1"/>
  <c r="AA128" i="1"/>
  <c r="AB32" i="1"/>
  <c r="AA43" i="1"/>
  <c r="AC52" i="1"/>
  <c r="AB54" i="1"/>
  <c r="AA56" i="1"/>
  <c r="AC62" i="1"/>
  <c r="AB64" i="1"/>
  <c r="AA84" i="1"/>
  <c r="AA88" i="1"/>
  <c r="Z89" i="1"/>
  <c r="AB96" i="1"/>
  <c r="Z97" i="1"/>
  <c r="AB104" i="1"/>
  <c r="Z105" i="1"/>
  <c r="AB112" i="1"/>
  <c r="Z113" i="1"/>
  <c r="AC43" i="1"/>
  <c r="AC54" i="1"/>
  <c r="AB56" i="1"/>
  <c r="AB84" i="1"/>
  <c r="AB88" i="1"/>
  <c r="AA89" i="1"/>
  <c r="AC96" i="1"/>
  <c r="AA97" i="1"/>
  <c r="AC104" i="1"/>
  <c r="AA105" i="1"/>
  <c r="AC112" i="1"/>
  <c r="AA113" i="1"/>
  <c r="AC120" i="1"/>
  <c r="AA121" i="1"/>
  <c r="Z40" i="1"/>
  <c r="AC84" i="1"/>
  <c r="Z87" i="1"/>
  <c r="AC88" i="1"/>
  <c r="AB89" i="1"/>
  <c r="Z90" i="1"/>
  <c r="AB97" i="1"/>
  <c r="Z98" i="1"/>
  <c r="AB105" i="1"/>
  <c r="Z106" i="1"/>
  <c r="AB113" i="1"/>
  <c r="Z114" i="1"/>
  <c r="Z29" i="1"/>
  <c r="AA40" i="1"/>
  <c r="Z77" i="1"/>
  <c r="AA87" i="1"/>
  <c r="AC89" i="1"/>
  <c r="AA90" i="1"/>
  <c r="AC97" i="1"/>
  <c r="AA98" i="1"/>
  <c r="AC105" i="1"/>
  <c r="AA106" i="1"/>
  <c r="AC113" i="1"/>
  <c r="AA114" i="1"/>
  <c r="AC121" i="1"/>
  <c r="AB40" i="1"/>
  <c r="Z69" i="1"/>
  <c r="AA77" i="1"/>
  <c r="Z79" i="1"/>
  <c r="AC87" i="1"/>
  <c r="AB90" i="1"/>
  <c r="Z91" i="1"/>
  <c r="AB98" i="1"/>
  <c r="Z99" i="1"/>
  <c r="AB106" i="1"/>
  <c r="Z107" i="1"/>
  <c r="AB114" i="1"/>
  <c r="Z115" i="1"/>
  <c r="AB122" i="1"/>
  <c r="Z123" i="1"/>
  <c r="AA48" i="1"/>
  <c r="AA53" i="1"/>
  <c r="Z55" i="1"/>
  <c r="AC61" i="1"/>
  <c r="AA63" i="1"/>
  <c r="Z65" i="1"/>
  <c r="AC71" i="1"/>
  <c r="AC83" i="1"/>
  <c r="AB86" i="1"/>
  <c r="AC91" i="1"/>
  <c r="AA92" i="1"/>
  <c r="AC99" i="1"/>
  <c r="AA100" i="1"/>
  <c r="AC107" i="1"/>
  <c r="AA108" i="1"/>
  <c r="AC115" i="1"/>
  <c r="AA116" i="1"/>
  <c r="AA27" i="1"/>
  <c r="AC35" i="1"/>
  <c r="AB60" i="1"/>
  <c r="AA79" i="1"/>
  <c r="AB91" i="1"/>
  <c r="AA93" i="1"/>
  <c r="AA95" i="1"/>
  <c r="AB101" i="1"/>
  <c r="AB103" i="1"/>
  <c r="AA119" i="1"/>
  <c r="AB127" i="1"/>
  <c r="AB132" i="1"/>
  <c r="Z133" i="1"/>
  <c r="AB140" i="1"/>
  <c r="Z141" i="1"/>
  <c r="AB148" i="1"/>
  <c r="Z149" i="1"/>
  <c r="AB156" i="1"/>
  <c r="Z157" i="1"/>
  <c r="AB164" i="1"/>
  <c r="Z165" i="1"/>
  <c r="AB172" i="1"/>
  <c r="Z173" i="1"/>
  <c r="AB70" i="1"/>
  <c r="Z121" i="1"/>
  <c r="AC126" i="1"/>
  <c r="AC133" i="1"/>
  <c r="AA134" i="1"/>
  <c r="AC141" i="1"/>
  <c r="AA142" i="1"/>
  <c r="AC149" i="1"/>
  <c r="AA150" i="1"/>
  <c r="AC157" i="1"/>
  <c r="AA158" i="1"/>
  <c r="AC165" i="1"/>
  <c r="AA166" i="1"/>
  <c r="Z45" i="1"/>
  <c r="Z71" i="1"/>
  <c r="Z116" i="1"/>
  <c r="AB121" i="1"/>
  <c r="Z125" i="1"/>
  <c r="AB134" i="1"/>
  <c r="Z135" i="1"/>
  <c r="AB142" i="1"/>
  <c r="Z143" i="1"/>
  <c r="AB150" i="1"/>
  <c r="Z151" i="1"/>
  <c r="AB158" i="1"/>
  <c r="Z159" i="1"/>
  <c r="AB166" i="1"/>
  <c r="Z167" i="1"/>
  <c r="AC38" i="1"/>
  <c r="AC46" i="1"/>
  <c r="Z57" i="1"/>
  <c r="AA71" i="1"/>
  <c r="AA80" i="1"/>
  <c r="Z108" i="1"/>
  <c r="AC114" i="1"/>
  <c r="AB116" i="1"/>
  <c r="AA125" i="1"/>
  <c r="AC134" i="1"/>
  <c r="AA135" i="1"/>
  <c r="AC142" i="1"/>
  <c r="AA143" i="1"/>
  <c r="AC150" i="1"/>
  <c r="AA151" i="1"/>
  <c r="AC158" i="1"/>
  <c r="AA159" i="1"/>
  <c r="Z53" i="1"/>
  <c r="AB80" i="1"/>
  <c r="Z100" i="1"/>
  <c r="AC106" i="1"/>
  <c r="AB108" i="1"/>
  <c r="Z110" i="1"/>
  <c r="Z112" i="1"/>
  <c r="AC116" i="1"/>
  <c r="Z124" i="1"/>
  <c r="AB125" i="1"/>
  <c r="AB135" i="1"/>
  <c r="Z136" i="1"/>
  <c r="AB143" i="1"/>
  <c r="Z144" i="1"/>
  <c r="AB151" i="1"/>
  <c r="Z152" i="1"/>
  <c r="AB159" i="1"/>
  <c r="Z160" i="1"/>
  <c r="AB167" i="1"/>
  <c r="Z168" i="1"/>
  <c r="AC53" i="1"/>
  <c r="AA62" i="1"/>
  <c r="AC76" i="1"/>
  <c r="Z81" i="1"/>
  <c r="Z92" i="1"/>
  <c r="AC98" i="1"/>
  <c r="AB100" i="1"/>
  <c r="Z102" i="1"/>
  <c r="Z104" i="1"/>
  <c r="AC108" i="1"/>
  <c r="AC110" i="1"/>
  <c r="Z118" i="1"/>
  <c r="AA124" i="1"/>
  <c r="AC135" i="1"/>
  <c r="AA136" i="1"/>
  <c r="AC143" i="1"/>
  <c r="AA144" i="1"/>
  <c r="AC151" i="1"/>
  <c r="AA152" i="1"/>
  <c r="AC159" i="1"/>
  <c r="AA160" i="1"/>
  <c r="AC167" i="1"/>
  <c r="AA168" i="1"/>
  <c r="Z48" i="1"/>
  <c r="AC90" i="1"/>
  <c r="AB92" i="1"/>
  <c r="Z94" i="1"/>
  <c r="Z96" i="1"/>
  <c r="AC100" i="1"/>
  <c r="AC102" i="1"/>
  <c r="AC118" i="1"/>
  <c r="AB124" i="1"/>
  <c r="AB136" i="1"/>
  <c r="Z137" i="1"/>
  <c r="AB144" i="1"/>
  <c r="Z145" i="1"/>
  <c r="AB152" i="1"/>
  <c r="Z153" i="1"/>
  <c r="AB160" i="1"/>
  <c r="Z161" i="1"/>
  <c r="Z63" i="1"/>
  <c r="AC77" i="1"/>
  <c r="Z85" i="1"/>
  <c r="AC92" i="1"/>
  <c r="AC94" i="1"/>
  <c r="Z120" i="1"/>
  <c r="AC124" i="1"/>
  <c r="Z129" i="1"/>
  <c r="AC136" i="1"/>
  <c r="AA137" i="1"/>
  <c r="AC144" i="1"/>
  <c r="AA145" i="1"/>
  <c r="AC152" i="1"/>
  <c r="AA153" i="1"/>
  <c r="AC160" i="1"/>
  <c r="AA161" i="1"/>
  <c r="AC168" i="1"/>
  <c r="AA169" i="1"/>
  <c r="AC68" i="1"/>
  <c r="Z73" i="1"/>
  <c r="AA115" i="1"/>
  <c r="AC123" i="1"/>
  <c r="Z128" i="1"/>
  <c r="AC129" i="1"/>
  <c r="AB130" i="1"/>
  <c r="Z131" i="1"/>
  <c r="AB138" i="1"/>
  <c r="Z139" i="1"/>
  <c r="AB146" i="1"/>
  <c r="Z147" i="1"/>
  <c r="AB154" i="1"/>
  <c r="Z155" i="1"/>
  <c r="AB162" i="1"/>
  <c r="Z163" i="1"/>
  <c r="Z27" i="1"/>
  <c r="AC69" i="1"/>
  <c r="AC79" i="1"/>
  <c r="AA111" i="1"/>
  <c r="AB120" i="1"/>
  <c r="AB137" i="1"/>
  <c r="AA139" i="1"/>
  <c r="AC145" i="1"/>
  <c r="AB147" i="1"/>
  <c r="AA149" i="1"/>
  <c r="AC155" i="1"/>
  <c r="AB157" i="1"/>
  <c r="AA167" i="1"/>
  <c r="AC181" i="1"/>
  <c r="AA182" i="1"/>
  <c r="AC189" i="1"/>
  <c r="AA190" i="1"/>
  <c r="AC197" i="1"/>
  <c r="AA198" i="1"/>
  <c r="AC205" i="1"/>
  <c r="AA206" i="1"/>
  <c r="AA107" i="1"/>
  <c r="AB111" i="1"/>
  <c r="AA129" i="1"/>
  <c r="AA131" i="1"/>
  <c r="AC137" i="1"/>
  <c r="AB139" i="1"/>
  <c r="AA141" i="1"/>
  <c r="AC147" i="1"/>
  <c r="AB149" i="1"/>
  <c r="Z174" i="1"/>
  <c r="Z175" i="1"/>
  <c r="AB182" i="1"/>
  <c r="Z183" i="1"/>
  <c r="AB190" i="1"/>
  <c r="Z191" i="1"/>
  <c r="AB198" i="1"/>
  <c r="Z199" i="1"/>
  <c r="AB206" i="1"/>
  <c r="Z207" i="1"/>
  <c r="AC49" i="1"/>
  <c r="Z93" i="1"/>
  <c r="AB107" i="1"/>
  <c r="Z126" i="1"/>
  <c r="AB129" i="1"/>
  <c r="AB131" i="1"/>
  <c r="AA133" i="1"/>
  <c r="AC139" i="1"/>
  <c r="AB141" i="1"/>
  <c r="Z170" i="1"/>
  <c r="Z171" i="1"/>
  <c r="Z172" i="1"/>
  <c r="AA173" i="1"/>
  <c r="AA174" i="1"/>
  <c r="AA175" i="1"/>
  <c r="AC182" i="1"/>
  <c r="AA183" i="1"/>
  <c r="AC190" i="1"/>
  <c r="AA191" i="1"/>
  <c r="AC198" i="1"/>
  <c r="AA199" i="1"/>
  <c r="AC206" i="1"/>
  <c r="AA207" i="1"/>
  <c r="AA61" i="1"/>
  <c r="AA103" i="1"/>
  <c r="AA117" i="1"/>
  <c r="Z154" i="1"/>
  <c r="AA162" i="1"/>
  <c r="Z164" i="1"/>
  <c r="AB169" i="1"/>
  <c r="AC170" i="1"/>
  <c r="AC171" i="1"/>
  <c r="AB176" i="1"/>
  <c r="Z177" i="1"/>
  <c r="AB184" i="1"/>
  <c r="Z185" i="1"/>
  <c r="AB192" i="1"/>
  <c r="Z193" i="1"/>
  <c r="AB200" i="1"/>
  <c r="Z201" i="1"/>
  <c r="AB208" i="1"/>
  <c r="Z209" i="1"/>
  <c r="AA34" i="1"/>
  <c r="AC63" i="1"/>
  <c r="AB83" i="1"/>
  <c r="AA99" i="1"/>
  <c r="AB117" i="1"/>
  <c r="Z146" i="1"/>
  <c r="AA154" i="1"/>
  <c r="Z156" i="1"/>
  <c r="AC162" i="1"/>
  <c r="AA164" i="1"/>
  <c r="Z166" i="1"/>
  <c r="AC169" i="1"/>
  <c r="AC176" i="1"/>
  <c r="AA177" i="1"/>
  <c r="AC184" i="1"/>
  <c r="AA185" i="1"/>
  <c r="AC192" i="1"/>
  <c r="AA193" i="1"/>
  <c r="AC200" i="1"/>
  <c r="AA201" i="1"/>
  <c r="AC208" i="1"/>
  <c r="AA209" i="1"/>
  <c r="AB34" i="1"/>
  <c r="AB99" i="1"/>
  <c r="AA127" i="1"/>
  <c r="Z138" i="1"/>
  <c r="AA146" i="1"/>
  <c r="Z148" i="1"/>
  <c r="AC154" i="1"/>
  <c r="AA156" i="1"/>
  <c r="Z158" i="1"/>
  <c r="AC164" i="1"/>
  <c r="AC166" i="1"/>
  <c r="AB177" i="1"/>
  <c r="Z178" i="1"/>
  <c r="AB185" i="1"/>
  <c r="Z186" i="1"/>
  <c r="AB193" i="1"/>
  <c r="Z194" i="1"/>
  <c r="AB201" i="1"/>
  <c r="Z202" i="1"/>
  <c r="AB209" i="1"/>
  <c r="Z210" i="1"/>
  <c r="Z109" i="1"/>
  <c r="Z130" i="1"/>
  <c r="AA138" i="1"/>
  <c r="Z140" i="1"/>
  <c r="AC146" i="1"/>
  <c r="AA148" i="1"/>
  <c r="Z150" i="1"/>
  <c r="AC156" i="1"/>
  <c r="AC177" i="1"/>
  <c r="AA178" i="1"/>
  <c r="AC185" i="1"/>
  <c r="AA186" i="1"/>
  <c r="AC193" i="1"/>
  <c r="AA194" i="1"/>
  <c r="AA109" i="1"/>
  <c r="Z122" i="1"/>
  <c r="AA130" i="1"/>
  <c r="Z132" i="1"/>
  <c r="AC138" i="1"/>
  <c r="AA140" i="1"/>
  <c r="Z142" i="1"/>
  <c r="AC148" i="1"/>
  <c r="AB178" i="1"/>
  <c r="Z179" i="1"/>
  <c r="AB186" i="1"/>
  <c r="Z187" i="1"/>
  <c r="AB194" i="1"/>
  <c r="Z195" i="1"/>
  <c r="AB202" i="1"/>
  <c r="Z203" i="1"/>
  <c r="AB210" i="1"/>
  <c r="Z211" i="1"/>
  <c r="AB95" i="1"/>
  <c r="AB109" i="1"/>
  <c r="AA122" i="1"/>
  <c r="AC130" i="1"/>
  <c r="AA132" i="1"/>
  <c r="Z134" i="1"/>
  <c r="AC140" i="1"/>
  <c r="AB168" i="1"/>
  <c r="AC178" i="1"/>
  <c r="AA179" i="1"/>
  <c r="AC186" i="1"/>
  <c r="AA187" i="1"/>
  <c r="AC194" i="1"/>
  <c r="AA195" i="1"/>
  <c r="AC202" i="1"/>
  <c r="AA203" i="1"/>
  <c r="AC210" i="1"/>
  <c r="AA211" i="1"/>
  <c r="AA42" i="1"/>
  <c r="Z101" i="1"/>
  <c r="AB115" i="1"/>
  <c r="AC128" i="1"/>
  <c r="AB161" i="1"/>
  <c r="AA163" i="1"/>
  <c r="AB180" i="1"/>
  <c r="Z181" i="1"/>
  <c r="AB188" i="1"/>
  <c r="Z189" i="1"/>
  <c r="AB196" i="1"/>
  <c r="Z197" i="1"/>
  <c r="AC78" i="1"/>
  <c r="AB128" i="1"/>
  <c r="AB155" i="1"/>
  <c r="AC175" i="1"/>
  <c r="AA180" i="1"/>
  <c r="AC187" i="1"/>
  <c r="AA208" i="1"/>
  <c r="AB219" i="1"/>
  <c r="Z220" i="1"/>
  <c r="AB227" i="1"/>
  <c r="Z228" i="1"/>
  <c r="AB235" i="1"/>
  <c r="Z236" i="1"/>
  <c r="AB243" i="1"/>
  <c r="Z244" i="1"/>
  <c r="AB251" i="1"/>
  <c r="Z252" i="1"/>
  <c r="AA55" i="1"/>
  <c r="AC161" i="1"/>
  <c r="AA170" i="1"/>
  <c r="AC180" i="1"/>
  <c r="Z192" i="1"/>
  <c r="AB199" i="1"/>
  <c r="AC201" i="1"/>
  <c r="AA210" i="1"/>
  <c r="AC219" i="1"/>
  <c r="AA220" i="1"/>
  <c r="AC227" i="1"/>
  <c r="AA228" i="1"/>
  <c r="AC235" i="1"/>
  <c r="AA236" i="1"/>
  <c r="AC243" i="1"/>
  <c r="AA244" i="1"/>
  <c r="AC251" i="1"/>
  <c r="AA252" i="1"/>
  <c r="AC55" i="1"/>
  <c r="AB145" i="1"/>
  <c r="AB170" i="1"/>
  <c r="AA192" i="1"/>
  <c r="AC199" i="1"/>
  <c r="AB203" i="1"/>
  <c r="Z212" i="1"/>
  <c r="Z213" i="1"/>
  <c r="AB220" i="1"/>
  <c r="Z221" i="1"/>
  <c r="AB228" i="1"/>
  <c r="Z229" i="1"/>
  <c r="AB236" i="1"/>
  <c r="Z237" i="1"/>
  <c r="AB244" i="1"/>
  <c r="Z245" i="1"/>
  <c r="AB252" i="1"/>
  <c r="Z253" i="1"/>
  <c r="AA123" i="1"/>
  <c r="Z176" i="1"/>
  <c r="AB183" i="1"/>
  <c r="Z188" i="1"/>
  <c r="AB195" i="1"/>
  <c r="AA205" i="1"/>
  <c r="AC212" i="1"/>
  <c r="AC213" i="1"/>
  <c r="AA214" i="1"/>
  <c r="AC221" i="1"/>
  <c r="AA222" i="1"/>
  <c r="AC229" i="1"/>
  <c r="AA230" i="1"/>
  <c r="AC237" i="1"/>
  <c r="AA238" i="1"/>
  <c r="AC245" i="1"/>
  <c r="AA246" i="1"/>
  <c r="AC253" i="1"/>
  <c r="AA254" i="1"/>
  <c r="Z61" i="1"/>
  <c r="AB123" i="1"/>
  <c r="AA157" i="1"/>
  <c r="AA176" i="1"/>
  <c r="AC183" i="1"/>
  <c r="AA188" i="1"/>
  <c r="AC195" i="1"/>
  <c r="AB205" i="1"/>
  <c r="AB214" i="1"/>
  <c r="Z215" i="1"/>
  <c r="AB222" i="1"/>
  <c r="Z223" i="1"/>
  <c r="AB230" i="1"/>
  <c r="Z231" i="1"/>
  <c r="AB238" i="1"/>
  <c r="Z239" i="1"/>
  <c r="AB246" i="1"/>
  <c r="Z247" i="1"/>
  <c r="AB254" i="1"/>
  <c r="Z255" i="1"/>
  <c r="AA101" i="1"/>
  <c r="AB163" i="1"/>
  <c r="AA171" i="1"/>
  <c r="AA181" i="1"/>
  <c r="AC188" i="1"/>
  <c r="AB207" i="1"/>
  <c r="AC214" i="1"/>
  <c r="AA215" i="1"/>
  <c r="AC222" i="1"/>
  <c r="AA223" i="1"/>
  <c r="AC230" i="1"/>
  <c r="AA231" i="1"/>
  <c r="AC238" i="1"/>
  <c r="AA239" i="1"/>
  <c r="AC246" i="1"/>
  <c r="AA247" i="1"/>
  <c r="AA147" i="1"/>
  <c r="AC163" i="1"/>
  <c r="AB171" i="1"/>
  <c r="AB181" i="1"/>
  <c r="Z200" i="1"/>
  <c r="AC207" i="1"/>
  <c r="AB215" i="1"/>
  <c r="Z216" i="1"/>
  <c r="AB223" i="1"/>
  <c r="Z224" i="1"/>
  <c r="AB231" i="1"/>
  <c r="Z232" i="1"/>
  <c r="AB68" i="1"/>
  <c r="AA91" i="1"/>
  <c r="AC131" i="1"/>
  <c r="AB153" i="1"/>
  <c r="AB174" i="1"/>
  <c r="AB179" i="1"/>
  <c r="AA200" i="1"/>
  <c r="AA202" i="1"/>
  <c r="AC209" i="1"/>
  <c r="AC215" i="1"/>
  <c r="AA216" i="1"/>
  <c r="AC223" i="1"/>
  <c r="AA224" i="1"/>
  <c r="AC231" i="1"/>
  <c r="AA232" i="1"/>
  <c r="AC239" i="1"/>
  <c r="AA240" i="1"/>
  <c r="AC247" i="1"/>
  <c r="AA248" i="1"/>
  <c r="AC255" i="1"/>
  <c r="AA256" i="1"/>
  <c r="AA69" i="1"/>
  <c r="AC153" i="1"/>
  <c r="AC174" i="1"/>
  <c r="AC179" i="1"/>
  <c r="Z198" i="1"/>
  <c r="Z204" i="1"/>
  <c r="AB211" i="1"/>
  <c r="AB216" i="1"/>
  <c r="Z217" i="1"/>
  <c r="AB224" i="1"/>
  <c r="Z225" i="1"/>
  <c r="AB232" i="1"/>
  <c r="Z233" i="1"/>
  <c r="AB240" i="1"/>
  <c r="Z241" i="1"/>
  <c r="AB248" i="1"/>
  <c r="Z249" i="1"/>
  <c r="AB93" i="1"/>
  <c r="AA165" i="1"/>
  <c r="AA172" i="1"/>
  <c r="AA189" i="1"/>
  <c r="AC196" i="1"/>
  <c r="AC204" i="1"/>
  <c r="AC217" i="1"/>
  <c r="AA218" i="1"/>
  <c r="AC225" i="1"/>
  <c r="AA226" i="1"/>
  <c r="AC233" i="1"/>
  <c r="AA234" i="1"/>
  <c r="AC241" i="1"/>
  <c r="AA242" i="1"/>
  <c r="AC249" i="1"/>
  <c r="AA250" i="1"/>
  <c r="AC257" i="1"/>
  <c r="AA258" i="1"/>
  <c r="AA196" i="1"/>
  <c r="Z214" i="1"/>
  <c r="AB221" i="1"/>
  <c r="Z226" i="1"/>
  <c r="AB233" i="1"/>
  <c r="Z240" i="1"/>
  <c r="Z242" i="1"/>
  <c r="Z246" i="1"/>
  <c r="AC248" i="1"/>
  <c r="AB250" i="1"/>
  <c r="AC252" i="1"/>
  <c r="AB257" i="1"/>
  <c r="AC262" i="1"/>
  <c r="AA263" i="1"/>
  <c r="AC270" i="1"/>
  <c r="AA271" i="1"/>
  <c r="AC278" i="1"/>
  <c r="AA279" i="1"/>
  <c r="AC286" i="1"/>
  <c r="AA287" i="1"/>
  <c r="AC294" i="1"/>
  <c r="AA295" i="1"/>
  <c r="AC302" i="1"/>
  <c r="AA303" i="1"/>
  <c r="AC310" i="1"/>
  <c r="AA311" i="1"/>
  <c r="AC318" i="1"/>
  <c r="AA319" i="1"/>
  <c r="Z184" i="1"/>
  <c r="Z219" i="1"/>
  <c r="AB226" i="1"/>
  <c r="AC240" i="1"/>
  <c r="AB242" i="1"/>
  <c r="AC244" i="1"/>
  <c r="AC250" i="1"/>
  <c r="Z254" i="1"/>
  <c r="AB263" i="1"/>
  <c r="Z264" i="1"/>
  <c r="AB271" i="1"/>
  <c r="Z272" i="1"/>
  <c r="AB279" i="1"/>
  <c r="Z280" i="1"/>
  <c r="AB287" i="1"/>
  <c r="Z288" i="1"/>
  <c r="AB295" i="1"/>
  <c r="Z296" i="1"/>
  <c r="AB303" i="1"/>
  <c r="Z304" i="1"/>
  <c r="AB311" i="1"/>
  <c r="Z312" i="1"/>
  <c r="AB319" i="1"/>
  <c r="Z320" i="1"/>
  <c r="AA184" i="1"/>
  <c r="Z190" i="1"/>
  <c r="AA219" i="1"/>
  <c r="AC226" i="1"/>
  <c r="Z238" i="1"/>
  <c r="AC242" i="1"/>
  <c r="AC254" i="1"/>
  <c r="AC263" i="1"/>
  <c r="AA264" i="1"/>
  <c r="AC271" i="1"/>
  <c r="AA272" i="1"/>
  <c r="AC279" i="1"/>
  <c r="AA280" i="1"/>
  <c r="AC287" i="1"/>
  <c r="AA288" i="1"/>
  <c r="AC295" i="1"/>
  <c r="AA296" i="1"/>
  <c r="AC303" i="1"/>
  <c r="AA304" i="1"/>
  <c r="AC311" i="1"/>
  <c r="AA312" i="1"/>
  <c r="AA70" i="1"/>
  <c r="AC172" i="1"/>
  <c r="AC203" i="1"/>
  <c r="AA229" i="1"/>
  <c r="AC236" i="1"/>
  <c r="AB256" i="1"/>
  <c r="AB265" i="1"/>
  <c r="Z266" i="1"/>
  <c r="AB273" i="1"/>
  <c r="Z274" i="1"/>
  <c r="AB281" i="1"/>
  <c r="Z282" i="1"/>
  <c r="AB289" i="1"/>
  <c r="Z290" i="1"/>
  <c r="AB297" i="1"/>
  <c r="Z298" i="1"/>
  <c r="AB305" i="1"/>
  <c r="Z306" i="1"/>
  <c r="AB313" i="1"/>
  <c r="Z314" i="1"/>
  <c r="AA72" i="1"/>
  <c r="AB133" i="1"/>
  <c r="Z162" i="1"/>
  <c r="Z208" i="1"/>
  <c r="Z222" i="1"/>
  <c r="AB229" i="1"/>
  <c r="Z234" i="1"/>
  <c r="AC256" i="1"/>
  <c r="AC265" i="1"/>
  <c r="AA266" i="1"/>
  <c r="AC273" i="1"/>
  <c r="AA274" i="1"/>
  <c r="AC281" i="1"/>
  <c r="AA282" i="1"/>
  <c r="AC289" i="1"/>
  <c r="AA290" i="1"/>
  <c r="AC297" i="1"/>
  <c r="AA298" i="1"/>
  <c r="AC305" i="1"/>
  <c r="AA306" i="1"/>
  <c r="AC313" i="1"/>
  <c r="AA314" i="1"/>
  <c r="AB173" i="1"/>
  <c r="AA204" i="1"/>
  <c r="Z227" i="1"/>
  <c r="AB234" i="1"/>
  <c r="AA249" i="1"/>
  <c r="Z251" i="1"/>
  <c r="Z259" i="1"/>
  <c r="AB266" i="1"/>
  <c r="Z267" i="1"/>
  <c r="AB274" i="1"/>
  <c r="Z275" i="1"/>
  <c r="AB282" i="1"/>
  <c r="Z283" i="1"/>
  <c r="AB290" i="1"/>
  <c r="Z291" i="1"/>
  <c r="AB298" i="1"/>
  <c r="Z299" i="1"/>
  <c r="AB306" i="1"/>
  <c r="AB78" i="1"/>
  <c r="Z117" i="1"/>
  <c r="AC173" i="1"/>
  <c r="Z180" i="1"/>
  <c r="AB204" i="1"/>
  <c r="AA227" i="1"/>
  <c r="AC234" i="1"/>
  <c r="AA241" i="1"/>
  <c r="Z243" i="1"/>
  <c r="AA245" i="1"/>
  <c r="AB247" i="1"/>
  <c r="AB249" i="1"/>
  <c r="AA251" i="1"/>
  <c r="AA253" i="1"/>
  <c r="AA259" i="1"/>
  <c r="AC266" i="1"/>
  <c r="AA267" i="1"/>
  <c r="AC274" i="1"/>
  <c r="AA275" i="1"/>
  <c r="AC282" i="1"/>
  <c r="AA283" i="1"/>
  <c r="AC290" i="1"/>
  <c r="AA291" i="1"/>
  <c r="AC298" i="1"/>
  <c r="AA299" i="1"/>
  <c r="AA86" i="1"/>
  <c r="AB165" i="1"/>
  <c r="AA213" i="1"/>
  <c r="AC220" i="1"/>
  <c r="AA225" i="1"/>
  <c r="AC232" i="1"/>
  <c r="AB239" i="1"/>
  <c r="AB241" i="1"/>
  <c r="AA243" i="1"/>
  <c r="AB245" i="1"/>
  <c r="AB253" i="1"/>
  <c r="Z258" i="1"/>
  <c r="AB259" i="1"/>
  <c r="Z260" i="1"/>
  <c r="AB267" i="1"/>
  <c r="Z268" i="1"/>
  <c r="AB275" i="1"/>
  <c r="Z276" i="1"/>
  <c r="AB283" i="1"/>
  <c r="Z284" i="1"/>
  <c r="AB291" i="1"/>
  <c r="Z292" i="1"/>
  <c r="AB299" i="1"/>
  <c r="Z300" i="1"/>
  <c r="AB307" i="1"/>
  <c r="Z308" i="1"/>
  <c r="AB315" i="1"/>
  <c r="Z316" i="1"/>
  <c r="AC86" i="1"/>
  <c r="AB119" i="1"/>
  <c r="AB187" i="1"/>
  <c r="AB213" i="1"/>
  <c r="Z218" i="1"/>
  <c r="AB225" i="1"/>
  <c r="AA255" i="1"/>
  <c r="AB258" i="1"/>
  <c r="AC259" i="1"/>
  <c r="AA260" i="1"/>
  <c r="AC267" i="1"/>
  <c r="AA268" i="1"/>
  <c r="AC275" i="1"/>
  <c r="AA276" i="1"/>
  <c r="AC283" i="1"/>
  <c r="AA284" i="1"/>
  <c r="AC291" i="1"/>
  <c r="AA292" i="1"/>
  <c r="AC299" i="1"/>
  <c r="AA300" i="1"/>
  <c r="AC307" i="1"/>
  <c r="AA308" i="1"/>
  <c r="AC315" i="1"/>
  <c r="AA316" i="1"/>
  <c r="Z182" i="1"/>
  <c r="AC216" i="1"/>
  <c r="Z235" i="1"/>
  <c r="AB261" i="1"/>
  <c r="Z262" i="1"/>
  <c r="AB269" i="1"/>
  <c r="Z270" i="1"/>
  <c r="AB277" i="1"/>
  <c r="Z278" i="1"/>
  <c r="AB285" i="1"/>
  <c r="Z286" i="1"/>
  <c r="AB293" i="1"/>
  <c r="Z294" i="1"/>
  <c r="AB301" i="1"/>
  <c r="Z302" i="1"/>
  <c r="AB309" i="1"/>
  <c r="Z310" i="1"/>
  <c r="AB262" i="1"/>
  <c r="AA281" i="1"/>
  <c r="AC288" i="1"/>
  <c r="AA293" i="1"/>
  <c r="AC300" i="1"/>
  <c r="AB312" i="1"/>
  <c r="Z318" i="1"/>
  <c r="AB323" i="1"/>
  <c r="Z324" i="1"/>
  <c r="AB331" i="1"/>
  <c r="Z332" i="1"/>
  <c r="AB339" i="1"/>
  <c r="Z340" i="1"/>
  <c r="AB347" i="1"/>
  <c r="Z348" i="1"/>
  <c r="AB355" i="1"/>
  <c r="Z356" i="1"/>
  <c r="AB363" i="1"/>
  <c r="Z364" i="1"/>
  <c r="AB371" i="1"/>
  <c r="Z372" i="1"/>
  <c r="AB379" i="1"/>
  <c r="Z380" i="1"/>
  <c r="AB387" i="1"/>
  <c r="Z388" i="1"/>
  <c r="AB395" i="1"/>
  <c r="Z396" i="1"/>
  <c r="AB403" i="1"/>
  <c r="Z404" i="1"/>
  <c r="AB411" i="1"/>
  <c r="Z412" i="1"/>
  <c r="AB419" i="1"/>
  <c r="Z420" i="1"/>
  <c r="AB427" i="1"/>
  <c r="Z428" i="1"/>
  <c r="AA217" i="1"/>
  <c r="Z257" i="1"/>
  <c r="AB260" i="1"/>
  <c r="AA286" i="1"/>
  <c r="AC293" i="1"/>
  <c r="AC312" i="1"/>
  <c r="AA318" i="1"/>
  <c r="AC323" i="1"/>
  <c r="AA324" i="1"/>
  <c r="AC331" i="1"/>
  <c r="AA332" i="1"/>
  <c r="AC339" i="1"/>
  <c r="AA340" i="1"/>
  <c r="AC347" i="1"/>
  <c r="AA348" i="1"/>
  <c r="AC355" i="1"/>
  <c r="AA356" i="1"/>
  <c r="AC363" i="1"/>
  <c r="AA364" i="1"/>
  <c r="AC371" i="1"/>
  <c r="AA372" i="1"/>
  <c r="AC379" i="1"/>
  <c r="AA380" i="1"/>
  <c r="AC387" i="1"/>
  <c r="AA388" i="1"/>
  <c r="AC395" i="1"/>
  <c r="AA396" i="1"/>
  <c r="AC403" i="1"/>
  <c r="AA404" i="1"/>
  <c r="AC411" i="1"/>
  <c r="AA412" i="1"/>
  <c r="AC419" i="1"/>
  <c r="AA420" i="1"/>
  <c r="AC427" i="1"/>
  <c r="AA428" i="1"/>
  <c r="Z196" i="1"/>
  <c r="AB217" i="1"/>
  <c r="Z230" i="1"/>
  <c r="AA257" i="1"/>
  <c r="AC260" i="1"/>
  <c r="Z279" i="1"/>
  <c r="AB286" i="1"/>
  <c r="Z305" i="1"/>
  <c r="Z307" i="1"/>
  <c r="AB314" i="1"/>
  <c r="AB318" i="1"/>
  <c r="AB324" i="1"/>
  <c r="Z325" i="1"/>
  <c r="AB332" i="1"/>
  <c r="Z333" i="1"/>
  <c r="AB340" i="1"/>
  <c r="Z341" i="1"/>
  <c r="AB348" i="1"/>
  <c r="Z349" i="1"/>
  <c r="AB356" i="1"/>
  <c r="Z357" i="1"/>
  <c r="AB364" i="1"/>
  <c r="Z365" i="1"/>
  <c r="AB372" i="1"/>
  <c r="Z373" i="1"/>
  <c r="AB380" i="1"/>
  <c r="Z381" i="1"/>
  <c r="AB388" i="1"/>
  <c r="Z389" i="1"/>
  <c r="AB396" i="1"/>
  <c r="Z397" i="1"/>
  <c r="AB404" i="1"/>
  <c r="Z405" i="1"/>
  <c r="AB412" i="1"/>
  <c r="Z413" i="1"/>
  <c r="AB420" i="1"/>
  <c r="Z421" i="1"/>
  <c r="AB428" i="1"/>
  <c r="Z429" i="1"/>
  <c r="AA155" i="1"/>
  <c r="AA197" i="1"/>
  <c r="AB218" i="1"/>
  <c r="AC224" i="1"/>
  <c r="AA237" i="1"/>
  <c r="Z265" i="1"/>
  <c r="AB272" i="1"/>
  <c r="Z277" i="1"/>
  <c r="AB284" i="1"/>
  <c r="AB197" i="1"/>
  <c r="AC211" i="1"/>
  <c r="AC218" i="1"/>
  <c r="AB237" i="1"/>
  <c r="Z248" i="1"/>
  <c r="AA265" i="1"/>
  <c r="AC272" i="1"/>
  <c r="AA277" i="1"/>
  <c r="AC284" i="1"/>
  <c r="Z303" i="1"/>
  <c r="Z309" i="1"/>
  <c r="AA317" i="1"/>
  <c r="AB325" i="1"/>
  <c r="Z326" i="1"/>
  <c r="AB333" i="1"/>
  <c r="Z334" i="1"/>
  <c r="AB341" i="1"/>
  <c r="Z342" i="1"/>
  <c r="AB349" i="1"/>
  <c r="Z350" i="1"/>
  <c r="AB357" i="1"/>
  <c r="Z358" i="1"/>
  <c r="AB365" i="1"/>
  <c r="Z366" i="1"/>
  <c r="AB373" i="1"/>
  <c r="Z374" i="1"/>
  <c r="AB381" i="1"/>
  <c r="Z382" i="1"/>
  <c r="AB389" i="1"/>
  <c r="Z390" i="1"/>
  <c r="AB397" i="1"/>
  <c r="Z398" i="1"/>
  <c r="AB405" i="1"/>
  <c r="Z406" i="1"/>
  <c r="AB413" i="1"/>
  <c r="Z414" i="1"/>
  <c r="AB421" i="1"/>
  <c r="Z422" i="1"/>
  <c r="AB429" i="1"/>
  <c r="Z430" i="1"/>
  <c r="AC122" i="1"/>
  <c r="AA212" i="1"/>
  <c r="AC258" i="1"/>
  <c r="AA270" i="1"/>
  <c r="AC277" i="1"/>
  <c r="Z289" i="1"/>
  <c r="AB296" i="1"/>
  <c r="Z301" i="1"/>
  <c r="AA309" i="1"/>
  <c r="AB317" i="1"/>
  <c r="AC325" i="1"/>
  <c r="AA326" i="1"/>
  <c r="AC333" i="1"/>
  <c r="AA334" i="1"/>
  <c r="AC341" i="1"/>
  <c r="AA342" i="1"/>
  <c r="AC349" i="1"/>
  <c r="AA350" i="1"/>
  <c r="AC357" i="1"/>
  <c r="AA358" i="1"/>
  <c r="AC365" i="1"/>
  <c r="AA366" i="1"/>
  <c r="AC373" i="1"/>
  <c r="AA374" i="1"/>
  <c r="AC381" i="1"/>
  <c r="AA382" i="1"/>
  <c r="AC389" i="1"/>
  <c r="AA390" i="1"/>
  <c r="AC397" i="1"/>
  <c r="AA398" i="1"/>
  <c r="AC405" i="1"/>
  <c r="AA406" i="1"/>
  <c r="AC413" i="1"/>
  <c r="AA414" i="1"/>
  <c r="AC421" i="1"/>
  <c r="AA422" i="1"/>
  <c r="AC429" i="1"/>
  <c r="AA430" i="1"/>
  <c r="AB212" i="1"/>
  <c r="Z263" i="1"/>
  <c r="AB270" i="1"/>
  <c r="AA289" i="1"/>
  <c r="AC296" i="1"/>
  <c r="AA301" i="1"/>
  <c r="AC309" i="1"/>
  <c r="AC317" i="1"/>
  <c r="AB326" i="1"/>
  <c r="Z327" i="1"/>
  <c r="AB334" i="1"/>
  <c r="Z335" i="1"/>
  <c r="AB342" i="1"/>
  <c r="Z343" i="1"/>
  <c r="AB350" i="1"/>
  <c r="Z351" i="1"/>
  <c r="AB358" i="1"/>
  <c r="Z359" i="1"/>
  <c r="AB366" i="1"/>
  <c r="Z367" i="1"/>
  <c r="AB374" i="1"/>
  <c r="Z375" i="1"/>
  <c r="AB382" i="1"/>
  <c r="Z383" i="1"/>
  <c r="AB390" i="1"/>
  <c r="Z391" i="1"/>
  <c r="AB398" i="1"/>
  <c r="Z399" i="1"/>
  <c r="AB406" i="1"/>
  <c r="Z407" i="1"/>
  <c r="AB414" i="1"/>
  <c r="Z415" i="1"/>
  <c r="AB422" i="1"/>
  <c r="Z423" i="1"/>
  <c r="AB430" i="1"/>
  <c r="Z431" i="1"/>
  <c r="Z261" i="1"/>
  <c r="AB268" i="1"/>
  <c r="AA294" i="1"/>
  <c r="AC301" i="1"/>
  <c r="Z311" i="1"/>
  <c r="AC326" i="1"/>
  <c r="AA327" i="1"/>
  <c r="AC334" i="1"/>
  <c r="AA335" i="1"/>
  <c r="AC342" i="1"/>
  <c r="AA343" i="1"/>
  <c r="AC350" i="1"/>
  <c r="AA351" i="1"/>
  <c r="AC358" i="1"/>
  <c r="AA359" i="1"/>
  <c r="AC366" i="1"/>
  <c r="AA367" i="1"/>
  <c r="AC374" i="1"/>
  <c r="AA375" i="1"/>
  <c r="AC382" i="1"/>
  <c r="AA383" i="1"/>
  <c r="AC390" i="1"/>
  <c r="AA391" i="1"/>
  <c r="AC398" i="1"/>
  <c r="AA399" i="1"/>
  <c r="AC406" i="1"/>
  <c r="AA407" i="1"/>
  <c r="AC414" i="1"/>
  <c r="AA415" i="1"/>
  <c r="AC422" i="1"/>
  <c r="AA423" i="1"/>
  <c r="AC430" i="1"/>
  <c r="AA431" i="1"/>
  <c r="AA261" i="1"/>
  <c r="AC268" i="1"/>
  <c r="Z287" i="1"/>
  <c r="AB294" i="1"/>
  <c r="Z313" i="1"/>
  <c r="AB316" i="1"/>
  <c r="AB327" i="1"/>
  <c r="Z328" i="1"/>
  <c r="AB335" i="1"/>
  <c r="Z336" i="1"/>
  <c r="AB343" i="1"/>
  <c r="Z344" i="1"/>
  <c r="AB351" i="1"/>
  <c r="Z352" i="1"/>
  <c r="AB359" i="1"/>
  <c r="Z360" i="1"/>
  <c r="AB367" i="1"/>
  <c r="Z368" i="1"/>
  <c r="AB375" i="1"/>
  <c r="Z376" i="1"/>
  <c r="AB383" i="1"/>
  <c r="Z384" i="1"/>
  <c r="AB391" i="1"/>
  <c r="Z392" i="1"/>
  <c r="AB399" i="1"/>
  <c r="Z400" i="1"/>
  <c r="AB407" i="1"/>
  <c r="Z408" i="1"/>
  <c r="AB415" i="1"/>
  <c r="Z416" i="1"/>
  <c r="AB423" i="1"/>
  <c r="Z424" i="1"/>
  <c r="AC132" i="1"/>
  <c r="Z169" i="1"/>
  <c r="AB255" i="1"/>
  <c r="AC261" i="1"/>
  <c r="Z273" i="1"/>
  <c r="AB280" i="1"/>
  <c r="Z285" i="1"/>
  <c r="AB292" i="1"/>
  <c r="AA313" i="1"/>
  <c r="AC316" i="1"/>
  <c r="AC327" i="1"/>
  <c r="AA328" i="1"/>
  <c r="AC335" i="1"/>
  <c r="AA336" i="1"/>
  <c r="AC343" i="1"/>
  <c r="AA344" i="1"/>
  <c r="AC351" i="1"/>
  <c r="AA352" i="1"/>
  <c r="AC359" i="1"/>
  <c r="AA360" i="1"/>
  <c r="AC367" i="1"/>
  <c r="AA368" i="1"/>
  <c r="AC375" i="1"/>
  <c r="AA376" i="1"/>
  <c r="AC383" i="1"/>
  <c r="AA384" i="1"/>
  <c r="AC391" i="1"/>
  <c r="AA392" i="1"/>
  <c r="AC399" i="1"/>
  <c r="AA400" i="1"/>
  <c r="AC407" i="1"/>
  <c r="AA408" i="1"/>
  <c r="AC415" i="1"/>
  <c r="AA416" i="1"/>
  <c r="AC423" i="1"/>
  <c r="AA424" i="1"/>
  <c r="AC431" i="1"/>
  <c r="AA432" i="1"/>
  <c r="AA233" i="1"/>
  <c r="Z250" i="1"/>
  <c r="AA273" i="1"/>
  <c r="AC280" i="1"/>
  <c r="AA285" i="1"/>
  <c r="AC292" i="1"/>
  <c r="AA320" i="1"/>
  <c r="Z321" i="1"/>
  <c r="AB328" i="1"/>
  <c r="Z329" i="1"/>
  <c r="AB336" i="1"/>
  <c r="Z337" i="1"/>
  <c r="AB344" i="1"/>
  <c r="Z345" i="1"/>
  <c r="AB352" i="1"/>
  <c r="Z353" i="1"/>
  <c r="AB360" i="1"/>
  <c r="Z361" i="1"/>
  <c r="AB368" i="1"/>
  <c r="Z369" i="1"/>
  <c r="AB376" i="1"/>
  <c r="Z377" i="1"/>
  <c r="AB384" i="1"/>
  <c r="Z385" i="1"/>
  <c r="AB392" i="1"/>
  <c r="Z393" i="1"/>
  <c r="AB400" i="1"/>
  <c r="Z401" i="1"/>
  <c r="AB408" i="1"/>
  <c r="Z409" i="1"/>
  <c r="AB416" i="1"/>
  <c r="Z417" i="1"/>
  <c r="AB424" i="1"/>
  <c r="Z425" i="1"/>
  <c r="AB432" i="1"/>
  <c r="Z433" i="1"/>
  <c r="AA278" i="1"/>
  <c r="AC285" i="1"/>
  <c r="Z297" i="1"/>
  <c r="AB304" i="1"/>
  <c r="AB189" i="1"/>
  <c r="Z205" i="1"/>
  <c r="AA221" i="1"/>
  <c r="Z271" i="1"/>
  <c r="AB278" i="1"/>
  <c r="AA297" i="1"/>
  <c r="AC304" i="1"/>
  <c r="AB308" i="1"/>
  <c r="Z315" i="1"/>
  <c r="AC320" i="1"/>
  <c r="AB321" i="1"/>
  <c r="Z322" i="1"/>
  <c r="AB329" i="1"/>
  <c r="Z330" i="1"/>
  <c r="AB337" i="1"/>
  <c r="Z338" i="1"/>
  <c r="AB345" i="1"/>
  <c r="Z346" i="1"/>
  <c r="AB353" i="1"/>
  <c r="Z354" i="1"/>
  <c r="AB361" i="1"/>
  <c r="Z362" i="1"/>
  <c r="AB369" i="1"/>
  <c r="Z370" i="1"/>
  <c r="AB377" i="1"/>
  <c r="Z378" i="1"/>
  <c r="AB385" i="1"/>
  <c r="Z386" i="1"/>
  <c r="AB393" i="1"/>
  <c r="Z394" i="1"/>
  <c r="AB401" i="1"/>
  <c r="Z402" i="1"/>
  <c r="AB409" i="1"/>
  <c r="Z410" i="1"/>
  <c r="AB417" i="1"/>
  <c r="Z418" i="1"/>
  <c r="AB191" i="1"/>
  <c r="AB264" i="1"/>
  <c r="Z269" i="1"/>
  <c r="AB276" i="1"/>
  <c r="AA302" i="1"/>
  <c r="AC308" i="1"/>
  <c r="AA315" i="1"/>
  <c r="Z319" i="1"/>
  <c r="AC321" i="1"/>
  <c r="AA322" i="1"/>
  <c r="AC329" i="1"/>
  <c r="AA330" i="1"/>
  <c r="AC337" i="1"/>
  <c r="AA338" i="1"/>
  <c r="AC345" i="1"/>
  <c r="AA346" i="1"/>
  <c r="AC353" i="1"/>
  <c r="AA354" i="1"/>
  <c r="AC361" i="1"/>
  <c r="AA362" i="1"/>
  <c r="AC369" i="1"/>
  <c r="AA370" i="1"/>
  <c r="AC377" i="1"/>
  <c r="AA378" i="1"/>
  <c r="AC385" i="1"/>
  <c r="AA386" i="1"/>
  <c r="AC393" i="1"/>
  <c r="AA394" i="1"/>
  <c r="AC401" i="1"/>
  <c r="AA402" i="1"/>
  <c r="AC409" i="1"/>
  <c r="AA410" i="1"/>
  <c r="AC417" i="1"/>
  <c r="AA418" i="1"/>
  <c r="AC425" i="1"/>
  <c r="AA426" i="1"/>
  <c r="AC433" i="1"/>
  <c r="Z293" i="1"/>
  <c r="AB320" i="1"/>
  <c r="AA345" i="1"/>
  <c r="AC352" i="1"/>
  <c r="AA377" i="1"/>
  <c r="AC384" i="1"/>
  <c r="AA409" i="1"/>
  <c r="AC416" i="1"/>
  <c r="AB426" i="1"/>
  <c r="AB433" i="1"/>
  <c r="AC434" i="1"/>
  <c r="AA435" i="1"/>
  <c r="AC442" i="1"/>
  <c r="AA443" i="1"/>
  <c r="AC450" i="1"/>
  <c r="AA451" i="1"/>
  <c r="AC458" i="1"/>
  <c r="AA459" i="1"/>
  <c r="AC466" i="1"/>
  <c r="AA467" i="1"/>
  <c r="AC474" i="1"/>
  <c r="AA475" i="1"/>
  <c r="Z206" i="1"/>
  <c r="Z256" i="1"/>
  <c r="AC276" i="1"/>
  <c r="Z295" i="1"/>
  <c r="Z331" i="1"/>
  <c r="AB338" i="1"/>
  <c r="Z363" i="1"/>
  <c r="AB370" i="1"/>
  <c r="Z395" i="1"/>
  <c r="AB402" i="1"/>
  <c r="AC426" i="1"/>
  <c r="AB431" i="1"/>
  <c r="AB435" i="1"/>
  <c r="Z436" i="1"/>
  <c r="AB443" i="1"/>
  <c r="Z444" i="1"/>
  <c r="AB451" i="1"/>
  <c r="Z452" i="1"/>
  <c r="AB459" i="1"/>
  <c r="Z460" i="1"/>
  <c r="AB467" i="1"/>
  <c r="Z468" i="1"/>
  <c r="AA331" i="1"/>
  <c r="AC338" i="1"/>
  <c r="AA363" i="1"/>
  <c r="AC370" i="1"/>
  <c r="AA395" i="1"/>
  <c r="AC402" i="1"/>
  <c r="AC435" i="1"/>
  <c r="AA436" i="1"/>
  <c r="AC443" i="1"/>
  <c r="AA444" i="1"/>
  <c r="AC451" i="1"/>
  <c r="AA452" i="1"/>
  <c r="AC459" i="1"/>
  <c r="AA460" i="1"/>
  <c r="AC467" i="1"/>
  <c r="AA468" i="1"/>
  <c r="AC475" i="1"/>
  <c r="AA476" i="1"/>
  <c r="AC324" i="1"/>
  <c r="AA349" i="1"/>
  <c r="AC356" i="1"/>
  <c r="AA381" i="1"/>
  <c r="AC388" i="1"/>
  <c r="AA413" i="1"/>
  <c r="AC420" i="1"/>
  <c r="AB436" i="1"/>
  <c r="Z437" i="1"/>
  <c r="AB444" i="1"/>
  <c r="Z445" i="1"/>
  <c r="AB452" i="1"/>
  <c r="Z453" i="1"/>
  <c r="AB460" i="1"/>
  <c r="Z461" i="1"/>
  <c r="AB468" i="1"/>
  <c r="Z469" i="1"/>
  <c r="AA321" i="1"/>
  <c r="AC328" i="1"/>
  <c r="AA353" i="1"/>
  <c r="AC360" i="1"/>
  <c r="AA385" i="1"/>
  <c r="AC392" i="1"/>
  <c r="AA417" i="1"/>
  <c r="AC424" i="1"/>
  <c r="AA429" i="1"/>
  <c r="AC436" i="1"/>
  <c r="AA437" i="1"/>
  <c r="AC444" i="1"/>
  <c r="AA445" i="1"/>
  <c r="AC452" i="1"/>
  <c r="AA453" i="1"/>
  <c r="AC460" i="1"/>
  <c r="AA461" i="1"/>
  <c r="AC468" i="1"/>
  <c r="AA469" i="1"/>
  <c r="AA310" i="1"/>
  <c r="Z339" i="1"/>
  <c r="AB346" i="1"/>
  <c r="Z371" i="1"/>
  <c r="AB378" i="1"/>
  <c r="Z403" i="1"/>
  <c r="AB410" i="1"/>
  <c r="AB437" i="1"/>
  <c r="Z438" i="1"/>
  <c r="AB445" i="1"/>
  <c r="Z446" i="1"/>
  <c r="AB453" i="1"/>
  <c r="Z454" i="1"/>
  <c r="AB461" i="1"/>
  <c r="Z462" i="1"/>
  <c r="AB469" i="1"/>
  <c r="Z470" i="1"/>
  <c r="AA262" i="1"/>
  <c r="Z281" i="1"/>
  <c r="AB300" i="1"/>
  <c r="AB310" i="1"/>
  <c r="AA339" i="1"/>
  <c r="AC346" i="1"/>
  <c r="AA371" i="1"/>
  <c r="AC378" i="1"/>
  <c r="AA403" i="1"/>
  <c r="AC410" i="1"/>
  <c r="Z427" i="1"/>
  <c r="AC437" i="1"/>
  <c r="AA438" i="1"/>
  <c r="AC445" i="1"/>
  <c r="AA446" i="1"/>
  <c r="AC453" i="1"/>
  <c r="AA454" i="1"/>
  <c r="AC461" i="1"/>
  <c r="AA462" i="1"/>
  <c r="AC469" i="1"/>
  <c r="AA470" i="1"/>
  <c r="AC228" i="1"/>
  <c r="AC264" i="1"/>
  <c r="AB302" i="1"/>
  <c r="Z317" i="1"/>
  <c r="AA325" i="1"/>
  <c r="AC332" i="1"/>
  <c r="AA357" i="1"/>
  <c r="AC364" i="1"/>
  <c r="AA389" i="1"/>
  <c r="AC396" i="1"/>
  <c r="AA421" i="1"/>
  <c r="AA427" i="1"/>
  <c r="Z432" i="1"/>
  <c r="AB438" i="1"/>
  <c r="Z439" i="1"/>
  <c r="AB446" i="1"/>
  <c r="Z447" i="1"/>
  <c r="AB454" i="1"/>
  <c r="Z455" i="1"/>
  <c r="AB462" i="1"/>
  <c r="Z463" i="1"/>
  <c r="AB470" i="1"/>
  <c r="Z471" i="1"/>
  <c r="AA329" i="1"/>
  <c r="AC336" i="1"/>
  <c r="AA361" i="1"/>
  <c r="AC368" i="1"/>
  <c r="AA393" i="1"/>
  <c r="AC400" i="1"/>
  <c r="AA425" i="1"/>
  <c r="AC432" i="1"/>
  <c r="AC438" i="1"/>
  <c r="AA439" i="1"/>
  <c r="AC446" i="1"/>
  <c r="AA447" i="1"/>
  <c r="AC454" i="1"/>
  <c r="AA455" i="1"/>
  <c r="AB322" i="1"/>
  <c r="Z347" i="1"/>
  <c r="AB354" i="1"/>
  <c r="Z379" i="1"/>
  <c r="AB386" i="1"/>
  <c r="Z411" i="1"/>
  <c r="AB418" i="1"/>
  <c r="AB425" i="1"/>
  <c r="AB439" i="1"/>
  <c r="Z440" i="1"/>
  <c r="AB447" i="1"/>
  <c r="Z448" i="1"/>
  <c r="AB455" i="1"/>
  <c r="Z456" i="1"/>
  <c r="AB463" i="1"/>
  <c r="Z464" i="1"/>
  <c r="AB471" i="1"/>
  <c r="Z472" i="1"/>
  <c r="AA235" i="1"/>
  <c r="AC322" i="1"/>
  <c r="AA347" i="1"/>
  <c r="AC354" i="1"/>
  <c r="AA379" i="1"/>
  <c r="AC386" i="1"/>
  <c r="AA411" i="1"/>
  <c r="AC418" i="1"/>
  <c r="AC439" i="1"/>
  <c r="AA440" i="1"/>
  <c r="AC447" i="1"/>
  <c r="AA448" i="1"/>
  <c r="AC455" i="1"/>
  <c r="AA456" i="1"/>
  <c r="AC463" i="1"/>
  <c r="AA464" i="1"/>
  <c r="AA269" i="1"/>
  <c r="AA305" i="1"/>
  <c r="AA333" i="1"/>
  <c r="AC340" i="1"/>
  <c r="AA365" i="1"/>
  <c r="AC372" i="1"/>
  <c r="AA397" i="1"/>
  <c r="AC404" i="1"/>
  <c r="AB440" i="1"/>
  <c r="Z441" i="1"/>
  <c r="AB448" i="1"/>
  <c r="Z449" i="1"/>
  <c r="AB456" i="1"/>
  <c r="Z457" i="1"/>
  <c r="AB464" i="1"/>
  <c r="Z465" i="1"/>
  <c r="AC269" i="1"/>
  <c r="AB288" i="1"/>
  <c r="AC306" i="1"/>
  <c r="AA337" i="1"/>
  <c r="AC344" i="1"/>
  <c r="AA369" i="1"/>
  <c r="AC376" i="1"/>
  <c r="AA401" i="1"/>
  <c r="AC408" i="1"/>
  <c r="AC440" i="1"/>
  <c r="AA441" i="1"/>
  <c r="AC448" i="1"/>
  <c r="AA449" i="1"/>
  <c r="AC456" i="1"/>
  <c r="AA457" i="1"/>
  <c r="AC464" i="1"/>
  <c r="AA465" i="1"/>
  <c r="AC472" i="1"/>
  <c r="AA473" i="1"/>
  <c r="AB175" i="1"/>
  <c r="AC319" i="1"/>
  <c r="Z323" i="1"/>
  <c r="AB330" i="1"/>
  <c r="Z355" i="1"/>
  <c r="AB362" i="1"/>
  <c r="Z387" i="1"/>
  <c r="AB394" i="1"/>
  <c r="Z419" i="1"/>
  <c r="Z434" i="1"/>
  <c r="AB441" i="1"/>
  <c r="Z442" i="1"/>
  <c r="AB449" i="1"/>
  <c r="Z450" i="1"/>
  <c r="AB457" i="1"/>
  <c r="Z458" i="1"/>
  <c r="AB465" i="1"/>
  <c r="Z466" i="1"/>
  <c r="Z451" i="1"/>
  <c r="AB458" i="1"/>
  <c r="AC477" i="1"/>
  <c r="AB478" i="1"/>
  <c r="Z479" i="1"/>
  <c r="AB486" i="1"/>
  <c r="Z487" i="1"/>
  <c r="AB494" i="1"/>
  <c r="Z495" i="1"/>
  <c r="AB502" i="1"/>
  <c r="Z503" i="1"/>
  <c r="AB510" i="1"/>
  <c r="Z511" i="1"/>
  <c r="AB518" i="1"/>
  <c r="Z519" i="1"/>
  <c r="AB526" i="1"/>
  <c r="Z527" i="1"/>
  <c r="AB534" i="1"/>
  <c r="Z535" i="1"/>
  <c r="AB542" i="1"/>
  <c r="Z543" i="1"/>
  <c r="AB550" i="1"/>
  <c r="Z551" i="1"/>
  <c r="AB558" i="1"/>
  <c r="Z559" i="1"/>
  <c r="AB566" i="1"/>
  <c r="Z567" i="1"/>
  <c r="AB574" i="1"/>
  <c r="Z575" i="1"/>
  <c r="AB582" i="1"/>
  <c r="Z583" i="1"/>
  <c r="AB590" i="1"/>
  <c r="Z591" i="1"/>
  <c r="AB598" i="1"/>
  <c r="Z599" i="1"/>
  <c r="AB606" i="1"/>
  <c r="Z607" i="1"/>
  <c r="Z475" i="1"/>
  <c r="AC478" i="1"/>
  <c r="AA479" i="1"/>
  <c r="AC486" i="1"/>
  <c r="AA487" i="1"/>
  <c r="AC494" i="1"/>
  <c r="AA495" i="1"/>
  <c r="AC502" i="1"/>
  <c r="AA503" i="1"/>
  <c r="AC510" i="1"/>
  <c r="AA511" i="1"/>
  <c r="AC518" i="1"/>
  <c r="AA519" i="1"/>
  <c r="AC526" i="1"/>
  <c r="AA527" i="1"/>
  <c r="AC534" i="1"/>
  <c r="AA535" i="1"/>
  <c r="AC542" i="1"/>
  <c r="AA543" i="1"/>
  <c r="AC550" i="1"/>
  <c r="AA551" i="1"/>
  <c r="AC558" i="1"/>
  <c r="AA559" i="1"/>
  <c r="AC566" i="1"/>
  <c r="AA567" i="1"/>
  <c r="AC574" i="1"/>
  <c r="AA575" i="1"/>
  <c r="AC582" i="1"/>
  <c r="AA583" i="1"/>
  <c r="AC590" i="1"/>
  <c r="AA591" i="1"/>
  <c r="AC598" i="1"/>
  <c r="AA599" i="1"/>
  <c r="AC606" i="1"/>
  <c r="AA607" i="1"/>
  <c r="AA307" i="1"/>
  <c r="AA341" i="1"/>
  <c r="Z426" i="1"/>
  <c r="Z459" i="1"/>
  <c r="AA472" i="1"/>
  <c r="AB475" i="1"/>
  <c r="AB479" i="1"/>
  <c r="Z480" i="1"/>
  <c r="AB487" i="1"/>
  <c r="Z488" i="1"/>
  <c r="AB495" i="1"/>
  <c r="Z496" i="1"/>
  <c r="AB503" i="1"/>
  <c r="Z504" i="1"/>
  <c r="AB511" i="1"/>
  <c r="Z512" i="1"/>
  <c r="AB519" i="1"/>
  <c r="Z520" i="1"/>
  <c r="AB527" i="1"/>
  <c r="Z528" i="1"/>
  <c r="AB535" i="1"/>
  <c r="Z536" i="1"/>
  <c r="AB543" i="1"/>
  <c r="Z544" i="1"/>
  <c r="AB551" i="1"/>
  <c r="Z552" i="1"/>
  <c r="AB559" i="1"/>
  <c r="Z560" i="1"/>
  <c r="AB567" i="1"/>
  <c r="Z568" i="1"/>
  <c r="AB575" i="1"/>
  <c r="Z576" i="1"/>
  <c r="AB583" i="1"/>
  <c r="Z584" i="1"/>
  <c r="AB591" i="1"/>
  <c r="Z592" i="1"/>
  <c r="AB599" i="1"/>
  <c r="Z600" i="1"/>
  <c r="AB607" i="1"/>
  <c r="Z608" i="1"/>
  <c r="AC428" i="1"/>
  <c r="AB472" i="1"/>
  <c r="AC479" i="1"/>
  <c r="AA480" i="1"/>
  <c r="AC487" i="1"/>
  <c r="AA488" i="1"/>
  <c r="AC495" i="1"/>
  <c r="AA496" i="1"/>
  <c r="AC503" i="1"/>
  <c r="AA504" i="1"/>
  <c r="AC511" i="1"/>
  <c r="AA512" i="1"/>
  <c r="AC519" i="1"/>
  <c r="AA520" i="1"/>
  <c r="AC527" i="1"/>
  <c r="AA528" i="1"/>
  <c r="AC535" i="1"/>
  <c r="AA536" i="1"/>
  <c r="AC543" i="1"/>
  <c r="AA544" i="1"/>
  <c r="AC551" i="1"/>
  <c r="AA552" i="1"/>
  <c r="AC559" i="1"/>
  <c r="AA560" i="1"/>
  <c r="AC567" i="1"/>
  <c r="AA568" i="1"/>
  <c r="AC575" i="1"/>
  <c r="AA576" i="1"/>
  <c r="AC583" i="1"/>
  <c r="AA584" i="1"/>
  <c r="AC591" i="1"/>
  <c r="AA592" i="1"/>
  <c r="AC599" i="1"/>
  <c r="AA600" i="1"/>
  <c r="AC607" i="1"/>
  <c r="AA608" i="1"/>
  <c r="AC314" i="1"/>
  <c r="AA373" i="1"/>
  <c r="AC465" i="1"/>
  <c r="AB480" i="1"/>
  <c r="Z481" i="1"/>
  <c r="AB488" i="1"/>
  <c r="Z489" i="1"/>
  <c r="AB496" i="1"/>
  <c r="Z497" i="1"/>
  <c r="AB504" i="1"/>
  <c r="Z505" i="1"/>
  <c r="AB512" i="1"/>
  <c r="Z513" i="1"/>
  <c r="AB520" i="1"/>
  <c r="Z521" i="1"/>
  <c r="AB528" i="1"/>
  <c r="Z529" i="1"/>
  <c r="AB536" i="1"/>
  <c r="Z537" i="1"/>
  <c r="AB544" i="1"/>
  <c r="Z545" i="1"/>
  <c r="AB552" i="1"/>
  <c r="Z553" i="1"/>
  <c r="AB560" i="1"/>
  <c r="Z561" i="1"/>
  <c r="AB568" i="1"/>
  <c r="Z569" i="1"/>
  <c r="AB576" i="1"/>
  <c r="Z577" i="1"/>
  <c r="AB584" i="1"/>
  <c r="Z585" i="1"/>
  <c r="AB592" i="1"/>
  <c r="Z593" i="1"/>
  <c r="AB600" i="1"/>
  <c r="Z601" i="1"/>
  <c r="AB608" i="1"/>
  <c r="Z609" i="1"/>
  <c r="AC470" i="1"/>
  <c r="Z474" i="1"/>
  <c r="AC480" i="1"/>
  <c r="AA481" i="1"/>
  <c r="AC488" i="1"/>
  <c r="AA489" i="1"/>
  <c r="AC496" i="1"/>
  <c r="AA497" i="1"/>
  <c r="AC504" i="1"/>
  <c r="AA505" i="1"/>
  <c r="AC512" i="1"/>
  <c r="AA513" i="1"/>
  <c r="AC520" i="1"/>
  <c r="AA521" i="1"/>
  <c r="AC528" i="1"/>
  <c r="AA529" i="1"/>
  <c r="AC536" i="1"/>
  <c r="AA537" i="1"/>
  <c r="AC544" i="1"/>
  <c r="AA545" i="1"/>
  <c r="AC552" i="1"/>
  <c r="AA553" i="1"/>
  <c r="AC560" i="1"/>
  <c r="AA561" i="1"/>
  <c r="AC568" i="1"/>
  <c r="AA569" i="1"/>
  <c r="AC576" i="1"/>
  <c r="AA577" i="1"/>
  <c r="AC584" i="1"/>
  <c r="AA585" i="1"/>
  <c r="AC592" i="1"/>
  <c r="AA593" i="1"/>
  <c r="AC600" i="1"/>
  <c r="AA601" i="1"/>
  <c r="AC608" i="1"/>
  <c r="AA609" i="1"/>
  <c r="AC348" i="1"/>
  <c r="AA405" i="1"/>
  <c r="AA474" i="1"/>
  <c r="AB481" i="1"/>
  <c r="Z482" i="1"/>
  <c r="AB489" i="1"/>
  <c r="Z490" i="1"/>
  <c r="AB497" i="1"/>
  <c r="Z498" i="1"/>
  <c r="AB505" i="1"/>
  <c r="Z506" i="1"/>
  <c r="AB513" i="1"/>
  <c r="Z514" i="1"/>
  <c r="AB521" i="1"/>
  <c r="Z522" i="1"/>
  <c r="AB529" i="1"/>
  <c r="Z530" i="1"/>
  <c r="AB537" i="1"/>
  <c r="Z538" i="1"/>
  <c r="AB545" i="1"/>
  <c r="Z546" i="1"/>
  <c r="AB553" i="1"/>
  <c r="Z554" i="1"/>
  <c r="AB561" i="1"/>
  <c r="Z562" i="1"/>
  <c r="AB569" i="1"/>
  <c r="Z570" i="1"/>
  <c r="AB577" i="1"/>
  <c r="Z578" i="1"/>
  <c r="AB585" i="1"/>
  <c r="Z586" i="1"/>
  <c r="AB593" i="1"/>
  <c r="Z594" i="1"/>
  <c r="AB601" i="1"/>
  <c r="Z602" i="1"/>
  <c r="AB609" i="1"/>
  <c r="Z610" i="1"/>
  <c r="AA323" i="1"/>
  <c r="AA466" i="1"/>
  <c r="AB474" i="1"/>
  <c r="AC481" i="1"/>
  <c r="AA482" i="1"/>
  <c r="AC489" i="1"/>
  <c r="AA490" i="1"/>
  <c r="AC497" i="1"/>
  <c r="AA498" i="1"/>
  <c r="AC505" i="1"/>
  <c r="AA506" i="1"/>
  <c r="AC513" i="1"/>
  <c r="AA514" i="1"/>
  <c r="AC521" i="1"/>
  <c r="AA522" i="1"/>
  <c r="AC529" i="1"/>
  <c r="AA530" i="1"/>
  <c r="AC537" i="1"/>
  <c r="AA538" i="1"/>
  <c r="AC545" i="1"/>
  <c r="AA546" i="1"/>
  <c r="AC553" i="1"/>
  <c r="AA554" i="1"/>
  <c r="AC561" i="1"/>
  <c r="AA562" i="1"/>
  <c r="AC569" i="1"/>
  <c r="AA570" i="1"/>
  <c r="AC577" i="1"/>
  <c r="AA578" i="1"/>
  <c r="AC585" i="1"/>
  <c r="AA586" i="1"/>
  <c r="AC593" i="1"/>
  <c r="AA594" i="1"/>
  <c r="AC601" i="1"/>
  <c r="AA602" i="1"/>
  <c r="AC609" i="1"/>
  <c r="AA610" i="1"/>
  <c r="AC380" i="1"/>
  <c r="AA433" i="1"/>
  <c r="AB466" i="1"/>
  <c r="AB482" i="1"/>
  <c r="Z483" i="1"/>
  <c r="AB490" i="1"/>
  <c r="Z491" i="1"/>
  <c r="AB498" i="1"/>
  <c r="Z499" i="1"/>
  <c r="AB506" i="1"/>
  <c r="Z507" i="1"/>
  <c r="AB514" i="1"/>
  <c r="Z515" i="1"/>
  <c r="AB522" i="1"/>
  <c r="Z523" i="1"/>
  <c r="AB530" i="1"/>
  <c r="Z531" i="1"/>
  <c r="AB538" i="1"/>
  <c r="Z539" i="1"/>
  <c r="AB546" i="1"/>
  <c r="Z547" i="1"/>
  <c r="AB554" i="1"/>
  <c r="Z555" i="1"/>
  <c r="AB562" i="1"/>
  <c r="Z563" i="1"/>
  <c r="AB570" i="1"/>
  <c r="Z571" i="1"/>
  <c r="AB578" i="1"/>
  <c r="Z579" i="1"/>
  <c r="AB586" i="1"/>
  <c r="Z587" i="1"/>
  <c r="AB594" i="1"/>
  <c r="Z595" i="1"/>
  <c r="AB602" i="1"/>
  <c r="Z603" i="1"/>
  <c r="AA355" i="1"/>
  <c r="AA434" i="1"/>
  <c r="AC441" i="1"/>
  <c r="AA471" i="1"/>
  <c r="AC482" i="1"/>
  <c r="AA483" i="1"/>
  <c r="AC490" i="1"/>
  <c r="AA491" i="1"/>
  <c r="AC498" i="1"/>
  <c r="AA499" i="1"/>
  <c r="AC506" i="1"/>
  <c r="AA507" i="1"/>
  <c r="AC514" i="1"/>
  <c r="AA515" i="1"/>
  <c r="AC522" i="1"/>
  <c r="AA523" i="1"/>
  <c r="AC530" i="1"/>
  <c r="AA531" i="1"/>
  <c r="AC538" i="1"/>
  <c r="AA539" i="1"/>
  <c r="AC546" i="1"/>
  <c r="AA547" i="1"/>
  <c r="AC554" i="1"/>
  <c r="AA555" i="1"/>
  <c r="AC562" i="1"/>
  <c r="AA563" i="1"/>
  <c r="AC570" i="1"/>
  <c r="AA571" i="1"/>
  <c r="AC578" i="1"/>
  <c r="AA579" i="1"/>
  <c r="AC586" i="1"/>
  <c r="AA587" i="1"/>
  <c r="AC594" i="1"/>
  <c r="AA595" i="1"/>
  <c r="AC602" i="1"/>
  <c r="AA603" i="1"/>
  <c r="AC610" i="1"/>
  <c r="AA611" i="1"/>
  <c r="AC191" i="1"/>
  <c r="AC412" i="1"/>
  <c r="AB434" i="1"/>
  <c r="AC462" i="1"/>
  <c r="AC471" i="1"/>
  <c r="AB483" i="1"/>
  <c r="Z484" i="1"/>
  <c r="AB491" i="1"/>
  <c r="Z492" i="1"/>
  <c r="AB499" i="1"/>
  <c r="Z500" i="1"/>
  <c r="AB507" i="1"/>
  <c r="Z508" i="1"/>
  <c r="AB515" i="1"/>
  <c r="Z516" i="1"/>
  <c r="AB523" i="1"/>
  <c r="Z524" i="1"/>
  <c r="AB531" i="1"/>
  <c r="Z532" i="1"/>
  <c r="AB539" i="1"/>
  <c r="Z540" i="1"/>
  <c r="AB547" i="1"/>
  <c r="Z548" i="1"/>
  <c r="AB555" i="1"/>
  <c r="Z556" i="1"/>
  <c r="AB563" i="1"/>
  <c r="Z564" i="1"/>
  <c r="AB571" i="1"/>
  <c r="Z572" i="1"/>
  <c r="AB579" i="1"/>
  <c r="Z580" i="1"/>
  <c r="AB587" i="1"/>
  <c r="Z588" i="1"/>
  <c r="AB595" i="1"/>
  <c r="Z596" i="1"/>
  <c r="AB603" i="1"/>
  <c r="Z604" i="1"/>
  <c r="AC330" i="1"/>
  <c r="AA387" i="1"/>
  <c r="AA442" i="1"/>
  <c r="AC449" i="1"/>
  <c r="Z467" i="1"/>
  <c r="Z473" i="1"/>
  <c r="AC483" i="1"/>
  <c r="AA484" i="1"/>
  <c r="AC491" i="1"/>
  <c r="AA492" i="1"/>
  <c r="AC499" i="1"/>
  <c r="AA500" i="1"/>
  <c r="AC507" i="1"/>
  <c r="AA508" i="1"/>
  <c r="AC515" i="1"/>
  <c r="AA516" i="1"/>
  <c r="AC523" i="1"/>
  <c r="AA524" i="1"/>
  <c r="AC531" i="1"/>
  <c r="AA532" i="1"/>
  <c r="AC539" i="1"/>
  <c r="AA540" i="1"/>
  <c r="AC547" i="1"/>
  <c r="AA548" i="1"/>
  <c r="AC555" i="1"/>
  <c r="AA556" i="1"/>
  <c r="AC563" i="1"/>
  <c r="AA564" i="1"/>
  <c r="AC571" i="1"/>
  <c r="AA572" i="1"/>
  <c r="AC579" i="1"/>
  <c r="AA580" i="1"/>
  <c r="AC587" i="1"/>
  <c r="AA588" i="1"/>
  <c r="AC595" i="1"/>
  <c r="AA596" i="1"/>
  <c r="AC603" i="1"/>
  <c r="AA604" i="1"/>
  <c r="AC611" i="1"/>
  <c r="AA612" i="1"/>
  <c r="Z435" i="1"/>
  <c r="AB442" i="1"/>
  <c r="AB473" i="1"/>
  <c r="AB484" i="1"/>
  <c r="Z485" i="1"/>
  <c r="AB492" i="1"/>
  <c r="Z493" i="1"/>
  <c r="AB500" i="1"/>
  <c r="Z501" i="1"/>
  <c r="AB508" i="1"/>
  <c r="Z509" i="1"/>
  <c r="AB516" i="1"/>
  <c r="Z517" i="1"/>
  <c r="AB524" i="1"/>
  <c r="Z525" i="1"/>
  <c r="AB532" i="1"/>
  <c r="Z533" i="1"/>
  <c r="AB540" i="1"/>
  <c r="Z541" i="1"/>
  <c r="AB548" i="1"/>
  <c r="Z549" i="1"/>
  <c r="AB556" i="1"/>
  <c r="Z557" i="1"/>
  <c r="AB564" i="1"/>
  <c r="Z565" i="1"/>
  <c r="AB572" i="1"/>
  <c r="Z573" i="1"/>
  <c r="AB580" i="1"/>
  <c r="Z581" i="1"/>
  <c r="AB588" i="1"/>
  <c r="Z589" i="1"/>
  <c r="AB596" i="1"/>
  <c r="Z597" i="1"/>
  <c r="AB604" i="1"/>
  <c r="Z605" i="1"/>
  <c r="AB612" i="1"/>
  <c r="Z613" i="1"/>
  <c r="AC362" i="1"/>
  <c r="AA419" i="1"/>
  <c r="AA450" i="1"/>
  <c r="AC457" i="1"/>
  <c r="AA463" i="1"/>
  <c r="AC473" i="1"/>
  <c r="Z476" i="1"/>
  <c r="Z477" i="1"/>
  <c r="AC484" i="1"/>
  <c r="AA485" i="1"/>
  <c r="AC492" i="1"/>
  <c r="AA493" i="1"/>
  <c r="AC500" i="1"/>
  <c r="AA501" i="1"/>
  <c r="AC508" i="1"/>
  <c r="AA509" i="1"/>
  <c r="AC516" i="1"/>
  <c r="AA517" i="1"/>
  <c r="AC524" i="1"/>
  <c r="AA525" i="1"/>
  <c r="AC532" i="1"/>
  <c r="AA533" i="1"/>
  <c r="AC540" i="1"/>
  <c r="AA541" i="1"/>
  <c r="AC548" i="1"/>
  <c r="AA549" i="1"/>
  <c r="AC556" i="1"/>
  <c r="AA557" i="1"/>
  <c r="AC564" i="1"/>
  <c r="AA565" i="1"/>
  <c r="AC572" i="1"/>
  <c r="AA573" i="1"/>
  <c r="AC580" i="1"/>
  <c r="AA581" i="1"/>
  <c r="AC588" i="1"/>
  <c r="AA589" i="1"/>
  <c r="AC596" i="1"/>
  <c r="AA597" i="1"/>
  <c r="AC604" i="1"/>
  <c r="AA605" i="1"/>
  <c r="AC612" i="1"/>
  <c r="AA613" i="1"/>
  <c r="AC394" i="1"/>
  <c r="AA502" i="1"/>
  <c r="AC509" i="1"/>
  <c r="AA566" i="1"/>
  <c r="AC573" i="1"/>
  <c r="AC619" i="1"/>
  <c r="AA620" i="1"/>
  <c r="AC627" i="1"/>
  <c r="AA628" i="1"/>
  <c r="AC635" i="1"/>
  <c r="AA636" i="1"/>
  <c r="AC643" i="1"/>
  <c r="AA644" i="1"/>
  <c r="AC651" i="1"/>
  <c r="AA652" i="1"/>
  <c r="AC659" i="1"/>
  <c r="AA660" i="1"/>
  <c r="AC667" i="1"/>
  <c r="AA668" i="1"/>
  <c r="AC675" i="1"/>
  <c r="AA676" i="1"/>
  <c r="AC683" i="1"/>
  <c r="AA684" i="1"/>
  <c r="AC691" i="1"/>
  <c r="AA692" i="1"/>
  <c r="AC699" i="1"/>
  <c r="AA700" i="1"/>
  <c r="AC707" i="1"/>
  <c r="AA708" i="1"/>
  <c r="AC715" i="1"/>
  <c r="AA716" i="1"/>
  <c r="AC723" i="1"/>
  <c r="AA724" i="1"/>
  <c r="AC731" i="1"/>
  <c r="AA732" i="1"/>
  <c r="AC739" i="1"/>
  <c r="AA740" i="1"/>
  <c r="Z510" i="1"/>
  <c r="AB517" i="1"/>
  <c r="Z574" i="1"/>
  <c r="AB581" i="1"/>
  <c r="AB620" i="1"/>
  <c r="Z621" i="1"/>
  <c r="AB628" i="1"/>
  <c r="Z629" i="1"/>
  <c r="AB636" i="1"/>
  <c r="Z637" i="1"/>
  <c r="AB644" i="1"/>
  <c r="Z645" i="1"/>
  <c r="AB652" i="1"/>
  <c r="Z653" i="1"/>
  <c r="AB660" i="1"/>
  <c r="Z661" i="1"/>
  <c r="AB668" i="1"/>
  <c r="Z669" i="1"/>
  <c r="AB676" i="1"/>
  <c r="Z677" i="1"/>
  <c r="AB684" i="1"/>
  <c r="Z685" i="1"/>
  <c r="AB692" i="1"/>
  <c r="Z693" i="1"/>
  <c r="AB700" i="1"/>
  <c r="Z701" i="1"/>
  <c r="AB708" i="1"/>
  <c r="Z709" i="1"/>
  <c r="AB716" i="1"/>
  <c r="Z717" i="1"/>
  <c r="AB724" i="1"/>
  <c r="Z725" i="1"/>
  <c r="AB732" i="1"/>
  <c r="Z733" i="1"/>
  <c r="AB740" i="1"/>
  <c r="Z741" i="1"/>
  <c r="AA510" i="1"/>
  <c r="AC517" i="1"/>
  <c r="AA574" i="1"/>
  <c r="AC581" i="1"/>
  <c r="AC620" i="1"/>
  <c r="AA621" i="1"/>
  <c r="AC628" i="1"/>
  <c r="AA629" i="1"/>
  <c r="AC636" i="1"/>
  <c r="AA637" i="1"/>
  <c r="AC644" i="1"/>
  <c r="AA645" i="1"/>
  <c r="AC652" i="1"/>
  <c r="AA653" i="1"/>
  <c r="AC660" i="1"/>
  <c r="AA661" i="1"/>
  <c r="AC668" i="1"/>
  <c r="AA669" i="1"/>
  <c r="AC676" i="1"/>
  <c r="AA677" i="1"/>
  <c r="AC684" i="1"/>
  <c r="AA685" i="1"/>
  <c r="AC692" i="1"/>
  <c r="AA693" i="1"/>
  <c r="AC700" i="1"/>
  <c r="AA701" i="1"/>
  <c r="AC708" i="1"/>
  <c r="AA709" i="1"/>
  <c r="AC716" i="1"/>
  <c r="AA717" i="1"/>
  <c r="AC724" i="1"/>
  <c r="AA725" i="1"/>
  <c r="AC732" i="1"/>
  <c r="AA733" i="1"/>
  <c r="AC740" i="1"/>
  <c r="AA741" i="1"/>
  <c r="Z518" i="1"/>
  <c r="AB525" i="1"/>
  <c r="Z582" i="1"/>
  <c r="AB589" i="1"/>
  <c r="Z614" i="1"/>
  <c r="AB621" i="1"/>
  <c r="Z622" i="1"/>
  <c r="AB629" i="1"/>
  <c r="Z630" i="1"/>
  <c r="AB637" i="1"/>
  <c r="Z638" i="1"/>
  <c r="AB645" i="1"/>
  <c r="Z646" i="1"/>
  <c r="AB653" i="1"/>
  <c r="Z654" i="1"/>
  <c r="AB661" i="1"/>
  <c r="Z662" i="1"/>
  <c r="AB669" i="1"/>
  <c r="Z670" i="1"/>
  <c r="AB677" i="1"/>
  <c r="Z678" i="1"/>
  <c r="AB685" i="1"/>
  <c r="Z686" i="1"/>
  <c r="AB693" i="1"/>
  <c r="Z694" i="1"/>
  <c r="AB701" i="1"/>
  <c r="Z702" i="1"/>
  <c r="AB709" i="1"/>
  <c r="Z710" i="1"/>
  <c r="AB717" i="1"/>
  <c r="Z718" i="1"/>
  <c r="AB725" i="1"/>
  <c r="Z726" i="1"/>
  <c r="AB733" i="1"/>
  <c r="Z734" i="1"/>
  <c r="AA518" i="1"/>
  <c r="AC525" i="1"/>
  <c r="AA582" i="1"/>
  <c r="AC589" i="1"/>
  <c r="AA614" i="1"/>
  <c r="AC621" i="1"/>
  <c r="AA622" i="1"/>
  <c r="AC629" i="1"/>
  <c r="AA630" i="1"/>
  <c r="AC637" i="1"/>
  <c r="AA638" i="1"/>
  <c r="AC645" i="1"/>
  <c r="AA646" i="1"/>
  <c r="AC653" i="1"/>
  <c r="AA654" i="1"/>
  <c r="AC661" i="1"/>
  <c r="AA662" i="1"/>
  <c r="AC669" i="1"/>
  <c r="AA670" i="1"/>
  <c r="AC677" i="1"/>
  <c r="AA678" i="1"/>
  <c r="AC685" i="1"/>
  <c r="AA686" i="1"/>
  <c r="AC693" i="1"/>
  <c r="AA694" i="1"/>
  <c r="AC701" i="1"/>
  <c r="AA702" i="1"/>
  <c r="AC709" i="1"/>
  <c r="AA710" i="1"/>
  <c r="AC717" i="1"/>
  <c r="AA718" i="1"/>
  <c r="AC725" i="1"/>
  <c r="AA726" i="1"/>
  <c r="AC733" i="1"/>
  <c r="AA734" i="1"/>
  <c r="Z443" i="1"/>
  <c r="AB476" i="1"/>
  <c r="Z526" i="1"/>
  <c r="AB533" i="1"/>
  <c r="Z590" i="1"/>
  <c r="AB597" i="1"/>
  <c r="Z611" i="1"/>
  <c r="AB614" i="1"/>
  <c r="Z615" i="1"/>
  <c r="AB622" i="1"/>
  <c r="Z623" i="1"/>
  <c r="AB630" i="1"/>
  <c r="Z631" i="1"/>
  <c r="AB638" i="1"/>
  <c r="Z639" i="1"/>
  <c r="AB646" i="1"/>
  <c r="Z647" i="1"/>
  <c r="AB654" i="1"/>
  <c r="Z655" i="1"/>
  <c r="AB662" i="1"/>
  <c r="Z663" i="1"/>
  <c r="AB670" i="1"/>
  <c r="Z671" i="1"/>
  <c r="AB678" i="1"/>
  <c r="Z679" i="1"/>
  <c r="AB686" i="1"/>
  <c r="Z687" i="1"/>
  <c r="AB694" i="1"/>
  <c r="Z695" i="1"/>
  <c r="AB702" i="1"/>
  <c r="Z703" i="1"/>
  <c r="AB710" i="1"/>
  <c r="Z711" i="1"/>
  <c r="AB718" i="1"/>
  <c r="Z719" i="1"/>
  <c r="AB726" i="1"/>
  <c r="Z727" i="1"/>
  <c r="AB734" i="1"/>
  <c r="Z735" i="1"/>
  <c r="AB742" i="1"/>
  <c r="Z743" i="1"/>
  <c r="AC476" i="1"/>
  <c r="AA526" i="1"/>
  <c r="AC533" i="1"/>
  <c r="AA590" i="1"/>
  <c r="AC597" i="1"/>
  <c r="AB611" i="1"/>
  <c r="AC614" i="1"/>
  <c r="AA615" i="1"/>
  <c r="AC622" i="1"/>
  <c r="AA623" i="1"/>
  <c r="AC630" i="1"/>
  <c r="AA631" i="1"/>
  <c r="AC638" i="1"/>
  <c r="AA639" i="1"/>
  <c r="AC646" i="1"/>
  <c r="AA647" i="1"/>
  <c r="AC654" i="1"/>
  <c r="AA655" i="1"/>
  <c r="AC662" i="1"/>
  <c r="AA663" i="1"/>
  <c r="AC670" i="1"/>
  <c r="AA671" i="1"/>
  <c r="AC678" i="1"/>
  <c r="AA679" i="1"/>
  <c r="AC686" i="1"/>
  <c r="AA687" i="1"/>
  <c r="AC694" i="1"/>
  <c r="AA695" i="1"/>
  <c r="AC702" i="1"/>
  <c r="AA703" i="1"/>
  <c r="AC710" i="1"/>
  <c r="AA711" i="1"/>
  <c r="AC718" i="1"/>
  <c r="AA719" i="1"/>
  <c r="AC726" i="1"/>
  <c r="AA727" i="1"/>
  <c r="AC734" i="1"/>
  <c r="AA735" i="1"/>
  <c r="AB450" i="1"/>
  <c r="AA477" i="1"/>
  <c r="Z534" i="1"/>
  <c r="AB541" i="1"/>
  <c r="Z598" i="1"/>
  <c r="AB613" i="1"/>
  <c r="AB615" i="1"/>
  <c r="Z616" i="1"/>
  <c r="AB623" i="1"/>
  <c r="Z624" i="1"/>
  <c r="AB631" i="1"/>
  <c r="Z632" i="1"/>
  <c r="AB639" i="1"/>
  <c r="Z640" i="1"/>
  <c r="AB647" i="1"/>
  <c r="Z648" i="1"/>
  <c r="AB655" i="1"/>
  <c r="Z656" i="1"/>
  <c r="AB663" i="1"/>
  <c r="Z664" i="1"/>
  <c r="AB671" i="1"/>
  <c r="Z672" i="1"/>
  <c r="AB679" i="1"/>
  <c r="Z680" i="1"/>
  <c r="AB687" i="1"/>
  <c r="Z688" i="1"/>
  <c r="AB695" i="1"/>
  <c r="Z696" i="1"/>
  <c r="AB703" i="1"/>
  <c r="Z704" i="1"/>
  <c r="AB711" i="1"/>
  <c r="Z712" i="1"/>
  <c r="AB719" i="1"/>
  <c r="Z720" i="1"/>
  <c r="AB727" i="1"/>
  <c r="Z728" i="1"/>
  <c r="AB735" i="1"/>
  <c r="Z736" i="1"/>
  <c r="AB477" i="1"/>
  <c r="AA534" i="1"/>
  <c r="AC541" i="1"/>
  <c r="AA598" i="1"/>
  <c r="AC613" i="1"/>
  <c r="AC615" i="1"/>
  <c r="AA616" i="1"/>
  <c r="AC623" i="1"/>
  <c r="AA624" i="1"/>
  <c r="AC631" i="1"/>
  <c r="AA632" i="1"/>
  <c r="AC639" i="1"/>
  <c r="AA640" i="1"/>
  <c r="AC647" i="1"/>
  <c r="AA648" i="1"/>
  <c r="AC655" i="1"/>
  <c r="AA656" i="1"/>
  <c r="AC663" i="1"/>
  <c r="AA664" i="1"/>
  <c r="AC671" i="1"/>
  <c r="AA672" i="1"/>
  <c r="AC679" i="1"/>
  <c r="AA680" i="1"/>
  <c r="AC687" i="1"/>
  <c r="AA688" i="1"/>
  <c r="AC695" i="1"/>
  <c r="AA696" i="1"/>
  <c r="AC703" i="1"/>
  <c r="AA704" i="1"/>
  <c r="AC711" i="1"/>
  <c r="AA712" i="1"/>
  <c r="AC719" i="1"/>
  <c r="AA720" i="1"/>
  <c r="AC727" i="1"/>
  <c r="AA728" i="1"/>
  <c r="AC735" i="1"/>
  <c r="AA736" i="1"/>
  <c r="Z478" i="1"/>
  <c r="AB485" i="1"/>
  <c r="Z542" i="1"/>
  <c r="AB549" i="1"/>
  <c r="AB605" i="1"/>
  <c r="AB616" i="1"/>
  <c r="Z617" i="1"/>
  <c r="AB624" i="1"/>
  <c r="Z625" i="1"/>
  <c r="AB632" i="1"/>
  <c r="Z633" i="1"/>
  <c r="AB640" i="1"/>
  <c r="Z641" i="1"/>
  <c r="AB648" i="1"/>
  <c r="Z649" i="1"/>
  <c r="AB656" i="1"/>
  <c r="Z657" i="1"/>
  <c r="AB664" i="1"/>
  <c r="Z665" i="1"/>
  <c r="AB672" i="1"/>
  <c r="Z673" i="1"/>
  <c r="AB680" i="1"/>
  <c r="Z681" i="1"/>
  <c r="AB688" i="1"/>
  <c r="Z689" i="1"/>
  <c r="AB696" i="1"/>
  <c r="Z697" i="1"/>
  <c r="AB704" i="1"/>
  <c r="Z705" i="1"/>
  <c r="AB712" i="1"/>
  <c r="Z713" i="1"/>
  <c r="AB720" i="1"/>
  <c r="Z721" i="1"/>
  <c r="AB728" i="1"/>
  <c r="Z729" i="1"/>
  <c r="AB736" i="1"/>
  <c r="Z737" i="1"/>
  <c r="AA458" i="1"/>
  <c r="AA478" i="1"/>
  <c r="AC485" i="1"/>
  <c r="AA542" i="1"/>
  <c r="AC549" i="1"/>
  <c r="AC605" i="1"/>
  <c r="AC616" i="1"/>
  <c r="AA617" i="1"/>
  <c r="AC624" i="1"/>
  <c r="AA625" i="1"/>
  <c r="AC632" i="1"/>
  <c r="AA633" i="1"/>
  <c r="AC640" i="1"/>
  <c r="AA641" i="1"/>
  <c r="AC648" i="1"/>
  <c r="AA649" i="1"/>
  <c r="AC656" i="1"/>
  <c r="AA657" i="1"/>
  <c r="AC664" i="1"/>
  <c r="AA665" i="1"/>
  <c r="AC672" i="1"/>
  <c r="AA673" i="1"/>
  <c r="AC680" i="1"/>
  <c r="AA681" i="1"/>
  <c r="AC688" i="1"/>
  <c r="AA689" i="1"/>
  <c r="AC696" i="1"/>
  <c r="AA697" i="1"/>
  <c r="AC704" i="1"/>
  <c r="AA705" i="1"/>
  <c r="AC712" i="1"/>
  <c r="AA713" i="1"/>
  <c r="AC720" i="1"/>
  <c r="AA721" i="1"/>
  <c r="AC728" i="1"/>
  <c r="AA729" i="1"/>
  <c r="AC736" i="1"/>
  <c r="AA737" i="1"/>
  <c r="Z486" i="1"/>
  <c r="AB493" i="1"/>
  <c r="Z550" i="1"/>
  <c r="AB557" i="1"/>
  <c r="AB617" i="1"/>
  <c r="Z618" i="1"/>
  <c r="AB625" i="1"/>
  <c r="Z626" i="1"/>
  <c r="AB633" i="1"/>
  <c r="Z634" i="1"/>
  <c r="AB641" i="1"/>
  <c r="Z642" i="1"/>
  <c r="AB649" i="1"/>
  <c r="Z650" i="1"/>
  <c r="AB657" i="1"/>
  <c r="Z658" i="1"/>
  <c r="AB665" i="1"/>
  <c r="Z666" i="1"/>
  <c r="AB673" i="1"/>
  <c r="Z674" i="1"/>
  <c r="AB681" i="1"/>
  <c r="Z682" i="1"/>
  <c r="AB689" i="1"/>
  <c r="Z690" i="1"/>
  <c r="AB697" i="1"/>
  <c r="Z698" i="1"/>
  <c r="AB705" i="1"/>
  <c r="Z706" i="1"/>
  <c r="AB713" i="1"/>
  <c r="Z714" i="1"/>
  <c r="AB721" i="1"/>
  <c r="Z722" i="1"/>
  <c r="AB729" i="1"/>
  <c r="Z730" i="1"/>
  <c r="AB737" i="1"/>
  <c r="Z738" i="1"/>
  <c r="AA486" i="1"/>
  <c r="AC493" i="1"/>
  <c r="AA550" i="1"/>
  <c r="AC557" i="1"/>
  <c r="Z606" i="1"/>
  <c r="AC617" i="1"/>
  <c r="AA618" i="1"/>
  <c r="AC625" i="1"/>
  <c r="AA626" i="1"/>
  <c r="AC633" i="1"/>
  <c r="AA634" i="1"/>
  <c r="AC641" i="1"/>
  <c r="AA642" i="1"/>
  <c r="AC649" i="1"/>
  <c r="AA650" i="1"/>
  <c r="AC657" i="1"/>
  <c r="AA658" i="1"/>
  <c r="AC665" i="1"/>
  <c r="AA666" i="1"/>
  <c r="AC673" i="1"/>
  <c r="AA674" i="1"/>
  <c r="AC681" i="1"/>
  <c r="AA682" i="1"/>
  <c r="AC689" i="1"/>
  <c r="AA690" i="1"/>
  <c r="AC697" i="1"/>
  <c r="AA698" i="1"/>
  <c r="AC705" i="1"/>
  <c r="AA706" i="1"/>
  <c r="AC713" i="1"/>
  <c r="AA714" i="1"/>
  <c r="AC721" i="1"/>
  <c r="AA722" i="1"/>
  <c r="AC729" i="1"/>
  <c r="AA730" i="1"/>
  <c r="AC737" i="1"/>
  <c r="AA738" i="1"/>
  <c r="Z494" i="1"/>
  <c r="AB501" i="1"/>
  <c r="Z558" i="1"/>
  <c r="AB565" i="1"/>
  <c r="AA606" i="1"/>
  <c r="Z612" i="1"/>
  <c r="AB618" i="1"/>
  <c r="Z619" i="1"/>
  <c r="AB626" i="1"/>
  <c r="Z627" i="1"/>
  <c r="AB634" i="1"/>
  <c r="Z635" i="1"/>
  <c r="AB642" i="1"/>
  <c r="Z643" i="1"/>
  <c r="AB650" i="1"/>
  <c r="Z651" i="1"/>
  <c r="AB658" i="1"/>
  <c r="Z659" i="1"/>
  <c r="AB666" i="1"/>
  <c r="Z667" i="1"/>
  <c r="AB674" i="1"/>
  <c r="Z675" i="1"/>
  <c r="AB682" i="1"/>
  <c r="Z683" i="1"/>
  <c r="AB690" i="1"/>
  <c r="Z691" i="1"/>
  <c r="AB698" i="1"/>
  <c r="Z699" i="1"/>
  <c r="AB706" i="1"/>
  <c r="Z707" i="1"/>
  <c r="AB714" i="1"/>
  <c r="Z715" i="1"/>
  <c r="AB722" i="1"/>
  <c r="Z723" i="1"/>
  <c r="AB730" i="1"/>
  <c r="Z731" i="1"/>
  <c r="AB738" i="1"/>
  <c r="Z739" i="1"/>
  <c r="Z660" i="1"/>
  <c r="AB667" i="1"/>
  <c r="Z724" i="1"/>
  <c r="AB731" i="1"/>
  <c r="AC742" i="1"/>
  <c r="AB747" i="1"/>
  <c r="Z748" i="1"/>
  <c r="AB755" i="1"/>
  <c r="Z756" i="1"/>
  <c r="AB763" i="1"/>
  <c r="Z764" i="1"/>
  <c r="AB771" i="1"/>
  <c r="Z772" i="1"/>
  <c r="AB779" i="1"/>
  <c r="Z780" i="1"/>
  <c r="AB787" i="1"/>
  <c r="Z788" i="1"/>
  <c r="AB795" i="1"/>
  <c r="Z796" i="1"/>
  <c r="AB803" i="1"/>
  <c r="Z804" i="1"/>
  <c r="AB811" i="1"/>
  <c r="Z812" i="1"/>
  <c r="AB819" i="1"/>
  <c r="Z820" i="1"/>
  <c r="AB827" i="1"/>
  <c r="Z828" i="1"/>
  <c r="AB835" i="1"/>
  <c r="Z836" i="1"/>
  <c r="AB843" i="1"/>
  <c r="Z844" i="1"/>
  <c r="AB851" i="1"/>
  <c r="Z852" i="1"/>
  <c r="AB859" i="1"/>
  <c r="Z860" i="1"/>
  <c r="AB867" i="1"/>
  <c r="Z868" i="1"/>
  <c r="AA494" i="1"/>
  <c r="AC618" i="1"/>
  <c r="AA675" i="1"/>
  <c r="AC682" i="1"/>
  <c r="AC738" i="1"/>
  <c r="AC747" i="1"/>
  <c r="AA748" i="1"/>
  <c r="AC755" i="1"/>
  <c r="AA756" i="1"/>
  <c r="AC763" i="1"/>
  <c r="AA764" i="1"/>
  <c r="AC771" i="1"/>
  <c r="AA772" i="1"/>
  <c r="AC779" i="1"/>
  <c r="AA780" i="1"/>
  <c r="AC787" i="1"/>
  <c r="AA788" i="1"/>
  <c r="AC795" i="1"/>
  <c r="AA796" i="1"/>
  <c r="AC803" i="1"/>
  <c r="AA804" i="1"/>
  <c r="AC811" i="1"/>
  <c r="AA812" i="1"/>
  <c r="AC819" i="1"/>
  <c r="AA820" i="1"/>
  <c r="AC827" i="1"/>
  <c r="AA828" i="1"/>
  <c r="AC835" i="1"/>
  <c r="AA836" i="1"/>
  <c r="AC843" i="1"/>
  <c r="AA844" i="1"/>
  <c r="AC851" i="1"/>
  <c r="AA852" i="1"/>
  <c r="AC859" i="1"/>
  <c r="AA860" i="1"/>
  <c r="AC867" i="1"/>
  <c r="AA868" i="1"/>
  <c r="Z668" i="1"/>
  <c r="AB675" i="1"/>
  <c r="Z732" i="1"/>
  <c r="AB741" i="1"/>
  <c r="AB748" i="1"/>
  <c r="Z749" i="1"/>
  <c r="AB756" i="1"/>
  <c r="Z757" i="1"/>
  <c r="AB764" i="1"/>
  <c r="Z765" i="1"/>
  <c r="AB772" i="1"/>
  <c r="Z773" i="1"/>
  <c r="AB780" i="1"/>
  <c r="Z781" i="1"/>
  <c r="AB788" i="1"/>
  <c r="Z789" i="1"/>
  <c r="AB796" i="1"/>
  <c r="Z797" i="1"/>
  <c r="AB804" i="1"/>
  <c r="Z805" i="1"/>
  <c r="AB812" i="1"/>
  <c r="Z813" i="1"/>
  <c r="AB820" i="1"/>
  <c r="Z821" i="1"/>
  <c r="AB828" i="1"/>
  <c r="Z829" i="1"/>
  <c r="AB836" i="1"/>
  <c r="Z837" i="1"/>
  <c r="AB844" i="1"/>
  <c r="Z845" i="1"/>
  <c r="AB852" i="1"/>
  <c r="Z853" i="1"/>
  <c r="AB860" i="1"/>
  <c r="Z861" i="1"/>
  <c r="AB868" i="1"/>
  <c r="Z869" i="1"/>
  <c r="AC501" i="1"/>
  <c r="AA558" i="1"/>
  <c r="AB610" i="1"/>
  <c r="AA619" i="1"/>
  <c r="AC626" i="1"/>
  <c r="AA683" i="1"/>
  <c r="AC690" i="1"/>
  <c r="AC741" i="1"/>
  <c r="AC748" i="1"/>
  <c r="AA749" i="1"/>
  <c r="AC756" i="1"/>
  <c r="AA757" i="1"/>
  <c r="AC764" i="1"/>
  <c r="AA765" i="1"/>
  <c r="AC772" i="1"/>
  <c r="AA773" i="1"/>
  <c r="AC780" i="1"/>
  <c r="AA781" i="1"/>
  <c r="AC788" i="1"/>
  <c r="AA789" i="1"/>
  <c r="AC796" i="1"/>
  <c r="AA797" i="1"/>
  <c r="AC804" i="1"/>
  <c r="AA805" i="1"/>
  <c r="AC812" i="1"/>
  <c r="AA813" i="1"/>
  <c r="AC820" i="1"/>
  <c r="AA821" i="1"/>
  <c r="AC828" i="1"/>
  <c r="AA829" i="1"/>
  <c r="AC836" i="1"/>
  <c r="AA837" i="1"/>
  <c r="AC844" i="1"/>
  <c r="AA845" i="1"/>
  <c r="AC852" i="1"/>
  <c r="AA853" i="1"/>
  <c r="AC860" i="1"/>
  <c r="AA861" i="1"/>
  <c r="AC868" i="1"/>
  <c r="AA869" i="1"/>
  <c r="Z502" i="1"/>
  <c r="AB619" i="1"/>
  <c r="Z676" i="1"/>
  <c r="AB683" i="1"/>
  <c r="AA739" i="1"/>
  <c r="AB749" i="1"/>
  <c r="Z750" i="1"/>
  <c r="AB757" i="1"/>
  <c r="Z758" i="1"/>
  <c r="AB765" i="1"/>
  <c r="Z766" i="1"/>
  <c r="AB773" i="1"/>
  <c r="Z774" i="1"/>
  <c r="AB781" i="1"/>
  <c r="Z782" i="1"/>
  <c r="AB789" i="1"/>
  <c r="Z790" i="1"/>
  <c r="AB797" i="1"/>
  <c r="Z798" i="1"/>
  <c r="AB805" i="1"/>
  <c r="Z806" i="1"/>
  <c r="AB813" i="1"/>
  <c r="Z814" i="1"/>
  <c r="AB821" i="1"/>
  <c r="Z822" i="1"/>
  <c r="AB829" i="1"/>
  <c r="Z830" i="1"/>
  <c r="AB837" i="1"/>
  <c r="Z838" i="1"/>
  <c r="AB845" i="1"/>
  <c r="Z846" i="1"/>
  <c r="AB853" i="1"/>
  <c r="Z854" i="1"/>
  <c r="AB861" i="1"/>
  <c r="Z862" i="1"/>
  <c r="AB869" i="1"/>
  <c r="Z870" i="1"/>
  <c r="AC565" i="1"/>
  <c r="AA627" i="1"/>
  <c r="AC634" i="1"/>
  <c r="AA691" i="1"/>
  <c r="AC698" i="1"/>
  <c r="AB739" i="1"/>
  <c r="AC749" i="1"/>
  <c r="AA750" i="1"/>
  <c r="AC757" i="1"/>
  <c r="AA758" i="1"/>
  <c r="AC765" i="1"/>
  <c r="AA766" i="1"/>
  <c r="AC773" i="1"/>
  <c r="AA774" i="1"/>
  <c r="AC781" i="1"/>
  <c r="AA782" i="1"/>
  <c r="AC789" i="1"/>
  <c r="AA790" i="1"/>
  <c r="AC797" i="1"/>
  <c r="AA798" i="1"/>
  <c r="AC805" i="1"/>
  <c r="AA806" i="1"/>
  <c r="AC813" i="1"/>
  <c r="AA814" i="1"/>
  <c r="AC821" i="1"/>
  <c r="AA822" i="1"/>
  <c r="AC829" i="1"/>
  <c r="AA830" i="1"/>
  <c r="AC837" i="1"/>
  <c r="AA838" i="1"/>
  <c r="AC845" i="1"/>
  <c r="AA846" i="1"/>
  <c r="AC853" i="1"/>
  <c r="AA854" i="1"/>
  <c r="AC861" i="1"/>
  <c r="AA862" i="1"/>
  <c r="AB509" i="1"/>
  <c r="Z566" i="1"/>
  <c r="Z620" i="1"/>
  <c r="AB627" i="1"/>
  <c r="Z684" i="1"/>
  <c r="AB691" i="1"/>
  <c r="AB750" i="1"/>
  <c r="Z751" i="1"/>
  <c r="AB758" i="1"/>
  <c r="Z759" i="1"/>
  <c r="AB766" i="1"/>
  <c r="Z767" i="1"/>
  <c r="AB774" i="1"/>
  <c r="Z775" i="1"/>
  <c r="AB782" i="1"/>
  <c r="Z783" i="1"/>
  <c r="AB790" i="1"/>
  <c r="Z791" i="1"/>
  <c r="AB798" i="1"/>
  <c r="Z799" i="1"/>
  <c r="AB806" i="1"/>
  <c r="Z807" i="1"/>
  <c r="AB814" i="1"/>
  <c r="Z815" i="1"/>
  <c r="AB822" i="1"/>
  <c r="Z823" i="1"/>
  <c r="AB830" i="1"/>
  <c r="Z831" i="1"/>
  <c r="AB838" i="1"/>
  <c r="Z839" i="1"/>
  <c r="AB846" i="1"/>
  <c r="Z847" i="1"/>
  <c r="AB854" i="1"/>
  <c r="Z855" i="1"/>
  <c r="AB862" i="1"/>
  <c r="Z863" i="1"/>
  <c r="AB870" i="1"/>
  <c r="Z871" i="1"/>
  <c r="AA635" i="1"/>
  <c r="AC642" i="1"/>
  <c r="AA699" i="1"/>
  <c r="AC706" i="1"/>
  <c r="AC750" i="1"/>
  <c r="AA751" i="1"/>
  <c r="AC758" i="1"/>
  <c r="AA759" i="1"/>
  <c r="AC766" i="1"/>
  <c r="AA767" i="1"/>
  <c r="AC774" i="1"/>
  <c r="AA775" i="1"/>
  <c r="AC782" i="1"/>
  <c r="AA783" i="1"/>
  <c r="AC790" i="1"/>
  <c r="AA791" i="1"/>
  <c r="AC798" i="1"/>
  <c r="AA799" i="1"/>
  <c r="AC806" i="1"/>
  <c r="AA807" i="1"/>
  <c r="AC814" i="1"/>
  <c r="AA815" i="1"/>
  <c r="AC822" i="1"/>
  <c r="AA823" i="1"/>
  <c r="AC830" i="1"/>
  <c r="AA831" i="1"/>
  <c r="AC838" i="1"/>
  <c r="AA839" i="1"/>
  <c r="AC846" i="1"/>
  <c r="AA847" i="1"/>
  <c r="AC854" i="1"/>
  <c r="AA855" i="1"/>
  <c r="AC862" i="1"/>
  <c r="AA863" i="1"/>
  <c r="AB573" i="1"/>
  <c r="Z628" i="1"/>
  <c r="AB635" i="1"/>
  <c r="Z692" i="1"/>
  <c r="AB699" i="1"/>
  <c r="AB751" i="1"/>
  <c r="Z752" i="1"/>
  <c r="AB759" i="1"/>
  <c r="Z760" i="1"/>
  <c r="AB767" i="1"/>
  <c r="Z768" i="1"/>
  <c r="AB775" i="1"/>
  <c r="Z776" i="1"/>
  <c r="AB783" i="1"/>
  <c r="Z784" i="1"/>
  <c r="AB791" i="1"/>
  <c r="Z792" i="1"/>
  <c r="AB799" i="1"/>
  <c r="Z800" i="1"/>
  <c r="AB807" i="1"/>
  <c r="Z808" i="1"/>
  <c r="AB815" i="1"/>
  <c r="Z816" i="1"/>
  <c r="AB823" i="1"/>
  <c r="Z824" i="1"/>
  <c r="AB831" i="1"/>
  <c r="Z832" i="1"/>
  <c r="AB839" i="1"/>
  <c r="Z840" i="1"/>
  <c r="AB847" i="1"/>
  <c r="Z848" i="1"/>
  <c r="AB855" i="1"/>
  <c r="Z856" i="1"/>
  <c r="AB863" i="1"/>
  <c r="Z864" i="1"/>
  <c r="AA643" i="1"/>
  <c r="AC650" i="1"/>
  <c r="AA707" i="1"/>
  <c r="AC714" i="1"/>
  <c r="Z740" i="1"/>
  <c r="Z744" i="1"/>
  <c r="AC751" i="1"/>
  <c r="AA752" i="1"/>
  <c r="AC759" i="1"/>
  <c r="AA760" i="1"/>
  <c r="AC767" i="1"/>
  <c r="AA768" i="1"/>
  <c r="AC775" i="1"/>
  <c r="AA776" i="1"/>
  <c r="AC783" i="1"/>
  <c r="AA784" i="1"/>
  <c r="AC791" i="1"/>
  <c r="AA792" i="1"/>
  <c r="AC799" i="1"/>
  <c r="AA800" i="1"/>
  <c r="AC807" i="1"/>
  <c r="AA808" i="1"/>
  <c r="AC815" i="1"/>
  <c r="AA816" i="1"/>
  <c r="AC823" i="1"/>
  <c r="AA824" i="1"/>
  <c r="AC831" i="1"/>
  <c r="AA832" i="1"/>
  <c r="AC839" i="1"/>
  <c r="AA840" i="1"/>
  <c r="AC847" i="1"/>
  <c r="AA848" i="1"/>
  <c r="AC855" i="1"/>
  <c r="AA856" i="1"/>
  <c r="AC863" i="1"/>
  <c r="AA864" i="1"/>
  <c r="Z636" i="1"/>
  <c r="AB643" i="1"/>
  <c r="Z700" i="1"/>
  <c r="AB707" i="1"/>
  <c r="AA744" i="1"/>
  <c r="Z745" i="1"/>
  <c r="AB752" i="1"/>
  <c r="Z753" i="1"/>
  <c r="AB760" i="1"/>
  <c r="Z761" i="1"/>
  <c r="AB768" i="1"/>
  <c r="Z769" i="1"/>
  <c r="AB776" i="1"/>
  <c r="Z777" i="1"/>
  <c r="AB784" i="1"/>
  <c r="Z785" i="1"/>
  <c r="AB792" i="1"/>
  <c r="Z793" i="1"/>
  <c r="AB800" i="1"/>
  <c r="Z801" i="1"/>
  <c r="AB808" i="1"/>
  <c r="Z809" i="1"/>
  <c r="AB816" i="1"/>
  <c r="Z817" i="1"/>
  <c r="AB824" i="1"/>
  <c r="Z825" i="1"/>
  <c r="AB832" i="1"/>
  <c r="Z833" i="1"/>
  <c r="AB840" i="1"/>
  <c r="Z841" i="1"/>
  <c r="AB848" i="1"/>
  <c r="Z849" i="1"/>
  <c r="AB856" i="1"/>
  <c r="Z857" i="1"/>
  <c r="AB864" i="1"/>
  <c r="Z865" i="1"/>
  <c r="AA651" i="1"/>
  <c r="AC658" i="1"/>
  <c r="AA715" i="1"/>
  <c r="AC722" i="1"/>
  <c r="AB744" i="1"/>
  <c r="AA745" i="1"/>
  <c r="AC752" i="1"/>
  <c r="AA753" i="1"/>
  <c r="AC760" i="1"/>
  <c r="AA761" i="1"/>
  <c r="AC768" i="1"/>
  <c r="AA769" i="1"/>
  <c r="AC776" i="1"/>
  <c r="AA777" i="1"/>
  <c r="AC784" i="1"/>
  <c r="AA785" i="1"/>
  <c r="AC792" i="1"/>
  <c r="AA793" i="1"/>
  <c r="AC800" i="1"/>
  <c r="AA801" i="1"/>
  <c r="AC808" i="1"/>
  <c r="AA809" i="1"/>
  <c r="AC816" i="1"/>
  <c r="AA817" i="1"/>
  <c r="AC824" i="1"/>
  <c r="AA825" i="1"/>
  <c r="AC832" i="1"/>
  <c r="AA833" i="1"/>
  <c r="AC840" i="1"/>
  <c r="AA841" i="1"/>
  <c r="AC848" i="1"/>
  <c r="AA849" i="1"/>
  <c r="AC856" i="1"/>
  <c r="AA857" i="1"/>
  <c r="AC864" i="1"/>
  <c r="AA865" i="1"/>
  <c r="AC872" i="1"/>
  <c r="Z644" i="1"/>
  <c r="AB651" i="1"/>
  <c r="Z708" i="1"/>
  <c r="AB715" i="1"/>
  <c r="AA743" i="1"/>
  <c r="AC744" i="1"/>
  <c r="AB745" i="1"/>
  <c r="Z746" i="1"/>
  <c r="AB753" i="1"/>
  <c r="Z754" i="1"/>
  <c r="AB761" i="1"/>
  <c r="Z762" i="1"/>
  <c r="AB769" i="1"/>
  <c r="Z770" i="1"/>
  <c r="AB777" i="1"/>
  <c r="Z778" i="1"/>
  <c r="AB785" i="1"/>
  <c r="Z786" i="1"/>
  <c r="AB793" i="1"/>
  <c r="Z794" i="1"/>
  <c r="AB801" i="1"/>
  <c r="Z802" i="1"/>
  <c r="AB809" i="1"/>
  <c r="Z810" i="1"/>
  <c r="AB817" i="1"/>
  <c r="Z818" i="1"/>
  <c r="AB825" i="1"/>
  <c r="Z826" i="1"/>
  <c r="AB833" i="1"/>
  <c r="Z834" i="1"/>
  <c r="AB841" i="1"/>
  <c r="Z842" i="1"/>
  <c r="AB849" i="1"/>
  <c r="Z850" i="1"/>
  <c r="AB857" i="1"/>
  <c r="Z858" i="1"/>
  <c r="AB865" i="1"/>
  <c r="Z866" i="1"/>
  <c r="AB873" i="1"/>
  <c r="Z874" i="1"/>
  <c r="AA659" i="1"/>
  <c r="AC666" i="1"/>
  <c r="AA723" i="1"/>
  <c r="AC730" i="1"/>
  <c r="AB743" i="1"/>
  <c r="AC745" i="1"/>
  <c r="AA746" i="1"/>
  <c r="AC753" i="1"/>
  <c r="AA754" i="1"/>
  <c r="AC761" i="1"/>
  <c r="AA762" i="1"/>
  <c r="AC769" i="1"/>
  <c r="AA770" i="1"/>
  <c r="AC777" i="1"/>
  <c r="AA778" i="1"/>
  <c r="AC785" i="1"/>
  <c r="AA786" i="1"/>
  <c r="AC793" i="1"/>
  <c r="AA794" i="1"/>
  <c r="AC801" i="1"/>
  <c r="AA802" i="1"/>
  <c r="AC809" i="1"/>
  <c r="AA810" i="1"/>
  <c r="AC817" i="1"/>
  <c r="AA818" i="1"/>
  <c r="AC825" i="1"/>
  <c r="AA826" i="1"/>
  <c r="AC833" i="1"/>
  <c r="AA834" i="1"/>
  <c r="AC841" i="1"/>
  <c r="AA842" i="1"/>
  <c r="AC849" i="1"/>
  <c r="AA850" i="1"/>
  <c r="AC857" i="1"/>
  <c r="AA858" i="1"/>
  <c r="AC865" i="1"/>
  <c r="AA866" i="1"/>
  <c r="AC674" i="1"/>
  <c r="AA731" i="1"/>
  <c r="AA747" i="1"/>
  <c r="AC754" i="1"/>
  <c r="AA811" i="1"/>
  <c r="AC818" i="1"/>
  <c r="AC871" i="1"/>
  <c r="AB874" i="1"/>
  <c r="Z875" i="1"/>
  <c r="AB882" i="1"/>
  <c r="Z883" i="1"/>
  <c r="AB890" i="1"/>
  <c r="Z891" i="1"/>
  <c r="AB898" i="1"/>
  <c r="Z899" i="1"/>
  <c r="AB906" i="1"/>
  <c r="Z907" i="1"/>
  <c r="AB914" i="1"/>
  <c r="Z915" i="1"/>
  <c r="AB922" i="1"/>
  <c r="Z923" i="1"/>
  <c r="AB930" i="1"/>
  <c r="Z931" i="1"/>
  <c r="AB938" i="1"/>
  <c r="Z939" i="1"/>
  <c r="AB946" i="1"/>
  <c r="Z947" i="1"/>
  <c r="AB954" i="1"/>
  <c r="Z955" i="1"/>
  <c r="AB962" i="1"/>
  <c r="Z963" i="1"/>
  <c r="AB970" i="1"/>
  <c r="Z971" i="1"/>
  <c r="AB978" i="1"/>
  <c r="Z979" i="1"/>
  <c r="AB986" i="1"/>
  <c r="Z987" i="1"/>
  <c r="AB994" i="1"/>
  <c r="Z995" i="1"/>
  <c r="Z755" i="1"/>
  <c r="AB762" i="1"/>
  <c r="Z819" i="1"/>
  <c r="AB826" i="1"/>
  <c r="AC874" i="1"/>
  <c r="AA875" i="1"/>
  <c r="AC882" i="1"/>
  <c r="AA883" i="1"/>
  <c r="AC890" i="1"/>
  <c r="AA891" i="1"/>
  <c r="AC898" i="1"/>
  <c r="AA899" i="1"/>
  <c r="AC906" i="1"/>
  <c r="AA907" i="1"/>
  <c r="AC914" i="1"/>
  <c r="AA915" i="1"/>
  <c r="AC922" i="1"/>
  <c r="AA923" i="1"/>
  <c r="AC930" i="1"/>
  <c r="AA931" i="1"/>
  <c r="AC938" i="1"/>
  <c r="AA939" i="1"/>
  <c r="AC946" i="1"/>
  <c r="AA947" i="1"/>
  <c r="AC954" i="1"/>
  <c r="AA955" i="1"/>
  <c r="AC962" i="1"/>
  <c r="AA963" i="1"/>
  <c r="AC970" i="1"/>
  <c r="AA971" i="1"/>
  <c r="AC978" i="1"/>
  <c r="AA979" i="1"/>
  <c r="AC986" i="1"/>
  <c r="AA987" i="1"/>
  <c r="AC994" i="1"/>
  <c r="AA995" i="1"/>
  <c r="AC1002" i="1"/>
  <c r="AA1003" i="1"/>
  <c r="AA755" i="1"/>
  <c r="AC762" i="1"/>
  <c r="AA819" i="1"/>
  <c r="AC826" i="1"/>
  <c r="Z867" i="1"/>
  <c r="Z873" i="1"/>
  <c r="AB875" i="1"/>
  <c r="Z876" i="1"/>
  <c r="AB883" i="1"/>
  <c r="Z884" i="1"/>
  <c r="AB891" i="1"/>
  <c r="Z892" i="1"/>
  <c r="AB899" i="1"/>
  <c r="Z900" i="1"/>
  <c r="AB907" i="1"/>
  <c r="Z908" i="1"/>
  <c r="AB915" i="1"/>
  <c r="Z916" i="1"/>
  <c r="AB923" i="1"/>
  <c r="Z924" i="1"/>
  <c r="AB931" i="1"/>
  <c r="Z932" i="1"/>
  <c r="AB939" i="1"/>
  <c r="Z940" i="1"/>
  <c r="AB947" i="1"/>
  <c r="Z948" i="1"/>
  <c r="AB955" i="1"/>
  <c r="Z956" i="1"/>
  <c r="AB963" i="1"/>
  <c r="Z964" i="1"/>
  <c r="AB971" i="1"/>
  <c r="Z972" i="1"/>
  <c r="AB979" i="1"/>
  <c r="Z980" i="1"/>
  <c r="AB987" i="1"/>
  <c r="Z988" i="1"/>
  <c r="AB995" i="1"/>
  <c r="Z996" i="1"/>
  <c r="AB1003" i="1"/>
  <c r="Z763" i="1"/>
  <c r="AB770" i="1"/>
  <c r="Z827" i="1"/>
  <c r="AB834" i="1"/>
  <c r="AA867" i="1"/>
  <c r="AA873" i="1"/>
  <c r="AC875" i="1"/>
  <c r="AA876" i="1"/>
  <c r="AC883" i="1"/>
  <c r="AA884" i="1"/>
  <c r="AC891" i="1"/>
  <c r="AA892" i="1"/>
  <c r="AC899" i="1"/>
  <c r="AA900" i="1"/>
  <c r="AC907" i="1"/>
  <c r="AA908" i="1"/>
  <c r="AC915" i="1"/>
  <c r="AA916" i="1"/>
  <c r="AC923" i="1"/>
  <c r="AA924" i="1"/>
  <c r="AC931" i="1"/>
  <c r="AA932" i="1"/>
  <c r="AC939" i="1"/>
  <c r="AA940" i="1"/>
  <c r="AC947" i="1"/>
  <c r="AA948" i="1"/>
  <c r="AC955" i="1"/>
  <c r="AA956" i="1"/>
  <c r="AC963" i="1"/>
  <c r="AA964" i="1"/>
  <c r="AC971" i="1"/>
  <c r="AA972" i="1"/>
  <c r="AC979" i="1"/>
  <c r="AA980" i="1"/>
  <c r="AC987" i="1"/>
  <c r="AA988" i="1"/>
  <c r="AC995" i="1"/>
  <c r="AA996" i="1"/>
  <c r="AC1003" i="1"/>
  <c r="AA763" i="1"/>
  <c r="AC770" i="1"/>
  <c r="AA827" i="1"/>
  <c r="AC834" i="1"/>
  <c r="AC873" i="1"/>
  <c r="AB876" i="1"/>
  <c r="Z877" i="1"/>
  <c r="AB884" i="1"/>
  <c r="Z885" i="1"/>
  <c r="AB892" i="1"/>
  <c r="Z893" i="1"/>
  <c r="AB900" i="1"/>
  <c r="Z901" i="1"/>
  <c r="AB908" i="1"/>
  <c r="Z909" i="1"/>
  <c r="AB916" i="1"/>
  <c r="Z917" i="1"/>
  <c r="AB924" i="1"/>
  <c r="Z925" i="1"/>
  <c r="AB932" i="1"/>
  <c r="Z933" i="1"/>
  <c r="AB940" i="1"/>
  <c r="Z941" i="1"/>
  <c r="AB948" i="1"/>
  <c r="Z949" i="1"/>
  <c r="AB956" i="1"/>
  <c r="Z957" i="1"/>
  <c r="AB964" i="1"/>
  <c r="Z965" i="1"/>
  <c r="AB972" i="1"/>
  <c r="Z973" i="1"/>
  <c r="AB980" i="1"/>
  <c r="Z981" i="1"/>
  <c r="AB988" i="1"/>
  <c r="Z989" i="1"/>
  <c r="AB996" i="1"/>
  <c r="Z997" i="1"/>
  <c r="Z742" i="1"/>
  <c r="Z771" i="1"/>
  <c r="AB778" i="1"/>
  <c r="Z835" i="1"/>
  <c r="AB842" i="1"/>
  <c r="AA870" i="1"/>
  <c r="AC876" i="1"/>
  <c r="AA877" i="1"/>
  <c r="AC884" i="1"/>
  <c r="AA885" i="1"/>
  <c r="AC892" i="1"/>
  <c r="AA893" i="1"/>
  <c r="AC900" i="1"/>
  <c r="AA901" i="1"/>
  <c r="AC908" i="1"/>
  <c r="AA909" i="1"/>
  <c r="AC916" i="1"/>
  <c r="AA917" i="1"/>
  <c r="AC924" i="1"/>
  <c r="AA925" i="1"/>
  <c r="AC932" i="1"/>
  <c r="AA933" i="1"/>
  <c r="AC940" i="1"/>
  <c r="AA941" i="1"/>
  <c r="AC948" i="1"/>
  <c r="AA949" i="1"/>
  <c r="AC956" i="1"/>
  <c r="AA957" i="1"/>
  <c r="AC964" i="1"/>
  <c r="AA965" i="1"/>
  <c r="AC972" i="1"/>
  <c r="AA973" i="1"/>
  <c r="AC980" i="1"/>
  <c r="AA981" i="1"/>
  <c r="AA742" i="1"/>
  <c r="AA771" i="1"/>
  <c r="AC778" i="1"/>
  <c r="AA835" i="1"/>
  <c r="AC842" i="1"/>
  <c r="AC870" i="1"/>
  <c r="AB877" i="1"/>
  <c r="Z878" i="1"/>
  <c r="AB885" i="1"/>
  <c r="Z886" i="1"/>
  <c r="AB893" i="1"/>
  <c r="Z894" i="1"/>
  <c r="AB901" i="1"/>
  <c r="Z902" i="1"/>
  <c r="AB909" i="1"/>
  <c r="Z910" i="1"/>
  <c r="AB917" i="1"/>
  <c r="Z918" i="1"/>
  <c r="AB925" i="1"/>
  <c r="Z926" i="1"/>
  <c r="AB933" i="1"/>
  <c r="Z934" i="1"/>
  <c r="AB941" i="1"/>
  <c r="Z942" i="1"/>
  <c r="AB949" i="1"/>
  <c r="Z950" i="1"/>
  <c r="AB957" i="1"/>
  <c r="Z958" i="1"/>
  <c r="AB965" i="1"/>
  <c r="Z966" i="1"/>
  <c r="AB973" i="1"/>
  <c r="Z974" i="1"/>
  <c r="AB981" i="1"/>
  <c r="Z982" i="1"/>
  <c r="AB989" i="1"/>
  <c r="Z990" i="1"/>
  <c r="AB997" i="1"/>
  <c r="Z998" i="1"/>
  <c r="AC743" i="1"/>
  <c r="Z779" i="1"/>
  <c r="AB786" i="1"/>
  <c r="Z843" i="1"/>
  <c r="AB850" i="1"/>
  <c r="Z872" i="1"/>
  <c r="AC877" i="1"/>
  <c r="AA878" i="1"/>
  <c r="AC885" i="1"/>
  <c r="AA886" i="1"/>
  <c r="AC893" i="1"/>
  <c r="AA894" i="1"/>
  <c r="AC901" i="1"/>
  <c r="AA902" i="1"/>
  <c r="AC909" i="1"/>
  <c r="AA910" i="1"/>
  <c r="AC917" i="1"/>
  <c r="AA918" i="1"/>
  <c r="AC925" i="1"/>
  <c r="AA926" i="1"/>
  <c r="AC933" i="1"/>
  <c r="AA934" i="1"/>
  <c r="AC941" i="1"/>
  <c r="AA942" i="1"/>
  <c r="AC949" i="1"/>
  <c r="AA950" i="1"/>
  <c r="AC957" i="1"/>
  <c r="AA958" i="1"/>
  <c r="AC965" i="1"/>
  <c r="AA966" i="1"/>
  <c r="AC973" i="1"/>
  <c r="AA974" i="1"/>
  <c r="AC981" i="1"/>
  <c r="AA982" i="1"/>
  <c r="AC989" i="1"/>
  <c r="AA990" i="1"/>
  <c r="AA779" i="1"/>
  <c r="AC786" i="1"/>
  <c r="AA843" i="1"/>
  <c r="AC850" i="1"/>
  <c r="AA872" i="1"/>
  <c r="AB878" i="1"/>
  <c r="Z879" i="1"/>
  <c r="AB886" i="1"/>
  <c r="Z887" i="1"/>
  <c r="AB894" i="1"/>
  <c r="Z895" i="1"/>
  <c r="AB902" i="1"/>
  <c r="Z903" i="1"/>
  <c r="AB910" i="1"/>
  <c r="Z911" i="1"/>
  <c r="AB918" i="1"/>
  <c r="Z919" i="1"/>
  <c r="AB926" i="1"/>
  <c r="Z927" i="1"/>
  <c r="AB934" i="1"/>
  <c r="Z935" i="1"/>
  <c r="AB942" i="1"/>
  <c r="Z943" i="1"/>
  <c r="AB950" i="1"/>
  <c r="Z951" i="1"/>
  <c r="AB958" i="1"/>
  <c r="Z959" i="1"/>
  <c r="AB966" i="1"/>
  <c r="Z967" i="1"/>
  <c r="AB974" i="1"/>
  <c r="Z975" i="1"/>
  <c r="AB982" i="1"/>
  <c r="Z983" i="1"/>
  <c r="AB990" i="1"/>
  <c r="Z991" i="1"/>
  <c r="AB998" i="1"/>
  <c r="Z999" i="1"/>
  <c r="Z652" i="1"/>
  <c r="Z787" i="1"/>
  <c r="AB794" i="1"/>
  <c r="Z851" i="1"/>
  <c r="AB858" i="1"/>
  <c r="AB872" i="1"/>
  <c r="AC878" i="1"/>
  <c r="AA879" i="1"/>
  <c r="AC886" i="1"/>
  <c r="AA887" i="1"/>
  <c r="AC894" i="1"/>
  <c r="AA895" i="1"/>
  <c r="AC902" i="1"/>
  <c r="AA903" i="1"/>
  <c r="AC910" i="1"/>
  <c r="AA911" i="1"/>
  <c r="AC918" i="1"/>
  <c r="AA919" i="1"/>
  <c r="AC926" i="1"/>
  <c r="AA927" i="1"/>
  <c r="AC934" i="1"/>
  <c r="AA935" i="1"/>
  <c r="AC942" i="1"/>
  <c r="AA943" i="1"/>
  <c r="AC950" i="1"/>
  <c r="AA951" i="1"/>
  <c r="AC958" i="1"/>
  <c r="AA959" i="1"/>
  <c r="AC966" i="1"/>
  <c r="AA967" i="1"/>
  <c r="AC974" i="1"/>
  <c r="AA975" i="1"/>
  <c r="AC982" i="1"/>
  <c r="AA983" i="1"/>
  <c r="AC990" i="1"/>
  <c r="AA991" i="1"/>
  <c r="AC998" i="1"/>
  <c r="AA999" i="1"/>
  <c r="AA787" i="1"/>
  <c r="AC794" i="1"/>
  <c r="AA851" i="1"/>
  <c r="AC858" i="1"/>
  <c r="AB879" i="1"/>
  <c r="Z880" i="1"/>
  <c r="AB887" i="1"/>
  <c r="Z888" i="1"/>
  <c r="AB895" i="1"/>
  <c r="Z896" i="1"/>
  <c r="AB903" i="1"/>
  <c r="Z904" i="1"/>
  <c r="AB911" i="1"/>
  <c r="Z912" i="1"/>
  <c r="AB919" i="1"/>
  <c r="Z920" i="1"/>
  <c r="AB927" i="1"/>
  <c r="Z928" i="1"/>
  <c r="AB935" i="1"/>
  <c r="Z936" i="1"/>
  <c r="AB943" i="1"/>
  <c r="Z944" i="1"/>
  <c r="AB951" i="1"/>
  <c r="Z952" i="1"/>
  <c r="AB959" i="1"/>
  <c r="Z960" i="1"/>
  <c r="AB967" i="1"/>
  <c r="Z968" i="1"/>
  <c r="AB975" i="1"/>
  <c r="Z976" i="1"/>
  <c r="AB983" i="1"/>
  <c r="Z984" i="1"/>
  <c r="AB991" i="1"/>
  <c r="Z992" i="1"/>
  <c r="AB999" i="1"/>
  <c r="Z1000" i="1"/>
  <c r="AB659" i="1"/>
  <c r="Z716" i="1"/>
  <c r="Z795" i="1"/>
  <c r="AB802" i="1"/>
  <c r="Z859" i="1"/>
  <c r="AC879" i="1"/>
  <c r="AA880" i="1"/>
  <c r="AC887" i="1"/>
  <c r="AA888" i="1"/>
  <c r="AC895" i="1"/>
  <c r="AA896" i="1"/>
  <c r="AC903" i="1"/>
  <c r="AA904" i="1"/>
  <c r="AC911" i="1"/>
  <c r="AA912" i="1"/>
  <c r="AC919" i="1"/>
  <c r="AA920" i="1"/>
  <c r="AC927" i="1"/>
  <c r="AA928" i="1"/>
  <c r="AC935" i="1"/>
  <c r="AA936" i="1"/>
  <c r="AC943" i="1"/>
  <c r="AA944" i="1"/>
  <c r="AC951" i="1"/>
  <c r="AA952" i="1"/>
  <c r="AC959" i="1"/>
  <c r="AA960" i="1"/>
  <c r="AC967" i="1"/>
  <c r="AA968" i="1"/>
  <c r="AC975" i="1"/>
  <c r="AA976" i="1"/>
  <c r="AC983" i="1"/>
  <c r="AA984" i="1"/>
  <c r="AC991" i="1"/>
  <c r="AA992" i="1"/>
  <c r="AC999" i="1"/>
  <c r="AA1000" i="1"/>
  <c r="AA795" i="1"/>
  <c r="AC802" i="1"/>
  <c r="AA859" i="1"/>
  <c r="AB880" i="1"/>
  <c r="Z881" i="1"/>
  <c r="AB888" i="1"/>
  <c r="Z889" i="1"/>
  <c r="AB896" i="1"/>
  <c r="Z897" i="1"/>
  <c r="AB904" i="1"/>
  <c r="Z905" i="1"/>
  <c r="AB912" i="1"/>
  <c r="Z913" i="1"/>
  <c r="AB920" i="1"/>
  <c r="Z921" i="1"/>
  <c r="AB928" i="1"/>
  <c r="Z929" i="1"/>
  <c r="AB936" i="1"/>
  <c r="Z937" i="1"/>
  <c r="AB944" i="1"/>
  <c r="Z945" i="1"/>
  <c r="AB952" i="1"/>
  <c r="Z953" i="1"/>
  <c r="AB960" i="1"/>
  <c r="Z961" i="1"/>
  <c r="AB968" i="1"/>
  <c r="Z969" i="1"/>
  <c r="AB976" i="1"/>
  <c r="Z977" i="1"/>
  <c r="AB984" i="1"/>
  <c r="Z985" i="1"/>
  <c r="AB992" i="1"/>
  <c r="Z993" i="1"/>
  <c r="AB723" i="1"/>
  <c r="AB746" i="1"/>
  <c r="Z803" i="1"/>
  <c r="AB810" i="1"/>
  <c r="AB866" i="1"/>
  <c r="AC880" i="1"/>
  <c r="AA881" i="1"/>
  <c r="AC888" i="1"/>
  <c r="AA889" i="1"/>
  <c r="AC896" i="1"/>
  <c r="AA897" i="1"/>
  <c r="AC904" i="1"/>
  <c r="AA905" i="1"/>
  <c r="AC912" i="1"/>
  <c r="AA913" i="1"/>
  <c r="Z747" i="1"/>
  <c r="AA898" i="1"/>
  <c r="AC905" i="1"/>
  <c r="AA937" i="1"/>
  <c r="AA946" i="1"/>
  <c r="Z970" i="1"/>
  <c r="AC992" i="1"/>
  <c r="AB1005" i="1"/>
  <c r="Z1006" i="1"/>
  <c r="AB1013" i="1"/>
  <c r="Z1014" i="1"/>
  <c r="AB1021" i="1"/>
  <c r="Z1022" i="1"/>
  <c r="AB1029" i="1"/>
  <c r="Z1030" i="1"/>
  <c r="AB1037" i="1"/>
  <c r="Z1038" i="1"/>
  <c r="AB1045" i="1"/>
  <c r="Z1046" i="1"/>
  <c r="AB1053" i="1"/>
  <c r="Z1054" i="1"/>
  <c r="AB1061" i="1"/>
  <c r="Z1062" i="1"/>
  <c r="AB1069" i="1"/>
  <c r="Z1070" i="1"/>
  <c r="AB1077" i="1"/>
  <c r="Z1078" i="1"/>
  <c r="AB1085" i="1"/>
  <c r="Z1086" i="1"/>
  <c r="AB1093" i="1"/>
  <c r="Z1094" i="1"/>
  <c r="AB1101" i="1"/>
  <c r="Z1102" i="1"/>
  <c r="AB1109" i="1"/>
  <c r="Z1110" i="1"/>
  <c r="AB1117" i="1"/>
  <c r="Z1118" i="1"/>
  <c r="AB1125" i="1"/>
  <c r="Z1126" i="1"/>
  <c r="AC810" i="1"/>
  <c r="AC866" i="1"/>
  <c r="Z906" i="1"/>
  <c r="AB913" i="1"/>
  <c r="AB937" i="1"/>
  <c r="AA961" i="1"/>
  <c r="AA970" i="1"/>
  <c r="Z1002" i="1"/>
  <c r="AC1005" i="1"/>
  <c r="AA1006" i="1"/>
  <c r="AC1013" i="1"/>
  <c r="AA1014" i="1"/>
  <c r="AC1021" i="1"/>
  <c r="AA1022" i="1"/>
  <c r="AC1029" i="1"/>
  <c r="AA1030" i="1"/>
  <c r="AC1037" i="1"/>
  <c r="AA1038" i="1"/>
  <c r="AC1045" i="1"/>
  <c r="AA1046" i="1"/>
  <c r="AC1053" i="1"/>
  <c r="AA1054" i="1"/>
  <c r="AC1061" i="1"/>
  <c r="AA1062" i="1"/>
  <c r="AC1069" i="1"/>
  <c r="AA1070" i="1"/>
  <c r="AC1077" i="1"/>
  <c r="AA1078" i="1"/>
  <c r="AC1085" i="1"/>
  <c r="AA1086" i="1"/>
  <c r="AC1093" i="1"/>
  <c r="AA1094" i="1"/>
  <c r="AC1101" i="1"/>
  <c r="AA1102" i="1"/>
  <c r="AC1109" i="1"/>
  <c r="AA1110" i="1"/>
  <c r="AC1117" i="1"/>
  <c r="AA1118" i="1"/>
  <c r="AB754" i="1"/>
  <c r="Z811" i="1"/>
  <c r="AA906" i="1"/>
  <c r="AC913" i="1"/>
  <c r="AC928" i="1"/>
  <c r="AC937" i="1"/>
  <c r="AB961" i="1"/>
  <c r="AA985" i="1"/>
  <c r="AA1002" i="1"/>
  <c r="AB1006" i="1"/>
  <c r="Z1007" i="1"/>
  <c r="AB1014" i="1"/>
  <c r="Z1015" i="1"/>
  <c r="AB1022" i="1"/>
  <c r="Z1023" i="1"/>
  <c r="AB1030" i="1"/>
  <c r="Z1031" i="1"/>
  <c r="AB1038" i="1"/>
  <c r="Z1039" i="1"/>
  <c r="AB1046" i="1"/>
  <c r="Z1047" i="1"/>
  <c r="AB1054" i="1"/>
  <c r="Z1055" i="1"/>
  <c r="AB1062" i="1"/>
  <c r="Z1063" i="1"/>
  <c r="AB1070" i="1"/>
  <c r="Z1071" i="1"/>
  <c r="AB1078" i="1"/>
  <c r="Z1079" i="1"/>
  <c r="AB1086" i="1"/>
  <c r="Z1087" i="1"/>
  <c r="AB1094" i="1"/>
  <c r="Z1095" i="1"/>
  <c r="AB1102" i="1"/>
  <c r="Z1103" i="1"/>
  <c r="AB1110" i="1"/>
  <c r="Z1111" i="1"/>
  <c r="AB1118" i="1"/>
  <c r="Z1119" i="1"/>
  <c r="AB1126" i="1"/>
  <c r="Z1127" i="1"/>
  <c r="AC869" i="1"/>
  <c r="Z914" i="1"/>
  <c r="AC952" i="1"/>
  <c r="AC961" i="1"/>
  <c r="AB985" i="1"/>
  <c r="AA989" i="1"/>
  <c r="AC996" i="1"/>
  <c r="AB1002" i="1"/>
  <c r="AC1006" i="1"/>
  <c r="AA1007" i="1"/>
  <c r="AC1014" i="1"/>
  <c r="AA1015" i="1"/>
  <c r="AC1022" i="1"/>
  <c r="AA1023" i="1"/>
  <c r="AC1030" i="1"/>
  <c r="AA1031" i="1"/>
  <c r="AC1038" i="1"/>
  <c r="AA1039" i="1"/>
  <c r="AC1046" i="1"/>
  <c r="AA1047" i="1"/>
  <c r="AC1054" i="1"/>
  <c r="AA1055" i="1"/>
  <c r="AC1062" i="1"/>
  <c r="AA1063" i="1"/>
  <c r="AC1070" i="1"/>
  <c r="AA1071" i="1"/>
  <c r="AC1078" i="1"/>
  <c r="AA1079" i="1"/>
  <c r="AC1086" i="1"/>
  <c r="AA1087" i="1"/>
  <c r="AC1094" i="1"/>
  <c r="AA1095" i="1"/>
  <c r="AC1102" i="1"/>
  <c r="AA1103" i="1"/>
  <c r="AC1110" i="1"/>
  <c r="AA1111" i="1"/>
  <c r="AC1118" i="1"/>
  <c r="AA1119" i="1"/>
  <c r="AB818" i="1"/>
  <c r="AA914" i="1"/>
  <c r="Z938" i="1"/>
  <c r="AC976" i="1"/>
  <c r="AC985" i="1"/>
  <c r="AA993" i="1"/>
  <c r="AB1007" i="1"/>
  <c r="Z1008" i="1"/>
  <c r="AB1015" i="1"/>
  <c r="Z1016" i="1"/>
  <c r="AB1023" i="1"/>
  <c r="Z1024" i="1"/>
  <c r="AB1031" i="1"/>
  <c r="Z1032" i="1"/>
  <c r="AB1039" i="1"/>
  <c r="Z1040" i="1"/>
  <c r="AB1047" i="1"/>
  <c r="Z1048" i="1"/>
  <c r="AB1055" i="1"/>
  <c r="Z1056" i="1"/>
  <c r="AB1063" i="1"/>
  <c r="Z1064" i="1"/>
  <c r="AB1071" i="1"/>
  <c r="Z1072" i="1"/>
  <c r="AB1079" i="1"/>
  <c r="Z1080" i="1"/>
  <c r="AB1087" i="1"/>
  <c r="Z1088" i="1"/>
  <c r="AB1095" i="1"/>
  <c r="Z1096" i="1"/>
  <c r="AB1103" i="1"/>
  <c r="Z1104" i="1"/>
  <c r="AB1111" i="1"/>
  <c r="Z1112" i="1"/>
  <c r="AB1119" i="1"/>
  <c r="Z1120" i="1"/>
  <c r="AA871" i="1"/>
  <c r="AA929" i="1"/>
  <c r="AA938" i="1"/>
  <c r="Z962" i="1"/>
  <c r="AB993" i="1"/>
  <c r="Z1001" i="1"/>
  <c r="AC1007" i="1"/>
  <c r="AA1008" i="1"/>
  <c r="AC1015" i="1"/>
  <c r="AA1016" i="1"/>
  <c r="AC1023" i="1"/>
  <c r="AA1024" i="1"/>
  <c r="AC1031" i="1"/>
  <c r="AA1032" i="1"/>
  <c r="AC1039" i="1"/>
  <c r="AA1040" i="1"/>
  <c r="AC1047" i="1"/>
  <c r="AA1048" i="1"/>
  <c r="AC1055" i="1"/>
  <c r="AA1056" i="1"/>
  <c r="AC1063" i="1"/>
  <c r="AA1064" i="1"/>
  <c r="AC1071" i="1"/>
  <c r="AA1072" i="1"/>
  <c r="AC1079" i="1"/>
  <c r="AA1080" i="1"/>
  <c r="AC1087" i="1"/>
  <c r="AA1088" i="1"/>
  <c r="AC1095" i="1"/>
  <c r="AA1096" i="1"/>
  <c r="AC1103" i="1"/>
  <c r="AA1104" i="1"/>
  <c r="AC1111" i="1"/>
  <c r="AA1112" i="1"/>
  <c r="AC1119" i="1"/>
  <c r="AA1120" i="1"/>
  <c r="AB871" i="1"/>
  <c r="AB929" i="1"/>
  <c r="AA953" i="1"/>
  <c r="AA962" i="1"/>
  <c r="Z986" i="1"/>
  <c r="AC993" i="1"/>
  <c r="AA1001" i="1"/>
  <c r="AB1008" i="1"/>
  <c r="Z1009" i="1"/>
  <c r="AB1016" i="1"/>
  <c r="Z1017" i="1"/>
  <c r="AB1024" i="1"/>
  <c r="Z1025" i="1"/>
  <c r="AB1032" i="1"/>
  <c r="Z1033" i="1"/>
  <c r="AB1040" i="1"/>
  <c r="Z1041" i="1"/>
  <c r="AB1048" i="1"/>
  <c r="Z1049" i="1"/>
  <c r="AB1056" i="1"/>
  <c r="Z1057" i="1"/>
  <c r="AB1064" i="1"/>
  <c r="Z1065" i="1"/>
  <c r="AB1072" i="1"/>
  <c r="Z1073" i="1"/>
  <c r="AB1080" i="1"/>
  <c r="Z1081" i="1"/>
  <c r="AB1088" i="1"/>
  <c r="Z1089" i="1"/>
  <c r="AB1096" i="1"/>
  <c r="Z1097" i="1"/>
  <c r="AB1104" i="1"/>
  <c r="Z1105" i="1"/>
  <c r="AB1112" i="1"/>
  <c r="Z1113" i="1"/>
  <c r="AB1120" i="1"/>
  <c r="Z1121" i="1"/>
  <c r="AC920" i="1"/>
  <c r="AC929" i="1"/>
  <c r="AB953" i="1"/>
  <c r="AA977" i="1"/>
  <c r="AA986" i="1"/>
  <c r="AB1001" i="1"/>
  <c r="AC1008" i="1"/>
  <c r="AA1009" i="1"/>
  <c r="AC1016" i="1"/>
  <c r="AA1017" i="1"/>
  <c r="AC1024" i="1"/>
  <c r="AA1025" i="1"/>
  <c r="AC1032" i="1"/>
  <c r="AA1033" i="1"/>
  <c r="AC1040" i="1"/>
  <c r="AA1041" i="1"/>
  <c r="AC1048" i="1"/>
  <c r="AA1049" i="1"/>
  <c r="AC1056" i="1"/>
  <c r="AA1057" i="1"/>
  <c r="AC1064" i="1"/>
  <c r="AA1065" i="1"/>
  <c r="AC1072" i="1"/>
  <c r="AA1073" i="1"/>
  <c r="AC1080" i="1"/>
  <c r="AA1081" i="1"/>
  <c r="AC1088" i="1"/>
  <c r="AA1089" i="1"/>
  <c r="AC1096" i="1"/>
  <c r="AA1097" i="1"/>
  <c r="AC1104" i="1"/>
  <c r="AA1105" i="1"/>
  <c r="AC1112" i="1"/>
  <c r="AA1113" i="1"/>
  <c r="AC1120" i="1"/>
  <c r="AA1121" i="1"/>
  <c r="AC944" i="1"/>
  <c r="AC953" i="1"/>
  <c r="AB977" i="1"/>
  <c r="AA997" i="1"/>
  <c r="AC1001" i="1"/>
  <c r="AB1009" i="1"/>
  <c r="Z1010" i="1"/>
  <c r="AB1017" i="1"/>
  <c r="Z1018" i="1"/>
  <c r="AB1025" i="1"/>
  <c r="Z1026" i="1"/>
  <c r="AB1033" i="1"/>
  <c r="Z1034" i="1"/>
  <c r="AB1041" i="1"/>
  <c r="Z1042" i="1"/>
  <c r="AB1049" i="1"/>
  <c r="Z1050" i="1"/>
  <c r="AB1057" i="1"/>
  <c r="Z1058" i="1"/>
  <c r="AB1065" i="1"/>
  <c r="Z1066" i="1"/>
  <c r="AB1073" i="1"/>
  <c r="Z1074" i="1"/>
  <c r="AB1081" i="1"/>
  <c r="Z1082" i="1"/>
  <c r="AB1089" i="1"/>
  <c r="Z1090" i="1"/>
  <c r="AB1097" i="1"/>
  <c r="Z1098" i="1"/>
  <c r="AB1105" i="1"/>
  <c r="Z1106" i="1"/>
  <c r="AB1113" i="1"/>
  <c r="Z1114" i="1"/>
  <c r="AB1121" i="1"/>
  <c r="Z1122" i="1"/>
  <c r="AB881" i="1"/>
  <c r="Z930" i="1"/>
  <c r="AC968" i="1"/>
  <c r="AC977" i="1"/>
  <c r="Z994" i="1"/>
  <c r="AC997" i="1"/>
  <c r="AC1009" i="1"/>
  <c r="AA1010" i="1"/>
  <c r="AC1017" i="1"/>
  <c r="AA1018" i="1"/>
  <c r="AC1025" i="1"/>
  <c r="AA1026" i="1"/>
  <c r="AC1033" i="1"/>
  <c r="AA1034" i="1"/>
  <c r="AC1041" i="1"/>
  <c r="AA1042" i="1"/>
  <c r="AC1049" i="1"/>
  <c r="AA1050" i="1"/>
  <c r="AC1057" i="1"/>
  <c r="AA1058" i="1"/>
  <c r="AC1065" i="1"/>
  <c r="AA1066" i="1"/>
  <c r="AC1073" i="1"/>
  <c r="AA1074" i="1"/>
  <c r="AC1081" i="1"/>
  <c r="AA1082" i="1"/>
  <c r="AC1089" i="1"/>
  <c r="AA1090" i="1"/>
  <c r="AC1097" i="1"/>
  <c r="AA1098" i="1"/>
  <c r="AC1105" i="1"/>
  <c r="AA1106" i="1"/>
  <c r="AC1113" i="1"/>
  <c r="AA1114" i="1"/>
  <c r="AC1121" i="1"/>
  <c r="AA1122" i="1"/>
  <c r="AA874" i="1"/>
  <c r="AC881" i="1"/>
  <c r="AA921" i="1"/>
  <c r="AA930" i="1"/>
  <c r="Z954" i="1"/>
  <c r="AA994" i="1"/>
  <c r="AB1010" i="1"/>
  <c r="Z1011" i="1"/>
  <c r="AB1018" i="1"/>
  <c r="Z1019" i="1"/>
  <c r="AB1026" i="1"/>
  <c r="Z1027" i="1"/>
  <c r="AB1034" i="1"/>
  <c r="Z1035" i="1"/>
  <c r="AB1042" i="1"/>
  <c r="Z1043" i="1"/>
  <c r="AB1050" i="1"/>
  <c r="Z1051" i="1"/>
  <c r="AB1058" i="1"/>
  <c r="Z1059" i="1"/>
  <c r="AB1066" i="1"/>
  <c r="Z1067" i="1"/>
  <c r="AB1074" i="1"/>
  <c r="Z1075" i="1"/>
  <c r="AB1082" i="1"/>
  <c r="Z1083" i="1"/>
  <c r="AB1090" i="1"/>
  <c r="Z1091" i="1"/>
  <c r="AB1098" i="1"/>
  <c r="Z1099" i="1"/>
  <c r="AB1106" i="1"/>
  <c r="Z1107" i="1"/>
  <c r="AB1114" i="1"/>
  <c r="Z1115" i="1"/>
  <c r="AB1122" i="1"/>
  <c r="Z1123" i="1"/>
  <c r="AA667" i="1"/>
  <c r="Z882" i="1"/>
  <c r="AB889" i="1"/>
  <c r="AB921" i="1"/>
  <c r="AA945" i="1"/>
  <c r="AA954" i="1"/>
  <c r="Z978" i="1"/>
  <c r="AC1010" i="1"/>
  <c r="AA1011" i="1"/>
  <c r="AC1018" i="1"/>
  <c r="AA1019" i="1"/>
  <c r="AC1026" i="1"/>
  <c r="AA1027" i="1"/>
  <c r="AC1034" i="1"/>
  <c r="AA1035" i="1"/>
  <c r="AC1042" i="1"/>
  <c r="AA1043" i="1"/>
  <c r="AC1050" i="1"/>
  <c r="AA1051" i="1"/>
  <c r="AC1058" i="1"/>
  <c r="AA1059" i="1"/>
  <c r="AC1066" i="1"/>
  <c r="AA1067" i="1"/>
  <c r="AC1074" i="1"/>
  <c r="AA1075" i="1"/>
  <c r="AC1082" i="1"/>
  <c r="AA1083" i="1"/>
  <c r="AC1090" i="1"/>
  <c r="AA1091" i="1"/>
  <c r="AC1098" i="1"/>
  <c r="AA1099" i="1"/>
  <c r="AC1106" i="1"/>
  <c r="AA1107" i="1"/>
  <c r="AC1114" i="1"/>
  <c r="AA1115" i="1"/>
  <c r="AA882" i="1"/>
  <c r="AC889" i="1"/>
  <c r="AC921" i="1"/>
  <c r="AB945" i="1"/>
  <c r="AA969" i="1"/>
  <c r="AA978" i="1"/>
  <c r="AB1000" i="1"/>
  <c r="Z1004" i="1"/>
  <c r="AB1011" i="1"/>
  <c r="Z1012" i="1"/>
  <c r="AB1019" i="1"/>
  <c r="Z1020" i="1"/>
  <c r="AB1027" i="1"/>
  <c r="Z1028" i="1"/>
  <c r="AB1035" i="1"/>
  <c r="Z1036" i="1"/>
  <c r="AB1043" i="1"/>
  <c r="Z1044" i="1"/>
  <c r="AB1051" i="1"/>
  <c r="Z1052" i="1"/>
  <c r="AB1059" i="1"/>
  <c r="Z1060" i="1"/>
  <c r="AB1067" i="1"/>
  <c r="Z1068" i="1"/>
  <c r="AB1075" i="1"/>
  <c r="Z1076" i="1"/>
  <c r="AB1083" i="1"/>
  <c r="Z1084" i="1"/>
  <c r="AB1091" i="1"/>
  <c r="Z1092" i="1"/>
  <c r="AB1099" i="1"/>
  <c r="Z1100" i="1"/>
  <c r="AB1107" i="1"/>
  <c r="Z1108" i="1"/>
  <c r="AB1115" i="1"/>
  <c r="Z1116" i="1"/>
  <c r="AB1123" i="1"/>
  <c r="Z1124" i="1"/>
  <c r="Z890" i="1"/>
  <c r="AB897" i="1"/>
  <c r="AC936" i="1"/>
  <c r="AC945" i="1"/>
  <c r="AB969" i="1"/>
  <c r="AC1000" i="1"/>
  <c r="AA1004" i="1"/>
  <c r="AC1011" i="1"/>
  <c r="AA1012" i="1"/>
  <c r="AC1019" i="1"/>
  <c r="AA1020" i="1"/>
  <c r="AC1027" i="1"/>
  <c r="AA1028" i="1"/>
  <c r="AC1035" i="1"/>
  <c r="AA1036" i="1"/>
  <c r="AC1043" i="1"/>
  <c r="AA1044" i="1"/>
  <c r="AC1051" i="1"/>
  <c r="AA1052" i="1"/>
  <c r="AC1059" i="1"/>
  <c r="AA1060" i="1"/>
  <c r="AC1067" i="1"/>
  <c r="AA1068" i="1"/>
  <c r="AC1075" i="1"/>
  <c r="AA1076" i="1"/>
  <c r="AC1083" i="1"/>
  <c r="AA1084" i="1"/>
  <c r="AC1091" i="1"/>
  <c r="AA1092" i="1"/>
  <c r="AC1099" i="1"/>
  <c r="AA1100" i="1"/>
  <c r="AC1107" i="1"/>
  <c r="AA1029" i="1"/>
  <c r="AC1036" i="1"/>
  <c r="AA1093" i="1"/>
  <c r="AC1100" i="1"/>
  <c r="Z1117" i="1"/>
  <c r="AA1127" i="1"/>
  <c r="AA1128" i="1"/>
  <c r="AC1135" i="1"/>
  <c r="AA1136" i="1"/>
  <c r="AC1143" i="1"/>
  <c r="AA1144" i="1"/>
  <c r="AC1151" i="1"/>
  <c r="AA1152" i="1"/>
  <c r="AC1159" i="1"/>
  <c r="AA1160" i="1"/>
  <c r="AC1167" i="1"/>
  <c r="AA1168" i="1"/>
  <c r="AC1175" i="1"/>
  <c r="AA1176" i="1"/>
  <c r="AC1183" i="1"/>
  <c r="AA1184" i="1"/>
  <c r="AC1191" i="1"/>
  <c r="AA1192" i="1"/>
  <c r="AC1199" i="1"/>
  <c r="AA1200" i="1"/>
  <c r="AC1207" i="1"/>
  <c r="AA1208" i="1"/>
  <c r="AC1215" i="1"/>
  <c r="AA1216" i="1"/>
  <c r="AC1223" i="1"/>
  <c r="AA1224" i="1"/>
  <c r="AC1231" i="1"/>
  <c r="AA1232" i="1"/>
  <c r="AC1239" i="1"/>
  <c r="AA1240" i="1"/>
  <c r="AC1247" i="1"/>
  <c r="AA1248" i="1"/>
  <c r="AC969" i="1"/>
  <c r="Z1037" i="1"/>
  <c r="AB1044" i="1"/>
  <c r="Z1101" i="1"/>
  <c r="AA1108" i="1"/>
  <c r="AA1117" i="1"/>
  <c r="AB1127" i="1"/>
  <c r="AB1128" i="1"/>
  <c r="Z1129" i="1"/>
  <c r="AB1136" i="1"/>
  <c r="Z1137" i="1"/>
  <c r="AB1144" i="1"/>
  <c r="Z1145" i="1"/>
  <c r="AB1152" i="1"/>
  <c r="Z1153" i="1"/>
  <c r="AB1160" i="1"/>
  <c r="Z1161" i="1"/>
  <c r="AB1168" i="1"/>
  <c r="Z1169" i="1"/>
  <c r="AB1176" i="1"/>
  <c r="Z1177" i="1"/>
  <c r="AB1184" i="1"/>
  <c r="Z1185" i="1"/>
  <c r="AB1192" i="1"/>
  <c r="Z1193" i="1"/>
  <c r="AB1200" i="1"/>
  <c r="Z1201" i="1"/>
  <c r="AB1208" i="1"/>
  <c r="Z1209" i="1"/>
  <c r="AB1216" i="1"/>
  <c r="Z1217" i="1"/>
  <c r="AB1224" i="1"/>
  <c r="Z1225" i="1"/>
  <c r="AB1232" i="1"/>
  <c r="Z1233" i="1"/>
  <c r="AB1240" i="1"/>
  <c r="Z1241" i="1"/>
  <c r="AA1037" i="1"/>
  <c r="AC1044" i="1"/>
  <c r="AA1101" i="1"/>
  <c r="AB1108" i="1"/>
  <c r="AA1126" i="1"/>
  <c r="AC1127" i="1"/>
  <c r="AC1128" i="1"/>
  <c r="AA1129" i="1"/>
  <c r="AC1136" i="1"/>
  <c r="AA1137" i="1"/>
  <c r="AC1144" i="1"/>
  <c r="AA1145" i="1"/>
  <c r="AC1152" i="1"/>
  <c r="AA1153" i="1"/>
  <c r="AC1160" i="1"/>
  <c r="AA1161" i="1"/>
  <c r="AC1168" i="1"/>
  <c r="AA1169" i="1"/>
  <c r="AC1176" i="1"/>
  <c r="AA1177" i="1"/>
  <c r="AC1184" i="1"/>
  <c r="AA1185" i="1"/>
  <c r="AC1192" i="1"/>
  <c r="AA1193" i="1"/>
  <c r="AC1200" i="1"/>
  <c r="AA1201" i="1"/>
  <c r="AC1208" i="1"/>
  <c r="AA1209" i="1"/>
  <c r="AC1216" i="1"/>
  <c r="AA1217" i="1"/>
  <c r="AC1224" i="1"/>
  <c r="AA1225" i="1"/>
  <c r="AC1232" i="1"/>
  <c r="AA1233" i="1"/>
  <c r="AC1240" i="1"/>
  <c r="AA1241" i="1"/>
  <c r="AC1248" i="1"/>
  <c r="AA1249" i="1"/>
  <c r="AA890" i="1"/>
  <c r="Z1045" i="1"/>
  <c r="AB1052" i="1"/>
  <c r="AC1108" i="1"/>
  <c r="Z1125" i="1"/>
  <c r="AC1126" i="1"/>
  <c r="AB1129" i="1"/>
  <c r="Z1130" i="1"/>
  <c r="AB1137" i="1"/>
  <c r="Z1138" i="1"/>
  <c r="AB1145" i="1"/>
  <c r="Z1146" i="1"/>
  <c r="AB1153" i="1"/>
  <c r="Z1154" i="1"/>
  <c r="AB1161" i="1"/>
  <c r="Z1162" i="1"/>
  <c r="AB1169" i="1"/>
  <c r="Z1170" i="1"/>
  <c r="AB1177" i="1"/>
  <c r="Z1178" i="1"/>
  <c r="AB1185" i="1"/>
  <c r="Z1186" i="1"/>
  <c r="AB1193" i="1"/>
  <c r="Z1194" i="1"/>
  <c r="AB1201" i="1"/>
  <c r="Z1202" i="1"/>
  <c r="AB1209" i="1"/>
  <c r="Z1210" i="1"/>
  <c r="AB1217" i="1"/>
  <c r="Z1218" i="1"/>
  <c r="AB1225" i="1"/>
  <c r="Z1226" i="1"/>
  <c r="AB1233" i="1"/>
  <c r="Z1234" i="1"/>
  <c r="AB1241" i="1"/>
  <c r="Z1242" i="1"/>
  <c r="AB1249" i="1"/>
  <c r="Z1250" i="1"/>
  <c r="AA1045" i="1"/>
  <c r="AC1052" i="1"/>
  <c r="AA1125" i="1"/>
  <c r="AC1129" i="1"/>
  <c r="AA1130" i="1"/>
  <c r="AC1137" i="1"/>
  <c r="AA1138" i="1"/>
  <c r="AC1145" i="1"/>
  <c r="AA1146" i="1"/>
  <c r="AC1153" i="1"/>
  <c r="AA1154" i="1"/>
  <c r="AC1161" i="1"/>
  <c r="AA1162" i="1"/>
  <c r="AC1169" i="1"/>
  <c r="AA1170" i="1"/>
  <c r="AC1177" i="1"/>
  <c r="AA1178" i="1"/>
  <c r="AC1185" i="1"/>
  <c r="AA1186" i="1"/>
  <c r="AC1193" i="1"/>
  <c r="AA1194" i="1"/>
  <c r="AC1201" i="1"/>
  <c r="AA1202" i="1"/>
  <c r="AC1209" i="1"/>
  <c r="AA1210" i="1"/>
  <c r="AC1217" i="1"/>
  <c r="AA1218" i="1"/>
  <c r="AC1225" i="1"/>
  <c r="AA1226" i="1"/>
  <c r="AC1233" i="1"/>
  <c r="AA1234" i="1"/>
  <c r="AC1241" i="1"/>
  <c r="AA1242" i="1"/>
  <c r="AC1249" i="1"/>
  <c r="AA1250" i="1"/>
  <c r="AC897" i="1"/>
  <c r="Z1003" i="1"/>
  <c r="Z1053" i="1"/>
  <c r="AB1060" i="1"/>
  <c r="Z1109" i="1"/>
  <c r="AC1122" i="1"/>
  <c r="AA1124" i="1"/>
  <c r="AC1125" i="1"/>
  <c r="AB1130" i="1"/>
  <c r="Z1131" i="1"/>
  <c r="AB1138" i="1"/>
  <c r="Z1139" i="1"/>
  <c r="AB1146" i="1"/>
  <c r="Z1147" i="1"/>
  <c r="AB1154" i="1"/>
  <c r="Z1155" i="1"/>
  <c r="AB1162" i="1"/>
  <c r="Z1163" i="1"/>
  <c r="AB1170" i="1"/>
  <c r="Z1171" i="1"/>
  <c r="AB1178" i="1"/>
  <c r="Z1179" i="1"/>
  <c r="AB1186" i="1"/>
  <c r="Z1187" i="1"/>
  <c r="AB1194" i="1"/>
  <c r="Z1195" i="1"/>
  <c r="AB1202" i="1"/>
  <c r="Z1203" i="1"/>
  <c r="AB1210" i="1"/>
  <c r="Z1211" i="1"/>
  <c r="AB1218" i="1"/>
  <c r="Z1219" i="1"/>
  <c r="AB1226" i="1"/>
  <c r="Z1227" i="1"/>
  <c r="AB1234" i="1"/>
  <c r="Z1235" i="1"/>
  <c r="AB1242" i="1"/>
  <c r="Z1243" i="1"/>
  <c r="AB1250" i="1"/>
  <c r="Z898" i="1"/>
  <c r="AA1053" i="1"/>
  <c r="AC1060" i="1"/>
  <c r="AA1109" i="1"/>
  <c r="AB1124" i="1"/>
  <c r="AC1130" i="1"/>
  <c r="AA1131" i="1"/>
  <c r="AC1138" i="1"/>
  <c r="AA1139" i="1"/>
  <c r="AC1146" i="1"/>
  <c r="AA1147" i="1"/>
  <c r="AC1154" i="1"/>
  <c r="AA1155" i="1"/>
  <c r="AC1162" i="1"/>
  <c r="AA1163" i="1"/>
  <c r="AC1170" i="1"/>
  <c r="AA1171" i="1"/>
  <c r="AC1178" i="1"/>
  <c r="AA1179" i="1"/>
  <c r="AC1186" i="1"/>
  <c r="AA1187" i="1"/>
  <c r="AC1194" i="1"/>
  <c r="AA1195" i="1"/>
  <c r="AC1202" i="1"/>
  <c r="AA1203" i="1"/>
  <c r="AC1210" i="1"/>
  <c r="AA1211" i="1"/>
  <c r="AC1218" i="1"/>
  <c r="AA1219" i="1"/>
  <c r="AC1226" i="1"/>
  <c r="AA1227" i="1"/>
  <c r="AC1234" i="1"/>
  <c r="AA1235" i="1"/>
  <c r="AC1242" i="1"/>
  <c r="AA1243" i="1"/>
  <c r="AB1004" i="1"/>
  <c r="Z1061" i="1"/>
  <c r="AB1068" i="1"/>
  <c r="AC1124" i="1"/>
  <c r="AB1131" i="1"/>
  <c r="Z1132" i="1"/>
  <c r="AB1139" i="1"/>
  <c r="Z1140" i="1"/>
  <c r="AB1147" i="1"/>
  <c r="Z1148" i="1"/>
  <c r="AB1155" i="1"/>
  <c r="Z1156" i="1"/>
  <c r="AB1163" i="1"/>
  <c r="Z1164" i="1"/>
  <c r="AB1171" i="1"/>
  <c r="Z1172" i="1"/>
  <c r="AB1179" i="1"/>
  <c r="Z1180" i="1"/>
  <c r="AB1187" i="1"/>
  <c r="Z1188" i="1"/>
  <c r="AB1195" i="1"/>
  <c r="Z1196" i="1"/>
  <c r="AB1203" i="1"/>
  <c r="Z1204" i="1"/>
  <c r="AB1211" i="1"/>
  <c r="Z1212" i="1"/>
  <c r="AB1219" i="1"/>
  <c r="Z1220" i="1"/>
  <c r="AB1227" i="1"/>
  <c r="Z1228" i="1"/>
  <c r="AB1235" i="1"/>
  <c r="Z1236" i="1"/>
  <c r="AB1243" i="1"/>
  <c r="Z1244" i="1"/>
  <c r="AB905" i="1"/>
  <c r="Z946" i="1"/>
  <c r="AC984" i="1"/>
  <c r="AC1004" i="1"/>
  <c r="AA1061" i="1"/>
  <c r="AC1068" i="1"/>
  <c r="AC1131" i="1"/>
  <c r="AA1132" i="1"/>
  <c r="AC1139" i="1"/>
  <c r="AA1140" i="1"/>
  <c r="AC1147" i="1"/>
  <c r="AA1148" i="1"/>
  <c r="AC1155" i="1"/>
  <c r="AA1156" i="1"/>
  <c r="AC1163" i="1"/>
  <c r="AA1164" i="1"/>
  <c r="AC1171" i="1"/>
  <c r="AA1172" i="1"/>
  <c r="AC1179" i="1"/>
  <c r="AA1180" i="1"/>
  <c r="AC1187" i="1"/>
  <c r="AA1188" i="1"/>
  <c r="AC1195" i="1"/>
  <c r="AA1196" i="1"/>
  <c r="AC1203" i="1"/>
  <c r="AA1204" i="1"/>
  <c r="AC1211" i="1"/>
  <c r="AA1212" i="1"/>
  <c r="AC1219" i="1"/>
  <c r="AA1220" i="1"/>
  <c r="AC1227" i="1"/>
  <c r="AA1228" i="1"/>
  <c r="AC1235" i="1"/>
  <c r="AA1236" i="1"/>
  <c r="AC1243" i="1"/>
  <c r="AA1244" i="1"/>
  <c r="Z1005" i="1"/>
  <c r="AB1012" i="1"/>
  <c r="Z1069" i="1"/>
  <c r="AB1076" i="1"/>
  <c r="AC1115" i="1"/>
  <c r="AB1132" i="1"/>
  <c r="Z1133" i="1"/>
  <c r="AB1140" i="1"/>
  <c r="Z1141" i="1"/>
  <c r="AB1148" i="1"/>
  <c r="Z1149" i="1"/>
  <c r="AB1156" i="1"/>
  <c r="Z1157" i="1"/>
  <c r="AB1164" i="1"/>
  <c r="Z1165" i="1"/>
  <c r="AB1172" i="1"/>
  <c r="Z1173" i="1"/>
  <c r="AB1180" i="1"/>
  <c r="Z1181" i="1"/>
  <c r="AB1188" i="1"/>
  <c r="Z1189" i="1"/>
  <c r="AB1196" i="1"/>
  <c r="Z1197" i="1"/>
  <c r="AB1204" i="1"/>
  <c r="Z1205" i="1"/>
  <c r="AB1212" i="1"/>
  <c r="Z1213" i="1"/>
  <c r="AB1220" i="1"/>
  <c r="Z1221" i="1"/>
  <c r="AB1228" i="1"/>
  <c r="Z1229" i="1"/>
  <c r="AB1236" i="1"/>
  <c r="Z1237" i="1"/>
  <c r="AC746" i="1"/>
  <c r="AC988" i="1"/>
  <c r="AA1005" i="1"/>
  <c r="AC1012" i="1"/>
  <c r="AA1069" i="1"/>
  <c r="AC1076" i="1"/>
  <c r="AC1132" i="1"/>
  <c r="AA1133" i="1"/>
  <c r="AC1140" i="1"/>
  <c r="AA1141" i="1"/>
  <c r="AC1148" i="1"/>
  <c r="AA1149" i="1"/>
  <c r="AC1156" i="1"/>
  <c r="AA1157" i="1"/>
  <c r="AC1164" i="1"/>
  <c r="AA1165" i="1"/>
  <c r="AC1172" i="1"/>
  <c r="AA1173" i="1"/>
  <c r="AC1180" i="1"/>
  <c r="AA1181" i="1"/>
  <c r="AC1188" i="1"/>
  <c r="AA1189" i="1"/>
  <c r="AC1196" i="1"/>
  <c r="AA1197" i="1"/>
  <c r="AC1204" i="1"/>
  <c r="AA1205" i="1"/>
  <c r="AC1212" i="1"/>
  <c r="AA1213" i="1"/>
  <c r="AC1220" i="1"/>
  <c r="AA1221" i="1"/>
  <c r="AC1228" i="1"/>
  <c r="AA1229" i="1"/>
  <c r="AC1236" i="1"/>
  <c r="AA1237" i="1"/>
  <c r="AC1244" i="1"/>
  <c r="AA1245" i="1"/>
  <c r="Z1013" i="1"/>
  <c r="AB1020" i="1"/>
  <c r="Z1077" i="1"/>
  <c r="AB1084" i="1"/>
  <c r="AA1123" i="1"/>
  <c r="AB1133" i="1"/>
  <c r="Z1134" i="1"/>
  <c r="AB1141" i="1"/>
  <c r="Z1142" i="1"/>
  <c r="AB1149" i="1"/>
  <c r="Z1150" i="1"/>
  <c r="AB1157" i="1"/>
  <c r="Z1158" i="1"/>
  <c r="AB1165" i="1"/>
  <c r="Z1166" i="1"/>
  <c r="AB1173" i="1"/>
  <c r="Z1174" i="1"/>
  <c r="AB1181" i="1"/>
  <c r="Z1182" i="1"/>
  <c r="AB1189" i="1"/>
  <c r="Z1190" i="1"/>
  <c r="AB1197" i="1"/>
  <c r="Z1198" i="1"/>
  <c r="AB1205" i="1"/>
  <c r="Z1206" i="1"/>
  <c r="AB1213" i="1"/>
  <c r="Z1214" i="1"/>
  <c r="AB1221" i="1"/>
  <c r="Z1222" i="1"/>
  <c r="AB1229" i="1"/>
  <c r="Z1230" i="1"/>
  <c r="AB1237" i="1"/>
  <c r="Z1238" i="1"/>
  <c r="AB1245" i="1"/>
  <c r="Z1246" i="1"/>
  <c r="AB1253" i="1"/>
  <c r="Z1254" i="1"/>
  <c r="AA803" i="1"/>
  <c r="AA1013" i="1"/>
  <c r="AC1020" i="1"/>
  <c r="AA1077" i="1"/>
  <c r="AC1084" i="1"/>
  <c r="AA1116" i="1"/>
  <c r="AC1123" i="1"/>
  <c r="AC1133" i="1"/>
  <c r="AA1134" i="1"/>
  <c r="AC1141" i="1"/>
  <c r="AA1142" i="1"/>
  <c r="AC1149" i="1"/>
  <c r="AA1150" i="1"/>
  <c r="AC1157" i="1"/>
  <c r="AA1158" i="1"/>
  <c r="AC1165" i="1"/>
  <c r="AA1166" i="1"/>
  <c r="AC1173" i="1"/>
  <c r="AA1174" i="1"/>
  <c r="AC1181" i="1"/>
  <c r="AA1182" i="1"/>
  <c r="AC1189" i="1"/>
  <c r="AA1190" i="1"/>
  <c r="AC1197" i="1"/>
  <c r="AA1198" i="1"/>
  <c r="AC1205" i="1"/>
  <c r="AA1206" i="1"/>
  <c r="AC1213" i="1"/>
  <c r="AA1214" i="1"/>
  <c r="AC1221" i="1"/>
  <c r="AA1222" i="1"/>
  <c r="AC1229" i="1"/>
  <c r="AA1230" i="1"/>
  <c r="AC1237" i="1"/>
  <c r="AA1238" i="1"/>
  <c r="AC1245" i="1"/>
  <c r="AA1246" i="1"/>
  <c r="Z922" i="1"/>
  <c r="AC960" i="1"/>
  <c r="Z1021" i="1"/>
  <c r="AB1028" i="1"/>
  <c r="Z1085" i="1"/>
  <c r="AB1092" i="1"/>
  <c r="AB1116" i="1"/>
  <c r="AB1134" i="1"/>
  <c r="Z1135" i="1"/>
  <c r="AB1142" i="1"/>
  <c r="Z1143" i="1"/>
  <c r="AB1150" i="1"/>
  <c r="Z1151" i="1"/>
  <c r="AB1158" i="1"/>
  <c r="Z1159" i="1"/>
  <c r="AB1166" i="1"/>
  <c r="Z1167" i="1"/>
  <c r="AB1174" i="1"/>
  <c r="Z1175" i="1"/>
  <c r="AB1182" i="1"/>
  <c r="Z1183" i="1"/>
  <c r="AB1190" i="1"/>
  <c r="Z1191" i="1"/>
  <c r="AB1198" i="1"/>
  <c r="Z1199" i="1"/>
  <c r="AB1206" i="1"/>
  <c r="Z1207" i="1"/>
  <c r="AB1214" i="1"/>
  <c r="Z1215" i="1"/>
  <c r="AB1222" i="1"/>
  <c r="Z1223" i="1"/>
  <c r="AB1230" i="1"/>
  <c r="Z1231" i="1"/>
  <c r="AB1238" i="1"/>
  <c r="Z1239" i="1"/>
  <c r="AA998" i="1"/>
  <c r="Z1136" i="1"/>
  <c r="AB1143" i="1"/>
  <c r="Z1200" i="1"/>
  <c r="AB1207" i="1"/>
  <c r="AB1259" i="1"/>
  <c r="Z1260" i="1"/>
  <c r="AB1267" i="1"/>
  <c r="Z1268" i="1"/>
  <c r="AB1275" i="1"/>
  <c r="Z1276" i="1"/>
  <c r="AB1283" i="1"/>
  <c r="Z1284" i="1"/>
  <c r="AB1291" i="1"/>
  <c r="Z1292" i="1"/>
  <c r="AB1299" i="1"/>
  <c r="Z1300" i="1"/>
  <c r="AB1307" i="1"/>
  <c r="Z1308" i="1"/>
  <c r="AB1315" i="1"/>
  <c r="Z1316" i="1"/>
  <c r="AB1323" i="1"/>
  <c r="Z1324" i="1"/>
  <c r="AB1331" i="1"/>
  <c r="Z1332" i="1"/>
  <c r="AB1339" i="1"/>
  <c r="Z1340" i="1"/>
  <c r="AB1347" i="1"/>
  <c r="Z1348" i="1"/>
  <c r="AB1355" i="1"/>
  <c r="Z1356" i="1"/>
  <c r="AB1363" i="1"/>
  <c r="Z1364" i="1"/>
  <c r="AB1371" i="1"/>
  <c r="Z1372" i="1"/>
  <c r="AB1379" i="1"/>
  <c r="Z1380" i="1"/>
  <c r="AC1116" i="1"/>
  <c r="AA1151" i="1"/>
  <c r="AC1158" i="1"/>
  <c r="AA1215" i="1"/>
  <c r="AC1222" i="1"/>
  <c r="AC1259" i="1"/>
  <c r="AA1260" i="1"/>
  <c r="AC1267" i="1"/>
  <c r="AA1268" i="1"/>
  <c r="AC1275" i="1"/>
  <c r="AA1276" i="1"/>
  <c r="AC1283" i="1"/>
  <c r="AA1284" i="1"/>
  <c r="AC1291" i="1"/>
  <c r="AA1292" i="1"/>
  <c r="AC1299" i="1"/>
  <c r="AA1300" i="1"/>
  <c r="AC1307" i="1"/>
  <c r="AA1308" i="1"/>
  <c r="AC1315" i="1"/>
  <c r="AA1316" i="1"/>
  <c r="AC1323" i="1"/>
  <c r="AA1324" i="1"/>
  <c r="AC1331" i="1"/>
  <c r="AA1332" i="1"/>
  <c r="AC1339" i="1"/>
  <c r="AA1340" i="1"/>
  <c r="AC1347" i="1"/>
  <c r="AA1348" i="1"/>
  <c r="AC1355" i="1"/>
  <c r="AA1356" i="1"/>
  <c r="AC1363" i="1"/>
  <c r="AA1364" i="1"/>
  <c r="AC1371" i="1"/>
  <c r="AA1372" i="1"/>
  <c r="AC1379" i="1"/>
  <c r="AA1380" i="1"/>
  <c r="Z1144" i="1"/>
  <c r="AB1151" i="1"/>
  <c r="Z1208" i="1"/>
  <c r="AB1215" i="1"/>
  <c r="AB1246" i="1"/>
  <c r="AB1260" i="1"/>
  <c r="Z1261" i="1"/>
  <c r="AB1268" i="1"/>
  <c r="Z1269" i="1"/>
  <c r="AB1276" i="1"/>
  <c r="Z1277" i="1"/>
  <c r="AB1284" i="1"/>
  <c r="Z1285" i="1"/>
  <c r="AB1292" i="1"/>
  <c r="Z1293" i="1"/>
  <c r="AB1300" i="1"/>
  <c r="Z1301" i="1"/>
  <c r="AB1308" i="1"/>
  <c r="Z1309" i="1"/>
  <c r="AB1316" i="1"/>
  <c r="Z1317" i="1"/>
  <c r="AB1324" i="1"/>
  <c r="Z1325" i="1"/>
  <c r="AB1332" i="1"/>
  <c r="Z1333" i="1"/>
  <c r="AB1340" i="1"/>
  <c r="Z1341" i="1"/>
  <c r="AB1348" i="1"/>
  <c r="Z1349" i="1"/>
  <c r="AB1356" i="1"/>
  <c r="Z1357" i="1"/>
  <c r="AB1364" i="1"/>
  <c r="Z1365" i="1"/>
  <c r="AB1372" i="1"/>
  <c r="Z1373" i="1"/>
  <c r="AB1380" i="1"/>
  <c r="Z1381" i="1"/>
  <c r="AA1159" i="1"/>
  <c r="AC1166" i="1"/>
  <c r="AA1223" i="1"/>
  <c r="AC1230" i="1"/>
  <c r="AC1246" i="1"/>
  <c r="Z1249" i="1"/>
  <c r="AC1260" i="1"/>
  <c r="AA1261" i="1"/>
  <c r="AC1268" i="1"/>
  <c r="AA1269" i="1"/>
  <c r="AC1276" i="1"/>
  <c r="AA1277" i="1"/>
  <c r="AC1284" i="1"/>
  <c r="AA1285" i="1"/>
  <c r="AC1292" i="1"/>
  <c r="AA1293" i="1"/>
  <c r="AC1300" i="1"/>
  <c r="AA1301" i="1"/>
  <c r="AC1308" i="1"/>
  <c r="AA1309" i="1"/>
  <c r="AC1316" i="1"/>
  <c r="AA1317" i="1"/>
  <c r="AC1324" i="1"/>
  <c r="AA1325" i="1"/>
  <c r="AC1332" i="1"/>
  <c r="AA1333" i="1"/>
  <c r="AC1340" i="1"/>
  <c r="AA1341" i="1"/>
  <c r="AC1348" i="1"/>
  <c r="AA1349" i="1"/>
  <c r="AC1356" i="1"/>
  <c r="AA1357" i="1"/>
  <c r="AC1364" i="1"/>
  <c r="AA1365" i="1"/>
  <c r="AC1372" i="1"/>
  <c r="AA1373" i="1"/>
  <c r="AC1380" i="1"/>
  <c r="AA1381" i="1"/>
  <c r="Z1152" i="1"/>
  <c r="AB1159" i="1"/>
  <c r="Z1216" i="1"/>
  <c r="AB1223" i="1"/>
  <c r="AB1261" i="1"/>
  <c r="Z1262" i="1"/>
  <c r="AB1269" i="1"/>
  <c r="Z1270" i="1"/>
  <c r="AB1277" i="1"/>
  <c r="Z1278" i="1"/>
  <c r="AB1285" i="1"/>
  <c r="Z1286" i="1"/>
  <c r="AB1293" i="1"/>
  <c r="Z1294" i="1"/>
  <c r="AB1301" i="1"/>
  <c r="Z1302" i="1"/>
  <c r="AB1309" i="1"/>
  <c r="Z1310" i="1"/>
  <c r="AB1317" i="1"/>
  <c r="Z1318" i="1"/>
  <c r="AB1325" i="1"/>
  <c r="Z1326" i="1"/>
  <c r="AB1333" i="1"/>
  <c r="Z1334" i="1"/>
  <c r="AB1341" i="1"/>
  <c r="Z1342" i="1"/>
  <c r="AB1349" i="1"/>
  <c r="Z1350" i="1"/>
  <c r="AB1357" i="1"/>
  <c r="Z1358" i="1"/>
  <c r="AB1365" i="1"/>
  <c r="Z1366" i="1"/>
  <c r="AB1373" i="1"/>
  <c r="Z1374" i="1"/>
  <c r="AB1381" i="1"/>
  <c r="Z1382" i="1"/>
  <c r="AA1021" i="1"/>
  <c r="AA1167" i="1"/>
  <c r="AC1174" i="1"/>
  <c r="AA1231" i="1"/>
  <c r="AC1238" i="1"/>
  <c r="AC1261" i="1"/>
  <c r="AA1262" i="1"/>
  <c r="AC1269" i="1"/>
  <c r="AA1270" i="1"/>
  <c r="AC1277" i="1"/>
  <c r="AA1278" i="1"/>
  <c r="AC1285" i="1"/>
  <c r="AA1286" i="1"/>
  <c r="AC1293" i="1"/>
  <c r="AA1294" i="1"/>
  <c r="AC1301" i="1"/>
  <c r="AA1302" i="1"/>
  <c r="AC1309" i="1"/>
  <c r="AA1310" i="1"/>
  <c r="AC1317" i="1"/>
  <c r="AA1318" i="1"/>
  <c r="AC1325" i="1"/>
  <c r="AA1326" i="1"/>
  <c r="AC1333" i="1"/>
  <c r="AA1334" i="1"/>
  <c r="AC1341" i="1"/>
  <c r="AA1342" i="1"/>
  <c r="AC1349" i="1"/>
  <c r="AA1350" i="1"/>
  <c r="AC1357" i="1"/>
  <c r="AA1358" i="1"/>
  <c r="AC1365" i="1"/>
  <c r="AA1366" i="1"/>
  <c r="AC1373" i="1"/>
  <c r="AA1374" i="1"/>
  <c r="AC1381" i="1"/>
  <c r="AA1382" i="1"/>
  <c r="Z1160" i="1"/>
  <c r="AB1167" i="1"/>
  <c r="Z1224" i="1"/>
  <c r="AB1231" i="1"/>
  <c r="Z1247" i="1"/>
  <c r="AB1262" i="1"/>
  <c r="Z1263" i="1"/>
  <c r="AB1270" i="1"/>
  <c r="Z1271" i="1"/>
  <c r="AB1278" i="1"/>
  <c r="Z1279" i="1"/>
  <c r="AB1286" i="1"/>
  <c r="Z1287" i="1"/>
  <c r="AB1294" i="1"/>
  <c r="Z1295" i="1"/>
  <c r="AB1302" i="1"/>
  <c r="Z1303" i="1"/>
  <c r="AB1310" i="1"/>
  <c r="Z1311" i="1"/>
  <c r="AB1318" i="1"/>
  <c r="Z1319" i="1"/>
  <c r="AB1326" i="1"/>
  <c r="Z1327" i="1"/>
  <c r="AB1334" i="1"/>
  <c r="Z1335" i="1"/>
  <c r="AB1342" i="1"/>
  <c r="Z1343" i="1"/>
  <c r="AB1350" i="1"/>
  <c r="Z1351" i="1"/>
  <c r="AB1358" i="1"/>
  <c r="Z1359" i="1"/>
  <c r="AB1366" i="1"/>
  <c r="Z1367" i="1"/>
  <c r="AB1374" i="1"/>
  <c r="Z1375" i="1"/>
  <c r="AC1028" i="1"/>
  <c r="AA1085" i="1"/>
  <c r="AA1175" i="1"/>
  <c r="AC1182" i="1"/>
  <c r="AA1239" i="1"/>
  <c r="AA1247" i="1"/>
  <c r="AC1262" i="1"/>
  <c r="AA1263" i="1"/>
  <c r="AC1270" i="1"/>
  <c r="AA1271" i="1"/>
  <c r="AC1278" i="1"/>
  <c r="AA1279" i="1"/>
  <c r="AC1286" i="1"/>
  <c r="AA1287" i="1"/>
  <c r="AC1294" i="1"/>
  <c r="AA1295" i="1"/>
  <c r="AC1302" i="1"/>
  <c r="AA1303" i="1"/>
  <c r="AC1310" i="1"/>
  <c r="AA1311" i="1"/>
  <c r="AC1318" i="1"/>
  <c r="AA1319" i="1"/>
  <c r="AC1326" i="1"/>
  <c r="AA1327" i="1"/>
  <c r="AC1334" i="1"/>
  <c r="AA1335" i="1"/>
  <c r="AC1342" i="1"/>
  <c r="AA1343" i="1"/>
  <c r="AC1350" i="1"/>
  <c r="AA1351" i="1"/>
  <c r="AC1358" i="1"/>
  <c r="AA1359" i="1"/>
  <c r="AC1366" i="1"/>
  <c r="AA1367" i="1"/>
  <c r="AC1374" i="1"/>
  <c r="AA1375" i="1"/>
  <c r="AC1382" i="1"/>
  <c r="Z1029" i="1"/>
  <c r="Z1168" i="1"/>
  <c r="AB1175" i="1"/>
  <c r="Z1232" i="1"/>
  <c r="AB1239" i="1"/>
  <c r="AB1247" i="1"/>
  <c r="Z1255" i="1"/>
  <c r="Z1256" i="1"/>
  <c r="AB1263" i="1"/>
  <c r="Z1264" i="1"/>
  <c r="AB1271" i="1"/>
  <c r="Z1272" i="1"/>
  <c r="AB1279" i="1"/>
  <c r="Z1280" i="1"/>
  <c r="AB1287" i="1"/>
  <c r="Z1288" i="1"/>
  <c r="AB1295" i="1"/>
  <c r="Z1296" i="1"/>
  <c r="AB1303" i="1"/>
  <c r="Z1304" i="1"/>
  <c r="AB1311" i="1"/>
  <c r="Z1312" i="1"/>
  <c r="AB1319" i="1"/>
  <c r="Z1320" i="1"/>
  <c r="AB1327" i="1"/>
  <c r="Z1328" i="1"/>
  <c r="AB1335" i="1"/>
  <c r="Z1336" i="1"/>
  <c r="AB1343" i="1"/>
  <c r="Z1344" i="1"/>
  <c r="AB1351" i="1"/>
  <c r="Z1352" i="1"/>
  <c r="AB1359" i="1"/>
  <c r="Z1360" i="1"/>
  <c r="AB1367" i="1"/>
  <c r="AC1092" i="1"/>
  <c r="AA1183" i="1"/>
  <c r="AC1190" i="1"/>
  <c r="AB1244" i="1"/>
  <c r="Z1251" i="1"/>
  <c r="Z1252" i="1"/>
  <c r="Z1253" i="1"/>
  <c r="AA1254" i="1"/>
  <c r="AA1255" i="1"/>
  <c r="AA1256" i="1"/>
  <c r="AC1263" i="1"/>
  <c r="AA1264" i="1"/>
  <c r="AC1271" i="1"/>
  <c r="AA1272" i="1"/>
  <c r="AC1279" i="1"/>
  <c r="AA1280" i="1"/>
  <c r="AC1287" i="1"/>
  <c r="AA1288" i="1"/>
  <c r="AC1295" i="1"/>
  <c r="AA1296" i="1"/>
  <c r="AC1303" i="1"/>
  <c r="AA1304" i="1"/>
  <c r="AC1311" i="1"/>
  <c r="AA1312" i="1"/>
  <c r="AC1319" i="1"/>
  <c r="AA1320" i="1"/>
  <c r="AC1327" i="1"/>
  <c r="AA1328" i="1"/>
  <c r="AC1335" i="1"/>
  <c r="AA1336" i="1"/>
  <c r="AC1343" i="1"/>
  <c r="AA1344" i="1"/>
  <c r="AC1351" i="1"/>
  <c r="AA1352" i="1"/>
  <c r="AC1359" i="1"/>
  <c r="AA1360" i="1"/>
  <c r="AC1367" i="1"/>
  <c r="AA1368" i="1"/>
  <c r="AC1375" i="1"/>
  <c r="AA1376" i="1"/>
  <c r="AB1036" i="1"/>
  <c r="Z1093" i="1"/>
  <c r="Z1176" i="1"/>
  <c r="AB1183" i="1"/>
  <c r="AA1251" i="1"/>
  <c r="AA1252" i="1"/>
  <c r="AA1253" i="1"/>
  <c r="AB1254" i="1"/>
  <c r="AB1255" i="1"/>
  <c r="AB1256" i="1"/>
  <c r="Z1257" i="1"/>
  <c r="AB1264" i="1"/>
  <c r="Z1265" i="1"/>
  <c r="AB1272" i="1"/>
  <c r="Z1273" i="1"/>
  <c r="AB1280" i="1"/>
  <c r="Z1281" i="1"/>
  <c r="AB1288" i="1"/>
  <c r="Z1289" i="1"/>
  <c r="AB1296" i="1"/>
  <c r="Z1297" i="1"/>
  <c r="AB1304" i="1"/>
  <c r="Z1305" i="1"/>
  <c r="AB1312" i="1"/>
  <c r="Z1313" i="1"/>
  <c r="AB1320" i="1"/>
  <c r="Z1321" i="1"/>
  <c r="AB1328" i="1"/>
  <c r="Z1329" i="1"/>
  <c r="AB1336" i="1"/>
  <c r="Z1337" i="1"/>
  <c r="AB1344" i="1"/>
  <c r="Z1345" i="1"/>
  <c r="AB1352" i="1"/>
  <c r="Z1353" i="1"/>
  <c r="AB1360" i="1"/>
  <c r="Z1361" i="1"/>
  <c r="AB1368" i="1"/>
  <c r="Z1369" i="1"/>
  <c r="AB1376" i="1"/>
  <c r="Z1377" i="1"/>
  <c r="AA922" i="1"/>
  <c r="AC1134" i="1"/>
  <c r="AA1191" i="1"/>
  <c r="AC1198" i="1"/>
  <c r="Z1240" i="1"/>
  <c r="AB1251" i="1"/>
  <c r="AB1252" i="1"/>
  <c r="AC1253" i="1"/>
  <c r="AC1254" i="1"/>
  <c r="AC1255" i="1"/>
  <c r="AC1256" i="1"/>
  <c r="AA1257" i="1"/>
  <c r="AC1264" i="1"/>
  <c r="AA1265" i="1"/>
  <c r="AC1272" i="1"/>
  <c r="AA1273" i="1"/>
  <c r="AC1280" i="1"/>
  <c r="AA1281" i="1"/>
  <c r="AC1288" i="1"/>
  <c r="AA1289" i="1"/>
  <c r="AC1296" i="1"/>
  <c r="AA1297" i="1"/>
  <c r="AC1304" i="1"/>
  <c r="AA1305" i="1"/>
  <c r="AC1312" i="1"/>
  <c r="AA1313" i="1"/>
  <c r="AC1320" i="1"/>
  <c r="AA1321" i="1"/>
  <c r="AC1328" i="1"/>
  <c r="AA1329" i="1"/>
  <c r="AC1336" i="1"/>
  <c r="AA1337" i="1"/>
  <c r="AC1344" i="1"/>
  <c r="AA1345" i="1"/>
  <c r="AC1352" i="1"/>
  <c r="AA1353" i="1"/>
  <c r="AC1360" i="1"/>
  <c r="AA1361" i="1"/>
  <c r="AC1368" i="1"/>
  <c r="AA1369" i="1"/>
  <c r="AC1376" i="1"/>
  <c r="AA1377" i="1"/>
  <c r="AA1143" i="1"/>
  <c r="AA1275" i="1"/>
  <c r="AC1282" i="1"/>
  <c r="AA1307" i="1"/>
  <c r="AC1314" i="1"/>
  <c r="AA1339" i="1"/>
  <c r="AC1346" i="1"/>
  <c r="Z1379" i="1"/>
  <c r="AC1389" i="1"/>
  <c r="AA1390" i="1"/>
  <c r="AC1397" i="1"/>
  <c r="AA1398" i="1"/>
  <c r="AC1405" i="1"/>
  <c r="AA1406" i="1"/>
  <c r="AC1413" i="1"/>
  <c r="AA1414" i="1"/>
  <c r="AC1421" i="1"/>
  <c r="AA1422" i="1"/>
  <c r="AC1429" i="1"/>
  <c r="AA1430" i="1"/>
  <c r="AC1437" i="1"/>
  <c r="AA1438" i="1"/>
  <c r="AC1445" i="1"/>
  <c r="AA1446" i="1"/>
  <c r="AC1453" i="1"/>
  <c r="AA1454" i="1"/>
  <c r="AC1461" i="1"/>
  <c r="AA1462" i="1"/>
  <c r="AC1469" i="1"/>
  <c r="AA1470" i="1"/>
  <c r="AC1477" i="1"/>
  <c r="AA1478" i="1"/>
  <c r="AC1485" i="1"/>
  <c r="AA1486" i="1"/>
  <c r="AB1100" i="1"/>
  <c r="Z1258" i="1"/>
  <c r="AB1265" i="1"/>
  <c r="Z1290" i="1"/>
  <c r="AB1297" i="1"/>
  <c r="Z1322" i="1"/>
  <c r="AB1329" i="1"/>
  <c r="Z1354" i="1"/>
  <c r="AB1361" i="1"/>
  <c r="Z1368" i="1"/>
  <c r="AA1379" i="1"/>
  <c r="Z1383" i="1"/>
  <c r="AB1390" i="1"/>
  <c r="Z1391" i="1"/>
  <c r="AB1398" i="1"/>
  <c r="Z1399" i="1"/>
  <c r="AB1406" i="1"/>
  <c r="Z1407" i="1"/>
  <c r="AB1414" i="1"/>
  <c r="Z1415" i="1"/>
  <c r="AB1422" i="1"/>
  <c r="Z1423" i="1"/>
  <c r="AB1430" i="1"/>
  <c r="Z1431" i="1"/>
  <c r="AB1438" i="1"/>
  <c r="Z1439" i="1"/>
  <c r="AB1446" i="1"/>
  <c r="Z1447" i="1"/>
  <c r="AB1454" i="1"/>
  <c r="Z1455" i="1"/>
  <c r="AB1462" i="1"/>
  <c r="Z1463" i="1"/>
  <c r="AB1470" i="1"/>
  <c r="Z1471" i="1"/>
  <c r="AB1478" i="1"/>
  <c r="Z1479" i="1"/>
  <c r="AB1486" i="1"/>
  <c r="Z1487" i="1"/>
  <c r="AB1494" i="1"/>
  <c r="Z1495" i="1"/>
  <c r="AC1206" i="1"/>
  <c r="AC1250" i="1"/>
  <c r="AA1258" i="1"/>
  <c r="AC1265" i="1"/>
  <c r="AA1290" i="1"/>
  <c r="AC1297" i="1"/>
  <c r="AA1322" i="1"/>
  <c r="AC1329" i="1"/>
  <c r="AA1354" i="1"/>
  <c r="AC1361" i="1"/>
  <c r="AA1383" i="1"/>
  <c r="AC1390" i="1"/>
  <c r="AA1391" i="1"/>
  <c r="AC1398" i="1"/>
  <c r="AA1399" i="1"/>
  <c r="AC1406" i="1"/>
  <c r="AA1407" i="1"/>
  <c r="AC1414" i="1"/>
  <c r="AA1415" i="1"/>
  <c r="AC1422" i="1"/>
  <c r="AA1423" i="1"/>
  <c r="AC1430" i="1"/>
  <c r="AA1431" i="1"/>
  <c r="AC1438" i="1"/>
  <c r="AA1439" i="1"/>
  <c r="AC1446" i="1"/>
  <c r="AA1447" i="1"/>
  <c r="AC1454" i="1"/>
  <c r="AA1455" i="1"/>
  <c r="AC1462" i="1"/>
  <c r="AA1463" i="1"/>
  <c r="AC1470" i="1"/>
  <c r="AA1471" i="1"/>
  <c r="AC1478" i="1"/>
  <c r="AA1479" i="1"/>
  <c r="AC1486" i="1"/>
  <c r="AA1487" i="1"/>
  <c r="AB1258" i="1"/>
  <c r="Z1283" i="1"/>
  <c r="AB1290" i="1"/>
  <c r="Z1315" i="1"/>
  <c r="AB1322" i="1"/>
  <c r="Z1347" i="1"/>
  <c r="AB1354" i="1"/>
  <c r="Z1371" i="1"/>
  <c r="AB1383" i="1"/>
  <c r="Z1384" i="1"/>
  <c r="AB1391" i="1"/>
  <c r="Z1392" i="1"/>
  <c r="AB1399" i="1"/>
  <c r="Z1400" i="1"/>
  <c r="AB1407" i="1"/>
  <c r="Z1408" i="1"/>
  <c r="AB1415" i="1"/>
  <c r="Z1416" i="1"/>
  <c r="AB1423" i="1"/>
  <c r="Z1424" i="1"/>
  <c r="AB1431" i="1"/>
  <c r="Z1432" i="1"/>
  <c r="AB1439" i="1"/>
  <c r="Z1440" i="1"/>
  <c r="AB1447" i="1"/>
  <c r="Z1448" i="1"/>
  <c r="AB1455" i="1"/>
  <c r="Z1456" i="1"/>
  <c r="AB1463" i="1"/>
  <c r="Z1464" i="1"/>
  <c r="AB1471" i="1"/>
  <c r="Z1472" i="1"/>
  <c r="AB1479" i="1"/>
  <c r="Z1480" i="1"/>
  <c r="AB1487" i="1"/>
  <c r="Z1488" i="1"/>
  <c r="AC1150" i="1"/>
  <c r="AA1207" i="1"/>
  <c r="AC1258" i="1"/>
  <c r="AA1283" i="1"/>
  <c r="AC1290" i="1"/>
  <c r="AA1315" i="1"/>
  <c r="AC1322" i="1"/>
  <c r="AA1347" i="1"/>
  <c r="AC1354" i="1"/>
  <c r="AA1371" i="1"/>
  <c r="AB1377" i="1"/>
  <c r="AB1382" i="1"/>
  <c r="AC1383" i="1"/>
  <c r="AA1384" i="1"/>
  <c r="AC1391" i="1"/>
  <c r="AA1392" i="1"/>
  <c r="AC1399" i="1"/>
  <c r="AA1400" i="1"/>
  <c r="AC1407" i="1"/>
  <c r="AA1408" i="1"/>
  <c r="AC1415" i="1"/>
  <c r="AA1416" i="1"/>
  <c r="AC1423" i="1"/>
  <c r="AA1424" i="1"/>
  <c r="AC1431" i="1"/>
  <c r="AA1432" i="1"/>
  <c r="AC1439" i="1"/>
  <c r="AA1440" i="1"/>
  <c r="AC1447" i="1"/>
  <c r="AA1448" i="1"/>
  <c r="AC1455" i="1"/>
  <c r="AA1456" i="1"/>
  <c r="AC1463" i="1"/>
  <c r="AA1464" i="1"/>
  <c r="AC1471" i="1"/>
  <c r="AA1472" i="1"/>
  <c r="AC1479" i="1"/>
  <c r="AA1480" i="1"/>
  <c r="AC1487" i="1"/>
  <c r="AA1488" i="1"/>
  <c r="Z1184" i="1"/>
  <c r="AC1251" i="1"/>
  <c r="Z1266" i="1"/>
  <c r="AB1273" i="1"/>
  <c r="Z1298" i="1"/>
  <c r="AB1305" i="1"/>
  <c r="Z1330" i="1"/>
  <c r="AB1337" i="1"/>
  <c r="Z1362" i="1"/>
  <c r="AC1377" i="1"/>
  <c r="AB1384" i="1"/>
  <c r="Z1385" i="1"/>
  <c r="AB1392" i="1"/>
  <c r="Z1393" i="1"/>
  <c r="AB1400" i="1"/>
  <c r="Z1401" i="1"/>
  <c r="AB1408" i="1"/>
  <c r="Z1409" i="1"/>
  <c r="AB1416" i="1"/>
  <c r="Z1417" i="1"/>
  <c r="AB1424" i="1"/>
  <c r="Z1425" i="1"/>
  <c r="AB1432" i="1"/>
  <c r="Z1433" i="1"/>
  <c r="AB1440" i="1"/>
  <c r="Z1441" i="1"/>
  <c r="AB1448" i="1"/>
  <c r="Z1449" i="1"/>
  <c r="AB1456" i="1"/>
  <c r="Z1457" i="1"/>
  <c r="AB1464" i="1"/>
  <c r="Z1465" i="1"/>
  <c r="AB1472" i="1"/>
  <c r="Z1473" i="1"/>
  <c r="AB1480" i="1"/>
  <c r="Z1481" i="1"/>
  <c r="AB1488" i="1"/>
  <c r="Z1489" i="1"/>
  <c r="AA1266" i="1"/>
  <c r="AC1273" i="1"/>
  <c r="AA1298" i="1"/>
  <c r="AC1305" i="1"/>
  <c r="AA1330" i="1"/>
  <c r="AC1337" i="1"/>
  <c r="AA1362" i="1"/>
  <c r="AC1384" i="1"/>
  <c r="AA1385" i="1"/>
  <c r="AC1392" i="1"/>
  <c r="AA1393" i="1"/>
  <c r="AC1400" i="1"/>
  <c r="AA1401" i="1"/>
  <c r="AC1408" i="1"/>
  <c r="AA1409" i="1"/>
  <c r="AC1416" i="1"/>
  <c r="AA1417" i="1"/>
  <c r="AC1424" i="1"/>
  <c r="AA1425" i="1"/>
  <c r="AC1432" i="1"/>
  <c r="AA1433" i="1"/>
  <c r="AC1440" i="1"/>
  <c r="AA1441" i="1"/>
  <c r="AC1448" i="1"/>
  <c r="AA1449" i="1"/>
  <c r="AC1456" i="1"/>
  <c r="AA1457" i="1"/>
  <c r="AC1464" i="1"/>
  <c r="AA1465" i="1"/>
  <c r="AC1472" i="1"/>
  <c r="AA1473" i="1"/>
  <c r="AC1480" i="1"/>
  <c r="AA1481" i="1"/>
  <c r="AC1488" i="1"/>
  <c r="AA1489" i="1"/>
  <c r="Z1128" i="1"/>
  <c r="Z1259" i="1"/>
  <c r="AB1266" i="1"/>
  <c r="Z1291" i="1"/>
  <c r="AB1298" i="1"/>
  <c r="Z1323" i="1"/>
  <c r="AB1330" i="1"/>
  <c r="Z1355" i="1"/>
  <c r="AB1362" i="1"/>
  <c r="AB1369" i="1"/>
  <c r="AB1385" i="1"/>
  <c r="Z1386" i="1"/>
  <c r="AB1393" i="1"/>
  <c r="Z1394" i="1"/>
  <c r="AB1401" i="1"/>
  <c r="Z1402" i="1"/>
  <c r="AB1409" i="1"/>
  <c r="Z1410" i="1"/>
  <c r="AB1417" i="1"/>
  <c r="Z1418" i="1"/>
  <c r="AB1425" i="1"/>
  <c r="Z1426" i="1"/>
  <c r="AB1433" i="1"/>
  <c r="Z1434" i="1"/>
  <c r="AB1441" i="1"/>
  <c r="Z1442" i="1"/>
  <c r="AB1449" i="1"/>
  <c r="Z1450" i="1"/>
  <c r="AB1457" i="1"/>
  <c r="Z1458" i="1"/>
  <c r="AC1214" i="1"/>
  <c r="AA1259" i="1"/>
  <c r="AC1266" i="1"/>
  <c r="AA1291" i="1"/>
  <c r="AC1298" i="1"/>
  <c r="AA1323" i="1"/>
  <c r="AC1330" i="1"/>
  <c r="AA1355" i="1"/>
  <c r="AC1362" i="1"/>
  <c r="AC1369" i="1"/>
  <c r="AC1385" i="1"/>
  <c r="AA1386" i="1"/>
  <c r="AC1393" i="1"/>
  <c r="AA1394" i="1"/>
  <c r="AC1401" i="1"/>
  <c r="AA1402" i="1"/>
  <c r="AC1409" i="1"/>
  <c r="AA1410" i="1"/>
  <c r="AC1417" i="1"/>
  <c r="AA1418" i="1"/>
  <c r="AC1425" i="1"/>
  <c r="AA1426" i="1"/>
  <c r="AC1433" i="1"/>
  <c r="AA1434" i="1"/>
  <c r="AC1441" i="1"/>
  <c r="AA1442" i="1"/>
  <c r="AC1449" i="1"/>
  <c r="AA1450" i="1"/>
  <c r="AC1457" i="1"/>
  <c r="AA1458" i="1"/>
  <c r="AC1465" i="1"/>
  <c r="AA1466" i="1"/>
  <c r="AB1191" i="1"/>
  <c r="AC1252" i="1"/>
  <c r="Z1274" i="1"/>
  <c r="AB1281" i="1"/>
  <c r="Z1306" i="1"/>
  <c r="AB1313" i="1"/>
  <c r="Z1338" i="1"/>
  <c r="AB1345" i="1"/>
  <c r="AB1375" i="1"/>
  <c r="Z1378" i="1"/>
  <c r="AB1386" i="1"/>
  <c r="Z1387" i="1"/>
  <c r="AB1394" i="1"/>
  <c r="Z1395" i="1"/>
  <c r="AB1402" i="1"/>
  <c r="Z1403" i="1"/>
  <c r="AB1410" i="1"/>
  <c r="Z1411" i="1"/>
  <c r="AB1418" i="1"/>
  <c r="Z1419" i="1"/>
  <c r="AB1426" i="1"/>
  <c r="Z1427" i="1"/>
  <c r="AB1434" i="1"/>
  <c r="Z1435" i="1"/>
  <c r="AB1442" i="1"/>
  <c r="Z1443" i="1"/>
  <c r="AB1450" i="1"/>
  <c r="Z1451" i="1"/>
  <c r="AB1458" i="1"/>
  <c r="Z1459" i="1"/>
  <c r="AB1466" i="1"/>
  <c r="Z1467" i="1"/>
  <c r="AB1474" i="1"/>
  <c r="Z1475" i="1"/>
  <c r="AB1482" i="1"/>
  <c r="Z1483" i="1"/>
  <c r="AB1490" i="1"/>
  <c r="Z1491" i="1"/>
  <c r="AA1135" i="1"/>
  <c r="Z1245" i="1"/>
  <c r="AA1274" i="1"/>
  <c r="AC1281" i="1"/>
  <c r="AA1306" i="1"/>
  <c r="AC1313" i="1"/>
  <c r="AA1338" i="1"/>
  <c r="AC1345" i="1"/>
  <c r="AA1378" i="1"/>
  <c r="AC1386" i="1"/>
  <c r="AA1387" i="1"/>
  <c r="AC1394" i="1"/>
  <c r="AA1395" i="1"/>
  <c r="AC1402" i="1"/>
  <c r="AA1403" i="1"/>
  <c r="AC1410" i="1"/>
  <c r="AA1411" i="1"/>
  <c r="AC1418" i="1"/>
  <c r="AA1419" i="1"/>
  <c r="AC1426" i="1"/>
  <c r="AA1427" i="1"/>
  <c r="AC1434" i="1"/>
  <c r="AA1435" i="1"/>
  <c r="AC1442" i="1"/>
  <c r="AA1443" i="1"/>
  <c r="AC1450" i="1"/>
  <c r="AA1451" i="1"/>
  <c r="AC1458" i="1"/>
  <c r="AA1459" i="1"/>
  <c r="AC1466" i="1"/>
  <c r="AA1467" i="1"/>
  <c r="AC1474" i="1"/>
  <c r="AA1475" i="1"/>
  <c r="AC1482" i="1"/>
  <c r="AA1483" i="1"/>
  <c r="AC1490" i="1"/>
  <c r="AA1491" i="1"/>
  <c r="AB1135" i="1"/>
  <c r="Z1192" i="1"/>
  <c r="Z1267" i="1"/>
  <c r="AB1274" i="1"/>
  <c r="Z1299" i="1"/>
  <c r="AB1306" i="1"/>
  <c r="Z1331" i="1"/>
  <c r="AB1338" i="1"/>
  <c r="Z1363" i="1"/>
  <c r="AB1378" i="1"/>
  <c r="AB1387" i="1"/>
  <c r="Z1388" i="1"/>
  <c r="AB1395" i="1"/>
  <c r="Z1396" i="1"/>
  <c r="AB1403" i="1"/>
  <c r="Z1404" i="1"/>
  <c r="AB1411" i="1"/>
  <c r="Z1412" i="1"/>
  <c r="Z1248" i="1"/>
  <c r="AB1257" i="1"/>
  <c r="Z1282" i="1"/>
  <c r="AB1289" i="1"/>
  <c r="Z1314" i="1"/>
  <c r="AB1321" i="1"/>
  <c r="Z1346" i="1"/>
  <c r="AB1353" i="1"/>
  <c r="AA1370" i="1"/>
  <c r="AB1388" i="1"/>
  <c r="Z1389" i="1"/>
  <c r="AB1396" i="1"/>
  <c r="Z1397" i="1"/>
  <c r="AB1404" i="1"/>
  <c r="Z1405" i="1"/>
  <c r="AB1412" i="1"/>
  <c r="Z1413" i="1"/>
  <c r="AB1420" i="1"/>
  <c r="Z1421" i="1"/>
  <c r="AB1428" i="1"/>
  <c r="Z1429" i="1"/>
  <c r="AB1436" i="1"/>
  <c r="Z1437" i="1"/>
  <c r="AB1444" i="1"/>
  <c r="Z1445" i="1"/>
  <c r="AB1452" i="1"/>
  <c r="Z1453" i="1"/>
  <c r="AB1460" i="1"/>
  <c r="Z1461" i="1"/>
  <c r="AB1468" i="1"/>
  <c r="Z1469" i="1"/>
  <c r="AB1476" i="1"/>
  <c r="Z1477" i="1"/>
  <c r="AB1484" i="1"/>
  <c r="Z1485" i="1"/>
  <c r="AB1492" i="1"/>
  <c r="Z1493" i="1"/>
  <c r="AB1199" i="1"/>
  <c r="AA1267" i="1"/>
  <c r="AC1378" i="1"/>
  <c r="Z1390" i="1"/>
  <c r="AC1395" i="1"/>
  <c r="Z1436" i="1"/>
  <c r="AB1443" i="1"/>
  <c r="AC1467" i="1"/>
  <c r="AA1484" i="1"/>
  <c r="AB1495" i="1"/>
  <c r="AA1496" i="1"/>
  <c r="AC1503" i="1"/>
  <c r="AA1504" i="1"/>
  <c r="AC1511" i="1"/>
  <c r="AA1512" i="1"/>
  <c r="AC1519" i="1"/>
  <c r="AA1520" i="1"/>
  <c r="AC1527" i="1"/>
  <c r="AA1528" i="1"/>
  <c r="AC1535" i="1"/>
  <c r="AA1536" i="1"/>
  <c r="AC1543" i="1"/>
  <c r="AA1544" i="1"/>
  <c r="AC1551" i="1"/>
  <c r="AA1552" i="1"/>
  <c r="AC1559" i="1"/>
  <c r="AA1560" i="1"/>
  <c r="AC1567" i="1"/>
  <c r="AA1568" i="1"/>
  <c r="AC1575" i="1"/>
  <c r="AA1576" i="1"/>
  <c r="AC1583" i="1"/>
  <c r="AA1584" i="1"/>
  <c r="AC1591" i="1"/>
  <c r="AA1592" i="1"/>
  <c r="AC1599" i="1"/>
  <c r="AA1600" i="1"/>
  <c r="AC1607" i="1"/>
  <c r="AA1608" i="1"/>
  <c r="AC1306" i="1"/>
  <c r="AA1363" i="1"/>
  <c r="Z1414" i="1"/>
  <c r="AA1436" i="1"/>
  <c r="AC1443" i="1"/>
  <c r="AA1477" i="1"/>
  <c r="Z1482" i="1"/>
  <c r="AC1484" i="1"/>
  <c r="AB1489" i="1"/>
  <c r="Z1494" i="1"/>
  <c r="AC1495" i="1"/>
  <c r="AB1496" i="1"/>
  <c r="Z1497" i="1"/>
  <c r="AB1504" i="1"/>
  <c r="Z1505" i="1"/>
  <c r="AB1512" i="1"/>
  <c r="Z1513" i="1"/>
  <c r="AB1520" i="1"/>
  <c r="Z1521" i="1"/>
  <c r="AB1528" i="1"/>
  <c r="Z1529" i="1"/>
  <c r="AB1536" i="1"/>
  <c r="Z1537" i="1"/>
  <c r="AB1544" i="1"/>
  <c r="Z1545" i="1"/>
  <c r="AB1552" i="1"/>
  <c r="Z1553" i="1"/>
  <c r="AB1560" i="1"/>
  <c r="Z1561" i="1"/>
  <c r="AB1568" i="1"/>
  <c r="Z1569" i="1"/>
  <c r="AB1576" i="1"/>
  <c r="Z1577" i="1"/>
  <c r="AB1584" i="1"/>
  <c r="Z1585" i="1"/>
  <c r="AB1592" i="1"/>
  <c r="Z1593" i="1"/>
  <c r="AB1600" i="1"/>
  <c r="Z1601" i="1"/>
  <c r="AB1608" i="1"/>
  <c r="Z1609" i="1"/>
  <c r="AA1405" i="1"/>
  <c r="AA1429" i="1"/>
  <c r="AC1436" i="1"/>
  <c r="AA1461" i="1"/>
  <c r="Z1470" i="1"/>
  <c r="AB1477" i="1"/>
  <c r="AA1482" i="1"/>
  <c r="AC1489" i="1"/>
  <c r="AA1494" i="1"/>
  <c r="AC1496" i="1"/>
  <c r="AA1497" i="1"/>
  <c r="AC1504" i="1"/>
  <c r="AA1505" i="1"/>
  <c r="AC1512" i="1"/>
  <c r="AA1513" i="1"/>
  <c r="AC1520" i="1"/>
  <c r="AA1521" i="1"/>
  <c r="AC1528" i="1"/>
  <c r="AA1529" i="1"/>
  <c r="AC1536" i="1"/>
  <c r="AA1537" i="1"/>
  <c r="AC1544" i="1"/>
  <c r="AA1545" i="1"/>
  <c r="AC1552" i="1"/>
  <c r="AA1553" i="1"/>
  <c r="AC1560" i="1"/>
  <c r="AA1561" i="1"/>
  <c r="AC1568" i="1"/>
  <c r="AA1569" i="1"/>
  <c r="AC1576" i="1"/>
  <c r="AA1577" i="1"/>
  <c r="AC1584" i="1"/>
  <c r="AA1585" i="1"/>
  <c r="AC1592" i="1"/>
  <c r="AA1593" i="1"/>
  <c r="AC1600" i="1"/>
  <c r="AA1601" i="1"/>
  <c r="AB1248" i="1"/>
  <c r="AC1289" i="1"/>
  <c r="Z1307" i="1"/>
  <c r="AA1346" i="1"/>
  <c r="AA1396" i="1"/>
  <c r="AB1405" i="1"/>
  <c r="Z1422" i="1"/>
  <c r="AB1429" i="1"/>
  <c r="Z1454" i="1"/>
  <c r="AB1461" i="1"/>
  <c r="AB1475" i="1"/>
  <c r="AB1491" i="1"/>
  <c r="AC1494" i="1"/>
  <c r="AB1497" i="1"/>
  <c r="Z1498" i="1"/>
  <c r="AB1505" i="1"/>
  <c r="Z1506" i="1"/>
  <c r="AB1513" i="1"/>
  <c r="Z1514" i="1"/>
  <c r="AB1521" i="1"/>
  <c r="Z1522" i="1"/>
  <c r="AB1529" i="1"/>
  <c r="Z1530" i="1"/>
  <c r="AB1537" i="1"/>
  <c r="Z1538" i="1"/>
  <c r="AB1545" i="1"/>
  <c r="Z1546" i="1"/>
  <c r="AB1553" i="1"/>
  <c r="Z1554" i="1"/>
  <c r="AB1561" i="1"/>
  <c r="Z1562" i="1"/>
  <c r="AB1569" i="1"/>
  <c r="Z1570" i="1"/>
  <c r="AB1577" i="1"/>
  <c r="Z1578" i="1"/>
  <c r="AB1585" i="1"/>
  <c r="Z1586" i="1"/>
  <c r="AB1593" i="1"/>
  <c r="Z1594" i="1"/>
  <c r="AB1601" i="1"/>
  <c r="Z1602" i="1"/>
  <c r="AB1346" i="1"/>
  <c r="AC1396" i="1"/>
  <c r="AB1419" i="1"/>
  <c r="Z1444" i="1"/>
  <c r="AB1451" i="1"/>
  <c r="AB1465" i="1"/>
  <c r="Z1468" i="1"/>
  <c r="AC1475" i="1"/>
  <c r="AC1491" i="1"/>
  <c r="AC1497" i="1"/>
  <c r="AA1498" i="1"/>
  <c r="AC1505" i="1"/>
  <c r="AA1506" i="1"/>
  <c r="AC1513" i="1"/>
  <c r="AA1514" i="1"/>
  <c r="AC1521" i="1"/>
  <c r="AA1522" i="1"/>
  <c r="AC1529" i="1"/>
  <c r="AA1530" i="1"/>
  <c r="AC1537" i="1"/>
  <c r="AA1538" i="1"/>
  <c r="AC1545" i="1"/>
  <c r="AA1546" i="1"/>
  <c r="AC1553" i="1"/>
  <c r="AA1554" i="1"/>
  <c r="AC1561" i="1"/>
  <c r="AA1562" i="1"/>
  <c r="AC1569" i="1"/>
  <c r="AA1570" i="1"/>
  <c r="AC1577" i="1"/>
  <c r="AA1578" i="1"/>
  <c r="AC1585" i="1"/>
  <c r="AA1586" i="1"/>
  <c r="AC1593" i="1"/>
  <c r="AA1594" i="1"/>
  <c r="AC1601" i="1"/>
  <c r="AA1602" i="1"/>
  <c r="AC1387" i="1"/>
  <c r="AC1419" i="1"/>
  <c r="AA1444" i="1"/>
  <c r="AC1451" i="1"/>
  <c r="AA1468" i="1"/>
  <c r="AB1473" i="1"/>
  <c r="AB1498" i="1"/>
  <c r="Z1499" i="1"/>
  <c r="AB1506" i="1"/>
  <c r="Z1507" i="1"/>
  <c r="AB1514" i="1"/>
  <c r="Z1515" i="1"/>
  <c r="AB1522" i="1"/>
  <c r="Z1523" i="1"/>
  <c r="AB1530" i="1"/>
  <c r="Z1531" i="1"/>
  <c r="AB1538" i="1"/>
  <c r="Z1539" i="1"/>
  <c r="AB1546" i="1"/>
  <c r="Z1547" i="1"/>
  <c r="AB1554" i="1"/>
  <c r="Z1555" i="1"/>
  <c r="AB1562" i="1"/>
  <c r="Z1563" i="1"/>
  <c r="AB1570" i="1"/>
  <c r="Z1571" i="1"/>
  <c r="AB1578" i="1"/>
  <c r="Z1579" i="1"/>
  <c r="AB1586" i="1"/>
  <c r="Z1587" i="1"/>
  <c r="AB1594" i="1"/>
  <c r="Z1595" i="1"/>
  <c r="AB1602" i="1"/>
  <c r="Z1603" i="1"/>
  <c r="AC1274" i="1"/>
  <c r="AA1331" i="1"/>
  <c r="Z1406" i="1"/>
  <c r="AC1411" i="1"/>
  <c r="AA1437" i="1"/>
  <c r="AC1444" i="1"/>
  <c r="AC1468" i="1"/>
  <c r="AC1473" i="1"/>
  <c r="AA1493" i="1"/>
  <c r="AC1498" i="1"/>
  <c r="AA1499" i="1"/>
  <c r="AC1506" i="1"/>
  <c r="AA1507" i="1"/>
  <c r="AC1514" i="1"/>
  <c r="AA1515" i="1"/>
  <c r="AC1522" i="1"/>
  <c r="AA1523" i="1"/>
  <c r="AC1530" i="1"/>
  <c r="AA1531" i="1"/>
  <c r="AC1538" i="1"/>
  <c r="AA1539" i="1"/>
  <c r="AC1546" i="1"/>
  <c r="AA1547" i="1"/>
  <c r="AC1554" i="1"/>
  <c r="AA1555" i="1"/>
  <c r="AC1562" i="1"/>
  <c r="AA1563" i="1"/>
  <c r="AC1570" i="1"/>
  <c r="AA1571" i="1"/>
  <c r="AC1578" i="1"/>
  <c r="AA1579" i="1"/>
  <c r="AC1586" i="1"/>
  <c r="AA1587" i="1"/>
  <c r="AC1594" i="1"/>
  <c r="AA1595" i="1"/>
  <c r="AC1602" i="1"/>
  <c r="AA1603" i="1"/>
  <c r="Z1370" i="1"/>
  <c r="AA1397" i="1"/>
  <c r="Z1430" i="1"/>
  <c r="AB1437" i="1"/>
  <c r="Z1462" i="1"/>
  <c r="AA1485" i="1"/>
  <c r="AB1493" i="1"/>
  <c r="AB1499" i="1"/>
  <c r="Z1500" i="1"/>
  <c r="AB1507" i="1"/>
  <c r="Z1508" i="1"/>
  <c r="AB1515" i="1"/>
  <c r="Z1516" i="1"/>
  <c r="AB1523" i="1"/>
  <c r="Z1524" i="1"/>
  <c r="AB1531" i="1"/>
  <c r="Z1532" i="1"/>
  <c r="AB1539" i="1"/>
  <c r="Z1540" i="1"/>
  <c r="AB1547" i="1"/>
  <c r="Z1548" i="1"/>
  <c r="AB1555" i="1"/>
  <c r="Z1556" i="1"/>
  <c r="AB1563" i="1"/>
  <c r="Z1564" i="1"/>
  <c r="AB1571" i="1"/>
  <c r="Z1572" i="1"/>
  <c r="AB1579" i="1"/>
  <c r="Z1580" i="1"/>
  <c r="AB1587" i="1"/>
  <c r="Z1588" i="1"/>
  <c r="AB1595" i="1"/>
  <c r="Z1596" i="1"/>
  <c r="AB1603" i="1"/>
  <c r="Z1604" i="1"/>
  <c r="AC1257" i="1"/>
  <c r="Z1275" i="1"/>
  <c r="AA1314" i="1"/>
  <c r="AB1370" i="1"/>
  <c r="AA1388" i="1"/>
  <c r="AB1397" i="1"/>
  <c r="Z1420" i="1"/>
  <c r="AB1427" i="1"/>
  <c r="Z1452" i="1"/>
  <c r="AB1459" i="1"/>
  <c r="Z1478" i="1"/>
  <c r="AB1485" i="1"/>
  <c r="AC1493" i="1"/>
  <c r="AC1499" i="1"/>
  <c r="AA1500" i="1"/>
  <c r="AC1507" i="1"/>
  <c r="AA1508" i="1"/>
  <c r="AC1515" i="1"/>
  <c r="AA1516" i="1"/>
  <c r="AC1523" i="1"/>
  <c r="AA1524" i="1"/>
  <c r="AC1531" i="1"/>
  <c r="AA1532" i="1"/>
  <c r="AC1539" i="1"/>
  <c r="AA1540" i="1"/>
  <c r="AC1547" i="1"/>
  <c r="AA1548" i="1"/>
  <c r="AC1555" i="1"/>
  <c r="AA1556" i="1"/>
  <c r="AC1563" i="1"/>
  <c r="AA1564" i="1"/>
  <c r="AC1571" i="1"/>
  <c r="AA1572" i="1"/>
  <c r="AC1579" i="1"/>
  <c r="AA1580" i="1"/>
  <c r="AC1587" i="1"/>
  <c r="AA1588" i="1"/>
  <c r="AC1595" i="1"/>
  <c r="AA1596" i="1"/>
  <c r="AC1603" i="1"/>
  <c r="AA1604" i="1"/>
  <c r="AB1314" i="1"/>
  <c r="AC1353" i="1"/>
  <c r="AC1370" i="1"/>
  <c r="AC1388" i="1"/>
  <c r="AA1412" i="1"/>
  <c r="AA1420" i="1"/>
  <c r="AC1427" i="1"/>
  <c r="AA1452" i="1"/>
  <c r="AC1459" i="1"/>
  <c r="Z1466" i="1"/>
  <c r="Z1476" i="1"/>
  <c r="AB1483" i="1"/>
  <c r="Z1490" i="1"/>
  <c r="AB1500" i="1"/>
  <c r="Z1501" i="1"/>
  <c r="AB1508" i="1"/>
  <c r="Z1509" i="1"/>
  <c r="AB1516" i="1"/>
  <c r="Z1517" i="1"/>
  <c r="AB1524" i="1"/>
  <c r="Z1525" i="1"/>
  <c r="AB1532" i="1"/>
  <c r="Z1533" i="1"/>
  <c r="AB1540" i="1"/>
  <c r="Z1541" i="1"/>
  <c r="AB1548" i="1"/>
  <c r="Z1549" i="1"/>
  <c r="AB1556" i="1"/>
  <c r="Z1557" i="1"/>
  <c r="AB1564" i="1"/>
  <c r="Z1565" i="1"/>
  <c r="AB1572" i="1"/>
  <c r="Z1573" i="1"/>
  <c r="AB1580" i="1"/>
  <c r="Z1581" i="1"/>
  <c r="AB1588" i="1"/>
  <c r="Z1589" i="1"/>
  <c r="AB1596" i="1"/>
  <c r="Z1597" i="1"/>
  <c r="AB1604" i="1"/>
  <c r="Z1605" i="1"/>
  <c r="AC1412" i="1"/>
  <c r="AC1420" i="1"/>
  <c r="AA1445" i="1"/>
  <c r="AC1452" i="1"/>
  <c r="AA1476" i="1"/>
  <c r="AC1483" i="1"/>
  <c r="AA1490" i="1"/>
  <c r="AC1500" i="1"/>
  <c r="AA1501" i="1"/>
  <c r="AC1508" i="1"/>
  <c r="AA1509" i="1"/>
  <c r="AC1516" i="1"/>
  <c r="AA1517" i="1"/>
  <c r="AC1524" i="1"/>
  <c r="AA1525" i="1"/>
  <c r="AC1532" i="1"/>
  <c r="AA1533" i="1"/>
  <c r="AC1540" i="1"/>
  <c r="AA1541" i="1"/>
  <c r="AC1548" i="1"/>
  <c r="AA1549" i="1"/>
  <c r="AC1556" i="1"/>
  <c r="AA1557" i="1"/>
  <c r="AC1564" i="1"/>
  <c r="AA1565" i="1"/>
  <c r="AC1572" i="1"/>
  <c r="AA1573" i="1"/>
  <c r="AC1580" i="1"/>
  <c r="AA1581" i="1"/>
  <c r="AC1588" i="1"/>
  <c r="AA1589" i="1"/>
  <c r="AC1596" i="1"/>
  <c r="AA1597" i="1"/>
  <c r="AC1604" i="1"/>
  <c r="AA1605" i="1"/>
  <c r="AC1142" i="1"/>
  <c r="AA1299" i="1"/>
  <c r="Z1398" i="1"/>
  <c r="AC1403" i="1"/>
  <c r="Z1438" i="1"/>
  <c r="AB1445" i="1"/>
  <c r="AA1469" i="1"/>
  <c r="Z1474" i="1"/>
  <c r="AC1476" i="1"/>
  <c r="AB1481" i="1"/>
  <c r="Z1492" i="1"/>
  <c r="AB1501" i="1"/>
  <c r="Z1502" i="1"/>
  <c r="AB1509" i="1"/>
  <c r="Z1510" i="1"/>
  <c r="AB1517" i="1"/>
  <c r="Z1518" i="1"/>
  <c r="AB1525" i="1"/>
  <c r="Z1526" i="1"/>
  <c r="AB1533" i="1"/>
  <c r="Z1534" i="1"/>
  <c r="AB1541" i="1"/>
  <c r="Z1542" i="1"/>
  <c r="AB1549" i="1"/>
  <c r="Z1550" i="1"/>
  <c r="AB1557" i="1"/>
  <c r="Z1558" i="1"/>
  <c r="AB1565" i="1"/>
  <c r="Z1566" i="1"/>
  <c r="AB1573" i="1"/>
  <c r="Z1574" i="1"/>
  <c r="AB1581" i="1"/>
  <c r="Z1582" i="1"/>
  <c r="AB1589" i="1"/>
  <c r="Z1590" i="1"/>
  <c r="AB1597" i="1"/>
  <c r="Z1598" i="1"/>
  <c r="AB1605" i="1"/>
  <c r="Z1606" i="1"/>
  <c r="AC1338" i="1"/>
  <c r="AA1389" i="1"/>
  <c r="Z1428" i="1"/>
  <c r="AB1435" i="1"/>
  <c r="Z1460" i="1"/>
  <c r="AB1469" i="1"/>
  <c r="AA1474" i="1"/>
  <c r="AC1481" i="1"/>
  <c r="AA1492" i="1"/>
  <c r="AC1501" i="1"/>
  <c r="AA1502" i="1"/>
  <c r="AC1509" i="1"/>
  <c r="AA1510" i="1"/>
  <c r="AC1517" i="1"/>
  <c r="AA1518" i="1"/>
  <c r="AC1525" i="1"/>
  <c r="AA1526" i="1"/>
  <c r="AC1533" i="1"/>
  <c r="AA1534" i="1"/>
  <c r="AC1541" i="1"/>
  <c r="AA1542" i="1"/>
  <c r="AC1549" i="1"/>
  <c r="AA1550" i="1"/>
  <c r="AC1557" i="1"/>
  <c r="AA1558" i="1"/>
  <c r="AC1565" i="1"/>
  <c r="AA1566" i="1"/>
  <c r="AC1573" i="1"/>
  <c r="AA1574" i="1"/>
  <c r="AC1581" i="1"/>
  <c r="AA1582" i="1"/>
  <c r="AC1589" i="1"/>
  <c r="AA1590" i="1"/>
  <c r="AC1597" i="1"/>
  <c r="AA1598" i="1"/>
  <c r="AC1605" i="1"/>
  <c r="AA1606" i="1"/>
  <c r="AB1282" i="1"/>
  <c r="AC1428" i="1"/>
  <c r="Z1446" i="1"/>
  <c r="AC1502" i="1"/>
  <c r="AB1526" i="1"/>
  <c r="AB1535" i="1"/>
  <c r="AA1559" i="1"/>
  <c r="Z1583" i="1"/>
  <c r="Z1592" i="1"/>
  <c r="AB1616" i="1"/>
  <c r="Z1617" i="1"/>
  <c r="AB1624" i="1"/>
  <c r="Z1625" i="1"/>
  <c r="AB1632" i="1"/>
  <c r="Z1633" i="1"/>
  <c r="AB1640" i="1"/>
  <c r="Z1641" i="1"/>
  <c r="AB1648" i="1"/>
  <c r="Z1649" i="1"/>
  <c r="AB1656" i="1"/>
  <c r="Z1657" i="1"/>
  <c r="AB1664" i="1"/>
  <c r="Z1665" i="1"/>
  <c r="AB1672" i="1"/>
  <c r="Z1673" i="1"/>
  <c r="AB1680" i="1"/>
  <c r="Z1681" i="1"/>
  <c r="AB1688" i="1"/>
  <c r="Z1689" i="1"/>
  <c r="AB1696" i="1"/>
  <c r="Z1697" i="1"/>
  <c r="AB1704" i="1"/>
  <c r="Z1705" i="1"/>
  <c r="AB1712" i="1"/>
  <c r="Z1713" i="1"/>
  <c r="AB1720" i="1"/>
  <c r="Z1721" i="1"/>
  <c r="AB1728" i="1"/>
  <c r="Z1729" i="1"/>
  <c r="AC1492" i="1"/>
  <c r="AC1526" i="1"/>
  <c r="AB1550" i="1"/>
  <c r="AB1559" i="1"/>
  <c r="AA1583" i="1"/>
  <c r="AA1609" i="1"/>
  <c r="AC1616" i="1"/>
  <c r="AA1617" i="1"/>
  <c r="AC1624" i="1"/>
  <c r="AA1625" i="1"/>
  <c r="AC1632" i="1"/>
  <c r="AA1633" i="1"/>
  <c r="AC1640" i="1"/>
  <c r="AA1641" i="1"/>
  <c r="AC1648" i="1"/>
  <c r="AA1649" i="1"/>
  <c r="AC1656" i="1"/>
  <c r="AA1657" i="1"/>
  <c r="AC1664" i="1"/>
  <c r="AA1665" i="1"/>
  <c r="AC1672" i="1"/>
  <c r="AA1673" i="1"/>
  <c r="AC1680" i="1"/>
  <c r="AA1681" i="1"/>
  <c r="AC1688" i="1"/>
  <c r="AA1689" i="1"/>
  <c r="AC1696" i="1"/>
  <c r="AA1697" i="1"/>
  <c r="AC1704" i="1"/>
  <c r="AA1705" i="1"/>
  <c r="AC1712" i="1"/>
  <c r="AA1713" i="1"/>
  <c r="AC1720" i="1"/>
  <c r="AA1721" i="1"/>
  <c r="AC1728" i="1"/>
  <c r="AA1729" i="1"/>
  <c r="AB1467" i="1"/>
  <c r="Z1503" i="1"/>
  <c r="Z1512" i="1"/>
  <c r="AC1550" i="1"/>
  <c r="AB1574" i="1"/>
  <c r="AB1583" i="1"/>
  <c r="Z1607" i="1"/>
  <c r="AB1609" i="1"/>
  <c r="Z1610" i="1"/>
  <c r="AB1617" i="1"/>
  <c r="Z1618" i="1"/>
  <c r="AB1625" i="1"/>
  <c r="Z1626" i="1"/>
  <c r="AB1633" i="1"/>
  <c r="Z1634" i="1"/>
  <c r="AB1641" i="1"/>
  <c r="Z1642" i="1"/>
  <c r="AB1649" i="1"/>
  <c r="Z1650" i="1"/>
  <c r="AB1657" i="1"/>
  <c r="Z1658" i="1"/>
  <c r="AB1665" i="1"/>
  <c r="Z1666" i="1"/>
  <c r="AB1673" i="1"/>
  <c r="Z1674" i="1"/>
  <c r="AB1681" i="1"/>
  <c r="Z1682" i="1"/>
  <c r="AB1689" i="1"/>
  <c r="Z1690" i="1"/>
  <c r="AB1697" i="1"/>
  <c r="Z1698" i="1"/>
  <c r="AB1705" i="1"/>
  <c r="Z1706" i="1"/>
  <c r="AB1713" i="1"/>
  <c r="Z1714" i="1"/>
  <c r="AB1721" i="1"/>
  <c r="Z1722" i="1"/>
  <c r="AB1729" i="1"/>
  <c r="Z1730" i="1"/>
  <c r="AA1413" i="1"/>
  <c r="AA1503" i="1"/>
  <c r="Z1527" i="1"/>
  <c r="Z1536" i="1"/>
  <c r="AC1574" i="1"/>
  <c r="AB1598" i="1"/>
  <c r="AA1607" i="1"/>
  <c r="AC1609" i="1"/>
  <c r="AA1610" i="1"/>
  <c r="AC1617" i="1"/>
  <c r="AA1618" i="1"/>
  <c r="AC1625" i="1"/>
  <c r="AA1626" i="1"/>
  <c r="AC1633" i="1"/>
  <c r="AA1634" i="1"/>
  <c r="AC1641" i="1"/>
  <c r="AA1642" i="1"/>
  <c r="AC1649" i="1"/>
  <c r="AA1650" i="1"/>
  <c r="AC1657" i="1"/>
  <c r="AA1658" i="1"/>
  <c r="AC1665" i="1"/>
  <c r="AA1666" i="1"/>
  <c r="AC1673" i="1"/>
  <c r="AA1674" i="1"/>
  <c r="AC1681" i="1"/>
  <c r="AA1682" i="1"/>
  <c r="AC1689" i="1"/>
  <c r="AA1690" i="1"/>
  <c r="AC1697" i="1"/>
  <c r="AA1698" i="1"/>
  <c r="AC1705" i="1"/>
  <c r="AA1706" i="1"/>
  <c r="AC1713" i="1"/>
  <c r="AA1714" i="1"/>
  <c r="AC1721" i="1"/>
  <c r="AA1722" i="1"/>
  <c r="AC1729" i="1"/>
  <c r="AA1730" i="1"/>
  <c r="AB1389" i="1"/>
  <c r="AB1413" i="1"/>
  <c r="AB1503" i="1"/>
  <c r="AA1527" i="1"/>
  <c r="Z1551" i="1"/>
  <c r="Z1560" i="1"/>
  <c r="AC1598" i="1"/>
  <c r="AB1607" i="1"/>
  <c r="AB1610" i="1"/>
  <c r="Z1611" i="1"/>
  <c r="AB1618" i="1"/>
  <c r="Z1619" i="1"/>
  <c r="AB1626" i="1"/>
  <c r="Z1627" i="1"/>
  <c r="AB1634" i="1"/>
  <c r="Z1635" i="1"/>
  <c r="AB1642" i="1"/>
  <c r="Z1643" i="1"/>
  <c r="AB1650" i="1"/>
  <c r="Z1651" i="1"/>
  <c r="AB1658" i="1"/>
  <c r="Z1659" i="1"/>
  <c r="AB1666" i="1"/>
  <c r="Z1667" i="1"/>
  <c r="AB1674" i="1"/>
  <c r="Z1675" i="1"/>
  <c r="AB1682" i="1"/>
  <c r="Z1683" i="1"/>
  <c r="AB1690" i="1"/>
  <c r="Z1691" i="1"/>
  <c r="AB1698" i="1"/>
  <c r="Z1699" i="1"/>
  <c r="AB1706" i="1"/>
  <c r="Z1707" i="1"/>
  <c r="AB1714" i="1"/>
  <c r="Z1715" i="1"/>
  <c r="AB1722" i="1"/>
  <c r="Z1723" i="1"/>
  <c r="AB1730" i="1"/>
  <c r="Z1731" i="1"/>
  <c r="AC1435" i="1"/>
  <c r="AA1453" i="1"/>
  <c r="AB1518" i="1"/>
  <c r="AB1527" i="1"/>
  <c r="AA1551" i="1"/>
  <c r="Z1575" i="1"/>
  <c r="Z1584" i="1"/>
  <c r="AC1610" i="1"/>
  <c r="AA1611" i="1"/>
  <c r="AC1618" i="1"/>
  <c r="AA1619" i="1"/>
  <c r="AC1626" i="1"/>
  <c r="AA1627" i="1"/>
  <c r="AC1634" i="1"/>
  <c r="AA1635" i="1"/>
  <c r="AC1642" i="1"/>
  <c r="AA1643" i="1"/>
  <c r="AC1650" i="1"/>
  <c r="AA1651" i="1"/>
  <c r="AC1658" i="1"/>
  <c r="AA1659" i="1"/>
  <c r="AC1666" i="1"/>
  <c r="AA1667" i="1"/>
  <c r="AC1674" i="1"/>
  <c r="AA1675" i="1"/>
  <c r="AC1682" i="1"/>
  <c r="AA1683" i="1"/>
  <c r="AC1690" i="1"/>
  <c r="AA1691" i="1"/>
  <c r="AC1698" i="1"/>
  <c r="AA1699" i="1"/>
  <c r="AC1706" i="1"/>
  <c r="AA1707" i="1"/>
  <c r="AC1714" i="1"/>
  <c r="AA1715" i="1"/>
  <c r="AC1722" i="1"/>
  <c r="AA1723" i="1"/>
  <c r="AC1730" i="1"/>
  <c r="AA1731" i="1"/>
  <c r="AC1321" i="1"/>
  <c r="AB1453" i="1"/>
  <c r="AC1518" i="1"/>
  <c r="AB1542" i="1"/>
  <c r="AB1551" i="1"/>
  <c r="AA1575" i="1"/>
  <c r="Z1599" i="1"/>
  <c r="AB1611" i="1"/>
  <c r="Z1612" i="1"/>
  <c r="AB1619" i="1"/>
  <c r="Z1620" i="1"/>
  <c r="AB1627" i="1"/>
  <c r="Z1628" i="1"/>
  <c r="AB1635" i="1"/>
  <c r="Z1636" i="1"/>
  <c r="AB1643" i="1"/>
  <c r="Z1644" i="1"/>
  <c r="AB1651" i="1"/>
  <c r="Z1652" i="1"/>
  <c r="AB1659" i="1"/>
  <c r="Z1660" i="1"/>
  <c r="AB1667" i="1"/>
  <c r="Z1668" i="1"/>
  <c r="AB1675" i="1"/>
  <c r="Z1676" i="1"/>
  <c r="AB1683" i="1"/>
  <c r="Z1684" i="1"/>
  <c r="AB1691" i="1"/>
  <c r="Z1692" i="1"/>
  <c r="AB1699" i="1"/>
  <c r="Z1700" i="1"/>
  <c r="AB1707" i="1"/>
  <c r="Z1708" i="1"/>
  <c r="AB1715" i="1"/>
  <c r="Z1716" i="1"/>
  <c r="AB1723" i="1"/>
  <c r="Z1724" i="1"/>
  <c r="AB1731" i="1"/>
  <c r="Z1484" i="1"/>
  <c r="Z1504" i="1"/>
  <c r="AC1542" i="1"/>
  <c r="AB1566" i="1"/>
  <c r="AB1575" i="1"/>
  <c r="AA1599" i="1"/>
  <c r="AC1611" i="1"/>
  <c r="AA1612" i="1"/>
  <c r="AC1619" i="1"/>
  <c r="AA1620" i="1"/>
  <c r="AC1627" i="1"/>
  <c r="AA1628" i="1"/>
  <c r="AC1635" i="1"/>
  <c r="AA1636" i="1"/>
  <c r="AC1643" i="1"/>
  <c r="AA1644" i="1"/>
  <c r="AC1651" i="1"/>
  <c r="AA1652" i="1"/>
  <c r="AC1659" i="1"/>
  <c r="AA1660" i="1"/>
  <c r="AC1667" i="1"/>
  <c r="AA1668" i="1"/>
  <c r="AC1675" i="1"/>
  <c r="AA1676" i="1"/>
  <c r="AC1683" i="1"/>
  <c r="AA1684" i="1"/>
  <c r="AC1691" i="1"/>
  <c r="AA1692" i="1"/>
  <c r="AC1699" i="1"/>
  <c r="AA1700" i="1"/>
  <c r="AC1707" i="1"/>
  <c r="AA1708" i="1"/>
  <c r="AC1715" i="1"/>
  <c r="AA1716" i="1"/>
  <c r="AC1723" i="1"/>
  <c r="AA1724" i="1"/>
  <c r="Z1519" i="1"/>
  <c r="Z1528" i="1"/>
  <c r="AC1566" i="1"/>
  <c r="AB1590" i="1"/>
  <c r="AB1599" i="1"/>
  <c r="Z1608" i="1"/>
  <c r="AB1612" i="1"/>
  <c r="Z1613" i="1"/>
  <c r="AB1620" i="1"/>
  <c r="Z1621" i="1"/>
  <c r="AB1628" i="1"/>
  <c r="Z1629" i="1"/>
  <c r="AB1636" i="1"/>
  <c r="Z1637" i="1"/>
  <c r="AB1644" i="1"/>
  <c r="Z1645" i="1"/>
  <c r="AB1652" i="1"/>
  <c r="Z1653" i="1"/>
  <c r="AB1660" i="1"/>
  <c r="Z1661" i="1"/>
  <c r="AB1668" i="1"/>
  <c r="Z1669" i="1"/>
  <c r="AB1676" i="1"/>
  <c r="Z1677" i="1"/>
  <c r="AB1684" i="1"/>
  <c r="Z1685" i="1"/>
  <c r="AB1692" i="1"/>
  <c r="Z1693" i="1"/>
  <c r="AB1700" i="1"/>
  <c r="Z1701" i="1"/>
  <c r="AB1708" i="1"/>
  <c r="Z1709" i="1"/>
  <c r="AB1716" i="1"/>
  <c r="Z1717" i="1"/>
  <c r="AB1724" i="1"/>
  <c r="Z1725" i="1"/>
  <c r="Z1339" i="1"/>
  <c r="Z1486" i="1"/>
  <c r="AA1495" i="1"/>
  <c r="AA1519" i="1"/>
  <c r="Z1543" i="1"/>
  <c r="Z1552" i="1"/>
  <c r="AC1590" i="1"/>
  <c r="AC1608" i="1"/>
  <c r="AC1612" i="1"/>
  <c r="AA1613" i="1"/>
  <c r="AC1620" i="1"/>
  <c r="AA1621" i="1"/>
  <c r="AC1628" i="1"/>
  <c r="AA1629" i="1"/>
  <c r="AC1636" i="1"/>
  <c r="AA1637" i="1"/>
  <c r="AC1644" i="1"/>
  <c r="AA1645" i="1"/>
  <c r="AC1652" i="1"/>
  <c r="AA1653" i="1"/>
  <c r="AC1660" i="1"/>
  <c r="AA1661" i="1"/>
  <c r="AC1668" i="1"/>
  <c r="AA1669" i="1"/>
  <c r="AC1676" i="1"/>
  <c r="AA1677" i="1"/>
  <c r="AC1684" i="1"/>
  <c r="AA1685" i="1"/>
  <c r="AC1692" i="1"/>
  <c r="AA1693" i="1"/>
  <c r="AC1700" i="1"/>
  <c r="AA1701" i="1"/>
  <c r="AC1708" i="1"/>
  <c r="AA1709" i="1"/>
  <c r="AC1716" i="1"/>
  <c r="AA1717" i="1"/>
  <c r="AC1724" i="1"/>
  <c r="AA1725" i="1"/>
  <c r="AA1421" i="1"/>
  <c r="AA1460" i="1"/>
  <c r="AB1510" i="1"/>
  <c r="AB1519" i="1"/>
  <c r="AA1543" i="1"/>
  <c r="Z1567" i="1"/>
  <c r="Z1576" i="1"/>
  <c r="AB1613" i="1"/>
  <c r="Z1614" i="1"/>
  <c r="AB1621" i="1"/>
  <c r="Z1622" i="1"/>
  <c r="AB1629" i="1"/>
  <c r="Z1630" i="1"/>
  <c r="AB1637" i="1"/>
  <c r="Z1638" i="1"/>
  <c r="AB1645" i="1"/>
  <c r="Z1646" i="1"/>
  <c r="AB1653" i="1"/>
  <c r="Z1654" i="1"/>
  <c r="AB1661" i="1"/>
  <c r="Z1662" i="1"/>
  <c r="AB1669" i="1"/>
  <c r="Z1670" i="1"/>
  <c r="AB1677" i="1"/>
  <c r="Z1678" i="1"/>
  <c r="AB1685" i="1"/>
  <c r="Z1686" i="1"/>
  <c r="AB1693" i="1"/>
  <c r="Z1694" i="1"/>
  <c r="AB1701" i="1"/>
  <c r="Z1702" i="1"/>
  <c r="AB1709" i="1"/>
  <c r="Z1710" i="1"/>
  <c r="AB1717" i="1"/>
  <c r="Z1718" i="1"/>
  <c r="AB1725" i="1"/>
  <c r="Z1726" i="1"/>
  <c r="AA1199" i="1"/>
  <c r="AB1421" i="1"/>
  <c r="AC1460" i="1"/>
  <c r="AC1510" i="1"/>
  <c r="AB1534" i="1"/>
  <c r="AB1543" i="1"/>
  <c r="AA1567" i="1"/>
  <c r="Z1591" i="1"/>
  <c r="Z1600" i="1"/>
  <c r="AC1613" i="1"/>
  <c r="AA1614" i="1"/>
  <c r="AC1621" i="1"/>
  <c r="AA1622" i="1"/>
  <c r="AC1629" i="1"/>
  <c r="AA1630" i="1"/>
  <c r="AC1637" i="1"/>
  <c r="AA1638" i="1"/>
  <c r="AC1645" i="1"/>
  <c r="AA1646" i="1"/>
  <c r="AC1653" i="1"/>
  <c r="AA1654" i="1"/>
  <c r="AC1661" i="1"/>
  <c r="AA1662" i="1"/>
  <c r="AC1669" i="1"/>
  <c r="AA1670" i="1"/>
  <c r="AC1677" i="1"/>
  <c r="AA1678" i="1"/>
  <c r="AC1685" i="1"/>
  <c r="AA1686" i="1"/>
  <c r="AC1693" i="1"/>
  <c r="AA1694" i="1"/>
  <c r="AC1701" i="1"/>
  <c r="AA1702" i="1"/>
  <c r="AC1709" i="1"/>
  <c r="AA1710" i="1"/>
  <c r="AC1717" i="1"/>
  <c r="AA1718" i="1"/>
  <c r="AC1725" i="1"/>
  <c r="AA1726" i="1"/>
  <c r="Z1496" i="1"/>
  <c r="AC1534" i="1"/>
  <c r="AB1558" i="1"/>
  <c r="AB1567" i="1"/>
  <c r="AA1591" i="1"/>
  <c r="AB1614" i="1"/>
  <c r="Z1615" i="1"/>
  <c r="AB1622" i="1"/>
  <c r="Z1623" i="1"/>
  <c r="AB1630" i="1"/>
  <c r="Z1631" i="1"/>
  <c r="AB1638" i="1"/>
  <c r="Z1639" i="1"/>
  <c r="AB1646" i="1"/>
  <c r="Z1647" i="1"/>
  <c r="AB1654" i="1"/>
  <c r="Z1655" i="1"/>
  <c r="AB1662" i="1"/>
  <c r="Z1663" i="1"/>
  <c r="AB1670" i="1"/>
  <c r="Z1671" i="1"/>
  <c r="AB1678" i="1"/>
  <c r="Z1679" i="1"/>
  <c r="AB1686" i="1"/>
  <c r="Z1687" i="1"/>
  <c r="AB1694" i="1"/>
  <c r="Z1695" i="1"/>
  <c r="AB1702" i="1"/>
  <c r="Z1703" i="1"/>
  <c r="AB1710" i="1"/>
  <c r="Z1711" i="1"/>
  <c r="AB1718" i="1"/>
  <c r="Z1719" i="1"/>
  <c r="AB1726" i="1"/>
  <c r="Z1727" i="1"/>
  <c r="Z1511" i="1"/>
  <c r="Z1520" i="1"/>
  <c r="AC1558" i="1"/>
  <c r="AB1582" i="1"/>
  <c r="AB1591" i="1"/>
  <c r="AC1614" i="1"/>
  <c r="AA1615" i="1"/>
  <c r="AC1622" i="1"/>
  <c r="AA1623" i="1"/>
  <c r="AC1630" i="1"/>
  <c r="AA1631" i="1"/>
  <c r="AC1638" i="1"/>
  <c r="AA1639" i="1"/>
  <c r="AC1646" i="1"/>
  <c r="AA1647" i="1"/>
  <c r="AC1654" i="1"/>
  <c r="AA1655" i="1"/>
  <c r="AC1662" i="1"/>
  <c r="AA1663" i="1"/>
  <c r="AC1670" i="1"/>
  <c r="AA1671" i="1"/>
  <c r="AC1678" i="1"/>
  <c r="AA1679" i="1"/>
  <c r="AC1686" i="1"/>
  <c r="AA1687" i="1"/>
  <c r="AC1694" i="1"/>
  <c r="AA1695" i="1"/>
  <c r="AC1702" i="1"/>
  <c r="AA1703" i="1"/>
  <c r="AC1710" i="1"/>
  <c r="AA1711" i="1"/>
  <c r="AC1718" i="1"/>
  <c r="AA1719" i="1"/>
  <c r="AC1726" i="1"/>
  <c r="AA1727" i="1"/>
  <c r="AA1428" i="1"/>
  <c r="AB1511" i="1"/>
  <c r="AA1640" i="1"/>
  <c r="AC1647" i="1"/>
  <c r="AA1704" i="1"/>
  <c r="AC1711" i="1"/>
  <c r="AB1732" i="1"/>
  <c r="Z1733" i="1"/>
  <c r="AB1740" i="1"/>
  <c r="Z1741" i="1"/>
  <c r="AB1748" i="1"/>
  <c r="Z1749" i="1"/>
  <c r="AB1756" i="1"/>
  <c r="Z1757" i="1"/>
  <c r="AB1764" i="1"/>
  <c r="Z1765" i="1"/>
  <c r="AB1772" i="1"/>
  <c r="Z1773" i="1"/>
  <c r="AB1780" i="1"/>
  <c r="Z1781" i="1"/>
  <c r="AB1788" i="1"/>
  <c r="Z1789" i="1"/>
  <c r="AB1796" i="1"/>
  <c r="Z1797" i="1"/>
  <c r="AB1804" i="1"/>
  <c r="Z1805" i="1"/>
  <c r="AB1812" i="1"/>
  <c r="Z1813" i="1"/>
  <c r="AB1820" i="1"/>
  <c r="Z1821" i="1"/>
  <c r="AB1828" i="1"/>
  <c r="Z1829" i="1"/>
  <c r="AB1836" i="1"/>
  <c r="Z1837" i="1"/>
  <c r="AB1844" i="1"/>
  <c r="Z1845" i="1"/>
  <c r="AB1852" i="1"/>
  <c r="Z1853" i="1"/>
  <c r="AB1860" i="1"/>
  <c r="Z1861" i="1"/>
  <c r="Z1648" i="1"/>
  <c r="AB1655" i="1"/>
  <c r="Z1712" i="1"/>
  <c r="AB1719" i="1"/>
  <c r="AC1732" i="1"/>
  <c r="AA1733" i="1"/>
  <c r="AC1740" i="1"/>
  <c r="AA1741" i="1"/>
  <c r="AC1748" i="1"/>
  <c r="AA1749" i="1"/>
  <c r="AC1756" i="1"/>
  <c r="AA1757" i="1"/>
  <c r="AC1764" i="1"/>
  <c r="AA1765" i="1"/>
  <c r="AC1772" i="1"/>
  <c r="AA1773" i="1"/>
  <c r="AC1780" i="1"/>
  <c r="AA1781" i="1"/>
  <c r="AC1788" i="1"/>
  <c r="AA1789" i="1"/>
  <c r="AC1796" i="1"/>
  <c r="AA1797" i="1"/>
  <c r="AC1804" i="1"/>
  <c r="AA1805" i="1"/>
  <c r="AC1812" i="1"/>
  <c r="AA1813" i="1"/>
  <c r="AC1820" i="1"/>
  <c r="AA1821" i="1"/>
  <c r="AC1828" i="1"/>
  <c r="AA1829" i="1"/>
  <c r="AC1836" i="1"/>
  <c r="AA1837" i="1"/>
  <c r="AC1844" i="1"/>
  <c r="AA1845" i="1"/>
  <c r="AC1852" i="1"/>
  <c r="AA1853" i="1"/>
  <c r="AC1860" i="1"/>
  <c r="AA1861" i="1"/>
  <c r="AA1648" i="1"/>
  <c r="AC1655" i="1"/>
  <c r="AA1712" i="1"/>
  <c r="AC1719" i="1"/>
  <c r="AB1733" i="1"/>
  <c r="Z1734" i="1"/>
  <c r="AB1741" i="1"/>
  <c r="Z1742" i="1"/>
  <c r="AB1749" i="1"/>
  <c r="Z1750" i="1"/>
  <c r="AB1757" i="1"/>
  <c r="Z1758" i="1"/>
  <c r="AB1765" i="1"/>
  <c r="Z1766" i="1"/>
  <c r="AB1773" i="1"/>
  <c r="Z1774" i="1"/>
  <c r="AB1781" i="1"/>
  <c r="Z1782" i="1"/>
  <c r="AB1789" i="1"/>
  <c r="Z1790" i="1"/>
  <c r="AB1797" i="1"/>
  <c r="Z1798" i="1"/>
  <c r="AB1805" i="1"/>
  <c r="Z1806" i="1"/>
  <c r="AB1813" i="1"/>
  <c r="Z1814" i="1"/>
  <c r="AB1821" i="1"/>
  <c r="Z1822" i="1"/>
  <c r="AB1829" i="1"/>
  <c r="Z1830" i="1"/>
  <c r="AB1837" i="1"/>
  <c r="Z1838" i="1"/>
  <c r="AB1845" i="1"/>
  <c r="Z1846" i="1"/>
  <c r="AB1853" i="1"/>
  <c r="Z1854" i="1"/>
  <c r="AB1861" i="1"/>
  <c r="Z1862" i="1"/>
  <c r="Z1656" i="1"/>
  <c r="AB1663" i="1"/>
  <c r="Z1720" i="1"/>
  <c r="AB1727" i="1"/>
  <c r="AC1733" i="1"/>
  <c r="AA1734" i="1"/>
  <c r="AC1741" i="1"/>
  <c r="AA1742" i="1"/>
  <c r="AC1749" i="1"/>
  <c r="AA1750" i="1"/>
  <c r="AC1757" i="1"/>
  <c r="AA1758" i="1"/>
  <c r="AC1765" i="1"/>
  <c r="AA1766" i="1"/>
  <c r="AC1773" i="1"/>
  <c r="AA1774" i="1"/>
  <c r="AC1781" i="1"/>
  <c r="AA1782" i="1"/>
  <c r="AC1789" i="1"/>
  <c r="AA1790" i="1"/>
  <c r="AC1797" i="1"/>
  <c r="AA1798" i="1"/>
  <c r="AC1805" i="1"/>
  <c r="AA1806" i="1"/>
  <c r="AC1813" i="1"/>
  <c r="AA1814" i="1"/>
  <c r="AC1821" i="1"/>
  <c r="AA1822" i="1"/>
  <c r="AC1829" i="1"/>
  <c r="AA1830" i="1"/>
  <c r="AC1837" i="1"/>
  <c r="AA1838" i="1"/>
  <c r="AC1845" i="1"/>
  <c r="AA1846" i="1"/>
  <c r="AC1853" i="1"/>
  <c r="AA1854" i="1"/>
  <c r="AC1861" i="1"/>
  <c r="AA1862" i="1"/>
  <c r="Z1559" i="1"/>
  <c r="AA1656" i="1"/>
  <c r="AC1663" i="1"/>
  <c r="AA1720" i="1"/>
  <c r="AC1727" i="1"/>
  <c r="AB1734" i="1"/>
  <c r="Z1735" i="1"/>
  <c r="AB1742" i="1"/>
  <c r="Z1743" i="1"/>
  <c r="AB1750" i="1"/>
  <c r="Z1751" i="1"/>
  <c r="AB1758" i="1"/>
  <c r="Z1759" i="1"/>
  <c r="AB1766" i="1"/>
  <c r="Z1767" i="1"/>
  <c r="AB1774" i="1"/>
  <c r="Z1775" i="1"/>
  <c r="AB1782" i="1"/>
  <c r="Z1783" i="1"/>
  <c r="AB1790" i="1"/>
  <c r="Z1791" i="1"/>
  <c r="AB1798" i="1"/>
  <c r="Z1799" i="1"/>
  <c r="AB1806" i="1"/>
  <c r="Z1807" i="1"/>
  <c r="AB1814" i="1"/>
  <c r="Z1815" i="1"/>
  <c r="AB1822" i="1"/>
  <c r="Z1823" i="1"/>
  <c r="AB1830" i="1"/>
  <c r="Z1831" i="1"/>
  <c r="AB1838" i="1"/>
  <c r="Z1839" i="1"/>
  <c r="AB1846" i="1"/>
  <c r="Z1847" i="1"/>
  <c r="AB1854" i="1"/>
  <c r="Z1855" i="1"/>
  <c r="AB1862" i="1"/>
  <c r="Z1863" i="1"/>
  <c r="Z1664" i="1"/>
  <c r="AB1671" i="1"/>
  <c r="AC1734" i="1"/>
  <c r="AA1735" i="1"/>
  <c r="AC1742" i="1"/>
  <c r="AA1743" i="1"/>
  <c r="AC1750" i="1"/>
  <c r="AA1751" i="1"/>
  <c r="AC1758" i="1"/>
  <c r="AA1759" i="1"/>
  <c r="AC1766" i="1"/>
  <c r="AA1767" i="1"/>
  <c r="AC1774" i="1"/>
  <c r="AA1775" i="1"/>
  <c r="AC1782" i="1"/>
  <c r="AA1783" i="1"/>
  <c r="AC1790" i="1"/>
  <c r="AA1791" i="1"/>
  <c r="AC1798" i="1"/>
  <c r="AA1799" i="1"/>
  <c r="AC1806" i="1"/>
  <c r="AA1807" i="1"/>
  <c r="AC1814" i="1"/>
  <c r="AA1815" i="1"/>
  <c r="AC1822" i="1"/>
  <c r="AA1823" i="1"/>
  <c r="AC1830" i="1"/>
  <c r="AA1831" i="1"/>
  <c r="AC1838" i="1"/>
  <c r="AA1839" i="1"/>
  <c r="AC1846" i="1"/>
  <c r="AA1847" i="1"/>
  <c r="AC1854" i="1"/>
  <c r="AA1855" i="1"/>
  <c r="AC1862" i="1"/>
  <c r="AA1863" i="1"/>
  <c r="AA1664" i="1"/>
  <c r="AC1671" i="1"/>
  <c r="Z1728" i="1"/>
  <c r="AC1731" i="1"/>
  <c r="AB1735" i="1"/>
  <c r="Z1736" i="1"/>
  <c r="AB1743" i="1"/>
  <c r="Z1744" i="1"/>
  <c r="AB1751" i="1"/>
  <c r="Z1752" i="1"/>
  <c r="AB1759" i="1"/>
  <c r="Z1760" i="1"/>
  <c r="AB1767" i="1"/>
  <c r="Z1768" i="1"/>
  <c r="AB1775" i="1"/>
  <c r="Z1776" i="1"/>
  <c r="AB1783" i="1"/>
  <c r="Z1784" i="1"/>
  <c r="AB1791" i="1"/>
  <c r="Z1792" i="1"/>
  <c r="AB1799" i="1"/>
  <c r="Z1800" i="1"/>
  <c r="AB1807" i="1"/>
  <c r="Z1808" i="1"/>
  <c r="AB1815" i="1"/>
  <c r="Z1816" i="1"/>
  <c r="AB1823" i="1"/>
  <c r="Z1824" i="1"/>
  <c r="AB1831" i="1"/>
  <c r="Z1832" i="1"/>
  <c r="AB1839" i="1"/>
  <c r="Z1840" i="1"/>
  <c r="AB1847" i="1"/>
  <c r="Z1848" i="1"/>
  <c r="AB1855" i="1"/>
  <c r="Z1856" i="1"/>
  <c r="AB1863" i="1"/>
  <c r="Z1864" i="1"/>
  <c r="AB1606" i="1"/>
  <c r="AB1615" i="1"/>
  <c r="Z1672" i="1"/>
  <c r="AB1679" i="1"/>
  <c r="AA1728" i="1"/>
  <c r="AC1735" i="1"/>
  <c r="AA1736" i="1"/>
  <c r="AC1743" i="1"/>
  <c r="AA1744" i="1"/>
  <c r="AC1751" i="1"/>
  <c r="AA1752" i="1"/>
  <c r="AC1759" i="1"/>
  <c r="AA1760" i="1"/>
  <c r="AC1767" i="1"/>
  <c r="AA1768" i="1"/>
  <c r="AC1775" i="1"/>
  <c r="AA1776" i="1"/>
  <c r="AC1783" i="1"/>
  <c r="AA1784" i="1"/>
  <c r="AC1791" i="1"/>
  <c r="AA1792" i="1"/>
  <c r="AC1799" i="1"/>
  <c r="AA1800" i="1"/>
  <c r="AC1807" i="1"/>
  <c r="AA1808" i="1"/>
  <c r="AC1815" i="1"/>
  <c r="AA1816" i="1"/>
  <c r="AC1823" i="1"/>
  <c r="AA1824" i="1"/>
  <c r="AC1831" i="1"/>
  <c r="AA1832" i="1"/>
  <c r="AC1839" i="1"/>
  <c r="AA1840" i="1"/>
  <c r="AC1847" i="1"/>
  <c r="AA1848" i="1"/>
  <c r="AC1855" i="1"/>
  <c r="AA1856" i="1"/>
  <c r="AC1863" i="1"/>
  <c r="Z1568" i="1"/>
  <c r="AC1606" i="1"/>
  <c r="AC1615" i="1"/>
  <c r="AA1672" i="1"/>
  <c r="AC1679" i="1"/>
  <c r="AB1736" i="1"/>
  <c r="Z1737" i="1"/>
  <c r="AB1744" i="1"/>
  <c r="Z1745" i="1"/>
  <c r="AB1752" i="1"/>
  <c r="Z1753" i="1"/>
  <c r="AB1760" i="1"/>
  <c r="Z1761" i="1"/>
  <c r="AB1768" i="1"/>
  <c r="Z1769" i="1"/>
  <c r="AB1776" i="1"/>
  <c r="Z1777" i="1"/>
  <c r="AB1784" i="1"/>
  <c r="Z1785" i="1"/>
  <c r="AB1792" i="1"/>
  <c r="Z1793" i="1"/>
  <c r="AB1800" i="1"/>
  <c r="Z1801" i="1"/>
  <c r="AB1808" i="1"/>
  <c r="Z1809" i="1"/>
  <c r="AB1816" i="1"/>
  <c r="Z1817" i="1"/>
  <c r="AB1824" i="1"/>
  <c r="Z1825" i="1"/>
  <c r="AB1832" i="1"/>
  <c r="Z1833" i="1"/>
  <c r="AB1840" i="1"/>
  <c r="Z1841" i="1"/>
  <c r="AB1848" i="1"/>
  <c r="Z1849" i="1"/>
  <c r="AB1856" i="1"/>
  <c r="Z1857" i="1"/>
  <c r="Z1535" i="1"/>
  <c r="Z1616" i="1"/>
  <c r="AB1623" i="1"/>
  <c r="Z1680" i="1"/>
  <c r="AB1687" i="1"/>
  <c r="AC1736" i="1"/>
  <c r="AA1737" i="1"/>
  <c r="AC1744" i="1"/>
  <c r="AA1745" i="1"/>
  <c r="AC1752" i="1"/>
  <c r="AA1753" i="1"/>
  <c r="AC1760" i="1"/>
  <c r="AA1761" i="1"/>
  <c r="AC1768" i="1"/>
  <c r="AA1769" i="1"/>
  <c r="AC1776" i="1"/>
  <c r="AA1777" i="1"/>
  <c r="AC1784" i="1"/>
  <c r="AA1785" i="1"/>
  <c r="AC1792" i="1"/>
  <c r="AA1793" i="1"/>
  <c r="AC1800" i="1"/>
  <c r="AA1801" i="1"/>
  <c r="AC1808" i="1"/>
  <c r="AA1809" i="1"/>
  <c r="AC1816" i="1"/>
  <c r="AA1817" i="1"/>
  <c r="AC1824" i="1"/>
  <c r="AA1825" i="1"/>
  <c r="AC1832" i="1"/>
  <c r="AA1833" i="1"/>
  <c r="AC1840" i="1"/>
  <c r="AA1841" i="1"/>
  <c r="AC1848" i="1"/>
  <c r="AA1849" i="1"/>
  <c r="AC1856" i="1"/>
  <c r="AA1857" i="1"/>
  <c r="AC1864" i="1"/>
  <c r="AA1282" i="1"/>
  <c r="AA1535" i="1"/>
  <c r="AA1616" i="1"/>
  <c r="AC1623" i="1"/>
  <c r="AA1680" i="1"/>
  <c r="AC1687" i="1"/>
  <c r="AB1737" i="1"/>
  <c r="Z1738" i="1"/>
  <c r="AB1745" i="1"/>
  <c r="Z1746" i="1"/>
  <c r="AB1753" i="1"/>
  <c r="Z1754" i="1"/>
  <c r="AB1761" i="1"/>
  <c r="Z1762" i="1"/>
  <c r="AB1769" i="1"/>
  <c r="Z1770" i="1"/>
  <c r="AB1777" i="1"/>
  <c r="Z1778" i="1"/>
  <c r="AB1785" i="1"/>
  <c r="Z1786" i="1"/>
  <c r="AB1793" i="1"/>
  <c r="Z1794" i="1"/>
  <c r="AB1801" i="1"/>
  <c r="Z1802" i="1"/>
  <c r="AB1809" i="1"/>
  <c r="Z1810" i="1"/>
  <c r="AB1817" i="1"/>
  <c r="Z1818" i="1"/>
  <c r="AB1825" i="1"/>
  <c r="Z1826" i="1"/>
  <c r="AB1833" i="1"/>
  <c r="Z1834" i="1"/>
  <c r="AB1841" i="1"/>
  <c r="Z1842" i="1"/>
  <c r="AB1849" i="1"/>
  <c r="Z1850" i="1"/>
  <c r="AB1857" i="1"/>
  <c r="Z1624" i="1"/>
  <c r="AB1631" i="1"/>
  <c r="Z1688" i="1"/>
  <c r="AB1695" i="1"/>
  <c r="AC1737" i="1"/>
  <c r="AA1738" i="1"/>
  <c r="AC1745" i="1"/>
  <c r="AA1746" i="1"/>
  <c r="AC1753" i="1"/>
  <c r="AA1754" i="1"/>
  <c r="AC1761" i="1"/>
  <c r="AA1762" i="1"/>
  <c r="AC1769" i="1"/>
  <c r="AA1770" i="1"/>
  <c r="AC1777" i="1"/>
  <c r="AA1778" i="1"/>
  <c r="AC1785" i="1"/>
  <c r="AA1786" i="1"/>
  <c r="AC1793" i="1"/>
  <c r="AA1794" i="1"/>
  <c r="AC1801" i="1"/>
  <c r="AA1802" i="1"/>
  <c r="AC1809" i="1"/>
  <c r="AA1810" i="1"/>
  <c r="AC1817" i="1"/>
  <c r="AA1818" i="1"/>
  <c r="AC1825" i="1"/>
  <c r="AA1826" i="1"/>
  <c r="AC1833" i="1"/>
  <c r="AA1834" i="1"/>
  <c r="AC1841" i="1"/>
  <c r="AA1842" i="1"/>
  <c r="AC1849" i="1"/>
  <c r="AA1850" i="1"/>
  <c r="AC1857" i="1"/>
  <c r="AA1858" i="1"/>
  <c r="Z1376" i="1"/>
  <c r="AB1502" i="1"/>
  <c r="AA1624" i="1"/>
  <c r="AC1631" i="1"/>
  <c r="AA1688" i="1"/>
  <c r="AC1695" i="1"/>
  <c r="AB1738" i="1"/>
  <c r="Z1739" i="1"/>
  <c r="AB1746" i="1"/>
  <c r="Z1747" i="1"/>
  <c r="AB1754" i="1"/>
  <c r="Z1755" i="1"/>
  <c r="AB1762" i="1"/>
  <c r="Z1763" i="1"/>
  <c r="AB1770" i="1"/>
  <c r="Z1771" i="1"/>
  <c r="AB1778" i="1"/>
  <c r="Z1779" i="1"/>
  <c r="AB1786" i="1"/>
  <c r="Z1787" i="1"/>
  <c r="AB1794" i="1"/>
  <c r="Z1795" i="1"/>
  <c r="AB1802" i="1"/>
  <c r="Z1803" i="1"/>
  <c r="AB1810" i="1"/>
  <c r="Z1811" i="1"/>
  <c r="AB1818" i="1"/>
  <c r="Z1819" i="1"/>
  <c r="AB1826" i="1"/>
  <c r="Z1827" i="1"/>
  <c r="AB1834" i="1"/>
  <c r="Z1835" i="1"/>
  <c r="AB1842" i="1"/>
  <c r="Z1843" i="1"/>
  <c r="AB1850" i="1"/>
  <c r="Z1851" i="1"/>
  <c r="AB1858" i="1"/>
  <c r="Z1859" i="1"/>
  <c r="AC1738" i="1"/>
  <c r="AC1747" i="1"/>
  <c r="AB1771" i="1"/>
  <c r="AA1795" i="1"/>
  <c r="AA1804" i="1"/>
  <c r="Z1828" i="1"/>
  <c r="AA1860" i="1"/>
  <c r="AC1871" i="1"/>
  <c r="AA1872" i="1"/>
  <c r="AC1879" i="1"/>
  <c r="AA1880" i="1"/>
  <c r="AC1887" i="1"/>
  <c r="AA1888" i="1"/>
  <c r="AC1895" i="1"/>
  <c r="AA1896" i="1"/>
  <c r="AC1903" i="1"/>
  <c r="AA1904" i="1"/>
  <c r="AC1911" i="1"/>
  <c r="AA1912" i="1"/>
  <c r="AC1919" i="1"/>
  <c r="AA1920" i="1"/>
  <c r="AC1927" i="1"/>
  <c r="AA1928" i="1"/>
  <c r="AC1935" i="1"/>
  <c r="AA1936" i="1"/>
  <c r="AC1943" i="1"/>
  <c r="AA1944" i="1"/>
  <c r="AC1951" i="1"/>
  <c r="AA1952" i="1"/>
  <c r="AC1959" i="1"/>
  <c r="AA1960" i="1"/>
  <c r="AC1967" i="1"/>
  <c r="AA1968" i="1"/>
  <c r="AC1975" i="1"/>
  <c r="AA1976" i="1"/>
  <c r="AC1983" i="1"/>
  <c r="AA1984" i="1"/>
  <c r="AB1639" i="1"/>
  <c r="AB1711" i="1"/>
  <c r="AC1762" i="1"/>
  <c r="AC1771" i="1"/>
  <c r="AB1795" i="1"/>
  <c r="AA1819" i="1"/>
  <c r="AA1828" i="1"/>
  <c r="Z1852" i="1"/>
  <c r="Z1865" i="1"/>
  <c r="AB1872" i="1"/>
  <c r="Z1873" i="1"/>
  <c r="AB1880" i="1"/>
  <c r="Z1881" i="1"/>
  <c r="AB1888" i="1"/>
  <c r="Z1889" i="1"/>
  <c r="AB1896" i="1"/>
  <c r="Z1897" i="1"/>
  <c r="AB1904" i="1"/>
  <c r="Z1905" i="1"/>
  <c r="AB1912" i="1"/>
  <c r="Z1913" i="1"/>
  <c r="AB1920" i="1"/>
  <c r="Z1921" i="1"/>
  <c r="AB1928" i="1"/>
  <c r="Z1929" i="1"/>
  <c r="AB1936" i="1"/>
  <c r="Z1937" i="1"/>
  <c r="AB1944" i="1"/>
  <c r="Z1945" i="1"/>
  <c r="AB1952" i="1"/>
  <c r="Z1953" i="1"/>
  <c r="AB1960" i="1"/>
  <c r="Z1961" i="1"/>
  <c r="AB1968" i="1"/>
  <c r="Z1969" i="1"/>
  <c r="AB1976" i="1"/>
  <c r="Z1977" i="1"/>
  <c r="AB1984" i="1"/>
  <c r="Z1985" i="1"/>
  <c r="AC1582" i="1"/>
  <c r="AC1639" i="1"/>
  <c r="Z1748" i="1"/>
  <c r="AC1786" i="1"/>
  <c r="AC1795" i="1"/>
  <c r="AB1819" i="1"/>
  <c r="AA1843" i="1"/>
  <c r="AA1852" i="1"/>
  <c r="AA1864" i="1"/>
  <c r="AA1865" i="1"/>
  <c r="AC1872" i="1"/>
  <c r="AA1873" i="1"/>
  <c r="AC1880" i="1"/>
  <c r="AA1881" i="1"/>
  <c r="AC1888" i="1"/>
  <c r="AA1889" i="1"/>
  <c r="AC1896" i="1"/>
  <c r="AA1897" i="1"/>
  <c r="AC1904" i="1"/>
  <c r="AA1905" i="1"/>
  <c r="AC1912" i="1"/>
  <c r="AA1913" i="1"/>
  <c r="AC1920" i="1"/>
  <c r="AA1921" i="1"/>
  <c r="AC1928" i="1"/>
  <c r="AA1929" i="1"/>
  <c r="AC1936" i="1"/>
  <c r="AA1937" i="1"/>
  <c r="AC1944" i="1"/>
  <c r="AA1945" i="1"/>
  <c r="AC1952" i="1"/>
  <c r="AA1953" i="1"/>
  <c r="AC1960" i="1"/>
  <c r="AA1961" i="1"/>
  <c r="AC1968" i="1"/>
  <c r="AA1969" i="1"/>
  <c r="AC1976" i="1"/>
  <c r="AA1977" i="1"/>
  <c r="AC1984" i="1"/>
  <c r="AA1985" i="1"/>
  <c r="Z1640" i="1"/>
  <c r="AA1739" i="1"/>
  <c r="AA1748" i="1"/>
  <c r="Z1772" i="1"/>
  <c r="AC1810" i="1"/>
  <c r="AC1819" i="1"/>
  <c r="AB1843" i="1"/>
  <c r="AB1864" i="1"/>
  <c r="AB1865" i="1"/>
  <c r="Z1866" i="1"/>
  <c r="AB1873" i="1"/>
  <c r="Z1874" i="1"/>
  <c r="AB1881" i="1"/>
  <c r="Z1882" i="1"/>
  <c r="AB1889" i="1"/>
  <c r="Z1890" i="1"/>
  <c r="AB1897" i="1"/>
  <c r="Z1898" i="1"/>
  <c r="AB1905" i="1"/>
  <c r="Z1906" i="1"/>
  <c r="AB1913" i="1"/>
  <c r="Z1914" i="1"/>
  <c r="AB1921" i="1"/>
  <c r="Z1922" i="1"/>
  <c r="AB1929" i="1"/>
  <c r="Z1930" i="1"/>
  <c r="AB1937" i="1"/>
  <c r="Z1938" i="1"/>
  <c r="AB1945" i="1"/>
  <c r="Z1946" i="1"/>
  <c r="AB1953" i="1"/>
  <c r="Z1954" i="1"/>
  <c r="AB1961" i="1"/>
  <c r="Z1962" i="1"/>
  <c r="AB1969" i="1"/>
  <c r="Z1970" i="1"/>
  <c r="AB1977" i="1"/>
  <c r="Z1978" i="1"/>
  <c r="AB1985" i="1"/>
  <c r="Z1986" i="1"/>
  <c r="AB1739" i="1"/>
  <c r="AA1763" i="1"/>
  <c r="AA1772" i="1"/>
  <c r="Z1796" i="1"/>
  <c r="AC1834" i="1"/>
  <c r="AC1843" i="1"/>
  <c r="AC1865" i="1"/>
  <c r="AA1866" i="1"/>
  <c r="AC1873" i="1"/>
  <c r="AA1874" i="1"/>
  <c r="AC1881" i="1"/>
  <c r="AA1882" i="1"/>
  <c r="AC1889" i="1"/>
  <c r="AA1890" i="1"/>
  <c r="AC1897" i="1"/>
  <c r="AA1898" i="1"/>
  <c r="AC1905" i="1"/>
  <c r="AA1906" i="1"/>
  <c r="AC1913" i="1"/>
  <c r="AA1914" i="1"/>
  <c r="AC1921" i="1"/>
  <c r="AA1922" i="1"/>
  <c r="AC1929" i="1"/>
  <c r="AA1930" i="1"/>
  <c r="AC1937" i="1"/>
  <c r="AA1938" i="1"/>
  <c r="AC1945" i="1"/>
  <c r="AA1946" i="1"/>
  <c r="AC1953" i="1"/>
  <c r="AA1954" i="1"/>
  <c r="AC1961" i="1"/>
  <c r="AA1962" i="1"/>
  <c r="AC1969" i="1"/>
  <c r="AA1970" i="1"/>
  <c r="AC1977" i="1"/>
  <c r="AA1978" i="1"/>
  <c r="AC1985" i="1"/>
  <c r="AA1986" i="1"/>
  <c r="AC1739" i="1"/>
  <c r="AB1763" i="1"/>
  <c r="AA1787" i="1"/>
  <c r="AA1796" i="1"/>
  <c r="Z1820" i="1"/>
  <c r="Z1858" i="1"/>
  <c r="AB1866" i="1"/>
  <c r="Z1867" i="1"/>
  <c r="AB1874" i="1"/>
  <c r="Z1875" i="1"/>
  <c r="AB1882" i="1"/>
  <c r="Z1883" i="1"/>
  <c r="AB1890" i="1"/>
  <c r="Z1891" i="1"/>
  <c r="AB1898" i="1"/>
  <c r="Z1899" i="1"/>
  <c r="AB1906" i="1"/>
  <c r="Z1907" i="1"/>
  <c r="AB1914" i="1"/>
  <c r="Z1915" i="1"/>
  <c r="AB1922" i="1"/>
  <c r="Z1923" i="1"/>
  <c r="AB1930" i="1"/>
  <c r="Z1931" i="1"/>
  <c r="AB1938" i="1"/>
  <c r="Z1939" i="1"/>
  <c r="AB1946" i="1"/>
  <c r="Z1947" i="1"/>
  <c r="AB1954" i="1"/>
  <c r="Z1955" i="1"/>
  <c r="AB1962" i="1"/>
  <c r="Z1963" i="1"/>
  <c r="AB1970" i="1"/>
  <c r="Z1971" i="1"/>
  <c r="AB1978" i="1"/>
  <c r="Z1979" i="1"/>
  <c r="AB1647" i="1"/>
  <c r="AC1754" i="1"/>
  <c r="AC1763" i="1"/>
  <c r="AB1787" i="1"/>
  <c r="AA1811" i="1"/>
  <c r="AA1820" i="1"/>
  <c r="Z1844" i="1"/>
  <c r="AC1858" i="1"/>
  <c r="AC1866" i="1"/>
  <c r="AA1867" i="1"/>
  <c r="AC1874" i="1"/>
  <c r="AA1875" i="1"/>
  <c r="AC1882" i="1"/>
  <c r="AA1883" i="1"/>
  <c r="AC1890" i="1"/>
  <c r="AA1891" i="1"/>
  <c r="AC1898" i="1"/>
  <c r="AA1899" i="1"/>
  <c r="AC1906" i="1"/>
  <c r="AA1907" i="1"/>
  <c r="AC1914" i="1"/>
  <c r="AA1915" i="1"/>
  <c r="AC1922" i="1"/>
  <c r="AA1923" i="1"/>
  <c r="AC1930" i="1"/>
  <c r="AA1931" i="1"/>
  <c r="AC1938" i="1"/>
  <c r="AA1939" i="1"/>
  <c r="AC1946" i="1"/>
  <c r="AA1947" i="1"/>
  <c r="AC1954" i="1"/>
  <c r="AA1955" i="1"/>
  <c r="AC1962" i="1"/>
  <c r="AA1963" i="1"/>
  <c r="AC1970" i="1"/>
  <c r="AA1971" i="1"/>
  <c r="AC1978" i="1"/>
  <c r="AA1979" i="1"/>
  <c r="AC1986" i="1"/>
  <c r="Z1740" i="1"/>
  <c r="AC1778" i="1"/>
  <c r="AC1787" i="1"/>
  <c r="AB1811" i="1"/>
  <c r="AA1835" i="1"/>
  <c r="AA1844" i="1"/>
  <c r="AB1867" i="1"/>
  <c r="Z1868" i="1"/>
  <c r="AB1875" i="1"/>
  <c r="Z1876" i="1"/>
  <c r="AB1883" i="1"/>
  <c r="Z1884" i="1"/>
  <c r="AB1891" i="1"/>
  <c r="Z1892" i="1"/>
  <c r="AB1899" i="1"/>
  <c r="Z1900" i="1"/>
  <c r="AB1907" i="1"/>
  <c r="Z1908" i="1"/>
  <c r="AB1915" i="1"/>
  <c r="Z1916" i="1"/>
  <c r="AB1923" i="1"/>
  <c r="Z1924" i="1"/>
  <c r="AB1931" i="1"/>
  <c r="Z1932" i="1"/>
  <c r="AB1939" i="1"/>
  <c r="Z1940" i="1"/>
  <c r="AB1947" i="1"/>
  <c r="Z1948" i="1"/>
  <c r="AB1955" i="1"/>
  <c r="Z1956" i="1"/>
  <c r="AB1963" i="1"/>
  <c r="Z1964" i="1"/>
  <c r="AB1971" i="1"/>
  <c r="Z1972" i="1"/>
  <c r="AB1979" i="1"/>
  <c r="Z1980" i="1"/>
  <c r="AA1740" i="1"/>
  <c r="Z1764" i="1"/>
  <c r="AC1802" i="1"/>
  <c r="AC1811" i="1"/>
  <c r="AB1835" i="1"/>
  <c r="AC1867" i="1"/>
  <c r="AA1868" i="1"/>
  <c r="AC1875" i="1"/>
  <c r="AA1876" i="1"/>
  <c r="AC1883" i="1"/>
  <c r="AA1884" i="1"/>
  <c r="AC1891" i="1"/>
  <c r="AA1892" i="1"/>
  <c r="AC1899" i="1"/>
  <c r="AA1900" i="1"/>
  <c r="AC1907" i="1"/>
  <c r="AA1908" i="1"/>
  <c r="AC1915" i="1"/>
  <c r="AA1916" i="1"/>
  <c r="AC1923" i="1"/>
  <c r="AA1924" i="1"/>
  <c r="AC1931" i="1"/>
  <c r="AA1932" i="1"/>
  <c r="AC1939" i="1"/>
  <c r="AA1940" i="1"/>
  <c r="AC1947" i="1"/>
  <c r="AA1948" i="1"/>
  <c r="AC1955" i="1"/>
  <c r="AA1956" i="1"/>
  <c r="AC1963" i="1"/>
  <c r="AA1964" i="1"/>
  <c r="AC1971" i="1"/>
  <c r="AA1972" i="1"/>
  <c r="AC1979" i="1"/>
  <c r="AA1980" i="1"/>
  <c r="AA1404" i="1"/>
  <c r="Z1696" i="1"/>
  <c r="AA1755" i="1"/>
  <c r="AA1764" i="1"/>
  <c r="Z1788" i="1"/>
  <c r="AC1826" i="1"/>
  <c r="AC1835" i="1"/>
  <c r="AB1868" i="1"/>
  <c r="Z1869" i="1"/>
  <c r="AB1876" i="1"/>
  <c r="Z1877" i="1"/>
  <c r="AB1884" i="1"/>
  <c r="Z1885" i="1"/>
  <c r="AB1892" i="1"/>
  <c r="Z1893" i="1"/>
  <c r="AB1900" i="1"/>
  <c r="Z1901" i="1"/>
  <c r="AB1908" i="1"/>
  <c r="Z1909" i="1"/>
  <c r="AB1916" i="1"/>
  <c r="Z1917" i="1"/>
  <c r="AB1924" i="1"/>
  <c r="Z1925" i="1"/>
  <c r="AB1932" i="1"/>
  <c r="Z1933" i="1"/>
  <c r="AB1940" i="1"/>
  <c r="Z1941" i="1"/>
  <c r="AB1948" i="1"/>
  <c r="Z1949" i="1"/>
  <c r="AB1956" i="1"/>
  <c r="Z1957" i="1"/>
  <c r="AB1964" i="1"/>
  <c r="Z1965" i="1"/>
  <c r="AB1972" i="1"/>
  <c r="Z1973" i="1"/>
  <c r="AB1980" i="1"/>
  <c r="Z1981" i="1"/>
  <c r="AC1404" i="1"/>
  <c r="AA1696" i="1"/>
  <c r="AB1755" i="1"/>
  <c r="AA1779" i="1"/>
  <c r="AA1788" i="1"/>
  <c r="Z1812" i="1"/>
  <c r="AC1850" i="1"/>
  <c r="AA1859" i="1"/>
  <c r="AC1868" i="1"/>
  <c r="AA1869" i="1"/>
  <c r="AC1876" i="1"/>
  <c r="AA1877" i="1"/>
  <c r="AC1884" i="1"/>
  <c r="AA1885" i="1"/>
  <c r="AC1892" i="1"/>
  <c r="AA1893" i="1"/>
  <c r="AC1900" i="1"/>
  <c r="AA1901" i="1"/>
  <c r="AC1908" i="1"/>
  <c r="AA1909" i="1"/>
  <c r="AC1916" i="1"/>
  <c r="AA1917" i="1"/>
  <c r="AC1924" i="1"/>
  <c r="AA1925" i="1"/>
  <c r="AC1932" i="1"/>
  <c r="AA1933" i="1"/>
  <c r="AC1940" i="1"/>
  <c r="AA1941" i="1"/>
  <c r="AC1948" i="1"/>
  <c r="AA1949" i="1"/>
  <c r="AC1956" i="1"/>
  <c r="AA1957" i="1"/>
  <c r="AC1964" i="1"/>
  <c r="AA1965" i="1"/>
  <c r="AC1972" i="1"/>
  <c r="AA1973" i="1"/>
  <c r="AC1980" i="1"/>
  <c r="AA1981" i="1"/>
  <c r="AC1746" i="1"/>
  <c r="AC1755" i="1"/>
  <c r="AB1779" i="1"/>
  <c r="AA1803" i="1"/>
  <c r="AA1812" i="1"/>
  <c r="Z1836" i="1"/>
  <c r="AB1859" i="1"/>
  <c r="AB1869" i="1"/>
  <c r="Z1870" i="1"/>
  <c r="AB1877" i="1"/>
  <c r="Z1878" i="1"/>
  <c r="AB1885" i="1"/>
  <c r="Z1886" i="1"/>
  <c r="AB1893" i="1"/>
  <c r="Z1894" i="1"/>
  <c r="AB1901" i="1"/>
  <c r="Z1902" i="1"/>
  <c r="AB1909" i="1"/>
  <c r="Z1910" i="1"/>
  <c r="AB1917" i="1"/>
  <c r="Z1918" i="1"/>
  <c r="AB1925" i="1"/>
  <c r="Z1926" i="1"/>
  <c r="AB1933" i="1"/>
  <c r="Z1934" i="1"/>
  <c r="AB1941" i="1"/>
  <c r="Z1942" i="1"/>
  <c r="AB1949" i="1"/>
  <c r="Z1950" i="1"/>
  <c r="AB1957" i="1"/>
  <c r="Z1958" i="1"/>
  <c r="AB1965" i="1"/>
  <c r="Z1966" i="1"/>
  <c r="AB1973" i="1"/>
  <c r="Z1974" i="1"/>
  <c r="AB1981" i="1"/>
  <c r="Z1982" i="1"/>
  <c r="AB1703" i="1"/>
  <c r="Z1732" i="1"/>
  <c r="AC1770" i="1"/>
  <c r="AC1779" i="1"/>
  <c r="AB1803" i="1"/>
  <c r="AA1827" i="1"/>
  <c r="AA1836" i="1"/>
  <c r="Z1544" i="1"/>
  <c r="AA1632" i="1"/>
  <c r="AB1747" i="1"/>
  <c r="AA1771" i="1"/>
  <c r="AA1780" i="1"/>
  <c r="Z1804" i="1"/>
  <c r="AC1842" i="1"/>
  <c r="AC1851" i="1"/>
  <c r="Z1860" i="1"/>
  <c r="AF23" i="1"/>
  <c r="P11" i="1"/>
  <c r="R12" i="1"/>
  <c r="S12" i="1"/>
  <c r="T12" i="1"/>
  <c r="V11" i="1"/>
  <c r="W11" i="1"/>
  <c r="X26" i="1"/>
  <c r="Y25" i="1"/>
  <c r="Z24" i="1"/>
  <c r="AA24" i="1"/>
  <c r="AB24" i="1"/>
  <c r="AC24" i="1"/>
  <c r="AD23" i="1"/>
  <c r="AE20" i="1"/>
  <c r="AF18" i="1"/>
  <c r="AH18" i="1"/>
  <c r="AI14" i="1"/>
  <c r="P27" i="1"/>
  <c r="P43" i="1"/>
  <c r="P59" i="1"/>
  <c r="P75" i="1"/>
  <c r="P91" i="1"/>
  <c r="P107" i="1"/>
  <c r="P123" i="1"/>
  <c r="P139" i="1"/>
  <c r="P155" i="1"/>
  <c r="P171" i="1"/>
  <c r="P187" i="1"/>
  <c r="P203" i="1"/>
  <c r="P219" i="1"/>
  <c r="P235" i="1"/>
  <c r="P251" i="1"/>
  <c r="P267" i="1"/>
  <c r="P283" i="1"/>
  <c r="P299" i="1"/>
  <c r="P315" i="1"/>
  <c r="P331" i="1"/>
  <c r="P347" i="1"/>
  <c r="P363" i="1"/>
  <c r="P379" i="1"/>
  <c r="P395" i="1"/>
  <c r="P411" i="1"/>
  <c r="P427" i="1"/>
  <c r="P443" i="1"/>
  <c r="P459" i="1"/>
  <c r="P475" i="1"/>
  <c r="P491" i="1"/>
  <c r="P507" i="1"/>
  <c r="P523" i="1"/>
  <c r="P539" i="1"/>
  <c r="P555" i="1"/>
  <c r="P571" i="1"/>
  <c r="P587" i="1"/>
  <c r="P603" i="1"/>
  <c r="P619" i="1"/>
  <c r="P635" i="1"/>
  <c r="P651" i="1"/>
  <c r="P667" i="1"/>
  <c r="P683" i="1"/>
  <c r="P699" i="1"/>
  <c r="P715" i="1"/>
  <c r="P731" i="1"/>
  <c r="P747" i="1"/>
  <c r="P763" i="1"/>
  <c r="P779" i="1"/>
  <c r="P795" i="1"/>
  <c r="P811" i="1"/>
  <c r="P827" i="1"/>
  <c r="P843" i="1"/>
  <c r="P859" i="1"/>
  <c r="P875" i="1"/>
  <c r="P891" i="1"/>
  <c r="P907" i="1"/>
  <c r="P923" i="1"/>
  <c r="P939" i="1"/>
  <c r="P955" i="1"/>
  <c r="P971" i="1"/>
  <c r="P987" i="1"/>
  <c r="P1003" i="1"/>
  <c r="P1019" i="1"/>
  <c r="P1035" i="1"/>
  <c r="P1051" i="1"/>
  <c r="P1067" i="1"/>
  <c r="P1083" i="1"/>
  <c r="P1099" i="1"/>
  <c r="P1115" i="1"/>
  <c r="P1131" i="1"/>
  <c r="P1147" i="1"/>
  <c r="P1163" i="1"/>
  <c r="P1179" i="1"/>
  <c r="P1195" i="1"/>
  <c r="P1211" i="1"/>
  <c r="P1227" i="1"/>
  <c r="P1243" i="1"/>
  <c r="P1259" i="1"/>
  <c r="P1275" i="1"/>
  <c r="P1291" i="1"/>
  <c r="P1307" i="1"/>
  <c r="P1323" i="1"/>
  <c r="P1339" i="1"/>
  <c r="P1355" i="1"/>
  <c r="P1371" i="1"/>
  <c r="P1387" i="1"/>
  <c r="P1403" i="1"/>
  <c r="P1419" i="1"/>
  <c r="P1435" i="1"/>
  <c r="P1451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3" i="1"/>
  <c r="P1739" i="1"/>
  <c r="P1755" i="1"/>
  <c r="P1771" i="1"/>
  <c r="P1787" i="1"/>
  <c r="P1803" i="1"/>
  <c r="P1819" i="1"/>
  <c r="P1835" i="1"/>
  <c r="P1851" i="1"/>
  <c r="P1867" i="1"/>
  <c r="P1883" i="1"/>
  <c r="P1899" i="1"/>
  <c r="P1915" i="1"/>
  <c r="P1931" i="1"/>
  <c r="P1947" i="1"/>
  <c r="P1963" i="1"/>
  <c r="P1979" i="1"/>
  <c r="P1995" i="1"/>
  <c r="P2011" i="1"/>
  <c r="P2027" i="1"/>
  <c r="P2043" i="1"/>
  <c r="T2044" i="1"/>
  <c r="V2043" i="1"/>
  <c r="X2042" i="1"/>
  <c r="Z2041" i="1"/>
  <c r="AB2040" i="1"/>
  <c r="AD2039" i="1"/>
  <c r="AF2038" i="1"/>
  <c r="AH2037" i="1"/>
  <c r="R2037" i="1"/>
  <c r="T2036" i="1"/>
  <c r="V2035" i="1"/>
  <c r="X2034" i="1"/>
  <c r="Z2033" i="1"/>
  <c r="AB2032" i="1"/>
  <c r="AD2031" i="1"/>
  <c r="AF2030" i="1"/>
  <c r="AH2029" i="1"/>
  <c r="R2029" i="1"/>
  <c r="T2028" i="1"/>
  <c r="V2027" i="1"/>
  <c r="X2026" i="1"/>
  <c r="Z2025" i="1"/>
  <c r="AB2024" i="1"/>
  <c r="AD2023" i="1"/>
  <c r="AF2022" i="1"/>
  <c r="AH2021" i="1"/>
  <c r="R2021" i="1"/>
  <c r="T2020" i="1"/>
  <c r="V2019" i="1"/>
  <c r="X2018" i="1"/>
  <c r="Z2017" i="1"/>
  <c r="AB2016" i="1"/>
  <c r="AD2015" i="1"/>
  <c r="AF2014" i="1"/>
  <c r="AH2013" i="1"/>
  <c r="R2013" i="1"/>
  <c r="T2012" i="1"/>
  <c r="V2011" i="1"/>
  <c r="X2010" i="1"/>
  <c r="Z2009" i="1"/>
  <c r="AB2008" i="1"/>
  <c r="AD2007" i="1"/>
  <c r="AF2006" i="1"/>
  <c r="AH2005" i="1"/>
  <c r="R2005" i="1"/>
  <c r="T2004" i="1"/>
  <c r="V2003" i="1"/>
  <c r="X2002" i="1"/>
  <c r="Z2001" i="1"/>
  <c r="AB2000" i="1"/>
  <c r="AD1999" i="1"/>
  <c r="AF1998" i="1"/>
  <c r="AH1997" i="1"/>
  <c r="R1997" i="1"/>
  <c r="T1996" i="1"/>
  <c r="V1995" i="1"/>
  <c r="X1994" i="1"/>
  <c r="Z1993" i="1"/>
  <c r="AB1992" i="1"/>
  <c r="AD1991" i="1"/>
  <c r="AF1990" i="1"/>
  <c r="AH1989" i="1"/>
  <c r="R1989" i="1"/>
  <c r="T1988" i="1"/>
  <c r="R1987" i="1"/>
  <c r="W1984" i="1"/>
  <c r="AE1980" i="1"/>
  <c r="U1977" i="1"/>
  <c r="AC1973" i="1"/>
  <c r="S1970" i="1"/>
  <c r="AA1966" i="1"/>
  <c r="Q1963" i="1"/>
  <c r="Y1959" i="1"/>
  <c r="AG1955" i="1"/>
  <c r="W1952" i="1"/>
  <c r="AE1948" i="1"/>
  <c r="U1945" i="1"/>
  <c r="AC1941" i="1"/>
  <c r="S1938" i="1"/>
  <c r="AA1934" i="1"/>
  <c r="Q1931" i="1"/>
  <c r="Y1927" i="1"/>
  <c r="AG1923" i="1"/>
  <c r="W1920" i="1"/>
  <c r="AE1916" i="1"/>
  <c r="U1913" i="1"/>
  <c r="AC1909" i="1"/>
  <c r="S1906" i="1"/>
  <c r="AA1902" i="1"/>
  <c r="Q1899" i="1"/>
  <c r="AG1891" i="1"/>
  <c r="W1888" i="1"/>
  <c r="AE1884" i="1"/>
  <c r="U1881" i="1"/>
  <c r="AC1877" i="1"/>
  <c r="S1874" i="1"/>
  <c r="AA1870" i="1"/>
  <c r="Q1867" i="1"/>
  <c r="Q1856" i="1"/>
  <c r="S1823" i="1"/>
  <c r="AH1784" i="1"/>
  <c r="AE1746" i="1"/>
  <c r="AG2009" i="1"/>
  <c r="AH1924" i="1"/>
  <c r="Y30" i="1"/>
  <c r="Y38" i="1"/>
  <c r="Y46" i="1"/>
  <c r="Y31" i="1"/>
  <c r="Y39" i="1"/>
  <c r="Y47" i="1"/>
  <c r="Y34" i="1"/>
  <c r="Y42" i="1"/>
  <c r="Y45" i="1"/>
  <c r="Y50" i="1"/>
  <c r="Y58" i="1"/>
  <c r="Y66" i="1"/>
  <c r="Y74" i="1"/>
  <c r="Y82" i="1"/>
  <c r="Y28" i="1"/>
  <c r="Y36" i="1"/>
  <c r="Y51" i="1"/>
  <c r="Y59" i="1"/>
  <c r="Y67" i="1"/>
  <c r="Y75" i="1"/>
  <c r="Y83" i="1"/>
  <c r="Y33" i="1"/>
  <c r="Y44" i="1"/>
  <c r="Y41" i="1"/>
  <c r="Y52" i="1"/>
  <c r="Y60" i="1"/>
  <c r="Y68" i="1"/>
  <c r="Y76" i="1"/>
  <c r="Y84" i="1"/>
  <c r="Y49" i="1"/>
  <c r="Y27" i="1"/>
  <c r="Y53" i="1"/>
  <c r="Y61" i="1"/>
  <c r="Y69" i="1"/>
  <c r="Y77" i="1"/>
  <c r="Y40" i="1"/>
  <c r="Y35" i="1"/>
  <c r="Y78" i="1"/>
  <c r="Y95" i="1"/>
  <c r="Y103" i="1"/>
  <c r="Y111" i="1"/>
  <c r="Y119" i="1"/>
  <c r="Y127" i="1"/>
  <c r="Y70" i="1"/>
  <c r="Y80" i="1"/>
  <c r="Y43" i="1"/>
  <c r="Y56" i="1"/>
  <c r="Y89" i="1"/>
  <c r="Y97" i="1"/>
  <c r="Y105" i="1"/>
  <c r="Y113" i="1"/>
  <c r="Y121" i="1"/>
  <c r="Y129" i="1"/>
  <c r="Y87" i="1"/>
  <c r="Y90" i="1"/>
  <c r="Y98" i="1"/>
  <c r="Y106" i="1"/>
  <c r="Y114" i="1"/>
  <c r="Y122" i="1"/>
  <c r="Y29" i="1"/>
  <c r="Y79" i="1"/>
  <c r="Y91" i="1"/>
  <c r="Y99" i="1"/>
  <c r="Y107" i="1"/>
  <c r="Y115" i="1"/>
  <c r="Y71" i="1"/>
  <c r="Y81" i="1"/>
  <c r="Y57" i="1"/>
  <c r="Y93" i="1"/>
  <c r="Y101" i="1"/>
  <c r="Y109" i="1"/>
  <c r="Y117" i="1"/>
  <c r="Y65" i="1"/>
  <c r="Y37" i="1"/>
  <c r="Y116" i="1"/>
  <c r="Y125" i="1"/>
  <c r="Y135" i="1"/>
  <c r="Y143" i="1"/>
  <c r="Y151" i="1"/>
  <c r="Y159" i="1"/>
  <c r="Y167" i="1"/>
  <c r="Y108" i="1"/>
  <c r="Y100" i="1"/>
  <c r="Y110" i="1"/>
  <c r="Y112" i="1"/>
  <c r="Y124" i="1"/>
  <c r="Y136" i="1"/>
  <c r="Y144" i="1"/>
  <c r="Y152" i="1"/>
  <c r="Y160" i="1"/>
  <c r="Y62" i="1"/>
  <c r="Y92" i="1"/>
  <c r="Y102" i="1"/>
  <c r="Y104" i="1"/>
  <c r="Y118" i="1"/>
  <c r="Y48" i="1"/>
  <c r="Y94" i="1"/>
  <c r="Y96" i="1"/>
  <c r="Y137" i="1"/>
  <c r="Y145" i="1"/>
  <c r="Y153" i="1"/>
  <c r="Y161" i="1"/>
  <c r="Y169" i="1"/>
  <c r="Y63" i="1"/>
  <c r="Y85" i="1"/>
  <c r="Y120" i="1"/>
  <c r="Y72" i="1"/>
  <c r="Y88" i="1"/>
  <c r="Y123" i="1"/>
  <c r="Y130" i="1"/>
  <c r="Y138" i="1"/>
  <c r="Y146" i="1"/>
  <c r="Y154" i="1"/>
  <c r="Y162" i="1"/>
  <c r="Y170" i="1"/>
  <c r="Y86" i="1"/>
  <c r="Y131" i="1"/>
  <c r="Y141" i="1"/>
  <c r="Y174" i="1"/>
  <c r="Y175" i="1"/>
  <c r="Y183" i="1"/>
  <c r="Y191" i="1"/>
  <c r="Y199" i="1"/>
  <c r="Y207" i="1"/>
  <c r="Y126" i="1"/>
  <c r="Y133" i="1"/>
  <c r="Y171" i="1"/>
  <c r="Y172" i="1"/>
  <c r="Y173" i="1"/>
  <c r="Y176" i="1"/>
  <c r="Y184" i="1"/>
  <c r="Y192" i="1"/>
  <c r="Y200" i="1"/>
  <c r="Y208" i="1"/>
  <c r="Y73" i="1"/>
  <c r="Y156" i="1"/>
  <c r="Y166" i="1"/>
  <c r="Y148" i="1"/>
  <c r="Y158" i="1"/>
  <c r="Y178" i="1"/>
  <c r="Y186" i="1"/>
  <c r="Y194" i="1"/>
  <c r="Y202" i="1"/>
  <c r="Y210" i="1"/>
  <c r="Y140" i="1"/>
  <c r="Y150" i="1"/>
  <c r="Y132" i="1"/>
  <c r="Y142" i="1"/>
  <c r="Y179" i="1"/>
  <c r="Y187" i="1"/>
  <c r="Y195" i="1"/>
  <c r="Y54" i="1"/>
  <c r="Y64" i="1"/>
  <c r="Y134" i="1"/>
  <c r="Y168" i="1"/>
  <c r="Y55" i="1"/>
  <c r="Y180" i="1"/>
  <c r="Y188" i="1"/>
  <c r="Y196" i="1"/>
  <c r="Y204" i="1"/>
  <c r="Y212" i="1"/>
  <c r="Y155" i="1"/>
  <c r="Y165" i="1"/>
  <c r="Y139" i="1"/>
  <c r="Y201" i="1"/>
  <c r="Y203" i="1"/>
  <c r="Y213" i="1"/>
  <c r="Y221" i="1"/>
  <c r="Y229" i="1"/>
  <c r="Y237" i="1"/>
  <c r="Y245" i="1"/>
  <c r="Y253" i="1"/>
  <c r="Y185" i="1"/>
  <c r="Y197" i="1"/>
  <c r="Y157" i="1"/>
  <c r="Y215" i="1"/>
  <c r="Y223" i="1"/>
  <c r="Y231" i="1"/>
  <c r="Y239" i="1"/>
  <c r="Y247" i="1"/>
  <c r="Y255" i="1"/>
  <c r="Y163" i="1"/>
  <c r="Y181" i="1"/>
  <c r="Y147" i="1"/>
  <c r="Y216" i="1"/>
  <c r="Y224" i="1"/>
  <c r="Y232" i="1"/>
  <c r="Y240" i="1"/>
  <c r="Y248" i="1"/>
  <c r="Y193" i="1"/>
  <c r="Y209" i="1"/>
  <c r="Y32" i="1"/>
  <c r="Y198" i="1"/>
  <c r="Y211" i="1"/>
  <c r="Y217" i="1"/>
  <c r="Y225" i="1"/>
  <c r="Y233" i="1"/>
  <c r="Y241" i="1"/>
  <c r="Y249" i="1"/>
  <c r="Y257" i="1"/>
  <c r="Y164" i="1"/>
  <c r="Y182" i="1"/>
  <c r="Y206" i="1"/>
  <c r="Y219" i="1"/>
  <c r="Y227" i="1"/>
  <c r="Y235" i="1"/>
  <c r="Y243" i="1"/>
  <c r="Y251" i="1"/>
  <c r="Y128" i="1"/>
  <c r="Y177" i="1"/>
  <c r="Y244" i="1"/>
  <c r="Y254" i="1"/>
  <c r="Y264" i="1"/>
  <c r="Y272" i="1"/>
  <c r="Y280" i="1"/>
  <c r="Y288" i="1"/>
  <c r="Y296" i="1"/>
  <c r="Y304" i="1"/>
  <c r="Y312" i="1"/>
  <c r="Y320" i="1"/>
  <c r="Y190" i="1"/>
  <c r="Y238" i="1"/>
  <c r="Y265" i="1"/>
  <c r="Y273" i="1"/>
  <c r="Y281" i="1"/>
  <c r="Y289" i="1"/>
  <c r="Y297" i="1"/>
  <c r="Y305" i="1"/>
  <c r="Y313" i="1"/>
  <c r="Y222" i="1"/>
  <c r="Y234" i="1"/>
  <c r="Y259" i="1"/>
  <c r="Y267" i="1"/>
  <c r="Y275" i="1"/>
  <c r="Y283" i="1"/>
  <c r="Y291" i="1"/>
  <c r="Y299" i="1"/>
  <c r="Y307" i="1"/>
  <c r="Y149" i="1"/>
  <c r="Y220" i="1"/>
  <c r="Y258" i="1"/>
  <c r="Y260" i="1"/>
  <c r="Y268" i="1"/>
  <c r="Y276" i="1"/>
  <c r="Y284" i="1"/>
  <c r="Y292" i="1"/>
  <c r="Y300" i="1"/>
  <c r="Y218" i="1"/>
  <c r="Y261" i="1"/>
  <c r="Y269" i="1"/>
  <c r="Y277" i="1"/>
  <c r="Y285" i="1"/>
  <c r="Y293" i="1"/>
  <c r="Y301" i="1"/>
  <c r="Y309" i="1"/>
  <c r="Y317" i="1"/>
  <c r="Y252" i="1"/>
  <c r="Y274" i="1"/>
  <c r="Y286" i="1"/>
  <c r="Y230" i="1"/>
  <c r="Y279" i="1"/>
  <c r="Y314" i="1"/>
  <c r="Y325" i="1"/>
  <c r="Y333" i="1"/>
  <c r="Y341" i="1"/>
  <c r="Y349" i="1"/>
  <c r="Y357" i="1"/>
  <c r="Y365" i="1"/>
  <c r="Y373" i="1"/>
  <c r="Y381" i="1"/>
  <c r="Y389" i="1"/>
  <c r="Y397" i="1"/>
  <c r="Y405" i="1"/>
  <c r="Y413" i="1"/>
  <c r="Y421" i="1"/>
  <c r="Y429" i="1"/>
  <c r="Y236" i="1"/>
  <c r="Y242" i="1"/>
  <c r="Y298" i="1"/>
  <c r="Y303" i="1"/>
  <c r="Y270" i="1"/>
  <c r="Y263" i="1"/>
  <c r="Y327" i="1"/>
  <c r="Y335" i="1"/>
  <c r="Y343" i="1"/>
  <c r="Y351" i="1"/>
  <c r="Y359" i="1"/>
  <c r="Y367" i="1"/>
  <c r="Y375" i="1"/>
  <c r="Y383" i="1"/>
  <c r="Y391" i="1"/>
  <c r="Y399" i="1"/>
  <c r="Y407" i="1"/>
  <c r="Y415" i="1"/>
  <c r="Y423" i="1"/>
  <c r="Y431" i="1"/>
  <c r="Y282" i="1"/>
  <c r="Y294" i="1"/>
  <c r="Y311" i="1"/>
  <c r="Y287" i="1"/>
  <c r="Y316" i="1"/>
  <c r="Y328" i="1"/>
  <c r="Y336" i="1"/>
  <c r="Y344" i="1"/>
  <c r="Y352" i="1"/>
  <c r="Y360" i="1"/>
  <c r="Y368" i="1"/>
  <c r="Y376" i="1"/>
  <c r="Y384" i="1"/>
  <c r="Y392" i="1"/>
  <c r="Y400" i="1"/>
  <c r="Y408" i="1"/>
  <c r="Y416" i="1"/>
  <c r="Y424" i="1"/>
  <c r="Y432" i="1"/>
  <c r="Y226" i="1"/>
  <c r="Y250" i="1"/>
  <c r="Y321" i="1"/>
  <c r="Y329" i="1"/>
  <c r="Y337" i="1"/>
  <c r="Y345" i="1"/>
  <c r="Y353" i="1"/>
  <c r="Y361" i="1"/>
  <c r="Y369" i="1"/>
  <c r="Y377" i="1"/>
  <c r="Y385" i="1"/>
  <c r="Y393" i="1"/>
  <c r="Y401" i="1"/>
  <c r="Y409" i="1"/>
  <c r="Y417" i="1"/>
  <c r="Y425" i="1"/>
  <c r="Y433" i="1"/>
  <c r="Y214" i="1"/>
  <c r="Y266" i="1"/>
  <c r="Y278" i="1"/>
  <c r="Y306" i="1"/>
  <c r="Y189" i="1"/>
  <c r="Y205" i="1"/>
  <c r="Y271" i="1"/>
  <c r="Y290" i="1"/>
  <c r="Y302" i="1"/>
  <c r="Y319" i="1"/>
  <c r="Y228" i="1"/>
  <c r="Y256" i="1"/>
  <c r="Y295" i="1"/>
  <c r="Y310" i="1"/>
  <c r="Y323" i="1"/>
  <c r="Y331" i="1"/>
  <c r="Y339" i="1"/>
  <c r="Y347" i="1"/>
  <c r="Y355" i="1"/>
  <c r="Y363" i="1"/>
  <c r="Y371" i="1"/>
  <c r="Y379" i="1"/>
  <c r="Y387" i="1"/>
  <c r="Y395" i="1"/>
  <c r="Y403" i="1"/>
  <c r="Y411" i="1"/>
  <c r="Y419" i="1"/>
  <c r="Y427" i="1"/>
  <c r="Y308" i="1"/>
  <c r="Y315" i="1"/>
  <c r="Y338" i="1"/>
  <c r="Y370" i="1"/>
  <c r="Y402" i="1"/>
  <c r="Y436" i="1"/>
  <c r="Y444" i="1"/>
  <c r="Y452" i="1"/>
  <c r="Y460" i="1"/>
  <c r="Y468" i="1"/>
  <c r="Y476" i="1"/>
  <c r="Y324" i="1"/>
  <c r="Y356" i="1"/>
  <c r="Y388" i="1"/>
  <c r="Y420" i="1"/>
  <c r="Y437" i="1"/>
  <c r="Y445" i="1"/>
  <c r="Y453" i="1"/>
  <c r="Y461" i="1"/>
  <c r="Y469" i="1"/>
  <c r="Y342" i="1"/>
  <c r="Y374" i="1"/>
  <c r="Y406" i="1"/>
  <c r="Y346" i="1"/>
  <c r="Y378" i="1"/>
  <c r="Y410" i="1"/>
  <c r="Y438" i="1"/>
  <c r="Y446" i="1"/>
  <c r="Y454" i="1"/>
  <c r="Y462" i="1"/>
  <c r="Y470" i="1"/>
  <c r="Y262" i="1"/>
  <c r="Y332" i="1"/>
  <c r="Y364" i="1"/>
  <c r="Y396" i="1"/>
  <c r="Y439" i="1"/>
  <c r="Y447" i="1"/>
  <c r="Y455" i="1"/>
  <c r="Y463" i="1"/>
  <c r="Y471" i="1"/>
  <c r="Y350" i="1"/>
  <c r="Y382" i="1"/>
  <c r="Y414" i="1"/>
  <c r="Y322" i="1"/>
  <c r="Y354" i="1"/>
  <c r="Y386" i="1"/>
  <c r="Y418" i="1"/>
  <c r="Y440" i="1"/>
  <c r="Y448" i="1"/>
  <c r="Y456" i="1"/>
  <c r="Y318" i="1"/>
  <c r="Y340" i="1"/>
  <c r="Y372" i="1"/>
  <c r="Y404" i="1"/>
  <c r="Y430" i="1"/>
  <c r="Y441" i="1"/>
  <c r="Y449" i="1"/>
  <c r="Y457" i="1"/>
  <c r="Y465" i="1"/>
  <c r="Y326" i="1"/>
  <c r="Y358" i="1"/>
  <c r="Y390" i="1"/>
  <c r="Y422" i="1"/>
  <c r="Y330" i="1"/>
  <c r="Y362" i="1"/>
  <c r="Y394" i="1"/>
  <c r="Y434" i="1"/>
  <c r="Y442" i="1"/>
  <c r="Y450" i="1"/>
  <c r="Y458" i="1"/>
  <c r="Y466" i="1"/>
  <c r="Y474" i="1"/>
  <c r="Y246" i="1"/>
  <c r="Y428" i="1"/>
  <c r="Y366" i="1"/>
  <c r="Y464" i="1"/>
  <c r="Y475" i="1"/>
  <c r="Y426" i="1"/>
  <c r="Y459" i="1"/>
  <c r="Y472" i="1"/>
  <c r="Y480" i="1"/>
  <c r="Y488" i="1"/>
  <c r="Y496" i="1"/>
  <c r="Y504" i="1"/>
  <c r="Y512" i="1"/>
  <c r="Y520" i="1"/>
  <c r="Y528" i="1"/>
  <c r="Y536" i="1"/>
  <c r="Y544" i="1"/>
  <c r="Y552" i="1"/>
  <c r="Y560" i="1"/>
  <c r="Y568" i="1"/>
  <c r="Y576" i="1"/>
  <c r="Y584" i="1"/>
  <c r="Y592" i="1"/>
  <c r="Y600" i="1"/>
  <c r="Y608" i="1"/>
  <c r="Y398" i="1"/>
  <c r="Y481" i="1"/>
  <c r="Y489" i="1"/>
  <c r="Y497" i="1"/>
  <c r="Y505" i="1"/>
  <c r="Y513" i="1"/>
  <c r="Y521" i="1"/>
  <c r="Y529" i="1"/>
  <c r="Y537" i="1"/>
  <c r="Y545" i="1"/>
  <c r="Y553" i="1"/>
  <c r="Y561" i="1"/>
  <c r="Y569" i="1"/>
  <c r="Y577" i="1"/>
  <c r="Y585" i="1"/>
  <c r="Y593" i="1"/>
  <c r="Y601" i="1"/>
  <c r="Y609" i="1"/>
  <c r="Y348" i="1"/>
  <c r="Y482" i="1"/>
  <c r="Y490" i="1"/>
  <c r="Y498" i="1"/>
  <c r="Y506" i="1"/>
  <c r="Y514" i="1"/>
  <c r="Y522" i="1"/>
  <c r="Y530" i="1"/>
  <c r="Y538" i="1"/>
  <c r="Y546" i="1"/>
  <c r="Y554" i="1"/>
  <c r="Y562" i="1"/>
  <c r="Y570" i="1"/>
  <c r="Y578" i="1"/>
  <c r="Y586" i="1"/>
  <c r="Y594" i="1"/>
  <c r="Y602" i="1"/>
  <c r="Y610" i="1"/>
  <c r="Y380" i="1"/>
  <c r="Y483" i="1"/>
  <c r="Y491" i="1"/>
  <c r="Y499" i="1"/>
  <c r="Y507" i="1"/>
  <c r="Y515" i="1"/>
  <c r="Y523" i="1"/>
  <c r="Y531" i="1"/>
  <c r="Y539" i="1"/>
  <c r="Y547" i="1"/>
  <c r="Y555" i="1"/>
  <c r="Y563" i="1"/>
  <c r="Y571" i="1"/>
  <c r="Y579" i="1"/>
  <c r="Y587" i="1"/>
  <c r="Y595" i="1"/>
  <c r="Y603" i="1"/>
  <c r="Y611" i="1"/>
  <c r="Y412" i="1"/>
  <c r="Y484" i="1"/>
  <c r="Y492" i="1"/>
  <c r="Y500" i="1"/>
  <c r="Y508" i="1"/>
  <c r="Y516" i="1"/>
  <c r="Y524" i="1"/>
  <c r="Y532" i="1"/>
  <c r="Y540" i="1"/>
  <c r="Y548" i="1"/>
  <c r="Y556" i="1"/>
  <c r="Y564" i="1"/>
  <c r="Y572" i="1"/>
  <c r="Y580" i="1"/>
  <c r="Y588" i="1"/>
  <c r="Y596" i="1"/>
  <c r="Y604" i="1"/>
  <c r="Y612" i="1"/>
  <c r="Y467" i="1"/>
  <c r="Y473" i="1"/>
  <c r="Y435" i="1"/>
  <c r="Y485" i="1"/>
  <c r="Y493" i="1"/>
  <c r="Y501" i="1"/>
  <c r="Y509" i="1"/>
  <c r="Y517" i="1"/>
  <c r="Y525" i="1"/>
  <c r="Y533" i="1"/>
  <c r="Y541" i="1"/>
  <c r="Y549" i="1"/>
  <c r="Y557" i="1"/>
  <c r="Y565" i="1"/>
  <c r="Y573" i="1"/>
  <c r="Y581" i="1"/>
  <c r="Y589" i="1"/>
  <c r="Y597" i="1"/>
  <c r="Y605" i="1"/>
  <c r="Y613" i="1"/>
  <c r="Y477" i="1"/>
  <c r="Y443" i="1"/>
  <c r="Y478" i="1"/>
  <c r="Y486" i="1"/>
  <c r="Y494" i="1"/>
  <c r="Y502" i="1"/>
  <c r="Y510" i="1"/>
  <c r="Y518" i="1"/>
  <c r="Y526" i="1"/>
  <c r="Y534" i="1"/>
  <c r="Y542" i="1"/>
  <c r="Y550" i="1"/>
  <c r="Y558" i="1"/>
  <c r="Y566" i="1"/>
  <c r="Y574" i="1"/>
  <c r="Y582" i="1"/>
  <c r="Y590" i="1"/>
  <c r="Y598" i="1"/>
  <c r="Y606" i="1"/>
  <c r="Y614" i="1"/>
  <c r="Y495" i="1"/>
  <c r="Y559" i="1"/>
  <c r="Y607" i="1"/>
  <c r="Y621" i="1"/>
  <c r="Y629" i="1"/>
  <c r="Y637" i="1"/>
  <c r="Y645" i="1"/>
  <c r="Y653" i="1"/>
  <c r="Y661" i="1"/>
  <c r="Y669" i="1"/>
  <c r="Y677" i="1"/>
  <c r="Y685" i="1"/>
  <c r="Y693" i="1"/>
  <c r="Y701" i="1"/>
  <c r="Y709" i="1"/>
  <c r="Y717" i="1"/>
  <c r="Y725" i="1"/>
  <c r="Y733" i="1"/>
  <c r="Y503" i="1"/>
  <c r="Y567" i="1"/>
  <c r="Y622" i="1"/>
  <c r="Y630" i="1"/>
  <c r="Y638" i="1"/>
  <c r="Y646" i="1"/>
  <c r="Y654" i="1"/>
  <c r="Y662" i="1"/>
  <c r="Y670" i="1"/>
  <c r="Y678" i="1"/>
  <c r="Y686" i="1"/>
  <c r="Y694" i="1"/>
  <c r="Y702" i="1"/>
  <c r="Y710" i="1"/>
  <c r="Y718" i="1"/>
  <c r="Y726" i="1"/>
  <c r="Y734" i="1"/>
  <c r="Y742" i="1"/>
  <c r="Y511" i="1"/>
  <c r="Y575" i="1"/>
  <c r="Y615" i="1"/>
  <c r="Y623" i="1"/>
  <c r="Y631" i="1"/>
  <c r="Y639" i="1"/>
  <c r="Y647" i="1"/>
  <c r="Y655" i="1"/>
  <c r="Y663" i="1"/>
  <c r="Y671" i="1"/>
  <c r="Y679" i="1"/>
  <c r="Y687" i="1"/>
  <c r="Y695" i="1"/>
  <c r="Y703" i="1"/>
  <c r="Y711" i="1"/>
  <c r="Y719" i="1"/>
  <c r="Y727" i="1"/>
  <c r="Y735" i="1"/>
  <c r="Y519" i="1"/>
  <c r="Y583" i="1"/>
  <c r="Y616" i="1"/>
  <c r="Y624" i="1"/>
  <c r="Y632" i="1"/>
  <c r="Y640" i="1"/>
  <c r="Y648" i="1"/>
  <c r="Y656" i="1"/>
  <c r="Y664" i="1"/>
  <c r="Y672" i="1"/>
  <c r="Y680" i="1"/>
  <c r="Y688" i="1"/>
  <c r="Y696" i="1"/>
  <c r="Y704" i="1"/>
  <c r="Y712" i="1"/>
  <c r="Y720" i="1"/>
  <c r="Y728" i="1"/>
  <c r="Y736" i="1"/>
  <c r="Y451" i="1"/>
  <c r="Y527" i="1"/>
  <c r="Y591" i="1"/>
  <c r="Y617" i="1"/>
  <c r="Y625" i="1"/>
  <c r="Y633" i="1"/>
  <c r="Y641" i="1"/>
  <c r="Y649" i="1"/>
  <c r="Y657" i="1"/>
  <c r="Y665" i="1"/>
  <c r="Y673" i="1"/>
  <c r="Y681" i="1"/>
  <c r="Y689" i="1"/>
  <c r="Y697" i="1"/>
  <c r="Y705" i="1"/>
  <c r="Y713" i="1"/>
  <c r="Y721" i="1"/>
  <c r="Y729" i="1"/>
  <c r="Y535" i="1"/>
  <c r="Y599" i="1"/>
  <c r="Y618" i="1"/>
  <c r="Y626" i="1"/>
  <c r="Y634" i="1"/>
  <c r="Y642" i="1"/>
  <c r="Y650" i="1"/>
  <c r="Y658" i="1"/>
  <c r="Y666" i="1"/>
  <c r="Y674" i="1"/>
  <c r="Y682" i="1"/>
  <c r="Y690" i="1"/>
  <c r="Y698" i="1"/>
  <c r="Y706" i="1"/>
  <c r="Y714" i="1"/>
  <c r="Y722" i="1"/>
  <c r="Y730" i="1"/>
  <c r="Y738" i="1"/>
  <c r="Y334" i="1"/>
  <c r="Y479" i="1"/>
  <c r="Y543" i="1"/>
  <c r="Y619" i="1"/>
  <c r="Y627" i="1"/>
  <c r="Y635" i="1"/>
  <c r="Y643" i="1"/>
  <c r="Y651" i="1"/>
  <c r="Y659" i="1"/>
  <c r="Y667" i="1"/>
  <c r="Y675" i="1"/>
  <c r="Y683" i="1"/>
  <c r="Y691" i="1"/>
  <c r="Y699" i="1"/>
  <c r="Y707" i="1"/>
  <c r="Y715" i="1"/>
  <c r="Y723" i="1"/>
  <c r="Y731" i="1"/>
  <c r="Y739" i="1"/>
  <c r="Y551" i="1"/>
  <c r="Y668" i="1"/>
  <c r="Y732" i="1"/>
  <c r="Y741" i="1"/>
  <c r="Y749" i="1"/>
  <c r="Y757" i="1"/>
  <c r="Y765" i="1"/>
  <c r="Y773" i="1"/>
  <c r="Y781" i="1"/>
  <c r="Y789" i="1"/>
  <c r="Y797" i="1"/>
  <c r="Y805" i="1"/>
  <c r="Y813" i="1"/>
  <c r="Y821" i="1"/>
  <c r="Y829" i="1"/>
  <c r="Y837" i="1"/>
  <c r="Y845" i="1"/>
  <c r="Y853" i="1"/>
  <c r="Y861" i="1"/>
  <c r="Y869" i="1"/>
  <c r="Y676" i="1"/>
  <c r="Y750" i="1"/>
  <c r="Y758" i="1"/>
  <c r="Y766" i="1"/>
  <c r="Y774" i="1"/>
  <c r="Y782" i="1"/>
  <c r="Y790" i="1"/>
  <c r="Y798" i="1"/>
  <c r="Y806" i="1"/>
  <c r="Y814" i="1"/>
  <c r="Y822" i="1"/>
  <c r="Y830" i="1"/>
  <c r="Y838" i="1"/>
  <c r="Y846" i="1"/>
  <c r="Y854" i="1"/>
  <c r="Y862" i="1"/>
  <c r="Y870" i="1"/>
  <c r="Y620" i="1"/>
  <c r="Y684" i="1"/>
  <c r="Y751" i="1"/>
  <c r="Y759" i="1"/>
  <c r="Y767" i="1"/>
  <c r="Y775" i="1"/>
  <c r="Y783" i="1"/>
  <c r="Y791" i="1"/>
  <c r="Y799" i="1"/>
  <c r="Y807" i="1"/>
  <c r="Y815" i="1"/>
  <c r="Y823" i="1"/>
  <c r="Y831" i="1"/>
  <c r="Y839" i="1"/>
  <c r="Y847" i="1"/>
  <c r="Y855" i="1"/>
  <c r="Y863" i="1"/>
  <c r="Y628" i="1"/>
  <c r="Y692" i="1"/>
  <c r="Y752" i="1"/>
  <c r="Y760" i="1"/>
  <c r="Y768" i="1"/>
  <c r="Y776" i="1"/>
  <c r="Y784" i="1"/>
  <c r="Y792" i="1"/>
  <c r="Y800" i="1"/>
  <c r="Y808" i="1"/>
  <c r="Y816" i="1"/>
  <c r="Y824" i="1"/>
  <c r="Y832" i="1"/>
  <c r="Y840" i="1"/>
  <c r="Y848" i="1"/>
  <c r="Y856" i="1"/>
  <c r="Y864" i="1"/>
  <c r="Y740" i="1"/>
  <c r="Y744" i="1"/>
  <c r="Y636" i="1"/>
  <c r="Y700" i="1"/>
  <c r="Y745" i="1"/>
  <c r="Y753" i="1"/>
  <c r="Y761" i="1"/>
  <c r="Y769" i="1"/>
  <c r="Y777" i="1"/>
  <c r="Y785" i="1"/>
  <c r="Y793" i="1"/>
  <c r="Y801" i="1"/>
  <c r="Y809" i="1"/>
  <c r="Y817" i="1"/>
  <c r="Y825" i="1"/>
  <c r="Y833" i="1"/>
  <c r="Y841" i="1"/>
  <c r="Y849" i="1"/>
  <c r="Y857" i="1"/>
  <c r="Y865" i="1"/>
  <c r="Y644" i="1"/>
  <c r="Y708" i="1"/>
  <c r="Y743" i="1"/>
  <c r="Y746" i="1"/>
  <c r="Y754" i="1"/>
  <c r="Y762" i="1"/>
  <c r="Y770" i="1"/>
  <c r="Y778" i="1"/>
  <c r="Y786" i="1"/>
  <c r="Y794" i="1"/>
  <c r="Y802" i="1"/>
  <c r="Y810" i="1"/>
  <c r="Y818" i="1"/>
  <c r="Y826" i="1"/>
  <c r="Y834" i="1"/>
  <c r="Y842" i="1"/>
  <c r="Y850" i="1"/>
  <c r="Y858" i="1"/>
  <c r="Y866" i="1"/>
  <c r="Y652" i="1"/>
  <c r="Y716" i="1"/>
  <c r="Y737" i="1"/>
  <c r="Y747" i="1"/>
  <c r="Y755" i="1"/>
  <c r="Y763" i="1"/>
  <c r="Y771" i="1"/>
  <c r="Y779" i="1"/>
  <c r="Y787" i="1"/>
  <c r="Y795" i="1"/>
  <c r="Y803" i="1"/>
  <c r="Y811" i="1"/>
  <c r="Y819" i="1"/>
  <c r="Y827" i="1"/>
  <c r="Y835" i="1"/>
  <c r="Y843" i="1"/>
  <c r="Y851" i="1"/>
  <c r="Y859" i="1"/>
  <c r="Y867" i="1"/>
  <c r="Y804" i="1"/>
  <c r="Y873" i="1"/>
  <c r="Y876" i="1"/>
  <c r="Y884" i="1"/>
  <c r="Y892" i="1"/>
  <c r="Y900" i="1"/>
  <c r="Y908" i="1"/>
  <c r="Y916" i="1"/>
  <c r="Y924" i="1"/>
  <c r="Y932" i="1"/>
  <c r="Y940" i="1"/>
  <c r="Y948" i="1"/>
  <c r="Y956" i="1"/>
  <c r="Y964" i="1"/>
  <c r="Y972" i="1"/>
  <c r="Y980" i="1"/>
  <c r="Y988" i="1"/>
  <c r="Y996" i="1"/>
  <c r="Y748" i="1"/>
  <c r="Y812" i="1"/>
  <c r="Y877" i="1"/>
  <c r="Y885" i="1"/>
  <c r="Y893" i="1"/>
  <c r="Y901" i="1"/>
  <c r="Y909" i="1"/>
  <c r="Y917" i="1"/>
  <c r="Y925" i="1"/>
  <c r="Y933" i="1"/>
  <c r="Y941" i="1"/>
  <c r="Y949" i="1"/>
  <c r="Y957" i="1"/>
  <c r="Y965" i="1"/>
  <c r="Y973" i="1"/>
  <c r="Y981" i="1"/>
  <c r="Y989" i="1"/>
  <c r="Y997" i="1"/>
  <c r="Y756" i="1"/>
  <c r="Y820" i="1"/>
  <c r="Y878" i="1"/>
  <c r="Y886" i="1"/>
  <c r="Y894" i="1"/>
  <c r="Y902" i="1"/>
  <c r="Y910" i="1"/>
  <c r="Y918" i="1"/>
  <c r="Y926" i="1"/>
  <c r="Y934" i="1"/>
  <c r="Y942" i="1"/>
  <c r="Y950" i="1"/>
  <c r="Y958" i="1"/>
  <c r="Y966" i="1"/>
  <c r="Y974" i="1"/>
  <c r="Y982" i="1"/>
  <c r="Y764" i="1"/>
  <c r="Y828" i="1"/>
  <c r="Y872" i="1"/>
  <c r="Y879" i="1"/>
  <c r="Y887" i="1"/>
  <c r="Y895" i="1"/>
  <c r="Y903" i="1"/>
  <c r="Y911" i="1"/>
  <c r="Y919" i="1"/>
  <c r="Y927" i="1"/>
  <c r="Y935" i="1"/>
  <c r="Y943" i="1"/>
  <c r="Y951" i="1"/>
  <c r="Y959" i="1"/>
  <c r="Y967" i="1"/>
  <c r="Y975" i="1"/>
  <c r="Y983" i="1"/>
  <c r="Y991" i="1"/>
  <c r="Y772" i="1"/>
  <c r="Y836" i="1"/>
  <c r="Y868" i="1"/>
  <c r="Y880" i="1"/>
  <c r="Y888" i="1"/>
  <c r="Y896" i="1"/>
  <c r="Y904" i="1"/>
  <c r="Y912" i="1"/>
  <c r="Y920" i="1"/>
  <c r="Y928" i="1"/>
  <c r="Y936" i="1"/>
  <c r="Y944" i="1"/>
  <c r="Y952" i="1"/>
  <c r="Y960" i="1"/>
  <c r="Y968" i="1"/>
  <c r="Y976" i="1"/>
  <c r="Y984" i="1"/>
  <c r="Y992" i="1"/>
  <c r="Y1000" i="1"/>
  <c r="Y487" i="1"/>
  <c r="Y780" i="1"/>
  <c r="Y844" i="1"/>
  <c r="Y881" i="1"/>
  <c r="Y889" i="1"/>
  <c r="Y897" i="1"/>
  <c r="Y905" i="1"/>
  <c r="Y913" i="1"/>
  <c r="Y921" i="1"/>
  <c r="Y929" i="1"/>
  <c r="Y937" i="1"/>
  <c r="Y945" i="1"/>
  <c r="Y953" i="1"/>
  <c r="Y961" i="1"/>
  <c r="Y969" i="1"/>
  <c r="Y977" i="1"/>
  <c r="Y985" i="1"/>
  <c r="Y993" i="1"/>
  <c r="Y660" i="1"/>
  <c r="Y788" i="1"/>
  <c r="Y852" i="1"/>
  <c r="Y871" i="1"/>
  <c r="Y882" i="1"/>
  <c r="Y890" i="1"/>
  <c r="Y898" i="1"/>
  <c r="Y906" i="1"/>
  <c r="Y914" i="1"/>
  <c r="Y891" i="1"/>
  <c r="Y1002" i="1"/>
  <c r="Y1007" i="1"/>
  <c r="Y1015" i="1"/>
  <c r="Y1023" i="1"/>
  <c r="Y1031" i="1"/>
  <c r="Y1039" i="1"/>
  <c r="Y1047" i="1"/>
  <c r="Y1055" i="1"/>
  <c r="Y1063" i="1"/>
  <c r="Y1071" i="1"/>
  <c r="Y1079" i="1"/>
  <c r="Y1087" i="1"/>
  <c r="Y1095" i="1"/>
  <c r="Y1103" i="1"/>
  <c r="Y1111" i="1"/>
  <c r="Y1119" i="1"/>
  <c r="Y899" i="1"/>
  <c r="Y923" i="1"/>
  <c r="Y938" i="1"/>
  <c r="Y947" i="1"/>
  <c r="Y1008" i="1"/>
  <c r="Y1016" i="1"/>
  <c r="Y1024" i="1"/>
  <c r="Y1032" i="1"/>
  <c r="Y1040" i="1"/>
  <c r="Y1048" i="1"/>
  <c r="Y1056" i="1"/>
  <c r="Y1064" i="1"/>
  <c r="Y1072" i="1"/>
  <c r="Y1080" i="1"/>
  <c r="Y1088" i="1"/>
  <c r="Y1096" i="1"/>
  <c r="Y1104" i="1"/>
  <c r="Y1112" i="1"/>
  <c r="Y1120" i="1"/>
  <c r="Y907" i="1"/>
  <c r="Y962" i="1"/>
  <c r="Y971" i="1"/>
  <c r="Y999" i="1"/>
  <c r="Y1001" i="1"/>
  <c r="Y986" i="1"/>
  <c r="Y1009" i="1"/>
  <c r="Y1017" i="1"/>
  <c r="Y1025" i="1"/>
  <c r="Y1033" i="1"/>
  <c r="Y1041" i="1"/>
  <c r="Y1049" i="1"/>
  <c r="Y1057" i="1"/>
  <c r="Y1065" i="1"/>
  <c r="Y1073" i="1"/>
  <c r="Y1081" i="1"/>
  <c r="Y1089" i="1"/>
  <c r="Y1097" i="1"/>
  <c r="Y1105" i="1"/>
  <c r="Y1113" i="1"/>
  <c r="Y1121" i="1"/>
  <c r="Y915" i="1"/>
  <c r="Y990" i="1"/>
  <c r="Y1010" i="1"/>
  <c r="Y1018" i="1"/>
  <c r="Y1026" i="1"/>
  <c r="Y1034" i="1"/>
  <c r="Y1042" i="1"/>
  <c r="Y1050" i="1"/>
  <c r="Y1058" i="1"/>
  <c r="Y1066" i="1"/>
  <c r="Y1074" i="1"/>
  <c r="Y1082" i="1"/>
  <c r="Y1090" i="1"/>
  <c r="Y1098" i="1"/>
  <c r="Y1106" i="1"/>
  <c r="Y1114" i="1"/>
  <c r="Y1122" i="1"/>
  <c r="Y930" i="1"/>
  <c r="Y939" i="1"/>
  <c r="Y994" i="1"/>
  <c r="Y874" i="1"/>
  <c r="Y954" i="1"/>
  <c r="Y963" i="1"/>
  <c r="Y1011" i="1"/>
  <c r="Y1019" i="1"/>
  <c r="Y1027" i="1"/>
  <c r="Y1035" i="1"/>
  <c r="Y1043" i="1"/>
  <c r="Y1051" i="1"/>
  <c r="Y1059" i="1"/>
  <c r="Y1067" i="1"/>
  <c r="Y1075" i="1"/>
  <c r="Y1083" i="1"/>
  <c r="Y1091" i="1"/>
  <c r="Y1099" i="1"/>
  <c r="Y1107" i="1"/>
  <c r="Y1115" i="1"/>
  <c r="Y1123" i="1"/>
  <c r="Y978" i="1"/>
  <c r="Y987" i="1"/>
  <c r="Y1004" i="1"/>
  <c r="Y1012" i="1"/>
  <c r="Y1020" i="1"/>
  <c r="Y1028" i="1"/>
  <c r="Y1036" i="1"/>
  <c r="Y1044" i="1"/>
  <c r="Y1052" i="1"/>
  <c r="Y1060" i="1"/>
  <c r="Y1068" i="1"/>
  <c r="Y1076" i="1"/>
  <c r="Y1084" i="1"/>
  <c r="Y1092" i="1"/>
  <c r="Y1100" i="1"/>
  <c r="Y1108" i="1"/>
  <c r="Y1116" i="1"/>
  <c r="Y875" i="1"/>
  <c r="Y724" i="1"/>
  <c r="Y796" i="1"/>
  <c r="Y922" i="1"/>
  <c r="Y931" i="1"/>
  <c r="Y998" i="1"/>
  <c r="Y1003" i="1"/>
  <c r="Y1005" i="1"/>
  <c r="Y1013" i="1"/>
  <c r="Y1021" i="1"/>
  <c r="Y1029" i="1"/>
  <c r="Y1037" i="1"/>
  <c r="Y1045" i="1"/>
  <c r="Y1053" i="1"/>
  <c r="Y1061" i="1"/>
  <c r="Y1069" i="1"/>
  <c r="Y1077" i="1"/>
  <c r="Y1085" i="1"/>
  <c r="Y1093" i="1"/>
  <c r="Y1101" i="1"/>
  <c r="Y1022" i="1"/>
  <c r="Y1086" i="1"/>
  <c r="Y1129" i="1"/>
  <c r="Y1137" i="1"/>
  <c r="Y1145" i="1"/>
  <c r="Y1153" i="1"/>
  <c r="Y1161" i="1"/>
  <c r="Y1169" i="1"/>
  <c r="Y1177" i="1"/>
  <c r="Y1185" i="1"/>
  <c r="Y1193" i="1"/>
  <c r="Y1201" i="1"/>
  <c r="Y1209" i="1"/>
  <c r="Y1217" i="1"/>
  <c r="Y1225" i="1"/>
  <c r="Y1233" i="1"/>
  <c r="Y1241" i="1"/>
  <c r="Y1249" i="1"/>
  <c r="Y883" i="1"/>
  <c r="Y1126" i="1"/>
  <c r="Y970" i="1"/>
  <c r="Y1030" i="1"/>
  <c r="Y1094" i="1"/>
  <c r="Y1125" i="1"/>
  <c r="Y1130" i="1"/>
  <c r="Y1138" i="1"/>
  <c r="Y1146" i="1"/>
  <c r="Y1154" i="1"/>
  <c r="Y1162" i="1"/>
  <c r="Y1170" i="1"/>
  <c r="Y1178" i="1"/>
  <c r="Y1186" i="1"/>
  <c r="Y1194" i="1"/>
  <c r="Y1202" i="1"/>
  <c r="Y1210" i="1"/>
  <c r="Y1218" i="1"/>
  <c r="Y1226" i="1"/>
  <c r="Y1234" i="1"/>
  <c r="Y1242" i="1"/>
  <c r="Y1250" i="1"/>
  <c r="Y1038" i="1"/>
  <c r="Y1102" i="1"/>
  <c r="Y1109" i="1"/>
  <c r="Y1118" i="1"/>
  <c r="Y1124" i="1"/>
  <c r="Y1131" i="1"/>
  <c r="Y1139" i="1"/>
  <c r="Y1147" i="1"/>
  <c r="Y1155" i="1"/>
  <c r="Y1163" i="1"/>
  <c r="Y1171" i="1"/>
  <c r="Y1179" i="1"/>
  <c r="Y1187" i="1"/>
  <c r="Y1195" i="1"/>
  <c r="Y1203" i="1"/>
  <c r="Y1211" i="1"/>
  <c r="Y1219" i="1"/>
  <c r="Y1227" i="1"/>
  <c r="Y1235" i="1"/>
  <c r="Y1243" i="1"/>
  <c r="Y979" i="1"/>
  <c r="Y1046" i="1"/>
  <c r="Y1132" i="1"/>
  <c r="Y1140" i="1"/>
  <c r="Y1148" i="1"/>
  <c r="Y1156" i="1"/>
  <c r="Y1164" i="1"/>
  <c r="Y1172" i="1"/>
  <c r="Y1180" i="1"/>
  <c r="Y1188" i="1"/>
  <c r="Y1196" i="1"/>
  <c r="Y1204" i="1"/>
  <c r="Y1212" i="1"/>
  <c r="Y1220" i="1"/>
  <c r="Y1228" i="1"/>
  <c r="Y1236" i="1"/>
  <c r="Y1244" i="1"/>
  <c r="Y946" i="1"/>
  <c r="Y1054" i="1"/>
  <c r="Y1133" i="1"/>
  <c r="Y1141" i="1"/>
  <c r="Y1149" i="1"/>
  <c r="Y1157" i="1"/>
  <c r="Y1165" i="1"/>
  <c r="Y1173" i="1"/>
  <c r="Y1181" i="1"/>
  <c r="Y1189" i="1"/>
  <c r="Y1197" i="1"/>
  <c r="Y1205" i="1"/>
  <c r="Y1213" i="1"/>
  <c r="Y1221" i="1"/>
  <c r="Y1229" i="1"/>
  <c r="Y1237" i="1"/>
  <c r="Y1245" i="1"/>
  <c r="Y1110" i="1"/>
  <c r="Y1062" i="1"/>
  <c r="Y1134" i="1"/>
  <c r="Y1142" i="1"/>
  <c r="Y1150" i="1"/>
  <c r="Y1158" i="1"/>
  <c r="Y1166" i="1"/>
  <c r="Y1174" i="1"/>
  <c r="Y1182" i="1"/>
  <c r="Y1190" i="1"/>
  <c r="Y1198" i="1"/>
  <c r="Y1206" i="1"/>
  <c r="Y1214" i="1"/>
  <c r="Y1222" i="1"/>
  <c r="Y1230" i="1"/>
  <c r="Y1238" i="1"/>
  <c r="Y1246" i="1"/>
  <c r="Y955" i="1"/>
  <c r="Y1006" i="1"/>
  <c r="Y1070" i="1"/>
  <c r="Y1135" i="1"/>
  <c r="Y1143" i="1"/>
  <c r="Y1151" i="1"/>
  <c r="Y1159" i="1"/>
  <c r="Y1167" i="1"/>
  <c r="Y1175" i="1"/>
  <c r="Y1183" i="1"/>
  <c r="Y1191" i="1"/>
  <c r="Y1199" i="1"/>
  <c r="Y1207" i="1"/>
  <c r="Y1215" i="1"/>
  <c r="Y1223" i="1"/>
  <c r="Y1231" i="1"/>
  <c r="Y1239" i="1"/>
  <c r="Y1247" i="1"/>
  <c r="Y995" i="1"/>
  <c r="Y1144" i="1"/>
  <c r="Y1208" i="1"/>
  <c r="Y1261" i="1"/>
  <c r="Y1269" i="1"/>
  <c r="Y1277" i="1"/>
  <c r="Y1285" i="1"/>
  <c r="Y1293" i="1"/>
  <c r="Y1301" i="1"/>
  <c r="Y1309" i="1"/>
  <c r="Y1317" i="1"/>
  <c r="Y1325" i="1"/>
  <c r="Y1333" i="1"/>
  <c r="Y1341" i="1"/>
  <c r="Y1349" i="1"/>
  <c r="Y1357" i="1"/>
  <c r="Y1365" i="1"/>
  <c r="Y1373" i="1"/>
  <c r="Y1381" i="1"/>
  <c r="Y1117" i="1"/>
  <c r="Y1014" i="1"/>
  <c r="Y1152" i="1"/>
  <c r="Y1216" i="1"/>
  <c r="Y1262" i="1"/>
  <c r="Y1270" i="1"/>
  <c r="Y1278" i="1"/>
  <c r="Y1286" i="1"/>
  <c r="Y1294" i="1"/>
  <c r="Y1302" i="1"/>
  <c r="Y1310" i="1"/>
  <c r="Y1318" i="1"/>
  <c r="Y1326" i="1"/>
  <c r="Y1334" i="1"/>
  <c r="Y1342" i="1"/>
  <c r="Y1350" i="1"/>
  <c r="Y1358" i="1"/>
  <c r="Y1366" i="1"/>
  <c r="Y1374" i="1"/>
  <c r="Y1382" i="1"/>
  <c r="Y1078" i="1"/>
  <c r="Y1160" i="1"/>
  <c r="Y1224" i="1"/>
  <c r="Y1263" i="1"/>
  <c r="Y1271" i="1"/>
  <c r="Y1279" i="1"/>
  <c r="Y1287" i="1"/>
  <c r="Y1295" i="1"/>
  <c r="Y1303" i="1"/>
  <c r="Y1311" i="1"/>
  <c r="Y1319" i="1"/>
  <c r="Y1327" i="1"/>
  <c r="Y1335" i="1"/>
  <c r="Y1343" i="1"/>
  <c r="Y1351" i="1"/>
  <c r="Y1359" i="1"/>
  <c r="Y1367" i="1"/>
  <c r="Y1375" i="1"/>
  <c r="Y1168" i="1"/>
  <c r="Y1232" i="1"/>
  <c r="Y1255" i="1"/>
  <c r="Y1256" i="1"/>
  <c r="Y1264" i="1"/>
  <c r="Y1272" i="1"/>
  <c r="Y1280" i="1"/>
  <c r="Y1288" i="1"/>
  <c r="Y1296" i="1"/>
  <c r="Y1304" i="1"/>
  <c r="Y1312" i="1"/>
  <c r="Y1320" i="1"/>
  <c r="Y1328" i="1"/>
  <c r="Y1336" i="1"/>
  <c r="Y1344" i="1"/>
  <c r="Y1352" i="1"/>
  <c r="Y1360" i="1"/>
  <c r="Y1368" i="1"/>
  <c r="Y1376" i="1"/>
  <c r="Y1251" i="1"/>
  <c r="Y1252" i="1"/>
  <c r="Y1253" i="1"/>
  <c r="Y1254" i="1"/>
  <c r="Y860" i="1"/>
  <c r="Y1176" i="1"/>
  <c r="Y1257" i="1"/>
  <c r="Y1265" i="1"/>
  <c r="Y1273" i="1"/>
  <c r="Y1281" i="1"/>
  <c r="Y1289" i="1"/>
  <c r="Y1297" i="1"/>
  <c r="Y1305" i="1"/>
  <c r="Y1313" i="1"/>
  <c r="Y1321" i="1"/>
  <c r="Y1329" i="1"/>
  <c r="Y1337" i="1"/>
  <c r="Y1345" i="1"/>
  <c r="Y1353" i="1"/>
  <c r="Y1361" i="1"/>
  <c r="Y1369" i="1"/>
  <c r="Y1377" i="1"/>
  <c r="Y1240" i="1"/>
  <c r="Y1184" i="1"/>
  <c r="Y1248" i="1"/>
  <c r="Y1258" i="1"/>
  <c r="Y1266" i="1"/>
  <c r="Y1274" i="1"/>
  <c r="Y1282" i="1"/>
  <c r="Y1290" i="1"/>
  <c r="Y1298" i="1"/>
  <c r="Y1306" i="1"/>
  <c r="Y1314" i="1"/>
  <c r="Y1322" i="1"/>
  <c r="Y1330" i="1"/>
  <c r="Y1338" i="1"/>
  <c r="Y1346" i="1"/>
  <c r="Y1354" i="1"/>
  <c r="Y1362" i="1"/>
  <c r="Y1370" i="1"/>
  <c r="Y1378" i="1"/>
  <c r="Y1200" i="1"/>
  <c r="Y1268" i="1"/>
  <c r="Y1300" i="1"/>
  <c r="Y1332" i="1"/>
  <c r="Y1364" i="1"/>
  <c r="Y1383" i="1"/>
  <c r="Y1391" i="1"/>
  <c r="Y1399" i="1"/>
  <c r="Y1407" i="1"/>
  <c r="Y1415" i="1"/>
  <c r="Y1423" i="1"/>
  <c r="Y1431" i="1"/>
  <c r="Y1439" i="1"/>
  <c r="Y1447" i="1"/>
  <c r="Y1455" i="1"/>
  <c r="Y1463" i="1"/>
  <c r="Y1471" i="1"/>
  <c r="Y1479" i="1"/>
  <c r="Y1487" i="1"/>
  <c r="Y1283" i="1"/>
  <c r="Y1315" i="1"/>
  <c r="Y1347" i="1"/>
  <c r="Y1371" i="1"/>
  <c r="Y1384" i="1"/>
  <c r="Y1392" i="1"/>
  <c r="Y1400" i="1"/>
  <c r="Y1408" i="1"/>
  <c r="Y1416" i="1"/>
  <c r="Y1424" i="1"/>
  <c r="Y1432" i="1"/>
  <c r="Y1440" i="1"/>
  <c r="Y1448" i="1"/>
  <c r="Y1456" i="1"/>
  <c r="Y1464" i="1"/>
  <c r="Y1472" i="1"/>
  <c r="Y1480" i="1"/>
  <c r="Y1488" i="1"/>
  <c r="Y1276" i="1"/>
  <c r="Y1308" i="1"/>
  <c r="Y1340" i="1"/>
  <c r="Y1385" i="1"/>
  <c r="Y1393" i="1"/>
  <c r="Y1401" i="1"/>
  <c r="Y1409" i="1"/>
  <c r="Y1417" i="1"/>
  <c r="Y1425" i="1"/>
  <c r="Y1433" i="1"/>
  <c r="Y1441" i="1"/>
  <c r="Y1449" i="1"/>
  <c r="Y1457" i="1"/>
  <c r="Y1465" i="1"/>
  <c r="Y1473" i="1"/>
  <c r="Y1481" i="1"/>
  <c r="Y1489" i="1"/>
  <c r="Y1127" i="1"/>
  <c r="Y1128" i="1"/>
  <c r="Y1259" i="1"/>
  <c r="Y1291" i="1"/>
  <c r="Y1323" i="1"/>
  <c r="Y1355" i="1"/>
  <c r="Y1380" i="1"/>
  <c r="Y1386" i="1"/>
  <c r="Y1394" i="1"/>
  <c r="Y1402" i="1"/>
  <c r="Y1410" i="1"/>
  <c r="Y1418" i="1"/>
  <c r="Y1426" i="1"/>
  <c r="Y1434" i="1"/>
  <c r="Y1442" i="1"/>
  <c r="Y1450" i="1"/>
  <c r="Y1458" i="1"/>
  <c r="Y1466" i="1"/>
  <c r="Y1474" i="1"/>
  <c r="Y1482" i="1"/>
  <c r="Y1490" i="1"/>
  <c r="Y1284" i="1"/>
  <c r="Y1316" i="1"/>
  <c r="Y1348" i="1"/>
  <c r="Y1387" i="1"/>
  <c r="Y1395" i="1"/>
  <c r="Y1403" i="1"/>
  <c r="Y1411" i="1"/>
  <c r="Y1419" i="1"/>
  <c r="Y1427" i="1"/>
  <c r="Y1435" i="1"/>
  <c r="Y1443" i="1"/>
  <c r="Y1451" i="1"/>
  <c r="Y1459" i="1"/>
  <c r="Y1467" i="1"/>
  <c r="Y1372" i="1"/>
  <c r="Y1192" i="1"/>
  <c r="Y1267" i="1"/>
  <c r="Y1299" i="1"/>
  <c r="Y1331" i="1"/>
  <c r="Y1363" i="1"/>
  <c r="Y1388" i="1"/>
  <c r="Y1396" i="1"/>
  <c r="Y1404" i="1"/>
  <c r="Y1412" i="1"/>
  <c r="Y1420" i="1"/>
  <c r="Y1428" i="1"/>
  <c r="Y1436" i="1"/>
  <c r="Y1444" i="1"/>
  <c r="Y1452" i="1"/>
  <c r="Y1460" i="1"/>
  <c r="Y1468" i="1"/>
  <c r="Y1476" i="1"/>
  <c r="Y1484" i="1"/>
  <c r="Y1492" i="1"/>
  <c r="Y1136" i="1"/>
  <c r="Y1324" i="1"/>
  <c r="Y1414" i="1"/>
  <c r="Y1477" i="1"/>
  <c r="Y1494" i="1"/>
  <c r="Y1497" i="1"/>
  <c r="Y1505" i="1"/>
  <c r="Y1513" i="1"/>
  <c r="Y1521" i="1"/>
  <c r="Y1529" i="1"/>
  <c r="Y1537" i="1"/>
  <c r="Y1545" i="1"/>
  <c r="Y1553" i="1"/>
  <c r="Y1561" i="1"/>
  <c r="Y1569" i="1"/>
  <c r="Y1577" i="1"/>
  <c r="Y1585" i="1"/>
  <c r="Y1593" i="1"/>
  <c r="Y1601" i="1"/>
  <c r="Y1405" i="1"/>
  <c r="Y1429" i="1"/>
  <c r="Y1461" i="1"/>
  <c r="Y1470" i="1"/>
  <c r="Y1307" i="1"/>
  <c r="Y1379" i="1"/>
  <c r="Y1422" i="1"/>
  <c r="Y1454" i="1"/>
  <c r="Y1475" i="1"/>
  <c r="Y1491" i="1"/>
  <c r="Y1498" i="1"/>
  <c r="Y1506" i="1"/>
  <c r="Y1514" i="1"/>
  <c r="Y1522" i="1"/>
  <c r="Y1530" i="1"/>
  <c r="Y1538" i="1"/>
  <c r="Y1546" i="1"/>
  <c r="Y1554" i="1"/>
  <c r="Y1562" i="1"/>
  <c r="Y1570" i="1"/>
  <c r="Y1578" i="1"/>
  <c r="Y1586" i="1"/>
  <c r="Y1594" i="1"/>
  <c r="Y1602" i="1"/>
  <c r="Y1499" i="1"/>
  <c r="Y1507" i="1"/>
  <c r="Y1515" i="1"/>
  <c r="Y1523" i="1"/>
  <c r="Y1531" i="1"/>
  <c r="Y1539" i="1"/>
  <c r="Y1547" i="1"/>
  <c r="Y1555" i="1"/>
  <c r="Y1563" i="1"/>
  <c r="Y1571" i="1"/>
  <c r="Y1579" i="1"/>
  <c r="Y1587" i="1"/>
  <c r="Y1595" i="1"/>
  <c r="Y1603" i="1"/>
  <c r="Y1292" i="1"/>
  <c r="Y1406" i="1"/>
  <c r="Y1437" i="1"/>
  <c r="Y1493" i="1"/>
  <c r="Y1397" i="1"/>
  <c r="Y1430" i="1"/>
  <c r="Y1462" i="1"/>
  <c r="Y1485" i="1"/>
  <c r="Y1500" i="1"/>
  <c r="Y1508" i="1"/>
  <c r="Y1516" i="1"/>
  <c r="Y1524" i="1"/>
  <c r="Y1532" i="1"/>
  <c r="Y1540" i="1"/>
  <c r="Y1548" i="1"/>
  <c r="Y1556" i="1"/>
  <c r="Y1564" i="1"/>
  <c r="Y1572" i="1"/>
  <c r="Y1580" i="1"/>
  <c r="Y1588" i="1"/>
  <c r="Y1596" i="1"/>
  <c r="Y1604" i="1"/>
  <c r="Y1275" i="1"/>
  <c r="Y1478" i="1"/>
  <c r="Y1483" i="1"/>
  <c r="Y1501" i="1"/>
  <c r="Y1509" i="1"/>
  <c r="Y1517" i="1"/>
  <c r="Y1525" i="1"/>
  <c r="Y1533" i="1"/>
  <c r="Y1541" i="1"/>
  <c r="Y1549" i="1"/>
  <c r="Y1557" i="1"/>
  <c r="Y1565" i="1"/>
  <c r="Y1573" i="1"/>
  <c r="Y1581" i="1"/>
  <c r="Y1589" i="1"/>
  <c r="Y1597" i="1"/>
  <c r="Y1605" i="1"/>
  <c r="Y1445" i="1"/>
  <c r="Y1260" i="1"/>
  <c r="Y1398" i="1"/>
  <c r="Y1438" i="1"/>
  <c r="Y1469" i="1"/>
  <c r="Y1502" i="1"/>
  <c r="Y1510" i="1"/>
  <c r="Y1518" i="1"/>
  <c r="Y1526" i="1"/>
  <c r="Y1534" i="1"/>
  <c r="Y1542" i="1"/>
  <c r="Y1550" i="1"/>
  <c r="Y1558" i="1"/>
  <c r="Y1566" i="1"/>
  <c r="Y1574" i="1"/>
  <c r="Y1582" i="1"/>
  <c r="Y1590" i="1"/>
  <c r="Y1598" i="1"/>
  <c r="Y1606" i="1"/>
  <c r="Y1356" i="1"/>
  <c r="Y1389" i="1"/>
  <c r="Y1413" i="1"/>
  <c r="Y1503" i="1"/>
  <c r="Y1511" i="1"/>
  <c r="Y1519" i="1"/>
  <c r="Y1527" i="1"/>
  <c r="Y1535" i="1"/>
  <c r="Y1543" i="1"/>
  <c r="Y1551" i="1"/>
  <c r="Y1559" i="1"/>
  <c r="Y1567" i="1"/>
  <c r="Y1575" i="1"/>
  <c r="Y1583" i="1"/>
  <c r="Y1591" i="1"/>
  <c r="Y1599" i="1"/>
  <c r="Y1609" i="1"/>
  <c r="Y1512" i="1"/>
  <c r="Y1607" i="1"/>
  <c r="Y1610" i="1"/>
  <c r="Y1618" i="1"/>
  <c r="Y1626" i="1"/>
  <c r="Y1634" i="1"/>
  <c r="Y1642" i="1"/>
  <c r="Y1650" i="1"/>
  <c r="Y1658" i="1"/>
  <c r="Y1666" i="1"/>
  <c r="Y1674" i="1"/>
  <c r="Y1682" i="1"/>
  <c r="Y1690" i="1"/>
  <c r="Y1698" i="1"/>
  <c r="Y1706" i="1"/>
  <c r="Y1714" i="1"/>
  <c r="Y1722" i="1"/>
  <c r="Y1730" i="1"/>
  <c r="Y1536" i="1"/>
  <c r="Y1560" i="1"/>
  <c r="Y1611" i="1"/>
  <c r="Y1619" i="1"/>
  <c r="Y1627" i="1"/>
  <c r="Y1635" i="1"/>
  <c r="Y1643" i="1"/>
  <c r="Y1651" i="1"/>
  <c r="Y1659" i="1"/>
  <c r="Y1667" i="1"/>
  <c r="Y1675" i="1"/>
  <c r="Y1683" i="1"/>
  <c r="Y1691" i="1"/>
  <c r="Y1699" i="1"/>
  <c r="Y1707" i="1"/>
  <c r="Y1715" i="1"/>
  <c r="Y1723" i="1"/>
  <c r="Y1731" i="1"/>
  <c r="Y1453" i="1"/>
  <c r="Y1584" i="1"/>
  <c r="Y1612" i="1"/>
  <c r="Y1620" i="1"/>
  <c r="Y1628" i="1"/>
  <c r="Y1636" i="1"/>
  <c r="Y1644" i="1"/>
  <c r="Y1652" i="1"/>
  <c r="Y1660" i="1"/>
  <c r="Y1668" i="1"/>
  <c r="Y1676" i="1"/>
  <c r="Y1684" i="1"/>
  <c r="Y1692" i="1"/>
  <c r="Y1700" i="1"/>
  <c r="Y1708" i="1"/>
  <c r="Y1716" i="1"/>
  <c r="Y1724" i="1"/>
  <c r="Y1732" i="1"/>
  <c r="Y1390" i="1"/>
  <c r="Y1504" i="1"/>
  <c r="Y1528" i="1"/>
  <c r="Y1608" i="1"/>
  <c r="Y1613" i="1"/>
  <c r="Y1621" i="1"/>
  <c r="Y1629" i="1"/>
  <c r="Y1637" i="1"/>
  <c r="Y1645" i="1"/>
  <c r="Y1653" i="1"/>
  <c r="Y1661" i="1"/>
  <c r="Y1669" i="1"/>
  <c r="Y1677" i="1"/>
  <c r="Y1685" i="1"/>
  <c r="Y1693" i="1"/>
  <c r="Y1701" i="1"/>
  <c r="Y1709" i="1"/>
  <c r="Y1717" i="1"/>
  <c r="Y1725" i="1"/>
  <c r="Y1339" i="1"/>
  <c r="Y1486" i="1"/>
  <c r="Y1495" i="1"/>
  <c r="Y1552" i="1"/>
  <c r="Y1421" i="1"/>
  <c r="Y1576" i="1"/>
  <c r="Y1614" i="1"/>
  <c r="Y1622" i="1"/>
  <c r="Y1630" i="1"/>
  <c r="Y1638" i="1"/>
  <c r="Y1646" i="1"/>
  <c r="Y1654" i="1"/>
  <c r="Y1662" i="1"/>
  <c r="Y1670" i="1"/>
  <c r="Y1678" i="1"/>
  <c r="Y1686" i="1"/>
  <c r="Y1694" i="1"/>
  <c r="Y1702" i="1"/>
  <c r="Y1710" i="1"/>
  <c r="Y1718" i="1"/>
  <c r="Y1726" i="1"/>
  <c r="Y1600" i="1"/>
  <c r="Y1496" i="1"/>
  <c r="Y1615" i="1"/>
  <c r="Y1623" i="1"/>
  <c r="Y1631" i="1"/>
  <c r="Y1639" i="1"/>
  <c r="Y1647" i="1"/>
  <c r="Y1655" i="1"/>
  <c r="Y1663" i="1"/>
  <c r="Y1671" i="1"/>
  <c r="Y1679" i="1"/>
  <c r="Y1687" i="1"/>
  <c r="Y1695" i="1"/>
  <c r="Y1703" i="1"/>
  <c r="Y1711" i="1"/>
  <c r="Y1719" i="1"/>
  <c r="Y1727" i="1"/>
  <c r="Y1520" i="1"/>
  <c r="Y1544" i="1"/>
  <c r="Y1616" i="1"/>
  <c r="Y1624" i="1"/>
  <c r="Y1632" i="1"/>
  <c r="Y1640" i="1"/>
  <c r="Y1648" i="1"/>
  <c r="Y1656" i="1"/>
  <c r="Y1664" i="1"/>
  <c r="Y1672" i="1"/>
  <c r="Y1680" i="1"/>
  <c r="Y1688" i="1"/>
  <c r="Y1696" i="1"/>
  <c r="Y1704" i="1"/>
  <c r="Y1712" i="1"/>
  <c r="Y1720" i="1"/>
  <c r="Y1633" i="1"/>
  <c r="Y1697" i="1"/>
  <c r="Y1734" i="1"/>
  <c r="Y1742" i="1"/>
  <c r="Y1750" i="1"/>
  <c r="Y1758" i="1"/>
  <c r="Y1766" i="1"/>
  <c r="Y1774" i="1"/>
  <c r="Y1782" i="1"/>
  <c r="Y1790" i="1"/>
  <c r="Y1798" i="1"/>
  <c r="Y1806" i="1"/>
  <c r="Y1814" i="1"/>
  <c r="Y1822" i="1"/>
  <c r="Y1830" i="1"/>
  <c r="Y1838" i="1"/>
  <c r="Y1846" i="1"/>
  <c r="Y1854" i="1"/>
  <c r="Y1862" i="1"/>
  <c r="Y1446" i="1"/>
  <c r="Y1592" i="1"/>
  <c r="Y1641" i="1"/>
  <c r="Y1705" i="1"/>
  <c r="Y1735" i="1"/>
  <c r="Y1743" i="1"/>
  <c r="Y1751" i="1"/>
  <c r="Y1759" i="1"/>
  <c r="Y1767" i="1"/>
  <c r="Y1775" i="1"/>
  <c r="Y1783" i="1"/>
  <c r="Y1791" i="1"/>
  <c r="Y1799" i="1"/>
  <c r="Y1807" i="1"/>
  <c r="Y1815" i="1"/>
  <c r="Y1823" i="1"/>
  <c r="Y1831" i="1"/>
  <c r="Y1839" i="1"/>
  <c r="Y1847" i="1"/>
  <c r="Y1855" i="1"/>
  <c r="Y1863" i="1"/>
  <c r="Y1649" i="1"/>
  <c r="Y1713" i="1"/>
  <c r="Y1728" i="1"/>
  <c r="Y1736" i="1"/>
  <c r="Y1744" i="1"/>
  <c r="Y1752" i="1"/>
  <c r="Y1760" i="1"/>
  <c r="Y1768" i="1"/>
  <c r="Y1776" i="1"/>
  <c r="Y1784" i="1"/>
  <c r="Y1792" i="1"/>
  <c r="Y1800" i="1"/>
  <c r="Y1808" i="1"/>
  <c r="Y1816" i="1"/>
  <c r="Y1824" i="1"/>
  <c r="Y1832" i="1"/>
  <c r="Y1840" i="1"/>
  <c r="Y1848" i="1"/>
  <c r="Y1856" i="1"/>
  <c r="Y1657" i="1"/>
  <c r="Y1721" i="1"/>
  <c r="Y1568" i="1"/>
  <c r="Y1737" i="1"/>
  <c r="Y1745" i="1"/>
  <c r="Y1753" i="1"/>
  <c r="Y1761" i="1"/>
  <c r="Y1769" i="1"/>
  <c r="Y1777" i="1"/>
  <c r="Y1785" i="1"/>
  <c r="Y1793" i="1"/>
  <c r="Y1801" i="1"/>
  <c r="Y1809" i="1"/>
  <c r="Y1817" i="1"/>
  <c r="Y1825" i="1"/>
  <c r="Y1833" i="1"/>
  <c r="Y1841" i="1"/>
  <c r="Y1849" i="1"/>
  <c r="Y1857" i="1"/>
  <c r="Y1665" i="1"/>
  <c r="Y1738" i="1"/>
  <c r="Y1746" i="1"/>
  <c r="Y1754" i="1"/>
  <c r="Y1762" i="1"/>
  <c r="Y1770" i="1"/>
  <c r="Y1778" i="1"/>
  <c r="Y1786" i="1"/>
  <c r="Y1794" i="1"/>
  <c r="Y1802" i="1"/>
  <c r="Y1810" i="1"/>
  <c r="Y1818" i="1"/>
  <c r="Y1826" i="1"/>
  <c r="Y1834" i="1"/>
  <c r="Y1842" i="1"/>
  <c r="Y1850" i="1"/>
  <c r="Y1858" i="1"/>
  <c r="Y1673" i="1"/>
  <c r="Y1729" i="1"/>
  <c r="Y1739" i="1"/>
  <c r="Y1747" i="1"/>
  <c r="Y1755" i="1"/>
  <c r="Y1763" i="1"/>
  <c r="Y1771" i="1"/>
  <c r="Y1779" i="1"/>
  <c r="Y1787" i="1"/>
  <c r="Y1795" i="1"/>
  <c r="Y1803" i="1"/>
  <c r="Y1811" i="1"/>
  <c r="Y1819" i="1"/>
  <c r="Y1827" i="1"/>
  <c r="Y1835" i="1"/>
  <c r="Y1843" i="1"/>
  <c r="Y1851" i="1"/>
  <c r="Y1859" i="1"/>
  <c r="Y1617" i="1"/>
  <c r="Y1681" i="1"/>
  <c r="Y1733" i="1"/>
  <c r="Y1852" i="1"/>
  <c r="Y1865" i="1"/>
  <c r="Y1873" i="1"/>
  <c r="Y1881" i="1"/>
  <c r="Y1889" i="1"/>
  <c r="Y1897" i="1"/>
  <c r="Y1905" i="1"/>
  <c r="Y1913" i="1"/>
  <c r="Y1921" i="1"/>
  <c r="Y1929" i="1"/>
  <c r="Y1937" i="1"/>
  <c r="Y1945" i="1"/>
  <c r="Y1953" i="1"/>
  <c r="Y1961" i="1"/>
  <c r="Y1969" i="1"/>
  <c r="Y1977" i="1"/>
  <c r="Y1985" i="1"/>
  <c r="Y1748" i="1"/>
  <c r="Y1757" i="1"/>
  <c r="Y1864" i="1"/>
  <c r="Y1772" i="1"/>
  <c r="Y1781" i="1"/>
  <c r="Y1866" i="1"/>
  <c r="Y1874" i="1"/>
  <c r="Y1882" i="1"/>
  <c r="Y1890" i="1"/>
  <c r="Y1898" i="1"/>
  <c r="Y1906" i="1"/>
  <c r="Y1914" i="1"/>
  <c r="Y1922" i="1"/>
  <c r="Y1930" i="1"/>
  <c r="Y1938" i="1"/>
  <c r="Y1946" i="1"/>
  <c r="Y1954" i="1"/>
  <c r="Y1962" i="1"/>
  <c r="Y1970" i="1"/>
  <c r="Y1978" i="1"/>
  <c r="Y1986" i="1"/>
  <c r="Y1796" i="1"/>
  <c r="Y1805" i="1"/>
  <c r="Y1820" i="1"/>
  <c r="Y1829" i="1"/>
  <c r="Y1861" i="1"/>
  <c r="Y1867" i="1"/>
  <c r="Y1875" i="1"/>
  <c r="Y1883" i="1"/>
  <c r="Y1891" i="1"/>
  <c r="Y1899" i="1"/>
  <c r="Y1907" i="1"/>
  <c r="Y1915" i="1"/>
  <c r="Y1923" i="1"/>
  <c r="Y1931" i="1"/>
  <c r="Y1939" i="1"/>
  <c r="Y1947" i="1"/>
  <c r="Y1955" i="1"/>
  <c r="Y1963" i="1"/>
  <c r="Y1971" i="1"/>
  <c r="Y1979" i="1"/>
  <c r="Y1844" i="1"/>
  <c r="Y1853" i="1"/>
  <c r="Y1740" i="1"/>
  <c r="Y1749" i="1"/>
  <c r="Y1868" i="1"/>
  <c r="Y1876" i="1"/>
  <c r="Y1884" i="1"/>
  <c r="Y1892" i="1"/>
  <c r="Y1900" i="1"/>
  <c r="Y1908" i="1"/>
  <c r="Y1916" i="1"/>
  <c r="Y1924" i="1"/>
  <c r="Y1932" i="1"/>
  <c r="Y1940" i="1"/>
  <c r="Y1948" i="1"/>
  <c r="Y1956" i="1"/>
  <c r="Y1964" i="1"/>
  <c r="Y1972" i="1"/>
  <c r="Y1980" i="1"/>
  <c r="Y1689" i="1"/>
  <c r="Y1764" i="1"/>
  <c r="Y1773" i="1"/>
  <c r="Y1788" i="1"/>
  <c r="Y1797" i="1"/>
  <c r="Y1869" i="1"/>
  <c r="Y1877" i="1"/>
  <c r="Y1885" i="1"/>
  <c r="Y1893" i="1"/>
  <c r="Y1901" i="1"/>
  <c r="Y1909" i="1"/>
  <c r="Y1917" i="1"/>
  <c r="Y1925" i="1"/>
  <c r="Y1933" i="1"/>
  <c r="Y1941" i="1"/>
  <c r="Y1949" i="1"/>
  <c r="Y1957" i="1"/>
  <c r="Y1965" i="1"/>
  <c r="Y1973" i="1"/>
  <c r="Y1981" i="1"/>
  <c r="Y1812" i="1"/>
  <c r="Y1821" i="1"/>
  <c r="Y1836" i="1"/>
  <c r="Y1845" i="1"/>
  <c r="Y1870" i="1"/>
  <c r="Y1878" i="1"/>
  <c r="Y1886" i="1"/>
  <c r="Y1894" i="1"/>
  <c r="Y1902" i="1"/>
  <c r="Y1910" i="1"/>
  <c r="Y1918" i="1"/>
  <c r="Y1926" i="1"/>
  <c r="Y1934" i="1"/>
  <c r="Y1942" i="1"/>
  <c r="Y1950" i="1"/>
  <c r="Y1958" i="1"/>
  <c r="Y1966" i="1"/>
  <c r="Y1974" i="1"/>
  <c r="Y1982" i="1"/>
  <c r="Y1741" i="1"/>
  <c r="Y1625" i="1"/>
  <c r="Y1756" i="1"/>
  <c r="Y1765" i="1"/>
  <c r="Y1828" i="1"/>
  <c r="Y1837" i="1"/>
  <c r="AG22" i="1"/>
  <c r="R11" i="1"/>
  <c r="S11" i="1"/>
  <c r="T11" i="1"/>
  <c r="U26" i="1"/>
  <c r="V26" i="1"/>
  <c r="W26" i="1"/>
  <c r="X25" i="1"/>
  <c r="Y24" i="1"/>
  <c r="Z23" i="1"/>
  <c r="AA23" i="1"/>
  <c r="AB23" i="1"/>
  <c r="AC23" i="1"/>
  <c r="AD22" i="1"/>
  <c r="AE19" i="1"/>
  <c r="AF17" i="1"/>
  <c r="AH17" i="1"/>
  <c r="AI13" i="1"/>
  <c r="P28" i="1"/>
  <c r="P44" i="1"/>
  <c r="P60" i="1"/>
  <c r="P76" i="1"/>
  <c r="P92" i="1"/>
  <c r="P108" i="1"/>
  <c r="P124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8" i="1"/>
  <c r="P364" i="1"/>
  <c r="P380" i="1"/>
  <c r="P396" i="1"/>
  <c r="P412" i="1"/>
  <c r="P428" i="1"/>
  <c r="P444" i="1"/>
  <c r="P460" i="1"/>
  <c r="P476" i="1"/>
  <c r="P492" i="1"/>
  <c r="P508" i="1"/>
  <c r="P524" i="1"/>
  <c r="P540" i="1"/>
  <c r="P556" i="1"/>
  <c r="P572" i="1"/>
  <c r="P588" i="1"/>
  <c r="P604" i="1"/>
  <c r="P620" i="1"/>
  <c r="P636" i="1"/>
  <c r="P652" i="1"/>
  <c r="P668" i="1"/>
  <c r="P684" i="1"/>
  <c r="P700" i="1"/>
  <c r="P716" i="1"/>
  <c r="P732" i="1"/>
  <c r="P748" i="1"/>
  <c r="P764" i="1"/>
  <c r="P780" i="1"/>
  <c r="P796" i="1"/>
  <c r="P812" i="1"/>
  <c r="P828" i="1"/>
  <c r="P844" i="1"/>
  <c r="P860" i="1"/>
  <c r="P876" i="1"/>
  <c r="P892" i="1"/>
  <c r="P908" i="1"/>
  <c r="P924" i="1"/>
  <c r="P940" i="1"/>
  <c r="P956" i="1"/>
  <c r="P972" i="1"/>
  <c r="P988" i="1"/>
  <c r="P1004" i="1"/>
  <c r="P1020" i="1"/>
  <c r="P1036" i="1"/>
  <c r="P1052" i="1"/>
  <c r="P1068" i="1"/>
  <c r="P1084" i="1"/>
  <c r="P1100" i="1"/>
  <c r="P1116" i="1"/>
  <c r="P1132" i="1"/>
  <c r="P1148" i="1"/>
  <c r="P1164" i="1"/>
  <c r="P1180" i="1"/>
  <c r="P1196" i="1"/>
  <c r="P1212" i="1"/>
  <c r="P1228" i="1"/>
  <c r="P1244" i="1"/>
  <c r="P1260" i="1"/>
  <c r="P1276" i="1"/>
  <c r="P1292" i="1"/>
  <c r="P1308" i="1"/>
  <c r="P1324" i="1"/>
  <c r="P1340" i="1"/>
  <c r="P1356" i="1"/>
  <c r="P1372" i="1"/>
  <c r="P1388" i="1"/>
  <c r="P1404" i="1"/>
  <c r="P1420" i="1"/>
  <c r="P1436" i="1"/>
  <c r="P1452" i="1"/>
  <c r="P1468" i="1"/>
  <c r="P1484" i="1"/>
  <c r="P1500" i="1"/>
  <c r="P1516" i="1"/>
  <c r="P1532" i="1"/>
  <c r="P1548" i="1"/>
  <c r="P1564" i="1"/>
  <c r="P1580" i="1"/>
  <c r="P1596" i="1"/>
  <c r="P1612" i="1"/>
  <c r="P1628" i="1"/>
  <c r="P1644" i="1"/>
  <c r="P1660" i="1"/>
  <c r="P1676" i="1"/>
  <c r="P1692" i="1"/>
  <c r="P1708" i="1"/>
  <c r="P1724" i="1"/>
  <c r="P1740" i="1"/>
  <c r="P1756" i="1"/>
  <c r="P1772" i="1"/>
  <c r="P1788" i="1"/>
  <c r="P1804" i="1"/>
  <c r="P1820" i="1"/>
  <c r="P1836" i="1"/>
  <c r="P1852" i="1"/>
  <c r="P1868" i="1"/>
  <c r="P1884" i="1"/>
  <c r="P1900" i="1"/>
  <c r="P1916" i="1"/>
  <c r="P1932" i="1"/>
  <c r="P1948" i="1"/>
  <c r="P1964" i="1"/>
  <c r="P1980" i="1"/>
  <c r="P1996" i="1"/>
  <c r="P2012" i="1"/>
  <c r="P2028" i="1"/>
  <c r="P2044" i="1"/>
  <c r="S2044" i="1"/>
  <c r="U2043" i="1"/>
  <c r="W2042" i="1"/>
  <c r="Y2041" i="1"/>
  <c r="AA2040" i="1"/>
  <c r="AC2039" i="1"/>
  <c r="AE2038" i="1"/>
  <c r="AG2037" i="1"/>
  <c r="Q2037" i="1"/>
  <c r="S2036" i="1"/>
  <c r="U2035" i="1"/>
  <c r="W2034" i="1"/>
  <c r="Y2033" i="1"/>
  <c r="AA2032" i="1"/>
  <c r="AC2031" i="1"/>
  <c r="AE2030" i="1"/>
  <c r="AG2029" i="1"/>
  <c r="Q2029" i="1"/>
  <c r="S2028" i="1"/>
  <c r="U2027" i="1"/>
  <c r="W2026" i="1"/>
  <c r="Y2025" i="1"/>
  <c r="AA2024" i="1"/>
  <c r="AC2023" i="1"/>
  <c r="AE2022" i="1"/>
  <c r="AG2021" i="1"/>
  <c r="Q2021" i="1"/>
  <c r="S2020" i="1"/>
  <c r="U2019" i="1"/>
  <c r="W2018" i="1"/>
  <c r="Y2017" i="1"/>
  <c r="AA2016" i="1"/>
  <c r="AC2015" i="1"/>
  <c r="AE2014" i="1"/>
  <c r="AG2013" i="1"/>
  <c r="Q2013" i="1"/>
  <c r="S2012" i="1"/>
  <c r="U2011" i="1"/>
  <c r="W2010" i="1"/>
  <c r="Y2009" i="1"/>
  <c r="AA2008" i="1"/>
  <c r="AC2007" i="1"/>
  <c r="AE2006" i="1"/>
  <c r="AG2005" i="1"/>
  <c r="Q2005" i="1"/>
  <c r="S2004" i="1"/>
  <c r="U2003" i="1"/>
  <c r="W2002" i="1"/>
  <c r="Y2001" i="1"/>
  <c r="AA2000" i="1"/>
  <c r="AC1999" i="1"/>
  <c r="AE1998" i="1"/>
  <c r="AG1997" i="1"/>
  <c r="Q1997" i="1"/>
  <c r="S1996" i="1"/>
  <c r="U1995" i="1"/>
  <c r="W1994" i="1"/>
  <c r="Y1993" i="1"/>
  <c r="AA1992" i="1"/>
  <c r="AC1991" i="1"/>
  <c r="AE1990" i="1"/>
  <c r="AG1989" i="1"/>
  <c r="Q1989" i="1"/>
  <c r="S1988" i="1"/>
  <c r="Q1987" i="1"/>
  <c r="AB1983" i="1"/>
  <c r="R1980" i="1"/>
  <c r="Z1976" i="1"/>
  <c r="AH1972" i="1"/>
  <c r="X1969" i="1"/>
  <c r="AF1965" i="1"/>
  <c r="V1962" i="1"/>
  <c r="AD1958" i="1"/>
  <c r="T1955" i="1"/>
  <c r="AB1951" i="1"/>
  <c r="R1948" i="1"/>
  <c r="Z1944" i="1"/>
  <c r="AH1940" i="1"/>
  <c r="X1937" i="1"/>
  <c r="AF1933" i="1"/>
  <c r="V1930" i="1"/>
  <c r="AD1926" i="1"/>
  <c r="T1923" i="1"/>
  <c r="AB1919" i="1"/>
  <c r="R1916" i="1"/>
  <c r="Z1912" i="1"/>
  <c r="AH1908" i="1"/>
  <c r="X1905" i="1"/>
  <c r="AF1901" i="1"/>
  <c r="V1898" i="1"/>
  <c r="AD1894" i="1"/>
  <c r="T1891" i="1"/>
  <c r="AB1887" i="1"/>
  <c r="R1884" i="1"/>
  <c r="Z1880" i="1"/>
  <c r="AH1876" i="1"/>
  <c r="AF1869" i="1"/>
  <c r="V1866" i="1"/>
  <c r="AB1851" i="1"/>
  <c r="AC1818" i="1"/>
  <c r="Z1780" i="1"/>
  <c r="W1742" i="1"/>
  <c r="AJ17" i="1"/>
  <c r="AG2025" i="1"/>
  <c r="X29" i="1"/>
  <c r="X37" i="1"/>
  <c r="X45" i="1"/>
  <c r="X31" i="1"/>
  <c r="X39" i="1"/>
  <c r="X47" i="1"/>
  <c r="X32" i="1"/>
  <c r="X40" i="1"/>
  <c r="X48" i="1"/>
  <c r="X27" i="1"/>
  <c r="X35" i="1"/>
  <c r="X43" i="1"/>
  <c r="X34" i="1"/>
  <c r="X57" i="1"/>
  <c r="X65" i="1"/>
  <c r="X73" i="1"/>
  <c r="X81" i="1"/>
  <c r="X28" i="1"/>
  <c r="X36" i="1"/>
  <c r="X51" i="1"/>
  <c r="X59" i="1"/>
  <c r="X67" i="1"/>
  <c r="X75" i="1"/>
  <c r="X83" i="1"/>
  <c r="X33" i="1"/>
  <c r="X44" i="1"/>
  <c r="X41" i="1"/>
  <c r="X52" i="1"/>
  <c r="X60" i="1"/>
  <c r="X68" i="1"/>
  <c r="X76" i="1"/>
  <c r="X84" i="1"/>
  <c r="X49" i="1"/>
  <c r="X30" i="1"/>
  <c r="X53" i="1"/>
  <c r="X61" i="1"/>
  <c r="X69" i="1"/>
  <c r="X77" i="1"/>
  <c r="X38" i="1"/>
  <c r="X55" i="1"/>
  <c r="X63" i="1"/>
  <c r="X71" i="1"/>
  <c r="X79" i="1"/>
  <c r="X87" i="1"/>
  <c r="X70" i="1"/>
  <c r="X80" i="1"/>
  <c r="X42" i="1"/>
  <c r="X46" i="1"/>
  <c r="X62" i="1"/>
  <c r="X72" i="1"/>
  <c r="X96" i="1"/>
  <c r="X104" i="1"/>
  <c r="X112" i="1"/>
  <c r="X120" i="1"/>
  <c r="X128" i="1"/>
  <c r="X58" i="1"/>
  <c r="X50" i="1"/>
  <c r="X90" i="1"/>
  <c r="X98" i="1"/>
  <c r="X106" i="1"/>
  <c r="X114" i="1"/>
  <c r="X91" i="1"/>
  <c r="X99" i="1"/>
  <c r="X107" i="1"/>
  <c r="X115" i="1"/>
  <c r="X86" i="1"/>
  <c r="X92" i="1"/>
  <c r="X100" i="1"/>
  <c r="X108" i="1"/>
  <c r="X116" i="1"/>
  <c r="X124" i="1"/>
  <c r="X74" i="1"/>
  <c r="X89" i="1"/>
  <c r="X126" i="1"/>
  <c r="X134" i="1"/>
  <c r="X142" i="1"/>
  <c r="X150" i="1"/>
  <c r="X158" i="1"/>
  <c r="X166" i="1"/>
  <c r="X174" i="1"/>
  <c r="X110" i="1"/>
  <c r="X136" i="1"/>
  <c r="X144" i="1"/>
  <c r="X152" i="1"/>
  <c r="X160" i="1"/>
  <c r="X168" i="1"/>
  <c r="X66" i="1"/>
  <c r="X102" i="1"/>
  <c r="X118" i="1"/>
  <c r="X94" i="1"/>
  <c r="X137" i="1"/>
  <c r="X145" i="1"/>
  <c r="X153" i="1"/>
  <c r="X161" i="1"/>
  <c r="X85" i="1"/>
  <c r="X88" i="1"/>
  <c r="X123" i="1"/>
  <c r="X129" i="1"/>
  <c r="X130" i="1"/>
  <c r="X138" i="1"/>
  <c r="X146" i="1"/>
  <c r="X154" i="1"/>
  <c r="X162" i="1"/>
  <c r="X82" i="1"/>
  <c r="X109" i="1"/>
  <c r="X117" i="1"/>
  <c r="X122" i="1"/>
  <c r="X132" i="1"/>
  <c r="X140" i="1"/>
  <c r="X148" i="1"/>
  <c r="X156" i="1"/>
  <c r="X164" i="1"/>
  <c r="X97" i="1"/>
  <c r="X133" i="1"/>
  <c r="X143" i="1"/>
  <c r="X171" i="1"/>
  <c r="X172" i="1"/>
  <c r="X173" i="1"/>
  <c r="X93" i="1"/>
  <c r="X135" i="1"/>
  <c r="X170" i="1"/>
  <c r="X176" i="1"/>
  <c r="X184" i="1"/>
  <c r="X192" i="1"/>
  <c r="X200" i="1"/>
  <c r="X208" i="1"/>
  <c r="X178" i="1"/>
  <c r="X186" i="1"/>
  <c r="X194" i="1"/>
  <c r="X202" i="1"/>
  <c r="X210" i="1"/>
  <c r="X113" i="1"/>
  <c r="X121" i="1"/>
  <c r="X127" i="1"/>
  <c r="X179" i="1"/>
  <c r="X187" i="1"/>
  <c r="X195" i="1"/>
  <c r="X203" i="1"/>
  <c r="X211" i="1"/>
  <c r="X54" i="1"/>
  <c r="X64" i="1"/>
  <c r="X95" i="1"/>
  <c r="X180" i="1"/>
  <c r="X188" i="1"/>
  <c r="X196" i="1"/>
  <c r="X204" i="1"/>
  <c r="X212" i="1"/>
  <c r="X78" i="1"/>
  <c r="X119" i="1"/>
  <c r="X147" i="1"/>
  <c r="X157" i="1"/>
  <c r="X182" i="1"/>
  <c r="X190" i="1"/>
  <c r="X198" i="1"/>
  <c r="X199" i="1"/>
  <c r="X213" i="1"/>
  <c r="X221" i="1"/>
  <c r="X229" i="1"/>
  <c r="X237" i="1"/>
  <c r="X245" i="1"/>
  <c r="X253" i="1"/>
  <c r="X185" i="1"/>
  <c r="X197" i="1"/>
  <c r="X205" i="1"/>
  <c r="X214" i="1"/>
  <c r="X222" i="1"/>
  <c r="X230" i="1"/>
  <c r="X238" i="1"/>
  <c r="X246" i="1"/>
  <c r="X254" i="1"/>
  <c r="X163" i="1"/>
  <c r="X181" i="1"/>
  <c r="X101" i="1"/>
  <c r="X141" i="1"/>
  <c r="X207" i="1"/>
  <c r="X216" i="1"/>
  <c r="X224" i="1"/>
  <c r="X232" i="1"/>
  <c r="X240" i="1"/>
  <c r="X248" i="1"/>
  <c r="X256" i="1"/>
  <c r="X193" i="1"/>
  <c r="X209" i="1"/>
  <c r="X131" i="1"/>
  <c r="X217" i="1"/>
  <c r="X225" i="1"/>
  <c r="X233" i="1"/>
  <c r="X125" i="1"/>
  <c r="X103" i="1"/>
  <c r="X191" i="1"/>
  <c r="X218" i="1"/>
  <c r="X226" i="1"/>
  <c r="X234" i="1"/>
  <c r="X242" i="1"/>
  <c r="X250" i="1"/>
  <c r="X149" i="1"/>
  <c r="X183" i="1"/>
  <c r="X219" i="1"/>
  <c r="X105" i="1"/>
  <c r="X159" i="1"/>
  <c r="X265" i="1"/>
  <c r="X273" i="1"/>
  <c r="X281" i="1"/>
  <c r="X289" i="1"/>
  <c r="X297" i="1"/>
  <c r="X305" i="1"/>
  <c r="X313" i="1"/>
  <c r="X231" i="1"/>
  <c r="X259" i="1"/>
  <c r="X267" i="1"/>
  <c r="X275" i="1"/>
  <c r="X283" i="1"/>
  <c r="X291" i="1"/>
  <c r="X299" i="1"/>
  <c r="X307" i="1"/>
  <c r="X315" i="1"/>
  <c r="X111" i="1"/>
  <c r="X215" i="1"/>
  <c r="X227" i="1"/>
  <c r="X249" i="1"/>
  <c r="X251" i="1"/>
  <c r="X220" i="1"/>
  <c r="X241" i="1"/>
  <c r="X243" i="1"/>
  <c r="X247" i="1"/>
  <c r="X258" i="1"/>
  <c r="X260" i="1"/>
  <c r="X268" i="1"/>
  <c r="X276" i="1"/>
  <c r="X284" i="1"/>
  <c r="X292" i="1"/>
  <c r="X300" i="1"/>
  <c r="X165" i="1"/>
  <c r="X239" i="1"/>
  <c r="X255" i="1"/>
  <c r="X261" i="1"/>
  <c r="X269" i="1"/>
  <c r="X277" i="1"/>
  <c r="X285" i="1"/>
  <c r="X293" i="1"/>
  <c r="X301" i="1"/>
  <c r="X309" i="1"/>
  <c r="X151" i="1"/>
  <c r="X155" i="1"/>
  <c r="X169" i="1"/>
  <c r="X189" i="1"/>
  <c r="X228" i="1"/>
  <c r="X257" i="1"/>
  <c r="X263" i="1"/>
  <c r="X271" i="1"/>
  <c r="X279" i="1"/>
  <c r="X287" i="1"/>
  <c r="X295" i="1"/>
  <c r="X303" i="1"/>
  <c r="X311" i="1"/>
  <c r="X177" i="1"/>
  <c r="X223" i="1"/>
  <c r="X314" i="1"/>
  <c r="X325" i="1"/>
  <c r="X333" i="1"/>
  <c r="X341" i="1"/>
  <c r="X349" i="1"/>
  <c r="X357" i="1"/>
  <c r="X365" i="1"/>
  <c r="X373" i="1"/>
  <c r="X381" i="1"/>
  <c r="X389" i="1"/>
  <c r="X397" i="1"/>
  <c r="X405" i="1"/>
  <c r="X413" i="1"/>
  <c r="X421" i="1"/>
  <c r="X429" i="1"/>
  <c r="X236" i="1"/>
  <c r="X298" i="1"/>
  <c r="X272" i="1"/>
  <c r="X317" i="1"/>
  <c r="X326" i="1"/>
  <c r="X334" i="1"/>
  <c r="X342" i="1"/>
  <c r="X350" i="1"/>
  <c r="X358" i="1"/>
  <c r="X366" i="1"/>
  <c r="X374" i="1"/>
  <c r="X382" i="1"/>
  <c r="X390" i="1"/>
  <c r="X398" i="1"/>
  <c r="X406" i="1"/>
  <c r="X414" i="1"/>
  <c r="X422" i="1"/>
  <c r="X430" i="1"/>
  <c r="X270" i="1"/>
  <c r="X296" i="1"/>
  <c r="X327" i="1"/>
  <c r="X335" i="1"/>
  <c r="X343" i="1"/>
  <c r="X351" i="1"/>
  <c r="X359" i="1"/>
  <c r="X367" i="1"/>
  <c r="X375" i="1"/>
  <c r="X383" i="1"/>
  <c r="X391" i="1"/>
  <c r="X399" i="1"/>
  <c r="X407" i="1"/>
  <c r="X415" i="1"/>
  <c r="X423" i="1"/>
  <c r="X431" i="1"/>
  <c r="X282" i="1"/>
  <c r="X294" i="1"/>
  <c r="X316" i="1"/>
  <c r="X328" i="1"/>
  <c r="X336" i="1"/>
  <c r="X344" i="1"/>
  <c r="X352" i="1"/>
  <c r="X360" i="1"/>
  <c r="X368" i="1"/>
  <c r="X376" i="1"/>
  <c r="X384" i="1"/>
  <c r="X392" i="1"/>
  <c r="X400" i="1"/>
  <c r="X408" i="1"/>
  <c r="X416" i="1"/>
  <c r="X424" i="1"/>
  <c r="X432" i="1"/>
  <c r="X201" i="1"/>
  <c r="X167" i="1"/>
  <c r="X244" i="1"/>
  <c r="X280" i="1"/>
  <c r="X321" i="1"/>
  <c r="X329" i="1"/>
  <c r="X337" i="1"/>
  <c r="X345" i="1"/>
  <c r="X353" i="1"/>
  <c r="X361" i="1"/>
  <c r="X369" i="1"/>
  <c r="X377" i="1"/>
  <c r="X385" i="1"/>
  <c r="X393" i="1"/>
  <c r="X401" i="1"/>
  <c r="X409" i="1"/>
  <c r="X417" i="1"/>
  <c r="X425" i="1"/>
  <c r="X266" i="1"/>
  <c r="X278" i="1"/>
  <c r="X306" i="1"/>
  <c r="X320" i="1"/>
  <c r="X304" i="1"/>
  <c r="X308" i="1"/>
  <c r="X322" i="1"/>
  <c r="X330" i="1"/>
  <c r="X338" i="1"/>
  <c r="X346" i="1"/>
  <c r="X354" i="1"/>
  <c r="X362" i="1"/>
  <c r="X370" i="1"/>
  <c r="X378" i="1"/>
  <c r="X386" i="1"/>
  <c r="X394" i="1"/>
  <c r="X402" i="1"/>
  <c r="X410" i="1"/>
  <c r="X418" i="1"/>
  <c r="X426" i="1"/>
  <c r="X290" i="1"/>
  <c r="X302" i="1"/>
  <c r="X139" i="1"/>
  <c r="X264" i="1"/>
  <c r="X310" i="1"/>
  <c r="X323" i="1"/>
  <c r="X331" i="1"/>
  <c r="X339" i="1"/>
  <c r="X347" i="1"/>
  <c r="X355" i="1"/>
  <c r="X363" i="1"/>
  <c r="X371" i="1"/>
  <c r="X379" i="1"/>
  <c r="X387" i="1"/>
  <c r="X395" i="1"/>
  <c r="X403" i="1"/>
  <c r="X411" i="1"/>
  <c r="X419" i="1"/>
  <c r="X56" i="1"/>
  <c r="X175" i="1"/>
  <c r="X206" i="1"/>
  <c r="X262" i="1"/>
  <c r="X252" i="1"/>
  <c r="X274" i="1"/>
  <c r="X324" i="1"/>
  <c r="X356" i="1"/>
  <c r="X388" i="1"/>
  <c r="X420" i="1"/>
  <c r="X437" i="1"/>
  <c r="X445" i="1"/>
  <c r="X453" i="1"/>
  <c r="X461" i="1"/>
  <c r="X469" i="1"/>
  <c r="X438" i="1"/>
  <c r="X446" i="1"/>
  <c r="X454" i="1"/>
  <c r="X462" i="1"/>
  <c r="X470" i="1"/>
  <c r="X332" i="1"/>
  <c r="X364" i="1"/>
  <c r="X396" i="1"/>
  <c r="X427" i="1"/>
  <c r="X439" i="1"/>
  <c r="X447" i="1"/>
  <c r="X455" i="1"/>
  <c r="X463" i="1"/>
  <c r="X471" i="1"/>
  <c r="X440" i="1"/>
  <c r="X448" i="1"/>
  <c r="X456" i="1"/>
  <c r="X464" i="1"/>
  <c r="X235" i="1"/>
  <c r="X318" i="1"/>
  <c r="X340" i="1"/>
  <c r="X372" i="1"/>
  <c r="X404" i="1"/>
  <c r="X441" i="1"/>
  <c r="X449" i="1"/>
  <c r="X457" i="1"/>
  <c r="X465" i="1"/>
  <c r="X473" i="1"/>
  <c r="X286" i="1"/>
  <c r="X312" i="1"/>
  <c r="X288" i="1"/>
  <c r="X434" i="1"/>
  <c r="X442" i="1"/>
  <c r="X450" i="1"/>
  <c r="X458" i="1"/>
  <c r="X466" i="1"/>
  <c r="X319" i="1"/>
  <c r="X428" i="1"/>
  <c r="X348" i="1"/>
  <c r="X380" i="1"/>
  <c r="X412" i="1"/>
  <c r="X435" i="1"/>
  <c r="X443" i="1"/>
  <c r="X451" i="1"/>
  <c r="X459" i="1"/>
  <c r="X467" i="1"/>
  <c r="X444" i="1"/>
  <c r="X472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452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460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433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477" i="1"/>
  <c r="X476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503" i="1"/>
  <c r="X567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436" i="1"/>
  <c r="X511" i="1"/>
  <c r="X575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475" i="1"/>
  <c r="X519" i="1"/>
  <c r="X583" i="1"/>
  <c r="X604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613" i="1"/>
  <c r="X527" i="1"/>
  <c r="X591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535" i="1"/>
  <c r="X599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479" i="1"/>
  <c r="X543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612" i="1"/>
  <c r="X468" i="1"/>
  <c r="X487" i="1"/>
  <c r="X551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653" i="1"/>
  <c r="X717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495" i="1"/>
  <c r="X607" i="1"/>
  <c r="X661" i="1"/>
  <c r="X725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559" i="1"/>
  <c r="X669" i="1"/>
  <c r="X73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677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740" i="1"/>
  <c r="X621" i="1"/>
  <c r="X685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629" i="1"/>
  <c r="X693" i="1"/>
  <c r="X743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637" i="1"/>
  <c r="X701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3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748" i="1"/>
  <c r="X812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756" i="1"/>
  <c r="X82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764" i="1"/>
  <c r="X828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645" i="1"/>
  <c r="X772" i="1"/>
  <c r="X836" i="1"/>
  <c r="X868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709" i="1"/>
  <c r="X780" i="1"/>
  <c r="X844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788" i="1"/>
  <c r="X852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796" i="1"/>
  <c r="X860" i="1"/>
  <c r="X874" i="1"/>
  <c r="X804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899" i="1"/>
  <c r="X923" i="1"/>
  <c r="X947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907" i="1"/>
  <c r="X971" i="1"/>
  <c r="X999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915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939" i="1"/>
  <c r="X96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987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875" i="1"/>
  <c r="X931" i="1"/>
  <c r="X1003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883" i="1"/>
  <c r="X955" i="1"/>
  <c r="X995" i="1"/>
  <c r="X1126" i="1"/>
  <c r="X1030" i="1"/>
  <c r="X1094" i="1"/>
  <c r="X1125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038" i="1"/>
  <c r="X1102" i="1"/>
  <c r="X1118" i="1"/>
  <c r="X1124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891" i="1"/>
  <c r="X1002" i="1"/>
  <c r="X1122" i="1"/>
  <c r="X979" i="1"/>
  <c r="X1046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054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110" i="1"/>
  <c r="X1062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006" i="1"/>
  <c r="X1070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014" i="1"/>
  <c r="X1078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129" i="1"/>
  <c r="X119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246" i="1"/>
  <c r="X1137" i="1"/>
  <c r="X1201" i="1"/>
  <c r="X1249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145" i="1"/>
  <c r="X1209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022" i="1"/>
  <c r="X1153" i="1"/>
  <c r="X1217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252" i="1"/>
  <c r="X1253" i="1"/>
  <c r="X1254" i="1"/>
  <c r="X1086" i="1"/>
  <c r="X1161" i="1"/>
  <c r="X1225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169" i="1"/>
  <c r="X1233" i="1"/>
  <c r="X1248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177" i="1"/>
  <c r="X1250" i="1"/>
  <c r="X1283" i="1"/>
  <c r="X1315" i="1"/>
  <c r="X1347" i="1"/>
  <c r="X1371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276" i="1"/>
  <c r="X1308" i="1"/>
  <c r="X1340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259" i="1"/>
  <c r="X1291" i="1"/>
  <c r="X1323" i="1"/>
  <c r="X1355" i="1"/>
  <c r="X1380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369" i="1"/>
  <c r="X1185" i="1"/>
  <c r="X1241" i="1"/>
  <c r="X1284" i="1"/>
  <c r="X1316" i="1"/>
  <c r="X1348" i="1"/>
  <c r="X1387" i="1"/>
  <c r="X1395" i="1"/>
  <c r="X1403" i="1"/>
  <c r="X1411" i="1"/>
  <c r="X1419" i="1"/>
  <c r="X1427" i="1"/>
  <c r="X1435" i="1"/>
  <c r="X1443" i="1"/>
  <c r="X1451" i="1"/>
  <c r="X1459" i="1"/>
  <c r="X1372" i="1"/>
  <c r="X1267" i="1"/>
  <c r="X1299" i="1"/>
  <c r="X1331" i="1"/>
  <c r="X1363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260" i="1"/>
  <c r="X1292" i="1"/>
  <c r="X1324" i="1"/>
  <c r="X1356" i="1"/>
  <c r="X1389" i="1"/>
  <c r="X1397" i="1"/>
  <c r="X1405" i="1"/>
  <c r="X1413" i="1"/>
  <c r="X1275" i="1"/>
  <c r="X1307" i="1"/>
  <c r="X1339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429" i="1"/>
  <c r="X1461" i="1"/>
  <c r="X1379" i="1"/>
  <c r="X1475" i="1"/>
  <c r="X1491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268" i="1"/>
  <c r="X1364" i="1"/>
  <c r="X1391" i="1"/>
  <c r="X1447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415" i="1"/>
  <c r="X1437" i="1"/>
  <c r="X1487" i="1"/>
  <c r="X1493" i="1"/>
  <c r="X1485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423" i="1"/>
  <c r="X1455" i="1"/>
  <c r="X148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332" i="1"/>
  <c r="X1383" i="1"/>
  <c r="X1445" i="1"/>
  <c r="X1471" i="1"/>
  <c r="X1490" i="1"/>
  <c r="X1407" i="1"/>
  <c r="X1469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431" i="1"/>
  <c r="X1463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421" i="1"/>
  <c r="X1453" i="1"/>
  <c r="X1479" i="1"/>
  <c r="X1512" i="1"/>
  <c r="X1521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467" i="1"/>
  <c r="X1536" i="1"/>
  <c r="X1545" i="1"/>
  <c r="X1300" i="1"/>
  <c r="X1560" i="1"/>
  <c r="X1569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584" i="1"/>
  <c r="X1593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504" i="1"/>
  <c r="X1513" i="1"/>
  <c r="X1528" i="1"/>
  <c r="X1537" i="1"/>
  <c r="X1608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495" i="1"/>
  <c r="X1552" i="1"/>
  <c r="X1561" i="1"/>
  <c r="X1576" i="1"/>
  <c r="X1585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600" i="1"/>
  <c r="X1439" i="1"/>
  <c r="X1496" i="1"/>
  <c r="X1505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399" i="1"/>
  <c r="X1520" i="1"/>
  <c r="X1529" i="1"/>
  <c r="X1544" i="1"/>
  <c r="X1553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568" i="1"/>
  <c r="X1577" i="1"/>
  <c r="X1734" i="1"/>
  <c r="X1742" i="1"/>
  <c r="X1750" i="1"/>
  <c r="X1758" i="1"/>
  <c r="X1766" i="1"/>
  <c r="X1774" i="1"/>
  <c r="X1782" i="1"/>
  <c r="X1790" i="1"/>
  <c r="X1798" i="1"/>
  <c r="X1806" i="1"/>
  <c r="X1814" i="1"/>
  <c r="X1822" i="1"/>
  <c r="X1830" i="1"/>
  <c r="X1838" i="1"/>
  <c r="X1846" i="1"/>
  <c r="X1854" i="1"/>
  <c r="X1862" i="1"/>
  <c r="X1592" i="1"/>
  <c r="X1641" i="1"/>
  <c r="X1705" i="1"/>
  <c r="X1735" i="1"/>
  <c r="X1743" i="1"/>
  <c r="X1751" i="1"/>
  <c r="X1759" i="1"/>
  <c r="X1767" i="1"/>
  <c r="X1775" i="1"/>
  <c r="X1783" i="1"/>
  <c r="X1791" i="1"/>
  <c r="X1799" i="1"/>
  <c r="X1807" i="1"/>
  <c r="X1815" i="1"/>
  <c r="X1823" i="1"/>
  <c r="X1831" i="1"/>
  <c r="X1839" i="1"/>
  <c r="X1847" i="1"/>
  <c r="X1855" i="1"/>
  <c r="X1863" i="1"/>
  <c r="X1649" i="1"/>
  <c r="X1713" i="1"/>
  <c r="X1736" i="1"/>
  <c r="X1744" i="1"/>
  <c r="X1752" i="1"/>
  <c r="X1760" i="1"/>
  <c r="X1768" i="1"/>
  <c r="X1776" i="1"/>
  <c r="X1784" i="1"/>
  <c r="X1792" i="1"/>
  <c r="X1800" i="1"/>
  <c r="X1808" i="1"/>
  <c r="X1816" i="1"/>
  <c r="X1824" i="1"/>
  <c r="X1832" i="1"/>
  <c r="X1840" i="1"/>
  <c r="X1848" i="1"/>
  <c r="X1856" i="1"/>
  <c r="X1864" i="1"/>
  <c r="X1477" i="1"/>
  <c r="X1601" i="1"/>
  <c r="X1657" i="1"/>
  <c r="X1721" i="1"/>
  <c r="X1737" i="1"/>
  <c r="X1745" i="1"/>
  <c r="X1753" i="1"/>
  <c r="X1761" i="1"/>
  <c r="X1769" i="1"/>
  <c r="X1777" i="1"/>
  <c r="X1785" i="1"/>
  <c r="X1793" i="1"/>
  <c r="X1801" i="1"/>
  <c r="X1809" i="1"/>
  <c r="X1817" i="1"/>
  <c r="X1825" i="1"/>
  <c r="X1833" i="1"/>
  <c r="X1841" i="1"/>
  <c r="X1849" i="1"/>
  <c r="X1857" i="1"/>
  <c r="X1665" i="1"/>
  <c r="X1738" i="1"/>
  <c r="X1746" i="1"/>
  <c r="X1754" i="1"/>
  <c r="X1762" i="1"/>
  <c r="X1770" i="1"/>
  <c r="X1778" i="1"/>
  <c r="X1786" i="1"/>
  <c r="X1794" i="1"/>
  <c r="X1802" i="1"/>
  <c r="X1810" i="1"/>
  <c r="X1818" i="1"/>
  <c r="X1826" i="1"/>
  <c r="X1834" i="1"/>
  <c r="X1842" i="1"/>
  <c r="X1850" i="1"/>
  <c r="X1858" i="1"/>
  <c r="X1673" i="1"/>
  <c r="X1729" i="1"/>
  <c r="X1497" i="1"/>
  <c r="X1609" i="1"/>
  <c r="X1739" i="1"/>
  <c r="X1747" i="1"/>
  <c r="X1755" i="1"/>
  <c r="X1763" i="1"/>
  <c r="X1771" i="1"/>
  <c r="X1779" i="1"/>
  <c r="X1787" i="1"/>
  <c r="X1795" i="1"/>
  <c r="X1803" i="1"/>
  <c r="X1811" i="1"/>
  <c r="X1819" i="1"/>
  <c r="X1827" i="1"/>
  <c r="X1835" i="1"/>
  <c r="X1843" i="1"/>
  <c r="X1851" i="1"/>
  <c r="X1617" i="1"/>
  <c r="X1681" i="1"/>
  <c r="X1740" i="1"/>
  <c r="X1748" i="1"/>
  <c r="X1756" i="1"/>
  <c r="X1764" i="1"/>
  <c r="X1772" i="1"/>
  <c r="X1780" i="1"/>
  <c r="X1788" i="1"/>
  <c r="X1796" i="1"/>
  <c r="X1804" i="1"/>
  <c r="X1812" i="1"/>
  <c r="X1820" i="1"/>
  <c r="X1828" i="1"/>
  <c r="X1836" i="1"/>
  <c r="X1844" i="1"/>
  <c r="X1852" i="1"/>
  <c r="X1860" i="1"/>
  <c r="X1633" i="1"/>
  <c r="X1757" i="1"/>
  <c r="X1781" i="1"/>
  <c r="X1866" i="1"/>
  <c r="X1874" i="1"/>
  <c r="X1882" i="1"/>
  <c r="X1890" i="1"/>
  <c r="X1898" i="1"/>
  <c r="X1906" i="1"/>
  <c r="X1914" i="1"/>
  <c r="X1922" i="1"/>
  <c r="X1930" i="1"/>
  <c r="X1938" i="1"/>
  <c r="X1946" i="1"/>
  <c r="X1954" i="1"/>
  <c r="X1962" i="1"/>
  <c r="X1970" i="1"/>
  <c r="X1978" i="1"/>
  <c r="X1986" i="1"/>
  <c r="X1805" i="1"/>
  <c r="X1829" i="1"/>
  <c r="X1861" i="1"/>
  <c r="X1867" i="1"/>
  <c r="X1875" i="1"/>
  <c r="X1883" i="1"/>
  <c r="X1891" i="1"/>
  <c r="X1899" i="1"/>
  <c r="X1907" i="1"/>
  <c r="X1915" i="1"/>
  <c r="X1923" i="1"/>
  <c r="X1931" i="1"/>
  <c r="X1939" i="1"/>
  <c r="X1947" i="1"/>
  <c r="X1955" i="1"/>
  <c r="X1963" i="1"/>
  <c r="X1971" i="1"/>
  <c r="X1979" i="1"/>
  <c r="X1987" i="1"/>
  <c r="X1853" i="1"/>
  <c r="X1749" i="1"/>
  <c r="X1868" i="1"/>
  <c r="X1876" i="1"/>
  <c r="X1884" i="1"/>
  <c r="X1892" i="1"/>
  <c r="X1900" i="1"/>
  <c r="X1908" i="1"/>
  <c r="X1916" i="1"/>
  <c r="X1924" i="1"/>
  <c r="X1932" i="1"/>
  <c r="X1940" i="1"/>
  <c r="X1948" i="1"/>
  <c r="X1956" i="1"/>
  <c r="X1964" i="1"/>
  <c r="X1972" i="1"/>
  <c r="X1980" i="1"/>
  <c r="X1689" i="1"/>
  <c r="X1773" i="1"/>
  <c r="X1797" i="1"/>
  <c r="X1869" i="1"/>
  <c r="X1877" i="1"/>
  <c r="X1885" i="1"/>
  <c r="X1893" i="1"/>
  <c r="X1901" i="1"/>
  <c r="X1909" i="1"/>
  <c r="X1917" i="1"/>
  <c r="X1925" i="1"/>
  <c r="X1933" i="1"/>
  <c r="X1941" i="1"/>
  <c r="X1949" i="1"/>
  <c r="X1957" i="1"/>
  <c r="X1965" i="1"/>
  <c r="X1973" i="1"/>
  <c r="X1981" i="1"/>
  <c r="X1821" i="1"/>
  <c r="X1845" i="1"/>
  <c r="X1859" i="1"/>
  <c r="X1870" i="1"/>
  <c r="X1878" i="1"/>
  <c r="X1886" i="1"/>
  <c r="X1894" i="1"/>
  <c r="X1902" i="1"/>
  <c r="X1910" i="1"/>
  <c r="X1918" i="1"/>
  <c r="X1926" i="1"/>
  <c r="X1934" i="1"/>
  <c r="X1942" i="1"/>
  <c r="X1950" i="1"/>
  <c r="X1958" i="1"/>
  <c r="X1966" i="1"/>
  <c r="X1974" i="1"/>
  <c r="X1982" i="1"/>
  <c r="X1741" i="1"/>
  <c r="X1625" i="1"/>
  <c r="X1697" i="1"/>
  <c r="X1765" i="1"/>
  <c r="X1871" i="1"/>
  <c r="X1879" i="1"/>
  <c r="X1887" i="1"/>
  <c r="X1895" i="1"/>
  <c r="X1903" i="1"/>
  <c r="X1911" i="1"/>
  <c r="X1919" i="1"/>
  <c r="X1927" i="1"/>
  <c r="X1935" i="1"/>
  <c r="X1943" i="1"/>
  <c r="X1951" i="1"/>
  <c r="X1959" i="1"/>
  <c r="X1967" i="1"/>
  <c r="X1975" i="1"/>
  <c r="X1983" i="1"/>
  <c r="X1789" i="1"/>
  <c r="X1733" i="1"/>
  <c r="X1865" i="1"/>
  <c r="AG21" i="1"/>
  <c r="R26" i="1"/>
  <c r="S26" i="1"/>
  <c r="T26" i="1"/>
  <c r="U25" i="1"/>
  <c r="V25" i="1"/>
  <c r="W25" i="1"/>
  <c r="X24" i="1"/>
  <c r="Y23" i="1"/>
  <c r="Z22" i="1"/>
  <c r="AA22" i="1"/>
  <c r="AB22" i="1"/>
  <c r="AC22" i="1"/>
  <c r="AD21" i="1"/>
  <c r="AE18" i="1"/>
  <c r="AF16" i="1"/>
  <c r="AH16" i="1"/>
  <c r="AI12" i="1"/>
  <c r="P29" i="1"/>
  <c r="P45" i="1"/>
  <c r="P61" i="1"/>
  <c r="P77" i="1"/>
  <c r="P93" i="1"/>
  <c r="P109" i="1"/>
  <c r="P125" i="1"/>
  <c r="P141" i="1"/>
  <c r="P157" i="1"/>
  <c r="P173" i="1"/>
  <c r="P189" i="1"/>
  <c r="P205" i="1"/>
  <c r="P221" i="1"/>
  <c r="P237" i="1"/>
  <c r="P253" i="1"/>
  <c r="P269" i="1"/>
  <c r="P285" i="1"/>
  <c r="P301" i="1"/>
  <c r="P317" i="1"/>
  <c r="P333" i="1"/>
  <c r="P349" i="1"/>
  <c r="P365" i="1"/>
  <c r="P381" i="1"/>
  <c r="P397" i="1"/>
  <c r="P413" i="1"/>
  <c r="P429" i="1"/>
  <c r="P445" i="1"/>
  <c r="P461" i="1"/>
  <c r="P477" i="1"/>
  <c r="P493" i="1"/>
  <c r="P509" i="1"/>
  <c r="P525" i="1"/>
  <c r="P541" i="1"/>
  <c r="P557" i="1"/>
  <c r="P573" i="1"/>
  <c r="P589" i="1"/>
  <c r="P605" i="1"/>
  <c r="P621" i="1"/>
  <c r="P637" i="1"/>
  <c r="P653" i="1"/>
  <c r="P669" i="1"/>
  <c r="P685" i="1"/>
  <c r="P701" i="1"/>
  <c r="P717" i="1"/>
  <c r="P733" i="1"/>
  <c r="P749" i="1"/>
  <c r="P765" i="1"/>
  <c r="P781" i="1"/>
  <c r="P797" i="1"/>
  <c r="P813" i="1"/>
  <c r="P829" i="1"/>
  <c r="P845" i="1"/>
  <c r="P861" i="1"/>
  <c r="P877" i="1"/>
  <c r="P893" i="1"/>
  <c r="P909" i="1"/>
  <c r="P925" i="1"/>
  <c r="P941" i="1"/>
  <c r="P957" i="1"/>
  <c r="P973" i="1"/>
  <c r="P989" i="1"/>
  <c r="P1005" i="1"/>
  <c r="P1021" i="1"/>
  <c r="P1037" i="1"/>
  <c r="P1053" i="1"/>
  <c r="P1069" i="1"/>
  <c r="P1085" i="1"/>
  <c r="P1101" i="1"/>
  <c r="P1117" i="1"/>
  <c r="P1133" i="1"/>
  <c r="P1149" i="1"/>
  <c r="P1165" i="1"/>
  <c r="P1181" i="1"/>
  <c r="P1197" i="1"/>
  <c r="P1213" i="1"/>
  <c r="P1229" i="1"/>
  <c r="P1245" i="1"/>
  <c r="P1261" i="1"/>
  <c r="P1277" i="1"/>
  <c r="P1293" i="1"/>
  <c r="P1309" i="1"/>
  <c r="P1325" i="1"/>
  <c r="P1341" i="1"/>
  <c r="P1357" i="1"/>
  <c r="P1373" i="1"/>
  <c r="P1389" i="1"/>
  <c r="P1405" i="1"/>
  <c r="P1421" i="1"/>
  <c r="P1437" i="1"/>
  <c r="P1453" i="1"/>
  <c r="P1469" i="1"/>
  <c r="P1485" i="1"/>
  <c r="P1501" i="1"/>
  <c r="P1517" i="1"/>
  <c r="P1533" i="1"/>
  <c r="P1549" i="1"/>
  <c r="P1565" i="1"/>
  <c r="P1581" i="1"/>
  <c r="P1597" i="1"/>
  <c r="P1613" i="1"/>
  <c r="P1629" i="1"/>
  <c r="P1645" i="1"/>
  <c r="P1661" i="1"/>
  <c r="P1677" i="1"/>
  <c r="P1693" i="1"/>
  <c r="P1709" i="1"/>
  <c r="P1725" i="1"/>
  <c r="P1741" i="1"/>
  <c r="P1757" i="1"/>
  <c r="P1773" i="1"/>
  <c r="P1789" i="1"/>
  <c r="P1805" i="1"/>
  <c r="P1821" i="1"/>
  <c r="P1837" i="1"/>
  <c r="P1853" i="1"/>
  <c r="P1869" i="1"/>
  <c r="P1885" i="1"/>
  <c r="P1901" i="1"/>
  <c r="P1917" i="1"/>
  <c r="P1933" i="1"/>
  <c r="P1949" i="1"/>
  <c r="P1965" i="1"/>
  <c r="P1981" i="1"/>
  <c r="P1997" i="1"/>
  <c r="P2013" i="1"/>
  <c r="P2029" i="1"/>
  <c r="AH2044" i="1"/>
  <c r="R2044" i="1"/>
  <c r="T2043" i="1"/>
  <c r="V2042" i="1"/>
  <c r="X2041" i="1"/>
  <c r="Z2040" i="1"/>
  <c r="AB2039" i="1"/>
  <c r="AD2038" i="1"/>
  <c r="AF2037" i="1"/>
  <c r="AH2036" i="1"/>
  <c r="R2036" i="1"/>
  <c r="T2035" i="1"/>
  <c r="V2034" i="1"/>
  <c r="X2033" i="1"/>
  <c r="Z2032" i="1"/>
  <c r="AB2031" i="1"/>
  <c r="AD2030" i="1"/>
  <c r="AF2029" i="1"/>
  <c r="AH2028" i="1"/>
  <c r="R2028" i="1"/>
  <c r="T2027" i="1"/>
  <c r="V2026" i="1"/>
  <c r="X2025" i="1"/>
  <c r="Z2024" i="1"/>
  <c r="AB2023" i="1"/>
  <c r="AD2022" i="1"/>
  <c r="AF2021" i="1"/>
  <c r="AH2020" i="1"/>
  <c r="R2020" i="1"/>
  <c r="T2019" i="1"/>
  <c r="V2018" i="1"/>
  <c r="X2017" i="1"/>
  <c r="Z2016" i="1"/>
  <c r="AB2015" i="1"/>
  <c r="AD2014" i="1"/>
  <c r="AF2013" i="1"/>
  <c r="AH2012" i="1"/>
  <c r="R2012" i="1"/>
  <c r="T2011" i="1"/>
  <c r="V2010" i="1"/>
  <c r="X2009" i="1"/>
  <c r="Z2008" i="1"/>
  <c r="AB2007" i="1"/>
  <c r="AD2006" i="1"/>
  <c r="AF2005" i="1"/>
  <c r="AH2004" i="1"/>
  <c r="R2004" i="1"/>
  <c r="T2003" i="1"/>
  <c r="V2002" i="1"/>
  <c r="X2001" i="1"/>
  <c r="Z2000" i="1"/>
  <c r="AB1999" i="1"/>
  <c r="AD1998" i="1"/>
  <c r="AF1997" i="1"/>
  <c r="AH1996" i="1"/>
  <c r="R1996" i="1"/>
  <c r="T1995" i="1"/>
  <c r="V1994" i="1"/>
  <c r="X1993" i="1"/>
  <c r="Z1992" i="1"/>
  <c r="AB1991" i="1"/>
  <c r="AD1990" i="1"/>
  <c r="AF1989" i="1"/>
  <c r="AH1988" i="1"/>
  <c r="R1988" i="1"/>
  <c r="AB1986" i="1"/>
  <c r="AA1983" i="1"/>
  <c r="Q1980" i="1"/>
  <c r="Y1976" i="1"/>
  <c r="AG1972" i="1"/>
  <c r="W1969" i="1"/>
  <c r="AE1965" i="1"/>
  <c r="U1962" i="1"/>
  <c r="AC1958" i="1"/>
  <c r="S1955" i="1"/>
  <c r="AA1951" i="1"/>
  <c r="Q1948" i="1"/>
  <c r="Y1944" i="1"/>
  <c r="AG1940" i="1"/>
  <c r="W1937" i="1"/>
  <c r="AE1933" i="1"/>
  <c r="U1930" i="1"/>
  <c r="AC1926" i="1"/>
  <c r="S1923" i="1"/>
  <c r="AA1919" i="1"/>
  <c r="Q1916" i="1"/>
  <c r="Y1912" i="1"/>
  <c r="AG1908" i="1"/>
  <c r="W1905" i="1"/>
  <c r="AE1901" i="1"/>
  <c r="U1898" i="1"/>
  <c r="AC1894" i="1"/>
  <c r="S1891" i="1"/>
  <c r="AA1887" i="1"/>
  <c r="Q1884" i="1"/>
  <c r="Y1880" i="1"/>
  <c r="AG1876" i="1"/>
  <c r="W1873" i="1"/>
  <c r="AE1869" i="1"/>
  <c r="U1866" i="1"/>
  <c r="AA1851" i="1"/>
  <c r="AG1817" i="1"/>
  <c r="Y1780" i="1"/>
  <c r="V1742" i="1"/>
  <c r="AH1956" i="1"/>
  <c r="AG20" i="1"/>
  <c r="R25" i="1"/>
  <c r="S25" i="1"/>
  <c r="T25" i="1"/>
  <c r="U24" i="1"/>
  <c r="V24" i="1"/>
  <c r="W24" i="1"/>
  <c r="X23" i="1"/>
  <c r="Y22" i="1"/>
  <c r="Z21" i="1"/>
  <c r="AA21" i="1"/>
  <c r="AB21" i="1"/>
  <c r="AC21" i="1"/>
  <c r="AD20" i="1"/>
  <c r="AE17" i="1"/>
  <c r="AF14" i="1"/>
  <c r="AH15" i="1"/>
  <c r="AJ11" i="1"/>
  <c r="P30" i="1"/>
  <c r="P46" i="1"/>
  <c r="P62" i="1"/>
  <c r="P78" i="1"/>
  <c r="P94" i="1"/>
  <c r="P110" i="1"/>
  <c r="P126" i="1"/>
  <c r="P142" i="1"/>
  <c r="P158" i="1"/>
  <c r="P174" i="1"/>
  <c r="P190" i="1"/>
  <c r="P206" i="1"/>
  <c r="P222" i="1"/>
  <c r="P238" i="1"/>
  <c r="P254" i="1"/>
  <c r="P270" i="1"/>
  <c r="P286" i="1"/>
  <c r="P302" i="1"/>
  <c r="P318" i="1"/>
  <c r="P334" i="1"/>
  <c r="P350" i="1"/>
  <c r="P366" i="1"/>
  <c r="P382" i="1"/>
  <c r="P398" i="1"/>
  <c r="P414" i="1"/>
  <c r="P430" i="1"/>
  <c r="P446" i="1"/>
  <c r="P462" i="1"/>
  <c r="P478" i="1"/>
  <c r="P494" i="1"/>
  <c r="P510" i="1"/>
  <c r="P526" i="1"/>
  <c r="P542" i="1"/>
  <c r="P558" i="1"/>
  <c r="P574" i="1"/>
  <c r="P590" i="1"/>
  <c r="P606" i="1"/>
  <c r="P622" i="1"/>
  <c r="P638" i="1"/>
  <c r="P654" i="1"/>
  <c r="P670" i="1"/>
  <c r="P686" i="1"/>
  <c r="P702" i="1"/>
  <c r="P718" i="1"/>
  <c r="P734" i="1"/>
  <c r="P750" i="1"/>
  <c r="P766" i="1"/>
  <c r="P782" i="1"/>
  <c r="P798" i="1"/>
  <c r="P814" i="1"/>
  <c r="P830" i="1"/>
  <c r="P846" i="1"/>
  <c r="P862" i="1"/>
  <c r="P878" i="1"/>
  <c r="P894" i="1"/>
  <c r="P910" i="1"/>
  <c r="P926" i="1"/>
  <c r="P942" i="1"/>
  <c r="P958" i="1"/>
  <c r="P974" i="1"/>
  <c r="P990" i="1"/>
  <c r="P1006" i="1"/>
  <c r="P1022" i="1"/>
  <c r="P1038" i="1"/>
  <c r="P1054" i="1"/>
  <c r="P1070" i="1"/>
  <c r="P1086" i="1"/>
  <c r="P1102" i="1"/>
  <c r="P1118" i="1"/>
  <c r="P1134" i="1"/>
  <c r="P1150" i="1"/>
  <c r="P1166" i="1"/>
  <c r="P1182" i="1"/>
  <c r="P1198" i="1"/>
  <c r="P1214" i="1"/>
  <c r="P1230" i="1"/>
  <c r="P1246" i="1"/>
  <c r="P1262" i="1"/>
  <c r="P1278" i="1"/>
  <c r="P1294" i="1"/>
  <c r="P1310" i="1"/>
  <c r="P1326" i="1"/>
  <c r="P1342" i="1"/>
  <c r="P1358" i="1"/>
  <c r="P1374" i="1"/>
  <c r="P1390" i="1"/>
  <c r="P1406" i="1"/>
  <c r="P1422" i="1"/>
  <c r="P1438" i="1"/>
  <c r="P1454" i="1"/>
  <c r="P1470" i="1"/>
  <c r="P1486" i="1"/>
  <c r="P1502" i="1"/>
  <c r="P1518" i="1"/>
  <c r="P1534" i="1"/>
  <c r="P1550" i="1"/>
  <c r="P1566" i="1"/>
  <c r="P1582" i="1"/>
  <c r="P1598" i="1"/>
  <c r="P1614" i="1"/>
  <c r="P1630" i="1"/>
  <c r="P1646" i="1"/>
  <c r="P1662" i="1"/>
  <c r="P1678" i="1"/>
  <c r="P1694" i="1"/>
  <c r="P1710" i="1"/>
  <c r="P1726" i="1"/>
  <c r="P1742" i="1"/>
  <c r="P1758" i="1"/>
  <c r="P1774" i="1"/>
  <c r="P1790" i="1"/>
  <c r="P1806" i="1"/>
  <c r="P1822" i="1"/>
  <c r="P1838" i="1"/>
  <c r="P1854" i="1"/>
  <c r="P1870" i="1"/>
  <c r="P1886" i="1"/>
  <c r="P1902" i="1"/>
  <c r="P1918" i="1"/>
  <c r="P1934" i="1"/>
  <c r="P1950" i="1"/>
  <c r="P1966" i="1"/>
  <c r="P1982" i="1"/>
  <c r="P1998" i="1"/>
  <c r="P2014" i="1"/>
  <c r="P2030" i="1"/>
  <c r="AG2044" i="1"/>
  <c r="Q2044" i="1"/>
  <c r="S2043" i="1"/>
  <c r="U2042" i="1"/>
  <c r="W2041" i="1"/>
  <c r="Y2040" i="1"/>
  <c r="AA2039" i="1"/>
  <c r="AC2038" i="1"/>
  <c r="AE2037" i="1"/>
  <c r="AG2036" i="1"/>
  <c r="Q2036" i="1"/>
  <c r="S2035" i="1"/>
  <c r="U2034" i="1"/>
  <c r="W2033" i="1"/>
  <c r="Y2032" i="1"/>
  <c r="AA2031" i="1"/>
  <c r="AC2030" i="1"/>
  <c r="AE2029" i="1"/>
  <c r="AG2028" i="1"/>
  <c r="Q2028" i="1"/>
  <c r="S2027" i="1"/>
  <c r="U2026" i="1"/>
  <c r="W2025" i="1"/>
  <c r="Y2024" i="1"/>
  <c r="AA2023" i="1"/>
  <c r="AC2022" i="1"/>
  <c r="AE2021" i="1"/>
  <c r="AG2020" i="1"/>
  <c r="Q2020" i="1"/>
  <c r="S2019" i="1"/>
  <c r="U2018" i="1"/>
  <c r="W2017" i="1"/>
  <c r="Y2016" i="1"/>
  <c r="AA2015" i="1"/>
  <c r="AC2014" i="1"/>
  <c r="AE2013" i="1"/>
  <c r="AG2012" i="1"/>
  <c r="Q2012" i="1"/>
  <c r="S2011" i="1"/>
  <c r="U2010" i="1"/>
  <c r="W2009" i="1"/>
  <c r="Y2008" i="1"/>
  <c r="AA2007" i="1"/>
  <c r="AC2006" i="1"/>
  <c r="AE2005" i="1"/>
  <c r="AG2004" i="1"/>
  <c r="Q2004" i="1"/>
  <c r="S2003" i="1"/>
  <c r="U2002" i="1"/>
  <c r="W2001" i="1"/>
  <c r="Y2000" i="1"/>
  <c r="AA1999" i="1"/>
  <c r="AC1998" i="1"/>
  <c r="AE1997" i="1"/>
  <c r="AG1996" i="1"/>
  <c r="Q1996" i="1"/>
  <c r="S1995" i="1"/>
  <c r="U1994" i="1"/>
  <c r="W1993" i="1"/>
  <c r="Y1992" i="1"/>
  <c r="AA1991" i="1"/>
  <c r="AC1990" i="1"/>
  <c r="AE1989" i="1"/>
  <c r="AG1988" i="1"/>
  <c r="Q1988" i="1"/>
  <c r="V1986" i="1"/>
  <c r="Z1983" i="1"/>
  <c r="AH1979" i="1"/>
  <c r="X1976" i="1"/>
  <c r="AF1972" i="1"/>
  <c r="V1969" i="1"/>
  <c r="AD1965" i="1"/>
  <c r="T1962" i="1"/>
  <c r="AB1958" i="1"/>
  <c r="R1955" i="1"/>
  <c r="Z1951" i="1"/>
  <c r="AH1947" i="1"/>
  <c r="X1944" i="1"/>
  <c r="AF1940" i="1"/>
  <c r="V1937" i="1"/>
  <c r="AD1933" i="1"/>
  <c r="T1930" i="1"/>
  <c r="AB1926" i="1"/>
  <c r="R1923" i="1"/>
  <c r="Z1919" i="1"/>
  <c r="AH1915" i="1"/>
  <c r="X1912" i="1"/>
  <c r="AF1908" i="1"/>
  <c r="V1905" i="1"/>
  <c r="AD1901" i="1"/>
  <c r="T1898" i="1"/>
  <c r="AB1894" i="1"/>
  <c r="R1891" i="1"/>
  <c r="Z1887" i="1"/>
  <c r="X1880" i="1"/>
  <c r="AF1876" i="1"/>
  <c r="V1873" i="1"/>
  <c r="AD1869" i="1"/>
  <c r="T1866" i="1"/>
  <c r="AE1850" i="1"/>
  <c r="Y1813" i="1"/>
  <c r="Q1776" i="1"/>
  <c r="AF1737" i="1"/>
  <c r="AI2041" i="1"/>
  <c r="AI2033" i="1"/>
  <c r="AI2025" i="1"/>
  <c r="AI2017" i="1"/>
  <c r="AI2009" i="1"/>
  <c r="AI2001" i="1"/>
  <c r="AI1993" i="1"/>
  <c r="AI1985" i="1"/>
  <c r="AI1977" i="1"/>
  <c r="AI1969" i="1"/>
  <c r="AI1961" i="1"/>
  <c r="AI1953" i="1"/>
  <c r="AI1945" i="1"/>
  <c r="AI1937" i="1"/>
  <c r="AI1929" i="1"/>
  <c r="AI1921" i="1"/>
  <c r="AI1913" i="1"/>
  <c r="AI1905" i="1"/>
  <c r="AI1897" i="1"/>
  <c r="AI1889" i="1"/>
  <c r="AI1881" i="1"/>
  <c r="AI1873" i="1"/>
  <c r="AI1865" i="1"/>
  <c r="AI1857" i="1"/>
  <c r="AI1849" i="1"/>
  <c r="AI1841" i="1"/>
  <c r="AI1833" i="1"/>
  <c r="AI1825" i="1"/>
  <c r="AI1817" i="1"/>
  <c r="AI1809" i="1"/>
  <c r="AI1801" i="1"/>
  <c r="AI1793" i="1"/>
  <c r="AI1785" i="1"/>
  <c r="AI1777" i="1"/>
  <c r="AI1769" i="1"/>
  <c r="AI1761" i="1"/>
  <c r="AI1753" i="1"/>
  <c r="AI1745" i="1"/>
  <c r="AI1737" i="1"/>
  <c r="AI1729" i="1"/>
  <c r="AI1721" i="1"/>
  <c r="AI1713" i="1"/>
  <c r="AI1705" i="1"/>
  <c r="AI1697" i="1"/>
  <c r="AI1689" i="1"/>
  <c r="AI1681" i="1"/>
  <c r="AI1673" i="1"/>
  <c r="AI1665" i="1"/>
  <c r="AI1657" i="1"/>
  <c r="AI1649" i="1"/>
  <c r="AI1641" i="1"/>
  <c r="AI1633" i="1"/>
  <c r="AI1625" i="1"/>
  <c r="AI1617" i="1"/>
  <c r="AI1609" i="1"/>
  <c r="AI1601" i="1"/>
  <c r="AI1593" i="1"/>
  <c r="AI1585" i="1"/>
  <c r="AI1577" i="1"/>
  <c r="AI1569" i="1"/>
  <c r="AI1561" i="1"/>
  <c r="AI1553" i="1"/>
  <c r="AI1545" i="1"/>
  <c r="AI1537" i="1"/>
  <c r="AI1529" i="1"/>
  <c r="AI1521" i="1"/>
  <c r="AI1513" i="1"/>
  <c r="AI1505" i="1"/>
  <c r="AI1497" i="1"/>
  <c r="AI1489" i="1"/>
  <c r="AI1481" i="1"/>
  <c r="AI1473" i="1"/>
  <c r="AI1465" i="1"/>
  <c r="AI1457" i="1"/>
  <c r="AI1449" i="1"/>
  <c r="AI1441" i="1"/>
  <c r="AI1433" i="1"/>
  <c r="AI1425" i="1"/>
  <c r="AI1417" i="1"/>
  <c r="AI1409" i="1"/>
  <c r="AI1401" i="1"/>
  <c r="AI1393" i="1"/>
  <c r="AI1385" i="1"/>
  <c r="AI1377" i="1"/>
  <c r="AI1369" i="1"/>
  <c r="AJ2040" i="1"/>
  <c r="AJ2032" i="1"/>
  <c r="AJ2024" i="1"/>
  <c r="AJ2016" i="1"/>
  <c r="AJ2008" i="1"/>
  <c r="AJ2000" i="1"/>
  <c r="AJ1992" i="1"/>
  <c r="AJ1984" i="1"/>
  <c r="AJ1976" i="1"/>
  <c r="AJ1968" i="1"/>
  <c r="AJ1960" i="1"/>
  <c r="AJ1952" i="1"/>
  <c r="AJ1944" i="1"/>
  <c r="AJ1936" i="1"/>
  <c r="AJ1928" i="1"/>
  <c r="AJ1920" i="1"/>
  <c r="AJ1912" i="1"/>
  <c r="AJ1904" i="1"/>
  <c r="AJ1896" i="1"/>
  <c r="AJ1888" i="1"/>
  <c r="AJ1880" i="1"/>
  <c r="AJ1872" i="1"/>
  <c r="AJ1864" i="1"/>
  <c r="AJ1856" i="1"/>
  <c r="AJ1848" i="1"/>
  <c r="AJ1840" i="1"/>
  <c r="AJ1832" i="1"/>
  <c r="AJ1824" i="1"/>
  <c r="AJ1816" i="1"/>
  <c r="AJ1808" i="1"/>
  <c r="AJ1800" i="1"/>
  <c r="AJ1792" i="1"/>
  <c r="AJ1784" i="1"/>
  <c r="AJ1776" i="1"/>
  <c r="AJ1768" i="1"/>
  <c r="AJ1760" i="1"/>
  <c r="AJ1752" i="1"/>
  <c r="AJ1744" i="1"/>
  <c r="AJ1736" i="1"/>
  <c r="AJ1728" i="1"/>
  <c r="AJ1720" i="1"/>
  <c r="AJ1712" i="1"/>
  <c r="AJ1704" i="1"/>
  <c r="AJ1696" i="1"/>
  <c r="AJ1688" i="1"/>
  <c r="AJ1680" i="1"/>
  <c r="AJ1672" i="1"/>
  <c r="AJ1664" i="1"/>
  <c r="AJ1656" i="1"/>
  <c r="AJ1648" i="1"/>
  <c r="AJ1640" i="1"/>
  <c r="AJ1632" i="1"/>
  <c r="AJ1624" i="1"/>
  <c r="AJ1616" i="1"/>
  <c r="AJ1608" i="1"/>
  <c r="AJ1600" i="1"/>
  <c r="AJ1592" i="1"/>
  <c r="AJ1584" i="1"/>
  <c r="AJ1576" i="1"/>
  <c r="AJ1568" i="1"/>
  <c r="AJ1560" i="1"/>
  <c r="AJ1552" i="1"/>
  <c r="AJ1544" i="1"/>
  <c r="AJ1536" i="1"/>
  <c r="AJ1528" i="1"/>
  <c r="AJ1520" i="1"/>
  <c r="AJ1512" i="1"/>
  <c r="AJ1504" i="1"/>
  <c r="AJ1496" i="1"/>
  <c r="AJ1488" i="1"/>
  <c r="AJ1480" i="1"/>
  <c r="AJ1472" i="1"/>
  <c r="AJ1464" i="1"/>
  <c r="AJ1456" i="1"/>
  <c r="AJ1448" i="1"/>
  <c r="AJ1440" i="1"/>
  <c r="AJ1432" i="1"/>
  <c r="AJ1424" i="1"/>
  <c r="AJ1416" i="1"/>
  <c r="AJ1408" i="1"/>
  <c r="AJ1400" i="1"/>
  <c r="AJ1392" i="1"/>
  <c r="AJ1384" i="1"/>
  <c r="AJ1376" i="1"/>
  <c r="AI2040" i="1"/>
  <c r="AI2032" i="1"/>
  <c r="AI2024" i="1"/>
  <c r="AI2016" i="1"/>
  <c r="AI2008" i="1"/>
  <c r="AI2000" i="1"/>
  <c r="AI1992" i="1"/>
  <c r="AI1984" i="1"/>
  <c r="AI1976" i="1"/>
  <c r="AI1968" i="1"/>
  <c r="AI1960" i="1"/>
  <c r="AI1952" i="1"/>
  <c r="AI1944" i="1"/>
  <c r="AI1936" i="1"/>
  <c r="AI1928" i="1"/>
  <c r="AI1920" i="1"/>
  <c r="AI1912" i="1"/>
  <c r="AI1904" i="1"/>
  <c r="AI1896" i="1"/>
  <c r="AI1888" i="1"/>
  <c r="AI1880" i="1"/>
  <c r="AI1872" i="1"/>
  <c r="AI1864" i="1"/>
  <c r="AI1856" i="1"/>
  <c r="AI1848" i="1"/>
  <c r="AI1840" i="1"/>
  <c r="AI1832" i="1"/>
  <c r="AI1824" i="1"/>
  <c r="AI1816" i="1"/>
  <c r="AI1808" i="1"/>
  <c r="AI1800" i="1"/>
  <c r="AI1792" i="1"/>
  <c r="AI1784" i="1"/>
  <c r="AI1776" i="1"/>
  <c r="AI1768" i="1"/>
  <c r="AI1760" i="1"/>
  <c r="AI1752" i="1"/>
  <c r="AI1744" i="1"/>
  <c r="AI1736" i="1"/>
  <c r="AI1728" i="1"/>
  <c r="AI1720" i="1"/>
  <c r="AI1712" i="1"/>
  <c r="AI1704" i="1"/>
  <c r="AI1696" i="1"/>
  <c r="AI1688" i="1"/>
  <c r="AI1680" i="1"/>
  <c r="AI1672" i="1"/>
  <c r="AI1664" i="1"/>
  <c r="AI1656" i="1"/>
  <c r="AI1648" i="1"/>
  <c r="AI1640" i="1"/>
  <c r="AI1632" i="1"/>
  <c r="AI1624" i="1"/>
  <c r="AI1616" i="1"/>
  <c r="AI1608" i="1"/>
  <c r="AI1600" i="1"/>
  <c r="AI1592" i="1"/>
  <c r="AI1584" i="1"/>
  <c r="AI1576" i="1"/>
  <c r="AI1568" i="1"/>
  <c r="AI1560" i="1"/>
  <c r="AI1552" i="1"/>
  <c r="AI1544" i="1"/>
  <c r="AI1536" i="1"/>
  <c r="AI1528" i="1"/>
  <c r="AI1520" i="1"/>
  <c r="AI1512" i="1"/>
  <c r="AI1504" i="1"/>
  <c r="AI1496" i="1"/>
  <c r="AI1488" i="1"/>
  <c r="AI1480" i="1"/>
  <c r="AI1472" i="1"/>
  <c r="AI1464" i="1"/>
  <c r="AI1456" i="1"/>
  <c r="AI1448" i="1"/>
  <c r="AI1440" i="1"/>
  <c r="AI1432" i="1"/>
  <c r="AI1424" i="1"/>
  <c r="AI1416" i="1"/>
  <c r="AI1408" i="1"/>
  <c r="AI1400" i="1"/>
  <c r="AI1392" i="1"/>
  <c r="AI1384" i="1"/>
  <c r="AI1376" i="1"/>
  <c r="AJ2039" i="1"/>
  <c r="AJ2031" i="1"/>
  <c r="AJ2023" i="1"/>
  <c r="AJ2015" i="1"/>
  <c r="AJ2007" i="1"/>
  <c r="AJ1999" i="1"/>
  <c r="AJ1991" i="1"/>
  <c r="AJ1983" i="1"/>
  <c r="AJ1975" i="1"/>
  <c r="AJ1967" i="1"/>
  <c r="AJ1959" i="1"/>
  <c r="AJ1951" i="1"/>
  <c r="AJ1943" i="1"/>
  <c r="AJ1935" i="1"/>
  <c r="AJ1927" i="1"/>
  <c r="AJ1919" i="1"/>
  <c r="AJ1911" i="1"/>
  <c r="AJ1903" i="1"/>
  <c r="AJ1895" i="1"/>
  <c r="AJ1887" i="1"/>
  <c r="AJ1879" i="1"/>
  <c r="AJ1871" i="1"/>
  <c r="AJ1863" i="1"/>
  <c r="AJ1855" i="1"/>
  <c r="AJ1847" i="1"/>
  <c r="AJ1839" i="1"/>
  <c r="AJ1831" i="1"/>
  <c r="AJ1823" i="1"/>
  <c r="AJ1815" i="1"/>
  <c r="AJ1807" i="1"/>
  <c r="AJ1799" i="1"/>
  <c r="AJ1791" i="1"/>
  <c r="AJ1783" i="1"/>
  <c r="AJ1775" i="1"/>
  <c r="AJ1767" i="1"/>
  <c r="AJ1759" i="1"/>
  <c r="AJ1751" i="1"/>
  <c r="AJ1743" i="1"/>
  <c r="AJ1735" i="1"/>
  <c r="AJ1727" i="1"/>
  <c r="AJ1719" i="1"/>
  <c r="AJ1711" i="1"/>
  <c r="AJ1703" i="1"/>
  <c r="AJ1695" i="1"/>
  <c r="AJ1687" i="1"/>
  <c r="AJ1679" i="1"/>
  <c r="AJ1671" i="1"/>
  <c r="AJ1663" i="1"/>
  <c r="AJ1655" i="1"/>
  <c r="AJ1647" i="1"/>
  <c r="AJ1639" i="1"/>
  <c r="AJ1631" i="1"/>
  <c r="AJ1623" i="1"/>
  <c r="AJ1615" i="1"/>
  <c r="AJ1607" i="1"/>
  <c r="AJ1599" i="1"/>
  <c r="AJ1591" i="1"/>
  <c r="AJ1583" i="1"/>
  <c r="AJ1575" i="1"/>
  <c r="AJ1567" i="1"/>
  <c r="AJ1559" i="1"/>
  <c r="AJ1551" i="1"/>
  <c r="AJ1543" i="1"/>
  <c r="AJ1535" i="1"/>
  <c r="AJ1527" i="1"/>
  <c r="AJ1519" i="1"/>
  <c r="AJ1511" i="1"/>
  <c r="AJ1503" i="1"/>
  <c r="AJ1495" i="1"/>
  <c r="AJ1487" i="1"/>
  <c r="AJ1479" i="1"/>
  <c r="AJ1471" i="1"/>
  <c r="AJ1463" i="1"/>
  <c r="AJ1455" i="1"/>
  <c r="AJ1447" i="1"/>
  <c r="AJ1439" i="1"/>
  <c r="AJ1431" i="1"/>
  <c r="AJ1423" i="1"/>
  <c r="AJ1415" i="1"/>
  <c r="AJ1407" i="1"/>
  <c r="AJ1399" i="1"/>
  <c r="AJ1391" i="1"/>
  <c r="AJ1383" i="1"/>
  <c r="AJ1375" i="1"/>
  <c r="AJ1367" i="1"/>
  <c r="AI2039" i="1"/>
  <c r="AI2031" i="1"/>
  <c r="AI2023" i="1"/>
  <c r="AI2015" i="1"/>
  <c r="AI2007" i="1"/>
  <c r="AI1999" i="1"/>
  <c r="AI1991" i="1"/>
  <c r="AI1983" i="1"/>
  <c r="AI1975" i="1"/>
  <c r="AI1967" i="1"/>
  <c r="AI1959" i="1"/>
  <c r="AI1951" i="1"/>
  <c r="AI1943" i="1"/>
  <c r="AI1935" i="1"/>
  <c r="AI1927" i="1"/>
  <c r="AI1919" i="1"/>
  <c r="AI1911" i="1"/>
  <c r="AI1903" i="1"/>
  <c r="AI1895" i="1"/>
  <c r="AI1887" i="1"/>
  <c r="AI1879" i="1"/>
  <c r="AI1871" i="1"/>
  <c r="AI1863" i="1"/>
  <c r="AI1855" i="1"/>
  <c r="AI1847" i="1"/>
  <c r="AI1839" i="1"/>
  <c r="AI1831" i="1"/>
  <c r="AI1823" i="1"/>
  <c r="AI1815" i="1"/>
  <c r="AI1807" i="1"/>
  <c r="AI1799" i="1"/>
  <c r="AI1791" i="1"/>
  <c r="AI1783" i="1"/>
  <c r="AI1775" i="1"/>
  <c r="AI1767" i="1"/>
  <c r="AI1759" i="1"/>
  <c r="AI1751" i="1"/>
  <c r="AI1743" i="1"/>
  <c r="AI1735" i="1"/>
  <c r="AI1727" i="1"/>
  <c r="AI1719" i="1"/>
  <c r="AI1711" i="1"/>
  <c r="AI1703" i="1"/>
  <c r="AI1695" i="1"/>
  <c r="AI1687" i="1"/>
  <c r="AI1679" i="1"/>
  <c r="AI1671" i="1"/>
  <c r="AI1663" i="1"/>
  <c r="AI1655" i="1"/>
  <c r="AI1647" i="1"/>
  <c r="AI1639" i="1"/>
  <c r="AI1631" i="1"/>
  <c r="AI1623" i="1"/>
  <c r="AI1615" i="1"/>
  <c r="AI1607" i="1"/>
  <c r="AI1599" i="1"/>
  <c r="AI1591" i="1"/>
  <c r="AI1583" i="1"/>
  <c r="AI1575" i="1"/>
  <c r="AI1567" i="1"/>
  <c r="AI1559" i="1"/>
  <c r="AI1551" i="1"/>
  <c r="AI1543" i="1"/>
  <c r="AI1535" i="1"/>
  <c r="AI1527" i="1"/>
  <c r="AI1519" i="1"/>
  <c r="AI1511" i="1"/>
  <c r="AI1503" i="1"/>
  <c r="AI1495" i="1"/>
  <c r="AI1487" i="1"/>
  <c r="AI1479" i="1"/>
  <c r="AI1471" i="1"/>
  <c r="AI1463" i="1"/>
  <c r="AI1455" i="1"/>
  <c r="AI1447" i="1"/>
  <c r="AI1439" i="1"/>
  <c r="AI1431" i="1"/>
  <c r="AI1423" i="1"/>
  <c r="AI1415" i="1"/>
  <c r="AI1407" i="1"/>
  <c r="AI1399" i="1"/>
  <c r="AI1391" i="1"/>
  <c r="AI1383" i="1"/>
  <c r="AI1375" i="1"/>
  <c r="AJ2038" i="1"/>
  <c r="AJ2030" i="1"/>
  <c r="AJ2022" i="1"/>
  <c r="AJ2014" i="1"/>
  <c r="AJ2006" i="1"/>
  <c r="AJ1998" i="1"/>
  <c r="AJ1990" i="1"/>
  <c r="AJ1982" i="1"/>
  <c r="AJ1974" i="1"/>
  <c r="AJ1966" i="1"/>
  <c r="AJ1958" i="1"/>
  <c r="AJ1950" i="1"/>
  <c r="AJ1942" i="1"/>
  <c r="AJ1934" i="1"/>
  <c r="AJ1926" i="1"/>
  <c r="AJ1918" i="1"/>
  <c r="AJ1910" i="1"/>
  <c r="AJ1902" i="1"/>
  <c r="AJ1894" i="1"/>
  <c r="AJ1886" i="1"/>
  <c r="AJ1878" i="1"/>
  <c r="AJ1870" i="1"/>
  <c r="AJ1862" i="1"/>
  <c r="AJ1854" i="1"/>
  <c r="AJ1846" i="1"/>
  <c r="AJ1838" i="1"/>
  <c r="AJ1830" i="1"/>
  <c r="AJ1822" i="1"/>
  <c r="AJ1814" i="1"/>
  <c r="AJ1806" i="1"/>
  <c r="AJ1798" i="1"/>
  <c r="AJ1790" i="1"/>
  <c r="AJ1782" i="1"/>
  <c r="AJ1774" i="1"/>
  <c r="AJ1766" i="1"/>
  <c r="AJ1758" i="1"/>
  <c r="AJ1750" i="1"/>
  <c r="AJ1742" i="1"/>
  <c r="AJ1734" i="1"/>
  <c r="AJ1726" i="1"/>
  <c r="AJ1718" i="1"/>
  <c r="AJ1710" i="1"/>
  <c r="AJ1702" i="1"/>
  <c r="AJ1694" i="1"/>
  <c r="AJ1686" i="1"/>
  <c r="AJ1678" i="1"/>
  <c r="AJ1670" i="1"/>
  <c r="AJ1662" i="1"/>
  <c r="AJ1654" i="1"/>
  <c r="AJ1646" i="1"/>
  <c r="AJ1638" i="1"/>
  <c r="AJ1630" i="1"/>
  <c r="AJ1622" i="1"/>
  <c r="AJ1614" i="1"/>
  <c r="AJ1606" i="1"/>
  <c r="AJ1598" i="1"/>
  <c r="AJ1590" i="1"/>
  <c r="AJ1582" i="1"/>
  <c r="AJ1574" i="1"/>
  <c r="AJ1566" i="1"/>
  <c r="AJ1558" i="1"/>
  <c r="AJ1550" i="1"/>
  <c r="AJ1542" i="1"/>
  <c r="AJ1534" i="1"/>
  <c r="AJ1526" i="1"/>
  <c r="AJ1518" i="1"/>
  <c r="AJ1510" i="1"/>
  <c r="AI2038" i="1"/>
  <c r="AI2030" i="1"/>
  <c r="AI2022" i="1"/>
  <c r="AI2014" i="1"/>
  <c r="AI2006" i="1"/>
  <c r="AI1998" i="1"/>
  <c r="AI1990" i="1"/>
  <c r="AI1982" i="1"/>
  <c r="AI1974" i="1"/>
  <c r="AI1966" i="1"/>
  <c r="AI1958" i="1"/>
  <c r="AI1950" i="1"/>
  <c r="AI1942" i="1"/>
  <c r="AI1934" i="1"/>
  <c r="AI1926" i="1"/>
  <c r="AI1918" i="1"/>
  <c r="AI1910" i="1"/>
  <c r="AI1902" i="1"/>
  <c r="AI1894" i="1"/>
  <c r="AI1886" i="1"/>
  <c r="AI1878" i="1"/>
  <c r="AI1870" i="1"/>
  <c r="AI1862" i="1"/>
  <c r="AI1854" i="1"/>
  <c r="AI1846" i="1"/>
  <c r="AI1838" i="1"/>
  <c r="AI1830" i="1"/>
  <c r="AI1822" i="1"/>
  <c r="AI1814" i="1"/>
  <c r="AI1806" i="1"/>
  <c r="AI1798" i="1"/>
  <c r="AI1790" i="1"/>
  <c r="AI1782" i="1"/>
  <c r="AI1774" i="1"/>
  <c r="AI1766" i="1"/>
  <c r="AI1758" i="1"/>
  <c r="AI1750" i="1"/>
  <c r="AI1742" i="1"/>
  <c r="AI1734" i="1"/>
  <c r="AI1726" i="1"/>
  <c r="AI1718" i="1"/>
  <c r="AI1710" i="1"/>
  <c r="AI1702" i="1"/>
  <c r="AI1694" i="1"/>
  <c r="AI1686" i="1"/>
  <c r="AI1678" i="1"/>
  <c r="AI1670" i="1"/>
  <c r="AI1662" i="1"/>
  <c r="AI1654" i="1"/>
  <c r="AI1646" i="1"/>
  <c r="AI1638" i="1"/>
  <c r="AI1630" i="1"/>
  <c r="AI1622" i="1"/>
  <c r="AI1614" i="1"/>
  <c r="AI1606" i="1"/>
  <c r="AI1598" i="1"/>
  <c r="AI1590" i="1"/>
  <c r="AI1582" i="1"/>
  <c r="AI1574" i="1"/>
  <c r="AI1566" i="1"/>
  <c r="AI1558" i="1"/>
  <c r="AI1550" i="1"/>
  <c r="AI1542" i="1"/>
  <c r="AI1534" i="1"/>
  <c r="AI1526" i="1"/>
  <c r="AI1518" i="1"/>
  <c r="AI1510" i="1"/>
  <c r="AI1502" i="1"/>
  <c r="AI1494" i="1"/>
  <c r="AI1486" i="1"/>
  <c r="AI1478" i="1"/>
  <c r="AI1470" i="1"/>
  <c r="AI1462" i="1"/>
  <c r="AI1454" i="1"/>
  <c r="AI1446" i="1"/>
  <c r="AI1438" i="1"/>
  <c r="AI1430" i="1"/>
  <c r="AI1422" i="1"/>
  <c r="AI1414" i="1"/>
  <c r="AJ2037" i="1"/>
  <c r="AJ2029" i="1"/>
  <c r="AJ2021" i="1"/>
  <c r="AJ2013" i="1"/>
  <c r="AJ2005" i="1"/>
  <c r="AJ1997" i="1"/>
  <c r="AJ1989" i="1"/>
  <c r="AJ1981" i="1"/>
  <c r="AJ1973" i="1"/>
  <c r="AJ1965" i="1"/>
  <c r="AJ1957" i="1"/>
  <c r="AJ1949" i="1"/>
  <c r="AJ1941" i="1"/>
  <c r="AJ1933" i="1"/>
  <c r="AJ1925" i="1"/>
  <c r="AJ1917" i="1"/>
  <c r="AJ1909" i="1"/>
  <c r="AJ1901" i="1"/>
  <c r="AJ1893" i="1"/>
  <c r="AJ1885" i="1"/>
  <c r="AJ1877" i="1"/>
  <c r="AJ1869" i="1"/>
  <c r="AJ1861" i="1"/>
  <c r="AJ1853" i="1"/>
  <c r="AJ1845" i="1"/>
  <c r="AJ1837" i="1"/>
  <c r="AJ1829" i="1"/>
  <c r="AJ1821" i="1"/>
  <c r="AJ1813" i="1"/>
  <c r="AJ1805" i="1"/>
  <c r="AJ1797" i="1"/>
  <c r="AJ1789" i="1"/>
  <c r="AJ1781" i="1"/>
  <c r="AJ1773" i="1"/>
  <c r="AJ1765" i="1"/>
  <c r="AJ1757" i="1"/>
  <c r="AJ1749" i="1"/>
  <c r="AJ1741" i="1"/>
  <c r="AJ1733" i="1"/>
  <c r="AJ1725" i="1"/>
  <c r="AJ1717" i="1"/>
  <c r="AJ1709" i="1"/>
  <c r="AJ1701" i="1"/>
  <c r="AJ1693" i="1"/>
  <c r="AJ1685" i="1"/>
  <c r="AJ1677" i="1"/>
  <c r="AJ1669" i="1"/>
  <c r="AJ1661" i="1"/>
  <c r="AJ1653" i="1"/>
  <c r="AJ1645" i="1"/>
  <c r="AJ1637" i="1"/>
  <c r="AJ1629" i="1"/>
  <c r="AJ1621" i="1"/>
  <c r="AJ1613" i="1"/>
  <c r="AJ1605" i="1"/>
  <c r="AJ1597" i="1"/>
  <c r="AJ1589" i="1"/>
  <c r="AJ1581" i="1"/>
  <c r="AJ1573" i="1"/>
  <c r="AJ1565" i="1"/>
  <c r="AJ1557" i="1"/>
  <c r="AJ1549" i="1"/>
  <c r="AJ1541" i="1"/>
  <c r="AJ1533" i="1"/>
  <c r="AJ1525" i="1"/>
  <c r="AJ1517" i="1"/>
  <c r="AI2037" i="1"/>
  <c r="AI2029" i="1"/>
  <c r="AI2021" i="1"/>
  <c r="AI2013" i="1"/>
  <c r="AI2005" i="1"/>
  <c r="AI1997" i="1"/>
  <c r="AI1989" i="1"/>
  <c r="AI1981" i="1"/>
  <c r="AI1973" i="1"/>
  <c r="AI1965" i="1"/>
  <c r="AI1957" i="1"/>
  <c r="AI1949" i="1"/>
  <c r="AI1941" i="1"/>
  <c r="AI1933" i="1"/>
  <c r="AI1925" i="1"/>
  <c r="AI1917" i="1"/>
  <c r="AI1909" i="1"/>
  <c r="AI1901" i="1"/>
  <c r="AI1893" i="1"/>
  <c r="AI1885" i="1"/>
  <c r="AI1877" i="1"/>
  <c r="AI1869" i="1"/>
  <c r="AI1861" i="1"/>
  <c r="AI1853" i="1"/>
  <c r="AI1845" i="1"/>
  <c r="AI1837" i="1"/>
  <c r="AI1829" i="1"/>
  <c r="AI1821" i="1"/>
  <c r="AI1813" i="1"/>
  <c r="AI1805" i="1"/>
  <c r="AI1797" i="1"/>
  <c r="AI1789" i="1"/>
  <c r="AI1781" i="1"/>
  <c r="AI1773" i="1"/>
  <c r="AI1765" i="1"/>
  <c r="AI1757" i="1"/>
  <c r="AI1749" i="1"/>
  <c r="AI1741" i="1"/>
  <c r="AI1733" i="1"/>
  <c r="AI1725" i="1"/>
  <c r="AI1717" i="1"/>
  <c r="AI1709" i="1"/>
  <c r="AI1701" i="1"/>
  <c r="AI1693" i="1"/>
  <c r="AI1685" i="1"/>
  <c r="AI1677" i="1"/>
  <c r="AI1669" i="1"/>
  <c r="AI1661" i="1"/>
  <c r="AI1653" i="1"/>
  <c r="AI1645" i="1"/>
  <c r="AI1637" i="1"/>
  <c r="AI1629" i="1"/>
  <c r="AI1621" i="1"/>
  <c r="AI1613" i="1"/>
  <c r="AI1605" i="1"/>
  <c r="AI1597" i="1"/>
  <c r="AI1589" i="1"/>
  <c r="AI1581" i="1"/>
  <c r="AI1573" i="1"/>
  <c r="AI1565" i="1"/>
  <c r="AI1557" i="1"/>
  <c r="AI1549" i="1"/>
  <c r="AI1541" i="1"/>
  <c r="AI1533" i="1"/>
  <c r="AI1525" i="1"/>
  <c r="AI1517" i="1"/>
  <c r="AI1509" i="1"/>
  <c r="AI1501" i="1"/>
  <c r="AI1493" i="1"/>
  <c r="AI1485" i="1"/>
  <c r="AI1477" i="1"/>
  <c r="AI1469" i="1"/>
  <c r="AI1461" i="1"/>
  <c r="AI1453" i="1"/>
  <c r="AI1445" i="1"/>
  <c r="AI1437" i="1"/>
  <c r="AI1429" i="1"/>
  <c r="AI1421" i="1"/>
  <c r="AI1413" i="1"/>
  <c r="AI1405" i="1"/>
  <c r="AI1397" i="1"/>
  <c r="AI1389" i="1"/>
  <c r="AI1381" i="1"/>
  <c r="AI1373" i="1"/>
  <c r="AJ2044" i="1"/>
  <c r="AJ2036" i="1"/>
  <c r="AJ2028" i="1"/>
  <c r="AJ2020" i="1"/>
  <c r="AJ2012" i="1"/>
  <c r="AJ2004" i="1"/>
  <c r="AJ1996" i="1"/>
  <c r="AJ1988" i="1"/>
  <c r="AJ1980" i="1"/>
  <c r="AJ1972" i="1"/>
  <c r="AJ1964" i="1"/>
  <c r="AJ1956" i="1"/>
  <c r="AJ1948" i="1"/>
  <c r="AJ1940" i="1"/>
  <c r="AJ1932" i="1"/>
  <c r="AJ1924" i="1"/>
  <c r="AJ1916" i="1"/>
  <c r="AJ1908" i="1"/>
  <c r="AJ1900" i="1"/>
  <c r="AJ1892" i="1"/>
  <c r="AJ1884" i="1"/>
  <c r="AJ1876" i="1"/>
  <c r="AJ1868" i="1"/>
  <c r="AJ1860" i="1"/>
  <c r="AJ1852" i="1"/>
  <c r="AJ1844" i="1"/>
  <c r="AJ1836" i="1"/>
  <c r="AJ1828" i="1"/>
  <c r="AJ1820" i="1"/>
  <c r="AJ1812" i="1"/>
  <c r="AJ1804" i="1"/>
  <c r="AJ1796" i="1"/>
  <c r="AJ1788" i="1"/>
  <c r="AJ1780" i="1"/>
  <c r="AJ1772" i="1"/>
  <c r="AJ1764" i="1"/>
  <c r="AJ1756" i="1"/>
  <c r="AJ1748" i="1"/>
  <c r="AJ1740" i="1"/>
  <c r="AJ1732" i="1"/>
  <c r="AJ1724" i="1"/>
  <c r="AJ1716" i="1"/>
  <c r="AJ1708" i="1"/>
  <c r="AJ1700" i="1"/>
  <c r="AJ1692" i="1"/>
  <c r="AJ1684" i="1"/>
  <c r="AJ1676" i="1"/>
  <c r="AJ1668" i="1"/>
  <c r="AJ1660" i="1"/>
  <c r="AJ1652" i="1"/>
  <c r="AJ1644" i="1"/>
  <c r="AJ1636" i="1"/>
  <c r="AJ1628" i="1"/>
  <c r="AJ1620" i="1"/>
  <c r="AJ1612" i="1"/>
  <c r="AJ1604" i="1"/>
  <c r="AJ1596" i="1"/>
  <c r="AJ1588" i="1"/>
  <c r="AJ1580" i="1"/>
  <c r="AJ1572" i="1"/>
  <c r="AJ1564" i="1"/>
  <c r="AJ1556" i="1"/>
  <c r="AJ1548" i="1"/>
  <c r="AJ1540" i="1"/>
  <c r="AJ1532" i="1"/>
  <c r="AJ1524" i="1"/>
  <c r="AJ1516" i="1"/>
  <c r="AJ1508" i="1"/>
  <c r="AJ1500" i="1"/>
  <c r="AJ1492" i="1"/>
  <c r="AJ1484" i="1"/>
  <c r="AJ1476" i="1"/>
  <c r="AJ1468" i="1"/>
  <c r="AJ1460" i="1"/>
  <c r="AJ1452" i="1"/>
  <c r="AJ1444" i="1"/>
  <c r="AJ1436" i="1"/>
  <c r="AJ1428" i="1"/>
  <c r="AJ1420" i="1"/>
  <c r="AJ1412" i="1"/>
  <c r="AJ1404" i="1"/>
  <c r="AJ1396" i="1"/>
  <c r="AJ1388" i="1"/>
  <c r="AJ1380" i="1"/>
  <c r="AJ1372" i="1"/>
  <c r="AI2044" i="1"/>
  <c r="AI2036" i="1"/>
  <c r="AI2028" i="1"/>
  <c r="AI2020" i="1"/>
  <c r="AI2012" i="1"/>
  <c r="AI2004" i="1"/>
  <c r="AI1996" i="1"/>
  <c r="AI1988" i="1"/>
  <c r="AI1980" i="1"/>
  <c r="AI1972" i="1"/>
  <c r="AI1964" i="1"/>
  <c r="AI1956" i="1"/>
  <c r="AI1948" i="1"/>
  <c r="AI1940" i="1"/>
  <c r="AI1932" i="1"/>
  <c r="AI1924" i="1"/>
  <c r="AI1916" i="1"/>
  <c r="AI1908" i="1"/>
  <c r="AI1900" i="1"/>
  <c r="AI1892" i="1"/>
  <c r="AI1884" i="1"/>
  <c r="AI1876" i="1"/>
  <c r="AI1868" i="1"/>
  <c r="AI1860" i="1"/>
  <c r="AI1852" i="1"/>
  <c r="AI1844" i="1"/>
  <c r="AI1836" i="1"/>
  <c r="AI1828" i="1"/>
  <c r="AI1820" i="1"/>
  <c r="AI1812" i="1"/>
  <c r="AI1804" i="1"/>
  <c r="AI1796" i="1"/>
  <c r="AI1788" i="1"/>
  <c r="AI1780" i="1"/>
  <c r="AI1772" i="1"/>
  <c r="AI1764" i="1"/>
  <c r="AI1756" i="1"/>
  <c r="AI1748" i="1"/>
  <c r="AI1740" i="1"/>
  <c r="AI1732" i="1"/>
  <c r="AI1724" i="1"/>
  <c r="AI1716" i="1"/>
  <c r="AI1708" i="1"/>
  <c r="AI1700" i="1"/>
  <c r="AI1692" i="1"/>
  <c r="AI1684" i="1"/>
  <c r="AI1676" i="1"/>
  <c r="AI1668" i="1"/>
  <c r="AI1660" i="1"/>
  <c r="AI1652" i="1"/>
  <c r="AI1644" i="1"/>
  <c r="AI1636" i="1"/>
  <c r="AI1628" i="1"/>
  <c r="AI1620" i="1"/>
  <c r="AI1612" i="1"/>
  <c r="AI1604" i="1"/>
  <c r="AI1596" i="1"/>
  <c r="AI1588" i="1"/>
  <c r="AI1580" i="1"/>
  <c r="AI1572" i="1"/>
  <c r="AI1564" i="1"/>
  <c r="AI1556" i="1"/>
  <c r="AI1548" i="1"/>
  <c r="AI1540" i="1"/>
  <c r="AI1532" i="1"/>
  <c r="AI1524" i="1"/>
  <c r="AI1516" i="1"/>
  <c r="AI1508" i="1"/>
  <c r="AI1500" i="1"/>
  <c r="AI1492" i="1"/>
  <c r="AI1484" i="1"/>
  <c r="AI1476" i="1"/>
  <c r="AI1468" i="1"/>
  <c r="AI1460" i="1"/>
  <c r="AI1452" i="1"/>
  <c r="AI1444" i="1"/>
  <c r="AI1436" i="1"/>
  <c r="AI1428" i="1"/>
  <c r="AI1420" i="1"/>
  <c r="AI1412" i="1"/>
  <c r="AI1404" i="1"/>
  <c r="AI1396" i="1"/>
  <c r="AI1388" i="1"/>
  <c r="AI1380" i="1"/>
  <c r="AI1372" i="1"/>
  <c r="AJ2043" i="1"/>
  <c r="AJ2035" i="1"/>
  <c r="AJ2027" i="1"/>
  <c r="AJ2019" i="1"/>
  <c r="AJ2011" i="1"/>
  <c r="AJ2003" i="1"/>
  <c r="AJ1995" i="1"/>
  <c r="AJ1987" i="1"/>
  <c r="AJ1979" i="1"/>
  <c r="AJ1971" i="1"/>
  <c r="AJ1963" i="1"/>
  <c r="AJ1955" i="1"/>
  <c r="AJ1947" i="1"/>
  <c r="AJ1939" i="1"/>
  <c r="AJ1931" i="1"/>
  <c r="AJ1923" i="1"/>
  <c r="AJ1915" i="1"/>
  <c r="AJ1907" i="1"/>
  <c r="AJ1899" i="1"/>
  <c r="AJ1891" i="1"/>
  <c r="AJ1883" i="1"/>
  <c r="AJ1875" i="1"/>
  <c r="AJ1867" i="1"/>
  <c r="AJ1859" i="1"/>
  <c r="AJ1851" i="1"/>
  <c r="AJ1843" i="1"/>
  <c r="AJ1835" i="1"/>
  <c r="AJ1827" i="1"/>
  <c r="AJ1819" i="1"/>
  <c r="AJ1811" i="1"/>
  <c r="AJ1803" i="1"/>
  <c r="AJ1795" i="1"/>
  <c r="AJ1787" i="1"/>
  <c r="AJ1779" i="1"/>
  <c r="AJ1771" i="1"/>
  <c r="AJ1763" i="1"/>
  <c r="AJ1755" i="1"/>
  <c r="AJ1747" i="1"/>
  <c r="AJ1739" i="1"/>
  <c r="AJ1731" i="1"/>
  <c r="AJ1723" i="1"/>
  <c r="AJ1715" i="1"/>
  <c r="AJ1707" i="1"/>
  <c r="AJ1699" i="1"/>
  <c r="AJ1691" i="1"/>
  <c r="AJ1683" i="1"/>
  <c r="AJ1675" i="1"/>
  <c r="AJ1667" i="1"/>
  <c r="AJ1659" i="1"/>
  <c r="AJ1651" i="1"/>
  <c r="AJ1643" i="1"/>
  <c r="AJ1635" i="1"/>
  <c r="AJ1627" i="1"/>
  <c r="AJ1619" i="1"/>
  <c r="AJ1611" i="1"/>
  <c r="AJ1603" i="1"/>
  <c r="AJ1595" i="1"/>
  <c r="AJ1587" i="1"/>
  <c r="AJ1579" i="1"/>
  <c r="AJ1571" i="1"/>
  <c r="AJ1563" i="1"/>
  <c r="AJ1555" i="1"/>
  <c r="AJ1547" i="1"/>
  <c r="AJ1539" i="1"/>
  <c r="AJ1531" i="1"/>
  <c r="AJ1523" i="1"/>
  <c r="AJ1515" i="1"/>
  <c r="AJ1507" i="1"/>
  <c r="AJ1499" i="1"/>
  <c r="AJ1491" i="1"/>
  <c r="AJ1483" i="1"/>
  <c r="AJ1475" i="1"/>
  <c r="AJ1467" i="1"/>
  <c r="AJ1459" i="1"/>
  <c r="AJ1451" i="1"/>
  <c r="AJ1443" i="1"/>
  <c r="AJ1435" i="1"/>
  <c r="AJ1427" i="1"/>
  <c r="AJ1419" i="1"/>
  <c r="AJ1411" i="1"/>
  <c r="AJ1403" i="1"/>
  <c r="AJ1395" i="1"/>
  <c r="AJ1387" i="1"/>
  <c r="AJ1379" i="1"/>
  <c r="AJ1371" i="1"/>
  <c r="AI2043" i="1"/>
  <c r="AI2035" i="1"/>
  <c r="AI2027" i="1"/>
  <c r="AI2019" i="1"/>
  <c r="AI2011" i="1"/>
  <c r="AI2003" i="1"/>
  <c r="AI1995" i="1"/>
  <c r="AI1987" i="1"/>
  <c r="AI1979" i="1"/>
  <c r="AI1971" i="1"/>
  <c r="AI1963" i="1"/>
  <c r="AI1955" i="1"/>
  <c r="AI1947" i="1"/>
  <c r="AI1939" i="1"/>
  <c r="AI1931" i="1"/>
  <c r="AI1923" i="1"/>
  <c r="AI1915" i="1"/>
  <c r="AI1907" i="1"/>
  <c r="AI1899" i="1"/>
  <c r="AI1891" i="1"/>
  <c r="AI1883" i="1"/>
  <c r="AI1875" i="1"/>
  <c r="AI1867" i="1"/>
  <c r="AI1859" i="1"/>
  <c r="AI1851" i="1"/>
  <c r="AI1843" i="1"/>
  <c r="AI1835" i="1"/>
  <c r="AI1827" i="1"/>
  <c r="AI1819" i="1"/>
  <c r="AI1811" i="1"/>
  <c r="AI1803" i="1"/>
  <c r="AI1795" i="1"/>
  <c r="AI1787" i="1"/>
  <c r="AI1779" i="1"/>
  <c r="AI1771" i="1"/>
  <c r="AI1763" i="1"/>
  <c r="AI1755" i="1"/>
  <c r="AI1747" i="1"/>
  <c r="AI1739" i="1"/>
  <c r="AI1731" i="1"/>
  <c r="AI1723" i="1"/>
  <c r="AI1715" i="1"/>
  <c r="AI1707" i="1"/>
  <c r="AI1699" i="1"/>
  <c r="AI1691" i="1"/>
  <c r="AI1683" i="1"/>
  <c r="AI1675" i="1"/>
  <c r="AI1667" i="1"/>
  <c r="AI1659" i="1"/>
  <c r="AI1651" i="1"/>
  <c r="AI1643" i="1"/>
  <c r="AI1635" i="1"/>
  <c r="AI1627" i="1"/>
  <c r="AI1619" i="1"/>
  <c r="AI1611" i="1"/>
  <c r="AI1603" i="1"/>
  <c r="AI1595" i="1"/>
  <c r="AI1587" i="1"/>
  <c r="AI1579" i="1"/>
  <c r="AI1571" i="1"/>
  <c r="AI1563" i="1"/>
  <c r="AI1555" i="1"/>
  <c r="AI1547" i="1"/>
  <c r="AI1539" i="1"/>
  <c r="AI1531" i="1"/>
  <c r="AI1523" i="1"/>
  <c r="AI1515" i="1"/>
  <c r="AI1507" i="1"/>
  <c r="AI1499" i="1"/>
  <c r="AI1491" i="1"/>
  <c r="AI1483" i="1"/>
  <c r="AI1475" i="1"/>
  <c r="AI1467" i="1"/>
  <c r="AI1459" i="1"/>
  <c r="AI1451" i="1"/>
  <c r="AI1443" i="1"/>
  <c r="AI1435" i="1"/>
  <c r="AI1427" i="1"/>
  <c r="AI1419" i="1"/>
  <c r="AI1411" i="1"/>
  <c r="AI1403" i="1"/>
  <c r="AI1395" i="1"/>
  <c r="AI1387" i="1"/>
  <c r="AI1379" i="1"/>
  <c r="AI1371" i="1"/>
  <c r="AJ2042" i="1"/>
  <c r="AJ2034" i="1"/>
  <c r="AJ2026" i="1"/>
  <c r="AJ2018" i="1"/>
  <c r="AJ2010" i="1"/>
  <c r="AJ2002" i="1"/>
  <c r="AJ1994" i="1"/>
  <c r="AJ1986" i="1"/>
  <c r="AJ1978" i="1"/>
  <c r="AJ1970" i="1"/>
  <c r="AJ1962" i="1"/>
  <c r="AJ1954" i="1"/>
  <c r="AJ1946" i="1"/>
  <c r="AJ1938" i="1"/>
  <c r="AJ1930" i="1"/>
  <c r="AJ1922" i="1"/>
  <c r="AJ1914" i="1"/>
  <c r="AJ1906" i="1"/>
  <c r="AJ1898" i="1"/>
  <c r="AJ1890" i="1"/>
  <c r="AJ1882" i="1"/>
  <c r="AJ1874" i="1"/>
  <c r="AJ1866" i="1"/>
  <c r="AJ1858" i="1"/>
  <c r="AJ1850" i="1"/>
  <c r="AJ1842" i="1"/>
  <c r="AJ1834" i="1"/>
  <c r="AJ1826" i="1"/>
  <c r="AJ1818" i="1"/>
  <c r="AJ1810" i="1"/>
  <c r="AJ1802" i="1"/>
  <c r="AJ1794" i="1"/>
  <c r="AJ1786" i="1"/>
  <c r="AJ1778" i="1"/>
  <c r="AJ1770" i="1"/>
  <c r="AJ1762" i="1"/>
  <c r="AJ1754" i="1"/>
  <c r="AJ1746" i="1"/>
  <c r="AJ1738" i="1"/>
  <c r="AJ1730" i="1"/>
  <c r="AJ1722" i="1"/>
  <c r="AJ1714" i="1"/>
  <c r="AJ1706" i="1"/>
  <c r="AJ1698" i="1"/>
  <c r="AJ1690" i="1"/>
  <c r="AJ1682" i="1"/>
  <c r="AJ1674" i="1"/>
  <c r="AJ1666" i="1"/>
  <c r="AJ1658" i="1"/>
  <c r="AJ1650" i="1"/>
  <c r="AJ1642" i="1"/>
  <c r="AJ1634" i="1"/>
  <c r="AJ1626" i="1"/>
  <c r="AJ1618" i="1"/>
  <c r="AJ1610" i="1"/>
  <c r="AJ1602" i="1"/>
  <c r="AJ1594" i="1"/>
  <c r="AJ1586" i="1"/>
  <c r="AJ1578" i="1"/>
  <c r="AJ1570" i="1"/>
  <c r="AJ1562" i="1"/>
  <c r="AJ1554" i="1"/>
  <c r="AJ1546" i="1"/>
  <c r="AJ1538" i="1"/>
  <c r="AJ1530" i="1"/>
  <c r="AJ1522" i="1"/>
  <c r="AJ1514" i="1"/>
  <c r="AJ1506" i="1"/>
  <c r="AJ1498" i="1"/>
  <c r="AJ1490" i="1"/>
  <c r="AJ1482" i="1"/>
  <c r="AJ1474" i="1"/>
  <c r="AJ1466" i="1"/>
  <c r="AJ1458" i="1"/>
  <c r="AJ1450" i="1"/>
  <c r="AJ1442" i="1"/>
  <c r="AJ1434" i="1"/>
  <c r="AJ1426" i="1"/>
  <c r="AJ1418" i="1"/>
  <c r="AJ1410" i="1"/>
  <c r="AJ1402" i="1"/>
  <c r="AJ1394" i="1"/>
  <c r="AJ1386" i="1"/>
  <c r="AJ1378" i="1"/>
  <c r="AJ1370" i="1"/>
  <c r="AJ2017" i="1"/>
  <c r="AJ1953" i="1"/>
  <c r="AJ1889" i="1"/>
  <c r="AJ1825" i="1"/>
  <c r="AJ1761" i="1"/>
  <c r="AJ1697" i="1"/>
  <c r="AJ1633" i="1"/>
  <c r="AJ1569" i="1"/>
  <c r="AI1506" i="1"/>
  <c r="AI1474" i="1"/>
  <c r="AI1442" i="1"/>
  <c r="AI1410" i="1"/>
  <c r="AJ1385" i="1"/>
  <c r="AJ1365" i="1"/>
  <c r="AJ1357" i="1"/>
  <c r="AJ1349" i="1"/>
  <c r="AJ1341" i="1"/>
  <c r="AJ1333" i="1"/>
  <c r="AJ1325" i="1"/>
  <c r="AJ1317" i="1"/>
  <c r="AJ1309" i="1"/>
  <c r="AJ1301" i="1"/>
  <c r="AJ1293" i="1"/>
  <c r="AJ1285" i="1"/>
  <c r="AJ1277" i="1"/>
  <c r="AJ1269" i="1"/>
  <c r="AJ1261" i="1"/>
  <c r="AJ1253" i="1"/>
  <c r="AJ1245" i="1"/>
  <c r="AJ1237" i="1"/>
  <c r="AJ1229" i="1"/>
  <c r="AJ1221" i="1"/>
  <c r="AJ1213" i="1"/>
  <c r="AJ1205" i="1"/>
  <c r="AJ1197" i="1"/>
  <c r="AJ1189" i="1"/>
  <c r="AJ1181" i="1"/>
  <c r="AJ1173" i="1"/>
  <c r="AJ1165" i="1"/>
  <c r="AJ1157" i="1"/>
  <c r="AJ1149" i="1"/>
  <c r="AJ1141" i="1"/>
  <c r="AJ1133" i="1"/>
  <c r="AJ1125" i="1"/>
  <c r="AJ1117" i="1"/>
  <c r="AJ1109" i="1"/>
  <c r="AJ1101" i="1"/>
  <c r="AJ1093" i="1"/>
  <c r="AJ1085" i="1"/>
  <c r="AJ1077" i="1"/>
  <c r="AJ1069" i="1"/>
  <c r="AJ1061" i="1"/>
  <c r="AJ1053" i="1"/>
  <c r="AJ1045" i="1"/>
  <c r="AJ1037" i="1"/>
  <c r="AJ1029" i="1"/>
  <c r="AJ1021" i="1"/>
  <c r="AJ1013" i="1"/>
  <c r="AJ1005" i="1"/>
  <c r="AJ997" i="1"/>
  <c r="AJ989" i="1"/>
  <c r="AJ981" i="1"/>
  <c r="AJ973" i="1"/>
  <c r="AJ965" i="1"/>
  <c r="AJ957" i="1"/>
  <c r="AJ949" i="1"/>
  <c r="AJ941" i="1"/>
  <c r="AJ933" i="1"/>
  <c r="AJ925" i="1"/>
  <c r="AJ917" i="1"/>
  <c r="AJ909" i="1"/>
  <c r="AJ901" i="1"/>
  <c r="AJ893" i="1"/>
  <c r="AJ885" i="1"/>
  <c r="AJ877" i="1"/>
  <c r="AJ869" i="1"/>
  <c r="AJ861" i="1"/>
  <c r="AJ853" i="1"/>
  <c r="AJ845" i="1"/>
  <c r="AJ837" i="1"/>
  <c r="AJ829" i="1"/>
  <c r="AJ821" i="1"/>
  <c r="AJ813" i="1"/>
  <c r="AJ805" i="1"/>
  <c r="AJ797" i="1"/>
  <c r="AI2010" i="1"/>
  <c r="AI1946" i="1"/>
  <c r="AI1882" i="1"/>
  <c r="AI1818" i="1"/>
  <c r="AI1754" i="1"/>
  <c r="AI1690" i="1"/>
  <c r="AI1626" i="1"/>
  <c r="AI1562" i="1"/>
  <c r="AJ1505" i="1"/>
  <c r="AJ1473" i="1"/>
  <c r="AJ1441" i="1"/>
  <c r="AJ1409" i="1"/>
  <c r="AJ1382" i="1"/>
  <c r="AI1365" i="1"/>
  <c r="AI1357" i="1"/>
  <c r="AI1349" i="1"/>
  <c r="AI1341" i="1"/>
  <c r="AI1333" i="1"/>
  <c r="AI1325" i="1"/>
  <c r="AI1317" i="1"/>
  <c r="AI1309" i="1"/>
  <c r="AI1301" i="1"/>
  <c r="AI1293" i="1"/>
  <c r="AI1285" i="1"/>
  <c r="AI1277" i="1"/>
  <c r="AI1269" i="1"/>
  <c r="AI1261" i="1"/>
  <c r="AI1253" i="1"/>
  <c r="AI1245" i="1"/>
  <c r="AI1237" i="1"/>
  <c r="AI1229" i="1"/>
  <c r="AI1221" i="1"/>
  <c r="AI1213" i="1"/>
  <c r="AI1205" i="1"/>
  <c r="AI1197" i="1"/>
  <c r="AI1189" i="1"/>
  <c r="AI1181" i="1"/>
  <c r="AI1173" i="1"/>
  <c r="AI1165" i="1"/>
  <c r="AI1157" i="1"/>
  <c r="AI1149" i="1"/>
  <c r="AI1141" i="1"/>
  <c r="AI1133" i="1"/>
  <c r="AI1125" i="1"/>
  <c r="AI1117" i="1"/>
  <c r="AI1109" i="1"/>
  <c r="AI1101" i="1"/>
  <c r="AI1093" i="1"/>
  <c r="AI1085" i="1"/>
  <c r="AI1077" i="1"/>
  <c r="AI1069" i="1"/>
  <c r="AI1061" i="1"/>
  <c r="AI1053" i="1"/>
  <c r="AI1045" i="1"/>
  <c r="AI1037" i="1"/>
  <c r="AI1029" i="1"/>
  <c r="AI1021" i="1"/>
  <c r="AI1013" i="1"/>
  <c r="AI1005" i="1"/>
  <c r="AI997" i="1"/>
  <c r="AI989" i="1"/>
  <c r="AI981" i="1"/>
  <c r="AI973" i="1"/>
  <c r="AI965" i="1"/>
  <c r="AI957" i="1"/>
  <c r="AI949" i="1"/>
  <c r="AI941" i="1"/>
  <c r="AI933" i="1"/>
  <c r="AI925" i="1"/>
  <c r="AI917" i="1"/>
  <c r="AI909" i="1"/>
  <c r="AI901" i="1"/>
  <c r="AI893" i="1"/>
  <c r="AI885" i="1"/>
  <c r="AI877" i="1"/>
  <c r="AI869" i="1"/>
  <c r="AI861" i="1"/>
  <c r="AI853" i="1"/>
  <c r="AI845" i="1"/>
  <c r="AI837" i="1"/>
  <c r="AI829" i="1"/>
  <c r="AI821" i="1"/>
  <c r="AI813" i="1"/>
  <c r="AI805" i="1"/>
  <c r="AI797" i="1"/>
  <c r="AJ2009" i="1"/>
  <c r="AJ1945" i="1"/>
  <c r="AJ1881" i="1"/>
  <c r="AJ1817" i="1"/>
  <c r="AJ1753" i="1"/>
  <c r="AJ1689" i="1"/>
  <c r="AJ1625" i="1"/>
  <c r="AJ1561" i="1"/>
  <c r="AJ1502" i="1"/>
  <c r="AJ1470" i="1"/>
  <c r="AJ1438" i="1"/>
  <c r="AJ1406" i="1"/>
  <c r="AI1382" i="1"/>
  <c r="AJ1364" i="1"/>
  <c r="AJ1356" i="1"/>
  <c r="AJ1348" i="1"/>
  <c r="AJ1340" i="1"/>
  <c r="AJ1332" i="1"/>
  <c r="AJ1324" i="1"/>
  <c r="AJ1316" i="1"/>
  <c r="AJ1308" i="1"/>
  <c r="AJ1300" i="1"/>
  <c r="AJ1292" i="1"/>
  <c r="AJ1284" i="1"/>
  <c r="AJ1276" i="1"/>
  <c r="AJ1268" i="1"/>
  <c r="AJ1260" i="1"/>
  <c r="AJ1252" i="1"/>
  <c r="AJ1244" i="1"/>
  <c r="AJ1236" i="1"/>
  <c r="AJ1228" i="1"/>
  <c r="AJ1220" i="1"/>
  <c r="AJ1212" i="1"/>
  <c r="AJ1204" i="1"/>
  <c r="AI2002" i="1"/>
  <c r="AI1938" i="1"/>
  <c r="AI1874" i="1"/>
  <c r="AI1810" i="1"/>
  <c r="AI1746" i="1"/>
  <c r="AI1682" i="1"/>
  <c r="AI1618" i="1"/>
  <c r="AI1554" i="1"/>
  <c r="AJ1501" i="1"/>
  <c r="AJ1469" i="1"/>
  <c r="AJ1437" i="1"/>
  <c r="AI1406" i="1"/>
  <c r="AJ1381" i="1"/>
  <c r="AI1364" i="1"/>
  <c r="AI1356" i="1"/>
  <c r="AI1348" i="1"/>
  <c r="AI1340" i="1"/>
  <c r="AI1332" i="1"/>
  <c r="AI1324" i="1"/>
  <c r="AI1316" i="1"/>
  <c r="AI1308" i="1"/>
  <c r="AI1300" i="1"/>
  <c r="AI1292" i="1"/>
  <c r="AI1284" i="1"/>
  <c r="AI1276" i="1"/>
  <c r="AI1268" i="1"/>
  <c r="AI1260" i="1"/>
  <c r="AI1252" i="1"/>
  <c r="AI1244" i="1"/>
  <c r="AI1236" i="1"/>
  <c r="AI1228" i="1"/>
  <c r="AI1220" i="1"/>
  <c r="AI1212" i="1"/>
  <c r="AI1204" i="1"/>
  <c r="AI1196" i="1"/>
  <c r="AI1188" i="1"/>
  <c r="AI1180" i="1"/>
  <c r="AI1172" i="1"/>
  <c r="AI1164" i="1"/>
  <c r="AI1156" i="1"/>
  <c r="AI1148" i="1"/>
  <c r="AI1140" i="1"/>
  <c r="AI1132" i="1"/>
  <c r="AI1124" i="1"/>
  <c r="AI1116" i="1"/>
  <c r="AI1108" i="1"/>
  <c r="AI1100" i="1"/>
  <c r="AI1092" i="1"/>
  <c r="AI1084" i="1"/>
  <c r="AI1076" i="1"/>
  <c r="AI1068" i="1"/>
  <c r="AI1060" i="1"/>
  <c r="AI1052" i="1"/>
  <c r="AI1044" i="1"/>
  <c r="AI1036" i="1"/>
  <c r="AI1028" i="1"/>
  <c r="AI1020" i="1"/>
  <c r="AI1012" i="1"/>
  <c r="AI1004" i="1"/>
  <c r="AI996" i="1"/>
  <c r="AI988" i="1"/>
  <c r="AI980" i="1"/>
  <c r="AI972" i="1"/>
  <c r="AI964" i="1"/>
  <c r="AI956" i="1"/>
  <c r="AI948" i="1"/>
  <c r="AI940" i="1"/>
  <c r="AI932" i="1"/>
  <c r="AI924" i="1"/>
  <c r="AI916" i="1"/>
  <c r="AI908" i="1"/>
  <c r="AI900" i="1"/>
  <c r="AI892" i="1"/>
  <c r="AI884" i="1"/>
  <c r="AI876" i="1"/>
  <c r="AI868" i="1"/>
  <c r="AI860" i="1"/>
  <c r="AI852" i="1"/>
  <c r="AI844" i="1"/>
  <c r="AI836" i="1"/>
  <c r="AI828" i="1"/>
  <c r="AI820" i="1"/>
  <c r="AI812" i="1"/>
  <c r="AI804" i="1"/>
  <c r="AI796" i="1"/>
  <c r="AJ2001" i="1"/>
  <c r="AJ1937" i="1"/>
  <c r="AJ1873" i="1"/>
  <c r="AJ1809" i="1"/>
  <c r="AJ1745" i="1"/>
  <c r="AJ1681" i="1"/>
  <c r="AJ1617" i="1"/>
  <c r="AJ1553" i="1"/>
  <c r="AI1498" i="1"/>
  <c r="AI1466" i="1"/>
  <c r="AI1434" i="1"/>
  <c r="AJ1405" i="1"/>
  <c r="AI1378" i="1"/>
  <c r="AJ1363" i="1"/>
  <c r="AJ1355" i="1"/>
  <c r="AJ1347" i="1"/>
  <c r="AJ1339" i="1"/>
  <c r="AJ1331" i="1"/>
  <c r="AJ1323" i="1"/>
  <c r="AJ1315" i="1"/>
  <c r="AJ1307" i="1"/>
  <c r="AJ1299" i="1"/>
  <c r="AJ1291" i="1"/>
  <c r="AJ1283" i="1"/>
  <c r="AJ1275" i="1"/>
  <c r="AJ1267" i="1"/>
  <c r="AJ1259" i="1"/>
  <c r="AJ1251" i="1"/>
  <c r="AJ1243" i="1"/>
  <c r="AJ1235" i="1"/>
  <c r="AJ1227" i="1"/>
  <c r="AJ1219" i="1"/>
  <c r="AJ1211" i="1"/>
  <c r="AJ1203" i="1"/>
  <c r="AJ1195" i="1"/>
  <c r="AJ1187" i="1"/>
  <c r="AJ1179" i="1"/>
  <c r="AJ1171" i="1"/>
  <c r="AJ1163" i="1"/>
  <c r="AJ1155" i="1"/>
  <c r="AJ1147" i="1"/>
  <c r="AJ1139" i="1"/>
  <c r="AJ1131" i="1"/>
  <c r="AJ1123" i="1"/>
  <c r="AJ1115" i="1"/>
  <c r="AJ1107" i="1"/>
  <c r="AJ1099" i="1"/>
  <c r="AJ1091" i="1"/>
  <c r="AJ1083" i="1"/>
  <c r="AJ1075" i="1"/>
  <c r="AJ1067" i="1"/>
  <c r="AJ1059" i="1"/>
  <c r="AJ1051" i="1"/>
  <c r="AJ1043" i="1"/>
  <c r="AJ1035" i="1"/>
  <c r="AJ1027" i="1"/>
  <c r="AJ1019" i="1"/>
  <c r="AJ1011" i="1"/>
  <c r="AJ1003" i="1"/>
  <c r="AJ995" i="1"/>
  <c r="AJ987" i="1"/>
  <c r="AJ979" i="1"/>
  <c r="AJ971" i="1"/>
  <c r="AJ963" i="1"/>
  <c r="AJ955" i="1"/>
  <c r="AJ947" i="1"/>
  <c r="AJ939" i="1"/>
  <c r="AJ931" i="1"/>
  <c r="AJ923" i="1"/>
  <c r="AJ915" i="1"/>
  <c r="AJ907" i="1"/>
  <c r="AJ899" i="1"/>
  <c r="AJ891" i="1"/>
  <c r="AJ883" i="1"/>
  <c r="AJ875" i="1"/>
  <c r="AJ867" i="1"/>
  <c r="AJ859" i="1"/>
  <c r="AJ851" i="1"/>
  <c r="AJ843" i="1"/>
  <c r="AJ835" i="1"/>
  <c r="AJ827" i="1"/>
  <c r="AJ819" i="1"/>
  <c r="AJ811" i="1"/>
  <c r="AJ803" i="1"/>
  <c r="AJ795" i="1"/>
  <c r="AI1994" i="1"/>
  <c r="AI1930" i="1"/>
  <c r="AI1866" i="1"/>
  <c r="AI1802" i="1"/>
  <c r="AI1738" i="1"/>
  <c r="AI1674" i="1"/>
  <c r="AI1610" i="1"/>
  <c r="AI1546" i="1"/>
  <c r="AJ1497" i="1"/>
  <c r="AJ1465" i="1"/>
  <c r="AJ1433" i="1"/>
  <c r="AI1402" i="1"/>
  <c r="AJ1377" i="1"/>
  <c r="AI1363" i="1"/>
  <c r="AI1355" i="1"/>
  <c r="AI1347" i="1"/>
  <c r="AI1339" i="1"/>
  <c r="AI1331" i="1"/>
  <c r="AI1323" i="1"/>
  <c r="AI1315" i="1"/>
  <c r="AI1307" i="1"/>
  <c r="AI1299" i="1"/>
  <c r="AI1291" i="1"/>
  <c r="AI1283" i="1"/>
  <c r="AI1275" i="1"/>
  <c r="AI1267" i="1"/>
  <c r="AI1259" i="1"/>
  <c r="AI1251" i="1"/>
  <c r="AI1243" i="1"/>
  <c r="AI1235" i="1"/>
  <c r="AI1227" i="1"/>
  <c r="AI1219" i="1"/>
  <c r="AI1211" i="1"/>
  <c r="AI1203" i="1"/>
  <c r="AI1195" i="1"/>
  <c r="AI1187" i="1"/>
  <c r="AI1179" i="1"/>
  <c r="AI1171" i="1"/>
  <c r="AI1163" i="1"/>
  <c r="AI1155" i="1"/>
  <c r="AI1147" i="1"/>
  <c r="AI1139" i="1"/>
  <c r="AI1131" i="1"/>
  <c r="AI1123" i="1"/>
  <c r="AI1115" i="1"/>
  <c r="AI1107" i="1"/>
  <c r="AI1099" i="1"/>
  <c r="AI1091" i="1"/>
  <c r="AI1083" i="1"/>
  <c r="AI1075" i="1"/>
  <c r="AI1067" i="1"/>
  <c r="AI1059" i="1"/>
  <c r="AI1051" i="1"/>
  <c r="AI1043" i="1"/>
  <c r="AI1035" i="1"/>
  <c r="AI1027" i="1"/>
  <c r="AI1019" i="1"/>
  <c r="AI1011" i="1"/>
  <c r="AI1003" i="1"/>
  <c r="AI995" i="1"/>
  <c r="AI987" i="1"/>
  <c r="AI979" i="1"/>
  <c r="AI971" i="1"/>
  <c r="AI963" i="1"/>
  <c r="AI955" i="1"/>
  <c r="AI947" i="1"/>
  <c r="AI939" i="1"/>
  <c r="AI931" i="1"/>
  <c r="AI923" i="1"/>
  <c r="AI915" i="1"/>
  <c r="AI907" i="1"/>
  <c r="AI899" i="1"/>
  <c r="AI891" i="1"/>
  <c r="AI883" i="1"/>
  <c r="AI875" i="1"/>
  <c r="AI867" i="1"/>
  <c r="AI859" i="1"/>
  <c r="AI851" i="1"/>
  <c r="AI843" i="1"/>
  <c r="AI835" i="1"/>
  <c r="AI827" i="1"/>
  <c r="AI819" i="1"/>
  <c r="AI811" i="1"/>
  <c r="AI803" i="1"/>
  <c r="AI795" i="1"/>
  <c r="AJ1993" i="1"/>
  <c r="AJ1929" i="1"/>
  <c r="AJ1865" i="1"/>
  <c r="AJ1801" i="1"/>
  <c r="AJ1737" i="1"/>
  <c r="AJ1673" i="1"/>
  <c r="AJ1609" i="1"/>
  <c r="AJ1545" i="1"/>
  <c r="AJ1494" i="1"/>
  <c r="AJ1462" i="1"/>
  <c r="AJ1430" i="1"/>
  <c r="AJ1401" i="1"/>
  <c r="AJ1374" i="1"/>
  <c r="AJ1362" i="1"/>
  <c r="AJ1354" i="1"/>
  <c r="AJ1346" i="1"/>
  <c r="AJ1338" i="1"/>
  <c r="AJ1330" i="1"/>
  <c r="AJ1322" i="1"/>
  <c r="AJ1314" i="1"/>
  <c r="AJ1306" i="1"/>
  <c r="AJ1298" i="1"/>
  <c r="AJ1290" i="1"/>
  <c r="AJ1282" i="1"/>
  <c r="AJ1274" i="1"/>
  <c r="AJ1266" i="1"/>
  <c r="AJ1258" i="1"/>
  <c r="AJ1250" i="1"/>
  <c r="AJ1242" i="1"/>
  <c r="AJ1234" i="1"/>
  <c r="AJ1226" i="1"/>
  <c r="AJ1218" i="1"/>
  <c r="AJ1210" i="1"/>
  <c r="AJ1202" i="1"/>
  <c r="AJ1194" i="1"/>
  <c r="AJ1186" i="1"/>
  <c r="AJ1178" i="1"/>
  <c r="AJ1170" i="1"/>
  <c r="AJ1162" i="1"/>
  <c r="AJ1154" i="1"/>
  <c r="AJ1146" i="1"/>
  <c r="AJ1138" i="1"/>
  <c r="AJ1130" i="1"/>
  <c r="AJ1122" i="1"/>
  <c r="AJ1114" i="1"/>
  <c r="AJ1106" i="1"/>
  <c r="AJ1098" i="1"/>
  <c r="AJ1090" i="1"/>
  <c r="AJ1082" i="1"/>
  <c r="AJ1074" i="1"/>
  <c r="AJ1066" i="1"/>
  <c r="AJ1058" i="1"/>
  <c r="AJ1050" i="1"/>
  <c r="AJ1042" i="1"/>
  <c r="AJ1034" i="1"/>
  <c r="AJ1026" i="1"/>
  <c r="AJ1018" i="1"/>
  <c r="AJ1010" i="1"/>
  <c r="AJ1002" i="1"/>
  <c r="AJ994" i="1"/>
  <c r="AJ986" i="1"/>
  <c r="AJ978" i="1"/>
  <c r="AJ970" i="1"/>
  <c r="AJ962" i="1"/>
  <c r="AJ954" i="1"/>
  <c r="AJ946" i="1"/>
  <c r="AJ938" i="1"/>
  <c r="AJ930" i="1"/>
  <c r="AJ922" i="1"/>
  <c r="AJ914" i="1"/>
  <c r="AJ906" i="1"/>
  <c r="AJ898" i="1"/>
  <c r="AJ890" i="1"/>
  <c r="AJ882" i="1"/>
  <c r="AJ874" i="1"/>
  <c r="AJ866" i="1"/>
  <c r="AJ858" i="1"/>
  <c r="AJ850" i="1"/>
  <c r="AJ842" i="1"/>
  <c r="AJ834" i="1"/>
  <c r="AJ826" i="1"/>
  <c r="AI1986" i="1"/>
  <c r="AI1922" i="1"/>
  <c r="AI1858" i="1"/>
  <c r="AI1794" i="1"/>
  <c r="AI1730" i="1"/>
  <c r="AI1666" i="1"/>
  <c r="AI1602" i="1"/>
  <c r="AI1538" i="1"/>
  <c r="AJ1493" i="1"/>
  <c r="AJ1461" i="1"/>
  <c r="AJ1429" i="1"/>
  <c r="AJ1398" i="1"/>
  <c r="AI1374" i="1"/>
  <c r="AI1362" i="1"/>
  <c r="AI1354" i="1"/>
  <c r="AI1346" i="1"/>
  <c r="AI1338" i="1"/>
  <c r="AI1330" i="1"/>
  <c r="AI1322" i="1"/>
  <c r="AI1314" i="1"/>
  <c r="AI1306" i="1"/>
  <c r="AI1298" i="1"/>
  <c r="AI1290" i="1"/>
  <c r="AI1282" i="1"/>
  <c r="AI1274" i="1"/>
  <c r="AI1266" i="1"/>
  <c r="AI1258" i="1"/>
  <c r="AI1250" i="1"/>
  <c r="AI1242" i="1"/>
  <c r="AI1234" i="1"/>
  <c r="AI1226" i="1"/>
  <c r="AI1218" i="1"/>
  <c r="AI1210" i="1"/>
  <c r="AI1202" i="1"/>
  <c r="AI1194" i="1"/>
  <c r="AI1186" i="1"/>
  <c r="AI1178" i="1"/>
  <c r="AI1170" i="1"/>
  <c r="AI1162" i="1"/>
  <c r="AI1154" i="1"/>
  <c r="AI1146" i="1"/>
  <c r="AI1138" i="1"/>
  <c r="AI1130" i="1"/>
  <c r="AI1122" i="1"/>
  <c r="AI1114" i="1"/>
  <c r="AI1106" i="1"/>
  <c r="AI1098" i="1"/>
  <c r="AI1090" i="1"/>
  <c r="AI1082" i="1"/>
  <c r="AI1074" i="1"/>
  <c r="AI1066" i="1"/>
  <c r="AI1058" i="1"/>
  <c r="AI1050" i="1"/>
  <c r="AI1042" i="1"/>
  <c r="AI1034" i="1"/>
  <c r="AI1026" i="1"/>
  <c r="AI1018" i="1"/>
  <c r="AI1010" i="1"/>
  <c r="AI1002" i="1"/>
  <c r="AI994" i="1"/>
  <c r="AI986" i="1"/>
  <c r="AI978" i="1"/>
  <c r="AI970" i="1"/>
  <c r="AI962" i="1"/>
  <c r="AI954" i="1"/>
  <c r="AI946" i="1"/>
  <c r="AI938" i="1"/>
  <c r="AI930" i="1"/>
  <c r="AI922" i="1"/>
  <c r="AI914" i="1"/>
  <c r="AI906" i="1"/>
  <c r="AI898" i="1"/>
  <c r="AI890" i="1"/>
  <c r="AI882" i="1"/>
  <c r="AI874" i="1"/>
  <c r="AI866" i="1"/>
  <c r="AI858" i="1"/>
  <c r="AI850" i="1"/>
  <c r="AI842" i="1"/>
  <c r="AI834" i="1"/>
  <c r="AI826" i="1"/>
  <c r="AJ1985" i="1"/>
  <c r="AJ1921" i="1"/>
  <c r="AJ1857" i="1"/>
  <c r="AJ1793" i="1"/>
  <c r="AJ1729" i="1"/>
  <c r="AJ1665" i="1"/>
  <c r="AJ1601" i="1"/>
  <c r="AJ1537" i="1"/>
  <c r="AI1490" i="1"/>
  <c r="AI1458" i="1"/>
  <c r="AI1426" i="1"/>
  <c r="AI1398" i="1"/>
  <c r="AJ1373" i="1"/>
  <c r="AJ1361" i="1"/>
  <c r="AJ1353" i="1"/>
  <c r="AJ1345" i="1"/>
  <c r="AJ1337" i="1"/>
  <c r="AJ1329" i="1"/>
  <c r="AJ1321" i="1"/>
  <c r="AJ1313" i="1"/>
  <c r="AJ1305" i="1"/>
  <c r="AJ1297" i="1"/>
  <c r="AJ1289" i="1"/>
  <c r="AJ1281" i="1"/>
  <c r="AJ1273" i="1"/>
  <c r="AJ1265" i="1"/>
  <c r="AJ1257" i="1"/>
  <c r="AJ1249" i="1"/>
  <c r="AJ1241" i="1"/>
  <c r="AJ1233" i="1"/>
  <c r="AJ1225" i="1"/>
  <c r="AJ1217" i="1"/>
  <c r="AJ1209" i="1"/>
  <c r="AJ1201" i="1"/>
  <c r="AJ1193" i="1"/>
  <c r="AJ1185" i="1"/>
  <c r="AJ1177" i="1"/>
  <c r="AJ1169" i="1"/>
  <c r="AJ1161" i="1"/>
  <c r="AJ1153" i="1"/>
  <c r="AJ1145" i="1"/>
  <c r="AJ1137" i="1"/>
  <c r="AJ1129" i="1"/>
  <c r="AJ1121" i="1"/>
  <c r="AJ1113" i="1"/>
  <c r="AJ1105" i="1"/>
  <c r="AJ1097" i="1"/>
  <c r="AJ1089" i="1"/>
  <c r="AJ1081" i="1"/>
  <c r="AJ1073" i="1"/>
  <c r="AJ1065" i="1"/>
  <c r="AJ1057" i="1"/>
  <c r="AJ1049" i="1"/>
  <c r="AJ1041" i="1"/>
  <c r="AJ1033" i="1"/>
  <c r="AJ1025" i="1"/>
  <c r="AJ1017" i="1"/>
  <c r="AJ1009" i="1"/>
  <c r="AJ1001" i="1"/>
  <c r="AJ993" i="1"/>
  <c r="AJ985" i="1"/>
  <c r="AJ977" i="1"/>
  <c r="AJ969" i="1"/>
  <c r="AJ961" i="1"/>
  <c r="AJ953" i="1"/>
  <c r="AJ945" i="1"/>
  <c r="AJ937" i="1"/>
  <c r="AJ929" i="1"/>
  <c r="AJ921" i="1"/>
  <c r="AJ913" i="1"/>
  <c r="AJ905" i="1"/>
  <c r="AJ897" i="1"/>
  <c r="AJ889" i="1"/>
  <c r="AJ881" i="1"/>
  <c r="AJ873" i="1"/>
  <c r="AJ865" i="1"/>
  <c r="AJ857" i="1"/>
  <c r="AJ849" i="1"/>
  <c r="AJ841" i="1"/>
  <c r="AJ833" i="1"/>
  <c r="AJ825" i="1"/>
  <c r="AJ817" i="1"/>
  <c r="AJ809" i="1"/>
  <c r="AJ801" i="1"/>
  <c r="AJ793" i="1"/>
  <c r="AI2042" i="1"/>
  <c r="AI1978" i="1"/>
  <c r="AI1914" i="1"/>
  <c r="AI1850" i="1"/>
  <c r="AI1786" i="1"/>
  <c r="AI1722" i="1"/>
  <c r="AI1658" i="1"/>
  <c r="AI1594" i="1"/>
  <c r="AI1530" i="1"/>
  <c r="AJ1489" i="1"/>
  <c r="AJ1457" i="1"/>
  <c r="AJ1425" i="1"/>
  <c r="AJ1397" i="1"/>
  <c r="AI1370" i="1"/>
  <c r="AI1361" i="1"/>
  <c r="AI1353" i="1"/>
  <c r="AI1345" i="1"/>
  <c r="AI1337" i="1"/>
  <c r="AI1329" i="1"/>
  <c r="AI1321" i="1"/>
  <c r="AI1313" i="1"/>
  <c r="AI1305" i="1"/>
  <c r="AI1297" i="1"/>
  <c r="AI1289" i="1"/>
  <c r="AI1281" i="1"/>
  <c r="AI1273" i="1"/>
  <c r="AI1265" i="1"/>
  <c r="AI1257" i="1"/>
  <c r="AI1249" i="1"/>
  <c r="AI1241" i="1"/>
  <c r="AI1233" i="1"/>
  <c r="AI1225" i="1"/>
  <c r="AI1217" i="1"/>
  <c r="AI1209" i="1"/>
  <c r="AI1201" i="1"/>
  <c r="AI1193" i="1"/>
  <c r="AI1185" i="1"/>
  <c r="AI1177" i="1"/>
  <c r="AI1169" i="1"/>
  <c r="AI1161" i="1"/>
  <c r="AI1153" i="1"/>
  <c r="AI1145" i="1"/>
  <c r="AI1137" i="1"/>
  <c r="AI1129" i="1"/>
  <c r="AI1121" i="1"/>
  <c r="AI1113" i="1"/>
  <c r="AI1105" i="1"/>
  <c r="AI1097" i="1"/>
  <c r="AI1089" i="1"/>
  <c r="AI1081" i="1"/>
  <c r="AI1073" i="1"/>
  <c r="AI1065" i="1"/>
  <c r="AI1057" i="1"/>
  <c r="AI1049" i="1"/>
  <c r="AI1041" i="1"/>
  <c r="AI1033" i="1"/>
  <c r="AI1025" i="1"/>
  <c r="AI1017" i="1"/>
  <c r="AI1009" i="1"/>
  <c r="AI1001" i="1"/>
  <c r="AI993" i="1"/>
  <c r="AI985" i="1"/>
  <c r="AI977" i="1"/>
  <c r="AI969" i="1"/>
  <c r="AI961" i="1"/>
  <c r="AI953" i="1"/>
  <c r="AI945" i="1"/>
  <c r="AI937" i="1"/>
  <c r="AI929" i="1"/>
  <c r="AI921" i="1"/>
  <c r="AI913" i="1"/>
  <c r="AI905" i="1"/>
  <c r="AI897" i="1"/>
  <c r="AI889" i="1"/>
  <c r="AI881" i="1"/>
  <c r="AI873" i="1"/>
  <c r="AI865" i="1"/>
  <c r="AI857" i="1"/>
  <c r="AI849" i="1"/>
  <c r="AI841" i="1"/>
  <c r="AI833" i="1"/>
  <c r="AI825" i="1"/>
  <c r="AI817" i="1"/>
  <c r="AI809" i="1"/>
  <c r="AI801" i="1"/>
  <c r="AJ2041" i="1"/>
  <c r="AJ1977" i="1"/>
  <c r="AJ1913" i="1"/>
  <c r="AJ1849" i="1"/>
  <c r="AJ1785" i="1"/>
  <c r="AJ1721" i="1"/>
  <c r="AJ1657" i="1"/>
  <c r="AJ1593" i="1"/>
  <c r="AJ1529" i="1"/>
  <c r="AJ1486" i="1"/>
  <c r="AJ1454" i="1"/>
  <c r="AJ1422" i="1"/>
  <c r="AI1394" i="1"/>
  <c r="AJ1369" i="1"/>
  <c r="AJ1360" i="1"/>
  <c r="AJ1352" i="1"/>
  <c r="AJ1344" i="1"/>
  <c r="AJ1336" i="1"/>
  <c r="AJ1328" i="1"/>
  <c r="AJ1320" i="1"/>
  <c r="AJ1312" i="1"/>
  <c r="AJ1304" i="1"/>
  <c r="AJ1296" i="1"/>
  <c r="AJ1288" i="1"/>
  <c r="AJ1280" i="1"/>
  <c r="AJ1272" i="1"/>
  <c r="AJ1264" i="1"/>
  <c r="AJ1256" i="1"/>
  <c r="AJ1248" i="1"/>
  <c r="AJ1240" i="1"/>
  <c r="AJ1232" i="1"/>
  <c r="AJ1224" i="1"/>
  <c r="AJ1216" i="1"/>
  <c r="AJ1208" i="1"/>
  <c r="AI2034" i="1"/>
  <c r="AI1970" i="1"/>
  <c r="AI1906" i="1"/>
  <c r="AI1842" i="1"/>
  <c r="AI1778" i="1"/>
  <c r="AI1714" i="1"/>
  <c r="AI1650" i="1"/>
  <c r="AI1586" i="1"/>
  <c r="AI1522" i="1"/>
  <c r="AJ1485" i="1"/>
  <c r="AJ1453" i="1"/>
  <c r="AJ1421" i="1"/>
  <c r="AJ1393" i="1"/>
  <c r="AJ1368" i="1"/>
  <c r="AI1360" i="1"/>
  <c r="AI1352" i="1"/>
  <c r="AI1344" i="1"/>
  <c r="AI1336" i="1"/>
  <c r="AI1328" i="1"/>
  <c r="AI1320" i="1"/>
  <c r="AI1312" i="1"/>
  <c r="AI1304" i="1"/>
  <c r="AI1296" i="1"/>
  <c r="AI1288" i="1"/>
  <c r="AI1280" i="1"/>
  <c r="AI1272" i="1"/>
  <c r="AI1264" i="1"/>
  <c r="AI1256" i="1"/>
  <c r="AI1248" i="1"/>
  <c r="AI1240" i="1"/>
  <c r="AI1232" i="1"/>
  <c r="AI1224" i="1"/>
  <c r="AI1216" i="1"/>
  <c r="AI1208" i="1"/>
  <c r="AI1200" i="1"/>
  <c r="AI1192" i="1"/>
  <c r="AI1184" i="1"/>
  <c r="AI1176" i="1"/>
  <c r="AI1168" i="1"/>
  <c r="AI1160" i="1"/>
  <c r="AI1152" i="1"/>
  <c r="AI1144" i="1"/>
  <c r="AI1136" i="1"/>
  <c r="AI1128" i="1"/>
  <c r="AI1120" i="1"/>
  <c r="AI1112" i="1"/>
  <c r="AI1104" i="1"/>
  <c r="AI1096" i="1"/>
  <c r="AI1088" i="1"/>
  <c r="AI1080" i="1"/>
  <c r="AI1072" i="1"/>
  <c r="AI1064" i="1"/>
  <c r="AI1056" i="1"/>
  <c r="AI1048" i="1"/>
  <c r="AI1040" i="1"/>
  <c r="AI1032" i="1"/>
  <c r="AI1024" i="1"/>
  <c r="AI1016" i="1"/>
  <c r="AI1008" i="1"/>
  <c r="AI1000" i="1"/>
  <c r="AI992" i="1"/>
  <c r="AI984" i="1"/>
  <c r="AI976" i="1"/>
  <c r="AI968" i="1"/>
  <c r="AI960" i="1"/>
  <c r="AI952" i="1"/>
  <c r="AI944" i="1"/>
  <c r="AI936" i="1"/>
  <c r="AI928" i="1"/>
  <c r="AI920" i="1"/>
  <c r="AI912" i="1"/>
  <c r="AI904" i="1"/>
  <c r="AI896" i="1"/>
  <c r="AI888" i="1"/>
  <c r="AI880" i="1"/>
  <c r="AI872" i="1"/>
  <c r="AI864" i="1"/>
  <c r="AI856" i="1"/>
  <c r="AI848" i="1"/>
  <c r="AI840" i="1"/>
  <c r="AI832" i="1"/>
  <c r="AI824" i="1"/>
  <c r="AI816" i="1"/>
  <c r="AI808" i="1"/>
  <c r="AI800" i="1"/>
  <c r="AJ2033" i="1"/>
  <c r="AJ1969" i="1"/>
  <c r="AJ1905" i="1"/>
  <c r="AJ1841" i="1"/>
  <c r="AJ1777" i="1"/>
  <c r="AJ1713" i="1"/>
  <c r="AJ1649" i="1"/>
  <c r="AJ1585" i="1"/>
  <c r="AJ1521" i="1"/>
  <c r="AI1482" i="1"/>
  <c r="AI1450" i="1"/>
  <c r="AI1418" i="1"/>
  <c r="AJ1390" i="1"/>
  <c r="AI1368" i="1"/>
  <c r="AJ1359" i="1"/>
  <c r="AJ1351" i="1"/>
  <c r="AJ1343" i="1"/>
  <c r="AJ1335" i="1"/>
  <c r="AJ1327" i="1"/>
  <c r="AJ1319" i="1"/>
  <c r="AJ1311" i="1"/>
  <c r="AJ1303" i="1"/>
  <c r="AJ1295" i="1"/>
  <c r="AJ1287" i="1"/>
  <c r="AJ1279" i="1"/>
  <c r="AJ1271" i="1"/>
  <c r="AJ1263" i="1"/>
  <c r="AJ1255" i="1"/>
  <c r="AJ1247" i="1"/>
  <c r="AJ1239" i="1"/>
  <c r="AJ1231" i="1"/>
  <c r="AJ1223" i="1"/>
  <c r="AJ1215" i="1"/>
  <c r="AJ1207" i="1"/>
  <c r="AJ1199" i="1"/>
  <c r="AJ1191" i="1"/>
  <c r="AJ1183" i="1"/>
  <c r="AJ1175" i="1"/>
  <c r="AJ1167" i="1"/>
  <c r="AJ1159" i="1"/>
  <c r="AJ1151" i="1"/>
  <c r="AJ1143" i="1"/>
  <c r="AJ1135" i="1"/>
  <c r="AJ1127" i="1"/>
  <c r="AJ1119" i="1"/>
  <c r="AJ1111" i="1"/>
  <c r="AJ1103" i="1"/>
  <c r="AJ1095" i="1"/>
  <c r="AJ1087" i="1"/>
  <c r="AJ1079" i="1"/>
  <c r="AJ1071" i="1"/>
  <c r="AJ1063" i="1"/>
  <c r="AJ1055" i="1"/>
  <c r="AJ1047" i="1"/>
  <c r="AJ1039" i="1"/>
  <c r="AJ1031" i="1"/>
  <c r="AJ1023" i="1"/>
  <c r="AJ1015" i="1"/>
  <c r="AJ1007" i="1"/>
  <c r="AJ999" i="1"/>
  <c r="AJ991" i="1"/>
  <c r="AJ1897" i="1"/>
  <c r="AI1570" i="1"/>
  <c r="AI1367" i="1"/>
  <c r="AJ1326" i="1"/>
  <c r="AI1286" i="1"/>
  <c r="AI1239" i="1"/>
  <c r="AI1199" i="1"/>
  <c r="AJ1174" i="1"/>
  <c r="AI1150" i="1"/>
  <c r="AJ1124" i="1"/>
  <c r="AJ1096" i="1"/>
  <c r="AI1071" i="1"/>
  <c r="AJ1046" i="1"/>
  <c r="AI1022" i="1"/>
  <c r="AJ996" i="1"/>
  <c r="AI974" i="1"/>
  <c r="AI951" i="1"/>
  <c r="AJ928" i="1"/>
  <c r="AI910" i="1"/>
  <c r="AI887" i="1"/>
  <c r="AJ864" i="1"/>
  <c r="AI846" i="1"/>
  <c r="AI823" i="1"/>
  <c r="AI807" i="1"/>
  <c r="AI792" i="1"/>
  <c r="AI784" i="1"/>
  <c r="AI776" i="1"/>
  <c r="AI768" i="1"/>
  <c r="AI760" i="1"/>
  <c r="AI752" i="1"/>
  <c r="AI744" i="1"/>
  <c r="AI736" i="1"/>
  <c r="AI728" i="1"/>
  <c r="AI720" i="1"/>
  <c r="AI712" i="1"/>
  <c r="AI704" i="1"/>
  <c r="AI696" i="1"/>
  <c r="AI688" i="1"/>
  <c r="AI680" i="1"/>
  <c r="AI672" i="1"/>
  <c r="AI664" i="1"/>
  <c r="AI656" i="1"/>
  <c r="AI648" i="1"/>
  <c r="AI640" i="1"/>
  <c r="AI632" i="1"/>
  <c r="AI624" i="1"/>
  <c r="AI616" i="1"/>
  <c r="AI608" i="1"/>
  <c r="AI600" i="1"/>
  <c r="AI592" i="1"/>
  <c r="AI584" i="1"/>
  <c r="AI576" i="1"/>
  <c r="AI568" i="1"/>
  <c r="AI560" i="1"/>
  <c r="AI552" i="1"/>
  <c r="AI544" i="1"/>
  <c r="AI536" i="1"/>
  <c r="AI528" i="1"/>
  <c r="AI520" i="1"/>
  <c r="AI512" i="1"/>
  <c r="AI504" i="1"/>
  <c r="AI496" i="1"/>
  <c r="AI488" i="1"/>
  <c r="AI480" i="1"/>
  <c r="AI472" i="1"/>
  <c r="AI464" i="1"/>
  <c r="AI456" i="1"/>
  <c r="AI448" i="1"/>
  <c r="AI440" i="1"/>
  <c r="AI432" i="1"/>
  <c r="AI424" i="1"/>
  <c r="AI416" i="1"/>
  <c r="AI408" i="1"/>
  <c r="AI400" i="1"/>
  <c r="AI392" i="1"/>
  <c r="AI384" i="1"/>
  <c r="AI376" i="1"/>
  <c r="AI368" i="1"/>
  <c r="AI360" i="1"/>
  <c r="AI352" i="1"/>
  <c r="AI344" i="1"/>
  <c r="AI336" i="1"/>
  <c r="AI328" i="1"/>
  <c r="AI320" i="1"/>
  <c r="AI312" i="1"/>
  <c r="AI1890" i="1"/>
  <c r="AI1514" i="1"/>
  <c r="AJ1366" i="1"/>
  <c r="AI1326" i="1"/>
  <c r="AI1279" i="1"/>
  <c r="AJ1238" i="1"/>
  <c r="AJ1198" i="1"/>
  <c r="AI1174" i="1"/>
  <c r="AJ1148" i="1"/>
  <c r="AJ1120" i="1"/>
  <c r="AI1095" i="1"/>
  <c r="AJ1070" i="1"/>
  <c r="AI1046" i="1"/>
  <c r="AJ1020" i="1"/>
  <c r="AJ992" i="1"/>
  <c r="AJ972" i="1"/>
  <c r="AJ950" i="1"/>
  <c r="AJ927" i="1"/>
  <c r="AJ908" i="1"/>
  <c r="AJ886" i="1"/>
  <c r="AJ863" i="1"/>
  <c r="AJ844" i="1"/>
  <c r="AJ822" i="1"/>
  <c r="AJ806" i="1"/>
  <c r="AJ791" i="1"/>
  <c r="AJ783" i="1"/>
  <c r="AJ775" i="1"/>
  <c r="AJ767" i="1"/>
  <c r="AJ759" i="1"/>
  <c r="AJ751" i="1"/>
  <c r="AJ743" i="1"/>
  <c r="AJ735" i="1"/>
  <c r="AJ727" i="1"/>
  <c r="AJ719" i="1"/>
  <c r="AJ711" i="1"/>
  <c r="AJ703" i="1"/>
  <c r="AJ695" i="1"/>
  <c r="AJ687" i="1"/>
  <c r="AJ679" i="1"/>
  <c r="AJ671" i="1"/>
  <c r="AJ663" i="1"/>
  <c r="AJ655" i="1"/>
  <c r="AJ647" i="1"/>
  <c r="AJ639" i="1"/>
  <c r="AJ631" i="1"/>
  <c r="AJ623" i="1"/>
  <c r="AJ615" i="1"/>
  <c r="AJ607" i="1"/>
  <c r="AJ599" i="1"/>
  <c r="AJ591" i="1"/>
  <c r="AJ583" i="1"/>
  <c r="AJ575" i="1"/>
  <c r="AJ567" i="1"/>
  <c r="AJ559" i="1"/>
  <c r="AJ551" i="1"/>
  <c r="AJ543" i="1"/>
  <c r="AJ535" i="1"/>
  <c r="AJ527" i="1"/>
  <c r="AJ519" i="1"/>
  <c r="AJ511" i="1"/>
  <c r="AJ503" i="1"/>
  <c r="AJ495" i="1"/>
  <c r="AJ487" i="1"/>
  <c r="AJ479" i="1"/>
  <c r="AJ471" i="1"/>
  <c r="AJ463" i="1"/>
  <c r="AJ455" i="1"/>
  <c r="AJ447" i="1"/>
  <c r="AJ439" i="1"/>
  <c r="AJ431" i="1"/>
  <c r="AJ423" i="1"/>
  <c r="AJ415" i="1"/>
  <c r="AJ407" i="1"/>
  <c r="AJ399" i="1"/>
  <c r="AJ391" i="1"/>
  <c r="AJ383" i="1"/>
  <c r="AJ375" i="1"/>
  <c r="AJ367" i="1"/>
  <c r="AJ359" i="1"/>
  <c r="AJ351" i="1"/>
  <c r="AJ343" i="1"/>
  <c r="AJ335" i="1"/>
  <c r="AJ327" i="1"/>
  <c r="AJ319" i="1"/>
  <c r="AJ311" i="1"/>
  <c r="AI1834" i="1"/>
  <c r="AJ1513" i="1"/>
  <c r="AI1366" i="1"/>
  <c r="AI1319" i="1"/>
  <c r="AJ1278" i="1"/>
  <c r="AI1238" i="1"/>
  <c r="AI1198" i="1"/>
  <c r="AJ1172" i="1"/>
  <c r="AJ1144" i="1"/>
  <c r="AI1119" i="1"/>
  <c r="AJ1094" i="1"/>
  <c r="AI1070" i="1"/>
  <c r="AJ1044" i="1"/>
  <c r="AJ1016" i="1"/>
  <c r="AI991" i="1"/>
  <c r="AJ968" i="1"/>
  <c r="AI950" i="1"/>
  <c r="AI927" i="1"/>
  <c r="AJ904" i="1"/>
  <c r="AI886" i="1"/>
  <c r="AI863" i="1"/>
  <c r="AJ840" i="1"/>
  <c r="AI822" i="1"/>
  <c r="AI806" i="1"/>
  <c r="AI791" i="1"/>
  <c r="AI783" i="1"/>
  <c r="AI775" i="1"/>
  <c r="AI767" i="1"/>
  <c r="AI759" i="1"/>
  <c r="AI751" i="1"/>
  <c r="AI743" i="1"/>
  <c r="AI735" i="1"/>
  <c r="AI727" i="1"/>
  <c r="AI719" i="1"/>
  <c r="AI711" i="1"/>
  <c r="AJ1833" i="1"/>
  <c r="AJ1509" i="1"/>
  <c r="AI1359" i="1"/>
  <c r="AJ1318" i="1"/>
  <c r="AI1278" i="1"/>
  <c r="AI1231" i="1"/>
  <c r="AJ1196" i="1"/>
  <c r="AJ1168" i="1"/>
  <c r="AI1143" i="1"/>
  <c r="AJ1118" i="1"/>
  <c r="AI1094" i="1"/>
  <c r="AJ1068" i="1"/>
  <c r="AJ1040" i="1"/>
  <c r="AI1015" i="1"/>
  <c r="AJ990" i="1"/>
  <c r="AJ967" i="1"/>
  <c r="AJ948" i="1"/>
  <c r="AJ926" i="1"/>
  <c r="AJ903" i="1"/>
  <c r="AJ884" i="1"/>
  <c r="AJ862" i="1"/>
  <c r="AJ839" i="1"/>
  <c r="AJ820" i="1"/>
  <c r="AJ804" i="1"/>
  <c r="AJ790" i="1"/>
  <c r="AJ782" i="1"/>
  <c r="AJ774" i="1"/>
  <c r="AJ766" i="1"/>
  <c r="AJ758" i="1"/>
  <c r="AJ750" i="1"/>
  <c r="AJ742" i="1"/>
  <c r="AJ734" i="1"/>
  <c r="AJ726" i="1"/>
  <c r="AJ718" i="1"/>
  <c r="AJ710" i="1"/>
  <c r="AJ702" i="1"/>
  <c r="AJ694" i="1"/>
  <c r="AJ686" i="1"/>
  <c r="AJ678" i="1"/>
  <c r="AJ670" i="1"/>
  <c r="AJ662" i="1"/>
  <c r="AJ654" i="1"/>
  <c r="AJ646" i="1"/>
  <c r="AJ638" i="1"/>
  <c r="AJ630" i="1"/>
  <c r="AJ622" i="1"/>
  <c r="AJ614" i="1"/>
  <c r="AJ606" i="1"/>
  <c r="AJ598" i="1"/>
  <c r="AJ590" i="1"/>
  <c r="AJ582" i="1"/>
  <c r="AJ574" i="1"/>
  <c r="AJ566" i="1"/>
  <c r="AJ558" i="1"/>
  <c r="AJ550" i="1"/>
  <c r="AJ542" i="1"/>
  <c r="AJ534" i="1"/>
  <c r="AJ526" i="1"/>
  <c r="AJ518" i="1"/>
  <c r="AJ510" i="1"/>
  <c r="AJ502" i="1"/>
  <c r="AJ494" i="1"/>
  <c r="AJ486" i="1"/>
  <c r="AJ478" i="1"/>
  <c r="AJ470" i="1"/>
  <c r="AJ462" i="1"/>
  <c r="AJ454" i="1"/>
  <c r="AJ446" i="1"/>
  <c r="AJ438" i="1"/>
  <c r="AJ430" i="1"/>
  <c r="AJ422" i="1"/>
  <c r="AJ414" i="1"/>
  <c r="AJ406" i="1"/>
  <c r="AJ398" i="1"/>
  <c r="AJ390" i="1"/>
  <c r="AJ382" i="1"/>
  <c r="AJ374" i="1"/>
  <c r="AJ366" i="1"/>
  <c r="AJ358" i="1"/>
  <c r="AJ350" i="1"/>
  <c r="AJ342" i="1"/>
  <c r="AJ334" i="1"/>
  <c r="AJ326" i="1"/>
  <c r="AJ318" i="1"/>
  <c r="AJ310" i="1"/>
  <c r="AI1826" i="1"/>
  <c r="AJ1481" i="1"/>
  <c r="AJ1358" i="1"/>
  <c r="AI1318" i="1"/>
  <c r="AI1271" i="1"/>
  <c r="AJ1230" i="1"/>
  <c r="AJ1192" i="1"/>
  <c r="AI1167" i="1"/>
  <c r="AJ1142" i="1"/>
  <c r="AI1118" i="1"/>
  <c r="AJ1092" i="1"/>
  <c r="AJ1064" i="1"/>
  <c r="AI1039" i="1"/>
  <c r="AJ1014" i="1"/>
  <c r="AI990" i="1"/>
  <c r="AI967" i="1"/>
  <c r="AJ944" i="1"/>
  <c r="AI926" i="1"/>
  <c r="AI903" i="1"/>
  <c r="AJ880" i="1"/>
  <c r="AI862" i="1"/>
  <c r="AI839" i="1"/>
  <c r="AJ818" i="1"/>
  <c r="AJ802" i="1"/>
  <c r="AI790" i="1"/>
  <c r="AI782" i="1"/>
  <c r="AI774" i="1"/>
  <c r="AI766" i="1"/>
  <c r="AI758" i="1"/>
  <c r="AI750" i="1"/>
  <c r="AI742" i="1"/>
  <c r="AI734" i="1"/>
  <c r="AI726" i="1"/>
  <c r="AI718" i="1"/>
  <c r="AI710" i="1"/>
  <c r="AI702" i="1"/>
  <c r="AI694" i="1"/>
  <c r="AI686" i="1"/>
  <c r="AI678" i="1"/>
  <c r="AI670" i="1"/>
  <c r="AI662" i="1"/>
  <c r="AI654" i="1"/>
  <c r="AI646" i="1"/>
  <c r="AI638" i="1"/>
  <c r="AI630" i="1"/>
  <c r="AI622" i="1"/>
  <c r="AI614" i="1"/>
  <c r="AI606" i="1"/>
  <c r="AI598" i="1"/>
  <c r="AI590" i="1"/>
  <c r="AI582" i="1"/>
  <c r="AI574" i="1"/>
  <c r="AI566" i="1"/>
  <c r="AI558" i="1"/>
  <c r="AI550" i="1"/>
  <c r="AI542" i="1"/>
  <c r="AI534" i="1"/>
  <c r="AI526" i="1"/>
  <c r="AI518" i="1"/>
  <c r="AI510" i="1"/>
  <c r="AI502" i="1"/>
  <c r="AI494" i="1"/>
  <c r="AI486" i="1"/>
  <c r="AI478" i="1"/>
  <c r="AI470" i="1"/>
  <c r="AI462" i="1"/>
  <c r="AI454" i="1"/>
  <c r="AI446" i="1"/>
  <c r="AI438" i="1"/>
  <c r="AI430" i="1"/>
  <c r="AI422" i="1"/>
  <c r="AI414" i="1"/>
  <c r="AI406" i="1"/>
  <c r="AI398" i="1"/>
  <c r="AI390" i="1"/>
  <c r="AI382" i="1"/>
  <c r="AI374" i="1"/>
  <c r="AI366" i="1"/>
  <c r="AI358" i="1"/>
  <c r="AI350" i="1"/>
  <c r="AI342" i="1"/>
  <c r="AI334" i="1"/>
  <c r="AI326" i="1"/>
  <c r="AI318" i="1"/>
  <c r="AI310" i="1"/>
  <c r="AI1770" i="1"/>
  <c r="AJ1478" i="1"/>
  <c r="AI1358" i="1"/>
  <c r="AI1311" i="1"/>
  <c r="AJ1270" i="1"/>
  <c r="AI1230" i="1"/>
  <c r="AI1191" i="1"/>
  <c r="AJ1166" i="1"/>
  <c r="AI1142" i="1"/>
  <c r="AJ1116" i="1"/>
  <c r="AJ1088" i="1"/>
  <c r="AI1063" i="1"/>
  <c r="AJ1038" i="1"/>
  <c r="AI1014" i="1"/>
  <c r="AJ988" i="1"/>
  <c r="AJ966" i="1"/>
  <c r="AJ943" i="1"/>
  <c r="AJ924" i="1"/>
  <c r="AJ902" i="1"/>
  <c r="AJ879" i="1"/>
  <c r="AJ860" i="1"/>
  <c r="AJ838" i="1"/>
  <c r="AI818" i="1"/>
  <c r="AI802" i="1"/>
  <c r="AJ789" i="1"/>
  <c r="AJ781" i="1"/>
  <c r="AJ773" i="1"/>
  <c r="AJ765" i="1"/>
  <c r="AJ757" i="1"/>
  <c r="AJ749" i="1"/>
  <c r="AJ741" i="1"/>
  <c r="AJ733" i="1"/>
  <c r="AJ725" i="1"/>
  <c r="AJ717" i="1"/>
  <c r="AJ709" i="1"/>
  <c r="AJ701" i="1"/>
  <c r="AJ693" i="1"/>
  <c r="AJ685" i="1"/>
  <c r="AJ677" i="1"/>
  <c r="AJ669" i="1"/>
  <c r="AJ661" i="1"/>
  <c r="AJ653" i="1"/>
  <c r="AJ645" i="1"/>
  <c r="AJ637" i="1"/>
  <c r="AJ629" i="1"/>
  <c r="AJ621" i="1"/>
  <c r="AJ613" i="1"/>
  <c r="AJ605" i="1"/>
  <c r="AJ597" i="1"/>
  <c r="AJ589" i="1"/>
  <c r="AJ581" i="1"/>
  <c r="AJ573" i="1"/>
  <c r="AJ565" i="1"/>
  <c r="AJ557" i="1"/>
  <c r="AJ549" i="1"/>
  <c r="AJ541" i="1"/>
  <c r="AJ533" i="1"/>
  <c r="AJ525" i="1"/>
  <c r="AJ517" i="1"/>
  <c r="AJ509" i="1"/>
  <c r="AJ501" i="1"/>
  <c r="AJ493" i="1"/>
  <c r="AJ485" i="1"/>
  <c r="AJ477" i="1"/>
  <c r="AJ469" i="1"/>
  <c r="AJ461" i="1"/>
  <c r="AJ453" i="1"/>
  <c r="AJ445" i="1"/>
  <c r="AJ437" i="1"/>
  <c r="AJ429" i="1"/>
  <c r="AJ421" i="1"/>
  <c r="AJ413" i="1"/>
  <c r="AJ405" i="1"/>
  <c r="AJ397" i="1"/>
  <c r="AJ389" i="1"/>
  <c r="AJ381" i="1"/>
  <c r="AJ373" i="1"/>
  <c r="AJ365" i="1"/>
  <c r="AJ357" i="1"/>
  <c r="AJ349" i="1"/>
  <c r="AJ341" i="1"/>
  <c r="AJ333" i="1"/>
  <c r="AJ325" i="1"/>
  <c r="AJ317" i="1"/>
  <c r="AJ309" i="1"/>
  <c r="AJ1769" i="1"/>
  <c r="AJ1477" i="1"/>
  <c r="AI1351" i="1"/>
  <c r="AJ1310" i="1"/>
  <c r="AI1270" i="1"/>
  <c r="AI1223" i="1"/>
  <c r="AJ1190" i="1"/>
  <c r="AI1166" i="1"/>
  <c r="AJ1140" i="1"/>
  <c r="AJ1112" i="1"/>
  <c r="AI1087" i="1"/>
  <c r="AJ1062" i="1"/>
  <c r="AI1038" i="1"/>
  <c r="AJ1012" i="1"/>
  <c r="AJ984" i="1"/>
  <c r="AI966" i="1"/>
  <c r="AI943" i="1"/>
  <c r="AJ920" i="1"/>
  <c r="AI902" i="1"/>
  <c r="AI879" i="1"/>
  <c r="AJ856" i="1"/>
  <c r="AI838" i="1"/>
  <c r="AJ816" i="1"/>
  <c r="AJ800" i="1"/>
  <c r="AI789" i="1"/>
  <c r="AI781" i="1"/>
  <c r="AI773" i="1"/>
  <c r="AI765" i="1"/>
  <c r="AI757" i="1"/>
  <c r="AI749" i="1"/>
  <c r="AI741" i="1"/>
  <c r="AI733" i="1"/>
  <c r="AI725" i="1"/>
  <c r="AI717" i="1"/>
  <c r="AI709" i="1"/>
  <c r="AI701" i="1"/>
  <c r="AI693" i="1"/>
  <c r="AI685" i="1"/>
  <c r="AI677" i="1"/>
  <c r="AI669" i="1"/>
  <c r="AI661" i="1"/>
  <c r="AI653" i="1"/>
  <c r="AI645" i="1"/>
  <c r="AI637" i="1"/>
  <c r="AI629" i="1"/>
  <c r="AI621" i="1"/>
  <c r="AI613" i="1"/>
  <c r="AI605" i="1"/>
  <c r="AI597" i="1"/>
  <c r="AI589" i="1"/>
  <c r="AI581" i="1"/>
  <c r="AI573" i="1"/>
  <c r="AI565" i="1"/>
  <c r="AI557" i="1"/>
  <c r="AI549" i="1"/>
  <c r="AI541" i="1"/>
  <c r="AI533" i="1"/>
  <c r="AI525" i="1"/>
  <c r="AI517" i="1"/>
  <c r="AI509" i="1"/>
  <c r="AI501" i="1"/>
  <c r="AI493" i="1"/>
  <c r="AI485" i="1"/>
  <c r="AI477" i="1"/>
  <c r="AI469" i="1"/>
  <c r="AI461" i="1"/>
  <c r="AI453" i="1"/>
  <c r="AI445" i="1"/>
  <c r="AI437" i="1"/>
  <c r="AI429" i="1"/>
  <c r="AI421" i="1"/>
  <c r="AI413" i="1"/>
  <c r="AI405" i="1"/>
  <c r="AI397" i="1"/>
  <c r="AI389" i="1"/>
  <c r="AI381" i="1"/>
  <c r="AI373" i="1"/>
  <c r="AI365" i="1"/>
  <c r="AI357" i="1"/>
  <c r="AI349" i="1"/>
  <c r="AI341" i="1"/>
  <c r="AI333" i="1"/>
  <c r="AI325" i="1"/>
  <c r="AI317" i="1"/>
  <c r="AI309" i="1"/>
  <c r="AI1762" i="1"/>
  <c r="AJ1449" i="1"/>
  <c r="AJ1350" i="1"/>
  <c r="AI1310" i="1"/>
  <c r="AI1263" i="1"/>
  <c r="AJ1222" i="1"/>
  <c r="AI1190" i="1"/>
  <c r="AJ1164" i="1"/>
  <c r="AJ1136" i="1"/>
  <c r="AI1111" i="1"/>
  <c r="AJ1086" i="1"/>
  <c r="AI1062" i="1"/>
  <c r="AJ1036" i="1"/>
  <c r="AJ1008" i="1"/>
  <c r="AJ983" i="1"/>
  <c r="AJ964" i="1"/>
  <c r="AJ942" i="1"/>
  <c r="AJ919" i="1"/>
  <c r="AJ900" i="1"/>
  <c r="AJ878" i="1"/>
  <c r="AJ855" i="1"/>
  <c r="AJ836" i="1"/>
  <c r="AJ815" i="1"/>
  <c r="AJ799" i="1"/>
  <c r="AJ788" i="1"/>
  <c r="AJ780" i="1"/>
  <c r="AJ772" i="1"/>
  <c r="AJ764" i="1"/>
  <c r="AJ756" i="1"/>
  <c r="AJ748" i="1"/>
  <c r="AJ740" i="1"/>
  <c r="AJ732" i="1"/>
  <c r="AJ724" i="1"/>
  <c r="AJ716" i="1"/>
  <c r="AJ708" i="1"/>
  <c r="AJ700" i="1"/>
  <c r="AJ692" i="1"/>
  <c r="AJ684" i="1"/>
  <c r="AJ676" i="1"/>
  <c r="AJ668" i="1"/>
  <c r="AJ660" i="1"/>
  <c r="AJ652" i="1"/>
  <c r="AJ644" i="1"/>
  <c r="AJ636" i="1"/>
  <c r="AJ628" i="1"/>
  <c r="AJ620" i="1"/>
  <c r="AJ612" i="1"/>
  <c r="AJ604" i="1"/>
  <c r="AJ596" i="1"/>
  <c r="AJ588" i="1"/>
  <c r="AJ580" i="1"/>
  <c r="AJ572" i="1"/>
  <c r="AJ564" i="1"/>
  <c r="AJ556" i="1"/>
  <c r="AJ548" i="1"/>
  <c r="AJ540" i="1"/>
  <c r="AJ532" i="1"/>
  <c r="AJ524" i="1"/>
  <c r="AJ516" i="1"/>
  <c r="AJ508" i="1"/>
  <c r="AJ500" i="1"/>
  <c r="AJ492" i="1"/>
  <c r="AJ484" i="1"/>
  <c r="AJ476" i="1"/>
  <c r="AJ468" i="1"/>
  <c r="AJ460" i="1"/>
  <c r="AJ452" i="1"/>
  <c r="AJ444" i="1"/>
  <c r="AJ436" i="1"/>
  <c r="AJ428" i="1"/>
  <c r="AJ420" i="1"/>
  <c r="AJ412" i="1"/>
  <c r="AJ404" i="1"/>
  <c r="AJ396" i="1"/>
  <c r="AJ388" i="1"/>
  <c r="AJ380" i="1"/>
  <c r="AJ372" i="1"/>
  <c r="AJ364" i="1"/>
  <c r="AJ356" i="1"/>
  <c r="AJ348" i="1"/>
  <c r="AJ340" i="1"/>
  <c r="AJ332" i="1"/>
  <c r="AJ324" i="1"/>
  <c r="AJ316" i="1"/>
  <c r="AI1706" i="1"/>
  <c r="AJ1446" i="1"/>
  <c r="AI1350" i="1"/>
  <c r="AI1303" i="1"/>
  <c r="AJ1262" i="1"/>
  <c r="AI1222" i="1"/>
  <c r="AJ1188" i="1"/>
  <c r="AJ1160" i="1"/>
  <c r="AI1135" i="1"/>
  <c r="AJ1110" i="1"/>
  <c r="AI1086" i="1"/>
  <c r="AJ1060" i="1"/>
  <c r="AJ1032" i="1"/>
  <c r="AI1007" i="1"/>
  <c r="AI983" i="1"/>
  <c r="AJ960" i="1"/>
  <c r="AI942" i="1"/>
  <c r="AI919" i="1"/>
  <c r="AJ896" i="1"/>
  <c r="AI878" i="1"/>
  <c r="AI855" i="1"/>
  <c r="AJ832" i="1"/>
  <c r="AI815" i="1"/>
  <c r="AI799" i="1"/>
  <c r="AI788" i="1"/>
  <c r="AI780" i="1"/>
  <c r="AI772" i="1"/>
  <c r="AI764" i="1"/>
  <c r="AI756" i="1"/>
  <c r="AI748" i="1"/>
  <c r="AI740" i="1"/>
  <c r="AI732" i="1"/>
  <c r="AI724" i="1"/>
  <c r="AI716" i="1"/>
  <c r="AI708" i="1"/>
  <c r="AI2026" i="1"/>
  <c r="AJ1705" i="1"/>
  <c r="AJ1445" i="1"/>
  <c r="AI1343" i="1"/>
  <c r="AJ1302" i="1"/>
  <c r="AI1262" i="1"/>
  <c r="AI1215" i="1"/>
  <c r="AJ1184" i="1"/>
  <c r="AI1159" i="1"/>
  <c r="AJ1134" i="1"/>
  <c r="AI1110" i="1"/>
  <c r="AJ1084" i="1"/>
  <c r="AJ1056" i="1"/>
  <c r="AI1031" i="1"/>
  <c r="AJ1006" i="1"/>
  <c r="AJ982" i="1"/>
  <c r="AJ959" i="1"/>
  <c r="AJ940" i="1"/>
  <c r="AJ918" i="1"/>
  <c r="AJ895" i="1"/>
  <c r="AJ876" i="1"/>
  <c r="AJ854" i="1"/>
  <c r="AJ831" i="1"/>
  <c r="AJ814" i="1"/>
  <c r="AJ798" i="1"/>
  <c r="AJ787" i="1"/>
  <c r="AJ779" i="1"/>
  <c r="AJ771" i="1"/>
  <c r="AJ763" i="1"/>
  <c r="AJ755" i="1"/>
  <c r="AJ747" i="1"/>
  <c r="AJ739" i="1"/>
  <c r="AJ731" i="1"/>
  <c r="AJ723" i="1"/>
  <c r="AJ715" i="1"/>
  <c r="AJ707" i="1"/>
  <c r="AJ699" i="1"/>
  <c r="AJ691" i="1"/>
  <c r="AJ683" i="1"/>
  <c r="AJ675" i="1"/>
  <c r="AJ667" i="1"/>
  <c r="AJ659" i="1"/>
  <c r="AJ651" i="1"/>
  <c r="AJ643" i="1"/>
  <c r="AJ635" i="1"/>
  <c r="AJ627" i="1"/>
  <c r="AJ619" i="1"/>
  <c r="AJ611" i="1"/>
  <c r="AJ603" i="1"/>
  <c r="AJ595" i="1"/>
  <c r="AJ587" i="1"/>
  <c r="AJ579" i="1"/>
  <c r="AJ571" i="1"/>
  <c r="AJ563" i="1"/>
  <c r="AJ555" i="1"/>
  <c r="AJ547" i="1"/>
  <c r="AJ539" i="1"/>
  <c r="AJ531" i="1"/>
  <c r="AJ523" i="1"/>
  <c r="AJ515" i="1"/>
  <c r="AJ507" i="1"/>
  <c r="AJ499" i="1"/>
  <c r="AJ491" i="1"/>
  <c r="AJ483" i="1"/>
  <c r="AJ475" i="1"/>
  <c r="AJ467" i="1"/>
  <c r="AJ459" i="1"/>
  <c r="AJ451" i="1"/>
  <c r="AJ443" i="1"/>
  <c r="AJ435" i="1"/>
  <c r="AJ427" i="1"/>
  <c r="AJ419" i="1"/>
  <c r="AJ411" i="1"/>
  <c r="AJ403" i="1"/>
  <c r="AJ395" i="1"/>
  <c r="AJ387" i="1"/>
  <c r="AJ379" i="1"/>
  <c r="AJ371" i="1"/>
  <c r="AJ363" i="1"/>
  <c r="AJ355" i="1"/>
  <c r="AJ347" i="1"/>
  <c r="AJ339" i="1"/>
  <c r="AJ331" i="1"/>
  <c r="AJ323" i="1"/>
  <c r="AJ315" i="1"/>
  <c r="AJ307" i="1"/>
  <c r="AJ2025" i="1"/>
  <c r="AI1698" i="1"/>
  <c r="AJ1417" i="1"/>
  <c r="AJ1342" i="1"/>
  <c r="AI1302" i="1"/>
  <c r="AI1255" i="1"/>
  <c r="AJ1214" i="1"/>
  <c r="AI1183" i="1"/>
  <c r="AJ1158" i="1"/>
  <c r="AI1134" i="1"/>
  <c r="AJ1108" i="1"/>
  <c r="AJ1080" i="1"/>
  <c r="AI1055" i="1"/>
  <c r="AJ1030" i="1"/>
  <c r="AI1006" i="1"/>
  <c r="AI982" i="1"/>
  <c r="AI959" i="1"/>
  <c r="AJ936" i="1"/>
  <c r="AI918" i="1"/>
  <c r="AI895" i="1"/>
  <c r="AJ872" i="1"/>
  <c r="AI854" i="1"/>
  <c r="AI831" i="1"/>
  <c r="AI814" i="1"/>
  <c r="AI798" i="1"/>
  <c r="AI787" i="1"/>
  <c r="AI779" i="1"/>
  <c r="AI771" i="1"/>
  <c r="AI763" i="1"/>
  <c r="AI755" i="1"/>
  <c r="AI747" i="1"/>
  <c r="AI739" i="1"/>
  <c r="AI731" i="1"/>
  <c r="AI723" i="1"/>
  <c r="AI715" i="1"/>
  <c r="AI707" i="1"/>
  <c r="AI699" i="1"/>
  <c r="AI691" i="1"/>
  <c r="AI683" i="1"/>
  <c r="AI675" i="1"/>
  <c r="AI667" i="1"/>
  <c r="AI659" i="1"/>
  <c r="AI651" i="1"/>
  <c r="AI643" i="1"/>
  <c r="AI635" i="1"/>
  <c r="AI627" i="1"/>
  <c r="AI619" i="1"/>
  <c r="AI611" i="1"/>
  <c r="AI603" i="1"/>
  <c r="AI595" i="1"/>
  <c r="AI587" i="1"/>
  <c r="AI579" i="1"/>
  <c r="AI571" i="1"/>
  <c r="AI563" i="1"/>
  <c r="AI555" i="1"/>
  <c r="AI547" i="1"/>
  <c r="AI539" i="1"/>
  <c r="AI531" i="1"/>
  <c r="AI523" i="1"/>
  <c r="AI515" i="1"/>
  <c r="AI507" i="1"/>
  <c r="AI499" i="1"/>
  <c r="AI491" i="1"/>
  <c r="AI483" i="1"/>
  <c r="AI475" i="1"/>
  <c r="AI467" i="1"/>
  <c r="AI459" i="1"/>
  <c r="AI451" i="1"/>
  <c r="AI443" i="1"/>
  <c r="AI435" i="1"/>
  <c r="AI427" i="1"/>
  <c r="AI419" i="1"/>
  <c r="AI411" i="1"/>
  <c r="AI403" i="1"/>
  <c r="AI395" i="1"/>
  <c r="AI387" i="1"/>
  <c r="AI379" i="1"/>
  <c r="AI371" i="1"/>
  <c r="AI363" i="1"/>
  <c r="AI355" i="1"/>
  <c r="AI347" i="1"/>
  <c r="AI339" i="1"/>
  <c r="AI331" i="1"/>
  <c r="AI323" i="1"/>
  <c r="AI315" i="1"/>
  <c r="AI307" i="1"/>
  <c r="AI2018" i="1"/>
  <c r="AI1642" i="1"/>
  <c r="AJ1414" i="1"/>
  <c r="AI1342" i="1"/>
  <c r="AI1295" i="1"/>
  <c r="AJ1254" i="1"/>
  <c r="AI1214" i="1"/>
  <c r="AJ1182" i="1"/>
  <c r="AI1158" i="1"/>
  <c r="AJ1132" i="1"/>
  <c r="AJ1104" i="1"/>
  <c r="AI1079" i="1"/>
  <c r="AJ1054" i="1"/>
  <c r="AI1030" i="1"/>
  <c r="AJ1004" i="1"/>
  <c r="AJ980" i="1"/>
  <c r="AJ958" i="1"/>
  <c r="AJ935" i="1"/>
  <c r="AJ916" i="1"/>
  <c r="AJ894" i="1"/>
  <c r="AJ871" i="1"/>
  <c r="AJ852" i="1"/>
  <c r="AJ830" i="1"/>
  <c r="AJ812" i="1"/>
  <c r="AJ796" i="1"/>
  <c r="AJ786" i="1"/>
  <c r="AJ778" i="1"/>
  <c r="AJ770" i="1"/>
  <c r="AJ762" i="1"/>
  <c r="AJ754" i="1"/>
  <c r="AJ746" i="1"/>
  <c r="AJ738" i="1"/>
  <c r="AJ730" i="1"/>
  <c r="AJ722" i="1"/>
  <c r="AJ714" i="1"/>
  <c r="AJ706" i="1"/>
  <c r="AJ698" i="1"/>
  <c r="AJ690" i="1"/>
  <c r="AJ682" i="1"/>
  <c r="AJ674" i="1"/>
  <c r="AJ666" i="1"/>
  <c r="AJ658" i="1"/>
  <c r="AJ650" i="1"/>
  <c r="AJ642" i="1"/>
  <c r="AJ634" i="1"/>
  <c r="AJ626" i="1"/>
  <c r="AJ618" i="1"/>
  <c r="AJ610" i="1"/>
  <c r="AJ602" i="1"/>
  <c r="AJ594" i="1"/>
  <c r="AJ586" i="1"/>
  <c r="AJ578" i="1"/>
  <c r="AJ570" i="1"/>
  <c r="AJ562" i="1"/>
  <c r="AJ554" i="1"/>
  <c r="AJ546" i="1"/>
  <c r="AJ538" i="1"/>
  <c r="AJ530" i="1"/>
  <c r="AJ522" i="1"/>
  <c r="AJ514" i="1"/>
  <c r="AJ506" i="1"/>
  <c r="AJ498" i="1"/>
  <c r="AJ490" i="1"/>
  <c r="AJ482" i="1"/>
  <c r="AJ474" i="1"/>
  <c r="AJ466" i="1"/>
  <c r="AJ458" i="1"/>
  <c r="AJ450" i="1"/>
  <c r="AJ442" i="1"/>
  <c r="AJ434" i="1"/>
  <c r="AJ426" i="1"/>
  <c r="AJ418" i="1"/>
  <c r="AJ410" i="1"/>
  <c r="AJ402" i="1"/>
  <c r="AJ394" i="1"/>
  <c r="AJ386" i="1"/>
  <c r="AJ378" i="1"/>
  <c r="AJ370" i="1"/>
  <c r="AJ362" i="1"/>
  <c r="AJ354" i="1"/>
  <c r="AJ346" i="1"/>
  <c r="AJ338" i="1"/>
  <c r="AJ330" i="1"/>
  <c r="AJ322" i="1"/>
  <c r="AJ314" i="1"/>
  <c r="AI1962" i="1"/>
  <c r="AJ1641" i="1"/>
  <c r="AJ1413" i="1"/>
  <c r="AI1335" i="1"/>
  <c r="AJ1294" i="1"/>
  <c r="AI1254" i="1"/>
  <c r="AI1207" i="1"/>
  <c r="AI1182" i="1"/>
  <c r="AJ1156" i="1"/>
  <c r="AJ1128" i="1"/>
  <c r="AI1103" i="1"/>
  <c r="AJ1078" i="1"/>
  <c r="AI1054" i="1"/>
  <c r="AJ1028" i="1"/>
  <c r="AJ1000" i="1"/>
  <c r="AJ976" i="1"/>
  <c r="AI958" i="1"/>
  <c r="AI935" i="1"/>
  <c r="AJ912" i="1"/>
  <c r="AI894" i="1"/>
  <c r="AI871" i="1"/>
  <c r="AJ848" i="1"/>
  <c r="AI830" i="1"/>
  <c r="AJ810" i="1"/>
  <c r="AJ794" i="1"/>
  <c r="AI786" i="1"/>
  <c r="AI778" i="1"/>
  <c r="AI770" i="1"/>
  <c r="AI762" i="1"/>
  <c r="AI754" i="1"/>
  <c r="AI746" i="1"/>
  <c r="AI738" i="1"/>
  <c r="AI730" i="1"/>
  <c r="AI722" i="1"/>
  <c r="AI714" i="1"/>
  <c r="AI706" i="1"/>
  <c r="AI698" i="1"/>
  <c r="AI690" i="1"/>
  <c r="AI682" i="1"/>
  <c r="AI674" i="1"/>
  <c r="AI666" i="1"/>
  <c r="AI658" i="1"/>
  <c r="AI650" i="1"/>
  <c r="AI642" i="1"/>
  <c r="AI634" i="1"/>
  <c r="AI626" i="1"/>
  <c r="AI618" i="1"/>
  <c r="AI610" i="1"/>
  <c r="AI602" i="1"/>
  <c r="AI594" i="1"/>
  <c r="AI586" i="1"/>
  <c r="AI578" i="1"/>
  <c r="AI570" i="1"/>
  <c r="AI562" i="1"/>
  <c r="AI554" i="1"/>
  <c r="AI546" i="1"/>
  <c r="AI538" i="1"/>
  <c r="AI530" i="1"/>
  <c r="AI522" i="1"/>
  <c r="AI514" i="1"/>
  <c r="AI506" i="1"/>
  <c r="AI498" i="1"/>
  <c r="AI490" i="1"/>
  <c r="AI482" i="1"/>
  <c r="AI474" i="1"/>
  <c r="AI466" i="1"/>
  <c r="AI458" i="1"/>
  <c r="AI450" i="1"/>
  <c r="AI442" i="1"/>
  <c r="AI434" i="1"/>
  <c r="AI426" i="1"/>
  <c r="AI418" i="1"/>
  <c r="AI410" i="1"/>
  <c r="AI402" i="1"/>
  <c r="AI394" i="1"/>
  <c r="AI386" i="1"/>
  <c r="AI378" i="1"/>
  <c r="AI370" i="1"/>
  <c r="AI362" i="1"/>
  <c r="AI354" i="1"/>
  <c r="AI346" i="1"/>
  <c r="AI338" i="1"/>
  <c r="AI330" i="1"/>
  <c r="AI322" i="1"/>
  <c r="AI314" i="1"/>
  <c r="AJ1389" i="1"/>
  <c r="AI1175" i="1"/>
  <c r="AJ1024" i="1"/>
  <c r="AI911" i="1"/>
  <c r="AJ807" i="1"/>
  <c r="AJ753" i="1"/>
  <c r="AI713" i="1"/>
  <c r="AI684" i="1"/>
  <c r="AJ657" i="1"/>
  <c r="AI633" i="1"/>
  <c r="AJ608" i="1"/>
  <c r="AI583" i="1"/>
  <c r="AI556" i="1"/>
  <c r="AJ529" i="1"/>
  <c r="AI505" i="1"/>
  <c r="AJ480" i="1"/>
  <c r="AI455" i="1"/>
  <c r="AI428" i="1"/>
  <c r="AJ401" i="1"/>
  <c r="AI377" i="1"/>
  <c r="AJ352" i="1"/>
  <c r="AI327" i="1"/>
  <c r="AI305" i="1"/>
  <c r="AI297" i="1"/>
  <c r="AI289" i="1"/>
  <c r="AI281" i="1"/>
  <c r="AI273" i="1"/>
  <c r="AI265" i="1"/>
  <c r="AI257" i="1"/>
  <c r="AI249" i="1"/>
  <c r="AI241" i="1"/>
  <c r="AI233" i="1"/>
  <c r="AI225" i="1"/>
  <c r="AI217" i="1"/>
  <c r="AI209" i="1"/>
  <c r="AI201" i="1"/>
  <c r="AI193" i="1"/>
  <c r="AI185" i="1"/>
  <c r="AI177" i="1"/>
  <c r="AI169" i="1"/>
  <c r="AI161" i="1"/>
  <c r="AI153" i="1"/>
  <c r="AI145" i="1"/>
  <c r="AI137" i="1"/>
  <c r="AI129" i="1"/>
  <c r="AI121" i="1"/>
  <c r="AI113" i="1"/>
  <c r="AI105" i="1"/>
  <c r="AI97" i="1"/>
  <c r="AI89" i="1"/>
  <c r="AI81" i="1"/>
  <c r="AI73" i="1"/>
  <c r="AI65" i="1"/>
  <c r="AI57" i="1"/>
  <c r="AI49" i="1"/>
  <c r="AI41" i="1"/>
  <c r="AI33" i="1"/>
  <c r="AI25" i="1"/>
  <c r="AH32" i="1"/>
  <c r="AH40" i="1"/>
  <c r="AH48" i="1"/>
  <c r="AI1386" i="1"/>
  <c r="AJ1152" i="1"/>
  <c r="AI1334" i="1"/>
  <c r="AJ1150" i="1"/>
  <c r="AI999" i="1"/>
  <c r="AJ888" i="1"/>
  <c r="AJ792" i="1"/>
  <c r="AJ745" i="1"/>
  <c r="AI705" i="1"/>
  <c r="AJ680" i="1"/>
  <c r="AI655" i="1"/>
  <c r="AI628" i="1"/>
  <c r="AJ601" i="1"/>
  <c r="AI577" i="1"/>
  <c r="AJ552" i="1"/>
  <c r="AI527" i="1"/>
  <c r="AI500" i="1"/>
  <c r="AJ473" i="1"/>
  <c r="AI449" i="1"/>
  <c r="AJ424" i="1"/>
  <c r="AI399" i="1"/>
  <c r="AI372" i="1"/>
  <c r="AJ345" i="1"/>
  <c r="AI321" i="1"/>
  <c r="AJ303" i="1"/>
  <c r="AJ295" i="1"/>
  <c r="AJ287" i="1"/>
  <c r="AJ279" i="1"/>
  <c r="AJ271" i="1"/>
  <c r="AJ263" i="1"/>
  <c r="AJ255" i="1"/>
  <c r="AJ247" i="1"/>
  <c r="AJ239" i="1"/>
  <c r="AJ231" i="1"/>
  <c r="AJ223" i="1"/>
  <c r="AJ215" i="1"/>
  <c r="AJ207" i="1"/>
  <c r="AJ199" i="1"/>
  <c r="AJ191" i="1"/>
  <c r="AJ183" i="1"/>
  <c r="AJ175" i="1"/>
  <c r="AJ167" i="1"/>
  <c r="AJ159" i="1"/>
  <c r="AJ151" i="1"/>
  <c r="AJ143" i="1"/>
  <c r="AJ135" i="1"/>
  <c r="AJ127" i="1"/>
  <c r="AJ119" i="1"/>
  <c r="AJ111" i="1"/>
  <c r="AJ103" i="1"/>
  <c r="AJ95" i="1"/>
  <c r="AJ87" i="1"/>
  <c r="AJ79" i="1"/>
  <c r="AJ71" i="1"/>
  <c r="AJ63" i="1"/>
  <c r="AJ55" i="1"/>
  <c r="AJ47" i="1"/>
  <c r="AJ39" i="1"/>
  <c r="AJ31" i="1"/>
  <c r="AJ23" i="1"/>
  <c r="AG34" i="1"/>
  <c r="AG42" i="1"/>
  <c r="AI1327" i="1"/>
  <c r="AI1127" i="1"/>
  <c r="AJ998" i="1"/>
  <c r="AJ887" i="1"/>
  <c r="AJ785" i="1"/>
  <c r="AI745" i="1"/>
  <c r="AJ704" i="1"/>
  <c r="AI679" i="1"/>
  <c r="AI652" i="1"/>
  <c r="AJ625" i="1"/>
  <c r="AI601" i="1"/>
  <c r="AJ576" i="1"/>
  <c r="AI551" i="1"/>
  <c r="AI524" i="1"/>
  <c r="AJ497" i="1"/>
  <c r="AI473" i="1"/>
  <c r="AJ448" i="1"/>
  <c r="AI423" i="1"/>
  <c r="AI396" i="1"/>
  <c r="AJ369" i="1"/>
  <c r="AI345" i="1"/>
  <c r="AJ320" i="1"/>
  <c r="AI303" i="1"/>
  <c r="AI295" i="1"/>
  <c r="AI287" i="1"/>
  <c r="AI279" i="1"/>
  <c r="AI271" i="1"/>
  <c r="AI263" i="1"/>
  <c r="AI255" i="1"/>
  <c r="AI247" i="1"/>
  <c r="AI239" i="1"/>
  <c r="AI231" i="1"/>
  <c r="AI223" i="1"/>
  <c r="AI215" i="1"/>
  <c r="AI207" i="1"/>
  <c r="AI199" i="1"/>
  <c r="AI191" i="1"/>
  <c r="AI183" i="1"/>
  <c r="AI175" i="1"/>
  <c r="AI167" i="1"/>
  <c r="AI159" i="1"/>
  <c r="AI151" i="1"/>
  <c r="AI143" i="1"/>
  <c r="AI135" i="1"/>
  <c r="AI127" i="1"/>
  <c r="AI119" i="1"/>
  <c r="AI111" i="1"/>
  <c r="AI103" i="1"/>
  <c r="AI95" i="1"/>
  <c r="AI87" i="1"/>
  <c r="AI79" i="1"/>
  <c r="AI71" i="1"/>
  <c r="AI63" i="1"/>
  <c r="AI55" i="1"/>
  <c r="AI47" i="1"/>
  <c r="AI39" i="1"/>
  <c r="AI31" i="1"/>
  <c r="AI23" i="1"/>
  <c r="AH34" i="1"/>
  <c r="AH42" i="1"/>
  <c r="AI1294" i="1"/>
  <c r="AJ1126" i="1"/>
  <c r="AI998" i="1"/>
  <c r="AJ870" i="1"/>
  <c r="AI785" i="1"/>
  <c r="AJ744" i="1"/>
  <c r="AI703" i="1"/>
  <c r="AI676" i="1"/>
  <c r="AJ649" i="1"/>
  <c r="AI625" i="1"/>
  <c r="AJ600" i="1"/>
  <c r="AI575" i="1"/>
  <c r="AI548" i="1"/>
  <c r="AJ521" i="1"/>
  <c r="AI497" i="1"/>
  <c r="AJ472" i="1"/>
  <c r="AI447" i="1"/>
  <c r="AI420" i="1"/>
  <c r="AJ393" i="1"/>
  <c r="AI369" i="1"/>
  <c r="AJ344" i="1"/>
  <c r="AI319" i="1"/>
  <c r="AJ302" i="1"/>
  <c r="AJ294" i="1"/>
  <c r="AJ286" i="1"/>
  <c r="AJ278" i="1"/>
  <c r="AJ270" i="1"/>
  <c r="AJ262" i="1"/>
  <c r="AJ254" i="1"/>
  <c r="AJ246" i="1"/>
  <c r="AJ238" i="1"/>
  <c r="AJ230" i="1"/>
  <c r="AJ222" i="1"/>
  <c r="AJ214" i="1"/>
  <c r="AJ206" i="1"/>
  <c r="AJ198" i="1"/>
  <c r="AJ190" i="1"/>
  <c r="AJ182" i="1"/>
  <c r="AJ174" i="1"/>
  <c r="AJ166" i="1"/>
  <c r="AJ158" i="1"/>
  <c r="AJ150" i="1"/>
  <c r="AJ142" i="1"/>
  <c r="AJ134" i="1"/>
  <c r="AJ126" i="1"/>
  <c r="AJ118" i="1"/>
  <c r="AJ110" i="1"/>
  <c r="AJ102" i="1"/>
  <c r="AJ94" i="1"/>
  <c r="AJ86" i="1"/>
  <c r="AJ78" i="1"/>
  <c r="AJ70" i="1"/>
  <c r="AJ62" i="1"/>
  <c r="AJ54" i="1"/>
  <c r="AJ46" i="1"/>
  <c r="AJ38" i="1"/>
  <c r="AJ30" i="1"/>
  <c r="AG27" i="1"/>
  <c r="AG35" i="1"/>
  <c r="AG43" i="1"/>
  <c r="AI1287" i="1"/>
  <c r="AI1126" i="1"/>
  <c r="AJ975" i="1"/>
  <c r="AI870" i="1"/>
  <c r="AJ784" i="1"/>
  <c r="AJ737" i="1"/>
  <c r="AI700" i="1"/>
  <c r="AJ673" i="1"/>
  <c r="AI649" i="1"/>
  <c r="AJ624" i="1"/>
  <c r="AI599" i="1"/>
  <c r="AI572" i="1"/>
  <c r="AJ545" i="1"/>
  <c r="AI521" i="1"/>
  <c r="AJ496" i="1"/>
  <c r="AI471" i="1"/>
  <c r="AI444" i="1"/>
  <c r="AJ417" i="1"/>
  <c r="AI393" i="1"/>
  <c r="AJ368" i="1"/>
  <c r="AI343" i="1"/>
  <c r="AI316" i="1"/>
  <c r="AI302" i="1"/>
  <c r="AI294" i="1"/>
  <c r="AI286" i="1"/>
  <c r="AI278" i="1"/>
  <c r="AI270" i="1"/>
  <c r="AI262" i="1"/>
  <c r="AI254" i="1"/>
  <c r="AI246" i="1"/>
  <c r="AI238" i="1"/>
  <c r="AI230" i="1"/>
  <c r="AI222" i="1"/>
  <c r="AI214" i="1"/>
  <c r="AI206" i="1"/>
  <c r="AI198" i="1"/>
  <c r="AI190" i="1"/>
  <c r="AI182" i="1"/>
  <c r="AI174" i="1"/>
  <c r="AI166" i="1"/>
  <c r="AI158" i="1"/>
  <c r="AI150" i="1"/>
  <c r="AI142" i="1"/>
  <c r="AI134" i="1"/>
  <c r="AI126" i="1"/>
  <c r="AI118" i="1"/>
  <c r="AI110" i="1"/>
  <c r="AI102" i="1"/>
  <c r="AI94" i="1"/>
  <c r="AI86" i="1"/>
  <c r="AI78" i="1"/>
  <c r="AI70" i="1"/>
  <c r="AI62" i="1"/>
  <c r="AI54" i="1"/>
  <c r="AI46" i="1"/>
  <c r="AI38" i="1"/>
  <c r="AI30" i="1"/>
  <c r="AH27" i="1"/>
  <c r="AH35" i="1"/>
  <c r="AH43" i="1"/>
  <c r="AJ1286" i="1"/>
  <c r="AJ1102" i="1"/>
  <c r="AI975" i="1"/>
  <c r="AJ868" i="1"/>
  <c r="AJ777" i="1"/>
  <c r="AI737" i="1"/>
  <c r="AJ697" i="1"/>
  <c r="AI673" i="1"/>
  <c r="AJ648" i="1"/>
  <c r="AI623" i="1"/>
  <c r="AI596" i="1"/>
  <c r="AJ569" i="1"/>
  <c r="AI545" i="1"/>
  <c r="AI1247" i="1"/>
  <c r="AI1102" i="1"/>
  <c r="AJ974" i="1"/>
  <c r="AJ847" i="1"/>
  <c r="AI777" i="1"/>
  <c r="AJ736" i="1"/>
  <c r="AI697" i="1"/>
  <c r="AJ672" i="1"/>
  <c r="AI647" i="1"/>
  <c r="AI620" i="1"/>
  <c r="AJ593" i="1"/>
  <c r="AI569" i="1"/>
  <c r="AJ544" i="1"/>
  <c r="AI519" i="1"/>
  <c r="AI492" i="1"/>
  <c r="AJ465" i="1"/>
  <c r="AI441" i="1"/>
  <c r="AJ416" i="1"/>
  <c r="AI391" i="1"/>
  <c r="AJ1961" i="1"/>
  <c r="AJ1246" i="1"/>
  <c r="AI1898" i="1"/>
  <c r="AJ1206" i="1"/>
  <c r="AJ1076" i="1"/>
  <c r="AJ951" i="1"/>
  <c r="AJ828" i="1"/>
  <c r="AI769" i="1"/>
  <c r="AJ728" i="1"/>
  <c r="AI692" i="1"/>
  <c r="AJ665" i="1"/>
  <c r="AI641" i="1"/>
  <c r="AJ616" i="1"/>
  <c r="AI591" i="1"/>
  <c r="AI564" i="1"/>
  <c r="AJ537" i="1"/>
  <c r="AI513" i="1"/>
  <c r="AJ488" i="1"/>
  <c r="AI463" i="1"/>
  <c r="AI436" i="1"/>
  <c r="AJ409" i="1"/>
  <c r="AI385" i="1"/>
  <c r="AJ360" i="1"/>
  <c r="AI335" i="1"/>
  <c r="AJ308" i="1"/>
  <c r="AJ299" i="1"/>
  <c r="AJ291" i="1"/>
  <c r="AJ283" i="1"/>
  <c r="AJ275" i="1"/>
  <c r="AJ267" i="1"/>
  <c r="AJ259" i="1"/>
  <c r="AJ251" i="1"/>
  <c r="AJ243" i="1"/>
  <c r="AJ235" i="1"/>
  <c r="AJ227" i="1"/>
  <c r="AJ219" i="1"/>
  <c r="AJ211" i="1"/>
  <c r="AJ203" i="1"/>
  <c r="AJ195" i="1"/>
  <c r="AJ187" i="1"/>
  <c r="AJ179" i="1"/>
  <c r="AJ171" i="1"/>
  <c r="AJ163" i="1"/>
  <c r="AJ155" i="1"/>
  <c r="AJ147" i="1"/>
  <c r="AJ139" i="1"/>
  <c r="AJ131" i="1"/>
  <c r="AJ123" i="1"/>
  <c r="AJ115" i="1"/>
  <c r="AJ107" i="1"/>
  <c r="AJ99" i="1"/>
  <c r="AJ91" i="1"/>
  <c r="AJ83" i="1"/>
  <c r="AJ75" i="1"/>
  <c r="AJ67" i="1"/>
  <c r="AJ59" i="1"/>
  <c r="AJ51" i="1"/>
  <c r="AJ43" i="1"/>
  <c r="AJ35" i="1"/>
  <c r="AJ27" i="1"/>
  <c r="AG30" i="1"/>
  <c r="AG38" i="1"/>
  <c r="AG46" i="1"/>
  <c r="AI1634" i="1"/>
  <c r="AI1206" i="1"/>
  <c r="AJ1072" i="1"/>
  <c r="AJ934" i="1"/>
  <c r="AJ824" i="1"/>
  <c r="AJ768" i="1"/>
  <c r="AJ721" i="1"/>
  <c r="AJ689" i="1"/>
  <c r="AI665" i="1"/>
  <c r="AJ640" i="1"/>
  <c r="AI615" i="1"/>
  <c r="AI588" i="1"/>
  <c r="AJ561" i="1"/>
  <c r="AI537" i="1"/>
  <c r="AJ512" i="1"/>
  <c r="AI487" i="1"/>
  <c r="AI460" i="1"/>
  <c r="AJ433" i="1"/>
  <c r="AI409" i="1"/>
  <c r="AJ384" i="1"/>
  <c r="AI359" i="1"/>
  <c r="AI332" i="1"/>
  <c r="AI308" i="1"/>
  <c r="AI299" i="1"/>
  <c r="AI291" i="1"/>
  <c r="AI283" i="1"/>
  <c r="AI275" i="1"/>
  <c r="AI267" i="1"/>
  <c r="AI259" i="1"/>
  <c r="AI251" i="1"/>
  <c r="AI243" i="1"/>
  <c r="AI235" i="1"/>
  <c r="AI227" i="1"/>
  <c r="AI219" i="1"/>
  <c r="AI211" i="1"/>
  <c r="AI203" i="1"/>
  <c r="AI195" i="1"/>
  <c r="AI187" i="1"/>
  <c r="AI179" i="1"/>
  <c r="AI171" i="1"/>
  <c r="AI163" i="1"/>
  <c r="AI155" i="1"/>
  <c r="AI147" i="1"/>
  <c r="AI139" i="1"/>
  <c r="AI131" i="1"/>
  <c r="AI123" i="1"/>
  <c r="AI115" i="1"/>
  <c r="AI107" i="1"/>
  <c r="AI99" i="1"/>
  <c r="AI91" i="1"/>
  <c r="AI83" i="1"/>
  <c r="AI75" i="1"/>
  <c r="AI67" i="1"/>
  <c r="AI59" i="1"/>
  <c r="AI51" i="1"/>
  <c r="AI43" i="1"/>
  <c r="AI35" i="1"/>
  <c r="AI27" i="1"/>
  <c r="AH30" i="1"/>
  <c r="AH38" i="1"/>
  <c r="AH46" i="1"/>
  <c r="AI1578" i="1"/>
  <c r="AJ1200" i="1"/>
  <c r="AJ1052" i="1"/>
  <c r="AI934" i="1"/>
  <c r="AJ823" i="1"/>
  <c r="AJ761" i="1"/>
  <c r="AI721" i="1"/>
  <c r="AI689" i="1"/>
  <c r="AJ664" i="1"/>
  <c r="AI639" i="1"/>
  <c r="AI612" i="1"/>
  <c r="AJ585" i="1"/>
  <c r="AI561" i="1"/>
  <c r="AJ536" i="1"/>
  <c r="AI511" i="1"/>
  <c r="AI484" i="1"/>
  <c r="AJ457" i="1"/>
  <c r="AI433" i="1"/>
  <c r="AJ408" i="1"/>
  <c r="AI383" i="1"/>
  <c r="AI356" i="1"/>
  <c r="AJ329" i="1"/>
  <c r="AJ306" i="1"/>
  <c r="AJ298" i="1"/>
  <c r="AJ290" i="1"/>
  <c r="AJ282" i="1"/>
  <c r="AJ274" i="1"/>
  <c r="AJ266" i="1"/>
  <c r="AJ258" i="1"/>
  <c r="AJ250" i="1"/>
  <c r="AJ242" i="1"/>
  <c r="AJ234" i="1"/>
  <c r="AJ226" i="1"/>
  <c r="AJ218" i="1"/>
  <c r="AJ210" i="1"/>
  <c r="AJ202" i="1"/>
  <c r="AJ194" i="1"/>
  <c r="AJ186" i="1"/>
  <c r="AJ178" i="1"/>
  <c r="AJ170" i="1"/>
  <c r="AJ162" i="1"/>
  <c r="AJ154" i="1"/>
  <c r="AJ146" i="1"/>
  <c r="AJ138" i="1"/>
  <c r="AJ130" i="1"/>
  <c r="AJ122" i="1"/>
  <c r="AJ114" i="1"/>
  <c r="AJ106" i="1"/>
  <c r="AJ98" i="1"/>
  <c r="AI1151" i="1"/>
  <c r="AJ808" i="1"/>
  <c r="AI695" i="1"/>
  <c r="AI631" i="1"/>
  <c r="AI559" i="1"/>
  <c r="AI495" i="1"/>
  <c r="AI439" i="1"/>
  <c r="AJ377" i="1"/>
  <c r="AJ328" i="1"/>
  <c r="AJ297" i="1"/>
  <c r="AJ281" i="1"/>
  <c r="AJ265" i="1"/>
  <c r="AJ249" i="1"/>
  <c r="AJ233" i="1"/>
  <c r="AJ217" i="1"/>
  <c r="AJ201" i="1"/>
  <c r="AJ185" i="1"/>
  <c r="AJ169" i="1"/>
  <c r="AJ153" i="1"/>
  <c r="AJ137" i="1"/>
  <c r="AJ121" i="1"/>
  <c r="AJ105" i="1"/>
  <c r="AI90" i="1"/>
  <c r="AI76" i="1"/>
  <c r="AI61" i="1"/>
  <c r="AI48" i="1"/>
  <c r="AJ33" i="1"/>
  <c r="AH52" i="1"/>
  <c r="AH60" i="1"/>
  <c r="AH68" i="1"/>
  <c r="AH76" i="1"/>
  <c r="AH84" i="1"/>
  <c r="AJ1048" i="1"/>
  <c r="AJ776" i="1"/>
  <c r="AJ681" i="1"/>
  <c r="AJ609" i="1"/>
  <c r="AI543" i="1"/>
  <c r="AJ481" i="1"/>
  <c r="AJ425" i="1"/>
  <c r="AI367" i="1"/>
  <c r="AJ313" i="1"/>
  <c r="AJ293" i="1"/>
  <c r="AJ277" i="1"/>
  <c r="AJ261" i="1"/>
  <c r="AJ245" i="1"/>
  <c r="AJ229" i="1"/>
  <c r="AJ213" i="1"/>
  <c r="AJ197" i="1"/>
  <c r="AJ181" i="1"/>
  <c r="AJ165" i="1"/>
  <c r="AJ149" i="1"/>
  <c r="AJ133" i="1"/>
  <c r="AJ117" i="1"/>
  <c r="AJ101" i="1"/>
  <c r="AI88" i="1"/>
  <c r="AJ73" i="1"/>
  <c r="AJ58" i="1"/>
  <c r="AJ44" i="1"/>
  <c r="AJ29" i="1"/>
  <c r="AH29" i="1"/>
  <c r="AG37" i="1"/>
  <c r="AG48" i="1"/>
  <c r="AG54" i="1"/>
  <c r="AG62" i="1"/>
  <c r="AG70" i="1"/>
  <c r="AG78" i="1"/>
  <c r="AI1047" i="1"/>
  <c r="AJ769" i="1"/>
  <c r="AI681" i="1"/>
  <c r="AI609" i="1"/>
  <c r="AI540" i="1"/>
  <c r="AI481" i="1"/>
  <c r="AI425" i="1"/>
  <c r="AI364" i="1"/>
  <c r="AI313" i="1"/>
  <c r="AI293" i="1"/>
  <c r="AI277" i="1"/>
  <c r="AI261" i="1"/>
  <c r="AI245" i="1"/>
  <c r="AI229" i="1"/>
  <c r="AI213" i="1"/>
  <c r="AI197" i="1"/>
  <c r="AI181" i="1"/>
  <c r="AI165" i="1"/>
  <c r="AI149" i="1"/>
  <c r="AI133" i="1"/>
  <c r="AI117" i="1"/>
  <c r="AI101" i="1"/>
  <c r="AJ85" i="1"/>
  <c r="AJ72" i="1"/>
  <c r="AI58" i="1"/>
  <c r="AI44" i="1"/>
  <c r="AI29" i="1"/>
  <c r="AH37" i="1"/>
  <c r="AG45" i="1"/>
  <c r="AH54" i="1"/>
  <c r="AH62" i="1"/>
  <c r="AH70" i="1"/>
  <c r="AH78" i="1"/>
  <c r="AI1023" i="1"/>
  <c r="AI761" i="1"/>
  <c r="AI671" i="1"/>
  <c r="AI607" i="1"/>
  <c r="AI535" i="1"/>
  <c r="AI479" i="1"/>
  <c r="AI417" i="1"/>
  <c r="AJ361" i="1"/>
  <c r="AJ312" i="1"/>
  <c r="AJ292" i="1"/>
  <c r="AJ276" i="1"/>
  <c r="AJ260" i="1"/>
  <c r="AJ244" i="1"/>
  <c r="AJ228" i="1"/>
  <c r="AJ212" i="1"/>
  <c r="AJ196" i="1"/>
  <c r="AJ180" i="1"/>
  <c r="AJ164" i="1"/>
  <c r="AJ148" i="1"/>
  <c r="AJ132" i="1"/>
  <c r="AJ116" i="1"/>
  <c r="AJ100" i="1"/>
  <c r="AI85" i="1"/>
  <c r="AI72" i="1"/>
  <c r="AJ57" i="1"/>
  <c r="AJ42" i="1"/>
  <c r="AJ28" i="1"/>
  <c r="AH45" i="1"/>
  <c r="AG55" i="1"/>
  <c r="AG63" i="1"/>
  <c r="AG71" i="1"/>
  <c r="AG79" i="1"/>
  <c r="AG87" i="1"/>
  <c r="AJ1022" i="1"/>
  <c r="AJ760" i="1"/>
  <c r="AI668" i="1"/>
  <c r="AI604" i="1"/>
  <c r="AI532" i="1"/>
  <c r="AI476" i="1"/>
  <c r="AI415" i="1"/>
  <c r="AI361" i="1"/>
  <c r="AI311" i="1"/>
  <c r="AI292" i="1"/>
  <c r="AI276" i="1"/>
  <c r="AI260" i="1"/>
  <c r="AI244" i="1"/>
  <c r="AI228" i="1"/>
  <c r="AI212" i="1"/>
  <c r="AI196" i="1"/>
  <c r="AI180" i="1"/>
  <c r="AI164" i="1"/>
  <c r="AI148" i="1"/>
  <c r="AI132" i="1"/>
  <c r="AI116" i="1"/>
  <c r="AI100" i="1"/>
  <c r="AJ84" i="1"/>
  <c r="AJ69" i="1"/>
  <c r="AJ56" i="1"/>
  <c r="AI42" i="1"/>
  <c r="AI28" i="1"/>
  <c r="AG31" i="1"/>
  <c r="AH55" i="1"/>
  <c r="AH63" i="1"/>
  <c r="AH71" i="1"/>
  <c r="AH79" i="1"/>
  <c r="AH87" i="1"/>
  <c r="AJ956" i="1"/>
  <c r="AI753" i="1"/>
  <c r="AI663" i="1"/>
  <c r="AI593" i="1"/>
  <c r="AI529" i="1"/>
  <c r="AI468" i="1"/>
  <c r="AI412" i="1"/>
  <c r="AJ353" i="1"/>
  <c r="AI306" i="1"/>
  <c r="AI290" i="1"/>
  <c r="AI274" i="1"/>
  <c r="AI258" i="1"/>
  <c r="AI242" i="1"/>
  <c r="AI226" i="1"/>
  <c r="AI210" i="1"/>
  <c r="AI194" i="1"/>
  <c r="AI178" i="1"/>
  <c r="AI162" i="1"/>
  <c r="AI146" i="1"/>
  <c r="AI130" i="1"/>
  <c r="AI114" i="1"/>
  <c r="AI98" i="1"/>
  <c r="AI84" i="1"/>
  <c r="AI69" i="1"/>
  <c r="AI56" i="1"/>
  <c r="AJ41" i="1"/>
  <c r="AJ26" i="1"/>
  <c r="AG28" i="1"/>
  <c r="AH31" i="1"/>
  <c r="AG39" i="1"/>
  <c r="AG56" i="1"/>
  <c r="AG64" i="1"/>
  <c r="AG72" i="1"/>
  <c r="AG80" i="1"/>
  <c r="AJ952" i="1"/>
  <c r="AJ752" i="1"/>
  <c r="AI660" i="1"/>
  <c r="AJ592" i="1"/>
  <c r="AJ528" i="1"/>
  <c r="AI465" i="1"/>
  <c r="AI407" i="1"/>
  <c r="AI353" i="1"/>
  <c r="AJ305" i="1"/>
  <c r="AJ289" i="1"/>
  <c r="AJ273" i="1"/>
  <c r="AJ257" i="1"/>
  <c r="AJ241" i="1"/>
  <c r="AJ225" i="1"/>
  <c r="AJ209" i="1"/>
  <c r="AJ193" i="1"/>
  <c r="AJ177" i="1"/>
  <c r="AJ161" i="1"/>
  <c r="AJ145" i="1"/>
  <c r="AJ129" i="1"/>
  <c r="AJ113" i="1"/>
  <c r="AJ97" i="1"/>
  <c r="AJ82" i="1"/>
  <c r="AJ68" i="1"/>
  <c r="AJ53" i="1"/>
  <c r="AJ40" i="1"/>
  <c r="AI26" i="1"/>
  <c r="AH28" i="1"/>
  <c r="AG36" i="1"/>
  <c r="AH39" i="1"/>
  <c r="AG47" i="1"/>
  <c r="AH56" i="1"/>
  <c r="AH64" i="1"/>
  <c r="AH72" i="1"/>
  <c r="AH80" i="1"/>
  <c r="AI1954" i="1"/>
  <c r="AJ932" i="1"/>
  <c r="AJ729" i="1"/>
  <c r="AI657" i="1"/>
  <c r="AI585" i="1"/>
  <c r="AJ520" i="1"/>
  <c r="AJ464" i="1"/>
  <c r="AI404" i="1"/>
  <c r="AI351" i="1"/>
  <c r="AJ304" i="1"/>
  <c r="AJ288" i="1"/>
  <c r="AJ272" i="1"/>
  <c r="AJ256" i="1"/>
  <c r="AJ240" i="1"/>
  <c r="AJ224" i="1"/>
  <c r="AJ208" i="1"/>
  <c r="AJ192" i="1"/>
  <c r="AJ176" i="1"/>
  <c r="AJ160" i="1"/>
  <c r="AJ144" i="1"/>
  <c r="AJ128" i="1"/>
  <c r="AJ112" i="1"/>
  <c r="AJ96" i="1"/>
  <c r="AI82" i="1"/>
  <c r="AI68" i="1"/>
  <c r="AI53" i="1"/>
  <c r="AI40" i="1"/>
  <c r="AJ25" i="1"/>
  <c r="AH36" i="1"/>
  <c r="AG44" i="1"/>
  <c r="AH47" i="1"/>
  <c r="AG57" i="1"/>
  <c r="AG65" i="1"/>
  <c r="AG73" i="1"/>
  <c r="AG81" i="1"/>
  <c r="AJ1334" i="1"/>
  <c r="AJ892" i="1"/>
  <c r="AJ713" i="1"/>
  <c r="AJ641" i="1"/>
  <c r="AJ577" i="1"/>
  <c r="AI508" i="1"/>
  <c r="AI452" i="1"/>
  <c r="AJ392" i="1"/>
  <c r="AJ337" i="1"/>
  <c r="AI301" i="1"/>
  <c r="AI285" i="1"/>
  <c r="AI269" i="1"/>
  <c r="AI253" i="1"/>
  <c r="AI237" i="1"/>
  <c r="AI221" i="1"/>
  <c r="AI205" i="1"/>
  <c r="AI189" i="1"/>
  <c r="AI173" i="1"/>
  <c r="AI157" i="1"/>
  <c r="AI141" i="1"/>
  <c r="AI125" i="1"/>
  <c r="AI109" i="1"/>
  <c r="AI93" i="1"/>
  <c r="AI80" i="1"/>
  <c r="AJ65" i="1"/>
  <c r="AJ50" i="1"/>
  <c r="AJ36" i="1"/>
  <c r="AH33" i="1"/>
  <c r="AG41" i="1"/>
  <c r="AH50" i="1"/>
  <c r="AH58" i="1"/>
  <c r="AH66" i="1"/>
  <c r="AH74" i="1"/>
  <c r="AH82" i="1"/>
  <c r="AJ911" i="1"/>
  <c r="AI636" i="1"/>
  <c r="AI503" i="1"/>
  <c r="AI375" i="1"/>
  <c r="AJ285" i="1"/>
  <c r="AI252" i="1"/>
  <c r="AJ216" i="1"/>
  <c r="AI176" i="1"/>
  <c r="AJ140" i="1"/>
  <c r="AI106" i="1"/>
  <c r="AI74" i="1"/>
  <c r="AI37" i="1"/>
  <c r="AH51" i="1"/>
  <c r="AG53" i="1"/>
  <c r="AH61" i="1"/>
  <c r="AH83" i="1"/>
  <c r="AG86" i="1"/>
  <c r="AG91" i="1"/>
  <c r="AG99" i="1"/>
  <c r="AG107" i="1"/>
  <c r="AG115" i="1"/>
  <c r="AG123" i="1"/>
  <c r="AJ910" i="1"/>
  <c r="AJ633" i="1"/>
  <c r="AJ489" i="1"/>
  <c r="AI348" i="1"/>
  <c r="AJ284" i="1"/>
  <c r="AI250" i="1"/>
  <c r="AI216" i="1"/>
  <c r="AJ173" i="1"/>
  <c r="AI140" i="1"/>
  <c r="AJ104" i="1"/>
  <c r="AJ66" i="1"/>
  <c r="AI36" i="1"/>
  <c r="AG49" i="1"/>
  <c r="AH53" i="1"/>
  <c r="AH86" i="1"/>
  <c r="AH91" i="1"/>
  <c r="AH99" i="1"/>
  <c r="AH107" i="1"/>
  <c r="AH115" i="1"/>
  <c r="AH123" i="1"/>
  <c r="AI810" i="1"/>
  <c r="AI617" i="1"/>
  <c r="AJ456" i="1"/>
  <c r="AJ336" i="1"/>
  <c r="AJ280" i="1"/>
  <c r="AI240" i="1"/>
  <c r="AJ204" i="1"/>
  <c r="AI170" i="1"/>
  <c r="AI136" i="1"/>
  <c r="AJ93" i="1"/>
  <c r="AI64" i="1"/>
  <c r="AJ32" i="1"/>
  <c r="AG74" i="1"/>
  <c r="AG85" i="1"/>
  <c r="AG93" i="1"/>
  <c r="AG101" i="1"/>
  <c r="AG109" i="1"/>
  <c r="AG117" i="1"/>
  <c r="AG125" i="1"/>
  <c r="AI794" i="1"/>
  <c r="AJ584" i="1"/>
  <c r="AJ449" i="1"/>
  <c r="AI329" i="1"/>
  <c r="AI280" i="1"/>
  <c r="AJ237" i="1"/>
  <c r="AI204" i="1"/>
  <c r="AJ168" i="1"/>
  <c r="AI128" i="1"/>
  <c r="AJ92" i="1"/>
  <c r="AJ61" i="1"/>
  <c r="AI32" i="1"/>
  <c r="AG66" i="1"/>
  <c r="AG76" i="1"/>
  <c r="AG82" i="1"/>
  <c r="AH85" i="1"/>
  <c r="AH93" i="1"/>
  <c r="AH101" i="1"/>
  <c r="AH109" i="1"/>
  <c r="AH117" i="1"/>
  <c r="AI793" i="1"/>
  <c r="AI580" i="1"/>
  <c r="AJ441" i="1"/>
  <c r="AI324" i="1"/>
  <c r="AI272" i="1"/>
  <c r="AJ236" i="1"/>
  <c r="AI202" i="1"/>
  <c r="AI168" i="1"/>
  <c r="AJ125" i="1"/>
  <c r="AI92" i="1"/>
  <c r="AJ60" i="1"/>
  <c r="AJ24" i="1"/>
  <c r="AG58" i="1"/>
  <c r="AG68" i="1"/>
  <c r="AG94" i="1"/>
  <c r="AG102" i="1"/>
  <c r="AG110" i="1"/>
  <c r="AG118" i="1"/>
  <c r="AI729" i="1"/>
  <c r="AJ568" i="1"/>
  <c r="AJ440" i="1"/>
  <c r="AJ321" i="1"/>
  <c r="AJ269" i="1"/>
  <c r="AI236" i="1"/>
  <c r="AJ200" i="1"/>
  <c r="AI160" i="1"/>
  <c r="AJ124" i="1"/>
  <c r="AJ90" i="1"/>
  <c r="AI60" i="1"/>
  <c r="AI24" i="1"/>
  <c r="AG32" i="1"/>
  <c r="AG50" i="1"/>
  <c r="AG60" i="1"/>
  <c r="AH94" i="1"/>
  <c r="AH102" i="1"/>
  <c r="AH110" i="1"/>
  <c r="AJ720" i="1"/>
  <c r="AI567" i="1"/>
  <c r="AJ432" i="1"/>
  <c r="AI304" i="1"/>
  <c r="AJ268" i="1"/>
  <c r="AI234" i="1"/>
  <c r="AI200" i="1"/>
  <c r="AJ157" i="1"/>
  <c r="AI124" i="1"/>
  <c r="AJ89" i="1"/>
  <c r="AJ52" i="1"/>
  <c r="AG52" i="1"/>
  <c r="AG95" i="1"/>
  <c r="AG103" i="1"/>
  <c r="AG111" i="1"/>
  <c r="AG119" i="1"/>
  <c r="AJ1577" i="1"/>
  <c r="AJ712" i="1"/>
  <c r="AJ560" i="1"/>
  <c r="AI431" i="1"/>
  <c r="AJ301" i="1"/>
  <c r="AI268" i="1"/>
  <c r="AJ232" i="1"/>
  <c r="AI192" i="1"/>
  <c r="AJ156" i="1"/>
  <c r="AI122" i="1"/>
  <c r="AJ88" i="1"/>
  <c r="AI52" i="1"/>
  <c r="AH95" i="1"/>
  <c r="AH103" i="1"/>
  <c r="AH111" i="1"/>
  <c r="AH119" i="1"/>
  <c r="AH127" i="1"/>
  <c r="AJ1180" i="1"/>
  <c r="AJ688" i="1"/>
  <c r="AI516" i="1"/>
  <c r="AI388" i="1"/>
  <c r="AI298" i="1"/>
  <c r="AI264" i="1"/>
  <c r="AJ221" i="1"/>
  <c r="AI188" i="1"/>
  <c r="AJ152" i="1"/>
  <c r="AI112" i="1"/>
  <c r="AJ77" i="1"/>
  <c r="AJ48" i="1"/>
  <c r="AH73" i="1"/>
  <c r="AG75" i="1"/>
  <c r="AH81" i="1"/>
  <c r="AH88" i="1"/>
  <c r="AG89" i="1"/>
  <c r="AG97" i="1"/>
  <c r="AG105" i="1"/>
  <c r="AG113" i="1"/>
  <c r="AG121" i="1"/>
  <c r="AJ705" i="1"/>
  <c r="AJ385" i="1"/>
  <c r="AJ252" i="1"/>
  <c r="AI172" i="1"/>
  <c r="AJ80" i="1"/>
  <c r="AH44" i="1"/>
  <c r="AG69" i="1"/>
  <c r="AH113" i="1"/>
  <c r="AH129" i="1"/>
  <c r="AH137" i="1"/>
  <c r="AH145" i="1"/>
  <c r="AH153" i="1"/>
  <c r="AH161" i="1"/>
  <c r="AH169" i="1"/>
  <c r="AJ656" i="1"/>
  <c r="AI340" i="1"/>
  <c r="AI232" i="1"/>
  <c r="AI152" i="1"/>
  <c r="AJ74" i="1"/>
  <c r="AH89" i="1"/>
  <c r="AG122" i="1"/>
  <c r="AG131" i="1"/>
  <c r="AG139" i="1"/>
  <c r="AG147" i="1"/>
  <c r="AG155" i="1"/>
  <c r="AG163" i="1"/>
  <c r="AI644" i="1"/>
  <c r="AI337" i="1"/>
  <c r="AI224" i="1"/>
  <c r="AI144" i="1"/>
  <c r="AI66" i="1"/>
  <c r="AG29" i="1"/>
  <c r="AH75" i="1"/>
  <c r="AH122" i="1"/>
  <c r="AG127" i="1"/>
  <c r="AH131" i="1"/>
  <c r="AH139" i="1"/>
  <c r="AH147" i="1"/>
  <c r="AH155" i="1"/>
  <c r="AH163" i="1"/>
  <c r="AJ632" i="1"/>
  <c r="AJ300" i="1"/>
  <c r="AJ220" i="1"/>
  <c r="AJ141" i="1"/>
  <c r="AJ64" i="1"/>
  <c r="AG61" i="1"/>
  <c r="AG84" i="1"/>
  <c r="AG132" i="1"/>
  <c r="AG140" i="1"/>
  <c r="AG148" i="1"/>
  <c r="AG156" i="1"/>
  <c r="AG164" i="1"/>
  <c r="AJ617" i="1"/>
  <c r="AI300" i="1"/>
  <c r="AI220" i="1"/>
  <c r="AI138" i="1"/>
  <c r="AI50" i="1"/>
  <c r="AH57" i="1"/>
  <c r="AG126" i="1"/>
  <c r="AH132" i="1"/>
  <c r="AH140" i="1"/>
  <c r="AH148" i="1"/>
  <c r="AH156" i="1"/>
  <c r="AH164" i="1"/>
  <c r="AJ553" i="1"/>
  <c r="AJ296" i="1"/>
  <c r="AI218" i="1"/>
  <c r="AJ136" i="1"/>
  <c r="AJ49" i="1"/>
  <c r="AG112" i="1"/>
  <c r="AH121" i="1"/>
  <c r="AH126" i="1"/>
  <c r="AG133" i="1"/>
  <c r="AG141" i="1"/>
  <c r="AG149" i="1"/>
  <c r="AG157" i="1"/>
  <c r="AG165" i="1"/>
  <c r="AI553" i="1"/>
  <c r="AI296" i="1"/>
  <c r="AI208" i="1"/>
  <c r="AJ120" i="1"/>
  <c r="AJ45" i="1"/>
  <c r="AG67" i="1"/>
  <c r="AG104" i="1"/>
  <c r="AH112" i="1"/>
  <c r="AG114" i="1"/>
  <c r="AG116" i="1"/>
  <c r="AH133" i="1"/>
  <c r="AH141" i="1"/>
  <c r="AH149" i="1"/>
  <c r="AH157" i="1"/>
  <c r="AH165" i="1"/>
  <c r="AI1390" i="1"/>
  <c r="AJ513" i="1"/>
  <c r="AI288" i="1"/>
  <c r="AJ205" i="1"/>
  <c r="AI120" i="1"/>
  <c r="AI45" i="1"/>
  <c r="AH67" i="1"/>
  <c r="AG96" i="1"/>
  <c r="AH104" i="1"/>
  <c r="AG106" i="1"/>
  <c r="AG108" i="1"/>
  <c r="AH114" i="1"/>
  <c r="AH116" i="1"/>
  <c r="AH125" i="1"/>
  <c r="AG134" i="1"/>
  <c r="AG142" i="1"/>
  <c r="AG150" i="1"/>
  <c r="AG158" i="1"/>
  <c r="AG166" i="1"/>
  <c r="AG174" i="1"/>
  <c r="AJ1100" i="1"/>
  <c r="AI489" i="1"/>
  <c r="AI266" i="1"/>
  <c r="AI186" i="1"/>
  <c r="AI108" i="1"/>
  <c r="AI34" i="1"/>
  <c r="AH41" i="1"/>
  <c r="AH49" i="1"/>
  <c r="AH77" i="1"/>
  <c r="AH90" i="1"/>
  <c r="AH92" i="1"/>
  <c r="AG120" i="1"/>
  <c r="AH124" i="1"/>
  <c r="AH135" i="1"/>
  <c r="AH143" i="1"/>
  <c r="AH151" i="1"/>
  <c r="AH159" i="1"/>
  <c r="AH167" i="1"/>
  <c r="AJ505" i="1"/>
  <c r="AJ184" i="1"/>
  <c r="AH128" i="1"/>
  <c r="AG159" i="1"/>
  <c r="AG179" i="1"/>
  <c r="AG187" i="1"/>
  <c r="AG195" i="1"/>
  <c r="AG203" i="1"/>
  <c r="AG211" i="1"/>
  <c r="AJ504" i="1"/>
  <c r="AI184" i="1"/>
  <c r="AG59" i="1"/>
  <c r="AG88" i="1"/>
  <c r="AG151" i="1"/>
  <c r="AG161" i="1"/>
  <c r="AH179" i="1"/>
  <c r="AH187" i="1"/>
  <c r="AH195" i="1"/>
  <c r="AH203" i="1"/>
  <c r="AH211" i="1"/>
  <c r="AI457" i="1"/>
  <c r="AJ172" i="1"/>
  <c r="AH59" i="1"/>
  <c r="AH69" i="1"/>
  <c r="AH97" i="1"/>
  <c r="AH120" i="1"/>
  <c r="AG143" i="1"/>
  <c r="AG153" i="1"/>
  <c r="AG180" i="1"/>
  <c r="AG188" i="1"/>
  <c r="AG196" i="1"/>
  <c r="AG204" i="1"/>
  <c r="AI380" i="1"/>
  <c r="AJ109" i="1"/>
  <c r="AG129" i="1"/>
  <c r="AH181" i="1"/>
  <c r="AH189" i="1"/>
  <c r="AH197" i="1"/>
  <c r="AH205" i="1"/>
  <c r="AJ376" i="1"/>
  <c r="AJ108" i="1"/>
  <c r="AH108" i="1"/>
  <c r="AG124" i="1"/>
  <c r="AG182" i="1"/>
  <c r="AG190" i="1"/>
  <c r="AG198" i="1"/>
  <c r="AG206" i="1"/>
  <c r="AI284" i="1"/>
  <c r="AI104" i="1"/>
  <c r="AG51" i="1"/>
  <c r="AH182" i="1"/>
  <c r="AH190" i="1"/>
  <c r="AH198" i="1"/>
  <c r="AH206" i="1"/>
  <c r="AI282" i="1"/>
  <c r="AI96" i="1"/>
  <c r="AG83" i="1"/>
  <c r="AG90" i="1"/>
  <c r="AH158" i="1"/>
  <c r="AG160" i="1"/>
  <c r="AG170" i="1"/>
  <c r="AG171" i="1"/>
  <c r="AG172" i="1"/>
  <c r="AG173" i="1"/>
  <c r="AH174" i="1"/>
  <c r="AG175" i="1"/>
  <c r="AG183" i="1"/>
  <c r="AG191" i="1"/>
  <c r="AG199" i="1"/>
  <c r="AI1246" i="1"/>
  <c r="AJ264" i="1"/>
  <c r="AJ81" i="1"/>
  <c r="AH118" i="1"/>
  <c r="AH150" i="1"/>
  <c r="AG152" i="1"/>
  <c r="AH160" i="1"/>
  <c r="AG162" i="1"/>
  <c r="AH166" i="1"/>
  <c r="AG169" i="1"/>
  <c r="AH170" i="1"/>
  <c r="AH171" i="1"/>
  <c r="AH172" i="1"/>
  <c r="AH173" i="1"/>
  <c r="AH175" i="1"/>
  <c r="AH183" i="1"/>
  <c r="AH191" i="1"/>
  <c r="AH199" i="1"/>
  <c r="AH207" i="1"/>
  <c r="AJ1176" i="1"/>
  <c r="AI256" i="1"/>
  <c r="AI77" i="1"/>
  <c r="AG40" i="1"/>
  <c r="AG100" i="1"/>
  <c r="AH142" i="1"/>
  <c r="AG144" i="1"/>
  <c r="AH152" i="1"/>
  <c r="AG154" i="1"/>
  <c r="AH162" i="1"/>
  <c r="AG176" i="1"/>
  <c r="AG184" i="1"/>
  <c r="AG192" i="1"/>
  <c r="AG200" i="1"/>
  <c r="AG208" i="1"/>
  <c r="AJ846" i="1"/>
  <c r="AI248" i="1"/>
  <c r="AJ34" i="1"/>
  <c r="AH105" i="1"/>
  <c r="AG130" i="1"/>
  <c r="AH138" i="1"/>
  <c r="AG168" i="1"/>
  <c r="AH177" i="1"/>
  <c r="AH185" i="1"/>
  <c r="AH193" i="1"/>
  <c r="AJ248" i="1"/>
  <c r="AH96" i="1"/>
  <c r="AG189" i="1"/>
  <c r="AH216" i="1"/>
  <c r="AH224" i="1"/>
  <c r="AH232" i="1"/>
  <c r="AH240" i="1"/>
  <c r="AH248" i="1"/>
  <c r="AH256" i="1"/>
  <c r="AJ189" i="1"/>
  <c r="AH134" i="1"/>
  <c r="AG194" i="1"/>
  <c r="AG217" i="1"/>
  <c r="AG225" i="1"/>
  <c r="AG233" i="1"/>
  <c r="AG241" i="1"/>
  <c r="AG249" i="1"/>
  <c r="AG257" i="1"/>
  <c r="AJ188" i="1"/>
  <c r="AG128" i="1"/>
  <c r="AH194" i="1"/>
  <c r="AH208" i="1"/>
  <c r="AH217" i="1"/>
  <c r="AH225" i="1"/>
  <c r="AH233" i="1"/>
  <c r="AH241" i="1"/>
  <c r="AH249" i="1"/>
  <c r="AH257" i="1"/>
  <c r="AJ76" i="1"/>
  <c r="AH100" i="1"/>
  <c r="AG135" i="1"/>
  <c r="AG146" i="1"/>
  <c r="AG167" i="1"/>
  <c r="AG178" i="1"/>
  <c r="AG210" i="1"/>
  <c r="AG219" i="1"/>
  <c r="AG227" i="1"/>
  <c r="AG235" i="1"/>
  <c r="AG243" i="1"/>
  <c r="AG251" i="1"/>
  <c r="AJ37" i="1"/>
  <c r="AH146" i="1"/>
  <c r="AH178" i="1"/>
  <c r="AG197" i="1"/>
  <c r="AH210" i="1"/>
  <c r="AH219" i="1"/>
  <c r="AH227" i="1"/>
  <c r="AH235" i="1"/>
  <c r="AH243" i="1"/>
  <c r="AH251" i="1"/>
  <c r="AH65" i="1"/>
  <c r="AH130" i="1"/>
  <c r="AG136" i="1"/>
  <c r="AH176" i="1"/>
  <c r="AG212" i="1"/>
  <c r="AG220" i="1"/>
  <c r="AG228" i="1"/>
  <c r="AG236" i="1"/>
  <c r="AG244" i="1"/>
  <c r="AH136" i="1"/>
  <c r="AG205" i="1"/>
  <c r="AH212" i="1"/>
  <c r="AH220" i="1"/>
  <c r="AH228" i="1"/>
  <c r="AH236" i="1"/>
  <c r="AI1078" i="1"/>
  <c r="AH168" i="1"/>
  <c r="AH188" i="1"/>
  <c r="AG207" i="1"/>
  <c r="AG213" i="1"/>
  <c r="AG221" i="1"/>
  <c r="AG229" i="1"/>
  <c r="AG237" i="1"/>
  <c r="AG245" i="1"/>
  <c r="AG253" i="1"/>
  <c r="AI847" i="1"/>
  <c r="AG33" i="1"/>
  <c r="AG181" i="1"/>
  <c r="AG193" i="1"/>
  <c r="AH200" i="1"/>
  <c r="AH213" i="1"/>
  <c r="AH221" i="1"/>
  <c r="AH229" i="1"/>
  <c r="AH237" i="1"/>
  <c r="AH245" i="1"/>
  <c r="AH253" i="1"/>
  <c r="AI401" i="1"/>
  <c r="AH154" i="1"/>
  <c r="AH184" i="1"/>
  <c r="AG202" i="1"/>
  <c r="AG215" i="1"/>
  <c r="AG223" i="1"/>
  <c r="AG231" i="1"/>
  <c r="AG239" i="1"/>
  <c r="AG247" i="1"/>
  <c r="AG255" i="1"/>
  <c r="AH98" i="1"/>
  <c r="AH201" i="1"/>
  <c r="AG216" i="1"/>
  <c r="AG260" i="1"/>
  <c r="AG268" i="1"/>
  <c r="AG276" i="1"/>
  <c r="AG284" i="1"/>
  <c r="AG292" i="1"/>
  <c r="AG300" i="1"/>
  <c r="AG308" i="1"/>
  <c r="AG316" i="1"/>
  <c r="AG177" i="1"/>
  <c r="AG214" i="1"/>
  <c r="AH260" i="1"/>
  <c r="AH268" i="1"/>
  <c r="AH276" i="1"/>
  <c r="AH284" i="1"/>
  <c r="AH292" i="1"/>
  <c r="AH300" i="1"/>
  <c r="AH308" i="1"/>
  <c r="AH316" i="1"/>
  <c r="AH144" i="1"/>
  <c r="AH196" i="1"/>
  <c r="AH214" i="1"/>
  <c r="AG246" i="1"/>
  <c r="AG250" i="1"/>
  <c r="AG252" i="1"/>
  <c r="AG261" i="1"/>
  <c r="AG269" i="1"/>
  <c r="AG277" i="1"/>
  <c r="AG285" i="1"/>
  <c r="AG293" i="1"/>
  <c r="AG301" i="1"/>
  <c r="AG309" i="1"/>
  <c r="AG317" i="1"/>
  <c r="AH231" i="1"/>
  <c r="AH254" i="1"/>
  <c r="AH262" i="1"/>
  <c r="AH270" i="1"/>
  <c r="AH278" i="1"/>
  <c r="AH286" i="1"/>
  <c r="AH294" i="1"/>
  <c r="AH302" i="1"/>
  <c r="AH310" i="1"/>
  <c r="AH318" i="1"/>
  <c r="AG185" i="1"/>
  <c r="AG224" i="1"/>
  <c r="AG263" i="1"/>
  <c r="AG271" i="1"/>
  <c r="AG279" i="1"/>
  <c r="AG287" i="1"/>
  <c r="AG295" i="1"/>
  <c r="AG303" i="1"/>
  <c r="AG311" i="1"/>
  <c r="AG77" i="1"/>
  <c r="AG186" i="1"/>
  <c r="AH192" i="1"/>
  <c r="AG222" i="1"/>
  <c r="AH263" i="1"/>
  <c r="AH271" i="1"/>
  <c r="AH279" i="1"/>
  <c r="AH287" i="1"/>
  <c r="AH295" i="1"/>
  <c r="AH303" i="1"/>
  <c r="AH186" i="1"/>
  <c r="AH222" i="1"/>
  <c r="AG264" i="1"/>
  <c r="AG272" i="1"/>
  <c r="AG280" i="1"/>
  <c r="AG288" i="1"/>
  <c r="AG296" i="1"/>
  <c r="AJ696" i="1"/>
  <c r="AH180" i="1"/>
  <c r="AG209" i="1"/>
  <c r="AH215" i="1"/>
  <c r="AG234" i="1"/>
  <c r="AG256" i="1"/>
  <c r="AH264" i="1"/>
  <c r="AH272" i="1"/>
  <c r="AH280" i="1"/>
  <c r="AH288" i="1"/>
  <c r="AH296" i="1"/>
  <c r="AH304" i="1"/>
  <c r="AH312" i="1"/>
  <c r="AI687" i="1"/>
  <c r="AG137" i="1"/>
  <c r="AH204" i="1"/>
  <c r="AH209" i="1"/>
  <c r="AH234" i="1"/>
  <c r="AG265" i="1"/>
  <c r="AG273" i="1"/>
  <c r="AG281" i="1"/>
  <c r="AG289" i="1"/>
  <c r="AG297" i="1"/>
  <c r="AG305" i="1"/>
  <c r="AG313" i="1"/>
  <c r="AI156" i="1"/>
  <c r="AG218" i="1"/>
  <c r="AG230" i="1"/>
  <c r="AH258" i="1"/>
  <c r="AH266" i="1"/>
  <c r="AH274" i="1"/>
  <c r="AH282" i="1"/>
  <c r="AH290" i="1"/>
  <c r="AH298" i="1"/>
  <c r="AH306" i="1"/>
  <c r="AG92" i="1"/>
  <c r="AH283" i="1"/>
  <c r="AG302" i="1"/>
  <c r="AH320" i="1"/>
  <c r="AH328" i="1"/>
  <c r="AH336" i="1"/>
  <c r="AH344" i="1"/>
  <c r="AH352" i="1"/>
  <c r="AH360" i="1"/>
  <c r="AH368" i="1"/>
  <c r="AH376" i="1"/>
  <c r="AH384" i="1"/>
  <c r="AH392" i="1"/>
  <c r="AH400" i="1"/>
  <c r="AH408" i="1"/>
  <c r="AH416" i="1"/>
  <c r="AH424" i="1"/>
  <c r="AH432" i="1"/>
  <c r="AH247" i="1"/>
  <c r="AH252" i="1"/>
  <c r="AH269" i="1"/>
  <c r="AH281" i="1"/>
  <c r="AG310" i="1"/>
  <c r="AG315" i="1"/>
  <c r="AG319" i="1"/>
  <c r="AG321" i="1"/>
  <c r="AG329" i="1"/>
  <c r="AG337" i="1"/>
  <c r="AG345" i="1"/>
  <c r="AG353" i="1"/>
  <c r="AG361" i="1"/>
  <c r="AG369" i="1"/>
  <c r="AG377" i="1"/>
  <c r="AG385" i="1"/>
  <c r="AG393" i="1"/>
  <c r="AG401" i="1"/>
  <c r="AG409" i="1"/>
  <c r="AG417" i="1"/>
  <c r="AG425" i="1"/>
  <c r="AG98" i="1"/>
  <c r="AH223" i="1"/>
  <c r="AG262" i="1"/>
  <c r="AG274" i="1"/>
  <c r="AH315" i="1"/>
  <c r="AH319" i="1"/>
  <c r="AH321" i="1"/>
  <c r="AH329" i="1"/>
  <c r="AH337" i="1"/>
  <c r="AH345" i="1"/>
  <c r="AH353" i="1"/>
  <c r="AH361" i="1"/>
  <c r="AH369" i="1"/>
  <c r="AH377" i="1"/>
  <c r="AH385" i="1"/>
  <c r="AH393" i="1"/>
  <c r="AH401" i="1"/>
  <c r="AH409" i="1"/>
  <c r="AH417" i="1"/>
  <c r="AH425" i="1"/>
  <c r="AH106" i="1"/>
  <c r="AH230" i="1"/>
  <c r="AG242" i="1"/>
  <c r="AG267" i="1"/>
  <c r="AH293" i="1"/>
  <c r="AH242" i="1"/>
  <c r="AH267" i="1"/>
  <c r="AG286" i="1"/>
  <c r="AG298" i="1"/>
  <c r="AG318" i="1"/>
  <c r="AH322" i="1"/>
  <c r="AH330" i="1"/>
  <c r="AH338" i="1"/>
  <c r="AH346" i="1"/>
  <c r="AH354" i="1"/>
  <c r="AH362" i="1"/>
  <c r="AH370" i="1"/>
  <c r="AH378" i="1"/>
  <c r="AH386" i="1"/>
  <c r="AH394" i="1"/>
  <c r="AH402" i="1"/>
  <c r="AH410" i="1"/>
  <c r="AH418" i="1"/>
  <c r="AH426" i="1"/>
  <c r="AH218" i="1"/>
  <c r="AG248" i="1"/>
  <c r="AH265" i="1"/>
  <c r="AG291" i="1"/>
  <c r="AH305" i="1"/>
  <c r="AG314" i="1"/>
  <c r="AG323" i="1"/>
  <c r="AG331" i="1"/>
  <c r="AG339" i="1"/>
  <c r="AG347" i="1"/>
  <c r="AG355" i="1"/>
  <c r="AG363" i="1"/>
  <c r="AG371" i="1"/>
  <c r="AG379" i="1"/>
  <c r="AG387" i="1"/>
  <c r="AG395" i="1"/>
  <c r="AG403" i="1"/>
  <c r="AG411" i="1"/>
  <c r="AG419" i="1"/>
  <c r="AG427" i="1"/>
  <c r="AG258" i="1"/>
  <c r="AH291" i="1"/>
  <c r="AG307" i="1"/>
  <c r="AH314" i="1"/>
  <c r="AH323" i="1"/>
  <c r="AH331" i="1"/>
  <c r="AH339" i="1"/>
  <c r="AH347" i="1"/>
  <c r="AH355" i="1"/>
  <c r="AH363" i="1"/>
  <c r="AH371" i="1"/>
  <c r="AH379" i="1"/>
  <c r="AH387" i="1"/>
  <c r="AH395" i="1"/>
  <c r="AH403" i="1"/>
  <c r="AH411" i="1"/>
  <c r="AH419" i="1"/>
  <c r="AH427" i="1"/>
  <c r="AG238" i="1"/>
  <c r="AH277" i="1"/>
  <c r="AH289" i="1"/>
  <c r="AH307" i="1"/>
  <c r="AG324" i="1"/>
  <c r="AG332" i="1"/>
  <c r="AG340" i="1"/>
  <c r="AG348" i="1"/>
  <c r="AG356" i="1"/>
  <c r="AG364" i="1"/>
  <c r="AG372" i="1"/>
  <c r="AG380" i="1"/>
  <c r="AG388" i="1"/>
  <c r="AG396" i="1"/>
  <c r="AG404" i="1"/>
  <c r="AG412" i="1"/>
  <c r="AG420" i="1"/>
  <c r="AG428" i="1"/>
  <c r="AG201" i="1"/>
  <c r="AG232" i="1"/>
  <c r="AH238" i="1"/>
  <c r="AG254" i="1"/>
  <c r="AG270" i="1"/>
  <c r="AG282" i="1"/>
  <c r="AH309" i="1"/>
  <c r="AH317" i="1"/>
  <c r="AH324" i="1"/>
  <c r="AH332" i="1"/>
  <c r="AH340" i="1"/>
  <c r="AH348" i="1"/>
  <c r="AH356" i="1"/>
  <c r="AH364" i="1"/>
  <c r="AH372" i="1"/>
  <c r="AH380" i="1"/>
  <c r="AH388" i="1"/>
  <c r="AH396" i="1"/>
  <c r="AH404" i="1"/>
  <c r="AH412" i="1"/>
  <c r="AH420" i="1"/>
  <c r="AJ400" i="1"/>
  <c r="AH202" i="1"/>
  <c r="AG226" i="1"/>
  <c r="AH244" i="1"/>
  <c r="AG275" i="1"/>
  <c r="AH301" i="1"/>
  <c r="AG325" i="1"/>
  <c r="AG333" i="1"/>
  <c r="AG341" i="1"/>
  <c r="AG349" i="1"/>
  <c r="AG357" i="1"/>
  <c r="AG365" i="1"/>
  <c r="AG373" i="1"/>
  <c r="AG381" i="1"/>
  <c r="AG389" i="1"/>
  <c r="AG397" i="1"/>
  <c r="AG405" i="1"/>
  <c r="AG413" i="1"/>
  <c r="AG421" i="1"/>
  <c r="AG429" i="1"/>
  <c r="AJ253" i="1"/>
  <c r="AH226" i="1"/>
  <c r="AH239" i="1"/>
  <c r="AH275" i="1"/>
  <c r="AG294" i="1"/>
  <c r="AH311" i="1"/>
  <c r="AH325" i="1"/>
  <c r="AH333" i="1"/>
  <c r="AH341" i="1"/>
  <c r="AH349" i="1"/>
  <c r="AH357" i="1"/>
  <c r="AH365" i="1"/>
  <c r="AH373" i="1"/>
  <c r="AH381" i="1"/>
  <c r="AH389" i="1"/>
  <c r="AH397" i="1"/>
  <c r="AH405" i="1"/>
  <c r="AH413" i="1"/>
  <c r="AH421" i="1"/>
  <c r="AH429" i="1"/>
  <c r="AI154" i="1"/>
  <c r="AG138" i="1"/>
  <c r="AH250" i="1"/>
  <c r="AH261" i="1"/>
  <c r="AH273" i="1"/>
  <c r="AG299" i="1"/>
  <c r="AH255" i="1"/>
  <c r="AG266" i="1"/>
  <c r="AH299" i="1"/>
  <c r="AH313" i="1"/>
  <c r="AH326" i="1"/>
  <c r="AH334" i="1"/>
  <c r="AH342" i="1"/>
  <c r="AH350" i="1"/>
  <c r="AH358" i="1"/>
  <c r="AH366" i="1"/>
  <c r="AH374" i="1"/>
  <c r="AH382" i="1"/>
  <c r="AH390" i="1"/>
  <c r="AH398" i="1"/>
  <c r="AH406" i="1"/>
  <c r="AH414" i="1"/>
  <c r="AH422" i="1"/>
  <c r="AG259" i="1"/>
  <c r="AH285" i="1"/>
  <c r="AH297" i="1"/>
  <c r="AG304" i="1"/>
  <c r="AG306" i="1"/>
  <c r="AG327" i="1"/>
  <c r="AG335" i="1"/>
  <c r="AG343" i="1"/>
  <c r="AG351" i="1"/>
  <c r="AG359" i="1"/>
  <c r="AG367" i="1"/>
  <c r="AG375" i="1"/>
  <c r="AG383" i="1"/>
  <c r="AG391" i="1"/>
  <c r="AG399" i="1"/>
  <c r="AG407" i="1"/>
  <c r="AG415" i="1"/>
  <c r="AG423" i="1"/>
  <c r="AG431" i="1"/>
  <c r="AG334" i="1"/>
  <c r="AG366" i="1"/>
  <c r="AG398" i="1"/>
  <c r="AG440" i="1"/>
  <c r="AG448" i="1"/>
  <c r="AG456" i="1"/>
  <c r="AG464" i="1"/>
  <c r="AG472" i="1"/>
  <c r="AH327" i="1"/>
  <c r="AH359" i="1"/>
  <c r="AH391" i="1"/>
  <c r="AH423" i="1"/>
  <c r="AH440" i="1"/>
  <c r="AH448" i="1"/>
  <c r="AH456" i="1"/>
  <c r="AH464" i="1"/>
  <c r="AH472" i="1"/>
  <c r="AG320" i="1"/>
  <c r="AG352" i="1"/>
  <c r="AG384" i="1"/>
  <c r="AG416" i="1"/>
  <c r="AG426" i="1"/>
  <c r="AG441" i="1"/>
  <c r="AG449" i="1"/>
  <c r="AG457" i="1"/>
  <c r="AG465" i="1"/>
  <c r="AG473" i="1"/>
  <c r="AH259" i="1"/>
  <c r="AG278" i="1"/>
  <c r="AG338" i="1"/>
  <c r="AG370" i="1"/>
  <c r="AG402" i="1"/>
  <c r="AG433" i="1"/>
  <c r="AH441" i="1"/>
  <c r="AH449" i="1"/>
  <c r="AH457" i="1"/>
  <c r="AH465" i="1"/>
  <c r="AH473" i="1"/>
  <c r="AG342" i="1"/>
  <c r="AG374" i="1"/>
  <c r="AG406" i="1"/>
  <c r="AH431" i="1"/>
  <c r="AH433" i="1"/>
  <c r="AG434" i="1"/>
  <c r="AG442" i="1"/>
  <c r="AG450" i="1"/>
  <c r="AG458" i="1"/>
  <c r="AG466" i="1"/>
  <c r="AG474" i="1"/>
  <c r="AH335" i="1"/>
  <c r="AH367" i="1"/>
  <c r="AH399" i="1"/>
  <c r="AH434" i="1"/>
  <c r="AH442" i="1"/>
  <c r="AH450" i="1"/>
  <c r="AH458" i="1"/>
  <c r="AH466" i="1"/>
  <c r="AH474" i="1"/>
  <c r="AG328" i="1"/>
  <c r="AG360" i="1"/>
  <c r="AG392" i="1"/>
  <c r="AG424" i="1"/>
  <c r="AG435" i="1"/>
  <c r="AG443" i="1"/>
  <c r="AG451" i="1"/>
  <c r="AG459" i="1"/>
  <c r="AG467" i="1"/>
  <c r="AG346" i="1"/>
  <c r="AG378" i="1"/>
  <c r="AG410" i="1"/>
  <c r="AH435" i="1"/>
  <c r="AH443" i="1"/>
  <c r="AH451" i="1"/>
  <c r="AH459" i="1"/>
  <c r="AH467" i="1"/>
  <c r="AG283" i="1"/>
  <c r="AG350" i="1"/>
  <c r="AG382" i="1"/>
  <c r="AG414" i="1"/>
  <c r="AG436" i="1"/>
  <c r="AG444" i="1"/>
  <c r="AG452" i="1"/>
  <c r="AG460" i="1"/>
  <c r="AH343" i="1"/>
  <c r="AH375" i="1"/>
  <c r="AH407" i="1"/>
  <c r="AH436" i="1"/>
  <c r="AH444" i="1"/>
  <c r="AH452" i="1"/>
  <c r="AH460" i="1"/>
  <c r="AH468" i="1"/>
  <c r="AG336" i="1"/>
  <c r="AG368" i="1"/>
  <c r="AG400" i="1"/>
  <c r="AG437" i="1"/>
  <c r="AG445" i="1"/>
  <c r="AG453" i="1"/>
  <c r="AG461" i="1"/>
  <c r="AG469" i="1"/>
  <c r="AG240" i="1"/>
  <c r="AG312" i="1"/>
  <c r="AG322" i="1"/>
  <c r="AG354" i="1"/>
  <c r="AG386" i="1"/>
  <c r="AG418" i="1"/>
  <c r="AG432" i="1"/>
  <c r="AH437" i="1"/>
  <c r="AH445" i="1"/>
  <c r="AH453" i="1"/>
  <c r="AH461" i="1"/>
  <c r="AH469" i="1"/>
  <c r="AG145" i="1"/>
  <c r="AG326" i="1"/>
  <c r="AG358" i="1"/>
  <c r="AG390" i="1"/>
  <c r="AG422" i="1"/>
  <c r="AG430" i="1"/>
  <c r="AG438" i="1"/>
  <c r="AG446" i="1"/>
  <c r="AG454" i="1"/>
  <c r="AG462" i="1"/>
  <c r="AG470" i="1"/>
  <c r="AG290" i="1"/>
  <c r="AH351" i="1"/>
  <c r="AH383" i="1"/>
  <c r="AH415" i="1"/>
  <c r="AH430" i="1"/>
  <c r="AH438" i="1"/>
  <c r="AH446" i="1"/>
  <c r="AH454" i="1"/>
  <c r="AH462" i="1"/>
  <c r="AH470" i="1"/>
  <c r="AG394" i="1"/>
  <c r="AH483" i="1"/>
  <c r="AH491" i="1"/>
  <c r="AH499" i="1"/>
  <c r="AH507" i="1"/>
  <c r="AH515" i="1"/>
  <c r="AH523" i="1"/>
  <c r="AH531" i="1"/>
  <c r="AH539" i="1"/>
  <c r="AH547" i="1"/>
  <c r="AH555" i="1"/>
  <c r="AH563" i="1"/>
  <c r="AH571" i="1"/>
  <c r="AH579" i="1"/>
  <c r="AH587" i="1"/>
  <c r="AH595" i="1"/>
  <c r="AH603" i="1"/>
  <c r="AH611" i="1"/>
  <c r="AG484" i="1"/>
  <c r="AG492" i="1"/>
  <c r="AG500" i="1"/>
  <c r="AG508" i="1"/>
  <c r="AG516" i="1"/>
  <c r="AG524" i="1"/>
  <c r="AG532" i="1"/>
  <c r="AG540" i="1"/>
  <c r="AG548" i="1"/>
  <c r="AG556" i="1"/>
  <c r="AG564" i="1"/>
  <c r="AG572" i="1"/>
  <c r="AG580" i="1"/>
  <c r="AG588" i="1"/>
  <c r="AG596" i="1"/>
  <c r="AG604" i="1"/>
  <c r="AH484" i="1"/>
  <c r="AH492" i="1"/>
  <c r="AH500" i="1"/>
  <c r="AH508" i="1"/>
  <c r="AH516" i="1"/>
  <c r="AH524" i="1"/>
  <c r="AH532" i="1"/>
  <c r="AH540" i="1"/>
  <c r="AH548" i="1"/>
  <c r="AH556" i="1"/>
  <c r="AH564" i="1"/>
  <c r="AH572" i="1"/>
  <c r="AH580" i="1"/>
  <c r="AH588" i="1"/>
  <c r="AH596" i="1"/>
  <c r="AH604" i="1"/>
  <c r="AH612" i="1"/>
  <c r="AG344" i="1"/>
  <c r="AG476" i="1"/>
  <c r="AG485" i="1"/>
  <c r="AG493" i="1"/>
  <c r="AG501" i="1"/>
  <c r="AG509" i="1"/>
  <c r="AG517" i="1"/>
  <c r="AG525" i="1"/>
  <c r="AG533" i="1"/>
  <c r="AG541" i="1"/>
  <c r="AG549" i="1"/>
  <c r="AG557" i="1"/>
  <c r="AG565" i="1"/>
  <c r="AG573" i="1"/>
  <c r="AG581" i="1"/>
  <c r="AG589" i="1"/>
  <c r="AG597" i="1"/>
  <c r="AG605" i="1"/>
  <c r="AH428" i="1"/>
  <c r="AG475" i="1"/>
  <c r="AH476" i="1"/>
  <c r="AG477" i="1"/>
  <c r="AH485" i="1"/>
  <c r="AH493" i="1"/>
  <c r="AH501" i="1"/>
  <c r="AH509" i="1"/>
  <c r="AH517" i="1"/>
  <c r="AH525" i="1"/>
  <c r="AH533" i="1"/>
  <c r="AH541" i="1"/>
  <c r="AH549" i="1"/>
  <c r="AH557" i="1"/>
  <c r="AH565" i="1"/>
  <c r="AH573" i="1"/>
  <c r="AH581" i="1"/>
  <c r="AH589" i="1"/>
  <c r="AH597" i="1"/>
  <c r="AH605" i="1"/>
  <c r="AG376" i="1"/>
  <c r="AG439" i="1"/>
  <c r="AH475" i="1"/>
  <c r="AH477" i="1"/>
  <c r="AG478" i="1"/>
  <c r="AG486" i="1"/>
  <c r="AG494" i="1"/>
  <c r="AG502" i="1"/>
  <c r="AG510" i="1"/>
  <c r="AG518" i="1"/>
  <c r="AG526" i="1"/>
  <c r="AG534" i="1"/>
  <c r="AG542" i="1"/>
  <c r="AG550" i="1"/>
  <c r="AG558" i="1"/>
  <c r="AG566" i="1"/>
  <c r="AG574" i="1"/>
  <c r="AG582" i="1"/>
  <c r="AG590" i="1"/>
  <c r="AG598" i="1"/>
  <c r="AG606" i="1"/>
  <c r="AH439" i="1"/>
  <c r="AH478" i="1"/>
  <c r="AH486" i="1"/>
  <c r="AH494" i="1"/>
  <c r="AH502" i="1"/>
  <c r="AH510" i="1"/>
  <c r="AH518" i="1"/>
  <c r="AH526" i="1"/>
  <c r="AH534" i="1"/>
  <c r="AH542" i="1"/>
  <c r="AH550" i="1"/>
  <c r="AH558" i="1"/>
  <c r="AH566" i="1"/>
  <c r="AH574" i="1"/>
  <c r="AH582" i="1"/>
  <c r="AH590" i="1"/>
  <c r="AH598" i="1"/>
  <c r="AH606" i="1"/>
  <c r="AG408" i="1"/>
  <c r="AG447" i="1"/>
  <c r="AG479" i="1"/>
  <c r="AG487" i="1"/>
  <c r="AG495" i="1"/>
  <c r="AG503" i="1"/>
  <c r="AG511" i="1"/>
  <c r="AG519" i="1"/>
  <c r="AG527" i="1"/>
  <c r="AG535" i="1"/>
  <c r="AG543" i="1"/>
  <c r="AG551" i="1"/>
  <c r="AG559" i="1"/>
  <c r="AG567" i="1"/>
  <c r="AG575" i="1"/>
  <c r="AG583" i="1"/>
  <c r="AG591" i="1"/>
  <c r="AG599" i="1"/>
  <c r="AG607" i="1"/>
  <c r="AH447" i="1"/>
  <c r="AH479" i="1"/>
  <c r="AH487" i="1"/>
  <c r="AH495" i="1"/>
  <c r="AH503" i="1"/>
  <c r="AH511" i="1"/>
  <c r="AH519" i="1"/>
  <c r="AH527" i="1"/>
  <c r="AH535" i="1"/>
  <c r="AH543" i="1"/>
  <c r="AH551" i="1"/>
  <c r="AH559" i="1"/>
  <c r="AH567" i="1"/>
  <c r="AH575" i="1"/>
  <c r="AH583" i="1"/>
  <c r="AH591" i="1"/>
  <c r="AH599" i="1"/>
  <c r="AG455" i="1"/>
  <c r="AG480" i="1"/>
  <c r="AG488" i="1"/>
  <c r="AG496" i="1"/>
  <c r="AG504" i="1"/>
  <c r="AG512" i="1"/>
  <c r="AG520" i="1"/>
  <c r="AG528" i="1"/>
  <c r="AG536" i="1"/>
  <c r="AG544" i="1"/>
  <c r="AG552" i="1"/>
  <c r="AG560" i="1"/>
  <c r="AG568" i="1"/>
  <c r="AG576" i="1"/>
  <c r="AG584" i="1"/>
  <c r="AG592" i="1"/>
  <c r="AG600" i="1"/>
  <c r="AG608" i="1"/>
  <c r="AH455" i="1"/>
  <c r="AH480" i="1"/>
  <c r="AH488" i="1"/>
  <c r="AH496" i="1"/>
  <c r="AH504" i="1"/>
  <c r="AH512" i="1"/>
  <c r="AH520" i="1"/>
  <c r="AH528" i="1"/>
  <c r="AH536" i="1"/>
  <c r="AH544" i="1"/>
  <c r="AH552" i="1"/>
  <c r="AH560" i="1"/>
  <c r="AH568" i="1"/>
  <c r="AH576" i="1"/>
  <c r="AH584" i="1"/>
  <c r="AH592" i="1"/>
  <c r="AH600" i="1"/>
  <c r="AH246" i="1"/>
  <c r="AG481" i="1"/>
  <c r="AG489" i="1"/>
  <c r="AG497" i="1"/>
  <c r="AG505" i="1"/>
  <c r="AG513" i="1"/>
  <c r="AG521" i="1"/>
  <c r="AG529" i="1"/>
  <c r="AG537" i="1"/>
  <c r="AG545" i="1"/>
  <c r="AG553" i="1"/>
  <c r="AG561" i="1"/>
  <c r="AG569" i="1"/>
  <c r="AG577" i="1"/>
  <c r="AG585" i="1"/>
  <c r="AG593" i="1"/>
  <c r="AG601" i="1"/>
  <c r="AG609" i="1"/>
  <c r="AG330" i="1"/>
  <c r="AH481" i="1"/>
  <c r="AH489" i="1"/>
  <c r="AH497" i="1"/>
  <c r="AH505" i="1"/>
  <c r="AH513" i="1"/>
  <c r="AH521" i="1"/>
  <c r="AH529" i="1"/>
  <c r="AH537" i="1"/>
  <c r="AH545" i="1"/>
  <c r="AH553" i="1"/>
  <c r="AH561" i="1"/>
  <c r="AH569" i="1"/>
  <c r="AH577" i="1"/>
  <c r="AH585" i="1"/>
  <c r="AH593" i="1"/>
  <c r="AH601" i="1"/>
  <c r="AH609" i="1"/>
  <c r="AG471" i="1"/>
  <c r="AG482" i="1"/>
  <c r="AG490" i="1"/>
  <c r="AG498" i="1"/>
  <c r="AG506" i="1"/>
  <c r="AG514" i="1"/>
  <c r="AG522" i="1"/>
  <c r="AG530" i="1"/>
  <c r="AG538" i="1"/>
  <c r="AG546" i="1"/>
  <c r="AG554" i="1"/>
  <c r="AG562" i="1"/>
  <c r="AG570" i="1"/>
  <c r="AG578" i="1"/>
  <c r="AG586" i="1"/>
  <c r="AG594" i="1"/>
  <c r="AG602" i="1"/>
  <c r="AG610" i="1"/>
  <c r="AG523" i="1"/>
  <c r="AG587" i="1"/>
  <c r="AH610" i="1"/>
  <c r="AG617" i="1"/>
  <c r="AG625" i="1"/>
  <c r="AG633" i="1"/>
  <c r="AG641" i="1"/>
  <c r="AG649" i="1"/>
  <c r="AG657" i="1"/>
  <c r="AG665" i="1"/>
  <c r="AG673" i="1"/>
  <c r="AG681" i="1"/>
  <c r="AG689" i="1"/>
  <c r="AG697" i="1"/>
  <c r="AG705" i="1"/>
  <c r="AG713" i="1"/>
  <c r="AG721" i="1"/>
  <c r="AG729" i="1"/>
  <c r="AG737" i="1"/>
  <c r="AH538" i="1"/>
  <c r="AH602" i="1"/>
  <c r="AH607" i="1"/>
  <c r="AG612" i="1"/>
  <c r="AH617" i="1"/>
  <c r="AH625" i="1"/>
  <c r="AH633" i="1"/>
  <c r="AH641" i="1"/>
  <c r="AH649" i="1"/>
  <c r="AH657" i="1"/>
  <c r="AH665" i="1"/>
  <c r="AH673" i="1"/>
  <c r="AH681" i="1"/>
  <c r="AH689" i="1"/>
  <c r="AH697" i="1"/>
  <c r="AH705" i="1"/>
  <c r="AH713" i="1"/>
  <c r="AH721" i="1"/>
  <c r="AH729" i="1"/>
  <c r="AH737" i="1"/>
  <c r="AG531" i="1"/>
  <c r="AG595" i="1"/>
  <c r="AG618" i="1"/>
  <c r="AG626" i="1"/>
  <c r="AG634" i="1"/>
  <c r="AG642" i="1"/>
  <c r="AG650" i="1"/>
  <c r="AG658" i="1"/>
  <c r="AG666" i="1"/>
  <c r="AG674" i="1"/>
  <c r="AG682" i="1"/>
  <c r="AG690" i="1"/>
  <c r="AG698" i="1"/>
  <c r="AG706" i="1"/>
  <c r="AG714" i="1"/>
  <c r="AG722" i="1"/>
  <c r="AG730" i="1"/>
  <c r="AG738" i="1"/>
  <c r="AH482" i="1"/>
  <c r="AH546" i="1"/>
  <c r="AH618" i="1"/>
  <c r="AH626" i="1"/>
  <c r="AH634" i="1"/>
  <c r="AH642" i="1"/>
  <c r="AH650" i="1"/>
  <c r="AH658" i="1"/>
  <c r="AH666" i="1"/>
  <c r="AH674" i="1"/>
  <c r="AH682" i="1"/>
  <c r="AH690" i="1"/>
  <c r="AH698" i="1"/>
  <c r="AH706" i="1"/>
  <c r="AH714" i="1"/>
  <c r="AH722" i="1"/>
  <c r="AH730" i="1"/>
  <c r="AH738" i="1"/>
  <c r="AG539" i="1"/>
  <c r="AG603" i="1"/>
  <c r="AG619" i="1"/>
  <c r="AG627" i="1"/>
  <c r="AG635" i="1"/>
  <c r="AG643" i="1"/>
  <c r="AG651" i="1"/>
  <c r="AG659" i="1"/>
  <c r="AG667" i="1"/>
  <c r="AG675" i="1"/>
  <c r="AG683" i="1"/>
  <c r="AG691" i="1"/>
  <c r="AG699" i="1"/>
  <c r="AG707" i="1"/>
  <c r="AG715" i="1"/>
  <c r="AG723" i="1"/>
  <c r="AG731" i="1"/>
  <c r="AG739" i="1"/>
  <c r="AH490" i="1"/>
  <c r="AH554" i="1"/>
  <c r="AH608" i="1"/>
  <c r="AH619" i="1"/>
  <c r="AH627" i="1"/>
  <c r="AH635" i="1"/>
  <c r="AH643" i="1"/>
  <c r="AH651" i="1"/>
  <c r="AH659" i="1"/>
  <c r="AH667" i="1"/>
  <c r="AH675" i="1"/>
  <c r="AH683" i="1"/>
  <c r="AH691" i="1"/>
  <c r="AH699" i="1"/>
  <c r="AH707" i="1"/>
  <c r="AH715" i="1"/>
  <c r="AH723" i="1"/>
  <c r="AH731" i="1"/>
  <c r="AH739" i="1"/>
  <c r="AG483" i="1"/>
  <c r="AG547" i="1"/>
  <c r="AG620" i="1"/>
  <c r="AG628" i="1"/>
  <c r="AG636" i="1"/>
  <c r="AG644" i="1"/>
  <c r="AG652" i="1"/>
  <c r="AG660" i="1"/>
  <c r="AG668" i="1"/>
  <c r="AG676" i="1"/>
  <c r="AG684" i="1"/>
  <c r="AG692" i="1"/>
  <c r="AG700" i="1"/>
  <c r="AG708" i="1"/>
  <c r="AG716" i="1"/>
  <c r="AG724" i="1"/>
  <c r="AG732" i="1"/>
  <c r="AH498" i="1"/>
  <c r="AH562" i="1"/>
  <c r="AH620" i="1"/>
  <c r="AH628" i="1"/>
  <c r="AH636" i="1"/>
  <c r="AH644" i="1"/>
  <c r="AH652" i="1"/>
  <c r="AH660" i="1"/>
  <c r="AH668" i="1"/>
  <c r="AH676" i="1"/>
  <c r="AH684" i="1"/>
  <c r="AH692" i="1"/>
  <c r="AH700" i="1"/>
  <c r="AH708" i="1"/>
  <c r="AH716" i="1"/>
  <c r="AH724" i="1"/>
  <c r="AH732" i="1"/>
  <c r="AG491" i="1"/>
  <c r="AG555" i="1"/>
  <c r="AG611" i="1"/>
  <c r="AG621" i="1"/>
  <c r="AG629" i="1"/>
  <c r="AG637" i="1"/>
  <c r="AG645" i="1"/>
  <c r="AG653" i="1"/>
  <c r="AG661" i="1"/>
  <c r="AG669" i="1"/>
  <c r="AG677" i="1"/>
  <c r="AG685" i="1"/>
  <c r="AG693" i="1"/>
  <c r="AG701" i="1"/>
  <c r="AG709" i="1"/>
  <c r="AG717" i="1"/>
  <c r="AG725" i="1"/>
  <c r="AG733" i="1"/>
  <c r="AH506" i="1"/>
  <c r="AH570" i="1"/>
  <c r="AH621" i="1"/>
  <c r="AH629" i="1"/>
  <c r="AH637" i="1"/>
  <c r="AH645" i="1"/>
  <c r="AH653" i="1"/>
  <c r="AH661" i="1"/>
  <c r="AH669" i="1"/>
  <c r="AH677" i="1"/>
  <c r="AH685" i="1"/>
  <c r="AH693" i="1"/>
  <c r="AH701" i="1"/>
  <c r="AH709" i="1"/>
  <c r="AH717" i="1"/>
  <c r="AH725" i="1"/>
  <c r="AH733" i="1"/>
  <c r="AG499" i="1"/>
  <c r="AG563" i="1"/>
  <c r="AG614" i="1"/>
  <c r="AG622" i="1"/>
  <c r="AG630" i="1"/>
  <c r="AG638" i="1"/>
  <c r="AG646" i="1"/>
  <c r="AG654" i="1"/>
  <c r="AG662" i="1"/>
  <c r="AG670" i="1"/>
  <c r="AG678" i="1"/>
  <c r="AG686" i="1"/>
  <c r="AG694" i="1"/>
  <c r="AG702" i="1"/>
  <c r="AG710" i="1"/>
  <c r="AG718" i="1"/>
  <c r="AG726" i="1"/>
  <c r="AG734" i="1"/>
  <c r="AG463" i="1"/>
  <c r="AH514" i="1"/>
  <c r="AH578" i="1"/>
  <c r="AH614" i="1"/>
  <c r="AH622" i="1"/>
  <c r="AH630" i="1"/>
  <c r="AH638" i="1"/>
  <c r="AH646" i="1"/>
  <c r="AH654" i="1"/>
  <c r="AH662" i="1"/>
  <c r="AH670" i="1"/>
  <c r="AH678" i="1"/>
  <c r="AH686" i="1"/>
  <c r="AH694" i="1"/>
  <c r="AH702" i="1"/>
  <c r="AH710" i="1"/>
  <c r="AH718" i="1"/>
  <c r="AH726" i="1"/>
  <c r="AH734" i="1"/>
  <c r="AH742" i="1"/>
  <c r="AH463" i="1"/>
  <c r="AG507" i="1"/>
  <c r="AG571" i="1"/>
  <c r="AG613" i="1"/>
  <c r="AG615" i="1"/>
  <c r="AG623" i="1"/>
  <c r="AG631" i="1"/>
  <c r="AG639" i="1"/>
  <c r="AG647" i="1"/>
  <c r="AG655" i="1"/>
  <c r="AG663" i="1"/>
  <c r="AG671" i="1"/>
  <c r="AG679" i="1"/>
  <c r="AG687" i="1"/>
  <c r="AG695" i="1"/>
  <c r="AG703" i="1"/>
  <c r="AG711" i="1"/>
  <c r="AG719" i="1"/>
  <c r="AG727" i="1"/>
  <c r="AG735" i="1"/>
  <c r="AG362" i="1"/>
  <c r="AH522" i="1"/>
  <c r="AH586" i="1"/>
  <c r="AH613" i="1"/>
  <c r="AH615" i="1"/>
  <c r="AH623" i="1"/>
  <c r="AH631" i="1"/>
  <c r="AH639" i="1"/>
  <c r="AH647" i="1"/>
  <c r="AH655" i="1"/>
  <c r="AH663" i="1"/>
  <c r="AH671" i="1"/>
  <c r="AH679" i="1"/>
  <c r="AH687" i="1"/>
  <c r="AH695" i="1"/>
  <c r="AH703" i="1"/>
  <c r="AH711" i="1"/>
  <c r="AH719" i="1"/>
  <c r="AH727" i="1"/>
  <c r="AH735" i="1"/>
  <c r="AH624" i="1"/>
  <c r="AH688" i="1"/>
  <c r="AH744" i="1"/>
  <c r="AH752" i="1"/>
  <c r="AH760" i="1"/>
  <c r="AH768" i="1"/>
  <c r="AH776" i="1"/>
  <c r="AH784" i="1"/>
  <c r="AH792" i="1"/>
  <c r="AH800" i="1"/>
  <c r="AH808" i="1"/>
  <c r="AH816" i="1"/>
  <c r="AH824" i="1"/>
  <c r="AH832" i="1"/>
  <c r="AH840" i="1"/>
  <c r="AH848" i="1"/>
  <c r="AH856" i="1"/>
  <c r="AH864" i="1"/>
  <c r="AH872" i="1"/>
  <c r="AG632" i="1"/>
  <c r="AG696" i="1"/>
  <c r="AG743" i="1"/>
  <c r="AG745" i="1"/>
  <c r="AG753" i="1"/>
  <c r="AG761" i="1"/>
  <c r="AG769" i="1"/>
  <c r="AG777" i="1"/>
  <c r="AG785" i="1"/>
  <c r="AG793" i="1"/>
  <c r="AG801" i="1"/>
  <c r="AG809" i="1"/>
  <c r="AG817" i="1"/>
  <c r="AG825" i="1"/>
  <c r="AG833" i="1"/>
  <c r="AG841" i="1"/>
  <c r="AG849" i="1"/>
  <c r="AG857" i="1"/>
  <c r="AG865" i="1"/>
  <c r="AH632" i="1"/>
  <c r="AH696" i="1"/>
  <c r="AH743" i="1"/>
  <c r="AH745" i="1"/>
  <c r="AH753" i="1"/>
  <c r="AH761" i="1"/>
  <c r="AH769" i="1"/>
  <c r="AH777" i="1"/>
  <c r="AH785" i="1"/>
  <c r="AH793" i="1"/>
  <c r="AH801" i="1"/>
  <c r="AH809" i="1"/>
  <c r="AH817" i="1"/>
  <c r="AH825" i="1"/>
  <c r="AH833" i="1"/>
  <c r="AH841" i="1"/>
  <c r="AH849" i="1"/>
  <c r="AH857" i="1"/>
  <c r="AH865" i="1"/>
  <c r="AH873" i="1"/>
  <c r="AG640" i="1"/>
  <c r="AG704" i="1"/>
  <c r="AG746" i="1"/>
  <c r="AG754" i="1"/>
  <c r="AG762" i="1"/>
  <c r="AG770" i="1"/>
  <c r="AG778" i="1"/>
  <c r="AG786" i="1"/>
  <c r="AG794" i="1"/>
  <c r="AG802" i="1"/>
  <c r="AG810" i="1"/>
  <c r="AG818" i="1"/>
  <c r="AG826" i="1"/>
  <c r="AG834" i="1"/>
  <c r="AG842" i="1"/>
  <c r="AG850" i="1"/>
  <c r="AG858" i="1"/>
  <c r="AG866" i="1"/>
  <c r="AH640" i="1"/>
  <c r="AH704" i="1"/>
  <c r="AG742" i="1"/>
  <c r="AH746" i="1"/>
  <c r="AH754" i="1"/>
  <c r="AH762" i="1"/>
  <c r="AH770" i="1"/>
  <c r="AH778" i="1"/>
  <c r="AH786" i="1"/>
  <c r="AH794" i="1"/>
  <c r="AH802" i="1"/>
  <c r="AH810" i="1"/>
  <c r="AH818" i="1"/>
  <c r="AH826" i="1"/>
  <c r="AH834" i="1"/>
  <c r="AH842" i="1"/>
  <c r="AH850" i="1"/>
  <c r="AH858" i="1"/>
  <c r="AH866" i="1"/>
  <c r="AG648" i="1"/>
  <c r="AG712" i="1"/>
  <c r="AG747" i="1"/>
  <c r="AG755" i="1"/>
  <c r="AG763" i="1"/>
  <c r="AG771" i="1"/>
  <c r="AG779" i="1"/>
  <c r="AG787" i="1"/>
  <c r="AG795" i="1"/>
  <c r="AG803" i="1"/>
  <c r="AG811" i="1"/>
  <c r="AG819" i="1"/>
  <c r="AG827" i="1"/>
  <c r="AG835" i="1"/>
  <c r="AG843" i="1"/>
  <c r="AG851" i="1"/>
  <c r="AG859" i="1"/>
  <c r="AG867" i="1"/>
  <c r="AH648" i="1"/>
  <c r="AH712" i="1"/>
  <c r="AG741" i="1"/>
  <c r="AH747" i="1"/>
  <c r="AH755" i="1"/>
  <c r="AH763" i="1"/>
  <c r="AH771" i="1"/>
  <c r="AH779" i="1"/>
  <c r="AH787" i="1"/>
  <c r="AH795" i="1"/>
  <c r="AH803" i="1"/>
  <c r="AH811" i="1"/>
  <c r="AH819" i="1"/>
  <c r="AH827" i="1"/>
  <c r="AH835" i="1"/>
  <c r="AH843" i="1"/>
  <c r="AH851" i="1"/>
  <c r="AH859" i="1"/>
  <c r="AH867" i="1"/>
  <c r="AG515" i="1"/>
  <c r="AG656" i="1"/>
  <c r="AG720" i="1"/>
  <c r="AH741" i="1"/>
  <c r="AG748" i="1"/>
  <c r="AG756" i="1"/>
  <c r="AG764" i="1"/>
  <c r="AG772" i="1"/>
  <c r="AG780" i="1"/>
  <c r="AG788" i="1"/>
  <c r="AG796" i="1"/>
  <c r="AG804" i="1"/>
  <c r="AG812" i="1"/>
  <c r="AG820" i="1"/>
  <c r="AG828" i="1"/>
  <c r="AG836" i="1"/>
  <c r="AG844" i="1"/>
  <c r="AG852" i="1"/>
  <c r="AG860" i="1"/>
  <c r="AG868" i="1"/>
  <c r="AH656" i="1"/>
  <c r="AH720" i="1"/>
  <c r="AH748" i="1"/>
  <c r="AH756" i="1"/>
  <c r="AH764" i="1"/>
  <c r="AH772" i="1"/>
  <c r="AH780" i="1"/>
  <c r="AH788" i="1"/>
  <c r="AH796" i="1"/>
  <c r="AH804" i="1"/>
  <c r="AH812" i="1"/>
  <c r="AH820" i="1"/>
  <c r="AH828" i="1"/>
  <c r="AH836" i="1"/>
  <c r="AH844" i="1"/>
  <c r="AH852" i="1"/>
  <c r="AH860" i="1"/>
  <c r="AG579" i="1"/>
  <c r="AG664" i="1"/>
  <c r="AG728" i="1"/>
  <c r="AG749" i="1"/>
  <c r="AG757" i="1"/>
  <c r="AG765" i="1"/>
  <c r="AG773" i="1"/>
  <c r="AG781" i="1"/>
  <c r="AG789" i="1"/>
  <c r="AG797" i="1"/>
  <c r="AG805" i="1"/>
  <c r="AG813" i="1"/>
  <c r="AG821" i="1"/>
  <c r="AG829" i="1"/>
  <c r="AG837" i="1"/>
  <c r="AG845" i="1"/>
  <c r="AG853" i="1"/>
  <c r="AG861" i="1"/>
  <c r="AH664" i="1"/>
  <c r="AH728" i="1"/>
  <c r="AG740" i="1"/>
  <c r="AH749" i="1"/>
  <c r="AH757" i="1"/>
  <c r="AH765" i="1"/>
  <c r="AH773" i="1"/>
  <c r="AH781" i="1"/>
  <c r="AH789" i="1"/>
  <c r="AH797" i="1"/>
  <c r="AH805" i="1"/>
  <c r="AH813" i="1"/>
  <c r="AH821" i="1"/>
  <c r="AH829" i="1"/>
  <c r="AH837" i="1"/>
  <c r="AH845" i="1"/>
  <c r="AH853" i="1"/>
  <c r="AH861" i="1"/>
  <c r="AG468" i="1"/>
  <c r="AG672" i="1"/>
  <c r="AG736" i="1"/>
  <c r="AH740" i="1"/>
  <c r="AG750" i="1"/>
  <c r="AG758" i="1"/>
  <c r="AG766" i="1"/>
  <c r="AG774" i="1"/>
  <c r="AG782" i="1"/>
  <c r="AG790" i="1"/>
  <c r="AG798" i="1"/>
  <c r="AG806" i="1"/>
  <c r="AG814" i="1"/>
  <c r="AG822" i="1"/>
  <c r="AG830" i="1"/>
  <c r="AG838" i="1"/>
  <c r="AG846" i="1"/>
  <c r="AG854" i="1"/>
  <c r="AG862" i="1"/>
  <c r="AG870" i="1"/>
  <c r="AH471" i="1"/>
  <c r="AH530" i="1"/>
  <c r="AH672" i="1"/>
  <c r="AH736" i="1"/>
  <c r="AH750" i="1"/>
  <c r="AH758" i="1"/>
  <c r="AH766" i="1"/>
  <c r="AH774" i="1"/>
  <c r="AH782" i="1"/>
  <c r="AH790" i="1"/>
  <c r="AH798" i="1"/>
  <c r="AH806" i="1"/>
  <c r="AH814" i="1"/>
  <c r="AH822" i="1"/>
  <c r="AH830" i="1"/>
  <c r="AH838" i="1"/>
  <c r="AH846" i="1"/>
  <c r="AH854" i="1"/>
  <c r="AH862" i="1"/>
  <c r="AH870" i="1"/>
  <c r="AG616" i="1"/>
  <c r="AG680" i="1"/>
  <c r="AG751" i="1"/>
  <c r="AG759" i="1"/>
  <c r="AG767" i="1"/>
  <c r="AG775" i="1"/>
  <c r="AG783" i="1"/>
  <c r="AG791" i="1"/>
  <c r="AG799" i="1"/>
  <c r="AG807" i="1"/>
  <c r="AG815" i="1"/>
  <c r="AG823" i="1"/>
  <c r="AG831" i="1"/>
  <c r="AG839" i="1"/>
  <c r="AG847" i="1"/>
  <c r="AG855" i="1"/>
  <c r="AG863" i="1"/>
  <c r="AG871" i="1"/>
  <c r="AG768" i="1"/>
  <c r="AG832" i="1"/>
  <c r="AH879" i="1"/>
  <c r="AH887" i="1"/>
  <c r="AH895" i="1"/>
  <c r="AH903" i="1"/>
  <c r="AH911" i="1"/>
  <c r="AH919" i="1"/>
  <c r="AH927" i="1"/>
  <c r="AH935" i="1"/>
  <c r="AH943" i="1"/>
  <c r="AH951" i="1"/>
  <c r="AH959" i="1"/>
  <c r="AH967" i="1"/>
  <c r="AH975" i="1"/>
  <c r="AH983" i="1"/>
  <c r="AH991" i="1"/>
  <c r="AH999" i="1"/>
  <c r="AH680" i="1"/>
  <c r="AH783" i="1"/>
  <c r="AH847" i="1"/>
  <c r="AG869" i="1"/>
  <c r="AG880" i="1"/>
  <c r="AG888" i="1"/>
  <c r="AG896" i="1"/>
  <c r="AG904" i="1"/>
  <c r="AG912" i="1"/>
  <c r="AG920" i="1"/>
  <c r="AG928" i="1"/>
  <c r="AG936" i="1"/>
  <c r="AG944" i="1"/>
  <c r="AG952" i="1"/>
  <c r="AG960" i="1"/>
  <c r="AG968" i="1"/>
  <c r="AG976" i="1"/>
  <c r="AG984" i="1"/>
  <c r="AG992" i="1"/>
  <c r="AG1000" i="1"/>
  <c r="AG624" i="1"/>
  <c r="AG776" i="1"/>
  <c r="AG840" i="1"/>
  <c r="AH869" i="1"/>
  <c r="AH871" i="1"/>
  <c r="AH880" i="1"/>
  <c r="AH888" i="1"/>
  <c r="AH896" i="1"/>
  <c r="AH904" i="1"/>
  <c r="AH912" i="1"/>
  <c r="AH920" i="1"/>
  <c r="AH928" i="1"/>
  <c r="AH936" i="1"/>
  <c r="AH944" i="1"/>
  <c r="AH952" i="1"/>
  <c r="AH960" i="1"/>
  <c r="AH968" i="1"/>
  <c r="AH976" i="1"/>
  <c r="AH984" i="1"/>
  <c r="AH992" i="1"/>
  <c r="AH1000" i="1"/>
  <c r="AH791" i="1"/>
  <c r="AH855" i="1"/>
  <c r="AG881" i="1"/>
  <c r="AG889" i="1"/>
  <c r="AG897" i="1"/>
  <c r="AG905" i="1"/>
  <c r="AG913" i="1"/>
  <c r="AG921" i="1"/>
  <c r="AG929" i="1"/>
  <c r="AG937" i="1"/>
  <c r="AG945" i="1"/>
  <c r="AG953" i="1"/>
  <c r="AG961" i="1"/>
  <c r="AG969" i="1"/>
  <c r="AG977" i="1"/>
  <c r="AG985" i="1"/>
  <c r="AG993" i="1"/>
  <c r="AG1001" i="1"/>
  <c r="AG688" i="1"/>
  <c r="AG784" i="1"/>
  <c r="AG848" i="1"/>
  <c r="AH881" i="1"/>
  <c r="AH889" i="1"/>
  <c r="AH897" i="1"/>
  <c r="AH905" i="1"/>
  <c r="AH913" i="1"/>
  <c r="AH921" i="1"/>
  <c r="AH929" i="1"/>
  <c r="AH937" i="1"/>
  <c r="AH945" i="1"/>
  <c r="AH953" i="1"/>
  <c r="AH961" i="1"/>
  <c r="AH969" i="1"/>
  <c r="AH977" i="1"/>
  <c r="AH985" i="1"/>
  <c r="AH993" i="1"/>
  <c r="AH1001" i="1"/>
  <c r="AH799" i="1"/>
  <c r="AH863" i="1"/>
  <c r="AG874" i="1"/>
  <c r="AG882" i="1"/>
  <c r="AG890" i="1"/>
  <c r="AG898" i="1"/>
  <c r="AG906" i="1"/>
  <c r="AG914" i="1"/>
  <c r="AG922" i="1"/>
  <c r="AG930" i="1"/>
  <c r="AG938" i="1"/>
  <c r="AG946" i="1"/>
  <c r="AG954" i="1"/>
  <c r="AG962" i="1"/>
  <c r="AG970" i="1"/>
  <c r="AG978" i="1"/>
  <c r="AG986" i="1"/>
  <c r="AG792" i="1"/>
  <c r="AG856" i="1"/>
  <c r="AH874" i="1"/>
  <c r="AH882" i="1"/>
  <c r="AH890" i="1"/>
  <c r="AH898" i="1"/>
  <c r="AH906" i="1"/>
  <c r="AH914" i="1"/>
  <c r="AH922" i="1"/>
  <c r="AH930" i="1"/>
  <c r="AH938" i="1"/>
  <c r="AH946" i="1"/>
  <c r="AH954" i="1"/>
  <c r="AH962" i="1"/>
  <c r="AH970" i="1"/>
  <c r="AH978" i="1"/>
  <c r="AH986" i="1"/>
  <c r="AH994" i="1"/>
  <c r="AH807" i="1"/>
  <c r="AG873" i="1"/>
  <c r="AG875" i="1"/>
  <c r="AG883" i="1"/>
  <c r="AG891" i="1"/>
  <c r="AG899" i="1"/>
  <c r="AG907" i="1"/>
  <c r="AG915" i="1"/>
  <c r="AG923" i="1"/>
  <c r="AG931" i="1"/>
  <c r="AG939" i="1"/>
  <c r="AG947" i="1"/>
  <c r="AG955" i="1"/>
  <c r="AG963" i="1"/>
  <c r="AG971" i="1"/>
  <c r="AG979" i="1"/>
  <c r="AG987" i="1"/>
  <c r="AG995" i="1"/>
  <c r="AG800" i="1"/>
  <c r="AG864" i="1"/>
  <c r="AH875" i="1"/>
  <c r="AH883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987" i="1"/>
  <c r="AH995" i="1"/>
  <c r="AH751" i="1"/>
  <c r="AH815" i="1"/>
  <c r="AH868" i="1"/>
  <c r="AG876" i="1"/>
  <c r="AG884" i="1"/>
  <c r="AG892" i="1"/>
  <c r="AG900" i="1"/>
  <c r="AG908" i="1"/>
  <c r="AG916" i="1"/>
  <c r="AG924" i="1"/>
  <c r="AG932" i="1"/>
  <c r="AG940" i="1"/>
  <c r="AG948" i="1"/>
  <c r="AG956" i="1"/>
  <c r="AG964" i="1"/>
  <c r="AG972" i="1"/>
  <c r="AG980" i="1"/>
  <c r="AG988" i="1"/>
  <c r="AG996" i="1"/>
  <c r="AG744" i="1"/>
  <c r="AG808" i="1"/>
  <c r="AH876" i="1"/>
  <c r="AH884" i="1"/>
  <c r="AH892" i="1"/>
  <c r="AH900" i="1"/>
  <c r="AH908" i="1"/>
  <c r="AH916" i="1"/>
  <c r="AH924" i="1"/>
  <c r="AH932" i="1"/>
  <c r="AH940" i="1"/>
  <c r="AH948" i="1"/>
  <c r="AH956" i="1"/>
  <c r="AH964" i="1"/>
  <c r="AH972" i="1"/>
  <c r="AH980" i="1"/>
  <c r="AH988" i="1"/>
  <c r="AH996" i="1"/>
  <c r="AH759" i="1"/>
  <c r="AH823" i="1"/>
  <c r="AG877" i="1"/>
  <c r="AG885" i="1"/>
  <c r="AG893" i="1"/>
  <c r="AG901" i="1"/>
  <c r="AG909" i="1"/>
  <c r="AG917" i="1"/>
  <c r="AG925" i="1"/>
  <c r="AG933" i="1"/>
  <c r="AG941" i="1"/>
  <c r="AG949" i="1"/>
  <c r="AG957" i="1"/>
  <c r="AG965" i="1"/>
  <c r="AG973" i="1"/>
  <c r="AG981" i="1"/>
  <c r="AG989" i="1"/>
  <c r="AG997" i="1"/>
  <c r="AG752" i="1"/>
  <c r="AG816" i="1"/>
  <c r="AG872" i="1"/>
  <c r="AH877" i="1"/>
  <c r="AH885" i="1"/>
  <c r="AH893" i="1"/>
  <c r="AH901" i="1"/>
  <c r="AH909" i="1"/>
  <c r="AH917" i="1"/>
  <c r="AH925" i="1"/>
  <c r="AH933" i="1"/>
  <c r="AH941" i="1"/>
  <c r="AH949" i="1"/>
  <c r="AH957" i="1"/>
  <c r="AH965" i="1"/>
  <c r="AH973" i="1"/>
  <c r="AH981" i="1"/>
  <c r="AH989" i="1"/>
  <c r="AH997" i="1"/>
  <c r="AH594" i="1"/>
  <c r="AH767" i="1"/>
  <c r="AH831" i="1"/>
  <c r="AG878" i="1"/>
  <c r="AG886" i="1"/>
  <c r="AG894" i="1"/>
  <c r="AG902" i="1"/>
  <c r="AG910" i="1"/>
  <c r="AH998" i="1"/>
  <c r="AH1010" i="1"/>
  <c r="AH1018" i="1"/>
  <c r="AH1026" i="1"/>
  <c r="AH1034" i="1"/>
  <c r="AH1042" i="1"/>
  <c r="AH1050" i="1"/>
  <c r="AH1058" i="1"/>
  <c r="AH1066" i="1"/>
  <c r="AH1074" i="1"/>
  <c r="AH1082" i="1"/>
  <c r="AH1090" i="1"/>
  <c r="AH1098" i="1"/>
  <c r="AH1106" i="1"/>
  <c r="AH1114" i="1"/>
  <c r="AH1122" i="1"/>
  <c r="AG918" i="1"/>
  <c r="AG927" i="1"/>
  <c r="AG1003" i="1"/>
  <c r="AG1011" i="1"/>
  <c r="AG1019" i="1"/>
  <c r="AG1027" i="1"/>
  <c r="AG1035" i="1"/>
  <c r="AG1043" i="1"/>
  <c r="AG1051" i="1"/>
  <c r="AG1059" i="1"/>
  <c r="AG1067" i="1"/>
  <c r="AG1075" i="1"/>
  <c r="AG1083" i="1"/>
  <c r="AG1091" i="1"/>
  <c r="AG1099" i="1"/>
  <c r="AG1107" i="1"/>
  <c r="AG1115" i="1"/>
  <c r="AG1123" i="1"/>
  <c r="AH918" i="1"/>
  <c r="AG942" i="1"/>
  <c r="AG951" i="1"/>
  <c r="AH1003" i="1"/>
  <c r="AH1011" i="1"/>
  <c r="AH1019" i="1"/>
  <c r="AH1027" i="1"/>
  <c r="AH1035" i="1"/>
  <c r="AH1043" i="1"/>
  <c r="AH1051" i="1"/>
  <c r="AH1059" i="1"/>
  <c r="AH1067" i="1"/>
  <c r="AH1075" i="1"/>
  <c r="AH1083" i="1"/>
  <c r="AH1091" i="1"/>
  <c r="AH1099" i="1"/>
  <c r="AH1107" i="1"/>
  <c r="AH1115" i="1"/>
  <c r="AH1123" i="1"/>
  <c r="AG760" i="1"/>
  <c r="AH878" i="1"/>
  <c r="AH942" i="1"/>
  <c r="AG966" i="1"/>
  <c r="AG975" i="1"/>
  <c r="AG1004" i="1"/>
  <c r="AG1012" i="1"/>
  <c r="AG1020" i="1"/>
  <c r="AG1028" i="1"/>
  <c r="AG1036" i="1"/>
  <c r="AG1044" i="1"/>
  <c r="AG1052" i="1"/>
  <c r="AG1060" i="1"/>
  <c r="AG1068" i="1"/>
  <c r="AG1076" i="1"/>
  <c r="AG1084" i="1"/>
  <c r="AG1092" i="1"/>
  <c r="AG1100" i="1"/>
  <c r="AG1108" i="1"/>
  <c r="AG1116" i="1"/>
  <c r="AH966" i="1"/>
  <c r="AG1002" i="1"/>
  <c r="AH1004" i="1"/>
  <c r="AH1012" i="1"/>
  <c r="AH1020" i="1"/>
  <c r="AH1028" i="1"/>
  <c r="AH1036" i="1"/>
  <c r="AH1044" i="1"/>
  <c r="AH1052" i="1"/>
  <c r="AH1060" i="1"/>
  <c r="AH1068" i="1"/>
  <c r="AH1076" i="1"/>
  <c r="AH1084" i="1"/>
  <c r="AH1092" i="1"/>
  <c r="AH1100" i="1"/>
  <c r="AH1108" i="1"/>
  <c r="AH1116" i="1"/>
  <c r="AG824" i="1"/>
  <c r="AH886" i="1"/>
  <c r="AH1002" i="1"/>
  <c r="AG1005" i="1"/>
  <c r="AG1013" i="1"/>
  <c r="AG1021" i="1"/>
  <c r="AG1029" i="1"/>
  <c r="AG1037" i="1"/>
  <c r="AG1045" i="1"/>
  <c r="AG1053" i="1"/>
  <c r="AG1061" i="1"/>
  <c r="AG1069" i="1"/>
  <c r="AG1077" i="1"/>
  <c r="AG1085" i="1"/>
  <c r="AG1093" i="1"/>
  <c r="AG1101" i="1"/>
  <c r="AG1109" i="1"/>
  <c r="AG1117" i="1"/>
  <c r="AG879" i="1"/>
  <c r="AG919" i="1"/>
  <c r="AH1005" i="1"/>
  <c r="AH1013" i="1"/>
  <c r="AH1021" i="1"/>
  <c r="AH1029" i="1"/>
  <c r="AH1037" i="1"/>
  <c r="AH1045" i="1"/>
  <c r="AH1053" i="1"/>
  <c r="AH1061" i="1"/>
  <c r="AH1069" i="1"/>
  <c r="AH1077" i="1"/>
  <c r="AH1085" i="1"/>
  <c r="AH1093" i="1"/>
  <c r="AH1101" i="1"/>
  <c r="AH1109" i="1"/>
  <c r="AH1117" i="1"/>
  <c r="AH894" i="1"/>
  <c r="AG934" i="1"/>
  <c r="AG943" i="1"/>
  <c r="AG1006" i="1"/>
  <c r="AG1014" i="1"/>
  <c r="AG1022" i="1"/>
  <c r="AG1030" i="1"/>
  <c r="AG1038" i="1"/>
  <c r="AG1046" i="1"/>
  <c r="AG1054" i="1"/>
  <c r="AG1062" i="1"/>
  <c r="AG1070" i="1"/>
  <c r="AG1078" i="1"/>
  <c r="AG1086" i="1"/>
  <c r="AG1094" i="1"/>
  <c r="AG1102" i="1"/>
  <c r="AG1110" i="1"/>
  <c r="AG1118" i="1"/>
  <c r="AH775" i="1"/>
  <c r="AG887" i="1"/>
  <c r="AH934" i="1"/>
  <c r="AG958" i="1"/>
  <c r="AG967" i="1"/>
  <c r="AG990" i="1"/>
  <c r="AG999" i="1"/>
  <c r="AH1006" i="1"/>
  <c r="AH1014" i="1"/>
  <c r="AH1022" i="1"/>
  <c r="AH1030" i="1"/>
  <c r="AH1038" i="1"/>
  <c r="AH1046" i="1"/>
  <c r="AH1054" i="1"/>
  <c r="AH1062" i="1"/>
  <c r="AH1070" i="1"/>
  <c r="AH1078" i="1"/>
  <c r="AH1086" i="1"/>
  <c r="AH1094" i="1"/>
  <c r="AH1102" i="1"/>
  <c r="AH1110" i="1"/>
  <c r="AH1118" i="1"/>
  <c r="AH1126" i="1"/>
  <c r="AH902" i="1"/>
  <c r="AH958" i="1"/>
  <c r="AG982" i="1"/>
  <c r="AH990" i="1"/>
  <c r="AG1007" i="1"/>
  <c r="AG1015" i="1"/>
  <c r="AG1023" i="1"/>
  <c r="AG1031" i="1"/>
  <c r="AG1039" i="1"/>
  <c r="AG1047" i="1"/>
  <c r="AG1055" i="1"/>
  <c r="AG1063" i="1"/>
  <c r="AG1071" i="1"/>
  <c r="AG1079" i="1"/>
  <c r="AG1087" i="1"/>
  <c r="AG1095" i="1"/>
  <c r="AG1103" i="1"/>
  <c r="AG1111" i="1"/>
  <c r="AG1119" i="1"/>
  <c r="AH616" i="1"/>
  <c r="AH839" i="1"/>
  <c r="AG895" i="1"/>
  <c r="AH982" i="1"/>
  <c r="AH1007" i="1"/>
  <c r="AH1015" i="1"/>
  <c r="AH1023" i="1"/>
  <c r="AH1031" i="1"/>
  <c r="AH1039" i="1"/>
  <c r="AH1047" i="1"/>
  <c r="AH1055" i="1"/>
  <c r="AH1063" i="1"/>
  <c r="AH1071" i="1"/>
  <c r="AH1079" i="1"/>
  <c r="AH1087" i="1"/>
  <c r="AH1095" i="1"/>
  <c r="AH1103" i="1"/>
  <c r="AH1111" i="1"/>
  <c r="AH1119" i="1"/>
  <c r="AH910" i="1"/>
  <c r="AG994" i="1"/>
  <c r="AG1008" i="1"/>
  <c r="AG1016" i="1"/>
  <c r="AG1024" i="1"/>
  <c r="AG1032" i="1"/>
  <c r="AG1040" i="1"/>
  <c r="AG1048" i="1"/>
  <c r="AG1056" i="1"/>
  <c r="AG1064" i="1"/>
  <c r="AG1072" i="1"/>
  <c r="AG1080" i="1"/>
  <c r="AG1088" i="1"/>
  <c r="AG1096" i="1"/>
  <c r="AG1104" i="1"/>
  <c r="AG1112" i="1"/>
  <c r="AG903" i="1"/>
  <c r="AG926" i="1"/>
  <c r="AG935" i="1"/>
  <c r="AH1008" i="1"/>
  <c r="AH1016" i="1"/>
  <c r="AH1024" i="1"/>
  <c r="AH1032" i="1"/>
  <c r="AH1040" i="1"/>
  <c r="AH1048" i="1"/>
  <c r="AH1056" i="1"/>
  <c r="AH1064" i="1"/>
  <c r="AH1072" i="1"/>
  <c r="AH1080" i="1"/>
  <c r="AH1088" i="1"/>
  <c r="AH1096" i="1"/>
  <c r="AH1104" i="1"/>
  <c r="AH1112" i="1"/>
  <c r="AH1120" i="1"/>
  <c r="AH926" i="1"/>
  <c r="AG950" i="1"/>
  <c r="AG959" i="1"/>
  <c r="AG1009" i="1"/>
  <c r="AG1017" i="1"/>
  <c r="AG1025" i="1"/>
  <c r="AG1033" i="1"/>
  <c r="AG1041" i="1"/>
  <c r="AG1049" i="1"/>
  <c r="AG1057" i="1"/>
  <c r="AG1065" i="1"/>
  <c r="AG1073" i="1"/>
  <c r="AG1081" i="1"/>
  <c r="AG1089" i="1"/>
  <c r="AG1097" i="1"/>
  <c r="AG1105" i="1"/>
  <c r="AG998" i="1"/>
  <c r="AG1050" i="1"/>
  <c r="AG1133" i="1"/>
  <c r="AG1141" i="1"/>
  <c r="AG1149" i="1"/>
  <c r="AG1157" i="1"/>
  <c r="AG1165" i="1"/>
  <c r="AG1173" i="1"/>
  <c r="AG1181" i="1"/>
  <c r="AG1189" i="1"/>
  <c r="AG1197" i="1"/>
  <c r="AG1205" i="1"/>
  <c r="AG1213" i="1"/>
  <c r="AG1221" i="1"/>
  <c r="AG1229" i="1"/>
  <c r="AG1237" i="1"/>
  <c r="AG1245" i="1"/>
  <c r="AH1065" i="1"/>
  <c r="AG1121" i="1"/>
  <c r="AH1133" i="1"/>
  <c r="AH1141" i="1"/>
  <c r="AH1149" i="1"/>
  <c r="AH1157" i="1"/>
  <c r="AH1165" i="1"/>
  <c r="AH1173" i="1"/>
  <c r="AH1181" i="1"/>
  <c r="AH1189" i="1"/>
  <c r="AH1197" i="1"/>
  <c r="AH1205" i="1"/>
  <c r="AH1213" i="1"/>
  <c r="AH1221" i="1"/>
  <c r="AH1229" i="1"/>
  <c r="AH1237" i="1"/>
  <c r="AH1245" i="1"/>
  <c r="AG1058" i="1"/>
  <c r="AH1121" i="1"/>
  <c r="AG1134" i="1"/>
  <c r="AG1142" i="1"/>
  <c r="AG1150" i="1"/>
  <c r="AG1158" i="1"/>
  <c r="AG1166" i="1"/>
  <c r="AG1174" i="1"/>
  <c r="AG1182" i="1"/>
  <c r="AG1190" i="1"/>
  <c r="AG1198" i="1"/>
  <c r="AG1206" i="1"/>
  <c r="AG1214" i="1"/>
  <c r="AG1222" i="1"/>
  <c r="AG1230" i="1"/>
  <c r="AG1238" i="1"/>
  <c r="AG1246" i="1"/>
  <c r="AG974" i="1"/>
  <c r="AH1009" i="1"/>
  <c r="AH1073" i="1"/>
  <c r="AG1113" i="1"/>
  <c r="AH1134" i="1"/>
  <c r="AH1142" i="1"/>
  <c r="AH1150" i="1"/>
  <c r="AH1158" i="1"/>
  <c r="AH1166" i="1"/>
  <c r="AH1174" i="1"/>
  <c r="AH1182" i="1"/>
  <c r="AH1190" i="1"/>
  <c r="AH1198" i="1"/>
  <c r="AH1206" i="1"/>
  <c r="AH1214" i="1"/>
  <c r="AH1222" i="1"/>
  <c r="AH1230" i="1"/>
  <c r="AH1238" i="1"/>
  <c r="AH1246" i="1"/>
  <c r="AH1254" i="1"/>
  <c r="AH974" i="1"/>
  <c r="AG1066" i="1"/>
  <c r="AH1113" i="1"/>
  <c r="AG1135" i="1"/>
  <c r="AG1143" i="1"/>
  <c r="AG1151" i="1"/>
  <c r="AG1159" i="1"/>
  <c r="AG1167" i="1"/>
  <c r="AG1175" i="1"/>
  <c r="AG1183" i="1"/>
  <c r="AG1191" i="1"/>
  <c r="AG1199" i="1"/>
  <c r="AG1207" i="1"/>
  <c r="AG1215" i="1"/>
  <c r="AG1223" i="1"/>
  <c r="AG1231" i="1"/>
  <c r="AG1239" i="1"/>
  <c r="AG1247" i="1"/>
  <c r="AH1017" i="1"/>
  <c r="AH1081" i="1"/>
  <c r="AG1127" i="1"/>
  <c r="AH1135" i="1"/>
  <c r="AH1143" i="1"/>
  <c r="AH1151" i="1"/>
  <c r="AH1159" i="1"/>
  <c r="AH1167" i="1"/>
  <c r="AH1175" i="1"/>
  <c r="AH1183" i="1"/>
  <c r="AH1191" i="1"/>
  <c r="AH1199" i="1"/>
  <c r="AH1207" i="1"/>
  <c r="AH1215" i="1"/>
  <c r="AH1223" i="1"/>
  <c r="AH1231" i="1"/>
  <c r="AH1239" i="1"/>
  <c r="AH1247" i="1"/>
  <c r="AG1010" i="1"/>
  <c r="AG1074" i="1"/>
  <c r="AH1127" i="1"/>
  <c r="AG1128" i="1"/>
  <c r="AG1136" i="1"/>
  <c r="AG1144" i="1"/>
  <c r="AG1152" i="1"/>
  <c r="AG1160" i="1"/>
  <c r="AG1168" i="1"/>
  <c r="AG1176" i="1"/>
  <c r="AG1184" i="1"/>
  <c r="AG1192" i="1"/>
  <c r="AG1200" i="1"/>
  <c r="AG1208" i="1"/>
  <c r="AG1216" i="1"/>
  <c r="AG1224" i="1"/>
  <c r="AG1232" i="1"/>
  <c r="AG1240" i="1"/>
  <c r="AG1248" i="1"/>
  <c r="AG983" i="1"/>
  <c r="AH1025" i="1"/>
  <c r="AH1089" i="1"/>
  <c r="AG1126" i="1"/>
  <c r="AH1128" i="1"/>
  <c r="AH1136" i="1"/>
  <c r="AH1144" i="1"/>
  <c r="AH1152" i="1"/>
  <c r="AH1160" i="1"/>
  <c r="AH1168" i="1"/>
  <c r="AH1176" i="1"/>
  <c r="AH1184" i="1"/>
  <c r="AH1192" i="1"/>
  <c r="AH1200" i="1"/>
  <c r="AH1208" i="1"/>
  <c r="AH1216" i="1"/>
  <c r="AH1224" i="1"/>
  <c r="AH1232" i="1"/>
  <c r="AH1240" i="1"/>
  <c r="AH1248" i="1"/>
  <c r="AG1018" i="1"/>
  <c r="AG1082" i="1"/>
  <c r="AG1114" i="1"/>
  <c r="AG1122" i="1"/>
  <c r="AG1125" i="1"/>
  <c r="AG1129" i="1"/>
  <c r="AG1137" i="1"/>
  <c r="AG1145" i="1"/>
  <c r="AG1153" i="1"/>
  <c r="AG1161" i="1"/>
  <c r="AG1169" i="1"/>
  <c r="AG1177" i="1"/>
  <c r="AG1185" i="1"/>
  <c r="AG1193" i="1"/>
  <c r="AG1201" i="1"/>
  <c r="AG1209" i="1"/>
  <c r="AG1217" i="1"/>
  <c r="AG1225" i="1"/>
  <c r="AG1233" i="1"/>
  <c r="AG1241" i="1"/>
  <c r="AG911" i="1"/>
  <c r="AH950" i="1"/>
  <c r="AH1033" i="1"/>
  <c r="AH1097" i="1"/>
  <c r="AG1124" i="1"/>
  <c r="AH1125" i="1"/>
  <c r="AH1129" i="1"/>
  <c r="AH1137" i="1"/>
  <c r="AH1145" i="1"/>
  <c r="AH1153" i="1"/>
  <c r="AH1161" i="1"/>
  <c r="AH1169" i="1"/>
  <c r="AH1177" i="1"/>
  <c r="AH1185" i="1"/>
  <c r="AH1193" i="1"/>
  <c r="AH1201" i="1"/>
  <c r="AH1209" i="1"/>
  <c r="AH1217" i="1"/>
  <c r="AH1225" i="1"/>
  <c r="AH1233" i="1"/>
  <c r="AG1026" i="1"/>
  <c r="AG1090" i="1"/>
  <c r="AH1124" i="1"/>
  <c r="AG1130" i="1"/>
  <c r="AG1138" i="1"/>
  <c r="AG1146" i="1"/>
  <c r="AG1154" i="1"/>
  <c r="AG1162" i="1"/>
  <c r="AG1170" i="1"/>
  <c r="AG1178" i="1"/>
  <c r="AG1186" i="1"/>
  <c r="AG1194" i="1"/>
  <c r="AG1202" i="1"/>
  <c r="AG1210" i="1"/>
  <c r="AG1218" i="1"/>
  <c r="AG1226" i="1"/>
  <c r="AG1234" i="1"/>
  <c r="AG1242" i="1"/>
  <c r="AG991" i="1"/>
  <c r="AH1041" i="1"/>
  <c r="AH1105" i="1"/>
  <c r="AH1130" i="1"/>
  <c r="AH1138" i="1"/>
  <c r="AH1146" i="1"/>
  <c r="AH1154" i="1"/>
  <c r="AH1162" i="1"/>
  <c r="AH1170" i="1"/>
  <c r="AH1178" i="1"/>
  <c r="AH1186" i="1"/>
  <c r="AH1194" i="1"/>
  <c r="AH1202" i="1"/>
  <c r="AH1210" i="1"/>
  <c r="AH1218" i="1"/>
  <c r="AH1226" i="1"/>
  <c r="AH1234" i="1"/>
  <c r="AH1242" i="1"/>
  <c r="AH1250" i="1"/>
  <c r="AG1034" i="1"/>
  <c r="AG1098" i="1"/>
  <c r="AG1120" i="1"/>
  <c r="AG1131" i="1"/>
  <c r="AG1139" i="1"/>
  <c r="AG1147" i="1"/>
  <c r="AG1155" i="1"/>
  <c r="AG1163" i="1"/>
  <c r="AG1171" i="1"/>
  <c r="AG1179" i="1"/>
  <c r="AG1187" i="1"/>
  <c r="AG1195" i="1"/>
  <c r="AG1203" i="1"/>
  <c r="AG1211" i="1"/>
  <c r="AG1219" i="1"/>
  <c r="AG1227" i="1"/>
  <c r="AG1235" i="1"/>
  <c r="AG1243" i="1"/>
  <c r="AH1049" i="1"/>
  <c r="AH1131" i="1"/>
  <c r="AH1139" i="1"/>
  <c r="AH1147" i="1"/>
  <c r="AH1155" i="1"/>
  <c r="AH1163" i="1"/>
  <c r="AH1171" i="1"/>
  <c r="AH1179" i="1"/>
  <c r="AH1187" i="1"/>
  <c r="AH1195" i="1"/>
  <c r="AH1203" i="1"/>
  <c r="AH1211" i="1"/>
  <c r="AH1219" i="1"/>
  <c r="AH1227" i="1"/>
  <c r="AH1235" i="1"/>
  <c r="AH1057" i="1"/>
  <c r="AH1164" i="1"/>
  <c r="AH1228" i="1"/>
  <c r="AG1250" i="1"/>
  <c r="AH1251" i="1"/>
  <c r="AH1252" i="1"/>
  <c r="AH1253" i="1"/>
  <c r="AH1256" i="1"/>
  <c r="AH1264" i="1"/>
  <c r="AH1272" i="1"/>
  <c r="AH1280" i="1"/>
  <c r="AH1288" i="1"/>
  <c r="AH1296" i="1"/>
  <c r="AH1304" i="1"/>
  <c r="AH1312" i="1"/>
  <c r="AH1320" i="1"/>
  <c r="AH1328" i="1"/>
  <c r="AH1336" i="1"/>
  <c r="AH1344" i="1"/>
  <c r="AH1352" i="1"/>
  <c r="AH1360" i="1"/>
  <c r="AH1368" i="1"/>
  <c r="AH1376" i="1"/>
  <c r="AG1172" i="1"/>
  <c r="AG1236" i="1"/>
  <c r="AG1257" i="1"/>
  <c r="AG1265" i="1"/>
  <c r="AG1273" i="1"/>
  <c r="AG1281" i="1"/>
  <c r="AG1289" i="1"/>
  <c r="AG1297" i="1"/>
  <c r="AG1305" i="1"/>
  <c r="AG1313" i="1"/>
  <c r="AG1321" i="1"/>
  <c r="AG1329" i="1"/>
  <c r="AG1337" i="1"/>
  <c r="AG1345" i="1"/>
  <c r="AG1353" i="1"/>
  <c r="AG1361" i="1"/>
  <c r="AG1369" i="1"/>
  <c r="AG1377" i="1"/>
  <c r="AH1172" i="1"/>
  <c r="AH1236" i="1"/>
  <c r="AH1257" i="1"/>
  <c r="AH1265" i="1"/>
  <c r="AH1273" i="1"/>
  <c r="AH1281" i="1"/>
  <c r="AH1289" i="1"/>
  <c r="AH1297" i="1"/>
  <c r="AH1305" i="1"/>
  <c r="AH1313" i="1"/>
  <c r="AH1321" i="1"/>
  <c r="AH1329" i="1"/>
  <c r="AH1337" i="1"/>
  <c r="AH1345" i="1"/>
  <c r="AH1353" i="1"/>
  <c r="AH1361" i="1"/>
  <c r="AH1369" i="1"/>
  <c r="AH1377" i="1"/>
  <c r="AG1180" i="1"/>
  <c r="AG1258" i="1"/>
  <c r="AG1266" i="1"/>
  <c r="AG1274" i="1"/>
  <c r="AG1282" i="1"/>
  <c r="AG1290" i="1"/>
  <c r="AG1298" i="1"/>
  <c r="AG1306" i="1"/>
  <c r="AG1314" i="1"/>
  <c r="AG1322" i="1"/>
  <c r="AG1330" i="1"/>
  <c r="AG1338" i="1"/>
  <c r="AG1346" i="1"/>
  <c r="AG1354" i="1"/>
  <c r="AG1362" i="1"/>
  <c r="AG1370" i="1"/>
  <c r="AG1378" i="1"/>
  <c r="AH1180" i="1"/>
  <c r="AH1258" i="1"/>
  <c r="AH1266" i="1"/>
  <c r="AH1274" i="1"/>
  <c r="AH1282" i="1"/>
  <c r="AH1290" i="1"/>
  <c r="AH1298" i="1"/>
  <c r="AH1306" i="1"/>
  <c r="AH1314" i="1"/>
  <c r="AH1322" i="1"/>
  <c r="AH1330" i="1"/>
  <c r="AH1338" i="1"/>
  <c r="AH1346" i="1"/>
  <c r="AH1354" i="1"/>
  <c r="AH1362" i="1"/>
  <c r="AH1370" i="1"/>
  <c r="AH1378" i="1"/>
  <c r="AG1188" i="1"/>
  <c r="AG1249" i="1"/>
  <c r="AG1259" i="1"/>
  <c r="AG1267" i="1"/>
  <c r="AG1275" i="1"/>
  <c r="AG1283" i="1"/>
  <c r="AG1291" i="1"/>
  <c r="AG1299" i="1"/>
  <c r="AG1307" i="1"/>
  <c r="AG1315" i="1"/>
  <c r="AG1323" i="1"/>
  <c r="AG1331" i="1"/>
  <c r="AG1339" i="1"/>
  <c r="AG1347" i="1"/>
  <c r="AG1355" i="1"/>
  <c r="AG1363" i="1"/>
  <c r="AG1371" i="1"/>
  <c r="AG1379" i="1"/>
  <c r="AH1188" i="1"/>
  <c r="AH1243" i="1"/>
  <c r="AH1249" i="1"/>
  <c r="AH1259" i="1"/>
  <c r="AH1267" i="1"/>
  <c r="AH1275" i="1"/>
  <c r="AH1283" i="1"/>
  <c r="AH1291" i="1"/>
  <c r="AH1299" i="1"/>
  <c r="AH1307" i="1"/>
  <c r="AH1315" i="1"/>
  <c r="AH1323" i="1"/>
  <c r="AH1331" i="1"/>
  <c r="AH1339" i="1"/>
  <c r="AH1347" i="1"/>
  <c r="AH1355" i="1"/>
  <c r="AH1363" i="1"/>
  <c r="AH1371" i="1"/>
  <c r="AH1379" i="1"/>
  <c r="AG1132" i="1"/>
  <c r="AG1196" i="1"/>
  <c r="AG1260" i="1"/>
  <c r="AG1268" i="1"/>
  <c r="AG1276" i="1"/>
  <c r="AG1284" i="1"/>
  <c r="AG1292" i="1"/>
  <c r="AG1300" i="1"/>
  <c r="AG1308" i="1"/>
  <c r="AG1316" i="1"/>
  <c r="AG1324" i="1"/>
  <c r="AG1332" i="1"/>
  <c r="AG1340" i="1"/>
  <c r="AG1348" i="1"/>
  <c r="AG1356" i="1"/>
  <c r="AG1364" i="1"/>
  <c r="AG1372" i="1"/>
  <c r="AG1380" i="1"/>
  <c r="AH1132" i="1"/>
  <c r="AH1196" i="1"/>
  <c r="AH1260" i="1"/>
  <c r="AH1268" i="1"/>
  <c r="AH1276" i="1"/>
  <c r="AH1284" i="1"/>
  <c r="AH1292" i="1"/>
  <c r="AH1300" i="1"/>
  <c r="AH1308" i="1"/>
  <c r="AH1316" i="1"/>
  <c r="AH1324" i="1"/>
  <c r="AH1332" i="1"/>
  <c r="AH1340" i="1"/>
  <c r="AH1348" i="1"/>
  <c r="AH1356" i="1"/>
  <c r="AH1364" i="1"/>
  <c r="AG1140" i="1"/>
  <c r="AG1204" i="1"/>
  <c r="AG1261" i="1"/>
  <c r="AG1269" i="1"/>
  <c r="AG1277" i="1"/>
  <c r="AG1285" i="1"/>
  <c r="AG1293" i="1"/>
  <c r="AG1301" i="1"/>
  <c r="AG1309" i="1"/>
  <c r="AG1317" i="1"/>
  <c r="AG1325" i="1"/>
  <c r="AG1333" i="1"/>
  <c r="AG1341" i="1"/>
  <c r="AG1349" i="1"/>
  <c r="AG1357" i="1"/>
  <c r="AG1365" i="1"/>
  <c r="AG1373" i="1"/>
  <c r="AG1381" i="1"/>
  <c r="AH1140" i="1"/>
  <c r="AH1204" i="1"/>
  <c r="AH1261" i="1"/>
  <c r="AH1269" i="1"/>
  <c r="AH1277" i="1"/>
  <c r="AH1285" i="1"/>
  <c r="AH1293" i="1"/>
  <c r="AH1301" i="1"/>
  <c r="AH1309" i="1"/>
  <c r="AH1317" i="1"/>
  <c r="AH1325" i="1"/>
  <c r="AH1333" i="1"/>
  <c r="AH1341" i="1"/>
  <c r="AH1349" i="1"/>
  <c r="AH1357" i="1"/>
  <c r="AH1365" i="1"/>
  <c r="AH1373" i="1"/>
  <c r="AH1381" i="1"/>
  <c r="AG1042" i="1"/>
  <c r="AG1148" i="1"/>
  <c r="AG1212" i="1"/>
  <c r="AG1244" i="1"/>
  <c r="AG1262" i="1"/>
  <c r="AG1270" i="1"/>
  <c r="AG1278" i="1"/>
  <c r="AG1286" i="1"/>
  <c r="AG1294" i="1"/>
  <c r="AG1302" i="1"/>
  <c r="AG1310" i="1"/>
  <c r="AG1318" i="1"/>
  <c r="AG1326" i="1"/>
  <c r="AG1334" i="1"/>
  <c r="AG1342" i="1"/>
  <c r="AG1350" i="1"/>
  <c r="AG1358" i="1"/>
  <c r="AG1366" i="1"/>
  <c r="AG1374" i="1"/>
  <c r="AG1228" i="1"/>
  <c r="AG1253" i="1"/>
  <c r="AG1264" i="1"/>
  <c r="AG1296" i="1"/>
  <c r="AG1328" i="1"/>
  <c r="AG1360" i="1"/>
  <c r="AG1387" i="1"/>
  <c r="AG1395" i="1"/>
  <c r="AG1403" i="1"/>
  <c r="AG1411" i="1"/>
  <c r="AG1419" i="1"/>
  <c r="AG1427" i="1"/>
  <c r="AG1435" i="1"/>
  <c r="AG1443" i="1"/>
  <c r="AG1451" i="1"/>
  <c r="AG1459" i="1"/>
  <c r="AG1467" i="1"/>
  <c r="AG1475" i="1"/>
  <c r="AG1483" i="1"/>
  <c r="AG1491" i="1"/>
  <c r="AH1148" i="1"/>
  <c r="AH1286" i="1"/>
  <c r="AH1318" i="1"/>
  <c r="AH1350" i="1"/>
  <c r="AH1387" i="1"/>
  <c r="AH1395" i="1"/>
  <c r="AH1403" i="1"/>
  <c r="AH1411" i="1"/>
  <c r="AH1419" i="1"/>
  <c r="AH1427" i="1"/>
  <c r="AH1435" i="1"/>
  <c r="AH1443" i="1"/>
  <c r="AH1451" i="1"/>
  <c r="AH1459" i="1"/>
  <c r="AH1467" i="1"/>
  <c r="AH1475" i="1"/>
  <c r="AH1483" i="1"/>
  <c r="AH1491" i="1"/>
  <c r="AG1106" i="1"/>
  <c r="AG1279" i="1"/>
  <c r="AG1311" i="1"/>
  <c r="AG1343" i="1"/>
  <c r="AG1376" i="1"/>
  <c r="AG1388" i="1"/>
  <c r="AG1396" i="1"/>
  <c r="AG1404" i="1"/>
  <c r="AG1412" i="1"/>
  <c r="AG1420" i="1"/>
  <c r="AG1428" i="1"/>
  <c r="AG1436" i="1"/>
  <c r="AG1444" i="1"/>
  <c r="AG1452" i="1"/>
  <c r="AG1460" i="1"/>
  <c r="AG1468" i="1"/>
  <c r="AG1476" i="1"/>
  <c r="AG1484" i="1"/>
  <c r="AG1492" i="1"/>
  <c r="AH1279" i="1"/>
  <c r="AH1311" i="1"/>
  <c r="AH1343" i="1"/>
  <c r="AH1388" i="1"/>
  <c r="AH1396" i="1"/>
  <c r="AH1404" i="1"/>
  <c r="AH1412" i="1"/>
  <c r="AH1420" i="1"/>
  <c r="AH1428" i="1"/>
  <c r="AH1436" i="1"/>
  <c r="AH1444" i="1"/>
  <c r="AH1452" i="1"/>
  <c r="AH1460" i="1"/>
  <c r="AH1468" i="1"/>
  <c r="AH1476" i="1"/>
  <c r="AH1484" i="1"/>
  <c r="AG1254" i="1"/>
  <c r="AG1272" i="1"/>
  <c r="AG1304" i="1"/>
  <c r="AG1336" i="1"/>
  <c r="AG1389" i="1"/>
  <c r="AG1397" i="1"/>
  <c r="AG1405" i="1"/>
  <c r="AG1413" i="1"/>
  <c r="AG1421" i="1"/>
  <c r="AG1429" i="1"/>
  <c r="AG1437" i="1"/>
  <c r="AG1445" i="1"/>
  <c r="AG1453" i="1"/>
  <c r="AG1461" i="1"/>
  <c r="AG1469" i="1"/>
  <c r="AG1477" i="1"/>
  <c r="AG1485" i="1"/>
  <c r="AG1493" i="1"/>
  <c r="AH1212" i="1"/>
  <c r="AH1262" i="1"/>
  <c r="AH1294" i="1"/>
  <c r="AH1326" i="1"/>
  <c r="AH1358" i="1"/>
  <c r="AG1368" i="1"/>
  <c r="AH1374" i="1"/>
  <c r="AH1389" i="1"/>
  <c r="AH1397" i="1"/>
  <c r="AH1405" i="1"/>
  <c r="AH1413" i="1"/>
  <c r="AH1421" i="1"/>
  <c r="AH1429" i="1"/>
  <c r="AH1437" i="1"/>
  <c r="AH1445" i="1"/>
  <c r="AH1453" i="1"/>
  <c r="AH1461" i="1"/>
  <c r="AH1469" i="1"/>
  <c r="AH1477" i="1"/>
  <c r="AH1485" i="1"/>
  <c r="AG1156" i="1"/>
  <c r="AG1287" i="1"/>
  <c r="AG1319" i="1"/>
  <c r="AG1351" i="1"/>
  <c r="AG1390" i="1"/>
  <c r="AG1398" i="1"/>
  <c r="AG1406" i="1"/>
  <c r="AG1414" i="1"/>
  <c r="AG1422" i="1"/>
  <c r="AG1430" i="1"/>
  <c r="AG1438" i="1"/>
  <c r="AG1446" i="1"/>
  <c r="AG1454" i="1"/>
  <c r="AG1462" i="1"/>
  <c r="AG1470" i="1"/>
  <c r="AG1478" i="1"/>
  <c r="AG1486" i="1"/>
  <c r="AG1494" i="1"/>
  <c r="AH1156" i="1"/>
  <c r="AG1255" i="1"/>
  <c r="AH1287" i="1"/>
  <c r="AH1319" i="1"/>
  <c r="AH1351" i="1"/>
  <c r="AH1380" i="1"/>
  <c r="AG1382" i="1"/>
  <c r="AH1390" i="1"/>
  <c r="AH1398" i="1"/>
  <c r="AH1406" i="1"/>
  <c r="AH1414" i="1"/>
  <c r="AH1422" i="1"/>
  <c r="AH1430" i="1"/>
  <c r="AH1438" i="1"/>
  <c r="AH1446" i="1"/>
  <c r="AH1454" i="1"/>
  <c r="AH1462" i="1"/>
  <c r="AH1241" i="1"/>
  <c r="AG1251" i="1"/>
  <c r="AH1255" i="1"/>
  <c r="AG1280" i="1"/>
  <c r="AG1312" i="1"/>
  <c r="AG1344" i="1"/>
  <c r="AH1382" i="1"/>
  <c r="AG1383" i="1"/>
  <c r="AG1391" i="1"/>
  <c r="AG1399" i="1"/>
  <c r="AG1407" i="1"/>
  <c r="AG1415" i="1"/>
  <c r="AG1423" i="1"/>
  <c r="AG1431" i="1"/>
  <c r="AG1439" i="1"/>
  <c r="AG1447" i="1"/>
  <c r="AG1455" i="1"/>
  <c r="AG1463" i="1"/>
  <c r="AH1244" i="1"/>
  <c r="AH1270" i="1"/>
  <c r="AH1302" i="1"/>
  <c r="AH1334" i="1"/>
  <c r="AH1366" i="1"/>
  <c r="AH1383" i="1"/>
  <c r="AH1391" i="1"/>
  <c r="AH1399" i="1"/>
  <c r="AH1407" i="1"/>
  <c r="AH1415" i="1"/>
  <c r="AH1423" i="1"/>
  <c r="AH1431" i="1"/>
  <c r="AH1439" i="1"/>
  <c r="AH1447" i="1"/>
  <c r="AH1455" i="1"/>
  <c r="AH1463" i="1"/>
  <c r="AH1471" i="1"/>
  <c r="AH1479" i="1"/>
  <c r="AH1487" i="1"/>
  <c r="AG1220" i="1"/>
  <c r="AG1263" i="1"/>
  <c r="AG1295" i="1"/>
  <c r="AG1327" i="1"/>
  <c r="AG1359" i="1"/>
  <c r="AH1372" i="1"/>
  <c r="AG1384" i="1"/>
  <c r="AG1392" i="1"/>
  <c r="AG1400" i="1"/>
  <c r="AG1408" i="1"/>
  <c r="AG1416" i="1"/>
  <c r="AG1424" i="1"/>
  <c r="AG1432" i="1"/>
  <c r="AG1440" i="1"/>
  <c r="AG1448" i="1"/>
  <c r="AG1456" i="1"/>
  <c r="AG1464" i="1"/>
  <c r="AG1472" i="1"/>
  <c r="AG1480" i="1"/>
  <c r="AG1488" i="1"/>
  <c r="AH1220" i="1"/>
  <c r="AH1263" i="1"/>
  <c r="AH1295" i="1"/>
  <c r="AH1327" i="1"/>
  <c r="AH1359" i="1"/>
  <c r="AG1375" i="1"/>
  <c r="AH1384" i="1"/>
  <c r="AH1392" i="1"/>
  <c r="AH1400" i="1"/>
  <c r="AH1408" i="1"/>
  <c r="AG1164" i="1"/>
  <c r="AG1252" i="1"/>
  <c r="AH1278" i="1"/>
  <c r="AH1310" i="1"/>
  <c r="AH1342" i="1"/>
  <c r="AH1385" i="1"/>
  <c r="AH1393" i="1"/>
  <c r="AH1401" i="1"/>
  <c r="AH1409" i="1"/>
  <c r="AH1417" i="1"/>
  <c r="AH1425" i="1"/>
  <c r="AH1433" i="1"/>
  <c r="AH1441" i="1"/>
  <c r="AH1449" i="1"/>
  <c r="AH1457" i="1"/>
  <c r="AH1465" i="1"/>
  <c r="AH1473" i="1"/>
  <c r="AH1481" i="1"/>
  <c r="AH1489" i="1"/>
  <c r="AH1303" i="1"/>
  <c r="AG1409" i="1"/>
  <c r="AH1432" i="1"/>
  <c r="AH1464" i="1"/>
  <c r="AH1474" i="1"/>
  <c r="AG1479" i="1"/>
  <c r="AG1501" i="1"/>
  <c r="AG1509" i="1"/>
  <c r="AG1517" i="1"/>
  <c r="AG1525" i="1"/>
  <c r="AG1533" i="1"/>
  <c r="AG1541" i="1"/>
  <c r="AG1549" i="1"/>
  <c r="AG1557" i="1"/>
  <c r="AG1565" i="1"/>
  <c r="AG1573" i="1"/>
  <c r="AG1581" i="1"/>
  <c r="AG1589" i="1"/>
  <c r="AG1597" i="1"/>
  <c r="AG1605" i="1"/>
  <c r="AG1425" i="1"/>
  <c r="AG1457" i="1"/>
  <c r="AH1472" i="1"/>
  <c r="AH1501" i="1"/>
  <c r="AH1509" i="1"/>
  <c r="AH1517" i="1"/>
  <c r="AH1525" i="1"/>
  <c r="AH1533" i="1"/>
  <c r="AH1541" i="1"/>
  <c r="AH1549" i="1"/>
  <c r="AH1557" i="1"/>
  <c r="AH1565" i="1"/>
  <c r="AH1573" i="1"/>
  <c r="AH1581" i="1"/>
  <c r="AH1589" i="1"/>
  <c r="AH1597" i="1"/>
  <c r="AH1605" i="1"/>
  <c r="AG1288" i="1"/>
  <c r="AG1418" i="1"/>
  <c r="AG1450" i="1"/>
  <c r="AG1502" i="1"/>
  <c r="AG1510" i="1"/>
  <c r="AG1518" i="1"/>
  <c r="AG1526" i="1"/>
  <c r="AG1534" i="1"/>
  <c r="AG1542" i="1"/>
  <c r="AG1550" i="1"/>
  <c r="AG1558" i="1"/>
  <c r="AG1566" i="1"/>
  <c r="AG1574" i="1"/>
  <c r="AG1582" i="1"/>
  <c r="AG1590" i="1"/>
  <c r="AG1598" i="1"/>
  <c r="AG1606" i="1"/>
  <c r="AG1386" i="1"/>
  <c r="AH1418" i="1"/>
  <c r="AH1450" i="1"/>
  <c r="AH1470" i="1"/>
  <c r="AH1502" i="1"/>
  <c r="AH1510" i="1"/>
  <c r="AH1518" i="1"/>
  <c r="AH1526" i="1"/>
  <c r="AH1534" i="1"/>
  <c r="AH1542" i="1"/>
  <c r="AH1550" i="1"/>
  <c r="AH1558" i="1"/>
  <c r="AH1566" i="1"/>
  <c r="AH1574" i="1"/>
  <c r="AH1582" i="1"/>
  <c r="AH1590" i="1"/>
  <c r="AH1598" i="1"/>
  <c r="AH1606" i="1"/>
  <c r="AG1271" i="1"/>
  <c r="AH1386" i="1"/>
  <c r="AG1410" i="1"/>
  <c r="AH1440" i="1"/>
  <c r="AG1489" i="1"/>
  <c r="AG1503" i="1"/>
  <c r="AG1511" i="1"/>
  <c r="AG1519" i="1"/>
  <c r="AG1527" i="1"/>
  <c r="AG1535" i="1"/>
  <c r="AG1543" i="1"/>
  <c r="AG1551" i="1"/>
  <c r="AG1559" i="1"/>
  <c r="AG1567" i="1"/>
  <c r="AG1575" i="1"/>
  <c r="AG1583" i="1"/>
  <c r="AG1591" i="1"/>
  <c r="AG1599" i="1"/>
  <c r="AG1607" i="1"/>
  <c r="AH1271" i="1"/>
  <c r="AG1367" i="1"/>
  <c r="AG1401" i="1"/>
  <c r="AH1410" i="1"/>
  <c r="AG1433" i="1"/>
  <c r="AG1482" i="1"/>
  <c r="AG1495" i="1"/>
  <c r="AH1503" i="1"/>
  <c r="AH1511" i="1"/>
  <c r="AH1519" i="1"/>
  <c r="AH1527" i="1"/>
  <c r="AH1535" i="1"/>
  <c r="AH1543" i="1"/>
  <c r="AH1551" i="1"/>
  <c r="AH1559" i="1"/>
  <c r="AH1567" i="1"/>
  <c r="AH1575" i="1"/>
  <c r="AH1583" i="1"/>
  <c r="AH1591" i="1"/>
  <c r="AH1599" i="1"/>
  <c r="AH1607" i="1"/>
  <c r="AH1367" i="1"/>
  <c r="AG1426" i="1"/>
  <c r="AG1458" i="1"/>
  <c r="AG1465" i="1"/>
  <c r="AH1482" i="1"/>
  <c r="AG1487" i="1"/>
  <c r="AH1494" i="1"/>
  <c r="AH1495" i="1"/>
  <c r="AG1496" i="1"/>
  <c r="AG1504" i="1"/>
  <c r="AG1512" i="1"/>
  <c r="AG1520" i="1"/>
  <c r="AG1528" i="1"/>
  <c r="AG1536" i="1"/>
  <c r="AG1544" i="1"/>
  <c r="AG1552" i="1"/>
  <c r="AG1560" i="1"/>
  <c r="AG1568" i="1"/>
  <c r="AG1576" i="1"/>
  <c r="AG1584" i="1"/>
  <c r="AG1592" i="1"/>
  <c r="AG1600" i="1"/>
  <c r="AG1608" i="1"/>
  <c r="AG1256" i="1"/>
  <c r="AH1426" i="1"/>
  <c r="AH1458" i="1"/>
  <c r="AH1480" i="1"/>
  <c r="AH1496" i="1"/>
  <c r="AH1504" i="1"/>
  <c r="AH1512" i="1"/>
  <c r="AH1520" i="1"/>
  <c r="AH1528" i="1"/>
  <c r="AH1536" i="1"/>
  <c r="AH1544" i="1"/>
  <c r="AH1552" i="1"/>
  <c r="AH1560" i="1"/>
  <c r="AH1568" i="1"/>
  <c r="AH1576" i="1"/>
  <c r="AH1584" i="1"/>
  <c r="AH1592" i="1"/>
  <c r="AH1600" i="1"/>
  <c r="AH1608" i="1"/>
  <c r="AG1352" i="1"/>
  <c r="AH1416" i="1"/>
  <c r="AH1448" i="1"/>
  <c r="AG1473" i="1"/>
  <c r="AG1497" i="1"/>
  <c r="AG1505" i="1"/>
  <c r="AG1513" i="1"/>
  <c r="AG1521" i="1"/>
  <c r="AG1529" i="1"/>
  <c r="AG1537" i="1"/>
  <c r="AG1545" i="1"/>
  <c r="AG1553" i="1"/>
  <c r="AG1561" i="1"/>
  <c r="AG1569" i="1"/>
  <c r="AG1577" i="1"/>
  <c r="AG1585" i="1"/>
  <c r="AG1593" i="1"/>
  <c r="AG1601" i="1"/>
  <c r="AG1402" i="1"/>
  <c r="AG1441" i="1"/>
  <c r="AH1478" i="1"/>
  <c r="AH1497" i="1"/>
  <c r="AH1505" i="1"/>
  <c r="AH1513" i="1"/>
  <c r="AH1521" i="1"/>
  <c r="AH1529" i="1"/>
  <c r="AH1537" i="1"/>
  <c r="AH1545" i="1"/>
  <c r="AH1553" i="1"/>
  <c r="AH1561" i="1"/>
  <c r="AH1569" i="1"/>
  <c r="AH1577" i="1"/>
  <c r="AH1585" i="1"/>
  <c r="AH1593" i="1"/>
  <c r="AH1601" i="1"/>
  <c r="AG1335" i="1"/>
  <c r="AG1393" i="1"/>
  <c r="AH1402" i="1"/>
  <c r="AG1434" i="1"/>
  <c r="AG1471" i="1"/>
  <c r="AH1493" i="1"/>
  <c r="AG1498" i="1"/>
  <c r="AG1506" i="1"/>
  <c r="AG1514" i="1"/>
  <c r="AG1522" i="1"/>
  <c r="AG1530" i="1"/>
  <c r="AG1538" i="1"/>
  <c r="AG1546" i="1"/>
  <c r="AG1554" i="1"/>
  <c r="AG1562" i="1"/>
  <c r="AG1570" i="1"/>
  <c r="AG1578" i="1"/>
  <c r="AG1586" i="1"/>
  <c r="AG1594" i="1"/>
  <c r="AG1602" i="1"/>
  <c r="AH1335" i="1"/>
  <c r="AH1434" i="1"/>
  <c r="AH1498" i="1"/>
  <c r="AH1506" i="1"/>
  <c r="AH1514" i="1"/>
  <c r="AH1522" i="1"/>
  <c r="AH1530" i="1"/>
  <c r="AH1538" i="1"/>
  <c r="AH1546" i="1"/>
  <c r="AH1554" i="1"/>
  <c r="AH1562" i="1"/>
  <c r="AH1570" i="1"/>
  <c r="AH1578" i="1"/>
  <c r="AH1586" i="1"/>
  <c r="AH1594" i="1"/>
  <c r="AH1602" i="1"/>
  <c r="AH1424" i="1"/>
  <c r="AH1456" i="1"/>
  <c r="AG1466" i="1"/>
  <c r="AG1499" i="1"/>
  <c r="AG1507" i="1"/>
  <c r="AG1515" i="1"/>
  <c r="AG1523" i="1"/>
  <c r="AG1531" i="1"/>
  <c r="AG1539" i="1"/>
  <c r="AG1547" i="1"/>
  <c r="AG1555" i="1"/>
  <c r="AG1563" i="1"/>
  <c r="AG1571" i="1"/>
  <c r="AG1579" i="1"/>
  <c r="AG1587" i="1"/>
  <c r="AG1595" i="1"/>
  <c r="AG1603" i="1"/>
  <c r="AH1466" i="1"/>
  <c r="AG1516" i="1"/>
  <c r="AH1613" i="1"/>
  <c r="AH1621" i="1"/>
  <c r="AH1629" i="1"/>
  <c r="AH1637" i="1"/>
  <c r="AH1645" i="1"/>
  <c r="AH1653" i="1"/>
  <c r="AH1661" i="1"/>
  <c r="AH1669" i="1"/>
  <c r="AH1677" i="1"/>
  <c r="AH1685" i="1"/>
  <c r="AH1693" i="1"/>
  <c r="AH1701" i="1"/>
  <c r="AH1709" i="1"/>
  <c r="AH1717" i="1"/>
  <c r="AH1725" i="1"/>
  <c r="AG1449" i="1"/>
  <c r="AH1507" i="1"/>
  <c r="AH1516" i="1"/>
  <c r="AG1540" i="1"/>
  <c r="AG1614" i="1"/>
  <c r="AG1622" i="1"/>
  <c r="AG1630" i="1"/>
  <c r="AG1638" i="1"/>
  <c r="AG1646" i="1"/>
  <c r="AG1654" i="1"/>
  <c r="AG1662" i="1"/>
  <c r="AG1670" i="1"/>
  <c r="AG1678" i="1"/>
  <c r="AG1686" i="1"/>
  <c r="AG1694" i="1"/>
  <c r="AG1702" i="1"/>
  <c r="AG1710" i="1"/>
  <c r="AG1718" i="1"/>
  <c r="AG1726" i="1"/>
  <c r="AH1531" i="1"/>
  <c r="AH1540" i="1"/>
  <c r="AG1564" i="1"/>
  <c r="AH1614" i="1"/>
  <c r="AH1622" i="1"/>
  <c r="AH1630" i="1"/>
  <c r="AH1638" i="1"/>
  <c r="AH1646" i="1"/>
  <c r="AH1654" i="1"/>
  <c r="AH1662" i="1"/>
  <c r="AH1670" i="1"/>
  <c r="AH1678" i="1"/>
  <c r="AH1686" i="1"/>
  <c r="AH1694" i="1"/>
  <c r="AH1702" i="1"/>
  <c r="AH1710" i="1"/>
  <c r="AH1718" i="1"/>
  <c r="AH1726" i="1"/>
  <c r="AG1385" i="1"/>
  <c r="AG1481" i="1"/>
  <c r="AH1492" i="1"/>
  <c r="AH1555" i="1"/>
  <c r="AH1564" i="1"/>
  <c r="AG1588" i="1"/>
  <c r="AG1615" i="1"/>
  <c r="AG1623" i="1"/>
  <c r="AG1631" i="1"/>
  <c r="AG1639" i="1"/>
  <c r="AG1647" i="1"/>
  <c r="AG1655" i="1"/>
  <c r="AG1663" i="1"/>
  <c r="AG1671" i="1"/>
  <c r="AG1679" i="1"/>
  <c r="AG1687" i="1"/>
  <c r="AG1695" i="1"/>
  <c r="AG1703" i="1"/>
  <c r="AG1711" i="1"/>
  <c r="AG1719" i="1"/>
  <c r="AG1727" i="1"/>
  <c r="AG1303" i="1"/>
  <c r="AH1579" i="1"/>
  <c r="AH1588" i="1"/>
  <c r="AH1615" i="1"/>
  <c r="AH1623" i="1"/>
  <c r="AH1631" i="1"/>
  <c r="AH1639" i="1"/>
  <c r="AH1647" i="1"/>
  <c r="AH1655" i="1"/>
  <c r="AH1663" i="1"/>
  <c r="AH1671" i="1"/>
  <c r="AH1679" i="1"/>
  <c r="AH1687" i="1"/>
  <c r="AH1695" i="1"/>
  <c r="AH1703" i="1"/>
  <c r="AH1711" i="1"/>
  <c r="AH1719" i="1"/>
  <c r="AH1727" i="1"/>
  <c r="AG1320" i="1"/>
  <c r="AG1508" i="1"/>
  <c r="AH1603" i="1"/>
  <c r="AG1616" i="1"/>
  <c r="AG1624" i="1"/>
  <c r="AG1632" i="1"/>
  <c r="AG1640" i="1"/>
  <c r="AG1648" i="1"/>
  <c r="AG1656" i="1"/>
  <c r="AG1664" i="1"/>
  <c r="AG1672" i="1"/>
  <c r="AG1680" i="1"/>
  <c r="AG1688" i="1"/>
  <c r="AG1696" i="1"/>
  <c r="AG1704" i="1"/>
  <c r="AG1712" i="1"/>
  <c r="AG1720" i="1"/>
  <c r="AG1728" i="1"/>
  <c r="AG1417" i="1"/>
  <c r="AH1499" i="1"/>
  <c r="AH1508" i="1"/>
  <c r="AG1532" i="1"/>
  <c r="AH1616" i="1"/>
  <c r="AH1624" i="1"/>
  <c r="AH1632" i="1"/>
  <c r="AH1640" i="1"/>
  <c r="AH1648" i="1"/>
  <c r="AH1656" i="1"/>
  <c r="AH1664" i="1"/>
  <c r="AH1672" i="1"/>
  <c r="AH1680" i="1"/>
  <c r="AH1688" i="1"/>
  <c r="AH1696" i="1"/>
  <c r="AH1704" i="1"/>
  <c r="AH1712" i="1"/>
  <c r="AH1720" i="1"/>
  <c r="AH1728" i="1"/>
  <c r="AH1523" i="1"/>
  <c r="AH1532" i="1"/>
  <c r="AG1556" i="1"/>
  <c r="AG1609" i="1"/>
  <c r="AG1617" i="1"/>
  <c r="AG1625" i="1"/>
  <c r="AG1633" i="1"/>
  <c r="AG1641" i="1"/>
  <c r="AG1649" i="1"/>
  <c r="AG1657" i="1"/>
  <c r="AG1665" i="1"/>
  <c r="AG1673" i="1"/>
  <c r="AG1681" i="1"/>
  <c r="AG1689" i="1"/>
  <c r="AG1697" i="1"/>
  <c r="AG1705" i="1"/>
  <c r="AG1713" i="1"/>
  <c r="AG1721" i="1"/>
  <c r="AG1729" i="1"/>
  <c r="AG1394" i="1"/>
  <c r="AH1547" i="1"/>
  <c r="AH1556" i="1"/>
  <c r="AG1580" i="1"/>
  <c r="AH1609" i="1"/>
  <c r="AH1617" i="1"/>
  <c r="AH1625" i="1"/>
  <c r="AH1633" i="1"/>
  <c r="AH1641" i="1"/>
  <c r="AH1649" i="1"/>
  <c r="AH1657" i="1"/>
  <c r="AH1665" i="1"/>
  <c r="AH1673" i="1"/>
  <c r="AH1681" i="1"/>
  <c r="AH1689" i="1"/>
  <c r="AH1697" i="1"/>
  <c r="AH1705" i="1"/>
  <c r="AH1713" i="1"/>
  <c r="AH1721" i="1"/>
  <c r="AH1729" i="1"/>
  <c r="AH1394" i="1"/>
  <c r="AH1571" i="1"/>
  <c r="AH1580" i="1"/>
  <c r="AG1604" i="1"/>
  <c r="AG1610" i="1"/>
  <c r="AG1618" i="1"/>
  <c r="AG1626" i="1"/>
  <c r="AG1634" i="1"/>
  <c r="AG1642" i="1"/>
  <c r="AG1650" i="1"/>
  <c r="AG1658" i="1"/>
  <c r="AG1666" i="1"/>
  <c r="AG1674" i="1"/>
  <c r="AG1682" i="1"/>
  <c r="AG1690" i="1"/>
  <c r="AG1698" i="1"/>
  <c r="AG1706" i="1"/>
  <c r="AG1714" i="1"/>
  <c r="AG1722" i="1"/>
  <c r="AH1486" i="1"/>
  <c r="AG1500" i="1"/>
  <c r="AH1595" i="1"/>
  <c r="AH1604" i="1"/>
  <c r="AH1610" i="1"/>
  <c r="AH1618" i="1"/>
  <c r="AH1626" i="1"/>
  <c r="AH1634" i="1"/>
  <c r="AH1642" i="1"/>
  <c r="AH1650" i="1"/>
  <c r="AH1658" i="1"/>
  <c r="AH1666" i="1"/>
  <c r="AH1674" i="1"/>
  <c r="AH1682" i="1"/>
  <c r="AH1690" i="1"/>
  <c r="AH1698" i="1"/>
  <c r="AH1706" i="1"/>
  <c r="AH1714" i="1"/>
  <c r="AH1722" i="1"/>
  <c r="AH1730" i="1"/>
  <c r="AG1474" i="1"/>
  <c r="AH1488" i="1"/>
  <c r="AH1500" i="1"/>
  <c r="AG1524" i="1"/>
  <c r="AG1611" i="1"/>
  <c r="AG1619" i="1"/>
  <c r="AG1627" i="1"/>
  <c r="AG1635" i="1"/>
  <c r="AG1643" i="1"/>
  <c r="AG1651" i="1"/>
  <c r="AG1659" i="1"/>
  <c r="AG1667" i="1"/>
  <c r="AG1675" i="1"/>
  <c r="AG1683" i="1"/>
  <c r="AG1691" i="1"/>
  <c r="AG1699" i="1"/>
  <c r="AG1707" i="1"/>
  <c r="AG1715" i="1"/>
  <c r="AG1723" i="1"/>
  <c r="AG1442" i="1"/>
  <c r="AH1515" i="1"/>
  <c r="AH1524" i="1"/>
  <c r="AG1548" i="1"/>
  <c r="AH1611" i="1"/>
  <c r="AH1619" i="1"/>
  <c r="AH1627" i="1"/>
  <c r="AH1635" i="1"/>
  <c r="AH1643" i="1"/>
  <c r="AH1651" i="1"/>
  <c r="AH1659" i="1"/>
  <c r="AH1667" i="1"/>
  <c r="AH1675" i="1"/>
  <c r="AH1683" i="1"/>
  <c r="AH1691" i="1"/>
  <c r="AH1699" i="1"/>
  <c r="AH1707" i="1"/>
  <c r="AH1715" i="1"/>
  <c r="AH1723" i="1"/>
  <c r="AH1731" i="1"/>
  <c r="AH1442" i="1"/>
  <c r="AH1539" i="1"/>
  <c r="AH1548" i="1"/>
  <c r="AG1572" i="1"/>
  <c r="AG1612" i="1"/>
  <c r="AG1620" i="1"/>
  <c r="AG1628" i="1"/>
  <c r="AG1636" i="1"/>
  <c r="AG1644" i="1"/>
  <c r="AG1652" i="1"/>
  <c r="AG1660" i="1"/>
  <c r="AG1668" i="1"/>
  <c r="AG1676" i="1"/>
  <c r="AG1684" i="1"/>
  <c r="AG1692" i="1"/>
  <c r="AG1700" i="1"/>
  <c r="AG1708" i="1"/>
  <c r="AG1716" i="1"/>
  <c r="AG1724" i="1"/>
  <c r="AH1587" i="1"/>
  <c r="AG1661" i="1"/>
  <c r="AG1725" i="1"/>
  <c r="AG1730" i="1"/>
  <c r="AH1737" i="1"/>
  <c r="AH1745" i="1"/>
  <c r="AH1753" i="1"/>
  <c r="AH1761" i="1"/>
  <c r="AH1769" i="1"/>
  <c r="AH1777" i="1"/>
  <c r="AH1785" i="1"/>
  <c r="AH1793" i="1"/>
  <c r="AH1801" i="1"/>
  <c r="AH1809" i="1"/>
  <c r="AH1817" i="1"/>
  <c r="AH1825" i="1"/>
  <c r="AH1833" i="1"/>
  <c r="AH1841" i="1"/>
  <c r="AH1849" i="1"/>
  <c r="AH1857" i="1"/>
  <c r="AH1612" i="1"/>
  <c r="AH1676" i="1"/>
  <c r="AG1738" i="1"/>
  <c r="AG1746" i="1"/>
  <c r="AG1754" i="1"/>
  <c r="AG1762" i="1"/>
  <c r="AG1770" i="1"/>
  <c r="AG1778" i="1"/>
  <c r="AG1786" i="1"/>
  <c r="AG1794" i="1"/>
  <c r="AG1802" i="1"/>
  <c r="AG1810" i="1"/>
  <c r="AG1818" i="1"/>
  <c r="AG1826" i="1"/>
  <c r="AG1834" i="1"/>
  <c r="AG1842" i="1"/>
  <c r="AG1850" i="1"/>
  <c r="AG1858" i="1"/>
  <c r="AG1669" i="1"/>
  <c r="AH1738" i="1"/>
  <c r="AH1746" i="1"/>
  <c r="AH1754" i="1"/>
  <c r="AH1762" i="1"/>
  <c r="AH1770" i="1"/>
  <c r="AH1778" i="1"/>
  <c r="AH1786" i="1"/>
  <c r="AH1794" i="1"/>
  <c r="AH1802" i="1"/>
  <c r="AH1810" i="1"/>
  <c r="AH1818" i="1"/>
  <c r="AH1826" i="1"/>
  <c r="AH1834" i="1"/>
  <c r="AH1842" i="1"/>
  <c r="AH1850" i="1"/>
  <c r="AH1858" i="1"/>
  <c r="AG1596" i="1"/>
  <c r="AH1620" i="1"/>
  <c r="AH1684" i="1"/>
  <c r="AG1739" i="1"/>
  <c r="AG1747" i="1"/>
  <c r="AG1755" i="1"/>
  <c r="AG1763" i="1"/>
  <c r="AG1771" i="1"/>
  <c r="AG1779" i="1"/>
  <c r="AG1787" i="1"/>
  <c r="AG1795" i="1"/>
  <c r="AG1803" i="1"/>
  <c r="AG1811" i="1"/>
  <c r="AG1819" i="1"/>
  <c r="AG1827" i="1"/>
  <c r="AG1835" i="1"/>
  <c r="AG1843" i="1"/>
  <c r="AG1851" i="1"/>
  <c r="AG1859" i="1"/>
  <c r="AH1596" i="1"/>
  <c r="AG1613" i="1"/>
  <c r="AG1677" i="1"/>
  <c r="AH1739" i="1"/>
  <c r="AH1747" i="1"/>
  <c r="AH1755" i="1"/>
  <c r="AH1763" i="1"/>
  <c r="AH1771" i="1"/>
  <c r="AH1779" i="1"/>
  <c r="AH1787" i="1"/>
  <c r="AH1795" i="1"/>
  <c r="AH1803" i="1"/>
  <c r="AH1811" i="1"/>
  <c r="AH1819" i="1"/>
  <c r="AH1827" i="1"/>
  <c r="AH1835" i="1"/>
  <c r="AH1843" i="1"/>
  <c r="AH1851" i="1"/>
  <c r="AH1859" i="1"/>
  <c r="AH1563" i="1"/>
  <c r="AH1628" i="1"/>
  <c r="AH1692" i="1"/>
  <c r="AG1732" i="1"/>
  <c r="AG1740" i="1"/>
  <c r="AG1748" i="1"/>
  <c r="AG1756" i="1"/>
  <c r="AG1764" i="1"/>
  <c r="AG1772" i="1"/>
  <c r="AG1780" i="1"/>
  <c r="AG1788" i="1"/>
  <c r="AG1796" i="1"/>
  <c r="AG1804" i="1"/>
  <c r="AG1812" i="1"/>
  <c r="AG1820" i="1"/>
  <c r="AG1828" i="1"/>
  <c r="AG1836" i="1"/>
  <c r="AG1844" i="1"/>
  <c r="AG1852" i="1"/>
  <c r="AG1860" i="1"/>
  <c r="AG1621" i="1"/>
  <c r="AG1685" i="1"/>
  <c r="AH1732" i="1"/>
  <c r="AH1740" i="1"/>
  <c r="AH1748" i="1"/>
  <c r="AH1756" i="1"/>
  <c r="AH1764" i="1"/>
  <c r="AH1772" i="1"/>
  <c r="AH1780" i="1"/>
  <c r="AH1788" i="1"/>
  <c r="AH1796" i="1"/>
  <c r="AH1804" i="1"/>
  <c r="AH1812" i="1"/>
  <c r="AH1820" i="1"/>
  <c r="AH1828" i="1"/>
  <c r="AH1836" i="1"/>
  <c r="AH1844" i="1"/>
  <c r="AH1852" i="1"/>
  <c r="AH1860" i="1"/>
  <c r="AG1490" i="1"/>
  <c r="AH1636" i="1"/>
  <c r="AH1700" i="1"/>
  <c r="AG1733" i="1"/>
  <c r="AG1741" i="1"/>
  <c r="AG1749" i="1"/>
  <c r="AG1757" i="1"/>
  <c r="AG1765" i="1"/>
  <c r="AG1773" i="1"/>
  <c r="AG1781" i="1"/>
  <c r="AG1789" i="1"/>
  <c r="AG1797" i="1"/>
  <c r="AG1805" i="1"/>
  <c r="AG1813" i="1"/>
  <c r="AG1821" i="1"/>
  <c r="AG1829" i="1"/>
  <c r="AG1837" i="1"/>
  <c r="AG1845" i="1"/>
  <c r="AG1853" i="1"/>
  <c r="AG1861" i="1"/>
  <c r="AH1490" i="1"/>
  <c r="AG1629" i="1"/>
  <c r="AG1693" i="1"/>
  <c r="AG1731" i="1"/>
  <c r="AH1733" i="1"/>
  <c r="AH1741" i="1"/>
  <c r="AH1749" i="1"/>
  <c r="AH1757" i="1"/>
  <c r="AH1765" i="1"/>
  <c r="AH1773" i="1"/>
  <c r="AH1781" i="1"/>
  <c r="AH1789" i="1"/>
  <c r="AH1797" i="1"/>
  <c r="AH1805" i="1"/>
  <c r="AH1813" i="1"/>
  <c r="AH1821" i="1"/>
  <c r="AH1829" i="1"/>
  <c r="AH1837" i="1"/>
  <c r="AH1845" i="1"/>
  <c r="AH1853" i="1"/>
  <c r="AH1861" i="1"/>
  <c r="AH1572" i="1"/>
  <c r="AH1644" i="1"/>
  <c r="AH1708" i="1"/>
  <c r="AG1734" i="1"/>
  <c r="AG1742" i="1"/>
  <c r="AG1750" i="1"/>
  <c r="AG1758" i="1"/>
  <c r="AG1766" i="1"/>
  <c r="AG1774" i="1"/>
  <c r="AG1782" i="1"/>
  <c r="AG1790" i="1"/>
  <c r="AG1798" i="1"/>
  <c r="AG1806" i="1"/>
  <c r="AG1814" i="1"/>
  <c r="AG1822" i="1"/>
  <c r="AG1830" i="1"/>
  <c r="AG1838" i="1"/>
  <c r="AG1846" i="1"/>
  <c r="AG1854" i="1"/>
  <c r="AG1862" i="1"/>
  <c r="AG1637" i="1"/>
  <c r="AG1701" i="1"/>
  <c r="AH1734" i="1"/>
  <c r="AH1742" i="1"/>
  <c r="AH1750" i="1"/>
  <c r="AH1758" i="1"/>
  <c r="AH1766" i="1"/>
  <c r="AH1774" i="1"/>
  <c r="AH1782" i="1"/>
  <c r="AH1790" i="1"/>
  <c r="AH1798" i="1"/>
  <c r="AH1806" i="1"/>
  <c r="AH1814" i="1"/>
  <c r="AH1822" i="1"/>
  <c r="AH1830" i="1"/>
  <c r="AH1838" i="1"/>
  <c r="AH1846" i="1"/>
  <c r="AH1854" i="1"/>
  <c r="AH1375" i="1"/>
  <c r="AH1652" i="1"/>
  <c r="AH1716" i="1"/>
  <c r="AG1735" i="1"/>
  <c r="AG1743" i="1"/>
  <c r="AG1751" i="1"/>
  <c r="AG1759" i="1"/>
  <c r="AG1767" i="1"/>
  <c r="AG1775" i="1"/>
  <c r="AG1783" i="1"/>
  <c r="AG1791" i="1"/>
  <c r="AG1799" i="1"/>
  <c r="AG1807" i="1"/>
  <c r="AG1815" i="1"/>
  <c r="AG1823" i="1"/>
  <c r="AG1831" i="1"/>
  <c r="AG1839" i="1"/>
  <c r="AG1847" i="1"/>
  <c r="AG1855" i="1"/>
  <c r="AG1863" i="1"/>
  <c r="AG1645" i="1"/>
  <c r="AG1709" i="1"/>
  <c r="AH1735" i="1"/>
  <c r="AH1743" i="1"/>
  <c r="AH1751" i="1"/>
  <c r="AH1759" i="1"/>
  <c r="AH1767" i="1"/>
  <c r="AH1775" i="1"/>
  <c r="AH1783" i="1"/>
  <c r="AH1791" i="1"/>
  <c r="AH1799" i="1"/>
  <c r="AH1807" i="1"/>
  <c r="AH1815" i="1"/>
  <c r="AH1823" i="1"/>
  <c r="AH1831" i="1"/>
  <c r="AH1839" i="1"/>
  <c r="AH1847" i="1"/>
  <c r="AH1855" i="1"/>
  <c r="AH1863" i="1"/>
  <c r="AG1752" i="1"/>
  <c r="AG1761" i="1"/>
  <c r="AH1856" i="1"/>
  <c r="AG1869" i="1"/>
  <c r="AG1877" i="1"/>
  <c r="AG1885" i="1"/>
  <c r="AG1893" i="1"/>
  <c r="AG1901" i="1"/>
  <c r="AG1909" i="1"/>
  <c r="AG1917" i="1"/>
  <c r="AG1925" i="1"/>
  <c r="AG1933" i="1"/>
  <c r="AG1941" i="1"/>
  <c r="AG1949" i="1"/>
  <c r="AG1957" i="1"/>
  <c r="AG1965" i="1"/>
  <c r="AG1973" i="1"/>
  <c r="AG1981" i="1"/>
  <c r="AH1752" i="1"/>
  <c r="AG1776" i="1"/>
  <c r="AG1785" i="1"/>
  <c r="AH1869" i="1"/>
  <c r="AH1877" i="1"/>
  <c r="AH1885" i="1"/>
  <c r="AH1893" i="1"/>
  <c r="AH1901" i="1"/>
  <c r="AH1909" i="1"/>
  <c r="AH1917" i="1"/>
  <c r="AH1925" i="1"/>
  <c r="AH1933" i="1"/>
  <c r="AH1941" i="1"/>
  <c r="AH1949" i="1"/>
  <c r="AH1957" i="1"/>
  <c r="AH1965" i="1"/>
  <c r="AH1973" i="1"/>
  <c r="AH1981" i="1"/>
  <c r="AH1776" i="1"/>
  <c r="AG1800" i="1"/>
  <c r="AG1809" i="1"/>
  <c r="AG1870" i="1"/>
  <c r="AG1878" i="1"/>
  <c r="AG1886" i="1"/>
  <c r="AG1894" i="1"/>
  <c r="AG1902" i="1"/>
  <c r="AG1910" i="1"/>
  <c r="AG1918" i="1"/>
  <c r="AG1926" i="1"/>
  <c r="AG1934" i="1"/>
  <c r="AG1942" i="1"/>
  <c r="AG1950" i="1"/>
  <c r="AG1958" i="1"/>
  <c r="AG1966" i="1"/>
  <c r="AG1974" i="1"/>
  <c r="AG1982" i="1"/>
  <c r="AG1717" i="1"/>
  <c r="AH1800" i="1"/>
  <c r="AG1824" i="1"/>
  <c r="AG1833" i="1"/>
  <c r="AH1870" i="1"/>
  <c r="AH1878" i="1"/>
  <c r="AH1886" i="1"/>
  <c r="AH1894" i="1"/>
  <c r="AH1902" i="1"/>
  <c r="AH1910" i="1"/>
  <c r="AH1918" i="1"/>
  <c r="AH1926" i="1"/>
  <c r="AH1934" i="1"/>
  <c r="AH1942" i="1"/>
  <c r="AH1950" i="1"/>
  <c r="AH1958" i="1"/>
  <c r="AH1966" i="1"/>
  <c r="AH1974" i="1"/>
  <c r="AH1982" i="1"/>
  <c r="AH1824" i="1"/>
  <c r="AG1848" i="1"/>
  <c r="AG1857" i="1"/>
  <c r="AG1871" i="1"/>
  <c r="AG1879" i="1"/>
  <c r="AG1887" i="1"/>
  <c r="AG1895" i="1"/>
  <c r="AG1903" i="1"/>
  <c r="AG1911" i="1"/>
  <c r="AG1919" i="1"/>
  <c r="AG1927" i="1"/>
  <c r="AG1935" i="1"/>
  <c r="AG1943" i="1"/>
  <c r="AG1951" i="1"/>
  <c r="AG1959" i="1"/>
  <c r="AG1967" i="1"/>
  <c r="AG1975" i="1"/>
  <c r="AG1983" i="1"/>
  <c r="AH1724" i="1"/>
  <c r="AG1744" i="1"/>
  <c r="AG1753" i="1"/>
  <c r="AH1848" i="1"/>
  <c r="AH1871" i="1"/>
  <c r="AH1879" i="1"/>
  <c r="AH1887" i="1"/>
  <c r="AH1895" i="1"/>
  <c r="AH1903" i="1"/>
  <c r="AH1911" i="1"/>
  <c r="AH1919" i="1"/>
  <c r="AH1927" i="1"/>
  <c r="AH1935" i="1"/>
  <c r="AH1943" i="1"/>
  <c r="AH1951" i="1"/>
  <c r="AH1959" i="1"/>
  <c r="AH1967" i="1"/>
  <c r="AH1975" i="1"/>
  <c r="AH1983" i="1"/>
  <c r="AH1744" i="1"/>
  <c r="AG1768" i="1"/>
  <c r="AG1777" i="1"/>
  <c r="AG1872" i="1"/>
  <c r="AG1880" i="1"/>
  <c r="AG1888" i="1"/>
  <c r="AG1896" i="1"/>
  <c r="AG1904" i="1"/>
  <c r="AG1912" i="1"/>
  <c r="AG1920" i="1"/>
  <c r="AG1928" i="1"/>
  <c r="AG1936" i="1"/>
  <c r="AG1944" i="1"/>
  <c r="AG1952" i="1"/>
  <c r="AG1960" i="1"/>
  <c r="AG1968" i="1"/>
  <c r="AG1976" i="1"/>
  <c r="AG1984" i="1"/>
  <c r="AH1768" i="1"/>
  <c r="AG1792" i="1"/>
  <c r="AG1801" i="1"/>
  <c r="AG1864" i="1"/>
  <c r="AH1872" i="1"/>
  <c r="AH1880" i="1"/>
  <c r="AH1888" i="1"/>
  <c r="AH1896" i="1"/>
  <c r="AH1904" i="1"/>
  <c r="AH1912" i="1"/>
  <c r="AH1920" i="1"/>
  <c r="AH1928" i="1"/>
  <c r="AH1936" i="1"/>
  <c r="AH1944" i="1"/>
  <c r="AH1952" i="1"/>
  <c r="AH1960" i="1"/>
  <c r="AH1968" i="1"/>
  <c r="AH1976" i="1"/>
  <c r="AH1984" i="1"/>
  <c r="AG1653" i="1"/>
  <c r="AH1792" i="1"/>
  <c r="AG1816" i="1"/>
  <c r="AG1825" i="1"/>
  <c r="AH1864" i="1"/>
  <c r="AG1865" i="1"/>
  <c r="AG1873" i="1"/>
  <c r="AG1881" i="1"/>
  <c r="AG1889" i="1"/>
  <c r="AG1897" i="1"/>
  <c r="AG1905" i="1"/>
  <c r="AG1913" i="1"/>
  <c r="AG1921" i="1"/>
  <c r="AG1929" i="1"/>
  <c r="AG1937" i="1"/>
  <c r="AG1945" i="1"/>
  <c r="AG1953" i="1"/>
  <c r="AG1961" i="1"/>
  <c r="AG1969" i="1"/>
  <c r="AG1977" i="1"/>
  <c r="AG1985" i="1"/>
  <c r="AH1816" i="1"/>
  <c r="AG1840" i="1"/>
  <c r="AG1849" i="1"/>
  <c r="AH1862" i="1"/>
  <c r="AH1865" i="1"/>
  <c r="AH1873" i="1"/>
  <c r="AH1881" i="1"/>
  <c r="AH1889" i="1"/>
  <c r="AH1897" i="1"/>
  <c r="AH1905" i="1"/>
  <c r="AH1913" i="1"/>
  <c r="AH1921" i="1"/>
  <c r="AH1929" i="1"/>
  <c r="AH1937" i="1"/>
  <c r="AH1945" i="1"/>
  <c r="AH1953" i="1"/>
  <c r="AH1961" i="1"/>
  <c r="AH1969" i="1"/>
  <c r="AH1977" i="1"/>
  <c r="AH1985" i="1"/>
  <c r="AH1660" i="1"/>
  <c r="AG1736" i="1"/>
  <c r="AG1745" i="1"/>
  <c r="AH1840" i="1"/>
  <c r="AG1866" i="1"/>
  <c r="AG1874" i="1"/>
  <c r="AG1882" i="1"/>
  <c r="AG1890" i="1"/>
  <c r="AG1898" i="1"/>
  <c r="AG1906" i="1"/>
  <c r="AG1914" i="1"/>
  <c r="AG1922" i="1"/>
  <c r="AG1930" i="1"/>
  <c r="AG1938" i="1"/>
  <c r="AG1946" i="1"/>
  <c r="AG1954" i="1"/>
  <c r="AG1962" i="1"/>
  <c r="AG1970" i="1"/>
  <c r="AG1978" i="1"/>
  <c r="AG1986" i="1"/>
  <c r="AH1736" i="1"/>
  <c r="AG1760" i="1"/>
  <c r="AG1769" i="1"/>
  <c r="AH1866" i="1"/>
  <c r="AH1874" i="1"/>
  <c r="AH1882" i="1"/>
  <c r="AH1890" i="1"/>
  <c r="AH1898" i="1"/>
  <c r="AH1906" i="1"/>
  <c r="AH1914" i="1"/>
  <c r="AH1922" i="1"/>
  <c r="AH1930" i="1"/>
  <c r="AH1938" i="1"/>
  <c r="AH1946" i="1"/>
  <c r="AH1954" i="1"/>
  <c r="AH1962" i="1"/>
  <c r="AH1970" i="1"/>
  <c r="AH1978" i="1"/>
  <c r="AH1986" i="1"/>
  <c r="AH1760" i="1"/>
  <c r="AG1784" i="1"/>
  <c r="AG1793" i="1"/>
  <c r="AH1668" i="1"/>
  <c r="AG1737" i="1"/>
  <c r="AH1832" i="1"/>
  <c r="AG1856" i="1"/>
  <c r="AG19" i="1"/>
  <c r="R24" i="1"/>
  <c r="S24" i="1"/>
  <c r="T24" i="1"/>
  <c r="U23" i="1"/>
  <c r="V23" i="1"/>
  <c r="W23" i="1"/>
  <c r="X22" i="1"/>
  <c r="Y21" i="1"/>
  <c r="Z20" i="1"/>
  <c r="AA20" i="1"/>
  <c r="AB20" i="1"/>
  <c r="AC20" i="1"/>
  <c r="AD19" i="1"/>
  <c r="AE16" i="1"/>
  <c r="AF13" i="1"/>
  <c r="AH14" i="1"/>
  <c r="AJ22" i="1"/>
  <c r="P31" i="1"/>
  <c r="P47" i="1"/>
  <c r="P63" i="1"/>
  <c r="P79" i="1"/>
  <c r="P95" i="1"/>
  <c r="P111" i="1"/>
  <c r="P127" i="1"/>
  <c r="P143" i="1"/>
  <c r="P159" i="1"/>
  <c r="P175" i="1"/>
  <c r="P191" i="1"/>
  <c r="P207" i="1"/>
  <c r="P223" i="1"/>
  <c r="P239" i="1"/>
  <c r="P255" i="1"/>
  <c r="P271" i="1"/>
  <c r="P287" i="1"/>
  <c r="P303" i="1"/>
  <c r="P319" i="1"/>
  <c r="P335" i="1"/>
  <c r="P351" i="1"/>
  <c r="P367" i="1"/>
  <c r="P383" i="1"/>
  <c r="P399" i="1"/>
  <c r="P415" i="1"/>
  <c r="P431" i="1"/>
  <c r="P447" i="1"/>
  <c r="P463" i="1"/>
  <c r="P479" i="1"/>
  <c r="P495" i="1"/>
  <c r="P511" i="1"/>
  <c r="P527" i="1"/>
  <c r="P543" i="1"/>
  <c r="P559" i="1"/>
  <c r="P575" i="1"/>
  <c r="P591" i="1"/>
  <c r="P607" i="1"/>
  <c r="P623" i="1"/>
  <c r="P639" i="1"/>
  <c r="P655" i="1"/>
  <c r="P671" i="1"/>
  <c r="P687" i="1"/>
  <c r="P703" i="1"/>
  <c r="P719" i="1"/>
  <c r="P735" i="1"/>
  <c r="P751" i="1"/>
  <c r="P767" i="1"/>
  <c r="P783" i="1"/>
  <c r="P799" i="1"/>
  <c r="P815" i="1"/>
  <c r="P831" i="1"/>
  <c r="P847" i="1"/>
  <c r="P863" i="1"/>
  <c r="P879" i="1"/>
  <c r="P895" i="1"/>
  <c r="P911" i="1"/>
  <c r="P927" i="1"/>
  <c r="P943" i="1"/>
  <c r="P959" i="1"/>
  <c r="P975" i="1"/>
  <c r="P991" i="1"/>
  <c r="P1007" i="1"/>
  <c r="P1023" i="1"/>
  <c r="P1039" i="1"/>
  <c r="P1055" i="1"/>
  <c r="P1071" i="1"/>
  <c r="P1087" i="1"/>
  <c r="P1103" i="1"/>
  <c r="P1119" i="1"/>
  <c r="P1135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1359" i="1"/>
  <c r="P1375" i="1"/>
  <c r="P1391" i="1"/>
  <c r="P1407" i="1"/>
  <c r="P1423" i="1"/>
  <c r="P1439" i="1"/>
  <c r="P1455" i="1"/>
  <c r="P1471" i="1"/>
  <c r="P1487" i="1"/>
  <c r="P1503" i="1"/>
  <c r="P1519" i="1"/>
  <c r="P1535" i="1"/>
  <c r="P1551" i="1"/>
  <c r="P1567" i="1"/>
  <c r="P1583" i="1"/>
  <c r="P1599" i="1"/>
  <c r="P1615" i="1"/>
  <c r="P1631" i="1"/>
  <c r="P1647" i="1"/>
  <c r="P1663" i="1"/>
  <c r="P1679" i="1"/>
  <c r="P1695" i="1"/>
  <c r="P1711" i="1"/>
  <c r="P1727" i="1"/>
  <c r="P1743" i="1"/>
  <c r="P1759" i="1"/>
  <c r="P1775" i="1"/>
  <c r="P1791" i="1"/>
  <c r="P1807" i="1"/>
  <c r="P1823" i="1"/>
  <c r="P1839" i="1"/>
  <c r="P1855" i="1"/>
  <c r="P1871" i="1"/>
  <c r="P1887" i="1"/>
  <c r="P1903" i="1"/>
  <c r="P1919" i="1"/>
  <c r="P1935" i="1"/>
  <c r="P1951" i="1"/>
  <c r="P1967" i="1"/>
  <c r="P1983" i="1"/>
  <c r="P1999" i="1"/>
  <c r="P2015" i="1"/>
  <c r="P2031" i="1"/>
  <c r="AF2044" i="1"/>
  <c r="AH2043" i="1"/>
  <c r="R2043" i="1"/>
  <c r="T2042" i="1"/>
  <c r="V2041" i="1"/>
  <c r="X2040" i="1"/>
  <c r="Z2039" i="1"/>
  <c r="AB2038" i="1"/>
  <c r="AD2037" i="1"/>
  <c r="AF2036" i="1"/>
  <c r="AH2035" i="1"/>
  <c r="R2035" i="1"/>
  <c r="T2034" i="1"/>
  <c r="V2033" i="1"/>
  <c r="X2032" i="1"/>
  <c r="Z2031" i="1"/>
  <c r="AB2030" i="1"/>
  <c r="AD2029" i="1"/>
  <c r="AF2028" i="1"/>
  <c r="AH2027" i="1"/>
  <c r="R2027" i="1"/>
  <c r="T2026" i="1"/>
  <c r="V2025" i="1"/>
  <c r="X2024" i="1"/>
  <c r="Z2023" i="1"/>
  <c r="AB2022" i="1"/>
  <c r="AD2021" i="1"/>
  <c r="AF2020" i="1"/>
  <c r="AH2019" i="1"/>
  <c r="R2019" i="1"/>
  <c r="T2018" i="1"/>
  <c r="V2017" i="1"/>
  <c r="X2016" i="1"/>
  <c r="Z2015" i="1"/>
  <c r="AB2014" i="1"/>
  <c r="AD2013" i="1"/>
  <c r="AF2012" i="1"/>
  <c r="AH2011" i="1"/>
  <c r="R2011" i="1"/>
  <c r="T2010" i="1"/>
  <c r="V2009" i="1"/>
  <c r="X2008" i="1"/>
  <c r="Z2007" i="1"/>
  <c r="AB2006" i="1"/>
  <c r="AD2005" i="1"/>
  <c r="AF2004" i="1"/>
  <c r="AH2003" i="1"/>
  <c r="R2003" i="1"/>
  <c r="T2002" i="1"/>
  <c r="V2001" i="1"/>
  <c r="X2000" i="1"/>
  <c r="Z1999" i="1"/>
  <c r="AB1998" i="1"/>
  <c r="AD1997" i="1"/>
  <c r="AF1996" i="1"/>
  <c r="AH1995" i="1"/>
  <c r="R1995" i="1"/>
  <c r="T1994" i="1"/>
  <c r="V1993" i="1"/>
  <c r="X1992" i="1"/>
  <c r="Z1991" i="1"/>
  <c r="AB1990" i="1"/>
  <c r="AD1989" i="1"/>
  <c r="AF1988" i="1"/>
  <c r="AH1987" i="1"/>
  <c r="U1986" i="1"/>
  <c r="Y1983" i="1"/>
  <c r="AG1979" i="1"/>
  <c r="W1976" i="1"/>
  <c r="AE1972" i="1"/>
  <c r="U1969" i="1"/>
  <c r="AC1965" i="1"/>
  <c r="S1962" i="1"/>
  <c r="AA1958" i="1"/>
  <c r="Q1955" i="1"/>
  <c r="Y1951" i="1"/>
  <c r="AG1947" i="1"/>
  <c r="W1944" i="1"/>
  <c r="AE1940" i="1"/>
  <c r="U1937" i="1"/>
  <c r="AC1933" i="1"/>
  <c r="S1930" i="1"/>
  <c r="AA1926" i="1"/>
  <c r="Q1923" i="1"/>
  <c r="Y1919" i="1"/>
  <c r="AG1915" i="1"/>
  <c r="W1912" i="1"/>
  <c r="AE1908" i="1"/>
  <c r="U1905" i="1"/>
  <c r="AC1901" i="1"/>
  <c r="S1898" i="1"/>
  <c r="AA1894" i="1"/>
  <c r="Q1891" i="1"/>
  <c r="Y1887" i="1"/>
  <c r="AG1883" i="1"/>
  <c r="W1880" i="1"/>
  <c r="AE1876" i="1"/>
  <c r="U1873" i="1"/>
  <c r="AC1869" i="1"/>
  <c r="S1866" i="1"/>
  <c r="S1847" i="1"/>
  <c r="X1813" i="1"/>
  <c r="AE1737" i="1"/>
  <c r="AG26" i="1"/>
  <c r="AH25" i="1"/>
  <c r="AG2033" i="1"/>
  <c r="AG1993" i="1"/>
  <c r="V30" i="1"/>
  <c r="V38" i="1"/>
  <c r="V46" i="1"/>
  <c r="W31" i="1"/>
  <c r="U32" i="1"/>
  <c r="W39" i="1"/>
  <c r="U40" i="1"/>
  <c r="W47" i="1"/>
  <c r="U48" i="1"/>
  <c r="V32" i="1"/>
  <c r="V40" i="1"/>
  <c r="V48" i="1"/>
  <c r="W32" i="1"/>
  <c r="U33" i="1"/>
  <c r="W40" i="1"/>
  <c r="U41" i="1"/>
  <c r="W48" i="1"/>
  <c r="U49" i="1"/>
  <c r="V33" i="1"/>
  <c r="V41" i="1"/>
  <c r="V49" i="1"/>
  <c r="W27" i="1"/>
  <c r="U28" i="1"/>
  <c r="W35" i="1"/>
  <c r="U36" i="1"/>
  <c r="W43" i="1"/>
  <c r="U44" i="1"/>
  <c r="V28" i="1"/>
  <c r="V36" i="1"/>
  <c r="V44" i="1"/>
  <c r="U31" i="1"/>
  <c r="W42" i="1"/>
  <c r="V50" i="1"/>
  <c r="V58" i="1"/>
  <c r="V66" i="1"/>
  <c r="V74" i="1"/>
  <c r="V82" i="1"/>
  <c r="W36" i="1"/>
  <c r="V47" i="1"/>
  <c r="W51" i="1"/>
  <c r="U52" i="1"/>
  <c r="W59" i="1"/>
  <c r="U60" i="1"/>
  <c r="W67" i="1"/>
  <c r="U68" i="1"/>
  <c r="W75" i="1"/>
  <c r="U76" i="1"/>
  <c r="W83" i="1"/>
  <c r="U84" i="1"/>
  <c r="W33" i="1"/>
  <c r="W44" i="1"/>
  <c r="V52" i="1"/>
  <c r="V60" i="1"/>
  <c r="V68" i="1"/>
  <c r="V76" i="1"/>
  <c r="V84" i="1"/>
  <c r="W41" i="1"/>
  <c r="W52" i="1"/>
  <c r="U53" i="1"/>
  <c r="W60" i="1"/>
  <c r="U61" i="1"/>
  <c r="W68" i="1"/>
  <c r="U69" i="1"/>
  <c r="W76" i="1"/>
  <c r="U77" i="1"/>
  <c r="W84" i="1"/>
  <c r="U85" i="1"/>
  <c r="U30" i="1"/>
  <c r="W49" i="1"/>
  <c r="V53" i="1"/>
  <c r="V61" i="1"/>
  <c r="V69" i="1"/>
  <c r="V77" i="1"/>
  <c r="V85" i="1"/>
  <c r="U27" i="1"/>
  <c r="W30" i="1"/>
  <c r="U38" i="1"/>
  <c r="W53" i="1"/>
  <c r="U54" i="1"/>
  <c r="W61" i="1"/>
  <c r="U62" i="1"/>
  <c r="W69" i="1"/>
  <c r="U70" i="1"/>
  <c r="W77" i="1"/>
  <c r="U78" i="1"/>
  <c r="W85" i="1"/>
  <c r="U86" i="1"/>
  <c r="V27" i="1"/>
  <c r="U35" i="1"/>
  <c r="W38" i="1"/>
  <c r="U46" i="1"/>
  <c r="V54" i="1"/>
  <c r="V62" i="1"/>
  <c r="V70" i="1"/>
  <c r="V78" i="1"/>
  <c r="V35" i="1"/>
  <c r="U43" i="1"/>
  <c r="W46" i="1"/>
  <c r="W54" i="1"/>
  <c r="U55" i="1"/>
  <c r="W62" i="1"/>
  <c r="U63" i="1"/>
  <c r="W70" i="1"/>
  <c r="U71" i="1"/>
  <c r="W78" i="1"/>
  <c r="U79" i="1"/>
  <c r="V29" i="1"/>
  <c r="U37" i="1"/>
  <c r="V56" i="1"/>
  <c r="V64" i="1"/>
  <c r="V72" i="1"/>
  <c r="V80" i="1"/>
  <c r="V88" i="1"/>
  <c r="V31" i="1"/>
  <c r="V42" i="1"/>
  <c r="U64" i="1"/>
  <c r="W72" i="1"/>
  <c r="U74" i="1"/>
  <c r="U82" i="1"/>
  <c r="U88" i="1"/>
  <c r="U89" i="1"/>
  <c r="W96" i="1"/>
  <c r="U97" i="1"/>
  <c r="W104" i="1"/>
  <c r="U105" i="1"/>
  <c r="W112" i="1"/>
  <c r="U113" i="1"/>
  <c r="W120" i="1"/>
  <c r="U121" i="1"/>
  <c r="W128" i="1"/>
  <c r="U129" i="1"/>
  <c r="U56" i="1"/>
  <c r="W64" i="1"/>
  <c r="U66" i="1"/>
  <c r="W74" i="1"/>
  <c r="W82" i="1"/>
  <c r="W88" i="1"/>
  <c r="V89" i="1"/>
  <c r="V97" i="1"/>
  <c r="V105" i="1"/>
  <c r="V113" i="1"/>
  <c r="V121" i="1"/>
  <c r="V129" i="1"/>
  <c r="V39" i="1"/>
  <c r="W50" i="1"/>
  <c r="V87" i="1"/>
  <c r="W90" i="1"/>
  <c r="U91" i="1"/>
  <c r="W98" i="1"/>
  <c r="U99" i="1"/>
  <c r="W106" i="1"/>
  <c r="U107" i="1"/>
  <c r="W114" i="1"/>
  <c r="U115" i="1"/>
  <c r="W122" i="1"/>
  <c r="U123" i="1"/>
  <c r="U29" i="1"/>
  <c r="W87" i="1"/>
  <c r="V91" i="1"/>
  <c r="V99" i="1"/>
  <c r="V107" i="1"/>
  <c r="V115" i="1"/>
  <c r="W29" i="1"/>
  <c r="V79" i="1"/>
  <c r="U81" i="1"/>
  <c r="W91" i="1"/>
  <c r="U92" i="1"/>
  <c r="W99" i="1"/>
  <c r="U100" i="1"/>
  <c r="W107" i="1"/>
  <c r="U108" i="1"/>
  <c r="W115" i="1"/>
  <c r="U116" i="1"/>
  <c r="W123" i="1"/>
  <c r="U124" i="1"/>
  <c r="U47" i="1"/>
  <c r="V71" i="1"/>
  <c r="U73" i="1"/>
  <c r="W79" i="1"/>
  <c r="V81" i="1"/>
  <c r="V86" i="1"/>
  <c r="V92" i="1"/>
  <c r="V100" i="1"/>
  <c r="V108" i="1"/>
  <c r="V116" i="1"/>
  <c r="V63" i="1"/>
  <c r="U65" i="1"/>
  <c r="W71" i="1"/>
  <c r="V73" i="1"/>
  <c r="U75" i="1"/>
  <c r="W81" i="1"/>
  <c r="W86" i="1"/>
  <c r="W92" i="1"/>
  <c r="U93" i="1"/>
  <c r="W100" i="1"/>
  <c r="U101" i="1"/>
  <c r="W108" i="1"/>
  <c r="U109" i="1"/>
  <c r="W116" i="1"/>
  <c r="U117" i="1"/>
  <c r="V37" i="1"/>
  <c r="V55" i="1"/>
  <c r="U57" i="1"/>
  <c r="W63" i="1"/>
  <c r="V65" i="1"/>
  <c r="U67" i="1"/>
  <c r="W73" i="1"/>
  <c r="V75" i="1"/>
  <c r="U83" i="1"/>
  <c r="V93" i="1"/>
  <c r="V101" i="1"/>
  <c r="V109" i="1"/>
  <c r="V117" i="1"/>
  <c r="V125" i="1"/>
  <c r="V34" i="1"/>
  <c r="U45" i="1"/>
  <c r="V51" i="1"/>
  <c r="W94" i="1"/>
  <c r="U95" i="1"/>
  <c r="W102" i="1"/>
  <c r="U103" i="1"/>
  <c r="W110" i="1"/>
  <c r="U111" i="1"/>
  <c r="W118" i="1"/>
  <c r="U119" i="1"/>
  <c r="U125" i="1"/>
  <c r="V135" i="1"/>
  <c r="V143" i="1"/>
  <c r="V151" i="1"/>
  <c r="V159" i="1"/>
  <c r="V167" i="1"/>
  <c r="V175" i="1"/>
  <c r="W28" i="1"/>
  <c r="W45" i="1"/>
  <c r="V57" i="1"/>
  <c r="U80" i="1"/>
  <c r="U102" i="1"/>
  <c r="V110" i="1"/>
  <c r="U112" i="1"/>
  <c r="U114" i="1"/>
  <c r="U118" i="1"/>
  <c r="V124" i="1"/>
  <c r="W136" i="1"/>
  <c r="U137" i="1"/>
  <c r="W144" i="1"/>
  <c r="U145" i="1"/>
  <c r="W152" i="1"/>
  <c r="U153" i="1"/>
  <c r="W160" i="1"/>
  <c r="U161" i="1"/>
  <c r="W168" i="1"/>
  <c r="U169" i="1"/>
  <c r="W57" i="1"/>
  <c r="W66" i="1"/>
  <c r="W80" i="1"/>
  <c r="U94" i="1"/>
  <c r="V102" i="1"/>
  <c r="U104" i="1"/>
  <c r="U106" i="1"/>
  <c r="V112" i="1"/>
  <c r="V114" i="1"/>
  <c r="V118" i="1"/>
  <c r="W124" i="1"/>
  <c r="V137" i="1"/>
  <c r="V145" i="1"/>
  <c r="V153" i="1"/>
  <c r="V161" i="1"/>
  <c r="V169" i="1"/>
  <c r="V94" i="1"/>
  <c r="U96" i="1"/>
  <c r="U98" i="1"/>
  <c r="V104" i="1"/>
  <c r="V106" i="1"/>
  <c r="U130" i="1"/>
  <c r="W137" i="1"/>
  <c r="U138" i="1"/>
  <c r="W145" i="1"/>
  <c r="U146" i="1"/>
  <c r="W153" i="1"/>
  <c r="U154" i="1"/>
  <c r="W161" i="1"/>
  <c r="U162" i="1"/>
  <c r="V67" i="1"/>
  <c r="U90" i="1"/>
  <c r="V96" i="1"/>
  <c r="V98" i="1"/>
  <c r="U120" i="1"/>
  <c r="V130" i="1"/>
  <c r="V138" i="1"/>
  <c r="V146" i="1"/>
  <c r="V154" i="1"/>
  <c r="V162" i="1"/>
  <c r="V90" i="1"/>
  <c r="V120" i="1"/>
  <c r="V123" i="1"/>
  <c r="W129" i="1"/>
  <c r="W130" i="1"/>
  <c r="U131" i="1"/>
  <c r="W138" i="1"/>
  <c r="U139" i="1"/>
  <c r="W146" i="1"/>
  <c r="U147" i="1"/>
  <c r="W154" i="1"/>
  <c r="U155" i="1"/>
  <c r="W162" i="1"/>
  <c r="U163" i="1"/>
  <c r="U39" i="1"/>
  <c r="U58" i="1"/>
  <c r="U72" i="1"/>
  <c r="V131" i="1"/>
  <c r="V139" i="1"/>
  <c r="V147" i="1"/>
  <c r="V155" i="1"/>
  <c r="V163" i="1"/>
  <c r="W58" i="1"/>
  <c r="U128" i="1"/>
  <c r="W131" i="1"/>
  <c r="U132" i="1"/>
  <c r="W139" i="1"/>
  <c r="U140" i="1"/>
  <c r="W147" i="1"/>
  <c r="U148" i="1"/>
  <c r="W155" i="1"/>
  <c r="U156" i="1"/>
  <c r="W163" i="1"/>
  <c r="U164" i="1"/>
  <c r="W171" i="1"/>
  <c r="U172" i="1"/>
  <c r="U34" i="1"/>
  <c r="W55" i="1"/>
  <c r="W101" i="1"/>
  <c r="V103" i="1"/>
  <c r="W111" i="1"/>
  <c r="W113" i="1"/>
  <c r="V127" i="1"/>
  <c r="V133" i="1"/>
  <c r="V141" i="1"/>
  <c r="V149" i="1"/>
  <c r="V157" i="1"/>
  <c r="V165" i="1"/>
  <c r="V45" i="1"/>
  <c r="V59" i="1"/>
  <c r="W93" i="1"/>
  <c r="W126" i="1"/>
  <c r="W135" i="1"/>
  <c r="W170" i="1"/>
  <c r="W176" i="1"/>
  <c r="U177" i="1"/>
  <c r="W184" i="1"/>
  <c r="U185" i="1"/>
  <c r="W192" i="1"/>
  <c r="U193" i="1"/>
  <c r="W200" i="1"/>
  <c r="U201" i="1"/>
  <c r="W208" i="1"/>
  <c r="U209" i="1"/>
  <c r="V177" i="1"/>
  <c r="V185" i="1"/>
  <c r="V193" i="1"/>
  <c r="V201" i="1"/>
  <c r="V209" i="1"/>
  <c r="V164" i="1"/>
  <c r="U166" i="1"/>
  <c r="W169" i="1"/>
  <c r="W177" i="1"/>
  <c r="U178" i="1"/>
  <c r="W185" i="1"/>
  <c r="U186" i="1"/>
  <c r="W193" i="1"/>
  <c r="U194" i="1"/>
  <c r="W201" i="1"/>
  <c r="U202" i="1"/>
  <c r="W209" i="1"/>
  <c r="U210" i="1"/>
  <c r="W34" i="1"/>
  <c r="U51" i="1"/>
  <c r="V83" i="1"/>
  <c r="W121" i="1"/>
  <c r="W127" i="1"/>
  <c r="V140" i="1"/>
  <c r="U142" i="1"/>
  <c r="W148" i="1"/>
  <c r="V150" i="1"/>
  <c r="U152" i="1"/>
  <c r="W158" i="1"/>
  <c r="V160" i="1"/>
  <c r="V179" i="1"/>
  <c r="V187" i="1"/>
  <c r="V195" i="1"/>
  <c r="V203" i="1"/>
  <c r="V211" i="1"/>
  <c r="V132" i="1"/>
  <c r="U134" i="1"/>
  <c r="W140" i="1"/>
  <c r="V142" i="1"/>
  <c r="U144" i="1"/>
  <c r="W150" i="1"/>
  <c r="V152" i="1"/>
  <c r="W179" i="1"/>
  <c r="U180" i="1"/>
  <c r="W187" i="1"/>
  <c r="U188" i="1"/>
  <c r="AN185" i="1" s="1"/>
  <c r="W195" i="1"/>
  <c r="U196" i="1"/>
  <c r="W203" i="1"/>
  <c r="U204" i="1"/>
  <c r="W211" i="1"/>
  <c r="U212" i="1"/>
  <c r="V95" i="1"/>
  <c r="W109" i="1"/>
  <c r="U122" i="1"/>
  <c r="W132" i="1"/>
  <c r="V134" i="1"/>
  <c r="U136" i="1"/>
  <c r="W142" i="1"/>
  <c r="V144" i="1"/>
  <c r="U168" i="1"/>
  <c r="V180" i="1"/>
  <c r="V188" i="1"/>
  <c r="V196" i="1"/>
  <c r="V204" i="1"/>
  <c r="V212" i="1"/>
  <c r="W95" i="1"/>
  <c r="V122" i="1"/>
  <c r="W134" i="1"/>
  <c r="V136" i="1"/>
  <c r="V168" i="1"/>
  <c r="W180" i="1"/>
  <c r="U181" i="1"/>
  <c r="W188" i="1"/>
  <c r="U189" i="1"/>
  <c r="AN186" i="1" s="1"/>
  <c r="W196" i="1"/>
  <c r="U197" i="1"/>
  <c r="W37" i="1"/>
  <c r="V181" i="1"/>
  <c r="V189" i="1"/>
  <c r="V197" i="1"/>
  <c r="V205" i="1"/>
  <c r="W65" i="1"/>
  <c r="W105" i="1"/>
  <c r="W125" i="1"/>
  <c r="V128" i="1"/>
  <c r="U165" i="1"/>
  <c r="W181" i="1"/>
  <c r="U182" i="1"/>
  <c r="W189" i="1"/>
  <c r="U190" i="1"/>
  <c r="AN187" i="1" s="1"/>
  <c r="W197" i="1"/>
  <c r="U198" i="1"/>
  <c r="W205" i="1"/>
  <c r="U206" i="1"/>
  <c r="W56" i="1"/>
  <c r="U141" i="1"/>
  <c r="W149" i="1"/>
  <c r="U151" i="1"/>
  <c r="W159" i="1"/>
  <c r="U167" i="1"/>
  <c r="U173" i="1"/>
  <c r="U174" i="1"/>
  <c r="U175" i="1"/>
  <c r="V183" i="1"/>
  <c r="V191" i="1"/>
  <c r="V199" i="1"/>
  <c r="U150" i="1"/>
  <c r="W166" i="1"/>
  <c r="V170" i="1"/>
  <c r="V192" i="1"/>
  <c r="U203" i="1"/>
  <c r="W210" i="1"/>
  <c r="V214" i="1"/>
  <c r="V222" i="1"/>
  <c r="V230" i="1"/>
  <c r="V238" i="1"/>
  <c r="V246" i="1"/>
  <c r="V254" i="1"/>
  <c r="V156" i="1"/>
  <c r="V173" i="1"/>
  <c r="V178" i="1"/>
  <c r="V190" i="1"/>
  <c r="U205" i="1"/>
  <c r="W212" i="1"/>
  <c r="W214" i="1"/>
  <c r="U215" i="1"/>
  <c r="W222" i="1"/>
  <c r="U223" i="1"/>
  <c r="W230" i="1"/>
  <c r="U231" i="1"/>
  <c r="W238" i="1"/>
  <c r="U239" i="1"/>
  <c r="W246" i="1"/>
  <c r="U247" i="1"/>
  <c r="W254" i="1"/>
  <c r="U255" i="1"/>
  <c r="W97" i="1"/>
  <c r="U110" i="1"/>
  <c r="W156" i="1"/>
  <c r="W173" i="1"/>
  <c r="W178" i="1"/>
  <c r="U183" i="1"/>
  <c r="W190" i="1"/>
  <c r="V215" i="1"/>
  <c r="V223" i="1"/>
  <c r="V231" i="1"/>
  <c r="V239" i="1"/>
  <c r="V247" i="1"/>
  <c r="V255" i="1"/>
  <c r="W141" i="1"/>
  <c r="U171" i="1"/>
  <c r="W207" i="1"/>
  <c r="W216" i="1"/>
  <c r="U217" i="1"/>
  <c r="W224" i="1"/>
  <c r="U225" i="1"/>
  <c r="W232" i="1"/>
  <c r="U233" i="1"/>
  <c r="W240" i="1"/>
  <c r="U241" i="1"/>
  <c r="W248" i="1"/>
  <c r="U249" i="1"/>
  <c r="W256" i="1"/>
  <c r="U257" i="1"/>
  <c r="U87" i="1"/>
  <c r="V171" i="1"/>
  <c r="U200" i="1"/>
  <c r="V217" i="1"/>
  <c r="V225" i="1"/>
  <c r="V233" i="1"/>
  <c r="V241" i="1"/>
  <c r="V249" i="1"/>
  <c r="V257" i="1"/>
  <c r="U158" i="1"/>
  <c r="V174" i="1"/>
  <c r="V186" i="1"/>
  <c r="V198" i="1"/>
  <c r="V200" i="1"/>
  <c r="V202" i="1"/>
  <c r="W217" i="1"/>
  <c r="U218" i="1"/>
  <c r="W225" i="1"/>
  <c r="U226" i="1"/>
  <c r="W233" i="1"/>
  <c r="U234" i="1"/>
  <c r="W241" i="1"/>
  <c r="U242" i="1"/>
  <c r="W249" i="1"/>
  <c r="U250" i="1"/>
  <c r="W89" i="1"/>
  <c r="V158" i="1"/>
  <c r="W174" i="1"/>
  <c r="U179" i="1"/>
  <c r="W186" i="1"/>
  <c r="U191" i="1"/>
  <c r="W198" i="1"/>
  <c r="W202" i="1"/>
  <c r="U211" i="1"/>
  <c r="V218" i="1"/>
  <c r="V226" i="1"/>
  <c r="V234" i="1"/>
  <c r="W103" i="1"/>
  <c r="W164" i="1"/>
  <c r="U184" i="1"/>
  <c r="W191" i="1"/>
  <c r="W204" i="1"/>
  <c r="W218" i="1"/>
  <c r="U219" i="1"/>
  <c r="W226" i="1"/>
  <c r="U227" i="1"/>
  <c r="W234" i="1"/>
  <c r="U235" i="1"/>
  <c r="W242" i="1"/>
  <c r="U243" i="1"/>
  <c r="W250" i="1"/>
  <c r="U251" i="1"/>
  <c r="W258" i="1"/>
  <c r="V148" i="1"/>
  <c r="U159" i="1"/>
  <c r="V184" i="1"/>
  <c r="V206" i="1"/>
  <c r="V219" i="1"/>
  <c r="V227" i="1"/>
  <c r="V235" i="1"/>
  <c r="V243" i="1"/>
  <c r="V251" i="1"/>
  <c r="V43" i="1"/>
  <c r="V119" i="1"/>
  <c r="U133" i="1"/>
  <c r="W175" i="1"/>
  <c r="V194" i="1"/>
  <c r="U208" i="1"/>
  <c r="U213" i="1"/>
  <c r="W220" i="1"/>
  <c r="U221" i="1"/>
  <c r="W228" i="1"/>
  <c r="U229" i="1"/>
  <c r="W236" i="1"/>
  <c r="U237" i="1"/>
  <c r="W244" i="1"/>
  <c r="U245" i="1"/>
  <c r="W252" i="1"/>
  <c r="U253" i="1"/>
  <c r="U42" i="1"/>
  <c r="W143" i="1"/>
  <c r="W157" i="1"/>
  <c r="U170" i="1"/>
  <c r="U238" i="1"/>
  <c r="W265" i="1"/>
  <c r="U266" i="1"/>
  <c r="W273" i="1"/>
  <c r="U274" i="1"/>
  <c r="W281" i="1"/>
  <c r="U282" i="1"/>
  <c r="W289" i="1"/>
  <c r="U290" i="1"/>
  <c r="W297" i="1"/>
  <c r="U298" i="1"/>
  <c r="W305" i="1"/>
  <c r="U306" i="1"/>
  <c r="W313" i="1"/>
  <c r="U314" i="1"/>
  <c r="U207" i="1"/>
  <c r="U224" i="1"/>
  <c r="W231" i="1"/>
  <c r="U236" i="1"/>
  <c r="U256" i="1"/>
  <c r="V266" i="1"/>
  <c r="V274" i="1"/>
  <c r="V282" i="1"/>
  <c r="V290" i="1"/>
  <c r="V298" i="1"/>
  <c r="V306" i="1"/>
  <c r="V314" i="1"/>
  <c r="U50" i="1"/>
  <c r="V207" i="1"/>
  <c r="V224" i="1"/>
  <c r="V236" i="1"/>
  <c r="V256" i="1"/>
  <c r="U259" i="1"/>
  <c r="W266" i="1"/>
  <c r="U267" i="1"/>
  <c r="W274" i="1"/>
  <c r="U275" i="1"/>
  <c r="W282" i="1"/>
  <c r="U283" i="1"/>
  <c r="W290" i="1"/>
  <c r="U291" i="1"/>
  <c r="W298" i="1"/>
  <c r="U299" i="1"/>
  <c r="W306" i="1"/>
  <c r="U307" i="1"/>
  <c r="W314" i="1"/>
  <c r="U315" i="1"/>
  <c r="V111" i="1"/>
  <c r="W133" i="1"/>
  <c r="V208" i="1"/>
  <c r="W215" i="1"/>
  <c r="U220" i="1"/>
  <c r="W227" i="1"/>
  <c r="W251" i="1"/>
  <c r="U258" i="1"/>
  <c r="V260" i="1"/>
  <c r="V268" i="1"/>
  <c r="V276" i="1"/>
  <c r="V284" i="1"/>
  <c r="V292" i="1"/>
  <c r="V300" i="1"/>
  <c r="V308" i="1"/>
  <c r="V316" i="1"/>
  <c r="U149" i="1"/>
  <c r="U192" i="1"/>
  <c r="V220" i="1"/>
  <c r="W243" i="1"/>
  <c r="V245" i="1"/>
  <c r="W247" i="1"/>
  <c r="V253" i="1"/>
  <c r="V258" i="1"/>
  <c r="W260" i="1"/>
  <c r="U261" i="1"/>
  <c r="W268" i="1"/>
  <c r="U269" i="1"/>
  <c r="W276" i="1"/>
  <c r="U277" i="1"/>
  <c r="W284" i="1"/>
  <c r="U285" i="1"/>
  <c r="W292" i="1"/>
  <c r="U293" i="1"/>
  <c r="W300" i="1"/>
  <c r="U301" i="1"/>
  <c r="W308" i="1"/>
  <c r="U309" i="1"/>
  <c r="W117" i="1"/>
  <c r="W165" i="1"/>
  <c r="U199" i="1"/>
  <c r="V213" i="1"/>
  <c r="U232" i="1"/>
  <c r="W239" i="1"/>
  <c r="W245" i="1"/>
  <c r="W253" i="1"/>
  <c r="V261" i="1"/>
  <c r="V269" i="1"/>
  <c r="V277" i="1"/>
  <c r="V285" i="1"/>
  <c r="V293" i="1"/>
  <c r="V301" i="1"/>
  <c r="U135" i="1"/>
  <c r="W199" i="1"/>
  <c r="W213" i="1"/>
  <c r="V232" i="1"/>
  <c r="W255" i="1"/>
  <c r="W261" i="1"/>
  <c r="U262" i="1"/>
  <c r="W269" i="1"/>
  <c r="U270" i="1"/>
  <c r="W277" i="1"/>
  <c r="U278" i="1"/>
  <c r="W285" i="1"/>
  <c r="U286" i="1"/>
  <c r="W293" i="1"/>
  <c r="U294" i="1"/>
  <c r="W301" i="1"/>
  <c r="U302" i="1"/>
  <c r="W119" i="1"/>
  <c r="W151" i="1"/>
  <c r="U187" i="1"/>
  <c r="AN184" i="1" s="1"/>
  <c r="V237" i="1"/>
  <c r="V262" i="1"/>
  <c r="V270" i="1"/>
  <c r="V278" i="1"/>
  <c r="V286" i="1"/>
  <c r="V294" i="1"/>
  <c r="V302" i="1"/>
  <c r="V310" i="1"/>
  <c r="V166" i="1"/>
  <c r="U230" i="1"/>
  <c r="W237" i="1"/>
  <c r="W262" i="1"/>
  <c r="U263" i="1"/>
  <c r="W270" i="1"/>
  <c r="U271" i="1"/>
  <c r="W278" i="1"/>
  <c r="U279" i="1"/>
  <c r="W286" i="1"/>
  <c r="U287" i="1"/>
  <c r="W294" i="1"/>
  <c r="U295" i="1"/>
  <c r="W302" i="1"/>
  <c r="U303" i="1"/>
  <c r="W310" i="1"/>
  <c r="U311" i="1"/>
  <c r="W318" i="1"/>
  <c r="U319" i="1"/>
  <c r="U126" i="1"/>
  <c r="U176" i="1"/>
  <c r="W206" i="1"/>
  <c r="V221" i="1"/>
  <c r="U244" i="1"/>
  <c r="U248" i="1"/>
  <c r="V250" i="1"/>
  <c r="V252" i="1"/>
  <c r="V264" i="1"/>
  <c r="V272" i="1"/>
  <c r="V280" i="1"/>
  <c r="V288" i="1"/>
  <c r="V296" i="1"/>
  <c r="V304" i="1"/>
  <c r="V312" i="1"/>
  <c r="W229" i="1"/>
  <c r="W257" i="1"/>
  <c r="U260" i="1"/>
  <c r="W267" i="1"/>
  <c r="U272" i="1"/>
  <c r="W279" i="1"/>
  <c r="U305" i="1"/>
  <c r="V307" i="1"/>
  <c r="V317" i="1"/>
  <c r="V326" i="1"/>
  <c r="V334" i="1"/>
  <c r="V342" i="1"/>
  <c r="V350" i="1"/>
  <c r="V358" i="1"/>
  <c r="V366" i="1"/>
  <c r="V374" i="1"/>
  <c r="V382" i="1"/>
  <c r="V390" i="1"/>
  <c r="V398" i="1"/>
  <c r="V406" i="1"/>
  <c r="V414" i="1"/>
  <c r="V422" i="1"/>
  <c r="V430" i="1"/>
  <c r="U195" i="1"/>
  <c r="V242" i="1"/>
  <c r="U265" i="1"/>
  <c r="W272" i="1"/>
  <c r="V291" i="1"/>
  <c r="V303" i="1"/>
  <c r="V305" i="1"/>
  <c r="W307" i="1"/>
  <c r="W317" i="1"/>
  <c r="W326" i="1"/>
  <c r="U327" i="1"/>
  <c r="W334" i="1"/>
  <c r="U335" i="1"/>
  <c r="W342" i="1"/>
  <c r="U343" i="1"/>
  <c r="W350" i="1"/>
  <c r="U351" i="1"/>
  <c r="W358" i="1"/>
  <c r="U359" i="1"/>
  <c r="W366" i="1"/>
  <c r="U367" i="1"/>
  <c r="W374" i="1"/>
  <c r="U375" i="1"/>
  <c r="W382" i="1"/>
  <c r="U383" i="1"/>
  <c r="W390" i="1"/>
  <c r="U391" i="1"/>
  <c r="W398" i="1"/>
  <c r="U399" i="1"/>
  <c r="W406" i="1"/>
  <c r="U407" i="1"/>
  <c r="W414" i="1"/>
  <c r="U415" i="1"/>
  <c r="W422" i="1"/>
  <c r="U423" i="1"/>
  <c r="W430" i="1"/>
  <c r="U431" i="1"/>
  <c r="V210" i="1"/>
  <c r="V265" i="1"/>
  <c r="U284" i="1"/>
  <c r="W291" i="1"/>
  <c r="U296" i="1"/>
  <c r="W303" i="1"/>
  <c r="V309" i="1"/>
  <c r="V327" i="1"/>
  <c r="V335" i="1"/>
  <c r="V343" i="1"/>
  <c r="V351" i="1"/>
  <c r="V359" i="1"/>
  <c r="V367" i="1"/>
  <c r="V375" i="1"/>
  <c r="V383" i="1"/>
  <c r="V391" i="1"/>
  <c r="V399" i="1"/>
  <c r="V407" i="1"/>
  <c r="V415" i="1"/>
  <c r="V423" i="1"/>
  <c r="V431" i="1"/>
  <c r="V182" i="1"/>
  <c r="V248" i="1"/>
  <c r="V263" i="1"/>
  <c r="U289" i="1"/>
  <c r="W296" i="1"/>
  <c r="U157" i="1"/>
  <c r="W182" i="1"/>
  <c r="W263" i="1"/>
  <c r="V289" i="1"/>
  <c r="V311" i="1"/>
  <c r="U316" i="1"/>
  <c r="V328" i="1"/>
  <c r="V336" i="1"/>
  <c r="V344" i="1"/>
  <c r="V352" i="1"/>
  <c r="V360" i="1"/>
  <c r="V368" i="1"/>
  <c r="V376" i="1"/>
  <c r="V384" i="1"/>
  <c r="V392" i="1"/>
  <c r="V400" i="1"/>
  <c r="V408" i="1"/>
  <c r="V416" i="1"/>
  <c r="V424" i="1"/>
  <c r="V432" i="1"/>
  <c r="U160" i="1"/>
  <c r="V275" i="1"/>
  <c r="V287" i="1"/>
  <c r="W311" i="1"/>
  <c r="W316" i="1"/>
  <c r="U321" i="1"/>
  <c r="W328" i="1"/>
  <c r="U329" i="1"/>
  <c r="W336" i="1"/>
  <c r="U337" i="1"/>
  <c r="W344" i="1"/>
  <c r="U345" i="1"/>
  <c r="W352" i="1"/>
  <c r="U353" i="1"/>
  <c r="W360" i="1"/>
  <c r="U361" i="1"/>
  <c r="W368" i="1"/>
  <c r="U369" i="1"/>
  <c r="W376" i="1"/>
  <c r="U377" i="1"/>
  <c r="W384" i="1"/>
  <c r="U385" i="1"/>
  <c r="W392" i="1"/>
  <c r="U393" i="1"/>
  <c r="W400" i="1"/>
  <c r="U401" i="1"/>
  <c r="W408" i="1"/>
  <c r="U409" i="1"/>
  <c r="W416" i="1"/>
  <c r="U417" i="1"/>
  <c r="W424" i="1"/>
  <c r="U425" i="1"/>
  <c r="W432" i="1"/>
  <c r="U433" i="1"/>
  <c r="W183" i="1"/>
  <c r="W219" i="1"/>
  <c r="U254" i="1"/>
  <c r="U268" i="1"/>
  <c r="W275" i="1"/>
  <c r="U280" i="1"/>
  <c r="W287" i="1"/>
  <c r="U313" i="1"/>
  <c r="U320" i="1"/>
  <c r="V321" i="1"/>
  <c r="V329" i="1"/>
  <c r="V337" i="1"/>
  <c r="V345" i="1"/>
  <c r="V353" i="1"/>
  <c r="V361" i="1"/>
  <c r="V369" i="1"/>
  <c r="V377" i="1"/>
  <c r="V385" i="1"/>
  <c r="V393" i="1"/>
  <c r="V401" i="1"/>
  <c r="V409" i="1"/>
  <c r="V417" i="1"/>
  <c r="V425" i="1"/>
  <c r="V433" i="1"/>
  <c r="V126" i="1"/>
  <c r="W167" i="1"/>
  <c r="V244" i="1"/>
  <c r="U273" i="1"/>
  <c r="W280" i="1"/>
  <c r="V299" i="1"/>
  <c r="V313" i="1"/>
  <c r="V320" i="1"/>
  <c r="W321" i="1"/>
  <c r="U322" i="1"/>
  <c r="W329" i="1"/>
  <c r="U330" i="1"/>
  <c r="W337" i="1"/>
  <c r="U338" i="1"/>
  <c r="W345" i="1"/>
  <c r="U346" i="1"/>
  <c r="W353" i="1"/>
  <c r="U354" i="1"/>
  <c r="W361" i="1"/>
  <c r="U362" i="1"/>
  <c r="W369" i="1"/>
  <c r="U370" i="1"/>
  <c r="W377" i="1"/>
  <c r="U378" i="1"/>
  <c r="W385" i="1"/>
  <c r="U386" i="1"/>
  <c r="W393" i="1"/>
  <c r="U394" i="1"/>
  <c r="W401" i="1"/>
  <c r="U402" i="1"/>
  <c r="W409" i="1"/>
  <c r="U410" i="1"/>
  <c r="W417" i="1"/>
  <c r="U418" i="1"/>
  <c r="W425" i="1"/>
  <c r="U426" i="1"/>
  <c r="U127" i="1"/>
  <c r="V273" i="1"/>
  <c r="U292" i="1"/>
  <c r="W299" i="1"/>
  <c r="U304" i="1"/>
  <c r="W320" i="1"/>
  <c r="V322" i="1"/>
  <c r="V330" i="1"/>
  <c r="V338" i="1"/>
  <c r="V346" i="1"/>
  <c r="V354" i="1"/>
  <c r="V362" i="1"/>
  <c r="V370" i="1"/>
  <c r="V378" i="1"/>
  <c r="V386" i="1"/>
  <c r="V394" i="1"/>
  <c r="V402" i="1"/>
  <c r="V410" i="1"/>
  <c r="V418" i="1"/>
  <c r="U214" i="1"/>
  <c r="V259" i="1"/>
  <c r="V271" i="1"/>
  <c r="U297" i="1"/>
  <c r="W304" i="1"/>
  <c r="U308" i="1"/>
  <c r="V315" i="1"/>
  <c r="V319" i="1"/>
  <c r="W322" i="1"/>
  <c r="U323" i="1"/>
  <c r="W330" i="1"/>
  <c r="U331" i="1"/>
  <c r="W338" i="1"/>
  <c r="U339" i="1"/>
  <c r="W346" i="1"/>
  <c r="U347" i="1"/>
  <c r="W354" i="1"/>
  <c r="U355" i="1"/>
  <c r="W362" i="1"/>
  <c r="U363" i="1"/>
  <c r="W370" i="1"/>
  <c r="U371" i="1"/>
  <c r="W378" i="1"/>
  <c r="U379" i="1"/>
  <c r="W386" i="1"/>
  <c r="U387" i="1"/>
  <c r="W394" i="1"/>
  <c r="U395" i="1"/>
  <c r="W402" i="1"/>
  <c r="U403" i="1"/>
  <c r="W410" i="1"/>
  <c r="U411" i="1"/>
  <c r="W418" i="1"/>
  <c r="U419" i="1"/>
  <c r="W426" i="1"/>
  <c r="U427" i="1"/>
  <c r="W259" i="1"/>
  <c r="U264" i="1"/>
  <c r="W271" i="1"/>
  <c r="V297" i="1"/>
  <c r="W315" i="1"/>
  <c r="W319" i="1"/>
  <c r="V323" i="1"/>
  <c r="V331" i="1"/>
  <c r="V339" i="1"/>
  <c r="V347" i="1"/>
  <c r="V355" i="1"/>
  <c r="V363" i="1"/>
  <c r="V371" i="1"/>
  <c r="V379" i="1"/>
  <c r="V387" i="1"/>
  <c r="V395" i="1"/>
  <c r="V403" i="1"/>
  <c r="V411" i="1"/>
  <c r="V419" i="1"/>
  <c r="V427" i="1"/>
  <c r="V172" i="1"/>
  <c r="W221" i="1"/>
  <c r="U228" i="1"/>
  <c r="U240" i="1"/>
  <c r="W264" i="1"/>
  <c r="V283" i="1"/>
  <c r="V295" i="1"/>
  <c r="W172" i="1"/>
  <c r="V228" i="1"/>
  <c r="V240" i="1"/>
  <c r="U276" i="1"/>
  <c r="W283" i="1"/>
  <c r="U288" i="1"/>
  <c r="W295" i="1"/>
  <c r="U318" i="1"/>
  <c r="V324" i="1"/>
  <c r="V332" i="1"/>
  <c r="V340" i="1"/>
  <c r="V348" i="1"/>
  <c r="V356" i="1"/>
  <c r="V364" i="1"/>
  <c r="V372" i="1"/>
  <c r="V380" i="1"/>
  <c r="V388" i="1"/>
  <c r="V396" i="1"/>
  <c r="V404" i="1"/>
  <c r="V412" i="1"/>
  <c r="V420" i="1"/>
  <c r="U216" i="1"/>
  <c r="W235" i="1"/>
  <c r="U246" i="1"/>
  <c r="U281" i="1"/>
  <c r="W288" i="1"/>
  <c r="U312" i="1"/>
  <c r="V318" i="1"/>
  <c r="W324" i="1"/>
  <c r="U325" i="1"/>
  <c r="W332" i="1"/>
  <c r="U333" i="1"/>
  <c r="W340" i="1"/>
  <c r="U341" i="1"/>
  <c r="W348" i="1"/>
  <c r="U349" i="1"/>
  <c r="W356" i="1"/>
  <c r="U357" i="1"/>
  <c r="W364" i="1"/>
  <c r="U365" i="1"/>
  <c r="W372" i="1"/>
  <c r="U373" i="1"/>
  <c r="W380" i="1"/>
  <c r="U381" i="1"/>
  <c r="W388" i="1"/>
  <c r="U389" i="1"/>
  <c r="W396" i="1"/>
  <c r="U397" i="1"/>
  <c r="W404" i="1"/>
  <c r="U405" i="1"/>
  <c r="W412" i="1"/>
  <c r="U413" i="1"/>
  <c r="W420" i="1"/>
  <c r="U421" i="1"/>
  <c r="W428" i="1"/>
  <c r="U429" i="1"/>
  <c r="W194" i="1"/>
  <c r="U324" i="1"/>
  <c r="W331" i="1"/>
  <c r="U356" i="1"/>
  <c r="W363" i="1"/>
  <c r="U388" i="1"/>
  <c r="W395" i="1"/>
  <c r="U420" i="1"/>
  <c r="W431" i="1"/>
  <c r="W437" i="1"/>
  <c r="U438" i="1"/>
  <c r="W445" i="1"/>
  <c r="U446" i="1"/>
  <c r="W453" i="1"/>
  <c r="U454" i="1"/>
  <c r="W461" i="1"/>
  <c r="U462" i="1"/>
  <c r="W469" i="1"/>
  <c r="U470" i="1"/>
  <c r="W477" i="1"/>
  <c r="U478" i="1"/>
  <c r="V349" i="1"/>
  <c r="V381" i="1"/>
  <c r="V413" i="1"/>
  <c r="V438" i="1"/>
  <c r="V446" i="1"/>
  <c r="V454" i="1"/>
  <c r="V462" i="1"/>
  <c r="V470" i="1"/>
  <c r="U342" i="1"/>
  <c r="W349" i="1"/>
  <c r="U374" i="1"/>
  <c r="W381" i="1"/>
  <c r="U406" i="1"/>
  <c r="W413" i="1"/>
  <c r="V429" i="1"/>
  <c r="W438" i="1"/>
  <c r="U439" i="1"/>
  <c r="W446" i="1"/>
  <c r="U447" i="1"/>
  <c r="W454" i="1"/>
  <c r="U455" i="1"/>
  <c r="W462" i="1"/>
  <c r="U463" i="1"/>
  <c r="W470" i="1"/>
  <c r="U471" i="1"/>
  <c r="V216" i="1"/>
  <c r="W309" i="1"/>
  <c r="U328" i="1"/>
  <c r="W335" i="1"/>
  <c r="U360" i="1"/>
  <c r="W367" i="1"/>
  <c r="U392" i="1"/>
  <c r="W399" i="1"/>
  <c r="U424" i="1"/>
  <c r="W429" i="1"/>
  <c r="V439" i="1"/>
  <c r="V447" i="1"/>
  <c r="V455" i="1"/>
  <c r="V463" i="1"/>
  <c r="V471" i="1"/>
  <c r="V279" i="1"/>
  <c r="U310" i="1"/>
  <c r="U332" i="1"/>
  <c r="W339" i="1"/>
  <c r="U364" i="1"/>
  <c r="W371" i="1"/>
  <c r="U396" i="1"/>
  <c r="W403" i="1"/>
  <c r="W427" i="1"/>
  <c r="W439" i="1"/>
  <c r="U440" i="1"/>
  <c r="W447" i="1"/>
  <c r="U448" i="1"/>
  <c r="W455" i="1"/>
  <c r="U456" i="1"/>
  <c r="W463" i="1"/>
  <c r="U464" i="1"/>
  <c r="W471" i="1"/>
  <c r="U472" i="1"/>
  <c r="U222" i="1"/>
  <c r="V281" i="1"/>
  <c r="U300" i="1"/>
  <c r="V325" i="1"/>
  <c r="V357" i="1"/>
  <c r="V389" i="1"/>
  <c r="V421" i="1"/>
  <c r="V440" i="1"/>
  <c r="V448" i="1"/>
  <c r="V456" i="1"/>
  <c r="V464" i="1"/>
  <c r="V472" i="1"/>
  <c r="W223" i="1"/>
  <c r="U317" i="1"/>
  <c r="W325" i="1"/>
  <c r="U350" i="1"/>
  <c r="W357" i="1"/>
  <c r="U382" i="1"/>
  <c r="W389" i="1"/>
  <c r="U414" i="1"/>
  <c r="W421" i="1"/>
  <c r="U432" i="1"/>
  <c r="W440" i="1"/>
  <c r="U441" i="1"/>
  <c r="W448" i="1"/>
  <c r="U449" i="1"/>
  <c r="W456" i="1"/>
  <c r="U457" i="1"/>
  <c r="W464" i="1"/>
  <c r="U465" i="1"/>
  <c r="U336" i="1"/>
  <c r="W343" i="1"/>
  <c r="U368" i="1"/>
  <c r="W375" i="1"/>
  <c r="U400" i="1"/>
  <c r="W407" i="1"/>
  <c r="V441" i="1"/>
  <c r="V449" i="1"/>
  <c r="V457" i="1"/>
  <c r="V465" i="1"/>
  <c r="V229" i="1"/>
  <c r="U340" i="1"/>
  <c r="W347" i="1"/>
  <c r="U372" i="1"/>
  <c r="W379" i="1"/>
  <c r="U404" i="1"/>
  <c r="W411" i="1"/>
  <c r="U434" i="1"/>
  <c r="W441" i="1"/>
  <c r="U442" i="1"/>
  <c r="W449" i="1"/>
  <c r="U450" i="1"/>
  <c r="W457" i="1"/>
  <c r="U458" i="1"/>
  <c r="U59" i="1"/>
  <c r="W312" i="1"/>
  <c r="V333" i="1"/>
  <c r="V365" i="1"/>
  <c r="V397" i="1"/>
  <c r="U430" i="1"/>
  <c r="V434" i="1"/>
  <c r="V442" i="1"/>
  <c r="V450" i="1"/>
  <c r="V458" i="1"/>
  <c r="V466" i="1"/>
  <c r="V474" i="1"/>
  <c r="V267" i="1"/>
  <c r="U326" i="1"/>
  <c r="W333" i="1"/>
  <c r="U358" i="1"/>
  <c r="W365" i="1"/>
  <c r="U390" i="1"/>
  <c r="W397" i="1"/>
  <c r="U422" i="1"/>
  <c r="U428" i="1"/>
  <c r="W434" i="1"/>
  <c r="U435" i="1"/>
  <c r="W442" i="1"/>
  <c r="U443" i="1"/>
  <c r="W450" i="1"/>
  <c r="U451" i="1"/>
  <c r="W458" i="1"/>
  <c r="U459" i="1"/>
  <c r="W466" i="1"/>
  <c r="U467" i="1"/>
  <c r="U143" i="1"/>
  <c r="U344" i="1"/>
  <c r="W351" i="1"/>
  <c r="U376" i="1"/>
  <c r="W383" i="1"/>
  <c r="U408" i="1"/>
  <c r="W415" i="1"/>
  <c r="V428" i="1"/>
  <c r="V435" i="1"/>
  <c r="V443" i="1"/>
  <c r="V451" i="1"/>
  <c r="V459" i="1"/>
  <c r="V467" i="1"/>
  <c r="W323" i="1"/>
  <c r="U348" i="1"/>
  <c r="W355" i="1"/>
  <c r="U380" i="1"/>
  <c r="W387" i="1"/>
  <c r="U412" i="1"/>
  <c r="W419" i="1"/>
  <c r="W435" i="1"/>
  <c r="U436" i="1"/>
  <c r="W443" i="1"/>
  <c r="U444" i="1"/>
  <c r="W451" i="1"/>
  <c r="U452" i="1"/>
  <c r="W459" i="1"/>
  <c r="U460" i="1"/>
  <c r="W467" i="1"/>
  <c r="U468" i="1"/>
  <c r="W475" i="1"/>
  <c r="U476" i="1"/>
  <c r="V341" i="1"/>
  <c r="V373" i="1"/>
  <c r="V405" i="1"/>
  <c r="V426" i="1"/>
  <c r="W433" i="1"/>
  <c r="V436" i="1"/>
  <c r="V444" i="1"/>
  <c r="V452" i="1"/>
  <c r="V460" i="1"/>
  <c r="V468" i="1"/>
  <c r="W423" i="1"/>
  <c r="V437" i="1"/>
  <c r="U469" i="1"/>
  <c r="V481" i="1"/>
  <c r="V489" i="1"/>
  <c r="V497" i="1"/>
  <c r="V505" i="1"/>
  <c r="V513" i="1"/>
  <c r="V521" i="1"/>
  <c r="V529" i="1"/>
  <c r="V537" i="1"/>
  <c r="V545" i="1"/>
  <c r="V553" i="1"/>
  <c r="V561" i="1"/>
  <c r="V569" i="1"/>
  <c r="V577" i="1"/>
  <c r="V585" i="1"/>
  <c r="V593" i="1"/>
  <c r="V601" i="1"/>
  <c r="V609" i="1"/>
  <c r="W341" i="1"/>
  <c r="U398" i="1"/>
  <c r="U445" i="1"/>
  <c r="W452" i="1"/>
  <c r="V469" i="1"/>
  <c r="W481" i="1"/>
  <c r="U482" i="1"/>
  <c r="W489" i="1"/>
  <c r="U490" i="1"/>
  <c r="W497" i="1"/>
  <c r="U498" i="1"/>
  <c r="W505" i="1"/>
  <c r="U506" i="1"/>
  <c r="W513" i="1"/>
  <c r="U514" i="1"/>
  <c r="W521" i="1"/>
  <c r="U522" i="1"/>
  <c r="W529" i="1"/>
  <c r="U530" i="1"/>
  <c r="W537" i="1"/>
  <c r="U538" i="1"/>
  <c r="W545" i="1"/>
  <c r="U546" i="1"/>
  <c r="W553" i="1"/>
  <c r="U554" i="1"/>
  <c r="W561" i="1"/>
  <c r="U562" i="1"/>
  <c r="W569" i="1"/>
  <c r="U570" i="1"/>
  <c r="W577" i="1"/>
  <c r="U578" i="1"/>
  <c r="W585" i="1"/>
  <c r="U586" i="1"/>
  <c r="W593" i="1"/>
  <c r="U594" i="1"/>
  <c r="W601" i="1"/>
  <c r="U602" i="1"/>
  <c r="W609" i="1"/>
  <c r="V445" i="1"/>
  <c r="U474" i="1"/>
  <c r="V482" i="1"/>
  <c r="V490" i="1"/>
  <c r="V498" i="1"/>
  <c r="V506" i="1"/>
  <c r="V514" i="1"/>
  <c r="V522" i="1"/>
  <c r="V530" i="1"/>
  <c r="V538" i="1"/>
  <c r="V546" i="1"/>
  <c r="V554" i="1"/>
  <c r="V562" i="1"/>
  <c r="V570" i="1"/>
  <c r="V578" i="1"/>
  <c r="V586" i="1"/>
  <c r="V594" i="1"/>
  <c r="V602" i="1"/>
  <c r="V610" i="1"/>
  <c r="W373" i="1"/>
  <c r="U453" i="1"/>
  <c r="W460" i="1"/>
  <c r="W465" i="1"/>
  <c r="W474" i="1"/>
  <c r="W482" i="1"/>
  <c r="U483" i="1"/>
  <c r="W490" i="1"/>
  <c r="U491" i="1"/>
  <c r="W498" i="1"/>
  <c r="U499" i="1"/>
  <c r="W506" i="1"/>
  <c r="U507" i="1"/>
  <c r="W514" i="1"/>
  <c r="U515" i="1"/>
  <c r="W522" i="1"/>
  <c r="U523" i="1"/>
  <c r="W530" i="1"/>
  <c r="U531" i="1"/>
  <c r="W538" i="1"/>
  <c r="U539" i="1"/>
  <c r="W546" i="1"/>
  <c r="U547" i="1"/>
  <c r="W554" i="1"/>
  <c r="U555" i="1"/>
  <c r="W562" i="1"/>
  <c r="U563" i="1"/>
  <c r="W570" i="1"/>
  <c r="U571" i="1"/>
  <c r="W578" i="1"/>
  <c r="U579" i="1"/>
  <c r="W586" i="1"/>
  <c r="U587" i="1"/>
  <c r="W594" i="1"/>
  <c r="U595" i="1"/>
  <c r="W602" i="1"/>
  <c r="U603" i="1"/>
  <c r="V453" i="1"/>
  <c r="V483" i="1"/>
  <c r="V491" i="1"/>
  <c r="V499" i="1"/>
  <c r="V507" i="1"/>
  <c r="V515" i="1"/>
  <c r="V523" i="1"/>
  <c r="V531" i="1"/>
  <c r="V539" i="1"/>
  <c r="V547" i="1"/>
  <c r="V555" i="1"/>
  <c r="V563" i="1"/>
  <c r="V571" i="1"/>
  <c r="V579" i="1"/>
  <c r="V587" i="1"/>
  <c r="V595" i="1"/>
  <c r="V603" i="1"/>
  <c r="V611" i="1"/>
  <c r="W405" i="1"/>
  <c r="U461" i="1"/>
  <c r="W483" i="1"/>
  <c r="U484" i="1"/>
  <c r="W491" i="1"/>
  <c r="U492" i="1"/>
  <c r="W499" i="1"/>
  <c r="U500" i="1"/>
  <c r="W507" i="1"/>
  <c r="U508" i="1"/>
  <c r="W515" i="1"/>
  <c r="U516" i="1"/>
  <c r="W523" i="1"/>
  <c r="U524" i="1"/>
  <c r="W531" i="1"/>
  <c r="U532" i="1"/>
  <c r="W539" i="1"/>
  <c r="U540" i="1"/>
  <c r="W547" i="1"/>
  <c r="U548" i="1"/>
  <c r="W555" i="1"/>
  <c r="U556" i="1"/>
  <c r="W563" i="1"/>
  <c r="U564" i="1"/>
  <c r="W571" i="1"/>
  <c r="U572" i="1"/>
  <c r="W579" i="1"/>
  <c r="U580" i="1"/>
  <c r="W587" i="1"/>
  <c r="U588" i="1"/>
  <c r="W595" i="1"/>
  <c r="U596" i="1"/>
  <c r="W603" i="1"/>
  <c r="U604" i="1"/>
  <c r="V461" i="1"/>
  <c r="U466" i="1"/>
  <c r="V484" i="1"/>
  <c r="V492" i="1"/>
  <c r="V500" i="1"/>
  <c r="V508" i="1"/>
  <c r="V516" i="1"/>
  <c r="V524" i="1"/>
  <c r="V532" i="1"/>
  <c r="V540" i="1"/>
  <c r="V548" i="1"/>
  <c r="V556" i="1"/>
  <c r="V564" i="1"/>
  <c r="V572" i="1"/>
  <c r="V580" i="1"/>
  <c r="V588" i="1"/>
  <c r="V596" i="1"/>
  <c r="V604" i="1"/>
  <c r="V612" i="1"/>
  <c r="U473" i="1"/>
  <c r="W484" i="1"/>
  <c r="U485" i="1"/>
  <c r="W492" i="1"/>
  <c r="U493" i="1"/>
  <c r="W500" i="1"/>
  <c r="U501" i="1"/>
  <c r="W508" i="1"/>
  <c r="U509" i="1"/>
  <c r="W516" i="1"/>
  <c r="U517" i="1"/>
  <c r="W524" i="1"/>
  <c r="U525" i="1"/>
  <c r="W532" i="1"/>
  <c r="U533" i="1"/>
  <c r="W540" i="1"/>
  <c r="U541" i="1"/>
  <c r="W548" i="1"/>
  <c r="U549" i="1"/>
  <c r="W556" i="1"/>
  <c r="U557" i="1"/>
  <c r="W564" i="1"/>
  <c r="U565" i="1"/>
  <c r="W572" i="1"/>
  <c r="U573" i="1"/>
  <c r="W580" i="1"/>
  <c r="U581" i="1"/>
  <c r="W588" i="1"/>
  <c r="U589" i="1"/>
  <c r="W596" i="1"/>
  <c r="U597" i="1"/>
  <c r="W604" i="1"/>
  <c r="U605" i="1"/>
  <c r="W612" i="1"/>
  <c r="U613" i="1"/>
  <c r="U352" i="1"/>
  <c r="V473" i="1"/>
  <c r="V485" i="1"/>
  <c r="V493" i="1"/>
  <c r="V501" i="1"/>
  <c r="V509" i="1"/>
  <c r="V517" i="1"/>
  <c r="V525" i="1"/>
  <c r="V533" i="1"/>
  <c r="V541" i="1"/>
  <c r="V549" i="1"/>
  <c r="V557" i="1"/>
  <c r="V565" i="1"/>
  <c r="V573" i="1"/>
  <c r="V581" i="1"/>
  <c r="V589" i="1"/>
  <c r="V597" i="1"/>
  <c r="V176" i="1"/>
  <c r="W473" i="1"/>
  <c r="U477" i="1"/>
  <c r="W485" i="1"/>
  <c r="U486" i="1"/>
  <c r="W493" i="1"/>
  <c r="U494" i="1"/>
  <c r="W501" i="1"/>
  <c r="U502" i="1"/>
  <c r="W509" i="1"/>
  <c r="U510" i="1"/>
  <c r="W517" i="1"/>
  <c r="U518" i="1"/>
  <c r="W525" i="1"/>
  <c r="U526" i="1"/>
  <c r="W533" i="1"/>
  <c r="U534" i="1"/>
  <c r="W541" i="1"/>
  <c r="U542" i="1"/>
  <c r="W549" i="1"/>
  <c r="U550" i="1"/>
  <c r="W557" i="1"/>
  <c r="U558" i="1"/>
  <c r="W565" i="1"/>
  <c r="U566" i="1"/>
  <c r="W573" i="1"/>
  <c r="U574" i="1"/>
  <c r="W581" i="1"/>
  <c r="U582" i="1"/>
  <c r="W589" i="1"/>
  <c r="U590" i="1"/>
  <c r="W597" i="1"/>
  <c r="U598" i="1"/>
  <c r="W605" i="1"/>
  <c r="U606" i="1"/>
  <c r="W613" i="1"/>
  <c r="U614" i="1"/>
  <c r="W327" i="1"/>
  <c r="U384" i="1"/>
  <c r="V476" i="1"/>
  <c r="V477" i="1"/>
  <c r="V478" i="1"/>
  <c r="V486" i="1"/>
  <c r="V494" i="1"/>
  <c r="V502" i="1"/>
  <c r="V510" i="1"/>
  <c r="V518" i="1"/>
  <c r="V526" i="1"/>
  <c r="V534" i="1"/>
  <c r="V542" i="1"/>
  <c r="V550" i="1"/>
  <c r="V558" i="1"/>
  <c r="V566" i="1"/>
  <c r="V574" i="1"/>
  <c r="V582" i="1"/>
  <c r="V590" i="1"/>
  <c r="V598" i="1"/>
  <c r="V606" i="1"/>
  <c r="W476" i="1"/>
  <c r="W478" i="1"/>
  <c r="U479" i="1"/>
  <c r="W486" i="1"/>
  <c r="U487" i="1"/>
  <c r="W494" i="1"/>
  <c r="U495" i="1"/>
  <c r="W502" i="1"/>
  <c r="U503" i="1"/>
  <c r="W510" i="1"/>
  <c r="U511" i="1"/>
  <c r="W518" i="1"/>
  <c r="U519" i="1"/>
  <c r="W526" i="1"/>
  <c r="U527" i="1"/>
  <c r="W534" i="1"/>
  <c r="U535" i="1"/>
  <c r="W542" i="1"/>
  <c r="U543" i="1"/>
  <c r="W550" i="1"/>
  <c r="U551" i="1"/>
  <c r="W558" i="1"/>
  <c r="U559" i="1"/>
  <c r="W566" i="1"/>
  <c r="U567" i="1"/>
  <c r="W574" i="1"/>
  <c r="U575" i="1"/>
  <c r="W582" i="1"/>
  <c r="U583" i="1"/>
  <c r="W590" i="1"/>
  <c r="U591" i="1"/>
  <c r="W598" i="1"/>
  <c r="U599" i="1"/>
  <c r="W606" i="1"/>
  <c r="U607" i="1"/>
  <c r="W614" i="1"/>
  <c r="U252" i="1"/>
  <c r="W359" i="1"/>
  <c r="U416" i="1"/>
  <c r="V479" i="1"/>
  <c r="V487" i="1"/>
  <c r="V495" i="1"/>
  <c r="V503" i="1"/>
  <c r="V511" i="1"/>
  <c r="V519" i="1"/>
  <c r="V527" i="1"/>
  <c r="V535" i="1"/>
  <c r="V543" i="1"/>
  <c r="V551" i="1"/>
  <c r="V559" i="1"/>
  <c r="V567" i="1"/>
  <c r="V575" i="1"/>
  <c r="V583" i="1"/>
  <c r="V591" i="1"/>
  <c r="V599" i="1"/>
  <c r="V607" i="1"/>
  <c r="U334" i="1"/>
  <c r="W436" i="1"/>
  <c r="W468" i="1"/>
  <c r="U475" i="1"/>
  <c r="W479" i="1"/>
  <c r="U480" i="1"/>
  <c r="W487" i="1"/>
  <c r="U488" i="1"/>
  <c r="W495" i="1"/>
  <c r="U496" i="1"/>
  <c r="W503" i="1"/>
  <c r="U504" i="1"/>
  <c r="W511" i="1"/>
  <c r="U512" i="1"/>
  <c r="W519" i="1"/>
  <c r="U520" i="1"/>
  <c r="W527" i="1"/>
  <c r="U528" i="1"/>
  <c r="W535" i="1"/>
  <c r="U536" i="1"/>
  <c r="W543" i="1"/>
  <c r="U544" i="1"/>
  <c r="W551" i="1"/>
  <c r="U552" i="1"/>
  <c r="W559" i="1"/>
  <c r="U560" i="1"/>
  <c r="W567" i="1"/>
  <c r="U568" i="1"/>
  <c r="W575" i="1"/>
  <c r="U576" i="1"/>
  <c r="W583" i="1"/>
  <c r="U584" i="1"/>
  <c r="W591" i="1"/>
  <c r="U592" i="1"/>
  <c r="W599" i="1"/>
  <c r="U600" i="1"/>
  <c r="W607" i="1"/>
  <c r="U608" i="1"/>
  <c r="W472" i="1"/>
  <c r="U481" i="1"/>
  <c r="W488" i="1"/>
  <c r="U545" i="1"/>
  <c r="W552" i="1"/>
  <c r="U615" i="1"/>
  <c r="W622" i="1"/>
  <c r="U623" i="1"/>
  <c r="W630" i="1"/>
  <c r="U631" i="1"/>
  <c r="W638" i="1"/>
  <c r="U639" i="1"/>
  <c r="W646" i="1"/>
  <c r="U647" i="1"/>
  <c r="W654" i="1"/>
  <c r="U655" i="1"/>
  <c r="W662" i="1"/>
  <c r="U663" i="1"/>
  <c r="W670" i="1"/>
  <c r="U671" i="1"/>
  <c r="W678" i="1"/>
  <c r="U679" i="1"/>
  <c r="W686" i="1"/>
  <c r="U687" i="1"/>
  <c r="W694" i="1"/>
  <c r="U695" i="1"/>
  <c r="W702" i="1"/>
  <c r="U703" i="1"/>
  <c r="W710" i="1"/>
  <c r="U711" i="1"/>
  <c r="W718" i="1"/>
  <c r="U719" i="1"/>
  <c r="W726" i="1"/>
  <c r="U727" i="1"/>
  <c r="W734" i="1"/>
  <c r="U735" i="1"/>
  <c r="V496" i="1"/>
  <c r="V560" i="1"/>
  <c r="V615" i="1"/>
  <c r="V623" i="1"/>
  <c r="V631" i="1"/>
  <c r="V639" i="1"/>
  <c r="V647" i="1"/>
  <c r="V655" i="1"/>
  <c r="V663" i="1"/>
  <c r="V671" i="1"/>
  <c r="V679" i="1"/>
  <c r="V687" i="1"/>
  <c r="V695" i="1"/>
  <c r="V703" i="1"/>
  <c r="V711" i="1"/>
  <c r="V719" i="1"/>
  <c r="V727" i="1"/>
  <c r="V735" i="1"/>
  <c r="V743" i="1"/>
  <c r="U489" i="1"/>
  <c r="W496" i="1"/>
  <c r="U553" i="1"/>
  <c r="W560" i="1"/>
  <c r="V608" i="1"/>
  <c r="V614" i="1"/>
  <c r="W615" i="1"/>
  <c r="U616" i="1"/>
  <c r="W623" i="1"/>
  <c r="U624" i="1"/>
  <c r="W631" i="1"/>
  <c r="U632" i="1"/>
  <c r="W639" i="1"/>
  <c r="U640" i="1"/>
  <c r="W647" i="1"/>
  <c r="U648" i="1"/>
  <c r="W655" i="1"/>
  <c r="U656" i="1"/>
  <c r="W663" i="1"/>
  <c r="U664" i="1"/>
  <c r="W671" i="1"/>
  <c r="U672" i="1"/>
  <c r="W679" i="1"/>
  <c r="U680" i="1"/>
  <c r="W687" i="1"/>
  <c r="U688" i="1"/>
  <c r="W695" i="1"/>
  <c r="U696" i="1"/>
  <c r="W703" i="1"/>
  <c r="U704" i="1"/>
  <c r="W711" i="1"/>
  <c r="U712" i="1"/>
  <c r="W719" i="1"/>
  <c r="U720" i="1"/>
  <c r="W727" i="1"/>
  <c r="U728" i="1"/>
  <c r="W735" i="1"/>
  <c r="U736" i="1"/>
  <c r="W743" i="1"/>
  <c r="U744" i="1"/>
  <c r="V475" i="1"/>
  <c r="V504" i="1"/>
  <c r="V568" i="1"/>
  <c r="W608" i="1"/>
  <c r="U611" i="1"/>
  <c r="V616" i="1"/>
  <c r="V624" i="1"/>
  <c r="V632" i="1"/>
  <c r="V640" i="1"/>
  <c r="V648" i="1"/>
  <c r="V656" i="1"/>
  <c r="V664" i="1"/>
  <c r="V672" i="1"/>
  <c r="V680" i="1"/>
  <c r="V688" i="1"/>
  <c r="V696" i="1"/>
  <c r="V704" i="1"/>
  <c r="V712" i="1"/>
  <c r="V720" i="1"/>
  <c r="V728" i="1"/>
  <c r="V736" i="1"/>
  <c r="U437" i="1"/>
  <c r="U497" i="1"/>
  <c r="W504" i="1"/>
  <c r="U561" i="1"/>
  <c r="W568" i="1"/>
  <c r="W611" i="1"/>
  <c r="W616" i="1"/>
  <c r="U617" i="1"/>
  <c r="W624" i="1"/>
  <c r="U625" i="1"/>
  <c r="W632" i="1"/>
  <c r="U633" i="1"/>
  <c r="W640" i="1"/>
  <c r="U641" i="1"/>
  <c r="W648" i="1"/>
  <c r="U649" i="1"/>
  <c r="W656" i="1"/>
  <c r="U657" i="1"/>
  <c r="W664" i="1"/>
  <c r="U665" i="1"/>
  <c r="W672" i="1"/>
  <c r="U673" i="1"/>
  <c r="W680" i="1"/>
  <c r="U681" i="1"/>
  <c r="W688" i="1"/>
  <c r="U689" i="1"/>
  <c r="W696" i="1"/>
  <c r="U697" i="1"/>
  <c r="W704" i="1"/>
  <c r="U705" i="1"/>
  <c r="W712" i="1"/>
  <c r="U713" i="1"/>
  <c r="W720" i="1"/>
  <c r="U721" i="1"/>
  <c r="W728" i="1"/>
  <c r="U729" i="1"/>
  <c r="W736" i="1"/>
  <c r="U737" i="1"/>
  <c r="V512" i="1"/>
  <c r="V576" i="1"/>
  <c r="V613" i="1"/>
  <c r="V617" i="1"/>
  <c r="V625" i="1"/>
  <c r="V633" i="1"/>
  <c r="V641" i="1"/>
  <c r="V649" i="1"/>
  <c r="V657" i="1"/>
  <c r="V665" i="1"/>
  <c r="V673" i="1"/>
  <c r="V681" i="1"/>
  <c r="V689" i="1"/>
  <c r="V697" i="1"/>
  <c r="V705" i="1"/>
  <c r="V713" i="1"/>
  <c r="V721" i="1"/>
  <c r="V729" i="1"/>
  <c r="V737" i="1"/>
  <c r="W444" i="1"/>
  <c r="U505" i="1"/>
  <c r="W512" i="1"/>
  <c r="U569" i="1"/>
  <c r="W576" i="1"/>
  <c r="W617" i="1"/>
  <c r="U618" i="1"/>
  <c r="W625" i="1"/>
  <c r="U626" i="1"/>
  <c r="W633" i="1"/>
  <c r="U634" i="1"/>
  <c r="W641" i="1"/>
  <c r="U642" i="1"/>
  <c r="W649" i="1"/>
  <c r="U650" i="1"/>
  <c r="W657" i="1"/>
  <c r="U658" i="1"/>
  <c r="W665" i="1"/>
  <c r="U666" i="1"/>
  <c r="W673" i="1"/>
  <c r="U674" i="1"/>
  <c r="W681" i="1"/>
  <c r="U682" i="1"/>
  <c r="W689" i="1"/>
  <c r="U690" i="1"/>
  <c r="W697" i="1"/>
  <c r="U698" i="1"/>
  <c r="W705" i="1"/>
  <c r="U706" i="1"/>
  <c r="W713" i="1"/>
  <c r="U714" i="1"/>
  <c r="W721" i="1"/>
  <c r="U722" i="1"/>
  <c r="W729" i="1"/>
  <c r="U730" i="1"/>
  <c r="W737" i="1"/>
  <c r="U738" i="1"/>
  <c r="V520" i="1"/>
  <c r="V584" i="1"/>
  <c r="U609" i="1"/>
  <c r="V618" i="1"/>
  <c r="V626" i="1"/>
  <c r="V634" i="1"/>
  <c r="V642" i="1"/>
  <c r="V650" i="1"/>
  <c r="V658" i="1"/>
  <c r="V666" i="1"/>
  <c r="V674" i="1"/>
  <c r="V682" i="1"/>
  <c r="V690" i="1"/>
  <c r="V698" i="1"/>
  <c r="V706" i="1"/>
  <c r="V714" i="1"/>
  <c r="V722" i="1"/>
  <c r="V730" i="1"/>
  <c r="V738" i="1"/>
  <c r="U513" i="1"/>
  <c r="W520" i="1"/>
  <c r="U577" i="1"/>
  <c r="W584" i="1"/>
  <c r="V605" i="1"/>
  <c r="W618" i="1"/>
  <c r="U619" i="1"/>
  <c r="W626" i="1"/>
  <c r="U627" i="1"/>
  <c r="W634" i="1"/>
  <c r="U635" i="1"/>
  <c r="W642" i="1"/>
  <c r="U643" i="1"/>
  <c r="W650" i="1"/>
  <c r="U651" i="1"/>
  <c r="W658" i="1"/>
  <c r="U659" i="1"/>
  <c r="W666" i="1"/>
  <c r="U667" i="1"/>
  <c r="W674" i="1"/>
  <c r="U675" i="1"/>
  <c r="W682" i="1"/>
  <c r="U683" i="1"/>
  <c r="W690" i="1"/>
  <c r="U691" i="1"/>
  <c r="W698" i="1"/>
  <c r="U699" i="1"/>
  <c r="W706" i="1"/>
  <c r="U707" i="1"/>
  <c r="W714" i="1"/>
  <c r="U715" i="1"/>
  <c r="W722" i="1"/>
  <c r="U723" i="1"/>
  <c r="W730" i="1"/>
  <c r="U731" i="1"/>
  <c r="V528" i="1"/>
  <c r="V592" i="1"/>
  <c r="V619" i="1"/>
  <c r="V627" i="1"/>
  <c r="V635" i="1"/>
  <c r="V643" i="1"/>
  <c r="V651" i="1"/>
  <c r="V659" i="1"/>
  <c r="V667" i="1"/>
  <c r="V675" i="1"/>
  <c r="V683" i="1"/>
  <c r="V691" i="1"/>
  <c r="V699" i="1"/>
  <c r="V707" i="1"/>
  <c r="V715" i="1"/>
  <c r="V723" i="1"/>
  <c r="V731" i="1"/>
  <c r="V739" i="1"/>
  <c r="U521" i="1"/>
  <c r="W528" i="1"/>
  <c r="U585" i="1"/>
  <c r="W592" i="1"/>
  <c r="W619" i="1"/>
  <c r="U620" i="1"/>
  <c r="W627" i="1"/>
  <c r="U628" i="1"/>
  <c r="W635" i="1"/>
  <c r="U636" i="1"/>
  <c r="W643" i="1"/>
  <c r="U644" i="1"/>
  <c r="W651" i="1"/>
  <c r="U652" i="1"/>
  <c r="W659" i="1"/>
  <c r="U660" i="1"/>
  <c r="W667" i="1"/>
  <c r="U668" i="1"/>
  <c r="W675" i="1"/>
  <c r="U676" i="1"/>
  <c r="W683" i="1"/>
  <c r="U684" i="1"/>
  <c r="W691" i="1"/>
  <c r="U692" i="1"/>
  <c r="W699" i="1"/>
  <c r="U700" i="1"/>
  <c r="W707" i="1"/>
  <c r="U708" i="1"/>
  <c r="W715" i="1"/>
  <c r="U716" i="1"/>
  <c r="W723" i="1"/>
  <c r="U724" i="1"/>
  <c r="W731" i="1"/>
  <c r="U732" i="1"/>
  <c r="W739" i="1"/>
  <c r="U740" i="1"/>
  <c r="V536" i="1"/>
  <c r="V600" i="1"/>
  <c r="U612" i="1"/>
  <c r="V620" i="1"/>
  <c r="V628" i="1"/>
  <c r="V636" i="1"/>
  <c r="V644" i="1"/>
  <c r="V652" i="1"/>
  <c r="V660" i="1"/>
  <c r="V668" i="1"/>
  <c r="V676" i="1"/>
  <c r="V684" i="1"/>
  <c r="V692" i="1"/>
  <c r="V700" i="1"/>
  <c r="V708" i="1"/>
  <c r="V716" i="1"/>
  <c r="V724" i="1"/>
  <c r="V732" i="1"/>
  <c r="V740" i="1"/>
  <c r="U529" i="1"/>
  <c r="W536" i="1"/>
  <c r="U593" i="1"/>
  <c r="W600" i="1"/>
  <c r="U610" i="1"/>
  <c r="W620" i="1"/>
  <c r="U621" i="1"/>
  <c r="W628" i="1"/>
  <c r="U629" i="1"/>
  <c r="W636" i="1"/>
  <c r="U637" i="1"/>
  <c r="W644" i="1"/>
  <c r="U645" i="1"/>
  <c r="W652" i="1"/>
  <c r="U653" i="1"/>
  <c r="W660" i="1"/>
  <c r="U661" i="1"/>
  <c r="W668" i="1"/>
  <c r="U669" i="1"/>
  <c r="W676" i="1"/>
  <c r="U677" i="1"/>
  <c r="W684" i="1"/>
  <c r="U685" i="1"/>
  <c r="W692" i="1"/>
  <c r="U693" i="1"/>
  <c r="W700" i="1"/>
  <c r="U701" i="1"/>
  <c r="W708" i="1"/>
  <c r="U709" i="1"/>
  <c r="W716" i="1"/>
  <c r="U717" i="1"/>
  <c r="W724" i="1"/>
  <c r="U725" i="1"/>
  <c r="W732" i="1"/>
  <c r="U733" i="1"/>
  <c r="W740" i="1"/>
  <c r="V480" i="1"/>
  <c r="V544" i="1"/>
  <c r="W610" i="1"/>
  <c r="V621" i="1"/>
  <c r="V629" i="1"/>
  <c r="V637" i="1"/>
  <c r="V645" i="1"/>
  <c r="V653" i="1"/>
  <c r="V661" i="1"/>
  <c r="V669" i="1"/>
  <c r="V677" i="1"/>
  <c r="V685" i="1"/>
  <c r="V693" i="1"/>
  <c r="V701" i="1"/>
  <c r="V709" i="1"/>
  <c r="V717" i="1"/>
  <c r="V725" i="1"/>
  <c r="V733" i="1"/>
  <c r="V488" i="1"/>
  <c r="V646" i="1"/>
  <c r="V710" i="1"/>
  <c r="W738" i="1"/>
  <c r="V750" i="1"/>
  <c r="V758" i="1"/>
  <c r="V766" i="1"/>
  <c r="V774" i="1"/>
  <c r="V782" i="1"/>
  <c r="V790" i="1"/>
  <c r="V798" i="1"/>
  <c r="V806" i="1"/>
  <c r="V814" i="1"/>
  <c r="V822" i="1"/>
  <c r="V830" i="1"/>
  <c r="V838" i="1"/>
  <c r="V846" i="1"/>
  <c r="V854" i="1"/>
  <c r="V862" i="1"/>
  <c r="V870" i="1"/>
  <c r="U654" i="1"/>
  <c r="W661" i="1"/>
  <c r="U718" i="1"/>
  <c r="W725" i="1"/>
  <c r="W750" i="1"/>
  <c r="U751" i="1"/>
  <c r="W758" i="1"/>
  <c r="U759" i="1"/>
  <c r="W766" i="1"/>
  <c r="U767" i="1"/>
  <c r="W774" i="1"/>
  <c r="U775" i="1"/>
  <c r="W782" i="1"/>
  <c r="U783" i="1"/>
  <c r="W790" i="1"/>
  <c r="U791" i="1"/>
  <c r="W798" i="1"/>
  <c r="U799" i="1"/>
  <c r="W806" i="1"/>
  <c r="U807" i="1"/>
  <c r="W814" i="1"/>
  <c r="U815" i="1"/>
  <c r="W822" i="1"/>
  <c r="U823" i="1"/>
  <c r="W830" i="1"/>
  <c r="U831" i="1"/>
  <c r="W838" i="1"/>
  <c r="U839" i="1"/>
  <c r="W846" i="1"/>
  <c r="U847" i="1"/>
  <c r="W854" i="1"/>
  <c r="U855" i="1"/>
  <c r="W862" i="1"/>
  <c r="U863" i="1"/>
  <c r="W870" i="1"/>
  <c r="V552" i="1"/>
  <c r="V654" i="1"/>
  <c r="V718" i="1"/>
  <c r="V751" i="1"/>
  <c r="V759" i="1"/>
  <c r="V767" i="1"/>
  <c r="V775" i="1"/>
  <c r="V783" i="1"/>
  <c r="V791" i="1"/>
  <c r="V799" i="1"/>
  <c r="V807" i="1"/>
  <c r="V815" i="1"/>
  <c r="V823" i="1"/>
  <c r="V831" i="1"/>
  <c r="V839" i="1"/>
  <c r="V847" i="1"/>
  <c r="V855" i="1"/>
  <c r="V863" i="1"/>
  <c r="V871" i="1"/>
  <c r="U662" i="1"/>
  <c r="W669" i="1"/>
  <c r="U726" i="1"/>
  <c r="W733" i="1"/>
  <c r="U739" i="1"/>
  <c r="W751" i="1"/>
  <c r="U752" i="1"/>
  <c r="W759" i="1"/>
  <c r="U760" i="1"/>
  <c r="W767" i="1"/>
  <c r="U768" i="1"/>
  <c r="W775" i="1"/>
  <c r="U776" i="1"/>
  <c r="W783" i="1"/>
  <c r="U784" i="1"/>
  <c r="W791" i="1"/>
  <c r="U792" i="1"/>
  <c r="W799" i="1"/>
  <c r="U800" i="1"/>
  <c r="W807" i="1"/>
  <c r="U808" i="1"/>
  <c r="W815" i="1"/>
  <c r="U816" i="1"/>
  <c r="W823" i="1"/>
  <c r="U824" i="1"/>
  <c r="W831" i="1"/>
  <c r="U832" i="1"/>
  <c r="W839" i="1"/>
  <c r="U840" i="1"/>
  <c r="W847" i="1"/>
  <c r="U848" i="1"/>
  <c r="W855" i="1"/>
  <c r="U856" i="1"/>
  <c r="W863" i="1"/>
  <c r="U864" i="1"/>
  <c r="W871" i="1"/>
  <c r="U872" i="1"/>
  <c r="V662" i="1"/>
  <c r="V726" i="1"/>
  <c r="V752" i="1"/>
  <c r="V760" i="1"/>
  <c r="V768" i="1"/>
  <c r="V776" i="1"/>
  <c r="V784" i="1"/>
  <c r="V792" i="1"/>
  <c r="V800" i="1"/>
  <c r="V808" i="1"/>
  <c r="V816" i="1"/>
  <c r="V824" i="1"/>
  <c r="V832" i="1"/>
  <c r="V840" i="1"/>
  <c r="V848" i="1"/>
  <c r="V856" i="1"/>
  <c r="V864" i="1"/>
  <c r="V872" i="1"/>
  <c r="U670" i="1"/>
  <c r="W677" i="1"/>
  <c r="U734" i="1"/>
  <c r="U745" i="1"/>
  <c r="W752" i="1"/>
  <c r="U753" i="1"/>
  <c r="W760" i="1"/>
  <c r="U761" i="1"/>
  <c r="W768" i="1"/>
  <c r="U769" i="1"/>
  <c r="W776" i="1"/>
  <c r="U777" i="1"/>
  <c r="W784" i="1"/>
  <c r="U785" i="1"/>
  <c r="W792" i="1"/>
  <c r="U793" i="1"/>
  <c r="W800" i="1"/>
  <c r="U801" i="1"/>
  <c r="W808" i="1"/>
  <c r="U809" i="1"/>
  <c r="W816" i="1"/>
  <c r="U817" i="1"/>
  <c r="W824" i="1"/>
  <c r="U825" i="1"/>
  <c r="W832" i="1"/>
  <c r="U833" i="1"/>
  <c r="W840" i="1"/>
  <c r="U841" i="1"/>
  <c r="W848" i="1"/>
  <c r="U849" i="1"/>
  <c r="W856" i="1"/>
  <c r="U857" i="1"/>
  <c r="W864" i="1"/>
  <c r="U865" i="1"/>
  <c r="V670" i="1"/>
  <c r="V734" i="1"/>
  <c r="V744" i="1"/>
  <c r="V745" i="1"/>
  <c r="V753" i="1"/>
  <c r="V761" i="1"/>
  <c r="V769" i="1"/>
  <c r="V777" i="1"/>
  <c r="V785" i="1"/>
  <c r="V793" i="1"/>
  <c r="V801" i="1"/>
  <c r="V809" i="1"/>
  <c r="V817" i="1"/>
  <c r="V825" i="1"/>
  <c r="V833" i="1"/>
  <c r="V841" i="1"/>
  <c r="V849" i="1"/>
  <c r="V857" i="1"/>
  <c r="V865" i="1"/>
  <c r="V873" i="1"/>
  <c r="W621" i="1"/>
  <c r="U678" i="1"/>
  <c r="W685" i="1"/>
  <c r="W744" i="1"/>
  <c r="W745" i="1"/>
  <c r="U746" i="1"/>
  <c r="W753" i="1"/>
  <c r="U754" i="1"/>
  <c r="W761" i="1"/>
  <c r="U762" i="1"/>
  <c r="W769" i="1"/>
  <c r="U770" i="1"/>
  <c r="W777" i="1"/>
  <c r="U778" i="1"/>
  <c r="W785" i="1"/>
  <c r="U786" i="1"/>
  <c r="W793" i="1"/>
  <c r="U794" i="1"/>
  <c r="W801" i="1"/>
  <c r="U802" i="1"/>
  <c r="W809" i="1"/>
  <c r="U810" i="1"/>
  <c r="W817" i="1"/>
  <c r="U818" i="1"/>
  <c r="W825" i="1"/>
  <c r="U826" i="1"/>
  <c r="W833" i="1"/>
  <c r="U834" i="1"/>
  <c r="W841" i="1"/>
  <c r="U842" i="1"/>
  <c r="W849" i="1"/>
  <c r="U850" i="1"/>
  <c r="W857" i="1"/>
  <c r="U858" i="1"/>
  <c r="W865" i="1"/>
  <c r="U866" i="1"/>
  <c r="V678" i="1"/>
  <c r="V746" i="1"/>
  <c r="V754" i="1"/>
  <c r="V762" i="1"/>
  <c r="V770" i="1"/>
  <c r="V778" i="1"/>
  <c r="V786" i="1"/>
  <c r="V794" i="1"/>
  <c r="V802" i="1"/>
  <c r="V810" i="1"/>
  <c r="V818" i="1"/>
  <c r="V826" i="1"/>
  <c r="V834" i="1"/>
  <c r="V842" i="1"/>
  <c r="V850" i="1"/>
  <c r="V858" i="1"/>
  <c r="U366" i="1"/>
  <c r="U622" i="1"/>
  <c r="W629" i="1"/>
  <c r="U686" i="1"/>
  <c r="W693" i="1"/>
  <c r="U743" i="1"/>
  <c r="W746" i="1"/>
  <c r="U747" i="1"/>
  <c r="W754" i="1"/>
  <c r="U755" i="1"/>
  <c r="W762" i="1"/>
  <c r="U763" i="1"/>
  <c r="W770" i="1"/>
  <c r="U771" i="1"/>
  <c r="W778" i="1"/>
  <c r="U779" i="1"/>
  <c r="W786" i="1"/>
  <c r="U787" i="1"/>
  <c r="W794" i="1"/>
  <c r="U795" i="1"/>
  <c r="W802" i="1"/>
  <c r="U803" i="1"/>
  <c r="W810" i="1"/>
  <c r="U811" i="1"/>
  <c r="W818" i="1"/>
  <c r="U819" i="1"/>
  <c r="W826" i="1"/>
  <c r="U827" i="1"/>
  <c r="W834" i="1"/>
  <c r="U835" i="1"/>
  <c r="W842" i="1"/>
  <c r="U843" i="1"/>
  <c r="W850" i="1"/>
  <c r="U851" i="1"/>
  <c r="W858" i="1"/>
  <c r="U859" i="1"/>
  <c r="W391" i="1"/>
  <c r="V622" i="1"/>
  <c r="V686" i="1"/>
  <c r="V747" i="1"/>
  <c r="V755" i="1"/>
  <c r="V763" i="1"/>
  <c r="V771" i="1"/>
  <c r="V779" i="1"/>
  <c r="V787" i="1"/>
  <c r="V795" i="1"/>
  <c r="V803" i="1"/>
  <c r="V811" i="1"/>
  <c r="V819" i="1"/>
  <c r="V827" i="1"/>
  <c r="V835" i="1"/>
  <c r="V843" i="1"/>
  <c r="V851" i="1"/>
  <c r="V859" i="1"/>
  <c r="U630" i="1"/>
  <c r="W637" i="1"/>
  <c r="U694" i="1"/>
  <c r="W701" i="1"/>
  <c r="U742" i="1"/>
  <c r="W747" i="1"/>
  <c r="U748" i="1"/>
  <c r="W755" i="1"/>
  <c r="U756" i="1"/>
  <c r="W763" i="1"/>
  <c r="U764" i="1"/>
  <c r="W771" i="1"/>
  <c r="U772" i="1"/>
  <c r="W779" i="1"/>
  <c r="U780" i="1"/>
  <c r="W787" i="1"/>
  <c r="U788" i="1"/>
  <c r="W795" i="1"/>
  <c r="U796" i="1"/>
  <c r="W803" i="1"/>
  <c r="U804" i="1"/>
  <c r="W811" i="1"/>
  <c r="U812" i="1"/>
  <c r="W819" i="1"/>
  <c r="U820" i="1"/>
  <c r="W827" i="1"/>
  <c r="U828" i="1"/>
  <c r="W835" i="1"/>
  <c r="U836" i="1"/>
  <c r="W843" i="1"/>
  <c r="U844" i="1"/>
  <c r="W851" i="1"/>
  <c r="U852" i="1"/>
  <c r="W859" i="1"/>
  <c r="U860" i="1"/>
  <c r="W867" i="1"/>
  <c r="U868" i="1"/>
  <c r="V630" i="1"/>
  <c r="V694" i="1"/>
  <c r="V742" i="1"/>
  <c r="V748" i="1"/>
  <c r="V756" i="1"/>
  <c r="V764" i="1"/>
  <c r="V772" i="1"/>
  <c r="V780" i="1"/>
  <c r="V788" i="1"/>
  <c r="V796" i="1"/>
  <c r="V804" i="1"/>
  <c r="V812" i="1"/>
  <c r="V820" i="1"/>
  <c r="V828" i="1"/>
  <c r="V836" i="1"/>
  <c r="V844" i="1"/>
  <c r="V852" i="1"/>
  <c r="V860" i="1"/>
  <c r="V868" i="1"/>
  <c r="W480" i="1"/>
  <c r="U537" i="1"/>
  <c r="U638" i="1"/>
  <c r="W645" i="1"/>
  <c r="U702" i="1"/>
  <c r="W709" i="1"/>
  <c r="U741" i="1"/>
  <c r="W742" i="1"/>
  <c r="W748" i="1"/>
  <c r="U749" i="1"/>
  <c r="W756" i="1"/>
  <c r="U757" i="1"/>
  <c r="W764" i="1"/>
  <c r="U765" i="1"/>
  <c r="W772" i="1"/>
  <c r="U773" i="1"/>
  <c r="W780" i="1"/>
  <c r="U781" i="1"/>
  <c r="W788" i="1"/>
  <c r="U789" i="1"/>
  <c r="W796" i="1"/>
  <c r="U797" i="1"/>
  <c r="W804" i="1"/>
  <c r="U805" i="1"/>
  <c r="W812" i="1"/>
  <c r="U813" i="1"/>
  <c r="W820" i="1"/>
  <c r="U821" i="1"/>
  <c r="W828" i="1"/>
  <c r="U829" i="1"/>
  <c r="W836" i="1"/>
  <c r="U837" i="1"/>
  <c r="W844" i="1"/>
  <c r="U845" i="1"/>
  <c r="W852" i="1"/>
  <c r="U853" i="1"/>
  <c r="W860" i="1"/>
  <c r="U861" i="1"/>
  <c r="W868" i="1"/>
  <c r="U869" i="1"/>
  <c r="U790" i="1"/>
  <c r="W797" i="1"/>
  <c r="U854" i="1"/>
  <c r="W861" i="1"/>
  <c r="U867" i="1"/>
  <c r="V877" i="1"/>
  <c r="V885" i="1"/>
  <c r="V893" i="1"/>
  <c r="V901" i="1"/>
  <c r="V909" i="1"/>
  <c r="V917" i="1"/>
  <c r="V925" i="1"/>
  <c r="V933" i="1"/>
  <c r="V941" i="1"/>
  <c r="V949" i="1"/>
  <c r="V957" i="1"/>
  <c r="V965" i="1"/>
  <c r="V973" i="1"/>
  <c r="V981" i="1"/>
  <c r="V989" i="1"/>
  <c r="V997" i="1"/>
  <c r="V805" i="1"/>
  <c r="V867" i="1"/>
  <c r="W877" i="1"/>
  <c r="U878" i="1"/>
  <c r="W885" i="1"/>
  <c r="U886" i="1"/>
  <c r="W893" i="1"/>
  <c r="U894" i="1"/>
  <c r="W901" i="1"/>
  <c r="U902" i="1"/>
  <c r="W909" i="1"/>
  <c r="U910" i="1"/>
  <c r="W917" i="1"/>
  <c r="U918" i="1"/>
  <c r="W925" i="1"/>
  <c r="U926" i="1"/>
  <c r="W933" i="1"/>
  <c r="U934" i="1"/>
  <c r="W941" i="1"/>
  <c r="U942" i="1"/>
  <c r="W949" i="1"/>
  <c r="U950" i="1"/>
  <c r="W957" i="1"/>
  <c r="U958" i="1"/>
  <c r="W965" i="1"/>
  <c r="U966" i="1"/>
  <c r="W973" i="1"/>
  <c r="U974" i="1"/>
  <c r="W981" i="1"/>
  <c r="U982" i="1"/>
  <c r="W989" i="1"/>
  <c r="U990" i="1"/>
  <c r="W997" i="1"/>
  <c r="U998" i="1"/>
  <c r="U798" i="1"/>
  <c r="W805" i="1"/>
  <c r="U862" i="1"/>
  <c r="V878" i="1"/>
  <c r="V886" i="1"/>
  <c r="V894" i="1"/>
  <c r="V902" i="1"/>
  <c r="V910" i="1"/>
  <c r="V918" i="1"/>
  <c r="V926" i="1"/>
  <c r="V934" i="1"/>
  <c r="V942" i="1"/>
  <c r="V950" i="1"/>
  <c r="V958" i="1"/>
  <c r="V966" i="1"/>
  <c r="V974" i="1"/>
  <c r="V982" i="1"/>
  <c r="V990" i="1"/>
  <c r="V998" i="1"/>
  <c r="V741" i="1"/>
  <c r="V749" i="1"/>
  <c r="V813" i="1"/>
  <c r="W878" i="1"/>
  <c r="U879" i="1"/>
  <c r="W886" i="1"/>
  <c r="U887" i="1"/>
  <c r="W894" i="1"/>
  <c r="U895" i="1"/>
  <c r="W902" i="1"/>
  <c r="U903" i="1"/>
  <c r="W910" i="1"/>
  <c r="U911" i="1"/>
  <c r="W918" i="1"/>
  <c r="U919" i="1"/>
  <c r="W926" i="1"/>
  <c r="U927" i="1"/>
  <c r="W934" i="1"/>
  <c r="U935" i="1"/>
  <c r="W942" i="1"/>
  <c r="U943" i="1"/>
  <c r="W950" i="1"/>
  <c r="U951" i="1"/>
  <c r="W958" i="1"/>
  <c r="U959" i="1"/>
  <c r="W966" i="1"/>
  <c r="U967" i="1"/>
  <c r="W974" i="1"/>
  <c r="U975" i="1"/>
  <c r="W982" i="1"/>
  <c r="U983" i="1"/>
  <c r="W990" i="1"/>
  <c r="U991" i="1"/>
  <c r="W998" i="1"/>
  <c r="U999" i="1"/>
  <c r="W741" i="1"/>
  <c r="W749" i="1"/>
  <c r="U806" i="1"/>
  <c r="W813" i="1"/>
  <c r="U870" i="1"/>
  <c r="V879" i="1"/>
  <c r="V887" i="1"/>
  <c r="V895" i="1"/>
  <c r="V903" i="1"/>
  <c r="V911" i="1"/>
  <c r="V919" i="1"/>
  <c r="V927" i="1"/>
  <c r="V935" i="1"/>
  <c r="V943" i="1"/>
  <c r="V951" i="1"/>
  <c r="V959" i="1"/>
  <c r="V967" i="1"/>
  <c r="V975" i="1"/>
  <c r="V983" i="1"/>
  <c r="V991" i="1"/>
  <c r="V999" i="1"/>
  <c r="V638" i="1"/>
  <c r="V757" i="1"/>
  <c r="V821" i="1"/>
  <c r="W872" i="1"/>
  <c r="W879" i="1"/>
  <c r="U880" i="1"/>
  <c r="W887" i="1"/>
  <c r="U888" i="1"/>
  <c r="W895" i="1"/>
  <c r="U896" i="1"/>
  <c r="W903" i="1"/>
  <c r="U904" i="1"/>
  <c r="W911" i="1"/>
  <c r="U912" i="1"/>
  <c r="W919" i="1"/>
  <c r="U920" i="1"/>
  <c r="W927" i="1"/>
  <c r="U928" i="1"/>
  <c r="W935" i="1"/>
  <c r="U936" i="1"/>
  <c r="W943" i="1"/>
  <c r="U944" i="1"/>
  <c r="W951" i="1"/>
  <c r="U952" i="1"/>
  <c r="W959" i="1"/>
  <c r="U960" i="1"/>
  <c r="W967" i="1"/>
  <c r="U968" i="1"/>
  <c r="W975" i="1"/>
  <c r="U976" i="1"/>
  <c r="W983" i="1"/>
  <c r="U984" i="1"/>
  <c r="U750" i="1"/>
  <c r="W757" i="1"/>
  <c r="U814" i="1"/>
  <c r="W821" i="1"/>
  <c r="V880" i="1"/>
  <c r="V888" i="1"/>
  <c r="V896" i="1"/>
  <c r="V904" i="1"/>
  <c r="V912" i="1"/>
  <c r="V920" i="1"/>
  <c r="V928" i="1"/>
  <c r="V936" i="1"/>
  <c r="V944" i="1"/>
  <c r="V952" i="1"/>
  <c r="V960" i="1"/>
  <c r="V968" i="1"/>
  <c r="V976" i="1"/>
  <c r="V984" i="1"/>
  <c r="V992" i="1"/>
  <c r="V702" i="1"/>
  <c r="V765" i="1"/>
  <c r="V829" i="1"/>
  <c r="W880" i="1"/>
  <c r="U881" i="1"/>
  <c r="W888" i="1"/>
  <c r="U889" i="1"/>
  <c r="W896" i="1"/>
  <c r="U897" i="1"/>
  <c r="W904" i="1"/>
  <c r="U905" i="1"/>
  <c r="W912" i="1"/>
  <c r="U913" i="1"/>
  <c r="W920" i="1"/>
  <c r="U921" i="1"/>
  <c r="W928" i="1"/>
  <c r="U929" i="1"/>
  <c r="W936" i="1"/>
  <c r="U937" i="1"/>
  <c r="W944" i="1"/>
  <c r="U945" i="1"/>
  <c r="W952" i="1"/>
  <c r="U953" i="1"/>
  <c r="W960" i="1"/>
  <c r="U961" i="1"/>
  <c r="W968" i="1"/>
  <c r="U969" i="1"/>
  <c r="W976" i="1"/>
  <c r="U977" i="1"/>
  <c r="W984" i="1"/>
  <c r="U985" i="1"/>
  <c r="W992" i="1"/>
  <c r="U993" i="1"/>
  <c r="U646" i="1"/>
  <c r="U758" i="1"/>
  <c r="W765" i="1"/>
  <c r="U822" i="1"/>
  <c r="W829" i="1"/>
  <c r="V881" i="1"/>
  <c r="V889" i="1"/>
  <c r="V897" i="1"/>
  <c r="V905" i="1"/>
  <c r="V913" i="1"/>
  <c r="V921" i="1"/>
  <c r="V929" i="1"/>
  <c r="V937" i="1"/>
  <c r="V945" i="1"/>
  <c r="V953" i="1"/>
  <c r="V961" i="1"/>
  <c r="V969" i="1"/>
  <c r="V977" i="1"/>
  <c r="V985" i="1"/>
  <c r="V993" i="1"/>
  <c r="V1001" i="1"/>
  <c r="V773" i="1"/>
  <c r="V837" i="1"/>
  <c r="W881" i="1"/>
  <c r="U882" i="1"/>
  <c r="W889" i="1"/>
  <c r="U890" i="1"/>
  <c r="W897" i="1"/>
  <c r="U898" i="1"/>
  <c r="W905" i="1"/>
  <c r="U906" i="1"/>
  <c r="W913" i="1"/>
  <c r="U914" i="1"/>
  <c r="W921" i="1"/>
  <c r="U922" i="1"/>
  <c r="W929" i="1"/>
  <c r="U930" i="1"/>
  <c r="W937" i="1"/>
  <c r="U938" i="1"/>
  <c r="W945" i="1"/>
  <c r="U946" i="1"/>
  <c r="W953" i="1"/>
  <c r="U954" i="1"/>
  <c r="W961" i="1"/>
  <c r="U962" i="1"/>
  <c r="W969" i="1"/>
  <c r="U970" i="1"/>
  <c r="W977" i="1"/>
  <c r="U978" i="1"/>
  <c r="W985" i="1"/>
  <c r="U986" i="1"/>
  <c r="W993" i="1"/>
  <c r="U994" i="1"/>
  <c r="W1001" i="1"/>
  <c r="U1002" i="1"/>
  <c r="W653" i="1"/>
  <c r="U710" i="1"/>
  <c r="U766" i="1"/>
  <c r="W773" i="1"/>
  <c r="U830" i="1"/>
  <c r="W837" i="1"/>
  <c r="U874" i="1"/>
  <c r="V882" i="1"/>
  <c r="V890" i="1"/>
  <c r="V898" i="1"/>
  <c r="V906" i="1"/>
  <c r="V914" i="1"/>
  <c r="V922" i="1"/>
  <c r="V930" i="1"/>
  <c r="V938" i="1"/>
  <c r="V946" i="1"/>
  <c r="V954" i="1"/>
  <c r="V962" i="1"/>
  <c r="V970" i="1"/>
  <c r="V978" i="1"/>
  <c r="V986" i="1"/>
  <c r="V994" i="1"/>
  <c r="V781" i="1"/>
  <c r="V845" i="1"/>
  <c r="V866" i="1"/>
  <c r="V874" i="1"/>
  <c r="U875" i="1"/>
  <c r="W882" i="1"/>
  <c r="U883" i="1"/>
  <c r="W890" i="1"/>
  <c r="U891" i="1"/>
  <c r="W898" i="1"/>
  <c r="U899" i="1"/>
  <c r="W906" i="1"/>
  <c r="U907" i="1"/>
  <c r="W914" i="1"/>
  <c r="U915" i="1"/>
  <c r="W922" i="1"/>
  <c r="U923" i="1"/>
  <c r="W930" i="1"/>
  <c r="U931" i="1"/>
  <c r="W938" i="1"/>
  <c r="U939" i="1"/>
  <c r="W946" i="1"/>
  <c r="U947" i="1"/>
  <c r="W954" i="1"/>
  <c r="U955" i="1"/>
  <c r="W962" i="1"/>
  <c r="U963" i="1"/>
  <c r="W970" i="1"/>
  <c r="U971" i="1"/>
  <c r="W978" i="1"/>
  <c r="U979" i="1"/>
  <c r="W986" i="1"/>
  <c r="U987" i="1"/>
  <c r="W994" i="1"/>
  <c r="U995" i="1"/>
  <c r="W544" i="1"/>
  <c r="W717" i="1"/>
  <c r="U774" i="1"/>
  <c r="W781" i="1"/>
  <c r="U838" i="1"/>
  <c r="W845" i="1"/>
  <c r="W866" i="1"/>
  <c r="V869" i="1"/>
  <c r="U871" i="1"/>
  <c r="W874" i="1"/>
  <c r="V875" i="1"/>
  <c r="V883" i="1"/>
  <c r="V891" i="1"/>
  <c r="V899" i="1"/>
  <c r="V907" i="1"/>
  <c r="V915" i="1"/>
  <c r="V923" i="1"/>
  <c r="V931" i="1"/>
  <c r="V939" i="1"/>
  <c r="V947" i="1"/>
  <c r="V955" i="1"/>
  <c r="V963" i="1"/>
  <c r="V971" i="1"/>
  <c r="V979" i="1"/>
  <c r="V987" i="1"/>
  <c r="V995" i="1"/>
  <c r="V789" i="1"/>
  <c r="V853" i="1"/>
  <c r="W869" i="1"/>
  <c r="W875" i="1"/>
  <c r="U876" i="1"/>
  <c r="W883" i="1"/>
  <c r="U884" i="1"/>
  <c r="W891" i="1"/>
  <c r="U892" i="1"/>
  <c r="W899" i="1"/>
  <c r="U900" i="1"/>
  <c r="W907" i="1"/>
  <c r="U908" i="1"/>
  <c r="V861" i="1"/>
  <c r="U877" i="1"/>
  <c r="W884" i="1"/>
  <c r="W923" i="1"/>
  <c r="W932" i="1"/>
  <c r="V956" i="1"/>
  <c r="U980" i="1"/>
  <c r="U996" i="1"/>
  <c r="V1008" i="1"/>
  <c r="V1016" i="1"/>
  <c r="V1024" i="1"/>
  <c r="V1032" i="1"/>
  <c r="V1040" i="1"/>
  <c r="V1048" i="1"/>
  <c r="V1056" i="1"/>
  <c r="V1064" i="1"/>
  <c r="V1072" i="1"/>
  <c r="V1080" i="1"/>
  <c r="V1088" i="1"/>
  <c r="V1096" i="1"/>
  <c r="V1104" i="1"/>
  <c r="V1112" i="1"/>
  <c r="V1120" i="1"/>
  <c r="V1128" i="1"/>
  <c r="V892" i="1"/>
  <c r="W947" i="1"/>
  <c r="W956" i="1"/>
  <c r="V980" i="1"/>
  <c r="V996" i="1"/>
  <c r="W1008" i="1"/>
  <c r="U1009" i="1"/>
  <c r="W1016" i="1"/>
  <c r="U1017" i="1"/>
  <c r="W1024" i="1"/>
  <c r="U1025" i="1"/>
  <c r="W1032" i="1"/>
  <c r="U1033" i="1"/>
  <c r="W1040" i="1"/>
  <c r="U1041" i="1"/>
  <c r="W1048" i="1"/>
  <c r="U1049" i="1"/>
  <c r="W1056" i="1"/>
  <c r="U1057" i="1"/>
  <c r="W1064" i="1"/>
  <c r="U1065" i="1"/>
  <c r="W1072" i="1"/>
  <c r="U1073" i="1"/>
  <c r="W1080" i="1"/>
  <c r="U1081" i="1"/>
  <c r="W1088" i="1"/>
  <c r="U1089" i="1"/>
  <c r="W1096" i="1"/>
  <c r="U1097" i="1"/>
  <c r="W1104" i="1"/>
  <c r="U1105" i="1"/>
  <c r="W1112" i="1"/>
  <c r="U1113" i="1"/>
  <c r="W1120" i="1"/>
  <c r="U1121" i="1"/>
  <c r="U885" i="1"/>
  <c r="W892" i="1"/>
  <c r="W971" i="1"/>
  <c r="W980" i="1"/>
  <c r="U989" i="1"/>
  <c r="W996" i="1"/>
  <c r="W999" i="1"/>
  <c r="U1001" i="1"/>
  <c r="V1009" i="1"/>
  <c r="V1017" i="1"/>
  <c r="V1025" i="1"/>
  <c r="V1033" i="1"/>
  <c r="V1041" i="1"/>
  <c r="V1049" i="1"/>
  <c r="V1057" i="1"/>
  <c r="V1065" i="1"/>
  <c r="V1073" i="1"/>
  <c r="V1081" i="1"/>
  <c r="V1089" i="1"/>
  <c r="V1097" i="1"/>
  <c r="V1105" i="1"/>
  <c r="V1113" i="1"/>
  <c r="V1121" i="1"/>
  <c r="V900" i="1"/>
  <c r="U924" i="1"/>
  <c r="U933" i="1"/>
  <c r="W1009" i="1"/>
  <c r="U1010" i="1"/>
  <c r="W1017" i="1"/>
  <c r="U1018" i="1"/>
  <c r="W1025" i="1"/>
  <c r="U1026" i="1"/>
  <c r="W1033" i="1"/>
  <c r="U1034" i="1"/>
  <c r="W1041" i="1"/>
  <c r="U1042" i="1"/>
  <c r="W1049" i="1"/>
  <c r="U1050" i="1"/>
  <c r="W1057" i="1"/>
  <c r="U1058" i="1"/>
  <c r="W1065" i="1"/>
  <c r="U1066" i="1"/>
  <c r="W1073" i="1"/>
  <c r="U1074" i="1"/>
  <c r="W1081" i="1"/>
  <c r="U1082" i="1"/>
  <c r="W1089" i="1"/>
  <c r="U1090" i="1"/>
  <c r="W1097" i="1"/>
  <c r="U1098" i="1"/>
  <c r="W1105" i="1"/>
  <c r="U1106" i="1"/>
  <c r="W1113" i="1"/>
  <c r="U1114" i="1"/>
  <c r="W1121" i="1"/>
  <c r="U1122" i="1"/>
  <c r="U893" i="1"/>
  <c r="W900" i="1"/>
  <c r="V924" i="1"/>
  <c r="U948" i="1"/>
  <c r="U957" i="1"/>
  <c r="V1010" i="1"/>
  <c r="V1018" i="1"/>
  <c r="V1026" i="1"/>
  <c r="V1034" i="1"/>
  <c r="V1042" i="1"/>
  <c r="V1050" i="1"/>
  <c r="V1058" i="1"/>
  <c r="V1066" i="1"/>
  <c r="V1074" i="1"/>
  <c r="V1082" i="1"/>
  <c r="V1090" i="1"/>
  <c r="V1098" i="1"/>
  <c r="V1106" i="1"/>
  <c r="V1114" i="1"/>
  <c r="V1122" i="1"/>
  <c r="V908" i="1"/>
  <c r="W915" i="1"/>
  <c r="W924" i="1"/>
  <c r="V948" i="1"/>
  <c r="U972" i="1"/>
  <c r="U981" i="1"/>
  <c r="W1010" i="1"/>
  <c r="U1011" i="1"/>
  <c r="W1018" i="1"/>
  <c r="U1019" i="1"/>
  <c r="W1026" i="1"/>
  <c r="U1027" i="1"/>
  <c r="W1034" i="1"/>
  <c r="U1035" i="1"/>
  <c r="W1042" i="1"/>
  <c r="U1043" i="1"/>
  <c r="W1050" i="1"/>
  <c r="U1051" i="1"/>
  <c r="W1058" i="1"/>
  <c r="U1059" i="1"/>
  <c r="W1066" i="1"/>
  <c r="U1067" i="1"/>
  <c r="W1074" i="1"/>
  <c r="U1075" i="1"/>
  <c r="W1082" i="1"/>
  <c r="U1083" i="1"/>
  <c r="W1090" i="1"/>
  <c r="U1091" i="1"/>
  <c r="W1098" i="1"/>
  <c r="U1099" i="1"/>
  <c r="W1106" i="1"/>
  <c r="U1107" i="1"/>
  <c r="W1114" i="1"/>
  <c r="U1115" i="1"/>
  <c r="W1122" i="1"/>
  <c r="U1123" i="1"/>
  <c r="U901" i="1"/>
  <c r="W908" i="1"/>
  <c r="W939" i="1"/>
  <c r="W948" i="1"/>
  <c r="V972" i="1"/>
  <c r="V1011" i="1"/>
  <c r="V1019" i="1"/>
  <c r="V1027" i="1"/>
  <c r="V1035" i="1"/>
  <c r="V1043" i="1"/>
  <c r="V1051" i="1"/>
  <c r="V1059" i="1"/>
  <c r="V1067" i="1"/>
  <c r="V1075" i="1"/>
  <c r="V1083" i="1"/>
  <c r="V1091" i="1"/>
  <c r="V1099" i="1"/>
  <c r="V1107" i="1"/>
  <c r="V1115" i="1"/>
  <c r="U873" i="1"/>
  <c r="W963" i="1"/>
  <c r="W972" i="1"/>
  <c r="U997" i="1"/>
  <c r="U1004" i="1"/>
  <c r="W1011" i="1"/>
  <c r="U1012" i="1"/>
  <c r="W1019" i="1"/>
  <c r="U1020" i="1"/>
  <c r="W1027" i="1"/>
  <c r="U1028" i="1"/>
  <c r="W1035" i="1"/>
  <c r="U1036" i="1"/>
  <c r="W1043" i="1"/>
  <c r="U1044" i="1"/>
  <c r="W1051" i="1"/>
  <c r="U1052" i="1"/>
  <c r="W1059" i="1"/>
  <c r="U1060" i="1"/>
  <c r="W1067" i="1"/>
  <c r="U1068" i="1"/>
  <c r="W1075" i="1"/>
  <c r="U1076" i="1"/>
  <c r="W1083" i="1"/>
  <c r="U1084" i="1"/>
  <c r="W1091" i="1"/>
  <c r="U1092" i="1"/>
  <c r="W1099" i="1"/>
  <c r="U1100" i="1"/>
  <c r="W1107" i="1"/>
  <c r="U1108" i="1"/>
  <c r="W1115" i="1"/>
  <c r="U1116" i="1"/>
  <c r="W873" i="1"/>
  <c r="U909" i="1"/>
  <c r="U916" i="1"/>
  <c r="U925" i="1"/>
  <c r="W987" i="1"/>
  <c r="V1004" i="1"/>
  <c r="V1012" i="1"/>
  <c r="V1020" i="1"/>
  <c r="V1028" i="1"/>
  <c r="V1036" i="1"/>
  <c r="V1044" i="1"/>
  <c r="V1052" i="1"/>
  <c r="V1060" i="1"/>
  <c r="V1068" i="1"/>
  <c r="V1076" i="1"/>
  <c r="V1084" i="1"/>
  <c r="V1092" i="1"/>
  <c r="V1100" i="1"/>
  <c r="V1108" i="1"/>
  <c r="V1116" i="1"/>
  <c r="V1124" i="1"/>
  <c r="U601" i="1"/>
  <c r="U782" i="1"/>
  <c r="V916" i="1"/>
  <c r="U940" i="1"/>
  <c r="U949" i="1"/>
  <c r="U1000" i="1"/>
  <c r="U1003" i="1"/>
  <c r="W1004" i="1"/>
  <c r="U1005" i="1"/>
  <c r="W1012" i="1"/>
  <c r="U1013" i="1"/>
  <c r="W1020" i="1"/>
  <c r="U1021" i="1"/>
  <c r="W1028" i="1"/>
  <c r="U1029" i="1"/>
  <c r="W1036" i="1"/>
  <c r="U1037" i="1"/>
  <c r="W1044" i="1"/>
  <c r="U1045" i="1"/>
  <c r="W1052" i="1"/>
  <c r="U1053" i="1"/>
  <c r="W1060" i="1"/>
  <c r="U1061" i="1"/>
  <c r="W1068" i="1"/>
  <c r="U1069" i="1"/>
  <c r="W1076" i="1"/>
  <c r="U1077" i="1"/>
  <c r="W1084" i="1"/>
  <c r="U1085" i="1"/>
  <c r="W1092" i="1"/>
  <c r="U1093" i="1"/>
  <c r="W1100" i="1"/>
  <c r="U1101" i="1"/>
  <c r="W1108" i="1"/>
  <c r="U1109" i="1"/>
  <c r="W1116" i="1"/>
  <c r="U1117" i="1"/>
  <c r="W916" i="1"/>
  <c r="V940" i="1"/>
  <c r="U964" i="1"/>
  <c r="U973" i="1"/>
  <c r="V1000" i="1"/>
  <c r="V1003" i="1"/>
  <c r="V1005" i="1"/>
  <c r="V1013" i="1"/>
  <c r="V1021" i="1"/>
  <c r="V1029" i="1"/>
  <c r="V1037" i="1"/>
  <c r="V1045" i="1"/>
  <c r="V1053" i="1"/>
  <c r="V1061" i="1"/>
  <c r="V1069" i="1"/>
  <c r="V1077" i="1"/>
  <c r="V1085" i="1"/>
  <c r="V1093" i="1"/>
  <c r="V1101" i="1"/>
  <c r="V1109" i="1"/>
  <c r="V1117" i="1"/>
  <c r="W789" i="1"/>
  <c r="U846" i="1"/>
  <c r="W931" i="1"/>
  <c r="W940" i="1"/>
  <c r="V964" i="1"/>
  <c r="W991" i="1"/>
  <c r="W1000" i="1"/>
  <c r="W1003" i="1"/>
  <c r="W1005" i="1"/>
  <c r="U1006" i="1"/>
  <c r="W1013" i="1"/>
  <c r="U1014" i="1"/>
  <c r="W1021" i="1"/>
  <c r="U1022" i="1"/>
  <c r="W1029" i="1"/>
  <c r="U1030" i="1"/>
  <c r="W1037" i="1"/>
  <c r="U1038" i="1"/>
  <c r="W1045" i="1"/>
  <c r="U1046" i="1"/>
  <c r="W1053" i="1"/>
  <c r="U1054" i="1"/>
  <c r="W1061" i="1"/>
  <c r="U1062" i="1"/>
  <c r="W1069" i="1"/>
  <c r="U1070" i="1"/>
  <c r="W1077" i="1"/>
  <c r="U1078" i="1"/>
  <c r="W1085" i="1"/>
  <c r="U1086" i="1"/>
  <c r="W1093" i="1"/>
  <c r="U1094" i="1"/>
  <c r="W1101" i="1"/>
  <c r="U1102" i="1"/>
  <c r="W1109" i="1"/>
  <c r="U1110" i="1"/>
  <c r="W1117" i="1"/>
  <c r="U1118" i="1"/>
  <c r="W955" i="1"/>
  <c r="W964" i="1"/>
  <c r="U988" i="1"/>
  <c r="W995" i="1"/>
  <c r="V1006" i="1"/>
  <c r="V1014" i="1"/>
  <c r="V1022" i="1"/>
  <c r="V1030" i="1"/>
  <c r="V1038" i="1"/>
  <c r="V1046" i="1"/>
  <c r="V1054" i="1"/>
  <c r="V1062" i="1"/>
  <c r="V1070" i="1"/>
  <c r="V1078" i="1"/>
  <c r="V1086" i="1"/>
  <c r="V1094" i="1"/>
  <c r="V1102" i="1"/>
  <c r="V1110" i="1"/>
  <c r="V1118" i="1"/>
  <c r="W853" i="1"/>
  <c r="V876" i="1"/>
  <c r="U917" i="1"/>
  <c r="W979" i="1"/>
  <c r="V988" i="1"/>
  <c r="V1002" i="1"/>
  <c r="W1006" i="1"/>
  <c r="U1007" i="1"/>
  <c r="W1014" i="1"/>
  <c r="U1015" i="1"/>
  <c r="W1022" i="1"/>
  <c r="U1023" i="1"/>
  <c r="W1030" i="1"/>
  <c r="U1031" i="1"/>
  <c r="W1038" i="1"/>
  <c r="U1039" i="1"/>
  <c r="W1046" i="1"/>
  <c r="U1047" i="1"/>
  <c r="W1054" i="1"/>
  <c r="U1055" i="1"/>
  <c r="W1062" i="1"/>
  <c r="U1063" i="1"/>
  <c r="W1070" i="1"/>
  <c r="U1071" i="1"/>
  <c r="W1078" i="1"/>
  <c r="U1079" i="1"/>
  <c r="W1086" i="1"/>
  <c r="U1087" i="1"/>
  <c r="W1094" i="1"/>
  <c r="U1095" i="1"/>
  <c r="W1102" i="1"/>
  <c r="U1103" i="1"/>
  <c r="U965" i="1"/>
  <c r="U1008" i="1"/>
  <c r="W1015" i="1"/>
  <c r="U1072" i="1"/>
  <c r="W1079" i="1"/>
  <c r="W1125" i="1"/>
  <c r="W1130" i="1"/>
  <c r="U1131" i="1"/>
  <c r="W1138" i="1"/>
  <c r="U1139" i="1"/>
  <c r="W1146" i="1"/>
  <c r="U1147" i="1"/>
  <c r="W1154" i="1"/>
  <c r="U1155" i="1"/>
  <c r="W1162" i="1"/>
  <c r="U1163" i="1"/>
  <c r="W1170" i="1"/>
  <c r="U1171" i="1"/>
  <c r="W1178" i="1"/>
  <c r="U1179" i="1"/>
  <c r="W1186" i="1"/>
  <c r="U1187" i="1"/>
  <c r="W1194" i="1"/>
  <c r="U1195" i="1"/>
  <c r="W1202" i="1"/>
  <c r="U1203" i="1"/>
  <c r="W1210" i="1"/>
  <c r="U1211" i="1"/>
  <c r="W1218" i="1"/>
  <c r="U1219" i="1"/>
  <c r="W1226" i="1"/>
  <c r="U1227" i="1"/>
  <c r="W1234" i="1"/>
  <c r="U1235" i="1"/>
  <c r="W1242" i="1"/>
  <c r="U1243" i="1"/>
  <c r="U932" i="1"/>
  <c r="V1023" i="1"/>
  <c r="V1087" i="1"/>
  <c r="U1124" i="1"/>
  <c r="V1131" i="1"/>
  <c r="V1139" i="1"/>
  <c r="V1147" i="1"/>
  <c r="V1155" i="1"/>
  <c r="V1163" i="1"/>
  <c r="V1171" i="1"/>
  <c r="V1179" i="1"/>
  <c r="V1187" i="1"/>
  <c r="V1195" i="1"/>
  <c r="V1203" i="1"/>
  <c r="V1211" i="1"/>
  <c r="V1219" i="1"/>
  <c r="V1227" i="1"/>
  <c r="V1235" i="1"/>
  <c r="V1243" i="1"/>
  <c r="V884" i="1"/>
  <c r="V932" i="1"/>
  <c r="U1016" i="1"/>
  <c r="W1023" i="1"/>
  <c r="U1080" i="1"/>
  <c r="W1087" i="1"/>
  <c r="W1118" i="1"/>
  <c r="W1124" i="1"/>
  <c r="W1131" i="1"/>
  <c r="U1132" i="1"/>
  <c r="W1139" i="1"/>
  <c r="U1140" i="1"/>
  <c r="W1147" i="1"/>
  <c r="U1148" i="1"/>
  <c r="W1155" i="1"/>
  <c r="U1156" i="1"/>
  <c r="W1163" i="1"/>
  <c r="U1164" i="1"/>
  <c r="W1171" i="1"/>
  <c r="U1172" i="1"/>
  <c r="W1179" i="1"/>
  <c r="U1180" i="1"/>
  <c r="W1187" i="1"/>
  <c r="U1188" i="1"/>
  <c r="W1195" i="1"/>
  <c r="U1196" i="1"/>
  <c r="W1203" i="1"/>
  <c r="U1204" i="1"/>
  <c r="W1211" i="1"/>
  <c r="U1212" i="1"/>
  <c r="W1219" i="1"/>
  <c r="U1220" i="1"/>
  <c r="W1227" i="1"/>
  <c r="U1228" i="1"/>
  <c r="W1235" i="1"/>
  <c r="U1236" i="1"/>
  <c r="W1243" i="1"/>
  <c r="U1244" i="1"/>
  <c r="W1002" i="1"/>
  <c r="V1031" i="1"/>
  <c r="V1095" i="1"/>
  <c r="V1132" i="1"/>
  <c r="V1140" i="1"/>
  <c r="V1148" i="1"/>
  <c r="V1156" i="1"/>
  <c r="V1164" i="1"/>
  <c r="V1172" i="1"/>
  <c r="V1180" i="1"/>
  <c r="V1188" i="1"/>
  <c r="V1196" i="1"/>
  <c r="V1204" i="1"/>
  <c r="V1212" i="1"/>
  <c r="V1220" i="1"/>
  <c r="V1228" i="1"/>
  <c r="V1236" i="1"/>
  <c r="V1244" i="1"/>
  <c r="V1252" i="1"/>
  <c r="U1024" i="1"/>
  <c r="W1031" i="1"/>
  <c r="U1088" i="1"/>
  <c r="W1095" i="1"/>
  <c r="W1132" i="1"/>
  <c r="U1133" i="1"/>
  <c r="W1140" i="1"/>
  <c r="U1141" i="1"/>
  <c r="W1148" i="1"/>
  <c r="U1149" i="1"/>
  <c r="W1156" i="1"/>
  <c r="U1157" i="1"/>
  <c r="W1164" i="1"/>
  <c r="U1165" i="1"/>
  <c r="W1172" i="1"/>
  <c r="U1173" i="1"/>
  <c r="W1180" i="1"/>
  <c r="U1181" i="1"/>
  <c r="W1188" i="1"/>
  <c r="U1189" i="1"/>
  <c r="W1196" i="1"/>
  <c r="U1197" i="1"/>
  <c r="W1204" i="1"/>
  <c r="U1205" i="1"/>
  <c r="W1212" i="1"/>
  <c r="U1213" i="1"/>
  <c r="W1220" i="1"/>
  <c r="U1221" i="1"/>
  <c r="W1228" i="1"/>
  <c r="U1229" i="1"/>
  <c r="W1236" i="1"/>
  <c r="U1237" i="1"/>
  <c r="W1244" i="1"/>
  <c r="U1245" i="1"/>
  <c r="U941" i="1"/>
  <c r="V1039" i="1"/>
  <c r="V1103" i="1"/>
  <c r="U1119" i="1"/>
  <c r="V1133" i="1"/>
  <c r="V1141" i="1"/>
  <c r="V1149" i="1"/>
  <c r="V1157" i="1"/>
  <c r="V1165" i="1"/>
  <c r="V1173" i="1"/>
  <c r="V1181" i="1"/>
  <c r="V1189" i="1"/>
  <c r="V1197" i="1"/>
  <c r="V1205" i="1"/>
  <c r="V1213" i="1"/>
  <c r="V1221" i="1"/>
  <c r="V1229" i="1"/>
  <c r="V1237" i="1"/>
  <c r="V1245" i="1"/>
  <c r="U1032" i="1"/>
  <c r="W1039" i="1"/>
  <c r="U1096" i="1"/>
  <c r="W1103" i="1"/>
  <c r="V1119" i="1"/>
  <c r="W1133" i="1"/>
  <c r="U1134" i="1"/>
  <c r="W1141" i="1"/>
  <c r="U1142" i="1"/>
  <c r="W1149" i="1"/>
  <c r="U1150" i="1"/>
  <c r="W1157" i="1"/>
  <c r="U1158" i="1"/>
  <c r="W1165" i="1"/>
  <c r="U1166" i="1"/>
  <c r="W1173" i="1"/>
  <c r="U1174" i="1"/>
  <c r="W1181" i="1"/>
  <c r="U1182" i="1"/>
  <c r="W1189" i="1"/>
  <c r="U1190" i="1"/>
  <c r="W1197" i="1"/>
  <c r="U1198" i="1"/>
  <c r="W1205" i="1"/>
  <c r="U1206" i="1"/>
  <c r="W1213" i="1"/>
  <c r="U1214" i="1"/>
  <c r="W1221" i="1"/>
  <c r="U1222" i="1"/>
  <c r="W1229" i="1"/>
  <c r="U1230" i="1"/>
  <c r="W1237" i="1"/>
  <c r="U1238" i="1"/>
  <c r="W1245" i="1"/>
  <c r="U1246" i="1"/>
  <c r="V1047" i="1"/>
  <c r="W1110" i="1"/>
  <c r="W1119" i="1"/>
  <c r="V1134" i="1"/>
  <c r="V1142" i="1"/>
  <c r="V1150" i="1"/>
  <c r="V1158" i="1"/>
  <c r="V1166" i="1"/>
  <c r="V1174" i="1"/>
  <c r="V1182" i="1"/>
  <c r="V1190" i="1"/>
  <c r="V1198" i="1"/>
  <c r="V1206" i="1"/>
  <c r="V1214" i="1"/>
  <c r="V1222" i="1"/>
  <c r="V1230" i="1"/>
  <c r="V1238" i="1"/>
  <c r="V1246" i="1"/>
  <c r="U1040" i="1"/>
  <c r="W1047" i="1"/>
  <c r="U1104" i="1"/>
  <c r="W1134" i="1"/>
  <c r="U1135" i="1"/>
  <c r="W1142" i="1"/>
  <c r="U1143" i="1"/>
  <c r="W1150" i="1"/>
  <c r="U1151" i="1"/>
  <c r="W1158" i="1"/>
  <c r="U1159" i="1"/>
  <c r="W1166" i="1"/>
  <c r="U1167" i="1"/>
  <c r="W1174" i="1"/>
  <c r="U1175" i="1"/>
  <c r="W1182" i="1"/>
  <c r="U1183" i="1"/>
  <c r="W1190" i="1"/>
  <c r="U1191" i="1"/>
  <c r="W1198" i="1"/>
  <c r="U1199" i="1"/>
  <c r="W1206" i="1"/>
  <c r="U1207" i="1"/>
  <c r="W1214" i="1"/>
  <c r="U1215" i="1"/>
  <c r="W1222" i="1"/>
  <c r="U1223" i="1"/>
  <c r="W1230" i="1"/>
  <c r="U1231" i="1"/>
  <c r="W1238" i="1"/>
  <c r="U1239" i="1"/>
  <c r="W1246" i="1"/>
  <c r="U1247" i="1"/>
  <c r="W988" i="1"/>
  <c r="V1055" i="1"/>
  <c r="V1123" i="1"/>
  <c r="V1135" i="1"/>
  <c r="V1143" i="1"/>
  <c r="V1151" i="1"/>
  <c r="V1159" i="1"/>
  <c r="V1167" i="1"/>
  <c r="V1175" i="1"/>
  <c r="V1183" i="1"/>
  <c r="V1191" i="1"/>
  <c r="V1199" i="1"/>
  <c r="V1207" i="1"/>
  <c r="V1215" i="1"/>
  <c r="V1223" i="1"/>
  <c r="V1231" i="1"/>
  <c r="V1239" i="1"/>
  <c r="U1048" i="1"/>
  <c r="W1055" i="1"/>
  <c r="U1111" i="1"/>
  <c r="W1123" i="1"/>
  <c r="W1135" i="1"/>
  <c r="U1136" i="1"/>
  <c r="W1143" i="1"/>
  <c r="U1144" i="1"/>
  <c r="W1151" i="1"/>
  <c r="U1152" i="1"/>
  <c r="W1159" i="1"/>
  <c r="U1160" i="1"/>
  <c r="W1167" i="1"/>
  <c r="U1168" i="1"/>
  <c r="W1175" i="1"/>
  <c r="U1176" i="1"/>
  <c r="W1183" i="1"/>
  <c r="U1184" i="1"/>
  <c r="W1191" i="1"/>
  <c r="U1192" i="1"/>
  <c r="W1199" i="1"/>
  <c r="U1200" i="1"/>
  <c r="W1207" i="1"/>
  <c r="U1208" i="1"/>
  <c r="W1215" i="1"/>
  <c r="U1216" i="1"/>
  <c r="W1223" i="1"/>
  <c r="U1224" i="1"/>
  <c r="W1231" i="1"/>
  <c r="U1232" i="1"/>
  <c r="W1239" i="1"/>
  <c r="U1240" i="1"/>
  <c r="W1247" i="1"/>
  <c r="U1248" i="1"/>
  <c r="V797" i="1"/>
  <c r="V1063" i="1"/>
  <c r="V1111" i="1"/>
  <c r="U1120" i="1"/>
  <c r="U1128" i="1"/>
  <c r="V1136" i="1"/>
  <c r="V1144" i="1"/>
  <c r="V1152" i="1"/>
  <c r="V1160" i="1"/>
  <c r="V1168" i="1"/>
  <c r="V1176" i="1"/>
  <c r="V1184" i="1"/>
  <c r="V1192" i="1"/>
  <c r="V1200" i="1"/>
  <c r="V1208" i="1"/>
  <c r="V1216" i="1"/>
  <c r="V1224" i="1"/>
  <c r="V1232" i="1"/>
  <c r="V1240" i="1"/>
  <c r="V1248" i="1"/>
  <c r="V1256" i="1"/>
  <c r="U956" i="1"/>
  <c r="U992" i="1"/>
  <c r="U1056" i="1"/>
  <c r="W1063" i="1"/>
  <c r="W1111" i="1"/>
  <c r="U1127" i="1"/>
  <c r="W1128" i="1"/>
  <c r="U1129" i="1"/>
  <c r="W1136" i="1"/>
  <c r="U1137" i="1"/>
  <c r="W1144" i="1"/>
  <c r="U1145" i="1"/>
  <c r="W1152" i="1"/>
  <c r="U1153" i="1"/>
  <c r="W1160" i="1"/>
  <c r="U1161" i="1"/>
  <c r="W1168" i="1"/>
  <c r="U1169" i="1"/>
  <c r="W1176" i="1"/>
  <c r="U1177" i="1"/>
  <c r="W1184" i="1"/>
  <c r="U1185" i="1"/>
  <c r="W1192" i="1"/>
  <c r="U1193" i="1"/>
  <c r="W1200" i="1"/>
  <c r="U1201" i="1"/>
  <c r="W1208" i="1"/>
  <c r="U1209" i="1"/>
  <c r="W1216" i="1"/>
  <c r="U1217" i="1"/>
  <c r="W1224" i="1"/>
  <c r="U1225" i="1"/>
  <c r="W1232" i="1"/>
  <c r="U1233" i="1"/>
  <c r="W1240" i="1"/>
  <c r="U1241" i="1"/>
  <c r="W1248" i="1"/>
  <c r="V1007" i="1"/>
  <c r="V1071" i="1"/>
  <c r="U1126" i="1"/>
  <c r="V1127" i="1"/>
  <c r="V1129" i="1"/>
  <c r="V1137" i="1"/>
  <c r="V1145" i="1"/>
  <c r="V1153" i="1"/>
  <c r="V1161" i="1"/>
  <c r="V1169" i="1"/>
  <c r="V1177" i="1"/>
  <c r="V1185" i="1"/>
  <c r="V1193" i="1"/>
  <c r="V1201" i="1"/>
  <c r="V1209" i="1"/>
  <c r="V1217" i="1"/>
  <c r="V1225" i="1"/>
  <c r="V1233" i="1"/>
  <c r="V1241" i="1"/>
  <c r="U1112" i="1"/>
  <c r="V1186" i="1"/>
  <c r="U1242" i="1"/>
  <c r="V1249" i="1"/>
  <c r="V1262" i="1"/>
  <c r="V1270" i="1"/>
  <c r="V1278" i="1"/>
  <c r="V1286" i="1"/>
  <c r="V1294" i="1"/>
  <c r="V1302" i="1"/>
  <c r="V1310" i="1"/>
  <c r="V1318" i="1"/>
  <c r="V1326" i="1"/>
  <c r="V1334" i="1"/>
  <c r="V1342" i="1"/>
  <c r="V1350" i="1"/>
  <c r="V1358" i="1"/>
  <c r="V1366" i="1"/>
  <c r="V1374" i="1"/>
  <c r="V1382" i="1"/>
  <c r="W1007" i="1"/>
  <c r="U1064" i="1"/>
  <c r="U1130" i="1"/>
  <c r="W1137" i="1"/>
  <c r="U1194" i="1"/>
  <c r="W1201" i="1"/>
  <c r="V1242" i="1"/>
  <c r="W1249" i="1"/>
  <c r="W1262" i="1"/>
  <c r="U1263" i="1"/>
  <c r="W1270" i="1"/>
  <c r="U1271" i="1"/>
  <c r="W1278" i="1"/>
  <c r="U1279" i="1"/>
  <c r="W1286" i="1"/>
  <c r="U1287" i="1"/>
  <c r="W1294" i="1"/>
  <c r="U1295" i="1"/>
  <c r="W1302" i="1"/>
  <c r="U1303" i="1"/>
  <c r="W1310" i="1"/>
  <c r="U1311" i="1"/>
  <c r="W1318" i="1"/>
  <c r="U1319" i="1"/>
  <c r="W1326" i="1"/>
  <c r="U1327" i="1"/>
  <c r="W1334" i="1"/>
  <c r="U1335" i="1"/>
  <c r="W1342" i="1"/>
  <c r="U1343" i="1"/>
  <c r="W1350" i="1"/>
  <c r="U1351" i="1"/>
  <c r="W1358" i="1"/>
  <c r="U1359" i="1"/>
  <c r="W1366" i="1"/>
  <c r="U1367" i="1"/>
  <c r="W1374" i="1"/>
  <c r="U1375" i="1"/>
  <c r="W1382" i="1"/>
  <c r="U1383" i="1"/>
  <c r="V1130" i="1"/>
  <c r="V1194" i="1"/>
  <c r="V1263" i="1"/>
  <c r="V1271" i="1"/>
  <c r="V1279" i="1"/>
  <c r="V1287" i="1"/>
  <c r="V1295" i="1"/>
  <c r="V1303" i="1"/>
  <c r="V1311" i="1"/>
  <c r="V1319" i="1"/>
  <c r="V1327" i="1"/>
  <c r="V1335" i="1"/>
  <c r="V1343" i="1"/>
  <c r="V1351" i="1"/>
  <c r="V1359" i="1"/>
  <c r="V1367" i="1"/>
  <c r="V1375" i="1"/>
  <c r="W1071" i="1"/>
  <c r="U1138" i="1"/>
  <c r="W1145" i="1"/>
  <c r="U1202" i="1"/>
  <c r="W1209" i="1"/>
  <c r="W1263" i="1"/>
  <c r="U1264" i="1"/>
  <c r="W1271" i="1"/>
  <c r="U1272" i="1"/>
  <c r="W1279" i="1"/>
  <c r="U1280" i="1"/>
  <c r="W1287" i="1"/>
  <c r="U1288" i="1"/>
  <c r="W1295" i="1"/>
  <c r="U1296" i="1"/>
  <c r="W1303" i="1"/>
  <c r="U1304" i="1"/>
  <c r="W1311" i="1"/>
  <c r="U1312" i="1"/>
  <c r="W1319" i="1"/>
  <c r="U1320" i="1"/>
  <c r="W1327" i="1"/>
  <c r="U1328" i="1"/>
  <c r="W1335" i="1"/>
  <c r="U1336" i="1"/>
  <c r="W1343" i="1"/>
  <c r="U1344" i="1"/>
  <c r="W1351" i="1"/>
  <c r="U1352" i="1"/>
  <c r="W1359" i="1"/>
  <c r="U1360" i="1"/>
  <c r="W1367" i="1"/>
  <c r="U1368" i="1"/>
  <c r="W1375" i="1"/>
  <c r="U1376" i="1"/>
  <c r="V1015" i="1"/>
  <c r="V1138" i="1"/>
  <c r="V1202" i="1"/>
  <c r="U1253" i="1"/>
  <c r="U1254" i="1"/>
  <c r="U1255" i="1"/>
  <c r="U1256" i="1"/>
  <c r="V1264" i="1"/>
  <c r="V1272" i="1"/>
  <c r="V1280" i="1"/>
  <c r="V1288" i="1"/>
  <c r="V1296" i="1"/>
  <c r="V1304" i="1"/>
  <c r="V1312" i="1"/>
  <c r="V1320" i="1"/>
  <c r="V1328" i="1"/>
  <c r="V1336" i="1"/>
  <c r="V1344" i="1"/>
  <c r="V1352" i="1"/>
  <c r="V1360" i="1"/>
  <c r="V1368" i="1"/>
  <c r="V1376" i="1"/>
  <c r="U1146" i="1"/>
  <c r="W1153" i="1"/>
  <c r="U1210" i="1"/>
  <c r="W1217" i="1"/>
  <c r="V1247" i="1"/>
  <c r="U1251" i="1"/>
  <c r="U1252" i="1"/>
  <c r="V1253" i="1"/>
  <c r="V1254" i="1"/>
  <c r="V1255" i="1"/>
  <c r="W1256" i="1"/>
  <c r="U1257" i="1"/>
  <c r="W1264" i="1"/>
  <c r="U1265" i="1"/>
  <c r="W1272" i="1"/>
  <c r="U1273" i="1"/>
  <c r="W1280" i="1"/>
  <c r="U1281" i="1"/>
  <c r="W1288" i="1"/>
  <c r="U1289" i="1"/>
  <c r="W1296" i="1"/>
  <c r="U1297" i="1"/>
  <c r="W1304" i="1"/>
  <c r="U1305" i="1"/>
  <c r="W1312" i="1"/>
  <c r="U1313" i="1"/>
  <c r="W1320" i="1"/>
  <c r="U1321" i="1"/>
  <c r="W1328" i="1"/>
  <c r="U1329" i="1"/>
  <c r="W1336" i="1"/>
  <c r="U1337" i="1"/>
  <c r="W1344" i="1"/>
  <c r="U1345" i="1"/>
  <c r="W1352" i="1"/>
  <c r="U1353" i="1"/>
  <c r="W1360" i="1"/>
  <c r="U1361" i="1"/>
  <c r="W1368" i="1"/>
  <c r="U1369" i="1"/>
  <c r="W1376" i="1"/>
  <c r="U1377" i="1"/>
  <c r="V1079" i="1"/>
  <c r="V1146" i="1"/>
  <c r="V1210" i="1"/>
  <c r="V1251" i="1"/>
  <c r="W1252" i="1"/>
  <c r="W1253" i="1"/>
  <c r="W1254" i="1"/>
  <c r="W1255" i="1"/>
  <c r="V1257" i="1"/>
  <c r="V1265" i="1"/>
  <c r="V1273" i="1"/>
  <c r="V1281" i="1"/>
  <c r="V1289" i="1"/>
  <c r="V1297" i="1"/>
  <c r="V1305" i="1"/>
  <c r="V1313" i="1"/>
  <c r="V1321" i="1"/>
  <c r="V1329" i="1"/>
  <c r="V1337" i="1"/>
  <c r="V1345" i="1"/>
  <c r="V1353" i="1"/>
  <c r="V1361" i="1"/>
  <c r="V1369" i="1"/>
  <c r="V1377" i="1"/>
  <c r="U1125" i="1"/>
  <c r="U1154" i="1"/>
  <c r="W1161" i="1"/>
  <c r="U1218" i="1"/>
  <c r="W1225" i="1"/>
  <c r="W1251" i="1"/>
  <c r="W1257" i="1"/>
  <c r="U1258" i="1"/>
  <c r="W1265" i="1"/>
  <c r="U1266" i="1"/>
  <c r="W1273" i="1"/>
  <c r="U1274" i="1"/>
  <c r="W1281" i="1"/>
  <c r="U1282" i="1"/>
  <c r="W1289" i="1"/>
  <c r="U1290" i="1"/>
  <c r="W1297" i="1"/>
  <c r="U1298" i="1"/>
  <c r="W1305" i="1"/>
  <c r="U1306" i="1"/>
  <c r="W1313" i="1"/>
  <c r="U1314" i="1"/>
  <c r="W1321" i="1"/>
  <c r="U1322" i="1"/>
  <c r="W1329" i="1"/>
  <c r="U1330" i="1"/>
  <c r="W1337" i="1"/>
  <c r="U1338" i="1"/>
  <c r="W1345" i="1"/>
  <c r="U1346" i="1"/>
  <c r="W1353" i="1"/>
  <c r="U1354" i="1"/>
  <c r="W1361" i="1"/>
  <c r="U1362" i="1"/>
  <c r="W1369" i="1"/>
  <c r="U1370" i="1"/>
  <c r="W1377" i="1"/>
  <c r="U1378" i="1"/>
  <c r="V1125" i="1"/>
  <c r="V1154" i="1"/>
  <c r="V1218" i="1"/>
  <c r="V1258" i="1"/>
  <c r="V1266" i="1"/>
  <c r="V1274" i="1"/>
  <c r="V1282" i="1"/>
  <c r="V1290" i="1"/>
  <c r="V1298" i="1"/>
  <c r="V1306" i="1"/>
  <c r="V1314" i="1"/>
  <c r="V1322" i="1"/>
  <c r="V1330" i="1"/>
  <c r="V1338" i="1"/>
  <c r="V1346" i="1"/>
  <c r="V1354" i="1"/>
  <c r="V1362" i="1"/>
  <c r="V1126" i="1"/>
  <c r="U1162" i="1"/>
  <c r="W1169" i="1"/>
  <c r="U1226" i="1"/>
  <c r="W1233" i="1"/>
  <c r="U1250" i="1"/>
  <c r="W1258" i="1"/>
  <c r="U1259" i="1"/>
  <c r="W1266" i="1"/>
  <c r="U1267" i="1"/>
  <c r="W1274" i="1"/>
  <c r="U1275" i="1"/>
  <c r="W1282" i="1"/>
  <c r="U1283" i="1"/>
  <c r="W1290" i="1"/>
  <c r="U1291" i="1"/>
  <c r="W1298" i="1"/>
  <c r="U1299" i="1"/>
  <c r="W1306" i="1"/>
  <c r="U1307" i="1"/>
  <c r="W1314" i="1"/>
  <c r="U1315" i="1"/>
  <c r="W1322" i="1"/>
  <c r="U1323" i="1"/>
  <c r="W1330" i="1"/>
  <c r="U1331" i="1"/>
  <c r="W1338" i="1"/>
  <c r="U1339" i="1"/>
  <c r="W1346" i="1"/>
  <c r="U1347" i="1"/>
  <c r="W1354" i="1"/>
  <c r="U1355" i="1"/>
  <c r="W1362" i="1"/>
  <c r="U1363" i="1"/>
  <c r="W1370" i="1"/>
  <c r="U1371" i="1"/>
  <c r="W1378" i="1"/>
  <c r="U1379" i="1"/>
  <c r="W876" i="1"/>
  <c r="W1126" i="1"/>
  <c r="V1162" i="1"/>
  <c r="V1226" i="1"/>
  <c r="V1250" i="1"/>
  <c r="V1259" i="1"/>
  <c r="V1267" i="1"/>
  <c r="V1275" i="1"/>
  <c r="V1283" i="1"/>
  <c r="V1291" i="1"/>
  <c r="V1299" i="1"/>
  <c r="V1307" i="1"/>
  <c r="V1315" i="1"/>
  <c r="V1323" i="1"/>
  <c r="V1331" i="1"/>
  <c r="V1339" i="1"/>
  <c r="V1347" i="1"/>
  <c r="V1355" i="1"/>
  <c r="V1363" i="1"/>
  <c r="V1371" i="1"/>
  <c r="V1379" i="1"/>
  <c r="W1127" i="1"/>
  <c r="U1170" i="1"/>
  <c r="W1177" i="1"/>
  <c r="U1234" i="1"/>
  <c r="W1250" i="1"/>
  <c r="W1259" i="1"/>
  <c r="U1260" i="1"/>
  <c r="W1267" i="1"/>
  <c r="U1268" i="1"/>
  <c r="W1275" i="1"/>
  <c r="U1276" i="1"/>
  <c r="W1283" i="1"/>
  <c r="U1284" i="1"/>
  <c r="W1291" i="1"/>
  <c r="U1292" i="1"/>
  <c r="W1299" i="1"/>
  <c r="U1300" i="1"/>
  <c r="W1307" i="1"/>
  <c r="U1308" i="1"/>
  <c r="W1315" i="1"/>
  <c r="U1316" i="1"/>
  <c r="W1323" i="1"/>
  <c r="U1324" i="1"/>
  <c r="W1331" i="1"/>
  <c r="U1332" i="1"/>
  <c r="W1339" i="1"/>
  <c r="U1340" i="1"/>
  <c r="W1347" i="1"/>
  <c r="U1348" i="1"/>
  <c r="W1355" i="1"/>
  <c r="U1356" i="1"/>
  <c r="W1363" i="1"/>
  <c r="U1364" i="1"/>
  <c r="W1371" i="1"/>
  <c r="U1372" i="1"/>
  <c r="W1379" i="1"/>
  <c r="U1380" i="1"/>
  <c r="U1249" i="1"/>
  <c r="W1261" i="1"/>
  <c r="U1286" i="1"/>
  <c r="W1293" i="1"/>
  <c r="U1318" i="1"/>
  <c r="W1325" i="1"/>
  <c r="U1350" i="1"/>
  <c r="W1357" i="1"/>
  <c r="W1384" i="1"/>
  <c r="U1385" i="1"/>
  <c r="W1392" i="1"/>
  <c r="U1393" i="1"/>
  <c r="W1400" i="1"/>
  <c r="U1401" i="1"/>
  <c r="W1408" i="1"/>
  <c r="U1409" i="1"/>
  <c r="W1416" i="1"/>
  <c r="U1417" i="1"/>
  <c r="W1424" i="1"/>
  <c r="U1425" i="1"/>
  <c r="W1432" i="1"/>
  <c r="U1433" i="1"/>
  <c r="W1440" i="1"/>
  <c r="U1441" i="1"/>
  <c r="W1448" i="1"/>
  <c r="U1449" i="1"/>
  <c r="W1456" i="1"/>
  <c r="U1457" i="1"/>
  <c r="W1464" i="1"/>
  <c r="U1465" i="1"/>
  <c r="W1472" i="1"/>
  <c r="U1473" i="1"/>
  <c r="W1480" i="1"/>
  <c r="U1481" i="1"/>
  <c r="W1488" i="1"/>
  <c r="U1489" i="1"/>
  <c r="V1234" i="1"/>
  <c r="V1276" i="1"/>
  <c r="V1308" i="1"/>
  <c r="V1340" i="1"/>
  <c r="V1385" i="1"/>
  <c r="V1393" i="1"/>
  <c r="V1401" i="1"/>
  <c r="V1409" i="1"/>
  <c r="V1417" i="1"/>
  <c r="V1425" i="1"/>
  <c r="V1433" i="1"/>
  <c r="V1441" i="1"/>
  <c r="V1449" i="1"/>
  <c r="V1457" i="1"/>
  <c r="V1465" i="1"/>
  <c r="V1473" i="1"/>
  <c r="V1481" i="1"/>
  <c r="V1489" i="1"/>
  <c r="U1178" i="1"/>
  <c r="U1269" i="1"/>
  <c r="W1276" i="1"/>
  <c r="U1301" i="1"/>
  <c r="W1308" i="1"/>
  <c r="U1333" i="1"/>
  <c r="W1340" i="1"/>
  <c r="U1365" i="1"/>
  <c r="W1385" i="1"/>
  <c r="U1386" i="1"/>
  <c r="W1393" i="1"/>
  <c r="U1394" i="1"/>
  <c r="W1401" i="1"/>
  <c r="U1402" i="1"/>
  <c r="W1409" i="1"/>
  <c r="U1410" i="1"/>
  <c r="W1417" i="1"/>
  <c r="U1418" i="1"/>
  <c r="W1425" i="1"/>
  <c r="U1426" i="1"/>
  <c r="W1433" i="1"/>
  <c r="U1434" i="1"/>
  <c r="W1441" i="1"/>
  <c r="U1442" i="1"/>
  <c r="W1449" i="1"/>
  <c r="U1450" i="1"/>
  <c r="W1457" i="1"/>
  <c r="U1458" i="1"/>
  <c r="W1465" i="1"/>
  <c r="U1466" i="1"/>
  <c r="W1473" i="1"/>
  <c r="U1474" i="1"/>
  <c r="W1481" i="1"/>
  <c r="U1482" i="1"/>
  <c r="W1489" i="1"/>
  <c r="U1490" i="1"/>
  <c r="V1178" i="1"/>
  <c r="V1269" i="1"/>
  <c r="V1301" i="1"/>
  <c r="V1333" i="1"/>
  <c r="V1365" i="1"/>
  <c r="U1374" i="1"/>
  <c r="V1380" i="1"/>
  <c r="U1382" i="1"/>
  <c r="V1386" i="1"/>
  <c r="V1394" i="1"/>
  <c r="V1402" i="1"/>
  <c r="V1410" i="1"/>
  <c r="V1418" i="1"/>
  <c r="V1426" i="1"/>
  <c r="V1434" i="1"/>
  <c r="V1442" i="1"/>
  <c r="V1450" i="1"/>
  <c r="V1458" i="1"/>
  <c r="V1466" i="1"/>
  <c r="V1474" i="1"/>
  <c r="V1482" i="1"/>
  <c r="U1262" i="1"/>
  <c r="W1269" i="1"/>
  <c r="U1294" i="1"/>
  <c r="W1301" i="1"/>
  <c r="U1326" i="1"/>
  <c r="W1333" i="1"/>
  <c r="U1358" i="1"/>
  <c r="W1365" i="1"/>
  <c r="W1380" i="1"/>
  <c r="W1386" i="1"/>
  <c r="U1387" i="1"/>
  <c r="W1394" i="1"/>
  <c r="U1395" i="1"/>
  <c r="W1402" i="1"/>
  <c r="U1403" i="1"/>
  <c r="W1410" i="1"/>
  <c r="U1411" i="1"/>
  <c r="W1418" i="1"/>
  <c r="U1419" i="1"/>
  <c r="W1426" i="1"/>
  <c r="U1427" i="1"/>
  <c r="W1434" i="1"/>
  <c r="U1435" i="1"/>
  <c r="W1442" i="1"/>
  <c r="U1443" i="1"/>
  <c r="W1450" i="1"/>
  <c r="U1451" i="1"/>
  <c r="W1458" i="1"/>
  <c r="U1459" i="1"/>
  <c r="W1466" i="1"/>
  <c r="U1467" i="1"/>
  <c r="W1474" i="1"/>
  <c r="U1475" i="1"/>
  <c r="W1482" i="1"/>
  <c r="U1483" i="1"/>
  <c r="W1490" i="1"/>
  <c r="U1491" i="1"/>
  <c r="V1284" i="1"/>
  <c r="V1316" i="1"/>
  <c r="V1348" i="1"/>
  <c r="V1387" i="1"/>
  <c r="V1395" i="1"/>
  <c r="V1403" i="1"/>
  <c r="V1411" i="1"/>
  <c r="V1419" i="1"/>
  <c r="V1427" i="1"/>
  <c r="V1435" i="1"/>
  <c r="V1443" i="1"/>
  <c r="V1451" i="1"/>
  <c r="V1459" i="1"/>
  <c r="V1467" i="1"/>
  <c r="V1475" i="1"/>
  <c r="V1483" i="1"/>
  <c r="W1185" i="1"/>
  <c r="W1241" i="1"/>
  <c r="U1277" i="1"/>
  <c r="W1284" i="1"/>
  <c r="U1309" i="1"/>
  <c r="W1316" i="1"/>
  <c r="U1341" i="1"/>
  <c r="W1348" i="1"/>
  <c r="V1372" i="1"/>
  <c r="W1387" i="1"/>
  <c r="U1388" i="1"/>
  <c r="W1395" i="1"/>
  <c r="U1396" i="1"/>
  <c r="W1403" i="1"/>
  <c r="U1404" i="1"/>
  <c r="W1411" i="1"/>
  <c r="U1412" i="1"/>
  <c r="W1419" i="1"/>
  <c r="U1420" i="1"/>
  <c r="W1427" i="1"/>
  <c r="U1428" i="1"/>
  <c r="W1435" i="1"/>
  <c r="U1436" i="1"/>
  <c r="W1443" i="1"/>
  <c r="U1444" i="1"/>
  <c r="W1451" i="1"/>
  <c r="U1452" i="1"/>
  <c r="W1459" i="1"/>
  <c r="U1460" i="1"/>
  <c r="W1467" i="1"/>
  <c r="U1468" i="1"/>
  <c r="W1475" i="1"/>
  <c r="U1476" i="1"/>
  <c r="W1483" i="1"/>
  <c r="U1484" i="1"/>
  <c r="W1491" i="1"/>
  <c r="U1492" i="1"/>
  <c r="V1277" i="1"/>
  <c r="V1309" i="1"/>
  <c r="V1341" i="1"/>
  <c r="W1372" i="1"/>
  <c r="V1388" i="1"/>
  <c r="V1396" i="1"/>
  <c r="V1404" i="1"/>
  <c r="V1412" i="1"/>
  <c r="V1420" i="1"/>
  <c r="V1428" i="1"/>
  <c r="V1436" i="1"/>
  <c r="V1444" i="1"/>
  <c r="V1452" i="1"/>
  <c r="V1460" i="1"/>
  <c r="W1129" i="1"/>
  <c r="U1186" i="1"/>
  <c r="U1270" i="1"/>
  <c r="W1277" i="1"/>
  <c r="U1302" i="1"/>
  <c r="W1309" i="1"/>
  <c r="U1334" i="1"/>
  <c r="W1341" i="1"/>
  <c r="U1366" i="1"/>
  <c r="V1378" i="1"/>
  <c r="W1388" i="1"/>
  <c r="U1389" i="1"/>
  <c r="W1396" i="1"/>
  <c r="U1397" i="1"/>
  <c r="W1404" i="1"/>
  <c r="U1405" i="1"/>
  <c r="W1412" i="1"/>
  <c r="U1413" i="1"/>
  <c r="W1420" i="1"/>
  <c r="U1421" i="1"/>
  <c r="W1428" i="1"/>
  <c r="U1429" i="1"/>
  <c r="W1436" i="1"/>
  <c r="U1437" i="1"/>
  <c r="W1444" i="1"/>
  <c r="U1445" i="1"/>
  <c r="W1452" i="1"/>
  <c r="U1453" i="1"/>
  <c r="W1460" i="1"/>
  <c r="U1461" i="1"/>
  <c r="W1468" i="1"/>
  <c r="U1469" i="1"/>
  <c r="V1260" i="1"/>
  <c r="V1292" i="1"/>
  <c r="V1324" i="1"/>
  <c r="V1356" i="1"/>
  <c r="V1389" i="1"/>
  <c r="V1397" i="1"/>
  <c r="V1405" i="1"/>
  <c r="V1413" i="1"/>
  <c r="V1421" i="1"/>
  <c r="V1429" i="1"/>
  <c r="V1437" i="1"/>
  <c r="V1445" i="1"/>
  <c r="V1453" i="1"/>
  <c r="V1461" i="1"/>
  <c r="V1469" i="1"/>
  <c r="V1477" i="1"/>
  <c r="V1485" i="1"/>
  <c r="W1260" i="1"/>
  <c r="U1285" i="1"/>
  <c r="W1292" i="1"/>
  <c r="U1317" i="1"/>
  <c r="W1324" i="1"/>
  <c r="U1349" i="1"/>
  <c r="W1356" i="1"/>
  <c r="U1381" i="1"/>
  <c r="W1389" i="1"/>
  <c r="U1390" i="1"/>
  <c r="W1397" i="1"/>
  <c r="U1398" i="1"/>
  <c r="W1405" i="1"/>
  <c r="U1406" i="1"/>
  <c r="W1413" i="1"/>
  <c r="U1414" i="1"/>
  <c r="W1421" i="1"/>
  <c r="U1422" i="1"/>
  <c r="W1429" i="1"/>
  <c r="U1430" i="1"/>
  <c r="W1437" i="1"/>
  <c r="U1438" i="1"/>
  <c r="W1445" i="1"/>
  <c r="U1446" i="1"/>
  <c r="W1453" i="1"/>
  <c r="U1454" i="1"/>
  <c r="W1461" i="1"/>
  <c r="U1462" i="1"/>
  <c r="W1469" i="1"/>
  <c r="U1470" i="1"/>
  <c r="W1477" i="1"/>
  <c r="U1478" i="1"/>
  <c r="W1485" i="1"/>
  <c r="U1486" i="1"/>
  <c r="W1493" i="1"/>
  <c r="U1494" i="1"/>
  <c r="V1285" i="1"/>
  <c r="V1317" i="1"/>
  <c r="V1349" i="1"/>
  <c r="V1370" i="1"/>
  <c r="V1381" i="1"/>
  <c r="V1390" i="1"/>
  <c r="V1398" i="1"/>
  <c r="V1406" i="1"/>
  <c r="V1414" i="1"/>
  <c r="W1193" i="1"/>
  <c r="V1170" i="1"/>
  <c r="V1268" i="1"/>
  <c r="V1300" i="1"/>
  <c r="V1332" i="1"/>
  <c r="V1364" i="1"/>
  <c r="V1373" i="1"/>
  <c r="V1383" i="1"/>
  <c r="V1391" i="1"/>
  <c r="V1399" i="1"/>
  <c r="V1407" i="1"/>
  <c r="V1415" i="1"/>
  <c r="V1423" i="1"/>
  <c r="V1431" i="1"/>
  <c r="V1439" i="1"/>
  <c r="V1447" i="1"/>
  <c r="V1455" i="1"/>
  <c r="V1463" i="1"/>
  <c r="V1471" i="1"/>
  <c r="V1479" i="1"/>
  <c r="V1487" i="1"/>
  <c r="U1400" i="1"/>
  <c r="V1422" i="1"/>
  <c r="V1454" i="1"/>
  <c r="W1470" i="1"/>
  <c r="V1491" i="1"/>
  <c r="W1498" i="1"/>
  <c r="U1499" i="1"/>
  <c r="W1506" i="1"/>
  <c r="U1507" i="1"/>
  <c r="W1514" i="1"/>
  <c r="U1515" i="1"/>
  <c r="W1522" i="1"/>
  <c r="U1523" i="1"/>
  <c r="W1530" i="1"/>
  <c r="U1531" i="1"/>
  <c r="W1538" i="1"/>
  <c r="U1539" i="1"/>
  <c r="W1546" i="1"/>
  <c r="U1547" i="1"/>
  <c r="W1554" i="1"/>
  <c r="U1555" i="1"/>
  <c r="W1562" i="1"/>
  <c r="U1563" i="1"/>
  <c r="W1570" i="1"/>
  <c r="U1571" i="1"/>
  <c r="W1578" i="1"/>
  <c r="U1579" i="1"/>
  <c r="W1586" i="1"/>
  <c r="U1587" i="1"/>
  <c r="W1594" i="1"/>
  <c r="U1595" i="1"/>
  <c r="W1602" i="1"/>
  <c r="U1603" i="1"/>
  <c r="W1268" i="1"/>
  <c r="U1325" i="1"/>
  <c r="U1391" i="1"/>
  <c r="V1400" i="1"/>
  <c r="W1422" i="1"/>
  <c r="U1447" i="1"/>
  <c r="W1454" i="1"/>
  <c r="V1499" i="1"/>
  <c r="V1507" i="1"/>
  <c r="V1515" i="1"/>
  <c r="V1523" i="1"/>
  <c r="V1531" i="1"/>
  <c r="V1539" i="1"/>
  <c r="V1547" i="1"/>
  <c r="V1555" i="1"/>
  <c r="V1563" i="1"/>
  <c r="V1571" i="1"/>
  <c r="V1579" i="1"/>
  <c r="V1587" i="1"/>
  <c r="V1595" i="1"/>
  <c r="V1603" i="1"/>
  <c r="V1325" i="1"/>
  <c r="W1364" i="1"/>
  <c r="W1391" i="1"/>
  <c r="U1415" i="1"/>
  <c r="U1440" i="1"/>
  <c r="W1447" i="1"/>
  <c r="U1487" i="1"/>
  <c r="U1493" i="1"/>
  <c r="W1499" i="1"/>
  <c r="U1500" i="1"/>
  <c r="W1507" i="1"/>
  <c r="U1508" i="1"/>
  <c r="W1515" i="1"/>
  <c r="U1516" i="1"/>
  <c r="W1523" i="1"/>
  <c r="U1524" i="1"/>
  <c r="W1531" i="1"/>
  <c r="U1532" i="1"/>
  <c r="W1539" i="1"/>
  <c r="U1540" i="1"/>
  <c r="W1547" i="1"/>
  <c r="U1548" i="1"/>
  <c r="W1555" i="1"/>
  <c r="U1556" i="1"/>
  <c r="W1563" i="1"/>
  <c r="U1564" i="1"/>
  <c r="W1571" i="1"/>
  <c r="U1572" i="1"/>
  <c r="W1579" i="1"/>
  <c r="U1580" i="1"/>
  <c r="W1587" i="1"/>
  <c r="U1588" i="1"/>
  <c r="W1595" i="1"/>
  <c r="U1596" i="1"/>
  <c r="W1603" i="1"/>
  <c r="U1604" i="1"/>
  <c r="W1381" i="1"/>
  <c r="W1415" i="1"/>
  <c r="V1440" i="1"/>
  <c r="V1468" i="1"/>
  <c r="U1480" i="1"/>
  <c r="W1487" i="1"/>
  <c r="V1493" i="1"/>
  <c r="V1500" i="1"/>
  <c r="V1508" i="1"/>
  <c r="V1516" i="1"/>
  <c r="V1524" i="1"/>
  <c r="V1532" i="1"/>
  <c r="V1540" i="1"/>
  <c r="V1548" i="1"/>
  <c r="V1556" i="1"/>
  <c r="V1564" i="1"/>
  <c r="V1572" i="1"/>
  <c r="V1580" i="1"/>
  <c r="V1588" i="1"/>
  <c r="V1596" i="1"/>
  <c r="V1604" i="1"/>
  <c r="U1310" i="1"/>
  <c r="W1406" i="1"/>
  <c r="V1430" i="1"/>
  <c r="V1462" i="1"/>
  <c r="V1480" i="1"/>
  <c r="U1485" i="1"/>
  <c r="W1500" i="1"/>
  <c r="U1501" i="1"/>
  <c r="W1508" i="1"/>
  <c r="U1509" i="1"/>
  <c r="W1516" i="1"/>
  <c r="U1517" i="1"/>
  <c r="W1524" i="1"/>
  <c r="U1525" i="1"/>
  <c r="W1532" i="1"/>
  <c r="U1533" i="1"/>
  <c r="W1540" i="1"/>
  <c r="U1541" i="1"/>
  <c r="W1548" i="1"/>
  <c r="U1549" i="1"/>
  <c r="W1556" i="1"/>
  <c r="U1557" i="1"/>
  <c r="W1564" i="1"/>
  <c r="U1565" i="1"/>
  <c r="W1572" i="1"/>
  <c r="U1573" i="1"/>
  <c r="W1580" i="1"/>
  <c r="U1581" i="1"/>
  <c r="W1588" i="1"/>
  <c r="U1589" i="1"/>
  <c r="W1596" i="1"/>
  <c r="U1597" i="1"/>
  <c r="W1604" i="1"/>
  <c r="U1605" i="1"/>
  <c r="W1349" i="1"/>
  <c r="U1392" i="1"/>
  <c r="U1423" i="1"/>
  <c r="W1430" i="1"/>
  <c r="U1455" i="1"/>
  <c r="W1462" i="1"/>
  <c r="V1478" i="1"/>
  <c r="V1501" i="1"/>
  <c r="V1509" i="1"/>
  <c r="V1517" i="1"/>
  <c r="V1525" i="1"/>
  <c r="V1533" i="1"/>
  <c r="V1541" i="1"/>
  <c r="V1549" i="1"/>
  <c r="V1557" i="1"/>
  <c r="V1565" i="1"/>
  <c r="V1573" i="1"/>
  <c r="V1581" i="1"/>
  <c r="V1589" i="1"/>
  <c r="V1597" i="1"/>
  <c r="V1605" i="1"/>
  <c r="U1293" i="1"/>
  <c r="V1392" i="1"/>
  <c r="U1416" i="1"/>
  <c r="W1423" i="1"/>
  <c r="U1448" i="1"/>
  <c r="W1455" i="1"/>
  <c r="U1471" i="1"/>
  <c r="W1478" i="1"/>
  <c r="W1501" i="1"/>
  <c r="U1502" i="1"/>
  <c r="W1509" i="1"/>
  <c r="U1510" i="1"/>
  <c r="W1517" i="1"/>
  <c r="U1518" i="1"/>
  <c r="W1525" i="1"/>
  <c r="U1526" i="1"/>
  <c r="W1533" i="1"/>
  <c r="U1534" i="1"/>
  <c r="W1541" i="1"/>
  <c r="U1542" i="1"/>
  <c r="W1549" i="1"/>
  <c r="U1550" i="1"/>
  <c r="W1557" i="1"/>
  <c r="U1558" i="1"/>
  <c r="W1565" i="1"/>
  <c r="U1566" i="1"/>
  <c r="W1573" i="1"/>
  <c r="U1574" i="1"/>
  <c r="W1581" i="1"/>
  <c r="U1582" i="1"/>
  <c r="W1589" i="1"/>
  <c r="U1590" i="1"/>
  <c r="W1597" i="1"/>
  <c r="U1598" i="1"/>
  <c r="W1605" i="1"/>
  <c r="U1606" i="1"/>
  <c r="V1293" i="1"/>
  <c r="W1332" i="1"/>
  <c r="W1383" i="1"/>
  <c r="U1407" i="1"/>
  <c r="V1416" i="1"/>
  <c r="V1448" i="1"/>
  <c r="W1471" i="1"/>
  <c r="V1476" i="1"/>
  <c r="V1490" i="1"/>
  <c r="V1502" i="1"/>
  <c r="V1510" i="1"/>
  <c r="V1518" i="1"/>
  <c r="V1526" i="1"/>
  <c r="V1534" i="1"/>
  <c r="V1542" i="1"/>
  <c r="V1550" i="1"/>
  <c r="V1558" i="1"/>
  <c r="V1566" i="1"/>
  <c r="V1574" i="1"/>
  <c r="V1582" i="1"/>
  <c r="V1590" i="1"/>
  <c r="V1598" i="1"/>
  <c r="V1606" i="1"/>
  <c r="W1407" i="1"/>
  <c r="V1438" i="1"/>
  <c r="W1476" i="1"/>
  <c r="W1502" i="1"/>
  <c r="U1503" i="1"/>
  <c r="W1510" i="1"/>
  <c r="U1511" i="1"/>
  <c r="W1518" i="1"/>
  <c r="U1519" i="1"/>
  <c r="W1526" i="1"/>
  <c r="U1527" i="1"/>
  <c r="W1534" i="1"/>
  <c r="U1535" i="1"/>
  <c r="W1542" i="1"/>
  <c r="U1543" i="1"/>
  <c r="W1550" i="1"/>
  <c r="U1551" i="1"/>
  <c r="W1558" i="1"/>
  <c r="U1559" i="1"/>
  <c r="W1566" i="1"/>
  <c r="U1567" i="1"/>
  <c r="W1574" i="1"/>
  <c r="U1575" i="1"/>
  <c r="W1582" i="1"/>
  <c r="U1583" i="1"/>
  <c r="W1590" i="1"/>
  <c r="U1591" i="1"/>
  <c r="W1598" i="1"/>
  <c r="U1599" i="1"/>
  <c r="W1606" i="1"/>
  <c r="U1607" i="1"/>
  <c r="U1278" i="1"/>
  <c r="W1398" i="1"/>
  <c r="U1431" i="1"/>
  <c r="W1438" i="1"/>
  <c r="U1463" i="1"/>
  <c r="U1488" i="1"/>
  <c r="V1492" i="1"/>
  <c r="V1503" i="1"/>
  <c r="V1511" i="1"/>
  <c r="V1519" i="1"/>
  <c r="V1527" i="1"/>
  <c r="V1535" i="1"/>
  <c r="V1543" i="1"/>
  <c r="V1551" i="1"/>
  <c r="V1559" i="1"/>
  <c r="V1567" i="1"/>
  <c r="V1575" i="1"/>
  <c r="V1583" i="1"/>
  <c r="V1591" i="1"/>
  <c r="V1599" i="1"/>
  <c r="V1607" i="1"/>
  <c r="W1317" i="1"/>
  <c r="U1373" i="1"/>
  <c r="U1384" i="1"/>
  <c r="U1424" i="1"/>
  <c r="W1431" i="1"/>
  <c r="U1456" i="1"/>
  <c r="W1463" i="1"/>
  <c r="V1488" i="1"/>
  <c r="W1492" i="1"/>
  <c r="U1495" i="1"/>
  <c r="U1496" i="1"/>
  <c r="W1503" i="1"/>
  <c r="U1504" i="1"/>
  <c r="W1511" i="1"/>
  <c r="U1512" i="1"/>
  <c r="W1519" i="1"/>
  <c r="U1520" i="1"/>
  <c r="W1527" i="1"/>
  <c r="U1528" i="1"/>
  <c r="W1535" i="1"/>
  <c r="U1536" i="1"/>
  <c r="W1543" i="1"/>
  <c r="U1544" i="1"/>
  <c r="W1551" i="1"/>
  <c r="U1552" i="1"/>
  <c r="W1559" i="1"/>
  <c r="U1560" i="1"/>
  <c r="W1567" i="1"/>
  <c r="U1568" i="1"/>
  <c r="W1575" i="1"/>
  <c r="U1576" i="1"/>
  <c r="W1583" i="1"/>
  <c r="U1584" i="1"/>
  <c r="W1591" i="1"/>
  <c r="U1592" i="1"/>
  <c r="W1599" i="1"/>
  <c r="U1600" i="1"/>
  <c r="W1607" i="1"/>
  <c r="U1608" i="1"/>
  <c r="U1261" i="1"/>
  <c r="W1373" i="1"/>
  <c r="V1384" i="1"/>
  <c r="U1408" i="1"/>
  <c r="V1424" i="1"/>
  <c r="V1456" i="1"/>
  <c r="V1486" i="1"/>
  <c r="V1495" i="1"/>
  <c r="V1496" i="1"/>
  <c r="V1504" i="1"/>
  <c r="V1512" i="1"/>
  <c r="V1520" i="1"/>
  <c r="V1528" i="1"/>
  <c r="V1536" i="1"/>
  <c r="V1544" i="1"/>
  <c r="V1552" i="1"/>
  <c r="V1560" i="1"/>
  <c r="V1568" i="1"/>
  <c r="V1576" i="1"/>
  <c r="V1584" i="1"/>
  <c r="V1592" i="1"/>
  <c r="V1600" i="1"/>
  <c r="V1608" i="1"/>
  <c r="V1261" i="1"/>
  <c r="W1300" i="1"/>
  <c r="U1357" i="1"/>
  <c r="U1399" i="1"/>
  <c r="V1408" i="1"/>
  <c r="V1446" i="1"/>
  <c r="U1479" i="1"/>
  <c r="W1486" i="1"/>
  <c r="W1495" i="1"/>
  <c r="W1496" i="1"/>
  <c r="U1497" i="1"/>
  <c r="W1504" i="1"/>
  <c r="U1505" i="1"/>
  <c r="W1512" i="1"/>
  <c r="U1513" i="1"/>
  <c r="W1520" i="1"/>
  <c r="U1521" i="1"/>
  <c r="W1528" i="1"/>
  <c r="U1529" i="1"/>
  <c r="W1536" i="1"/>
  <c r="U1537" i="1"/>
  <c r="W1544" i="1"/>
  <c r="U1545" i="1"/>
  <c r="W1552" i="1"/>
  <c r="U1553" i="1"/>
  <c r="W1560" i="1"/>
  <c r="U1561" i="1"/>
  <c r="W1568" i="1"/>
  <c r="U1569" i="1"/>
  <c r="W1576" i="1"/>
  <c r="U1577" i="1"/>
  <c r="W1584" i="1"/>
  <c r="U1585" i="1"/>
  <c r="W1592" i="1"/>
  <c r="U1593" i="1"/>
  <c r="W1600" i="1"/>
  <c r="U1601" i="1"/>
  <c r="W1545" i="1"/>
  <c r="V1569" i="1"/>
  <c r="V1578" i="1"/>
  <c r="U1602" i="1"/>
  <c r="V1611" i="1"/>
  <c r="V1619" i="1"/>
  <c r="V1627" i="1"/>
  <c r="V1635" i="1"/>
  <c r="V1643" i="1"/>
  <c r="V1651" i="1"/>
  <c r="V1659" i="1"/>
  <c r="V1667" i="1"/>
  <c r="V1675" i="1"/>
  <c r="V1683" i="1"/>
  <c r="V1691" i="1"/>
  <c r="V1699" i="1"/>
  <c r="V1707" i="1"/>
  <c r="V1715" i="1"/>
  <c r="V1723" i="1"/>
  <c r="V1731" i="1"/>
  <c r="W1285" i="1"/>
  <c r="U1498" i="1"/>
  <c r="W1569" i="1"/>
  <c r="V1593" i="1"/>
  <c r="V1602" i="1"/>
  <c r="W1611" i="1"/>
  <c r="U1612" i="1"/>
  <c r="W1619" i="1"/>
  <c r="U1620" i="1"/>
  <c r="W1627" i="1"/>
  <c r="U1628" i="1"/>
  <c r="W1635" i="1"/>
  <c r="U1636" i="1"/>
  <c r="W1643" i="1"/>
  <c r="U1644" i="1"/>
  <c r="W1651" i="1"/>
  <c r="U1652" i="1"/>
  <c r="W1659" i="1"/>
  <c r="U1660" i="1"/>
  <c r="W1667" i="1"/>
  <c r="U1668" i="1"/>
  <c r="W1675" i="1"/>
  <c r="U1676" i="1"/>
  <c r="W1683" i="1"/>
  <c r="U1684" i="1"/>
  <c r="W1691" i="1"/>
  <c r="U1692" i="1"/>
  <c r="W1699" i="1"/>
  <c r="U1700" i="1"/>
  <c r="W1707" i="1"/>
  <c r="U1708" i="1"/>
  <c r="W1715" i="1"/>
  <c r="U1716" i="1"/>
  <c r="W1723" i="1"/>
  <c r="U1724" i="1"/>
  <c r="V1498" i="1"/>
  <c r="U1522" i="1"/>
  <c r="W1593" i="1"/>
  <c r="V1612" i="1"/>
  <c r="V1620" i="1"/>
  <c r="V1628" i="1"/>
  <c r="V1636" i="1"/>
  <c r="V1644" i="1"/>
  <c r="V1652" i="1"/>
  <c r="V1660" i="1"/>
  <c r="V1668" i="1"/>
  <c r="V1676" i="1"/>
  <c r="V1684" i="1"/>
  <c r="V1692" i="1"/>
  <c r="V1700" i="1"/>
  <c r="V1708" i="1"/>
  <c r="V1716" i="1"/>
  <c r="V1724" i="1"/>
  <c r="V1732" i="1"/>
  <c r="U1432" i="1"/>
  <c r="V1513" i="1"/>
  <c r="V1522" i="1"/>
  <c r="U1546" i="1"/>
  <c r="W1612" i="1"/>
  <c r="U1613" i="1"/>
  <c r="W1620" i="1"/>
  <c r="U1621" i="1"/>
  <c r="W1628" i="1"/>
  <c r="U1629" i="1"/>
  <c r="W1636" i="1"/>
  <c r="U1637" i="1"/>
  <c r="W1644" i="1"/>
  <c r="U1645" i="1"/>
  <c r="W1652" i="1"/>
  <c r="U1653" i="1"/>
  <c r="W1660" i="1"/>
  <c r="U1661" i="1"/>
  <c r="W1668" i="1"/>
  <c r="U1669" i="1"/>
  <c r="W1676" i="1"/>
  <c r="U1677" i="1"/>
  <c r="W1684" i="1"/>
  <c r="U1685" i="1"/>
  <c r="W1692" i="1"/>
  <c r="U1693" i="1"/>
  <c r="W1700" i="1"/>
  <c r="U1701" i="1"/>
  <c r="W1708" i="1"/>
  <c r="U1709" i="1"/>
  <c r="W1716" i="1"/>
  <c r="U1717" i="1"/>
  <c r="W1724" i="1"/>
  <c r="U1725" i="1"/>
  <c r="W1732" i="1"/>
  <c r="V1432" i="1"/>
  <c r="W1513" i="1"/>
  <c r="V1537" i="1"/>
  <c r="V1546" i="1"/>
  <c r="U1570" i="1"/>
  <c r="V1613" i="1"/>
  <c r="V1621" i="1"/>
  <c r="V1629" i="1"/>
  <c r="V1637" i="1"/>
  <c r="V1645" i="1"/>
  <c r="V1653" i="1"/>
  <c r="V1661" i="1"/>
  <c r="V1669" i="1"/>
  <c r="V1677" i="1"/>
  <c r="V1685" i="1"/>
  <c r="V1693" i="1"/>
  <c r="V1701" i="1"/>
  <c r="V1709" i="1"/>
  <c r="V1717" i="1"/>
  <c r="V1725" i="1"/>
  <c r="W1390" i="1"/>
  <c r="W1414" i="1"/>
  <c r="V1470" i="1"/>
  <c r="V1484" i="1"/>
  <c r="V1494" i="1"/>
  <c r="W1537" i="1"/>
  <c r="V1561" i="1"/>
  <c r="V1570" i="1"/>
  <c r="U1594" i="1"/>
  <c r="W1608" i="1"/>
  <c r="W1613" i="1"/>
  <c r="U1614" i="1"/>
  <c r="W1621" i="1"/>
  <c r="U1622" i="1"/>
  <c r="W1629" i="1"/>
  <c r="U1630" i="1"/>
  <c r="W1637" i="1"/>
  <c r="U1638" i="1"/>
  <c r="W1645" i="1"/>
  <c r="U1646" i="1"/>
  <c r="W1653" i="1"/>
  <c r="U1654" i="1"/>
  <c r="W1661" i="1"/>
  <c r="U1662" i="1"/>
  <c r="W1669" i="1"/>
  <c r="U1670" i="1"/>
  <c r="W1677" i="1"/>
  <c r="U1678" i="1"/>
  <c r="W1685" i="1"/>
  <c r="U1686" i="1"/>
  <c r="W1693" i="1"/>
  <c r="U1694" i="1"/>
  <c r="W1701" i="1"/>
  <c r="U1702" i="1"/>
  <c r="W1709" i="1"/>
  <c r="U1710" i="1"/>
  <c r="W1717" i="1"/>
  <c r="U1718" i="1"/>
  <c r="W1725" i="1"/>
  <c r="U1726" i="1"/>
  <c r="U1472" i="1"/>
  <c r="W1484" i="1"/>
  <c r="W1494" i="1"/>
  <c r="W1561" i="1"/>
  <c r="V1585" i="1"/>
  <c r="V1594" i="1"/>
  <c r="V1614" i="1"/>
  <c r="V1622" i="1"/>
  <c r="V1630" i="1"/>
  <c r="V1638" i="1"/>
  <c r="V1646" i="1"/>
  <c r="V1654" i="1"/>
  <c r="V1662" i="1"/>
  <c r="V1670" i="1"/>
  <c r="V1678" i="1"/>
  <c r="V1686" i="1"/>
  <c r="V1694" i="1"/>
  <c r="V1702" i="1"/>
  <c r="V1710" i="1"/>
  <c r="V1718" i="1"/>
  <c r="V1726" i="1"/>
  <c r="V1472" i="1"/>
  <c r="U1514" i="1"/>
  <c r="W1585" i="1"/>
  <c r="W1614" i="1"/>
  <c r="U1615" i="1"/>
  <c r="W1622" i="1"/>
  <c r="U1623" i="1"/>
  <c r="W1630" i="1"/>
  <c r="U1631" i="1"/>
  <c r="W1638" i="1"/>
  <c r="U1639" i="1"/>
  <c r="W1646" i="1"/>
  <c r="U1647" i="1"/>
  <c r="W1654" i="1"/>
  <c r="U1655" i="1"/>
  <c r="W1662" i="1"/>
  <c r="U1663" i="1"/>
  <c r="W1670" i="1"/>
  <c r="U1671" i="1"/>
  <c r="W1678" i="1"/>
  <c r="U1679" i="1"/>
  <c r="W1686" i="1"/>
  <c r="U1687" i="1"/>
  <c r="W1694" i="1"/>
  <c r="U1695" i="1"/>
  <c r="W1702" i="1"/>
  <c r="U1703" i="1"/>
  <c r="W1710" i="1"/>
  <c r="U1711" i="1"/>
  <c r="W1718" i="1"/>
  <c r="U1719" i="1"/>
  <c r="W1726" i="1"/>
  <c r="U1727" i="1"/>
  <c r="U1439" i="1"/>
  <c r="V1505" i="1"/>
  <c r="V1514" i="1"/>
  <c r="U1538" i="1"/>
  <c r="V1615" i="1"/>
  <c r="V1623" i="1"/>
  <c r="V1631" i="1"/>
  <c r="V1639" i="1"/>
  <c r="V1647" i="1"/>
  <c r="V1655" i="1"/>
  <c r="V1663" i="1"/>
  <c r="V1671" i="1"/>
  <c r="V1679" i="1"/>
  <c r="V1687" i="1"/>
  <c r="V1695" i="1"/>
  <c r="V1703" i="1"/>
  <c r="V1711" i="1"/>
  <c r="V1719" i="1"/>
  <c r="V1727" i="1"/>
  <c r="W1439" i="1"/>
  <c r="W1505" i="1"/>
  <c r="V1529" i="1"/>
  <c r="V1538" i="1"/>
  <c r="U1562" i="1"/>
  <c r="W1615" i="1"/>
  <c r="U1616" i="1"/>
  <c r="W1623" i="1"/>
  <c r="U1624" i="1"/>
  <c r="W1631" i="1"/>
  <c r="U1632" i="1"/>
  <c r="W1639" i="1"/>
  <c r="U1640" i="1"/>
  <c r="W1647" i="1"/>
  <c r="U1648" i="1"/>
  <c r="W1655" i="1"/>
  <c r="U1656" i="1"/>
  <c r="W1663" i="1"/>
  <c r="U1664" i="1"/>
  <c r="W1671" i="1"/>
  <c r="U1672" i="1"/>
  <c r="W1679" i="1"/>
  <c r="U1680" i="1"/>
  <c r="W1687" i="1"/>
  <c r="U1688" i="1"/>
  <c r="W1695" i="1"/>
  <c r="U1696" i="1"/>
  <c r="W1703" i="1"/>
  <c r="U1704" i="1"/>
  <c r="W1711" i="1"/>
  <c r="U1712" i="1"/>
  <c r="W1719" i="1"/>
  <c r="U1720" i="1"/>
  <c r="W1727" i="1"/>
  <c r="U1728" i="1"/>
  <c r="U1342" i="1"/>
  <c r="W1399" i="1"/>
  <c r="W1529" i="1"/>
  <c r="V1553" i="1"/>
  <c r="V1562" i="1"/>
  <c r="U1586" i="1"/>
  <c r="V1616" i="1"/>
  <c r="V1624" i="1"/>
  <c r="V1632" i="1"/>
  <c r="V1640" i="1"/>
  <c r="V1648" i="1"/>
  <c r="V1656" i="1"/>
  <c r="V1664" i="1"/>
  <c r="V1672" i="1"/>
  <c r="V1680" i="1"/>
  <c r="V1688" i="1"/>
  <c r="V1696" i="1"/>
  <c r="V1704" i="1"/>
  <c r="V1712" i="1"/>
  <c r="V1720" i="1"/>
  <c r="V1728" i="1"/>
  <c r="V1357" i="1"/>
  <c r="W1553" i="1"/>
  <c r="V1577" i="1"/>
  <c r="V1586" i="1"/>
  <c r="W1616" i="1"/>
  <c r="U1617" i="1"/>
  <c r="W1624" i="1"/>
  <c r="U1625" i="1"/>
  <c r="W1632" i="1"/>
  <c r="U1633" i="1"/>
  <c r="W1640" i="1"/>
  <c r="U1641" i="1"/>
  <c r="W1648" i="1"/>
  <c r="U1649" i="1"/>
  <c r="W1656" i="1"/>
  <c r="U1657" i="1"/>
  <c r="W1664" i="1"/>
  <c r="U1665" i="1"/>
  <c r="W1672" i="1"/>
  <c r="U1673" i="1"/>
  <c r="W1680" i="1"/>
  <c r="U1681" i="1"/>
  <c r="W1688" i="1"/>
  <c r="U1689" i="1"/>
  <c r="W1696" i="1"/>
  <c r="U1697" i="1"/>
  <c r="W1704" i="1"/>
  <c r="U1705" i="1"/>
  <c r="W1712" i="1"/>
  <c r="U1713" i="1"/>
  <c r="W1720" i="1"/>
  <c r="U1721" i="1"/>
  <c r="W1728" i="1"/>
  <c r="U1729" i="1"/>
  <c r="U1506" i="1"/>
  <c r="W1577" i="1"/>
  <c r="V1601" i="1"/>
  <c r="U1609" i="1"/>
  <c r="V1617" i="1"/>
  <c r="V1625" i="1"/>
  <c r="V1633" i="1"/>
  <c r="V1641" i="1"/>
  <c r="V1649" i="1"/>
  <c r="V1657" i="1"/>
  <c r="V1665" i="1"/>
  <c r="V1673" i="1"/>
  <c r="V1681" i="1"/>
  <c r="V1689" i="1"/>
  <c r="V1697" i="1"/>
  <c r="V1705" i="1"/>
  <c r="V1713" i="1"/>
  <c r="V1721" i="1"/>
  <c r="V1729" i="1"/>
  <c r="U1477" i="1"/>
  <c r="V1497" i="1"/>
  <c r="V1506" i="1"/>
  <c r="U1530" i="1"/>
  <c r="W1601" i="1"/>
  <c r="V1609" i="1"/>
  <c r="U1610" i="1"/>
  <c r="W1617" i="1"/>
  <c r="U1618" i="1"/>
  <c r="W1625" i="1"/>
  <c r="U1626" i="1"/>
  <c r="W1633" i="1"/>
  <c r="U1634" i="1"/>
  <c r="W1641" i="1"/>
  <c r="U1642" i="1"/>
  <c r="W1649" i="1"/>
  <c r="U1650" i="1"/>
  <c r="W1657" i="1"/>
  <c r="U1658" i="1"/>
  <c r="W1665" i="1"/>
  <c r="U1666" i="1"/>
  <c r="W1673" i="1"/>
  <c r="U1674" i="1"/>
  <c r="W1681" i="1"/>
  <c r="U1682" i="1"/>
  <c r="W1689" i="1"/>
  <c r="U1690" i="1"/>
  <c r="W1697" i="1"/>
  <c r="U1698" i="1"/>
  <c r="W1705" i="1"/>
  <c r="U1706" i="1"/>
  <c r="W1713" i="1"/>
  <c r="U1714" i="1"/>
  <c r="W1721" i="1"/>
  <c r="U1722" i="1"/>
  <c r="U1619" i="1"/>
  <c r="W1626" i="1"/>
  <c r="U1683" i="1"/>
  <c r="W1690" i="1"/>
  <c r="V1735" i="1"/>
  <c r="V1743" i="1"/>
  <c r="V1751" i="1"/>
  <c r="V1759" i="1"/>
  <c r="V1767" i="1"/>
  <c r="V1775" i="1"/>
  <c r="V1783" i="1"/>
  <c r="V1791" i="1"/>
  <c r="V1799" i="1"/>
  <c r="V1807" i="1"/>
  <c r="V1815" i="1"/>
  <c r="V1823" i="1"/>
  <c r="V1831" i="1"/>
  <c r="V1839" i="1"/>
  <c r="V1847" i="1"/>
  <c r="V1855" i="1"/>
  <c r="V1863" i="1"/>
  <c r="W1446" i="1"/>
  <c r="U1554" i="1"/>
  <c r="V1634" i="1"/>
  <c r="V1698" i="1"/>
  <c r="W1735" i="1"/>
  <c r="U1736" i="1"/>
  <c r="W1743" i="1"/>
  <c r="U1744" i="1"/>
  <c r="W1751" i="1"/>
  <c r="U1752" i="1"/>
  <c r="W1759" i="1"/>
  <c r="U1760" i="1"/>
  <c r="W1767" i="1"/>
  <c r="U1768" i="1"/>
  <c r="W1775" i="1"/>
  <c r="U1776" i="1"/>
  <c r="W1783" i="1"/>
  <c r="U1784" i="1"/>
  <c r="W1791" i="1"/>
  <c r="U1792" i="1"/>
  <c r="W1799" i="1"/>
  <c r="U1800" i="1"/>
  <c r="W1807" i="1"/>
  <c r="U1808" i="1"/>
  <c r="W1815" i="1"/>
  <c r="U1816" i="1"/>
  <c r="W1823" i="1"/>
  <c r="U1824" i="1"/>
  <c r="W1831" i="1"/>
  <c r="U1832" i="1"/>
  <c r="W1839" i="1"/>
  <c r="U1840" i="1"/>
  <c r="W1847" i="1"/>
  <c r="U1848" i="1"/>
  <c r="W1855" i="1"/>
  <c r="U1856" i="1"/>
  <c r="W1863" i="1"/>
  <c r="U1864" i="1"/>
  <c r="V1554" i="1"/>
  <c r="U1627" i="1"/>
  <c r="W1634" i="1"/>
  <c r="U1691" i="1"/>
  <c r="W1698" i="1"/>
  <c r="V1736" i="1"/>
  <c r="V1744" i="1"/>
  <c r="V1752" i="1"/>
  <c r="V1760" i="1"/>
  <c r="V1768" i="1"/>
  <c r="V1776" i="1"/>
  <c r="V1784" i="1"/>
  <c r="V1792" i="1"/>
  <c r="V1800" i="1"/>
  <c r="V1808" i="1"/>
  <c r="V1816" i="1"/>
  <c r="V1824" i="1"/>
  <c r="V1832" i="1"/>
  <c r="V1840" i="1"/>
  <c r="V1848" i="1"/>
  <c r="V1856" i="1"/>
  <c r="V1864" i="1"/>
  <c r="U1464" i="1"/>
  <c r="V1521" i="1"/>
  <c r="V1642" i="1"/>
  <c r="V1706" i="1"/>
  <c r="W1736" i="1"/>
  <c r="U1737" i="1"/>
  <c r="W1744" i="1"/>
  <c r="U1745" i="1"/>
  <c r="W1752" i="1"/>
  <c r="U1753" i="1"/>
  <c r="W1760" i="1"/>
  <c r="U1761" i="1"/>
  <c r="W1768" i="1"/>
  <c r="U1769" i="1"/>
  <c r="W1776" i="1"/>
  <c r="U1777" i="1"/>
  <c r="W1784" i="1"/>
  <c r="U1785" i="1"/>
  <c r="W1792" i="1"/>
  <c r="U1793" i="1"/>
  <c r="W1800" i="1"/>
  <c r="U1801" i="1"/>
  <c r="W1808" i="1"/>
  <c r="U1809" i="1"/>
  <c r="W1816" i="1"/>
  <c r="U1817" i="1"/>
  <c r="W1824" i="1"/>
  <c r="U1825" i="1"/>
  <c r="W1832" i="1"/>
  <c r="U1833" i="1"/>
  <c r="W1840" i="1"/>
  <c r="U1841" i="1"/>
  <c r="W1848" i="1"/>
  <c r="U1849" i="1"/>
  <c r="W1856" i="1"/>
  <c r="U1857" i="1"/>
  <c r="W1864" i="1"/>
  <c r="V1464" i="1"/>
  <c r="W1521" i="1"/>
  <c r="U1635" i="1"/>
  <c r="W1642" i="1"/>
  <c r="U1699" i="1"/>
  <c r="W1706" i="1"/>
  <c r="U1731" i="1"/>
  <c r="V1737" i="1"/>
  <c r="V1745" i="1"/>
  <c r="V1753" i="1"/>
  <c r="V1761" i="1"/>
  <c r="V1769" i="1"/>
  <c r="V1777" i="1"/>
  <c r="V1785" i="1"/>
  <c r="V1793" i="1"/>
  <c r="V1801" i="1"/>
  <c r="V1809" i="1"/>
  <c r="V1817" i="1"/>
  <c r="V1825" i="1"/>
  <c r="V1833" i="1"/>
  <c r="V1841" i="1"/>
  <c r="V1849" i="1"/>
  <c r="V1857" i="1"/>
  <c r="V1650" i="1"/>
  <c r="V1714" i="1"/>
  <c r="W1731" i="1"/>
  <c r="W1737" i="1"/>
  <c r="U1738" i="1"/>
  <c r="W1745" i="1"/>
  <c r="U1746" i="1"/>
  <c r="W1753" i="1"/>
  <c r="U1754" i="1"/>
  <c r="W1761" i="1"/>
  <c r="U1762" i="1"/>
  <c r="W1769" i="1"/>
  <c r="U1770" i="1"/>
  <c r="W1777" i="1"/>
  <c r="U1778" i="1"/>
  <c r="W1785" i="1"/>
  <c r="U1786" i="1"/>
  <c r="W1793" i="1"/>
  <c r="U1794" i="1"/>
  <c r="W1801" i="1"/>
  <c r="U1802" i="1"/>
  <c r="W1809" i="1"/>
  <c r="U1810" i="1"/>
  <c r="W1817" i="1"/>
  <c r="U1818" i="1"/>
  <c r="W1825" i="1"/>
  <c r="U1826" i="1"/>
  <c r="W1833" i="1"/>
  <c r="U1834" i="1"/>
  <c r="W1841" i="1"/>
  <c r="U1842" i="1"/>
  <c r="W1849" i="1"/>
  <c r="U1850" i="1"/>
  <c r="W1857" i="1"/>
  <c r="U1858" i="1"/>
  <c r="W1479" i="1"/>
  <c r="U1643" i="1"/>
  <c r="W1650" i="1"/>
  <c r="U1707" i="1"/>
  <c r="W1714" i="1"/>
  <c r="V1738" i="1"/>
  <c r="V1746" i="1"/>
  <c r="V1754" i="1"/>
  <c r="V1762" i="1"/>
  <c r="V1770" i="1"/>
  <c r="V1778" i="1"/>
  <c r="V1786" i="1"/>
  <c r="V1794" i="1"/>
  <c r="V1802" i="1"/>
  <c r="V1810" i="1"/>
  <c r="V1818" i="1"/>
  <c r="V1826" i="1"/>
  <c r="V1834" i="1"/>
  <c r="V1842" i="1"/>
  <c r="V1850" i="1"/>
  <c r="V1858" i="1"/>
  <c r="V1530" i="1"/>
  <c r="V1658" i="1"/>
  <c r="V1722" i="1"/>
  <c r="W1738" i="1"/>
  <c r="U1739" i="1"/>
  <c r="W1746" i="1"/>
  <c r="U1747" i="1"/>
  <c r="W1754" i="1"/>
  <c r="U1755" i="1"/>
  <c r="W1762" i="1"/>
  <c r="U1763" i="1"/>
  <c r="W1770" i="1"/>
  <c r="U1771" i="1"/>
  <c r="W1778" i="1"/>
  <c r="U1779" i="1"/>
  <c r="W1786" i="1"/>
  <c r="U1787" i="1"/>
  <c r="W1794" i="1"/>
  <c r="U1795" i="1"/>
  <c r="W1802" i="1"/>
  <c r="U1803" i="1"/>
  <c r="W1810" i="1"/>
  <c r="U1811" i="1"/>
  <c r="W1818" i="1"/>
  <c r="U1819" i="1"/>
  <c r="W1826" i="1"/>
  <c r="U1827" i="1"/>
  <c r="W1834" i="1"/>
  <c r="U1835" i="1"/>
  <c r="W1842" i="1"/>
  <c r="U1843" i="1"/>
  <c r="W1850" i="1"/>
  <c r="U1851" i="1"/>
  <c r="W1858" i="1"/>
  <c r="U1859" i="1"/>
  <c r="U1651" i="1"/>
  <c r="W1658" i="1"/>
  <c r="U1715" i="1"/>
  <c r="W1722" i="1"/>
  <c r="W1729" i="1"/>
  <c r="V1739" i="1"/>
  <c r="V1747" i="1"/>
  <c r="V1755" i="1"/>
  <c r="V1763" i="1"/>
  <c r="V1771" i="1"/>
  <c r="V1779" i="1"/>
  <c r="V1787" i="1"/>
  <c r="V1795" i="1"/>
  <c r="V1803" i="1"/>
  <c r="V1811" i="1"/>
  <c r="V1819" i="1"/>
  <c r="V1827" i="1"/>
  <c r="V1835" i="1"/>
  <c r="V1843" i="1"/>
  <c r="V1851" i="1"/>
  <c r="V1859" i="1"/>
  <c r="W1497" i="1"/>
  <c r="W1609" i="1"/>
  <c r="V1666" i="1"/>
  <c r="W1739" i="1"/>
  <c r="U1740" i="1"/>
  <c r="W1747" i="1"/>
  <c r="U1748" i="1"/>
  <c r="W1755" i="1"/>
  <c r="U1756" i="1"/>
  <c r="W1763" i="1"/>
  <c r="U1764" i="1"/>
  <c r="W1771" i="1"/>
  <c r="U1772" i="1"/>
  <c r="W1779" i="1"/>
  <c r="U1780" i="1"/>
  <c r="W1787" i="1"/>
  <c r="U1788" i="1"/>
  <c r="W1795" i="1"/>
  <c r="U1796" i="1"/>
  <c r="W1803" i="1"/>
  <c r="U1804" i="1"/>
  <c r="W1811" i="1"/>
  <c r="U1812" i="1"/>
  <c r="W1819" i="1"/>
  <c r="U1820" i="1"/>
  <c r="W1827" i="1"/>
  <c r="U1828" i="1"/>
  <c r="W1835" i="1"/>
  <c r="U1836" i="1"/>
  <c r="W1843" i="1"/>
  <c r="U1844" i="1"/>
  <c r="W1851" i="1"/>
  <c r="U1852" i="1"/>
  <c r="W1859" i="1"/>
  <c r="U1860" i="1"/>
  <c r="U1659" i="1"/>
  <c r="W1666" i="1"/>
  <c r="U1723" i="1"/>
  <c r="V1740" i="1"/>
  <c r="V1748" i="1"/>
  <c r="V1756" i="1"/>
  <c r="V1764" i="1"/>
  <c r="V1772" i="1"/>
  <c r="V1780" i="1"/>
  <c r="V1788" i="1"/>
  <c r="V1796" i="1"/>
  <c r="V1804" i="1"/>
  <c r="V1812" i="1"/>
  <c r="V1820" i="1"/>
  <c r="V1828" i="1"/>
  <c r="V1836" i="1"/>
  <c r="V1844" i="1"/>
  <c r="V1852" i="1"/>
  <c r="V1610" i="1"/>
  <c r="V1674" i="1"/>
  <c r="U1733" i="1"/>
  <c r="W1740" i="1"/>
  <c r="U1741" i="1"/>
  <c r="W1748" i="1"/>
  <c r="U1749" i="1"/>
  <c r="W1756" i="1"/>
  <c r="U1757" i="1"/>
  <c r="W1764" i="1"/>
  <c r="U1765" i="1"/>
  <c r="W1772" i="1"/>
  <c r="U1773" i="1"/>
  <c r="W1780" i="1"/>
  <c r="U1781" i="1"/>
  <c r="W1788" i="1"/>
  <c r="U1789" i="1"/>
  <c r="W1796" i="1"/>
  <c r="U1797" i="1"/>
  <c r="W1804" i="1"/>
  <c r="U1805" i="1"/>
  <c r="W1812" i="1"/>
  <c r="U1813" i="1"/>
  <c r="W1820" i="1"/>
  <c r="U1821" i="1"/>
  <c r="W1828" i="1"/>
  <c r="U1829" i="1"/>
  <c r="W1836" i="1"/>
  <c r="U1837" i="1"/>
  <c r="W1844" i="1"/>
  <c r="U1845" i="1"/>
  <c r="W1852" i="1"/>
  <c r="U1853" i="1"/>
  <c r="W1860" i="1"/>
  <c r="U1861" i="1"/>
  <c r="U1578" i="1"/>
  <c r="W1610" i="1"/>
  <c r="U1667" i="1"/>
  <c r="W1674" i="1"/>
  <c r="U1730" i="1"/>
  <c r="V1733" i="1"/>
  <c r="V1741" i="1"/>
  <c r="V1749" i="1"/>
  <c r="V1757" i="1"/>
  <c r="V1765" i="1"/>
  <c r="V1773" i="1"/>
  <c r="V1781" i="1"/>
  <c r="V1789" i="1"/>
  <c r="V1797" i="1"/>
  <c r="V1805" i="1"/>
  <c r="V1813" i="1"/>
  <c r="V1821" i="1"/>
  <c r="V1829" i="1"/>
  <c r="V1837" i="1"/>
  <c r="V1845" i="1"/>
  <c r="V1853" i="1"/>
  <c r="V1861" i="1"/>
  <c r="V1545" i="1"/>
  <c r="W1781" i="1"/>
  <c r="W1790" i="1"/>
  <c r="V1814" i="1"/>
  <c r="U1838" i="1"/>
  <c r="U1847" i="1"/>
  <c r="W1866" i="1"/>
  <c r="U1867" i="1"/>
  <c r="W1874" i="1"/>
  <c r="U1875" i="1"/>
  <c r="W1882" i="1"/>
  <c r="U1883" i="1"/>
  <c r="W1890" i="1"/>
  <c r="U1891" i="1"/>
  <c r="W1898" i="1"/>
  <c r="U1899" i="1"/>
  <c r="W1906" i="1"/>
  <c r="U1907" i="1"/>
  <c r="W1914" i="1"/>
  <c r="U1915" i="1"/>
  <c r="W1922" i="1"/>
  <c r="U1923" i="1"/>
  <c r="W1930" i="1"/>
  <c r="U1931" i="1"/>
  <c r="W1938" i="1"/>
  <c r="U1939" i="1"/>
  <c r="W1946" i="1"/>
  <c r="U1947" i="1"/>
  <c r="W1954" i="1"/>
  <c r="U1955" i="1"/>
  <c r="W1962" i="1"/>
  <c r="U1963" i="1"/>
  <c r="W1970" i="1"/>
  <c r="U1971" i="1"/>
  <c r="W1978" i="1"/>
  <c r="U1979" i="1"/>
  <c r="W1986" i="1"/>
  <c r="U1987" i="1"/>
  <c r="U1675" i="1"/>
  <c r="U1734" i="1"/>
  <c r="U1743" i="1"/>
  <c r="W1805" i="1"/>
  <c r="W1814" i="1"/>
  <c r="V1838" i="1"/>
  <c r="V1867" i="1"/>
  <c r="V1875" i="1"/>
  <c r="V1883" i="1"/>
  <c r="V1891" i="1"/>
  <c r="V1899" i="1"/>
  <c r="V1907" i="1"/>
  <c r="V1915" i="1"/>
  <c r="V1923" i="1"/>
  <c r="V1931" i="1"/>
  <c r="V1939" i="1"/>
  <c r="V1947" i="1"/>
  <c r="V1955" i="1"/>
  <c r="V1963" i="1"/>
  <c r="V1971" i="1"/>
  <c r="V1979" i="1"/>
  <c r="V1987" i="1"/>
  <c r="V1734" i="1"/>
  <c r="U1758" i="1"/>
  <c r="U1767" i="1"/>
  <c r="W1829" i="1"/>
  <c r="W1838" i="1"/>
  <c r="W1861" i="1"/>
  <c r="W1867" i="1"/>
  <c r="U1868" i="1"/>
  <c r="W1875" i="1"/>
  <c r="U1876" i="1"/>
  <c r="W1883" i="1"/>
  <c r="U1884" i="1"/>
  <c r="W1891" i="1"/>
  <c r="U1892" i="1"/>
  <c r="W1899" i="1"/>
  <c r="U1900" i="1"/>
  <c r="W1907" i="1"/>
  <c r="U1908" i="1"/>
  <c r="W1915" i="1"/>
  <c r="U1916" i="1"/>
  <c r="W1923" i="1"/>
  <c r="U1924" i="1"/>
  <c r="W1931" i="1"/>
  <c r="U1932" i="1"/>
  <c r="W1939" i="1"/>
  <c r="U1940" i="1"/>
  <c r="W1947" i="1"/>
  <c r="U1948" i="1"/>
  <c r="W1955" i="1"/>
  <c r="U1956" i="1"/>
  <c r="W1963" i="1"/>
  <c r="U1964" i="1"/>
  <c r="W1971" i="1"/>
  <c r="U1972" i="1"/>
  <c r="W1979" i="1"/>
  <c r="U1980" i="1"/>
  <c r="W1987" i="1"/>
  <c r="V1682" i="1"/>
  <c r="W1734" i="1"/>
  <c r="V1758" i="1"/>
  <c r="U1782" i="1"/>
  <c r="U1791" i="1"/>
  <c r="W1853" i="1"/>
  <c r="V1868" i="1"/>
  <c r="V1876" i="1"/>
  <c r="V1884" i="1"/>
  <c r="V1892" i="1"/>
  <c r="V1900" i="1"/>
  <c r="V1908" i="1"/>
  <c r="V1916" i="1"/>
  <c r="V1924" i="1"/>
  <c r="V1932" i="1"/>
  <c r="V1940" i="1"/>
  <c r="V1948" i="1"/>
  <c r="V1956" i="1"/>
  <c r="V1964" i="1"/>
  <c r="V1972" i="1"/>
  <c r="V1980" i="1"/>
  <c r="W1682" i="1"/>
  <c r="W1749" i="1"/>
  <c r="W1758" i="1"/>
  <c r="V1782" i="1"/>
  <c r="U1806" i="1"/>
  <c r="U1815" i="1"/>
  <c r="W1868" i="1"/>
  <c r="U1869" i="1"/>
  <c r="W1876" i="1"/>
  <c r="U1877" i="1"/>
  <c r="W1884" i="1"/>
  <c r="U1885" i="1"/>
  <c r="W1892" i="1"/>
  <c r="U1893" i="1"/>
  <c r="W1900" i="1"/>
  <c r="U1901" i="1"/>
  <c r="W1908" i="1"/>
  <c r="U1909" i="1"/>
  <c r="W1916" i="1"/>
  <c r="U1917" i="1"/>
  <c r="W1924" i="1"/>
  <c r="U1925" i="1"/>
  <c r="W1932" i="1"/>
  <c r="U1933" i="1"/>
  <c r="W1940" i="1"/>
  <c r="U1941" i="1"/>
  <c r="W1948" i="1"/>
  <c r="U1949" i="1"/>
  <c r="W1956" i="1"/>
  <c r="U1957" i="1"/>
  <c r="W1964" i="1"/>
  <c r="U1965" i="1"/>
  <c r="W1972" i="1"/>
  <c r="U1973" i="1"/>
  <c r="W1980" i="1"/>
  <c r="U1981" i="1"/>
  <c r="W1773" i="1"/>
  <c r="W1782" i="1"/>
  <c r="V1806" i="1"/>
  <c r="U1830" i="1"/>
  <c r="U1839" i="1"/>
  <c r="V1869" i="1"/>
  <c r="V1877" i="1"/>
  <c r="V1885" i="1"/>
  <c r="V1893" i="1"/>
  <c r="V1901" i="1"/>
  <c r="V1909" i="1"/>
  <c r="V1917" i="1"/>
  <c r="V1925" i="1"/>
  <c r="V1933" i="1"/>
  <c r="V1941" i="1"/>
  <c r="V1949" i="1"/>
  <c r="V1957" i="1"/>
  <c r="V1965" i="1"/>
  <c r="V1973" i="1"/>
  <c r="V1981" i="1"/>
  <c r="U1611" i="1"/>
  <c r="U1735" i="1"/>
  <c r="W1797" i="1"/>
  <c r="W1806" i="1"/>
  <c r="V1830" i="1"/>
  <c r="U1854" i="1"/>
  <c r="U1862" i="1"/>
  <c r="W1869" i="1"/>
  <c r="U1870" i="1"/>
  <c r="W1877" i="1"/>
  <c r="U1878" i="1"/>
  <c r="W1885" i="1"/>
  <c r="U1886" i="1"/>
  <c r="W1893" i="1"/>
  <c r="U1894" i="1"/>
  <c r="W1901" i="1"/>
  <c r="U1902" i="1"/>
  <c r="W1909" i="1"/>
  <c r="U1910" i="1"/>
  <c r="W1917" i="1"/>
  <c r="U1918" i="1"/>
  <c r="W1925" i="1"/>
  <c r="U1926" i="1"/>
  <c r="W1933" i="1"/>
  <c r="U1934" i="1"/>
  <c r="W1941" i="1"/>
  <c r="U1942" i="1"/>
  <c r="W1949" i="1"/>
  <c r="U1950" i="1"/>
  <c r="W1957" i="1"/>
  <c r="U1958" i="1"/>
  <c r="W1965" i="1"/>
  <c r="U1966" i="1"/>
  <c r="W1973" i="1"/>
  <c r="U1974" i="1"/>
  <c r="W1981" i="1"/>
  <c r="U1982" i="1"/>
  <c r="U1750" i="1"/>
  <c r="U1759" i="1"/>
  <c r="W1821" i="1"/>
  <c r="W1830" i="1"/>
  <c r="V1854" i="1"/>
  <c r="V1862" i="1"/>
  <c r="V1870" i="1"/>
  <c r="V1878" i="1"/>
  <c r="V1886" i="1"/>
  <c r="V1894" i="1"/>
  <c r="V1902" i="1"/>
  <c r="V1910" i="1"/>
  <c r="V1918" i="1"/>
  <c r="V1926" i="1"/>
  <c r="V1934" i="1"/>
  <c r="V1942" i="1"/>
  <c r="V1950" i="1"/>
  <c r="V1958" i="1"/>
  <c r="V1966" i="1"/>
  <c r="V1974" i="1"/>
  <c r="V1982" i="1"/>
  <c r="V1618" i="1"/>
  <c r="V1690" i="1"/>
  <c r="V1730" i="1"/>
  <c r="V1750" i="1"/>
  <c r="U1774" i="1"/>
  <c r="U1783" i="1"/>
  <c r="W1845" i="1"/>
  <c r="W1854" i="1"/>
  <c r="W1862" i="1"/>
  <c r="W1870" i="1"/>
  <c r="U1871" i="1"/>
  <c r="W1878" i="1"/>
  <c r="U1879" i="1"/>
  <c r="W1886" i="1"/>
  <c r="U1887" i="1"/>
  <c r="W1894" i="1"/>
  <c r="U1895" i="1"/>
  <c r="W1902" i="1"/>
  <c r="U1903" i="1"/>
  <c r="W1910" i="1"/>
  <c r="U1911" i="1"/>
  <c r="W1918" i="1"/>
  <c r="U1919" i="1"/>
  <c r="W1926" i="1"/>
  <c r="U1927" i="1"/>
  <c r="W1934" i="1"/>
  <c r="U1935" i="1"/>
  <c r="W1942" i="1"/>
  <c r="U1943" i="1"/>
  <c r="W1950" i="1"/>
  <c r="U1951" i="1"/>
  <c r="W1958" i="1"/>
  <c r="U1959" i="1"/>
  <c r="W1966" i="1"/>
  <c r="U1967" i="1"/>
  <c r="W1974" i="1"/>
  <c r="U1975" i="1"/>
  <c r="W1982" i="1"/>
  <c r="U1983" i="1"/>
  <c r="W1618" i="1"/>
  <c r="W1730" i="1"/>
  <c r="W1741" i="1"/>
  <c r="W1750" i="1"/>
  <c r="V1774" i="1"/>
  <c r="U1798" i="1"/>
  <c r="U1807" i="1"/>
  <c r="V1871" i="1"/>
  <c r="V1879" i="1"/>
  <c r="V1887" i="1"/>
  <c r="V1895" i="1"/>
  <c r="V1903" i="1"/>
  <c r="V1911" i="1"/>
  <c r="V1919" i="1"/>
  <c r="V1927" i="1"/>
  <c r="V1935" i="1"/>
  <c r="V1943" i="1"/>
  <c r="V1951" i="1"/>
  <c r="V1959" i="1"/>
  <c r="V1967" i="1"/>
  <c r="V1975" i="1"/>
  <c r="V1983" i="1"/>
  <c r="W1765" i="1"/>
  <c r="W1774" i="1"/>
  <c r="V1798" i="1"/>
  <c r="U1822" i="1"/>
  <c r="U1831" i="1"/>
  <c r="W1871" i="1"/>
  <c r="U1872" i="1"/>
  <c r="W1879" i="1"/>
  <c r="U1880" i="1"/>
  <c r="W1887" i="1"/>
  <c r="U1888" i="1"/>
  <c r="W1895" i="1"/>
  <c r="U1896" i="1"/>
  <c r="W1903" i="1"/>
  <c r="U1904" i="1"/>
  <c r="W1911" i="1"/>
  <c r="U1912" i="1"/>
  <c r="W1919" i="1"/>
  <c r="U1920" i="1"/>
  <c r="W1927" i="1"/>
  <c r="U1928" i="1"/>
  <c r="W1935" i="1"/>
  <c r="U1936" i="1"/>
  <c r="W1943" i="1"/>
  <c r="U1944" i="1"/>
  <c r="W1951" i="1"/>
  <c r="U1952" i="1"/>
  <c r="W1959" i="1"/>
  <c r="U1960" i="1"/>
  <c r="W1967" i="1"/>
  <c r="U1968" i="1"/>
  <c r="W1975" i="1"/>
  <c r="U1976" i="1"/>
  <c r="W1983" i="1"/>
  <c r="U1984" i="1"/>
  <c r="U1732" i="1"/>
  <c r="W1789" i="1"/>
  <c r="W1798" i="1"/>
  <c r="V1822" i="1"/>
  <c r="U1846" i="1"/>
  <c r="U1855" i="1"/>
  <c r="V1872" i="1"/>
  <c r="V1880" i="1"/>
  <c r="V1888" i="1"/>
  <c r="V1896" i="1"/>
  <c r="V1904" i="1"/>
  <c r="V1912" i="1"/>
  <c r="V1920" i="1"/>
  <c r="V1928" i="1"/>
  <c r="V1936" i="1"/>
  <c r="V1944" i="1"/>
  <c r="V1952" i="1"/>
  <c r="V1960" i="1"/>
  <c r="V1968" i="1"/>
  <c r="V1976" i="1"/>
  <c r="V1984" i="1"/>
  <c r="U1742" i="1"/>
  <c r="U1751" i="1"/>
  <c r="W1813" i="1"/>
  <c r="W1822" i="1"/>
  <c r="W1757" i="1"/>
  <c r="W1766" i="1"/>
  <c r="V1790" i="1"/>
  <c r="U1814" i="1"/>
  <c r="U1823" i="1"/>
  <c r="AG11" i="1"/>
  <c r="AG18" i="1"/>
  <c r="R23" i="1"/>
  <c r="S23" i="1"/>
  <c r="T23" i="1"/>
  <c r="U22" i="1"/>
  <c r="V22" i="1"/>
  <c r="W22" i="1"/>
  <c r="X21" i="1"/>
  <c r="Y20" i="1"/>
  <c r="Z19" i="1"/>
  <c r="AA19" i="1"/>
  <c r="AB19" i="1"/>
  <c r="AC19" i="1"/>
  <c r="AD18" i="1"/>
  <c r="AE15" i="1"/>
  <c r="AF12" i="1"/>
  <c r="AH13" i="1"/>
  <c r="AJ21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52" i="1"/>
  <c r="P368" i="1"/>
  <c r="P384" i="1"/>
  <c r="P400" i="1"/>
  <c r="P416" i="1"/>
  <c r="P432" i="1"/>
  <c r="P448" i="1"/>
  <c r="P464" i="1"/>
  <c r="P480" i="1"/>
  <c r="P496" i="1"/>
  <c r="P512" i="1"/>
  <c r="P528" i="1"/>
  <c r="P544" i="1"/>
  <c r="P560" i="1"/>
  <c r="P576" i="1"/>
  <c r="P592" i="1"/>
  <c r="P608" i="1"/>
  <c r="P624" i="1"/>
  <c r="P640" i="1"/>
  <c r="P656" i="1"/>
  <c r="P672" i="1"/>
  <c r="P688" i="1"/>
  <c r="P704" i="1"/>
  <c r="P720" i="1"/>
  <c r="P736" i="1"/>
  <c r="P752" i="1"/>
  <c r="P768" i="1"/>
  <c r="P784" i="1"/>
  <c r="P800" i="1"/>
  <c r="P816" i="1"/>
  <c r="P832" i="1"/>
  <c r="P848" i="1"/>
  <c r="P864" i="1"/>
  <c r="P880" i="1"/>
  <c r="P896" i="1"/>
  <c r="P912" i="1"/>
  <c r="P928" i="1"/>
  <c r="P944" i="1"/>
  <c r="P960" i="1"/>
  <c r="P976" i="1"/>
  <c r="P992" i="1"/>
  <c r="P1008" i="1"/>
  <c r="P1024" i="1"/>
  <c r="P1040" i="1"/>
  <c r="P1056" i="1"/>
  <c r="P1072" i="1"/>
  <c r="P1088" i="1"/>
  <c r="P1104" i="1"/>
  <c r="P1120" i="1"/>
  <c r="P1136" i="1"/>
  <c r="P1152" i="1"/>
  <c r="P1168" i="1"/>
  <c r="P1184" i="1"/>
  <c r="P1200" i="1"/>
  <c r="P1216" i="1"/>
  <c r="P1232" i="1"/>
  <c r="P1248" i="1"/>
  <c r="P1264" i="1"/>
  <c r="P1280" i="1"/>
  <c r="P1296" i="1"/>
  <c r="P1312" i="1"/>
  <c r="P1328" i="1"/>
  <c r="P1344" i="1"/>
  <c r="P1360" i="1"/>
  <c r="P1376" i="1"/>
  <c r="P1392" i="1"/>
  <c r="P1408" i="1"/>
  <c r="P1424" i="1"/>
  <c r="P1440" i="1"/>
  <c r="P1456" i="1"/>
  <c r="P1472" i="1"/>
  <c r="P1488" i="1"/>
  <c r="P1504" i="1"/>
  <c r="P1520" i="1"/>
  <c r="P1536" i="1"/>
  <c r="P1552" i="1"/>
  <c r="P1568" i="1"/>
  <c r="P1584" i="1"/>
  <c r="P1600" i="1"/>
  <c r="P1616" i="1"/>
  <c r="P1632" i="1"/>
  <c r="P1648" i="1"/>
  <c r="P1664" i="1"/>
  <c r="P1680" i="1"/>
  <c r="P1696" i="1"/>
  <c r="P1712" i="1"/>
  <c r="P1728" i="1"/>
  <c r="P1744" i="1"/>
  <c r="P1760" i="1"/>
  <c r="P1776" i="1"/>
  <c r="P1792" i="1"/>
  <c r="P1808" i="1"/>
  <c r="P1824" i="1"/>
  <c r="P1840" i="1"/>
  <c r="P1856" i="1"/>
  <c r="P1872" i="1"/>
  <c r="P1888" i="1"/>
  <c r="P1904" i="1"/>
  <c r="P1920" i="1"/>
  <c r="P1936" i="1"/>
  <c r="P1952" i="1"/>
  <c r="P1968" i="1"/>
  <c r="P1984" i="1"/>
  <c r="P2000" i="1"/>
  <c r="P2016" i="1"/>
  <c r="P2032" i="1"/>
  <c r="AE2044" i="1"/>
  <c r="AG2043" i="1"/>
  <c r="Q2043" i="1"/>
  <c r="S2042" i="1"/>
  <c r="U2041" i="1"/>
  <c r="W2040" i="1"/>
  <c r="Y2039" i="1"/>
  <c r="AA2038" i="1"/>
  <c r="AC2037" i="1"/>
  <c r="AE2036" i="1"/>
  <c r="AG2035" i="1"/>
  <c r="Q2035" i="1"/>
  <c r="S2034" i="1"/>
  <c r="U2033" i="1"/>
  <c r="W2032" i="1"/>
  <c r="Y2031" i="1"/>
  <c r="AA2030" i="1"/>
  <c r="AC2029" i="1"/>
  <c r="AE2028" i="1"/>
  <c r="AG2027" i="1"/>
  <c r="Q2027" i="1"/>
  <c r="S2026" i="1"/>
  <c r="U2025" i="1"/>
  <c r="W2024" i="1"/>
  <c r="Y2023" i="1"/>
  <c r="AA2022" i="1"/>
  <c r="AC2021" i="1"/>
  <c r="AE2020" i="1"/>
  <c r="AG2019" i="1"/>
  <c r="Q2019" i="1"/>
  <c r="S2018" i="1"/>
  <c r="U2017" i="1"/>
  <c r="W2016" i="1"/>
  <c r="Y2015" i="1"/>
  <c r="AA2014" i="1"/>
  <c r="AC2013" i="1"/>
  <c r="AE2012" i="1"/>
  <c r="AG2011" i="1"/>
  <c r="Q2011" i="1"/>
  <c r="S2010" i="1"/>
  <c r="U2009" i="1"/>
  <c r="W2008" i="1"/>
  <c r="Y2007" i="1"/>
  <c r="AA2006" i="1"/>
  <c r="AC2005" i="1"/>
  <c r="AE2004" i="1"/>
  <c r="AG2003" i="1"/>
  <c r="Q2003" i="1"/>
  <c r="S2002" i="1"/>
  <c r="U2001" i="1"/>
  <c r="W2000" i="1"/>
  <c r="Y1999" i="1"/>
  <c r="AA1998" i="1"/>
  <c r="AC1997" i="1"/>
  <c r="AE1996" i="1"/>
  <c r="AG1995" i="1"/>
  <c r="Q1995" i="1"/>
  <c r="S1994" i="1"/>
  <c r="U1993" i="1"/>
  <c r="W1992" i="1"/>
  <c r="Y1991" i="1"/>
  <c r="AA1990" i="1"/>
  <c r="AC1989" i="1"/>
  <c r="AE1988" i="1"/>
  <c r="AG1987" i="1"/>
  <c r="T1986" i="1"/>
  <c r="AD1982" i="1"/>
  <c r="T1979" i="1"/>
  <c r="AB1975" i="1"/>
  <c r="R1972" i="1"/>
  <c r="Z1968" i="1"/>
  <c r="AH1964" i="1"/>
  <c r="X1961" i="1"/>
  <c r="AF1957" i="1"/>
  <c r="V1954" i="1"/>
  <c r="AD1950" i="1"/>
  <c r="T1947" i="1"/>
  <c r="AB1943" i="1"/>
  <c r="R1940" i="1"/>
  <c r="Z1936" i="1"/>
  <c r="AH1932" i="1"/>
  <c r="X1929" i="1"/>
  <c r="AF1925" i="1"/>
  <c r="V1922" i="1"/>
  <c r="AD1918" i="1"/>
  <c r="T1915" i="1"/>
  <c r="AB1911" i="1"/>
  <c r="R1908" i="1"/>
  <c r="Z1904" i="1"/>
  <c r="AH1900" i="1"/>
  <c r="X1897" i="1"/>
  <c r="AF1893" i="1"/>
  <c r="V1890" i="1"/>
  <c r="AD1886" i="1"/>
  <c r="T1883" i="1"/>
  <c r="AB1879" i="1"/>
  <c r="R1876" i="1"/>
  <c r="Z1872" i="1"/>
  <c r="AH1868" i="1"/>
  <c r="W1865" i="1"/>
  <c r="W1846" i="1"/>
  <c r="AH1808" i="1"/>
  <c r="AE1770" i="1"/>
  <c r="W1733" i="1"/>
  <c r="AG2017" i="1"/>
  <c r="AG2001" i="1"/>
  <c r="AF11" i="1"/>
  <c r="AG17" i="1"/>
  <c r="R22" i="1"/>
  <c r="S22" i="1"/>
  <c r="T22" i="1"/>
  <c r="U21" i="1"/>
  <c r="V21" i="1"/>
  <c r="W21" i="1"/>
  <c r="X20" i="1"/>
  <c r="Y19" i="1"/>
  <c r="Z18" i="1"/>
  <c r="AA18" i="1"/>
  <c r="AB18" i="1"/>
  <c r="AC18" i="1"/>
  <c r="AD17" i="1"/>
  <c r="AE14" i="1"/>
  <c r="AF15" i="1"/>
  <c r="AH12" i="1"/>
  <c r="AJ20" i="1"/>
  <c r="P33" i="1"/>
  <c r="P49" i="1"/>
  <c r="P65" i="1"/>
  <c r="P81" i="1"/>
  <c r="P97" i="1"/>
  <c r="P113" i="1"/>
  <c r="P129" i="1"/>
  <c r="P145" i="1"/>
  <c r="P161" i="1"/>
  <c r="P177" i="1"/>
  <c r="P193" i="1"/>
  <c r="P209" i="1"/>
  <c r="P225" i="1"/>
  <c r="P241" i="1"/>
  <c r="P257" i="1"/>
  <c r="P273" i="1"/>
  <c r="P289" i="1"/>
  <c r="P305" i="1"/>
  <c r="P321" i="1"/>
  <c r="P337" i="1"/>
  <c r="P353" i="1"/>
  <c r="P369" i="1"/>
  <c r="P385" i="1"/>
  <c r="P401" i="1"/>
  <c r="P417" i="1"/>
  <c r="P433" i="1"/>
  <c r="P449" i="1"/>
  <c r="P465" i="1"/>
  <c r="P481" i="1"/>
  <c r="P497" i="1"/>
  <c r="P513" i="1"/>
  <c r="P529" i="1"/>
  <c r="P545" i="1"/>
  <c r="P561" i="1"/>
  <c r="P577" i="1"/>
  <c r="P593" i="1"/>
  <c r="P609" i="1"/>
  <c r="P625" i="1"/>
  <c r="P641" i="1"/>
  <c r="P657" i="1"/>
  <c r="P673" i="1"/>
  <c r="P689" i="1"/>
  <c r="P705" i="1"/>
  <c r="P721" i="1"/>
  <c r="P737" i="1"/>
  <c r="P753" i="1"/>
  <c r="P769" i="1"/>
  <c r="P785" i="1"/>
  <c r="P801" i="1"/>
  <c r="P817" i="1"/>
  <c r="P833" i="1"/>
  <c r="P849" i="1"/>
  <c r="P865" i="1"/>
  <c r="P881" i="1"/>
  <c r="P897" i="1"/>
  <c r="P913" i="1"/>
  <c r="P929" i="1"/>
  <c r="P945" i="1"/>
  <c r="P961" i="1"/>
  <c r="P977" i="1"/>
  <c r="P993" i="1"/>
  <c r="P1009" i="1"/>
  <c r="P1025" i="1"/>
  <c r="P1041" i="1"/>
  <c r="P1057" i="1"/>
  <c r="P1073" i="1"/>
  <c r="P1089" i="1"/>
  <c r="P1105" i="1"/>
  <c r="P1121" i="1"/>
  <c r="P1137" i="1"/>
  <c r="P1153" i="1"/>
  <c r="P1169" i="1"/>
  <c r="P1185" i="1"/>
  <c r="P1201" i="1"/>
  <c r="P1217" i="1"/>
  <c r="P1233" i="1"/>
  <c r="P1249" i="1"/>
  <c r="P1265" i="1"/>
  <c r="P1281" i="1"/>
  <c r="P1297" i="1"/>
  <c r="P1313" i="1"/>
  <c r="P1329" i="1"/>
  <c r="P1345" i="1"/>
  <c r="P1361" i="1"/>
  <c r="P1377" i="1"/>
  <c r="P1393" i="1"/>
  <c r="P1409" i="1"/>
  <c r="P1425" i="1"/>
  <c r="P1441" i="1"/>
  <c r="P1457" i="1"/>
  <c r="P1473" i="1"/>
  <c r="P1489" i="1"/>
  <c r="P1505" i="1"/>
  <c r="P1521" i="1"/>
  <c r="P1537" i="1"/>
  <c r="P1553" i="1"/>
  <c r="P1569" i="1"/>
  <c r="P1585" i="1"/>
  <c r="P1601" i="1"/>
  <c r="P1617" i="1"/>
  <c r="P1633" i="1"/>
  <c r="P1649" i="1"/>
  <c r="P1665" i="1"/>
  <c r="P1681" i="1"/>
  <c r="P1697" i="1"/>
  <c r="P1713" i="1"/>
  <c r="P1729" i="1"/>
  <c r="P1745" i="1"/>
  <c r="P1761" i="1"/>
  <c r="P1777" i="1"/>
  <c r="P1793" i="1"/>
  <c r="P1809" i="1"/>
  <c r="P1825" i="1"/>
  <c r="P1841" i="1"/>
  <c r="P1857" i="1"/>
  <c r="P1873" i="1"/>
  <c r="P1889" i="1"/>
  <c r="P1905" i="1"/>
  <c r="P1921" i="1"/>
  <c r="P1937" i="1"/>
  <c r="P1953" i="1"/>
  <c r="P1969" i="1"/>
  <c r="P1985" i="1"/>
  <c r="P2001" i="1"/>
  <c r="P2017" i="1"/>
  <c r="P2033" i="1"/>
  <c r="AD2044" i="1"/>
  <c r="AF2043" i="1"/>
  <c r="AH2042" i="1"/>
  <c r="R2042" i="1"/>
  <c r="T2041" i="1"/>
  <c r="V2040" i="1"/>
  <c r="X2039" i="1"/>
  <c r="Z2038" i="1"/>
  <c r="AB2037" i="1"/>
  <c r="AD2036" i="1"/>
  <c r="AF2035" i="1"/>
  <c r="AH2034" i="1"/>
  <c r="R2034" i="1"/>
  <c r="T2033" i="1"/>
  <c r="V2032" i="1"/>
  <c r="X2031" i="1"/>
  <c r="Z2030" i="1"/>
  <c r="AB2029" i="1"/>
  <c r="AD2028" i="1"/>
  <c r="AF2027" i="1"/>
  <c r="AH2026" i="1"/>
  <c r="R2026" i="1"/>
  <c r="T2025" i="1"/>
  <c r="V2024" i="1"/>
  <c r="X2023" i="1"/>
  <c r="Z2022" i="1"/>
  <c r="AB2021" i="1"/>
  <c r="AD2020" i="1"/>
  <c r="AF2019" i="1"/>
  <c r="AH2018" i="1"/>
  <c r="R2018" i="1"/>
  <c r="T2017" i="1"/>
  <c r="V2016" i="1"/>
  <c r="X2015" i="1"/>
  <c r="Z2014" i="1"/>
  <c r="AB2013" i="1"/>
  <c r="AD2012" i="1"/>
  <c r="AF2011" i="1"/>
  <c r="AH2010" i="1"/>
  <c r="R2010" i="1"/>
  <c r="T2009" i="1"/>
  <c r="V2008" i="1"/>
  <c r="X2007" i="1"/>
  <c r="Z2006" i="1"/>
  <c r="AB2005" i="1"/>
  <c r="AD2004" i="1"/>
  <c r="AF2003" i="1"/>
  <c r="AH2002" i="1"/>
  <c r="R2002" i="1"/>
  <c r="T2001" i="1"/>
  <c r="V2000" i="1"/>
  <c r="X1999" i="1"/>
  <c r="Z1998" i="1"/>
  <c r="AB1997" i="1"/>
  <c r="AD1996" i="1"/>
  <c r="AF1995" i="1"/>
  <c r="AH1994" i="1"/>
  <c r="R1994" i="1"/>
  <c r="T1993" i="1"/>
  <c r="V1992" i="1"/>
  <c r="X1991" i="1"/>
  <c r="Z1990" i="1"/>
  <c r="AB1989" i="1"/>
  <c r="AD1988" i="1"/>
  <c r="AF1987" i="1"/>
  <c r="S1986" i="1"/>
  <c r="AC1982" i="1"/>
  <c r="S1979" i="1"/>
  <c r="AA1975" i="1"/>
  <c r="Q1972" i="1"/>
  <c r="Y1968" i="1"/>
  <c r="AG1964" i="1"/>
  <c r="W1961" i="1"/>
  <c r="AE1957" i="1"/>
  <c r="U1954" i="1"/>
  <c r="AC1950" i="1"/>
  <c r="S1947" i="1"/>
  <c r="AA1943" i="1"/>
  <c r="Q1940" i="1"/>
  <c r="Y1936" i="1"/>
  <c r="AG1932" i="1"/>
  <c r="W1929" i="1"/>
  <c r="AE1925" i="1"/>
  <c r="U1922" i="1"/>
  <c r="AC1918" i="1"/>
  <c r="S1915" i="1"/>
  <c r="AA1911" i="1"/>
  <c r="Q1908" i="1"/>
  <c r="Y1904" i="1"/>
  <c r="AG1900" i="1"/>
  <c r="W1897" i="1"/>
  <c r="AE1893" i="1"/>
  <c r="U1890" i="1"/>
  <c r="AC1886" i="1"/>
  <c r="S1883" i="1"/>
  <c r="AA1879" i="1"/>
  <c r="Q1876" i="1"/>
  <c r="Y1872" i="1"/>
  <c r="AG1868" i="1"/>
  <c r="V1865" i="1"/>
  <c r="V1846" i="1"/>
  <c r="AG1808" i="1"/>
  <c r="AD1770" i="1"/>
  <c r="AA1732" i="1"/>
  <c r="AD11" i="1"/>
  <c r="AG16" i="1"/>
  <c r="R21" i="1"/>
  <c r="S21" i="1"/>
  <c r="T21" i="1"/>
  <c r="U20" i="1"/>
  <c r="V20" i="1"/>
  <c r="W20" i="1"/>
  <c r="X19" i="1"/>
  <c r="Y18" i="1"/>
  <c r="Z17" i="1"/>
  <c r="AA17" i="1"/>
  <c r="AB17" i="1"/>
  <c r="AC17" i="1"/>
  <c r="AD16" i="1"/>
  <c r="AE13" i="1"/>
  <c r="AH11" i="1"/>
  <c r="AI11" i="1"/>
  <c r="AJ19" i="1"/>
  <c r="P34" i="1"/>
  <c r="P50" i="1"/>
  <c r="P66" i="1"/>
  <c r="P82" i="1"/>
  <c r="P98" i="1"/>
  <c r="P114" i="1"/>
  <c r="P130" i="1"/>
  <c r="P146" i="1"/>
  <c r="P162" i="1"/>
  <c r="P178" i="1"/>
  <c r="P194" i="1"/>
  <c r="P210" i="1"/>
  <c r="P226" i="1"/>
  <c r="P242" i="1"/>
  <c r="P258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P514" i="1"/>
  <c r="P530" i="1"/>
  <c r="P546" i="1"/>
  <c r="P562" i="1"/>
  <c r="P578" i="1"/>
  <c r="P594" i="1"/>
  <c r="P610" i="1"/>
  <c r="P626" i="1"/>
  <c r="P642" i="1"/>
  <c r="P658" i="1"/>
  <c r="P674" i="1"/>
  <c r="P690" i="1"/>
  <c r="P706" i="1"/>
  <c r="P722" i="1"/>
  <c r="P738" i="1"/>
  <c r="P754" i="1"/>
  <c r="P770" i="1"/>
  <c r="P786" i="1"/>
  <c r="P802" i="1"/>
  <c r="P818" i="1"/>
  <c r="P834" i="1"/>
  <c r="P850" i="1"/>
  <c r="P866" i="1"/>
  <c r="P882" i="1"/>
  <c r="P898" i="1"/>
  <c r="P914" i="1"/>
  <c r="P930" i="1"/>
  <c r="P946" i="1"/>
  <c r="P962" i="1"/>
  <c r="P978" i="1"/>
  <c r="P994" i="1"/>
  <c r="P1010" i="1"/>
  <c r="P1026" i="1"/>
  <c r="P1042" i="1"/>
  <c r="P1058" i="1"/>
  <c r="P1074" i="1"/>
  <c r="P1090" i="1"/>
  <c r="P1106" i="1"/>
  <c r="P1122" i="1"/>
  <c r="P1138" i="1"/>
  <c r="P1154" i="1"/>
  <c r="P1170" i="1"/>
  <c r="P1186" i="1"/>
  <c r="P1202" i="1"/>
  <c r="P1218" i="1"/>
  <c r="P1234" i="1"/>
  <c r="P1250" i="1"/>
  <c r="P1266" i="1"/>
  <c r="P1282" i="1"/>
  <c r="P1298" i="1"/>
  <c r="P1314" i="1"/>
  <c r="P1330" i="1"/>
  <c r="P1346" i="1"/>
  <c r="P1362" i="1"/>
  <c r="P1378" i="1"/>
  <c r="P1394" i="1"/>
  <c r="P1410" i="1"/>
  <c r="P1426" i="1"/>
  <c r="P1442" i="1"/>
  <c r="P1458" i="1"/>
  <c r="P1474" i="1"/>
  <c r="P1490" i="1"/>
  <c r="P1506" i="1"/>
  <c r="P1522" i="1"/>
  <c r="P1538" i="1"/>
  <c r="P1554" i="1"/>
  <c r="P1570" i="1"/>
  <c r="P1586" i="1"/>
  <c r="P1602" i="1"/>
  <c r="P1618" i="1"/>
  <c r="P1634" i="1"/>
  <c r="P1650" i="1"/>
  <c r="P1666" i="1"/>
  <c r="P1682" i="1"/>
  <c r="P1698" i="1"/>
  <c r="P1714" i="1"/>
  <c r="P1730" i="1"/>
  <c r="P1746" i="1"/>
  <c r="P1762" i="1"/>
  <c r="P1778" i="1"/>
  <c r="P1794" i="1"/>
  <c r="P1810" i="1"/>
  <c r="P1826" i="1"/>
  <c r="P1842" i="1"/>
  <c r="P1858" i="1"/>
  <c r="P1874" i="1"/>
  <c r="P1890" i="1"/>
  <c r="P1906" i="1"/>
  <c r="P1922" i="1"/>
  <c r="P1938" i="1"/>
  <c r="P1954" i="1"/>
  <c r="P1970" i="1"/>
  <c r="P1986" i="1"/>
  <c r="P2002" i="1"/>
  <c r="P2018" i="1"/>
  <c r="P2034" i="1"/>
  <c r="AC2044" i="1"/>
  <c r="AE2043" i="1"/>
  <c r="AG2042" i="1"/>
  <c r="Q2042" i="1"/>
  <c r="S2041" i="1"/>
  <c r="U2040" i="1"/>
  <c r="W2039" i="1"/>
  <c r="Y2038" i="1"/>
  <c r="AA2037" i="1"/>
  <c r="AC2036" i="1"/>
  <c r="AE2035" i="1"/>
  <c r="AG2034" i="1"/>
  <c r="Q2034" i="1"/>
  <c r="S2033" i="1"/>
  <c r="U2032" i="1"/>
  <c r="W2031" i="1"/>
  <c r="Y2030" i="1"/>
  <c r="AA2029" i="1"/>
  <c r="AC2028" i="1"/>
  <c r="AE2027" i="1"/>
  <c r="AG2026" i="1"/>
  <c r="Q2026" i="1"/>
  <c r="S2025" i="1"/>
  <c r="U2024" i="1"/>
  <c r="W2023" i="1"/>
  <c r="Y2022" i="1"/>
  <c r="AA2021" i="1"/>
  <c r="AC2020" i="1"/>
  <c r="AE2019" i="1"/>
  <c r="AG2018" i="1"/>
  <c r="Q2018" i="1"/>
  <c r="S2017" i="1"/>
  <c r="U2016" i="1"/>
  <c r="W2015" i="1"/>
  <c r="Y2014" i="1"/>
  <c r="AA2013" i="1"/>
  <c r="AC2012" i="1"/>
  <c r="AE2011" i="1"/>
  <c r="AG2010" i="1"/>
  <c r="Q2010" i="1"/>
  <c r="S2009" i="1"/>
  <c r="U2008" i="1"/>
  <c r="W2007" i="1"/>
  <c r="Y2006" i="1"/>
  <c r="AA2005" i="1"/>
  <c r="AC2004" i="1"/>
  <c r="AE2003" i="1"/>
  <c r="AG2002" i="1"/>
  <c r="Q2002" i="1"/>
  <c r="S2001" i="1"/>
  <c r="U2000" i="1"/>
  <c r="W1999" i="1"/>
  <c r="Y1998" i="1"/>
  <c r="AA1997" i="1"/>
  <c r="AC1996" i="1"/>
  <c r="AE1995" i="1"/>
  <c r="AG1994" i="1"/>
  <c r="Q1994" i="1"/>
  <c r="S1993" i="1"/>
  <c r="U1992" i="1"/>
  <c r="W1991" i="1"/>
  <c r="Y1990" i="1"/>
  <c r="AA1989" i="1"/>
  <c r="AC1988" i="1"/>
  <c r="AE1987" i="1"/>
  <c r="AD1985" i="1"/>
  <c r="AB1982" i="1"/>
  <c r="R1979" i="1"/>
  <c r="Z1975" i="1"/>
  <c r="AH1971" i="1"/>
  <c r="X1968" i="1"/>
  <c r="AF1964" i="1"/>
  <c r="V1961" i="1"/>
  <c r="AD1957" i="1"/>
  <c r="T1954" i="1"/>
  <c r="AB1950" i="1"/>
  <c r="R1947" i="1"/>
  <c r="Z1943" i="1"/>
  <c r="AH1939" i="1"/>
  <c r="X1936" i="1"/>
  <c r="AF1932" i="1"/>
  <c r="V1929" i="1"/>
  <c r="AD1925" i="1"/>
  <c r="T1922" i="1"/>
  <c r="AB1918" i="1"/>
  <c r="R1915" i="1"/>
  <c r="Z1911" i="1"/>
  <c r="AH1907" i="1"/>
  <c r="X1904" i="1"/>
  <c r="AF1900" i="1"/>
  <c r="V1897" i="1"/>
  <c r="AD1893" i="1"/>
  <c r="T1890" i="1"/>
  <c r="AB1886" i="1"/>
  <c r="R1883" i="1"/>
  <c r="Z1879" i="1"/>
  <c r="AH1875" i="1"/>
  <c r="X1872" i="1"/>
  <c r="AF1868" i="1"/>
  <c r="U1865" i="1"/>
  <c r="AG1841" i="1"/>
  <c r="Y1804" i="1"/>
  <c r="V1766" i="1"/>
  <c r="Z1704" i="1"/>
  <c r="W1913" i="2"/>
  <c r="W1673" i="2"/>
  <c r="W1609" i="2"/>
  <c r="W1561" i="2"/>
  <c r="W1337" i="2"/>
  <c r="W1193" i="2"/>
  <c r="W1113" i="2"/>
  <c r="W1097" i="2"/>
  <c r="X490" i="2"/>
  <c r="Y490" i="2" s="1"/>
  <c r="X202" i="2"/>
  <c r="Y202" i="2" s="1"/>
  <c r="W2029" i="2"/>
  <c r="W1980" i="2"/>
  <c r="W1900" i="2"/>
  <c r="W1388" i="2"/>
  <c r="X1133" i="2"/>
  <c r="Y1133" i="2" s="1"/>
  <c r="X717" i="2"/>
  <c r="Y717" i="2" s="1"/>
  <c r="W492" i="2"/>
  <c r="X220" i="2"/>
  <c r="Y220" i="2" s="1"/>
  <c r="X1076" i="2"/>
  <c r="Y1076" i="2" s="1"/>
  <c r="W2015" i="2"/>
  <c r="W1935" i="2"/>
  <c r="W1903" i="2"/>
  <c r="W1263" i="2"/>
  <c r="X336" i="2"/>
  <c r="Y336" i="2" s="1"/>
  <c r="W1730" i="2"/>
  <c r="W1458" i="2"/>
  <c r="W1426" i="2"/>
  <c r="X1283" i="2"/>
  <c r="Y1283" i="2" s="1"/>
  <c r="X1170" i="2"/>
  <c r="Y1170" i="2" s="1"/>
  <c r="W2023" i="2"/>
  <c r="W1896" i="2"/>
  <c r="W1864" i="2"/>
  <c r="W1848" i="2"/>
  <c r="W1800" i="2"/>
  <c r="W1768" i="2"/>
  <c r="W1656" i="2"/>
  <c r="W1528" i="2"/>
  <c r="X1321" i="2"/>
  <c r="Y1321" i="2" s="1"/>
  <c r="X952" i="2"/>
  <c r="Y952" i="2" s="1"/>
  <c r="X634" i="2"/>
  <c r="Y634" i="2" s="1"/>
  <c r="X264" i="2"/>
  <c r="Y264" i="2" s="1"/>
  <c r="X168" i="2"/>
  <c r="Y168" i="2" s="1"/>
  <c r="X136" i="2"/>
  <c r="Y136" i="2" s="1"/>
  <c r="X40" i="2"/>
  <c r="Y40" i="2" s="1"/>
  <c r="W1899" i="2"/>
  <c r="W1883" i="2"/>
  <c r="W1867" i="2"/>
  <c r="W1787" i="2"/>
  <c r="X1212" i="2"/>
  <c r="Y1212" i="2" s="1"/>
  <c r="X1148" i="2"/>
  <c r="Y1148" i="2" s="1"/>
  <c r="W1131" i="2"/>
  <c r="W2001" i="2"/>
  <c r="W1921" i="2"/>
  <c r="W1841" i="2"/>
  <c r="W1825" i="2"/>
  <c r="W1409" i="2"/>
  <c r="X594" i="2"/>
  <c r="Y594" i="2" s="1"/>
  <c r="X356" i="2"/>
  <c r="Y356" i="2" s="1"/>
  <c r="W2024" i="2"/>
  <c r="W1992" i="2"/>
  <c r="W1975" i="2"/>
  <c r="W1943" i="2"/>
  <c r="W1927" i="2"/>
  <c r="W1912" i="2"/>
  <c r="W1871" i="2"/>
  <c r="W1815" i="2"/>
  <c r="W1796" i="2"/>
  <c r="W1720" i="2"/>
  <c r="X1383" i="2"/>
  <c r="Y1383" i="2" s="1"/>
  <c r="X1271" i="2"/>
  <c r="Y1271" i="2" s="1"/>
  <c r="X1079" i="2"/>
  <c r="Y1079" i="2" s="1"/>
  <c r="X440" i="2"/>
  <c r="Y440" i="2" s="1"/>
  <c r="X407" i="2"/>
  <c r="Y407" i="2" s="1"/>
  <c r="X263" i="2"/>
  <c r="Y263" i="2" s="1"/>
  <c r="W2027" i="2"/>
  <c r="W1914" i="2"/>
  <c r="W1866" i="2"/>
  <c r="W1770" i="2"/>
  <c r="W1592" i="2"/>
  <c r="W1530" i="2"/>
  <c r="W1434" i="2"/>
  <c r="W1418" i="2"/>
  <c r="X1338" i="2"/>
  <c r="Y1338" i="2" s="1"/>
  <c r="X1306" i="2"/>
  <c r="Y1306" i="2" s="1"/>
  <c r="X939" i="2"/>
  <c r="Y939" i="2" s="1"/>
  <c r="X875" i="2"/>
  <c r="Y875" i="2" s="1"/>
  <c r="X714" i="2"/>
  <c r="Y714" i="2" s="1"/>
  <c r="X362" i="2"/>
  <c r="Y362" i="2" s="1"/>
  <c r="X314" i="2"/>
  <c r="Y314" i="2" s="1"/>
  <c r="X186" i="2"/>
  <c r="Y186" i="2" s="1"/>
  <c r="X170" i="2"/>
  <c r="Y170" i="2" s="1"/>
  <c r="W26" i="2"/>
  <c r="W1917" i="2"/>
  <c r="W1725" i="2"/>
  <c r="W1661" i="2"/>
  <c r="W1613" i="2"/>
  <c r="W1581" i="2"/>
  <c r="W1517" i="2"/>
  <c r="X989" i="2"/>
  <c r="Y989" i="2" s="1"/>
  <c r="X957" i="2"/>
  <c r="Y957" i="2" s="1"/>
  <c r="X78" i="2"/>
  <c r="Y78" i="2" s="1"/>
  <c r="X61" i="2"/>
  <c r="Y61" i="2" s="1"/>
  <c r="W1952" i="2"/>
  <c r="W1632" i="2"/>
  <c r="W1552" i="2"/>
  <c r="W1520" i="2"/>
  <c r="W1504" i="2"/>
  <c r="W1472" i="2"/>
  <c r="X1264" i="2"/>
  <c r="Y1264" i="2" s="1"/>
  <c r="W1248" i="2"/>
  <c r="W1216" i="2"/>
  <c r="X1153" i="2"/>
  <c r="Y1153" i="2" s="1"/>
  <c r="W1088" i="2"/>
  <c r="X960" i="2"/>
  <c r="Y960" i="2" s="1"/>
  <c r="W16" i="2"/>
  <c r="W1939" i="2"/>
  <c r="X1891" i="2"/>
  <c r="Y1891" i="2" s="1"/>
  <c r="W1811" i="2"/>
  <c r="W1779" i="2"/>
  <c r="W1587" i="2"/>
  <c r="X1107" i="2"/>
  <c r="Y1107" i="2" s="1"/>
  <c r="X627" i="2"/>
  <c r="Y627" i="2" s="1"/>
  <c r="X115" i="2"/>
  <c r="Y115" i="2" s="1"/>
  <c r="W1612" i="2"/>
  <c r="W1484" i="2"/>
  <c r="W1823" i="2"/>
  <c r="W1743" i="2"/>
  <c r="W1695" i="2"/>
  <c r="W1631" i="2"/>
  <c r="W1567" i="2"/>
  <c r="W1391" i="2"/>
  <c r="X511" i="2"/>
  <c r="Y511" i="2" s="1"/>
  <c r="X191" i="2"/>
  <c r="Y191" i="2" s="1"/>
  <c r="W1628" i="2"/>
  <c r="W1500" i="2"/>
  <c r="W1938" i="2"/>
  <c r="W1922" i="2"/>
  <c r="W1890" i="2"/>
  <c r="W1698" i="2"/>
  <c r="W1618" i="2"/>
  <c r="W1868" i="2"/>
  <c r="W1788" i="2"/>
  <c r="W1532" i="2"/>
  <c r="W2021" i="2"/>
  <c r="W2005" i="2"/>
  <c r="W1925" i="2"/>
  <c r="W1797" i="2"/>
  <c r="W1685" i="2"/>
  <c r="W1557" i="2"/>
  <c r="W1525" i="2"/>
  <c r="W1493" i="2"/>
  <c r="W1477" i="2"/>
  <c r="W1445" i="2"/>
  <c r="W1429" i="2"/>
  <c r="W1397" i="2"/>
  <c r="X1366" i="2"/>
  <c r="Y1366" i="2" s="1"/>
  <c r="X1350" i="2"/>
  <c r="Y1350" i="2" s="1"/>
  <c r="X1286" i="2"/>
  <c r="Y1286" i="2" s="1"/>
  <c r="X1110" i="2"/>
  <c r="Y1110" i="2" s="1"/>
  <c r="X1030" i="2"/>
  <c r="Y1030" i="2" s="1"/>
  <c r="X966" i="2"/>
  <c r="Y966" i="2" s="1"/>
  <c r="X902" i="2"/>
  <c r="Y902" i="2" s="1"/>
  <c r="X534" i="2"/>
  <c r="Y534" i="2" s="1"/>
  <c r="X486" i="2"/>
  <c r="Y486" i="2" s="1"/>
  <c r="X374" i="2"/>
  <c r="Y374" i="2" s="1"/>
  <c r="X342" i="2"/>
  <c r="Y342" i="2" s="1"/>
  <c r="X326" i="2"/>
  <c r="Y326" i="2" s="1"/>
  <c r="X214" i="2"/>
  <c r="Y214" i="2" s="1"/>
  <c r="X166" i="2"/>
  <c r="Y166" i="2" s="1"/>
  <c r="X102" i="2"/>
  <c r="Y102" i="2" s="1"/>
  <c r="W1959" i="2"/>
  <c r="W2008" i="2"/>
  <c r="W1752" i="2"/>
  <c r="W1688" i="2"/>
  <c r="W1672" i="2"/>
  <c r="W1576" i="2"/>
  <c r="W1560" i="2"/>
  <c r="W1512" i="2"/>
  <c r="W1496" i="2"/>
  <c r="W1480" i="2"/>
  <c r="W1464" i="2"/>
  <c r="W1448" i="2"/>
  <c r="X344" i="2"/>
  <c r="Y344" i="2" s="1"/>
  <c r="W1930" i="2"/>
  <c r="W1976" i="2"/>
  <c r="W2028" i="2"/>
  <c r="W1995" i="2"/>
  <c r="W1979" i="2"/>
  <c r="W1931" i="2"/>
  <c r="W1547" i="2"/>
  <c r="W1531" i="2"/>
  <c r="W1403" i="2"/>
  <c r="W11" i="2"/>
  <c r="W1784" i="2"/>
  <c r="W1934" i="2"/>
  <c r="W1918" i="2"/>
  <c r="W1870" i="2"/>
  <c r="W1806" i="2"/>
  <c r="W1742" i="2"/>
  <c r="W1726" i="2"/>
  <c r="W1694" i="2"/>
  <c r="W1454" i="2"/>
  <c r="W1390" i="2"/>
  <c r="X1118" i="2"/>
  <c r="Y1118" i="2" s="1"/>
  <c r="X1102" i="2"/>
  <c r="Y1102" i="2" s="1"/>
  <c r="W2034" i="2"/>
  <c r="W1873" i="2"/>
  <c r="W1857" i="2"/>
  <c r="W1793" i="2"/>
  <c r="W1729" i="2"/>
  <c r="W1697" i="2"/>
  <c r="W1633" i="2"/>
  <c r="W1521" i="2"/>
  <c r="W1473" i="2"/>
  <c r="W1457" i="2"/>
  <c r="X338" i="2"/>
  <c r="Y338" i="2" s="1"/>
  <c r="W193" i="2"/>
  <c r="W1872" i="2"/>
  <c r="W2020" i="2"/>
  <c r="W2004" i="2"/>
  <c r="W1972" i="2"/>
  <c r="W1844" i="2"/>
  <c r="W1700" i="2"/>
  <c r="W1636" i="2"/>
  <c r="W1524" i="2"/>
  <c r="W1492" i="2"/>
  <c r="W1476" i="2"/>
  <c r="W1364" i="2"/>
  <c r="W1044" i="2"/>
  <c r="W932" i="2"/>
  <c r="W804" i="2"/>
  <c r="W708" i="2"/>
  <c r="X661" i="2"/>
  <c r="Y661" i="2" s="1"/>
  <c r="X549" i="2"/>
  <c r="Y549" i="2" s="1"/>
  <c r="X500" i="2"/>
  <c r="Y500" i="2" s="1"/>
  <c r="W372" i="2"/>
  <c r="W1831" i="2"/>
  <c r="W1415" i="2"/>
  <c r="X1031" i="2"/>
  <c r="Y1031" i="2" s="1"/>
  <c r="W740" i="2"/>
  <c r="X455" i="2"/>
  <c r="Y455" i="2" s="1"/>
  <c r="X246" i="2"/>
  <c r="Y246" i="2" s="1"/>
  <c r="X87" i="2"/>
  <c r="Y87" i="2" s="1"/>
  <c r="W81" i="2"/>
  <c r="X39" i="2"/>
  <c r="Y39" i="2" s="1"/>
  <c r="X20" i="2"/>
  <c r="Y20" i="2" s="1"/>
  <c r="W1820" i="2"/>
  <c r="W1543" i="2"/>
  <c r="W1533" i="2"/>
  <c r="X1254" i="2"/>
  <c r="Y1254" i="2" s="1"/>
  <c r="W1722" i="2"/>
  <c r="W1642" i="2"/>
  <c r="W1546" i="2"/>
  <c r="W1450" i="2"/>
  <c r="W1845" i="2"/>
  <c r="W1735" i="2"/>
  <c r="W1655" i="2"/>
  <c r="W1652" i="2"/>
  <c r="W2030" i="2"/>
  <c r="W1869" i="2"/>
  <c r="W1837" i="2"/>
  <c r="W1757" i="2"/>
  <c r="W1741" i="2"/>
  <c r="W1597" i="2"/>
  <c r="W1501" i="2"/>
  <c r="W1485" i="2"/>
  <c r="W1453" i="2"/>
  <c r="W1421" i="2"/>
  <c r="X861" i="2"/>
  <c r="Y861" i="2" s="1"/>
  <c r="W845" i="2"/>
  <c r="X685" i="2"/>
  <c r="Y685" i="2" s="1"/>
  <c r="W1527" i="2"/>
  <c r="X1527" i="2"/>
  <c r="Y1527" i="2" s="1"/>
  <c r="W1431" i="2"/>
  <c r="X1431" i="2"/>
  <c r="Y1431" i="2" s="1"/>
  <c r="W2033" i="2"/>
  <c r="W1968" i="2"/>
  <c r="W1840" i="2"/>
  <c r="W1712" i="2"/>
  <c r="W1696" i="2"/>
  <c r="W1488" i="2"/>
  <c r="W1440" i="2"/>
  <c r="W1360" i="2"/>
  <c r="W1328" i="2"/>
  <c r="X1328" i="2"/>
  <c r="Y1328" i="2" s="1"/>
  <c r="W1312" i="2"/>
  <c r="W1296" i="2"/>
  <c r="W512" i="2"/>
  <c r="X1416" i="2"/>
  <c r="Y1416" i="2" s="1"/>
  <c r="W1624" i="2"/>
  <c r="W1621" i="2"/>
  <c r="W1971" i="2"/>
  <c r="W1763" i="2"/>
  <c r="W1667" i="2"/>
  <c r="W1635" i="2"/>
  <c r="W1603" i="2"/>
  <c r="W1571" i="2"/>
  <c r="W1507" i="2"/>
  <c r="W1459" i="2"/>
  <c r="W1363" i="2"/>
  <c r="X1220" i="2"/>
  <c r="Y1220" i="2" s="1"/>
  <c r="X1156" i="2"/>
  <c r="Y1156" i="2" s="1"/>
  <c r="W1027" i="2"/>
  <c r="X900" i="2"/>
  <c r="Y900" i="2" s="1"/>
  <c r="X820" i="2"/>
  <c r="Y820" i="2" s="1"/>
  <c r="W707" i="2"/>
  <c r="W643" i="2"/>
  <c r="W403" i="2"/>
  <c r="W339" i="2"/>
  <c r="X163" i="2"/>
  <c r="Y163" i="2" s="1"/>
  <c r="W99" i="2"/>
  <c r="W1701" i="2"/>
  <c r="W2022" i="2"/>
  <c r="W1990" i="2"/>
  <c r="W1942" i="2"/>
  <c r="W1910" i="2"/>
  <c r="W1814" i="2"/>
  <c r="W1718" i="2"/>
  <c r="W1622" i="2"/>
  <c r="W1526" i="2"/>
  <c r="W1446" i="2"/>
  <c r="W1430" i="2"/>
  <c r="W1382" i="2"/>
  <c r="W2032" i="2"/>
  <c r="W1702" i="2"/>
  <c r="W2026" i="2"/>
  <c r="W2009" i="2"/>
  <c r="W1865" i="2"/>
  <c r="W1849" i="2"/>
  <c r="W1801" i="2"/>
  <c r="W1769" i="2"/>
  <c r="W1721" i="2"/>
  <c r="W1689" i="2"/>
  <c r="W1529" i="2"/>
  <c r="W1497" i="2"/>
  <c r="W1481" i="2"/>
  <c r="W1433" i="2"/>
  <c r="W1353" i="2"/>
  <c r="W1305" i="2"/>
  <c r="W1161" i="2"/>
  <c r="W1049" i="2"/>
  <c r="W1469" i="2"/>
  <c r="W1985" i="2"/>
  <c r="W1679" i="2"/>
  <c r="W1593" i="2"/>
  <c r="W1387" i="2"/>
  <c r="W2031" i="2"/>
  <c r="W1489" i="2"/>
  <c r="W1145" i="2"/>
  <c r="W1904" i="2"/>
  <c r="W1566" i="2"/>
  <c r="W1225" i="2"/>
  <c r="W2025" i="2"/>
  <c r="W1339" i="2"/>
  <c r="X1287" i="2"/>
  <c r="Y1287" i="2" s="1"/>
  <c r="X1263" i="2"/>
  <c r="Y1263" i="2" s="1"/>
  <c r="W1041" i="2"/>
  <c r="X986" i="2"/>
  <c r="Y986" i="2" s="1"/>
  <c r="W892" i="2"/>
  <c r="W857" i="2"/>
  <c r="X857" i="2"/>
  <c r="Y857" i="2" s="1"/>
  <c r="X636" i="2"/>
  <c r="Y636" i="2" s="1"/>
  <c r="X557" i="2"/>
  <c r="Y557" i="2" s="1"/>
  <c r="X370" i="2"/>
  <c r="Y370" i="2" s="1"/>
  <c r="X199" i="2"/>
  <c r="Y199" i="2" s="1"/>
  <c r="X36" i="2"/>
  <c r="Y36" i="2" s="1"/>
  <c r="X2024" i="2"/>
  <c r="Y2024" i="2" s="1"/>
  <c r="X1976" i="2"/>
  <c r="Y1976" i="2" s="1"/>
  <c r="X1928" i="2"/>
  <c r="Y1928" i="2" s="1"/>
  <c r="X1720" i="2"/>
  <c r="Y1720" i="2" s="1"/>
  <c r="X1640" i="2"/>
  <c r="Y1640" i="2" s="1"/>
  <c r="X1528" i="2"/>
  <c r="Y1528" i="2" s="1"/>
  <c r="W1211" i="2"/>
  <c r="W1132" i="2"/>
  <c r="X1086" i="2"/>
  <c r="Y1086" i="2" s="1"/>
  <c r="X1010" i="2"/>
  <c r="Y1010" i="2" s="1"/>
  <c r="W985" i="2"/>
  <c r="X985" i="2"/>
  <c r="Y985" i="2" s="1"/>
  <c r="W856" i="2"/>
  <c r="X856" i="2"/>
  <c r="Y856" i="2" s="1"/>
  <c r="X753" i="2"/>
  <c r="Y753" i="2" s="1"/>
  <c r="W635" i="2"/>
  <c r="X635" i="2"/>
  <c r="Y635" i="2" s="1"/>
  <c r="W556" i="2"/>
  <c r="X401" i="2"/>
  <c r="Y401" i="2" s="1"/>
  <c r="W369" i="2"/>
  <c r="X1991" i="2"/>
  <c r="Y1991" i="2" s="1"/>
  <c r="X1815" i="2"/>
  <c r="Y1815" i="2" s="1"/>
  <c r="X1719" i="2"/>
  <c r="Y1719" i="2" s="1"/>
  <c r="W1176" i="2"/>
  <c r="X1176" i="2"/>
  <c r="Y1176" i="2" s="1"/>
  <c r="W1009" i="2"/>
  <c r="X1009" i="2"/>
  <c r="Y1009" i="2" s="1"/>
  <c r="W984" i="2"/>
  <c r="X961" i="2"/>
  <c r="Y961" i="2" s="1"/>
  <c r="X783" i="2"/>
  <c r="Y783" i="2" s="1"/>
  <c r="W752" i="2"/>
  <c r="X604" i="2"/>
  <c r="Y604" i="2" s="1"/>
  <c r="W489" i="2"/>
  <c r="X489" i="2"/>
  <c r="Y489" i="2" s="1"/>
  <c r="X97" i="2"/>
  <c r="Y97" i="2" s="1"/>
  <c r="W60" i="2"/>
  <c r="X1846" i="2"/>
  <c r="Y1846" i="2" s="1"/>
  <c r="X1798" i="2"/>
  <c r="Y1798" i="2" s="1"/>
  <c r="X1686" i="2"/>
  <c r="Y1686" i="2" s="1"/>
  <c r="X1558" i="2"/>
  <c r="Y1558" i="2" s="1"/>
  <c r="X1526" i="2"/>
  <c r="Y1526" i="2" s="1"/>
  <c r="X1478" i="2"/>
  <c r="Y1478" i="2" s="1"/>
  <c r="X1430" i="2"/>
  <c r="Y1430" i="2" s="1"/>
  <c r="W1336" i="2"/>
  <c r="W1259" i="2"/>
  <c r="X1208" i="2"/>
  <c r="Y1208" i="2" s="1"/>
  <c r="W1151" i="2"/>
  <c r="X1106" i="2"/>
  <c r="Y1106" i="2" s="1"/>
  <c r="X1058" i="2"/>
  <c r="Y1058" i="2" s="1"/>
  <c r="W1008" i="2"/>
  <c r="W960" i="2"/>
  <c r="W937" i="2"/>
  <c r="W912" i="2"/>
  <c r="X912" i="2"/>
  <c r="Y912" i="2" s="1"/>
  <c r="X882" i="2"/>
  <c r="Y882" i="2" s="1"/>
  <c r="X718" i="2"/>
  <c r="Y718" i="2" s="1"/>
  <c r="X687" i="2"/>
  <c r="Y687" i="2" s="1"/>
  <c r="X659" i="2"/>
  <c r="Y659" i="2" s="1"/>
  <c r="W603" i="2"/>
  <c r="X551" i="2"/>
  <c r="Y551" i="2" s="1"/>
  <c r="X514" i="2"/>
  <c r="Y514" i="2" s="1"/>
  <c r="X129" i="2"/>
  <c r="Y129" i="2" s="1"/>
  <c r="X28" i="2"/>
  <c r="Y28" i="2" s="1"/>
  <c r="X2021" i="2"/>
  <c r="Y2021" i="2" s="1"/>
  <c r="X1797" i="2"/>
  <c r="Y1797" i="2" s="1"/>
  <c r="X1525" i="2"/>
  <c r="Y1525" i="2" s="1"/>
  <c r="X1477" i="2"/>
  <c r="Y1477" i="2" s="1"/>
  <c r="X1307" i="2"/>
  <c r="Y1307" i="2" s="1"/>
  <c r="X1231" i="2"/>
  <c r="Y1231" i="2" s="1"/>
  <c r="X1149" i="2"/>
  <c r="Y1149" i="2" s="1"/>
  <c r="W1128" i="2"/>
  <c r="W1105" i="2"/>
  <c r="X1080" i="2"/>
  <c r="Y1080" i="2" s="1"/>
  <c r="W1057" i="2"/>
  <c r="X1057" i="2"/>
  <c r="Y1057" i="2" s="1"/>
  <c r="X1006" i="2"/>
  <c r="Y1006" i="2" s="1"/>
  <c r="W959" i="2"/>
  <c r="X935" i="2"/>
  <c r="Y935" i="2" s="1"/>
  <c r="W911" i="2"/>
  <c r="W881" i="2"/>
  <c r="X747" i="2"/>
  <c r="Y747" i="2" s="1"/>
  <c r="X655" i="2"/>
  <c r="Y655" i="2" s="1"/>
  <c r="X576" i="2"/>
  <c r="Y576" i="2" s="1"/>
  <c r="W513" i="2"/>
  <c r="X392" i="2"/>
  <c r="Y392" i="2" s="1"/>
  <c r="W361" i="2"/>
  <c r="X300" i="2"/>
  <c r="Y300" i="2" s="1"/>
  <c r="X162" i="2"/>
  <c r="Y162" i="2" s="1"/>
  <c r="X128" i="2"/>
  <c r="Y128" i="2" s="1"/>
  <c r="X56" i="2"/>
  <c r="Y56" i="2" s="1"/>
  <c r="W27" i="2"/>
  <c r="X1940" i="2"/>
  <c r="Y1940" i="2" s="1"/>
  <c r="X1812" i="2"/>
  <c r="Y1812" i="2" s="1"/>
  <c r="X1764" i="2"/>
  <c r="Y1764" i="2" s="1"/>
  <c r="X1604" i="2"/>
  <c r="Y1604" i="2" s="1"/>
  <c r="X1572" i="2"/>
  <c r="Y1572" i="2" s="1"/>
  <c r="X1508" i="2"/>
  <c r="Y1508" i="2" s="1"/>
  <c r="W1361" i="2"/>
  <c r="X1329" i="2"/>
  <c r="Y1329" i="2" s="1"/>
  <c r="X1171" i="2"/>
  <c r="Y1171" i="2" s="1"/>
  <c r="W1148" i="2"/>
  <c r="X1103" i="2"/>
  <c r="Y1103" i="2" s="1"/>
  <c r="W1056" i="2"/>
  <c r="W844" i="2"/>
  <c r="X844" i="2"/>
  <c r="Y844" i="2" s="1"/>
  <c r="X817" i="2"/>
  <c r="Y817" i="2" s="1"/>
  <c r="W457" i="2"/>
  <c r="X331" i="2"/>
  <c r="Y331" i="2" s="1"/>
  <c r="W299" i="2"/>
  <c r="X253" i="2"/>
  <c r="Y253" i="2" s="1"/>
  <c r="W219" i="2"/>
  <c r="W161" i="2"/>
  <c r="X1939" i="2"/>
  <c r="Y1939" i="2" s="1"/>
  <c r="X1923" i="2"/>
  <c r="Y1923" i="2" s="1"/>
  <c r="X1731" i="2"/>
  <c r="Y1731" i="2" s="1"/>
  <c r="X1619" i="2"/>
  <c r="Y1619" i="2" s="1"/>
  <c r="X1459" i="2"/>
  <c r="Y1459" i="2" s="1"/>
  <c r="X1241" i="2"/>
  <c r="Y1241" i="2" s="1"/>
  <c r="X1177" i="2"/>
  <c r="Y1177" i="2" s="1"/>
  <c r="X501" i="2"/>
  <c r="Y501" i="2" s="1"/>
  <c r="X1278" i="2"/>
  <c r="Y1278" i="2" s="1"/>
  <c r="X1124" i="2"/>
  <c r="Y1124" i="2" s="1"/>
  <c r="X1054" i="2"/>
  <c r="Y1054" i="2" s="1"/>
  <c r="X978" i="2"/>
  <c r="Y978" i="2" s="1"/>
  <c r="W956" i="2"/>
  <c r="X956" i="2"/>
  <c r="Y956" i="2" s="1"/>
  <c r="X907" i="2"/>
  <c r="Y907" i="2" s="1"/>
  <c r="W876" i="2"/>
  <c r="X876" i="2"/>
  <c r="Y876" i="2" s="1"/>
  <c r="W843" i="2"/>
  <c r="X843" i="2"/>
  <c r="Y843" i="2" s="1"/>
  <c r="W816" i="2"/>
  <c r="W777" i="2"/>
  <c r="W684" i="2"/>
  <c r="X684" i="2"/>
  <c r="Y684" i="2" s="1"/>
  <c r="X546" i="2"/>
  <c r="Y546" i="2" s="1"/>
  <c r="W252" i="2"/>
  <c r="X125" i="2"/>
  <c r="Y125" i="2" s="1"/>
  <c r="X24" i="2"/>
  <c r="Y24" i="2" s="1"/>
  <c r="X2034" i="2"/>
  <c r="Y2034" i="2" s="1"/>
  <c r="X1986" i="2"/>
  <c r="Y1986" i="2" s="1"/>
  <c r="X1874" i="2"/>
  <c r="Y1874" i="2" s="1"/>
  <c r="X1858" i="2"/>
  <c r="Y1858" i="2" s="1"/>
  <c r="X1842" i="2"/>
  <c r="Y1842" i="2" s="1"/>
  <c r="X1826" i="2"/>
  <c r="Y1826" i="2" s="1"/>
  <c r="X1794" i="2"/>
  <c r="Y1794" i="2" s="1"/>
  <c r="X1730" i="2"/>
  <c r="Y1730" i="2" s="1"/>
  <c r="X1522" i="2"/>
  <c r="Y1522" i="2" s="1"/>
  <c r="X1490" i="2"/>
  <c r="Y1490" i="2" s="1"/>
  <c r="X1474" i="2"/>
  <c r="Y1474" i="2" s="1"/>
  <c r="X1458" i="2"/>
  <c r="Y1458" i="2" s="1"/>
  <c r="X1410" i="2"/>
  <c r="Y1410" i="2" s="1"/>
  <c r="W1359" i="2"/>
  <c r="X1359" i="2"/>
  <c r="Y1359" i="2" s="1"/>
  <c r="W1327" i="2"/>
  <c r="X1303" i="2"/>
  <c r="Y1303" i="2" s="1"/>
  <c r="X1226" i="2"/>
  <c r="Y1226" i="2" s="1"/>
  <c r="W1196" i="2"/>
  <c r="X1196" i="2"/>
  <c r="Y1196" i="2" s="1"/>
  <c r="W1169" i="2"/>
  <c r="X1053" i="2"/>
  <c r="Y1053" i="2" s="1"/>
  <c r="X1026" i="2"/>
  <c r="Y1026" i="2" s="1"/>
  <c r="X1001" i="2"/>
  <c r="Y1001" i="2" s="1"/>
  <c r="W977" i="2"/>
  <c r="X977" i="2"/>
  <c r="Y977" i="2" s="1"/>
  <c r="W955" i="2"/>
  <c r="X930" i="2"/>
  <c r="Y930" i="2" s="1"/>
  <c r="W875" i="2"/>
  <c r="X842" i="2"/>
  <c r="Y842" i="2" s="1"/>
  <c r="X807" i="2"/>
  <c r="Y807" i="2" s="1"/>
  <c r="W713" i="2"/>
  <c r="W683" i="2"/>
  <c r="X683" i="2"/>
  <c r="Y683" i="2" s="1"/>
  <c r="X649" i="2"/>
  <c r="Y649" i="2" s="1"/>
  <c r="X626" i="2"/>
  <c r="Y626" i="2" s="1"/>
  <c r="X571" i="2"/>
  <c r="Y571" i="2" s="1"/>
  <c r="W545" i="2"/>
  <c r="X510" i="2"/>
  <c r="Y510" i="2" s="1"/>
  <c r="X482" i="2"/>
  <c r="Y482" i="2" s="1"/>
  <c r="W427" i="2"/>
  <c r="X386" i="2"/>
  <c r="Y386" i="2" s="1"/>
  <c r="X291" i="2"/>
  <c r="Y291" i="2" s="1"/>
  <c r="X215" i="2"/>
  <c r="Y215" i="2" s="1"/>
  <c r="W185" i="2"/>
  <c r="X157" i="2"/>
  <c r="Y157" i="2" s="1"/>
  <c r="W124" i="2"/>
  <c r="X50" i="2"/>
  <c r="Y50" i="2" s="1"/>
  <c r="W23" i="2"/>
  <c r="X2033" i="2"/>
  <c r="Y2033" i="2" s="1"/>
  <c r="X1969" i="2"/>
  <c r="Y1969" i="2" s="1"/>
  <c r="X1953" i="2"/>
  <c r="Y1953" i="2" s="1"/>
  <c r="X1905" i="2"/>
  <c r="Y1905" i="2" s="1"/>
  <c r="X1841" i="2"/>
  <c r="Y1841" i="2" s="1"/>
  <c r="X1713" i="2"/>
  <c r="Y1713" i="2" s="1"/>
  <c r="X1633" i="2"/>
  <c r="Y1633" i="2" s="1"/>
  <c r="X1489" i="2"/>
  <c r="Y1489" i="2" s="1"/>
  <c r="X1473" i="2"/>
  <c r="Y1473" i="2" s="1"/>
  <c r="X1441" i="2"/>
  <c r="Y1441" i="2" s="1"/>
  <c r="X1325" i="2"/>
  <c r="Y1325" i="2" s="1"/>
  <c r="X1251" i="2"/>
  <c r="Y1251" i="2" s="1"/>
  <c r="W1195" i="2"/>
  <c r="X1195" i="2"/>
  <c r="Y1195" i="2" s="1"/>
  <c r="W1167" i="2"/>
  <c r="X1167" i="2"/>
  <c r="Y1167" i="2" s="1"/>
  <c r="W1144" i="2"/>
  <c r="X1144" i="2"/>
  <c r="Y1144" i="2" s="1"/>
  <c r="X1099" i="2"/>
  <c r="Y1099" i="2" s="1"/>
  <c r="X1075" i="2"/>
  <c r="Y1075" i="2" s="1"/>
  <c r="W1052" i="2"/>
  <c r="W1025" i="2"/>
  <c r="X1025" i="2"/>
  <c r="Y1025" i="2" s="1"/>
  <c r="W1000" i="2"/>
  <c r="X1000" i="2"/>
  <c r="Y1000" i="2" s="1"/>
  <c r="W976" i="2"/>
  <c r="X953" i="2"/>
  <c r="Y953" i="2" s="1"/>
  <c r="W929" i="2"/>
  <c r="W841" i="2"/>
  <c r="X771" i="2"/>
  <c r="Y771" i="2" s="1"/>
  <c r="X682" i="2"/>
  <c r="Y682" i="2" s="1"/>
  <c r="W648" i="2"/>
  <c r="X648" i="2"/>
  <c r="Y648" i="2" s="1"/>
  <c r="W625" i="2"/>
  <c r="W481" i="2"/>
  <c r="X425" i="2"/>
  <c r="Y425" i="2" s="1"/>
  <c r="W385" i="2"/>
  <c r="X346" i="2"/>
  <c r="Y346" i="2" s="1"/>
  <c r="W156" i="2"/>
  <c r="W49" i="2"/>
  <c r="X49" i="2"/>
  <c r="Y49" i="2" s="1"/>
  <c r="X2032" i="2"/>
  <c r="Y2032" i="2" s="1"/>
  <c r="X2016" i="2"/>
  <c r="Y2016" i="2" s="1"/>
  <c r="X1936" i="2"/>
  <c r="Y1936" i="2" s="1"/>
  <c r="X1904" i="2"/>
  <c r="Y1904" i="2" s="1"/>
  <c r="X1744" i="2"/>
  <c r="Y1744" i="2" s="1"/>
  <c r="X1680" i="2"/>
  <c r="Y1680" i="2" s="1"/>
  <c r="X1632" i="2"/>
  <c r="Y1632" i="2" s="1"/>
  <c r="X1392" i="2"/>
  <c r="Y1392" i="2" s="1"/>
  <c r="X1296" i="2"/>
  <c r="Y1296" i="2" s="1"/>
  <c r="X1161" i="2"/>
  <c r="Y1161" i="2" s="1"/>
  <c r="X982" i="2"/>
  <c r="Y982" i="2" s="1"/>
  <c r="X598" i="2"/>
  <c r="Y598" i="2" s="1"/>
  <c r="W1356" i="2"/>
  <c r="W1324" i="2"/>
  <c r="X1324" i="2"/>
  <c r="Y1324" i="2" s="1"/>
  <c r="X1272" i="2"/>
  <c r="Y1272" i="2" s="1"/>
  <c r="W1224" i="2"/>
  <c r="X1194" i="2"/>
  <c r="Y1194" i="2" s="1"/>
  <c r="X1119" i="2"/>
  <c r="Y1119" i="2" s="1"/>
  <c r="X1098" i="2"/>
  <c r="Y1098" i="2" s="1"/>
  <c r="X1050" i="2"/>
  <c r="Y1050" i="2" s="1"/>
  <c r="W1024" i="2"/>
  <c r="X974" i="2"/>
  <c r="Y974" i="2" s="1"/>
  <c r="W952" i="2"/>
  <c r="X872" i="2"/>
  <c r="Y872" i="2" s="1"/>
  <c r="X839" i="2"/>
  <c r="Y839" i="2" s="1"/>
  <c r="W737" i="2"/>
  <c r="W681" i="2"/>
  <c r="X623" i="2"/>
  <c r="Y623" i="2" s="1"/>
  <c r="W593" i="2"/>
  <c r="X593" i="2"/>
  <c r="Y593" i="2" s="1"/>
  <c r="X570" i="2"/>
  <c r="Y570" i="2" s="1"/>
  <c r="X539" i="2"/>
  <c r="Y539" i="2" s="1"/>
  <c r="X450" i="2"/>
  <c r="Y450" i="2" s="1"/>
  <c r="W345" i="2"/>
  <c r="X345" i="2"/>
  <c r="Y345" i="2" s="1"/>
  <c r="X282" i="2"/>
  <c r="Y282" i="2" s="1"/>
  <c r="X2031" i="2"/>
  <c r="Y2031" i="2" s="1"/>
  <c r="X1935" i="2"/>
  <c r="Y1935" i="2" s="1"/>
  <c r="X1919" i="2"/>
  <c r="Y1919" i="2" s="1"/>
  <c r="X1871" i="2"/>
  <c r="Y1871" i="2" s="1"/>
  <c r="X1807" i="2"/>
  <c r="Y1807" i="2" s="1"/>
  <c r="X1743" i="2"/>
  <c r="Y1743" i="2" s="1"/>
  <c r="X1727" i="2"/>
  <c r="Y1727" i="2" s="1"/>
  <c r="X1695" i="2"/>
  <c r="Y1695" i="2" s="1"/>
  <c r="X1567" i="2"/>
  <c r="Y1567" i="2" s="1"/>
  <c r="X1455" i="2"/>
  <c r="Y1455" i="2" s="1"/>
  <c r="X1391" i="2"/>
  <c r="Y1391" i="2" s="1"/>
  <c r="X1353" i="2"/>
  <c r="Y1353" i="2" s="1"/>
  <c r="X1225" i="2"/>
  <c r="Y1225" i="2" s="1"/>
  <c r="X1158" i="2"/>
  <c r="Y1158" i="2" s="1"/>
  <c r="X469" i="2"/>
  <c r="Y469" i="2" s="1"/>
  <c r="X1354" i="2"/>
  <c r="Y1354" i="2" s="1"/>
  <c r="W1323" i="2"/>
  <c r="X1297" i="2"/>
  <c r="Y1297" i="2" s="1"/>
  <c r="W1072" i="2"/>
  <c r="X1072" i="2"/>
  <c r="Y1072" i="2" s="1"/>
  <c r="X925" i="2"/>
  <c r="Y925" i="2" s="1"/>
  <c r="W735" i="2"/>
  <c r="X735" i="2"/>
  <c r="Y735" i="2" s="1"/>
  <c r="W592" i="2"/>
  <c r="X474" i="2"/>
  <c r="Y474" i="2" s="1"/>
  <c r="W449" i="2"/>
  <c r="X449" i="2"/>
  <c r="Y449" i="2" s="1"/>
  <c r="X379" i="2"/>
  <c r="Y379" i="2" s="1"/>
  <c r="W281" i="2"/>
  <c r="X281" i="2"/>
  <c r="Y281" i="2" s="1"/>
  <c r="X211" i="2"/>
  <c r="Y211" i="2" s="1"/>
  <c r="X46" i="2"/>
  <c r="Y46" i="2" s="1"/>
  <c r="X2030" i="2"/>
  <c r="Y2030" i="2" s="1"/>
  <c r="X1918" i="2"/>
  <c r="Y1918" i="2" s="1"/>
  <c r="X1838" i="2"/>
  <c r="Y1838" i="2" s="1"/>
  <c r="X1758" i="2"/>
  <c r="Y1758" i="2" s="1"/>
  <c r="X1742" i="2"/>
  <c r="Y1742" i="2" s="1"/>
  <c r="X1726" i="2"/>
  <c r="Y1726" i="2" s="1"/>
  <c r="X1662" i="2"/>
  <c r="Y1662" i="2" s="1"/>
  <c r="X1614" i="2"/>
  <c r="Y1614" i="2" s="1"/>
  <c r="X1598" i="2"/>
  <c r="Y1598" i="2" s="1"/>
  <c r="X1582" i="2"/>
  <c r="Y1582" i="2" s="1"/>
  <c r="X1534" i="2"/>
  <c r="Y1534" i="2" s="1"/>
  <c r="X1518" i="2"/>
  <c r="Y1518" i="2" s="1"/>
  <c r="X1502" i="2"/>
  <c r="Y1502" i="2" s="1"/>
  <c r="X1486" i="2"/>
  <c r="Y1486" i="2" s="1"/>
  <c r="X1470" i="2"/>
  <c r="Y1470" i="2" s="1"/>
  <c r="X1454" i="2"/>
  <c r="Y1454" i="2" s="1"/>
  <c r="X1422" i="2"/>
  <c r="Y1422" i="2" s="1"/>
  <c r="X1222" i="2"/>
  <c r="Y1222" i="2" s="1"/>
  <c r="X1246" i="2"/>
  <c r="Y1246" i="2" s="1"/>
  <c r="W1192" i="2"/>
  <c r="X1192" i="2"/>
  <c r="Y1192" i="2" s="1"/>
  <c r="X1162" i="2"/>
  <c r="Y1162" i="2" s="1"/>
  <c r="X1095" i="2"/>
  <c r="Y1095" i="2" s="1"/>
  <c r="W1071" i="2"/>
  <c r="W1048" i="2"/>
  <c r="X1020" i="2"/>
  <c r="Y1020" i="2" s="1"/>
  <c r="W924" i="2"/>
  <c r="X924" i="2"/>
  <c r="Y924" i="2" s="1"/>
  <c r="X765" i="2"/>
  <c r="Y765" i="2" s="1"/>
  <c r="X673" i="2"/>
  <c r="Y673" i="2" s="1"/>
  <c r="X590" i="2"/>
  <c r="Y590" i="2" s="1"/>
  <c r="X538" i="2"/>
  <c r="Y538" i="2" s="1"/>
  <c r="X499" i="2"/>
  <c r="Y499" i="2" s="1"/>
  <c r="W473" i="2"/>
  <c r="X416" i="2"/>
  <c r="Y416" i="2" s="1"/>
  <c r="X343" i="2"/>
  <c r="Y343" i="2" s="1"/>
  <c r="X318" i="2"/>
  <c r="Y318" i="2" s="1"/>
  <c r="X280" i="2"/>
  <c r="Y280" i="2" s="1"/>
  <c r="X240" i="2"/>
  <c r="Y240" i="2" s="1"/>
  <c r="W171" i="2"/>
  <c r="X171" i="2"/>
  <c r="Y171" i="2" s="1"/>
  <c r="X72" i="2"/>
  <c r="Y72" i="2" s="1"/>
  <c r="X2029" i="2"/>
  <c r="Y2029" i="2" s="1"/>
  <c r="X1981" i="2"/>
  <c r="Y1981" i="2" s="1"/>
  <c r="X1901" i="2"/>
  <c r="Y1901" i="2" s="1"/>
  <c r="X1821" i="2"/>
  <c r="Y1821" i="2" s="1"/>
  <c r="X1789" i="2"/>
  <c r="Y1789" i="2" s="1"/>
  <c r="X1629" i="2"/>
  <c r="Y1629" i="2" s="1"/>
  <c r="X1613" i="2"/>
  <c r="Y1613" i="2" s="1"/>
  <c r="X1533" i="2"/>
  <c r="Y1533" i="2" s="1"/>
  <c r="X1501" i="2"/>
  <c r="Y1501" i="2" s="1"/>
  <c r="X1485" i="2"/>
  <c r="Y1485" i="2" s="1"/>
  <c r="X1145" i="2"/>
  <c r="Y1145" i="2" s="1"/>
  <c r="X1062" i="2"/>
  <c r="Y1062" i="2" s="1"/>
  <c r="X709" i="2"/>
  <c r="Y709" i="2" s="1"/>
  <c r="X581" i="2"/>
  <c r="Y581" i="2" s="1"/>
  <c r="X1378" i="2"/>
  <c r="Y1378" i="2" s="1"/>
  <c r="W1352" i="2"/>
  <c r="W1320" i="2"/>
  <c r="X1320" i="2"/>
  <c r="Y1320" i="2" s="1"/>
  <c r="W1295" i="2"/>
  <c r="X1268" i="2"/>
  <c r="Y1268" i="2" s="1"/>
  <c r="X1115" i="2"/>
  <c r="Y1115" i="2" s="1"/>
  <c r="W1019" i="2"/>
  <c r="X1019" i="2"/>
  <c r="Y1019" i="2" s="1"/>
  <c r="X969" i="2"/>
  <c r="Y969" i="2" s="1"/>
  <c r="W923" i="2"/>
  <c r="W897" i="2"/>
  <c r="X897" i="2"/>
  <c r="Y897" i="2" s="1"/>
  <c r="W833" i="2"/>
  <c r="X833" i="2"/>
  <c r="Y833" i="2" s="1"/>
  <c r="X796" i="2"/>
  <c r="Y796" i="2" s="1"/>
  <c r="W764" i="2"/>
  <c r="X706" i="2"/>
  <c r="Y706" i="2" s="1"/>
  <c r="X705" i="2"/>
  <c r="Y705" i="2" s="1"/>
  <c r="W672" i="2"/>
  <c r="X672" i="2"/>
  <c r="Y672" i="2" s="1"/>
  <c r="X616" i="2"/>
  <c r="Y616" i="2" s="1"/>
  <c r="X589" i="2"/>
  <c r="Y589" i="2" s="1"/>
  <c r="X446" i="2"/>
  <c r="Y446" i="2" s="1"/>
  <c r="X317" i="2"/>
  <c r="Y317" i="2" s="1"/>
  <c r="X110" i="2"/>
  <c r="Y110" i="2" s="1"/>
  <c r="X2028" i="2"/>
  <c r="Y2028" i="2" s="1"/>
  <c r="X1996" i="2"/>
  <c r="Y1996" i="2" s="1"/>
  <c r="X1980" i="2"/>
  <c r="Y1980" i="2" s="1"/>
  <c r="X1932" i="2"/>
  <c r="Y1932" i="2" s="1"/>
  <c r="X1900" i="2"/>
  <c r="Y1900" i="2" s="1"/>
  <c r="X1884" i="2"/>
  <c r="Y1884" i="2" s="1"/>
  <c r="X1868" i="2"/>
  <c r="Y1868" i="2" s="1"/>
  <c r="X1788" i="2"/>
  <c r="Y1788" i="2" s="1"/>
  <c r="X1548" i="2"/>
  <c r="Y1548" i="2" s="1"/>
  <c r="X1532" i="2"/>
  <c r="Y1532" i="2" s="1"/>
  <c r="X1404" i="2"/>
  <c r="Y1404" i="2" s="1"/>
  <c r="X1388" i="2"/>
  <c r="Y1388" i="2" s="1"/>
  <c r="X822" i="2"/>
  <c r="Y822" i="2" s="1"/>
  <c r="X566" i="2"/>
  <c r="Y566" i="2" s="1"/>
  <c r="X310" i="2"/>
  <c r="Y310" i="2" s="1"/>
  <c r="W1377" i="2"/>
  <c r="X1293" i="2"/>
  <c r="Y1293" i="2" s="1"/>
  <c r="X1267" i="2"/>
  <c r="Y1267" i="2" s="1"/>
  <c r="X1217" i="2"/>
  <c r="Y1217" i="2" s="1"/>
  <c r="W1160" i="2"/>
  <c r="W1137" i="2"/>
  <c r="X1137" i="2"/>
  <c r="Y1137" i="2" s="1"/>
  <c r="X1114" i="2"/>
  <c r="Y1114" i="2" s="1"/>
  <c r="X1067" i="2"/>
  <c r="Y1067" i="2" s="1"/>
  <c r="X990" i="2"/>
  <c r="Y990" i="2" s="1"/>
  <c r="W968" i="2"/>
  <c r="X968" i="2"/>
  <c r="Y968" i="2" s="1"/>
  <c r="X921" i="2"/>
  <c r="Y921" i="2" s="1"/>
  <c r="W896" i="2"/>
  <c r="X896" i="2"/>
  <c r="Y896" i="2" s="1"/>
  <c r="W860" i="2"/>
  <c r="X860" i="2"/>
  <c r="Y860" i="2" s="1"/>
  <c r="W832" i="2"/>
  <c r="W795" i="2"/>
  <c r="X729" i="2"/>
  <c r="Y729" i="2" s="1"/>
  <c r="W704" i="2"/>
  <c r="X641" i="2"/>
  <c r="Y641" i="2" s="1"/>
  <c r="W588" i="2"/>
  <c r="X562" i="2"/>
  <c r="Y562" i="2" s="1"/>
  <c r="W316" i="2"/>
  <c r="X203" i="2"/>
  <c r="Y203" i="2" s="1"/>
  <c r="W169" i="2"/>
  <c r="X169" i="2"/>
  <c r="Y169" i="2" s="1"/>
  <c r="X146" i="2"/>
  <c r="Y146" i="2" s="1"/>
  <c r="X2027" i="2"/>
  <c r="Y2027" i="2" s="1"/>
  <c r="X1931" i="2"/>
  <c r="Y1931" i="2" s="1"/>
  <c r="X1915" i="2"/>
  <c r="Y1915" i="2" s="1"/>
  <c r="X1867" i="2"/>
  <c r="Y1867" i="2" s="1"/>
  <c r="X1771" i="2"/>
  <c r="Y1771" i="2" s="1"/>
  <c r="X1723" i="2"/>
  <c r="Y1723" i="2" s="1"/>
  <c r="X1643" i="2"/>
  <c r="Y1643" i="2" s="1"/>
  <c r="X1547" i="2"/>
  <c r="Y1547" i="2" s="1"/>
  <c r="X1531" i="2"/>
  <c r="Y1531" i="2" s="1"/>
  <c r="X1451" i="2"/>
  <c r="Y1451" i="2" s="1"/>
  <c r="X1435" i="2"/>
  <c r="Y1435" i="2" s="1"/>
  <c r="X1337" i="2"/>
  <c r="Y1337" i="2" s="1"/>
  <c r="X1049" i="2"/>
  <c r="Y1049" i="2" s="1"/>
  <c r="X949" i="2"/>
  <c r="Y949" i="2" s="1"/>
  <c r="X437" i="2"/>
  <c r="Y437" i="2" s="1"/>
  <c r="X1368" i="2"/>
  <c r="Y1368" i="2" s="1"/>
  <c r="W1292" i="2"/>
  <c r="X1188" i="2"/>
  <c r="Y1188" i="2" s="1"/>
  <c r="W1136" i="2"/>
  <c r="X1136" i="2"/>
  <c r="Y1136" i="2" s="1"/>
  <c r="X1090" i="2"/>
  <c r="Y1090" i="2" s="1"/>
  <c r="X1016" i="2"/>
  <c r="Y1016" i="2" s="1"/>
  <c r="X944" i="2"/>
  <c r="Y944" i="2" s="1"/>
  <c r="W920" i="2"/>
  <c r="X920" i="2"/>
  <c r="Y920" i="2" s="1"/>
  <c r="W895" i="2"/>
  <c r="W859" i="2"/>
  <c r="X859" i="2"/>
  <c r="Y859" i="2" s="1"/>
  <c r="X760" i="2"/>
  <c r="Y760" i="2" s="1"/>
  <c r="W728" i="2"/>
  <c r="X669" i="2"/>
  <c r="Y669" i="2" s="1"/>
  <c r="W640" i="2"/>
  <c r="X586" i="2"/>
  <c r="Y586" i="2" s="1"/>
  <c r="W561" i="2"/>
  <c r="X494" i="2"/>
  <c r="Y494" i="2" s="1"/>
  <c r="X275" i="2"/>
  <c r="Y275" i="2" s="1"/>
  <c r="X232" i="2"/>
  <c r="Y232" i="2" s="1"/>
  <c r="W145" i="2"/>
  <c r="X66" i="2"/>
  <c r="Y66" i="2" s="1"/>
  <c r="X2010" i="2"/>
  <c r="Y2010" i="2" s="1"/>
  <c r="X1914" i="2"/>
  <c r="Y1914" i="2" s="1"/>
  <c r="X1866" i="2"/>
  <c r="Y1866" i="2" s="1"/>
  <c r="X1850" i="2"/>
  <c r="Y1850" i="2" s="1"/>
  <c r="X1802" i="2"/>
  <c r="Y1802" i="2" s="1"/>
  <c r="X1770" i="2"/>
  <c r="Y1770" i="2" s="1"/>
  <c r="X1722" i="2"/>
  <c r="Y1722" i="2" s="1"/>
  <c r="X1690" i="2"/>
  <c r="Y1690" i="2" s="1"/>
  <c r="X1610" i="2"/>
  <c r="Y1610" i="2" s="1"/>
  <c r="X1562" i="2"/>
  <c r="Y1562" i="2" s="1"/>
  <c r="X1530" i="2"/>
  <c r="Y1530" i="2" s="1"/>
  <c r="X1498" i="2"/>
  <c r="Y1498" i="2" s="1"/>
  <c r="X1482" i="2"/>
  <c r="Y1482" i="2" s="1"/>
  <c r="X1434" i="2"/>
  <c r="Y1434" i="2" s="1"/>
  <c r="X1129" i="2"/>
  <c r="Y1129" i="2" s="1"/>
  <c r="X1046" i="2"/>
  <c r="Y1046" i="2" s="1"/>
  <c r="X1367" i="2"/>
  <c r="Y1367" i="2" s="1"/>
  <c r="X1340" i="2"/>
  <c r="Y1340" i="2" s="1"/>
  <c r="W1240" i="2"/>
  <c r="X1240" i="2"/>
  <c r="Y1240" i="2" s="1"/>
  <c r="W1135" i="2"/>
  <c r="X1111" i="2"/>
  <c r="Y1111" i="2" s="1"/>
  <c r="W1089" i="2"/>
  <c r="X1089" i="2"/>
  <c r="Y1089" i="2" s="1"/>
  <c r="X1042" i="2"/>
  <c r="Y1042" i="2" s="1"/>
  <c r="W988" i="2"/>
  <c r="W943" i="2"/>
  <c r="X893" i="2"/>
  <c r="Y893" i="2" s="1"/>
  <c r="X858" i="2"/>
  <c r="Y858" i="2" s="1"/>
  <c r="X827" i="2"/>
  <c r="Y827" i="2" s="1"/>
  <c r="X788" i="2"/>
  <c r="Y788" i="2" s="1"/>
  <c r="X699" i="2"/>
  <c r="Y699" i="2" s="1"/>
  <c r="W668" i="2"/>
  <c r="X611" i="2"/>
  <c r="Y611" i="2" s="1"/>
  <c r="W585" i="2"/>
  <c r="X526" i="2"/>
  <c r="Y526" i="2" s="1"/>
  <c r="X493" i="2"/>
  <c r="Y493" i="2" s="1"/>
  <c r="W441" i="2"/>
  <c r="X441" i="2"/>
  <c r="Y441" i="2" s="1"/>
  <c r="W313" i="2"/>
  <c r="X313" i="2"/>
  <c r="Y313" i="2" s="1"/>
  <c r="W201" i="2"/>
  <c r="X167" i="2"/>
  <c r="Y167" i="2" s="1"/>
  <c r="W65" i="2"/>
  <c r="X2009" i="2"/>
  <c r="Y2009" i="2" s="1"/>
  <c r="X1993" i="2"/>
  <c r="Y1993" i="2" s="1"/>
  <c r="X1977" i="2"/>
  <c r="Y1977" i="2" s="1"/>
  <c r="X1913" i="2"/>
  <c r="Y1913" i="2" s="1"/>
  <c r="X1897" i="2"/>
  <c r="Y1897" i="2" s="1"/>
  <c r="X1865" i="2"/>
  <c r="Y1865" i="2" s="1"/>
  <c r="X1849" i="2"/>
  <c r="Y1849" i="2" s="1"/>
  <c r="X1801" i="2"/>
  <c r="Y1801" i="2" s="1"/>
  <c r="X1785" i="2"/>
  <c r="Y1785" i="2" s="1"/>
  <c r="X1769" i="2"/>
  <c r="Y1769" i="2" s="1"/>
  <c r="X1753" i="2"/>
  <c r="Y1753" i="2" s="1"/>
  <c r="X1721" i="2"/>
  <c r="Y1721" i="2" s="1"/>
  <c r="X1689" i="2"/>
  <c r="Y1689" i="2" s="1"/>
  <c r="X1673" i="2"/>
  <c r="Y1673" i="2" s="1"/>
  <c r="X1657" i="2"/>
  <c r="Y1657" i="2" s="1"/>
  <c r="X1593" i="2"/>
  <c r="Y1593" i="2" s="1"/>
  <c r="X1577" i="2"/>
  <c r="Y1577" i="2" s="1"/>
  <c r="X1561" i="2"/>
  <c r="Y1561" i="2" s="1"/>
  <c r="X1529" i="2"/>
  <c r="Y1529" i="2" s="1"/>
  <c r="X1513" i="2"/>
  <c r="Y1513" i="2" s="1"/>
  <c r="X1497" i="2"/>
  <c r="Y1497" i="2" s="1"/>
  <c r="X1481" i="2"/>
  <c r="Y1481" i="2" s="1"/>
  <c r="X1465" i="2"/>
  <c r="Y1465" i="2" s="1"/>
  <c r="W170" i="2"/>
  <c r="W717" i="2"/>
  <c r="W686" i="2"/>
  <c r="W631" i="2"/>
  <c r="W550" i="2"/>
  <c r="W458" i="2"/>
  <c r="X393" i="2"/>
  <c r="Y393" i="2" s="1"/>
  <c r="W190" i="2"/>
  <c r="W96" i="2"/>
  <c r="X59" i="2"/>
  <c r="Y59" i="2" s="1"/>
  <c r="W654" i="2"/>
  <c r="W575" i="2"/>
  <c r="W391" i="2"/>
  <c r="W162" i="2"/>
  <c r="W128" i="2"/>
  <c r="X57" i="2"/>
  <c r="Y57" i="2" s="1"/>
  <c r="W1029" i="2"/>
  <c r="W1306" i="2"/>
  <c r="X779" i="2"/>
  <c r="Y779" i="2" s="1"/>
  <c r="W1255" i="2"/>
  <c r="W1197" i="2"/>
  <c r="W1170" i="2"/>
  <c r="W1102" i="2"/>
  <c r="W1078" i="2"/>
  <c r="W744" i="2"/>
  <c r="W714" i="2"/>
  <c r="W627" i="2"/>
  <c r="W597" i="2"/>
  <c r="W573" i="2"/>
  <c r="W511" i="2"/>
  <c r="W484" i="2"/>
  <c r="X456" i="2"/>
  <c r="Y456" i="2" s="1"/>
  <c r="W431" i="2"/>
  <c r="W330" i="2"/>
  <c r="X187" i="2"/>
  <c r="Y187" i="2" s="1"/>
  <c r="W127" i="2"/>
  <c r="X88" i="2"/>
  <c r="Y88" i="2" s="1"/>
  <c r="W55" i="2"/>
  <c r="W1362" i="2"/>
  <c r="W981" i="2"/>
  <c r="W1230" i="2"/>
  <c r="W1198" i="2"/>
  <c r="W746" i="2"/>
  <c r="W1303" i="2"/>
  <c r="W1277" i="2"/>
  <c r="W1123" i="2"/>
  <c r="W1101" i="2"/>
  <c r="W1053" i="2"/>
  <c r="W1026" i="2"/>
  <c r="W906" i="2"/>
  <c r="W842" i="2"/>
  <c r="W773" i="2"/>
  <c r="W741" i="2"/>
  <c r="W626" i="2"/>
  <c r="W596" i="2"/>
  <c r="W510" i="2"/>
  <c r="W454" i="2"/>
  <c r="W355" i="2"/>
  <c r="X329" i="2"/>
  <c r="Y329" i="2" s="1"/>
  <c r="X248" i="2"/>
  <c r="Y248" i="2" s="1"/>
  <c r="X216" i="2"/>
  <c r="Y216" i="2" s="1"/>
  <c r="X160" i="2"/>
  <c r="Y160" i="2" s="1"/>
  <c r="W86" i="2"/>
  <c r="W1358" i="2"/>
  <c r="W1302" i="2"/>
  <c r="W1274" i="2"/>
  <c r="W1075" i="2"/>
  <c r="W874" i="2"/>
  <c r="W806" i="2"/>
  <c r="W682" i="2"/>
  <c r="W570" i="2"/>
  <c r="W509" i="2"/>
  <c r="W326" i="2"/>
  <c r="W290" i="2"/>
  <c r="W214" i="2"/>
  <c r="W183" i="2"/>
  <c r="W980" i="2"/>
  <c r="X1384" i="2"/>
  <c r="Y1384" i="2" s="1"/>
  <c r="W1250" i="2"/>
  <c r="W1194" i="2"/>
  <c r="W1166" i="2"/>
  <c r="W1143" i="2"/>
  <c r="W1098" i="2"/>
  <c r="W1074" i="2"/>
  <c r="W999" i="2"/>
  <c r="W805" i="2"/>
  <c r="W770" i="2"/>
  <c r="W647" i="2"/>
  <c r="X624" i="2"/>
  <c r="Y624" i="2" s="1"/>
  <c r="W424" i="2"/>
  <c r="W325" i="2"/>
  <c r="W244" i="2"/>
  <c r="W213" i="2"/>
  <c r="W78" i="2"/>
  <c r="W1271" i="2"/>
  <c r="W1118" i="2"/>
  <c r="W997" i="2"/>
  <c r="W973" i="2"/>
  <c r="W951" i="2"/>
  <c r="W901" i="2"/>
  <c r="W871" i="2"/>
  <c r="W838" i="2"/>
  <c r="W645" i="2"/>
  <c r="W622" i="2"/>
  <c r="W538" i="2"/>
  <c r="W500" i="2"/>
  <c r="W344" i="2"/>
  <c r="W115" i="2"/>
  <c r="W77" i="2"/>
  <c r="W48" i="2"/>
  <c r="W1270" i="2"/>
  <c r="W1221" i="2"/>
  <c r="W1117" i="2"/>
  <c r="W996" i="2"/>
  <c r="W765" i="2"/>
  <c r="W734" i="2"/>
  <c r="W619" i="2"/>
  <c r="W590" i="2"/>
  <c r="W565" i="2"/>
  <c r="W499" i="2"/>
  <c r="W448" i="2"/>
  <c r="X417" i="2"/>
  <c r="Y417" i="2" s="1"/>
  <c r="W378" i="2"/>
  <c r="W343" i="2"/>
  <c r="W318" i="2"/>
  <c r="W280" i="2"/>
  <c r="W240" i="2"/>
  <c r="W210" i="2"/>
  <c r="W151" i="2"/>
  <c r="W114" i="2"/>
  <c r="W957" i="2"/>
  <c r="W1245" i="2"/>
  <c r="W1191" i="2"/>
  <c r="W1139" i="2"/>
  <c r="W1094" i="2"/>
  <c r="W1069" i="2"/>
  <c r="W948" i="2"/>
  <c r="W589" i="2"/>
  <c r="W564" i="2"/>
  <c r="W498" i="2"/>
  <c r="X472" i="2"/>
  <c r="Y472" i="2" s="1"/>
  <c r="W446" i="2"/>
  <c r="W415" i="2"/>
  <c r="X377" i="2"/>
  <c r="Y377" i="2" s="1"/>
  <c r="W342" i="2"/>
  <c r="W317" i="2"/>
  <c r="W279" i="2"/>
  <c r="W239" i="2"/>
  <c r="W150" i="2"/>
  <c r="W112" i="2"/>
  <c r="X73" i="2"/>
  <c r="Y73" i="2" s="1"/>
  <c r="W45" i="2"/>
  <c r="W1028" i="2"/>
  <c r="W1350" i="2"/>
  <c r="W1319" i="2"/>
  <c r="W1293" i="2"/>
  <c r="W1267" i="2"/>
  <c r="W1190" i="2"/>
  <c r="W1114" i="2"/>
  <c r="W1045" i="2"/>
  <c r="W1018" i="2"/>
  <c r="W671" i="2"/>
  <c r="W615" i="2"/>
  <c r="W533" i="2"/>
  <c r="W445" i="2"/>
  <c r="W341" i="2"/>
  <c r="W235" i="2"/>
  <c r="W71" i="2"/>
  <c r="X44" i="2"/>
  <c r="Y44" i="2" s="1"/>
  <c r="W934" i="2"/>
  <c r="W1349" i="2"/>
  <c r="W1266" i="2"/>
  <c r="W1066" i="2"/>
  <c r="W989" i="2"/>
  <c r="W967" i="2"/>
  <c r="W468" i="2"/>
  <c r="X408" i="2"/>
  <c r="Y408" i="2" s="1"/>
  <c r="W373" i="2"/>
  <c r="W340" i="2"/>
  <c r="X315" i="2"/>
  <c r="Y315" i="2" s="1"/>
  <c r="W202" i="2"/>
  <c r="W109" i="2"/>
  <c r="X41" i="2"/>
  <c r="Y41" i="2" s="1"/>
  <c r="W1207" i="2"/>
  <c r="W1005" i="2"/>
  <c r="W1367" i="2"/>
  <c r="W1316" i="2"/>
  <c r="W1187" i="2"/>
  <c r="W1157" i="2"/>
  <c r="W1015" i="2"/>
  <c r="W919" i="2"/>
  <c r="W893" i="2"/>
  <c r="W858" i="2"/>
  <c r="W759" i="2"/>
  <c r="W559" i="2"/>
  <c r="W493" i="2"/>
  <c r="W406" i="2"/>
  <c r="W274" i="2"/>
  <c r="W231" i="2"/>
  <c r="W168" i="2"/>
  <c r="W39" i="2"/>
  <c r="W1258" i="2"/>
  <c r="W1366" i="2"/>
  <c r="W1239" i="2"/>
  <c r="W1110" i="2"/>
  <c r="W964" i="2"/>
  <c r="W826" i="2"/>
  <c r="W787" i="2"/>
  <c r="W698" i="2"/>
  <c r="W663" i="2"/>
  <c r="W610" i="2"/>
  <c r="X584" i="2"/>
  <c r="Y584" i="2" s="1"/>
  <c r="W525" i="2"/>
  <c r="X465" i="2"/>
  <c r="Y465" i="2" s="1"/>
  <c r="W440" i="2"/>
  <c r="W338" i="2"/>
  <c r="W312" i="2"/>
  <c r="X200" i="2"/>
  <c r="Y200" i="2" s="1"/>
  <c r="W167" i="2"/>
  <c r="W139" i="2"/>
  <c r="W38" i="2"/>
  <c r="W1365" i="2"/>
  <c r="W1338" i="2"/>
  <c r="W1286" i="2"/>
  <c r="W1262" i="2"/>
  <c r="W1109" i="2"/>
  <c r="W1061" i="2"/>
  <c r="W916" i="2"/>
  <c r="W723" i="2"/>
  <c r="X491" i="2"/>
  <c r="Y491" i="2" s="1"/>
  <c r="W463" i="2"/>
  <c r="W439" i="2"/>
  <c r="W264" i="2"/>
  <c r="W198" i="2"/>
  <c r="W166" i="2"/>
  <c r="X137" i="2"/>
  <c r="Y137" i="2" s="1"/>
  <c r="W101" i="2"/>
  <c r="X64" i="2"/>
  <c r="Y64" i="2" s="1"/>
  <c r="W1285" i="2"/>
  <c r="W1210" i="2"/>
  <c r="W1107" i="2"/>
  <c r="W1085" i="2"/>
  <c r="W1060" i="2"/>
  <c r="W1031" i="2"/>
  <c r="W938" i="2"/>
  <c r="W855" i="2"/>
  <c r="W634" i="2"/>
  <c r="W580" i="2"/>
  <c r="W400" i="2"/>
  <c r="W336" i="2"/>
  <c r="W309" i="2"/>
  <c r="W263" i="2"/>
  <c r="W226" i="2"/>
  <c r="W165" i="2"/>
  <c r="W135" i="2"/>
  <c r="W35" i="2"/>
  <c r="W1282" i="2"/>
  <c r="W1079" i="2"/>
  <c r="W1175" i="2"/>
  <c r="W1106" i="2"/>
  <c r="W1030" i="2"/>
  <c r="W882" i="2"/>
  <c r="W821" i="2"/>
  <c r="W782" i="2"/>
  <c r="W687" i="2"/>
  <c r="X552" i="2"/>
  <c r="Y552" i="2" s="1"/>
  <c r="W514" i="2"/>
  <c r="W488" i="2"/>
  <c r="W436" i="2"/>
  <c r="X395" i="2"/>
  <c r="Y395" i="2" s="1"/>
  <c r="X363" i="2"/>
  <c r="Y363" i="2" s="1"/>
  <c r="W335" i="2"/>
  <c r="W302" i="2"/>
  <c r="W262" i="2"/>
  <c r="X192" i="2"/>
  <c r="Y192" i="2" s="1"/>
  <c r="X12" i="2"/>
  <c r="Y12" i="2" s="1"/>
  <c r="X11" i="2"/>
  <c r="Y11" i="2" s="1"/>
  <c r="X10" i="2"/>
  <c r="Y10" i="2" s="1"/>
  <c r="X1674" i="2"/>
  <c r="Y1674" i="2" s="1"/>
  <c r="X1276" i="2"/>
  <c r="Y1276" i="2" s="1"/>
  <c r="X319" i="2"/>
  <c r="Y319" i="2" s="1"/>
  <c r="X1432" i="2"/>
  <c r="Y1432" i="2" s="1"/>
  <c r="X1351" i="2"/>
  <c r="Y1351" i="2" s="1"/>
  <c r="X303" i="2"/>
  <c r="Y303" i="2" s="1"/>
  <c r="X327" i="2"/>
  <c r="Y327" i="2" s="1"/>
  <c r="X591" i="2"/>
  <c r="Y591" i="2" s="1"/>
  <c r="W664" i="2"/>
  <c r="X447" i="2"/>
  <c r="Y447" i="2" s="1"/>
  <c r="X152" i="2"/>
  <c r="Y152" i="2" s="1"/>
  <c r="X894" i="2"/>
  <c r="Y894" i="2" s="1"/>
  <c r="X574" i="2"/>
  <c r="Y574" i="2" s="1"/>
  <c r="X1294" i="2"/>
  <c r="Y1294" i="2" s="1"/>
  <c r="X766" i="2"/>
  <c r="Y766" i="2" s="1"/>
  <c r="X560" i="2"/>
  <c r="Y560" i="2" s="1"/>
  <c r="X113" i="2"/>
  <c r="Y113" i="2" s="1"/>
  <c r="X998" i="2"/>
  <c r="Y998" i="2" s="1"/>
  <c r="X194" i="2"/>
  <c r="Y194" i="2" s="1"/>
  <c r="X1389" i="2"/>
  <c r="Y1389" i="2" s="1"/>
  <c r="X1357" i="2"/>
  <c r="Y1357" i="2" s="1"/>
  <c r="W743" i="2"/>
  <c r="X184" i="2"/>
  <c r="Y184" i="2" s="1"/>
  <c r="W416" i="2"/>
  <c r="W314" i="2"/>
  <c r="X1594" i="2"/>
  <c r="Y1594" i="2" s="1"/>
  <c r="W774" i="2"/>
  <c r="W215" i="2"/>
  <c r="X958" i="2"/>
  <c r="Y958" i="2" s="1"/>
  <c r="W58" i="2"/>
  <c r="X79" i="2"/>
  <c r="Y79" i="2" s="1"/>
  <c r="X1859" i="2"/>
  <c r="Y1859" i="2" s="1"/>
  <c r="W1858" i="2"/>
  <c r="X1765" i="2"/>
  <c r="Y1765" i="2" s="1"/>
  <c r="W1764" i="2"/>
  <c r="X1589" i="2"/>
  <c r="Y1589" i="2" s="1"/>
  <c r="W1588" i="2"/>
  <c r="X1563" i="2"/>
  <c r="Y1563" i="2" s="1"/>
  <c r="W1562" i="2"/>
  <c r="X1273" i="2"/>
  <c r="Y1273" i="2" s="1"/>
  <c r="W1272" i="2"/>
  <c r="X1150" i="2"/>
  <c r="Y1150" i="2" s="1"/>
  <c r="W1149" i="2"/>
  <c r="X915" i="2"/>
  <c r="Y915" i="2" s="1"/>
  <c r="W914" i="2"/>
  <c r="X1660" i="2"/>
  <c r="Y1660" i="2" s="1"/>
  <c r="W1659" i="2"/>
  <c r="X1393" i="2"/>
  <c r="Y1393" i="2" s="1"/>
  <c r="W1392" i="2"/>
  <c r="X1583" i="2"/>
  <c r="Y1583" i="2" s="1"/>
  <c r="W1582" i="2"/>
  <c r="W1086" i="2"/>
  <c r="X1087" i="2"/>
  <c r="Y1087" i="2" s="1"/>
  <c r="X1043" i="2"/>
  <c r="Y1043" i="2" s="1"/>
  <c r="W1042" i="2"/>
  <c r="X1681" i="2"/>
  <c r="Y1681" i="2" s="1"/>
  <c r="W1680" i="2"/>
  <c r="X1654" i="2"/>
  <c r="Y1654" i="2" s="1"/>
  <c r="W1653" i="2"/>
  <c r="X1509" i="2"/>
  <c r="Y1509" i="2" s="1"/>
  <c r="W1508" i="2"/>
  <c r="X1244" i="2"/>
  <c r="Y1244" i="2" s="1"/>
  <c r="W1243" i="2"/>
  <c r="X1218" i="2"/>
  <c r="Y1218" i="2" s="1"/>
  <c r="W1217" i="2"/>
  <c r="X1265" i="2"/>
  <c r="Y1265" i="2" s="1"/>
  <c r="W1264" i="2"/>
  <c r="X1163" i="2"/>
  <c r="Y1163" i="2" s="1"/>
  <c r="W1162" i="2"/>
  <c r="W1744" i="2"/>
  <c r="W944" i="2"/>
  <c r="X945" i="2"/>
  <c r="Y945" i="2" s="1"/>
  <c r="X1799" i="2"/>
  <c r="Y1799" i="2" s="1"/>
  <c r="W1798" i="2"/>
  <c r="X1671" i="2"/>
  <c r="Y1671" i="2" s="1"/>
  <c r="W1670" i="2"/>
  <c r="X1381" i="2"/>
  <c r="Y1381" i="2" s="1"/>
  <c r="W1380" i="2"/>
  <c r="X2017" i="2"/>
  <c r="Y2017" i="2" s="1"/>
  <c r="W2016" i="2"/>
  <c r="X1523" i="2"/>
  <c r="Y1523" i="2" s="1"/>
  <c r="W1522" i="2"/>
  <c r="X983" i="2"/>
  <c r="Y983" i="2" s="1"/>
  <c r="W982" i="2"/>
  <c r="X1227" i="2"/>
  <c r="Y1227" i="2" s="1"/>
  <c r="W1226" i="2"/>
  <c r="W778" i="2"/>
  <c r="X1017" i="2"/>
  <c r="Y1017" i="2" s="1"/>
  <c r="W1016" i="2"/>
  <c r="X942" i="2"/>
  <c r="Y942" i="2" s="1"/>
  <c r="W941" i="2"/>
  <c r="X905" i="2"/>
  <c r="Y905" i="2" s="1"/>
  <c r="W904" i="2"/>
  <c r="W829" i="2"/>
  <c r="X719" i="2"/>
  <c r="Y719" i="2" s="1"/>
  <c r="W718" i="2"/>
  <c r="W553" i="2"/>
  <c r="W516" i="2"/>
  <c r="W418" i="2"/>
  <c r="W346" i="2"/>
  <c r="W2012" i="2"/>
  <c r="X1805" i="2"/>
  <c r="Y1805" i="2" s="1"/>
  <c r="W1804" i="2"/>
  <c r="X1691" i="2"/>
  <c r="Y1691" i="2" s="1"/>
  <c r="W1690" i="2"/>
  <c r="X1417" i="2"/>
  <c r="Y1417" i="2" s="1"/>
  <c r="W1416" i="2"/>
  <c r="X1252" i="2"/>
  <c r="Y1252" i="2" s="1"/>
  <c r="W1251" i="2"/>
  <c r="X2011" i="2"/>
  <c r="Y2011" i="2" s="1"/>
  <c r="W2010" i="2"/>
  <c r="X1989" i="2"/>
  <c r="Y1989" i="2" s="1"/>
  <c r="W1988" i="2"/>
  <c r="W1637" i="2"/>
  <c r="X1519" i="2"/>
  <c r="Y1519" i="2" s="1"/>
  <c r="W1518" i="2"/>
  <c r="X1314" i="2"/>
  <c r="Y1314" i="2" s="1"/>
  <c r="W1313" i="2"/>
  <c r="X1059" i="2"/>
  <c r="Y1059" i="2" s="1"/>
  <c r="W1058" i="2"/>
  <c r="X1937" i="2"/>
  <c r="Y1937" i="2" s="1"/>
  <c r="W1936" i="2"/>
  <c r="X1916" i="2"/>
  <c r="Y1916" i="2" s="1"/>
  <c r="W1915" i="2"/>
  <c r="X1822" i="2"/>
  <c r="Y1822" i="2" s="1"/>
  <c r="W1821" i="2"/>
  <c r="X1786" i="2"/>
  <c r="Y1786" i="2" s="1"/>
  <c r="W1785" i="2"/>
  <c r="X1714" i="2"/>
  <c r="Y1714" i="2" s="1"/>
  <c r="W1713" i="2"/>
  <c r="W1664" i="2"/>
  <c r="X1578" i="2"/>
  <c r="Y1578" i="2" s="1"/>
  <c r="W1577" i="2"/>
  <c r="X1436" i="2"/>
  <c r="Y1436" i="2" s="1"/>
  <c r="W1435" i="2"/>
  <c r="W1412" i="2"/>
  <c r="X1269" i="2"/>
  <c r="Y1269" i="2" s="1"/>
  <c r="W1268" i="2"/>
  <c r="X1229" i="2"/>
  <c r="Y1229" i="2" s="1"/>
  <c r="W1228" i="2"/>
  <c r="X1209" i="2"/>
  <c r="Y1209" i="2" s="1"/>
  <c r="W1208" i="2"/>
  <c r="X1189" i="2"/>
  <c r="Y1189" i="2" s="1"/>
  <c r="W1188" i="2"/>
  <c r="X1165" i="2"/>
  <c r="Y1165" i="2" s="1"/>
  <c r="W1164" i="2"/>
  <c r="X1130" i="2"/>
  <c r="Y1130" i="2" s="1"/>
  <c r="W1129" i="2"/>
  <c r="W1111" i="2"/>
  <c r="W1032" i="2"/>
  <c r="X979" i="2"/>
  <c r="Y979" i="2" s="1"/>
  <c r="W978" i="2"/>
  <c r="X940" i="2"/>
  <c r="Y940" i="2" s="1"/>
  <c r="W939" i="2"/>
  <c r="X922" i="2"/>
  <c r="Y922" i="2" s="1"/>
  <c r="W921" i="2"/>
  <c r="X903" i="2"/>
  <c r="Y903" i="2" s="1"/>
  <c r="W902" i="2"/>
  <c r="W878" i="2"/>
  <c r="X828" i="2"/>
  <c r="Y828" i="2" s="1"/>
  <c r="W827" i="2"/>
  <c r="W790" i="2"/>
  <c r="W689" i="2"/>
  <c r="X670" i="2"/>
  <c r="Y670" i="2" s="1"/>
  <c r="W669" i="2"/>
  <c r="X595" i="2"/>
  <c r="Y595" i="2" s="1"/>
  <c r="W594" i="2"/>
  <c r="W46" i="2"/>
  <c r="X47" i="2"/>
  <c r="Y47" i="2" s="1"/>
  <c r="X1669" i="2"/>
  <c r="Y1669" i="2" s="1"/>
  <c r="W1668" i="2"/>
  <c r="X1970" i="2"/>
  <c r="Y1970" i="2" s="1"/>
  <c r="W1969" i="2"/>
  <c r="W1893" i="2"/>
  <c r="X1803" i="2"/>
  <c r="Y1803" i="2" s="1"/>
  <c r="W1802" i="2"/>
  <c r="X1759" i="2"/>
  <c r="Y1759" i="2" s="1"/>
  <c r="W1758" i="2"/>
  <c r="X1734" i="2"/>
  <c r="Y1734" i="2" s="1"/>
  <c r="W1733" i="2"/>
  <c r="X1580" i="2"/>
  <c r="Y1580" i="2" s="1"/>
  <c r="W1579" i="2"/>
  <c r="W1558" i="2"/>
  <c r="W1478" i="2"/>
  <c r="X1077" i="2"/>
  <c r="Y1077" i="2" s="1"/>
  <c r="W1076" i="2"/>
  <c r="X1987" i="2"/>
  <c r="Y1987" i="2" s="1"/>
  <c r="W1986" i="2"/>
  <c r="W1962" i="2"/>
  <c r="X1892" i="2"/>
  <c r="Y1892" i="2" s="1"/>
  <c r="W1891" i="2"/>
  <c r="X1843" i="2"/>
  <c r="Y1843" i="2" s="1"/>
  <c r="W1842" i="2"/>
  <c r="X1732" i="2"/>
  <c r="Y1732" i="2" s="1"/>
  <c r="W1731" i="2"/>
  <c r="X1663" i="2"/>
  <c r="Y1663" i="2" s="1"/>
  <c r="W1662" i="2"/>
  <c r="X1620" i="2"/>
  <c r="Y1620" i="2" s="1"/>
  <c r="W1619" i="2"/>
  <c r="X1516" i="2"/>
  <c r="Y1516" i="2" s="1"/>
  <c r="W1515" i="2"/>
  <c r="W1494" i="2"/>
  <c r="X1456" i="2"/>
  <c r="Y1456" i="2" s="1"/>
  <c r="W1455" i="2"/>
  <c r="X1411" i="2"/>
  <c r="Y1411" i="2" s="1"/>
  <c r="W1410" i="2"/>
  <c r="W1309" i="2"/>
  <c r="W1289" i="2"/>
  <c r="X1249" i="2"/>
  <c r="Y1249" i="2" s="1"/>
  <c r="X1146" i="2"/>
  <c r="Y1146" i="2" s="1"/>
  <c r="X1093" i="2"/>
  <c r="Y1093" i="2" s="1"/>
  <c r="W1092" i="2"/>
  <c r="X877" i="2"/>
  <c r="Y877" i="2" s="1"/>
  <c r="W788" i="2"/>
  <c r="X763" i="2"/>
  <c r="Y763" i="2" s="1"/>
  <c r="W762" i="2"/>
  <c r="X642" i="2"/>
  <c r="Y642" i="2" s="1"/>
  <c r="W641" i="2"/>
  <c r="X467" i="2"/>
  <c r="Y467" i="2" s="1"/>
  <c r="W466" i="2"/>
  <c r="W104" i="2"/>
  <c r="X1096" i="2"/>
  <c r="Y1096" i="2" s="1"/>
  <c r="W1095" i="2"/>
  <c r="X2007" i="2"/>
  <c r="Y2007" i="2" s="1"/>
  <c r="W2006" i="2"/>
  <c r="X1961" i="2"/>
  <c r="Y1961" i="2" s="1"/>
  <c r="W1960" i="2"/>
  <c r="X1783" i="2"/>
  <c r="Y1783" i="2" s="1"/>
  <c r="W1782" i="2"/>
  <c r="X1756" i="2"/>
  <c r="Y1756" i="2" s="1"/>
  <c r="W1755" i="2"/>
  <c r="X1687" i="2"/>
  <c r="Y1687" i="2" s="1"/>
  <c r="W1686" i="2"/>
  <c r="X1596" i="2"/>
  <c r="Y1596" i="2" s="1"/>
  <c r="W1595" i="2"/>
  <c r="X1575" i="2"/>
  <c r="Y1575" i="2" s="1"/>
  <c r="W1574" i="2"/>
  <c r="X1556" i="2"/>
  <c r="Y1556" i="2" s="1"/>
  <c r="W1555" i="2"/>
  <c r="X1514" i="2"/>
  <c r="Y1514" i="2" s="1"/>
  <c r="W1513" i="2"/>
  <c r="X1475" i="2"/>
  <c r="Y1475" i="2" s="1"/>
  <c r="W1474" i="2"/>
  <c r="X1386" i="2"/>
  <c r="Y1386" i="2" s="1"/>
  <c r="W1385" i="2"/>
  <c r="X1308" i="2"/>
  <c r="Y1308" i="2" s="1"/>
  <c r="W1307" i="2"/>
  <c r="X1288" i="2"/>
  <c r="Y1288" i="2" s="1"/>
  <c r="W1287" i="2"/>
  <c r="X1091" i="2"/>
  <c r="Y1091" i="2" s="1"/>
  <c r="W1090" i="2"/>
  <c r="X825" i="2"/>
  <c r="Y825" i="2" s="1"/>
  <c r="W824" i="2"/>
  <c r="X761" i="2"/>
  <c r="Y761" i="2" s="1"/>
  <c r="W760" i="2"/>
  <c r="X736" i="2"/>
  <c r="Y736" i="2" s="1"/>
  <c r="X715" i="2"/>
  <c r="Y715" i="2" s="1"/>
  <c r="W623" i="2"/>
  <c r="X1984" i="2"/>
  <c r="Y1984" i="2" s="1"/>
  <c r="W1983" i="2"/>
  <c r="W1886" i="2"/>
  <c r="X1781" i="2"/>
  <c r="Y1781" i="2" s="1"/>
  <c r="W1780" i="2"/>
  <c r="X1754" i="2"/>
  <c r="Y1754" i="2" s="1"/>
  <c r="W1753" i="2"/>
  <c r="X1634" i="2"/>
  <c r="Y1634" i="2" s="1"/>
  <c r="X1617" i="2"/>
  <c r="Y1617" i="2" s="1"/>
  <c r="W1616" i="2"/>
  <c r="X1573" i="2"/>
  <c r="Y1573" i="2" s="1"/>
  <c r="W1572" i="2"/>
  <c r="X1554" i="2"/>
  <c r="Y1554" i="2" s="1"/>
  <c r="W1553" i="2"/>
  <c r="X1330" i="2"/>
  <c r="Y1330" i="2" s="1"/>
  <c r="W1329" i="2"/>
  <c r="X1247" i="2"/>
  <c r="Y1247" i="2" s="1"/>
  <c r="W1246" i="2"/>
  <c r="W1178" i="2"/>
  <c r="X1127" i="2"/>
  <c r="Y1127" i="2" s="1"/>
  <c r="W1126" i="2"/>
  <c r="X1108" i="2"/>
  <c r="Y1108" i="2" s="1"/>
  <c r="X1073" i="2"/>
  <c r="Y1073" i="2" s="1"/>
  <c r="W1012" i="2"/>
  <c r="X975" i="2"/>
  <c r="Y975" i="2" s="1"/>
  <c r="W974" i="2"/>
  <c r="X823" i="2"/>
  <c r="Y823" i="2" s="1"/>
  <c r="W822" i="2"/>
  <c r="X786" i="2"/>
  <c r="Y786" i="2" s="1"/>
  <c r="W785" i="2"/>
  <c r="X784" i="2"/>
  <c r="Y784" i="2" s="1"/>
  <c r="W783" i="2"/>
  <c r="W755" i="2"/>
  <c r="X662" i="2"/>
  <c r="Y662" i="2" s="1"/>
  <c r="W661" i="2"/>
  <c r="X639" i="2"/>
  <c r="Y639" i="2" s="1"/>
  <c r="W638" i="2"/>
  <c r="X617" i="2"/>
  <c r="Y617" i="2" s="1"/>
  <c r="W616" i="2"/>
  <c r="X1982" i="2"/>
  <c r="Y1982" i="2" s="1"/>
  <c r="W1981" i="2"/>
  <c r="X1933" i="2"/>
  <c r="Y1933" i="2" s="1"/>
  <c r="W1932" i="2"/>
  <c r="X1885" i="2"/>
  <c r="Y1885" i="2" s="1"/>
  <c r="W1884" i="2"/>
  <c r="X1819" i="2"/>
  <c r="Y1819" i="2" s="1"/>
  <c r="W1818" i="2"/>
  <c r="W1682" i="2"/>
  <c r="X1615" i="2"/>
  <c r="Y1615" i="2" s="1"/>
  <c r="W1614" i="2"/>
  <c r="W1510" i="2"/>
  <c r="X1452" i="2"/>
  <c r="Y1452" i="2" s="1"/>
  <c r="W1451" i="2"/>
  <c r="W1406" i="2"/>
  <c r="X1125" i="2"/>
  <c r="Y1125" i="2" s="1"/>
  <c r="W1124" i="2"/>
  <c r="X1055" i="2"/>
  <c r="Y1055" i="2" s="1"/>
  <c r="W1054" i="2"/>
  <c r="X1011" i="2"/>
  <c r="Y1011" i="2" s="1"/>
  <c r="W1010" i="2"/>
  <c r="X954" i="2"/>
  <c r="Y954" i="2" s="1"/>
  <c r="W953" i="2"/>
  <c r="X918" i="2"/>
  <c r="Y918" i="2" s="1"/>
  <c r="W917" i="2"/>
  <c r="W1955" i="2"/>
  <c r="X1839" i="2"/>
  <c r="Y1839" i="2" s="1"/>
  <c r="W1838" i="2"/>
  <c r="W1771" i="2"/>
  <c r="X1728" i="2"/>
  <c r="Y1728" i="2" s="1"/>
  <c r="W1727" i="2"/>
  <c r="X1658" i="2"/>
  <c r="Y1658" i="2" s="1"/>
  <c r="W1657" i="2"/>
  <c r="X1551" i="2"/>
  <c r="Y1551" i="2" s="1"/>
  <c r="W1550" i="2"/>
  <c r="X1491" i="2"/>
  <c r="Y1491" i="2" s="1"/>
  <c r="W1490" i="2"/>
  <c r="X1405" i="2"/>
  <c r="Y1405" i="2" s="1"/>
  <c r="W1404" i="2"/>
  <c r="X1284" i="2"/>
  <c r="Y1284" i="2" s="1"/>
  <c r="W1283" i="2"/>
  <c r="X1223" i="2"/>
  <c r="Y1223" i="2" s="1"/>
  <c r="W1222" i="2"/>
  <c r="X1142" i="2"/>
  <c r="Y1142" i="2" s="1"/>
  <c r="W1141" i="2"/>
  <c r="X972" i="2"/>
  <c r="Y972" i="2" s="1"/>
  <c r="W971" i="2"/>
  <c r="X936" i="2"/>
  <c r="Y936" i="2" s="1"/>
  <c r="W935" i="2"/>
  <c r="X898" i="2"/>
  <c r="Y898" i="2" s="1"/>
  <c r="X462" i="2"/>
  <c r="Y462" i="2" s="1"/>
  <c r="W461" i="2"/>
  <c r="W471" i="2"/>
  <c r="X2003" i="2"/>
  <c r="Y2003" i="2" s="1"/>
  <c r="W2002" i="2"/>
  <c r="X1954" i="2"/>
  <c r="Y1954" i="2" s="1"/>
  <c r="W1953" i="2"/>
  <c r="X1906" i="2"/>
  <c r="Y1906" i="2" s="1"/>
  <c r="W1905" i="2"/>
  <c r="W1874" i="2"/>
  <c r="X1817" i="2"/>
  <c r="Y1817" i="2" s="1"/>
  <c r="W1816" i="2"/>
  <c r="X1570" i="2"/>
  <c r="Y1570" i="2" s="1"/>
  <c r="W1569" i="2"/>
  <c r="X1549" i="2"/>
  <c r="Y1549" i="2" s="1"/>
  <c r="W1548" i="2"/>
  <c r="X1449" i="2"/>
  <c r="Y1449" i="2" s="1"/>
  <c r="X1355" i="2"/>
  <c r="Y1355" i="2" s="1"/>
  <c r="W1354" i="2"/>
  <c r="X1326" i="2"/>
  <c r="Y1326" i="2" s="1"/>
  <c r="W1325" i="2"/>
  <c r="X1304" i="2"/>
  <c r="Y1304" i="2" s="1"/>
  <c r="X1159" i="2"/>
  <c r="Y1159" i="2" s="1"/>
  <c r="W1158" i="2"/>
  <c r="X1070" i="2"/>
  <c r="Y1070" i="2" s="1"/>
  <c r="X991" i="2"/>
  <c r="Y991" i="2" s="1"/>
  <c r="W990" i="2"/>
  <c r="X970" i="2"/>
  <c r="Y970" i="2" s="1"/>
  <c r="W969" i="2"/>
  <c r="X873" i="2"/>
  <c r="Y873" i="2" s="1"/>
  <c r="W872" i="2"/>
  <c r="X818" i="2"/>
  <c r="Y818" i="2" s="1"/>
  <c r="W817" i="2"/>
  <c r="X781" i="2"/>
  <c r="Y781" i="2" s="1"/>
  <c r="W780" i="2"/>
  <c r="X754" i="2"/>
  <c r="Y754" i="2" s="1"/>
  <c r="W753" i="2"/>
  <c r="X712" i="2"/>
  <c r="Y712" i="2" s="1"/>
  <c r="W711" i="2"/>
  <c r="W541" i="2"/>
  <c r="X158" i="2"/>
  <c r="Y158" i="2" s="1"/>
  <c r="W157" i="2"/>
  <c r="X1978" i="2"/>
  <c r="Y1978" i="2" s="1"/>
  <c r="W1977" i="2"/>
  <c r="X1929" i="2"/>
  <c r="Y1929" i="2" s="1"/>
  <c r="W1928" i="2"/>
  <c r="X1795" i="2"/>
  <c r="Y1795" i="2" s="1"/>
  <c r="W1794" i="2"/>
  <c r="W1590" i="2"/>
  <c r="X1568" i="2"/>
  <c r="Y1568" i="2" s="1"/>
  <c r="X1471" i="2"/>
  <c r="Y1471" i="2" s="1"/>
  <c r="W1470" i="2"/>
  <c r="W1400" i="2"/>
  <c r="X1379" i="2"/>
  <c r="Y1379" i="2" s="1"/>
  <c r="W1378" i="2"/>
  <c r="X1281" i="2"/>
  <c r="Y1281" i="2" s="1"/>
  <c r="W1280" i="2"/>
  <c r="X1261" i="2"/>
  <c r="Y1261" i="2" s="1"/>
  <c r="W1260" i="2"/>
  <c r="X1242" i="2"/>
  <c r="Y1242" i="2" s="1"/>
  <c r="W1241" i="2"/>
  <c r="X1174" i="2"/>
  <c r="Y1174" i="2" s="1"/>
  <c r="W1173" i="2"/>
  <c r="X1122" i="2"/>
  <c r="Y1122" i="2" s="1"/>
  <c r="W1121" i="2"/>
  <c r="X1051" i="2"/>
  <c r="Y1051" i="2" s="1"/>
  <c r="W1050" i="2"/>
  <c r="X950" i="2"/>
  <c r="Y950" i="2" s="1"/>
  <c r="W949" i="2"/>
  <c r="W731" i="2"/>
  <c r="X710" i="2"/>
  <c r="Y710" i="2" s="1"/>
  <c r="W709" i="2"/>
  <c r="X656" i="2"/>
  <c r="Y656" i="2" s="1"/>
  <c r="W655" i="2"/>
  <c r="X612" i="2"/>
  <c r="Y612" i="2" s="1"/>
  <c r="W611" i="2"/>
  <c r="X587" i="2"/>
  <c r="Y587" i="2" s="1"/>
  <c r="W586" i="2"/>
  <c r="X182" i="2"/>
  <c r="Y182" i="2" s="1"/>
  <c r="W181" i="2"/>
  <c r="W1991" i="2"/>
  <c r="W1998" i="2"/>
  <c r="W1852" i="2"/>
  <c r="W1834" i="2"/>
  <c r="W1675" i="2"/>
  <c r="X1611" i="2"/>
  <c r="Y1611" i="2" s="1"/>
  <c r="W1610" i="2"/>
  <c r="X1487" i="2"/>
  <c r="Y1487" i="2" s="1"/>
  <c r="W1486" i="2"/>
  <c r="X1428" i="2"/>
  <c r="Y1428" i="2" s="1"/>
  <c r="W1427" i="2"/>
  <c r="W1398" i="2"/>
  <c r="X1279" i="2"/>
  <c r="Y1279" i="2" s="1"/>
  <c r="W1278" i="2"/>
  <c r="X1172" i="2"/>
  <c r="Y1172" i="2" s="1"/>
  <c r="W1171" i="2"/>
  <c r="X1138" i="2"/>
  <c r="Y1138" i="2" s="1"/>
  <c r="X1068" i="2"/>
  <c r="Y1068" i="2" s="1"/>
  <c r="W1067" i="2"/>
  <c r="X913" i="2"/>
  <c r="Y913" i="2" s="1"/>
  <c r="X840" i="2"/>
  <c r="Y840" i="2" s="1"/>
  <c r="W839" i="2"/>
  <c r="X730" i="2"/>
  <c r="Y730" i="2" s="1"/>
  <c r="W729" i="2"/>
  <c r="W205" i="2"/>
  <c r="W1719" i="2"/>
  <c r="W1760" i="2"/>
  <c r="X1599" i="2"/>
  <c r="Y1599" i="2" s="1"/>
  <c r="W1598" i="2"/>
  <c r="X1232" i="2"/>
  <c r="Y1232" i="2" s="1"/>
  <c r="W1231" i="2"/>
  <c r="W720" i="2"/>
  <c r="W651" i="2"/>
  <c r="X563" i="2"/>
  <c r="Y563" i="2" s="1"/>
  <c r="W562" i="2"/>
  <c r="X433" i="2"/>
  <c r="Y433" i="2" s="1"/>
  <c r="W432" i="2"/>
  <c r="X233" i="2"/>
  <c r="Y233" i="2" s="1"/>
  <c r="W232" i="2"/>
  <c r="W1946" i="2"/>
  <c r="X1851" i="2"/>
  <c r="Y1851" i="2" s="1"/>
  <c r="W1850" i="2"/>
  <c r="X1833" i="2"/>
  <c r="Y1833" i="2" s="1"/>
  <c r="W1832" i="2"/>
  <c r="X1813" i="2"/>
  <c r="Y1813" i="2" s="1"/>
  <c r="W1812" i="2"/>
  <c r="X1792" i="2"/>
  <c r="Y1792" i="2" s="1"/>
  <c r="W1791" i="2"/>
  <c r="X1724" i="2"/>
  <c r="Y1724" i="2" s="1"/>
  <c r="W1723" i="2"/>
  <c r="X1630" i="2"/>
  <c r="Y1630" i="2" s="1"/>
  <c r="W1629" i="2"/>
  <c r="X1468" i="2"/>
  <c r="Y1468" i="2" s="1"/>
  <c r="W1467" i="2"/>
  <c r="X1322" i="2"/>
  <c r="Y1322" i="2" s="1"/>
  <c r="W1321" i="2"/>
  <c r="X1007" i="2"/>
  <c r="Y1007" i="2" s="1"/>
  <c r="W1006" i="2"/>
  <c r="X947" i="2"/>
  <c r="Y947" i="2" s="1"/>
  <c r="W946" i="2"/>
  <c r="X931" i="2"/>
  <c r="Y931" i="2" s="1"/>
  <c r="W930" i="2"/>
  <c r="W862" i="2"/>
  <c r="X2019" i="2"/>
  <c r="Y2019" i="2" s="1"/>
  <c r="W2018" i="2"/>
  <c r="X1945" i="2"/>
  <c r="Y1945" i="2" s="1"/>
  <c r="W1944" i="2"/>
  <c r="X1924" i="2"/>
  <c r="Y1924" i="2" s="1"/>
  <c r="W1923" i="2"/>
  <c r="X1767" i="2"/>
  <c r="Y1767" i="2" s="1"/>
  <c r="W1766" i="2"/>
  <c r="W1606" i="2"/>
  <c r="X1565" i="2"/>
  <c r="Y1565" i="2" s="1"/>
  <c r="W1564" i="2"/>
  <c r="X1503" i="2"/>
  <c r="Y1503" i="2" s="1"/>
  <c r="W1502" i="2"/>
  <c r="X1466" i="2"/>
  <c r="Y1466" i="2" s="1"/>
  <c r="W1465" i="2"/>
  <c r="X1425" i="2"/>
  <c r="Y1425" i="2" s="1"/>
  <c r="W1424" i="2"/>
  <c r="W1394" i="2"/>
  <c r="X1257" i="2"/>
  <c r="Y1257" i="2" s="1"/>
  <c r="W1256" i="2"/>
  <c r="X1238" i="2"/>
  <c r="Y1238" i="2" s="1"/>
  <c r="W1237" i="2"/>
  <c r="W1082" i="2"/>
  <c r="X1047" i="2"/>
  <c r="Y1047" i="2" s="1"/>
  <c r="W1046" i="2"/>
  <c r="X748" i="2"/>
  <c r="Y748" i="2" s="1"/>
  <c r="W747" i="2"/>
  <c r="X727" i="2"/>
  <c r="Y727" i="2" s="1"/>
  <c r="W726" i="2"/>
  <c r="X605" i="2"/>
  <c r="Y605" i="2" s="1"/>
  <c r="W604" i="2"/>
  <c r="X582" i="2"/>
  <c r="Y582" i="2" s="1"/>
  <c r="W581" i="2"/>
  <c r="X535" i="2"/>
  <c r="Y535" i="2" s="1"/>
  <c r="W534" i="2"/>
  <c r="W476" i="2"/>
  <c r="X1499" i="2"/>
  <c r="Y1499" i="2" s="1"/>
  <c r="W1498" i="2"/>
  <c r="W1437" i="2"/>
  <c r="X1997" i="2"/>
  <c r="Y1997" i="2" s="1"/>
  <c r="W1996" i="2"/>
  <c r="X1902" i="2"/>
  <c r="Y1902" i="2" s="1"/>
  <c r="W1901" i="2"/>
  <c r="X1545" i="2"/>
  <c r="Y1545" i="2" s="1"/>
  <c r="W1544" i="2"/>
  <c r="W1368" i="2"/>
  <c r="X1154" i="2"/>
  <c r="Y1154" i="2" s="1"/>
  <c r="W1153" i="2"/>
  <c r="X1120" i="2"/>
  <c r="Y1120" i="2" s="1"/>
  <c r="W1119" i="2"/>
  <c r="X1104" i="2"/>
  <c r="Y1104" i="2" s="1"/>
  <c r="W1103" i="2"/>
  <c r="X987" i="2"/>
  <c r="Y987" i="2" s="1"/>
  <c r="W986" i="2"/>
  <c r="X1974" i="2"/>
  <c r="Y1974" i="2" s="1"/>
  <c r="W1973" i="2"/>
  <c r="X1810" i="2"/>
  <c r="Y1810" i="2" s="1"/>
  <c r="W1809" i="2"/>
  <c r="X1790" i="2"/>
  <c r="Y1790" i="2" s="1"/>
  <c r="W1789" i="2"/>
  <c r="X1605" i="2"/>
  <c r="Y1605" i="2" s="1"/>
  <c r="W1604" i="2"/>
  <c r="W1584" i="2"/>
  <c r="W1534" i="2"/>
  <c r="X1483" i="2"/>
  <c r="Y1483" i="2" s="1"/>
  <c r="W1482" i="2"/>
  <c r="X1444" i="2"/>
  <c r="Y1444" i="2" s="1"/>
  <c r="W1443" i="2"/>
  <c r="X1423" i="2"/>
  <c r="Y1423" i="2" s="1"/>
  <c r="W1422" i="2"/>
  <c r="X1298" i="2"/>
  <c r="Y1298" i="2" s="1"/>
  <c r="W1297" i="2"/>
  <c r="X1081" i="2"/>
  <c r="Y1081" i="2" s="1"/>
  <c r="W1080" i="2"/>
  <c r="X1065" i="2"/>
  <c r="Y1065" i="2" s="1"/>
  <c r="W1064" i="2"/>
  <c r="X1023" i="2"/>
  <c r="Y1023" i="2" s="1"/>
  <c r="W1022" i="2"/>
  <c r="X1004" i="2"/>
  <c r="Y1004" i="2" s="1"/>
  <c r="W1003" i="2"/>
  <c r="W835" i="2"/>
  <c r="X772" i="2"/>
  <c r="Y772" i="2" s="1"/>
  <c r="W771" i="2"/>
  <c r="X630" i="2"/>
  <c r="Y630" i="2" s="1"/>
  <c r="W629" i="2"/>
  <c r="X497" i="2"/>
  <c r="Y497" i="2" s="1"/>
  <c r="W496" i="2"/>
  <c r="X475" i="2"/>
  <c r="Y475" i="2" s="1"/>
  <c r="W474" i="2"/>
  <c r="X453" i="2"/>
  <c r="Y453" i="2" s="1"/>
  <c r="W452" i="2"/>
  <c r="X1641" i="2"/>
  <c r="Y1641" i="2" s="1"/>
  <c r="W1640" i="2"/>
  <c r="W807" i="2"/>
  <c r="X1994" i="2"/>
  <c r="Y1994" i="2" s="1"/>
  <c r="W1993" i="2"/>
  <c r="W1828" i="2"/>
  <c r="X1808" i="2"/>
  <c r="Y1808" i="2" s="1"/>
  <c r="W1807" i="2"/>
  <c r="W1738" i="2"/>
  <c r="X1644" i="2"/>
  <c r="Y1644" i="2" s="1"/>
  <c r="W1643" i="2"/>
  <c r="W1625" i="2"/>
  <c r="W1461" i="2"/>
  <c r="X1442" i="2"/>
  <c r="Y1442" i="2" s="1"/>
  <c r="W1441" i="2"/>
  <c r="W1340" i="2"/>
  <c r="X1318" i="2"/>
  <c r="Y1318" i="2" s="1"/>
  <c r="W1317" i="2"/>
  <c r="X1215" i="2"/>
  <c r="Y1215" i="2" s="1"/>
  <c r="W1214" i="2"/>
  <c r="X1100" i="2"/>
  <c r="Y1100" i="2" s="1"/>
  <c r="W1099" i="2"/>
  <c r="X1063" i="2"/>
  <c r="Y1063" i="2" s="1"/>
  <c r="W1062" i="2"/>
  <c r="X1021" i="2"/>
  <c r="Y1021" i="2" s="1"/>
  <c r="W1020" i="2"/>
  <c r="X962" i="2"/>
  <c r="Y962" i="2" s="1"/>
  <c r="W961" i="2"/>
  <c r="X928" i="2"/>
  <c r="Y928" i="2" s="1"/>
  <c r="W927" i="2"/>
  <c r="X910" i="2"/>
  <c r="Y910" i="2" s="1"/>
  <c r="W909" i="2"/>
  <c r="W884" i="2"/>
  <c r="X834" i="2"/>
  <c r="Y834" i="2" s="1"/>
  <c r="X725" i="2"/>
  <c r="Y725" i="2" s="1"/>
  <c r="W724" i="2"/>
  <c r="W701" i="2"/>
  <c r="X674" i="2"/>
  <c r="Y674" i="2" s="1"/>
  <c r="W673" i="2"/>
  <c r="W600" i="2"/>
  <c r="X579" i="2"/>
  <c r="Y579" i="2" s="1"/>
  <c r="W578" i="2"/>
  <c r="X332" i="2"/>
  <c r="Y332" i="2" s="1"/>
  <c r="W331" i="2"/>
  <c r="W1911" i="2"/>
  <c r="X1941" i="2"/>
  <c r="Y1941" i="2" s="1"/>
  <c r="W1940" i="2"/>
  <c r="X1920" i="2"/>
  <c r="Y1920" i="2" s="1"/>
  <c r="W1919" i="2"/>
  <c r="X1898" i="2"/>
  <c r="Y1898" i="2" s="1"/>
  <c r="W1897" i="2"/>
  <c r="X1847" i="2"/>
  <c r="Y1847" i="2" s="1"/>
  <c r="W1846" i="2"/>
  <c r="X1827" i="2"/>
  <c r="Y1827" i="2" s="1"/>
  <c r="W1826" i="2"/>
  <c r="X1737" i="2"/>
  <c r="Y1737" i="2" s="1"/>
  <c r="W1736" i="2"/>
  <c r="X1693" i="2"/>
  <c r="Y1693" i="2" s="1"/>
  <c r="W1692" i="2"/>
  <c r="W1600" i="2"/>
  <c r="X1460" i="2"/>
  <c r="Y1460" i="2" s="1"/>
  <c r="W1233" i="2"/>
  <c r="X1213" i="2"/>
  <c r="Y1213" i="2" s="1"/>
  <c r="W1212" i="2"/>
  <c r="X1168" i="2"/>
  <c r="Y1168" i="2" s="1"/>
  <c r="X1134" i="2"/>
  <c r="Y1134" i="2" s="1"/>
  <c r="W1133" i="2"/>
  <c r="X1116" i="2"/>
  <c r="Y1116" i="2" s="1"/>
  <c r="W1115" i="2"/>
  <c r="X1002" i="2"/>
  <c r="Y1002" i="2" s="1"/>
  <c r="W1001" i="2"/>
  <c r="X926" i="2"/>
  <c r="Y926" i="2" s="1"/>
  <c r="W925" i="2"/>
  <c r="X908" i="2"/>
  <c r="Y908" i="2" s="1"/>
  <c r="W907" i="2"/>
  <c r="W798" i="2"/>
  <c r="W767" i="2"/>
  <c r="X742" i="2"/>
  <c r="Y742" i="2" s="1"/>
  <c r="X700" i="2"/>
  <c r="Y700" i="2" s="1"/>
  <c r="W699" i="2"/>
  <c r="X646" i="2"/>
  <c r="Y646" i="2" s="1"/>
  <c r="X628" i="2"/>
  <c r="Y628" i="2" s="1"/>
  <c r="X599" i="2"/>
  <c r="Y599" i="2" s="1"/>
  <c r="W598" i="2"/>
  <c r="X577" i="2"/>
  <c r="Y577" i="2" s="1"/>
  <c r="W576" i="2"/>
  <c r="X357" i="2"/>
  <c r="Y357" i="2" s="1"/>
  <c r="W356" i="2"/>
  <c r="W1639" i="2"/>
  <c r="W1383" i="2"/>
  <c r="X572" i="2"/>
  <c r="Y572" i="2" s="1"/>
  <c r="W571" i="2"/>
  <c r="X387" i="2"/>
  <c r="Y387" i="2" s="1"/>
  <c r="W386" i="2"/>
  <c r="X334" i="2"/>
  <c r="Y334" i="2" s="1"/>
  <c r="W333" i="2"/>
  <c r="X311" i="2"/>
  <c r="Y311" i="2" s="1"/>
  <c r="W310" i="2"/>
  <c r="X18" i="2"/>
  <c r="Y18" i="2" s="1"/>
  <c r="W17" i="2"/>
  <c r="W705" i="2"/>
  <c r="W63" i="2"/>
  <c r="X637" i="2"/>
  <c r="Y637" i="2" s="1"/>
  <c r="W636" i="2"/>
  <c r="X547" i="2"/>
  <c r="Y547" i="2" s="1"/>
  <c r="W546" i="2"/>
  <c r="X444" i="2"/>
  <c r="Y444" i="2" s="1"/>
  <c r="W443" i="2"/>
  <c r="W381" i="2"/>
  <c r="W265" i="2"/>
  <c r="X204" i="2"/>
  <c r="Y204" i="2" s="1"/>
  <c r="W203" i="2"/>
  <c r="X103" i="2"/>
  <c r="Y103" i="2" s="1"/>
  <c r="W102" i="2"/>
  <c r="X15" i="2"/>
  <c r="Y15" i="2" s="1"/>
  <c r="W14" i="2"/>
  <c r="W618" i="2"/>
  <c r="W568" i="2"/>
  <c r="W464" i="2"/>
  <c r="W362" i="2"/>
  <c r="W159" i="2"/>
  <c r="W56" i="2"/>
  <c r="W749" i="2"/>
  <c r="X614" i="2"/>
  <c r="Y614" i="2" s="1"/>
  <c r="W613" i="2"/>
  <c r="X380" i="2"/>
  <c r="Y380" i="2" s="1"/>
  <c r="W379" i="2"/>
  <c r="W153" i="2"/>
  <c r="X126" i="2"/>
  <c r="Y126" i="2" s="1"/>
  <c r="W125" i="2"/>
  <c r="X67" i="2"/>
  <c r="Y67" i="2" s="1"/>
  <c r="W66" i="2"/>
  <c r="W12" i="2"/>
  <c r="X567" i="2"/>
  <c r="Y567" i="2" s="1"/>
  <c r="W566" i="2"/>
  <c r="X487" i="2"/>
  <c r="Y487" i="2" s="1"/>
  <c r="W486" i="2"/>
  <c r="X442" i="2"/>
  <c r="Y442" i="2" s="1"/>
  <c r="W409" i="2"/>
  <c r="X301" i="2"/>
  <c r="Y301" i="2" s="1"/>
  <c r="W300" i="2"/>
  <c r="X230" i="2"/>
  <c r="Y230" i="2" s="1"/>
  <c r="W229" i="2"/>
  <c r="W255" i="2"/>
  <c r="X228" i="2"/>
  <c r="Y228" i="2" s="1"/>
  <c r="W227" i="2"/>
  <c r="X98" i="2"/>
  <c r="Y98" i="2" s="1"/>
  <c r="W97" i="2"/>
  <c r="W657" i="2"/>
  <c r="W407" i="2"/>
  <c r="W606" i="2"/>
  <c r="X540" i="2"/>
  <c r="Y540" i="2" s="1"/>
  <c r="W539" i="2"/>
  <c r="W501" i="2"/>
  <c r="X460" i="2"/>
  <c r="Y460" i="2" s="1"/>
  <c r="W459" i="2"/>
  <c r="X375" i="2"/>
  <c r="Y375" i="2" s="1"/>
  <c r="W374" i="2"/>
  <c r="W293" i="2"/>
  <c r="W117" i="2"/>
  <c r="X62" i="2"/>
  <c r="Y62" i="2" s="1"/>
  <c r="W61" i="2"/>
  <c r="W455" i="2"/>
  <c r="W199" i="2"/>
  <c r="W42" i="2"/>
  <c r="X797" i="2"/>
  <c r="Y797" i="2" s="1"/>
  <c r="W796" i="2"/>
  <c r="X676" i="2"/>
  <c r="Y676" i="2" s="1"/>
  <c r="W675" i="2"/>
  <c r="X650" i="2"/>
  <c r="Y650" i="2" s="1"/>
  <c r="W649" i="2"/>
  <c r="X483" i="2"/>
  <c r="Y483" i="2" s="1"/>
  <c r="W482" i="2"/>
  <c r="X292" i="2"/>
  <c r="Y292" i="2" s="1"/>
  <c r="W291" i="2"/>
  <c r="W222" i="2"/>
  <c r="X116" i="2"/>
  <c r="Y116" i="2" s="1"/>
  <c r="W89" i="2"/>
  <c r="X37" i="2"/>
  <c r="Y37" i="2" s="1"/>
  <c r="W36" i="2"/>
  <c r="W247" i="2"/>
  <c r="W40" i="2"/>
  <c r="X438" i="2"/>
  <c r="Y438" i="2" s="1"/>
  <c r="W437" i="2"/>
  <c r="X402" i="2"/>
  <c r="Y402" i="2" s="1"/>
  <c r="W401" i="2"/>
  <c r="X254" i="2"/>
  <c r="Y254" i="2" s="1"/>
  <c r="W253" i="2"/>
  <c r="X221" i="2"/>
  <c r="Y221" i="2" s="1"/>
  <c r="W220" i="2"/>
  <c r="W551" i="2"/>
  <c r="W394" i="2"/>
  <c r="W191" i="2"/>
  <c r="W138" i="2"/>
  <c r="X371" i="2"/>
  <c r="Y371" i="2" s="1"/>
  <c r="W370" i="2"/>
  <c r="X147" i="2"/>
  <c r="Y147" i="2" s="1"/>
  <c r="W146" i="2"/>
  <c r="W30" i="2"/>
  <c r="W392" i="2"/>
  <c r="W186" i="2"/>
  <c r="W136" i="2"/>
  <c r="W87" i="2"/>
  <c r="X435" i="2"/>
  <c r="Y435" i="2" s="1"/>
  <c r="W434" i="2"/>
  <c r="X218" i="2"/>
  <c r="Y218" i="2" s="1"/>
  <c r="W217" i="2"/>
  <c r="X29" i="2"/>
  <c r="Y29" i="2" s="1"/>
  <c r="W28" i="2"/>
  <c r="W490" i="2"/>
  <c r="W234" i="2"/>
  <c r="X365" i="2"/>
  <c r="Y365" i="2" s="1"/>
  <c r="W364" i="2"/>
  <c r="W245" i="2"/>
  <c r="W282" i="2"/>
  <c r="X558" i="2"/>
  <c r="Y558" i="2" s="1"/>
  <c r="W557" i="2"/>
  <c r="X527" i="2"/>
  <c r="Y527" i="2" s="1"/>
  <c r="W526" i="2"/>
  <c r="X495" i="2"/>
  <c r="Y495" i="2" s="1"/>
  <c r="W494" i="2"/>
  <c r="X451" i="2"/>
  <c r="Y451" i="2" s="1"/>
  <c r="W450" i="2"/>
  <c r="X189" i="2"/>
  <c r="Y189" i="2" s="1"/>
  <c r="W188" i="2"/>
  <c r="W52" i="2"/>
  <c r="W536" i="2"/>
  <c r="W74" i="2"/>
  <c r="W24" i="2"/>
  <c r="X243" i="2"/>
  <c r="Y243" i="2" s="1"/>
  <c r="W242" i="2"/>
  <c r="X111" i="2"/>
  <c r="Y111" i="2" s="1"/>
  <c r="W110" i="2"/>
  <c r="X51" i="2"/>
  <c r="Y51" i="2" s="1"/>
  <c r="W50" i="2"/>
  <c r="W328" i="2"/>
  <c r="W72" i="2"/>
  <c r="W388" i="2"/>
  <c r="X278" i="2"/>
  <c r="Y278" i="2" s="1"/>
  <c r="W277" i="2"/>
  <c r="X212" i="2"/>
  <c r="Y212" i="2" s="1"/>
  <c r="W211" i="2"/>
  <c r="W632" i="2"/>
  <c r="W583" i="2"/>
  <c r="W376" i="2"/>
  <c r="X470" i="2"/>
  <c r="Y470" i="2" s="1"/>
  <c r="W469" i="2"/>
  <c r="X426" i="2"/>
  <c r="Y426" i="2" s="1"/>
  <c r="W425" i="2"/>
  <c r="W358" i="2"/>
  <c r="W275" i="2"/>
  <c r="X130" i="2"/>
  <c r="Y130" i="2" s="1"/>
  <c r="W129" i="2"/>
  <c r="W320" i="2"/>
  <c r="X241" i="2"/>
  <c r="Y241" i="2" s="1"/>
  <c r="X1926" i="2"/>
  <c r="Y1926" i="2" s="1"/>
  <c r="X1824" i="2"/>
  <c r="Y1824" i="2" s="1"/>
  <c r="P15" i="1"/>
  <c r="P16" i="1"/>
  <c r="P17" i="1"/>
  <c r="P12" i="1"/>
  <c r="Q26" i="1"/>
  <c r="Q24" i="1"/>
  <c r="Q16" i="1"/>
  <c r="P25" i="1"/>
  <c r="P24" i="1"/>
  <c r="Q25" i="1"/>
  <c r="Q15" i="1"/>
  <c r="Q22" i="1"/>
  <c r="Q19" i="1"/>
  <c r="P23" i="1"/>
  <c r="Q21" i="1"/>
  <c r="Q20" i="1"/>
  <c r="P19" i="1"/>
  <c r="Q18" i="1"/>
  <c r="Q23" i="1"/>
  <c r="P22" i="1"/>
  <c r="P21" i="1"/>
  <c r="P20" i="1"/>
  <c r="P18" i="1"/>
  <c r="Q17" i="1"/>
  <c r="P14" i="1"/>
  <c r="Q13" i="1"/>
  <c r="X7" i="2" l="1"/>
  <c r="Y7" i="2" s="1"/>
  <c r="W5" i="2"/>
  <c r="X5" i="2"/>
  <c r="Y5" i="2" s="1"/>
  <c r="X6" i="2"/>
  <c r="Y6" i="2" s="1"/>
  <c r="X515" i="2"/>
  <c r="Y515" i="2" s="1"/>
  <c r="X724" i="2"/>
  <c r="Y724" i="2" s="1"/>
  <c r="X883" i="2"/>
  <c r="Y883" i="2" s="1"/>
  <c r="X964" i="2"/>
  <c r="Y964" i="2" s="1"/>
  <c r="X1141" i="2"/>
  <c r="Y1141" i="2" s="1"/>
  <c r="X1493" i="2"/>
  <c r="Y1493" i="2" s="1"/>
  <c r="X1237" i="2"/>
  <c r="Y1237" i="2" s="1"/>
  <c r="X1992" i="2"/>
  <c r="Y1992" i="2" s="1"/>
  <c r="X1637" i="2"/>
  <c r="Y1637" i="2" s="1"/>
  <c r="W819" i="2"/>
  <c r="X2002" i="2"/>
  <c r="Y2002" i="2" s="1"/>
  <c r="X1362" i="2"/>
  <c r="Y1362" i="2" s="1"/>
  <c r="X1668" i="2"/>
  <c r="Y1668" i="2" s="1"/>
  <c r="W1152" i="2"/>
  <c r="X1553" i="2"/>
  <c r="Y1553" i="2" s="1"/>
  <c r="X1317" i="2"/>
  <c r="Y1317" i="2" s="1"/>
  <c r="X181" i="2"/>
  <c r="Y181" i="2" s="1"/>
  <c r="X1845" i="2"/>
  <c r="Y1845" i="2" s="1"/>
  <c r="X1588" i="2"/>
  <c r="Y1588" i="2" s="1"/>
  <c r="X1256" i="2"/>
  <c r="Y1256" i="2" s="1"/>
  <c r="X1816" i="2"/>
  <c r="Y1816" i="2" s="1"/>
  <c r="X227" i="2"/>
  <c r="Y227" i="2" s="1"/>
  <c r="X1313" i="2"/>
  <c r="Y1313" i="2" s="1"/>
  <c r="X459" i="2"/>
  <c r="Y459" i="2" s="1"/>
  <c r="X1832" i="2"/>
  <c r="Y1832" i="2" s="1"/>
  <c r="X432" i="2"/>
  <c r="Y432" i="2" s="1"/>
  <c r="W1147" i="2"/>
  <c r="X597" i="2"/>
  <c r="Y597" i="2" s="1"/>
  <c r="X1211" i="2"/>
  <c r="Y1211" i="2" s="1"/>
  <c r="X27" i="2"/>
  <c r="Y27" i="2" s="1"/>
  <c r="X778" i="2"/>
  <c r="Y778" i="2" s="1"/>
  <c r="X1922" i="2"/>
  <c r="Y1922" i="2" s="1"/>
  <c r="X464" i="2"/>
  <c r="Y464" i="2" s="1"/>
  <c r="X458" i="2"/>
  <c r="Y458" i="2" s="1"/>
  <c r="AM185" i="1"/>
  <c r="AM184" i="1"/>
  <c r="AK185" i="1"/>
  <c r="AK184" i="1"/>
  <c r="AM186" i="1"/>
  <c r="AM187" i="1"/>
  <c r="AK186" i="1"/>
  <c r="AK187" i="1"/>
  <c r="AL185" i="1"/>
  <c r="AL184" i="1"/>
  <c r="AL186" i="1"/>
  <c r="AL187" i="1"/>
  <c r="X1178" i="2"/>
  <c r="Y1178" i="2" s="1"/>
  <c r="X513" i="2"/>
  <c r="Y513" i="2" s="1"/>
  <c r="X512" i="2"/>
  <c r="Y512" i="2" s="1"/>
  <c r="X1872" i="2"/>
  <c r="Y1872" i="2" s="1"/>
  <c r="X1260" i="2"/>
  <c r="Y1260" i="2" s="1"/>
  <c r="X26" i="2"/>
  <c r="Y26" i="2" s="1"/>
  <c r="X1912" i="2"/>
  <c r="Y1912" i="2" s="1"/>
  <c r="X1973" i="2"/>
  <c r="Y1973" i="2" s="1"/>
  <c r="X1870" i="2"/>
  <c r="Y1870" i="2" s="1"/>
  <c r="W992" i="2"/>
  <c r="X1873" i="2"/>
  <c r="Y1873" i="2" s="1"/>
  <c r="X1316" i="2"/>
  <c r="Y1316" i="2" s="1"/>
  <c r="X917" i="2"/>
  <c r="Y917" i="2" s="1"/>
  <c r="X1869" i="2"/>
  <c r="Y1869" i="2" s="1"/>
  <c r="W716" i="2"/>
  <c r="X1699" i="2"/>
  <c r="Y1699" i="2" s="1"/>
  <c r="X1700" i="2"/>
  <c r="Y1700" i="2" s="1"/>
  <c r="X1259" i="2"/>
  <c r="Y1259" i="2" s="1"/>
  <c r="W1907" i="2"/>
  <c r="X1193" i="2"/>
  <c r="Y1193" i="2" s="1"/>
  <c r="W163" i="2"/>
  <c r="W1219" i="2"/>
  <c r="X2006" i="2"/>
  <c r="Y2006" i="2" s="1"/>
  <c r="X1132" i="2"/>
  <c r="Y1132" i="2" s="1"/>
  <c r="W337" i="2"/>
  <c r="X1398" i="2"/>
  <c r="Y1398" i="2" s="1"/>
  <c r="X1780" i="2"/>
  <c r="Y1780" i="2" s="1"/>
  <c r="W10" i="2"/>
  <c r="W1623" i="2"/>
  <c r="X1152" i="2"/>
  <c r="Y1152" i="2" s="1"/>
  <c r="X632" i="2"/>
  <c r="Y632" i="2" s="1"/>
  <c r="X337" i="2"/>
  <c r="Y337" i="2" s="1"/>
  <c r="W1331" i="2"/>
  <c r="W485" i="2"/>
  <c r="X965" i="2"/>
  <c r="Y965" i="2" s="1"/>
  <c r="X845" i="2"/>
  <c r="Y845" i="2" s="1"/>
  <c r="X516" i="2"/>
  <c r="Y516" i="2" s="1"/>
  <c r="W965" i="2"/>
  <c r="X1625" i="2"/>
  <c r="Y1625" i="2" s="1"/>
  <c r="X1624" i="2"/>
  <c r="Y1624" i="2" s="1"/>
  <c r="W515" i="2"/>
  <c r="X644" i="2"/>
  <c r="Y644" i="2" s="1"/>
  <c r="W1315" i="2"/>
  <c r="W660" i="2"/>
  <c r="W861" i="2"/>
  <c r="W180" i="2"/>
  <c r="X245" i="2"/>
  <c r="Y245" i="2" s="1"/>
  <c r="W148" i="2"/>
  <c r="X862" i="2"/>
  <c r="Y862" i="2" s="1"/>
  <c r="W1236" i="2"/>
  <c r="W685" i="2"/>
  <c r="X1623" i="2"/>
  <c r="Y1623" i="2" s="1"/>
  <c r="X2005" i="2"/>
  <c r="Y2005" i="2" s="1"/>
  <c r="W1140" i="2"/>
  <c r="X1622" i="2"/>
  <c r="Y1622" i="2" s="1"/>
  <c r="X1656" i="2"/>
  <c r="Y1656" i="2" s="1"/>
  <c r="X686" i="2"/>
  <c r="Y686" i="2" s="1"/>
  <c r="W80" i="2"/>
  <c r="W68" i="2"/>
  <c r="W1299" i="2"/>
  <c r="W644" i="2"/>
  <c r="X1140" i="2"/>
  <c r="Y1140" i="2" s="1"/>
  <c r="X1698" i="2"/>
  <c r="Y1698" i="2" s="1"/>
  <c r="X2022" i="2"/>
  <c r="Y2022" i="2" s="1"/>
  <c r="W899" i="2"/>
  <c r="X100" i="2"/>
  <c r="Y100" i="2" s="1"/>
  <c r="W883" i="2"/>
  <c r="X1446" i="2"/>
  <c r="Y1446" i="2" s="1"/>
  <c r="X1544" i="2"/>
  <c r="Y1544" i="2" s="1"/>
  <c r="X1494" i="2"/>
  <c r="Y1494" i="2" s="1"/>
  <c r="X1911" i="2"/>
  <c r="Y1911" i="2" s="1"/>
  <c r="X884" i="2"/>
  <c r="Y884" i="2" s="1"/>
  <c r="X1197" i="2"/>
  <c r="Y1197" i="2" s="1"/>
  <c r="X2023" i="2"/>
  <c r="Y2023" i="2" s="1"/>
  <c r="X1521" i="2"/>
  <c r="Y1521" i="2" s="1"/>
  <c r="X1032" i="2"/>
  <c r="Y1032" i="2" s="1"/>
  <c r="X933" i="2"/>
  <c r="Y933" i="2" s="1"/>
  <c r="X339" i="2"/>
  <c r="Y339" i="2" s="1"/>
  <c r="X846" i="2"/>
  <c r="Y846" i="2" s="1"/>
  <c r="W1715" i="2"/>
  <c r="X1653" i="2"/>
  <c r="Y1653" i="2" s="1"/>
  <c r="W1155" i="2"/>
  <c r="X1360" i="2"/>
  <c r="Y1360" i="2" s="1"/>
  <c r="X1960" i="2"/>
  <c r="Y1960" i="2" s="1"/>
  <c r="X689" i="2"/>
  <c r="Y689" i="2" s="1"/>
  <c r="W1253" i="2"/>
  <c r="X1972" i="2"/>
  <c r="Y1972" i="2" s="1"/>
  <c r="W131" i="2"/>
  <c r="X1361" i="2"/>
  <c r="Y1361" i="2" s="1"/>
  <c r="X1702" i="2"/>
  <c r="Y1702" i="2" s="1"/>
  <c r="X1736" i="2"/>
  <c r="Y1736" i="2" s="1"/>
  <c r="W1177" i="2"/>
  <c r="X17" i="2"/>
  <c r="Y17" i="2" s="1"/>
  <c r="X1427" i="2"/>
  <c r="Y1427" i="2" s="1"/>
  <c r="X1944" i="2"/>
  <c r="Y1944" i="2" s="1"/>
  <c r="X396" i="2"/>
  <c r="Y396" i="2" s="1"/>
  <c r="X938" i="2"/>
  <c r="Y938" i="2" s="1"/>
  <c r="X741" i="2"/>
  <c r="Y741" i="2" s="1"/>
  <c r="W321" i="2"/>
  <c r="X1943" i="2"/>
  <c r="Y1943" i="2" s="1"/>
  <c r="W19" i="2"/>
  <c r="X265" i="2"/>
  <c r="Y265" i="2" s="1"/>
  <c r="W846" i="2"/>
  <c r="X1701" i="2"/>
  <c r="Y1701" i="2" s="1"/>
  <c r="X775" i="2"/>
  <c r="Y775" i="2" s="1"/>
  <c r="X1636" i="2"/>
  <c r="Y1636" i="2" s="1"/>
  <c r="X82" i="2"/>
  <c r="Y82" i="2" s="1"/>
  <c r="W706" i="2"/>
  <c r="W963" i="2"/>
  <c r="X1697" i="2"/>
  <c r="Y1697" i="2" s="1"/>
  <c r="W528" i="2"/>
  <c r="X1696" i="2"/>
  <c r="Y1696" i="2" s="1"/>
  <c r="X140" i="2"/>
  <c r="Y140" i="2" s="1"/>
  <c r="W1860" i="2"/>
  <c r="X688" i="2"/>
  <c r="Y688" i="2" s="1"/>
  <c r="W688" i="2"/>
  <c r="X1703" i="2"/>
  <c r="Y1703" i="2" s="1"/>
  <c r="X923" i="2"/>
  <c r="Y923" i="2" s="1"/>
  <c r="W1645" i="2"/>
  <c r="W548" i="2"/>
  <c r="X1704" i="2"/>
  <c r="Y1704" i="2" s="1"/>
  <c r="W1703" i="2"/>
  <c r="X665" i="2"/>
  <c r="Y665" i="2" s="1"/>
  <c r="W1704" i="2"/>
  <c r="X745" i="2"/>
  <c r="Y745" i="2" s="1"/>
  <c r="X1616" i="2"/>
  <c r="Y1616" i="2" s="1"/>
  <c r="W43" i="2"/>
  <c r="W428" i="2"/>
  <c r="X131" i="2"/>
  <c r="Y131" i="2" s="1"/>
  <c r="X148" i="2"/>
  <c r="Y148" i="2" s="1"/>
  <c r="X1524" i="2"/>
  <c r="Y1524" i="2" s="1"/>
  <c r="X1437" i="2"/>
  <c r="Y1437" i="2" s="1"/>
  <c r="X1255" i="2"/>
  <c r="Y1255" i="2" s="1"/>
  <c r="X643" i="2"/>
  <c r="Y643" i="2" s="1"/>
  <c r="X663" i="2"/>
  <c r="Y663" i="2" s="1"/>
  <c r="X485" i="2"/>
  <c r="Y485" i="2" s="1"/>
  <c r="X981" i="2"/>
  <c r="Y981" i="2" s="1"/>
  <c r="X1022" i="2"/>
  <c r="Y1022" i="2" s="1"/>
  <c r="W658" i="2"/>
  <c r="X236" i="2"/>
  <c r="Y236" i="2" s="1"/>
  <c r="X1385" i="2"/>
  <c r="Y1385" i="2" s="1"/>
  <c r="X821" i="2"/>
  <c r="Y821" i="2" s="1"/>
  <c r="X1983" i="2"/>
  <c r="Y1983" i="2" s="1"/>
  <c r="X1363" i="2"/>
  <c r="Y1363" i="2" s="1"/>
  <c r="X1028" i="2"/>
  <c r="Y1028" i="2" s="1"/>
  <c r="X997" i="2"/>
  <c r="Y997" i="2" s="1"/>
  <c r="X1135" i="2"/>
  <c r="Y1135" i="2" s="1"/>
  <c r="X1766" i="2"/>
  <c r="Y1766" i="2" s="1"/>
  <c r="X565" i="2"/>
  <c r="Y565" i="2" s="1"/>
  <c r="X1029" i="2"/>
  <c r="Y1029" i="2" s="1"/>
  <c r="X559" i="2"/>
  <c r="Y559" i="2" s="1"/>
  <c r="X701" i="2"/>
  <c r="Y701" i="2" s="1"/>
  <c r="X1048" i="2"/>
  <c r="Y1048" i="2" s="1"/>
  <c r="X984" i="2"/>
  <c r="Y984" i="2" s="1"/>
  <c r="X165" i="2"/>
  <c r="Y165" i="2" s="1"/>
  <c r="X1045" i="2"/>
  <c r="Y1045" i="2" s="1"/>
  <c r="X1061" i="2"/>
  <c r="Y1061" i="2" s="1"/>
  <c r="X932" i="2"/>
  <c r="Y932" i="2" s="1"/>
  <c r="X164" i="2"/>
  <c r="Y164" i="2" s="1"/>
  <c r="X708" i="2"/>
  <c r="Y708" i="2" s="1"/>
  <c r="X1198" i="2"/>
  <c r="Y1198" i="2" s="1"/>
  <c r="X645" i="2"/>
  <c r="Y645" i="2" s="1"/>
  <c r="X195" i="2"/>
  <c r="Y195" i="2" s="1"/>
  <c r="W248" i="2"/>
  <c r="W256" i="2"/>
  <c r="X2025" i="2"/>
  <c r="Y2025" i="2" s="1"/>
  <c r="X1694" i="2"/>
  <c r="Y1694" i="2" s="1"/>
  <c r="X1364" i="2"/>
  <c r="Y1364" i="2" s="1"/>
  <c r="X1027" i="2"/>
  <c r="Y1027" i="2" s="1"/>
  <c r="X2026" i="2"/>
  <c r="Y2026" i="2" s="1"/>
  <c r="W303" i="2"/>
  <c r="X1971" i="2"/>
  <c r="Y1971" i="2" s="1"/>
  <c r="X340" i="2"/>
  <c r="Y340" i="2" s="1"/>
  <c r="X805" i="2"/>
  <c r="Y805" i="2" s="1"/>
  <c r="W1275" i="2"/>
  <c r="X841" i="2"/>
  <c r="Y841" i="2" s="1"/>
  <c r="X341" i="2"/>
  <c r="Y341" i="2" s="1"/>
  <c r="X967" i="2"/>
  <c r="Y967" i="2" s="1"/>
  <c r="X373" i="2"/>
  <c r="Y373" i="2" s="1"/>
  <c r="X1365" i="2"/>
  <c r="Y1365" i="2" s="1"/>
  <c r="X76" i="2"/>
  <c r="Y76" i="2" s="1"/>
  <c r="X77" i="2"/>
  <c r="Y77" i="2" s="1"/>
  <c r="X885" i="2"/>
  <c r="Y885" i="2" s="1"/>
  <c r="X1829" i="2"/>
  <c r="Y1829" i="2" s="1"/>
  <c r="X1395" i="2"/>
  <c r="Y1395" i="2" s="1"/>
  <c r="X1947" i="2"/>
  <c r="Y1947" i="2" s="1"/>
  <c r="X1676" i="2"/>
  <c r="Y1676" i="2" s="1"/>
  <c r="X690" i="2"/>
  <c r="Y690" i="2" s="1"/>
  <c r="X1433" i="2"/>
  <c r="Y1433" i="2" s="1"/>
  <c r="X201" i="2"/>
  <c r="Y201" i="2" s="1"/>
  <c r="X585" i="2"/>
  <c r="Y585" i="2" s="1"/>
  <c r="X1930" i="2"/>
  <c r="Y1930" i="2" s="1"/>
  <c r="X443" i="2"/>
  <c r="Y443" i="2" s="1"/>
  <c r="X1659" i="2"/>
  <c r="Y1659" i="2" s="1"/>
  <c r="X1092" i="2"/>
  <c r="Y1092" i="2" s="1"/>
  <c r="X1804" i="2"/>
  <c r="Y1804" i="2" s="1"/>
  <c r="X1453" i="2"/>
  <c r="Y1453" i="2" s="1"/>
  <c r="X1390" i="2"/>
  <c r="Y1390" i="2" s="1"/>
  <c r="X592" i="2"/>
  <c r="Y592" i="2" s="1"/>
  <c r="X476" i="2"/>
  <c r="Y476" i="2" s="1"/>
  <c r="X726" i="2"/>
  <c r="Y726" i="2" s="1"/>
  <c r="X541" i="2"/>
  <c r="Y541" i="2" s="1"/>
  <c r="X1358" i="2"/>
  <c r="Y1358" i="2" s="1"/>
  <c r="X1729" i="2"/>
  <c r="Y1729" i="2" s="1"/>
  <c r="X713" i="2"/>
  <c r="Y713" i="2" s="1"/>
  <c r="X573" i="2"/>
  <c r="Y573" i="2" s="1"/>
  <c r="X1230" i="2"/>
  <c r="Y1230" i="2" s="1"/>
  <c r="X1988" i="2"/>
  <c r="Y1988" i="2" s="1"/>
  <c r="X333" i="2"/>
  <c r="Y333" i="2" s="1"/>
  <c r="X959" i="2"/>
  <c r="Y959" i="2" s="1"/>
  <c r="X578" i="2"/>
  <c r="Y578" i="2" s="1"/>
  <c r="X1175" i="2"/>
  <c r="Y1175" i="2" s="1"/>
  <c r="X1782" i="2"/>
  <c r="Y1782" i="2" s="1"/>
  <c r="X1012" i="2"/>
  <c r="Y1012" i="2" s="1"/>
  <c r="X419" i="2"/>
  <c r="Y419" i="2" s="1"/>
  <c r="X1419" i="2"/>
  <c r="Y1419" i="2" s="1"/>
  <c r="X294" i="2"/>
  <c r="Y294" i="2" s="1"/>
  <c r="X529" i="2"/>
  <c r="Y529" i="2" s="1"/>
  <c r="X1761" i="2"/>
  <c r="Y1761" i="2" s="1"/>
  <c r="X1332" i="2"/>
  <c r="Y1332" i="2" s="1"/>
  <c r="X1705" i="2"/>
  <c r="Y1705" i="2" s="1"/>
  <c r="X738" i="2"/>
  <c r="Y738" i="2" s="1"/>
  <c r="X1033" i="2"/>
  <c r="Y1033" i="2" s="1"/>
  <c r="X1413" i="2"/>
  <c r="Y1413" i="2" s="1"/>
  <c r="X517" i="2"/>
  <c r="Y517" i="2" s="1"/>
  <c r="X664" i="2"/>
  <c r="Y664" i="2" s="1"/>
  <c r="X919" i="2"/>
  <c r="Y919" i="2" s="1"/>
  <c r="X1946" i="2"/>
  <c r="Y1946" i="2" s="1"/>
  <c r="X728" i="2"/>
  <c r="Y728" i="2" s="1"/>
  <c r="X1675" i="2"/>
  <c r="Y1675" i="2" s="1"/>
  <c r="X588" i="2"/>
  <c r="Y588" i="2" s="1"/>
  <c r="X1820" i="2"/>
  <c r="Y1820" i="2" s="1"/>
  <c r="X205" i="2"/>
  <c r="Y205" i="2" s="1"/>
  <c r="X948" i="2"/>
  <c r="Y948" i="2" s="1"/>
  <c r="X1295" i="2"/>
  <c r="Y1295" i="2" s="1"/>
  <c r="X1469" i="2"/>
  <c r="Y1469" i="2" s="1"/>
  <c r="X378" i="2"/>
  <c r="Y378" i="2" s="1"/>
  <c r="X798" i="2"/>
  <c r="Y798" i="2" s="1"/>
  <c r="X1071" i="2"/>
  <c r="Y1071" i="2" s="1"/>
  <c r="X1406" i="2"/>
  <c r="Y1406" i="2" s="1"/>
  <c r="X1143" i="2"/>
  <c r="Y1143" i="2" s="1"/>
  <c r="X1664" i="2"/>
  <c r="Y1664" i="2" s="1"/>
  <c r="X874" i="2"/>
  <c r="Y874" i="2" s="1"/>
  <c r="X229" i="2"/>
  <c r="Y229" i="2" s="1"/>
  <c r="X1793" i="2"/>
  <c r="Y1793" i="2" s="1"/>
  <c r="X427" i="2"/>
  <c r="Y427" i="2" s="1"/>
  <c r="X651" i="2"/>
  <c r="Y651" i="2" s="1"/>
  <c r="X2004" i="2"/>
  <c r="Y2004" i="2" s="1"/>
  <c r="X1258" i="2"/>
  <c r="Y1258" i="2" s="1"/>
  <c r="X1557" i="2"/>
  <c r="Y1557" i="2" s="1"/>
  <c r="X58" i="2"/>
  <c r="Y58" i="2" s="1"/>
  <c r="X193" i="2"/>
  <c r="Y193" i="2" s="1"/>
  <c r="X660" i="2"/>
  <c r="Y660" i="2" s="1"/>
  <c r="X1672" i="2"/>
  <c r="Y1672" i="2" s="1"/>
  <c r="X1285" i="2"/>
  <c r="Y1285" i="2" s="1"/>
  <c r="X1341" i="2"/>
  <c r="Y1341" i="2" s="1"/>
  <c r="X1835" i="2"/>
  <c r="Y1835" i="2" s="1"/>
  <c r="X1013" i="2"/>
  <c r="Y1013" i="2" s="1"/>
  <c r="X1963" i="2"/>
  <c r="Y1963" i="2" s="1"/>
  <c r="X231" i="2"/>
  <c r="Y231" i="2" s="1"/>
  <c r="X943" i="2"/>
  <c r="Y943" i="2" s="1"/>
  <c r="X1214" i="2"/>
  <c r="Y1214" i="2" s="1"/>
  <c r="X1546" i="2"/>
  <c r="Y1546" i="2" s="1"/>
  <c r="X1962" i="2"/>
  <c r="Y1962" i="2" s="1"/>
  <c r="X468" i="2"/>
  <c r="Y468" i="2" s="1"/>
  <c r="X1044" i="2"/>
  <c r="Y1044" i="2" s="1"/>
  <c r="X1852" i="2"/>
  <c r="Y1852" i="2" s="1"/>
  <c r="X242" i="2"/>
  <c r="Y242" i="2" s="1"/>
  <c r="X48" i="2"/>
  <c r="Y48" i="2" s="1"/>
  <c r="X927" i="2"/>
  <c r="Y927" i="2" s="1"/>
  <c r="X1166" i="2"/>
  <c r="Y1166" i="2" s="1"/>
  <c r="X904" i="2"/>
  <c r="Y904" i="2" s="1"/>
  <c r="X613" i="2"/>
  <c r="Y613" i="2" s="1"/>
  <c r="X1809" i="2"/>
  <c r="Y1809" i="2" s="1"/>
  <c r="X80" i="2"/>
  <c r="Y80" i="2" s="1"/>
  <c r="X159" i="2"/>
  <c r="Y159" i="2" s="1"/>
  <c r="X117" i="2"/>
  <c r="Y117" i="2" s="1"/>
  <c r="X1635" i="2"/>
  <c r="Y1635" i="2" s="1"/>
  <c r="X878" i="2"/>
  <c r="Y878" i="2" s="1"/>
  <c r="X2020" i="2"/>
  <c r="Y2020" i="2" s="1"/>
  <c r="X1282" i="2"/>
  <c r="Y1282" i="2" s="1"/>
  <c r="X1621" i="2"/>
  <c r="Y1621" i="2" s="1"/>
  <c r="X1814" i="2"/>
  <c r="Y1814" i="2" s="1"/>
  <c r="X1655" i="2"/>
  <c r="Y1655" i="2" s="1"/>
  <c r="X99" i="2"/>
  <c r="Y99" i="2" s="1"/>
  <c r="X1688" i="2"/>
  <c r="Y1688" i="2" s="1"/>
  <c r="X403" i="2"/>
  <c r="Y403" i="2" s="1"/>
  <c r="X750" i="2"/>
  <c r="Y750" i="2" s="1"/>
  <c r="X266" i="2"/>
  <c r="Y266" i="2" s="1"/>
  <c r="X732" i="2"/>
  <c r="Y732" i="2" s="1"/>
  <c r="X1683" i="2"/>
  <c r="Y1683" i="2" s="1"/>
  <c r="X791" i="2"/>
  <c r="Y791" i="2" s="1"/>
  <c r="X1112" i="2"/>
  <c r="Y1112" i="2" s="1"/>
  <c r="X1113" i="2"/>
  <c r="Y1113" i="2" s="1"/>
  <c r="X554" i="2"/>
  <c r="Y554" i="2" s="1"/>
  <c r="X1745" i="2"/>
  <c r="Y1745" i="2" s="1"/>
  <c r="X1066" i="2"/>
  <c r="Y1066" i="2" s="1"/>
  <c r="X1755" i="2"/>
  <c r="Y1755" i="2" s="1"/>
  <c r="X615" i="2"/>
  <c r="Y615" i="2" s="1"/>
  <c r="X1216" i="2"/>
  <c r="Y1216" i="2" s="1"/>
  <c r="X448" i="2"/>
  <c r="Y448" i="2" s="1"/>
  <c r="X835" i="2"/>
  <c r="Y835" i="2" s="1"/>
  <c r="X1806" i="2"/>
  <c r="Y1806" i="2" s="1"/>
  <c r="X675" i="2"/>
  <c r="Y675" i="2" s="1"/>
  <c r="X1164" i="2"/>
  <c r="Y1164" i="2" s="1"/>
  <c r="X1631" i="2"/>
  <c r="Y1631" i="2" s="1"/>
  <c r="X568" i="2"/>
  <c r="Y568" i="2" s="1"/>
  <c r="X183" i="2"/>
  <c r="Y183" i="2" s="1"/>
  <c r="X1121" i="2"/>
  <c r="Y1121" i="2" s="1"/>
  <c r="X1173" i="2"/>
  <c r="Y1173" i="2" s="1"/>
  <c r="X1825" i="2"/>
  <c r="Y1825" i="2" s="1"/>
  <c r="X358" i="2"/>
  <c r="Y358" i="2" s="1"/>
  <c r="X217" i="2"/>
  <c r="Y217" i="2" s="1"/>
  <c r="X127" i="2"/>
  <c r="Y127" i="2" s="1"/>
  <c r="X457" i="2"/>
  <c r="Y457" i="2" s="1"/>
  <c r="X937" i="2"/>
  <c r="Y937" i="2" s="1"/>
  <c r="X1233" i="2"/>
  <c r="Y1233" i="2" s="1"/>
  <c r="X1060" i="2"/>
  <c r="Y1060" i="2" s="1"/>
  <c r="X606" i="2"/>
  <c r="Y606" i="2" s="1"/>
  <c r="X755" i="2"/>
  <c r="Y755" i="2" s="1"/>
  <c r="X1315" i="2"/>
  <c r="Y1315" i="2" s="1"/>
  <c r="X1109" i="2"/>
  <c r="Y1109" i="2" s="1"/>
  <c r="W75" i="2"/>
  <c r="X808" i="2"/>
  <c r="Y808" i="2" s="1"/>
  <c r="X836" i="2"/>
  <c r="Y836" i="2" s="1"/>
  <c r="X863" i="2"/>
  <c r="Y863" i="2" s="1"/>
  <c r="X206" i="2"/>
  <c r="Y206" i="2" s="1"/>
  <c r="X1853" i="2"/>
  <c r="Y1853" i="2" s="1"/>
  <c r="X1495" i="2"/>
  <c r="Y1495" i="2" s="1"/>
  <c r="X1496" i="2"/>
  <c r="Y1496" i="2" s="1"/>
  <c r="X1894" i="2"/>
  <c r="Y1894" i="2" s="1"/>
  <c r="X638" i="2"/>
  <c r="Y638" i="2" s="1"/>
  <c r="X988" i="2"/>
  <c r="Y988" i="2" s="1"/>
  <c r="X1280" i="2"/>
  <c r="Y1280" i="2" s="1"/>
  <c r="X279" i="2"/>
  <c r="Y279" i="2" s="1"/>
  <c r="X731" i="2"/>
  <c r="Y731" i="2" s="1"/>
  <c r="X992" i="2"/>
  <c r="Y992" i="2" s="1"/>
  <c r="X1517" i="2"/>
  <c r="Y1517" i="2" s="1"/>
  <c r="X1917" i="2"/>
  <c r="Y1917" i="2" s="1"/>
  <c r="X473" i="2"/>
  <c r="Y473" i="2" s="1"/>
  <c r="W569" i="2"/>
  <c r="X569" i="2"/>
  <c r="Y569" i="2" s="1"/>
  <c r="X1224" i="2"/>
  <c r="Y1224" i="2" s="1"/>
  <c r="X929" i="2"/>
  <c r="Y929" i="2" s="1"/>
  <c r="X1101" i="2"/>
  <c r="Y1101" i="2" s="1"/>
  <c r="X743" i="2"/>
  <c r="Y743" i="2" s="1"/>
  <c r="X161" i="2"/>
  <c r="Y161" i="2" s="1"/>
  <c r="X909" i="2"/>
  <c r="Y909" i="2" s="1"/>
  <c r="X1510" i="2"/>
  <c r="Y1510" i="2" s="1"/>
  <c r="X364" i="2"/>
  <c r="Y364" i="2" s="1"/>
  <c r="X720" i="2"/>
  <c r="Y720" i="2" s="1"/>
  <c r="X916" i="2"/>
  <c r="Y916" i="2" s="1"/>
  <c r="X1088" i="2"/>
  <c r="Y1088" i="2" s="1"/>
  <c r="X283" i="2"/>
  <c r="Y283" i="2" s="1"/>
  <c r="W283" i="2"/>
  <c r="X382" i="2"/>
  <c r="Y382" i="2" s="1"/>
  <c r="X601" i="2"/>
  <c r="Y601" i="2" s="1"/>
  <c r="X1875" i="2"/>
  <c r="Y1875" i="2" s="1"/>
  <c r="X756" i="2"/>
  <c r="Y756" i="2" s="1"/>
  <c r="X789" i="2"/>
  <c r="Y789" i="2" s="1"/>
  <c r="X790" i="2"/>
  <c r="Y790" i="2" s="1"/>
  <c r="X321" i="2"/>
  <c r="Y321" i="2" s="1"/>
  <c r="X744" i="2"/>
  <c r="Y744" i="2" s="1"/>
  <c r="X1642" i="2"/>
  <c r="Y1642" i="2" s="1"/>
  <c r="X528" i="2"/>
  <c r="Y528" i="2" s="1"/>
  <c r="X829" i="2"/>
  <c r="Y829" i="2" s="1"/>
  <c r="X1387" i="2"/>
  <c r="Y1387" i="2" s="1"/>
  <c r="X1787" i="2"/>
  <c r="Y1787" i="2" s="1"/>
  <c r="X1160" i="2"/>
  <c r="Y1160" i="2" s="1"/>
  <c r="X1352" i="2"/>
  <c r="Y1352" i="2" s="1"/>
  <c r="X1117" i="2"/>
  <c r="Y1117" i="2" s="1"/>
  <c r="X153" i="2"/>
  <c r="Y153" i="2" s="1"/>
  <c r="X625" i="2"/>
  <c r="Y625" i="2" s="1"/>
  <c r="X1123" i="2"/>
  <c r="Y1123" i="2" s="1"/>
  <c r="X1394" i="2"/>
  <c r="Y1394" i="2" s="1"/>
  <c r="X1003" i="2"/>
  <c r="Y1003" i="2" s="1"/>
  <c r="X629" i="2"/>
  <c r="Y629" i="2" s="1"/>
  <c r="X1715" i="2"/>
  <c r="Y1715" i="2" s="1"/>
  <c r="X434" i="2"/>
  <c r="Y434" i="2" s="1"/>
  <c r="X780" i="2"/>
  <c r="Y780" i="2" s="1"/>
  <c r="X1331" i="2"/>
  <c r="Y1331" i="2" s="1"/>
  <c r="X222" i="2"/>
  <c r="Y222" i="2" s="1"/>
  <c r="W633" i="2"/>
  <c r="X633" i="2"/>
  <c r="Y633" i="2" s="1"/>
  <c r="X1942" i="2"/>
  <c r="Y1942" i="2" s="1"/>
  <c r="X1131" i="2"/>
  <c r="Y1131" i="2" s="1"/>
  <c r="X1735" i="2"/>
  <c r="Y1735" i="2" s="1"/>
  <c r="X2008" i="2"/>
  <c r="Y2008" i="2" s="1"/>
  <c r="X787" i="2"/>
  <c r="Y787" i="2" s="1"/>
  <c r="X1956" i="2"/>
  <c r="Y1956" i="2" s="1"/>
  <c r="X1462" i="2"/>
  <c r="Y1462" i="2" s="1"/>
  <c r="X1535" i="2"/>
  <c r="Y1535" i="2" s="1"/>
  <c r="X1438" i="2"/>
  <c r="Y1438" i="2" s="1"/>
  <c r="X1399" i="2"/>
  <c r="Y1399" i="2" s="1"/>
  <c r="X1400" i="2"/>
  <c r="Y1400" i="2" s="1"/>
  <c r="X1999" i="2"/>
  <c r="Y1999" i="2" s="1"/>
  <c r="X542" i="2"/>
  <c r="Y542" i="2" s="1"/>
  <c r="X830" i="2"/>
  <c r="Y830" i="2" s="1"/>
  <c r="X671" i="2"/>
  <c r="Y671" i="2" s="1"/>
  <c r="X376" i="2"/>
  <c r="Y376" i="2" s="1"/>
  <c r="X764" i="2"/>
  <c r="Y764" i="2" s="1"/>
  <c r="X1581" i="2"/>
  <c r="Y1581" i="2" s="1"/>
  <c r="X1886" i="2"/>
  <c r="Y1886" i="2" s="1"/>
  <c r="X320" i="2"/>
  <c r="Y320" i="2" s="1"/>
  <c r="X1250" i="2"/>
  <c r="Y1250" i="2" s="1"/>
  <c r="X1424" i="2"/>
  <c r="Y1424" i="2" s="1"/>
  <c r="X1760" i="2"/>
  <c r="Y1760" i="2" s="1"/>
  <c r="X1169" i="2"/>
  <c r="Y1169" i="2" s="1"/>
  <c r="X188" i="2"/>
  <c r="Y188" i="2" s="1"/>
  <c r="X980" i="2"/>
  <c r="Y980" i="2" s="1"/>
  <c r="X89" i="2"/>
  <c r="Y89" i="2" s="1"/>
  <c r="X657" i="2"/>
  <c r="Y657" i="2" s="1"/>
  <c r="X1990" i="2"/>
  <c r="Y1990" i="2" s="1"/>
  <c r="X1262" i="2"/>
  <c r="Y1262" i="2" s="1"/>
  <c r="X492" i="2"/>
  <c r="Y492" i="2" s="1"/>
  <c r="X826" i="2"/>
  <c r="Y826" i="2" s="1"/>
  <c r="X38" i="2"/>
  <c r="Y38" i="2" s="1"/>
  <c r="X1511" i="2"/>
  <c r="Y1511" i="2" s="1"/>
  <c r="X1512" i="2"/>
  <c r="Y1512" i="2" s="1"/>
  <c r="X132" i="2"/>
  <c r="Y132" i="2" s="1"/>
  <c r="X502" i="2"/>
  <c r="Y502" i="2" s="1"/>
  <c r="X1401" i="2"/>
  <c r="Y1401" i="2" s="1"/>
  <c r="X993" i="2"/>
  <c r="Y993" i="2" s="1"/>
  <c r="X1861" i="2"/>
  <c r="Y1861" i="2" s="1"/>
  <c r="X879" i="2"/>
  <c r="Y879" i="2" s="1"/>
  <c r="X1665" i="2"/>
  <c r="Y1665" i="2" s="1"/>
  <c r="X139" i="2"/>
  <c r="Y139" i="2" s="1"/>
  <c r="X43" i="2"/>
  <c r="Y43" i="2" s="1"/>
  <c r="X372" i="2"/>
  <c r="Y372" i="2" s="1"/>
  <c r="X561" i="2"/>
  <c r="Y561" i="2" s="1"/>
  <c r="X234" i="2"/>
  <c r="Y234" i="2" s="1"/>
  <c r="X946" i="2"/>
  <c r="Y946" i="2" s="1"/>
  <c r="X1484" i="2"/>
  <c r="Y1484" i="2" s="1"/>
  <c r="X1597" i="2"/>
  <c r="Y1597" i="2" s="1"/>
  <c r="X45" i="2"/>
  <c r="Y45" i="2" s="1"/>
  <c r="X536" i="2"/>
  <c r="Y536" i="2" s="1"/>
  <c r="X899" i="2"/>
  <c r="Y899" i="2" s="1"/>
  <c r="X767" i="2"/>
  <c r="Y767" i="2" s="1"/>
  <c r="X1323" i="2"/>
  <c r="Y1323" i="2" s="1"/>
  <c r="X244" i="2"/>
  <c r="Y244" i="2" s="1"/>
  <c r="X1840" i="2"/>
  <c r="Y1840" i="2" s="1"/>
  <c r="X1457" i="2"/>
  <c r="Y1457" i="2" s="1"/>
  <c r="X185" i="2"/>
  <c r="Y185" i="2" s="1"/>
  <c r="X906" i="2"/>
  <c r="Y906" i="2" s="1"/>
  <c r="X1426" i="2"/>
  <c r="Y1426" i="2" s="1"/>
  <c r="X1938" i="2"/>
  <c r="Y1938" i="2" s="1"/>
  <c r="X330" i="2"/>
  <c r="Y330" i="2" s="1"/>
  <c r="X548" i="2"/>
  <c r="Y548" i="2" s="1"/>
  <c r="X1005" i="2"/>
  <c r="Y1005" i="2" s="1"/>
  <c r="X819" i="2"/>
  <c r="Y819" i="2" s="1"/>
  <c r="X1733" i="2"/>
  <c r="Y1733" i="2" s="1"/>
  <c r="X302" i="2"/>
  <c r="Y302" i="2" s="1"/>
  <c r="X658" i="2"/>
  <c r="Y658" i="2" s="1"/>
  <c r="X1008" i="2"/>
  <c r="Y1008" i="2" s="1"/>
  <c r="X1574" i="2"/>
  <c r="Y1574" i="2" s="1"/>
  <c r="X461" i="2"/>
  <c r="Y461" i="2" s="1"/>
  <c r="X963" i="2"/>
  <c r="Y963" i="2" s="1"/>
  <c r="X1768" i="2"/>
  <c r="Y1768" i="2" s="1"/>
  <c r="X454" i="2"/>
  <c r="Y454" i="2" s="1"/>
  <c r="X1157" i="2"/>
  <c r="Y1157" i="2" s="1"/>
  <c r="X90" i="2"/>
  <c r="Y90" i="2" s="1"/>
  <c r="X768" i="2"/>
  <c r="Y768" i="2" s="1"/>
  <c r="X1626" i="2"/>
  <c r="Y1626" i="2" s="1"/>
  <c r="X429" i="2"/>
  <c r="Y429" i="2" s="1"/>
  <c r="X1585" i="2"/>
  <c r="Y1585" i="2" s="1"/>
  <c r="X1083" i="2"/>
  <c r="Y1083" i="2" s="1"/>
  <c r="X1179" i="2"/>
  <c r="Y1179" i="2" s="1"/>
  <c r="X1479" i="2"/>
  <c r="Y1479" i="2" s="1"/>
  <c r="X1480" i="2"/>
  <c r="Y1480" i="2" s="1"/>
  <c r="X1275" i="2"/>
  <c r="Y1275" i="2" s="1"/>
  <c r="X1738" i="2"/>
  <c r="Y1738" i="2" s="1"/>
  <c r="X104" i="2"/>
  <c r="Y104" i="2" s="1"/>
  <c r="X1899" i="2"/>
  <c r="Y1899" i="2" s="1"/>
  <c r="X316" i="2"/>
  <c r="Y316" i="2" s="1"/>
  <c r="X1500" i="2"/>
  <c r="Y1500" i="2" s="1"/>
  <c r="X1069" i="2"/>
  <c r="Y1069" i="2" s="1"/>
  <c r="W537" i="2"/>
  <c r="X537" i="2"/>
  <c r="Y537" i="2" s="1"/>
  <c r="X1934" i="2"/>
  <c r="Y1934" i="2" s="1"/>
  <c r="X1791" i="2"/>
  <c r="Y1791" i="2" s="1"/>
  <c r="X647" i="2"/>
  <c r="Y647" i="2" s="1"/>
  <c r="X999" i="2"/>
  <c r="Y999" i="2" s="1"/>
  <c r="X1472" i="2"/>
  <c r="Y1472" i="2" s="1"/>
  <c r="X976" i="2"/>
  <c r="Y976" i="2" s="1"/>
  <c r="X1921" i="2"/>
  <c r="Y1921" i="2" s="1"/>
  <c r="X1305" i="2"/>
  <c r="Y1305" i="2" s="1"/>
  <c r="X219" i="2"/>
  <c r="Y219" i="2" s="1"/>
  <c r="X1056" i="2"/>
  <c r="Y1056" i="2" s="1"/>
  <c r="X1097" i="2"/>
  <c r="Y1097" i="2" s="1"/>
  <c r="X1105" i="2"/>
  <c r="Y1105" i="2" s="1"/>
  <c r="X1253" i="2"/>
  <c r="Y1253" i="2" s="1"/>
  <c r="X335" i="2"/>
  <c r="Y335" i="2" s="1"/>
  <c r="X1590" i="2"/>
  <c r="Y1590" i="2" s="1"/>
  <c r="X1784" i="2"/>
  <c r="Y1784" i="2" s="1"/>
  <c r="X1155" i="2"/>
  <c r="Y1155" i="2" s="1"/>
  <c r="X773" i="2"/>
  <c r="Y773" i="2" s="1"/>
  <c r="X404" i="2"/>
  <c r="Y404" i="2" s="1"/>
  <c r="X1234" i="2"/>
  <c r="Y1234" i="2" s="1"/>
  <c r="X702" i="2"/>
  <c r="Y702" i="2" s="1"/>
  <c r="X652" i="2"/>
  <c r="Y652" i="2" s="1"/>
  <c r="X1447" i="2"/>
  <c r="Y1447" i="2" s="1"/>
  <c r="X1448" i="2"/>
  <c r="Y1448" i="2" s="1"/>
  <c r="X1772" i="2"/>
  <c r="Y1772" i="2" s="1"/>
  <c r="X620" i="2"/>
  <c r="Y620" i="2" s="1"/>
  <c r="X1199" i="2"/>
  <c r="Y1199" i="2" s="1"/>
  <c r="X847" i="2"/>
  <c r="Y847" i="2" s="1"/>
  <c r="X1638" i="2"/>
  <c r="Y1638" i="2" s="1"/>
  <c r="X1639" i="2"/>
  <c r="Y1639" i="2" s="1"/>
  <c r="X2013" i="2"/>
  <c r="Y2013" i="2" s="1"/>
  <c r="X428" i="2"/>
  <c r="Y428" i="2" s="1"/>
  <c r="X81" i="2"/>
  <c r="Y81" i="2" s="1"/>
  <c r="X1064" i="2"/>
  <c r="Y1064" i="2" s="1"/>
  <c r="X895" i="2"/>
  <c r="Y895" i="2" s="1"/>
  <c r="X1467" i="2"/>
  <c r="Y1467" i="2" s="1"/>
  <c r="X1243" i="2"/>
  <c r="Y1243" i="2" s="1"/>
  <c r="X2012" i="2"/>
  <c r="Y2012" i="2" s="1"/>
  <c r="X471" i="2"/>
  <c r="Y471" i="2" s="1"/>
  <c r="X112" i="2"/>
  <c r="Y112" i="2" s="1"/>
  <c r="X1550" i="2"/>
  <c r="Y1550" i="2" s="1"/>
  <c r="X1998" i="2"/>
  <c r="Y1998" i="2" s="1"/>
  <c r="X418" i="2"/>
  <c r="Y418" i="2" s="1"/>
  <c r="X1024" i="2"/>
  <c r="Y1024" i="2" s="1"/>
  <c r="X1299" i="2"/>
  <c r="Y1299" i="2" s="1"/>
  <c r="X1488" i="2"/>
  <c r="Y1488" i="2" s="1"/>
  <c r="X1811" i="2"/>
  <c r="Y1811" i="2" s="1"/>
  <c r="X575" i="2"/>
  <c r="Y575" i="2" s="1"/>
  <c r="X1248" i="2"/>
  <c r="Y1248" i="2" s="1"/>
  <c r="X1796" i="2"/>
  <c r="Y1796" i="2" s="1"/>
  <c r="X394" i="2"/>
  <c r="Y394" i="2" s="1"/>
  <c r="X1309" i="2"/>
  <c r="Y1309" i="2" s="1"/>
  <c r="X1606" i="2"/>
  <c r="Y1606" i="2" s="1"/>
  <c r="X30" i="2"/>
  <c r="Y30" i="2" s="1"/>
  <c r="X1927" i="2"/>
  <c r="Y1927" i="2" s="1"/>
  <c r="X1800" i="2"/>
  <c r="Y1800" i="2" s="1"/>
  <c r="X63" i="2"/>
  <c r="Y63" i="2" s="1"/>
  <c r="X1190" i="2"/>
  <c r="Y1190" i="2" s="1"/>
  <c r="X276" i="2"/>
  <c r="Y276" i="2" s="1"/>
  <c r="X277" i="2"/>
  <c r="Y277" i="2" s="1"/>
  <c r="X53" i="2"/>
  <c r="Y53" i="2" s="1"/>
  <c r="X154" i="2"/>
  <c r="Y154" i="2" s="1"/>
  <c r="X799" i="2"/>
  <c r="Y799" i="2" s="1"/>
  <c r="X477" i="2"/>
  <c r="Y477" i="2" s="1"/>
  <c r="X1607" i="2"/>
  <c r="Y1607" i="2" s="1"/>
  <c r="X1887" i="2"/>
  <c r="Y1887" i="2" s="1"/>
  <c r="X1559" i="2"/>
  <c r="Y1559" i="2" s="1"/>
  <c r="X1560" i="2"/>
  <c r="Y1560" i="2" s="1"/>
  <c r="X466" i="2"/>
  <c r="Y466" i="2" s="1"/>
  <c r="X1266" i="2"/>
  <c r="Y1266" i="2" s="1"/>
  <c r="X1515" i="2"/>
  <c r="Y1515" i="2" s="1"/>
  <c r="X409" i="2"/>
  <c r="Y409" i="2" s="1"/>
  <c r="X498" i="2"/>
  <c r="Y498" i="2" s="1"/>
  <c r="X1645" i="2"/>
  <c r="Y1645" i="2" s="1"/>
  <c r="X618" i="2"/>
  <c r="Y618" i="2" s="1"/>
  <c r="X971" i="2"/>
  <c r="Y971" i="2" s="1"/>
  <c r="X1566" i="2"/>
  <c r="Y1566" i="2" s="1"/>
  <c r="X1823" i="2"/>
  <c r="Y1823" i="2" s="1"/>
  <c r="X1504" i="2"/>
  <c r="Y1504" i="2" s="1"/>
  <c r="X711" i="2"/>
  <c r="Y711" i="2" s="1"/>
  <c r="X247" i="2"/>
  <c r="Y247" i="2" s="1"/>
  <c r="X596" i="2"/>
  <c r="Y596" i="2" s="1"/>
  <c r="X955" i="2"/>
  <c r="Y955" i="2" s="1"/>
  <c r="X2018" i="2"/>
  <c r="Y2018" i="2" s="1"/>
  <c r="X388" i="2"/>
  <c r="Y388" i="2" s="1"/>
  <c r="X1443" i="2"/>
  <c r="Y1443" i="2" s="1"/>
  <c r="X190" i="2"/>
  <c r="Y190" i="2" s="1"/>
  <c r="X1128" i="2"/>
  <c r="Y1128" i="2" s="1"/>
  <c r="X1893" i="2"/>
  <c r="Y1893" i="2" s="1"/>
  <c r="X436" i="2"/>
  <c r="Y436" i="2" s="1"/>
  <c r="X1078" i="2"/>
  <c r="Y1078" i="2" s="1"/>
  <c r="X1094" i="2"/>
  <c r="Y1094" i="2" s="1"/>
  <c r="X31" i="2"/>
  <c r="Y31" i="2" s="1"/>
  <c r="X223" i="2"/>
  <c r="Y223" i="2" s="1"/>
  <c r="X607" i="2"/>
  <c r="Y607" i="2" s="1"/>
  <c r="X410" i="2"/>
  <c r="Y410" i="2" s="1"/>
  <c r="X172" i="2"/>
  <c r="Y172" i="2" s="1"/>
  <c r="X721" i="2"/>
  <c r="Y721" i="2" s="1"/>
  <c r="X1407" i="2"/>
  <c r="Y1407" i="2" s="1"/>
  <c r="X1716" i="2"/>
  <c r="Y1716" i="2" s="1"/>
  <c r="X257" i="2"/>
  <c r="Y257" i="2" s="1"/>
  <c r="X235" i="2"/>
  <c r="Y235" i="2" s="1"/>
  <c r="X619" i="2"/>
  <c r="Y619" i="2" s="1"/>
  <c r="X1818" i="2"/>
  <c r="Y1818" i="2" s="1"/>
  <c r="X640" i="2"/>
  <c r="Y640" i="2" s="1"/>
  <c r="X1979" i="2"/>
  <c r="Y1979" i="2" s="1"/>
  <c r="X762" i="2"/>
  <c r="Y762" i="2" s="1"/>
  <c r="X1564" i="2"/>
  <c r="Y1564" i="2" s="1"/>
  <c r="X42" i="2"/>
  <c r="Y42" i="2" s="1"/>
  <c r="X564" i="2"/>
  <c r="Y564" i="2" s="1"/>
  <c r="X1139" i="2"/>
  <c r="Y1139" i="2" s="1"/>
  <c r="X1661" i="2"/>
  <c r="Y1661" i="2" s="1"/>
  <c r="X381" i="2"/>
  <c r="Y381" i="2" s="1"/>
  <c r="X737" i="2"/>
  <c r="Y737" i="2" s="1"/>
  <c r="X1520" i="2"/>
  <c r="Y1520" i="2" s="1"/>
  <c r="X452" i="2"/>
  <c r="Y452" i="2" s="1"/>
  <c r="X1985" i="2"/>
  <c r="Y1985" i="2" s="1"/>
  <c r="X1147" i="2"/>
  <c r="Y1147" i="2" s="1"/>
  <c r="X1907" i="2"/>
  <c r="Y1907" i="2" s="1"/>
  <c r="X716" i="2"/>
  <c r="Y716" i="2" s="1"/>
  <c r="X1412" i="2"/>
  <c r="Y1412" i="2" s="1"/>
  <c r="X1828" i="2"/>
  <c r="Y1828" i="2" s="1"/>
  <c r="X1429" i="2"/>
  <c r="Y1429" i="2" s="1"/>
  <c r="X1925" i="2"/>
  <c r="Y1925" i="2" s="1"/>
  <c r="X749" i="2"/>
  <c r="Y749" i="2" s="1"/>
  <c r="X1082" i="2"/>
  <c r="Y1082" i="2" s="1"/>
  <c r="X1670" i="2"/>
  <c r="Y1670" i="2" s="1"/>
  <c r="X60" i="2"/>
  <c r="Y60" i="2" s="1"/>
  <c r="X553" i="2"/>
  <c r="Y553" i="2" s="1"/>
  <c r="X914" i="2"/>
  <c r="Y914" i="2" s="1"/>
  <c r="X1210" i="2"/>
  <c r="Y1210" i="2" s="1"/>
  <c r="X583" i="2"/>
  <c r="Y583" i="2" s="1"/>
  <c r="X941" i="2"/>
  <c r="Y941" i="2" s="1"/>
  <c r="X934" i="2"/>
  <c r="Y934" i="2" s="1"/>
  <c r="X1221" i="2"/>
  <c r="Y1221" i="2" s="1"/>
  <c r="X359" i="2"/>
  <c r="Y359" i="2" s="1"/>
  <c r="X1601" i="2"/>
  <c r="Y1601" i="2" s="1"/>
  <c r="X1739" i="2"/>
  <c r="Y1739" i="2" s="1"/>
  <c r="X1646" i="2"/>
  <c r="Y1646" i="2" s="1"/>
  <c r="X1505" i="2"/>
  <c r="Y1505" i="2" s="1"/>
  <c r="X1591" i="2"/>
  <c r="Y1591" i="2" s="1"/>
  <c r="X1592" i="2"/>
  <c r="Y1592" i="2" s="1"/>
  <c r="X1290" i="2"/>
  <c r="Y1290" i="2" s="1"/>
  <c r="X256" i="2"/>
  <c r="Y256" i="2" s="1"/>
  <c r="X65" i="2"/>
  <c r="Y65" i="2" s="1"/>
  <c r="X1418" i="2"/>
  <c r="Y1418" i="2" s="1"/>
  <c r="X1834" i="2"/>
  <c r="Y1834" i="2" s="1"/>
  <c r="X1995" i="2"/>
  <c r="Y1995" i="2" s="1"/>
  <c r="X445" i="2"/>
  <c r="Y445" i="2" s="1"/>
  <c r="X1612" i="2"/>
  <c r="Y1612" i="2" s="1"/>
  <c r="X1219" i="2"/>
  <c r="Y1219" i="2" s="1"/>
  <c r="X1725" i="2"/>
  <c r="Y1725" i="2" s="1"/>
  <c r="X1903" i="2"/>
  <c r="Y1903" i="2" s="1"/>
  <c r="X1552" i="2"/>
  <c r="Y1552" i="2" s="1"/>
  <c r="X1569" i="2"/>
  <c r="Y1569" i="2" s="1"/>
  <c r="X1277" i="2"/>
  <c r="Y1277" i="2" s="1"/>
  <c r="X1618" i="2"/>
  <c r="Y1618" i="2" s="1"/>
  <c r="X1476" i="2"/>
  <c r="Y1476" i="2" s="1"/>
  <c r="X1844" i="2"/>
  <c r="Y1844" i="2" s="1"/>
  <c r="X600" i="2"/>
  <c r="Y600" i="2" s="1"/>
  <c r="X911" i="2"/>
  <c r="Y911" i="2" s="1"/>
  <c r="X1445" i="2"/>
  <c r="Y1445" i="2" s="1"/>
  <c r="X1975" i="2"/>
  <c r="Y1975" i="2" s="1"/>
  <c r="X785" i="2"/>
  <c r="Y785" i="2" s="1"/>
  <c r="X1848" i="2"/>
  <c r="Y1848" i="2" s="1"/>
  <c r="X550" i="2"/>
  <c r="Y550" i="2" s="1"/>
  <c r="X1270" i="2"/>
  <c r="Y1270" i="2" s="1"/>
  <c r="X118" i="2"/>
  <c r="Y118" i="2" s="1"/>
  <c r="X75" i="2"/>
  <c r="Y75" i="2" s="1"/>
  <c r="X389" i="2"/>
  <c r="Y389" i="2" s="1"/>
  <c r="X69" i="2"/>
  <c r="Y69" i="2" s="1"/>
  <c r="X149" i="2"/>
  <c r="Y149" i="2" s="1"/>
  <c r="X150" i="2"/>
  <c r="Y150" i="2" s="1"/>
  <c r="X1908" i="2"/>
  <c r="Y1908" i="2" s="1"/>
  <c r="X105" i="2"/>
  <c r="Y105" i="2" s="1"/>
  <c r="X347" i="2"/>
  <c r="Y347" i="2" s="1"/>
  <c r="X293" i="2"/>
  <c r="Y293" i="2" s="1"/>
  <c r="X1579" i="2"/>
  <c r="Y1579" i="2" s="1"/>
  <c r="X496" i="2"/>
  <c r="Y496" i="2" s="1"/>
  <c r="X1018" i="2"/>
  <c r="Y1018" i="2" s="1"/>
  <c r="X1319" i="2"/>
  <c r="Y1319" i="2" s="1"/>
  <c r="X1380" i="2"/>
  <c r="Y1380" i="2" s="1"/>
  <c r="X74" i="2"/>
  <c r="Y74" i="2" s="1"/>
  <c r="X951" i="2"/>
  <c r="Y951" i="2" s="1"/>
  <c r="X1074" i="2"/>
  <c r="Y1074" i="2" s="1"/>
  <c r="X1356" i="2"/>
  <c r="Y1356" i="2" s="1"/>
  <c r="X1584" i="2"/>
  <c r="Y1584" i="2" s="1"/>
  <c r="X1274" i="2"/>
  <c r="Y1274" i="2" s="1"/>
  <c r="X328" i="2"/>
  <c r="Y328" i="2" s="1"/>
  <c r="X1682" i="2"/>
  <c r="Y1682" i="2" s="1"/>
  <c r="W25" i="2"/>
  <c r="X25" i="2"/>
  <c r="Y25" i="2" s="1"/>
  <c r="X484" i="2"/>
  <c r="Y484" i="2" s="1"/>
  <c r="X1228" i="2"/>
  <c r="Y1228" i="2" s="1"/>
  <c r="X1555" i="2"/>
  <c r="Y1555" i="2" s="1"/>
  <c r="X746" i="2"/>
  <c r="Y746" i="2" s="1"/>
  <c r="X1492" i="2"/>
  <c r="Y1492" i="2" s="1"/>
  <c r="X1860" i="2"/>
  <c r="Y1860" i="2" s="1"/>
  <c r="X255" i="2"/>
  <c r="Y255" i="2" s="1"/>
  <c r="X1461" i="2"/>
  <c r="Y1461" i="2" s="1"/>
  <c r="X488" i="2"/>
  <c r="Y488" i="2" s="1"/>
  <c r="X782" i="2"/>
  <c r="Y782" i="2" s="1"/>
  <c r="X580" i="2"/>
  <c r="Y580" i="2" s="1"/>
  <c r="X439" i="2"/>
  <c r="Y439" i="2" s="1"/>
  <c r="X1576" i="2"/>
  <c r="Y1576" i="2" s="1"/>
  <c r="X213" i="2"/>
  <c r="Y213" i="2" s="1"/>
  <c r="X322" i="2"/>
  <c r="Y322" i="2" s="1"/>
  <c r="X1369" i="2"/>
  <c r="Y1369" i="2" s="1"/>
  <c r="X1300" i="2"/>
  <c r="Y1300" i="2" s="1"/>
  <c r="X1310" i="2"/>
  <c r="Y1310" i="2" s="1"/>
  <c r="X774" i="2"/>
  <c r="Y774" i="2" s="1"/>
  <c r="X1126" i="2"/>
  <c r="Y1126" i="2" s="1"/>
  <c r="X138" i="2"/>
  <c r="Y138" i="2" s="1"/>
  <c r="X1450" i="2"/>
  <c r="Y1450" i="2" s="1"/>
  <c r="X1595" i="2"/>
  <c r="Y1595" i="2" s="1"/>
  <c r="X68" i="2"/>
  <c r="Y68" i="2" s="1"/>
  <c r="X1692" i="2"/>
  <c r="Y1692" i="2" s="1"/>
  <c r="X1245" i="2"/>
  <c r="Y1245" i="2" s="1"/>
  <c r="X1757" i="2"/>
  <c r="Y1757" i="2" s="1"/>
  <c r="X707" i="2"/>
  <c r="Y707" i="2" s="1"/>
  <c r="X114" i="2"/>
  <c r="Y114" i="2" s="1"/>
  <c r="X973" i="2"/>
  <c r="Y973" i="2" s="1"/>
  <c r="X1289" i="2"/>
  <c r="Y1289" i="2" s="1"/>
  <c r="X1600" i="2"/>
  <c r="Y1600" i="2" s="1"/>
  <c r="X1052" i="2"/>
  <c r="Y1052" i="2" s="1"/>
  <c r="X1327" i="2"/>
  <c r="Y1327" i="2" s="1"/>
  <c r="X52" i="2"/>
  <c r="Y52" i="2" s="1"/>
  <c r="X1571" i="2"/>
  <c r="Y1571" i="2" s="1"/>
  <c r="X1955" i="2"/>
  <c r="Y1955" i="2" s="1"/>
  <c r="X631" i="2"/>
  <c r="Y631" i="2" s="1"/>
  <c r="X1151" i="2"/>
  <c r="Y1151" i="2" s="1"/>
  <c r="X1382" i="2"/>
  <c r="Y1382" i="2" s="1"/>
  <c r="X463" i="2"/>
  <c r="Y463" i="2" s="1"/>
  <c r="X824" i="2"/>
  <c r="Y824" i="2" s="1"/>
  <c r="X312" i="2"/>
  <c r="Y312" i="2" s="1"/>
  <c r="X1239" i="2"/>
  <c r="Y1239" i="2" s="1"/>
  <c r="X901" i="2"/>
  <c r="Y901" i="2" s="1"/>
  <c r="W1926" i="2"/>
  <c r="W527" i="2"/>
  <c r="W402" i="2"/>
  <c r="W98" i="2"/>
  <c r="W614" i="2"/>
  <c r="W103" i="2"/>
  <c r="W357" i="2"/>
  <c r="W149" i="2"/>
  <c r="W745" i="2"/>
  <c r="W1232" i="2"/>
  <c r="W1068" i="2"/>
  <c r="W612" i="2"/>
  <c r="W1220" i="2"/>
  <c r="W1449" i="2"/>
  <c r="W1284" i="2"/>
  <c r="W1452" i="2"/>
  <c r="W1982" i="2"/>
  <c r="W823" i="2"/>
  <c r="W1330" i="2"/>
  <c r="W1288" i="2"/>
  <c r="W1596" i="2"/>
  <c r="W940" i="2"/>
  <c r="W1229" i="2"/>
  <c r="W1822" i="2"/>
  <c r="W1989" i="2"/>
  <c r="W1017" i="2"/>
  <c r="W1671" i="2"/>
  <c r="W1509" i="2"/>
  <c r="W915" i="2"/>
  <c r="W574" i="2"/>
  <c r="W192" i="2"/>
  <c r="W472" i="2"/>
  <c r="W88" i="2"/>
  <c r="W241" i="2"/>
  <c r="W111" i="2"/>
  <c r="W147" i="2"/>
  <c r="W483" i="2"/>
  <c r="W567" i="2"/>
  <c r="W926" i="2"/>
  <c r="W1693" i="2"/>
  <c r="W834" i="2"/>
  <c r="W1215" i="2"/>
  <c r="W1808" i="2"/>
  <c r="W497" i="2"/>
  <c r="W1298" i="2"/>
  <c r="W1790" i="2"/>
  <c r="W582" i="2"/>
  <c r="W1276" i="2"/>
  <c r="W1924" i="2"/>
  <c r="W1851" i="2"/>
  <c r="W1138" i="2"/>
  <c r="W1611" i="2"/>
  <c r="W1795" i="2"/>
  <c r="W818" i="2"/>
  <c r="W462" i="2"/>
  <c r="W900" i="2"/>
  <c r="W1843" i="2"/>
  <c r="W1734" i="2"/>
  <c r="W670" i="2"/>
  <c r="W894" i="2"/>
  <c r="W393" i="2"/>
  <c r="W558" i="2"/>
  <c r="W218" i="2"/>
  <c r="W438" i="2"/>
  <c r="W228" i="2"/>
  <c r="W659" i="2"/>
  <c r="W204" i="2"/>
  <c r="W577" i="2"/>
  <c r="W332" i="2"/>
  <c r="W1599" i="2"/>
  <c r="W656" i="2"/>
  <c r="W1242" i="2"/>
  <c r="W1549" i="2"/>
  <c r="W1405" i="2"/>
  <c r="W1511" i="2"/>
  <c r="W617" i="2"/>
  <c r="W1554" i="2"/>
  <c r="W549" i="2"/>
  <c r="W1308" i="2"/>
  <c r="W1687" i="2"/>
  <c r="W467" i="2"/>
  <c r="W979" i="2"/>
  <c r="W1269" i="2"/>
  <c r="W1916" i="2"/>
  <c r="W2011" i="2"/>
  <c r="W1799" i="2"/>
  <c r="W1654" i="2"/>
  <c r="W1150" i="2"/>
  <c r="W1594" i="2"/>
  <c r="W152" i="2"/>
  <c r="W552" i="2"/>
  <c r="W76" i="2"/>
  <c r="W243" i="2"/>
  <c r="W371" i="2"/>
  <c r="W650" i="2"/>
  <c r="W375" i="2"/>
  <c r="W1002" i="2"/>
  <c r="W1737" i="2"/>
  <c r="W1318" i="2"/>
  <c r="W630" i="2"/>
  <c r="W1423" i="2"/>
  <c r="W1810" i="2"/>
  <c r="W1545" i="2"/>
  <c r="W605" i="2"/>
  <c r="W1945" i="2"/>
  <c r="W1322" i="2"/>
  <c r="W1156" i="2"/>
  <c r="W1929" i="2"/>
  <c r="W873" i="2"/>
  <c r="W820" i="2"/>
  <c r="W975" i="2"/>
  <c r="W1411" i="2"/>
  <c r="W1892" i="2"/>
  <c r="W1759" i="2"/>
  <c r="W945" i="2"/>
  <c r="W447" i="2"/>
  <c r="W599" i="2"/>
  <c r="W710" i="2"/>
  <c r="W1261" i="2"/>
  <c r="W1570" i="2"/>
  <c r="W898" i="2"/>
  <c r="W1491" i="2"/>
  <c r="W918" i="2"/>
  <c r="W1615" i="2"/>
  <c r="W639" i="2"/>
  <c r="W1573" i="2"/>
  <c r="W642" i="2"/>
  <c r="W1937" i="2"/>
  <c r="W1252" i="2"/>
  <c r="W1227" i="2"/>
  <c r="W1681" i="2"/>
  <c r="W1273" i="2"/>
  <c r="W408" i="2"/>
  <c r="W417" i="2"/>
  <c r="W187" i="2"/>
  <c r="W676" i="2"/>
  <c r="W460" i="2"/>
  <c r="W44" i="2"/>
  <c r="W628" i="2"/>
  <c r="W1116" i="2"/>
  <c r="W1827" i="2"/>
  <c r="W910" i="2"/>
  <c r="W1994" i="2"/>
  <c r="W772" i="2"/>
  <c r="W1444" i="2"/>
  <c r="W1974" i="2"/>
  <c r="W1902" i="2"/>
  <c r="W727" i="2"/>
  <c r="W1425" i="2"/>
  <c r="W2019" i="2"/>
  <c r="W1468" i="2"/>
  <c r="W1172" i="2"/>
  <c r="W1978" i="2"/>
  <c r="W970" i="2"/>
  <c r="W715" i="2"/>
  <c r="W1456" i="2"/>
  <c r="W1803" i="2"/>
  <c r="W184" i="2"/>
  <c r="W591" i="2"/>
  <c r="W37" i="2"/>
  <c r="W100" i="2"/>
  <c r="W311" i="2"/>
  <c r="W646" i="2"/>
  <c r="W579" i="2"/>
  <c r="W233" i="2"/>
  <c r="W1281" i="2"/>
  <c r="W1817" i="2"/>
  <c r="W936" i="2"/>
  <c r="W1551" i="2"/>
  <c r="W954" i="2"/>
  <c r="W662" i="2"/>
  <c r="W1073" i="2"/>
  <c r="W1617" i="2"/>
  <c r="W736" i="2"/>
  <c r="W1386" i="2"/>
  <c r="W1756" i="2"/>
  <c r="W763" i="2"/>
  <c r="W1112" i="2"/>
  <c r="W1436" i="2"/>
  <c r="W1059" i="2"/>
  <c r="W1417" i="2"/>
  <c r="W1254" i="2"/>
  <c r="W1043" i="2"/>
  <c r="W1563" i="2"/>
  <c r="W327" i="2"/>
  <c r="W465" i="2"/>
  <c r="W160" i="2"/>
  <c r="W779" i="2"/>
  <c r="W212" i="2"/>
  <c r="W246" i="2"/>
  <c r="W797" i="2"/>
  <c r="W67" i="2"/>
  <c r="W1134" i="2"/>
  <c r="W1847" i="2"/>
  <c r="W928" i="2"/>
  <c r="W1442" i="2"/>
  <c r="W1483" i="2"/>
  <c r="W1997" i="2"/>
  <c r="W748" i="2"/>
  <c r="W1466" i="2"/>
  <c r="W1630" i="2"/>
  <c r="W1279" i="2"/>
  <c r="W158" i="2"/>
  <c r="W991" i="2"/>
  <c r="W1108" i="2"/>
  <c r="W1634" i="2"/>
  <c r="W1495" i="2"/>
  <c r="W1987" i="2"/>
  <c r="W1087" i="2"/>
  <c r="W1357" i="2"/>
  <c r="X304" i="2"/>
  <c r="Y304" i="2" s="1"/>
  <c r="W59" i="2"/>
  <c r="W276" i="2"/>
  <c r="W230" i="2"/>
  <c r="W334" i="2"/>
  <c r="W700" i="2"/>
  <c r="W1168" i="2"/>
  <c r="W433" i="2"/>
  <c r="W950" i="2"/>
  <c r="W1379" i="2"/>
  <c r="W1070" i="2"/>
  <c r="W972" i="2"/>
  <c r="W1658" i="2"/>
  <c r="W1011" i="2"/>
  <c r="W1819" i="2"/>
  <c r="W761" i="2"/>
  <c r="W1475" i="2"/>
  <c r="W1783" i="2"/>
  <c r="W789" i="2"/>
  <c r="W828" i="2"/>
  <c r="W1130" i="2"/>
  <c r="W1578" i="2"/>
  <c r="W1314" i="2"/>
  <c r="W1691" i="2"/>
  <c r="W719" i="2"/>
  <c r="W983" i="2"/>
  <c r="W1163" i="2"/>
  <c r="W1589" i="2"/>
  <c r="W1389" i="2"/>
  <c r="W1351" i="2"/>
  <c r="W363" i="2"/>
  <c r="W41" i="2"/>
  <c r="W624" i="2"/>
  <c r="W216" i="2"/>
  <c r="W130" i="2"/>
  <c r="W278" i="2"/>
  <c r="W365" i="2"/>
  <c r="W435" i="2"/>
  <c r="W116" i="2"/>
  <c r="W540" i="2"/>
  <c r="W126" i="2"/>
  <c r="W742" i="2"/>
  <c r="W1898" i="2"/>
  <c r="W962" i="2"/>
  <c r="W1641" i="2"/>
  <c r="W1004" i="2"/>
  <c r="W987" i="2"/>
  <c r="W1047" i="2"/>
  <c r="W1503" i="2"/>
  <c r="W931" i="2"/>
  <c r="W1724" i="2"/>
  <c r="W730" i="2"/>
  <c r="W1399" i="2"/>
  <c r="W1127" i="2"/>
  <c r="W1754" i="2"/>
  <c r="W877" i="2"/>
  <c r="W1516" i="2"/>
  <c r="W1077" i="2"/>
  <c r="W1970" i="2"/>
  <c r="W194" i="2"/>
  <c r="W1432" i="2"/>
  <c r="W189" i="2"/>
  <c r="W221" i="2"/>
  <c r="W301" i="2"/>
  <c r="W444" i="2"/>
  <c r="W387" i="2"/>
  <c r="W1213" i="2"/>
  <c r="W674" i="2"/>
  <c r="W563" i="2"/>
  <c r="W1051" i="2"/>
  <c r="W1159" i="2"/>
  <c r="W1906" i="2"/>
  <c r="W1728" i="2"/>
  <c r="W1055" i="2"/>
  <c r="W784" i="2"/>
  <c r="W825" i="2"/>
  <c r="W1514" i="2"/>
  <c r="W1961" i="2"/>
  <c r="W1165" i="2"/>
  <c r="W1519" i="2"/>
  <c r="W1805" i="2"/>
  <c r="W1523" i="2"/>
  <c r="W1265" i="2"/>
  <c r="W1583" i="2"/>
  <c r="W1765" i="2"/>
  <c r="W998" i="2"/>
  <c r="W319" i="2"/>
  <c r="W395" i="2"/>
  <c r="W64" i="2"/>
  <c r="W491" i="2"/>
  <c r="W584" i="2"/>
  <c r="W377" i="2"/>
  <c r="X249" i="2"/>
  <c r="Y249" i="2" s="1"/>
  <c r="W456" i="2"/>
  <c r="W1920" i="2"/>
  <c r="W1021" i="2"/>
  <c r="W1023" i="2"/>
  <c r="W1104" i="2"/>
  <c r="W1499" i="2"/>
  <c r="W1565" i="2"/>
  <c r="W947" i="2"/>
  <c r="W1792" i="2"/>
  <c r="W840" i="2"/>
  <c r="W1428" i="2"/>
  <c r="W712" i="2"/>
  <c r="W1304" i="2"/>
  <c r="W1781" i="2"/>
  <c r="W1093" i="2"/>
  <c r="W1620" i="2"/>
  <c r="W1479" i="2"/>
  <c r="W1669" i="2"/>
  <c r="W113" i="2"/>
  <c r="W254" i="2"/>
  <c r="W547" i="2"/>
  <c r="W572" i="2"/>
  <c r="W913" i="2"/>
  <c r="W1447" i="2"/>
  <c r="W182" i="2"/>
  <c r="W1122" i="2"/>
  <c r="W1471" i="2"/>
  <c r="W1954" i="2"/>
  <c r="W1142" i="2"/>
  <c r="W1125" i="2"/>
  <c r="W1885" i="2"/>
  <c r="W1556" i="2"/>
  <c r="W2007" i="2"/>
  <c r="W1146" i="2"/>
  <c r="W47" i="2"/>
  <c r="W903" i="2"/>
  <c r="W1189" i="2"/>
  <c r="W1714" i="2"/>
  <c r="W1638" i="2"/>
  <c r="W905" i="2"/>
  <c r="W2017" i="2"/>
  <c r="W1218" i="2"/>
  <c r="W1393" i="2"/>
  <c r="W1859" i="2"/>
  <c r="W73" i="2"/>
  <c r="W329" i="2"/>
  <c r="W451" i="2"/>
  <c r="W292" i="2"/>
  <c r="W62" i="2"/>
  <c r="W442" i="2"/>
  <c r="W1460" i="2"/>
  <c r="W1941" i="2"/>
  <c r="W1063" i="2"/>
  <c r="W1644" i="2"/>
  <c r="W453" i="2"/>
  <c r="W1065" i="2"/>
  <c r="W1605" i="2"/>
  <c r="W1120" i="2"/>
  <c r="W1238" i="2"/>
  <c r="W966" i="2"/>
  <c r="W1813" i="2"/>
  <c r="W1568" i="2"/>
  <c r="W754" i="2"/>
  <c r="W1326" i="2"/>
  <c r="W1249" i="2"/>
  <c r="W1663" i="2"/>
  <c r="W1559" i="2"/>
  <c r="W79" i="2"/>
  <c r="W560" i="2"/>
  <c r="W1674" i="2"/>
  <c r="W57" i="2"/>
  <c r="W426" i="2"/>
  <c r="W1824" i="2"/>
  <c r="W470" i="2"/>
  <c r="W495" i="2"/>
  <c r="W29" i="2"/>
  <c r="W380" i="2"/>
  <c r="W637" i="2"/>
  <c r="W725" i="2"/>
  <c r="W933" i="2"/>
  <c r="W1487" i="2"/>
  <c r="W587" i="2"/>
  <c r="W1174" i="2"/>
  <c r="W2003" i="2"/>
  <c r="W1223" i="2"/>
  <c r="W1839" i="2"/>
  <c r="W1933" i="2"/>
  <c r="W786" i="2"/>
  <c r="W1247" i="2"/>
  <c r="W1091" i="2"/>
  <c r="W1575" i="2"/>
  <c r="W1096" i="2"/>
  <c r="W922" i="2"/>
  <c r="W1209" i="2"/>
  <c r="W1786" i="2"/>
  <c r="W942" i="2"/>
  <c r="W1381" i="2"/>
  <c r="W1244" i="2"/>
  <c r="W1660" i="2"/>
  <c r="W766" i="2"/>
  <c r="W137" i="2"/>
  <c r="W200" i="2"/>
  <c r="W315" i="2"/>
  <c r="W1384" i="2"/>
  <c r="W51" i="2"/>
  <c r="W487" i="2"/>
  <c r="W908" i="2"/>
  <c r="W1100" i="2"/>
  <c r="W475" i="2"/>
  <c r="W1081" i="2"/>
  <c r="W1154" i="2"/>
  <c r="W535" i="2"/>
  <c r="W1257" i="2"/>
  <c r="W1767" i="2"/>
  <c r="W1007" i="2"/>
  <c r="W1833" i="2"/>
  <c r="W1591" i="2"/>
  <c r="W781" i="2"/>
  <c r="W1355" i="2"/>
  <c r="W1984" i="2"/>
  <c r="W1732" i="2"/>
  <c r="W1580" i="2"/>
  <c r="W595" i="2"/>
  <c r="W958" i="2"/>
  <c r="W1294" i="2"/>
  <c r="X14" i="2"/>
  <c r="Y14" i="2" s="1"/>
  <c r="X13" i="2"/>
  <c r="Y13" i="2" s="1"/>
  <c r="X16" i="2"/>
  <c r="Y16" i="2" s="1"/>
  <c r="X19" i="2"/>
  <c r="Y19" i="2" s="1"/>
  <c r="W13" i="2"/>
  <c r="X677" i="2"/>
  <c r="Y677" i="2" s="1"/>
  <c r="W18" i="2"/>
  <c r="W15" i="2"/>
  <c r="W410" i="2"/>
  <c r="W799" i="2"/>
  <c r="W477" i="2"/>
  <c r="W1607" i="2"/>
  <c r="W1887" i="2"/>
  <c r="W172" i="2"/>
  <c r="W31" i="2"/>
  <c r="W322" i="2"/>
  <c r="W69" i="2"/>
  <c r="W721" i="2"/>
  <c r="W1407" i="2"/>
  <c r="W1716" i="2"/>
  <c r="W257" i="2"/>
  <c r="X366" i="2"/>
  <c r="Y366" i="2" s="1"/>
  <c r="W82" i="2"/>
  <c r="W404" i="2"/>
  <c r="W118" i="2"/>
  <c r="W1601" i="2"/>
  <c r="W1739" i="2"/>
  <c r="W1646" i="2"/>
  <c r="W1505" i="2"/>
  <c r="W1290" i="2"/>
  <c r="W1908" i="2"/>
  <c r="W105" i="2"/>
  <c r="W347" i="2"/>
  <c r="W294" i="2"/>
  <c r="W1369" i="2"/>
  <c r="W1300" i="2"/>
  <c r="W1310" i="2"/>
  <c r="W1956" i="2"/>
  <c r="W419" i="2"/>
  <c r="W885" i="2"/>
  <c r="W1829" i="2"/>
  <c r="W1395" i="2"/>
  <c r="W1947" i="2"/>
  <c r="W1676" i="2"/>
  <c r="W690" i="2"/>
  <c r="W750" i="2"/>
  <c r="W266" i="2"/>
  <c r="W236" i="2"/>
  <c r="W529" i="2"/>
  <c r="W1761" i="2"/>
  <c r="W665" i="2"/>
  <c r="W1332" i="2"/>
  <c r="W1705" i="2"/>
  <c r="W738" i="2"/>
  <c r="W1033" i="2"/>
  <c r="W1413" i="2"/>
  <c r="W517" i="2"/>
  <c r="W1341" i="2"/>
  <c r="W1835" i="2"/>
  <c r="W1013" i="2"/>
  <c r="W1963" i="2"/>
  <c r="X21" i="2"/>
  <c r="Y21" i="2" s="1"/>
  <c r="W20" i="2"/>
  <c r="W140" i="2"/>
  <c r="W396" i="2"/>
  <c r="W732" i="2"/>
  <c r="W1683" i="2"/>
  <c r="W791" i="2"/>
  <c r="W554" i="2"/>
  <c r="W1745" i="2"/>
  <c r="W132" i="2"/>
  <c r="W53" i="2"/>
  <c r="W502" i="2"/>
  <c r="W808" i="2"/>
  <c r="W836" i="2"/>
  <c r="W863" i="2"/>
  <c r="W206" i="2"/>
  <c r="W1853" i="2"/>
  <c r="W1894" i="2"/>
  <c r="W195" i="2"/>
  <c r="W90" i="2"/>
  <c r="W382" i="2"/>
  <c r="W601" i="2"/>
  <c r="W1875" i="2"/>
  <c r="W756" i="2"/>
  <c r="W359" i="2"/>
  <c r="W1462" i="2"/>
  <c r="W1535" i="2"/>
  <c r="W1438" i="2"/>
  <c r="W1999" i="2"/>
  <c r="W542" i="2"/>
  <c r="W830" i="2"/>
  <c r="W389" i="2"/>
  <c r="W1401" i="2"/>
  <c r="W993" i="2"/>
  <c r="W1861" i="2"/>
  <c r="W879" i="2"/>
  <c r="W1665" i="2"/>
  <c r="W223" i="2"/>
  <c r="W607" i="2"/>
  <c r="W154" i="2"/>
  <c r="W768" i="2"/>
  <c r="W1626" i="2"/>
  <c r="W429" i="2"/>
  <c r="W1585" i="2"/>
  <c r="W1083" i="2"/>
  <c r="W1179" i="2"/>
  <c r="W1419" i="2"/>
  <c r="W1234" i="2"/>
  <c r="W702" i="2"/>
  <c r="W652" i="2"/>
  <c r="W1772" i="2"/>
  <c r="W620" i="2"/>
  <c r="W1199" i="2"/>
  <c r="W847" i="2"/>
  <c r="W2013" i="2"/>
  <c r="X101" i="2" l="1"/>
  <c r="Y101" i="2" s="1"/>
  <c r="W775" i="2"/>
  <c r="W284" i="2"/>
  <c r="X733" i="2"/>
  <c r="Y733" i="2" s="1"/>
  <c r="X734" i="2"/>
  <c r="Y734" i="2" s="1"/>
  <c r="X411" i="2"/>
  <c r="Y411" i="2" s="1"/>
  <c r="X70" i="2"/>
  <c r="Y70" i="2" s="1"/>
  <c r="X71" i="2"/>
  <c r="Y71" i="2" s="1"/>
  <c r="X1773" i="2"/>
  <c r="Y1773" i="2" s="1"/>
  <c r="X430" i="2"/>
  <c r="Y430" i="2" s="1"/>
  <c r="X431" i="2"/>
  <c r="Y431" i="2" s="1"/>
  <c r="X1862" i="2"/>
  <c r="Y1862" i="2" s="1"/>
  <c r="X1536" i="2"/>
  <c r="Y1536" i="2" s="1"/>
  <c r="X196" i="2"/>
  <c r="Y196" i="2" s="1"/>
  <c r="X503" i="2"/>
  <c r="Y503" i="2" s="1"/>
  <c r="X397" i="2"/>
  <c r="Y397" i="2" s="1"/>
  <c r="X518" i="2"/>
  <c r="Y518" i="2" s="1"/>
  <c r="X530" i="2"/>
  <c r="Y530" i="2" s="1"/>
  <c r="X1830" i="2"/>
  <c r="Y1830" i="2" s="1"/>
  <c r="X1831" i="2"/>
  <c r="Y1831" i="2" s="1"/>
  <c r="X348" i="2"/>
  <c r="Y348" i="2" s="1"/>
  <c r="X119" i="2"/>
  <c r="Y119" i="2" s="1"/>
  <c r="X323" i="2"/>
  <c r="Y323" i="2" s="1"/>
  <c r="X809" i="2"/>
  <c r="Y809" i="2" s="1"/>
  <c r="X621" i="2"/>
  <c r="Y621" i="2" s="1"/>
  <c r="X622" i="2"/>
  <c r="Y622" i="2" s="1"/>
  <c r="X1627" i="2"/>
  <c r="Y1627" i="2" s="1"/>
  <c r="X1628" i="2"/>
  <c r="Y1628" i="2" s="1"/>
  <c r="X1463" i="2"/>
  <c r="Y1463" i="2" s="1"/>
  <c r="X1464" i="2"/>
  <c r="Y1464" i="2" s="1"/>
  <c r="X54" i="2"/>
  <c r="Y54" i="2" s="1"/>
  <c r="X55" i="2"/>
  <c r="Y55" i="2" s="1"/>
  <c r="X1414" i="2"/>
  <c r="Y1414" i="2" s="1"/>
  <c r="X1415" i="2"/>
  <c r="Y1415" i="2" s="1"/>
  <c r="X237" i="2"/>
  <c r="Y237" i="2" s="1"/>
  <c r="X106" i="2"/>
  <c r="Y106" i="2" s="1"/>
  <c r="X653" i="2"/>
  <c r="Y653" i="2" s="1"/>
  <c r="X654" i="2"/>
  <c r="Y654" i="2" s="1"/>
  <c r="X994" i="2"/>
  <c r="Y994" i="2" s="1"/>
  <c r="X1895" i="2"/>
  <c r="Y1895" i="2" s="1"/>
  <c r="X1896" i="2"/>
  <c r="Y1896" i="2" s="1"/>
  <c r="X141" i="2"/>
  <c r="Y141" i="2" s="1"/>
  <c r="X886" i="2"/>
  <c r="Y886" i="2" s="1"/>
  <c r="X405" i="2"/>
  <c r="Y405" i="2" s="1"/>
  <c r="X406" i="2"/>
  <c r="Y406" i="2" s="1"/>
  <c r="X32" i="2"/>
  <c r="Y32" i="2" s="1"/>
  <c r="X1439" i="2"/>
  <c r="Y1439" i="2" s="1"/>
  <c r="X1440" i="2"/>
  <c r="Y1440" i="2" s="1"/>
  <c r="X769" i="2"/>
  <c r="Y769" i="2" s="1"/>
  <c r="X770" i="2"/>
  <c r="Y770" i="2" s="1"/>
  <c r="X360" i="2"/>
  <c r="Y360" i="2" s="1"/>
  <c r="X361" i="2"/>
  <c r="Y361" i="2" s="1"/>
  <c r="X267" i="2"/>
  <c r="Y267" i="2" s="1"/>
  <c r="X1909" i="2"/>
  <c r="Y1909" i="2" s="1"/>
  <c r="X1910" i="2"/>
  <c r="Y1910" i="2" s="1"/>
  <c r="X703" i="2"/>
  <c r="Y703" i="2" s="1"/>
  <c r="X704" i="2"/>
  <c r="Y704" i="2" s="1"/>
  <c r="X1402" i="2"/>
  <c r="Y1402" i="2" s="1"/>
  <c r="X1403" i="2"/>
  <c r="Y1403" i="2" s="1"/>
  <c r="X1854" i="2"/>
  <c r="Y1854" i="2" s="1"/>
  <c r="X133" i="2"/>
  <c r="Y133" i="2" s="1"/>
  <c r="X1034" i="2"/>
  <c r="Y1034" i="2" s="1"/>
  <c r="X420" i="2"/>
  <c r="Y420" i="2" s="1"/>
  <c r="X83" i="2"/>
  <c r="Y83" i="2" s="1"/>
  <c r="X207" i="2"/>
  <c r="Y207" i="2" s="1"/>
  <c r="X173" i="2"/>
  <c r="Y173" i="2" s="1"/>
  <c r="X1396" i="2"/>
  <c r="Y1396" i="2" s="1"/>
  <c r="X1397" i="2"/>
  <c r="Y1397" i="2" s="1"/>
  <c r="X1235" i="2"/>
  <c r="Y1235" i="2" s="1"/>
  <c r="X1236" i="2"/>
  <c r="Y1236" i="2" s="1"/>
  <c r="X757" i="2"/>
  <c r="Y757" i="2" s="1"/>
  <c r="X1964" i="2"/>
  <c r="Y1964" i="2" s="1"/>
  <c r="X739" i="2"/>
  <c r="Y739" i="2" s="1"/>
  <c r="X740" i="2"/>
  <c r="Y740" i="2" s="1"/>
  <c r="X751" i="2"/>
  <c r="Y751" i="2" s="1"/>
  <c r="X752" i="2"/>
  <c r="Y752" i="2" s="1"/>
  <c r="X1957" i="2"/>
  <c r="Y1957" i="2" s="1"/>
  <c r="X1291" i="2"/>
  <c r="Y1291" i="2" s="1"/>
  <c r="X1292" i="2"/>
  <c r="Y1292" i="2" s="1"/>
  <c r="X284" i="2"/>
  <c r="Y284" i="2" s="1"/>
  <c r="X285" i="2"/>
  <c r="Y285" i="2" s="1"/>
  <c r="X155" i="2"/>
  <c r="Y155" i="2" s="1"/>
  <c r="X156" i="2"/>
  <c r="Y156" i="2" s="1"/>
  <c r="X258" i="2"/>
  <c r="Y258" i="2" s="1"/>
  <c r="X880" i="2"/>
  <c r="Y880" i="2" s="1"/>
  <c r="X881" i="2"/>
  <c r="Y881" i="2" s="1"/>
  <c r="X390" i="2"/>
  <c r="Y390" i="2" s="1"/>
  <c r="X391" i="2"/>
  <c r="Y391" i="2" s="1"/>
  <c r="X1746" i="2"/>
  <c r="Y1746" i="2" s="1"/>
  <c r="X1014" i="2"/>
  <c r="Y1014" i="2" s="1"/>
  <c r="X1015" i="2"/>
  <c r="Y1015" i="2" s="1"/>
  <c r="X1888" i="2"/>
  <c r="Y1888" i="2" s="1"/>
  <c r="X2014" i="2"/>
  <c r="Y2014" i="2" s="1"/>
  <c r="X2015" i="2"/>
  <c r="Y2015" i="2" s="1"/>
  <c r="X1420" i="2"/>
  <c r="Y1420" i="2" s="1"/>
  <c r="X1421" i="2"/>
  <c r="Y1421" i="2" s="1"/>
  <c r="X608" i="2"/>
  <c r="Y608" i="2" s="1"/>
  <c r="X831" i="2"/>
  <c r="Y831" i="2" s="1"/>
  <c r="X832" i="2"/>
  <c r="Y832" i="2" s="1"/>
  <c r="X1876" i="2"/>
  <c r="Y1876" i="2" s="1"/>
  <c r="X864" i="2"/>
  <c r="Y864" i="2" s="1"/>
  <c r="X555" i="2"/>
  <c r="Y555" i="2" s="1"/>
  <c r="X556" i="2"/>
  <c r="Y556" i="2" s="1"/>
  <c r="X1706" i="2"/>
  <c r="Y1706" i="2" s="1"/>
  <c r="X691" i="2"/>
  <c r="Y691" i="2" s="1"/>
  <c r="X1311" i="2"/>
  <c r="Y1311" i="2" s="1"/>
  <c r="X1312" i="2"/>
  <c r="Y1312" i="2" s="1"/>
  <c r="X1506" i="2"/>
  <c r="Y1506" i="2" s="1"/>
  <c r="X1507" i="2"/>
  <c r="Y1507" i="2" s="1"/>
  <c r="X91" i="2"/>
  <c r="Y91" i="2" s="1"/>
  <c r="X1717" i="2"/>
  <c r="Y1717" i="2" s="1"/>
  <c r="X1718" i="2"/>
  <c r="Y1718" i="2" s="1"/>
  <c r="X1608" i="2"/>
  <c r="Y1608" i="2" s="1"/>
  <c r="X1609" i="2"/>
  <c r="Y1609" i="2" s="1"/>
  <c r="X1602" i="2"/>
  <c r="Y1602" i="2" s="1"/>
  <c r="X1603" i="2"/>
  <c r="Y1603" i="2" s="1"/>
  <c r="X848" i="2"/>
  <c r="Y848" i="2" s="1"/>
  <c r="X1180" i="2"/>
  <c r="Y1180" i="2" s="1"/>
  <c r="X224" i="2"/>
  <c r="Y224" i="2" s="1"/>
  <c r="X543" i="2"/>
  <c r="Y543" i="2" s="1"/>
  <c r="X602" i="2"/>
  <c r="Y602" i="2" s="1"/>
  <c r="X603" i="2"/>
  <c r="Y603" i="2" s="1"/>
  <c r="X776" i="2"/>
  <c r="Y776" i="2" s="1"/>
  <c r="X777" i="2"/>
  <c r="Y777" i="2" s="1"/>
  <c r="X792" i="2"/>
  <c r="Y792" i="2" s="1"/>
  <c r="X1836" i="2"/>
  <c r="Y1836" i="2" s="1"/>
  <c r="X1837" i="2"/>
  <c r="Y1837" i="2" s="1"/>
  <c r="X1333" i="2"/>
  <c r="Y1333" i="2" s="1"/>
  <c r="X1677" i="2"/>
  <c r="Y1677" i="2" s="1"/>
  <c r="X1301" i="2"/>
  <c r="Y1301" i="2" s="1"/>
  <c r="X1302" i="2"/>
  <c r="Y1302" i="2" s="1"/>
  <c r="X1647" i="2"/>
  <c r="Y1647" i="2" s="1"/>
  <c r="X295" i="2"/>
  <c r="Y295" i="2" s="1"/>
  <c r="X1408" i="2"/>
  <c r="Y1408" i="2" s="1"/>
  <c r="X1409" i="2"/>
  <c r="Y1409" i="2" s="1"/>
  <c r="X478" i="2"/>
  <c r="Y478" i="2" s="1"/>
  <c r="X1586" i="2"/>
  <c r="Y1586" i="2" s="1"/>
  <c r="X1587" i="2"/>
  <c r="Y1587" i="2" s="1"/>
  <c r="X1200" i="2"/>
  <c r="Y1200" i="2" s="1"/>
  <c r="X1084" i="2"/>
  <c r="Y1084" i="2" s="1"/>
  <c r="X1085" i="2"/>
  <c r="Y1085" i="2" s="1"/>
  <c r="X1666" i="2"/>
  <c r="Y1666" i="2" s="1"/>
  <c r="X1667" i="2"/>
  <c r="Y1667" i="2" s="1"/>
  <c r="X2000" i="2"/>
  <c r="Y2000" i="2" s="1"/>
  <c r="X2001" i="2"/>
  <c r="Y2001" i="2" s="1"/>
  <c r="X383" i="2"/>
  <c r="Y383" i="2" s="1"/>
  <c r="X837" i="2"/>
  <c r="Y837" i="2" s="1"/>
  <c r="X838" i="2"/>
  <c r="Y838" i="2" s="1"/>
  <c r="X1684" i="2"/>
  <c r="Y1684" i="2" s="1"/>
  <c r="X1685" i="2"/>
  <c r="Y1685" i="2" s="1"/>
  <c r="X1342" i="2"/>
  <c r="Y1342" i="2" s="1"/>
  <c r="X666" i="2"/>
  <c r="Y666" i="2" s="1"/>
  <c r="X1948" i="2"/>
  <c r="Y1948" i="2" s="1"/>
  <c r="X1370" i="2"/>
  <c r="Y1370" i="2" s="1"/>
  <c r="X1740" i="2"/>
  <c r="Y1740" i="2" s="1"/>
  <c r="X1741" i="2"/>
  <c r="Y1741" i="2" s="1"/>
  <c r="X1762" i="2"/>
  <c r="Y1762" i="2" s="1"/>
  <c r="X1763" i="2"/>
  <c r="Y1763" i="2" s="1"/>
  <c r="X722" i="2"/>
  <c r="Y722" i="2" s="1"/>
  <c r="X723" i="2"/>
  <c r="Y723" i="2" s="1"/>
  <c r="X800" i="2"/>
  <c r="Y800" i="2" s="1"/>
  <c r="W155" i="2"/>
  <c r="W2014" i="2"/>
  <c r="W1420" i="2"/>
  <c r="W831" i="2"/>
  <c r="W555" i="2"/>
  <c r="W1909" i="2"/>
  <c r="W366" i="2"/>
  <c r="W739" i="2"/>
  <c r="W751" i="2"/>
  <c r="W1291" i="2"/>
  <c r="X250" i="2"/>
  <c r="Y250" i="2" s="1"/>
  <c r="W249" i="2"/>
  <c r="W1311" i="2"/>
  <c r="W776" i="2"/>
  <c r="W1666" i="2"/>
  <c r="W1684" i="2"/>
  <c r="W1836" i="2"/>
  <c r="W1506" i="2"/>
  <c r="W1717" i="2"/>
  <c r="W1608" i="2"/>
  <c r="W1014" i="2"/>
  <c r="W2000" i="2"/>
  <c r="W621" i="2"/>
  <c r="W880" i="2"/>
  <c r="W733" i="2"/>
  <c r="W1301" i="2"/>
  <c r="W602" i="2"/>
  <c r="W1084" i="2"/>
  <c r="W837" i="2"/>
  <c r="W1586" i="2"/>
  <c r="W1439" i="2"/>
  <c r="W1408" i="2"/>
  <c r="W430" i="2"/>
  <c r="W1740" i="2"/>
  <c r="W722" i="2"/>
  <c r="W1895" i="2"/>
  <c r="W54" i="2"/>
  <c r="W1396" i="2"/>
  <c r="W70" i="2"/>
  <c r="W1627" i="2"/>
  <c r="W1762" i="2"/>
  <c r="W1602" i="2"/>
  <c r="X305" i="2"/>
  <c r="Y305" i="2" s="1"/>
  <c r="W304" i="2"/>
  <c r="W653" i="2"/>
  <c r="W703" i="2"/>
  <c r="W1830" i="2"/>
  <c r="W1463" i="2"/>
  <c r="W360" i="2"/>
  <c r="W769" i="2"/>
  <c r="W1235" i="2"/>
  <c r="W1414" i="2"/>
  <c r="W405" i="2"/>
  <c r="W677" i="2"/>
  <c r="W1402" i="2"/>
  <c r="X367" i="2"/>
  <c r="Y367" i="2" s="1"/>
  <c r="W390" i="2"/>
  <c r="X678" i="2"/>
  <c r="Y678" i="2" s="1"/>
  <c r="W133" i="2"/>
  <c r="W119" i="2"/>
  <c r="W1746" i="2"/>
  <c r="W21" i="2"/>
  <c r="W237" i="2"/>
  <c r="W886" i="2"/>
  <c r="W106" i="2"/>
  <c r="W323" i="2"/>
  <c r="W864" i="2"/>
  <c r="W1964" i="2"/>
  <c r="W267" i="2"/>
  <c r="W420" i="2"/>
  <c r="W83" i="2"/>
  <c r="W608" i="2"/>
  <c r="W1034" i="2"/>
  <c r="W848" i="2"/>
  <c r="W1180" i="2"/>
  <c r="W224" i="2"/>
  <c r="W543" i="2"/>
  <c r="W32" i="2"/>
  <c r="W792" i="2"/>
  <c r="W1957" i="2"/>
  <c r="W1200" i="2"/>
  <c r="W383" i="2"/>
  <c r="W173" i="2"/>
  <c r="W1876" i="2"/>
  <c r="W691" i="2"/>
  <c r="W91" i="2"/>
  <c r="W809" i="2"/>
  <c r="W258" i="2"/>
  <c r="W1888" i="2"/>
  <c r="W1706" i="2"/>
  <c r="W1342" i="2"/>
  <c r="W1333" i="2"/>
  <c r="W1677" i="2"/>
  <c r="W1647" i="2"/>
  <c r="W1773" i="2"/>
  <c r="W503" i="2"/>
  <c r="W285" i="2"/>
  <c r="W666" i="2"/>
  <c r="W1948" i="2"/>
  <c r="W1370" i="2"/>
  <c r="W994" i="2"/>
  <c r="W478" i="2"/>
  <c r="W1862" i="2"/>
  <c r="W1536" i="2"/>
  <c r="W397" i="2"/>
  <c r="W295" i="2"/>
  <c r="W1854" i="2"/>
  <c r="W800" i="2"/>
  <c r="W207" i="2"/>
  <c r="W518" i="2"/>
  <c r="W196" i="2"/>
  <c r="W141" i="2"/>
  <c r="W530" i="2"/>
  <c r="W348" i="2"/>
  <c r="W757" i="2"/>
  <c r="W411" i="2"/>
  <c r="W368" i="2" l="1"/>
  <c r="X479" i="2"/>
  <c r="Y479" i="2" s="1"/>
  <c r="X268" i="2"/>
  <c r="Y268" i="2" s="1"/>
  <c r="X22" i="2"/>
  <c r="Y22" i="2" s="1"/>
  <c r="X23" i="2"/>
  <c r="Y23" i="2" s="1"/>
  <c r="X692" i="2"/>
  <c r="Y692" i="2" s="1"/>
  <c r="X544" i="2"/>
  <c r="Y544" i="2" s="1"/>
  <c r="X545" i="2"/>
  <c r="Y545" i="2" s="1"/>
  <c r="X1747" i="2"/>
  <c r="Y1747" i="2" s="1"/>
  <c r="X208" i="2"/>
  <c r="Y208" i="2" s="1"/>
  <c r="X1201" i="2"/>
  <c r="Y1201" i="2" s="1"/>
  <c r="X801" i="2"/>
  <c r="Y801" i="2" s="1"/>
  <c r="X1334" i="2"/>
  <c r="Y1334" i="2" s="1"/>
  <c r="X1877" i="2"/>
  <c r="Y1877" i="2" s="1"/>
  <c r="X1965" i="2"/>
  <c r="Y1965" i="2" s="1"/>
  <c r="X1648" i="2"/>
  <c r="Y1648" i="2" s="1"/>
  <c r="X412" i="2"/>
  <c r="Y412" i="2" s="1"/>
  <c r="X1371" i="2"/>
  <c r="Y1371" i="2" s="1"/>
  <c r="X225" i="2"/>
  <c r="Y225" i="2" s="1"/>
  <c r="X226" i="2"/>
  <c r="Y226" i="2" s="1"/>
  <c r="X120" i="2"/>
  <c r="Y120" i="2" s="1"/>
  <c r="X92" i="2"/>
  <c r="Y92" i="2" s="1"/>
  <c r="X1949" i="2"/>
  <c r="Y1949" i="2" s="1"/>
  <c r="X134" i="2"/>
  <c r="Y134" i="2" s="1"/>
  <c r="X135" i="2"/>
  <c r="Y135" i="2" s="1"/>
  <c r="X519" i="2"/>
  <c r="Y519" i="2" s="1"/>
  <c r="X421" i="2"/>
  <c r="Y421" i="2" s="1"/>
  <c r="X1678" i="2"/>
  <c r="Y1678" i="2" s="1"/>
  <c r="X1679" i="2"/>
  <c r="Y1679" i="2" s="1"/>
  <c r="X758" i="2"/>
  <c r="Y758" i="2" s="1"/>
  <c r="X759" i="2"/>
  <c r="Y759" i="2" s="1"/>
  <c r="X174" i="2"/>
  <c r="Y174" i="2" s="1"/>
  <c r="X1855" i="2"/>
  <c r="Y1855" i="2" s="1"/>
  <c r="X1181" i="2"/>
  <c r="Y1181" i="2" s="1"/>
  <c r="X349" i="2"/>
  <c r="Y349" i="2" s="1"/>
  <c r="X667" i="2"/>
  <c r="Y667" i="2" s="1"/>
  <c r="X668" i="2"/>
  <c r="Y668" i="2" s="1"/>
  <c r="X384" i="2"/>
  <c r="Y384" i="2" s="1"/>
  <c r="X385" i="2"/>
  <c r="Y385" i="2" s="1"/>
  <c r="X286" i="2"/>
  <c r="Y286" i="2" s="1"/>
  <c r="X33" i="2"/>
  <c r="Y33" i="2" s="1"/>
  <c r="X995" i="2"/>
  <c r="Y995" i="2" s="1"/>
  <c r="X996" i="2"/>
  <c r="Y996" i="2" s="1"/>
  <c r="X1343" i="2"/>
  <c r="Y1343" i="2" s="1"/>
  <c r="X865" i="2"/>
  <c r="Y865" i="2" s="1"/>
  <c r="X296" i="2"/>
  <c r="Y296" i="2" s="1"/>
  <c r="X1707" i="2"/>
  <c r="Y1707" i="2" s="1"/>
  <c r="X849" i="2"/>
  <c r="Y849" i="2" s="1"/>
  <c r="X324" i="2"/>
  <c r="Y324" i="2" s="1"/>
  <c r="X325" i="2"/>
  <c r="Y325" i="2" s="1"/>
  <c r="X1035" i="2"/>
  <c r="Y1035" i="2" s="1"/>
  <c r="X107" i="2"/>
  <c r="Y107" i="2" s="1"/>
  <c r="X531" i="2"/>
  <c r="Y531" i="2" s="1"/>
  <c r="X398" i="2"/>
  <c r="Y398" i="2" s="1"/>
  <c r="X1537" i="2"/>
  <c r="Y1537" i="2" s="1"/>
  <c r="X1958" i="2"/>
  <c r="Y1958" i="2" s="1"/>
  <c r="X1959" i="2"/>
  <c r="Y1959" i="2" s="1"/>
  <c r="X887" i="2"/>
  <c r="Y887" i="2" s="1"/>
  <c r="X609" i="2"/>
  <c r="Y609" i="2" s="1"/>
  <c r="X610" i="2"/>
  <c r="Y610" i="2" s="1"/>
  <c r="X1889" i="2"/>
  <c r="Y1889" i="2" s="1"/>
  <c r="X1890" i="2"/>
  <c r="Y1890" i="2" s="1"/>
  <c r="X504" i="2"/>
  <c r="Y504" i="2" s="1"/>
  <c r="X1863" i="2"/>
  <c r="Y1863" i="2" s="1"/>
  <c r="X1864" i="2"/>
  <c r="Y1864" i="2" s="1"/>
  <c r="X810" i="2"/>
  <c r="Y810" i="2" s="1"/>
  <c r="X238" i="2"/>
  <c r="Y238" i="2" s="1"/>
  <c r="X239" i="2"/>
  <c r="Y239" i="2" s="1"/>
  <c r="X142" i="2"/>
  <c r="Y142" i="2" s="1"/>
  <c r="X259" i="2"/>
  <c r="Y259" i="2" s="1"/>
  <c r="X197" i="2"/>
  <c r="Y197" i="2" s="1"/>
  <c r="X198" i="2"/>
  <c r="Y198" i="2" s="1"/>
  <c r="X1774" i="2"/>
  <c r="Y1774" i="2" s="1"/>
  <c r="X793" i="2"/>
  <c r="Y793" i="2" s="1"/>
  <c r="X84" i="2"/>
  <c r="Y84" i="2" s="1"/>
  <c r="W384" i="2"/>
  <c r="W324" i="2"/>
  <c r="W667" i="2"/>
  <c r="W995" i="2"/>
  <c r="W1889" i="2"/>
  <c r="W367" i="2"/>
  <c r="W1863" i="2"/>
  <c r="W1958" i="2"/>
  <c r="W609" i="2"/>
  <c r="W197" i="2"/>
  <c r="W238" i="2"/>
  <c r="W1678" i="2"/>
  <c r="W544" i="2"/>
  <c r="W250" i="2"/>
  <c r="W225" i="2"/>
  <c r="X306" i="2"/>
  <c r="Y306" i="2" s="1"/>
  <c r="W305" i="2"/>
  <c r="W758" i="2"/>
  <c r="W134" i="2"/>
  <c r="W678" i="2"/>
  <c r="W1371" i="2"/>
  <c r="W1707" i="2"/>
  <c r="W1181" i="2"/>
  <c r="W142" i="2"/>
  <c r="W1537" i="2"/>
  <c r="W286" i="2"/>
  <c r="W849" i="2"/>
  <c r="W259" i="2"/>
  <c r="W1201" i="2"/>
  <c r="W1035" i="2"/>
  <c r="W107" i="2"/>
  <c r="W1334" i="2"/>
  <c r="W1343" i="2"/>
  <c r="W504" i="2"/>
  <c r="W1774" i="2"/>
  <c r="W349" i="2"/>
  <c r="W519" i="2"/>
  <c r="W479" i="2"/>
  <c r="W810" i="2"/>
  <c r="W887" i="2"/>
  <c r="W208" i="2"/>
  <c r="W1648" i="2"/>
  <c r="W92" i="2"/>
  <c r="W793" i="2"/>
  <c r="W84" i="2"/>
  <c r="W692" i="2"/>
  <c r="W33" i="2"/>
  <c r="W421" i="2"/>
  <c r="W268" i="2"/>
  <c r="W1855" i="2"/>
  <c r="W1877" i="2"/>
  <c r="W22" i="2"/>
  <c r="W412" i="2"/>
  <c r="W296" i="2"/>
  <c r="W174" i="2"/>
  <c r="W1965" i="2"/>
  <c r="W1747" i="2"/>
  <c r="W801" i="2"/>
  <c r="W865" i="2"/>
  <c r="W120" i="2"/>
  <c r="W531" i="2"/>
  <c r="W1949" i="2"/>
  <c r="W398" i="2"/>
  <c r="W679" i="2" l="1"/>
  <c r="X369" i="2"/>
  <c r="Y369" i="2" s="1"/>
  <c r="X368" i="2"/>
  <c r="Y368" i="2" s="1"/>
  <c r="X1878" i="2"/>
  <c r="Y1878" i="2" s="1"/>
  <c r="X93" i="2"/>
  <c r="Y93" i="2" s="1"/>
  <c r="X1775" i="2"/>
  <c r="Y1775" i="2" s="1"/>
  <c r="X850" i="2"/>
  <c r="Y850" i="2" s="1"/>
  <c r="X680" i="2"/>
  <c r="Y680" i="2" s="1"/>
  <c r="X681" i="2"/>
  <c r="Y681" i="2" s="1"/>
  <c r="X175" i="2"/>
  <c r="Y175" i="2" s="1"/>
  <c r="X794" i="2"/>
  <c r="Y794" i="2" s="1"/>
  <c r="X795" i="2"/>
  <c r="Y795" i="2" s="1"/>
  <c r="X866" i="2"/>
  <c r="Y866" i="2" s="1"/>
  <c r="X1649" i="2"/>
  <c r="Y1649" i="2" s="1"/>
  <c r="X287" i="2"/>
  <c r="Y287" i="2" s="1"/>
  <c r="X1856" i="2"/>
  <c r="Y1856" i="2" s="1"/>
  <c r="X1857" i="2"/>
  <c r="Y1857" i="2" s="1"/>
  <c r="X505" i="2"/>
  <c r="Y505" i="2" s="1"/>
  <c r="X802" i="2"/>
  <c r="Y802" i="2" s="1"/>
  <c r="X269" i="2"/>
  <c r="Y269" i="2" s="1"/>
  <c r="X209" i="2"/>
  <c r="Y209" i="2" s="1"/>
  <c r="X210" i="2"/>
  <c r="Y210" i="2" s="1"/>
  <c r="X1344" i="2"/>
  <c r="Y1344" i="2" s="1"/>
  <c r="X1538" i="2"/>
  <c r="Y1538" i="2" s="1"/>
  <c r="X679" i="2"/>
  <c r="Y679" i="2" s="1"/>
  <c r="X121" i="2"/>
  <c r="Y121" i="2" s="1"/>
  <c r="X260" i="2"/>
  <c r="Y260" i="2" s="1"/>
  <c r="X143" i="2"/>
  <c r="Y143" i="2" s="1"/>
  <c r="X413" i="2"/>
  <c r="Y413" i="2" s="1"/>
  <c r="X1748" i="2"/>
  <c r="Y1748" i="2" s="1"/>
  <c r="X888" i="2"/>
  <c r="Y888" i="2" s="1"/>
  <c r="X399" i="2"/>
  <c r="Y399" i="2" s="1"/>
  <c r="X400" i="2"/>
  <c r="Y400" i="2" s="1"/>
  <c r="X693" i="2"/>
  <c r="Y693" i="2" s="1"/>
  <c r="X350" i="2"/>
  <c r="Y350" i="2" s="1"/>
  <c r="X422" i="2"/>
  <c r="Y422" i="2" s="1"/>
  <c r="X1335" i="2"/>
  <c r="Y1335" i="2" s="1"/>
  <c r="X1336" i="2"/>
  <c r="Y1336" i="2" s="1"/>
  <c r="X1966" i="2"/>
  <c r="Y1966" i="2" s="1"/>
  <c r="X34" i="2"/>
  <c r="Y34" i="2" s="1"/>
  <c r="X35" i="2"/>
  <c r="Y35" i="2" s="1"/>
  <c r="X811" i="2"/>
  <c r="Y811" i="2" s="1"/>
  <c r="X108" i="2"/>
  <c r="Y108" i="2" s="1"/>
  <c r="X109" i="2"/>
  <c r="Y109" i="2" s="1"/>
  <c r="X1182" i="2"/>
  <c r="Y1182" i="2" s="1"/>
  <c r="X251" i="2"/>
  <c r="Y251" i="2" s="1"/>
  <c r="X252" i="2"/>
  <c r="Y252" i="2" s="1"/>
  <c r="X480" i="2"/>
  <c r="Y480" i="2" s="1"/>
  <c r="X481" i="2"/>
  <c r="Y481" i="2" s="1"/>
  <c r="X1036" i="2"/>
  <c r="Y1036" i="2" s="1"/>
  <c r="X1708" i="2"/>
  <c r="Y1708" i="2" s="1"/>
  <c r="X1950" i="2"/>
  <c r="Y1950" i="2" s="1"/>
  <c r="X532" i="2"/>
  <c r="Y532" i="2" s="1"/>
  <c r="X533" i="2"/>
  <c r="Y533" i="2" s="1"/>
  <c r="X297" i="2"/>
  <c r="Y297" i="2" s="1"/>
  <c r="X85" i="2"/>
  <c r="Y85" i="2" s="1"/>
  <c r="X86" i="2"/>
  <c r="Y86" i="2" s="1"/>
  <c r="X520" i="2"/>
  <c r="Y520" i="2" s="1"/>
  <c r="X1202" i="2"/>
  <c r="Y1202" i="2" s="1"/>
  <c r="X1372" i="2"/>
  <c r="Y1372" i="2" s="1"/>
  <c r="W1335" i="2"/>
  <c r="W34" i="2"/>
  <c r="W108" i="2"/>
  <c r="W251" i="2"/>
  <c r="W532" i="2"/>
  <c r="W85" i="2"/>
  <c r="W794" i="2"/>
  <c r="W680" i="2"/>
  <c r="W1856" i="2"/>
  <c r="W480" i="2"/>
  <c r="W209" i="2"/>
  <c r="X307" i="2"/>
  <c r="Y307" i="2" s="1"/>
  <c r="W306" i="2"/>
  <c r="W399" i="2"/>
  <c r="W413" i="2"/>
  <c r="W520" i="2"/>
  <c r="W1202" i="2"/>
  <c r="W1372" i="2"/>
  <c r="W866" i="2"/>
  <c r="W260" i="2"/>
  <c r="W1878" i="2"/>
  <c r="W93" i="2"/>
  <c r="W1775" i="2"/>
  <c r="W850" i="2"/>
  <c r="W297" i="2"/>
  <c r="W350" i="2"/>
  <c r="W802" i="2"/>
  <c r="W1649" i="2"/>
  <c r="W505" i="2"/>
  <c r="W287" i="2"/>
  <c r="W269" i="2"/>
  <c r="W1344" i="2"/>
  <c r="W1538" i="2"/>
  <c r="W1966" i="2"/>
  <c r="W1748" i="2"/>
  <c r="W422" i="2"/>
  <c r="W888" i="2"/>
  <c r="W143" i="2"/>
  <c r="W1950" i="2"/>
  <c r="W175" i="2"/>
  <c r="W811" i="2"/>
  <c r="W1182" i="2"/>
  <c r="W693" i="2"/>
  <c r="W1036" i="2"/>
  <c r="W1708" i="2"/>
  <c r="W121" i="2"/>
  <c r="X1037" i="2" l="1"/>
  <c r="Y1037" i="2" s="1"/>
  <c r="X423" i="2"/>
  <c r="Y423" i="2" s="1"/>
  <c r="X424" i="2"/>
  <c r="Y424" i="2" s="1"/>
  <c r="X1650" i="2"/>
  <c r="Y1650" i="2" s="1"/>
  <c r="X261" i="2"/>
  <c r="Y261" i="2" s="1"/>
  <c r="X262" i="2"/>
  <c r="Y262" i="2" s="1"/>
  <c r="X270" i="2"/>
  <c r="Y270" i="2" s="1"/>
  <c r="X694" i="2"/>
  <c r="Y694" i="2" s="1"/>
  <c r="X803" i="2"/>
  <c r="Y803" i="2" s="1"/>
  <c r="X804" i="2"/>
  <c r="Y804" i="2" s="1"/>
  <c r="X889" i="2"/>
  <c r="Y889" i="2" s="1"/>
  <c r="X1749" i="2"/>
  <c r="Y1749" i="2" s="1"/>
  <c r="X1373" i="2"/>
  <c r="Y1373" i="2" s="1"/>
  <c r="X1879" i="2"/>
  <c r="Y1879" i="2" s="1"/>
  <c r="X867" i="2"/>
  <c r="Y867" i="2" s="1"/>
  <c r="X1183" i="2"/>
  <c r="Y1183" i="2" s="1"/>
  <c r="X1967" i="2"/>
  <c r="Y1967" i="2" s="1"/>
  <c r="X1968" i="2"/>
  <c r="Y1968" i="2" s="1"/>
  <c r="X351" i="2"/>
  <c r="Y351" i="2" s="1"/>
  <c r="X122" i="2"/>
  <c r="Y122" i="2" s="1"/>
  <c r="X812" i="2"/>
  <c r="Y812" i="2" s="1"/>
  <c r="X1709" i="2"/>
  <c r="Y1709" i="2" s="1"/>
  <c r="X298" i="2"/>
  <c r="Y298" i="2" s="1"/>
  <c r="X299" i="2"/>
  <c r="Y299" i="2" s="1"/>
  <c r="X1951" i="2"/>
  <c r="Y1951" i="2" s="1"/>
  <c r="X1952" i="2"/>
  <c r="Y1952" i="2" s="1"/>
  <c r="X144" i="2"/>
  <c r="Y144" i="2" s="1"/>
  <c r="X145" i="2"/>
  <c r="Y145" i="2" s="1"/>
  <c r="X1203" i="2"/>
  <c r="Y1203" i="2" s="1"/>
  <c r="X851" i="2"/>
  <c r="Y851" i="2" s="1"/>
  <c r="X1539" i="2"/>
  <c r="Y1539" i="2" s="1"/>
  <c r="X176" i="2"/>
  <c r="Y176" i="2" s="1"/>
  <c r="X1345" i="2"/>
  <c r="Y1345" i="2" s="1"/>
  <c r="X521" i="2"/>
  <c r="Y521" i="2" s="1"/>
  <c r="X1776" i="2"/>
  <c r="Y1776" i="2" s="1"/>
  <c r="X414" i="2"/>
  <c r="Y414" i="2" s="1"/>
  <c r="X415" i="2"/>
  <c r="Y415" i="2" s="1"/>
  <c r="X288" i="2"/>
  <c r="Y288" i="2" s="1"/>
  <c r="X94" i="2"/>
  <c r="Y94" i="2" s="1"/>
  <c r="X506" i="2"/>
  <c r="Y506" i="2" s="1"/>
  <c r="W298" i="2"/>
  <c r="W423" i="2"/>
  <c r="W307" i="2"/>
  <c r="W1951" i="2"/>
  <c r="W414" i="2"/>
  <c r="W144" i="2"/>
  <c r="W803" i="2"/>
  <c r="W261" i="2"/>
  <c r="W1967" i="2"/>
  <c r="W1183" i="2"/>
  <c r="W176" i="2"/>
  <c r="W1345" i="2"/>
  <c r="W851" i="2"/>
  <c r="W521" i="2"/>
  <c r="W270" i="2"/>
  <c r="W1776" i="2"/>
  <c r="W94" i="2"/>
  <c r="W1539" i="2"/>
  <c r="W122" i="2"/>
  <c r="W812" i="2"/>
  <c r="W288" i="2"/>
  <c r="W1709" i="2"/>
  <c r="W889" i="2"/>
  <c r="W506" i="2"/>
  <c r="W1879" i="2"/>
  <c r="W1037" i="2"/>
  <c r="W1650" i="2"/>
  <c r="W867" i="2"/>
  <c r="W351" i="2"/>
  <c r="W1373" i="2"/>
  <c r="W1749" i="2"/>
  <c r="W694" i="2"/>
  <c r="W1203" i="2"/>
  <c r="X695" i="2" l="1"/>
  <c r="Y695" i="2" s="1"/>
  <c r="X507" i="2"/>
  <c r="Y507" i="2" s="1"/>
  <c r="X1777" i="2"/>
  <c r="Y1777" i="2" s="1"/>
  <c r="X890" i="2"/>
  <c r="Y890" i="2" s="1"/>
  <c r="X1184" i="2"/>
  <c r="Y1184" i="2" s="1"/>
  <c r="X271" i="2"/>
  <c r="Y271" i="2" s="1"/>
  <c r="X177" i="2"/>
  <c r="Y177" i="2" s="1"/>
  <c r="X1750" i="2"/>
  <c r="Y1750" i="2" s="1"/>
  <c r="X1038" i="2"/>
  <c r="Y1038" i="2" s="1"/>
  <c r="X1880" i="2"/>
  <c r="Y1880" i="2" s="1"/>
  <c r="X1374" i="2"/>
  <c r="Y1374" i="2" s="1"/>
  <c r="X1710" i="2"/>
  <c r="Y1710" i="2" s="1"/>
  <c r="X522" i="2"/>
  <c r="Y522" i="2" s="1"/>
  <c r="X1651" i="2"/>
  <c r="Y1651" i="2" s="1"/>
  <c r="X1652" i="2"/>
  <c r="Y1652" i="2" s="1"/>
  <c r="X852" i="2"/>
  <c r="Y852" i="2" s="1"/>
  <c r="X352" i="2"/>
  <c r="Y352" i="2" s="1"/>
  <c r="X1540" i="2"/>
  <c r="Y1540" i="2" s="1"/>
  <c r="X1204" i="2"/>
  <c r="Y1204" i="2" s="1"/>
  <c r="X289" i="2"/>
  <c r="Y289" i="2" s="1"/>
  <c r="X290" i="2"/>
  <c r="Y290" i="2" s="1"/>
  <c r="X868" i="2"/>
  <c r="Y868" i="2" s="1"/>
  <c r="X813" i="2"/>
  <c r="Y813" i="2" s="1"/>
  <c r="X1346" i="2"/>
  <c r="Y1346" i="2" s="1"/>
  <c r="X308" i="2"/>
  <c r="Y308" i="2" s="1"/>
  <c r="X309" i="2"/>
  <c r="Y309" i="2" s="1"/>
  <c r="X123" i="2"/>
  <c r="Y123" i="2" s="1"/>
  <c r="X124" i="2"/>
  <c r="Y124" i="2" s="1"/>
  <c r="X95" i="2"/>
  <c r="Y95" i="2" s="1"/>
  <c r="X96" i="2"/>
  <c r="Y96" i="2" s="1"/>
  <c r="W123" i="2"/>
  <c r="W1651" i="2"/>
  <c r="W289" i="2"/>
  <c r="W308" i="2"/>
  <c r="W95" i="2"/>
  <c r="W813" i="2"/>
  <c r="W177" i="2"/>
  <c r="W1540" i="2"/>
  <c r="W1184" i="2"/>
  <c r="W352" i="2"/>
  <c r="W1204" i="2"/>
  <c r="W1880" i="2"/>
  <c r="W695" i="2"/>
  <c r="W507" i="2"/>
  <c r="W1777" i="2"/>
  <c r="W1750" i="2"/>
  <c r="W890" i="2"/>
  <c r="W271" i="2"/>
  <c r="W852" i="2"/>
  <c r="W1374" i="2"/>
  <c r="W1710" i="2"/>
  <c r="W522" i="2"/>
  <c r="W868" i="2"/>
  <c r="W1346" i="2"/>
  <c r="W1038" i="2"/>
  <c r="X1039" i="2" l="1"/>
  <c r="Y1039" i="2" s="1"/>
  <c r="X1347" i="2"/>
  <c r="Y1347" i="2" s="1"/>
  <c r="X1751" i="2"/>
  <c r="Y1751" i="2" s="1"/>
  <c r="X1752" i="2"/>
  <c r="Y1752" i="2" s="1"/>
  <c r="X1541" i="2"/>
  <c r="Y1541" i="2" s="1"/>
  <c r="X869" i="2"/>
  <c r="Y869" i="2" s="1"/>
  <c r="X1778" i="2"/>
  <c r="Y1778" i="2" s="1"/>
  <c r="X1779" i="2"/>
  <c r="Y1779" i="2" s="1"/>
  <c r="X178" i="2"/>
  <c r="Y178" i="2" s="1"/>
  <c r="X353" i="2"/>
  <c r="Y353" i="2" s="1"/>
  <c r="X523" i="2"/>
  <c r="Y523" i="2" s="1"/>
  <c r="X508" i="2"/>
  <c r="Y508" i="2" s="1"/>
  <c r="X509" i="2"/>
  <c r="Y509" i="2" s="1"/>
  <c r="X814" i="2"/>
  <c r="Y814" i="2" s="1"/>
  <c r="X1711" i="2"/>
  <c r="Y1711" i="2" s="1"/>
  <c r="X1712" i="2"/>
  <c r="Y1712" i="2" s="1"/>
  <c r="X696" i="2"/>
  <c r="Y696" i="2" s="1"/>
  <c r="X891" i="2"/>
  <c r="Y891" i="2" s="1"/>
  <c r="X892" i="2"/>
  <c r="Y892" i="2" s="1"/>
  <c r="X1375" i="2"/>
  <c r="Y1375" i="2" s="1"/>
  <c r="X1881" i="2"/>
  <c r="Y1881" i="2" s="1"/>
  <c r="X853" i="2"/>
  <c r="Y853" i="2" s="1"/>
  <c r="X1205" i="2"/>
  <c r="Y1205" i="2" s="1"/>
  <c r="X272" i="2"/>
  <c r="Y272" i="2" s="1"/>
  <c r="X1185" i="2"/>
  <c r="Y1185" i="2" s="1"/>
  <c r="W891" i="2"/>
  <c r="W1751" i="2"/>
  <c r="W1778" i="2"/>
  <c r="W508" i="2"/>
  <c r="W1711" i="2"/>
  <c r="W272" i="2"/>
  <c r="W353" i="2"/>
  <c r="W1039" i="2"/>
  <c r="W1185" i="2"/>
  <c r="W1347" i="2"/>
  <c r="W178" i="2"/>
  <c r="W523" i="2"/>
  <c r="W814" i="2"/>
  <c r="W1541" i="2"/>
  <c r="W869" i="2"/>
  <c r="W696" i="2"/>
  <c r="W1375" i="2"/>
  <c r="W1881" i="2"/>
  <c r="W853" i="2"/>
  <c r="W1205" i="2"/>
  <c r="X870" i="2" l="1"/>
  <c r="Y870" i="2" s="1"/>
  <c r="X871" i="2"/>
  <c r="Y871" i="2" s="1"/>
  <c r="X815" i="2"/>
  <c r="Y815" i="2" s="1"/>
  <c r="X816" i="2"/>
  <c r="Y816" i="2" s="1"/>
  <c r="X1206" i="2"/>
  <c r="Y1206" i="2" s="1"/>
  <c r="X1207" i="2"/>
  <c r="Y1207" i="2" s="1"/>
  <c r="X524" i="2"/>
  <c r="Y524" i="2" s="1"/>
  <c r="X525" i="2"/>
  <c r="Y525" i="2" s="1"/>
  <c r="X354" i="2"/>
  <c r="Y354" i="2" s="1"/>
  <c r="X355" i="2"/>
  <c r="Y355" i="2" s="1"/>
  <c r="X1882" i="2"/>
  <c r="Y1882" i="2" s="1"/>
  <c r="X1883" i="2"/>
  <c r="Y1883" i="2" s="1"/>
  <c r="X1348" i="2"/>
  <c r="Y1348" i="2" s="1"/>
  <c r="X1349" i="2"/>
  <c r="Y1349" i="2" s="1"/>
  <c r="X179" i="2"/>
  <c r="Y179" i="2" s="1"/>
  <c r="X180" i="2"/>
  <c r="Y180" i="2" s="1"/>
  <c r="X1186" i="2"/>
  <c r="Y1186" i="2" s="1"/>
  <c r="X1187" i="2"/>
  <c r="Y1187" i="2" s="1"/>
  <c r="X1542" i="2"/>
  <c r="Y1542" i="2" s="1"/>
  <c r="X1543" i="2"/>
  <c r="Y1543" i="2" s="1"/>
  <c r="X854" i="2"/>
  <c r="Y854" i="2" s="1"/>
  <c r="X855" i="2"/>
  <c r="Y855" i="2" s="1"/>
  <c r="X1376" i="2"/>
  <c r="Y1376" i="2" s="1"/>
  <c r="X1377" i="2"/>
  <c r="Y1377" i="2" s="1"/>
  <c r="X697" i="2"/>
  <c r="Y697" i="2" s="1"/>
  <c r="X698" i="2"/>
  <c r="Y698" i="2" s="1"/>
  <c r="X1040" i="2"/>
  <c r="Y1040" i="2" s="1"/>
  <c r="X1041" i="2"/>
  <c r="Y1041" i="2" s="1"/>
  <c r="X273" i="2"/>
  <c r="Y273" i="2" s="1"/>
  <c r="X274" i="2"/>
  <c r="Y274" i="2" s="1"/>
  <c r="W1206" i="2"/>
  <c r="W1040" i="2"/>
  <c r="W870" i="2"/>
  <c r="W354" i="2"/>
  <c r="W697" i="2"/>
  <c r="W1542" i="2"/>
  <c r="W273" i="2"/>
  <c r="W815" i="2"/>
  <c r="W854" i="2"/>
  <c r="W179" i="2"/>
  <c r="W1882" i="2"/>
  <c r="W1348" i="2"/>
  <c r="W524" i="2"/>
  <c r="W1376" i="2"/>
  <c r="W118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<sst xmlns="http://schemas.openxmlformats.org/spreadsheetml/2006/main" count="32189" uniqueCount="2967">
  <si>
    <t>_x000C_CEPEL - CENTRO DE PESQUISAS DE ENERGIA ELETRICA - PROGRAMA DE ANALISE DE REDES - V11.06.02                                 PAG.   1</t>
  </si>
  <si>
    <t xml:space="preserve"> PARPEL 23-27 * MG-GODF * I27M * NEexp * NESE 8800 UFVMG 90% * UFVAlves120MW     </t>
  </si>
  <si>
    <t xml:space="preserve"> RELATORIO COMPLETO DO SISTEMA * AREA   3 * RS - DIT/DIST                       </t>
  </si>
  <si>
    <t xml:space="preserve"> X--------------------- D A D O S  -  B A R R A ---------------------------X------------- F L U X O S  -  C I R C U I T O S --------------X--------X--------X-----------X</t>
  </si>
  <si>
    <t xml:space="preserve">  DA BARRA       TENSAO GERACAO INJ EQV  CARGA   ELO CC  SHUNT    MOTOR                                                                                              </t>
  </si>
  <si>
    <t xml:space="preserve">  NUM.  KV TIPO   MOD/     MW/     MW/     MW/     MW/   Mvar/     MW/                                                                    P E R D A S       TENSAO   </t>
  </si>
  <si>
    <t xml:space="preserve">       NOME       ANG     Mvar    Mvar    Mvar    Mvar   EQUIV    Mvar  PARA BARRA                     FLUXOS                           ATIVA   REATIVA  CIR. ABERTO </t>
  </si>
  <si>
    <t xml:space="preserve">                        MVA_NOM MVA_EMR MVA_EQP   FLUXO %   SHUNT L         NUM.      NOME     NC    MW     Mvar  MVA/V_d   TAP  DEFAS TIE    MW      Mvar    MOD   ANG  </t>
  </si>
  <si>
    <t xml:space="preserve"> X-------------X-------X-------X-------X-------X-----------X-------X-------X-----X------------X--X-------X-------X-------X------X-----X---X--------X--------X-----X-----X</t>
  </si>
  <si>
    <t xml:space="preserve">    930  138  0   1.011     0.0     0.0     0.0         0.0     0.0     0.0</t>
  </si>
  <si>
    <t xml:space="preserve">  ALEGRE-RS138    -50.7     0.0     0.0     0.0         0.0     0.0     0.0                                          </t>
  </si>
  <si>
    <t xml:space="preserve">                           25.0    25.0    25.0       13.1%                  1182 ALEGRE-RS069  5     1.1     3.1     3.3 0.982*               0.00     0.04            </t>
  </si>
  <si>
    <t xml:space="preserve">                           25.0    25.0    25.0       13.1%                  1182 ALEGRE-RS069  6     1.1     3.1     3.3 0.982*               0.00     0.04            </t>
  </si>
  <si>
    <t xml:space="preserve">                           97.0   141.0   141.0        6.7%                  1383 SMARI3-RS138  1    -2.2    -6.2     6.5                      0.01   -12.25            </t>
  </si>
  <si>
    <t xml:space="preserve">  .......................................................................................................................................................................</t>
  </si>
  <si>
    <t xml:space="preserve">    931  992  1   1.016    33.0     0.0     0.0         0.0     0.0     0.0</t>
  </si>
  <si>
    <t xml:space="preserve">  MONJOLUHE001    -37.4     0.8     0.0     0.0         0.0     0.0     0.0                                          </t>
  </si>
  <si>
    <t xml:space="preserve">                          154.0   154.0   154.0       21.1%                   932 ALZANT-RS138  1    33.0     0.8    32.5                      0.00     3.10            </t>
  </si>
  <si>
    <t xml:space="preserve">    932  138  0   1.043     0.0     0.0     0.0         0.0     0.0     0.0</t>
  </si>
  <si>
    <t xml:space="preserve">  ALZANT-RS138    -42.8     0.0     0.0     0.0         0.0     0.0     0.0                                          </t>
  </si>
  <si>
    <t xml:space="preserve">                          154.0   154.0   154.0       20.6%                   931 MONJOLUHE001  1   -33.0     2.3    31.7 1.025F               0.00     3.10            </t>
  </si>
  <si>
    <t xml:space="preserve">                           81.0    81.0    81.0       39.1%                  1042 PFUNDO-RS138  1    33.0    -2.3    31.7                      0.12    -0.81            </t>
  </si>
  <si>
    <t xml:space="preserve">   1038  138  0   0.998     0.0     0.0     0.0         0.0     0.0     0.0</t>
  </si>
  <si>
    <t xml:space="preserve">  CAPIVA-RS138    -48.6     0.0     0.0     0.0         0.0     0.0     0.0                                          </t>
  </si>
  <si>
    <t xml:space="preserve">                           82.0   118.0   118.0        1.6%                  1229 PALMAR-RS138  1     0.8    -1.0     1.3                      0.00    -1.08            </t>
  </si>
  <si>
    <t xml:space="preserve">                           82.0   118.0   118.0        2.8%                  1358 OSO-Y2-RS138  1     0.0    -2.3     2.3                      0.00    -2.30            </t>
  </si>
  <si>
    <t xml:space="preserve">                          100.0   120.0   120.0        1.7%                 43830 CAP--3-RS000  1    -0.4     1.7     1.7 1.000F       002    -0.00    -0.00            </t>
  </si>
  <si>
    <t xml:space="preserve">                          100.0   120.0   120.0        1.7%                 43832 CAP--4-RS000  2    -0.4     1.7     1.7 1.000F       002    -0.00    -0.00            </t>
  </si>
  <si>
    <t xml:space="preserve">   1039   69  0   1.007     0.0     0.0    10.1         0.0     1.8     0.0</t>
  </si>
  <si>
    <t xml:space="preserve">  PFUND2-RS069    -50.2     0.0     0.0     3.1         0.0     0.0     0.0                                          </t>
  </si>
  <si>
    <t xml:space="preserve">                           30.0    36.0    36.0       33.7%                  1279 SMARTA-RS069  1   -10.1    -1.3    10.1                      0.04    -0.11            </t>
  </si>
  <si>
    <t xml:space="preserve">   1042  138  0   1.040     0.0     0.0     0.0         0.0     0.0     0.0</t>
  </si>
  <si>
    <t xml:space="preserve">  PFUNDO-RS138    -43.6     0.0     0.0     0.0         0.0     0.0     0.0                                          </t>
  </si>
  <si>
    <t xml:space="preserve">                           81.0    81.0    81.0       39.1%                   932 ALZANT-RS138  1   -32.9     1.5    31.6                      0.12    -0.81            </t>
  </si>
  <si>
    <t xml:space="preserve">                          167.0   167.0   167.0       38.5%                  2069 EREXIM-RS138  1    66.7    -3.8    64.2                      2.10     2.05            </t>
  </si>
  <si>
    <t xml:space="preserve">                           25.0    25.0    25.0       65.4%                  2095 PFUNDO-RS023  4    12.6    11.4    16.4 0.942*               0.00     0.83            </t>
  </si>
  <si>
    <t xml:space="preserve">                           84.0    91.0    91.0       26.4%                 41332 PFU--3-RS000  3   -22.8    -3.9    22.2 1.019*       002     0.03    -0.03            </t>
  </si>
  <si>
    <t xml:space="preserve">                           84.0    91.0    91.0       27.7%                 41333 PFU--5-RS000  5   -23.7    -5.2    23.3 1.019*       002     0.02    -0.01            </t>
  </si>
  <si>
    <t xml:space="preserve">   1162  992  1   0.966    81.0     0.0     0.0         0.0     0.0     0.0</t>
  </si>
  <si>
    <t xml:space="preserve">  JACUI-UHE003    -38.5    13.7     0.0     0.0         0.0     0.0     0.0                                          </t>
  </si>
  <si>
    <t xml:space="preserve">                          198.0   198.0   198.0       43.0%                  1216 JACUI--RS138  1    81.0    13.7    85.1                      0.00    12.20            </t>
  </si>
  <si>
    <t xml:space="preserve">   1182   69  0   1.017     3.2     0.0    27.2         0.0     3.7     0.0</t>
  </si>
  <si>
    <t xml:space="preserve">  ALEGRE-RS069    -50.9     0.0     0.0     6.4         0.0     0.0     0.0                                          </t>
  </si>
  <si>
    <t xml:space="preserve">                           25.0    25.0    25.0       12.8%                   930 ALEGRE-RS138  5    -1.1    -3.1     3.2                      0.00     0.04            </t>
  </si>
  <si>
    <t xml:space="preserve">                           25.0    25.0    25.0       12.8%                   930 ALEGRE-RS138  6    -1.1    -3.1     3.2                      0.00     0.04            </t>
  </si>
  <si>
    <t xml:space="preserve">                           48.0    48.0    48.0       45.2%                  1185 ALEGR2-RS069  1   -21.8     3.5    21.7                      0.07     0.13            </t>
  </si>
  <si>
    <t xml:space="preserve">   1184  138  0   1.005     9.9     0.0    37.1         0.0     3.6     0.0</t>
  </si>
  <si>
    <t xml:space="preserve">  2IRMAO-RS138    -52.9     0.0     0.0    17.8         0.0     0.0     0.0                                          </t>
  </si>
  <si>
    <t xml:space="preserve">                          134.0   162.0   162.0       22.8%                  9965 IVOTI--RS138  1   -27.2   -14.2    30.5                      0.06    -0.30            </t>
  </si>
  <si>
    <t xml:space="preserve">   1185   69  0   1.019     4.9     0.0    13.7         0.0     3.7     0.0</t>
  </si>
  <si>
    <t xml:space="preserve">  ALEGR2-RS069    -50.3     0.0     0.0     3.0         0.0     0.0     0.0                                          </t>
  </si>
  <si>
    <t xml:space="preserve">                           48.0    48.0    48.0       45.2%                  1182 ALEGRE-RS069  1    21.9    -3.3    21.7                      0.07     0.13            </t>
  </si>
  <si>
    <t xml:space="preserve">                           83.0   125.0   125.0       18.1%                 41211 ALEG-1-RS000  1   -15.1     2.1    15.0 1.000F       002     0.00    -0.02            </t>
  </si>
  <si>
    <t xml:space="preserve">                           83.0   100.0   100.0       18.5%                 41212 ALEG-2-RS000  2   -15.5     2.0    15.4 1.000F       002     0.00    -0.02            </t>
  </si>
  <si>
    <t xml:space="preserve">   1187   69  0   1.008     4.6     0.0    57.2         0.0    11.0     0.0</t>
  </si>
  <si>
    <t xml:space="preserve">  CAXIA1-RS069    -52.8     0.0     0.0    36.2         0.0     0.0     0.0                                          </t>
  </si>
  <si>
    <t xml:space="preserve">              DESLIGADO    75.0    90.0    90.0                              1193 CAXIA5-RS069  1     0.0     0.0     0.0                      0.00     0.00            </t>
  </si>
  <si>
    <t xml:space="preserve">                           75.0    90.0    90.0       77.2%                 10222 LUPATETAP069  1   -52.6   -25.2    57.9                      0.29     0.88            </t>
  </si>
  <si>
    <t xml:space="preserve">   1193   69  0   1.012     0.0     0.0     0.0         0.0     0.0     0.0</t>
  </si>
  <si>
    <t xml:space="preserve">  CAXIA5-RS069    -50.5     0.0     0.0     0.0         0.0     0.0     0.0                                          </t>
  </si>
  <si>
    <t xml:space="preserve">              DESLIGADO    75.0    90.0    90.0                              1187 CAXIA1-RS069  1     0.0    -0.1     0.1                      0.00    -0.13 1.012 -50.5</t>
  </si>
  <si>
    <t xml:space="preserve">                           84.0   101.0   101.0        0.2%                  1201 CAXIA2-RS069  1    -0.0     0.1     0.1                      0.00    -0.08            </t>
  </si>
  <si>
    <t xml:space="preserve">   1195   69  0   1.009    22.0     0.0    85.1         0.0    11.0     0.0</t>
  </si>
  <si>
    <t xml:space="preserve">  CAMAQU-RS069    -52.5     0.0     0.0    26.6         0.0     0.0     0.0                                          </t>
  </si>
  <si>
    <t xml:space="preserve">                           75.0    90.0    90.0       33.4%                  9570 CAMAQ3-RS069  1   -25.1    -3.5    25.1                      0.05     0.14            </t>
  </si>
  <si>
    <t xml:space="preserve">                           83.0   124.0   124.0       23.9%                 41221 CAMA-1-RS000  1   -19.1    -6.1    19.8 1.000F       002     0.01    -0.04            </t>
  </si>
  <si>
    <t xml:space="preserve">                           83.0    83.0    83.0       23.8%                 41222 CAMA-5-RS000  5   -19.0    -6.0    19.7 1.000F       002     0.01    -0.03            </t>
  </si>
  <si>
    <t xml:space="preserve">   1196   69  0   1.021    14.1     0.0   126.7         0.0    33.8     0.0</t>
  </si>
  <si>
    <t xml:space="preserve">  CAMPOB-RS069    -54.0     0.0     0.0    60.9         0.0     0.0     0.0                                          </t>
  </si>
  <si>
    <t xml:space="preserve">                           83.0   125.0   125.0       45.0%                 41232 CBOM-1-RS000  1   -37.1    -8.9    37.3 1.000F       002     0.02    -0.10            </t>
  </si>
  <si>
    <t xml:space="preserve">                           83.0   120.0   120.0       44.8%                 41233 CBOM-2-RS000  2   -36.9    -8.9    37.2 1.000F       002     0.02    -0.12            </t>
  </si>
  <si>
    <t xml:space="preserve">                           83.0    83.0    83.0       46.9%                 41234 CBOM-7-RS000  7   -38.6    -9.2    38.9 1.000F       002     0.03    -0.15            </t>
  </si>
  <si>
    <t xml:space="preserve">   1197   69  0   1.017     0.0     0.0     0.0         0.0     0.0     0.0</t>
  </si>
  <si>
    <t xml:space="preserve">  GUAIB2-RS069    -53.2     0.0     0.0     0.0         0.0     0.0     0.0                                          </t>
  </si>
  <si>
    <t xml:space="preserve">                           48.0    71.0    71.0       42.5%                  9773 STHGUATAP069  1    19.1     8.2    20.4                      0.07     0.12            </t>
  </si>
  <si>
    <t xml:space="preserve">                           54.0    79.0    79.0       77.4%                  9775 GUA1-A-RS069  1    40.1    14.0    41.8                      0.24     0.74            </t>
  </si>
  <si>
    <t xml:space="preserve">              DESLIGADO    54.0    79.0    79.0                             10277 CHARQ3-RS069  1     0.0     0.0     0.0                      0.00     0.00            </t>
  </si>
  <si>
    <t xml:space="preserve">                           50.0    75.0    75.0       41.4%                 41277 GUA2-1-RS000  1   -19.7    -7.4    20.7 1.000F       002     0.01    -0.10            </t>
  </si>
  <si>
    <t xml:space="preserve">                           50.0    75.0    75.0       41.7%                 41278 GUA2-2-RS000  2   -19.9    -7.4    20.8 1.000F       002     0.01    -0.02            </t>
  </si>
  <si>
    <t xml:space="preserve">                           50.0    60.0    60.0       41.3%                 41279 GUA2-3-RS000  3   -19.7    -7.3    20.7 1.000F       002     0.01    -0.04            </t>
  </si>
  <si>
    <t xml:space="preserve">   1201   69  0   1.011     0.0     0.0     0.0         0.0     0.0     0.0</t>
  </si>
  <si>
    <t xml:space="preserve">  CAXIA2-RS069    -50.5     0.0     0.0     0.0         0.0     0.0     0.0                                          </t>
  </si>
  <si>
    <t xml:space="preserve">                           84.0   101.0   101.0        0.2%                  1193 CAXIA5-RS069  1     0.0    -0.2     0.2                      0.00    -0.08            </t>
  </si>
  <si>
    <t xml:space="preserve">              DESLIGADO    84.0   101.0   101.0                              1389 CAXIA4-RS069  1     0.0     0.0     0.0                      0.00     0.00            </t>
  </si>
  <si>
    <t xml:space="preserve">                           42.0    63.0    63.0       67.3%                  9281 CAXIA2-RS013  2    28.5    -2.7    28.3 0.922*               0.05     1.76            </t>
  </si>
  <si>
    <t xml:space="preserve">                           94.0   108.0   108.0        9.7%                  9297 RANDONTAP069  1     8.5     3.5     9.1                      0.00    -0.00            </t>
  </si>
  <si>
    <t xml:space="preserve">                           84.0   101.0   101.0       30.2%                  9299 FCUNHA-RS069  1    23.5    10.2    25.4                      0.25     0.70            </t>
  </si>
  <si>
    <t xml:space="preserve">                          165.0   165.0   165.0       18.4%                 41225 CAX2-1-RS000  1   -30.3    -5.4    30.4 1.000F       002     0.00    -0.05            </t>
  </si>
  <si>
    <t xml:space="preserve">                          165.0   198.0   198.0       18.4%                 43463 CAX2-2-RS000  2   -30.3    -5.4    30.4 1.000F       002     0.00    -0.05            </t>
  </si>
  <si>
    <t xml:space="preserve">   1205   69  0   1.017     9.7     0.0   106.4         0.0    11.2     0.0</t>
  </si>
  <si>
    <t xml:space="preserve">  GARIBA-RS069    -51.3     0.0     0.0    52.4         0.0     0.0     0.0                                          </t>
  </si>
  <si>
    <t xml:space="preserve">                          165.0   198.0   198.0       31.2%                 41265 GAR-1--RS000  1   -48.1   -20.5    51.4 1.000F       002     0.02    -0.20            </t>
  </si>
  <si>
    <t xml:space="preserve">                          165.0   198.0   198.0       31.5%                 41266 GAR-2--RS000  2   -48.6   -20.7    51.9 1.000F       002     0.02    -0.20            </t>
  </si>
  <si>
    <t xml:space="preserve">   1207   69  0   1.026    10.3     0.0    71.1         0.0     7.6     0.0</t>
  </si>
  <si>
    <t xml:space="preserve">  FARROU-RS069    -50.2     0.0     0.0    31.6         0.0     0.0     0.0                                          </t>
  </si>
  <si>
    <t xml:space="preserve">                           48.0    71.0    71.0       51.6%                  9714 FELIZ--RS069  1    23.5     9.5    24.7                      0.54     1.31            </t>
  </si>
  <si>
    <t xml:space="preserve">                           75.0    90.0    90.0       19.7%                  9829 FRASLETAP069  1    14.4     4.6    14.8                      0.03     0.03            </t>
  </si>
  <si>
    <t xml:space="preserve">                           88.0    95.0    95.0       40.3%                 41258 FARR-1-RS000  1   -33.9   -13.1    35.4 1.000F       002     0.02    -0.04            </t>
  </si>
  <si>
    <t xml:space="preserve">                           88.0    97.0    97.0       39.7%                 41259 FARR-2-RS000  2   -33.4   -13.0    35.0 1.000F       002     0.02     0.05            </t>
  </si>
  <si>
    <t xml:space="preserve">                           88.0   106.0   106.0       37.3%                 43804 FARR-3-RS000  3   -31.4   -12.1    32.8 1.000F       002     0.02    -0.09            </t>
  </si>
  <si>
    <t xml:space="preserve">   1208   69  0   1.030     1.3     0.0     7.1         0.0     0.0     0.0</t>
  </si>
  <si>
    <t xml:space="preserve">  TRIUNF-RS069    -53.0     0.0     0.0     2.4         0.0     0.0     0.0                                          </t>
  </si>
  <si>
    <t xml:space="preserve">                           48.0    48.0    48.0       17.2%                  2053 SJERO--RS069  1     7.9     3.1     8.2                      0.01    -0.04            </t>
  </si>
  <si>
    <t xml:space="preserve">                           48.0    48.0    48.0       29.9%                 10277 CHARQ3-RS069  1   -13.7    -5.5    14.3                      0.11     0.06            </t>
  </si>
  <si>
    <t xml:space="preserve">   1209   69  0   1.024     0.0     0.0     0.0         0.0     0.0     0.0</t>
  </si>
  <si>
    <t xml:space="preserve">  GRAVA2-RS069    -54.2     0.0     0.0     0.0         0.0     0.0     0.0                                          </t>
  </si>
  <si>
    <t xml:space="preserve">                           84.0   101.0   101.0       47.2%                  1360 CACHO2-RS069  1    37.9    14.6    39.7                      0.30     0.88            </t>
  </si>
  <si>
    <t xml:space="preserve">                           84.0   101.0   101.0       47.2%                  1360 CACHO2-RS069  2    37.9    14.6    39.7                      0.30     0.88            </t>
  </si>
  <si>
    <t xml:space="preserve">                           54.0    79.0    79.0       40.2%                  9232 ALVORA-RS069  1    22.2     0.4    21.7                      0.22     0.63            </t>
  </si>
  <si>
    <t xml:space="preserve">                           54.0    79.0    79.0       21.3%                  9258 ALVOR2-RS069  1    11.8     0.4    11.5                      0.06    -0.49            </t>
  </si>
  <si>
    <t xml:space="preserve">                           48.0    71.0    71.0       16.1%                  9273 VONPA1TAP069  1     6.3     4.7     7.7                      0.02    -0.13            </t>
  </si>
  <si>
    <t xml:space="preserve">                          165.0   214.0   214.0       35.2%                 41267 GRA2-1-RS000  1   -56.9   -17.0    58.0 1.000F       002     0.01    -0.20            </t>
  </si>
  <si>
    <t xml:space="preserve">                          165.0   165.0   165.0       36.6%                 41268 GRA2-2-RS000  2   -59.2   -17.7    60.3 1.000F       002     0.01    -0.43            </t>
  </si>
  <si>
    <t xml:space="preserve">   1211   23  0   1.035     0.0     0.0     0.0         0.0     0.0     0.0</t>
  </si>
  <si>
    <t xml:space="preserve">  JACUIA-RS023    -48.6     0.0     0.0     0.0         0.0     0.0     0.0                                          </t>
  </si>
  <si>
    <t xml:space="preserve">                         9999.0  9999.0  9999.0        0.0%                  1220 JACUIR-RS023  1     0.0     0.0     0.0                      0.00     0.00            </t>
  </si>
  <si>
    <t xml:space="preserve">   1214   69  0   1.026    60.6     0.0   197.3         0.0     7.6     0.0</t>
  </si>
  <si>
    <t xml:space="preserve">  GUARIT-RS069    -47.3     0.0     0.0    96.8         0.0     0.0     0.0                                          </t>
  </si>
  <si>
    <t xml:space="preserve">                           23.0    23.0    23.0       11.4%                  1319 CGONZAPCH069  1    -2.7    -0.1     2.6                      0.00    -0.14            </t>
  </si>
  <si>
    <t xml:space="preserve">                           83.0    83.0    83.0       62.7%                 41274 GRT--1-RS000  1   -44.5   -29.5    52.0 1.000F       002     0.04    -0.26            </t>
  </si>
  <si>
    <t xml:space="preserve">                           83.0    83.0    83.0       62.0%                 41275 GRT--2-RS000  2   -44.1   -29.1    51.5 1.000F       002     0.04    -0.27            </t>
  </si>
  <si>
    <t xml:space="preserve">                           83.0    83.0    83.0       64.2%                 41276 GRT--7-RS000  7   -45.4   -30.5    53.3 1.000F       002     0.31    -0.35            </t>
  </si>
  <si>
    <t xml:space="preserve">   1216  138  0   1.023     0.0     0.0     0.0         0.0     0.0     0.0</t>
  </si>
  <si>
    <t xml:space="preserve">  JACUI--RS138    -47.1     0.0     0.0     0.0         0.0     0.0     0.0                                          </t>
  </si>
  <si>
    <t xml:space="preserve">                          198.0   198.0   198.0       40.0%                  1162 JACUI-UHE003  1   -81.0    -1.5    79.2 1.074F               0.00    12.20            </t>
  </si>
  <si>
    <t xml:space="preserve">                           25.0    37.0    37.0       32.5%                  1220 JACUIR-RS023  7     7.3     4.0     8.1 0.973*               0.01     0.26            </t>
  </si>
  <si>
    <t xml:space="preserve">                           96.0    96.0    96.0       20.2%                  1242 PREAL--RS138  1    19.8     1.8    19.4                      0.02    -0.49            </t>
  </si>
  <si>
    <t xml:space="preserve">                          108.0   108.0   108.0       18.0%                  1242 PREAL--RS138  2    19.8     1.8    19.4                      0.02    -0.49            </t>
  </si>
  <si>
    <t xml:space="preserve">                           96.0    96.0    96.0       18.7%                  2061 CRUZAL-RS138  1    18.2    -1.5    17.9                      0.15    -3.66            </t>
  </si>
  <si>
    <t xml:space="preserve">                           91.0    91.0    91.0        9.9%                  9223 KOTZIA-RS138  1    -9.1     1.6     9.0                      0.02    -0.66            </t>
  </si>
  <si>
    <t xml:space="preserve">                           82.0    82.0    82.0       30.7%                  9918 JCASTI-RS138  1    25.0    -6.2    25.2                      0.24    -1.58            </t>
  </si>
  <si>
    <t xml:space="preserve">   1219  138  0   1.018     0.0     0.0     4.8         0.0     0.0     0.0</t>
  </si>
  <si>
    <t xml:space="preserve">  LANSUL-RS138    -52.6     0.0     0.0     2.0         0.0     0.0     0.0                                          </t>
  </si>
  <si>
    <t xml:space="preserve">                          108.0   108.0   108.0       18.1%                  1265 SANREM-RS138  1   -19.2     5.0    19.5                      0.01    -0.28            </t>
  </si>
  <si>
    <t xml:space="preserve">                          108.0   108.0   108.0       14.6%                  2084 PEPSI--RS138  1    14.4    -7.0    15.8                      0.00    -0.12            </t>
  </si>
  <si>
    <t xml:space="preserve">   1220   23  0   1.035     0.9     0.0     6.2         0.0     0.0     0.0</t>
  </si>
  <si>
    <t xml:space="preserve">  JACUIR-RS023    -48.6     0.0     0.0     2.9         0.0     0.0     0.0                                          </t>
  </si>
  <si>
    <t xml:space="preserve">                         9999.0  9999.0  9999.0        0.0%                  1211 JACUIA-RS023  1     0.0     0.0     0.0                      0.00     0.00            </t>
  </si>
  <si>
    <t xml:space="preserve">                           25.0    37.0    37.0       31.6%                  1216 JACUI--RS138  7    -7.3    -3.7     7.9                      0.01     0.26            </t>
  </si>
  <si>
    <t xml:space="preserve">                         9999.0  9999.0  9999.0        0.0%                 10028 JACUIC-RS023  1     2.0     0.8     2.1                      0.00     0.00            </t>
  </si>
  <si>
    <t xml:space="preserve">   1221  138  0   1.045     5.6     0.0    30.2         0.0     3.9     0.0</t>
  </si>
  <si>
    <t xml:space="preserve">  LVERM1-RS138    -44.3     0.0     0.0    11.3         0.0     0.0     0.0                                          </t>
  </si>
  <si>
    <t xml:space="preserve">              DESLIGADO    82.0    82.0    82.0                              1277 PFUND1-RS138  1     0.0     0.0     0.0                      0.00     0.00            </t>
  </si>
  <si>
    <t xml:space="preserve">                          143.0   143.0   143.0       17.2%                  1326 LVERM2-RS138  1   -24.6    -7.4    24.6                      0.03    -0.34            </t>
  </si>
  <si>
    <t>_x000C_CEPEL - CENTRO DE PESQUISAS DE ENERGIA ELETRICA - PROGRAMA DE ANALISE DE REDES - V11.06.02                                 PAG.   2</t>
  </si>
  <si>
    <t xml:space="preserve">   1226   69  0   1.020    26.5     0.0   104.1         0.0    18.7     0.0</t>
  </si>
  <si>
    <t xml:space="preserve">  NPRAT2-RS069    -48.0     0.0     0.0    42.6         0.0     0.0     0.0                                          </t>
  </si>
  <si>
    <t xml:space="preserve">                           84.0    84.0    84.0       37.9%                  1316 NPR2P2PCH069  1   -32.4     1.8    31.8                      0.57     1.79            </t>
  </si>
  <si>
    <t xml:space="preserve">                           84.0    84.0    84.0       37.3%                  1317 NPR2P1PCH069  1   -31.9     1.6    31.3                      0.50     1.55            </t>
  </si>
  <si>
    <t xml:space="preserve">                          165.0   198.0   198.0        9.0%                 41298 NPR2-1-RS000  1    -6.6   -13.6    14.8 1.000F       002     0.00    -0.01            </t>
  </si>
  <si>
    <t xml:space="preserve">                          165.0   198.0   198.0        9.0%                 41299 NPR2-2-RS000  2    -6.6   -13.6    14.8 1.000F       002     0.00    -0.01            </t>
  </si>
  <si>
    <t xml:space="preserve">   1227  138  0   1.018     0.0     0.0     5.4         0.0     0.0     0.0</t>
  </si>
  <si>
    <t xml:space="preserve">  MAXSPR-RS138    -52.4     0.0     0.0     2.3         0.0     0.0     0.0                                          </t>
  </si>
  <si>
    <t xml:space="preserve">                          108.0   108.0   108.0       30.9%                  1252 SLUIZ--RS138  1   -34.0     1.0    33.4                      0.02    -0.12            </t>
  </si>
  <si>
    <t xml:space="preserve">                          108.0   108.0   108.0       26.2%                  2099 ZOOLOG-RS138  1    28.6    -3.3    28.3                      0.07    -0.65            </t>
  </si>
  <si>
    <t xml:space="preserve">   1229  138  0   0.998     1.3     0.0    12.4         0.0     0.0     0.0</t>
  </si>
  <si>
    <t xml:space="preserve">  PALMAR-RS138    -48.6     0.0     0.0     4.7         0.0     0.0     0.0                                          </t>
  </si>
  <si>
    <t xml:space="preserve">                           82.0   118.0   118.0        0.9%                  1038 CAPIVA-RS138  1    -0.8    -0.0     0.8                      0.00    -1.08            </t>
  </si>
  <si>
    <t xml:space="preserve">                          103.0   131.0   131.0       11.0%                  9730 PALMARTAP138  1   -10.3    -4.7    11.4                      0.03    -1.15            </t>
  </si>
  <si>
    <t xml:space="preserve">   1232   69  0   1.006     6.6     0.0    58.9         0.0     3.6     0.0</t>
  </si>
  <si>
    <t xml:space="preserve">  OSORI2-RS069    -50.1     0.0     0.0    21.9         0.0     0.0     0.0                                          </t>
  </si>
  <si>
    <t xml:space="preserve">              DESLIGADO    54.0    54.0    54.0                              1244 OSORI2-RS138  3     0.0     0.0     0.0 0.988*               0.00     0.00            </t>
  </si>
  <si>
    <t xml:space="preserve">                           84.0    94.0    94.0       24.9%                  1321 CIDR13-RS069  1   -21.0     1.1    20.9                      0.19     0.53            </t>
  </si>
  <si>
    <t xml:space="preserve">                           83.0   125.0   125.0       14.7%                 41306 OSO2-1-RS000  1   -10.4    -6.5    12.2 1.000F       002     0.00    -0.02            </t>
  </si>
  <si>
    <t xml:space="preserve">                           83.0   125.0   125.0       14.6%                 41307 OSO2-2-RS000  2   -10.4    -6.4    12.2 1.000F       002     0.00     0.01            </t>
  </si>
  <si>
    <t xml:space="preserve">                           83.0   125.0   125.0       14.7%                 41308 OSO2-5-RS000  5   -10.4    -6.5    12.2 1.000F       002     0.00    -0.02            </t>
  </si>
  <si>
    <t xml:space="preserve">   1234  138  0   0.998     1.8     0.0     8.4         0.0     0.0     0.0</t>
  </si>
  <si>
    <t xml:space="preserve">  MOSTAR-RS138    -48.7     0.0     0.0     2.9         0.0     0.0     0.0                                          </t>
  </si>
  <si>
    <t xml:space="preserve">                          103.0   131.0   131.0        7.0%                  9728 PALMA1-RS138  1    -6.6    -2.9     7.2                      0.03    -2.13            </t>
  </si>
  <si>
    <t xml:space="preserve">   1235   69  0   1.007     3.9     0.0    27.6         0.0    14.6     0.0</t>
  </si>
  <si>
    <t xml:space="preserve">  MACAMB-RS069    -48.3     0.0     0.0     1.2         0.0     0.0     0.0                                          </t>
  </si>
  <si>
    <t xml:space="preserve">                           25.0    37.0    37.0       10.9%                  9205 MACAMB-RS023  2     2.4    -1.4     2.7 0.995*               0.00     0.03            </t>
  </si>
  <si>
    <t xml:space="preserve">                           25.0    25.0    25.0       11.3%                  9205 MACAMB-RS023  8     2.4    -1.5     2.8 0.995*               0.00     0.03            </t>
  </si>
  <si>
    <t xml:space="preserve">                           83.0    83.0    83.0       13.0%                 41291 MBR-1--RS000  1    -9.5     5.4    10.8 1.000F       002     0.00    -0.01            </t>
  </si>
  <si>
    <t xml:space="preserve">                           83.0    83.0    83.0       12.7%                 41292 MBR-7--RS000  7    -9.2     5.2    10.5 1.000F       002     0.00    -0.01            </t>
  </si>
  <si>
    <t xml:space="preserve">                           83.0    83.0    83.0       13.6%                 41293 MBR-9--RS000  9    -9.9     5.6    11.3 1.000F       002     0.00    -0.01            </t>
  </si>
  <si>
    <t xml:space="preserve">   1237  138  0   1.007     8.8     0.0    48.8         0.0     7.3     0.0</t>
  </si>
  <si>
    <t xml:space="preserve">  MONTEN-RS138    -52.2     0.0     0.0    18.7         0.0     0.0     0.0                                          </t>
  </si>
  <si>
    <t xml:space="preserve">                          134.0   162.0   162.0       30.8%                 10308 SSCAI2-RS138  1   -40.0   -11.4    41.3                      0.28    -0.41            </t>
  </si>
  <si>
    <t xml:space="preserve">   1241  138  0   1.009     6.2     0.0    36.6         0.0     7.3     0.0</t>
  </si>
  <si>
    <t xml:space="preserve">  EVELHA-RS138    -53.0     0.0     0.0     8.6         0.0     0.0     0.0                                          </t>
  </si>
  <si>
    <t xml:space="preserve">              DESLIGADO   137.0   175.0   175.0                              2090 SCHARL-RS138  1     0.0     0.0     0.0                      0.00     0.00            </t>
  </si>
  <si>
    <t xml:space="preserve">                          134.0   162.0   162.0       22.5%                  9965 IVOTI--RS138  1   -30.4    -1.3    30.2                      0.02     0.05            </t>
  </si>
  <si>
    <t xml:space="preserve">   1242  138  0   1.021     0.0     0.0     0.0         0.0     0.0     0.0</t>
  </si>
  <si>
    <t xml:space="preserve">  PREAL--RS138    -47.3     0.0     0.0     0.0         0.0     0.0     0.0                                          </t>
  </si>
  <si>
    <t xml:space="preserve">                           96.0    96.0    96.0       20.3%                  1216 JACUI--RS138  1   -19.7    -2.3    19.5                      0.02    -0.49            </t>
  </si>
  <si>
    <t xml:space="preserve">                          108.0   108.0   108.0       18.0%                  1216 JACUI--RS138  2   -19.7    -2.3    19.5                      0.02    -0.49            </t>
  </si>
  <si>
    <t xml:space="preserve">                          150.0   195.0   195.0       12.6%                 41344 PRE--1-RS000  1    19.2     2.2    18.9 0.984*       002     0.00    -0.03            </t>
  </si>
  <si>
    <t xml:space="preserve">                          150.0   150.0   150.0       13.3%                 41345 PRE--2-RS000  2    20.3     2.4    20.0 0.984*       002     0.00    -0.02            </t>
  </si>
  <si>
    <t xml:space="preserve">   1244  138  0   0.999     0.0     0.0     0.0         0.0     0.0     0.0</t>
  </si>
  <si>
    <t xml:space="preserve">  OSORI2-RS138    -48.6     0.0     0.0     0.0         0.0     0.0     0.0                                          </t>
  </si>
  <si>
    <t xml:space="preserve">              DESLIGADO    54.0    54.0    54.0                              1232 OSORI2-RS069  3     0.0     0.0     0.0                      0.00     0.00            </t>
  </si>
  <si>
    <t xml:space="preserve">                         9999.0  9999.0  9999.0        0.0%                  1358 OSO-Y2-RS138  1     0.0     0.0     0.0                      0.00     0.00            </t>
  </si>
  <si>
    <t xml:space="preserve">   1251   69  0   1.027     0.0     0.0    16.6         0.0     0.0     0.0</t>
  </si>
  <si>
    <t xml:space="preserve">  SANGEL-RS069    -45.7     0.0     0.0     6.7         0.0     0.0     0.0                                          </t>
  </si>
  <si>
    <t xml:space="preserve">                           69.0    69.0    69.0       31.2%                  1311 SANGE1-RS069  1    20.9     7.3    21.5                      0.17     0.40            </t>
  </si>
  <si>
    <t xml:space="preserve">                           25.0    37.0    37.0       38.5%                  9285 SANGEL-RS023  3     8.4     5.2     9.6 0.899*               0.03     0.28            </t>
  </si>
  <si>
    <t xml:space="preserve">                           25.0    30.0    30.0       38.3%                  9285 SANGEL-RS023  4     8.0     5.7     9.6 0.899*               0.02     0.28            </t>
  </si>
  <si>
    <t xml:space="preserve">                           83.0   125.0   125.0       34.9%                 41352 SAG2-1-RS000  1   -27.0   -12.5    29.0 1.000F       002     0.03    -0.10            </t>
  </si>
  <si>
    <t xml:space="preserve">                           83.0   125.0   125.0       34.7%                 41353 SAG2-2-RS000  2   -26.9   -12.4    28.8 1.000F       002     0.03    -0.09            </t>
  </si>
  <si>
    <t xml:space="preserve">   1252  138  0   1.018     0.0     0.0     5.6         0.0     0.0     0.0</t>
  </si>
  <si>
    <t xml:space="preserve">  SLUIZ--RS138    -52.3     0.0     0.0     2.4         0.0     0.0     0.0                                          </t>
  </si>
  <si>
    <t xml:space="preserve">                          108.0   108.0   108.0       31.0%                  1227 MAXSPR-RS138  1    34.0    -1.1    33.4                      0.02    -0.12            </t>
  </si>
  <si>
    <t xml:space="preserve">                          108.0   108.0   108.0       36.0%                  1257 CINPAL-RS138  1   -39.6    -1.3    38.9                      0.00    -0.01            </t>
  </si>
  <si>
    <t xml:space="preserve">   1253   69  0   1.007     8.9     0.0    18.1         0.0     7.3     0.0</t>
  </si>
  <si>
    <t xml:space="preserve">  SBORJ2-RS069    -47.9     0.0     0.0     4.2         0.0     0.0     0.0                                          </t>
  </si>
  <si>
    <t xml:space="preserve">                           25.0    37.0    37.0       23.2%                  9206 SBORJA-RS023  2     5.8    -0.1     5.8 0.998*               0.00     0.13            </t>
  </si>
  <si>
    <t xml:space="preserve">                           25.0    37.0    37.0       24.1%                  9206 SBORJA-RS023  5     6.1    -0.1     6.0 0.998*               0.00     0.14            </t>
  </si>
  <si>
    <t xml:space="preserve">                           50.0    75.0    75.0       14.3%                 41357 SBO2-1-RS000  1    -7.1     1.1     7.2 1.000F       002     0.00    -0.00            </t>
  </si>
  <si>
    <t xml:space="preserve">                           50.0    50.0    50.0       14.2%                 41358 SBO2-6-RS000  6    -7.1     1.1     7.1 1.000F       002     0.00    -0.00            </t>
  </si>
  <si>
    <t xml:space="preserve">                           50.0    60.0    60.0       13.9%                 41359 SBO2-7-RS000  7    -6.9     1.1     6.9 1.000F       002     0.00     0.14            </t>
  </si>
  <si>
    <t xml:space="preserve">   1257  138  0   1.019     0.0     0.0     0.0         0.0     0.0     0.0</t>
  </si>
  <si>
    <t xml:space="preserve">  CINPAL-RS138    -52.3     0.0     0.0     0.0         0.0     0.0     0.0                                          </t>
  </si>
  <si>
    <t xml:space="preserve">                          108.0   108.0   108.0       36.0%                  1252 SLUIZ--RS138  1    39.6     1.3    38.9                      0.00    -0.01            </t>
  </si>
  <si>
    <t xml:space="preserve">                          108.0   108.0   108.0       22.5%                  1265 SANREM-RS138  1    24.5    -3.9    24.3                      0.02    -0.30            </t>
  </si>
  <si>
    <t xml:space="preserve">                          134.0   162.0   162.0        5.4%                  1338 NSRIT2-RS138  1     7.1     1.9     7.2                      0.01    -0.66            </t>
  </si>
  <si>
    <t xml:space="preserve">                          134.0   162.0   162.0        5.4%                  1338 NSRIT2-RS138  2     7.1     1.9     7.2                      0.01    -0.66            </t>
  </si>
  <si>
    <t xml:space="preserve">                          143.0   167.0   167.0       34.1%                  9214 CANOA3-RS138  1    44.2    22.7    48.7                      0.07    -0.04            </t>
  </si>
  <si>
    <t xml:space="preserve">                          225.0   270.0   270.0       27.2%                 41250 CIN-1--RS000  1   -61.2   -12.0    61.2 1.000F       002     0.10     1.18            </t>
  </si>
  <si>
    <t xml:space="preserve">                          225.0   270.0   270.0       27.2%                 41252 CIN-2--RS000  2   -61.2   -12.0    61.2 1.000F       002     0.10     1.18            </t>
  </si>
  <si>
    <t xml:space="preserve">   1262   69  0   1.017     0.0     0.0     0.0         0.0     0.0     0.0</t>
  </si>
  <si>
    <t xml:space="preserve">  PALGR6-RS069    -54.5     0.0     0.0     0.0         0.0     0.0     0.0                                          </t>
  </si>
  <si>
    <t xml:space="preserve">                           54.0    79.0    79.0       18.5%                  9249 P12-1Y-RS069  1     9.9    -2.2    10.0                      0.01    -0.14            </t>
  </si>
  <si>
    <t xml:space="preserve">              DESLIGADO    54.0    79.0    79.0                              9270 VIAMO2-RS069  1     0.0     0.0     0.0                      0.00     0.00            </t>
  </si>
  <si>
    <t xml:space="preserve">                           54.0    79.0    79.0       33.7%                  9290 PUCPAL-RS069  1    18.5     0.5    18.2                      0.04    -0.06            </t>
  </si>
  <si>
    <t xml:space="preserve">                           31.0    31.0    31.0        8.8%                  9300 PALE6B-RS013  1     2.5     1.2     2.7 1.049*               0.00     0.03            </t>
  </si>
  <si>
    <t xml:space="preserve">                           99.0   112.0   112.0       13.9%                  9392 ENT874-RS069  1    13.9     0.7    13.7                      0.01    -0.05            </t>
  </si>
  <si>
    <t xml:space="preserve">                           54.0    79.0    79.0       31.3%                  9967 PA16-2TAP069  1    17.2     1.4    16.9                      0.05     0.10            </t>
  </si>
  <si>
    <t xml:space="preserve">                           30.0    35.0    35.0       17.6%                 10239 UFRGS--RS069  1     5.1     1.7     5.3                      0.00    -0.49            </t>
  </si>
  <si>
    <t xml:space="preserve">                           83.0    83.0    83.0       39.8%                 41319 PAL6-1-RS000  1   -33.6    -1.6    33.0 1.000F       002     0.02    -0.10            </t>
  </si>
  <si>
    <t xml:space="preserve">                           83.0    83.0    83.0       39.8%                 41320 PAL6-2-RS000  2   -33.6    -1.7    33.1 1.000F       002     0.02    -0.09            </t>
  </si>
  <si>
    <t xml:space="preserve">   1265  138  0   1.018     0.0     0.0     5.2         0.0     0.0     0.0</t>
  </si>
  <si>
    <t xml:space="preserve">  SANREM-RS138    -52.4     0.0     0.0     1.7         0.0     0.0     0.0                                          </t>
  </si>
  <si>
    <t xml:space="preserve">                          108.0   108.0   108.0       18.2%                  1219 LANSUL-RS138  1    19.2    -5.3    19.6                      0.01    -0.28            </t>
  </si>
  <si>
    <t xml:space="preserve">                          108.0   108.0   108.0       22.5%                  1257 CINPAL-RS138  1   -24.4     3.6    24.3                      0.02    -0.30            </t>
  </si>
  <si>
    <t xml:space="preserve">   1266   69  0   1.016     0.0     0.0     0.0         0.0     0.0     0.0</t>
  </si>
  <si>
    <t xml:space="preserve">  PALGR9-RS069    -54.5     0.0     0.0     0.0         0.0     0.0     0.0                                          </t>
  </si>
  <si>
    <t xml:space="preserve">                         9999.0  9999.0  9999.0        0.0%                  1272 PAL9AE-RS069  1    11.9     5.1    12.7                      0.00    -0.01            </t>
  </si>
  <si>
    <t xml:space="preserve">                           54.0    79.0    79.0       28.9%                  9236 PALEG2-RS069  1    14.8     5.8    15.6                      0.03     0.02            </t>
  </si>
  <si>
    <t xml:space="preserve">                           90.0    90.0    90.0       28.4%                  9238 PALEG7-RS069  1    23.4   -11.2    25.5                      0.06    -6.68            </t>
  </si>
  <si>
    <t xml:space="preserve">                           90.0    90.0    90.0       28.4%                  9238 PALEG7-RS069  2    23.4   -11.2    25.5                      0.06    -6.68            </t>
  </si>
  <si>
    <t xml:space="preserve">                           52.0    76.0    76.0       33.8%                  9556 FRPPALTAP069  1    16.6     6.6    17.6                      0.03     0.03            </t>
  </si>
  <si>
    <t xml:space="preserve">                           36.0    36.0    36.0        5.7%                  9661 ARENA--RS069  1     2.0     0.6     2.1                      0.00    -0.06            </t>
  </si>
  <si>
    <t xml:space="preserve">                          165.0   214.0   214.0       27.2%                 41327 PAL9-2-RS000  2   -45.5     2.2    44.8 1.000F       002     0.01    -0.08            </t>
  </si>
  <si>
    <t xml:space="preserve">                          165.0   214.0   214.0       27.8%                 41328 PAL9-5-RS000  5   -46.6     2.1    45.9 1.000F       002     0.02    -0.14            </t>
  </si>
  <si>
    <t xml:space="preserve">   1269   69  0   1.015     0.0     0.0     0.0         0.0     0.0     0.0</t>
  </si>
  <si>
    <t xml:space="preserve">  PALG10-RS069    -55.1     0.0     0.0     0.0         0.0     0.0     0.0                                          </t>
  </si>
  <si>
    <t xml:space="preserve">                           52.0    76.0    76.0       20.4%                  9248 P12-2Y-RS069  1   -10.8    -0.1    10.6                      0.01    -0.15            </t>
  </si>
  <si>
    <t xml:space="preserve">                           80.0    95.0    95.0       54.4%                  9266 PALEG3-RS069  1    44.0     4.0    43.5                      0.18     0.46            </t>
  </si>
  <si>
    <t xml:space="preserve">                           54.0    79.0    79.0       13.2%                  9290 PUCPAL-RS069  1    -5.4     4.8     7.1                      0.00    -0.14            </t>
  </si>
  <si>
    <t xml:space="preserve">                           80.0    95.0    95.0       46.1%                 10024 HOSCLI-RS069  1    37.0     5.5    36.9                      0.04     0.11            </t>
  </si>
  <si>
    <t xml:space="preserve">                           83.0   125.0   125.0       38.9%                 41310 PA10-1-RS000  1   -32.0    -7.0    32.3 1.000F       002     0.02    -0.15            </t>
  </si>
  <si>
    <t xml:space="preserve">                           83.0   125.0   125.0       39.8%                 41311 PA10-2-RS000  2   -32.8    -7.1    33.1 1.000F       002     0.02    -0.16            </t>
  </si>
  <si>
    <t xml:space="preserve">   1271   69  0   1.015     1.7     0.0    44.5         0.0     0.0     0.0</t>
  </si>
  <si>
    <t xml:space="preserve">  PALGR8-RS069    -54.5     0.0     0.0    11.4         0.0     0.0     0.0                                          </t>
  </si>
  <si>
    <t xml:space="preserve">                           80.0    95.0    95.0       62.8%                  9226 GKNPAL-RS069  1    50.4     7.6    50.2                      0.04     0.13            </t>
  </si>
  <si>
    <t xml:space="preserve">                           99.0   120.0   100.0       17.0%                  9237 PALE17-RS069  1    16.2     5.5    16.9                      0.02     0.04            </t>
  </si>
  <si>
    <t xml:space="preserve">                           48.0    71.0    71.0        6.1%                  9273 VONPA1TAP069  1    -1.1    -2.8     3.0                      0.00    -0.10            </t>
  </si>
  <si>
    <t xml:space="preserve">                           80.0    95.0    95.0       10.0%                 10054 HOCONC-RS069  1     4.5     6.7     8.0                      0.00    -0.03            </t>
  </si>
  <si>
    <t xml:space="preserve">                           83.0   124.0   124.0       45.0%                 41323 PAL8-1-RS000  1   -36.8    -9.3    37.4 1.000F       002     0.02    -0.15            </t>
  </si>
  <si>
    <t xml:space="preserve">                           83.0   124.0   124.0       45.7%                 41324 PAL8-2-RS000  2   -37.3    -9.4    37.9 1.000F       002     0.03    -0.13            </t>
  </si>
  <si>
    <t xml:space="preserve">                           83.0   100.0   100.0       47.4%                 41325 PAL8-3-RS000  3   -38.7    -9.8    39.3 1.000F       002     0.03    -0.30            </t>
  </si>
  <si>
    <t xml:space="preserve">   1272   69  0   1.016     0.0     0.0    11.9         0.0     0.0     0.0</t>
  </si>
  <si>
    <t xml:space="preserve">  PAL9AE-RS069    -54.5     0.0     0.0     5.1         0.0     0.0     0.0                                          </t>
  </si>
  <si>
    <t xml:space="preserve">                         9999.0  9999.0  9999.0        0.0%                  1266 PALGR9-RS069  1   -11.9    -5.1    12.7                      0.00    -0.01            </t>
  </si>
  <si>
    <t xml:space="preserve">   1274  138  0   0.999     1.2     0.0    10.9         0.0     3.6     0.0</t>
  </si>
  <si>
    <t xml:space="preserve">  SVPALM-RS138    -47.0     0.0     0.0     3.5         0.0     0.0     0.0                                          </t>
  </si>
  <si>
    <t xml:space="preserve">                           97.0   141.0   141.0       10.0%                  9823 SVP2-A-RS138  1    -9.7     0.1     9.7                      0.01    -0.63            </t>
  </si>
  <si>
    <t xml:space="preserve">   1275  138  0   1.024     0.0     0.0     0.0         0.0     0.0     0.0</t>
  </si>
  <si>
    <t xml:space="preserve">  SMARTA-RS138    -48.7     0.0     0.0     0.0         0.0     0.0     0.0                                          </t>
  </si>
  <si>
    <t xml:space="preserve">                           82.0    82.0    82.0       55.3%                  1277 PFUND1-RS138  1    45.1    11.1    45.3                      0.27    -0.11            </t>
  </si>
  <si>
    <t xml:space="preserve">                           33.0    45.0    45.0        8.3%                  1284 SMARTA-RS046  2     2.0     2.0     2.7 1.019*               0.00     0.06            </t>
  </si>
  <si>
    <t xml:space="preserve">                           12.5    12.5    12.5       14.4%                 10208 SMARTA-RS013  1     1.7     0.7     1.8 0.991*               0.00     0.02            </t>
  </si>
  <si>
    <t xml:space="preserve">                           75.0   112.0   112.0       33.2%                 41376 SMT--1-RS000  1   -24.5    -6.9    24.9 1.006*       002    -0.03     2.13            </t>
  </si>
  <si>
    <t xml:space="preserve">                           75.0   112.0   112.0       32.8%                 41377 SMT--2-RS000  2   -24.2    -6.8    24.6 1.006*       002    -0.02     2.09            </t>
  </si>
  <si>
    <t xml:space="preserve">   1276  138  0   1.012     2.9     0.0    40.4         0.0     9.9     0.0</t>
  </si>
  <si>
    <t xml:space="preserve">  SMARI1-RS138    -50.3     0.0     0.0    13.7         0.0     0.0     0.0                                          </t>
  </si>
  <si>
    <t xml:space="preserve">                           97.0   141.0   141.0       17.8%                  1383 SMARI3-RS138  1   -16.0    -7.1    17.3                      0.02    -0.57            </t>
  </si>
  <si>
    <t xml:space="preserve">                           82.0    82.0    82.0       26.2%                  9918 JCASTI-RS138  1   -21.5     3.3    21.5                      0.27    -2.54            </t>
  </si>
  <si>
    <t xml:space="preserve">   1277  138  0   1.015     5.6     0.0    50.4         0.0     3.7     0.0</t>
  </si>
  <si>
    <t xml:space="preserve">  PFUND1-RS138    -49.4     0.0     0.0    14.9         0.0     0.0     0.0                                          </t>
  </si>
  <si>
    <t xml:space="preserve">              DESLIGADO    82.0    82.0    82.0                              1221 LVERM1-RS138  1     0.0     0.0     0.0                      0.00     0.00            </t>
  </si>
  <si>
    <t xml:space="preserve">                           82.0    82.0    82.0       55.5%                  1275 SMARTA-RS138  1   -44.8   -11.2    45.5                      0.27    -0.11            </t>
  </si>
  <si>
    <t>_x000C_CEPEL - CENTRO DE PESQUISAS DE ENERGIA ELETRICA - PROGRAMA DE ANALISE DE REDES - V11.06.02                                 PAG.   3</t>
  </si>
  <si>
    <t xml:space="preserve">   1279   69  0   1.011     9.4     0.0    53.8         0.0    14.7     0.0</t>
  </si>
  <si>
    <t xml:space="preserve">  SMARTA-RS069    -49.8     0.0     0.0    11.6         0.0     0.0     0.0                                          </t>
  </si>
  <si>
    <t xml:space="preserve">                           30.0    36.0    36.0       33.6%                  1039 PFUND2-RS069  1    10.1     1.2    10.1                      0.04    -0.11            </t>
  </si>
  <si>
    <t xml:space="preserve">                           38.0    38.0    38.0       22.1%                  1306 CARAZ2-RS069  1     8.4    -1.3     8.4                      0.18    -0.40            </t>
  </si>
  <si>
    <t xml:space="preserve">                           30.0    43.0    30.0       10.1%                 10397 TIOHUG-RS069  1    -2.9    -1.0     3.0                      0.02    -0.52            </t>
  </si>
  <si>
    <t xml:space="preserve">                           83.0   120.0   120.0       35.8%                 41378 SMT--3-RS000  3   -30.0     2.1    29.7 1.000F       002     0.01    -0.10            </t>
  </si>
  <si>
    <t xml:space="preserve">                           83.0   100.0   100.0       35.9%                 41379 SMT-11-RS000 11   -30.0     2.2    29.8 1.000F       002     0.02    -0.13            </t>
  </si>
  <si>
    <t xml:space="preserve">   1280  138  0   1.017     5.9     0.0    35.4         0.0     3.7     0.0</t>
  </si>
  <si>
    <t xml:space="preserve">  SAOSCA-RS138    -51.4     0.0     0.0    12.8         0.0     0.0     0.0                                          </t>
  </si>
  <si>
    <t xml:space="preserve">              DESLIGADO   134.0   162.0   162.0                              9964 BPRINC-RS138  1     0.0     0.0     0.0                      0.00     0.00            </t>
  </si>
  <si>
    <t xml:space="preserve">                          134.0   162.0   162.0       11.3%                 10308 SSCAI2-RS138  1   -14.7    -4.5    15.2                      0.01    -0.26            </t>
  </si>
  <si>
    <t xml:space="preserve">                          134.0   162.0   162.0       11.3%                 10308 SSCAI2-RS138  2   -14.7    -4.5    15.2                      0.01    -0.26            </t>
  </si>
  <si>
    <t xml:space="preserve">   1282   69  0   1.009    29.8     0.0   155.2         0.0     3.7     0.0</t>
  </si>
  <si>
    <t xml:space="preserve">  SROSA--RS069    -48.2     0.0     0.0    55.9         0.0     0.0     0.0                                          </t>
  </si>
  <si>
    <t xml:space="preserve">                           48.0    71.0    71.0        6.5%                  9261 CLARGO-RS069  1    -2.5     1.9     3.1                      0.02    -0.64            </t>
  </si>
  <si>
    <t xml:space="preserve">                           60.0    70.0    70.0       19.5%                 10022 COOLUZ-RS069  1    10.9     4.5    11.7                      0.01    -0.01            </t>
  </si>
  <si>
    <t xml:space="preserve">                           83.0   100.0   100.0       58.8%                 41380 SRO1-9-RS000  9   -45.1   -19.8    48.8 1.000F       002     0.04    -0.22            </t>
  </si>
  <si>
    <t xml:space="preserve">                           83.0   120.0   120.0       57.7%                 41381 SRO1-1-RS000  1   -44.2   -19.4    47.9 1.000F       002     0.04    -0.17            </t>
  </si>
  <si>
    <t xml:space="preserve">                           83.0   120.0   120.0       57.9%                 41382 SRO--5-RS000  5   -44.4   -19.5    48.1 1.000F       002     0.04    -0.25            </t>
  </si>
  <si>
    <t xml:space="preserve">   1284   46  0   0.991     2.3     0.0     4.3         0.0     0.0     0.0</t>
  </si>
  <si>
    <t xml:space="preserve">  SMARTA-RS046    -49.5     0.0     0.0     1.9         0.0     0.0     0.0                                          </t>
  </si>
  <si>
    <t xml:space="preserve">                           33.0    45.0    45.0        8.4%                  1275 SMARTA-RS138  2    -2.0    -1.9     2.8                      0.00     0.06            </t>
  </si>
  <si>
    <t xml:space="preserve">   1285  138  0   1.011     0.1     0.0     2.1         0.0     7.4     0.0</t>
  </si>
  <si>
    <t xml:space="preserve">  MARMEL-RS138    -47.2     0.0     0.0     0.2         0.0     0.0     0.0                                          </t>
  </si>
  <si>
    <t xml:space="preserve">              DESLIGADO    97.0   141.0   141.0                              1247 QUINTA-RS138  1     0.0     0.0     0.0              004     0.00     0.00            </t>
  </si>
  <si>
    <t xml:space="preserve">                           97.0   141.0   141.0        7.6%                  9823 SVP2-A-RS138  1    -2.0     7.2     7.3                      0.03    -2.41            </t>
  </si>
  <si>
    <t xml:space="preserve">   1289   69  0   1.012    14.4     0.0    59.8         0.0    11.1     0.0</t>
  </si>
  <si>
    <t xml:space="preserve">  SVICEN-RS069    -52.3     0.0     0.0    22.8         0.0     0.0     0.0                                          </t>
  </si>
  <si>
    <t xml:space="preserve">                           25.0    30.0    30.0       21.6%                  9208 SVICEN-RS023  3     5.0     2.2     5.4 0.915*               0.01     0.09            </t>
  </si>
  <si>
    <t xml:space="preserve">                           50.0    75.0    75.0       34.9%                 41383 SVI--1-RS000  1   -17.0    -4.7    17.4 1.000F       002     0.01    -0.02            </t>
  </si>
  <si>
    <t xml:space="preserve">                           50.0    75.0    75.0       33.7%                 41384 SVI--2-RS000  2   -16.5    -4.5    16.9 1.000F       002     0.01    -0.03            </t>
  </si>
  <si>
    <t xml:space="preserve">                           50.0    50.0    50.0       34.8%                 41385 SVI--6-RS000  6   -16.9    -4.8    17.4 1.000F       002     0.01    -0.04            </t>
  </si>
  <si>
    <t xml:space="preserve">   1290  138  0   1.004     4.0     0.0    32.7         0.0     3.6     0.0</t>
  </si>
  <si>
    <t xml:space="preserve">  3COROA-RS138    -53.5     0.0     0.0    13.4         0.0     0.0     0.0                                          </t>
  </si>
  <si>
    <t xml:space="preserve">                         9999.0  9999.0  9999.0        0.0%                  1374 SCHINC-RS138  1     4.3     0.9     4.4                      0.00    -0.89            </t>
  </si>
  <si>
    <t xml:space="preserve">                           96.0    96.0    96.0        3.1%                  2064 CANAST-RS138  1    -2.6     1.3     2.9                      0.00    -0.88            </t>
  </si>
  <si>
    <t xml:space="preserve">                           97.0   146.0   146.0       33.5%                  2094 TAQUAR-RS138  1   -30.4   -12.0    32.5                      0.15    -0.59            </t>
  </si>
  <si>
    <t xml:space="preserve">   1292   69  0   1.033     9.8     0.0    66.8         0.0     5.8     0.0</t>
  </si>
  <si>
    <t xml:space="preserve">  TAPERA-RS069    -51.5     0.0     0.0    31.3         0.0     0.0     0.0                                          </t>
  </si>
  <si>
    <t xml:space="preserve">                           30.0    43.0    43.0       41.8%                  1305 CARAZ1-RS069  1    12.3     3.9    12.5                      0.19    -0.07            </t>
  </si>
  <si>
    <t xml:space="preserve">                           30.0    43.0    43.0       41.8%                  1305 CARAZ1-RS069  2    12.3     3.9    12.5                      0.19    -0.07            </t>
  </si>
  <si>
    <t xml:space="preserve">                           48.0    71.0    48.0       28.5%                 10398 TAPER1-RS069  1    13.0     5.5    13.7                      0.03    -0.71            </t>
  </si>
  <si>
    <t xml:space="preserve">                         9999.0    83.0    83.0        0.0%                 41391 TPR--1-RS000  1   -31.3   -12.9    32.8 1.000F       002     0.02    -0.10            </t>
  </si>
  <si>
    <t xml:space="preserve">                         9999.0    83.0    83.0        0.0%                 41392 TPR--2-RS000  2   -31.4   -12.9    32.9 1.000F       002     0.02    -0.10            </t>
  </si>
  <si>
    <t xml:space="preserve">                           83.0    83.0    83.0       40.3%                 41393 TPR--3-RS000  3   -31.9   -13.0    33.4 1.000F       002     0.02    -0.16            </t>
  </si>
  <si>
    <t xml:space="preserve">   1295   69  0   1.007     5.9     0.0    63.4         0.0    12.5     0.0</t>
  </si>
  <si>
    <t xml:space="preserve">  URUGU5-RS069    -51.3     0.0     0.0     9.2         0.0     0.0     0.0                                          </t>
  </si>
  <si>
    <t xml:space="preserve">                           83.0   125.0   125.0       23.1%                 41395 URU5-1-RS000  1   -19.3     1.1    19.2 1.000F       002     0.01    -0.05            </t>
  </si>
  <si>
    <t xml:space="preserve">                           83.0   125.0   125.0       22.1%                 41396 URU5-2-RS000  2   -18.5     1.0    18.4 1.000F       002     0.01    -0.03            </t>
  </si>
  <si>
    <t xml:space="preserve">                           83.0    83.0    83.0       23.6%                 41397 URU5-5-RS000  5   -19.7     1.2    19.6 1.000F       002     0.01    -0.04            </t>
  </si>
  <si>
    <t xml:space="preserve">   1298   69  0   1.012    17.9     0.0    78.4         0.0     3.7     0.0</t>
  </si>
  <si>
    <t xml:space="preserve">  VENAIR-RS069    -54.8     0.0     0.0    28.9         0.0     0.0     0.0                                          </t>
  </si>
  <si>
    <t xml:space="preserve">                           75.0   113.0   113.0       45.5%                  1297 VENAIR-RS000  1   -32.0   -13.1    34.1 1.000F       002     0.02    -0.11            </t>
  </si>
  <si>
    <t xml:space="preserve">                           25.0    30.0    30.0       34.8%                  9210 VAIT34-RS013  1     8.1     3.4     8.7 0.912*               0.01     0.23            </t>
  </si>
  <si>
    <t xml:space="preserve">                           25.0    37.0    37.0       51.4%                  9211 VAIRT5-RS013  1    11.8     5.4    12.8 0.896*               0.02     0.49            </t>
  </si>
  <si>
    <t xml:space="preserve">                         9999.0  9999.0  9999.0        0.0%                 10313 CERTA3-RS069  1     2.8     0.2     2.8                      0.00     0.00            </t>
  </si>
  <si>
    <t xml:space="preserve">                           50.0    60.0    60.0       40.5%                 10419 VAI--3-RS000  3   -19.4    -6.4    20.2 1.029*       002     0.02    -0.14            </t>
  </si>
  <si>
    <t xml:space="preserve">                           75.0   112.0   112.0       46.2%                 41403 VAI--2-RS000  2   -31.8   -14.7    34.7 1.000F       002     0.02    -0.10            </t>
  </si>
  <si>
    <t xml:space="preserve">   1301   69  0   1.039     0.0     0.0     0.0         0.0     0.0     0.0</t>
  </si>
  <si>
    <t xml:space="preserve">  CALTA1-RS069    -49.7     0.0     0.0     0.0         0.0     0.0     0.0                                          </t>
  </si>
  <si>
    <t xml:space="preserve">              DESLIGADO    44.0    64.0    64.0                              1302 IJUI1--RS069  1     0.0     0.0     0.0                      0.00     0.00            </t>
  </si>
  <si>
    <t xml:space="preserve">                           23.0    23.0    23.0       85.6%                  1307 PANAM--RS069  1    20.4    -1.7    19.7                      1.28     1.25            </t>
  </si>
  <si>
    <t xml:space="preserve">                           66.0    66.0    66.0        9.9%                  2061 CRUZAL-RS138  1    -6.7    -0.9     6.5 1.027*               0.00     0.11            </t>
  </si>
  <si>
    <t xml:space="preserve">                           25.0    25.0    25.0       37.5%                  9660 CAL1-B-RS023  1     9.7     0.7     9.4 0.991*               0.00     0.35            </t>
  </si>
  <si>
    <t xml:space="preserve">                           84.0   101.0   101.0       13.4%                 10219 CALTA2-RS069  1   -11.7     0.9    11.3                      0.03    -0.06            </t>
  </si>
  <si>
    <t xml:space="preserve">                           84.0   101.0   101.0       13.4%                 10219 CALTA2-RS069  2   -11.7     0.9    11.3                      0.03    -0.06            </t>
  </si>
  <si>
    <t xml:space="preserve">   1302   69  0   1.001     0.0     0.0     0.0         0.0     0.0     0.0</t>
  </si>
  <si>
    <t xml:space="preserve">  IJUI1--RS069    -50.5     0.0     0.0     0.0         0.0     0.0     0.0                                          </t>
  </si>
  <si>
    <t xml:space="preserve">              DESLIGADO    44.0    64.0    64.0                              1301 CALTA1-RS069  1     0.0     0.0     0.0                      0.00     0.00            </t>
  </si>
  <si>
    <t xml:space="preserve">              DESLIGADO    44.0    64.0    64.0                              1311 SANGE1-RS069  1     0.0     0.0     0.0                      0.00     0.00            </t>
  </si>
  <si>
    <t xml:space="preserve">                           25.0    25.0    25.0 SUP  112.4%                  9674 IJUI1--RS023  1    27.1     7.5    28.1 0.923*               0.00     2.48            </t>
  </si>
  <si>
    <t xml:space="preserve">                         9999.0  9999.0  9999.0        0.0%                  9911 IJU1-B-RS069  1   -27.1    -7.5    28.1                      0.00     0.00            </t>
  </si>
  <si>
    <t xml:space="preserve">   1303   69  0   0.999     0.0     0.0     8.0         0.0     0.0     0.0</t>
  </si>
  <si>
    <t xml:space="preserve">  BUNGE--RS069    -54.8     0.0     0.0     3.3         0.0     0.0     0.0                                          </t>
  </si>
  <si>
    <t xml:space="preserve">                           84.0   101.0   101.0        5.8%                  1312 ESTEIO-RS069  1     2.3     4.2     4.8                      0.00     0.00            </t>
  </si>
  <si>
    <t xml:space="preserve">                           84.0   101.0   101.0       15.2%                  1332 PETROB-RS069  1   -10.3    -7.5    12.8                      0.03     0.10            </t>
  </si>
  <si>
    <t xml:space="preserve">   1304   69  0   0.954     3.0     0.0    23.1         0.0     0.0     0.0</t>
  </si>
  <si>
    <t xml:space="preserve">  TAQUAR-RS069    -55.5     0.0     0.0     9.0         0.0     0.0     0.0                                          </t>
  </si>
  <si>
    <t xml:space="preserve">                           46.0    55.0    55.0       50.2%                 10277 CHARQ3-RS069  1   -20.1    -9.0    23.1                      1.29     1.64            </t>
  </si>
  <si>
    <t xml:space="preserve">   1305   69  0   1.003     0.0     0.0    24.3         0.0     3.6     0.0</t>
  </si>
  <si>
    <t xml:space="preserve">  CARAZ1-RS069    -53.9     0.0     0.0    11.6         0.0     0.0     0.0                                          </t>
  </si>
  <si>
    <t xml:space="preserve">                           30.0    43.0    43.0       42.5%                  1292 TAPERA-RS069  1   -12.2    -4.0    12.7                      0.19    -0.07            </t>
  </si>
  <si>
    <t xml:space="preserve">                           30.0    43.0    43.0       42.5%                  1292 TAPERA-RS069  2   -12.2    -4.0    12.7                      0.19    -0.07            </t>
  </si>
  <si>
    <t xml:space="preserve">   1306   69  0   0.994     0.0     0.0     8.2         0.0     3.6     0.0</t>
  </si>
  <si>
    <t xml:space="preserve">  CARAZ2-RS069    -51.9     0.0     0.0     2.7         0.0     0.0     0.0                                          </t>
  </si>
  <si>
    <t xml:space="preserve">                           38.0    38.0    38.0       21.8%                  1279 SMARTA-RS069  1    -8.2     0.9     8.3                      0.18    -0.40            </t>
  </si>
  <si>
    <t xml:space="preserve">   1307   69  0   0.985     0.0     0.0     0.0         0.0     7.0     0.0</t>
  </si>
  <si>
    <t xml:space="preserve">  PANAM--RS069    -55.2     0.0     0.0     0.0         0.0     0.0     0.0                                          </t>
  </si>
  <si>
    <t xml:space="preserve">                           23.0    23.0    23.0       85.3%                  1301 CALTA1-RS069  1   -19.1     2.9    19.6                      1.28     1.25            </t>
  </si>
  <si>
    <t xml:space="preserve">                           25.0    25.0    25.0       79.3%                  1333 PANAMB-RS013  1    19.1     4.0    19.8 0.974*               0.00     1.06            </t>
  </si>
  <si>
    <t xml:space="preserve">   1309   14  0   1.033     4.3     0.0    17.4         0.0     0.0     0.0</t>
  </si>
  <si>
    <t xml:space="preserve">  SCRU1A-RS013    -53.9     0.0     0.0     5.9         0.0     0.0     0.0                                          </t>
  </si>
  <si>
    <t xml:space="preserve">                         9999.0  9999.0  9999.0        0.0%                  9753 SCR1RB-RS013  6   -13.1    -5.9    13.9                      0.00     0.25            </t>
  </si>
  <si>
    <t xml:space="preserve">   1310  138  0   0.963    26.7     0.0    58.8         0.0    10.0     0.0</t>
  </si>
  <si>
    <t xml:space="preserve">  EREXI2-RS138    -51.2     0.0     0.0    21.4         0.0     0.0     0.0                                          </t>
  </si>
  <si>
    <t xml:space="preserve">                          137.0   175.0   175.0       25.8%                  1340 TAPEJA-RS138  1   -32.1   -11.4    35.3                      0.46    -1.47            </t>
  </si>
  <si>
    <t xml:space="preserve">              DESLIGADO   143.0   172.0   172.0                              2069 EREXIM-RS138  1     0.0     0.0     0.0                      0.00     0.00            </t>
  </si>
  <si>
    <t xml:space="preserve">   1311   69  0   1.010     6.5     0.0    27.2         0.0     3.7     0.0</t>
  </si>
  <si>
    <t xml:space="preserve">  SANGE1-RS069    -47.1     0.0     0.0    10.6         0.0     0.0     0.0                                          </t>
  </si>
  <si>
    <t xml:space="preserve">                           69.0    69.0    69.0       31.3%                  1251 SANGEL-RS069  1   -20.7    -6.9    21.6                      0.17     0.40            </t>
  </si>
  <si>
    <t xml:space="preserve">   1312   69  0   0.998     2.3     0.0    26.5         0.0     3.6     0.0</t>
  </si>
  <si>
    <t xml:space="preserve">  ESTEIO-RS069    -54.8     0.0     0.0     8.8         0.0     0.0     0.0                                          </t>
  </si>
  <si>
    <t xml:space="preserve">                           84.0   101.0   101.0        5.8%                  1303 BUNGE--RS069  1    -2.3    -4.2     4.8                      0.00     0.00            </t>
  </si>
  <si>
    <t xml:space="preserve">                           48.0    71.0    71.0       45.8%                  1341 SRITA-TAP069  1   -21.9    -1.0    22.0                      0.18     0.52            </t>
  </si>
  <si>
    <t xml:space="preserve">   1314   69  0   1.037     0.0     0.0     0.0         0.0     0.0     0.0</t>
  </si>
  <si>
    <t xml:space="preserve">  GRAVA3-RS069    -53.3     0.0     0.0     0.0         0.0     0.0     0.0                                          </t>
  </si>
  <si>
    <t xml:space="preserve">                           54.0    79.0    79.0       89.5%                  1364 PIRELL-RS069  1    47.7    15.6    48.3                      0.50     0.97            </t>
  </si>
  <si>
    <t xml:space="preserve">                           67.0    81.0    81.0       13.2%                  1367 GLORIN-RS069  1     7.7     5.0     8.8                      0.07    -0.20            </t>
  </si>
  <si>
    <t xml:space="preserve">                           54.0    79.0    79.0       64.2%                  1378 ICOTROTAP069  1    33.4    13.3    34.7                      0.33     0.97            </t>
  </si>
  <si>
    <t xml:space="preserve">                          165.0   173.0   173.0       27.7%                 41269 GRA3-1-RS000  1   -44.4   -16.9    45.8 1.000F       002     0.02    -0.16            </t>
  </si>
  <si>
    <t xml:space="preserve">                          165.0   198.0   198.0       27.7%                 43471 GRA3-2-RS000  2   -44.4   -16.9    45.8 1.000F       002     0.02    -0.16            </t>
  </si>
  <si>
    <t xml:space="preserve">   1316   69  0   1.036    33.0     0.0     0.0         0.0     0.0     0.0</t>
  </si>
  <si>
    <t xml:space="preserve">  NPR2P2PCH069    -44.3     0.0     0.0     0.0         0.0     0.0     0.0                                          </t>
  </si>
  <si>
    <t xml:space="preserve">                           84.0    84.0    84.0       37.9%                  1226 NPRAT2-RS069  1    33.0     0.0    31.8                      0.57     1.79            </t>
  </si>
  <si>
    <t xml:space="preserve">   1317   69  0   1.034    32.4     0.0     0.0         0.0     0.0     0.0</t>
  </si>
  <si>
    <t xml:space="preserve">  NPR2P1PCH069    -44.7     0.0     0.0     0.0         0.0     0.0     0.0                                          </t>
  </si>
  <si>
    <t xml:space="preserve">                           84.0    84.0    84.0       37.3%                  1226 NPRAT2-RS069  1    32.4    -0.0    31.3                      0.50     1.55            </t>
  </si>
  <si>
    <t xml:space="preserve">   1319   69  0   1.028     2.7     0.0     0.0         0.0     0.0     0.0</t>
  </si>
  <si>
    <t xml:space="preserve">  CGONZAPCH069    -47.2     0.0     0.0     0.0         0.0     0.0     0.0                                          </t>
  </si>
  <si>
    <t xml:space="preserve">                           23.0    23.0    23.0       11.4%                  1214 GUARIT-RS069  1     2.7     0.0     2.6                      0.00    -0.14            </t>
  </si>
  <si>
    <t xml:space="preserve">   1321   69  0   1.013     0.0     0.0     0.0         0.0     0.0     0.0</t>
  </si>
  <si>
    <t xml:space="preserve">  CIDR13-RS069    -47.6     0.0     0.0     0.0         0.0     0.0     0.0                                          </t>
  </si>
  <si>
    <t xml:space="preserve">                           84.0    94.0    94.0       24.9%                  1232 OSORI2-RS069  1    21.2    -0.6    20.9                      0.19     0.53            </t>
  </si>
  <si>
    <t xml:space="preserve">                           82.0    82.0    82.0       25.5%                 10123 CIDREI-RS034  1   -21.2     0.6    20.9 1.000C               0.00     0.71            </t>
  </si>
  <si>
    <t xml:space="preserve">   1322   69  0   1.036     0.0     0.0     0.0         0.0     0.0     0.0</t>
  </si>
  <si>
    <t xml:space="preserve">  IJUI2--RS069    -47.8     0.0     0.0     0.0         0.0     0.0     0.0                                          </t>
  </si>
  <si>
    <t xml:space="preserve">                         9999.0  9999.0  9999.0        0.0%                  9195 CERIL3-RS069  1     3.4     2.3     4.0                      0.00     0.00            </t>
  </si>
  <si>
    <t xml:space="preserve">                           40.0    65.0    65.0        6.6%                  9558 DEMEI2-RS069  1     2.7     0.5     2.6                      0.00    -0.01            </t>
  </si>
  <si>
    <t xml:space="preserve">                           39.0    49.0    49.0       10.1%                  9562 CERILU-RS069  1     3.4     2.2     3.9                      0.01    -0.17            </t>
  </si>
  <si>
    <t xml:space="preserve">                           40.0    65.0    65.0       36.4%                  9651 PANAM2-RS069  1    14.9     1.9    14.5                      0.34     0.05            </t>
  </si>
  <si>
    <t xml:space="preserve">                           39.0    49.0    49.0 SUP  108.0%                  9911 IJU1-B-RS069  1    43.0     7.5    42.1                      1.16     1.97            </t>
  </si>
  <si>
    <t xml:space="preserve">                           83.0   100.0   100.0       27.3%                 41280 IJU--1-RS000  1   -22.9    -4.9    22.6 1.000F       002     0.01    -0.05            </t>
  </si>
  <si>
    <t xml:space="preserve">                           83.0   100.0   100.0       27.3%                 41281 IJU--2-RS000  2   -22.9    -4.9    22.6 1.000F       002     0.01    -0.05            </t>
  </si>
  <si>
    <t xml:space="preserve">                           83.0   100.0   116.0       25.6%                 43433 IJU--3-RS000  3   -21.5    -4.6    21.3 1.000F       002    -0.00    -0.04            </t>
  </si>
  <si>
    <t>_x000C_CEPEL - CENTRO DE PESQUISAS DE ENERGIA ELETRICA - PROGRAMA DE ANALISE DE REDES - V11.06.02                                 PAG.   4</t>
  </si>
  <si>
    <t xml:space="preserve">   1324   23  0   1.096     2.0     0.0    28.0         0.0     4.3     0.0</t>
  </si>
  <si>
    <t xml:space="preserve">  CANO1A-RS023    -55.9     0.0     0.0     6.3         0.0     0.0     0.0                                          </t>
  </si>
  <si>
    <t xml:space="preserve">                           75.0    90.0    90.0       31.7%                 41253 CNA1-1-RS000  1   -26.0    -2.0    23.8 1.000F       002     0.00    -0.04            </t>
  </si>
  <si>
    <t xml:space="preserve">   1326  138  0   1.047     0.0     0.0     0.0         0.0     0.0     0.0</t>
  </si>
  <si>
    <t xml:space="preserve">  LVERM2-RS138    -44.2     0.0     0.0     0.0         0.0     0.0     0.0                                          </t>
  </si>
  <si>
    <t xml:space="preserve">                          143.0   143.0   143.0       17.1%                  1221 LVERM1-RS138  1    24.6     7.0    24.5                      0.03    -0.34            </t>
  </si>
  <si>
    <t xml:space="preserve">              DESLIGADO    82.0   118.0   118.0                              1328 VACARI-RS138  1     0.0     0.0     0.0                      0.00     0.00            </t>
  </si>
  <si>
    <t xml:space="preserve">                          167.0   203.0   203.0       42.6%                  9679 SANANDTAP138  1    69.8    25.9    71.2                      0.86     1.61            </t>
  </si>
  <si>
    <t xml:space="preserve">                          150.0   150.0   150.0       31.5%                 41289 LVE-1--RS000  1   -46.5   -16.8    47.2 1.000F       002     0.00    -0.13            </t>
  </si>
  <si>
    <t xml:space="preserve">                          150.0   180.0   180.0       32.2%                 41290 LVE-2--RS000  2   -48.0   -16.2    48.4 1.000F       002     0.03    -0.13            </t>
  </si>
  <si>
    <t xml:space="preserve">   1328  138  0   1.005    27.8     0.0    39.2         0.0     3.6     0.0</t>
  </si>
  <si>
    <t xml:space="preserve">  VACARI-RS138    -47.9     0.0     0.0    12.4         0.0     0.0     0.0                                          </t>
  </si>
  <si>
    <t xml:space="preserve">              DESLIGADO    82.0   118.0   118.0                              1326 LVERM2-RS138  1     0.0     0.0     0.0                      0.00     0.00            </t>
  </si>
  <si>
    <t xml:space="preserve">                          167.0   203.0   203.0        8.6%                  9594 LAGEGR-RS138  1   -11.4    -8.8    14.3                      0.09    -4.27            </t>
  </si>
  <si>
    <t xml:space="preserve">   1331   69  0   1.006    10.5     0.0    49.2         0.0     7.3     0.0</t>
  </si>
  <si>
    <t xml:space="preserve">  ATLAN2-RS069    -50.0     0.0     0.0    13.0         0.0     0.0     0.0                                          </t>
  </si>
  <si>
    <t xml:space="preserve">                           40.0    40.0    40.0       20.8%                  9182 XANGRI-RS069  1    -8.3     1.3     8.3                      0.00     0.01            </t>
  </si>
  <si>
    <t xml:space="preserve">                           83.0    89.0    89.0       12.5%                 41213 ATLA-1-RS000  1   -10.2    -2.3    10.4 1.000F       002     0.00    -0.01            </t>
  </si>
  <si>
    <t xml:space="preserve">                           83.0    89.0    89.0       12.5%                 41214 ATLA-2-RS000  2   -10.2    -2.3    10.4 1.000F       002     0.00    -0.01            </t>
  </si>
  <si>
    <t xml:space="preserve">                           83.0    89.0    89.0       12.4%                 41215 ATLA-3-RS000  3   -10.1    -2.3    10.3 1.000F       002     0.00    -0.01            </t>
  </si>
  <si>
    <t xml:space="preserve">   1332   69  0   1.005     4.0     0.0     4.5         0.0     0.0     0.0</t>
  </si>
  <si>
    <t xml:space="preserve">  PETROB-RS069    -54.6     0.0     0.0     1.9         0.0     0.0     0.0                                          </t>
  </si>
  <si>
    <t xml:space="preserve">                           84.0   101.0   101.0       15.2%                  1303 BUNGE--RS069  1    10.3     7.6    12.8                      0.03     0.10            </t>
  </si>
  <si>
    <t xml:space="preserve">                           48.0    71.0    71.0       29.9%                  2067 CACHOE-RS069  1   -10.8    -9.5    14.4                      0.05     0.14            </t>
  </si>
  <si>
    <t xml:space="preserve">   1333   14  0   1.001     0.0     0.0     0.0         0.0     0.0     0.0</t>
  </si>
  <si>
    <t xml:space="preserve">  PANAMB-RS013    -58.3     0.0     0.0     0.0         0.0     0.0     0.0                                          </t>
  </si>
  <si>
    <t xml:space="preserve">                           25.0    25.0    25.0       77.2%                  1307 PANAM--RS069  1   -19.1    -3.0    19.3                      0.00     1.06            </t>
  </si>
  <si>
    <t xml:space="preserve">                         9999.0  9999.0  9999.0        0.0%                  9653 HIDPA1-RS013  1    14.7     1.3    14.7                      0.00    -0.01            </t>
  </si>
  <si>
    <t xml:space="preserve">                         9999.0  9999.0  9999.0        0.0%                  9654 COPRE1-RS013  1     4.4     1.7     4.7                      0.00    -0.01            </t>
  </si>
  <si>
    <t xml:space="preserve">   1334   69  0   1.014     0.0     0.0     6.3         0.0     0.0     0.0</t>
  </si>
  <si>
    <t xml:space="preserve">  POLINDTAP069    -52.2     0.0     0.0     2.4         0.0     0.0     0.0                                          </t>
  </si>
  <si>
    <t xml:space="preserve">                           83.0    83.0    83.0       21.7%                  2077 PPETRO-RS069  1   -16.9    -6.9    18.0                      0.07     0.13            </t>
  </si>
  <si>
    <t xml:space="preserve">                           30.0    48.0    48.0       37.9%                  9716 HEXION-RS069  1    10.6     4.5    11.4                      0.01    -0.00            </t>
  </si>
  <si>
    <t xml:space="preserve">   1335  138  0   1.014     0.0     0.0     5.6         0.0     0.0     0.0</t>
  </si>
  <si>
    <t xml:space="preserve">  CONSTA-RS138    -42.8     0.0     0.0     2.9         0.0     0.0     0.0                                          </t>
  </si>
  <si>
    <t xml:space="preserve">                          167.0   203.0   203.0        3.7%                  9549 PLANAL-RS138  1    -5.6    -2.9     6.2                      0.01    -3.46            </t>
  </si>
  <si>
    <t xml:space="preserve">   1338  138  0   1.017     0.0     0.0    14.1         0.0     0.0     0.0</t>
  </si>
  <si>
    <t xml:space="preserve">  NSRIT2-RS138    -52.4     0.0     0.0     5.2         0.0     0.0     0.0                                          </t>
  </si>
  <si>
    <t xml:space="preserve">                          134.0   162.0   162.0        5.5%                  1257 CINPAL-RS138  1    -7.1    -2.6     7.4                      0.01    -0.66            </t>
  </si>
  <si>
    <t xml:space="preserve">                          134.0   162.0   162.0        5.5%                  1257 CINPAL-RS138  2    -7.1    -2.6     7.4                      0.01    -0.66            </t>
  </si>
  <si>
    <t xml:space="preserve">   1339   69  0   1.019     0.0     0.0     1.0         0.0     0.0     0.0</t>
  </si>
  <si>
    <t xml:space="preserve">  SITEL-TAP069    -52.0     0.0     0.0     0.4         0.0     0.0     0.0                                          </t>
  </si>
  <si>
    <t xml:space="preserve">                           48.0    71.0    71.0       56.5%                  1341 SRITA-TAP069  1    27.3     4.3    27.1                      0.20     0.74            </t>
  </si>
  <si>
    <t xml:space="preserve">                           84.0   101.0   101.0       33.5%                  2077 PPETRO-RS069  1   -28.3    -4.7    28.1                      0.08     0.23            </t>
  </si>
  <si>
    <t xml:space="preserve">   1340  138  0   0.991     0.3     0.0    27.2         0.0     3.5     0.0</t>
  </si>
  <si>
    <t xml:space="preserve">  TAPEJA-RS138    -48.7     0.0     0.0    13.0         0.0     0.0     0.0                                          </t>
  </si>
  <si>
    <t xml:space="preserve">                          137.0   175.0   175.0       25.1%                  1310 EREXI2-RS138  1    32.6     9.9    34.3                      0.46    -1.47            </t>
  </si>
  <si>
    <t xml:space="preserve">                          167.0   203.0   203.0       37.8%                  9679 SANANDTAP138  1   -59.5   -19.4    63.1                      0.89     0.98            </t>
  </si>
  <si>
    <t xml:space="preserve">   1341   69  0   1.008     0.0     0.0     5.0         0.0     0.0     0.0</t>
  </si>
  <si>
    <t xml:space="preserve">  SRITA-TAP069    -53.5     0.0     0.0     2.1         0.0     0.0     0.0                                          </t>
  </si>
  <si>
    <t xml:space="preserve">                           48.0    71.0    71.0       45.8%                  1312 ESTEIO-RS069  1    22.1     1.5    22.0                      0.18     0.52            </t>
  </si>
  <si>
    <t xml:space="preserve">                           48.0    71.0    71.0       56.5%                  1339 SITEL-TAP069  1   -27.1    -3.6    27.1                      0.20     0.74            </t>
  </si>
  <si>
    <t xml:space="preserve">   1343   14  0   1.034     3.0     0.0    12.5         0.0     0.0     0.0</t>
  </si>
  <si>
    <t xml:space="preserve">  SCRU1B-RS013    -53.1     0.0     0.0     2.9         0.0     0.0     0.0                                          </t>
  </si>
  <si>
    <t xml:space="preserve">                         9999.0  9999.0  9999.0        0.0%                  9754 SCR1RA-RS013  7    -9.5    -2.9     9.6                      0.00     0.12            </t>
  </si>
  <si>
    <t xml:space="preserve">   1347   35  1   1.016    21.3     0.0     0.0         0.0     3.2     0.0</t>
  </si>
  <si>
    <t xml:space="preserve">  CIDREIEOL034    -44.6    -5.2     0.0     0.0         0.0     0.0     0.0                                          </t>
  </si>
  <si>
    <t xml:space="preserve">                         9999.0  9999.0  9999.0        0.0%                 10123 CIDREI-RS034  1    21.3    -2.0    21.1                      0.09    -2.16            </t>
  </si>
  <si>
    <t xml:space="preserve">   1352   14  0   1.050     1.0     0.0    15.1         0.0     0.0     0.0</t>
  </si>
  <si>
    <t xml:space="preserve">  PALEG9-RS013    -54.1     0.0     0.0     3.3         0.0     0.0     0.0                                          </t>
  </si>
  <si>
    <t xml:space="preserve">                           75.0    90.0    90.0       18.4%                 41326 PAL9-1-RS000  1   -14.1    -3.3    13.8 1.000F       002     0.00    -0.01            </t>
  </si>
  <si>
    <t xml:space="preserve">   1358  138  0   0.999     0.0     0.0     0.0         0.0     0.0     0.0</t>
  </si>
  <si>
    <t xml:space="preserve">  OSO-Y2-RS138    -48.6     0.0     0.0     0.0         0.0     0.0     0.0                                          </t>
  </si>
  <si>
    <t xml:space="preserve">                           82.0   118.0   118.0        0.0%                  1038 CAPIVA-RS138  1    -0.0     0.0     0.0                      0.00    -2.30            </t>
  </si>
  <si>
    <t xml:space="preserve">                         9999.0  9999.0  9999.0        0.0%                  1244 OSORI2-RS138  1     0.0     0.0     0.0                      0.00     0.00            </t>
  </si>
  <si>
    <t xml:space="preserve">              DESLIGADO    82.0    82.0    82.0                              2055 SAPATR-RS138  1     0.0     0.0     0.0                      0.00     0.00            </t>
  </si>
  <si>
    <t xml:space="preserve">   1360   69  0   1.008     2.7     0.0    57.2         0.0     3.7     0.0</t>
  </si>
  <si>
    <t xml:space="preserve">  CACHO2-RS069    -55.4     0.0     0.0    22.6         0.0     0.0     0.0                                          </t>
  </si>
  <si>
    <t xml:space="preserve">                           84.0   101.0   101.0       47.3%                  1209 GRAVA2-RS069  1   -37.6   -13.7    39.7                      0.30     0.88            </t>
  </si>
  <si>
    <t xml:space="preserve">                           84.0   101.0   101.0       47.3%                  1209 GRAVA2-RS069  2   -37.6   -13.7    39.7                      0.30     0.88            </t>
  </si>
  <si>
    <t xml:space="preserve">                           54.0    79.0    79.0        5.8%                  1366 MUNDIA-RS069  1     3.0     1.0     3.2                      0.00    -0.11            </t>
  </si>
  <si>
    <t xml:space="preserve">                           54.0    79.0    79.0       35.3%                  1379 ALBARUTAP069  1    17.7     7.5    19.0                      0.07     0.12            </t>
  </si>
  <si>
    <t xml:space="preserve">   1361   69  0   0.999     0.0     0.0    10.1         0.0     0.0     0.0</t>
  </si>
  <si>
    <t xml:space="preserve">  ALBARU-RS069    -56.0     0.0     0.0     4.3         0.0     0.0     0.0                                          </t>
  </si>
  <si>
    <t xml:space="preserve">                           54.0    79.0    79.0       15.0%                  1365 FITESA-RS069  1     7.5     3.1     8.1                      0.00    -0.00            </t>
  </si>
  <si>
    <t xml:space="preserve">                           54.0    79.0    79.0       35.4%                  1379 ALBARUTAP069  1   -17.6    -7.4    19.1                      0.01     0.00            </t>
  </si>
  <si>
    <t xml:space="preserve">   1362   69  0   1.012     3.4     0.0    60.2         0.0     3.7     0.0</t>
  </si>
  <si>
    <t xml:space="preserve">  GRAVA1-RS069    -55.2     0.0     0.0    20.2         0.0     0.0     0.0                                          </t>
  </si>
  <si>
    <t xml:space="preserve">                           54.0    79.0    79.0       57.9%                  1364 PIRELL-RS069  1   -30.8    -7.2    31.3                      0.15     0.46            </t>
  </si>
  <si>
    <t xml:space="preserve">              DESLIGADO    54.0    79.0    79.0                              1366 MUNDIA-RS069  1     0.0     0.0     0.0                      0.00     0.00            </t>
  </si>
  <si>
    <t xml:space="preserve">                           54.0    79.0    79.0       50.5%                  1378 ICOTROTAP069  1   -26.0    -9.3    27.3                      0.06     0.15            </t>
  </si>
  <si>
    <t xml:space="preserve">              DESLIGADO    54.0    79.0    79.0                              1379 ALBARUTAP069  1     0.0     0.0     0.0                      0.00     0.00            </t>
  </si>
  <si>
    <t xml:space="preserve">   1363   69  0   1.016     0.0     0.0     7.0         0.0     0.0     0.0</t>
  </si>
  <si>
    <t xml:space="preserve">  ICOTR--RS069    -54.9     0.0     0.0     2.9         0.0     0.0     0.0                                          </t>
  </si>
  <si>
    <t xml:space="preserve">                           54.0    79.0    79.0       13.8%                  1378 ICOTROTAP069  1    -7.0    -2.9     7.5                      0.00    -0.00            </t>
  </si>
  <si>
    <t xml:space="preserve">   1364   69  0   1.021     0.0     0.0    16.2         0.0     0.0     0.0</t>
  </si>
  <si>
    <t xml:space="preserve">  PIRELL-RS069    -54.3     0.0     0.0     6.9         0.0     0.0     0.0                                          </t>
  </si>
  <si>
    <t xml:space="preserve">                           54.0    79.0    79.0       89.5%                  1314 GRAVA3-RS069  1   -47.2   -14.6    48.4                      0.50     0.97            </t>
  </si>
  <si>
    <t xml:space="preserve">                           54.0    79.0    79.0       57.9%                  1362 GRAVA1-RS069  1    31.0     7.7    31.2                      0.15     0.46            </t>
  </si>
  <si>
    <t xml:space="preserve">   1365   69  0   0.998     0.0     0.0     7.5         0.0     0.0     0.0</t>
  </si>
  <si>
    <t xml:space="preserve">  FITESA-RS069    -56.1     0.0     0.0     3.1         0.0     0.0     0.0                                          </t>
  </si>
  <si>
    <t xml:space="preserve">                           54.0    79.0    79.0       15.1%                  1361 ALBARU-RS069  1    -7.5    -3.1     8.1                      0.00    -0.00            </t>
  </si>
  <si>
    <t xml:space="preserve">   1366   69  0   1.007     0.0     0.0     3.0         0.0     0.0     0.0</t>
  </si>
  <si>
    <t xml:space="preserve">  MUNDIA-RS069    -55.5     0.0     0.0     1.2         0.0     0.0     0.0                                          </t>
  </si>
  <si>
    <t xml:space="preserve">                           54.0    79.0    79.0        5.9%                  1360 CACHO2-RS069  1    -3.0    -1.1     3.2                      0.00    -0.11            </t>
  </si>
  <si>
    <t xml:space="preserve">              DESLIGADO    54.0    79.0    79.0                              1362 GRAVA1-RS069  1     0.0    -0.1     0.1                      0.00    -0.05 1.007 -55.5</t>
  </si>
  <si>
    <t xml:space="preserve">   1367   69  0   1.020     0.9     0.0     8.5         0.0     0.0     0.0</t>
  </si>
  <si>
    <t xml:space="preserve">  GLORIN-RS069    -54.0     0.0     0.0     5.2         0.0     0.0     0.0                                          </t>
  </si>
  <si>
    <t xml:space="preserve">                           67.0    81.0    81.0       13.5%                  1314 GRAVA3-RS069  1    -7.6    -5.2     9.0                      0.07    -0.20            </t>
  </si>
  <si>
    <t xml:space="preserve">   1374  138  0   1.004     0.0     0.0     4.3         0.0     0.0     0.0</t>
  </si>
  <si>
    <t xml:space="preserve">  SCHINC-RS138    -53.5     0.0     0.0     1.8         0.0     0.0     0.0                                          </t>
  </si>
  <si>
    <t xml:space="preserve">                         9999.0  9999.0  9999.0        0.0%                  1290 3COROA-RS138  1    -4.3    -1.8     4.6                      0.00    -0.89            </t>
  </si>
  <si>
    <t xml:space="preserve">   1378   69  0   1.017     0.0     0.0     0.0         0.0     0.0     0.0</t>
  </si>
  <si>
    <t xml:space="preserve">  ICOTROTAP069    -54.8     0.0     0.0     0.0         0.0     0.0     0.0                                          </t>
  </si>
  <si>
    <t xml:space="preserve">                           54.0    79.0    79.0       64.3%                  1314 GRAVA3-RS069  1   -33.1   -12.3    34.7                      0.33     0.97            </t>
  </si>
  <si>
    <t xml:space="preserve">                           54.0    79.0    79.0       50.5%                  1362 GRAVA1-RS069  1    26.1     9.4    27.3                      0.06     0.15            </t>
  </si>
  <si>
    <t xml:space="preserve">                           54.0    79.0    79.0       13.8%                  1363 ICOTR--RS069  1     7.0     2.9     7.5                      0.00    -0.00            </t>
  </si>
  <si>
    <t xml:space="preserve">   1379   69  0   1.000     0.0     0.0     0.0         0.0     0.0     0.0</t>
  </si>
  <si>
    <t xml:space="preserve">  ALBARUTAP069    -56.0     0.0     0.0     0.0         0.0     0.0     0.0                                          </t>
  </si>
  <si>
    <t xml:space="preserve">                           54.0    79.0    79.0       35.4%                  1360 CACHO2-RS069  1   -17.6    -7.4    19.1                      0.07     0.12            </t>
  </si>
  <si>
    <t xml:space="preserve">                           54.0    79.0    79.0       35.4%                  1361 ALBARU-RS069  1    17.6     7.4    19.1                      0.01     0.00            </t>
  </si>
  <si>
    <t xml:space="preserve">              DESLIGADO    54.0    79.0    79.0                              1362 GRAVA1-RS069  1     0.0    -0.0     0.0                      0.00    -0.04 1.000 -56.0</t>
  </si>
  <si>
    <t xml:space="preserve">   1383  138  0   1.015     0.0     0.0     0.0         0.0     0.0     0.0</t>
  </si>
  <si>
    <t xml:space="preserve">  SMARI3-RS138    -50.1     0.0     0.0     0.0         0.0     0.0     0.0                                          </t>
  </si>
  <si>
    <t xml:space="preserve">                           97.0   141.0   141.0        6.5%                   930 ALEGRE-RS138  1     2.2    -6.0     6.3                      0.01   -12.25            </t>
  </si>
  <si>
    <t xml:space="preserve">                           97.0   141.0   141.0       17.6%                  1276 SMARI1-RS138  1    16.0     6.5    17.0                      0.02    -0.57            </t>
  </si>
  <si>
    <t xml:space="preserve">                          134.0   162.0   162.0       18.2%                 10169 FORMIG-RS138  1    22.1    11.3    24.4                      0.41    -3.08            </t>
  </si>
  <si>
    <t xml:space="preserve">                           83.0   100.0   100.0       24.9%                 41371 SM3--1-RS000  1   -20.2    -5.9    20.7 1.000F       002     0.01    -0.10            </t>
  </si>
  <si>
    <t xml:space="preserve">                           83.0   100.0   100.0       24.9%                 41372 SM3--2-RS000  2   -20.2    -5.9    20.7 1.000F       002     0.01    -0.10            </t>
  </si>
  <si>
    <t xml:space="preserve">   1384   69  0   1.009     0.0     0.0     9.5         0.0     0.0     0.0</t>
  </si>
  <si>
    <t xml:space="preserve">  POLOFI-RS069    -52.4     0.0     0.0     4.0         0.0     0.0     0.0                                          </t>
  </si>
  <si>
    <t xml:space="preserve">                           30.0    48.0    48.0       34.0%                  9716 HEXION-RS069  1    -9.5    -4.0    10.2                      0.02    -0.01            </t>
  </si>
  <si>
    <t xml:space="preserve">   1387   69  0   1.035     0.0     0.0     0.0         0.0     0.0     0.0</t>
  </si>
  <si>
    <t xml:space="preserve">  CAXIA6-RS069    -50.5     0.0     0.0     0.0         0.0     0.0     0.0                                          </t>
  </si>
  <si>
    <t xml:space="preserve">                          106.0   130.0   130.0       29.5%                  1388 CAXIA3-RS069  1    32.2     3.1    31.3                      0.10     0.48            </t>
  </si>
  <si>
    <t xml:space="preserve">                          106.0   130.0   130.0       59.0%                  1389 CAXIA4-RS069  1    58.0    28.7    62.5                      0.48     2.61            </t>
  </si>
  <si>
    <t xml:space="preserve">                           84.0   101.0   101.0       14.3%                  9676 CAXIA7-RS069  1    11.5     4.7    12.1                      0.04    -0.01            </t>
  </si>
  <si>
    <t xml:space="preserve">                           84.0   101.0   101.0       14.4%                  9676 CAXIA7-RS069  2    11.5     4.7    12.1                      0.04    -0.01            </t>
  </si>
  <si>
    <t xml:space="preserve">                          165.0   198.0   198.0       35.3%                 41255 CAX6-1-RS000  1   -56.6   -20.6    58.2 1.000F       002     0.03    -0.19            </t>
  </si>
  <si>
    <t xml:space="preserve">                          165.0   198.0   198.0       35.3%                 41256 CAX6-2-RS000  2   -56.7   -20.6    58.3 1.000F       002     0.03    -0.19            </t>
  </si>
  <si>
    <t>_x000C_CEPEL - CENTRO DE PESQUISAS DE ENERGIA ELETRICA - PROGRAMA DE ANALISE DE REDES - V11.06.02                                 PAG.   5</t>
  </si>
  <si>
    <t xml:space="preserve">   1388   69  0   1.030     2.2     0.0    34.3         0.0     7.6     0.0</t>
  </si>
  <si>
    <t xml:space="preserve">  CAXIA3-RS069    -51.4     0.0     0.0    10.3         0.0     0.0     0.0                                          </t>
  </si>
  <si>
    <t xml:space="preserve">                          106.0   130.0   130.0       29.5%                  1387 CAXIA6-RS069  1   -32.1    -2.7    31.3                      0.10     0.48            </t>
  </si>
  <si>
    <t xml:space="preserve">              DESLIGADO    80.0    95.0    95.0                              9295 EBERLETAP069  1     0.0     0.0     0.0                      0.00     0.00            </t>
  </si>
  <si>
    <t xml:space="preserve">   1389   69  0   1.009     6.5     0.0    48.3         0.0     7.3     0.0</t>
  </si>
  <si>
    <t xml:space="preserve">  CAXIA4-RS069    -52.5     0.0     0.0    15.8         0.0     0.0     0.0                                          </t>
  </si>
  <si>
    <t xml:space="preserve">              DESLIGADO    84.0   101.0   101.0                              1201 CAXIA2-RS069  1     0.0     0.0     0.0                      0.00     0.00            </t>
  </si>
  <si>
    <t xml:space="preserve">                          106.0   130.0   130.0       59.0%                  1387 CAXIA6-RS069  1   -57.5   -26.0    62.6                      0.48     2.61            </t>
  </si>
  <si>
    <t xml:space="preserve">                           54.0    79.0    79.0       43.3%                  9293 POTOMETAP069  1    15.7    17.6    23.4                      0.02     0.06            </t>
  </si>
  <si>
    <t xml:space="preserve">   2050    7  1   1.029     3.4     0.0     2.9         0.0     0.0     0.0</t>
  </si>
  <si>
    <t xml:space="preserve">  BUGRESPCH006    -50.7     0.1     0.0    -0.6         0.0     0.0     0.0                                          </t>
  </si>
  <si>
    <t xml:space="preserve">                           14.0    14.0    14.0        5.8%                  2058 BUGRES-RS069  1     0.5     0.7     0.8                      0.00     0.00            </t>
  </si>
  <si>
    <t xml:space="preserve">   2051   14  1   1.026    37.0     0.0     0.0         0.0     0.0     0.0</t>
  </si>
  <si>
    <t xml:space="preserve">  CANASTPCH013    -49.0    11.6     0.0     0.0         0.0     0.0     0.0                                          </t>
  </si>
  <si>
    <t xml:space="preserve">                           25.0    25.0    25.0       54.6%                  2060 CANA-B-RS000  1    13.3     4.3    13.7 1.000F               0.00     1.19            </t>
  </si>
  <si>
    <t xml:space="preserve">                           30.0    30.0    30.0       80.5%                  2062 CANA-A-RS000  1    23.7     7.3    24.1 1.000F               0.00     0.86            </t>
  </si>
  <si>
    <t xml:space="preserve">   2053   69  0   1.027     1.1     0.0     9.0         0.0     0.0     0.0</t>
  </si>
  <si>
    <t xml:space="preserve">  SJERO--RS069    -53.2     0.0     0.0     3.1         0.0     0.0     0.0                                          </t>
  </si>
  <si>
    <t xml:space="preserve">                           48.0    48.0    48.0       17.2%                  1208 TRIUNF-RS069  1    -7.9    -3.1     8.3                      0.01    -0.04            </t>
  </si>
  <si>
    <t xml:space="preserve">   2055  138  0   0.991     0.0     0.0     2.5         0.0     0.0     0.0</t>
  </si>
  <si>
    <t xml:space="preserve">  SAPATR-RS138    -53.9     0.0     0.0     1.1         0.0     0.0     0.0                                          </t>
  </si>
  <si>
    <t xml:space="preserve">              DESLIGADO    82.0    82.0    82.0                              1358 OSO-Y2-RS138  1     0.0     0.0     0.0                      0.00     0.00            </t>
  </si>
  <si>
    <t xml:space="preserve">                           82.0    82.0    82.0       37.3%                  2094 TAQUAR-RS138  1   -26.9   -14.0    30.6                      0.36    -1.36            </t>
  </si>
  <si>
    <t xml:space="preserve">                           25.0    25.0    25.0 SUP  111.5%                  9250 SAPATR-RS023  1    24.4    12.9    27.9 0.898*               0.00     2.50            </t>
  </si>
  <si>
    <t xml:space="preserve">   2058   69  0   1.017     0.0     0.0     0.0         0.0     0.0     0.0</t>
  </si>
  <si>
    <t xml:space="preserve">  BUGRES-RS069    -50.9     0.0     0.0     0.0         0.0     0.0     0.0                                          </t>
  </si>
  <si>
    <t xml:space="preserve">                           14.0    14.0    14.0        5.8%                  2050 BUGRESPCH006  1    -0.5    -0.7     0.8 0.993F               0.00     0.00            </t>
  </si>
  <si>
    <t xml:space="preserve">                           14.0    14.0    14.0        5.8%                  2063 CANAST-RS069  1     0.5     0.7     0.8                      0.00    -0.12            </t>
  </si>
  <si>
    <t xml:space="preserve">   2060  991  0   1.003     0.0     0.0     0.0         0.0     0.0     0.0</t>
  </si>
  <si>
    <t xml:space="preserve">  CANA-B-RS000    -53.7     0.0     0.0     0.0         0.0     0.0     0.0                                          </t>
  </si>
  <si>
    <t xml:space="preserve">                           25.0    25.0    25.0       54.6%                  2051 CANASTPCH013  1   -13.3    -3.1    13.7                      0.00     1.19            </t>
  </si>
  <si>
    <t xml:space="preserve">                           10.0    10.0    10.0       60.3%                  2063 CANAST-RS069  1    -5.9    -1.4     6.0                      0.00     0.31            </t>
  </si>
  <si>
    <t xml:space="preserve">                           35.0    35.0    35.0       56.2%                  2064 CANAST-RS138  1    19.2     4.6    19.7                      0.00    -0.11            </t>
  </si>
  <si>
    <t xml:space="preserve">   2061  138  0   1.014     0.0     0.0     0.0         0.0     0.0     0.0</t>
  </si>
  <si>
    <t xml:space="preserve">  CRUZAL-RS138    -48.8     0.0     0.0     0.0         0.0     0.0     0.0                                          </t>
  </si>
  <si>
    <t xml:space="preserve">                           96.0    96.0    96.0       18.7%                  1216 JACUI--RS138  1   -18.1    -2.1    18.0                      0.15    -3.66            </t>
  </si>
  <si>
    <t xml:space="preserve">                           66.0    66.0    66.0       10.1%                  1301 CALTA1-RS069  1     6.7     1.0     6.7                      0.00     0.11            </t>
  </si>
  <si>
    <t xml:space="preserve">                           25.0    25.0    25.0       45.2%                  9675 CAL1-A-RS023  1    11.4     1.2    11.3 0.990*               0.00     0.52            </t>
  </si>
  <si>
    <t xml:space="preserve">   2062  991  0   1.016     0.0     0.0     0.0         0.0     0.0     0.0</t>
  </si>
  <si>
    <t xml:space="preserve">  CANA-A-RS000    -50.9     0.0     0.0     0.0         0.0     0.0     0.0                                          </t>
  </si>
  <si>
    <t xml:space="preserve">                           30.0    30.0    30.0       80.5%                  2051 CANASTPCH013  1   -23.7    -6.4    24.1                      0.00     0.86            </t>
  </si>
  <si>
    <t xml:space="preserve">                           20.0    20.0    20.0       26.9%                  2063 CANAST-RS069  1     5.4     1.0     5.4                      0.00    -0.00            </t>
  </si>
  <si>
    <t xml:space="preserve">                           50.0    50.0    50.0       37.6%                  2064 CANAST-RS138  1    18.3     5.5    18.8                      0.00     0.86            </t>
  </si>
  <si>
    <t xml:space="preserve">   2063   69  0   1.016     0.0     0.0     0.0         0.0     0.0     0.0</t>
  </si>
  <si>
    <t xml:space="preserve">  CANAST-RS069    -50.9     0.0     0.0     0.0         0.0     0.0     0.0                                          </t>
  </si>
  <si>
    <t xml:space="preserve">                           14.0    14.0    14.0        6.5%                  2058 BUGRES-RS069  1    -0.5    -0.8     0.9                      0.00    -0.12            </t>
  </si>
  <si>
    <t xml:space="preserve">                           10.0    10.0    10.0       60.3%                  2060 CANA-B-RS000  1     5.9     1.8     6.0 1.000F               0.00     0.31            </t>
  </si>
  <si>
    <t xml:space="preserve">                           20.0    20.0    20.0       26.9%                  2062 CANA-A-RS000  1    -5.4    -1.0     5.4 1.000F               0.00    -0.00            </t>
  </si>
  <si>
    <t xml:space="preserve">   2064  138  0   1.004     0.0     0.0     0.0         0.0     0.0     0.0</t>
  </si>
  <si>
    <t xml:space="preserve">  CANAST-RS138    -53.4     0.0     0.0     0.0         0.0     0.0     0.0                                          </t>
  </si>
  <si>
    <t xml:space="preserve">                           96.0    96.0    96.0        3.6%                  1290 3COROA-RS138  1     2.6    -2.2     3.4                      0.00    -0.88            </t>
  </si>
  <si>
    <t xml:space="preserve">                           35.0    35.0    35.0       56.2%                  2060 CANA-B-RS000  1   -19.2    -4.7    19.7 1.000F               0.00    -0.11            </t>
  </si>
  <si>
    <t xml:space="preserve">                           50.0    50.0    50.0       37.6%                  2062 CANA-A-RS000  1   -18.3    -4.6    18.8 1.000F               0.00     0.86            </t>
  </si>
  <si>
    <t xml:space="preserve">                          108.0   158.0   158.0       33.8%                  2065 CANAS2-RS138  1    34.9    11.5    36.5                      0.00    -0.00            </t>
  </si>
  <si>
    <t xml:space="preserve">   2065  138  0   1.004     5.0     0.0    15.3         0.0     0.0     0.0</t>
  </si>
  <si>
    <t xml:space="preserve">  CANAS2-RS138    -53.4     0.0     0.0     5.2         0.0     0.0     0.0                                          </t>
  </si>
  <si>
    <t xml:space="preserve">                          108.0   158.0   158.0       33.8%                  2064 CANAST-RS138  1   -34.9   -11.5    36.5                      0.00    -0.00            </t>
  </si>
  <si>
    <t xml:space="preserve">                           50.0    50.0    50.0       50.5%                  9557 CANAS2-RS069  1    24.6     6.3    25.2 0.969*               0.00     0.69            </t>
  </si>
  <si>
    <t xml:space="preserve">   2067   69  0   1.014     0.0     0.0     0.0         0.0     0.0     0.0</t>
  </si>
  <si>
    <t xml:space="preserve">  CACHOE-RS069    -54.3     0.0     0.0     0.0         0.0     0.0     0.0                                          </t>
  </si>
  <si>
    <t xml:space="preserve">                           48.0    71.0    71.0       29.9%                  1332 PETROB-RS069  1    10.9     9.7    14.4                      0.05     0.14            </t>
  </si>
  <si>
    <t xml:space="preserve">              DESLIGADO    35.0    35.0    35.0                              2068 CACHOE-RS138  2     0.0     0.0     0.0                      0.00     0.00            </t>
  </si>
  <si>
    <t xml:space="preserve">                           35.0    35.0    35.0       41.0%                  2068 CACHOE-RS138  3   -10.9    -9.7    14.4                      0.00     0.68            </t>
  </si>
  <si>
    <t xml:space="preserve">   2068  138  0   1.017     2.0     0.0    34.0         0.0     0.0     0.0</t>
  </si>
  <si>
    <t xml:space="preserve">  CACHOE-RS138    -52.3     0.0     0.0    12.3         0.0     0.0     0.0                                          </t>
  </si>
  <si>
    <t xml:space="preserve">              DESLIGADO    35.0    35.0    35.0                              2067 CACHOE-RS069  2     0.0     0.0     0.0 0.990*               0.00     0.00            </t>
  </si>
  <si>
    <t xml:space="preserve">                           35.0    35.0    35.0       42.2%                  2067 CACHOE-RS069  3    10.9    10.4    14.8 0.973*               0.00     0.68            </t>
  </si>
  <si>
    <t xml:space="preserve">                          108.0   108.0   108.0       37.0%                  9305 CACHO3-RS138  1   -36.1   -18.8    40.0                      0.05    -0.10            </t>
  </si>
  <si>
    <t xml:space="preserve">                           96.0    96.0    96.0        8.0%                  9305 CACHO3-RS138  2    -6.8    -3.9     7.7                      0.01    -1.37            </t>
  </si>
  <si>
    <t xml:space="preserve">   2069  138  0   1.013    14.2     0.0    78.8         0.0    30.8     0.0</t>
  </si>
  <si>
    <t xml:space="preserve">  EREXIM-RS138    -48.0     0.0     0.0    24.9         0.0     0.0     0.0                                          </t>
  </si>
  <si>
    <t xml:space="preserve">                          167.0   167.0   167.0       38.3%                  1042 PFUNDO-RS138  1   -64.6     5.9    64.0                      2.10     2.05            </t>
  </si>
  <si>
    <t xml:space="preserve">              DESLIGADO   143.0   172.0   172.0                              1310 EREXI2-RS138  1     0.0     0.0     0.0                      0.00     0.00            </t>
  </si>
  <si>
    <t xml:space="preserve">   2076  138  0   1.017     2.6     0.0    21.6         0.0     3.7     0.0</t>
  </si>
  <si>
    <t xml:space="preserve">  PORTAO-RS138    -53.1     0.0     0.0     5.2         0.0     0.0     0.0                                          </t>
  </si>
  <si>
    <t xml:space="preserve">                          134.0   162.0   162.0       14.0%                  2090 SCHARL-RS138  1   -19.0    -1.5    18.7                      0.04    -0.69            </t>
  </si>
  <si>
    <t xml:space="preserve">              DESLIGADO   134.0   162.0   162.0                             10308 SSCAI2-RS138  1     0.0     0.0     0.0                      0.00     0.00            </t>
  </si>
  <si>
    <t xml:space="preserve">   2077   69  0   1.023     0.0     0.0     0.0         0.0     0.0     0.0</t>
  </si>
  <si>
    <t xml:space="preserve">  PPETRO-RS069    -51.5     0.0     0.0     0.0         0.0     0.0     0.0                                          </t>
  </si>
  <si>
    <t xml:space="preserve">                           83.0    83.0    83.0       21.7%                  1334 POLINDTAP069  1    17.0     7.0    18.0                      0.07     0.13            </t>
  </si>
  <si>
    <t xml:space="preserve">                           84.0   101.0   101.0       33.5%                  1339 SITEL-TAP069  1    28.4     5.0    28.1                      0.08     0.23            </t>
  </si>
  <si>
    <t xml:space="preserve">                           62.0    74.0    74.0       34.0%                  9692 CERTAJ-RS069  1    21.0     4.8    21.1                      0.22     0.53            </t>
  </si>
  <si>
    <t xml:space="preserve">                          165.0   198.0   198.0       20.4%                 41339 PPE--7-RS000  7   -33.4    -8.4    33.6 1.000F       002     0.01    -0.08            </t>
  </si>
  <si>
    <t xml:space="preserve">                          165.0   198.0   198.0       20.2%                 41341 PPE--8-RS000  8   -33.0    -8.4    33.3 1.000F       002     0.01    -0.09            </t>
  </si>
  <si>
    <t xml:space="preserve">   2079   69  0   1.005     4.7     0.0    21.0         0.0     1.8     0.0</t>
  </si>
  <si>
    <t xml:space="preserve">  MISSOE-RS069    -44.5     0.0     0.0     7.7         0.0     0.0     0.0                                          </t>
  </si>
  <si>
    <t xml:space="preserve">                           87.0    87.0    87.0       17.0%                  9219 PSJOAO-RS069  1   -14.7     1.9    14.8                      0.18     0.10            </t>
  </si>
  <si>
    <t xml:space="preserve">                           87.0    87.0    87.0       17.0%                  9219 PSJOAO-RS069  2   -14.7     1.9    14.8                      0.18     0.10            </t>
  </si>
  <si>
    <t xml:space="preserve">                         9999.0  9999.0  9999.0        0.0%                 10211 CERMIS-RS069  1    15.3     6.6    16.6                      0.00     0.00            </t>
  </si>
  <si>
    <t xml:space="preserve">                           50.0    53.0    53.0       10.9%                 41294 MIS--1-RS000  1    -0.7    -5.4     5.5 0.984*       002     0.00    -0.01            </t>
  </si>
  <si>
    <t xml:space="preserve">                           50.0    53.0    53.0       10.9%                 41295 MIS--2-RS000  2    -0.7    -5.4     5.4 0.984*       002     0.00    -0.01            </t>
  </si>
  <si>
    <t xml:space="preserve">                           50.0    53.0    53.0       10.8%                 41296 MIS-3--RS000  3    -0.7    -5.4     5.4 0.984*       002     0.00    -0.01            </t>
  </si>
  <si>
    <t xml:space="preserve">   2081   69  0   1.047     0.0     0.0     0.0         0.0     0.0     0.0</t>
  </si>
  <si>
    <t xml:space="preserve">  LAJEA2-RS069    -55.2     0.0     0.0     0.0         0.0     0.0     0.0                                          </t>
  </si>
  <si>
    <t xml:space="preserve">                           25.0    37.0    37.0       63.5%                  2083 LAJE2A-RS013  4    15.6     5.7    15.9 0.982*               0.00     0.91            </t>
  </si>
  <si>
    <t xml:space="preserve">                           30.0    48.0    48.0       41.6%                  9715 PERDIG-RS069  1    12.2     4.7    12.5                      0.01     0.00            </t>
  </si>
  <si>
    <t xml:space="preserve">                           84.0   101.0   101.0        7.7%                  9781 LAJEA1-RS069  1     6.8     0.9     6.5                      0.00    -0.06            </t>
  </si>
  <si>
    <t xml:space="preserve">                           84.0   101.0   101.0        7.7%                  9781 LAJEA1-RS069  2     6.8     0.9     6.5                      0.00    -0.06            </t>
  </si>
  <si>
    <t xml:space="preserve">                           67.0    81.0    81.0       89.9%                  9797 ARMEIO-RS069  1    62.0    11.7    60.2                      1.02     2.12            </t>
  </si>
  <si>
    <t xml:space="preserve">                           25.0    37.0    37.0       76.5%                 10142 LAJE2B-RS013  5    18.6     7.4    19.1 0.981*               0.00     1.32            </t>
  </si>
  <si>
    <t xml:space="preserve">                           83.0   125.0   125.0       48.1%                 41282 LAJ2-1-RS000  1   -40.5   -10.4    40.0 1.000F       002     0.03    -0.14            </t>
  </si>
  <si>
    <t xml:space="preserve">                           83.0   125.0   125.0       47.6%                 41283 LAJ2-2-RS000  2   -40.1   -10.3    39.5 1.000F       002     0.02    -0.13            </t>
  </si>
  <si>
    <t xml:space="preserve">                           83.0    83.0    83.0       49.0%                 41284 LAJ2-3-RS000  3   -41.3   -10.6    40.7 1.000F       002     0.03    -0.13            </t>
  </si>
  <si>
    <t xml:space="preserve">   2083   14  0   1.048     2.3     0.0    17.9         0.0     0.0     0.0</t>
  </si>
  <si>
    <t xml:space="preserve">  LAJE2A-RS013    -58.2     0.0     0.0     4.8         0.0     0.0     0.0                                          </t>
  </si>
  <si>
    <t xml:space="preserve">                           25.0    37.0    37.0       62.3%                  2081 LAJEA2-RS069  4   -15.6    -4.8    15.6                      0.00     0.91            </t>
  </si>
  <si>
    <t xml:space="preserve">              DESLIGADO  9999.0  9999.0  9999.0                             10142 LAJE2B-RS013  1     0.0     0.0     0.0                      0.00     0.00            </t>
  </si>
  <si>
    <t xml:space="preserve">   2084  138  0   1.018     0.0     0.0     4.0         0.0     0.0     0.0</t>
  </si>
  <si>
    <t xml:space="preserve">  PEPSI--RS138    -52.6     0.0     0.0     1.7         0.0     0.0     0.0                                          </t>
  </si>
  <si>
    <t xml:space="preserve">                          108.0   108.0   108.0       14.5%                  1219 LANSUL-RS138  1   -14.4     6.9    15.7                      0.00    -0.12            </t>
  </si>
  <si>
    <t xml:space="preserve">                          108.0   108.0   108.0       12.3%                  2090 SCHARL-RS138  1    10.4    -8.6    13.3                      0.01    -0.79            </t>
  </si>
  <si>
    <t xml:space="preserve">   2087   69  0   1.020    40.8     0.0   147.3         0.0    46.2     0.0</t>
  </si>
  <si>
    <t xml:space="preserve">  SMARI3-RS069    -51.7     0.0     0.0    52.8         0.0     0.0     0.0                                          </t>
  </si>
  <si>
    <t xml:space="preserve">                           83.0    83.0    83.0       41.3%                 41373 SMA3-1-RS000  1   -35.0    -1.9    34.3 1.000F       002     0.04    -0.12            </t>
  </si>
  <si>
    <t xml:space="preserve">                           83.0    83.0    83.0       43.0%                 41374 SMA3-5-RS000  5   -36.4    -2.7    35.7 1.000F       002     0.02    -0.09            </t>
  </si>
  <si>
    <t xml:space="preserve">                           83.0   125.0   125.0       41.6%                 41375 SMA3-2-RS000  2   -35.2    -2.0    34.5 1.000F       002     0.04    -0.14            </t>
  </si>
  <si>
    <t xml:space="preserve">   2088   69  0   1.011    18.3     0.0   101.8         0.0    36.0     0.0</t>
  </si>
  <si>
    <t xml:space="preserve">  SCRUZ1-RS069    -53.7     0.0     0.0    42.9         0.0     0.0     0.0                                          </t>
  </si>
  <si>
    <t xml:space="preserve">                           83.0    83.0    83.0       32.9%                 41365 SCR1-1-RS000  1   -27.5    -2.3    27.3 1.000F       002     0.01    -0.07            </t>
  </si>
  <si>
    <t xml:space="preserve">                           83.0   120.0   120.0       32.5%                 41366 SCR1-2-RS000  2   -27.1    -2.3    26.9 1.000F       002     0.01    -0.08            </t>
  </si>
  <si>
    <t xml:space="preserve">                           83.0    83.0    83.0       34.6%                 41367 SCR1-5-RS000  5   -28.9    -2.4    28.7 1.000F       002     0.01    -0.08            </t>
  </si>
  <si>
    <t xml:space="preserve">   2089   14  0   1.022     0.0     0.0     0.0         0.0     0.0     0.0</t>
  </si>
  <si>
    <t xml:space="preserve">  SCHARL-RS013    -53.1     0.0     0.0     0.0         0.0     0.0     0.0                                          </t>
  </si>
  <si>
    <t xml:space="preserve">                           20.0    20.0    20.0        0.0%                  2093 SCHARL-RS000  1     0.0     0.0     0.0 1.000F               0.00     0.00            </t>
  </si>
  <si>
    <t xml:space="preserve">   2090  138  0   1.020     5.1     0.0    50.0         0.0     3.7     0.0</t>
  </si>
  <si>
    <t xml:space="preserve">  SCHARL-RS138    -52.8     0.0     0.0     9.8         0.0     0.0     0.0                                          </t>
  </si>
  <si>
    <t xml:space="preserve">              DESLIGADO   137.0   175.0   175.0                              1241 EVELHA-RS138  1     0.0     0.0     0.0                      0.00     0.00            </t>
  </si>
  <si>
    <t xml:space="preserve">                          134.0   162.0   162.0       13.9%                  2076 PORTAO-RS138  1    19.0     0.8    18.7                      0.04    -0.69            </t>
  </si>
  <si>
    <t xml:space="preserve">                          108.0   108.0   108.0       11.8%                  2084 PEPSI--RS138  1   -10.4     7.8    12.8                      0.01    -0.79            </t>
  </si>
  <si>
    <t xml:space="preserve">                         9999.0  9999.0  9999.0        0.0%                  2093 SCHARL-RS000  1     2.9     1.2     3.1 0.996F               0.00     0.02            </t>
  </si>
  <si>
    <t xml:space="preserve">                          108.0   108.0   108.0       16.5%                  2099 ZOOLOG-RS138  1    11.7    14.0    17.9                      0.02    -0.51            </t>
  </si>
  <si>
    <t xml:space="preserve">                          167.0   203.0   203.0       41.3%                  9200 SLEOP2-RS138  1    67.4    20.0    68.9                      0.29     0.40            </t>
  </si>
  <si>
    <t xml:space="preserve">                          167.0   203.0   203.0       25.4%                  9215 NHAMB2-RS138  1    42.0    10.6    42.5                      0.10    -0.18            </t>
  </si>
  <si>
    <t xml:space="preserve">                          150.0   195.0   195.0       40.8%                 41360 SC2--1-RS000  1   -59.1   -20.1    61.2 1.000F       002    -0.00    -0.17            </t>
  </si>
  <si>
    <t xml:space="preserve">                          150.0   195.0   195.0       40.7%                 41361 SC2--3-RS000  3   -58.9   -20.0    61.0 1.000F       002    -0.00    -0.16            </t>
  </si>
  <si>
    <t xml:space="preserve">                          150.0   195.0   195.0       41.1%                 41362 SC2--2-RS000  2   -59.5   -20.3    61.6 1.000F       002    -0.01    -0.30            </t>
  </si>
  <si>
    <t>_x000C_CEPEL - CENTRO DE PESQUISAS DE ENERGIA ELETRICA - PROGRAMA DE ANALISE DE REDES - V11.06.02                                 PAG.   6</t>
  </si>
  <si>
    <t xml:space="preserve">   2091   69  0   0.993     0.0     0.0     2.9         0.0     0.0     0.0</t>
  </si>
  <si>
    <t xml:space="preserve">  SCHARL-RS069    -53.0     0.0     0.0     1.2         0.0     0.0     0.0                                          </t>
  </si>
  <si>
    <t xml:space="preserve">                           60.0    60.0    60.0        5.3%                  2093 SCHARL-RS000  1    -2.9    -1.2     3.2 0.972*               0.00    -0.00            </t>
  </si>
  <si>
    <t xml:space="preserve">   2092  138  0   1.009     5.2     0.0    39.9         0.0     3.7     0.0</t>
  </si>
  <si>
    <t xml:space="preserve">  PAROBE-RS138    -53.2     0.0     0.0    15.5         0.0     0.0     0.0                                          </t>
  </si>
  <si>
    <t xml:space="preserve">                          111.0   111.0   111.0       32.7%                  2094 TAQUAR-RS138  1   -34.7   -11.8    36.4                      0.11     0.03            </t>
  </si>
  <si>
    <t xml:space="preserve">   2093  991  0   1.022     0.0     0.0     0.0         0.0     0.0     0.0</t>
  </si>
  <si>
    <t xml:space="preserve">  SCHARL-RS000    -53.1     0.0     0.0     0.0         0.0     0.0     0.0                                          </t>
  </si>
  <si>
    <t xml:space="preserve">                           20.0    20.0    20.0        0.0%                  2089 SCHARL-RS013  1     0.0     0.0     0.0                      0.00     0.00            </t>
  </si>
  <si>
    <t xml:space="preserve">                         9999.0  9999.0  9999.0        0.0%                  2090 SCHARL-RS138  1    -2.9    -1.2     3.1                      0.00     0.02            </t>
  </si>
  <si>
    <t xml:space="preserve">                           60.0    60.0    60.0        5.1%                  2091 SCHARL-RS069  1     2.9     1.2     3.1                      0.00    -0.00            </t>
  </si>
  <si>
    <t xml:space="preserve">   2094  138  0   1.014     5.6     0.0    40.7         0.0     3.7     0.0</t>
  </si>
  <si>
    <t xml:space="preserve">  TAQUAR-RS138    -52.8     0.0     0.0    10.4         0.0     0.0     0.0                                          </t>
  </si>
  <si>
    <t xml:space="preserve">                           97.0   146.0   146.0       33.1%                  1290 3COROA-RS138  1    30.5    11.4    32.1                      0.15    -0.59            </t>
  </si>
  <si>
    <t xml:space="preserve">                           82.0    82.0    82.0       36.2%                  2055 SAPATR-RS138  1    27.3    12.7    29.7                      0.36    -1.36            </t>
  </si>
  <si>
    <t xml:space="preserve">                          111.0   111.0   111.0       32.7%                  2092 PAROBE-RS138  1    34.8    11.9    36.3                      0.11     0.03            </t>
  </si>
  <si>
    <t xml:space="preserve">              DESLIGADO    96.0    96.0    96.0                              9305 CACHO3-RS138  1     0.0     0.0     0.0                      0.00     0.00            </t>
  </si>
  <si>
    <t xml:space="preserve">                          134.0   162.0   162.0        9.7%                  9677 ROLANT-RS138  1    12.9     2.8    13.0                      0.05    -1.89            </t>
  </si>
  <si>
    <t xml:space="preserve">                          150.0   150.0   150.0       32.5%                 41389 TAQ--1-RS000  1   -47.0   -15.2    48.7 1.000F       002     0.03    -0.40            </t>
  </si>
  <si>
    <t xml:space="preserve">                          150.0   150.0   150.0       32.3%                 41390 TAQ--2-RS000  2   -46.7   -15.1    48.5 1.000F       002     0.03    -0.36            </t>
  </si>
  <si>
    <t xml:space="preserve">                          150.0   180.0   180.0       32.3%                 43461 TAQ--3-RS000  3   -46.7   -15.1    48.5 1.000F       002     0.03    -0.36            </t>
  </si>
  <si>
    <t xml:space="preserve">   2095   23  0   1.068     6.0     0.0    18.6         0.0     0.0     0.0</t>
  </si>
  <si>
    <t xml:space="preserve">  PFUNDO-RS023    -45.7     0.0     0.0    10.6         0.0     0.0     0.0                                          </t>
  </si>
  <si>
    <t xml:space="preserve">                           25.0    25.0    25.0       61.7%                  1042 PFUNDO-RS138  4   -12.6   -10.6    15.4                      0.00     0.83            </t>
  </si>
  <si>
    <t xml:space="preserve">   2099  138  0   1.016     2.1     0.0    42.3         0.0     3.7     0.0</t>
  </si>
  <si>
    <t xml:space="preserve">  ZOOLOG-RS138    -52.9     0.0     0.0    15.6         0.0     0.0     0.0                                          </t>
  </si>
  <si>
    <t xml:space="preserve">                          108.0   108.0   108.0       26.1%                  1227 MAXSPR-RS138  1   -28.5     2.6    28.2                      0.07    -0.65            </t>
  </si>
  <si>
    <t xml:space="preserve">                          108.0   108.0   108.0       16.9%                  2090 SCHARL-RS138  1   -11.7   -14.5    18.3                      0.02    -0.51            </t>
  </si>
  <si>
    <t xml:space="preserve">   3000  138  0   1.012     2.6     0.0    47.8         0.0     3.7     0.0</t>
  </si>
  <si>
    <t xml:space="preserve">  SAPUCA-RS138    -52.8     0.0     0.0    17.7         0.0     0.0     0.0                                          </t>
  </si>
  <si>
    <t xml:space="preserve">              DESLIGADO   108.0   158.0   158.0                              9199 STIHL--RS138  1     0.0     0.0     0.0                      0.00     0.00            </t>
  </si>
  <si>
    <t xml:space="preserve">                          108.0   158.0   158.0       43.3%                  9305 CACHO3-RS138  1   -45.2   -14.0    46.7                      0.19    -0.25            </t>
  </si>
  <si>
    <t xml:space="preserve">   3001  138  0   1.009     5.6     0.0    63.1         0.0     7.3     0.0</t>
  </si>
  <si>
    <t xml:space="preserve">  SLEOPO-RS138    -53.8     0.0     0.0    23.0         0.0     0.0     0.0                                          </t>
  </si>
  <si>
    <t xml:space="preserve">                          108.0   158.0   158.0        9.4%                  9199 STIHL--RS138  1     9.5     3.8    10.2                      0.00    -0.18            </t>
  </si>
  <si>
    <t xml:space="preserve">                          167.0   203.0   203.0       41.4%                  9200 SLEOP2-RS138  1   -67.0   -19.5    69.2                      0.10     0.13            </t>
  </si>
  <si>
    <t xml:space="preserve">   9182   69  0   1.006     0.0     0.0     0.0         0.0     0.0     0.0</t>
  </si>
  <si>
    <t xml:space="preserve">  XANGRI-RS069    -49.9     0.0     0.0     0.0         0.0     0.0     0.0                                          </t>
  </si>
  <si>
    <t xml:space="preserve">                           40.0    40.0    40.0       20.8%                  1331 ATLAN2-RS069  1     8.3    -1.3     8.3                      0.00     0.01            </t>
  </si>
  <si>
    <t xml:space="preserve">                           33.0    33.0    33.0       25.2%                 10111 XANGRI-RS034  1    -8.3     1.3     8.3 1.000C               0.01     0.27            </t>
  </si>
  <si>
    <t xml:space="preserve">   9183   35  1   1.003     8.3     0.0     0.0         0.0     0.0     0.0</t>
  </si>
  <si>
    <t xml:space="preserve">  XANGRIEOL034    -46.8    -1.1     0.0     0.0         0.0     0.0     0.0                                          </t>
  </si>
  <si>
    <t xml:space="preserve">                         9999.0  9999.0  9999.0        0.0%                 10111 XANGRI-RS034  1     8.3    -1.1     8.3                      0.02    -0.11            </t>
  </si>
  <si>
    <t xml:space="preserve">   9195   69  0   1.036     5.8     0.0     9.2         0.0     0.0     0.0</t>
  </si>
  <si>
    <t xml:space="preserve">  CERIL3-RS069    -47.8     0.1     0.0     2.4         0.0     0.0     0.0                                          </t>
  </si>
  <si>
    <t xml:space="preserve">                         9999.0  9999.0  9999.0        0.0%                  1322 IJUI2--RS069  1    -3.4    -2.3     4.0                      0.00     0.00            </t>
  </si>
  <si>
    <t xml:space="preserve">   9199  138  0   1.008     0.0     0.0     9.5         0.0     0.0     0.0</t>
  </si>
  <si>
    <t xml:space="preserve">  STIHL--RS138    -53.8     0.0     0.0     4.0         0.0     0.0     0.0                                          </t>
  </si>
  <si>
    <t xml:space="preserve">              DESLIGADO   108.0   158.0   158.0                              3000 SAPUCA-RS138  1     0.0     0.0     0.0                      0.00     0.00            </t>
  </si>
  <si>
    <t xml:space="preserve">                          108.0   158.0   158.0        9.5%                  3001 SLEOPO-RS138  1    -9.5    -4.0    10.2                      0.00    -0.18            </t>
  </si>
  <si>
    <t xml:space="preserve">   9200  138  0   1.011     0.0     0.0     0.0         0.0     0.0     0.0</t>
  </si>
  <si>
    <t xml:space="preserve">  SLEOP2-RS138    -53.5     0.0     0.0     0.0         0.0     0.0     0.0                                          </t>
  </si>
  <si>
    <t xml:space="preserve">                          167.0   203.0   203.0       41.4%                  2090 SCHARL-RS138  1   -67.1   -19.6    69.1                      0.29     0.40            </t>
  </si>
  <si>
    <t xml:space="preserve">                          167.0   203.0   203.0       41.4%                  3001 SLEOPO-RS138  1    67.1    19.6    69.1                      0.10     0.13            </t>
  </si>
  <si>
    <t xml:space="preserve">   9201   23  0   1.074     3.9     0.0    28.2         0.0     0.0     0.0</t>
  </si>
  <si>
    <t xml:space="preserve">  CBOM-A-RS023    -55.1     0.0     0.0    10.8         0.0     0.0     0.0                                          </t>
  </si>
  <si>
    <t xml:space="preserve">                           75.0    90.0    90.0       33.0%                 41235 CBOM-3-RS000  3   -24.3   -10.8    24.8 1.000F       002     0.00    -0.04            </t>
  </si>
  <si>
    <t xml:space="preserve">   9205   23  0   1.018     0.5     0.0     5.3         0.0     3.7     0.0</t>
  </si>
  <si>
    <t xml:space="preserve">  MACAMB-RS023    -48.8     0.0     0.0     0.8         0.0     0.0     0.0                                          </t>
  </si>
  <si>
    <t xml:space="preserve">                           25.0    37.0    37.0       10.8%                  1235 MACAMB-RS069  2    -2.4     1.4     2.7                      0.00     0.03            </t>
  </si>
  <si>
    <t xml:space="preserve">                           25.0    25.0    25.0       11.3%                  1235 MACAMB-RS069  8    -2.4     1.5     2.8                      0.00     0.03            </t>
  </si>
  <si>
    <t xml:space="preserve">   9206   23  0   1.010     3.1     0.0    15.0         0.0     3.7     0.0</t>
  </si>
  <si>
    <t xml:space="preserve">  SBORJA-RS023    -49.2     0.0     0.0     3.2         0.0     0.0     0.0                                          </t>
  </si>
  <si>
    <t xml:space="preserve">                           25.0    37.0    37.0       23.1%                  1253 SBORJ2-RS069  2    -5.8     0.2     5.8                      0.00     0.13            </t>
  </si>
  <si>
    <t xml:space="preserve">                           25.0    37.0    37.0       24.0%                  1253 SBORJ2-RS069  5    -6.1     0.2     6.0                      0.00     0.14            </t>
  </si>
  <si>
    <t xml:space="preserve">   9207   23  0   1.063     2.1     0.0    16.0         0.0     8.1     0.0</t>
  </si>
  <si>
    <t xml:space="preserve">  CIPA-A-RS023    -53.3     0.0     0.0     5.9         0.0     0.0     0.0                                          </t>
  </si>
  <si>
    <t xml:space="preserve">                           75.0    90.0    90.0       17.7%                 41249 CIND-1-RS000  1   -13.9     2.2    13.2 1.000F       002     0.00    -0.01            </t>
  </si>
  <si>
    <t xml:space="preserve">   9208   23  0   1.097     1.7     0.0     6.7         0.0     0.0     0.0</t>
  </si>
  <si>
    <t xml:space="preserve">  SVICEN-RS023    -53.2     0.0     0.0     2.1         0.0     0.0     0.0                                          </t>
  </si>
  <si>
    <t xml:space="preserve">                           25.0    30.0    30.0       19.8%                  1289 SVICEN-RS069  3    -5.0    -2.1     4.9                      0.01     0.09            </t>
  </si>
  <si>
    <t xml:space="preserve">   9209   23  0   1.052     1.9     0.0    17.8         0.0     0.0     0.0</t>
  </si>
  <si>
    <t xml:space="preserve">  SCHARL-RS023    -53.3     0.0     0.0     5.3         0.0     0.0     0.0                                          </t>
  </si>
  <si>
    <t xml:space="preserve">                           75.0    90.0    90.0       21.3%                 41363 SCH--5-RS000  5   -15.9    -5.3    15.9 1.000F       002     0.00    -0.02            </t>
  </si>
  <si>
    <t xml:space="preserve">   9210   14  0   1.097     1.6     0.0     9.7         0.0     0.0     0.0</t>
  </si>
  <si>
    <t xml:space="preserve">  VAIT34-RS013    -56.2     0.0     0.0     3.2         0.0     0.0     0.0                                          </t>
  </si>
  <si>
    <t xml:space="preserve">                           25.0    30.0    30.0       31.8%                  1298 VENAIR-RS069  1    -8.1    -3.2     7.9                      0.01     0.23            </t>
  </si>
  <si>
    <t xml:space="preserve">   9211   14  0   1.111     2.8     0.0    14.6         0.0     0.0     0.0</t>
  </si>
  <si>
    <t xml:space="preserve">  VAIRT5-RS013    -56.7     0.0     0.0     4.9         0.0     0.0     0.0                                          </t>
  </si>
  <si>
    <t xml:space="preserve">                           25.0    37.0    37.0       46.0%                  1298 VENAIR-RS069  1   -11.8    -4.9    11.5                      0.02     0.49            </t>
  </si>
  <si>
    <t xml:space="preserve">   9214  138  0   1.015     3.8     0.0    47.9         0.0     3.7     0.0</t>
  </si>
  <si>
    <t xml:space="preserve">  CANOA3-RS138    -52.5     0.0     0.0    26.4         0.0     0.0     0.0                                          </t>
  </si>
  <si>
    <t xml:space="preserve">                          143.0   167.0   167.0       34.2%                  1257 CINPAL-RS138  1   -44.1   -22.7    48.9                      0.07    -0.04            </t>
  </si>
  <si>
    <t xml:space="preserve">              DESLIGADO   108.0   108.0   108.0                              9305 CACHO3-RS138  1     0.0     0.0     0.0                      0.00     0.00            </t>
  </si>
  <si>
    <t xml:space="preserve">   9215  138  0   1.015     4.7     0.0    46.6         0.0     5.6     0.0</t>
  </si>
  <si>
    <t xml:space="preserve">  NHAMB2-RS138    -53.2     0.0     0.0    16.3         0.0     0.0     0.0                                          </t>
  </si>
  <si>
    <t xml:space="preserve">                          167.0   203.0   203.0       25.5%                  2090 SCHARL-RS138  1   -41.9   -10.7    42.6                      0.10    -0.18            </t>
  </si>
  <si>
    <t xml:space="preserve">   9216   23  0   1.083     3.0     0.0    24.9         0.0     8.4     0.0</t>
  </si>
  <si>
    <t xml:space="preserve">  CBOM-B-RS023    -54.8     0.0     0.0    10.3         0.0     0.0     0.0                                          </t>
  </si>
  <si>
    <t xml:space="preserve">                           75.0    90.0    90.0       27.1%                 41236 CBOM-6-RS000  6   -21.9    -1.9    20.3 1.000F       002     0.00    -0.03            </t>
  </si>
  <si>
    <t xml:space="preserve">   9217   23  0   1.093     3.2     0.0    26.6         0.0     8.6     0.0</t>
  </si>
  <si>
    <t xml:space="preserve">  CIPA-B-RS023    -54.8     0.0     0.0    11.0         0.0     0.0     0.0                                          </t>
  </si>
  <si>
    <t xml:space="preserve">                           75.0    90.0    90.0       28.7%                 41251 CIND-2-RS000  2   -23.4    -2.4    21.5 1.000F       002     0.00    -0.03            </t>
  </si>
  <si>
    <t xml:space="preserve">   9218  992  1   0.989    35.0     0.0     0.0         0.0     0.0     0.0</t>
  </si>
  <si>
    <t xml:space="preserve">  PSJOAOUHE001    -36.1     2.5     0.0     0.0         0.0     0.0     0.0                                          </t>
  </si>
  <si>
    <t xml:space="preserve">                          160.0   160.0   160.0       22.2%                  9219 PSJOAO-RS069  1    35.0     2.5    35.5                      0.00     3.45            </t>
  </si>
  <si>
    <t xml:space="preserve">   9219   69  0   1.012     0.0     0.0     0.0         0.0     0.0     0.0</t>
  </si>
  <si>
    <t xml:space="preserve">  PSJOAO-RS069    -41.8     0.0     0.0     0.0         0.0     0.0     0.0                                          </t>
  </si>
  <si>
    <t xml:space="preserve">                           87.0    87.0    87.0       17.0%                  2079 MISSOE-RS069  1    14.9    -1.8    14.8                      0.18     0.10            </t>
  </si>
  <si>
    <t xml:space="preserve">                           87.0    87.0    87.0       17.0%                  2079 MISSOE-RS069  2    14.9    -1.8    14.8                      0.18     0.10            </t>
  </si>
  <si>
    <t xml:space="preserve">                          160.0   160.0   160.0       21.6%                  9218 PSJOAOUHE001  1   -35.0     0.9    34.6 1.025F               0.00     3.45            </t>
  </si>
  <si>
    <t xml:space="preserve">                         9999.0  9999.0  9999.0        0.0%                  9917 ROQGON-RS069  1     5.2     2.6     5.7                      0.00     0.00            </t>
  </si>
  <si>
    <t xml:space="preserve">   9220  992  1   1.001    23.0     0.0     0.0         0.0     0.0     0.0</t>
  </si>
  <si>
    <t xml:space="preserve">  SJOSE-UHE001    -40.0     8.5     0.0     0.0         0.0     0.0     0.0                                          </t>
  </si>
  <si>
    <t xml:space="preserve">                          134.0   134.0   134.0       18.3%                  9221 SJOSE--RS069  1    23.0     8.5    24.5                      0.00     2.60            </t>
  </si>
  <si>
    <t xml:space="preserve">   9221   69  0   1.018     0.0     0.0     0.0         0.0     0.0     0.0</t>
  </si>
  <si>
    <t xml:space="preserve">  SJOSE--RS069    -45.8     0.0     0.0     0.0         0.0     0.0     0.0                                          </t>
  </si>
  <si>
    <t xml:space="preserve">                          134.0   134.0   134.0       17.4%                  9220 SJOSE-UHE001  1   -23.0    -5.9    23.3 1.050F               0.00     2.60            </t>
  </si>
  <si>
    <t xml:space="preserve">                           82.0    82.0    82.0       28.4%                  9261 CLARGO-RS069  1    23.0     5.9    23.3                      0.17     0.46            </t>
  </si>
  <si>
    <t xml:space="preserve">   9222  992  1   1.018     4.0     0.0     0.0         0.0     0.0     0.0</t>
  </si>
  <si>
    <t xml:space="preserve">  KOTZIAPCH006    -45.7    -1.2     0.0     0.0         0.0     0.0     0.0                                          </t>
  </si>
  <si>
    <t xml:space="preserve">                           15.0    15.0    15.0       27.3%                  9223 KOTZIA-RS138  1     4.0    -1.2     4.1 1.000F               0.00     0.09            </t>
  </si>
  <si>
    <t xml:space="preserve">   9223  138  0   1.024     0.0     0.0     0.0         0.0     0.0     0.0</t>
  </si>
  <si>
    <t xml:space="preserve">  KOTZIA-RS138    -46.9     0.0     0.0     0.0         0.0     0.0     0.0                                          </t>
  </si>
  <si>
    <t xml:space="preserve">                           91.0    91.0    91.0       10.1%                  1216 JACUI--RS138  1     9.1    -2.3     9.2                      0.02    -0.66            </t>
  </si>
  <si>
    <t xml:space="preserve">                           15.0    15.0    15.0       27.3%                  9222 KOTZIAPCH006  1    -4.0     1.3     4.1                      0.00     0.09            </t>
  </si>
  <si>
    <t xml:space="preserve">                           91.0    91.0    91.0        5.6%                  9225 DREHER-RS138  1    -5.1     1.0     5.1                      0.00    -0.32            </t>
  </si>
  <si>
    <t xml:space="preserve">   9224  992  1   1.020     5.1     0.0     0.0         0.0     0.0     0.0</t>
  </si>
  <si>
    <t xml:space="preserve">  DREHERPCH006    -45.9    -1.3     0.0     0.0         0.0     0.0     0.0                                          </t>
  </si>
  <si>
    <t xml:space="preserve">                           23.0    23.0    23.0       22.4%                  9225 DREHER-RS138  1     5.1    -1.3     5.1 1.000F               0.00     0.09            </t>
  </si>
  <si>
    <t xml:space="preserve">   9225  138  0   1.024     0.0     0.0     0.0         0.0     0.0     0.0</t>
  </si>
  <si>
    <t xml:space="preserve">  DREHER-RS138    -46.8     0.0     0.0     0.0         0.0     0.0     0.0                                          </t>
  </si>
  <si>
    <t xml:space="preserve">                           91.0    91.0    91.0        5.7%                  9223 KOTZIA-RS138  1     5.1    -1.3     5.1                      0.00    -0.32            </t>
  </si>
  <si>
    <t xml:space="preserve">                           23.0    23.0    23.0       22.4%                  9224 DREHERPCH006  1    -5.1     1.3     5.1                      0.00     0.09            </t>
  </si>
  <si>
    <t>_x000C_CEPEL - CENTRO DE PESQUISAS DE ENERGIA ELETRICA - PROGRAMA DE ANALISE DE REDES - V11.06.02                                 PAG.   7</t>
  </si>
  <si>
    <t xml:space="preserve">   9226   69  0   1.014     0.0     0.0     9.5         0.0     0.0     0.0</t>
  </si>
  <si>
    <t xml:space="preserve">  GKNPAL-RS069    -54.7     0.0     0.0     4.0         0.0     0.0     0.0                                          </t>
  </si>
  <si>
    <t xml:space="preserve">                           80.0    95.0    95.0       62.8%                  1271 PALGR8-RS069  1   -50.4    -7.5    50.2                      0.04     0.13            </t>
  </si>
  <si>
    <t xml:space="preserve">                           84.0   101.0   101.0       48.2%                  9256 PALE20-RS069  1    40.9     3.5    40.5                      0.07     0.21            </t>
  </si>
  <si>
    <t xml:space="preserve">   9227   69  0   1.000     0.0     0.0     8.3         0.0     0.0     0.0</t>
  </si>
  <si>
    <t xml:space="preserve">  BRPALE-RS069    -57.3     0.0     0.0     2.7         0.0     0.0     0.0                                          </t>
  </si>
  <si>
    <t xml:space="preserve">                           69.0    88.0    88.0       12.7%                  9553 BRPALETAP069  1    -8.3    -2.7     8.7                      0.01    -0.00            </t>
  </si>
  <si>
    <t xml:space="preserve">   9228   69  0   1.001     0.0     0.0     2.5         0.0     0.0     0.0</t>
  </si>
  <si>
    <t xml:space="preserve">  LATPAL-RS069    -57.2     0.0     0.0     1.1         0.0     0.0     0.0                                          </t>
  </si>
  <si>
    <t xml:space="preserve">                           67.0    81.0    81.0        4.1%                  9553 BRPALETAP069  1    -2.5    -1.1     2.7                      0.00    -0.00            </t>
  </si>
  <si>
    <t xml:space="preserve">   9229   69  0   1.012     0.0     0.0     3.0         0.0     0.0     0.0</t>
  </si>
  <si>
    <t xml:space="preserve">  MNAPA--RS069    -54.9     0.0     0.0     1.3         0.0     0.0     0.0                                          </t>
  </si>
  <si>
    <t xml:space="preserve">                           54.0    79.0    79.0        6.0%                  9555 MNAPALTAP069  1    -3.0    -1.3     3.2                      0.00    -0.01            </t>
  </si>
  <si>
    <t xml:space="preserve">   9230   69  0   1.012     0.0     0.0     0.0         0.0     0.0     0.0</t>
  </si>
  <si>
    <t xml:space="preserve">  GERPGR-RS069    -54.8     0.0     0.0     0.0         0.0     0.0     0.0                                          </t>
  </si>
  <si>
    <t xml:space="preserve">                           54.0    79.0    79.0        0.0%                  9555 MNAPALTAP069  1    -0.0    -0.0     0.0                      0.00    -0.01            </t>
  </si>
  <si>
    <t xml:space="preserve">   9231   69  0   1.013     0.0     0.0     4.4         0.0     0.0     0.0</t>
  </si>
  <si>
    <t xml:space="preserve">  FRPPGR-RS069    -54.8     0.0     0.0     1.9         0.0     0.0     0.0                                          </t>
  </si>
  <si>
    <t xml:space="preserve">                           54.0    79.0    79.0        8.8%                  9556 FRPPALTAP069  1    -4.4    -1.9     4.7                      0.00    -0.00            </t>
  </si>
  <si>
    <t xml:space="preserve">   9232   69  0   1.014     1.3     0.0    23.3         0.0     7.4     0.0</t>
  </si>
  <si>
    <t xml:space="preserve">  ALVORA-RS069    -56.5     0.0     0.0     7.2         0.0     0.0     0.0                                          </t>
  </si>
  <si>
    <t xml:space="preserve">                           54.0    79.0    79.0       40.2%                  1209 GRAVA2-RS069  1   -22.0     0.3    21.7                      0.22     0.63            </t>
  </si>
  <si>
    <t xml:space="preserve">              DESLIGADO    54.0    79.0    79.0                              9264 VIAMA3-RS069  1     0.0    -0.1     0.1                      0.00    -0.06 1.014 -56.5</t>
  </si>
  <si>
    <t xml:space="preserve">   9233   69  0   1.007     3.0     0.0    55.2         0.0     7.3     0.0</t>
  </si>
  <si>
    <t xml:space="preserve">  VIAMA1-RS069    -56.2     0.0     0.0    17.6         0.0     0.0     0.0                                          </t>
  </si>
  <si>
    <t xml:space="preserve">                           54.0    79.0    79.0       97.8%                  9264 VIAMA3-RS069  1   -52.2   -10.3    52.8                      0.32     1.26            </t>
  </si>
  <si>
    <t xml:space="preserve">              DESLIGADO    54.0    79.0    79.0                              9552 ACLARATAP069  1     0.0     0.0     0.0                      0.00     0.00            </t>
  </si>
  <si>
    <t xml:space="preserve">   9234   69  0   1.012     1.0     0.0    25.1         0.0     3.7     0.0</t>
  </si>
  <si>
    <t xml:space="preserve">  PALE1A-RS069    -54.5     0.0     0.0     8.1         0.0     0.0     0.0                                          </t>
  </si>
  <si>
    <t xml:space="preserve">                           90.0    90.0    90.0       26.9%                  9962 PALEG1-RS069  1   -24.1    -4.4    24.2                      0.00     0.00            </t>
  </si>
  <si>
    <t xml:space="preserve">   9235   69  0   1.012     0.4     0.0    25.5         0.0     7.4     0.0</t>
  </si>
  <si>
    <t xml:space="preserve">  PALE1B-RS069    -54.5     0.0     0.0     7.2         0.0     0.0     0.0                                          </t>
  </si>
  <si>
    <t xml:space="preserve">                           90.0    90.0    90.0       27.6%                  9962 PALEG1-RS069  1   -25.1     0.2    24.8                      0.00     0.00            </t>
  </si>
  <si>
    <t xml:space="preserve">   9236   69  0   1.012     1.3     0.0    40.4         0.0     3.7     0.0</t>
  </si>
  <si>
    <t xml:space="preserve">  PALEG2-RS069    -54.9     0.0     0.0     9.2         0.0     0.0     0.0                                          </t>
  </si>
  <si>
    <t xml:space="preserve">                           54.0    79.0    79.0       29.0%                  1266 PALGR9-RS069  1   -14.7    -5.8    15.7                      0.03     0.02            </t>
  </si>
  <si>
    <t xml:space="preserve">                           52.0    76.0    76.0       25.0%                  9554 GERPALTAP069  1   -12.2     4.9    13.0                      0.00    -0.00            </t>
  </si>
  <si>
    <t xml:space="preserve">                           52.0    76.0    76.0       24.7%                  9556 FRPPALTAP069  1   -12.2    -4.6    12.9                      0.01    -0.00            </t>
  </si>
  <si>
    <t xml:space="preserve">   9237   69  0   1.013     0.7     0.0    16.9         0.0     0.0     0.0</t>
  </si>
  <si>
    <t xml:space="preserve">  PALE17-RS069    -54.7     0.0     0.0     5.5         0.0     0.0     0.0                                          </t>
  </si>
  <si>
    <t xml:space="preserve">                           99.0   120.0   100.0       17.1%                  1271 PALGR8-RS069  1   -16.2    -5.5    16.9                      0.02     0.04            </t>
  </si>
  <si>
    <t xml:space="preserve">   9238   69  0   1.020     1.0     0.0    47.7         0.0    22.5     0.0</t>
  </si>
  <si>
    <t xml:space="preserve">  PALEG7-RS069    -55.6     0.0     0.0    13.4         0.0     0.0     0.0                                          </t>
  </si>
  <si>
    <t xml:space="preserve">                           90.0    90.0    90.0       25.9%                  1266 PALGR9-RS069  1   -23.4     4.5    23.3                      0.06    -6.68            </t>
  </si>
  <si>
    <t xml:space="preserve">                           90.0    90.0    90.0       25.9%                  1266 PALGR9-RS069  2   -23.4     4.5    23.3                      0.06    -6.68            </t>
  </si>
  <si>
    <t xml:space="preserve">   9241   23  0   1.051     1.1     0.0    13.9         0.0     4.0     0.0</t>
  </si>
  <si>
    <t xml:space="preserve">  ELDORA-RS023    -53.4     0.0     0.0     4.7         0.0     0.0     0.0                                          </t>
  </si>
  <si>
    <t xml:space="preserve">                           75.0    90.0    90.0       16.3%                 41257 ELDO-1-RS000  1   -12.8    -0.7    12.2 1.000F       002     0.00    -0.01            </t>
  </si>
  <si>
    <t xml:space="preserve">   9242   69  0   1.011     3.4     0.0    22.8         0.0     0.0     0.0</t>
  </si>
  <si>
    <t xml:space="preserve">  PMEDIC-RS069    -53.5     0.0     0.0     9.7         0.0     0.0     0.0                                          </t>
  </si>
  <si>
    <t xml:space="preserve">                           42.0    42.0    42.0       51.1%                  1238 PMEDIC-RS138  9   -19.4    -9.7    21.5              004     0.08     1.56            </t>
  </si>
  <si>
    <t xml:space="preserve">   9243   14  0   1.051     0.0     0.0    14.9         0.0     0.0     0.0</t>
  </si>
  <si>
    <t xml:space="preserve">  PALE4A-RS013    -54.5     0.0     0.0     3.9         0.0     0.0     0.0                                          </t>
  </si>
  <si>
    <t xml:space="preserve">                           75.0    90.0    90.0       19.5%                 41315 PAL4-A-RS000  1   -14.9    -3.9    14.7 1.000F       002     0.00    -0.01            </t>
  </si>
  <si>
    <t xml:space="preserve">   9244   14  0   1.058     0.8     0.0    13.1         0.0     8.1     0.0</t>
  </si>
  <si>
    <t xml:space="preserve">  PALEG6-RS013    -54.0     0.0     0.0     3.7         0.0     0.0     0.0                                          </t>
  </si>
  <si>
    <t xml:space="preserve">                           75.0    90.0    90.0       16.4%                 41318 PAL6-6-RS000  6   -12.3     4.4    12.3 1.000F       002     0.00    -0.01            </t>
  </si>
  <si>
    <t xml:space="preserve">   9245   14  0   1.040     0.1     0.0    10.3         0.0     3.9     0.0</t>
  </si>
  <si>
    <t xml:space="preserve">  PALE10-RS013    -53.2     0.0     0.0     2.9         0.0     0.0     0.0                                          </t>
  </si>
  <si>
    <t xml:space="preserve">                           50.0    75.0    75.0       19.7%                 41309 PA10-3-RS000  3   -10.2     1.0     9.9 1.000F       002     0.00    -0.02            </t>
  </si>
  <si>
    <t xml:space="preserve">   9247   69  0   1.016     3.1     0.0    66.0         0.0    14.9     0.0</t>
  </si>
  <si>
    <t xml:space="preserve">  PAL12--RS069    -54.9     0.0     0.0    19.6         0.0     0.0     0.0                                          </t>
  </si>
  <si>
    <t xml:space="preserve">                           84.0   101.0   101.0       73.9%                 10007 JBOTAN-RS069  1   -62.9    -4.7    62.1                      0.00     0.01            </t>
  </si>
  <si>
    <t xml:space="preserve">   9248   69  0   1.016     0.0     0.0     0.0         0.0     0.0     0.0</t>
  </si>
  <si>
    <t xml:space="preserve">  P12-2Y-RS069    -54.9     0.0     0.0     0.0         0.0     0.0     0.0                                          </t>
  </si>
  <si>
    <t xml:space="preserve">                           52.0    76.0    76.0       20.4%                  1269 PALG10-RS069  1    10.8    -0.0    10.6                      0.01    -0.15            </t>
  </si>
  <si>
    <t xml:space="preserve">                           84.0   101.0   101.0       12.7%                 10007 JBOTAN-RS069  1   -10.8     0.0    10.6                      0.01    -0.07            </t>
  </si>
  <si>
    <t xml:space="preserve">   9249   69  0   1.016     0.0     0.0     0.0         0.0     0.0     0.0</t>
  </si>
  <si>
    <t xml:space="preserve">  P12-1Y-RS069    -54.8     0.0     0.0     0.0         0.0     0.0     0.0                                          </t>
  </si>
  <si>
    <t xml:space="preserve">                           54.0    79.0    79.0       18.5%                  1262 PALGR6-RS069  1    -9.9     2.1    10.0                      0.01    -0.14            </t>
  </si>
  <si>
    <t xml:space="preserve">                           84.0   101.0   101.0       11.9%                 10007 JBOTAN-RS069  1     9.9    -2.1    10.0                      0.00    -0.07            </t>
  </si>
  <si>
    <t xml:space="preserve">   9250   23  0   1.061     5.4     0.0    29.8         0.0     4.1     0.0</t>
  </si>
  <si>
    <t xml:space="preserve">  SAPATR-RS023    -58.7     0.0     0.0    14.5         0.0     0.0     0.0                                          </t>
  </si>
  <si>
    <t xml:space="preserve">                           25.0    25.0    25.0 SUP  100.1%                  2055 SAPATR-RS138  1   -24.4   -10.4    25.0                      0.00     2.50            </t>
  </si>
  <si>
    <t xml:space="preserve">   9251   14  0   1.078     0.1     0.0    23.8         0.0     0.0     0.0</t>
  </si>
  <si>
    <t xml:space="preserve">  PALE4B-RS013    -56.0     0.0     0.0     6.1         0.0     0.0     0.0                                          </t>
  </si>
  <si>
    <t xml:space="preserve">                           75.0    90.0    90.0       30.3%                 41316 PAL4-B-RS000  2   -23.7    -6.1    22.7 1.000F       002     0.00    -0.03            </t>
  </si>
  <si>
    <t xml:space="preserve">   9252   14  0   1.080     0.5     0.0    22.1         0.0    18.2     0.0</t>
  </si>
  <si>
    <t xml:space="preserve">  PALE4C-RS013    -56.0     0.0     0.0     4.3         0.0     0.0     0.0                                          </t>
  </si>
  <si>
    <t xml:space="preserve">                           75.0    90.0    90.0       31.7%                 41317 PAL4-C-RS000  3   -21.6    13.9    23.8 1.000F       002     0.00    -0.04            </t>
  </si>
  <si>
    <t xml:space="preserve">   9253   14  0   1.105     0.4     0.0    26.4         0.0     8.8     0.0</t>
  </si>
  <si>
    <t xml:space="preserve">  PALE4D-RS013    -56.4     0.0     0.0     4.1         0.0     0.0     0.0                                          </t>
  </si>
  <si>
    <t xml:space="preserve">                           75.0    90.0    90.0       31.9%                 41321 PAL4-D-RS000  4   -26.0     4.7    23.9 1.000F       002     0.00    -0.04            </t>
  </si>
  <si>
    <t xml:space="preserve">   9254   14  0   1.085     0.2     0.0    21.3         0.0     8.5     0.0</t>
  </si>
  <si>
    <t xml:space="preserve">  PALE4E-RS013    -55.7     0.0     0.0     4.8         0.0     0.0     0.0                                          </t>
  </si>
  <si>
    <t xml:space="preserve">                           75.0    90.0    90.0       26.3%                 41322 PAL4-E-RS000  6   -21.1     3.7    19.7 1.000F       002     0.00    -0.03            </t>
  </si>
  <si>
    <t xml:space="preserve">   9255   69  0   1.012     0.6     0.0    21.2         0.0     7.4     0.0</t>
  </si>
  <si>
    <t xml:space="preserve">  FLORES-RS069    -54.6     0.0     0.0     5.1         0.0     0.0     0.0                                          </t>
  </si>
  <si>
    <t xml:space="preserve">                          100.0   100.0   100.0       20.5%                  9962 PALEG1-RS069  1   -20.6     2.3    20.5                      0.01    -1.30            </t>
  </si>
  <si>
    <t xml:space="preserve">   9256   69  0   1.012     0.8     0.0    36.1         0.0     7.4     0.0</t>
  </si>
  <si>
    <t xml:space="preserve">  PALE20-RS069    -55.0     0.0     0.0     8.5         0.0     0.0     0.0                                          </t>
  </si>
  <si>
    <t xml:space="preserve">                           84.0   101.0   101.0       48.2%                  9226 GKNPAL-RS069  1   -40.8    -3.3    40.5                      0.07     0.21            </t>
  </si>
  <si>
    <t xml:space="preserve">                           80.0    95.0    95.0        7.3%                 10240 FRAPOR-RS069  1     5.5     2.1     5.8                      0.00    -0.05            </t>
  </si>
  <si>
    <t xml:space="preserve">   9257   69  0   1.009     1.0     0.0    29.3         0.0     7.3     0.0</t>
  </si>
  <si>
    <t xml:space="preserve">  MENDEU-RS069    -55.9     0.0     0.0    10.7         0.0     0.0     0.0                                          </t>
  </si>
  <si>
    <t xml:space="preserve">                           80.0    95.0    95.0       35.3%                 10024 HOSCLI-RS069  1   -28.3    -3.4    28.2                      0.09    -1.68            </t>
  </si>
  <si>
    <t xml:space="preserve">   9258   69  0   1.018     1.1     0.0    24.2         0.0     7.5     0.0</t>
  </si>
  <si>
    <t xml:space="preserve">  ALVOR2-RS069    -55.5     0.0     0.0     6.4         0.0     0.0     0.0                                          </t>
  </si>
  <si>
    <t xml:space="preserve">                           54.0    79.0    79.0       21.4%                  1209 GRAVA2-RS069  1   -11.7    -0.9    11.6                      0.06    -0.49            </t>
  </si>
  <si>
    <t xml:space="preserve">                           54.0    79.0    79.0       21.0%                  9264 VIAMA3-RS069  1   -11.4     2.0    11.3                      0.03    -0.24            </t>
  </si>
  <si>
    <t xml:space="preserve">   9260   14  0   1.099     0.8     0.0    30.4         0.0     4.3     0.0</t>
  </si>
  <si>
    <t xml:space="preserve">  PAL13B-RS013    -57.0     0.0     0.0    10.0         0.0     0.0     0.0                                          </t>
  </si>
  <si>
    <t xml:space="preserve">                           75.0    90.0    90.0       36.6%                 41314 PA13-2-RS000  2   -29.6    -5.7    27.4 1.000F       002     0.00    -0.05            </t>
  </si>
  <si>
    <t xml:space="preserve">   9261   69  0   1.004     5.0     0.0    25.3         0.0     0.0     0.0</t>
  </si>
  <si>
    <t xml:space="preserve">  CLARGO-RS069    -47.4     0.0     0.0     8.0         0.0     0.0     0.0                                          </t>
  </si>
  <si>
    <t xml:space="preserve">                           48.0    71.0    71.0        7.5%                  1282 SROSA--RS069  1     2.5    -2.6     3.6                      0.02    -0.64            </t>
  </si>
  <si>
    <t xml:space="preserve">                           82.0    82.0    82.0       28.5%                  9221 SJOSE--RS069  1   -22.8    -5.4    23.4                      0.17     0.46            </t>
  </si>
  <si>
    <t xml:space="preserve">   9264   69  0   1.018     0.0     0.0     0.0         0.0     0.0     0.0</t>
  </si>
  <si>
    <t xml:space="preserve">  VIAMA3-RS069    -54.8     0.0     0.0     0.0         0.0     0.0     0.0                                          </t>
  </si>
  <si>
    <t xml:space="preserve">              DESLIGADO    54.0    79.0    79.0                              9232 ALVORA-RS069  1     0.0     0.0     0.0                      0.00     0.00            </t>
  </si>
  <si>
    <t xml:space="preserve">                           54.0    79.0    79.0       97.8%                  9233 VIAMA1-RS069  1    52.5    11.6    52.8                      0.32     1.26            </t>
  </si>
  <si>
    <t xml:space="preserve">                           54.0    79.0    79.0       21.1%                  9258 ALVOR2-RS069  1    11.4    -2.2    11.4                      0.03    -0.24            </t>
  </si>
  <si>
    <t xml:space="preserve">                           54.0    79.0    79.0       30.7%                  9269 PALE16-RS069  1    16.1     5.2    16.6                      0.06    -0.09            </t>
  </si>
  <si>
    <t xml:space="preserve">                           54.0    79.0    79.0       49.5%                  9270 VIAMO2-RS069  1    26.7     5.4    26.7                      0.06     0.20            </t>
  </si>
  <si>
    <t xml:space="preserve">                           54.0    79.0    79.0       29.7%                  9552 ACLARATAP069  1    16.2     1.9    16.0                      0.02    -0.04            </t>
  </si>
  <si>
    <t xml:space="preserve">                           83.0   100.0   100.0       49.3%                 41404 VIA3-1-RS000  1   -41.0    -7.3    40.9 1.000F       002     0.03    -0.16            </t>
  </si>
  <si>
    <t xml:space="preserve">                           83.0   100.0   100.0       49.0%                 41405 VIA3-2-RS000  2   -40.7    -7.2    40.6 1.000F       002     0.03    -0.15            </t>
  </si>
  <si>
    <t xml:space="preserve">                           83.0   100.0   100.0       49.4%                 41406 VIA3-3-RS000  3   -41.1    -7.3    41.0 1.000F       002     0.03    -0.16            </t>
  </si>
  <si>
    <t xml:space="preserve">   9266   69  0   1.009     2.0     0.0    45.8         0.0    11.0     0.0</t>
  </si>
  <si>
    <t xml:space="preserve">  PALEG3-RS069    -55.8     0.0     0.0    14.5         0.0     0.0     0.0                                          </t>
  </si>
  <si>
    <t xml:space="preserve">                           80.0    95.0    95.0       54.4%                  1269 PALG10-RS069  1   -43.8    -3.5    43.5                      0.18     0.46            </t>
  </si>
  <si>
    <t>_x000C_CEPEL - CENTRO DE PESQUISAS DE ENERGIA ELETRICA - PROGRAMA DE ANALISE DE REDES - V11.06.02                                 PAG.   8</t>
  </si>
  <si>
    <t xml:space="preserve">   9267   69  0   1.016     0.4     0.0    38.6         0.0    14.9     0.0</t>
  </si>
  <si>
    <t xml:space="preserve">  PALEG5-RS069    -55.2     0.0     0.0     9.9         0.0     0.0     0.0                                          </t>
  </si>
  <si>
    <t xml:space="preserve">                          100.0   100.0   100.0       37.9%                 10007 JBOTAN-RS069  1   -38.2     5.0    37.9                      0.04    -2.09            </t>
  </si>
  <si>
    <t xml:space="preserve">   9268   69  0   1.010     2.9     0.0    40.7         0.0    14.7     0.0</t>
  </si>
  <si>
    <t xml:space="preserve">  PALE14-RS069    -55.9     0.0     0.0    12.4         0.0     0.0     0.0                                          </t>
  </si>
  <si>
    <t xml:space="preserve">                           54.0    79.0    79.0       69.4%                  9303 RESTIN-RS069  1   -37.8     2.3    37.5                      0.18     0.53            </t>
  </si>
  <si>
    <t xml:space="preserve">   9269   69  0   1.011     1.0     0.0    34.1         0.0     7.4     0.0</t>
  </si>
  <si>
    <t xml:space="preserve">  PALE16-RS069    -55.5     0.0     0.0    13.8         0.0     0.0     0.0                                          </t>
  </si>
  <si>
    <t xml:space="preserve">                           54.0    79.0    79.0       30.9%                  9264 VIAMA3-RS069  1   -16.0    -5.3    16.7                      0.06    -0.09            </t>
  </si>
  <si>
    <t xml:space="preserve">                           84.0   101.0   101.0       20.2%                  9967 PA16-2TAP069  1   -17.1    -1.2    16.9                      0.03     0.06            </t>
  </si>
  <si>
    <t xml:space="preserve">   9270   69  0   1.014     1.9     0.0    28.5         0.0     7.4     0.0</t>
  </si>
  <si>
    <t xml:space="preserve">  VIAMO2-RS069    -55.3     0.0     0.0    12.7         0.0     0.0     0.0                                          </t>
  </si>
  <si>
    <t xml:space="preserve">              DESLIGADO    54.0    79.0    79.0                              1262 PALGR6-RS069  1     0.0    -0.1     0.1                      0.00    -0.09 1.014 -55.3</t>
  </si>
  <si>
    <t xml:space="preserve">                           54.0    79.0    79.0       49.5%                  9264 VIAMA3-RS069  1   -26.6    -5.2    26.7                      0.06     0.20            </t>
  </si>
  <si>
    <t xml:space="preserve">   9271   69  0   1.004     2.6     0.0    28.9         0.0     7.3     0.0</t>
  </si>
  <si>
    <t xml:space="preserve">  PALE15-RS069    -56.6     0.0     0.0     8.7         0.0     0.0     0.0                                          </t>
  </si>
  <si>
    <t xml:space="preserve">                           84.0   101.0   101.0       31.2%                  9272 PALE15TAP069  1   -26.3    -1.4    26.2                      0.14     0.34            </t>
  </si>
  <si>
    <t xml:space="preserve">   9272   69  0   1.010     0.0     0.0     0.0         0.0     0.0     0.0</t>
  </si>
  <si>
    <t xml:space="preserve">  PALE15TAP069    -55.6     0.0     0.0     0.0         0.0     0.0     0.0                                          </t>
  </si>
  <si>
    <t xml:space="preserve">                           84.0   101.0   101.0       31.2%                  9271 PALE15-RS069  1    26.4     1.8    26.2                      0.14     0.34            </t>
  </si>
  <si>
    <t xml:space="preserve">                           54.0    79.0    79.0       48.6%                  9303 RESTIN-RS069  1   -26.4    -1.8    26.2                      0.09     0.22            </t>
  </si>
  <si>
    <t xml:space="preserve">   9273   69  0   1.017     0.0     0.0     0.0         0.0     0.0     0.0</t>
  </si>
  <si>
    <t xml:space="preserve">  VONPA1TAP069    -54.5     0.0     0.0     0.0         0.0     0.0     0.0                                          </t>
  </si>
  <si>
    <t xml:space="preserve">                           48.0    71.0    71.0       16.3%                  1209 GRAVA2-RS069  1    -6.3    -4.8     7.8                      0.02    -0.13            </t>
  </si>
  <si>
    <t xml:space="preserve">                           48.0    71.0    71.0        6.0%                  1271 PALGR8-RS069  1     1.1     2.7     2.9                      0.00    -0.10            </t>
  </si>
  <si>
    <t xml:space="preserve">                           75.0    90.0    90.0        7.4%                  9274 VONPA1-RS069  1     5.2     2.2     5.5                      0.00    -0.04            </t>
  </si>
  <si>
    <t xml:space="preserve">   9274   69  0   1.017     0.0     0.0     5.2         0.0     0.0     0.0</t>
  </si>
  <si>
    <t xml:space="preserve">  VONPA1-RS069    -54.5     0.0     0.0     2.2         0.0     0.0     0.0                                          </t>
  </si>
  <si>
    <t xml:space="preserve">                           75.0    90.0    90.0        7.4%                  9273 VONPA1TAP069  1    -5.2    -2.2     5.6                      0.00    -0.04            </t>
  </si>
  <si>
    <t xml:space="preserve">   9275   69  0   1.002     0.4     0.0     5.6         0.0     3.6     0.0</t>
  </si>
  <si>
    <t xml:space="preserve">  AGUCLA-RS069    -57.2     0.0     0.0     1.6         0.0     0.0     0.0                                          </t>
  </si>
  <si>
    <t xml:space="preserve">                           84.0   101.0   101.0       19.1%                  9552 ACLARATAP069  1   -16.0    -1.8    16.1                      0.16     0.25            </t>
  </si>
  <si>
    <t xml:space="preserve">                           69.0    88.0    88.0       16.6%                  9553 BRPALETAP069  1    10.8     3.8    11.4                      0.01     0.00            </t>
  </si>
  <si>
    <t xml:space="preserve">   9276   69  0   1.014     1.9     0.0    23.3         0.0     7.4     0.0</t>
  </si>
  <si>
    <t xml:space="preserve">  RINCAO-RS069    -55.0     0.0     0.0    10.1         0.0     0.0     0.0                                          </t>
  </si>
  <si>
    <t xml:space="preserve">                           54.0    79.0    79.0       14.1%                  9303 RESTIN-RS069  1    -7.5    -1.9     7.6                      0.00    -0.02            </t>
  </si>
  <si>
    <t xml:space="preserve">                           54.0    79.0    79.0       25.5%                  9392 ENT874-RS069  1   -13.9    -0.8    13.7                      0.02     0.00            </t>
  </si>
  <si>
    <t xml:space="preserve">   9277   69  0   1.013     0.0     0.0     4.1         0.0     0.0     0.0</t>
  </si>
  <si>
    <t xml:space="preserve">  ZAFFAR-RS069    -54.5     0.0     0.0     1.7         0.0     0.0     0.0                                          </t>
  </si>
  <si>
    <t xml:space="preserve">                           84.0   101.0   101.0        5.6%                  9962 PALEG1-RS069  1    -2.3     4.2     4.7                      0.00    -0.40            </t>
  </si>
  <si>
    <t xml:space="preserve">                           80.0    95.0    95.0        7.6%                 10054 HOCONC-RS069  1    -1.8    -5.9     6.1                      0.00    -0.01            </t>
  </si>
  <si>
    <t xml:space="preserve">   9279   14  0   1.066     2.3     0.0    24.2         0.0     4.1     0.0</t>
  </si>
  <si>
    <t xml:space="preserve">  CAX5-A-RS013    -50.8     0.0     0.0     7.1         0.0     0.0     0.0                                          </t>
  </si>
  <si>
    <t xml:space="preserve">                           50.0    75.0    75.0       41.5%                 41226 CAX5-1-RS000  1   -21.9    -3.0    20.7 1.000F       002     0.01    -0.09            </t>
  </si>
  <si>
    <t xml:space="preserve">   9281   14  0   1.103     2.1     0.0    30.5         0.0     8.8     0.0</t>
  </si>
  <si>
    <t xml:space="preserve">  CAXIA2-RS013    -54.0     0.0     0.0     4.3         0.0     0.0     0.0                                          </t>
  </si>
  <si>
    <t xml:space="preserve">                           42.0    63.0    63.0       62.0%                  1201 CAXIA2-RS069  2   -28.4     4.5    26.1                      0.05     1.76            </t>
  </si>
  <si>
    <t xml:space="preserve">   9282   14  0   1.060     3.5     0.0    24.8         0.0     4.0     0.0</t>
  </si>
  <si>
    <t xml:space="preserve">  CAX5-B-RS013    -50.7     0.0     0.0    10.7         0.0     0.0     0.0                                          </t>
  </si>
  <si>
    <t xml:space="preserve">                           50.0    50.0    50.0       42.1%                 41227 CAX5-2-RS000  2   -21.3    -6.7    21.0 1.000F       002     0.01    -0.07            </t>
  </si>
  <si>
    <t xml:space="preserve">   9284   23  0   1.046     3.1     0.0     9.4         0.0     7.9     0.0</t>
  </si>
  <si>
    <t xml:space="preserve">  GRARGE-RS023    -51.7     0.0     0.0     3.7         0.0     0.0     0.0                                          </t>
  </si>
  <si>
    <t xml:space="preserve">                           75.0    90.0    90.0        9.6%                 41270 GRA--3-RS000  3    -6.3     4.2     7.2 1.000F       002     0.00    -0.00            </t>
  </si>
  <si>
    <t xml:space="preserve">   9285   23  0   1.123     6.6     0.0    25.0         0.0     0.0     0.0</t>
  </si>
  <si>
    <t xml:space="preserve">  SANGEL-RS023    -47.0     0.0     0.0     9.2         0.0     0.0     0.0                                          </t>
  </si>
  <si>
    <t xml:space="preserve">                           25.0    37.0    37.0       34.6%                  1251 SANGEL-RS069  3    -8.4    -4.9     8.6                      0.03     0.28            </t>
  </si>
  <si>
    <t xml:space="preserve">                           25.0    30.0    30.0       34.5%                  1251 SANGEL-RS069  4    -8.0    -5.4     8.6                      0.02     0.28            </t>
  </si>
  <si>
    <t xml:space="preserve">                         9999.0  9999.0  9999.0        0.0%                 10206 CERMIS-RS023  1    -2.0     1.1     2.0                      0.00     0.00            </t>
  </si>
  <si>
    <t xml:space="preserve">   9290   69  0   1.014     0.0     0.0    13.0         0.0     0.0     0.0</t>
  </si>
  <si>
    <t xml:space="preserve">  PUCPAL-RS069    -55.0     0.0     0.0     5.5         0.0     0.0     0.0                                          </t>
  </si>
  <si>
    <t xml:space="preserve">                           54.0    79.0    79.0       33.7%                  1262 PALGR6-RS069  1   -18.4    -0.6    18.2                      0.04    -0.06            </t>
  </si>
  <si>
    <t xml:space="preserve">                           54.0    79.0    79.0       13.4%                  1269 PALG10-RS069  1     5.4    -4.9     7.2                      0.00    -0.14            </t>
  </si>
  <si>
    <t xml:space="preserve">   9292   69  0   0.987    19.0     0.0    21.4         0.0     0.0     0.0</t>
  </si>
  <si>
    <t xml:space="preserve">  SMARCO-RS069    -52.3     0.0     0.0    12.0         0.0     0.0     0.0                                          </t>
  </si>
  <si>
    <t xml:space="preserve">                           52.0    66.0    66.0       23.9%                  9293 POTOMETAP069  1    -2.4   -12.0    12.4                      0.10    -0.07            </t>
  </si>
  <si>
    <t xml:space="preserve">   9293   69  0   1.006     0.0     0.0     0.0         0.0     0.0     0.0</t>
  </si>
  <si>
    <t xml:space="preserve">  POTOMETAP069    -52.6     0.0     0.0     0.0         0.0     0.0     0.0                                          </t>
  </si>
  <si>
    <t xml:space="preserve">                           54.0    79.0    79.0       43.3%                  1389 CAXIA4-RS069  1   -15.7   -17.5    23.4                      0.02     0.06            </t>
  </si>
  <si>
    <t xml:space="preserve">                           52.0    66.0    66.0       23.3%                  9292 SMARCO-RS069  1     2.5    11.9    12.1                      0.10    -0.07            </t>
  </si>
  <si>
    <t xml:space="preserve">                           54.0    79.0    79.0       26.4%                  9294 POTOME-RS069  1    13.2     5.6    14.3                      0.00    -0.01            </t>
  </si>
  <si>
    <t xml:space="preserve">   9294   69  0   1.006     0.0     0.0    13.2         0.0     0.0     0.0</t>
  </si>
  <si>
    <t xml:space="preserve">  POTOME-RS069    -52.6     0.0     0.0     5.6         0.0     0.0     0.0                                          </t>
  </si>
  <si>
    <t xml:space="preserve">                           54.0    79.0    79.0       26.4%                  9293 POTOMETAP069  1   -13.2    -5.6    14.3                      0.00    -0.01            </t>
  </si>
  <si>
    <t xml:space="preserve">   9295   69  0   1.011     0.0     0.0     0.0         0.0     0.0     0.0</t>
  </si>
  <si>
    <t xml:space="preserve">  EBERLETAP069    -50.5     0.0     0.0     0.0         0.0     0.0     0.0                                          </t>
  </si>
  <si>
    <t xml:space="preserve">              DESLIGADO    80.0    95.0    95.0                              1388 CAXIA3-RS069  1     0.0     0.0     0.0                      0.00     0.00            </t>
  </si>
  <si>
    <t xml:space="preserve">                           54.0    79.0    79.0        0.0%                  9296 EBERLE-RS069  1     0.0    -0.0     0.0                      0.00    -0.01            </t>
  </si>
  <si>
    <t xml:space="preserve">                           80.0    95.0    95.0        0.0%                  9297 RANDONTAP069  1    -0.0     0.0     0.0                      0.00    -0.06            </t>
  </si>
  <si>
    <t xml:space="preserve">   9296   69  0   1.011     0.0     0.0     0.0         0.0     0.0     0.0</t>
  </si>
  <si>
    <t xml:space="preserve">  EBERLE-RS069    -50.5     0.0     0.0     0.0         0.0     0.0     0.0                                          </t>
  </si>
  <si>
    <t xml:space="preserve">                           54.0    79.0    79.0        0.0%                  9295 EBERLETAP069  1     0.0     0.0     0.0                      0.00    -0.01            </t>
  </si>
  <si>
    <t xml:space="preserve">   9297   69  0   1.011     0.0     0.0     0.0         0.0     0.0     0.0</t>
  </si>
  <si>
    <t xml:space="preserve">  RANDONTAP069    -50.5     0.0     0.0     0.0         0.0     0.0     0.0                                          </t>
  </si>
  <si>
    <t xml:space="preserve">                           94.0   108.0   108.0        9.7%                  1201 CAXIA2-RS069  1    -8.5    -3.5     9.1                      0.00    -0.00            </t>
  </si>
  <si>
    <t xml:space="preserve">                           80.0    95.0    95.0        0.1%                  9295 EBERLETAP069  1     0.0    -0.1     0.1                      0.00    -0.06            </t>
  </si>
  <si>
    <t xml:space="preserve">                           54.0    79.0    79.0       16.9%                  9298 RANDON-RS069  1     8.5     3.6     9.1                      0.00    -0.01            </t>
  </si>
  <si>
    <t xml:space="preserve">   9298   69  0   1.011     0.0     0.0     8.5         0.0     0.0     0.0</t>
  </si>
  <si>
    <t xml:space="preserve">  RANDON-RS069    -50.5     0.0     0.0     3.6         0.0     0.0     0.0                                          </t>
  </si>
  <si>
    <t xml:space="preserve">                           54.0    79.0    79.0       16.9%                  9297 RANDONTAP069  1    -8.5    -3.6     9.1                      0.00    -0.01            </t>
  </si>
  <si>
    <t xml:space="preserve">   9299   69  0   0.989     4.3     0.0    27.6         0.0     3.5     0.0</t>
  </si>
  <si>
    <t xml:space="preserve">  FCUNHA-RS069    -52.1     0.0     0.0    13.0         0.0     0.0     0.0                                          </t>
  </si>
  <si>
    <t xml:space="preserve">                           84.0   101.0   101.0       30.3%                  1201 CAXIA2-RS069  1   -23.3    -9.5    25.4                      0.25     0.70            </t>
  </si>
  <si>
    <t xml:space="preserve">   9300   14  0   0.965     0.3     0.0     2.8         0.0     0.0     0.0</t>
  </si>
  <si>
    <t xml:space="preserve">  PALE6B-RS013    -55.1     0.0     0.0     1.2         0.0     0.0     0.0                                          </t>
  </si>
  <si>
    <t xml:space="preserve">                           31.0    31.0    31.0        9.3%                  1262 PALGR6-RS069  1    -2.5    -1.2     2.9                      0.00     0.03            </t>
  </si>
  <si>
    <t xml:space="preserve">   9301   14  0   1.051     0.4     0.0    17.8         0.0     4.0     0.0</t>
  </si>
  <si>
    <t xml:space="preserve">  PAL10B-RS013    -54.2     0.0     0.0     3.9         0.0     0.0     0.0                                          </t>
  </si>
  <si>
    <t xml:space="preserve">                           50.0    50.0    50.0       33.1%                 41312 PA10-5-RS000  5   -17.4     0.1    16.6 1.000F       002     0.01    -0.06            </t>
  </si>
  <si>
    <t xml:space="preserve">   9303   69  0   1.014     0.0     0.0     0.0         0.0     0.0     0.0</t>
  </si>
  <si>
    <t xml:space="preserve">  RESTIN-RS069    -55.0     0.0     0.0     0.0         0.0     0.0     0.0                                          </t>
  </si>
  <si>
    <t xml:space="preserve">                           54.0    79.0    79.0       69.4%                  9268 PALE14-RS069  1    38.0    -1.8    37.5                      0.18     0.53            </t>
  </si>
  <si>
    <t xml:space="preserve">                           54.0    79.0    79.0       48.6%                  9272 PALE15TAP069  1    26.5     2.0    26.2                      0.09     0.22            </t>
  </si>
  <si>
    <t xml:space="preserve">                           54.0    79.0    79.0       14.1%                  9276 RINCAO-RS069  1     7.5     1.9     7.6                      0.00    -0.02            </t>
  </si>
  <si>
    <t xml:space="preserve">                           83.0   100.0   100.0       42.8%                 43929 REST-2-RS000  2   -36.0    -1.0    35.5 1.000F       002     0.02    -0.12            </t>
  </si>
  <si>
    <t xml:space="preserve">                           83.0   100.0   100.0       42.8%                 43931 REST-1-RS000  1   -36.0    -1.1    35.5 1.000F       002     0.02    -0.12            </t>
  </si>
  <si>
    <t xml:space="preserve">   9305  138  0   1.020     0.0     0.0     0.0         0.0     0.0     0.0</t>
  </si>
  <si>
    <t xml:space="preserve">  CACHO3-RS138    -52.2     0.0     0.0     0.0         0.0     0.0     0.0                                          </t>
  </si>
  <si>
    <t xml:space="preserve">                          108.0   108.0   108.0       36.9%                  2068 CACHOE-RS138  1    36.1    18.7    39.9                      0.05    -0.10            </t>
  </si>
  <si>
    <t xml:space="preserve">                           96.0    96.0    96.0        7.4%                  2068 CACHOE-RS138  2     6.8     2.5     7.1                      0.01    -1.37            </t>
  </si>
  <si>
    <t xml:space="preserve">              DESLIGADO    96.0    96.0    96.0                              2094 TAQUAR-RS138  1     0.0     0.0     0.0                      0.00     0.00            </t>
  </si>
  <si>
    <t xml:space="preserve">                          108.0   158.0   158.0       43.0%                  3000 SAPUCA-RS138  1    45.4    13.8    46.5                      0.19    -0.25            </t>
  </si>
  <si>
    <t xml:space="preserve">              DESLIGADO   108.0   108.0   108.0                              9214 CANOA3-RS138  1     0.0     0.0     0.0                      0.00     0.00            </t>
  </si>
  <si>
    <t xml:space="preserve">                          167.0   203.0   203.0        6.0%                 10321 ESTEI2-RS138  1     9.7     3.1     9.9                      0.00    -0.47            </t>
  </si>
  <si>
    <t xml:space="preserve">                          167.0   203.0   203.0        6.0%                 10321 ESTEI2-RS138  2     9.7     3.1     9.9                      0.00    -0.47            </t>
  </si>
  <si>
    <t xml:space="preserve">                          165.0   198.0   198.0       22.8%                 43449 CAC3-1-RS000  1   -35.9   -13.7    37.7 1.000F       002     0.01    -0.26            </t>
  </si>
  <si>
    <t xml:space="preserve">                          165.0   198.0   198.0       22.8%                 43450 CAC3-2-RS000  2   -35.9   -13.7    37.7 1.000F       002     0.01    -0.26            </t>
  </si>
  <si>
    <t xml:space="preserve">                          165.0   198.0   198.0       22.8%                 43451 CAC3-3-RS000  3   -35.9   -13.7    37.7 1.000F       002     0.01    -0.26            </t>
  </si>
  <si>
    <t xml:space="preserve">   9306   69  0   1.015     0.0     0.0     8.6         0.0     0.0     0.0</t>
  </si>
  <si>
    <t xml:space="preserve">  SHIGUA-RS069    -54.9     0.0     0.0     3.6         0.0     0.0     0.0                                          </t>
  </si>
  <si>
    <t xml:space="preserve">                           50.0    50.0    50.0       18.4%                 10007 JBOTAN-RS069  1    -8.6    -3.6     9.2                      0.01    -0.69            </t>
  </si>
  <si>
    <t xml:space="preserve">   9392   69  0   1.015     0.0     0.0     0.0         0.0     0.0     0.0</t>
  </si>
  <si>
    <t xml:space="preserve">  ENT874-RS069    -54.8     0.0     0.0     0.0         0.0     0.0     0.0                                          </t>
  </si>
  <si>
    <t xml:space="preserve">                           99.0   112.0   112.0       13.9%                  1262 PALGR6-RS069  1   -13.9    -0.8    13.7                      0.01    -0.05            </t>
  </si>
  <si>
    <t xml:space="preserve">                           54.0    79.0    79.0       25.5%                  9276 RINCAO-RS069  1    13.9     0.8    13.7                      0.02     0.00            </t>
  </si>
  <si>
    <t>_x000C_CEPEL - CENTRO DE PESQUISAS DE ENERGIA ELETRICA - PROGRAMA DE ANALISE DE REDES - V11.06.02                                 PAG.   9</t>
  </si>
  <si>
    <t xml:space="preserve">   9548   69  0   1.034     0.0     0.0     0.0         0.0     0.0     0.0</t>
  </si>
  <si>
    <t xml:space="preserve">  NPETR2-RS069    -51.1     0.0     0.0     0.0         0.0     0.0     0.0                                          </t>
  </si>
  <si>
    <t xml:space="preserve">                           84.0   101.0   101.0       25.3%                  9550 GRAMAD-RS069  1    19.4    10.3    21.3                      0.23     0.49            </t>
  </si>
  <si>
    <t xml:space="preserve">                           95.0   108.0   108.0       23.7%                  9573 NPETRO-RS069  1    22.6     5.5    22.5                      0.21     0.55            </t>
  </si>
  <si>
    <t xml:space="preserve">                           83.0   100.0   100.0       26.8%                 41305 NVP--1-RS000  1   -21.5    -8.0    22.2 1.000F       002     0.01    -0.04            </t>
  </si>
  <si>
    <t xml:space="preserve">                           83.0   100.0   100.0       25.6%                 41412 NVP--2-RS000  2   -20.5    -7.8    21.2 1.000F       002     0.01    -0.06            </t>
  </si>
  <si>
    <t xml:space="preserve">   9549  138  0   1.017     2.3     0.0    40.8         0.0     0.0     0.0</t>
  </si>
  <si>
    <t xml:space="preserve">  PLANAL-RS138    -42.4     0.0     0.0    21.7         0.0     0.0     0.0                                          </t>
  </si>
  <si>
    <t xml:space="preserve">                          167.0   203.0   203.0       28.8%                  1062 FCHAPE-RS138  1   -44.1   -21.1    48.1              053     0.39    -0.15            </t>
  </si>
  <si>
    <t xml:space="preserve">                          167.0   203.0   203.0        3.3%                  1335 CONSTA-RS138  1     5.6    -0.6     5.5                      0.01    -3.46            </t>
  </si>
  <si>
    <t xml:space="preserve">   9550   69  0   1.007     2.4     0.0    21.6         0.0     0.0     0.0</t>
  </si>
  <si>
    <t xml:space="preserve">  GRAMAD-RS069    -52.6     0.0     0.0     9.8         0.0     0.0     0.0                                          </t>
  </si>
  <si>
    <t xml:space="preserve">                           84.0   101.0   101.0       25.5%                  9548 NPETR2-RS069  1   -19.2    -9.8    21.4                      0.23     0.49            </t>
  </si>
  <si>
    <t xml:space="preserve">              DESLIGADO    84.0   101.0   101.0                              9758 GRAMADTAP069  1     0.0     0.0     0.0                      0.00     0.00            </t>
  </si>
  <si>
    <t xml:space="preserve">   9551   69  0   1.009     2.7     0.0    26.9         0.0     3.7     0.0</t>
  </si>
  <si>
    <t xml:space="preserve">  CANELA-RS069    -56.5     0.0     0.0     8.7         0.0     0.0     0.0                                          </t>
  </si>
  <si>
    <t xml:space="preserve">                           41.0    59.0    59.0       59.7%                  9758 GRAMADTAP069  1   -24.2    -5.0    24.5                      0.06     0.10            </t>
  </si>
  <si>
    <t xml:space="preserve">   9552   69  0   1.016     0.0     0.0     0.0         0.0     0.0     0.0</t>
  </si>
  <si>
    <t xml:space="preserve">  ACLARATAP069    -55.1     0.0     0.0     0.0         0.0     0.0     0.0                                          </t>
  </si>
  <si>
    <t xml:space="preserve">              DESLIGADO    54.0    79.0    79.0                              9233 VIAMA1-RS069  1     0.0    -0.1     0.1                      0.00    -0.07 1.016 -55.1</t>
  </si>
  <si>
    <t xml:space="preserve">                           54.0    79.0    79.0       29.7%                  9264 VIAMA3-RS069  1   -16.2    -2.0    16.0                      0.02    -0.04            </t>
  </si>
  <si>
    <t xml:space="preserve">                           84.0   101.0   101.0       19.1%                  9275 AGUCLA-RS069  1    16.2     2.0    16.0                      0.16     0.25            </t>
  </si>
  <si>
    <t xml:space="preserve">   9553   69  0   1.001     0.0     0.0     0.0         0.0     0.0     0.0</t>
  </si>
  <si>
    <t xml:space="preserve">  BRPALETAP069    -57.2     0.0     0.0     0.0         0.0     0.0     0.0                                          </t>
  </si>
  <si>
    <t xml:space="preserve">                           69.0    88.0    88.0       12.6%                  9227 BRPALE-RS069  1     8.3     2.7     8.7                      0.01    -0.00            </t>
  </si>
  <si>
    <t xml:space="preserve">                           67.0    81.0    81.0        4.1%                  9228 LATPAL-RS069  1     2.5     1.1     2.7                      0.00    -0.00            </t>
  </si>
  <si>
    <t xml:space="preserve">                           69.0    88.0    88.0       16.6%                  9275 AGUCLA-RS069  1   -10.8    -3.8    11.4                      0.01     0.00            </t>
  </si>
  <si>
    <t xml:space="preserve">   9554   69  0   1.012     0.0     0.0     0.0         0.0     0.0     0.0</t>
  </si>
  <si>
    <t xml:space="preserve">  GERPALTAP069    -54.8     0.0     0.0     0.0         0.0     0.0     0.0                                          </t>
  </si>
  <si>
    <t xml:space="preserve">                           52.0    76.0    76.0       25.0%                  9236 PALEG2-RS069  1    12.2    -4.9    13.0                      0.00    -0.00            </t>
  </si>
  <si>
    <t xml:space="preserve">                           54.0    79.0    79.0        6.0%                  9555 MNAPALTAP069  1     3.0     1.3     3.2                      0.00    -0.01            </t>
  </si>
  <si>
    <t xml:space="preserve">                           80.0    95.0    95.0       19.3%                  9962 PALEG1-RS069  1   -15.2     3.6    15.4                      0.03     0.02            </t>
  </si>
  <si>
    <t xml:space="preserve">   9555   69  0   1.012     0.0     0.0     0.0         0.0     0.0     0.0</t>
  </si>
  <si>
    <t xml:space="preserve">  MNAPALTAP069    -54.8     0.0     0.0     0.0         0.0     0.0     0.0                                          </t>
  </si>
  <si>
    <t xml:space="preserve">                           54.0    79.0    79.0        6.0%                  9229 MNAPA--RS069  1     3.0     1.3     3.2                      0.00    -0.01            </t>
  </si>
  <si>
    <t xml:space="preserve">                           54.0    79.0    79.0        0.0%                  9230 GERPGR-RS069  1     0.0    -0.0     0.0                      0.00    -0.01            </t>
  </si>
  <si>
    <t xml:space="preserve">                           54.0    79.0    79.0        6.0%                  9554 GERPALTAP069  1    -3.0    -1.3     3.2                      0.00    -0.01            </t>
  </si>
  <si>
    <t xml:space="preserve">   9556   69  0   1.013     0.0     0.0     0.0         0.0     0.0     0.0</t>
  </si>
  <si>
    <t xml:space="preserve">  FRPPALTAP069    -54.8     0.0     0.0     0.0         0.0     0.0     0.0                                          </t>
  </si>
  <si>
    <t xml:space="preserve">                           52.0    76.0    76.0       33.8%                  1266 PALGR9-RS069  1   -16.6    -6.5    17.6                      0.03     0.03            </t>
  </si>
  <si>
    <t xml:space="preserve">                           54.0    79.0    79.0        8.8%                  9231 FRPPGR-RS069  1     4.4     1.9     4.7                      0.00    -0.00            </t>
  </si>
  <si>
    <t xml:space="preserve">                           52.0    76.0    76.0       24.7%                  9236 PALEG2-RS069  1    12.2     4.6    12.9                      0.01    -0.00            </t>
  </si>
  <si>
    <t xml:space="preserve">   9557   69  0   1.030     0.0     0.0     0.0         0.0     0.0     0.0</t>
  </si>
  <si>
    <t xml:space="preserve">  CANAS2-RS069    -54.9     0.0     0.0     0.0         0.0     0.0     0.0                                          </t>
  </si>
  <si>
    <t xml:space="preserve">                           50.0    50.0    50.0       48.9%                  2065 CANAS2-RS138  1   -24.6    -5.6    24.4                      0.00     0.69            </t>
  </si>
  <si>
    <t xml:space="preserve">                           41.0    59.0    59.0       59.6%                  9758 GRAMADTAP069  1    24.6     5.6    24.4                      0.29     0.46            </t>
  </si>
  <si>
    <t xml:space="preserve">   9558   69  0   1.036     4.0     0.0     6.7         0.0     0.0     0.0</t>
  </si>
  <si>
    <t xml:space="preserve">  DEMEI2-RS069    -47.8     0.8     0.0     1.3         0.0     0.0     0.0                                          </t>
  </si>
  <si>
    <t xml:space="preserve">                           40.0    65.0    65.0        6.6%                  1322 IJUI2--RS069  1    -2.7    -0.5     2.7                      0.00    -0.01            </t>
  </si>
  <si>
    <t xml:space="preserve">   9562   69  0   1.031     4.5     0.0     7.9         0.0     0.0     0.0</t>
  </si>
  <si>
    <t xml:space="preserve">  CERILU-RS069    -48.0     0.0     0.0     2.4         0.0     0.0     0.0                                          </t>
  </si>
  <si>
    <t xml:space="preserve">                           39.0    49.0    49.0       10.3%                  1322 IJUI2--RS069  1    -3.4    -2.4     4.0                      0.01    -0.17            </t>
  </si>
  <si>
    <t xml:space="preserve">   9570   69  0   1.012     3.9     0.0    20.2         0.0     0.0     0.0</t>
  </si>
  <si>
    <t xml:space="preserve">  CAMAQ3-RS069    -52.1     0.0     0.0     6.9         0.0     0.0     0.0                                          </t>
  </si>
  <si>
    <t xml:space="preserve">                           75.0    90.0    90.0       33.4%                  1195 CAMAQU-RS069  1    25.1     3.7    25.1                      0.05     0.14            </t>
  </si>
  <si>
    <t xml:space="preserve">                           83.0   100.0   100.0       25.5%                 41219 CAM3-1-RS000  1   -20.7    -5.3    21.2 1.000F       002     0.01     0.81            </t>
  </si>
  <si>
    <t xml:space="preserve">                           83.0   100.0   100.0       25.4%                 41220 CAM3-2-RS000  2   -20.7    -5.3    21.1 1.000F       002     0.01     0.80            </t>
  </si>
  <si>
    <t xml:space="preserve">   9573   69  0   1.016     4.1     0.0    26.5         0.0     3.7     0.0</t>
  </si>
  <si>
    <t xml:space="preserve">  NPETRO-RS069    -52.9     0.0     0.0     8.7         0.0     0.0     0.0                                          </t>
  </si>
  <si>
    <t xml:space="preserve">                           95.0   108.0   108.0       23.8%                  9548 NPETR2-RS069  1   -22.4    -5.0    22.6                      0.21     0.55            </t>
  </si>
  <si>
    <t xml:space="preserve">              DESLIGADO    30.0    43.0    43.0                              9714 FELIZ--RS069  1     0.0     0.0     0.0                      0.00     0.00            </t>
  </si>
  <si>
    <t xml:space="preserve">   9591   69  0   1.016    13.8     0.0    79.8         0.0     0.0     0.0</t>
  </si>
  <si>
    <t xml:space="preserve">  CANDE2-RS069    -52.0     0.0     0.0    32.5         0.0     0.0     0.0                                          </t>
  </si>
  <si>
    <t xml:space="preserve">                           83.0   100.0   100.0       43.5%                 43847 CNDE-1-RS000  1   -32.9   -16.2    36.1 1.000F       002     0.02    -0.12            </t>
  </si>
  <si>
    <t xml:space="preserve">                           83.0   100.0   100.0       43.8%                 43848 CNDE-2-RS000  2   -33.1   -16.3    36.3 1.000F       002     0.02    -0.12            </t>
  </si>
  <si>
    <t xml:space="preserve">   9592   23  0   1.050     2.1     0.0    17.9         0.0     0.0     0.0</t>
  </si>
  <si>
    <t xml:space="preserve">  SCHARB-RS023    -53.3     0.0     0.0     6.0         0.0     0.0     0.0                                          </t>
  </si>
  <si>
    <t xml:space="preserve">                           75.0    90.0    90.0       21.5%                 41364 SCH--4-RS000  4   -15.8    -6.0    16.1 1.000F       002     0.00    -0.02            </t>
  </si>
  <si>
    <t xml:space="preserve">   9593   23  0   1.074     1.9     0.0    19.2         0.0     8.3     0.0</t>
  </si>
  <si>
    <t xml:space="preserve">  CANO1B-RS023    -54.6     0.0     0.0     3.1         0.0     0.0     0.0                                          </t>
  </si>
  <si>
    <t xml:space="preserve">                           75.0    90.0    90.0       22.4%                 41254 CNA1-2-RS000  2   -17.3     5.2    16.8 1.000F       002     0.00    -0.02            </t>
  </si>
  <si>
    <t xml:space="preserve">   9594  138  0   1.023     2.8     0.0     0.3         0.0     0.0     0.0</t>
  </si>
  <si>
    <t xml:space="preserve">  LAGEGR-RS138    -46.9     0.0     0.0     0.3         0.0     0.0     0.0                                          </t>
  </si>
  <si>
    <t xml:space="preserve">                          167.0   203.0   203.0        7.2%                  1328 VACARI-RS138  1    11.5     4.5    12.1                      0.09    -4.27            </t>
  </si>
  <si>
    <t xml:space="preserve">                           75.0    90.0    90.0        6.7%                 41285 LGR-1--RS000  1    -4.5    -2.4     5.0 1.000F       002     0.00    -0.00            </t>
  </si>
  <si>
    <t xml:space="preserve">                           75.0    90.0    90.0        6.6%                 41286 LGR-2--RS000  2    -4.5    -2.4     4.9 1.000F       002     0.00    -0.00            </t>
  </si>
  <si>
    <t xml:space="preserve">   9651   69  0   1.006     0.0     0.0     0.0         0.0     0.0     0.0</t>
  </si>
  <si>
    <t xml:space="preserve">  PANAM2-RS069    -50.5     0.0     0.0     0.0         0.0     0.0     0.0                                          </t>
  </si>
  <si>
    <t xml:space="preserve">                           40.0    65.0    65.0       36.6%                  1322 IJUI2--RS069  1   -14.6    -1.9    14.6                      0.34     0.05            </t>
  </si>
  <si>
    <t xml:space="preserve">                           25.0    25.0    25.0       58.5%                  9652 PANAM2-RS013  1    14.6     1.9    14.6 0.969*               0.00     0.57            </t>
  </si>
  <si>
    <t xml:space="preserve">   9652   14  0   1.034     0.0     0.0    14.6         0.0     0.0     0.0</t>
  </si>
  <si>
    <t xml:space="preserve">  PANAM2-RS013    -52.7     0.0     0.0     1.3         0.0     0.0     0.0                                          </t>
  </si>
  <si>
    <t xml:space="preserve">                           25.0    25.0    25.0       56.7%                  9651 PANAM2-RS069  1   -14.6    -1.3    14.2                      0.00     0.57            </t>
  </si>
  <si>
    <t xml:space="preserve">   9653   14  0   1.001     0.0     0.0    14.7         0.0     0.0     0.0</t>
  </si>
  <si>
    <t xml:space="preserve">  HIDPA1-RS013    -58.3     0.0     0.0     1.3         0.0     0.0     0.0                                          </t>
  </si>
  <si>
    <t xml:space="preserve">                         9999.0  9999.0  9999.0        0.0%                  1333 PANAMB-RS013  1   -14.7    -1.3    14.7                      0.00    -0.01            </t>
  </si>
  <si>
    <t xml:space="preserve">   9654   14  0   1.001     1.8     0.0     6.2         0.0     0.0     0.0</t>
  </si>
  <si>
    <t xml:space="preserve">  COPRE1-RS013    -58.3     0.0     0.0     1.7         0.0     0.0     0.0                                          </t>
  </si>
  <si>
    <t xml:space="preserve">                         9999.0  9999.0  9999.0        0.0%                  1333 PANAMB-RS013  1    -4.4    -1.7     4.7                      0.00    -0.01            </t>
  </si>
  <si>
    <t xml:space="preserve">   9655   23  0   1.021     0.0     0.0     5.6         0.0     0.0     0.0</t>
  </si>
  <si>
    <t xml:space="preserve">  COPRE2-RS023    -51.4     0.0     0.0     2.1         0.0     0.0     0.0                                          </t>
  </si>
  <si>
    <t xml:space="preserve">                         9999.0  9999.0  9999.0        0.0%                  9675 CAL1-A-RS023  1    -5.6    -2.1     5.9                      0.00    -0.01            </t>
  </si>
  <si>
    <t xml:space="preserve">   9657   23  0   1.062     2.0     0.0    25.9         0.0     0.0     0.0</t>
  </si>
  <si>
    <t xml:space="preserve">  DEMEI1-RS023    -55.4     0.0     0.0     7.7         0.0     0.0     0.0                                          </t>
  </si>
  <si>
    <t xml:space="preserve">                         9999.0  9999.0  9999.0        0.0%                  9674 IJUI1--RS023  1   -23.9    -7.7    23.6                      0.00    -0.01            </t>
  </si>
  <si>
    <t xml:space="preserve">   9659   23  0   1.062     2.5     0.0     5.7         0.0     0.0     0.0</t>
  </si>
  <si>
    <t xml:space="preserve">  CERLU1-RS023    -55.4     0.0     0.0     1.4         0.0     0.0     0.0                                          </t>
  </si>
  <si>
    <t xml:space="preserve">                         9999.0  9999.0  9999.0        0.0%                  9674 IJUI1--RS023  1    -3.2    -1.4     3.3                      0.00    -0.01            </t>
  </si>
  <si>
    <t xml:space="preserve">   9660   23  0   1.046     3.5     0.0    13.2         0.0     3.9     0.0</t>
  </si>
  <si>
    <t xml:space="preserve">  CAL1-B-RS023    -51.7     0.0     0.0     4.3         0.0     0.0     0.0                                          </t>
  </si>
  <si>
    <t xml:space="preserve">                           25.0    25.0    25.0       37.1%                  1301 CALTA1-RS069  1    -9.7    -0.4     9.3                      0.00     0.35            </t>
  </si>
  <si>
    <t xml:space="preserve">   9661   69  0   1.016     0.0     0.0     2.0         0.0     0.0     0.0</t>
  </si>
  <si>
    <t xml:space="preserve">  ARENA--RS069    -54.5     0.0     0.0     0.7         0.0     0.0     0.0                                          </t>
  </si>
  <si>
    <t xml:space="preserve">                           36.0    36.0    36.0        5.8%                  1266 PALGR9-RS069  1    -2.0    -0.7     2.1                      0.00    -0.06            </t>
  </si>
  <si>
    <t xml:space="preserve">   9674   23  0   1.063     0.0     0.0     0.0         0.0     4.1     0.0</t>
  </si>
  <si>
    <t xml:space="preserve">  IJUI1--RS023    -55.4     0.0     0.0     0.0         0.0     0.0     0.0                                          </t>
  </si>
  <si>
    <t xml:space="preserve">                           25.0    25.0    25.0 SUP  103.8%                  1302 IJUI1--RS069  1   -27.1    -5.0    25.9                      0.00     2.48            </t>
  </si>
  <si>
    <t xml:space="preserve">                         9999.0  9999.0  9999.0        0.0%                  9657 DEMEI1-RS023  1    23.9     7.7    23.6                      0.00    -0.01            </t>
  </si>
  <si>
    <t xml:space="preserve">                         9999.0  9999.0  9999.0        0.0%                  9659 CERLU1-RS023  1     3.2     1.4     3.3                      0.00    -0.01            </t>
  </si>
  <si>
    <t xml:space="preserve">   9675   23  0   1.021     1.3     0.0     7.1         0.0     3.8     0.0</t>
  </si>
  <si>
    <t xml:space="preserve">  CAL1-A-RS023    -51.4     0.0     0.0     2.3         0.0     0.0     0.0                                          </t>
  </si>
  <si>
    <t xml:space="preserve">                           25.0    25.0    25.0       44.7%                  2061 CRUZAL-RS138  1   -11.4    -0.6    11.2                      0.00     0.52            </t>
  </si>
  <si>
    <t xml:space="preserve">                         9999.0  9999.0  9999.0        0.0%                  9655 COPRE2-RS023  1     5.6     2.1     5.9                      0.00    -0.01            </t>
  </si>
  <si>
    <t xml:space="preserve">   9676   69  0   1.028     2.7     0.0    25.7         0.0     0.0     0.0</t>
  </si>
  <si>
    <t xml:space="preserve">  CAXIA7-RS069    -51.0     0.0     0.0     9.5         0.0     0.0     0.0                                          </t>
  </si>
  <si>
    <t xml:space="preserve">                           84.0   101.0   101.0       14.4%                  1387 CAXIA6-RS069  1   -11.5    -4.8    12.1                      0.04    -0.01            </t>
  </si>
  <si>
    <t xml:space="preserve">                           84.0   101.0   101.0       14.4%                  1387 CAXIA6-RS069  2   -11.5    -4.7    12.1                      0.04    -0.01            </t>
  </si>
  <si>
    <t xml:space="preserve">   9677  138  0   1.007     2.6     0.0    15.4         0.0     0.0     0.0</t>
  </si>
  <si>
    <t xml:space="preserve">  ROLANT-RS138    -53.3     0.0     0.0     4.7         0.0     0.0     0.0                                          </t>
  </si>
  <si>
    <t xml:space="preserve">                          134.0   162.0   162.0       10.1%                  2094 TAQUAR-RS138  1   -12.8    -4.7    13.5                      0.05    -1.89            </t>
  </si>
  <si>
    <t xml:space="preserve">   9678  138  0   1.016     2.4     0.0    11.0         0.0     0.0     0.0</t>
  </si>
  <si>
    <t xml:space="preserve">  SANAND-RS138    -46.5     0.0     0.0     5.3         0.0     0.0     0.0                                          </t>
  </si>
  <si>
    <t xml:space="preserve">                          167.0   203.0   203.0        6.0%                  9679 SANANDTAP138  1    -8.6    -5.3     9.9                      0.01    -1.31            </t>
  </si>
  <si>
    <t>_x000C_CEPEL - CENTRO DE PESQUISAS DE ENERGIA ELETRICA - PROGRAMA DE ANALISE DE REDES - V11.06.02                                 PAG.  10</t>
  </si>
  <si>
    <t xml:space="preserve">   9679  138  0   1.020     0.0     0.0     0.0         0.0     0.0     0.0</t>
  </si>
  <si>
    <t xml:space="preserve">  SANANDTAP138    -46.3     0.0     0.0     0.0         0.0     0.0     0.0                                          </t>
  </si>
  <si>
    <t xml:space="preserve">                          167.0   203.0   203.0       42.9%                  1326 LVERM2-RS138  1   -69.0   -24.3    71.7                      0.86     1.61            </t>
  </si>
  <si>
    <t xml:space="preserve">                          167.0   203.0   203.0       37.4%                  1340 TAPEJA-RS138  1    60.3    20.4    62.4                      0.89     0.98            </t>
  </si>
  <si>
    <t xml:space="preserve">                          167.0   203.0   203.0        5.6%                  9678 SANAND-RS138  1     8.6     4.0     9.3                      0.01    -1.31            </t>
  </si>
  <si>
    <t xml:space="preserve">   9692   69  0   1.007     2.4     0.0    23.2         0.0     0.0     0.0</t>
  </si>
  <si>
    <t xml:space="preserve">  CERTAJ-RS069    -52.8     0.0     0.0     4.3         0.0     0.0     0.0                                          </t>
  </si>
  <si>
    <t xml:space="preserve">                           62.0    74.0    74.0       34.0%                  2077 PPETRO-RS069  1   -20.8    -4.3    21.1                      0.22     0.53            </t>
  </si>
  <si>
    <t xml:space="preserve">   9694   69  0   1.008     5.4     0.0    25.4         0.0     3.7     0.0</t>
  </si>
  <si>
    <t xml:space="preserve">  TORRE2-RS069    -48.6     0.0     0.0     6.7         0.0     0.0     0.0                                          </t>
  </si>
  <si>
    <t xml:space="preserve">                           83.0   100.0   100.0       12.1%                 43890 TOR--1-RS000  1   -10.0    -1.5    10.0 1.000F       002    -0.00    -0.02            </t>
  </si>
  <si>
    <t xml:space="preserve">                           83.0   100.0   100.0       12.1%                 43891 TOR--2-RS000  2   -10.0    -1.5    10.0 1.000F       002    -0.00    -0.02            </t>
  </si>
  <si>
    <t xml:space="preserve">   9714   69  0   0.981     5.6     0.0    28.6         0.0     3.5     0.0</t>
  </si>
  <si>
    <t xml:space="preserve">  FELIZ--RS069    -53.4     0.0     0.0    12.1         0.0     0.0     0.0                                          </t>
  </si>
  <si>
    <t xml:space="preserve">                           48.0    71.0    71.0       51.9%                  1207 FARROU-RS069  1   -23.0    -8.2    24.9                      0.54     1.31            </t>
  </si>
  <si>
    <t xml:space="preserve">              DESLIGADO    30.0    43.0    43.0                              9573 NPETRO-RS069  1     0.0    -0.4     0.4                      0.00    -0.41 0.982 -53.5</t>
  </si>
  <si>
    <t xml:space="preserve">   9715   69  0   1.046     0.0     0.0    12.2         0.0     0.0     0.0</t>
  </si>
  <si>
    <t xml:space="preserve">  PERDIG-RS069    -55.3     0.0     0.0     4.7         0.0     0.0     0.0                                          </t>
  </si>
  <si>
    <t xml:space="preserve">                           30.0    48.0    48.0       41.7%                  2081 LAJEA2-RS069  1   -12.2    -4.7    12.5                      0.01     0.00            </t>
  </si>
  <si>
    <t xml:space="preserve">   9716   69  0   1.013     0.0     0.0     1.1         0.0     0.0     0.0</t>
  </si>
  <si>
    <t xml:space="preserve">  HEXION-RS069    -52.2     0.0     0.0     0.5         0.0     0.0     0.0                                          </t>
  </si>
  <si>
    <t xml:space="preserve">                           30.0    48.0    48.0       38.0%                  1334 POLINDTAP069  1   -10.6    -4.5    11.4                      0.01    -0.00            </t>
  </si>
  <si>
    <t xml:space="preserve">                           30.0    48.0    48.0       34.0%                  1384 POLOFI-RS069  1     9.5     4.0    10.2                      0.02    -0.01            </t>
  </si>
  <si>
    <t xml:space="preserve">   9728  138  0   1.005     0.0     0.0     0.0         0.0     0.0     0.0</t>
  </si>
  <si>
    <t xml:space="preserve">  PALMA1-RS138    -48.3     0.0     0.0     0.0         0.0     0.0     0.0                                          </t>
  </si>
  <si>
    <t xml:space="preserve">                          103.0   131.0   131.0        6.4%                  1234 MOSTAR-RS138  1     6.6     0.8     6.6                      0.03    -2.13            </t>
  </si>
  <si>
    <t xml:space="preserve">                          124.0   153.0   153.0        5.4%                  9751 COLPAL-RS138  1    -6.6    -0.8     6.6                      0.00    -1.98            </t>
  </si>
  <si>
    <t xml:space="preserve">   9729  138  0   1.004     0.0     0.0     0.0         0.0     0.0     0.0</t>
  </si>
  <si>
    <t xml:space="preserve">  PALMA2-RS138    -48.3     0.0     0.0     0.0         0.0     0.0     0.0                                          </t>
  </si>
  <si>
    <t xml:space="preserve">                          103.0   131.0   131.0       10.5%                  9730 PALMARTAP138  1    10.4     3.2    10.8                      0.01    -0.29            </t>
  </si>
  <si>
    <t xml:space="preserve">                          124.0   153.0   153.0        8.7%                  9751 COLPAL-RS138  1   -10.4    -3.2    10.8                      0.01    -1.97            </t>
  </si>
  <si>
    <t xml:space="preserve">   9730  138  0   1.003     0.0     0.0     0.0         0.0     0.0     0.0</t>
  </si>
  <si>
    <t xml:space="preserve">  PALMARTAP138    -48.4     0.0     0.0     0.0         0.0     0.0     0.0                                          </t>
  </si>
  <si>
    <t xml:space="preserve">                          103.0   131.0   131.0       10.6%                  1229 PALMAR-RS138  1    10.4     3.5    10.9                      0.03    -1.15            </t>
  </si>
  <si>
    <t xml:space="preserve">                          103.0   131.0   131.0       10.6%                  9729 PALMA2-RS138  1   -10.4    -3.5    10.9                      0.01    -0.29            </t>
  </si>
  <si>
    <t xml:space="preserve">   9751  138  0   1.006     0.0     0.0     0.0         0.0     0.0     0.0</t>
  </si>
  <si>
    <t xml:space="preserve">  COLPAL-RS138    -48.2     0.0     0.0     0.0         0.0     0.0     0.0                                          </t>
  </si>
  <si>
    <t xml:space="preserve">                           45.0    45.0    45.0       37.6%                  9727 COLPAL-RS034  1   -17.0    -0.0    16.9 1.000C       002     0.02     0.70            </t>
  </si>
  <si>
    <t xml:space="preserve">                          124.0   153.0   153.0        5.4%                  9728 PALMA1-RS138  1     6.6    -1.2     6.7                      0.00    -1.98            </t>
  </si>
  <si>
    <t xml:space="preserve">                          124.0   153.0   153.0        8.4%                  9729 PALMA2-RS138  1    10.4     1.3    10.4                      0.01    -1.97            </t>
  </si>
  <si>
    <t xml:space="preserve">   9753   14  0   1.041     0.0     0.0     0.0         0.0     0.0     0.0</t>
  </si>
  <si>
    <t xml:space="preserve">  SCR1RB-RS013    -52.9     0.0     0.0     0.0         0.0     0.0     0.0                                          </t>
  </si>
  <si>
    <t xml:space="preserve">                         9999.0  9999.0  9999.0        0.0%                  1309 SCRU1A-RS013  6    13.1     6.2    13.9                      0.00     0.25            </t>
  </si>
  <si>
    <t xml:space="preserve">                           50.0    50.0    50.0       27.8%                 41368 SCZ1-6-RS000  6   -13.1    -6.2    13.9 1.000F       002    -0.00    -0.04            </t>
  </si>
  <si>
    <t xml:space="preserve">   9754   14  0   1.038     0.0     0.0     0.0         0.0     0.0     0.0</t>
  </si>
  <si>
    <t xml:space="preserve">  SCR1RA-RS013    -52.5     0.0     0.0     0.0         0.0     0.0     0.0                                          </t>
  </si>
  <si>
    <t xml:space="preserve">                         9999.0  9999.0  9999.0        0.0%                  1343 SCRU1B-RS013  7     9.5     3.0     9.6                      0.00     0.12            </t>
  </si>
  <si>
    <t xml:space="preserve">                           50.0    50.0    50.0       19.2%                 41369 SCZ1-7-RS000  7    -9.5    -3.0     9.6 1.000F       002    -0.00    -0.02            </t>
  </si>
  <si>
    <t xml:space="preserve">   9758   69  0   1.013     0.0     0.0     0.0         0.0     0.0     0.0</t>
  </si>
  <si>
    <t xml:space="preserve">  GRAMADTAP069    -56.2     0.0     0.0     0.0         0.0     0.0     0.0                                          </t>
  </si>
  <si>
    <t xml:space="preserve">              DESLIGADO    84.0   101.0   101.0                              9550 GRAMAD-RS069  1     0.0     0.0     0.0                      0.00     0.00            </t>
  </si>
  <si>
    <t xml:space="preserve">                           41.0    59.0    59.0       59.7%                  9551 CANELA-RS069  1    24.3     5.1    24.5                      0.06     0.10            </t>
  </si>
  <si>
    <t xml:space="preserve">                           41.0    59.0    59.0       59.7%                  9557 CANAS2-RS069  1   -24.3    -5.1    24.5                      0.29     0.46            </t>
  </si>
  <si>
    <t xml:space="preserve">   9773   69  0   1.010     0.0     0.0     0.0         0.0     0.0     0.0</t>
  </si>
  <si>
    <t xml:space="preserve">  STHGUATAP069    -53.6     0.0     0.0     0.0         0.0     0.0     0.0                                          </t>
  </si>
  <si>
    <t xml:space="preserve">                           48.0    71.0    71.0       42.6%                  1197 GUAIB2-RS069  1   -19.0    -8.0    20.5                      0.07     0.12            </t>
  </si>
  <si>
    <t xml:space="preserve">                           23.0    33.0    33.0       18.6%                  9774 STHGUA-RS069  1     4.0     1.6     4.3                      0.01    -0.06            </t>
  </si>
  <si>
    <t xml:space="preserve">                           48.0    71.0    71.0       33.7%                  9777 RIOGUATAP069  1    15.0     6.4    16.2                      0.02     0.02            </t>
  </si>
  <si>
    <t xml:space="preserve">   9774   69  0   1.008     0.0     0.0     4.0         0.0     0.0     0.0</t>
  </si>
  <si>
    <t xml:space="preserve">  STHGUA-RS069    -53.7     0.0     0.0     1.7         0.0     0.0     0.0                                          </t>
  </si>
  <si>
    <t xml:space="preserve">                           23.0    33.0    33.0       18.8%                  9773 STHGUATAP069  1    -4.0    -1.7     4.3                      0.01    -0.06            </t>
  </si>
  <si>
    <t xml:space="preserve">   9775   69  0   1.005     1.9     0.0    21.0         0.0     0.0     0.0</t>
  </si>
  <si>
    <t xml:space="preserve">  GUA1-A-RS069    -54.1     0.0     0.0    10.0         0.0     0.0     0.0                                          </t>
  </si>
  <si>
    <t xml:space="preserve">                           54.0    79.0    79.0       77.4%                  1197 GUAIB2-RS069  1   -39.9   -13.2    41.8                      0.24     0.74            </t>
  </si>
  <si>
    <t xml:space="preserve">                         9999.0  9999.0  9999.0        0.0%                  9776 GUA1-B-RS069  1    20.8     3.2    20.9                      0.00     0.00            </t>
  </si>
  <si>
    <t xml:space="preserve">   9776   69  0   1.005     3.4     0.0    24.2         0.0     7.3     0.0</t>
  </si>
  <si>
    <t xml:space="preserve">  GUA1-B-RS069    -54.1     0.0     0.0    10.5         0.0     0.0     0.0                                          </t>
  </si>
  <si>
    <t xml:space="preserve">                         9999.0  9999.0  9999.0        0.0%                  9775 GUA1-A-RS069  1   -20.8    -3.2    20.9                      0.00     0.00            </t>
  </si>
  <si>
    <t xml:space="preserve">   9777   69  0   1.008     0.0     0.0     0.0         0.0     0.0     0.0</t>
  </si>
  <si>
    <t xml:space="preserve">  RIOGUATAP069    -53.7     0.0     0.0     0.0         0.0     0.0     0.0                                          </t>
  </si>
  <si>
    <t xml:space="preserve">                           48.0    71.0    71.0       33.7%                  9773 STHGUATAP069  1   -15.0    -6.4    16.2                      0.02     0.02            </t>
  </si>
  <si>
    <t xml:space="preserve">                           30.0    43.0    43.0        0.1%                  9778 RIOGUA-RS069  1     0.0    -0.0     0.0                      0.00    -0.02            </t>
  </si>
  <si>
    <t xml:space="preserve">                           29.0    41.0    41.0       55.8%                  9779 APGGUA-RS069  1    15.0     6.4    16.2                      0.01     0.00            </t>
  </si>
  <si>
    <t xml:space="preserve">   9778   69  0   1.008     0.0     0.0     0.0         0.0     0.0     0.0</t>
  </si>
  <si>
    <t xml:space="preserve">  RIOGUA-RS069    -53.7     0.0     0.0     0.0         0.0     0.0     0.0                                          </t>
  </si>
  <si>
    <t xml:space="preserve">                           30.0    43.0    43.0        0.0%                  9777 RIOGUATAP069  1    -0.0    -0.0     0.0                      0.00    -0.02            </t>
  </si>
  <si>
    <t xml:space="preserve">   9779   69  0   1.007     0.0     0.0    15.0         0.0     0.0     0.0</t>
  </si>
  <si>
    <t xml:space="preserve">  APGGUA-RS069    -53.8     0.0     0.0     6.4         0.0     0.0     0.0                                          </t>
  </si>
  <si>
    <t xml:space="preserve">                           29.0    41.0    41.0       55.8%                  9777 RIOGUATAP069  1   -15.0    -6.4    16.2                      0.01     0.00            </t>
  </si>
  <si>
    <t xml:space="preserve">   9781   69  0   1.046     2.6     0.0    16.1         0.0     3.9     0.0</t>
  </si>
  <si>
    <t xml:space="preserve">  LAJEA1-RS069    -55.4     0.0     0.0     5.8         0.0     0.0     0.0                                          </t>
  </si>
  <si>
    <t xml:space="preserve">                           84.0   101.0   101.0        7.8%                  2081 LAJEA2-RS069  1    -6.8    -0.9     6.5                      0.00    -0.06            </t>
  </si>
  <si>
    <t xml:space="preserve">                           84.0   101.0   101.0        7.8%                  2081 LAJEA2-RS069  2    -6.8    -0.9     6.5                      0.00    -0.06            </t>
  </si>
  <si>
    <t xml:space="preserve">              DESLIGADO    46.0    55.0    55.0                              9797 ARMEIO-RS069  1     0.0     0.0     0.0                      0.00     0.00            </t>
  </si>
  <si>
    <t xml:space="preserve">   9782   69  0   1.028     0.0     0.0     0.0         0.0     0.0     0.0</t>
  </si>
  <si>
    <t xml:space="preserve">  LAJEA3-RS069    -54.0     0.0     0.0     0.0         0.0     0.0     0.0                                          </t>
  </si>
  <si>
    <t xml:space="preserve">                           68.0    68.0    68.0       19.4%                  9798 CERTE2-RS069  1    13.2     3.0    13.2                      0.04    -0.02            </t>
  </si>
  <si>
    <t xml:space="preserve">                           68.0    68.0    68.0       19.3%                  9798 CERTE2-RS069  2    13.1     3.0    13.1                      0.04    -0.02            </t>
  </si>
  <si>
    <t xml:space="preserve">                           68.0    68.0    68.0       38.7%                 10255 CERTE1-RS069  1    26.8     3.7    26.3                      0.20     0.49            </t>
  </si>
  <si>
    <t xml:space="preserve">                           68.0    68.0    68.0       38.7%                 10255 CERTE1-RS069  2    26.8     3.7    26.3                      0.20     0.49            </t>
  </si>
  <si>
    <t xml:space="preserve">                         9999.0  9999.0  9999.0        0.0%                 43185 LAJ3-1-RS000  1   -26.6    -4.5    26.3 1.000F       002     0.01    -0.09            </t>
  </si>
  <si>
    <t xml:space="preserve">                         9999.0  9999.0  9999.0        0.0%                 43187 LAJ3-2-RS000  2   -26.7    -4.5    26.3 1.000F       002     0.01    -0.09            </t>
  </si>
  <si>
    <t xml:space="preserve">                           83.0   100.0   100.0       31.7%                 43499 LAJ3-3-RS000  3   -26.7    -4.5    26.3 1.000F       002     0.01    -0.09            </t>
  </si>
  <si>
    <t xml:space="preserve">   9795   69  0   0.953     6.5     0.0    36.9         0.0     9.8     0.0</t>
  </si>
  <si>
    <t xml:space="preserve">  ENCANT-RS069    -62.4     0.0     0.0    12.7         0.0     0.0     0.0                                          </t>
  </si>
  <si>
    <t xml:space="preserve">                           46.0    55.0    55.0       69.6%                  9796 ROCSAL-RS069  1   -30.4    -2.9    32.0                      0.69     0.97            </t>
  </si>
  <si>
    <t xml:space="preserve">   9796   69  0   0.979     1.3     0.0     8.9         0.0     3.4     0.0</t>
  </si>
  <si>
    <t xml:space="preserve">  ROCSAL-RS069    -60.5     0.0     0.0     2.2         0.0     0.0     0.0                                          </t>
  </si>
  <si>
    <t xml:space="preserve">                           46.0    55.0    55.0       69.6%                  9795 ENCANT-RS069  1    31.1     3.9    32.0                      0.69     0.97            </t>
  </si>
  <si>
    <t xml:space="preserve">                           46.0    55.0    55.0       86.1%                  9797 ARMEIO-RS069  1   -38.7    -2.6    39.6                      1.57     2.27            </t>
  </si>
  <si>
    <t xml:space="preserve">   9797   69  0   1.024     2.3     0.0    23.0         0.0     0.0     0.0</t>
  </si>
  <si>
    <t xml:space="preserve">  ARMEIO-RS069    -57.1     0.0     0.0     4.7         0.0     0.0     0.0                                          </t>
  </si>
  <si>
    <t xml:space="preserve">                           67.0    81.0    81.0       89.9%                  2081 LAJEA2-RS069  1   -61.0    -9.6    60.3                      1.02     2.12            </t>
  </si>
  <si>
    <t xml:space="preserve">              DESLIGADO    46.0    55.0    55.0                              9781 LAJEA1-RS069  1     0.0     0.0     0.0                      0.00     0.00            </t>
  </si>
  <si>
    <t xml:space="preserve">                           46.0    55.0    55.0       86.1%                  9796 ROCSAL-RS069  1    40.3     4.9    39.6                      1.57     2.27            </t>
  </si>
  <si>
    <t xml:space="preserve">   9798   69  0   1.023    17.4     0.0    43.7         0.0     0.0     0.0</t>
  </si>
  <si>
    <t xml:space="preserve">  CERTE2-RS069    -54.4     0.0     0.0     6.1         0.0     0.0     0.0                                          </t>
  </si>
  <si>
    <t xml:space="preserve">                           68.0    68.0    68.0       19.5%                  9782 LAJEA3-RS069  1   -13.2    -3.1    13.2                      0.04    -0.02            </t>
  </si>
  <si>
    <t xml:space="preserve">                           68.0    68.0    68.0       19.3%                  9782 LAJEA3-RS069  2   -13.1    -3.0    13.1                      0.04    -0.02            </t>
  </si>
  <si>
    <t xml:space="preserve">   9823  138  0   0.999     0.0     0.0     0.0         0.0     0.0     0.0</t>
  </si>
  <si>
    <t xml:space="preserve">  SVP2-A-RS138    -46.8     0.0     0.0     0.0         0.0     0.0     0.0                                          </t>
  </si>
  <si>
    <t xml:space="preserve">                           97.0   141.0   141.0       10.0%                  1274 SVPALM-RS138  1     9.7    -0.7     9.7                      0.01    -0.63            </t>
  </si>
  <si>
    <t xml:space="preserve">                           97.0   141.0   141.0       10.1%                  1285 MARMEL-RS138  1     2.0    -9.6     9.8                      0.03    -2.41            </t>
  </si>
  <si>
    <t xml:space="preserve">                           75.0    90.0    90.0       10.4%                 41386 SVP--1-RS000  1    -5.9     5.1     7.8 0.968*       001     0.00    -0.00            </t>
  </si>
  <si>
    <t xml:space="preserve">                           75.0    90.0    90.0       10.4%                 43475 SVP2-2-RS000  2    -5.9     5.1     7.8 0.968*       001     0.00    -0.00            </t>
  </si>
  <si>
    <t xml:space="preserve">   9829   69  0   1.023     0.0     0.0     0.0         0.0     0.0     0.0</t>
  </si>
  <si>
    <t xml:space="preserve">  FRASLETAP069    -50.5     0.0     0.0     0.0         0.0     0.0     0.0                                          </t>
  </si>
  <si>
    <t xml:space="preserve">                           75.0    90.0    90.0       19.7%                  1207 FARROU-RS069  1   -14.4    -4.6    14.8                      0.03     0.03            </t>
  </si>
  <si>
    <t xml:space="preserve">                           30.0    43.0    43.0       31.6%                  9830 FRASLE-RS069  1     9.2     3.0     9.5                      0.00    -0.00            </t>
  </si>
  <si>
    <t xml:space="preserve">                           75.0    90.0    90.0        7.1%                 10227 TONDO-TAP069  1     5.2     1.6     5.3                      0.00    -0.00            </t>
  </si>
  <si>
    <t xml:space="preserve">   9830   69  0   1.022     0.0     0.0     9.2         0.0     0.0     0.0</t>
  </si>
  <si>
    <t xml:space="preserve">  FRASLE-RS069    -50.5     0.0     0.0     3.0         0.0     0.0     0.0                                          </t>
  </si>
  <si>
    <t xml:space="preserve">                           30.0    43.0    43.0       31.6%                  9829 FRASLETAP069  1    -9.2    -3.0     9.5                      0.00    -0.00            </t>
  </si>
  <si>
    <t xml:space="preserve">   9837   69  0   1.013     8.4     0.0    98.3         0.0     0.0     0.0</t>
  </si>
  <si>
    <t xml:space="preserve">  VINHED-RS069    -50.4     0.0     0.0    45.0         0.0     0.0     0.0                                          </t>
  </si>
  <si>
    <t xml:space="preserve">                          165.0   198.0   198.0       30.1%                 43121 VIN-1--RS000  1   -45.0   -22.5    49.7 1.000F       002     0.01    -0.20            </t>
  </si>
  <si>
    <t xml:space="preserve">                          165.0   198.0   198.0       30.0%                 43123 VIN-2--RS000  2   -44.9   -22.5    49.5 1.000F       002     0.03    -0.20            </t>
  </si>
  <si>
    <t>_x000C_CEPEL - CENTRO DE PESQUISAS DE ENERGIA ELETRICA - PROGRAMA DE ANALISE DE REDES - V11.06.02                                 PAG.  11</t>
  </si>
  <si>
    <t xml:space="preserve">   9911   69  0   1.001     0.0     0.0     0.0         0.0     0.0     0.0</t>
  </si>
  <si>
    <t xml:space="preserve">  IJU1-B-RS069    -50.5     0.0     0.0     0.0         0.0     0.0     0.0                                          </t>
  </si>
  <si>
    <t xml:space="preserve">                         9999.0  9999.0  9999.0        0.0%                  1302 IJUI1--RS069  1    27.1     7.5    28.1                      0.00     0.00            </t>
  </si>
  <si>
    <t xml:space="preserve">                           39.0    49.0    49.0 SUP  108.0%                  1322 IJUI2--RS069  1   -41.8    -5.6    42.1                      1.16     1.97            </t>
  </si>
  <si>
    <t xml:space="preserve">                           25.0    25.0    25.0       59.3%                  9912 IJU1-B-RS023  2    14.7    -1.9    14.8 0.916*               0.00     0.68            </t>
  </si>
  <si>
    <t xml:space="preserve">   9912   23  0   1.101     0.0     0.0     0.0         0.0     8.7     0.0</t>
  </si>
  <si>
    <t xml:space="preserve">  IJU1-B-RS023    -53.0     0.0     0.0     0.0         0.0     0.0     0.0                                          </t>
  </si>
  <si>
    <t xml:space="preserve">                           25.0    25.0    25.0       54.3%                  9911 IJU1-B-RS069  2   -14.7     2.6    13.6                      0.00     0.68            </t>
  </si>
  <si>
    <t xml:space="preserve">                         9999.0  9999.0  9999.0        0.0%                  9913 DEME1B-RS023  1     6.6     4.0     7.0                      0.00     0.00            </t>
  </si>
  <si>
    <t xml:space="preserve">                         9999.0  9999.0  9999.0        0.0%                  9914 CERILU-RS023  1     8.1     2.1     7.6                      0.00     0.00            </t>
  </si>
  <si>
    <t xml:space="preserve">   9913   23  0   1.101     0.8     0.0     7.4         0.0     0.0     0.0</t>
  </si>
  <si>
    <t xml:space="preserve">  DEME1B-RS023    -53.0     0.0     0.0     4.0         0.0     0.0     0.0                                          </t>
  </si>
  <si>
    <t xml:space="preserve">                         9999.0  9999.0  9999.0        0.0%                  9912 IJU1-B-RS023  1    -6.6    -4.0     7.0                      0.00     0.00            </t>
  </si>
  <si>
    <t xml:space="preserve">   9914   23  0   1.101     0.1     0.0     8.2         0.0     0.0     0.0</t>
  </si>
  <si>
    <t xml:space="preserve">  CERILU-RS023    -53.0     0.0     0.0     2.1         0.0     0.0     0.0                                          </t>
  </si>
  <si>
    <t xml:space="preserve">                         9999.0  9999.0  9999.0        0.0%                  9912 IJU1-B-RS023  1    -8.1    -2.1     7.6                      0.00     0.00            </t>
  </si>
  <si>
    <t xml:space="preserve">   9917   69  0   1.012     2.9     0.0     8.1         0.0     0.0     0.0</t>
  </si>
  <si>
    <t xml:space="preserve">  ROQGON-RS069    -41.8     0.0     0.0     2.6         0.0     0.0     0.0                                          </t>
  </si>
  <si>
    <t xml:space="preserve">                         9999.0  9999.0  9999.0        0.0%                  9219 PSJOAO-RS069  1    -5.2    -2.6     5.7                      0.00     0.00            </t>
  </si>
  <si>
    <t xml:space="preserve">   9918  138  0   1.018     2.0     0.0     5.0         0.0     0.0     0.0</t>
  </si>
  <si>
    <t xml:space="preserve">  JCASTI-RS138    -48.5     0.0     0.0     1.2         0.0     0.0     0.0                                          </t>
  </si>
  <si>
    <t xml:space="preserve">                           82.0    82.0    82.0       30.2%                  1216 JACUI--RS138  1   -24.8     4.6    24.7                      0.24    -1.58            </t>
  </si>
  <si>
    <t xml:space="preserve">                           82.0    82.0    82.0       27.0%                  1276 SMARI1-RS138  1    21.8    -5.8    22.1                      0.27    -2.54            </t>
  </si>
  <si>
    <t xml:space="preserve">   9921  138  0   1.032    32.7     0.0   123.5         0.0     3.8     0.0</t>
  </si>
  <si>
    <t xml:space="preserve">  VILMAR-RS138    -49.3     0.0     0.0    51.4         0.0     0.0     0.0                                          </t>
  </si>
  <si>
    <t xml:space="preserve">                           70.0    90.0    90.0       16.7%                 10029 MARAU2-RS138  1    11.8     2.6    11.7                      0.02    -1.05            </t>
  </si>
  <si>
    <t xml:space="preserve">                          150.0   180.0   180.0       36.9%                 43811 VILM-1-RS000  1   -51.3   -25.1    55.3 1.000F       002    -0.05    -0.32            </t>
  </si>
  <si>
    <t xml:space="preserve">                          150.0   180.0   180.0       36.9%                 43813 VILM-2-RS000  2   -51.3   -25.1    55.3 1.000F       002    -0.05    -0.32            </t>
  </si>
  <si>
    <t xml:space="preserve">   9962   69  0   1.012     0.0     0.0     0.0         0.0     0.0     0.0</t>
  </si>
  <si>
    <t xml:space="preserve">  PALEG1-RS069    -54.5     0.0     0.0     0.0         0.0     0.0     0.0                                          </t>
  </si>
  <si>
    <t xml:space="preserve">                           90.0    90.0    90.0       26.9%                  9234 PALE1A-RS069  1    24.1     4.4    24.2                      0.00     0.00            </t>
  </si>
  <si>
    <t xml:space="preserve">                           90.0    90.0    90.0       27.6%                  9235 PALE1B-RS069  1    25.1    -0.2    24.8                      0.00     0.00            </t>
  </si>
  <si>
    <t xml:space="preserve">                          100.0   100.0   100.0       20.7%                  9255 FLORES-RS069  1    20.6    -3.6    20.7                      0.01    -1.30            </t>
  </si>
  <si>
    <t xml:space="preserve">                           84.0   101.0   101.0        6.0%                  9277 ZAFFAR-RS069  1     2.3    -4.6     5.1                      0.00    -0.40            </t>
  </si>
  <si>
    <t xml:space="preserve">                           80.0    95.0    95.0       19.3%                  9554 GERPALTAP069  1    15.2    -3.6    15.5                      0.03     0.02            </t>
  </si>
  <si>
    <t xml:space="preserve">                           83.0   100.0   100.0       34.8%                 43843 PAL1-1-RS000  1   -29.1     2.5    28.9 1.000F       002    -0.02    -0.10            </t>
  </si>
  <si>
    <t xml:space="preserve">                           83.0   100.0   100.0       34.8%                 43849 PAL1-3-RS000  3   -29.1     2.5    28.9 1.000F       002    -0.02    -0.10            </t>
  </si>
  <si>
    <t xml:space="preserve">                           83.0   100.0   100.0       34.8%                 43856 PAL1-2-RS000  2   -29.1     2.5    28.9 1.000F       002    -0.02    -0.10            </t>
  </si>
  <si>
    <t xml:space="preserve">   9964  138  0   1.003     2.9     0.0    25.6         0.0     3.6     0.0</t>
  </si>
  <si>
    <t xml:space="preserve">  BPRINC-RS138    -53.2     0.0     0.0    13.6         0.0     0.0     0.0                                          </t>
  </si>
  <si>
    <t xml:space="preserve">              DESLIGADO   134.0   162.0   162.0                              1280 SAOSCA-RS138  1     0.0     0.0     0.0                      0.00     0.00            </t>
  </si>
  <si>
    <t xml:space="preserve">                          197.0   240.0   240.0       12.5%                 10299 IVOTI2-RS138  1   -22.7   -10.0    24.7                      0.08    -1.19            </t>
  </si>
  <si>
    <t xml:space="preserve">   9965  138  0   1.009     0.0     0.0    16.8         0.0     0.0     0.0</t>
  </si>
  <si>
    <t xml:space="preserve">  IVOTI--RS138    -52.7     0.0     0.0     6.5         0.0     0.0     0.0                                          </t>
  </si>
  <si>
    <t xml:space="preserve">                          134.0   162.0   162.0       22.6%                  1184 2IRMAO-RS138  1    27.3    13.9    30.3                      0.06    -0.30            </t>
  </si>
  <si>
    <t xml:space="preserve">                          134.0   162.0   162.0       22.5%                  1241 EVELHA-RS138  1    30.4     1.3    30.2                      0.02     0.05            </t>
  </si>
  <si>
    <t xml:space="preserve">                          197.0   240.0   240.0       39.0%                 10299 IVOTI2-RS138  1   -74.5   -21.7    76.9                      0.11     0.33            </t>
  </si>
  <si>
    <t xml:space="preserve">   9967   69  0   1.013     0.0     0.0     0.0         0.0     0.0     0.0</t>
  </si>
  <si>
    <t xml:space="preserve">  PA16-2TAP069    -55.1     0.0     0.0     0.0         0.0     0.0     0.0                                          </t>
  </si>
  <si>
    <t xml:space="preserve">                           54.0    79.0    79.0       31.4%                  1262 PALGR6-RS069  1   -17.1    -1.3    16.9                      0.05     0.10            </t>
  </si>
  <si>
    <t xml:space="preserve">                           84.0   101.0   101.0       20.2%                  9269 PALE16-RS069  1    17.1     1.3    16.9                      0.03     0.06            </t>
  </si>
  <si>
    <t xml:space="preserve">  10007   69  0   1.016     0.0     0.0     0.0         0.0     0.0     0.0</t>
  </si>
  <si>
    <t xml:space="preserve">  JBOTAN-RS069    -54.9     0.0     0.0     0.0         0.0     0.0     0.0                                          </t>
  </si>
  <si>
    <t xml:space="preserve">                           84.0   101.0   101.0       73.9%                  9247 PAL12--RS069  1    62.9     4.7    62.1                      0.00     0.01            </t>
  </si>
  <si>
    <t xml:space="preserve">                           84.0   101.0   101.0       12.7%                  9248 P12-2Y-RS069  1    10.8    -0.1    10.6                      0.01    -0.07            </t>
  </si>
  <si>
    <t xml:space="preserve">                           84.0   101.0   101.0       11.9%                  9249 P12-1Y-RS069  1    -9.9     2.0    10.0                      0.00    -0.07            </t>
  </si>
  <si>
    <t xml:space="preserve">                          100.0   100.0   100.0       38.3%                  9267 PALEG5-RS069  1    38.2    -7.1    38.3                      0.04    -2.09            </t>
  </si>
  <si>
    <t xml:space="preserve">                           50.0    50.0    50.0       17.9%                  9306 SHIGUA-RS069  1     8.6     2.9     8.9                      0.01    -0.69            </t>
  </si>
  <si>
    <t xml:space="preserve">                           83.0   100.0   100.0       43.7%                 43841 JBOT-3-RS000  3   -36.8    -0.8    36.3 1.000F       002     0.02    -0.13            </t>
  </si>
  <si>
    <t xml:space="preserve">                           83.0   100.0   100.0       43.8%                 43925 JBOT-2-RS000  2   -37.0    -0.8    36.4 1.000F       002     0.02    -0.13            </t>
  </si>
  <si>
    <t xml:space="preserve">                           83.0   100.0   100.0       43.7%                 43927 JBOT-1-RS000  1   -36.8    -0.9    36.3 1.000F       002     0.02    -0.13            </t>
  </si>
  <si>
    <t xml:space="preserve">  10022   69  0   1.007     0.0     0.0     0.0         0.0     0.0     0.0</t>
  </si>
  <si>
    <t xml:space="preserve">  COOLUZ-RS069    -48.3     0.0     0.0     0.0         0.0     0.0     0.0                                          </t>
  </si>
  <si>
    <t xml:space="preserve">                           60.0    70.0    70.0       19.5%                  1282 SROSA--RS069  1   -10.9    -4.5    11.7                      0.01    -0.01            </t>
  </si>
  <si>
    <t xml:space="preserve">                           20.0    20.0    20.0       58.6%                 10023 COOLUZ-RS023  1    10.9     4.5    11.7 0.974*               0.00     0.52            </t>
  </si>
  <si>
    <t xml:space="preserve">  10023   23  0   1.017     4.0     0.0    14.9         0.0     0.0     0.0</t>
  </si>
  <si>
    <t xml:space="preserve">  COOLUZ-RS023    -50.6     0.0     0.0     4.0         0.0     0.0     0.0                                          </t>
  </si>
  <si>
    <t xml:space="preserve">                           20.0    20.0    20.0       57.1%                 10022 COOLUZ-RS069  1   -10.9    -4.0    11.4                      0.00     0.52            </t>
  </si>
  <si>
    <t xml:space="preserve">  10024   69  0   1.013     0.0     0.0     8.6         0.0     0.0     0.0</t>
  </si>
  <si>
    <t xml:space="preserve">  HOSCLI-RS069    -55.3     0.0     0.0     3.7         0.0     0.0     0.0                                          </t>
  </si>
  <si>
    <t xml:space="preserve">                           80.0    95.0    95.0       46.1%                  1269 PALG10-RS069  1   -37.0    -5.4    36.9                      0.04     0.11            </t>
  </si>
  <si>
    <t xml:space="preserve">                           80.0    95.0    95.0       35.1%                  9257 MENDEU-RS069  1    28.4     1.7    28.1                      0.09    -1.68            </t>
  </si>
  <si>
    <t xml:space="preserve">  10028   23  0   1.035     0.0     0.0     2.0         0.0     0.0     0.0</t>
  </si>
  <si>
    <t xml:space="preserve">  JACUIC-RS023    -48.6     0.0     0.0     0.8         0.0     0.0     0.0                                          </t>
  </si>
  <si>
    <t xml:space="preserve">                         9999.0  9999.0  9999.0        0.0%                  1220 JACUIR-RS023  1    -2.0    -0.8     2.1                      0.00     0.00            </t>
  </si>
  <si>
    <t xml:space="preserve">  10029  138  0   1.029     0.0     0.0    11.8         0.0     0.0     0.0</t>
  </si>
  <si>
    <t xml:space="preserve">  MARAU2-RS138    -49.5     0.0     0.0     3.6         0.0     0.0     0.0                                          </t>
  </si>
  <si>
    <t xml:space="preserve">                           70.0    90.0    90.0       17.1%                  9921 VILMAR-RS138  1   -11.8    -3.6    12.0                      0.02    -1.05            </t>
  </si>
  <si>
    <t xml:space="preserve">  10054   69  0   1.013     0.0     0.0     2.7         0.0     0.0     0.0</t>
  </si>
  <si>
    <t xml:space="preserve">  HOCONC-RS069    -54.5     0.0     0.0     0.9         0.0     0.0     0.0                                          </t>
  </si>
  <si>
    <t xml:space="preserve">                           80.0    95.0    95.0       10.0%                  1271 PALGR8-RS069  1    -4.5    -6.8     8.0                      0.00    -0.03            </t>
  </si>
  <si>
    <t xml:space="preserve">                           80.0    95.0    95.0        7.6%                  9277 ZAFFAR-RS069  1     1.8     5.9     6.1                      0.00    -0.01            </t>
  </si>
  <si>
    <t xml:space="preserve">  10111   35  0   1.003     0.0     0.0     0.0         0.0     0.0     0.0</t>
  </si>
  <si>
    <t xml:space="preserve">  XANGRI-RS034    -48.1     0.0     0.0     0.0         0.0     0.0     0.0                                          </t>
  </si>
  <si>
    <t xml:space="preserve">                           33.0    33.0    33.0       25.2%                  9182 XANGRI-RS069  1     8.3    -1.0     8.3                      0.01     0.27            </t>
  </si>
  <si>
    <t xml:space="preserve">                         9999.0  9999.0  9999.0        0.0%                  9183 XANGRIEOL034  1    -8.3     1.0     8.3                      0.02    -0.11            </t>
  </si>
  <si>
    <t xml:space="preserve">  10122   35  0   1.012    17.1     0.0     0.0         0.0     0.0     0.0</t>
  </si>
  <si>
    <t xml:space="preserve">  PALMAREOL034    -44.7     0.0     0.0     0.0         0.0     0.0     0.0                                          </t>
  </si>
  <si>
    <t xml:space="preserve">                         9999.0  9999.0  9999.0        0.0%                  9727 COLPAL-RS034  1    17.1     0.0    16.9              002     0.06    -0.74            </t>
  </si>
  <si>
    <t xml:space="preserve">  10123   35  0   1.013     0.0     0.0     0.0         0.0     0.0     0.0</t>
  </si>
  <si>
    <t xml:space="preserve">  CIDREI-RS034    -45.7     0.0     0.0     0.0         0.0     0.0     0.0                                          </t>
  </si>
  <si>
    <t xml:space="preserve">                           82.0    82.0    82.0       25.5%                  1321 CIDR13-RS069  1    21.2     0.1    20.9                      0.00     0.71            </t>
  </si>
  <si>
    <t xml:space="preserve">                         9999.0  9999.0  9999.0        0.0%                  1347 CIDREIEOL034  1   -21.2    -0.1    20.9                      0.09    -2.16            </t>
  </si>
  <si>
    <t xml:space="preserve">  10142   14  0   1.043     3.2     0.0    21.8         0.0     0.0     0.0</t>
  </si>
  <si>
    <t xml:space="preserve">  LAJE2B-RS013    -58.8     0.0     0.0     6.1         0.0     0.0     0.0                                          </t>
  </si>
  <si>
    <t xml:space="preserve">                           25.0    37.0    37.0       75.0%                  2081 LAJEA2-RS069  5   -18.6    -6.1    18.8                      0.00     1.32            </t>
  </si>
  <si>
    <t xml:space="preserve">              DESLIGADO  9999.0  9999.0  9999.0                              2083 LAJE2A-RS013  1     0.0     0.0     0.0                      0.00     0.00            </t>
  </si>
  <si>
    <t xml:space="preserve">  10169  138  0   0.981     0.0     0.0     0.0         0.0     0.0     0.0</t>
  </si>
  <si>
    <t xml:space="preserve">  FORMIG-RS138    -51.6     0.0     0.0     0.0         0.0     0.0     0.0                                          </t>
  </si>
  <si>
    <t xml:space="preserve">                          134.0   162.0   162.0       19.8%                  1383 SMARI3-RS138  1   -21.6   -14.4    26.5                      0.41    -3.08            </t>
  </si>
  <si>
    <t xml:space="preserve">                           37.5    55.0    55.0       35.3%                 10170 FORMIG-RS069  1    10.8     7.2    13.2 0.964*               0.02     0.33            </t>
  </si>
  <si>
    <t xml:space="preserve">                           37.5    55.0    55.0       35.3%                 10170 FORMIG-RS069  2    10.8     7.2    13.2 0.964*               0.02     0.33            </t>
  </si>
  <si>
    <t xml:space="preserve">  10170   69  0   1.003     4.3     0.0    32.7         0.0     0.0     0.0</t>
  </si>
  <si>
    <t xml:space="preserve">  FORMIG-RS069    -52.8     0.0     0.0    13.7         0.0     0.0     0.0                                          </t>
  </si>
  <si>
    <t xml:space="preserve">                           37.5    55.0    55.0       34.0%                 10169 FORMIG-RS138  1   -10.8    -6.9    12.8                      0.02     0.33            </t>
  </si>
  <si>
    <t xml:space="preserve">                           37.5    55.0    55.0       34.0%                 10169 FORMIG-RS138  2   -10.8    -6.9    12.8                      0.02     0.33            </t>
  </si>
  <si>
    <t xml:space="preserve">                         9999.0  9999.0  9999.0        0.0%                 10314 SAOSEPUTE001  1    -6.8     0.0     6.8                      0.00     0.01            </t>
  </si>
  <si>
    <t xml:space="preserve">  10206   23  0   1.123     4.6     0.0     2.6         0.0     0.0     0.0</t>
  </si>
  <si>
    <t xml:space="preserve">  CERMIS-RS023    -47.0     0.0     0.0     1.1         0.0     0.0     0.0                                          </t>
  </si>
  <si>
    <t xml:space="preserve">                         9999.0  9999.0  9999.0        0.0%                  9285 SANGEL-RS023  1     2.0    -1.1     2.0                      0.00     0.00            </t>
  </si>
  <si>
    <t xml:space="preserve">  10208   14  0   1.028     0.0     0.0     1.7         0.0     0.0     0.0</t>
  </si>
  <si>
    <t xml:space="preserve">  SMARTA-RS013    -49.4     0.0     0.0     0.7         0.0     0.0     0.0                                          </t>
  </si>
  <si>
    <t xml:space="preserve">                           12.5    12.5    12.5       14.3%                  1275 SMARTA-RS138  1    -1.7    -0.7     1.8                      0.00     0.02            </t>
  </si>
  <si>
    <t xml:space="preserve">  10211   69  0   1.005     4.6     0.0    19.9         0.0     0.0     0.0</t>
  </si>
  <si>
    <t xml:space="preserve">  CERMIS-RS069    -44.5     0.0     0.0     6.6         0.0     0.0     0.0                                          </t>
  </si>
  <si>
    <t xml:space="preserve">                         9999.0  9999.0  9999.0        0.0%                  2079 MISSOE-RS069  1   -15.3    -6.6    16.6                      0.00     0.00            </t>
  </si>
  <si>
    <t xml:space="preserve">  10217  138  0   1.032     0.0     0.0     0.0         0.0     0.0     0.0</t>
  </si>
  <si>
    <t xml:space="preserve">  CAXNOR-RS138    -48.2     0.0     0.0     0.0         0.0     0.0     0.0                                          </t>
  </si>
  <si>
    <t xml:space="preserve">                          197.0   240.0   240.0       22.3%                 10220 CAXIA8-RS138  1    41.5    18.1    43.8                      0.15    -0.32            </t>
  </si>
  <si>
    <t xml:space="preserve">                          197.0   240.0   240.0       22.3%                 10220 CAXIA8-RS138  2    41.5    18.1    43.8                      0.15    -0.32            </t>
  </si>
  <si>
    <t xml:space="preserve">                          225.0   270.0   270.0       13.0%                 43428 CXN--4-RS000  4   -27.6   -12.0    29.2 1.000F       002     0.02     0.27            </t>
  </si>
  <si>
    <t xml:space="preserve">                          225.0   270.0   270.0       13.0%                 43429 CXN--5-RS000  5   -27.6   -12.0    29.2 1.000F       002     0.02     0.27            </t>
  </si>
  <si>
    <t xml:space="preserve">                          225.0   270.0   270.0       13.0%                 43430 CXN--6-RS000  6   -27.6   -12.0    29.2 1.000F       002     0.02     0.27            </t>
  </si>
  <si>
    <t xml:space="preserve">  10219   69  0   1.041     1.7     0.0    21.4         0.0     9.7     0.0</t>
  </si>
  <si>
    <t xml:space="preserve">  CALTA2-RS069    -49.2     0.0     0.0     8.4         0.0     0.0     0.0                                          </t>
  </si>
  <si>
    <t xml:space="preserve">                           84.0   101.0   101.0       13.5%                  1301 CALTA1-RS069  1    11.7    -1.0    11.3                      0.03    -0.06            </t>
  </si>
  <si>
    <t xml:space="preserve">                           84.0   101.0   101.0       13.5%                  1301 CALTA1-RS069  2    11.7    -1.0    11.3                      0.03    -0.06            </t>
  </si>
  <si>
    <t xml:space="preserve">                           83.0   100.0   100.0       25.0%                 43839 CAL--1-RS000  1   -21.6     1.6    20.8 1.000F       002     0.01    -0.04            </t>
  </si>
  <si>
    <t xml:space="preserve">                           83.0   100.0   100.0       25.0%                 43840 CAL--2-RS000  2   -21.6     1.6    20.8 1.000F       002     0.01    -0.04            </t>
  </si>
  <si>
    <t>_x000C_CEPEL - CENTRO DE PESQUISAS DE ENERGIA ELETRICA - PROGRAMA DE ANALISE DE REDES - V11.06.02                                 PAG.  12</t>
  </si>
  <si>
    <t xml:space="preserve">  10220  138  0   1.022     2.6     0.0    30.6         0.0     7.5     0.0</t>
  </si>
  <si>
    <t xml:space="preserve">  CAXIA8-RS138    -49.0     0.0     0.0    13.8         0.0     0.0     0.0                                          </t>
  </si>
  <si>
    <t xml:space="preserve">                          197.0   240.0   240.0       22.5%                 10217 CAXNOR-RS138  1   -41.3   -18.4    44.2                      0.15    -0.32            </t>
  </si>
  <si>
    <t xml:space="preserve">                          197.0   240.0   240.0       22.5%                 10217 CAXNOR-RS138  2   -41.3   -18.4    44.2                      0.15    -0.32            </t>
  </si>
  <si>
    <t xml:space="preserve">                           50.0    50.0    50.0       61.2%                 10221 CAXIA8-RS069  1    27.3    15.2    30.6 0.972*               0.00     1.77            </t>
  </si>
  <si>
    <t xml:space="preserve">                           50.0    50.0    50.0       61.2%                 10221 CAXIA8-RS069  2    27.3    15.2    30.6 0.972*               0.00     1.77            </t>
  </si>
  <si>
    <t xml:space="preserve">  10221   69  0   1.023     0.0     0.0     0.0         0.0     0.0     0.0</t>
  </si>
  <si>
    <t xml:space="preserve">  CAXIA8-RS069    -51.9     0.0     0.0     0.0         0.0     0.0     0.0                                          </t>
  </si>
  <si>
    <t xml:space="preserve">                           50.0    50.0    50.0       59.5%                 10220 CAXIA8-RS138  1   -27.3   -13.5    29.7                      0.00     1.77            </t>
  </si>
  <si>
    <t xml:space="preserve">                           50.0    50.0    50.0       59.5%                 10220 CAXIA8-RS138  2   -27.3   -13.5    29.7                      0.00     1.77            </t>
  </si>
  <si>
    <t xml:space="preserve">                           75.0    90.0    90.0       79.3%                 10222 LUPATETAP069  1    54.6    26.9    59.5                      0.11     0.34            </t>
  </si>
  <si>
    <t xml:space="preserve">              DESLIGADO    75.0    90.0    90.0                             10227 TONDO-TAP069  1     0.0     0.0     0.0                      0.00     0.00            </t>
  </si>
  <si>
    <t xml:space="preserve">  10222   69  0   1.019     0.0     0.0     0.0         0.0     0.0     0.0</t>
  </si>
  <si>
    <t xml:space="preserve">  LUPATETAP069    -52.1     0.0     0.0     0.0         0.0     0.0     0.0                                          </t>
  </si>
  <si>
    <t xml:space="preserve">                           75.0    90.0    90.0       77.2%                  1187 CAXIA1-RS069  1    52.9    26.1    57.9                      0.29     0.88            </t>
  </si>
  <si>
    <t xml:space="preserve">                           75.0    90.0    90.0       79.3%                 10221 CAXIA8-RS069  1   -54.5   -26.6    59.5                      0.11     0.34            </t>
  </si>
  <si>
    <t xml:space="preserve">                           30.0    43.0    43.0        5.5%                 10223 LUPATE-RS069  1     1.6     0.5     1.6                      0.00    -0.03            </t>
  </si>
  <si>
    <t xml:space="preserve">  10223   69  0   1.019     0.0     0.0     1.6         0.0     0.0     0.0</t>
  </si>
  <si>
    <t xml:space="preserve">  LUPATE-RS069    -52.1     0.0     0.0     0.5         0.0     0.0     0.0                                          </t>
  </si>
  <si>
    <t xml:space="preserve">                           30.0    43.0    43.0        5.5%                 10222 LUPATETAP069  1    -1.6    -0.5     1.6                      0.00    -0.03            </t>
  </si>
  <si>
    <t xml:space="preserve">  10226   14  0   1.059     0.0     0.0    21.5         0.0     0.0     0.0</t>
  </si>
  <si>
    <t xml:space="preserve">  CAX5-C-RS013    -50.7     0.0     0.0     6.0         0.0     0.0     0.0                                          </t>
  </si>
  <si>
    <t xml:space="preserve">                           50.0    60.0    60.0       42.2%                 43873 CAX5-4-RS000  4   -21.5    -6.0    21.1 1.000F       002     0.01    -0.07            </t>
  </si>
  <si>
    <t xml:space="preserve">  10227   69  0   1.022     0.0     0.0     0.0         0.0     0.0     0.0</t>
  </si>
  <si>
    <t xml:space="preserve">  TONDO-TAP069    -50.5     0.0     0.0     0.0         0.0     0.0     0.0                                          </t>
  </si>
  <si>
    <t xml:space="preserve">                           75.0    90.0    90.0        7.1%                  9829 FRASLETAP069  1    -5.2    -1.6     5.3                      0.00    -0.00            </t>
  </si>
  <si>
    <t xml:space="preserve">              DESLIGADO    75.0    90.0    90.0                             10221 CAXIA8-RS069  1     0.0    -0.1     0.1                      0.00    -0.06 1.022 -50.5</t>
  </si>
  <si>
    <t xml:space="preserve">                           67.0    81.0    81.0        8.0%                 10228 TONDO--RS069  1     5.2     1.7     5.3                      0.00    -0.01            </t>
  </si>
  <si>
    <t xml:space="preserve">  10228   69  0   1.022     0.0     0.0     5.2         0.0     0.0     0.0</t>
  </si>
  <si>
    <t xml:space="preserve">  TONDO--RS069    -50.5     0.0     0.0     1.7         0.0     0.0     0.0                                          </t>
  </si>
  <si>
    <t xml:space="preserve">                           67.0    81.0    81.0        8.0%                 10227 TONDO-TAP069  1    -5.2    -1.7     5.4                      0.00    -0.01            </t>
  </si>
  <si>
    <t xml:space="preserve">  10239   69  0   1.016     0.0     0.0     5.1         0.0     0.0     0.0</t>
  </si>
  <si>
    <t xml:space="preserve">  UFRGS--RS069    -54.6     0.0     0.0     2.2         0.0     0.0     0.0                                          </t>
  </si>
  <si>
    <t xml:space="preserve">                           30.0    35.0    35.0       18.2%                  1262 PALGR6-RS069  1    -5.1    -2.2     5.5                      0.00    -0.49            </t>
  </si>
  <si>
    <t xml:space="preserve">  10240   69  0   1.011     0.0     0.0     5.5         0.0     0.0     0.0</t>
  </si>
  <si>
    <t xml:space="preserve">  FRAPOR-RS069    -55.1     0.0     0.0     2.2         0.0     0.0     0.0                                          </t>
  </si>
  <si>
    <t xml:space="preserve">                           80.0    95.0    95.0        7.3%                  9256 PALE20-RS069  1    -5.5    -2.2     5.9                      0.00    -0.05            </t>
  </si>
  <si>
    <t xml:space="preserve">  10255   69  0   1.017     5.9     0.0    59.1         0.0     0.0     0.0</t>
  </si>
  <si>
    <t xml:space="preserve">  CERTE1-RS069    -55.4     0.0     0.0     6.4         0.0     0.0     0.0                                          </t>
  </si>
  <si>
    <t xml:space="preserve">                           68.0    68.0    68.0       38.7%                  9782 LAJEA3-RS069  1   -26.6    -3.2    26.3                      0.20     0.49            </t>
  </si>
  <si>
    <t xml:space="preserve">                           68.0    68.0    68.0       38.7%                  9782 LAJEA3-RS069  2   -26.6    -3.2    26.3                      0.20     0.49            </t>
  </si>
  <si>
    <t xml:space="preserve">  10264   23  0   1.051     1.1     0.0    13.9         0.0     4.0     0.0</t>
  </si>
  <si>
    <t xml:space="preserve">  ELDO-B-RS023    -53.4     0.0     0.0     4.7         0.0     0.0     0.0                                          </t>
  </si>
  <si>
    <t xml:space="preserve">                           75.0    90.0    90.0       16.3%                 43918 ELDO-2-RS000  2   -12.8    -0.7    12.2 1.000F       002     0.00    -0.01            </t>
  </si>
  <si>
    <t xml:space="preserve">  10265   23  0   1.052     0.0     0.0     9.5         0.0     8.0     0.0</t>
  </si>
  <si>
    <t xml:space="preserve">  GRAV-B-RS023    -52.3     0.0     0.0     3.6         0.0     0.0     0.0                                          </t>
  </si>
  <si>
    <t xml:space="preserve">                           75.0    90.0    90.0       13.3%                 43920 GRA2-4-RS000  4    -9.5     4.4     9.9 1.000F       002     0.00    -0.01            </t>
  </si>
  <si>
    <t xml:space="preserve">  10266   14  0   1.060     1.0     0.0    17.3         0.0     0.0     0.0</t>
  </si>
  <si>
    <t xml:space="preserve">  PAL6-B-RS013    -57.8     0.0     0.0     4.9         0.0     0.0     0.0                                          </t>
  </si>
  <si>
    <t xml:space="preserve">                         9999.0  9999.0  9999.0        0.0%                 43497 PAL6-7-RS000  7   -16.3    -4.9    16.1 1.000F       002     0.03     1.05            </t>
  </si>
  <si>
    <t xml:space="preserve">  10267   14  0   1.075     1.4     0.0    21.0         0.0     4.2     0.0</t>
  </si>
  <si>
    <t xml:space="preserve">  PAL9-B-RS013    -55.0     0.0     0.0     4.6         0.0     0.0     0.0                                          </t>
  </si>
  <si>
    <t xml:space="preserve">                           75.0    90.0    90.0       24.3%                 43878 PAL9-6-RS000  6   -19.6    -0.4    18.2 1.000F       002     0.00    -0.02            </t>
  </si>
  <si>
    <t xml:space="preserve">  10277   69  0   1.046     0.0     0.0     0.0         0.0     3.9     0.0</t>
  </si>
  <si>
    <t xml:space="preserve">  CHARQ3-RS069    -51.9     0.0     0.0     0.0         0.0     0.0     0.0                                          </t>
  </si>
  <si>
    <t xml:space="preserve">              DESLIGADO    54.0    79.0    79.0                              1197 GUAIB2-RS069  1     0.0     0.0     0.0                      0.00     0.00            </t>
  </si>
  <si>
    <t xml:space="preserve">                           48.0    48.0    48.0       29.6%                  1208 TRIUNF-RS069  1    13.8     5.5    14.2                      0.11     0.06            </t>
  </si>
  <si>
    <t xml:space="preserve">                           46.0    55.0    55.0       49.6%                  1304 TAQUAR-RS069  1    21.4    10.6    22.8                      1.29     1.64            </t>
  </si>
  <si>
    <t xml:space="preserve">                          150.0   180.0   180.0       22.6%                 10278 CHQ3-1-RS000  1   -33.4   -11.9    33.9 1.000F       002     0.01    -0.05            </t>
  </si>
  <si>
    <t xml:space="preserve">                          150.0   180.0   180.0       22.6%                 10280 CHQ3-2-RS000  2   -33.4   -11.9    33.9 1.000F       002     0.01    -0.05            </t>
  </si>
  <si>
    <t xml:space="preserve">                           69.0    88.0    88.0       46.7%                 10319 CHARQ2-RS069  1    31.7    11.6    32.2                      0.05     0.14            </t>
  </si>
  <si>
    <t xml:space="preserve">  10299  138  0   1.013     0.0     0.0     0.0         0.0     0.0     0.0</t>
  </si>
  <si>
    <t xml:space="preserve">  IVOTI2-RS138    -52.4     0.0     0.0     0.0         0.0     0.0     0.0                                          </t>
  </si>
  <si>
    <t xml:space="preserve">                          197.0   240.0   240.0       12.2%                  9964 BPRINC-RS138  1    22.8     8.8    24.1                      0.08    -1.19            </t>
  </si>
  <si>
    <t xml:space="preserve">                          197.0   240.0   240.0       39.0%                  9965 IVOTI--RS138  1    74.6    22.0    76.8                      0.11     0.33            </t>
  </si>
  <si>
    <t xml:space="preserve">                          150.0   180.0   180.0       33.6%                 10300 IVO2-1-RS000  1   -48.7   -15.4    50.4 1.007*       002     0.02    -0.12            </t>
  </si>
  <si>
    <t xml:space="preserve">                          150.0   180.0   180.0       33.6%                 10301 IVO2-2-RS000  2   -48.7   -15.4    50.4 1.007*       002     0.02    -0.12            </t>
  </si>
  <si>
    <t xml:space="preserve">  10308  138  0   1.018     0.0     0.0     0.0         0.0     0.0     0.0</t>
  </si>
  <si>
    <t xml:space="preserve">  SSCAI2-RS138    -51.4     0.0     0.0     0.0         0.0     0.0     0.0                                          </t>
  </si>
  <si>
    <t xml:space="preserve">                          134.0   162.0   162.0       30.6%                  1237 MONTEN-RS138  1    40.3    11.0    41.0                      0.28    -0.41            </t>
  </si>
  <si>
    <t xml:space="preserve">                          134.0   162.0   162.0       11.3%                  1280 SAOSCA-RS138  1    14.8     4.3    15.1                      0.01    -0.26            </t>
  </si>
  <si>
    <t xml:space="preserve">                          134.0   162.0   162.0       11.3%                  1280 SAOSCA-RS138  2    14.8     4.3    15.1                      0.01    -0.26            </t>
  </si>
  <si>
    <t xml:space="preserve">              DESLIGADO   134.0   162.0   162.0                              2076 PORTAO-RS138  1     0.0     0.0     0.0                      0.00     0.00            </t>
  </si>
  <si>
    <t xml:space="preserve">                          150.0   180.0   180.0       23.7%                 10309 SSC2-1-RS000  1   -34.9    -9.8    35.6 1.007*       002     0.01    -0.06            </t>
  </si>
  <si>
    <t xml:space="preserve">                          150.0   180.0   180.0       23.7%                 10310 SSC2-2-RS000  2   -34.9    -9.8    35.6 1.007*       002     0.01    -0.06            </t>
  </si>
  <si>
    <t xml:space="preserve">  10313   69  0   1.012     0.2     0.0     3.0         0.0     0.0     0.0</t>
  </si>
  <si>
    <t xml:space="preserve">  CERTA3-RS069    -54.8     0.0     0.0     0.2         0.0     0.0     0.0                                          </t>
  </si>
  <si>
    <t xml:space="preserve">                         9999.0  9999.0  9999.0        0.0%                  1298 VENAIR-RS069  1    -2.8    -0.2     2.8                      0.00     0.00            </t>
  </si>
  <si>
    <t xml:space="preserve">  10314   69  0   1.003     6.8     0.0     0.0         0.0     0.0     0.0</t>
  </si>
  <si>
    <t xml:space="preserve">  SAOSEPUTE001    -52.7     0.0     0.0     0.0         0.0     0.0     0.0                                          </t>
  </si>
  <si>
    <t xml:space="preserve">                         9999.0  9999.0  9999.0        0.0%                 10170 FORMIG-RS069  1     6.8    -0.0     6.8                      0.00     0.01            </t>
  </si>
  <si>
    <t xml:space="preserve">  10319   69  0   1.043     6.4     0.0    38.0         0.0     3.9     0.0</t>
  </si>
  <si>
    <t xml:space="preserve">  CHARQ2-RS069    -52.1     0.0     0.0    15.4         0.0     0.0     0.0                                          </t>
  </si>
  <si>
    <t xml:space="preserve">                           69.0    88.0    88.0       46.7%                 10277 CHARQ3-RS069  1   -31.6   -11.5    32.2                      0.05     0.14            </t>
  </si>
  <si>
    <t xml:space="preserve">  10321  138  0   1.019     0.0     0.0    19.3         0.0     0.0     0.0</t>
  </si>
  <si>
    <t xml:space="preserve">  ESTEI2-RS138    -52.3     0.0     0.0     7.2         0.0     0.0     0.0                                          </t>
  </si>
  <si>
    <t xml:space="preserve">                          167.0   203.0   203.0        6.1%                  9305 CACHO3-RS138  1    -9.6    -3.6    10.1                      0.00    -0.47            </t>
  </si>
  <si>
    <t xml:space="preserve">                          167.0   203.0   203.0        6.1%                  9305 CACHO3-RS138  2    -9.6    -3.6    10.1                      0.00    -0.47            </t>
  </si>
  <si>
    <t xml:space="preserve">  10397   69  0   1.022     2.9     0.0     0.0         0.0     0.0     0.0</t>
  </si>
  <si>
    <t xml:space="preserve">  TIOHUG-RS069    -49.3     0.0     0.0     0.0         0.0     0.0     0.0                                          </t>
  </si>
  <si>
    <t xml:space="preserve">                           30.0    43.0    30.0        9.6%                  1279 SMARTA-RS069  1     2.9     0.5     2.9                      0.02    -0.52            </t>
  </si>
  <si>
    <t xml:space="preserve">              DESLIGADO    30.0    43.0    30.0                             10398 TAPER1-RS069  1     0.0    -0.5     0.5                      0.00    -0.52 1.023 -49.3</t>
  </si>
  <si>
    <t xml:space="preserve">  10398   69  0   1.029     0.0     0.0    13.0         0.0     0.0     0.0</t>
  </si>
  <si>
    <t xml:space="preserve">  TAPER1-RS069    -51.8     0.0     0.0     6.2         0.0     0.0     0.0                                          </t>
  </si>
  <si>
    <t xml:space="preserve">                           48.0    71.0    48.0       29.2%                  1292 TAPERA-RS069  1   -13.0    -6.2    14.0                      0.03    -0.71            </t>
  </si>
  <si>
    <t xml:space="preserve">              DESLIGADO    30.0    43.0    30.0                             10397 TIOHUG-RS069  1     0.0     0.0     0.0                      0.00     0.00            </t>
  </si>
  <si>
    <t xml:space="preserve">  43488   14  0   1.026     0.0     0.0     0.0         0.0     0.0     0.0</t>
  </si>
  <si>
    <t xml:space="preserve">  UPME-8-RS000    -47.3     0.0     0.0     0.0         0.0     0.0     0.0                                          </t>
  </si>
  <si>
    <t xml:space="preserve">                           33.5    33.5    33.5        0.0%                  1239 PMEDIC-RS230  8    -0.0    -0.0     0.0              002     0.00     0.00            </t>
  </si>
  <si>
    <t xml:space="preserve">                           33.5    33.5    33.5        0.0%                 43489 UPME-8-RS013  8     0.0     0.0     0.0                      0.00     0.00            </t>
  </si>
  <si>
    <t xml:space="preserve">                           33.5    33.5    33.5        0.0%                 43490 UPME-8-RS006  8     0.0     0.0     0.0                      0.00     0.00            </t>
  </si>
  <si>
    <t xml:space="preserve">  43489   14  0   1.026     0.0     0.0     0.0         0.0     0.0     0.0</t>
  </si>
  <si>
    <t xml:space="preserve">  UPME-8-RS013    -47.3     0.0     0.0     0.0         0.0     0.0     0.0                                          </t>
  </si>
  <si>
    <t xml:space="preserve">                           33.5    33.5    33.5        0.0%                 43488 UPME-8-RS000  8     0.0     0.0     0.0 1.000F               0.00     0.00            </t>
  </si>
  <si>
    <t xml:space="preserve">  43490    1  0   1.026     0.0     0.0     0.0         0.0     0.0     0.0</t>
  </si>
  <si>
    <t xml:space="preserve">  UPME-8-RS006    -47.3     0.0     0.0     0.0         0.0     0.0     0.0                                          </t>
  </si>
  <si>
    <t xml:space="preserve">  91017    1  0   1.025     0.0     0.0     0.0         0.0     0.0     0.0</t>
  </si>
  <si>
    <t xml:space="preserve">  ALVES-SE138      60.2     0.0     0.0     0.0         0.0     0.0     0.0                                          </t>
  </si>
  <si>
    <t xml:space="preserve">                          180.0   180.0   180.0       65.2%                  4081 ARACUA-MG138  1   120.0    -9.0   117.4              356     0.99     3.60            </t>
  </si>
  <si>
    <t xml:space="preserve">                           70.0    70.0    70.0       83.9%                 91018 ALVES-GER34   1   -60.0     4.5    58.7 1.022*               0.00     4.50            </t>
  </si>
  <si>
    <t xml:space="preserve">                           70.0    70.0    70.0       83.9%                 91018 ALVES-GER34   2   -60.0     4.5    58.7 1.022*               0.00     4.50            </t>
  </si>
  <si>
    <t xml:space="preserve">  91018    1  0   1.000   120.0     0.0     0.0         0.0     0.0     0.0</t>
  </si>
  <si>
    <t xml:space="preserve">  ALVES-GER34      64.5     0.0     0.0     0.0         0.0     0.0     0.0                                          </t>
  </si>
  <si>
    <t xml:space="preserve">                           70.0    70.0    70.0       85.7%                 91017 ALVES-SE138   1    60.0     0.0    60.0                      0.00     4.50            </t>
  </si>
  <si>
    <t xml:space="preserve">                           70.0    70.0    70.0       85.7%                 91017 ALVES-SE138   2    60.0     0.0    60.0                      0.00     4.50            </t>
  </si>
  <si>
    <t xml:space="preserve"> TOTAIS DA AREA   3</t>
  </si>
  <si>
    <t xml:space="preserve"> X--------X--------X--------X--------X--------X--------X--------X--------X</t>
  </si>
  <si>
    <t xml:space="preserve">   GERACAO  INJ EQV   CARGA   ELO CC    SHUNT   EXPORT   IMPORT   PERDAS  </t>
  </si>
  <si>
    <t xml:space="preserve">     MW/      MW/      MW/      MW/     Mvar/     MW/      MW/      MW/   </t>
  </si>
  <si>
    <t xml:space="preserve">    Mvar     Mvar     Mvar     Mvar     EQUIV    Mvar     Mvar     Mvar   </t>
  </si>
  <si>
    <t xml:space="preserve">    1347.1      0.0   6122.9      0.0    881.5    175.6   4983.2     31.8</t>
  </si>
  <si>
    <t xml:space="preserve">      29.4      0.0   2184.7      0.0      0.0    109.4   1382.0     -1.2</t>
  </si>
  <si>
    <t xml:space="preserve"> X-------------X</t>
  </si>
  <si>
    <t>X-------X</t>
  </si>
  <si>
    <t>X-----------X</t>
  </si>
  <si>
    <t>X-----X</t>
  </si>
  <si>
    <t>X------------X</t>
  </si>
  <si>
    <t>X--X</t>
  </si>
  <si>
    <t>X------X</t>
  </si>
  <si>
    <t>X---X</t>
  </si>
  <si>
    <t>X--------X</t>
  </si>
  <si>
    <t xml:space="preserve">  ..............</t>
  </si>
  <si>
    <t>..............</t>
  </si>
  <si>
    <t>.........</t>
  </si>
  <si>
    <t>.............</t>
  </si>
  <si>
    <t>.......</t>
  </si>
  <si>
    <t>....</t>
  </si>
  <si>
    <t>........</t>
  </si>
  <si>
    <t>.....</t>
  </si>
  <si>
    <t>..........</t>
  </si>
  <si>
    <t/>
  </si>
  <si>
    <t xml:space="preserve">    930  138  0 </t>
  </si>
  <si>
    <t xml:space="preserve">  ALEGRE-RS138  </t>
  </si>
  <si>
    <t xml:space="preserve">       </t>
  </si>
  <si>
    <t xml:space="preserve">              </t>
  </si>
  <si>
    <t xml:space="preserve">    </t>
  </si>
  <si>
    <t xml:space="preserve">         </t>
  </si>
  <si>
    <t xml:space="preserve">                </t>
  </si>
  <si>
    <t xml:space="preserve"> ALEGRE-RS069 </t>
  </si>
  <si>
    <t xml:space="preserve"> 0.982* </t>
  </si>
  <si>
    <t xml:space="preserve">     </t>
  </si>
  <si>
    <t xml:space="preserve">      </t>
  </si>
  <si>
    <t xml:space="preserve"> SMARI3-RS138 </t>
  </si>
  <si>
    <t xml:space="preserve">        </t>
  </si>
  <si>
    <t xml:space="preserve">    931  992  1 </t>
  </si>
  <si>
    <t xml:space="preserve">  MONJOLUHE001  </t>
  </si>
  <si>
    <t xml:space="preserve"> ALZANT-RS138 </t>
  </si>
  <si>
    <t xml:space="preserve">    932  138  0 </t>
  </si>
  <si>
    <t xml:space="preserve">  ALZANT-RS138  </t>
  </si>
  <si>
    <t xml:space="preserve"> MONJOLUHE001 </t>
  </si>
  <si>
    <t xml:space="preserve"> 1.025F </t>
  </si>
  <si>
    <t xml:space="preserve"> PFUNDO-RS138 </t>
  </si>
  <si>
    <t xml:space="preserve">   1038  138  0 </t>
  </si>
  <si>
    <t xml:space="preserve">  CAPIVA-RS138  </t>
  </si>
  <si>
    <t xml:space="preserve"> PALMAR-RS138 </t>
  </si>
  <si>
    <t xml:space="preserve"> OSO-Y2-RS138 </t>
  </si>
  <si>
    <t xml:space="preserve"> CAP--3-RS000 </t>
  </si>
  <si>
    <t xml:space="preserve"> 1.000F </t>
  </si>
  <si>
    <t xml:space="preserve"> CAP--4-RS000 </t>
  </si>
  <si>
    <t xml:space="preserve">   1039   69  0 </t>
  </si>
  <si>
    <t xml:space="preserve">  PFUND2-RS069  </t>
  </si>
  <si>
    <t xml:space="preserve"> SMARTA-RS069 </t>
  </si>
  <si>
    <t xml:space="preserve">   1042  138  0 </t>
  </si>
  <si>
    <t xml:space="preserve">  PFUNDO-RS138  </t>
  </si>
  <si>
    <t xml:space="preserve"> EREXIM-RS138 </t>
  </si>
  <si>
    <t xml:space="preserve"> PFUNDO-RS023 </t>
  </si>
  <si>
    <t xml:space="preserve"> 0.942* </t>
  </si>
  <si>
    <t xml:space="preserve"> PFU--3-RS000 </t>
  </si>
  <si>
    <t xml:space="preserve"> 1.019* </t>
  </si>
  <si>
    <t xml:space="preserve"> PFU--5-RS000 </t>
  </si>
  <si>
    <t xml:space="preserve">   1162  992  1 </t>
  </si>
  <si>
    <t xml:space="preserve">  JACUI-UHE003  </t>
  </si>
  <si>
    <t xml:space="preserve"> JACUI--RS138 </t>
  </si>
  <si>
    <t xml:space="preserve">   1182   69  0 </t>
  </si>
  <si>
    <t xml:space="preserve">  ALEGRE-RS069  </t>
  </si>
  <si>
    <t xml:space="preserve"> ALEGRE-RS138 </t>
  </si>
  <si>
    <t xml:space="preserve"> ALEGR2-RS069 </t>
  </si>
  <si>
    <t xml:space="preserve">   1184  138  0 </t>
  </si>
  <si>
    <t xml:space="preserve">  2IRMAO-RS138  </t>
  </si>
  <si>
    <t xml:space="preserve"> IVOTI--RS138 </t>
  </si>
  <si>
    <t xml:space="preserve">   1185   69  0 </t>
  </si>
  <si>
    <t xml:space="preserve">  ALEGR2-RS069  </t>
  </si>
  <si>
    <t xml:space="preserve"> ALEG-1-RS000 </t>
  </si>
  <si>
    <t xml:space="preserve"> ALEG-2-RS000 </t>
  </si>
  <si>
    <t xml:space="preserve">   1187   69  0 </t>
  </si>
  <si>
    <t xml:space="preserve">  CAXIA1-RS069  </t>
  </si>
  <si>
    <t xml:space="preserve">              DE</t>
  </si>
  <si>
    <t xml:space="preserve">ESLIGADO </t>
  </si>
  <si>
    <t xml:space="preserve">             </t>
  </si>
  <si>
    <t xml:space="preserve"> CAXIA5-RS069 </t>
  </si>
  <si>
    <t xml:space="preserve"> LUPATETAP069 </t>
  </si>
  <si>
    <t xml:space="preserve">   1193   69  0 </t>
  </si>
  <si>
    <t xml:space="preserve">  CAXIA5-RS069  </t>
  </si>
  <si>
    <t xml:space="preserve"> CAXIA1-RS069 </t>
  </si>
  <si>
    <t xml:space="preserve"> CAXIA2-RS069 </t>
  </si>
  <si>
    <t xml:space="preserve">   1195   69  0 </t>
  </si>
  <si>
    <t xml:space="preserve">  CAMAQU-RS069  </t>
  </si>
  <si>
    <t xml:space="preserve"> CAMAQ3-RS069 </t>
  </si>
  <si>
    <t xml:space="preserve"> CAMA-1-RS000 </t>
  </si>
  <si>
    <t xml:space="preserve"> CAMA-5-RS000 </t>
  </si>
  <si>
    <t xml:space="preserve">   1196   69  0 </t>
  </si>
  <si>
    <t xml:space="preserve">  CAMPOB-RS069  </t>
  </si>
  <si>
    <t xml:space="preserve"> CBOM-1-RS000 </t>
  </si>
  <si>
    <t xml:space="preserve"> CBOM-2-RS000 </t>
  </si>
  <si>
    <t xml:space="preserve"> CBOM-7-RS000 </t>
  </si>
  <si>
    <t xml:space="preserve">   1197   69  0 </t>
  </si>
  <si>
    <t xml:space="preserve">  GUAIB2-RS069  </t>
  </si>
  <si>
    <t xml:space="preserve"> STHGUATAP069 </t>
  </si>
  <si>
    <t xml:space="preserve"> GUA1-A-RS069 </t>
  </si>
  <si>
    <t xml:space="preserve"> CHARQ3-RS069 </t>
  </si>
  <si>
    <t xml:space="preserve"> GUA2-1-RS000 </t>
  </si>
  <si>
    <t xml:space="preserve"> GUA2-2-RS000 </t>
  </si>
  <si>
    <t xml:space="preserve"> GUA2-3-RS000 </t>
  </si>
  <si>
    <t xml:space="preserve">   1201   69  0 </t>
  </si>
  <si>
    <t xml:space="preserve">  CAXIA2-RS069  </t>
  </si>
  <si>
    <t xml:space="preserve"> CAXIA4-RS069 </t>
  </si>
  <si>
    <t xml:space="preserve"> CAXIA2-RS013 </t>
  </si>
  <si>
    <t xml:space="preserve"> 0.922* </t>
  </si>
  <si>
    <t xml:space="preserve"> RANDONTAP069 </t>
  </si>
  <si>
    <t xml:space="preserve"> FCUNHA-RS069 </t>
  </si>
  <si>
    <t xml:space="preserve"> CAX2-1-RS000 </t>
  </si>
  <si>
    <t xml:space="preserve"> CAX2-2-RS000 </t>
  </si>
  <si>
    <t xml:space="preserve">   1205   69  0 </t>
  </si>
  <si>
    <t xml:space="preserve">  GARIBA-RS069  </t>
  </si>
  <si>
    <t xml:space="preserve"> GAR-1--RS000 </t>
  </si>
  <si>
    <t xml:space="preserve"> GAR-2--RS000 </t>
  </si>
  <si>
    <t xml:space="preserve">   1207   69  0 </t>
  </si>
  <si>
    <t xml:space="preserve">  FARROU-RS069  </t>
  </si>
  <si>
    <t xml:space="preserve"> FELIZ--RS069 </t>
  </si>
  <si>
    <t xml:space="preserve"> FRASLETAP069 </t>
  </si>
  <si>
    <t xml:space="preserve"> FARR-1-RS000 </t>
  </si>
  <si>
    <t xml:space="preserve"> FARR-2-RS000 </t>
  </si>
  <si>
    <t xml:space="preserve"> FARR-3-RS000 </t>
  </si>
  <si>
    <t xml:space="preserve">   1208   69  0 </t>
  </si>
  <si>
    <t xml:space="preserve">  TRIUNF-RS069  </t>
  </si>
  <si>
    <t xml:space="preserve"> SJERO--RS069 </t>
  </si>
  <si>
    <t xml:space="preserve">   1209   69  0 </t>
  </si>
  <si>
    <t xml:space="preserve">  GRAVA2-RS069  </t>
  </si>
  <si>
    <t xml:space="preserve"> CACHO2-RS069 </t>
  </si>
  <si>
    <t xml:space="preserve"> ALVORA-RS069 </t>
  </si>
  <si>
    <t xml:space="preserve"> ALVOR2-RS069 </t>
  </si>
  <si>
    <t xml:space="preserve"> VONPA1TAP069 </t>
  </si>
  <si>
    <t xml:space="preserve"> GRA2-1-RS000 </t>
  </si>
  <si>
    <t xml:space="preserve"> GRA2-2-RS000 </t>
  </si>
  <si>
    <t xml:space="preserve">   1211   23  0 </t>
  </si>
  <si>
    <t xml:space="preserve">  JACUIA-RS023  </t>
  </si>
  <si>
    <t xml:space="preserve"> JACUIR-RS023 </t>
  </si>
  <si>
    <t xml:space="preserve">   1214   69  0 </t>
  </si>
  <si>
    <t xml:space="preserve">  GUARIT-RS069  </t>
  </si>
  <si>
    <t xml:space="preserve"> CGONZAPCH069 </t>
  </si>
  <si>
    <t xml:space="preserve"> GRT--1-RS000 </t>
  </si>
  <si>
    <t xml:space="preserve"> GRT--2-RS000 </t>
  </si>
  <si>
    <t xml:space="preserve"> GRT--7-RS000 </t>
  </si>
  <si>
    <t xml:space="preserve">   1216  138  0 </t>
  </si>
  <si>
    <t xml:space="preserve">  JACUI--RS138  </t>
  </si>
  <si>
    <t xml:space="preserve"> JACUI-UHE003 </t>
  </si>
  <si>
    <t xml:space="preserve"> 1.074F </t>
  </si>
  <si>
    <t xml:space="preserve"> 0.973* </t>
  </si>
  <si>
    <t xml:space="preserve"> PREAL--RS138 </t>
  </si>
  <si>
    <t xml:space="preserve"> CRUZAL-RS138 </t>
  </si>
  <si>
    <t xml:space="preserve"> KOTZIA-RS138 </t>
  </si>
  <si>
    <t xml:space="preserve"> JCASTI-RS138 </t>
  </si>
  <si>
    <t xml:space="preserve">   1219  138  0 </t>
  </si>
  <si>
    <t xml:space="preserve">  LANSUL-RS138  </t>
  </si>
  <si>
    <t xml:space="preserve"> SANREM-RS138 </t>
  </si>
  <si>
    <t xml:space="preserve"> PEPSI--RS138 </t>
  </si>
  <si>
    <t xml:space="preserve">   1220   23  0 </t>
  </si>
  <si>
    <t xml:space="preserve">  JACUIR-RS023  </t>
  </si>
  <si>
    <t xml:space="preserve"> JACUIA-RS023 </t>
  </si>
  <si>
    <t xml:space="preserve"> JACUIC-RS023 </t>
  </si>
  <si>
    <t xml:space="preserve">   1221  138  0 </t>
  </si>
  <si>
    <t xml:space="preserve">  LVERM1-RS138  </t>
  </si>
  <si>
    <t xml:space="preserve"> PFUND1-RS138 </t>
  </si>
  <si>
    <t xml:space="preserve"> LVERM2-RS138 </t>
  </si>
  <si>
    <t xml:space="preserve">_x000C_CEPEL - CENTRO </t>
  </si>
  <si>
    <t xml:space="preserve"> DE PESQU</t>
  </si>
  <si>
    <t xml:space="preserve">UISAS DE </t>
  </si>
  <si>
    <t xml:space="preserve"> ENERGIA </t>
  </si>
  <si>
    <t xml:space="preserve"> ELETRICA</t>
  </si>
  <si>
    <t xml:space="preserve">A - PROGRAMA </t>
  </si>
  <si>
    <t xml:space="preserve"> DE ANALI</t>
  </si>
  <si>
    <t>ISE DE RE</t>
  </si>
  <si>
    <t xml:space="preserve">EDES - </t>
  </si>
  <si>
    <t xml:space="preserve"> V11.06.02    </t>
  </si>
  <si>
    <t xml:space="preserve">   PAG. </t>
  </si>
  <si>
    <t xml:space="preserve"> PARPEL 23-27 * </t>
  </si>
  <si>
    <t xml:space="preserve"> MG-GODF </t>
  </si>
  <si>
    <t xml:space="preserve"> * I27M *</t>
  </si>
  <si>
    <t>* NEexp *</t>
  </si>
  <si>
    <t>* NESE 88</t>
  </si>
  <si>
    <t>800 UFVMG 90%</t>
  </si>
  <si>
    <t>% * UFVAl</t>
  </si>
  <si>
    <t>lves120MW</t>
  </si>
  <si>
    <t xml:space="preserve">W     </t>
  </si>
  <si>
    <t xml:space="preserve"> RELATORIO COMPL</t>
  </si>
  <si>
    <t>LETO DO S</t>
  </si>
  <si>
    <t>SISTEMA *</t>
  </si>
  <si>
    <t xml:space="preserve">* AREA   </t>
  </si>
  <si>
    <t xml:space="preserve"> 3 * RS -</t>
  </si>
  <si>
    <t xml:space="preserve">- DIT/DIST   </t>
  </si>
  <si>
    <t xml:space="preserve"> X--------------</t>
  </si>
  <si>
    <t xml:space="preserve">-------- </t>
  </si>
  <si>
    <t xml:space="preserve"> D A D O </t>
  </si>
  <si>
    <t xml:space="preserve"> S  -  B </t>
  </si>
  <si>
    <t xml:space="preserve"> A R R A </t>
  </si>
  <si>
    <t xml:space="preserve"> ------------</t>
  </si>
  <si>
    <t>---------</t>
  </si>
  <si>
    <t>--------X</t>
  </si>
  <si>
    <t>X------</t>
  </si>
  <si>
    <t>-------- F L U</t>
  </si>
  <si>
    <t xml:space="preserve">U X </t>
  </si>
  <si>
    <t xml:space="preserve"> O S  -  </t>
  </si>
  <si>
    <t xml:space="preserve"> C I R C </t>
  </si>
  <si>
    <t xml:space="preserve"> U I T O </t>
  </si>
  <si>
    <t xml:space="preserve"> S -----</t>
  </si>
  <si>
    <t>-------</t>
  </si>
  <si>
    <t>----X</t>
  </si>
  <si>
    <t>------X</t>
  </si>
  <si>
    <t xml:space="preserve">  DA BARRA      </t>
  </si>
  <si>
    <t xml:space="preserve">  TENSAO </t>
  </si>
  <si>
    <t xml:space="preserve"> GERACAO </t>
  </si>
  <si>
    <t xml:space="preserve"> INJ EQV </t>
  </si>
  <si>
    <t xml:space="preserve">  CARGA  </t>
  </si>
  <si>
    <t xml:space="preserve">  ELO CC  SHU</t>
  </si>
  <si>
    <t>UNT    MO</t>
  </si>
  <si>
    <t xml:space="preserve">OTOR     </t>
  </si>
  <si>
    <t xml:space="preserve">          </t>
  </si>
  <si>
    <t xml:space="preserve">   </t>
  </si>
  <si>
    <t xml:space="preserve">  NUM.  KV TIPO </t>
  </si>
  <si>
    <t xml:space="preserve">   MOD/  </t>
  </si>
  <si>
    <t xml:space="preserve">    MW/  </t>
  </si>
  <si>
    <t xml:space="preserve">    MW/   Mva</t>
  </si>
  <si>
    <t>ar/     M</t>
  </si>
  <si>
    <t xml:space="preserve">MW/      </t>
  </si>
  <si>
    <t xml:space="preserve">    P</t>
  </si>
  <si>
    <t xml:space="preserve">P E R D A </t>
  </si>
  <si>
    <t xml:space="preserve"> S       T</t>
  </si>
  <si>
    <t xml:space="preserve">TENSAO </t>
  </si>
  <si>
    <t xml:space="preserve">       NOME     </t>
  </si>
  <si>
    <t xml:space="preserve">   ANG   </t>
  </si>
  <si>
    <t xml:space="preserve">   Mvar  </t>
  </si>
  <si>
    <t xml:space="preserve">   Mvar   EQU</t>
  </si>
  <si>
    <t>UIV    Mv</t>
  </si>
  <si>
    <t>var  PARA</t>
  </si>
  <si>
    <t>A BARRA</t>
  </si>
  <si>
    <t xml:space="preserve">A             </t>
  </si>
  <si>
    <t xml:space="preserve">      FLU</t>
  </si>
  <si>
    <t xml:space="preserve">UXOS     </t>
  </si>
  <si>
    <t xml:space="preserve">  ATI</t>
  </si>
  <si>
    <t>IVA   REAT</t>
  </si>
  <si>
    <t>TIVA  CIR.</t>
  </si>
  <si>
    <t>. ABERT</t>
  </si>
  <si>
    <t xml:space="preserve">TO </t>
  </si>
  <si>
    <t xml:space="preserve"> MVA_NOM </t>
  </si>
  <si>
    <t xml:space="preserve"> MVA_EMR </t>
  </si>
  <si>
    <t xml:space="preserve"> MVA_EQP </t>
  </si>
  <si>
    <t xml:space="preserve">   FLUXO %   </t>
  </si>
  <si>
    <t xml:space="preserve"> SHUNT L </t>
  </si>
  <si>
    <t xml:space="preserve"> NUM.  </t>
  </si>
  <si>
    <t xml:space="preserve">     NOME     </t>
  </si>
  <si>
    <t xml:space="preserve"> NC </t>
  </si>
  <si>
    <t xml:space="preserve">    MW   </t>
  </si>
  <si>
    <t xml:space="preserve"> MVA/V_d </t>
  </si>
  <si>
    <t xml:space="preserve">   TAP  </t>
  </si>
  <si>
    <t xml:space="preserve"> DEFAS </t>
  </si>
  <si>
    <t xml:space="preserve"> TIE </t>
  </si>
  <si>
    <t xml:space="preserve">    MW    </t>
  </si>
  <si>
    <t xml:space="preserve">   Mvar   </t>
  </si>
  <si>
    <t xml:space="preserve">  MOD  </t>
  </si>
  <si>
    <t xml:space="preserve">  ANG  </t>
  </si>
  <si>
    <t xml:space="preserve">   1226   69  0 </t>
  </si>
  <si>
    <t xml:space="preserve">  NPRAT2-RS069  </t>
  </si>
  <si>
    <t xml:space="preserve"> NPR2P2PCH069 </t>
  </si>
  <si>
    <t xml:space="preserve"> NPR2P1PCH069 </t>
  </si>
  <si>
    <t xml:space="preserve"> NPR2-1-RS000 </t>
  </si>
  <si>
    <t xml:space="preserve"> NPR2-2-RS000 </t>
  </si>
  <si>
    <t xml:space="preserve">   1227  138  0 </t>
  </si>
  <si>
    <t xml:space="preserve">  MAXSPR-RS138  </t>
  </si>
  <si>
    <t xml:space="preserve"> SLUIZ--RS138 </t>
  </si>
  <si>
    <t xml:space="preserve"> ZOOLOG-RS138 </t>
  </si>
  <si>
    <t xml:space="preserve">   1229  138  0 </t>
  </si>
  <si>
    <t xml:space="preserve">  PALMAR-RS138  </t>
  </si>
  <si>
    <t xml:space="preserve"> CAPIVA-RS138 </t>
  </si>
  <si>
    <t xml:space="preserve"> PALMARTAP138 </t>
  </si>
  <si>
    <t xml:space="preserve">   1232   69  0 </t>
  </si>
  <si>
    <t xml:space="preserve">  OSORI2-RS069  </t>
  </si>
  <si>
    <t xml:space="preserve"> OSORI2-RS138 </t>
  </si>
  <si>
    <t xml:space="preserve"> 0.988* </t>
  </si>
  <si>
    <t xml:space="preserve"> CIDR13-RS069 </t>
  </si>
  <si>
    <t xml:space="preserve"> OSO2-1-RS000 </t>
  </si>
  <si>
    <t xml:space="preserve"> OSO2-2-RS000 </t>
  </si>
  <si>
    <t xml:space="preserve"> OSO2-5-RS000 </t>
  </si>
  <si>
    <t xml:space="preserve">   1234  138  0 </t>
  </si>
  <si>
    <t xml:space="preserve">  MOSTAR-RS138  </t>
  </si>
  <si>
    <t xml:space="preserve"> PALMA1-RS138 </t>
  </si>
  <si>
    <t xml:space="preserve">   1235   69  0 </t>
  </si>
  <si>
    <t xml:space="preserve">  MACAMB-RS069  </t>
  </si>
  <si>
    <t xml:space="preserve"> MACAMB-RS023 </t>
  </si>
  <si>
    <t xml:space="preserve"> 0.995* </t>
  </si>
  <si>
    <t xml:space="preserve"> MBR-1--RS000 </t>
  </si>
  <si>
    <t xml:space="preserve"> MBR-7--RS000 </t>
  </si>
  <si>
    <t xml:space="preserve"> MBR-9--RS000 </t>
  </si>
  <si>
    <t xml:space="preserve">   1237  138  0 </t>
  </si>
  <si>
    <t xml:space="preserve">  MONTEN-RS138  </t>
  </si>
  <si>
    <t xml:space="preserve"> SSCAI2-RS138 </t>
  </si>
  <si>
    <t xml:space="preserve">   1241  138  0 </t>
  </si>
  <si>
    <t xml:space="preserve">  EVELHA-RS138  </t>
  </si>
  <si>
    <t xml:space="preserve"> SCHARL-RS138 </t>
  </si>
  <si>
    <t xml:space="preserve">   1242  138  0 </t>
  </si>
  <si>
    <t xml:space="preserve">  PREAL--RS138  </t>
  </si>
  <si>
    <t xml:space="preserve"> PRE--1-RS000 </t>
  </si>
  <si>
    <t xml:space="preserve"> 0.984* </t>
  </si>
  <si>
    <t xml:space="preserve"> PRE--2-RS000 </t>
  </si>
  <si>
    <t xml:space="preserve">   1244  138  0 </t>
  </si>
  <si>
    <t xml:space="preserve">  OSORI2-RS138  </t>
  </si>
  <si>
    <t xml:space="preserve"> OSORI2-RS069 </t>
  </si>
  <si>
    <t xml:space="preserve">   1251   69  0 </t>
  </si>
  <si>
    <t xml:space="preserve">  SANGEL-RS069  </t>
  </si>
  <si>
    <t xml:space="preserve"> SANGE1-RS069 </t>
  </si>
  <si>
    <t xml:space="preserve"> SANGEL-RS023 </t>
  </si>
  <si>
    <t xml:space="preserve"> 0.899* </t>
  </si>
  <si>
    <t xml:space="preserve"> SAG2-1-RS000 </t>
  </si>
  <si>
    <t xml:space="preserve"> SAG2-2-RS000 </t>
  </si>
  <si>
    <t xml:space="preserve">   1252  138  0 </t>
  </si>
  <si>
    <t xml:space="preserve">  SLUIZ--RS138  </t>
  </si>
  <si>
    <t xml:space="preserve"> MAXSPR-RS138 </t>
  </si>
  <si>
    <t xml:space="preserve"> CINPAL-RS138 </t>
  </si>
  <si>
    <t xml:space="preserve">   1253   69  0 </t>
  </si>
  <si>
    <t xml:space="preserve">  SBORJ2-RS069  </t>
  </si>
  <si>
    <t xml:space="preserve"> SBORJA-RS023 </t>
  </si>
  <si>
    <t xml:space="preserve"> 0.998* </t>
  </si>
  <si>
    <t xml:space="preserve"> SBO2-1-RS000 </t>
  </si>
  <si>
    <t xml:space="preserve"> SBO2-6-RS000 </t>
  </si>
  <si>
    <t xml:space="preserve"> SBO2-7-RS000 </t>
  </si>
  <si>
    <t xml:space="preserve">   1257  138  0 </t>
  </si>
  <si>
    <t xml:space="preserve">  CINPAL-RS138  </t>
  </si>
  <si>
    <t xml:space="preserve"> NSRIT2-RS138 </t>
  </si>
  <si>
    <t xml:space="preserve"> CANOA3-RS138 </t>
  </si>
  <si>
    <t xml:space="preserve"> CIN-1--RS000 </t>
  </si>
  <si>
    <t xml:space="preserve"> CIN-2--RS000 </t>
  </si>
  <si>
    <t xml:space="preserve">   1262   69  0 </t>
  </si>
  <si>
    <t xml:space="preserve">  PALGR6-RS069  </t>
  </si>
  <si>
    <t xml:space="preserve"> P12-1Y-RS069 </t>
  </si>
  <si>
    <t xml:space="preserve"> VIAMO2-RS069 </t>
  </si>
  <si>
    <t xml:space="preserve"> PUCPAL-RS069 </t>
  </si>
  <si>
    <t xml:space="preserve"> PALE6B-RS013 </t>
  </si>
  <si>
    <t xml:space="preserve"> 1.049* </t>
  </si>
  <si>
    <t xml:space="preserve"> ENT874-RS069 </t>
  </si>
  <si>
    <t xml:space="preserve"> PA16-2TAP069 </t>
  </si>
  <si>
    <t xml:space="preserve"> UFRGS--RS069 </t>
  </si>
  <si>
    <t xml:space="preserve"> PAL6-1-RS000 </t>
  </si>
  <si>
    <t xml:space="preserve"> PAL6-2-RS000 </t>
  </si>
  <si>
    <t xml:space="preserve">   1265  138  0 </t>
  </si>
  <si>
    <t xml:space="preserve">  SANREM-RS138  </t>
  </si>
  <si>
    <t xml:space="preserve"> LANSUL-RS138 </t>
  </si>
  <si>
    <t xml:space="preserve">   1266   69  0 </t>
  </si>
  <si>
    <t xml:space="preserve">  PALGR9-RS069  </t>
  </si>
  <si>
    <t xml:space="preserve"> PAL9AE-RS069 </t>
  </si>
  <si>
    <t xml:space="preserve"> PALEG2-RS069 </t>
  </si>
  <si>
    <t xml:space="preserve"> PALEG7-RS069 </t>
  </si>
  <si>
    <t xml:space="preserve"> FRPPALTAP069 </t>
  </si>
  <si>
    <t xml:space="preserve"> ARENA--RS069 </t>
  </si>
  <si>
    <t xml:space="preserve"> PAL9-2-RS000 </t>
  </si>
  <si>
    <t xml:space="preserve"> PAL9-5-RS000 </t>
  </si>
  <si>
    <t xml:space="preserve">   1269   69  0 </t>
  </si>
  <si>
    <t xml:space="preserve">  PALG10-RS069  </t>
  </si>
  <si>
    <t xml:space="preserve"> P12-2Y-RS069 </t>
  </si>
  <si>
    <t xml:space="preserve"> PALEG3-RS069 </t>
  </si>
  <si>
    <t xml:space="preserve"> HOSCLI-RS069 </t>
  </si>
  <si>
    <t xml:space="preserve"> PA10-1-RS000 </t>
  </si>
  <si>
    <t xml:space="preserve"> PA10-2-RS000 </t>
  </si>
  <si>
    <t xml:space="preserve">   1271   69  0 </t>
  </si>
  <si>
    <t xml:space="preserve">  PALGR8-RS069  </t>
  </si>
  <si>
    <t xml:space="preserve"> GKNPAL-RS069 </t>
  </si>
  <si>
    <t xml:space="preserve"> PALE17-RS069 </t>
  </si>
  <si>
    <t xml:space="preserve"> HOCONC-RS069 </t>
  </si>
  <si>
    <t xml:space="preserve"> PAL8-1-RS000 </t>
  </si>
  <si>
    <t xml:space="preserve"> PAL8-2-RS000 </t>
  </si>
  <si>
    <t xml:space="preserve"> PAL8-3-RS000 </t>
  </si>
  <si>
    <t xml:space="preserve">   1272   69  0 </t>
  </si>
  <si>
    <t xml:space="preserve">  PAL9AE-RS069  </t>
  </si>
  <si>
    <t xml:space="preserve"> PALGR9-RS069 </t>
  </si>
  <si>
    <t xml:space="preserve">   1274  138  0 </t>
  </si>
  <si>
    <t xml:space="preserve">  SVPALM-RS138  </t>
  </si>
  <si>
    <t xml:space="preserve"> SVP2-A-RS138 </t>
  </si>
  <si>
    <t xml:space="preserve">   1275  138  0 </t>
  </si>
  <si>
    <t xml:space="preserve">  SMARTA-RS138  </t>
  </si>
  <si>
    <t xml:space="preserve"> SMARTA-RS046 </t>
  </si>
  <si>
    <t xml:space="preserve"> SMARTA-RS013 </t>
  </si>
  <si>
    <t xml:space="preserve"> 0.991* </t>
  </si>
  <si>
    <t xml:space="preserve"> SMT--1-RS000 </t>
  </si>
  <si>
    <t xml:space="preserve"> 1.006* </t>
  </si>
  <si>
    <t xml:space="preserve"> SMT--2-RS000 </t>
  </si>
  <si>
    <t xml:space="preserve">   1276  138  0 </t>
  </si>
  <si>
    <t xml:space="preserve">  SMARI1-RS138  </t>
  </si>
  <si>
    <t xml:space="preserve">   1277  138  0 </t>
  </si>
  <si>
    <t xml:space="preserve">  PFUND1-RS138  </t>
  </si>
  <si>
    <t xml:space="preserve"> LVERM1-RS138 </t>
  </si>
  <si>
    <t xml:space="preserve"> SMARTA-RS138 </t>
  </si>
  <si>
    <t xml:space="preserve">   1279   69  0 </t>
  </si>
  <si>
    <t xml:space="preserve">  SMARTA-RS069  </t>
  </si>
  <si>
    <t xml:space="preserve"> PFUND2-RS069 </t>
  </si>
  <si>
    <t xml:space="preserve"> CARAZ2-RS069 </t>
  </si>
  <si>
    <t xml:space="preserve"> TIOHUG-RS069 </t>
  </si>
  <si>
    <t xml:space="preserve"> SMT--3-RS000 </t>
  </si>
  <si>
    <t xml:space="preserve"> SMT-11-RS000 </t>
  </si>
  <si>
    <t xml:space="preserve">   1280  138  0 </t>
  </si>
  <si>
    <t xml:space="preserve">  SAOSCA-RS138  </t>
  </si>
  <si>
    <t xml:space="preserve"> BPRINC-RS138 </t>
  </si>
  <si>
    <t xml:space="preserve">   1282   69  0 </t>
  </si>
  <si>
    <t xml:space="preserve">  SROSA--RS069  </t>
  </si>
  <si>
    <t xml:space="preserve"> CLARGO-RS069 </t>
  </si>
  <si>
    <t xml:space="preserve"> COOLUZ-RS069 </t>
  </si>
  <si>
    <t xml:space="preserve"> SRO1-9-RS000 </t>
  </si>
  <si>
    <t xml:space="preserve"> SRO1-1-RS000 </t>
  </si>
  <si>
    <t xml:space="preserve"> SRO--5-RS000 </t>
  </si>
  <si>
    <t xml:space="preserve">   1284   46  0 </t>
  </si>
  <si>
    <t xml:space="preserve">  SMARTA-RS046  </t>
  </si>
  <si>
    <t xml:space="preserve">   1285  138  0 </t>
  </si>
  <si>
    <t xml:space="preserve">  MARMEL-RS138  </t>
  </si>
  <si>
    <t xml:space="preserve"> QUINTA-RS138 </t>
  </si>
  <si>
    <t xml:space="preserve">   1289   69  0 </t>
  </si>
  <si>
    <t xml:space="preserve">  SVICEN-RS069  </t>
  </si>
  <si>
    <t xml:space="preserve"> SVICEN-RS023 </t>
  </si>
  <si>
    <t xml:space="preserve"> 0.915* </t>
  </si>
  <si>
    <t xml:space="preserve"> SVI--1-RS000 </t>
  </si>
  <si>
    <t xml:space="preserve"> SVI--2-RS000 </t>
  </si>
  <si>
    <t xml:space="preserve"> SVI--6-RS000 </t>
  </si>
  <si>
    <t xml:space="preserve">   1290  138  0 </t>
  </si>
  <si>
    <t xml:space="preserve">  3COROA-RS138  </t>
  </si>
  <si>
    <t xml:space="preserve"> SCHINC-RS138 </t>
  </si>
  <si>
    <t xml:space="preserve"> CANAST-RS138 </t>
  </si>
  <si>
    <t xml:space="preserve"> TAQUAR-RS138 </t>
  </si>
  <si>
    <t xml:space="preserve">   1292   69  0 </t>
  </si>
  <si>
    <t xml:space="preserve">  TAPERA-RS069  </t>
  </si>
  <si>
    <t xml:space="preserve"> CARAZ1-RS069 </t>
  </si>
  <si>
    <t xml:space="preserve"> TAPER1-RS069 </t>
  </si>
  <si>
    <t xml:space="preserve"> TPR--1-RS000 </t>
  </si>
  <si>
    <t xml:space="preserve"> TPR--2-RS000 </t>
  </si>
  <si>
    <t xml:space="preserve"> TPR--3-RS000 </t>
  </si>
  <si>
    <t xml:space="preserve">   1295   69  0 </t>
  </si>
  <si>
    <t xml:space="preserve">  URUGU5-RS069  </t>
  </si>
  <si>
    <t xml:space="preserve"> URU5-1-RS000 </t>
  </si>
  <si>
    <t xml:space="preserve"> URU5-2-RS000 </t>
  </si>
  <si>
    <t xml:space="preserve"> URU5-5-RS000 </t>
  </si>
  <si>
    <t xml:space="preserve">   1298   69  0 </t>
  </si>
  <si>
    <t xml:space="preserve">  VENAIR-RS069  </t>
  </si>
  <si>
    <t xml:space="preserve"> VENAIR-RS000 </t>
  </si>
  <si>
    <t xml:space="preserve"> VAIT34-RS013 </t>
  </si>
  <si>
    <t xml:space="preserve"> 0.912* </t>
  </si>
  <si>
    <t xml:space="preserve"> VAIRT5-RS013 </t>
  </si>
  <si>
    <t xml:space="preserve"> 0.896* </t>
  </si>
  <si>
    <t xml:space="preserve"> CERTA3-RS069 </t>
  </si>
  <si>
    <t xml:space="preserve"> VAI--3-RS000 </t>
  </si>
  <si>
    <t xml:space="preserve"> 1.029* </t>
  </si>
  <si>
    <t xml:space="preserve"> VAI--2-RS000 </t>
  </si>
  <si>
    <t xml:space="preserve">   1301   69  0 </t>
  </si>
  <si>
    <t xml:space="preserve">  CALTA1-RS069  </t>
  </si>
  <si>
    <t xml:space="preserve"> IJUI1--RS069 </t>
  </si>
  <si>
    <t xml:space="preserve"> PANAM--RS069 </t>
  </si>
  <si>
    <t xml:space="preserve"> 1.027* </t>
  </si>
  <si>
    <t xml:space="preserve"> CAL1-B-RS023 </t>
  </si>
  <si>
    <t xml:space="preserve"> CALTA2-RS069 </t>
  </si>
  <si>
    <t xml:space="preserve">   1302   69  0 </t>
  </si>
  <si>
    <t xml:space="preserve">  IJUI1--RS069  </t>
  </si>
  <si>
    <t xml:space="preserve"> CALTA1-RS069 </t>
  </si>
  <si>
    <t xml:space="preserve"> SUP  112.4% </t>
  </si>
  <si>
    <t xml:space="preserve"> IJUI1--RS023 </t>
  </si>
  <si>
    <t xml:space="preserve"> 0.923* </t>
  </si>
  <si>
    <t xml:space="preserve"> IJU1-B-RS069 </t>
  </si>
  <si>
    <t xml:space="preserve">   1303   69  0 </t>
  </si>
  <si>
    <t xml:space="preserve">  BUNGE--RS069  </t>
  </si>
  <si>
    <t xml:space="preserve"> ESTEIO-RS069 </t>
  </si>
  <si>
    <t xml:space="preserve"> PETROB-RS069 </t>
  </si>
  <si>
    <t xml:space="preserve">   1304   69  0 </t>
  </si>
  <si>
    <t xml:space="preserve">  TAQUAR-RS069  </t>
  </si>
  <si>
    <t xml:space="preserve">   1305   69  0 </t>
  </si>
  <si>
    <t xml:space="preserve">  CARAZ1-RS069  </t>
  </si>
  <si>
    <t xml:space="preserve"> TAPERA-RS069 </t>
  </si>
  <si>
    <t xml:space="preserve">   1306   69  0 </t>
  </si>
  <si>
    <t xml:space="preserve">  CARAZ2-RS069  </t>
  </si>
  <si>
    <t xml:space="preserve">   1307   69  0 </t>
  </si>
  <si>
    <t xml:space="preserve">  PANAM--RS069  </t>
  </si>
  <si>
    <t xml:space="preserve"> PANAMB-RS013 </t>
  </si>
  <si>
    <t xml:space="preserve"> 0.974* </t>
  </si>
  <si>
    <t xml:space="preserve">   1309   14  0 </t>
  </si>
  <si>
    <t xml:space="preserve">  SCRU1A-RS013  </t>
  </si>
  <si>
    <t xml:space="preserve"> SCR1RB-RS013 </t>
  </si>
  <si>
    <t xml:space="preserve">   1310  138  0 </t>
  </si>
  <si>
    <t xml:space="preserve">  EREXI2-RS138  </t>
  </si>
  <si>
    <t xml:space="preserve"> TAPEJA-RS138 </t>
  </si>
  <si>
    <t xml:space="preserve">   1311   69  0 </t>
  </si>
  <si>
    <t xml:space="preserve">  SANGE1-RS069  </t>
  </si>
  <si>
    <t xml:space="preserve"> SANGEL-RS069 </t>
  </si>
  <si>
    <t xml:space="preserve">   1312   69  0 </t>
  </si>
  <si>
    <t xml:space="preserve">  ESTEIO-RS069  </t>
  </si>
  <si>
    <t xml:space="preserve"> BUNGE--RS069 </t>
  </si>
  <si>
    <t xml:space="preserve"> SRITA-TAP069 </t>
  </si>
  <si>
    <t xml:space="preserve">   1314   69  0 </t>
  </si>
  <si>
    <t xml:space="preserve">  GRAVA3-RS069  </t>
  </si>
  <si>
    <t xml:space="preserve"> PIRELL-RS069 </t>
  </si>
  <si>
    <t xml:space="preserve"> GLORIN-RS069 </t>
  </si>
  <si>
    <t xml:space="preserve"> ICOTROTAP069 </t>
  </si>
  <si>
    <t xml:space="preserve"> GRA3-1-RS000 </t>
  </si>
  <si>
    <t xml:space="preserve"> GRA3-2-RS000 </t>
  </si>
  <si>
    <t xml:space="preserve">   1316   69  0 </t>
  </si>
  <si>
    <t xml:space="preserve">  NPR2P2PCH069  </t>
  </si>
  <si>
    <t xml:space="preserve"> NPRAT2-RS069 </t>
  </si>
  <si>
    <t xml:space="preserve">   1317   69  0 </t>
  </si>
  <si>
    <t xml:space="preserve">  NPR2P1PCH069  </t>
  </si>
  <si>
    <t xml:space="preserve">   1319   69  0 </t>
  </si>
  <si>
    <t xml:space="preserve">  CGONZAPCH069  </t>
  </si>
  <si>
    <t xml:space="preserve"> GUARIT-RS069 </t>
  </si>
  <si>
    <t xml:space="preserve">   1321   69  0 </t>
  </si>
  <si>
    <t xml:space="preserve">  CIDR13-RS069  </t>
  </si>
  <si>
    <t xml:space="preserve"> CIDREI-RS034 </t>
  </si>
  <si>
    <t xml:space="preserve"> 1.000C </t>
  </si>
  <si>
    <t xml:space="preserve">   1322   69  0 </t>
  </si>
  <si>
    <t xml:space="preserve">  IJUI2--RS069  </t>
  </si>
  <si>
    <t xml:space="preserve"> CERIL3-RS069 </t>
  </si>
  <si>
    <t xml:space="preserve"> DEMEI2-RS069 </t>
  </si>
  <si>
    <t xml:space="preserve"> CERILU-RS069 </t>
  </si>
  <si>
    <t xml:space="preserve"> PANAM2-RS069 </t>
  </si>
  <si>
    <t xml:space="preserve"> SUP  108.0% </t>
  </si>
  <si>
    <t xml:space="preserve"> IJU--1-RS000 </t>
  </si>
  <si>
    <t xml:space="preserve"> IJU--2-RS000 </t>
  </si>
  <si>
    <t xml:space="preserve"> IJU--3-RS000 </t>
  </si>
  <si>
    <t xml:space="preserve">   1324   23  0 </t>
  </si>
  <si>
    <t xml:space="preserve">  CANO1A-RS023  </t>
  </si>
  <si>
    <t xml:space="preserve"> CNA1-1-RS000 </t>
  </si>
  <si>
    <t xml:space="preserve">   1326  138  0 </t>
  </si>
  <si>
    <t xml:space="preserve">  LVERM2-RS138  </t>
  </si>
  <si>
    <t xml:space="preserve"> VACARI-RS138 </t>
  </si>
  <si>
    <t xml:space="preserve"> SANANDTAP138 </t>
  </si>
  <si>
    <t xml:space="preserve"> LVE-1--RS000 </t>
  </si>
  <si>
    <t xml:space="preserve"> LVE-2--RS000 </t>
  </si>
  <si>
    <t xml:space="preserve">   1328  138  0 </t>
  </si>
  <si>
    <t xml:space="preserve">  VACARI-RS138  </t>
  </si>
  <si>
    <t xml:space="preserve"> LAGEGR-RS138 </t>
  </si>
  <si>
    <t xml:space="preserve">   1331   69  0 </t>
  </si>
  <si>
    <t xml:space="preserve">  ATLAN2-RS069  </t>
  </si>
  <si>
    <t xml:space="preserve"> XANGRI-RS069 </t>
  </si>
  <si>
    <t xml:space="preserve"> ATLA-1-RS000 </t>
  </si>
  <si>
    <t xml:space="preserve"> ATLA-2-RS000 </t>
  </si>
  <si>
    <t xml:space="preserve"> ATLA-3-RS000 </t>
  </si>
  <si>
    <t xml:space="preserve">   1332   69  0 </t>
  </si>
  <si>
    <t xml:space="preserve">  PETROB-RS069  </t>
  </si>
  <si>
    <t xml:space="preserve"> CACHOE-RS069 </t>
  </si>
  <si>
    <t xml:space="preserve">   1333   14  0 </t>
  </si>
  <si>
    <t xml:space="preserve">  PANAMB-RS013  </t>
  </si>
  <si>
    <t xml:space="preserve"> HIDPA1-RS013 </t>
  </si>
  <si>
    <t xml:space="preserve"> COPRE1-RS013 </t>
  </si>
  <si>
    <t xml:space="preserve">   1334   69  0 </t>
  </si>
  <si>
    <t xml:space="preserve">  POLINDTAP069  </t>
  </si>
  <si>
    <t xml:space="preserve"> PPETRO-RS069 </t>
  </si>
  <si>
    <t xml:space="preserve"> HEXION-RS069 </t>
  </si>
  <si>
    <t xml:space="preserve">   1335  138  0 </t>
  </si>
  <si>
    <t xml:space="preserve">  CONSTA-RS138  </t>
  </si>
  <si>
    <t xml:space="preserve"> PLANAL-RS138 </t>
  </si>
  <si>
    <t xml:space="preserve">   1338  138  0 </t>
  </si>
  <si>
    <t xml:space="preserve">  NSRIT2-RS138  </t>
  </si>
  <si>
    <t xml:space="preserve">   1339   69  0 </t>
  </si>
  <si>
    <t xml:space="preserve">  SITEL-TAP069  </t>
  </si>
  <si>
    <t xml:space="preserve">   1340  138  0 </t>
  </si>
  <si>
    <t xml:space="preserve">  TAPEJA-RS138  </t>
  </si>
  <si>
    <t xml:space="preserve"> EREXI2-RS138 </t>
  </si>
  <si>
    <t xml:space="preserve">   1341   69  0 </t>
  </si>
  <si>
    <t xml:space="preserve">  SRITA-TAP069  </t>
  </si>
  <si>
    <t xml:space="preserve"> SITEL-TAP069 </t>
  </si>
  <si>
    <t xml:space="preserve">   1343   14  0 </t>
  </si>
  <si>
    <t xml:space="preserve">  SCRU1B-RS013  </t>
  </si>
  <si>
    <t xml:space="preserve"> SCR1RA-RS013 </t>
  </si>
  <si>
    <t xml:space="preserve">   1347   35  1 </t>
  </si>
  <si>
    <t xml:space="preserve">  CIDREIEOL034  </t>
  </si>
  <si>
    <t xml:space="preserve">   1352   14  0 </t>
  </si>
  <si>
    <t xml:space="preserve">  PALEG9-RS013  </t>
  </si>
  <si>
    <t xml:space="preserve"> PAL9-1-RS000 </t>
  </si>
  <si>
    <t xml:space="preserve">   1358  138  0 </t>
  </si>
  <si>
    <t xml:space="preserve">  OSO-Y2-RS138  </t>
  </si>
  <si>
    <t xml:space="preserve"> SAPATR-RS138 </t>
  </si>
  <si>
    <t xml:space="preserve">   1360   69  0 </t>
  </si>
  <si>
    <t xml:space="preserve">  CACHO2-RS069  </t>
  </si>
  <si>
    <t xml:space="preserve"> GRAVA2-RS069 </t>
  </si>
  <si>
    <t xml:space="preserve"> MUNDIA-RS069 </t>
  </si>
  <si>
    <t xml:space="preserve"> ALBARUTAP069 </t>
  </si>
  <si>
    <t xml:space="preserve">   1361   69  0 </t>
  </si>
  <si>
    <t xml:space="preserve">  ALBARU-RS069  </t>
  </si>
  <si>
    <t xml:space="preserve"> FITESA-RS069 </t>
  </si>
  <si>
    <t xml:space="preserve">   1362   69  0 </t>
  </si>
  <si>
    <t xml:space="preserve">  GRAVA1-RS069  </t>
  </si>
  <si>
    <t xml:space="preserve">   1363   69  0 </t>
  </si>
  <si>
    <t xml:space="preserve">  ICOTR--RS069  </t>
  </si>
  <si>
    <t xml:space="preserve">   1364   69  0 </t>
  </si>
  <si>
    <t xml:space="preserve">  PIRELL-RS069  </t>
  </si>
  <si>
    <t xml:space="preserve"> GRAVA3-RS069 </t>
  </si>
  <si>
    <t xml:space="preserve"> GRAVA1-RS069 </t>
  </si>
  <si>
    <t xml:space="preserve">   1365   69  0 </t>
  </si>
  <si>
    <t xml:space="preserve">  FITESA-RS069  </t>
  </si>
  <si>
    <t xml:space="preserve"> ALBARU-RS069 </t>
  </si>
  <si>
    <t xml:space="preserve">   1366   69  0 </t>
  </si>
  <si>
    <t xml:space="preserve">  MUNDIA-RS069  </t>
  </si>
  <si>
    <t xml:space="preserve">   1367   69  0 </t>
  </si>
  <si>
    <t xml:space="preserve">  GLORIN-RS069  </t>
  </si>
  <si>
    <t xml:space="preserve">   1374  138  0 </t>
  </si>
  <si>
    <t xml:space="preserve">  SCHINC-RS138  </t>
  </si>
  <si>
    <t xml:space="preserve"> 3COROA-RS138 </t>
  </si>
  <si>
    <t xml:space="preserve">   1378   69  0 </t>
  </si>
  <si>
    <t xml:space="preserve">  ICOTROTAP069  </t>
  </si>
  <si>
    <t xml:space="preserve"> ICOTR--RS069 </t>
  </si>
  <si>
    <t xml:space="preserve">   1379   69  0 </t>
  </si>
  <si>
    <t xml:space="preserve">  ALBARUTAP069  </t>
  </si>
  <si>
    <t xml:space="preserve">   1383  138  0 </t>
  </si>
  <si>
    <t xml:space="preserve">  SMARI3-RS138  </t>
  </si>
  <si>
    <t xml:space="preserve"> SMARI1-RS138 </t>
  </si>
  <si>
    <t xml:space="preserve"> FORMIG-RS138 </t>
  </si>
  <si>
    <t xml:space="preserve"> SM3--1-RS000 </t>
  </si>
  <si>
    <t xml:space="preserve"> SM3--2-RS000 </t>
  </si>
  <si>
    <t xml:space="preserve">   1384   69  0 </t>
  </si>
  <si>
    <t xml:space="preserve">  POLOFI-RS069  </t>
  </si>
  <si>
    <t xml:space="preserve">   1387   69  0 </t>
  </si>
  <si>
    <t xml:space="preserve">  CAXIA6-RS069  </t>
  </si>
  <si>
    <t xml:space="preserve"> CAXIA3-RS069 </t>
  </si>
  <si>
    <t xml:space="preserve"> CAXIA7-RS069 </t>
  </si>
  <si>
    <t xml:space="preserve"> CAX6-1-RS000 </t>
  </si>
  <si>
    <t xml:space="preserve"> CAX6-2-RS000 </t>
  </si>
  <si>
    <t xml:space="preserve">   1388   69  0 </t>
  </si>
  <si>
    <t xml:space="preserve">  CAXIA3-RS069  </t>
  </si>
  <si>
    <t xml:space="preserve"> CAXIA6-RS069 </t>
  </si>
  <si>
    <t xml:space="preserve"> EBERLETAP069 </t>
  </si>
  <si>
    <t xml:space="preserve">   1389   69  0 </t>
  </si>
  <si>
    <t xml:space="preserve">  CAXIA4-RS069  </t>
  </si>
  <si>
    <t xml:space="preserve"> POTOMETAP069 </t>
  </si>
  <si>
    <t xml:space="preserve">   2050    7  1 </t>
  </si>
  <si>
    <t xml:space="preserve">  BUGRESPCH006  </t>
  </si>
  <si>
    <t xml:space="preserve"> BUGRES-RS069 </t>
  </si>
  <si>
    <t xml:space="preserve">   2051   14  1 </t>
  </si>
  <si>
    <t xml:space="preserve">  CANASTPCH013  </t>
  </si>
  <si>
    <t xml:space="preserve"> CANA-B-RS000 </t>
  </si>
  <si>
    <t xml:space="preserve"> CANA-A-RS000 </t>
  </si>
  <si>
    <t xml:space="preserve">   2053   69  0 </t>
  </si>
  <si>
    <t xml:space="preserve">  SJERO--RS069  </t>
  </si>
  <si>
    <t xml:space="preserve"> TRIUNF-RS069 </t>
  </si>
  <si>
    <t xml:space="preserve">   2055  138  0 </t>
  </si>
  <si>
    <t xml:space="preserve">  SAPATR-RS138  </t>
  </si>
  <si>
    <t xml:space="preserve"> SUP  111.5% </t>
  </si>
  <si>
    <t xml:space="preserve"> SAPATR-RS023 </t>
  </si>
  <si>
    <t xml:space="preserve"> 0.898* </t>
  </si>
  <si>
    <t xml:space="preserve">   2058   69  0 </t>
  </si>
  <si>
    <t xml:space="preserve">  BUGRES-RS069  </t>
  </si>
  <si>
    <t xml:space="preserve"> BUGRESPCH006 </t>
  </si>
  <si>
    <t xml:space="preserve"> 0.993F </t>
  </si>
  <si>
    <t xml:space="preserve"> CANAST-RS069 </t>
  </si>
  <si>
    <t xml:space="preserve">   2060  991  0 </t>
  </si>
  <si>
    <t xml:space="preserve">  CANA-B-RS000  </t>
  </si>
  <si>
    <t xml:space="preserve"> CANASTPCH013 </t>
  </si>
  <si>
    <t xml:space="preserve">   2061  138  0 </t>
  </si>
  <si>
    <t xml:space="preserve">  CRUZAL-RS138  </t>
  </si>
  <si>
    <t xml:space="preserve"> CAL1-A-RS023 </t>
  </si>
  <si>
    <t xml:space="preserve"> 0.990* </t>
  </si>
  <si>
    <t xml:space="preserve">   2062  991  0 </t>
  </si>
  <si>
    <t xml:space="preserve">  CANA-A-RS000  </t>
  </si>
  <si>
    <t xml:space="preserve">   2063   69  0 </t>
  </si>
  <si>
    <t xml:space="preserve">  CANAST-RS069  </t>
  </si>
  <si>
    <t xml:space="preserve">   2064  138  0 </t>
  </si>
  <si>
    <t xml:space="preserve">  CANAST-RS138  </t>
  </si>
  <si>
    <t xml:space="preserve"> CANAS2-RS138 </t>
  </si>
  <si>
    <t xml:space="preserve">   2065  138  0 </t>
  </si>
  <si>
    <t xml:space="preserve">  CANAS2-RS138  </t>
  </si>
  <si>
    <t xml:space="preserve"> CANAS2-RS069 </t>
  </si>
  <si>
    <t xml:space="preserve"> 0.969* </t>
  </si>
  <si>
    <t xml:space="preserve">   2067   69  0 </t>
  </si>
  <si>
    <t xml:space="preserve">  CACHOE-RS069  </t>
  </si>
  <si>
    <t xml:space="preserve"> CACHOE-RS138 </t>
  </si>
  <si>
    <t xml:space="preserve">   2068  138  0 </t>
  </si>
  <si>
    <t xml:space="preserve">  CACHOE-RS138  </t>
  </si>
  <si>
    <t xml:space="preserve"> CACHO3-RS138 </t>
  </si>
  <si>
    <t xml:space="preserve">   2069  138  0 </t>
  </si>
  <si>
    <t xml:space="preserve">  EREXIM-RS138  </t>
  </si>
  <si>
    <t xml:space="preserve">   2076  138  0 </t>
  </si>
  <si>
    <t xml:space="preserve">  PORTAO-RS138  </t>
  </si>
  <si>
    <t xml:space="preserve">   2077   69  0 </t>
  </si>
  <si>
    <t xml:space="preserve">  PPETRO-RS069  </t>
  </si>
  <si>
    <t xml:space="preserve"> POLINDTAP069 </t>
  </si>
  <si>
    <t xml:space="preserve"> CERTAJ-RS069 </t>
  </si>
  <si>
    <t xml:space="preserve"> PPE--7-RS000 </t>
  </si>
  <si>
    <t xml:space="preserve"> PPE--8-RS000 </t>
  </si>
  <si>
    <t xml:space="preserve">   2079   69  0 </t>
  </si>
  <si>
    <t xml:space="preserve">  MISSOE-RS069  </t>
  </si>
  <si>
    <t xml:space="preserve"> PSJOAO-RS069 </t>
  </si>
  <si>
    <t xml:space="preserve"> CERMIS-RS069 </t>
  </si>
  <si>
    <t xml:space="preserve"> MIS--1-RS000 </t>
  </si>
  <si>
    <t xml:space="preserve"> MIS--2-RS000 </t>
  </si>
  <si>
    <t xml:space="preserve"> MIS-3--RS000 </t>
  </si>
  <si>
    <t xml:space="preserve">   2081   69  0 </t>
  </si>
  <si>
    <t xml:space="preserve">  LAJEA2-RS069  </t>
  </si>
  <si>
    <t xml:space="preserve"> LAJE2A-RS013 </t>
  </si>
  <si>
    <t xml:space="preserve"> PERDIG-RS069 </t>
  </si>
  <si>
    <t xml:space="preserve"> LAJEA1-RS069 </t>
  </si>
  <si>
    <t xml:space="preserve"> ARMEIO-RS069 </t>
  </si>
  <si>
    <t xml:space="preserve"> LAJE2B-RS013 </t>
  </si>
  <si>
    <t xml:space="preserve"> 0.981* </t>
  </si>
  <si>
    <t xml:space="preserve"> LAJ2-1-RS000 </t>
  </si>
  <si>
    <t xml:space="preserve"> LAJ2-2-RS000 </t>
  </si>
  <si>
    <t xml:space="preserve"> LAJ2-3-RS000 </t>
  </si>
  <si>
    <t xml:space="preserve">   2083   14  0 </t>
  </si>
  <si>
    <t xml:space="preserve">  LAJE2A-RS013  </t>
  </si>
  <si>
    <t xml:space="preserve"> LAJEA2-RS069 </t>
  </si>
  <si>
    <t xml:space="preserve">   2084  138  0 </t>
  </si>
  <si>
    <t xml:space="preserve">  PEPSI--RS138  </t>
  </si>
  <si>
    <t xml:space="preserve">   2087   69  0 </t>
  </si>
  <si>
    <t xml:space="preserve">  SMARI3-RS069  </t>
  </si>
  <si>
    <t xml:space="preserve"> SMA3-1-RS000 </t>
  </si>
  <si>
    <t xml:space="preserve"> SMA3-5-RS000 </t>
  </si>
  <si>
    <t xml:space="preserve"> SMA3-2-RS000 </t>
  </si>
  <si>
    <t xml:space="preserve">   2088   69  0 </t>
  </si>
  <si>
    <t xml:space="preserve">  SCRUZ1-RS069  </t>
  </si>
  <si>
    <t xml:space="preserve"> SCR1-1-RS000 </t>
  </si>
  <si>
    <t xml:space="preserve"> SCR1-2-RS000 </t>
  </si>
  <si>
    <t xml:space="preserve"> SCR1-5-RS000 </t>
  </si>
  <si>
    <t xml:space="preserve">   2089   14  0 </t>
  </si>
  <si>
    <t xml:space="preserve">  SCHARL-RS013  </t>
  </si>
  <si>
    <t xml:space="preserve"> SCHARL-RS000 </t>
  </si>
  <si>
    <t xml:space="preserve">   2090  138  0 </t>
  </si>
  <si>
    <t xml:space="preserve">  SCHARL-RS138  </t>
  </si>
  <si>
    <t xml:space="preserve"> EVELHA-RS138 </t>
  </si>
  <si>
    <t xml:space="preserve"> PORTAO-RS138 </t>
  </si>
  <si>
    <t xml:space="preserve"> 0.996F </t>
  </si>
  <si>
    <t xml:space="preserve"> SLEOP2-RS138 </t>
  </si>
  <si>
    <t xml:space="preserve"> NHAMB2-RS138 </t>
  </si>
  <si>
    <t xml:space="preserve"> SC2--1-RS000 </t>
  </si>
  <si>
    <t xml:space="preserve"> SC2--3-RS000 </t>
  </si>
  <si>
    <t xml:space="preserve"> SC2--2-RS000 </t>
  </si>
  <si>
    <t xml:space="preserve">   2091   69  0 </t>
  </si>
  <si>
    <t xml:space="preserve">  SCHARL-RS069  </t>
  </si>
  <si>
    <t xml:space="preserve"> 0.972* </t>
  </si>
  <si>
    <t xml:space="preserve">   2092  138  0 </t>
  </si>
  <si>
    <t xml:space="preserve">  PAROBE-RS138  </t>
  </si>
  <si>
    <t xml:space="preserve">   2093  991  0 </t>
  </si>
  <si>
    <t xml:space="preserve">  SCHARL-RS000  </t>
  </si>
  <si>
    <t xml:space="preserve"> SCHARL-RS013 </t>
  </si>
  <si>
    <t xml:space="preserve"> SCHARL-RS069 </t>
  </si>
  <si>
    <t xml:space="preserve">   2094  138  0 </t>
  </si>
  <si>
    <t xml:space="preserve">  TAQUAR-RS138  </t>
  </si>
  <si>
    <t xml:space="preserve"> PAROBE-RS138 </t>
  </si>
  <si>
    <t xml:space="preserve"> ROLANT-RS138 </t>
  </si>
  <si>
    <t xml:space="preserve"> TAQ--1-RS000 </t>
  </si>
  <si>
    <t xml:space="preserve"> TAQ--2-RS000 </t>
  </si>
  <si>
    <t xml:space="preserve"> TAQ--3-RS000 </t>
  </si>
  <si>
    <t xml:space="preserve">   2095   23  0 </t>
  </si>
  <si>
    <t xml:space="preserve">  PFUNDO-RS023  </t>
  </si>
  <si>
    <t xml:space="preserve">   2099  138  0 </t>
  </si>
  <si>
    <t xml:space="preserve">  ZOOLOG-RS138  </t>
  </si>
  <si>
    <t xml:space="preserve">   3000  138  0 </t>
  </si>
  <si>
    <t xml:space="preserve">  SAPUCA-RS138  </t>
  </si>
  <si>
    <t xml:space="preserve"> STIHL--RS138 </t>
  </si>
  <si>
    <t xml:space="preserve">   3001  138  0 </t>
  </si>
  <si>
    <t xml:space="preserve">  SLEOPO-RS138  </t>
  </si>
  <si>
    <t xml:space="preserve">   9182   69  0 </t>
  </si>
  <si>
    <t xml:space="preserve">  XANGRI-RS069  </t>
  </si>
  <si>
    <t xml:space="preserve"> ATLAN2-RS069 </t>
  </si>
  <si>
    <t xml:space="preserve"> XANGRI-RS034 </t>
  </si>
  <si>
    <t xml:space="preserve">   9183   35  1 </t>
  </si>
  <si>
    <t xml:space="preserve">  XANGRIEOL034  </t>
  </si>
  <si>
    <t xml:space="preserve">   9195   69  0 </t>
  </si>
  <si>
    <t xml:space="preserve">  CERIL3-RS069  </t>
  </si>
  <si>
    <t xml:space="preserve"> IJUI2--RS069 </t>
  </si>
  <si>
    <t xml:space="preserve">   9199  138  0 </t>
  </si>
  <si>
    <t xml:space="preserve">  STIHL--RS138  </t>
  </si>
  <si>
    <t xml:space="preserve"> SAPUCA-RS138 </t>
  </si>
  <si>
    <t xml:space="preserve"> SLEOPO-RS138 </t>
  </si>
  <si>
    <t xml:space="preserve">   9200  138  0 </t>
  </si>
  <si>
    <t xml:space="preserve">  SLEOP2-RS138  </t>
  </si>
  <si>
    <t xml:space="preserve">   9201   23  0 </t>
  </si>
  <si>
    <t xml:space="preserve">  CBOM-A-RS023  </t>
  </si>
  <si>
    <t xml:space="preserve"> CBOM-3-RS000 </t>
  </si>
  <si>
    <t xml:space="preserve">   9205   23  0 </t>
  </si>
  <si>
    <t xml:space="preserve">  MACAMB-RS023  </t>
  </si>
  <si>
    <t xml:space="preserve"> MACAMB-RS069 </t>
  </si>
  <si>
    <t xml:space="preserve">   9206   23  0 </t>
  </si>
  <si>
    <t xml:space="preserve">  SBORJA-RS023  </t>
  </si>
  <si>
    <t xml:space="preserve"> SBORJ2-RS069 </t>
  </si>
  <si>
    <t xml:space="preserve">   9207   23  0 </t>
  </si>
  <si>
    <t xml:space="preserve">  CIPA-A-RS023  </t>
  </si>
  <si>
    <t xml:space="preserve"> CIND-1-RS000 </t>
  </si>
  <si>
    <t xml:space="preserve">   9208   23  0 </t>
  </si>
  <si>
    <t xml:space="preserve">  SVICEN-RS023  </t>
  </si>
  <si>
    <t xml:space="preserve"> SVICEN-RS069 </t>
  </si>
  <si>
    <t xml:space="preserve">   9209   23  0 </t>
  </si>
  <si>
    <t xml:space="preserve">  SCHARL-RS023  </t>
  </si>
  <si>
    <t xml:space="preserve"> SCH--5-RS000 </t>
  </si>
  <si>
    <t xml:space="preserve">   9210   14  0 </t>
  </si>
  <si>
    <t xml:space="preserve">  VAIT34-RS013  </t>
  </si>
  <si>
    <t xml:space="preserve"> VENAIR-RS069 </t>
  </si>
  <si>
    <t xml:space="preserve">   9211   14  0 </t>
  </si>
  <si>
    <t xml:space="preserve">  VAIRT5-RS013  </t>
  </si>
  <si>
    <t xml:space="preserve">   9214  138  0 </t>
  </si>
  <si>
    <t xml:space="preserve">  CANOA3-RS138  </t>
  </si>
  <si>
    <t xml:space="preserve">   9215  138  0 </t>
  </si>
  <si>
    <t xml:space="preserve">  NHAMB2-RS138  </t>
  </si>
  <si>
    <t xml:space="preserve">   9216   23  0 </t>
  </si>
  <si>
    <t xml:space="preserve">  CBOM-B-RS023  </t>
  </si>
  <si>
    <t xml:space="preserve"> CBOM-6-RS000 </t>
  </si>
  <si>
    <t xml:space="preserve">   9217   23  0 </t>
  </si>
  <si>
    <t xml:space="preserve">  CIPA-B-RS023  </t>
  </si>
  <si>
    <t xml:space="preserve"> CIND-2-RS000 </t>
  </si>
  <si>
    <t xml:space="preserve">   9218  992  1 </t>
  </si>
  <si>
    <t xml:space="preserve">  PSJOAOUHE001  </t>
  </si>
  <si>
    <t xml:space="preserve">   9219   69  0 </t>
  </si>
  <si>
    <t xml:space="preserve">  PSJOAO-RS069  </t>
  </si>
  <si>
    <t xml:space="preserve"> MISSOE-RS069 </t>
  </si>
  <si>
    <t xml:space="preserve"> PSJOAOUHE001 </t>
  </si>
  <si>
    <t xml:space="preserve"> ROQGON-RS069 </t>
  </si>
  <si>
    <t xml:space="preserve">   9220  992  1 </t>
  </si>
  <si>
    <t xml:space="preserve">  SJOSE-UHE001  </t>
  </si>
  <si>
    <t xml:space="preserve"> SJOSE--RS069 </t>
  </si>
  <si>
    <t xml:space="preserve">   9221   69  0 </t>
  </si>
  <si>
    <t xml:space="preserve">  SJOSE--RS069  </t>
  </si>
  <si>
    <t xml:space="preserve"> SJOSE-UHE001 </t>
  </si>
  <si>
    <t xml:space="preserve"> 1.050F </t>
  </si>
  <si>
    <t xml:space="preserve">   9222  992  1 </t>
  </si>
  <si>
    <t xml:space="preserve">  KOTZIAPCH006  </t>
  </si>
  <si>
    <t xml:space="preserve">   9223  138  0 </t>
  </si>
  <si>
    <t xml:space="preserve">  KOTZIA-RS138  </t>
  </si>
  <si>
    <t xml:space="preserve"> KOTZIAPCH006 </t>
  </si>
  <si>
    <t xml:space="preserve"> DREHER-RS138 </t>
  </si>
  <si>
    <t xml:space="preserve">   9224  992  1 </t>
  </si>
  <si>
    <t xml:space="preserve">  DREHERPCH006  </t>
  </si>
  <si>
    <t xml:space="preserve">   9225  138  0 </t>
  </si>
  <si>
    <t xml:space="preserve">  DREHER-RS138  </t>
  </si>
  <si>
    <t xml:space="preserve"> DREHERPCH006 </t>
  </si>
  <si>
    <t xml:space="preserve">   9226   69  0 </t>
  </si>
  <si>
    <t xml:space="preserve">  GKNPAL-RS069  </t>
  </si>
  <si>
    <t xml:space="preserve"> PALGR8-RS069 </t>
  </si>
  <si>
    <t xml:space="preserve"> PALE20-RS069 </t>
  </si>
  <si>
    <t xml:space="preserve">   9227   69  0 </t>
  </si>
  <si>
    <t xml:space="preserve">  BRPALE-RS069  </t>
  </si>
  <si>
    <t xml:space="preserve"> BRPALETAP069 </t>
  </si>
  <si>
    <t xml:space="preserve">   9228   69  0 </t>
  </si>
  <si>
    <t xml:space="preserve">  LATPAL-RS069  </t>
  </si>
  <si>
    <t xml:space="preserve">   9229   69  0 </t>
  </si>
  <si>
    <t xml:space="preserve">  MNAPA--RS069  </t>
  </si>
  <si>
    <t xml:space="preserve"> MNAPALTAP069 </t>
  </si>
  <si>
    <t xml:space="preserve">   9230   69  0 </t>
  </si>
  <si>
    <t xml:space="preserve">  GERPGR-RS069  </t>
  </si>
  <si>
    <t xml:space="preserve">   9231   69  0 </t>
  </si>
  <si>
    <t xml:space="preserve">  FRPPGR-RS069  </t>
  </si>
  <si>
    <t xml:space="preserve">   9232   69  0 </t>
  </si>
  <si>
    <t xml:space="preserve">  ALVORA-RS069  </t>
  </si>
  <si>
    <t xml:space="preserve"> VIAMA3-RS069 </t>
  </si>
  <si>
    <t xml:space="preserve">   9233   69  0 </t>
  </si>
  <si>
    <t xml:space="preserve">  VIAMA1-RS069  </t>
  </si>
  <si>
    <t xml:space="preserve"> ACLARATAP069 </t>
  </si>
  <si>
    <t xml:space="preserve">   9234   69  0 </t>
  </si>
  <si>
    <t xml:space="preserve">  PALE1A-RS069  </t>
  </si>
  <si>
    <t xml:space="preserve"> PALEG1-RS069 </t>
  </si>
  <si>
    <t xml:space="preserve">   9235   69  0 </t>
  </si>
  <si>
    <t xml:space="preserve">  PALE1B-RS069  </t>
  </si>
  <si>
    <t xml:space="preserve">   9236   69  0 </t>
  </si>
  <si>
    <t xml:space="preserve">  PALEG2-RS069  </t>
  </si>
  <si>
    <t xml:space="preserve"> GERPALTAP069 </t>
  </si>
  <si>
    <t xml:space="preserve">   9237   69  0 </t>
  </si>
  <si>
    <t xml:space="preserve">  PALE17-RS069  </t>
  </si>
  <si>
    <t xml:space="preserve">   9238   69  0 </t>
  </si>
  <si>
    <t xml:space="preserve">  PALEG7-RS069  </t>
  </si>
  <si>
    <t xml:space="preserve">   9241   23  0 </t>
  </si>
  <si>
    <t xml:space="preserve">  ELDORA-RS023  </t>
  </si>
  <si>
    <t xml:space="preserve"> ELDO-1-RS000 </t>
  </si>
  <si>
    <t xml:space="preserve">   9242   69  0 </t>
  </si>
  <si>
    <t xml:space="preserve">  PMEDIC-RS069  </t>
  </si>
  <si>
    <t xml:space="preserve"> PMEDIC-RS138 </t>
  </si>
  <si>
    <t xml:space="preserve">   9243   14  0 </t>
  </si>
  <si>
    <t xml:space="preserve">  PALE4A-RS013  </t>
  </si>
  <si>
    <t xml:space="preserve"> PAL4-A-RS000 </t>
  </si>
  <si>
    <t xml:space="preserve">   9244   14  0 </t>
  </si>
  <si>
    <t xml:space="preserve">  PALEG6-RS013  </t>
  </si>
  <si>
    <t xml:space="preserve"> PAL6-6-RS000 </t>
  </si>
  <si>
    <t xml:space="preserve">   9245   14  0 </t>
  </si>
  <si>
    <t xml:space="preserve">  PALE10-RS013  </t>
  </si>
  <si>
    <t xml:space="preserve"> PA10-3-RS000 </t>
  </si>
  <si>
    <t xml:space="preserve">   9247   69  0 </t>
  </si>
  <si>
    <t xml:space="preserve">  PAL12--RS069  </t>
  </si>
  <si>
    <t xml:space="preserve"> JBOTAN-RS069 </t>
  </si>
  <si>
    <t xml:space="preserve">   9248   69  0 </t>
  </si>
  <si>
    <t xml:space="preserve">  P12-2Y-RS069  </t>
  </si>
  <si>
    <t xml:space="preserve"> PALG10-RS069 </t>
  </si>
  <si>
    <t xml:space="preserve">   9249   69  0 </t>
  </si>
  <si>
    <t xml:space="preserve">  P12-1Y-RS069  </t>
  </si>
  <si>
    <t xml:space="preserve"> PALGR6-RS069 </t>
  </si>
  <si>
    <t xml:space="preserve">   9250   23  0 </t>
  </si>
  <si>
    <t xml:space="preserve">  SAPATR-RS023  </t>
  </si>
  <si>
    <t xml:space="preserve"> SUP  100.1% </t>
  </si>
  <si>
    <t xml:space="preserve">   9251   14  0 </t>
  </si>
  <si>
    <t xml:space="preserve">  PALE4B-RS013  </t>
  </si>
  <si>
    <t xml:space="preserve"> PAL4-B-RS000 </t>
  </si>
  <si>
    <t xml:space="preserve">   9252   14  0 </t>
  </si>
  <si>
    <t xml:space="preserve">  PALE4C-RS013  </t>
  </si>
  <si>
    <t xml:space="preserve"> PAL4-C-RS000 </t>
  </si>
  <si>
    <t xml:space="preserve">   9253   14  0 </t>
  </si>
  <si>
    <t xml:space="preserve">  PALE4D-RS013  </t>
  </si>
  <si>
    <t xml:space="preserve"> PAL4-D-RS000 </t>
  </si>
  <si>
    <t xml:space="preserve">   9254   14  0 </t>
  </si>
  <si>
    <t xml:space="preserve">  PALE4E-RS013  </t>
  </si>
  <si>
    <t xml:space="preserve"> PAL4-E-RS000 </t>
  </si>
  <si>
    <t xml:space="preserve">   9255   69  0 </t>
  </si>
  <si>
    <t xml:space="preserve">  FLORES-RS069  </t>
  </si>
  <si>
    <t xml:space="preserve">   9256   69  0 </t>
  </si>
  <si>
    <t xml:space="preserve">  PALE20-RS069  </t>
  </si>
  <si>
    <t xml:space="preserve"> FRAPOR-RS069 </t>
  </si>
  <si>
    <t xml:space="preserve">   9257   69  0 </t>
  </si>
  <si>
    <t xml:space="preserve">  MENDEU-RS069  </t>
  </si>
  <si>
    <t xml:space="preserve">   9258   69  0 </t>
  </si>
  <si>
    <t xml:space="preserve">  ALVOR2-RS069  </t>
  </si>
  <si>
    <t xml:space="preserve">   9260   14  0 </t>
  </si>
  <si>
    <t xml:space="preserve">  PAL13B-RS013  </t>
  </si>
  <si>
    <t xml:space="preserve"> PA13-2-RS000 </t>
  </si>
  <si>
    <t xml:space="preserve">   9261   69  0 </t>
  </si>
  <si>
    <t xml:space="preserve">  CLARGO-RS069  </t>
  </si>
  <si>
    <t xml:space="preserve"> SROSA--RS069 </t>
  </si>
  <si>
    <t xml:space="preserve">   9264   69  0 </t>
  </si>
  <si>
    <t xml:space="preserve">  VIAMA3-RS069  </t>
  </si>
  <si>
    <t xml:space="preserve"> VIAMA1-RS069 </t>
  </si>
  <si>
    <t xml:space="preserve"> PALE16-RS069 </t>
  </si>
  <si>
    <t xml:space="preserve"> VIA3-1-RS000 </t>
  </si>
  <si>
    <t xml:space="preserve"> VIA3-2-RS000 </t>
  </si>
  <si>
    <t xml:space="preserve"> VIA3-3-RS000 </t>
  </si>
  <si>
    <t xml:space="preserve">   9266   69  0 </t>
  </si>
  <si>
    <t xml:space="preserve">  PALEG3-RS069  </t>
  </si>
  <si>
    <t xml:space="preserve">   9267   69  0 </t>
  </si>
  <si>
    <t xml:space="preserve">  PALEG5-RS069  </t>
  </si>
  <si>
    <t xml:space="preserve">   9268   69  0 </t>
  </si>
  <si>
    <t xml:space="preserve">  PALE14-RS069  </t>
  </si>
  <si>
    <t xml:space="preserve"> RESTIN-RS069 </t>
  </si>
  <si>
    <t xml:space="preserve">   9269   69  0 </t>
  </si>
  <si>
    <t xml:space="preserve">  PALE16-RS069  </t>
  </si>
  <si>
    <t xml:space="preserve">   9270   69  0 </t>
  </si>
  <si>
    <t xml:space="preserve">  VIAMO2-RS069  </t>
  </si>
  <si>
    <t xml:space="preserve">   9271   69  0 </t>
  </si>
  <si>
    <t xml:space="preserve">  PALE15-RS069  </t>
  </si>
  <si>
    <t xml:space="preserve"> PALE15TAP069 </t>
  </si>
  <si>
    <t xml:space="preserve">   9272   69  0 </t>
  </si>
  <si>
    <t xml:space="preserve">  PALE15TAP069  </t>
  </si>
  <si>
    <t xml:space="preserve"> PALE15-RS069 </t>
  </si>
  <si>
    <t xml:space="preserve">   9273   69  0 </t>
  </si>
  <si>
    <t xml:space="preserve">  VONPA1TAP069  </t>
  </si>
  <si>
    <t xml:space="preserve"> VONPA1-RS069 </t>
  </si>
  <si>
    <t xml:space="preserve">   9274   69  0 </t>
  </si>
  <si>
    <t xml:space="preserve">  VONPA1-RS069  </t>
  </si>
  <si>
    <t xml:space="preserve">   9275   69  0 </t>
  </si>
  <si>
    <t xml:space="preserve">  AGUCLA-RS069  </t>
  </si>
  <si>
    <t xml:space="preserve">   9276   69  0 </t>
  </si>
  <si>
    <t xml:space="preserve">  RINCAO-RS069  </t>
  </si>
  <si>
    <t xml:space="preserve">   9277   69  0 </t>
  </si>
  <si>
    <t xml:space="preserve">  ZAFFAR-RS069  </t>
  </si>
  <si>
    <t xml:space="preserve">   9279   14  0 </t>
  </si>
  <si>
    <t xml:space="preserve">  CAX5-A-RS013  </t>
  </si>
  <si>
    <t xml:space="preserve"> CAX5-1-RS000 </t>
  </si>
  <si>
    <t xml:space="preserve">   9281   14  0 </t>
  </si>
  <si>
    <t xml:space="preserve">  CAXIA2-RS013  </t>
  </si>
  <si>
    <t xml:space="preserve">   9282   14  0 </t>
  </si>
  <si>
    <t xml:space="preserve">  CAX5-B-RS013  </t>
  </si>
  <si>
    <t xml:space="preserve"> CAX5-2-RS000 </t>
  </si>
  <si>
    <t xml:space="preserve">   9284   23  0 </t>
  </si>
  <si>
    <t xml:space="preserve">  GRARGE-RS023  </t>
  </si>
  <si>
    <t xml:space="preserve"> GRA--3-RS000 </t>
  </si>
  <si>
    <t xml:space="preserve">   9285   23  0 </t>
  </si>
  <si>
    <t xml:space="preserve">  SANGEL-RS023  </t>
  </si>
  <si>
    <t xml:space="preserve"> CERMIS-RS023 </t>
  </si>
  <si>
    <t xml:space="preserve">   9290   69  0 </t>
  </si>
  <si>
    <t xml:space="preserve">  PUCPAL-RS069  </t>
  </si>
  <si>
    <t xml:space="preserve">   9292   69  0 </t>
  </si>
  <si>
    <t xml:space="preserve">  SMARCO-RS069  </t>
  </si>
  <si>
    <t xml:space="preserve">   9293   69  0 </t>
  </si>
  <si>
    <t xml:space="preserve">  POTOMETAP069  </t>
  </si>
  <si>
    <t xml:space="preserve"> SMARCO-RS069 </t>
  </si>
  <si>
    <t xml:space="preserve"> POTOME-RS069 </t>
  </si>
  <si>
    <t xml:space="preserve">   9294   69  0 </t>
  </si>
  <si>
    <t xml:space="preserve">  POTOME-RS069  </t>
  </si>
  <si>
    <t xml:space="preserve">   9295   69  0 </t>
  </si>
  <si>
    <t xml:space="preserve">  EBERLETAP069  </t>
  </si>
  <si>
    <t xml:space="preserve"> EBERLE-RS069 </t>
  </si>
  <si>
    <t xml:space="preserve">   9296   69  0 </t>
  </si>
  <si>
    <t xml:space="preserve">  EBERLE-RS069  </t>
  </si>
  <si>
    <t xml:space="preserve">   9297   69  0 </t>
  </si>
  <si>
    <t xml:space="preserve">  RANDONTAP069  </t>
  </si>
  <si>
    <t xml:space="preserve"> RANDON-RS069 </t>
  </si>
  <si>
    <t xml:space="preserve">   9298   69  0 </t>
  </si>
  <si>
    <t xml:space="preserve">  RANDON-RS069  </t>
  </si>
  <si>
    <t xml:space="preserve">   9299   69  0 </t>
  </si>
  <si>
    <t xml:space="preserve">  FCUNHA-RS069  </t>
  </si>
  <si>
    <t xml:space="preserve">   9300   14  0 </t>
  </si>
  <si>
    <t xml:space="preserve">  PALE6B-RS013  </t>
  </si>
  <si>
    <t xml:space="preserve">   9301   14  0 </t>
  </si>
  <si>
    <t xml:space="preserve">  PAL10B-RS013  </t>
  </si>
  <si>
    <t xml:space="preserve"> PA10-5-RS000 </t>
  </si>
  <si>
    <t xml:space="preserve">   9303   69  0 </t>
  </si>
  <si>
    <t xml:space="preserve">  RESTIN-RS069  </t>
  </si>
  <si>
    <t xml:space="preserve"> PALE14-RS069 </t>
  </si>
  <si>
    <t xml:space="preserve"> RINCAO-RS069 </t>
  </si>
  <si>
    <t xml:space="preserve"> REST-2-RS000 </t>
  </si>
  <si>
    <t xml:space="preserve"> REST-1-RS000 </t>
  </si>
  <si>
    <t xml:space="preserve">   9305  138  0 </t>
  </si>
  <si>
    <t xml:space="preserve">  CACHO3-RS138  </t>
  </si>
  <si>
    <t xml:space="preserve"> ESTEI2-RS138 </t>
  </si>
  <si>
    <t xml:space="preserve"> CAC3-1-RS000 </t>
  </si>
  <si>
    <t xml:space="preserve"> CAC3-2-RS000 </t>
  </si>
  <si>
    <t xml:space="preserve"> CAC3-3-RS000 </t>
  </si>
  <si>
    <t xml:space="preserve">   9306   69  0 </t>
  </si>
  <si>
    <t xml:space="preserve">  SHIGUA-RS069  </t>
  </si>
  <si>
    <t xml:space="preserve">   9392   69  0 </t>
  </si>
  <si>
    <t xml:space="preserve">  ENT874-RS069  </t>
  </si>
  <si>
    <t xml:space="preserve">   9548   69  0 </t>
  </si>
  <si>
    <t xml:space="preserve">  NPETR2-RS069  </t>
  </si>
  <si>
    <t xml:space="preserve"> GRAMAD-RS069 </t>
  </si>
  <si>
    <t xml:space="preserve"> NPETRO-RS069 </t>
  </si>
  <si>
    <t xml:space="preserve"> NVP--1-RS000 </t>
  </si>
  <si>
    <t xml:space="preserve"> NVP--2-RS000 </t>
  </si>
  <si>
    <t xml:space="preserve">   9549  138  0 </t>
  </si>
  <si>
    <t xml:space="preserve">  PLANAL-RS138  </t>
  </si>
  <si>
    <t xml:space="preserve"> FCHAPE-RS138 </t>
  </si>
  <si>
    <t xml:space="preserve"> CONSTA-RS138 </t>
  </si>
  <si>
    <t xml:space="preserve">   9550   69  0 </t>
  </si>
  <si>
    <t xml:space="preserve">  GRAMAD-RS069  </t>
  </si>
  <si>
    <t xml:space="preserve"> NPETR2-RS069 </t>
  </si>
  <si>
    <t xml:space="preserve"> GRAMADTAP069 </t>
  </si>
  <si>
    <t xml:space="preserve">   9551   69  0 </t>
  </si>
  <si>
    <t xml:space="preserve">  CANELA-RS069  </t>
  </si>
  <si>
    <t xml:space="preserve">   9552   69  0 </t>
  </si>
  <si>
    <t xml:space="preserve">  ACLARATAP069  </t>
  </si>
  <si>
    <t xml:space="preserve"> AGUCLA-RS069 </t>
  </si>
  <si>
    <t xml:space="preserve">   9553   69  0 </t>
  </si>
  <si>
    <t xml:space="preserve">  BRPALETAP069  </t>
  </si>
  <si>
    <t xml:space="preserve"> BRPALE-RS069 </t>
  </si>
  <si>
    <t xml:space="preserve"> LATPAL-RS069 </t>
  </si>
  <si>
    <t xml:space="preserve">   9554   69  0 </t>
  </si>
  <si>
    <t xml:space="preserve">  GERPALTAP069  </t>
  </si>
  <si>
    <t xml:space="preserve">   9555   69  0 </t>
  </si>
  <si>
    <t xml:space="preserve">  MNAPALTAP069  </t>
  </si>
  <si>
    <t xml:space="preserve"> MNAPA--RS069 </t>
  </si>
  <si>
    <t xml:space="preserve"> GERPGR-RS069 </t>
  </si>
  <si>
    <t xml:space="preserve">   9556   69  0 </t>
  </si>
  <si>
    <t xml:space="preserve">  FRPPALTAP069  </t>
  </si>
  <si>
    <t xml:space="preserve"> FRPPGR-RS069 </t>
  </si>
  <si>
    <t xml:space="preserve">   9557   69  0 </t>
  </si>
  <si>
    <t xml:space="preserve">  CANAS2-RS069  </t>
  </si>
  <si>
    <t xml:space="preserve">   9558   69  0 </t>
  </si>
  <si>
    <t xml:space="preserve">  DEMEI2-RS069  </t>
  </si>
  <si>
    <t xml:space="preserve">   9562   69  0 </t>
  </si>
  <si>
    <t xml:space="preserve">  CERILU-RS069  </t>
  </si>
  <si>
    <t xml:space="preserve">   9570   69  0 </t>
  </si>
  <si>
    <t xml:space="preserve">  CAMAQ3-RS069  </t>
  </si>
  <si>
    <t xml:space="preserve"> CAMAQU-RS069 </t>
  </si>
  <si>
    <t xml:space="preserve"> CAM3-1-RS000 </t>
  </si>
  <si>
    <t xml:space="preserve"> CAM3-2-RS000 </t>
  </si>
  <si>
    <t xml:space="preserve">   9573   69  0 </t>
  </si>
  <si>
    <t xml:space="preserve">  NPETRO-RS069  </t>
  </si>
  <si>
    <t xml:space="preserve">   9591   69  0 </t>
  </si>
  <si>
    <t xml:space="preserve">  CANDE2-RS069  </t>
  </si>
  <si>
    <t xml:space="preserve"> CNDE-1-RS000 </t>
  </si>
  <si>
    <t xml:space="preserve"> CNDE-2-RS000 </t>
  </si>
  <si>
    <t xml:space="preserve">   9592   23  0 </t>
  </si>
  <si>
    <t xml:space="preserve">  SCHARB-RS023  </t>
  </si>
  <si>
    <t xml:space="preserve"> SCH--4-RS000 </t>
  </si>
  <si>
    <t xml:space="preserve">   9593   23  0 </t>
  </si>
  <si>
    <t xml:space="preserve">  CANO1B-RS023  </t>
  </si>
  <si>
    <t xml:space="preserve"> CNA1-2-RS000 </t>
  </si>
  <si>
    <t xml:space="preserve">   9594  138  0 </t>
  </si>
  <si>
    <t xml:space="preserve">  LAGEGR-RS138  </t>
  </si>
  <si>
    <t xml:space="preserve"> LGR-1--RS000 </t>
  </si>
  <si>
    <t xml:space="preserve"> LGR-2--RS000 </t>
  </si>
  <si>
    <t xml:space="preserve">   9651   69  0 </t>
  </si>
  <si>
    <t xml:space="preserve">  PANAM2-RS069  </t>
  </si>
  <si>
    <t xml:space="preserve"> PANAM2-RS013 </t>
  </si>
  <si>
    <t xml:space="preserve">   9652   14  0 </t>
  </si>
  <si>
    <t xml:space="preserve">  PANAM2-RS013  </t>
  </si>
  <si>
    <t xml:space="preserve">   9653   14  0 </t>
  </si>
  <si>
    <t xml:space="preserve">  HIDPA1-RS013  </t>
  </si>
  <si>
    <t xml:space="preserve">   9654   14  0 </t>
  </si>
  <si>
    <t xml:space="preserve">  COPRE1-RS013  </t>
  </si>
  <si>
    <t xml:space="preserve">   9655   23  0 </t>
  </si>
  <si>
    <t xml:space="preserve">  COPRE2-RS023  </t>
  </si>
  <si>
    <t xml:space="preserve">   9657   23  0 </t>
  </si>
  <si>
    <t xml:space="preserve">  DEMEI1-RS023  </t>
  </si>
  <si>
    <t xml:space="preserve">   9659   23  0 </t>
  </si>
  <si>
    <t xml:space="preserve">  CERLU1-RS023  </t>
  </si>
  <si>
    <t xml:space="preserve">   9660   23  0 </t>
  </si>
  <si>
    <t xml:space="preserve">  CAL1-B-RS023  </t>
  </si>
  <si>
    <t xml:space="preserve">   9661   69  0 </t>
  </si>
  <si>
    <t xml:space="preserve">  ARENA--RS069  </t>
  </si>
  <si>
    <t xml:space="preserve">   9674   23  0 </t>
  </si>
  <si>
    <t xml:space="preserve">  IJUI1--RS023  </t>
  </si>
  <si>
    <t xml:space="preserve"> SUP  103.8% </t>
  </si>
  <si>
    <t xml:space="preserve"> DEMEI1-RS023 </t>
  </si>
  <si>
    <t xml:space="preserve"> CERLU1-RS023 </t>
  </si>
  <si>
    <t xml:space="preserve">   9675   23  0 </t>
  </si>
  <si>
    <t xml:space="preserve">  CAL1-A-RS023  </t>
  </si>
  <si>
    <t xml:space="preserve"> COPRE2-RS023 </t>
  </si>
  <si>
    <t xml:space="preserve">   9676   69  0 </t>
  </si>
  <si>
    <t xml:space="preserve">  CAXIA7-RS069  </t>
  </si>
  <si>
    <t xml:space="preserve">   9677  138  0 </t>
  </si>
  <si>
    <t xml:space="preserve">  ROLANT-RS138  </t>
  </si>
  <si>
    <t xml:space="preserve">   9678  138  0 </t>
  </si>
  <si>
    <t xml:space="preserve">  SANAND-RS138  </t>
  </si>
  <si>
    <t xml:space="preserve">   9679  138  0 </t>
  </si>
  <si>
    <t xml:space="preserve">  SANANDTAP138  </t>
  </si>
  <si>
    <t xml:space="preserve"> SANAND-RS138 </t>
  </si>
  <si>
    <t xml:space="preserve">   9692   69  0 </t>
  </si>
  <si>
    <t xml:space="preserve">  CERTAJ-RS069  </t>
  </si>
  <si>
    <t xml:space="preserve">   9694   69  0 </t>
  </si>
  <si>
    <t xml:space="preserve">  TORRE2-RS069  </t>
  </si>
  <si>
    <t xml:space="preserve"> TOR--1-RS000 </t>
  </si>
  <si>
    <t xml:space="preserve"> TOR--2-RS000 </t>
  </si>
  <si>
    <t xml:space="preserve">   9714   69  0 </t>
  </si>
  <si>
    <t xml:space="preserve">  FELIZ--RS069  </t>
  </si>
  <si>
    <t xml:space="preserve"> FARROU-RS069 </t>
  </si>
  <si>
    <t xml:space="preserve">   9715   69  0 </t>
  </si>
  <si>
    <t xml:space="preserve">  PERDIG-RS069  </t>
  </si>
  <si>
    <t xml:space="preserve">   9716   69  0 </t>
  </si>
  <si>
    <t xml:space="preserve">  HEXION-RS069  </t>
  </si>
  <si>
    <t xml:space="preserve"> POLOFI-RS069 </t>
  </si>
  <si>
    <t xml:space="preserve">   9728  138  0 </t>
  </si>
  <si>
    <t xml:space="preserve">  PALMA1-RS138  </t>
  </si>
  <si>
    <t xml:space="preserve"> MOSTAR-RS138 </t>
  </si>
  <si>
    <t xml:space="preserve"> COLPAL-RS138 </t>
  </si>
  <si>
    <t xml:space="preserve">   9729  138  0 </t>
  </si>
  <si>
    <t xml:space="preserve">  PALMA2-RS138  </t>
  </si>
  <si>
    <t xml:space="preserve">   9730  138  0 </t>
  </si>
  <si>
    <t xml:space="preserve">  PALMARTAP138  </t>
  </si>
  <si>
    <t xml:space="preserve"> PALMA2-RS138 </t>
  </si>
  <si>
    <t xml:space="preserve">   9751  138  0 </t>
  </si>
  <si>
    <t xml:space="preserve">  COLPAL-RS138  </t>
  </si>
  <si>
    <t xml:space="preserve"> COLPAL-RS034 </t>
  </si>
  <si>
    <t xml:space="preserve">   9753   14  0 </t>
  </si>
  <si>
    <t xml:space="preserve">  SCR1RB-RS013  </t>
  </si>
  <si>
    <t xml:space="preserve"> SCRU1A-RS013 </t>
  </si>
  <si>
    <t xml:space="preserve"> SCZ1-6-RS000 </t>
  </si>
  <si>
    <t xml:space="preserve">   9754   14  0 </t>
  </si>
  <si>
    <t xml:space="preserve">  SCR1RA-RS013  </t>
  </si>
  <si>
    <t xml:space="preserve"> SCRU1B-RS013 </t>
  </si>
  <si>
    <t xml:space="preserve"> SCZ1-7-RS000 </t>
  </si>
  <si>
    <t xml:space="preserve">   9758   69  0 </t>
  </si>
  <si>
    <t xml:space="preserve">  GRAMADTAP069  </t>
  </si>
  <si>
    <t xml:space="preserve"> CANELA-RS069 </t>
  </si>
  <si>
    <t xml:space="preserve">   9773   69  0 </t>
  </si>
  <si>
    <t xml:space="preserve">  STHGUATAP069  </t>
  </si>
  <si>
    <t xml:space="preserve"> GUAIB2-RS069 </t>
  </si>
  <si>
    <t xml:space="preserve"> STHGUA-RS069 </t>
  </si>
  <si>
    <t xml:space="preserve"> RIOGUATAP069 </t>
  </si>
  <si>
    <t xml:space="preserve">   9774   69  0 </t>
  </si>
  <si>
    <t xml:space="preserve">  STHGUA-RS069  </t>
  </si>
  <si>
    <t xml:space="preserve">   9775   69  0 </t>
  </si>
  <si>
    <t xml:space="preserve">  GUA1-A-RS069  </t>
  </si>
  <si>
    <t xml:space="preserve"> GUA1-B-RS069 </t>
  </si>
  <si>
    <t xml:space="preserve">   9776   69  0 </t>
  </si>
  <si>
    <t xml:space="preserve">  GUA1-B-RS069  </t>
  </si>
  <si>
    <t xml:space="preserve">   9777   69  0 </t>
  </si>
  <si>
    <t xml:space="preserve">  RIOGUATAP069  </t>
  </si>
  <si>
    <t xml:space="preserve"> RIOGUA-RS069 </t>
  </si>
  <si>
    <t xml:space="preserve"> APGGUA-RS069 </t>
  </si>
  <si>
    <t xml:space="preserve">   9778   69  0 </t>
  </si>
  <si>
    <t xml:space="preserve">  RIOGUA-RS069  </t>
  </si>
  <si>
    <t xml:space="preserve">   9779   69  0 </t>
  </si>
  <si>
    <t xml:space="preserve">  APGGUA-RS069  </t>
  </si>
  <si>
    <t xml:space="preserve">   9781   69  0 </t>
  </si>
  <si>
    <t xml:space="preserve">  LAJEA1-RS069  </t>
  </si>
  <si>
    <t xml:space="preserve">   9782   69  0 </t>
  </si>
  <si>
    <t xml:space="preserve">  LAJEA3-RS069  </t>
  </si>
  <si>
    <t xml:space="preserve"> CERTE2-RS069 </t>
  </si>
  <si>
    <t xml:space="preserve"> CERTE1-RS069 </t>
  </si>
  <si>
    <t xml:space="preserve"> LAJ3-1-RS000 </t>
  </si>
  <si>
    <t xml:space="preserve"> LAJ3-2-RS000 </t>
  </si>
  <si>
    <t xml:space="preserve"> LAJ3-3-RS000 </t>
  </si>
  <si>
    <t xml:space="preserve">   9795   69  0 </t>
  </si>
  <si>
    <t xml:space="preserve">  ENCANT-RS069  </t>
  </si>
  <si>
    <t xml:space="preserve"> ROCSAL-RS069 </t>
  </si>
  <si>
    <t xml:space="preserve">   9796   69  0 </t>
  </si>
  <si>
    <t xml:space="preserve">  ROCSAL-RS069  </t>
  </si>
  <si>
    <t xml:space="preserve"> ENCANT-RS069 </t>
  </si>
  <si>
    <t xml:space="preserve">   9797   69  0 </t>
  </si>
  <si>
    <t xml:space="preserve">  ARMEIO-RS069  </t>
  </si>
  <si>
    <t xml:space="preserve">   9798   69  0 </t>
  </si>
  <si>
    <t xml:space="preserve">  CERTE2-RS069  </t>
  </si>
  <si>
    <t xml:space="preserve"> LAJEA3-RS069 </t>
  </si>
  <si>
    <t xml:space="preserve">   9823  138  0 </t>
  </si>
  <si>
    <t xml:space="preserve">  SVP2-A-RS138  </t>
  </si>
  <si>
    <t xml:space="preserve"> SVPALM-RS138 </t>
  </si>
  <si>
    <t xml:space="preserve"> MARMEL-RS138 </t>
  </si>
  <si>
    <t xml:space="preserve"> SVP--1-RS000 </t>
  </si>
  <si>
    <t xml:space="preserve"> 0.968* </t>
  </si>
  <si>
    <t xml:space="preserve"> SVP2-2-RS000 </t>
  </si>
  <si>
    <t xml:space="preserve">   9829   69  0 </t>
  </si>
  <si>
    <t xml:space="preserve">  FRASLETAP069  </t>
  </si>
  <si>
    <t xml:space="preserve"> FRASLE-RS069 </t>
  </si>
  <si>
    <t xml:space="preserve"> TONDO-TAP069 </t>
  </si>
  <si>
    <t xml:space="preserve">   9830   69  0 </t>
  </si>
  <si>
    <t xml:space="preserve">  FRASLE-RS069  </t>
  </si>
  <si>
    <t xml:space="preserve">   9837   69  0 </t>
  </si>
  <si>
    <t xml:space="preserve">  VINHED-RS069  </t>
  </si>
  <si>
    <t xml:space="preserve"> VIN-1--RS000 </t>
  </si>
  <si>
    <t xml:space="preserve"> VIN-2--RS000 </t>
  </si>
  <si>
    <t xml:space="preserve">   9911   69  0 </t>
  </si>
  <si>
    <t xml:space="preserve">  IJU1-B-RS069  </t>
  </si>
  <si>
    <t xml:space="preserve"> IJU1-B-RS023 </t>
  </si>
  <si>
    <t xml:space="preserve"> 0.916* </t>
  </si>
  <si>
    <t xml:space="preserve">   9912   23  0 </t>
  </si>
  <si>
    <t xml:space="preserve">  IJU1-B-RS023  </t>
  </si>
  <si>
    <t xml:space="preserve"> DEME1B-RS023 </t>
  </si>
  <si>
    <t xml:space="preserve"> CERILU-RS023 </t>
  </si>
  <si>
    <t xml:space="preserve">   9913   23  0 </t>
  </si>
  <si>
    <t xml:space="preserve">  DEME1B-RS023  </t>
  </si>
  <si>
    <t xml:space="preserve">   9914   23  0 </t>
  </si>
  <si>
    <t xml:space="preserve">  CERILU-RS023  </t>
  </si>
  <si>
    <t xml:space="preserve">   9917   69  0 </t>
  </si>
  <si>
    <t xml:space="preserve">  ROQGON-RS069  </t>
  </si>
  <si>
    <t xml:space="preserve">   9918  138  0 </t>
  </si>
  <si>
    <t xml:space="preserve">  JCASTI-RS138  </t>
  </si>
  <si>
    <t xml:space="preserve">   9921  138  0 </t>
  </si>
  <si>
    <t xml:space="preserve">  VILMAR-RS138  </t>
  </si>
  <si>
    <t xml:space="preserve"> MARAU2-RS138 </t>
  </si>
  <si>
    <t xml:space="preserve"> VILM-1-RS000 </t>
  </si>
  <si>
    <t xml:space="preserve"> VILM-2-RS000 </t>
  </si>
  <si>
    <t xml:space="preserve">   9962   69  0 </t>
  </si>
  <si>
    <t xml:space="preserve">  PALEG1-RS069  </t>
  </si>
  <si>
    <t xml:space="preserve"> PALE1A-RS069 </t>
  </si>
  <si>
    <t xml:space="preserve"> PALE1B-RS069 </t>
  </si>
  <si>
    <t xml:space="preserve"> FLORES-RS069 </t>
  </si>
  <si>
    <t xml:space="preserve"> ZAFFAR-RS069 </t>
  </si>
  <si>
    <t xml:space="preserve"> PAL1-1-RS000 </t>
  </si>
  <si>
    <t xml:space="preserve"> PAL1-3-RS000 </t>
  </si>
  <si>
    <t xml:space="preserve"> PAL1-2-RS000 </t>
  </si>
  <si>
    <t xml:space="preserve">   9964  138  0 </t>
  </si>
  <si>
    <t xml:space="preserve">  BPRINC-RS138  </t>
  </si>
  <si>
    <t xml:space="preserve"> SAOSCA-RS138 </t>
  </si>
  <si>
    <t xml:space="preserve"> IVOTI2-RS138 </t>
  </si>
  <si>
    <t xml:space="preserve">   9965  138  0 </t>
  </si>
  <si>
    <t xml:space="preserve">  IVOTI--RS138  </t>
  </si>
  <si>
    <t xml:space="preserve"> 2IRMAO-RS138 </t>
  </si>
  <si>
    <t xml:space="preserve">   9967   69  0 </t>
  </si>
  <si>
    <t xml:space="preserve">  PA16-2TAP069  </t>
  </si>
  <si>
    <t xml:space="preserve">  10007   69  0 </t>
  </si>
  <si>
    <t xml:space="preserve">  JBOTAN-RS069  </t>
  </si>
  <si>
    <t xml:space="preserve"> PAL12--RS069 </t>
  </si>
  <si>
    <t xml:space="preserve"> PALEG5-RS069 </t>
  </si>
  <si>
    <t xml:space="preserve"> SHIGUA-RS069 </t>
  </si>
  <si>
    <t xml:space="preserve"> JBOT-3-RS000 </t>
  </si>
  <si>
    <t xml:space="preserve"> JBOT-2-RS000 </t>
  </si>
  <si>
    <t xml:space="preserve"> JBOT-1-RS000 </t>
  </si>
  <si>
    <t xml:space="preserve">  10022   69  0 </t>
  </si>
  <si>
    <t xml:space="preserve">  COOLUZ-RS069  </t>
  </si>
  <si>
    <t xml:space="preserve"> COOLUZ-RS023 </t>
  </si>
  <si>
    <t xml:space="preserve">  10023   23  0 </t>
  </si>
  <si>
    <t xml:space="preserve">  COOLUZ-RS023  </t>
  </si>
  <si>
    <t xml:space="preserve">  10024   69  0 </t>
  </si>
  <si>
    <t xml:space="preserve">  HOSCLI-RS069  </t>
  </si>
  <si>
    <t xml:space="preserve"> MENDEU-RS069 </t>
  </si>
  <si>
    <t xml:space="preserve">  10028   23  0 </t>
  </si>
  <si>
    <t xml:space="preserve">  JACUIC-RS023  </t>
  </si>
  <si>
    <t xml:space="preserve">  10029  138  0 </t>
  </si>
  <si>
    <t xml:space="preserve">  MARAU2-RS138  </t>
  </si>
  <si>
    <t xml:space="preserve"> VILMAR-RS138 </t>
  </si>
  <si>
    <t xml:space="preserve">  10054   69  0 </t>
  </si>
  <si>
    <t xml:space="preserve">  HOCONC-RS069  </t>
  </si>
  <si>
    <t xml:space="preserve">  10111   35  0 </t>
  </si>
  <si>
    <t xml:space="preserve">  XANGRI-RS034  </t>
  </si>
  <si>
    <t xml:space="preserve"> XANGRIEOL034 </t>
  </si>
  <si>
    <t xml:space="preserve">  10122   35  0 </t>
  </si>
  <si>
    <t xml:space="preserve">  PALMAREOL034  </t>
  </si>
  <si>
    <t xml:space="preserve">  10123   35  0 </t>
  </si>
  <si>
    <t xml:space="preserve">  CIDREI-RS034  </t>
  </si>
  <si>
    <t xml:space="preserve"> CIDREIEOL034 </t>
  </si>
  <si>
    <t xml:space="preserve">  10142   14  0 </t>
  </si>
  <si>
    <t xml:space="preserve">  LAJE2B-RS013  </t>
  </si>
  <si>
    <t xml:space="preserve">  10169  138  0 </t>
  </si>
  <si>
    <t xml:space="preserve">  FORMIG-RS138  </t>
  </si>
  <si>
    <t xml:space="preserve"> FORMIG-RS069 </t>
  </si>
  <si>
    <t xml:space="preserve"> 0.964* </t>
  </si>
  <si>
    <t xml:space="preserve">  10170   69  0 </t>
  </si>
  <si>
    <t xml:space="preserve">  FORMIG-RS069  </t>
  </si>
  <si>
    <t xml:space="preserve"> SAOSEPUTE001 </t>
  </si>
  <si>
    <t xml:space="preserve">  10206   23  0 </t>
  </si>
  <si>
    <t xml:space="preserve">  CERMIS-RS023  </t>
  </si>
  <si>
    <t xml:space="preserve">  10208   14  0 </t>
  </si>
  <si>
    <t xml:space="preserve">  SMARTA-RS013  </t>
  </si>
  <si>
    <t xml:space="preserve">  10211   69  0 </t>
  </si>
  <si>
    <t xml:space="preserve">  CERMIS-RS069  </t>
  </si>
  <si>
    <t xml:space="preserve">  10217  138  0 </t>
  </si>
  <si>
    <t xml:space="preserve">  CAXNOR-RS138  </t>
  </si>
  <si>
    <t xml:space="preserve"> CAXIA8-RS138 </t>
  </si>
  <si>
    <t xml:space="preserve"> CXN--4-RS000 </t>
  </si>
  <si>
    <t xml:space="preserve"> CXN--5-RS000 </t>
  </si>
  <si>
    <t xml:space="preserve"> CXN--6-RS000 </t>
  </si>
  <si>
    <t xml:space="preserve">  10219   69  0 </t>
  </si>
  <si>
    <t xml:space="preserve">  CALTA2-RS069  </t>
  </si>
  <si>
    <t xml:space="preserve"> CAL--1-RS000 </t>
  </si>
  <si>
    <t xml:space="preserve"> CAL--2-RS000 </t>
  </si>
  <si>
    <t xml:space="preserve">  10220  138  0 </t>
  </si>
  <si>
    <t xml:space="preserve">  CAXIA8-RS138  </t>
  </si>
  <si>
    <t xml:space="preserve"> CAXNOR-RS138 </t>
  </si>
  <si>
    <t xml:space="preserve"> CAXIA8-RS069 </t>
  </si>
  <si>
    <t xml:space="preserve">  10221   69  0 </t>
  </si>
  <si>
    <t xml:space="preserve">  CAXIA8-RS069  </t>
  </si>
  <si>
    <t xml:space="preserve">  10222   69  0 </t>
  </si>
  <si>
    <t xml:space="preserve">  LUPATETAP069  </t>
  </si>
  <si>
    <t xml:space="preserve"> LUPATE-RS069 </t>
  </si>
  <si>
    <t xml:space="preserve">  10223   69  0 </t>
  </si>
  <si>
    <t xml:space="preserve">  LUPATE-RS069  </t>
  </si>
  <si>
    <t xml:space="preserve">  10226   14  0 </t>
  </si>
  <si>
    <t xml:space="preserve">  CAX5-C-RS013  </t>
  </si>
  <si>
    <t xml:space="preserve"> CAX5-4-RS000 </t>
  </si>
  <si>
    <t xml:space="preserve">  10227   69  0 </t>
  </si>
  <si>
    <t xml:space="preserve">  TONDO-TAP069  </t>
  </si>
  <si>
    <t xml:space="preserve"> TONDO--RS069 </t>
  </si>
  <si>
    <t xml:space="preserve">  10228   69  0 </t>
  </si>
  <si>
    <t xml:space="preserve">  TONDO--RS069  </t>
  </si>
  <si>
    <t xml:space="preserve">  10239   69  0 </t>
  </si>
  <si>
    <t xml:space="preserve">  UFRGS--RS069  </t>
  </si>
  <si>
    <t xml:space="preserve">  10240   69  0 </t>
  </si>
  <si>
    <t xml:space="preserve">  FRAPOR-RS069  </t>
  </si>
  <si>
    <t xml:space="preserve">  10255   69  0 </t>
  </si>
  <si>
    <t xml:space="preserve">  CERTE1-RS069  </t>
  </si>
  <si>
    <t xml:space="preserve">  10264   23  0 </t>
  </si>
  <si>
    <t xml:space="preserve">  ELDO-B-RS023  </t>
  </si>
  <si>
    <t xml:space="preserve"> ELDO-2-RS000 </t>
  </si>
  <si>
    <t xml:space="preserve">  10265   23  0 </t>
  </si>
  <si>
    <t xml:space="preserve">  GRAV-B-RS023  </t>
  </si>
  <si>
    <t xml:space="preserve"> GRA2-4-RS000 </t>
  </si>
  <si>
    <t xml:space="preserve">  10266   14  0 </t>
  </si>
  <si>
    <t xml:space="preserve">  PAL6-B-RS013  </t>
  </si>
  <si>
    <t xml:space="preserve"> PAL6-7-RS000 </t>
  </si>
  <si>
    <t xml:space="preserve">  10267   14  0 </t>
  </si>
  <si>
    <t xml:space="preserve">  PAL9-B-RS013  </t>
  </si>
  <si>
    <t xml:space="preserve"> PAL9-6-RS000 </t>
  </si>
  <si>
    <t xml:space="preserve">  10277   69  0 </t>
  </si>
  <si>
    <t xml:space="preserve">  CHARQ3-RS069  </t>
  </si>
  <si>
    <t xml:space="preserve"> TAQUAR-RS069 </t>
  </si>
  <si>
    <t xml:space="preserve"> CHQ3-1-RS000 </t>
  </si>
  <si>
    <t xml:space="preserve"> CHQ3-2-RS000 </t>
  </si>
  <si>
    <t xml:space="preserve"> CHARQ2-RS069 </t>
  </si>
  <si>
    <t xml:space="preserve">  10299  138  0 </t>
  </si>
  <si>
    <t xml:space="preserve">  IVOTI2-RS138  </t>
  </si>
  <si>
    <t xml:space="preserve"> IVO2-1-RS000 </t>
  </si>
  <si>
    <t xml:space="preserve"> 1.007* </t>
  </si>
  <si>
    <t xml:space="preserve"> IVO2-2-RS000 </t>
  </si>
  <si>
    <t xml:space="preserve">  10308  138  0 </t>
  </si>
  <si>
    <t xml:space="preserve">  SSCAI2-RS138  </t>
  </si>
  <si>
    <t xml:space="preserve"> MONTEN-RS138 </t>
  </si>
  <si>
    <t xml:space="preserve"> SSC2-1-RS000 </t>
  </si>
  <si>
    <t xml:space="preserve"> SSC2-2-RS000 </t>
  </si>
  <si>
    <t xml:space="preserve">  10313   69  0 </t>
  </si>
  <si>
    <t xml:space="preserve">  CERTA3-RS069  </t>
  </si>
  <si>
    <t xml:space="preserve">  10314   69  0 </t>
  </si>
  <si>
    <t xml:space="preserve">  SAOSEPUTE001  </t>
  </si>
  <si>
    <t xml:space="preserve">  10319   69  0 </t>
  </si>
  <si>
    <t xml:space="preserve">  CHARQ2-RS069  </t>
  </si>
  <si>
    <t xml:space="preserve">  10321  138  0 </t>
  </si>
  <si>
    <t xml:space="preserve">  ESTEI2-RS138  </t>
  </si>
  <si>
    <t xml:space="preserve">  10397   69  0 </t>
  </si>
  <si>
    <t xml:space="preserve">  TIOHUG-RS069  </t>
  </si>
  <si>
    <t xml:space="preserve">  10398   69  0 </t>
  </si>
  <si>
    <t xml:space="preserve">  TAPER1-RS069  </t>
  </si>
  <si>
    <t xml:space="preserve">  43488   14  0 </t>
  </si>
  <si>
    <t xml:space="preserve">  UPME-8-RS000  </t>
  </si>
  <si>
    <t xml:space="preserve"> PMEDIC-RS230 </t>
  </si>
  <si>
    <t xml:space="preserve"> UPME-8-RS013 </t>
  </si>
  <si>
    <t xml:space="preserve"> UPME-8-RS006 </t>
  </si>
  <si>
    <t xml:space="preserve">  43489   14  0 </t>
  </si>
  <si>
    <t xml:space="preserve">  UPME-8-RS013  </t>
  </si>
  <si>
    <t xml:space="preserve"> UPME-8-RS000 </t>
  </si>
  <si>
    <t xml:space="preserve">  43490    1  0 </t>
  </si>
  <si>
    <t xml:space="preserve">  UPME-8-RS006  </t>
  </si>
  <si>
    <t xml:space="preserve">  91017    1  0 </t>
  </si>
  <si>
    <t xml:space="preserve">  ALVES-SE138   </t>
  </si>
  <si>
    <t xml:space="preserve"> ARACUA-MG138 </t>
  </si>
  <si>
    <t xml:space="preserve"> ALVES-GER34  </t>
  </si>
  <si>
    <t xml:space="preserve"> 1.022* </t>
  </si>
  <si>
    <t xml:space="preserve">  91018    1  0 </t>
  </si>
  <si>
    <t xml:space="preserve">  ALVES-GER34   </t>
  </si>
  <si>
    <t xml:space="preserve"> ALVES-SE138  </t>
  </si>
  <si>
    <t xml:space="preserve"> TOTAIS DA AREA </t>
  </si>
  <si>
    <t xml:space="preserve"> X--------X-----</t>
  </si>
  <si>
    <t>----X----</t>
  </si>
  <si>
    <t>-----X---</t>
  </si>
  <si>
    <t>------X--</t>
  </si>
  <si>
    <t>-------X-</t>
  </si>
  <si>
    <t>--------X----</t>
  </si>
  <si>
    <t xml:space="preserve">   GERACAO  INJ </t>
  </si>
  <si>
    <t xml:space="preserve"> EQV   CA</t>
  </si>
  <si>
    <t>ARGA   EL</t>
  </si>
  <si>
    <t xml:space="preserve">LO CC    </t>
  </si>
  <si>
    <t xml:space="preserve"> SHUNT   </t>
  </si>
  <si>
    <t xml:space="preserve"> EXPORT   IMP</t>
  </si>
  <si>
    <t>PORT   PE</t>
  </si>
  <si>
    <t xml:space="preserve">ERDAS  </t>
  </si>
  <si>
    <t xml:space="preserve">     MW/      MW</t>
  </si>
  <si>
    <t>W/      M</t>
  </si>
  <si>
    <t xml:space="preserve"> MW/     </t>
  </si>
  <si>
    <t xml:space="preserve"> Mvar/   </t>
  </si>
  <si>
    <t xml:space="preserve">   MW/      M</t>
  </si>
  <si>
    <t xml:space="preserve"> MW/   </t>
  </si>
  <si>
    <t xml:space="preserve">    Mvar     Mva</t>
  </si>
  <si>
    <t>ar     Mv</t>
  </si>
  <si>
    <t>var     M</t>
  </si>
  <si>
    <t xml:space="preserve">Mvar     </t>
  </si>
  <si>
    <t xml:space="preserve"> EQUIV   </t>
  </si>
  <si>
    <t xml:space="preserve">  Mvar     Mv</t>
  </si>
  <si>
    <t xml:space="preserve">Mvar   </t>
  </si>
  <si>
    <t xml:space="preserve">    1347.1      </t>
  </si>
  <si>
    <t xml:space="preserve"> 0.0   61</t>
  </si>
  <si>
    <t xml:space="preserve">   175.6   49</t>
  </si>
  <si>
    <t xml:space="preserve">      29.4      </t>
  </si>
  <si>
    <t xml:space="preserve"> 0.0   21</t>
  </si>
  <si>
    <t xml:space="preserve">   109.4   13</t>
  </si>
  <si>
    <t>DESLIGADO</t>
  </si>
  <si>
    <t>NOME</t>
  </si>
  <si>
    <t>TENSAO</t>
  </si>
  <si>
    <t>NOME2</t>
  </si>
  <si>
    <t>FLUXO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</si>
</sst>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0" fontId="0" fillId="0" borderId="0" xfId="0" applyNumberFormat="1"/>
    <xf numFmtId="164" fontId="0" fillId="0" borderId="0" xfId="0" applyNumberFormat="1"/>
    <xf numFmtId="9" fontId="0" fillId="0" borderId="0" xfId="1" applyFont="1"/>
    <xf numFmtId="1" fontId="0" fillId="0" borderId="0" xfId="1" applyNumberFormat="1" applyFont="1"/>
  </cellXfs>
  <cellStyles count="2">
    <cellStyle name="Normal" xfId="0" builtinId="0"/>
    <cellStyle name="Porcentagem" xfId="1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C05B68-9A1D-42E4-8E5D-E66C8A437C26}" name="Tabela2" displayName="Tabela2" ref="A1:D820" totalsRowShown="0">
  <autoFilter ref="A1:D820" xr:uid="{F9C05B68-9A1D-42E4-8E5D-E66C8A437C26}"/>
  <tableColumns count="4">
    <tableColumn id="1" xr3:uid="{9F1D2EBE-F008-430F-9181-250BA0F34175}" name="NOME"/>
    <tableColumn id="2" xr3:uid="{2F02DCF9-BCA7-4EBE-81E0-63EF66E97313}" name="TENSAO" dataDxfId="1"/>
    <tableColumn id="3" xr3:uid="{33F31223-4691-4DE8-9E0A-A90567DB07DA}" name="NOME2"/>
    <tableColumn id="4" xr3:uid="{DE4EAD07-E301-432A-8631-85D715434712}" name="FLUXO" dataDxfId="0" dataCellStyle="Porcentage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F4DC-8006-4A1E-89F6-E27D8425541D}">
  <dimension ref="A1:AN2044"/>
  <sheetViews>
    <sheetView topLeftCell="K7" zoomScale="80" zoomScaleNormal="80" workbookViewId="0">
      <selection activeCell="P14" sqref="P14"/>
    </sheetView>
  </sheetViews>
  <sheetFormatPr defaultRowHeight="15" x14ac:dyDescent="0.25"/>
  <cols>
    <col min="1" max="15" width="9.140625" customWidth="1"/>
    <col min="16" max="16" width="18.28515625" bestFit="1" customWidth="1"/>
    <col min="17" max="17" width="10.5703125" bestFit="1" customWidth="1"/>
    <col min="18" max="18" width="11.7109375" customWidth="1"/>
    <col min="19" max="19" width="11" customWidth="1"/>
    <col min="20" max="20" width="10.7109375" customWidth="1"/>
    <col min="21" max="21" width="15.140625" bestFit="1" customWidth="1"/>
    <col min="22" max="22" width="9.85546875" customWidth="1"/>
    <col min="23" max="23" width="11.140625" customWidth="1"/>
    <col min="24" max="24" width="8.7109375" customWidth="1"/>
    <col min="25" max="25" width="16.42578125" bestFit="1" customWidth="1"/>
    <col min="26" max="26" width="4.7109375" customWidth="1"/>
    <col min="27" max="28" width="8.28515625" customWidth="1"/>
    <col min="29" max="29" width="10.42578125" customWidth="1"/>
    <col min="30" max="30" width="7.5703125" customWidth="1"/>
    <col min="31" max="31" width="7.42578125" customWidth="1"/>
    <col min="32" max="32" width="5.42578125" customWidth="1"/>
    <col min="33" max="33" width="9.85546875" customWidth="1"/>
    <col min="34" max="34" width="9.42578125" customWidth="1"/>
    <col min="35" max="36" width="6.85546875" bestFit="1" customWidth="1"/>
    <col min="37" max="37" width="17" bestFit="1" customWidth="1"/>
    <col min="38" max="38" width="8.140625" bestFit="1" customWidth="1"/>
    <col min="39" max="39" width="32.42578125" bestFit="1" customWidth="1"/>
    <col min="40" max="40" width="10.85546875" bestFit="1" customWidth="1"/>
  </cols>
  <sheetData>
    <row r="1" spans="1:37" x14ac:dyDescent="0.25">
      <c r="A1" t="s">
        <v>0</v>
      </c>
    </row>
    <row r="3" spans="1:37" x14ac:dyDescent="0.25">
      <c r="A3" t="s">
        <v>1</v>
      </c>
    </row>
    <row r="4" spans="1:37" x14ac:dyDescent="0.25">
      <c r="A4" t="s">
        <v>2</v>
      </c>
    </row>
    <row r="6" spans="1:37" x14ac:dyDescent="0.25">
      <c r="A6" t="s">
        <v>3</v>
      </c>
    </row>
    <row r="7" spans="1:37" x14ac:dyDescent="0.25">
      <c r="A7" t="s">
        <v>4</v>
      </c>
    </row>
    <row r="8" spans="1:37" x14ac:dyDescent="0.25">
      <c r="A8" t="s">
        <v>5</v>
      </c>
      <c r="P8">
        <f>FIND(P10,$A$11)</f>
        <v>1</v>
      </c>
      <c r="Q8">
        <f>FIND(Q10,$A$11)</f>
        <v>16</v>
      </c>
      <c r="R8">
        <f>FIND(R10,$A$11)</f>
        <v>16</v>
      </c>
      <c r="S8">
        <f t="shared" ref="S8:U8" si="0">FIND(S10,$A$11)</f>
        <v>16</v>
      </c>
      <c r="T8">
        <f t="shared" si="0"/>
        <v>16</v>
      </c>
      <c r="U8">
        <f t="shared" si="0"/>
        <v>48</v>
      </c>
      <c r="V8">
        <f t="shared" ref="V8:AJ8" si="1">FIND(V10,$A$11)</f>
        <v>16</v>
      </c>
      <c r="W8">
        <f t="shared" si="1"/>
        <v>16</v>
      </c>
      <c r="X8">
        <f t="shared" si="1"/>
        <v>76</v>
      </c>
      <c r="Y8">
        <f t="shared" si="1"/>
        <v>82</v>
      </c>
      <c r="Z8">
        <f t="shared" si="1"/>
        <v>95</v>
      </c>
      <c r="AA8">
        <f t="shared" si="1"/>
        <v>16</v>
      </c>
      <c r="AB8">
        <f t="shared" si="1"/>
        <v>16</v>
      </c>
      <c r="AC8">
        <f t="shared" si="1"/>
        <v>16</v>
      </c>
      <c r="AD8">
        <f t="shared" si="1"/>
        <v>122</v>
      </c>
      <c r="AE8">
        <f t="shared" si="1"/>
        <v>76</v>
      </c>
      <c r="AF8">
        <f t="shared" si="1"/>
        <v>135</v>
      </c>
      <c r="AG8">
        <f t="shared" si="1"/>
        <v>139</v>
      </c>
      <c r="AH8">
        <f t="shared" si="1"/>
        <v>139</v>
      </c>
      <c r="AI8">
        <f t="shared" si="1"/>
        <v>76</v>
      </c>
      <c r="AJ8">
        <f t="shared" si="1"/>
        <v>76</v>
      </c>
    </row>
    <row r="9" spans="1:37" x14ac:dyDescent="0.25">
      <c r="A9" t="s">
        <v>6</v>
      </c>
      <c r="P9">
        <f>LEN(P10)</f>
        <v>16</v>
      </c>
      <c r="Q9">
        <f>LEN(Q10)</f>
        <v>9</v>
      </c>
      <c r="R9">
        <f>LEN(R10)</f>
        <v>9</v>
      </c>
      <c r="S9">
        <f t="shared" ref="S9:U9" si="2">LEN(S10)</f>
        <v>9</v>
      </c>
      <c r="T9">
        <f t="shared" si="2"/>
        <v>9</v>
      </c>
      <c r="U9">
        <f t="shared" si="2"/>
        <v>13</v>
      </c>
      <c r="V9">
        <f t="shared" ref="V9" si="3">LEN(V10)</f>
        <v>9</v>
      </c>
      <c r="W9">
        <f t="shared" ref="W9" si="4">LEN(W10)</f>
        <v>9</v>
      </c>
      <c r="X9">
        <f t="shared" ref="X9" si="5">LEN(X10)</f>
        <v>7</v>
      </c>
      <c r="Y9">
        <f t="shared" ref="Y9" si="6">LEN(Y10)</f>
        <v>14</v>
      </c>
      <c r="Z9">
        <f t="shared" ref="Z9" si="7">LEN(Z10)</f>
        <v>4</v>
      </c>
      <c r="AA9">
        <f t="shared" ref="AA9" si="8">LEN(AA10)</f>
        <v>9</v>
      </c>
      <c r="AB9">
        <f t="shared" ref="AB9" si="9">LEN(AB10)</f>
        <v>9</v>
      </c>
      <c r="AC9">
        <f t="shared" ref="AC9" si="10">LEN(AC10)</f>
        <v>9</v>
      </c>
      <c r="AD9">
        <f t="shared" ref="AD9" si="11">LEN(AD10)</f>
        <v>8</v>
      </c>
      <c r="AE9">
        <f t="shared" ref="AE9" si="12">LEN(AE10)</f>
        <v>7</v>
      </c>
      <c r="AF9">
        <f t="shared" ref="AF9" si="13">LEN(AF10)</f>
        <v>5</v>
      </c>
      <c r="AG9">
        <f t="shared" ref="AG9" si="14">LEN(AG10)</f>
        <v>10</v>
      </c>
      <c r="AH9">
        <f t="shared" ref="AH9" si="15">LEN(AH10)</f>
        <v>10</v>
      </c>
      <c r="AI9">
        <f t="shared" ref="AI9" si="16">LEN(AI10)</f>
        <v>7</v>
      </c>
      <c r="AJ9">
        <f t="shared" ref="AJ9" si="17">LEN(AJ10)</f>
        <v>7</v>
      </c>
    </row>
    <row r="10" spans="1:37" x14ac:dyDescent="0.25">
      <c r="A10" t="s">
        <v>7</v>
      </c>
      <c r="P10" t="s">
        <v>1563</v>
      </c>
      <c r="Q10" t="s">
        <v>1564</v>
      </c>
      <c r="R10" t="s">
        <v>1564</v>
      </c>
      <c r="S10" t="s">
        <v>1564</v>
      </c>
      <c r="T10" t="s">
        <v>1564</v>
      </c>
      <c r="U10" t="s">
        <v>1565</v>
      </c>
      <c r="V10" t="s">
        <v>1564</v>
      </c>
      <c r="W10" t="s">
        <v>1564</v>
      </c>
      <c r="X10" t="s">
        <v>1566</v>
      </c>
      <c r="Y10" t="s">
        <v>1567</v>
      </c>
      <c r="Z10" t="s">
        <v>1568</v>
      </c>
      <c r="AA10" t="s">
        <v>1564</v>
      </c>
      <c r="AB10" t="s">
        <v>1564</v>
      </c>
      <c r="AC10" t="s">
        <v>1564</v>
      </c>
      <c r="AD10" t="s">
        <v>1569</v>
      </c>
      <c r="AE10" t="s">
        <v>1566</v>
      </c>
      <c r="AF10" t="s">
        <v>1570</v>
      </c>
      <c r="AG10" t="s">
        <v>1571</v>
      </c>
      <c r="AH10" t="s">
        <v>1571</v>
      </c>
      <c r="AI10" t="s">
        <v>1566</v>
      </c>
      <c r="AJ10" t="s">
        <v>1566</v>
      </c>
    </row>
    <row r="11" spans="1:37" x14ac:dyDescent="0.25">
      <c r="A11" t="s">
        <v>8</v>
      </c>
      <c r="P11" t="str">
        <f t="shared" ref="P11:Q27" si="18">MID($A11,P$8,P$9)</f>
        <v xml:space="preserve"> X-------------X</v>
      </c>
      <c r="Q11" t="str">
        <f t="shared" si="18"/>
        <v>X-------X</v>
      </c>
      <c r="R11" t="str">
        <f>MID($A11,Q$8+Q$9-1,R$9)</f>
        <v>X-------X</v>
      </c>
      <c r="S11" t="str">
        <f>MID($A11,Q$8+Q$9+R$9-2,S$9)</f>
        <v>X-------X</v>
      </c>
      <c r="T11" t="str">
        <f>MID($A11,Q$8+Q$9+R$9+S$9-3,T$9)</f>
        <v>X-------X</v>
      </c>
      <c r="U11" t="str">
        <f t="shared" ref="U11:AG27" si="19">MID($A11,U$8,U$9)</f>
        <v>X-----------X</v>
      </c>
      <c r="V11" t="str">
        <f>MID($A11,U$8+U$9-1,V$9)</f>
        <v>X-------X</v>
      </c>
      <c r="W11" t="str">
        <f>MID($A11,U$8+U$9+V$9-2,W$9)</f>
        <v>X-------X</v>
      </c>
      <c r="X11" t="str">
        <f>MID($A11,X$8,X$9)</f>
        <v>X-----X</v>
      </c>
      <c r="Y11" t="str">
        <f>MID($A11,Y$8,Y$9)</f>
        <v>X------------X</v>
      </c>
      <c r="Z11" t="str">
        <f>MID($A11,Z$8,Z$9)</f>
        <v>X--X</v>
      </c>
      <c r="AA11" t="str">
        <f>MID($A11,Z$8+Z$9-1,AA$9)</f>
        <v>X-------X</v>
      </c>
      <c r="AB11" t="str">
        <f>MID($A11,Z$8+Z$9+AA$9-2,AB$9)</f>
        <v>X-------X</v>
      </c>
      <c r="AC11" t="str">
        <f>MID($A11,Z$8+Z$9+AA$9+AB$9-3,AC$9)</f>
        <v>X-------X</v>
      </c>
      <c r="AD11" t="str">
        <f t="shared" si="19"/>
        <v>X------X</v>
      </c>
      <c r="AE11" t="str">
        <f>MID($A11,AD$8+AD$9-1,AE$9)</f>
        <v>X-----X</v>
      </c>
      <c r="AF11" t="str">
        <f t="shared" si="19"/>
        <v>X---X</v>
      </c>
      <c r="AG11" t="str">
        <f t="shared" si="19"/>
        <v>X--------X</v>
      </c>
      <c r="AH11" t="str">
        <f>MID($A11,AG$8+AG$9-1,AH$9)</f>
        <v>X--------X</v>
      </c>
      <c r="AI11" t="str">
        <f>MID($A11,AG$8+AG$9+AH$9-2,AI$9)</f>
        <v>X-----X</v>
      </c>
      <c r="AJ11" t="str">
        <f>MID($A11,AG$8+AG$9+AH$9+AI$9-3,AJ$9)</f>
        <v>X-----X</v>
      </c>
    </row>
    <row r="12" spans="1:37" x14ac:dyDescent="0.25">
      <c r="P12" t="str">
        <f t="shared" si="18"/>
        <v/>
      </c>
      <c r="Q12" t="str">
        <f t="shared" si="18"/>
        <v/>
      </c>
      <c r="R12" t="str">
        <f t="shared" ref="R12:R75" si="20">MID($A12,Q$8+Q$9-1,R$9)</f>
        <v/>
      </c>
      <c r="S12" t="str">
        <f t="shared" ref="S12:S26" si="21">MID($A12,Q$8+Q$9+R$9-2,S$9)</f>
        <v/>
      </c>
      <c r="T12" t="str">
        <f t="shared" ref="T12:T26" si="22">MID($A12,Q$8+Q$9+R$9+S$9-3,T$9)</f>
        <v/>
      </c>
      <c r="U12" t="str">
        <f t="shared" si="19"/>
        <v/>
      </c>
      <c r="V12" t="str">
        <f t="shared" ref="V12:V75" si="23">MID($A12,U$8+U$9-1,V$9)</f>
        <v/>
      </c>
      <c r="W12" t="str">
        <f t="shared" ref="W12:W26" si="24">MID($A12,U$8+U$9+V$9-2,W$9)</f>
        <v/>
      </c>
      <c r="X12" t="str">
        <f t="shared" ref="X12:Z27" si="25">MID($A12,X$8,X$9)</f>
        <v/>
      </c>
      <c r="Y12" t="str">
        <f t="shared" si="25"/>
        <v/>
      </c>
      <c r="Z12" t="str">
        <f t="shared" si="25"/>
        <v/>
      </c>
      <c r="AA12" t="str">
        <f t="shared" ref="AA12:AA75" si="26">MID($A12,Z$8+Z$9-1,AA$9)</f>
        <v/>
      </c>
      <c r="AB12" t="str">
        <f t="shared" ref="AB12:AB26" si="27">MID($A12,Z$8+Z$9+AA$9-2,AB$9)</f>
        <v/>
      </c>
      <c r="AC12" t="str">
        <f t="shared" ref="AC12:AC26" si="28">MID($A12,Z$8+Z$9+AA$9+AB$9-3,AC$9)</f>
        <v/>
      </c>
      <c r="AD12" t="str">
        <f t="shared" si="19"/>
        <v/>
      </c>
      <c r="AE12" t="str">
        <f t="shared" ref="AE12:AE75" si="29">MID($A12,AD$8+AD$9-1,AE$9)</f>
        <v/>
      </c>
      <c r="AF12" t="str">
        <f t="shared" si="19"/>
        <v/>
      </c>
      <c r="AG12" t="str">
        <f>MID($A12,AG$8,AG$9)</f>
        <v/>
      </c>
      <c r="AH12" t="str">
        <f t="shared" ref="AH12:AH75" si="30">MID($A12,AG$8+AG$9-1,AH$9)</f>
        <v/>
      </c>
      <c r="AI12" t="str">
        <f t="shared" ref="AI12:AI22" si="31">MID($A12,AG$8+AG$9+AH$9-2,AI$9)</f>
        <v/>
      </c>
      <c r="AJ12" t="str">
        <f t="shared" ref="AJ12:AJ22" si="32">MID($A12,AG$8+AG$9+AH$9+AI$9-3,AJ$9)</f>
        <v/>
      </c>
    </row>
    <row r="13" spans="1:37" x14ac:dyDescent="0.25">
      <c r="A13" t="s">
        <v>9</v>
      </c>
      <c r="P13" t="str">
        <f t="shared" si="18"/>
        <v xml:space="preserve">    930  138  0 </v>
      </c>
      <c r="Q13" t="str">
        <f t="shared" si="18"/>
        <v xml:space="preserve">   1.011 </v>
      </c>
      <c r="R13" t="str">
        <f t="shared" si="20"/>
        <v xml:space="preserve">     0.0 </v>
      </c>
      <c r="S13" t="str">
        <f t="shared" si="21"/>
        <v xml:space="preserve">     0.0 </v>
      </c>
      <c r="T13" t="str">
        <f t="shared" si="22"/>
        <v xml:space="preserve">     0.0 </v>
      </c>
      <c r="U13" t="str">
        <f t="shared" si="19"/>
        <v xml:space="preserve">         0.0 </v>
      </c>
      <c r="V13" t="str">
        <f t="shared" si="23"/>
        <v xml:space="preserve">     0.0 </v>
      </c>
      <c r="W13" t="str">
        <f t="shared" si="24"/>
        <v xml:space="preserve">     0.0</v>
      </c>
      <c r="X13" t="str">
        <f t="shared" si="25"/>
        <v/>
      </c>
      <c r="Y13" t="str">
        <f t="shared" si="25"/>
        <v/>
      </c>
      <c r="Z13" t="str">
        <f t="shared" si="25"/>
        <v/>
      </c>
      <c r="AA13" t="str">
        <f t="shared" si="26"/>
        <v/>
      </c>
      <c r="AB13" t="str">
        <f t="shared" si="27"/>
        <v/>
      </c>
      <c r="AC13" t="str">
        <f t="shared" si="28"/>
        <v/>
      </c>
      <c r="AD13" t="str">
        <f t="shared" si="19"/>
        <v/>
      </c>
      <c r="AE13" t="str">
        <f t="shared" si="29"/>
        <v/>
      </c>
      <c r="AF13" t="str">
        <f t="shared" si="19"/>
        <v/>
      </c>
      <c r="AG13" t="str">
        <f t="shared" ref="AF13:AG28" si="33">MID($A13,AG$8,AG$9)</f>
        <v/>
      </c>
      <c r="AH13" t="str">
        <f t="shared" si="30"/>
        <v/>
      </c>
      <c r="AI13" t="str">
        <f t="shared" si="31"/>
        <v/>
      </c>
      <c r="AJ13" t="str">
        <f t="shared" si="32"/>
        <v/>
      </c>
    </row>
    <row r="14" spans="1:37" x14ac:dyDescent="0.25">
      <c r="A14" t="s">
        <v>10</v>
      </c>
      <c r="P14" t="str">
        <f t="shared" si="18"/>
        <v xml:space="preserve">  ALEGRE-RS138  </v>
      </c>
      <c r="Q14" t="str">
        <f t="shared" si="18"/>
        <v xml:space="preserve">   -50.7 </v>
      </c>
      <c r="R14" t="str">
        <f t="shared" si="20"/>
        <v xml:space="preserve">     0.0 </v>
      </c>
      <c r="S14" t="str">
        <f t="shared" si="21"/>
        <v xml:space="preserve">     0.0 </v>
      </c>
      <c r="T14" t="str">
        <f t="shared" si="22"/>
        <v xml:space="preserve">     0.0 </v>
      </c>
      <c r="U14" t="str">
        <f t="shared" si="19"/>
        <v xml:space="preserve">         0.0 </v>
      </c>
      <c r="V14" t="str">
        <f t="shared" si="23"/>
        <v xml:space="preserve">     0.0 </v>
      </c>
      <c r="W14" t="str">
        <f t="shared" si="24"/>
        <v xml:space="preserve">     0.0 </v>
      </c>
      <c r="X14" t="str">
        <f t="shared" si="25"/>
        <v xml:space="preserve">       </v>
      </c>
      <c r="Y14" t="str">
        <f t="shared" si="25"/>
        <v xml:space="preserve">              </v>
      </c>
      <c r="Z14" t="str">
        <f t="shared" si="25"/>
        <v xml:space="preserve">    </v>
      </c>
      <c r="AA14" t="str">
        <f t="shared" si="26"/>
        <v xml:space="preserve">         </v>
      </c>
      <c r="AB14" t="str">
        <f t="shared" si="27"/>
        <v xml:space="preserve">         </v>
      </c>
      <c r="AC14" t="str">
        <f t="shared" si="28"/>
        <v xml:space="preserve">    </v>
      </c>
      <c r="AD14" t="str">
        <f t="shared" si="19"/>
        <v/>
      </c>
      <c r="AE14" t="str">
        <f t="shared" si="29"/>
        <v/>
      </c>
      <c r="AF14" t="str">
        <f t="shared" si="19"/>
        <v/>
      </c>
      <c r="AG14" t="str">
        <f t="shared" si="33"/>
        <v/>
      </c>
      <c r="AH14" t="str">
        <f t="shared" si="30"/>
        <v/>
      </c>
      <c r="AI14" t="str">
        <f t="shared" si="31"/>
        <v/>
      </c>
      <c r="AJ14" t="str">
        <f t="shared" si="32"/>
        <v/>
      </c>
    </row>
    <row r="15" spans="1:37" x14ac:dyDescent="0.25">
      <c r="A15" t="s">
        <v>11</v>
      </c>
      <c r="P15" t="str">
        <f t="shared" si="18"/>
        <v xml:space="preserve">                </v>
      </c>
      <c r="Q15" t="str">
        <f t="shared" si="18"/>
        <v xml:space="preserve">         </v>
      </c>
      <c r="R15" t="str">
        <f t="shared" si="20"/>
        <v xml:space="preserve">    25.0 </v>
      </c>
      <c r="S15" t="str">
        <f t="shared" si="21"/>
        <v xml:space="preserve">    25.0 </v>
      </c>
      <c r="T15" t="str">
        <f t="shared" si="22"/>
        <v xml:space="preserve">    25.0 </v>
      </c>
      <c r="U15" t="str">
        <f t="shared" si="19"/>
        <v xml:space="preserve">       13.1% </v>
      </c>
      <c r="V15" t="str">
        <f t="shared" si="23"/>
        <v xml:space="preserve">         </v>
      </c>
      <c r="W15" t="str">
        <f t="shared" si="24"/>
        <v xml:space="preserve">         </v>
      </c>
      <c r="X15" t="str">
        <f t="shared" si="25"/>
        <v xml:space="preserve">  1182 </v>
      </c>
      <c r="Y15" t="str">
        <f t="shared" si="25"/>
        <v xml:space="preserve"> ALEGRE-RS069 </v>
      </c>
      <c r="Z15" t="str">
        <f t="shared" si="25"/>
        <v xml:space="preserve">  5 </v>
      </c>
      <c r="AA15" t="str">
        <f t="shared" si="26"/>
        <v xml:space="preserve">     1.1 </v>
      </c>
      <c r="AB15" t="str">
        <f t="shared" si="27"/>
        <v xml:space="preserve">     3.1 </v>
      </c>
      <c r="AC15" t="str">
        <f t="shared" si="28"/>
        <v xml:space="preserve">     3.3 </v>
      </c>
      <c r="AD15" t="str">
        <f t="shared" si="19"/>
        <v xml:space="preserve"> 0.982* </v>
      </c>
      <c r="AE15" t="str">
        <f t="shared" si="29"/>
        <v xml:space="preserve">       </v>
      </c>
      <c r="AF15" t="str">
        <f>MID($A15,AF$8,AF$9)</f>
        <v xml:space="preserve">     </v>
      </c>
      <c r="AG15" t="str">
        <f t="shared" si="33"/>
        <v xml:space="preserve">     0.00 </v>
      </c>
      <c r="AH15" t="str">
        <f t="shared" si="30"/>
        <v xml:space="preserve">     0.04 </v>
      </c>
      <c r="AI15" t="str">
        <f t="shared" si="31"/>
        <v xml:space="preserve">       </v>
      </c>
      <c r="AJ15" t="str">
        <f t="shared" si="32"/>
        <v xml:space="preserve">      </v>
      </c>
    </row>
    <row r="16" spans="1:37" x14ac:dyDescent="0.25">
      <c r="A16" t="s">
        <v>12</v>
      </c>
      <c r="P16" t="str">
        <f t="shared" si="18"/>
        <v xml:space="preserve">                </v>
      </c>
      <c r="Q16" t="str">
        <f t="shared" si="18"/>
        <v xml:space="preserve">         </v>
      </c>
      <c r="R16" t="str">
        <f t="shared" si="20"/>
        <v xml:space="preserve">    25.0 </v>
      </c>
      <c r="S16" t="str">
        <f t="shared" si="21"/>
        <v xml:space="preserve">    25.0 </v>
      </c>
      <c r="T16" t="str">
        <f t="shared" si="22"/>
        <v xml:space="preserve">    25.0 </v>
      </c>
      <c r="U16" t="str">
        <f t="shared" si="19"/>
        <v xml:space="preserve">       13.1% </v>
      </c>
      <c r="V16" t="str">
        <f t="shared" si="23"/>
        <v xml:space="preserve">         </v>
      </c>
      <c r="W16" t="str">
        <f t="shared" si="24"/>
        <v xml:space="preserve">         </v>
      </c>
      <c r="X16" t="str">
        <f t="shared" si="25"/>
        <v xml:space="preserve">  1182 </v>
      </c>
      <c r="Y16" t="str">
        <f t="shared" si="25"/>
        <v xml:space="preserve"> ALEGRE-RS069 </v>
      </c>
      <c r="Z16" t="str">
        <f t="shared" si="25"/>
        <v xml:space="preserve">  6 </v>
      </c>
      <c r="AA16" t="str">
        <f t="shared" si="26"/>
        <v xml:space="preserve">     1.1 </v>
      </c>
      <c r="AB16" t="str">
        <f t="shared" si="27"/>
        <v xml:space="preserve">     3.1 </v>
      </c>
      <c r="AC16" t="str">
        <f t="shared" si="28"/>
        <v xml:space="preserve">     3.3 </v>
      </c>
      <c r="AD16" t="str">
        <f t="shared" si="19"/>
        <v xml:space="preserve"> 0.982* </v>
      </c>
      <c r="AE16" t="str">
        <f t="shared" si="29"/>
        <v xml:space="preserve">       </v>
      </c>
      <c r="AF16" t="str">
        <f t="shared" si="19"/>
        <v xml:space="preserve">     </v>
      </c>
      <c r="AG16" t="str">
        <f t="shared" si="33"/>
        <v xml:space="preserve">     0.00 </v>
      </c>
      <c r="AH16" t="str">
        <f t="shared" si="30"/>
        <v xml:space="preserve">     0.04 </v>
      </c>
      <c r="AI16" t="str">
        <f t="shared" si="31"/>
        <v xml:space="preserve">       </v>
      </c>
      <c r="AJ16" t="str">
        <f t="shared" si="32"/>
        <v xml:space="preserve">      </v>
      </c>
      <c r="AK16" t="s">
        <v>1573</v>
      </c>
    </row>
    <row r="17" spans="1:36" x14ac:dyDescent="0.25">
      <c r="A17" t="s">
        <v>13</v>
      </c>
      <c r="P17" t="str">
        <f t="shared" si="18"/>
        <v xml:space="preserve">                </v>
      </c>
      <c r="Q17" t="str">
        <f t="shared" si="18"/>
        <v xml:space="preserve">         </v>
      </c>
      <c r="R17" t="str">
        <f t="shared" si="20"/>
        <v xml:space="preserve">    97.0 </v>
      </c>
      <c r="S17" t="str">
        <f t="shared" si="21"/>
        <v xml:space="preserve">   141.0 </v>
      </c>
      <c r="T17" t="str">
        <f t="shared" si="22"/>
        <v xml:space="preserve">   141.0 </v>
      </c>
      <c r="U17" t="str">
        <f t="shared" si="19"/>
        <v xml:space="preserve">        6.7% </v>
      </c>
      <c r="V17" t="str">
        <f t="shared" si="23"/>
        <v xml:space="preserve">         </v>
      </c>
      <c r="W17" t="str">
        <f t="shared" si="24"/>
        <v xml:space="preserve">         </v>
      </c>
      <c r="X17" t="str">
        <f t="shared" si="25"/>
        <v xml:space="preserve">  1383 </v>
      </c>
      <c r="Y17" t="str">
        <f t="shared" si="25"/>
        <v xml:space="preserve"> SMARI3-RS138 </v>
      </c>
      <c r="Z17" t="str">
        <f t="shared" si="25"/>
        <v xml:space="preserve">  1 </v>
      </c>
      <c r="AA17" t="str">
        <f t="shared" si="26"/>
        <v xml:space="preserve">    -2.2 </v>
      </c>
      <c r="AB17" t="str">
        <f t="shared" si="27"/>
        <v xml:space="preserve">    -6.2 </v>
      </c>
      <c r="AC17" t="str">
        <f t="shared" si="28"/>
        <v xml:space="preserve">     6.5 </v>
      </c>
      <c r="AD17" t="str">
        <f t="shared" si="19"/>
        <v xml:space="preserve">        </v>
      </c>
      <c r="AE17" t="str">
        <f t="shared" si="29"/>
        <v xml:space="preserve">       </v>
      </c>
      <c r="AF17" t="str">
        <f t="shared" si="19"/>
        <v xml:space="preserve">     </v>
      </c>
      <c r="AG17" t="str">
        <f t="shared" si="33"/>
        <v xml:space="preserve">     0.01 </v>
      </c>
      <c r="AH17" t="str">
        <f t="shared" si="30"/>
        <v xml:space="preserve">   -12.25 </v>
      </c>
      <c r="AI17" t="str">
        <f t="shared" si="31"/>
        <v xml:space="preserve">       </v>
      </c>
      <c r="AJ17" t="str">
        <f t="shared" si="32"/>
        <v xml:space="preserve">      </v>
      </c>
    </row>
    <row r="18" spans="1:36" x14ac:dyDescent="0.25">
      <c r="A18" t="s">
        <v>14</v>
      </c>
      <c r="P18" t="str">
        <f t="shared" si="18"/>
        <v xml:space="preserve">  ..............</v>
      </c>
      <c r="Q18" t="str">
        <f t="shared" si="18"/>
        <v>.........</v>
      </c>
      <c r="R18" t="str">
        <f t="shared" si="20"/>
        <v>.........</v>
      </c>
      <c r="S18" t="str">
        <f t="shared" si="21"/>
        <v>.........</v>
      </c>
      <c r="T18" t="str">
        <f t="shared" si="22"/>
        <v>.........</v>
      </c>
      <c r="U18" t="str">
        <f t="shared" si="19"/>
        <v>.............</v>
      </c>
      <c r="V18" t="str">
        <f t="shared" si="23"/>
        <v>.........</v>
      </c>
      <c r="W18" t="str">
        <f t="shared" si="24"/>
        <v>.........</v>
      </c>
      <c r="X18" t="str">
        <f t="shared" si="25"/>
        <v>.......</v>
      </c>
      <c r="Y18" t="str">
        <f t="shared" si="25"/>
        <v>..............</v>
      </c>
      <c r="Z18" t="str">
        <f t="shared" si="25"/>
        <v>....</v>
      </c>
      <c r="AA18" t="str">
        <f t="shared" si="26"/>
        <v>.........</v>
      </c>
      <c r="AB18" t="str">
        <f t="shared" si="27"/>
        <v>.........</v>
      </c>
      <c r="AC18" t="str">
        <f t="shared" si="28"/>
        <v>.........</v>
      </c>
      <c r="AD18" t="str">
        <f t="shared" si="19"/>
        <v>........</v>
      </c>
      <c r="AE18" t="str">
        <f t="shared" si="29"/>
        <v>.......</v>
      </c>
      <c r="AF18" t="str">
        <f t="shared" si="19"/>
        <v>.....</v>
      </c>
      <c r="AG18" t="str">
        <f t="shared" si="33"/>
        <v>..........</v>
      </c>
      <c r="AH18" t="str">
        <f t="shared" si="30"/>
        <v>..........</v>
      </c>
      <c r="AI18" t="str">
        <f t="shared" si="31"/>
        <v>.......</v>
      </c>
      <c r="AJ18" t="str">
        <f t="shared" si="32"/>
        <v>.......</v>
      </c>
    </row>
    <row r="19" spans="1:36" x14ac:dyDescent="0.25">
      <c r="A19" t="s">
        <v>15</v>
      </c>
      <c r="P19" t="str">
        <f t="shared" si="18"/>
        <v xml:space="preserve">    931  992  1 </v>
      </c>
      <c r="Q19" t="str">
        <f t="shared" si="18"/>
        <v xml:space="preserve">   1.016 </v>
      </c>
      <c r="R19" t="str">
        <f t="shared" si="20"/>
        <v xml:space="preserve">    33.0 </v>
      </c>
      <c r="S19" t="str">
        <f t="shared" si="21"/>
        <v xml:space="preserve">     0.0 </v>
      </c>
      <c r="T19" t="str">
        <f t="shared" si="22"/>
        <v xml:space="preserve">     0.0 </v>
      </c>
      <c r="U19" t="str">
        <f t="shared" si="19"/>
        <v xml:space="preserve">         0.0 </v>
      </c>
      <c r="V19" t="str">
        <f t="shared" si="23"/>
        <v xml:space="preserve">     0.0 </v>
      </c>
      <c r="W19" t="str">
        <f t="shared" si="24"/>
        <v xml:space="preserve">     0.0</v>
      </c>
      <c r="X19" t="str">
        <f t="shared" si="25"/>
        <v/>
      </c>
      <c r="Y19" t="str">
        <f t="shared" si="25"/>
        <v/>
      </c>
      <c r="Z19" t="str">
        <f t="shared" si="25"/>
        <v/>
      </c>
      <c r="AA19" t="str">
        <f t="shared" si="26"/>
        <v/>
      </c>
      <c r="AB19" t="str">
        <f t="shared" si="27"/>
        <v/>
      </c>
      <c r="AC19" t="str">
        <f t="shared" si="28"/>
        <v/>
      </c>
      <c r="AD19" t="str">
        <f t="shared" si="19"/>
        <v/>
      </c>
      <c r="AE19" t="str">
        <f t="shared" si="29"/>
        <v/>
      </c>
      <c r="AF19" t="str">
        <f t="shared" si="19"/>
        <v/>
      </c>
      <c r="AG19" t="str">
        <f t="shared" si="33"/>
        <v/>
      </c>
      <c r="AH19" t="str">
        <f t="shared" si="30"/>
        <v/>
      </c>
      <c r="AI19" t="str">
        <f t="shared" si="31"/>
        <v/>
      </c>
      <c r="AJ19" t="str">
        <f t="shared" si="32"/>
        <v/>
      </c>
    </row>
    <row r="20" spans="1:36" x14ac:dyDescent="0.25">
      <c r="A20" t="s">
        <v>16</v>
      </c>
      <c r="P20" t="str">
        <f t="shared" si="18"/>
        <v xml:space="preserve">  MONJOLUHE001  </v>
      </c>
      <c r="Q20" t="str">
        <f t="shared" si="18"/>
        <v xml:space="preserve">   -37.4 </v>
      </c>
      <c r="R20" t="str">
        <f t="shared" si="20"/>
        <v xml:space="preserve">     0.8 </v>
      </c>
      <c r="S20" t="str">
        <f t="shared" si="21"/>
        <v xml:space="preserve">     0.0 </v>
      </c>
      <c r="T20" t="str">
        <f t="shared" si="22"/>
        <v xml:space="preserve">     0.0 </v>
      </c>
      <c r="U20" t="str">
        <f t="shared" si="19"/>
        <v xml:space="preserve">         0.0 </v>
      </c>
      <c r="V20" t="str">
        <f t="shared" si="23"/>
        <v xml:space="preserve">     0.0 </v>
      </c>
      <c r="W20" t="str">
        <f t="shared" si="24"/>
        <v xml:space="preserve">     0.0 </v>
      </c>
      <c r="X20" t="str">
        <f t="shared" si="25"/>
        <v xml:space="preserve">       </v>
      </c>
      <c r="Y20" t="str">
        <f t="shared" si="25"/>
        <v xml:space="preserve">              </v>
      </c>
      <c r="Z20" t="str">
        <f t="shared" si="25"/>
        <v xml:space="preserve">    </v>
      </c>
      <c r="AA20" t="str">
        <f t="shared" si="26"/>
        <v xml:space="preserve">         </v>
      </c>
      <c r="AB20" t="str">
        <f t="shared" si="27"/>
        <v xml:space="preserve">         </v>
      </c>
      <c r="AC20" t="str">
        <f t="shared" si="28"/>
        <v xml:space="preserve">    </v>
      </c>
      <c r="AD20" t="str">
        <f t="shared" si="19"/>
        <v/>
      </c>
      <c r="AE20" t="str">
        <f t="shared" si="29"/>
        <v/>
      </c>
      <c r="AF20" t="str">
        <f t="shared" si="19"/>
        <v/>
      </c>
      <c r="AG20" t="str">
        <f t="shared" si="33"/>
        <v/>
      </c>
      <c r="AH20" t="str">
        <f t="shared" si="30"/>
        <v/>
      </c>
      <c r="AI20" t="str">
        <f t="shared" si="31"/>
        <v/>
      </c>
      <c r="AJ20" t="str">
        <f t="shared" si="32"/>
        <v/>
      </c>
    </row>
    <row r="21" spans="1:36" x14ac:dyDescent="0.25">
      <c r="A21" t="s">
        <v>17</v>
      </c>
      <c r="P21" t="str">
        <f t="shared" si="18"/>
        <v xml:space="preserve">                </v>
      </c>
      <c r="Q21" t="str">
        <f t="shared" si="18"/>
        <v xml:space="preserve">         </v>
      </c>
      <c r="R21" t="str">
        <f t="shared" si="20"/>
        <v xml:space="preserve">   154.0 </v>
      </c>
      <c r="S21" t="str">
        <f t="shared" si="21"/>
        <v xml:space="preserve">   154.0 </v>
      </c>
      <c r="T21" t="str">
        <f t="shared" si="22"/>
        <v xml:space="preserve">   154.0 </v>
      </c>
      <c r="U21" t="str">
        <f t="shared" si="19"/>
        <v xml:space="preserve">       21.1% </v>
      </c>
      <c r="V21" t="str">
        <f t="shared" si="23"/>
        <v xml:space="preserve">         </v>
      </c>
      <c r="W21" t="str">
        <f t="shared" si="24"/>
        <v xml:space="preserve">         </v>
      </c>
      <c r="X21" t="str">
        <f t="shared" si="25"/>
        <v xml:space="preserve">   932 </v>
      </c>
      <c r="Y21" t="str">
        <f t="shared" si="25"/>
        <v xml:space="preserve"> ALZANT-RS138 </v>
      </c>
      <c r="Z21" t="str">
        <f t="shared" si="25"/>
        <v xml:space="preserve">  1 </v>
      </c>
      <c r="AA21" t="str">
        <f t="shared" si="26"/>
        <v xml:space="preserve">    33.0 </v>
      </c>
      <c r="AB21" t="str">
        <f t="shared" si="27"/>
        <v xml:space="preserve">     0.8 </v>
      </c>
      <c r="AC21" t="str">
        <f t="shared" si="28"/>
        <v xml:space="preserve">    32.5 </v>
      </c>
      <c r="AD21" t="str">
        <f t="shared" si="19"/>
        <v xml:space="preserve">        </v>
      </c>
      <c r="AE21" t="str">
        <f t="shared" si="29"/>
        <v xml:space="preserve">       </v>
      </c>
      <c r="AF21" t="str">
        <f t="shared" si="19"/>
        <v xml:space="preserve">     </v>
      </c>
      <c r="AG21" t="str">
        <f t="shared" si="33"/>
        <v xml:space="preserve">     0.00 </v>
      </c>
      <c r="AH21" t="str">
        <f t="shared" si="30"/>
        <v xml:space="preserve">     3.10 </v>
      </c>
      <c r="AI21" t="str">
        <f t="shared" si="31"/>
        <v xml:space="preserve">       </v>
      </c>
      <c r="AJ21" t="str">
        <f t="shared" si="32"/>
        <v xml:space="preserve">      </v>
      </c>
    </row>
    <row r="22" spans="1:36" x14ac:dyDescent="0.25">
      <c r="A22" t="s">
        <v>14</v>
      </c>
      <c r="P22" t="str">
        <f t="shared" si="18"/>
        <v xml:space="preserve">  ..............</v>
      </c>
      <c r="Q22" t="str">
        <f t="shared" si="18"/>
        <v>.........</v>
      </c>
      <c r="R22" t="str">
        <f t="shared" si="20"/>
        <v>.........</v>
      </c>
      <c r="S22" t="str">
        <f t="shared" si="21"/>
        <v>.........</v>
      </c>
      <c r="T22" t="str">
        <f t="shared" si="22"/>
        <v>.........</v>
      </c>
      <c r="U22" t="str">
        <f t="shared" si="19"/>
        <v>.............</v>
      </c>
      <c r="V22" t="str">
        <f t="shared" si="23"/>
        <v>.........</v>
      </c>
      <c r="W22" t="str">
        <f t="shared" si="24"/>
        <v>.........</v>
      </c>
      <c r="X22" t="str">
        <f t="shared" si="25"/>
        <v>.......</v>
      </c>
      <c r="Y22" t="str">
        <f t="shared" si="25"/>
        <v>..............</v>
      </c>
      <c r="Z22" t="str">
        <f t="shared" si="25"/>
        <v>....</v>
      </c>
      <c r="AA22" t="str">
        <f t="shared" si="26"/>
        <v>.........</v>
      </c>
      <c r="AB22" t="str">
        <f t="shared" si="27"/>
        <v>.........</v>
      </c>
      <c r="AC22" t="str">
        <f t="shared" si="28"/>
        <v>.........</v>
      </c>
      <c r="AD22" t="str">
        <f t="shared" si="19"/>
        <v>........</v>
      </c>
      <c r="AE22" t="str">
        <f t="shared" si="29"/>
        <v>.......</v>
      </c>
      <c r="AF22" t="str">
        <f t="shared" si="19"/>
        <v>.....</v>
      </c>
      <c r="AG22" t="str">
        <f t="shared" si="33"/>
        <v>..........</v>
      </c>
      <c r="AH22" t="str">
        <f t="shared" si="30"/>
        <v>..........</v>
      </c>
      <c r="AI22" t="str">
        <f t="shared" si="31"/>
        <v>.......</v>
      </c>
      <c r="AJ22" t="str">
        <f t="shared" si="32"/>
        <v>.......</v>
      </c>
    </row>
    <row r="23" spans="1:36" x14ac:dyDescent="0.25">
      <c r="A23" t="s">
        <v>18</v>
      </c>
      <c r="P23" t="str">
        <f t="shared" si="18"/>
        <v xml:space="preserve">    932  138  0 </v>
      </c>
      <c r="Q23" t="str">
        <f t="shared" si="18"/>
        <v xml:space="preserve">   1.043 </v>
      </c>
      <c r="R23" t="str">
        <f t="shared" si="20"/>
        <v xml:space="preserve">     0.0 </v>
      </c>
      <c r="S23" t="str">
        <f t="shared" si="21"/>
        <v xml:space="preserve">     0.0 </v>
      </c>
      <c r="T23" t="str">
        <f t="shared" si="22"/>
        <v xml:space="preserve">     0.0 </v>
      </c>
      <c r="U23" t="str">
        <f t="shared" si="19"/>
        <v xml:space="preserve">         0.0 </v>
      </c>
      <c r="V23" t="str">
        <f t="shared" si="23"/>
        <v xml:space="preserve">     0.0 </v>
      </c>
      <c r="W23" t="str">
        <f t="shared" si="24"/>
        <v xml:space="preserve">     0.0</v>
      </c>
      <c r="X23" t="str">
        <f t="shared" si="25"/>
        <v/>
      </c>
      <c r="Y23" t="str">
        <f t="shared" si="25"/>
        <v/>
      </c>
      <c r="Z23" t="str">
        <f t="shared" si="25"/>
        <v/>
      </c>
      <c r="AA23" t="str">
        <f t="shared" si="26"/>
        <v/>
      </c>
      <c r="AB23" t="str">
        <f t="shared" si="27"/>
        <v/>
      </c>
      <c r="AC23" t="str">
        <f t="shared" si="28"/>
        <v/>
      </c>
      <c r="AD23" t="str">
        <f t="shared" si="19"/>
        <v/>
      </c>
      <c r="AE23" t="str">
        <f t="shared" si="29"/>
        <v/>
      </c>
      <c r="AF23" t="str">
        <f t="shared" si="33"/>
        <v/>
      </c>
      <c r="AG23" t="str">
        <f t="shared" si="33"/>
        <v/>
      </c>
      <c r="AH23" t="str">
        <f t="shared" si="30"/>
        <v/>
      </c>
      <c r="AI23" t="str">
        <f t="shared" ref="AI23:AI86" si="34">MID($A23,AG$8+AG$9+AH$9-2,AI$9)</f>
        <v/>
      </c>
      <c r="AJ23" t="str">
        <f t="shared" ref="AJ23:AJ86" si="35">MID($A23,AG$8+AG$9+AH$9+AI$9-3,AJ$9)</f>
        <v/>
      </c>
    </row>
    <row r="24" spans="1:36" x14ac:dyDescent="0.25">
      <c r="A24" t="s">
        <v>19</v>
      </c>
      <c r="P24" t="str">
        <f t="shared" si="18"/>
        <v xml:space="preserve">  ALZANT-RS138  </v>
      </c>
      <c r="Q24" t="str">
        <f t="shared" si="18"/>
        <v xml:space="preserve">   -42.8 </v>
      </c>
      <c r="R24" t="str">
        <f t="shared" si="20"/>
        <v xml:space="preserve">     0.0 </v>
      </c>
      <c r="S24" t="str">
        <f t="shared" si="21"/>
        <v xml:space="preserve">     0.0 </v>
      </c>
      <c r="T24" t="str">
        <f t="shared" si="22"/>
        <v xml:space="preserve">     0.0 </v>
      </c>
      <c r="U24" t="str">
        <f t="shared" si="19"/>
        <v xml:space="preserve">         0.0 </v>
      </c>
      <c r="V24" t="str">
        <f t="shared" si="23"/>
        <v xml:space="preserve">     0.0 </v>
      </c>
      <c r="W24" t="str">
        <f t="shared" si="24"/>
        <v xml:space="preserve">     0.0 </v>
      </c>
      <c r="X24" t="str">
        <f t="shared" si="25"/>
        <v xml:space="preserve">       </v>
      </c>
      <c r="Y24" t="str">
        <f t="shared" si="25"/>
        <v xml:space="preserve">              </v>
      </c>
      <c r="Z24" t="str">
        <f t="shared" si="25"/>
        <v xml:space="preserve">    </v>
      </c>
      <c r="AA24" t="str">
        <f t="shared" si="26"/>
        <v xml:space="preserve">         </v>
      </c>
      <c r="AB24" t="str">
        <f t="shared" si="27"/>
        <v xml:space="preserve">         </v>
      </c>
      <c r="AC24" t="str">
        <f t="shared" si="28"/>
        <v xml:space="preserve">    </v>
      </c>
      <c r="AD24" t="str">
        <f t="shared" si="19"/>
        <v/>
      </c>
      <c r="AE24" t="str">
        <f t="shared" si="29"/>
        <v/>
      </c>
      <c r="AF24" t="str">
        <f t="shared" si="33"/>
        <v/>
      </c>
      <c r="AG24" t="str">
        <f t="shared" si="33"/>
        <v/>
      </c>
      <c r="AH24" t="str">
        <f t="shared" si="30"/>
        <v/>
      </c>
      <c r="AI24" t="str">
        <f t="shared" si="34"/>
        <v/>
      </c>
      <c r="AJ24" t="str">
        <f t="shared" si="35"/>
        <v/>
      </c>
    </row>
    <row r="25" spans="1:36" x14ac:dyDescent="0.25">
      <c r="A25" t="s">
        <v>20</v>
      </c>
      <c r="P25" t="str">
        <f t="shared" si="18"/>
        <v xml:space="preserve">                </v>
      </c>
      <c r="Q25" t="str">
        <f t="shared" si="18"/>
        <v xml:space="preserve">         </v>
      </c>
      <c r="R25" t="str">
        <f t="shared" si="20"/>
        <v xml:space="preserve">   154.0 </v>
      </c>
      <c r="S25" t="str">
        <f t="shared" si="21"/>
        <v xml:space="preserve">   154.0 </v>
      </c>
      <c r="T25" t="str">
        <f t="shared" si="22"/>
        <v xml:space="preserve">   154.0 </v>
      </c>
      <c r="U25" t="str">
        <f t="shared" si="19"/>
        <v xml:space="preserve">       20.6% </v>
      </c>
      <c r="V25" t="str">
        <f t="shared" si="23"/>
        <v xml:space="preserve">         </v>
      </c>
      <c r="W25" t="str">
        <f t="shared" si="24"/>
        <v xml:space="preserve">         </v>
      </c>
      <c r="X25" t="str">
        <f t="shared" si="25"/>
        <v xml:space="preserve">   931 </v>
      </c>
      <c r="Y25" t="str">
        <f t="shared" si="25"/>
        <v xml:space="preserve"> MONJOLUHE001 </v>
      </c>
      <c r="Z25" t="str">
        <f t="shared" si="25"/>
        <v xml:space="preserve">  1 </v>
      </c>
      <c r="AA25" t="str">
        <f t="shared" si="26"/>
        <v xml:space="preserve">   -33.0 </v>
      </c>
      <c r="AB25" t="str">
        <f t="shared" si="27"/>
        <v xml:space="preserve">     2.3 </v>
      </c>
      <c r="AC25" t="str">
        <f t="shared" si="28"/>
        <v xml:space="preserve">    31.7 </v>
      </c>
      <c r="AD25" t="str">
        <f t="shared" si="19"/>
        <v xml:space="preserve"> 1.025F </v>
      </c>
      <c r="AE25" t="str">
        <f t="shared" si="29"/>
        <v xml:space="preserve">       </v>
      </c>
      <c r="AF25" t="str">
        <f t="shared" si="33"/>
        <v xml:space="preserve">     </v>
      </c>
      <c r="AG25" t="str">
        <f t="shared" si="33"/>
        <v xml:space="preserve">     0.00 </v>
      </c>
      <c r="AH25" t="str">
        <f t="shared" si="30"/>
        <v xml:space="preserve">     3.10 </v>
      </c>
      <c r="AI25" t="str">
        <f t="shared" si="34"/>
        <v xml:space="preserve">       </v>
      </c>
      <c r="AJ25" t="str">
        <f t="shared" si="35"/>
        <v xml:space="preserve">      </v>
      </c>
    </row>
    <row r="26" spans="1:36" x14ac:dyDescent="0.25">
      <c r="A26" t="s">
        <v>21</v>
      </c>
      <c r="P26" t="str">
        <f t="shared" si="18"/>
        <v xml:space="preserve">                </v>
      </c>
      <c r="Q26" t="str">
        <f t="shared" si="18"/>
        <v xml:space="preserve">         </v>
      </c>
      <c r="R26" t="str">
        <f t="shared" si="20"/>
        <v xml:space="preserve">    81.0 </v>
      </c>
      <c r="S26" t="str">
        <f t="shared" si="21"/>
        <v xml:space="preserve">    81.0 </v>
      </c>
      <c r="T26" t="str">
        <f t="shared" si="22"/>
        <v xml:space="preserve">    81.0 </v>
      </c>
      <c r="U26" t="str">
        <f t="shared" si="19"/>
        <v xml:space="preserve">       39.1% </v>
      </c>
      <c r="V26" t="str">
        <f t="shared" si="23"/>
        <v xml:space="preserve">         </v>
      </c>
      <c r="W26" t="str">
        <f t="shared" si="24"/>
        <v xml:space="preserve">         </v>
      </c>
      <c r="X26" t="str">
        <f t="shared" si="25"/>
        <v xml:space="preserve">  1042 </v>
      </c>
      <c r="Y26" t="str">
        <f t="shared" si="25"/>
        <v xml:space="preserve"> PFUNDO-RS138 </v>
      </c>
      <c r="Z26" t="str">
        <f t="shared" si="25"/>
        <v xml:space="preserve">  1 </v>
      </c>
      <c r="AA26" t="str">
        <f t="shared" si="26"/>
        <v xml:space="preserve">    33.0 </v>
      </c>
      <c r="AB26" t="str">
        <f t="shared" si="27"/>
        <v xml:space="preserve">    -2.3 </v>
      </c>
      <c r="AC26" t="str">
        <f t="shared" si="28"/>
        <v xml:space="preserve">    31.7 </v>
      </c>
      <c r="AD26" t="str">
        <f t="shared" si="19"/>
        <v xml:space="preserve">        </v>
      </c>
      <c r="AE26" t="str">
        <f t="shared" si="29"/>
        <v xml:space="preserve">       </v>
      </c>
      <c r="AF26" t="str">
        <f t="shared" si="33"/>
        <v xml:space="preserve">     </v>
      </c>
      <c r="AG26" t="str">
        <f t="shared" si="33"/>
        <v xml:space="preserve">     0.12 </v>
      </c>
      <c r="AH26" t="str">
        <f t="shared" si="30"/>
        <v xml:space="preserve">    -0.81 </v>
      </c>
      <c r="AI26" t="str">
        <f t="shared" si="34"/>
        <v xml:space="preserve">       </v>
      </c>
      <c r="AJ26" t="str">
        <f t="shared" si="35"/>
        <v xml:space="preserve">      </v>
      </c>
    </row>
    <row r="27" spans="1:36" x14ac:dyDescent="0.25">
      <c r="A27" t="s">
        <v>14</v>
      </c>
      <c r="P27" t="str">
        <f t="shared" ref="P27:Q90" si="36">MID($A27,P$8,P$9)</f>
        <v xml:space="preserve">  ..............</v>
      </c>
      <c r="Q27" t="str">
        <f t="shared" si="18"/>
        <v>.........</v>
      </c>
      <c r="R27" t="str">
        <f t="shared" si="20"/>
        <v>.........</v>
      </c>
      <c r="S27" t="str">
        <f t="shared" ref="S27:S90" si="37">MID($A27,Q$8+Q$9+R$9-2,S$9)</f>
        <v>.........</v>
      </c>
      <c r="T27" t="str">
        <f t="shared" ref="T27:T90" si="38">MID($A27,Q$8+Q$9+R$9+S$9-3,T$9)</f>
        <v>.........</v>
      </c>
      <c r="U27" t="str">
        <f t="shared" si="19"/>
        <v>.............</v>
      </c>
      <c r="V27" t="str">
        <f t="shared" si="23"/>
        <v>.........</v>
      </c>
      <c r="W27" t="str">
        <f t="shared" ref="W27:W90" si="39">MID($A27,U$8+U$9+V$9-2,W$9)</f>
        <v>.........</v>
      </c>
      <c r="X27" t="str">
        <f t="shared" si="25"/>
        <v>.......</v>
      </c>
      <c r="Y27" t="str">
        <f t="shared" si="25"/>
        <v>..............</v>
      </c>
      <c r="Z27" t="str">
        <f t="shared" si="25"/>
        <v>....</v>
      </c>
      <c r="AA27" t="str">
        <f t="shared" si="26"/>
        <v>.........</v>
      </c>
      <c r="AB27" t="str">
        <f t="shared" ref="AB27:AB90" si="40">MID($A27,Z$8+Z$9+AA$9-2,AB$9)</f>
        <v>.........</v>
      </c>
      <c r="AC27" t="str">
        <f t="shared" ref="AC27:AC90" si="41">MID($A27,Z$8+Z$9+AA$9+AB$9-3,AC$9)</f>
        <v>.........</v>
      </c>
      <c r="AD27" t="str">
        <f t="shared" si="19"/>
        <v>........</v>
      </c>
      <c r="AE27" t="str">
        <f t="shared" si="29"/>
        <v>.......</v>
      </c>
      <c r="AF27" t="str">
        <f t="shared" si="33"/>
        <v>.....</v>
      </c>
      <c r="AG27" t="str">
        <f t="shared" si="33"/>
        <v>..........</v>
      </c>
      <c r="AH27" t="str">
        <f t="shared" si="30"/>
        <v>..........</v>
      </c>
      <c r="AI27" t="str">
        <f t="shared" si="34"/>
        <v>.......</v>
      </c>
      <c r="AJ27" t="str">
        <f t="shared" si="35"/>
        <v>.......</v>
      </c>
    </row>
    <row r="28" spans="1:36" x14ac:dyDescent="0.25">
      <c r="A28" t="s">
        <v>22</v>
      </c>
      <c r="P28" t="str">
        <f t="shared" si="36"/>
        <v xml:space="preserve">   1038  138  0 </v>
      </c>
      <c r="Q28" t="str">
        <f t="shared" si="36"/>
        <v xml:space="preserve">   0.998 </v>
      </c>
      <c r="R28" t="str">
        <f t="shared" si="20"/>
        <v xml:space="preserve">     0.0 </v>
      </c>
      <c r="S28" t="str">
        <f t="shared" si="37"/>
        <v xml:space="preserve">     0.0 </v>
      </c>
      <c r="T28" t="str">
        <f t="shared" si="38"/>
        <v xml:space="preserve">     0.0 </v>
      </c>
      <c r="U28" t="str">
        <f t="shared" ref="U28:AD91" si="42">MID($A28,U$8,U$9)</f>
        <v xml:space="preserve">         0.0 </v>
      </c>
      <c r="V28" t="str">
        <f t="shared" si="23"/>
        <v xml:space="preserve">     0.0 </v>
      </c>
      <c r="W28" t="str">
        <f t="shared" si="39"/>
        <v xml:space="preserve">     0.0</v>
      </c>
      <c r="X28" t="str">
        <f t="shared" ref="X28:Z91" si="43">MID($A28,X$8,X$9)</f>
        <v/>
      </c>
      <c r="Y28" t="str">
        <f t="shared" si="43"/>
        <v/>
      </c>
      <c r="Z28" t="str">
        <f t="shared" si="43"/>
        <v/>
      </c>
      <c r="AA28" t="str">
        <f t="shared" si="26"/>
        <v/>
      </c>
      <c r="AB28" t="str">
        <f t="shared" si="40"/>
        <v/>
      </c>
      <c r="AC28" t="str">
        <f t="shared" si="41"/>
        <v/>
      </c>
      <c r="AD28" t="str">
        <f t="shared" si="42"/>
        <v/>
      </c>
      <c r="AE28" t="str">
        <f t="shared" si="29"/>
        <v/>
      </c>
      <c r="AF28" t="str">
        <f t="shared" si="33"/>
        <v/>
      </c>
      <c r="AG28" t="str">
        <f t="shared" si="33"/>
        <v/>
      </c>
      <c r="AH28" t="str">
        <f t="shared" si="30"/>
        <v/>
      </c>
      <c r="AI28" t="str">
        <f t="shared" si="34"/>
        <v/>
      </c>
      <c r="AJ28" t="str">
        <f t="shared" si="35"/>
        <v/>
      </c>
    </row>
    <row r="29" spans="1:36" x14ac:dyDescent="0.25">
      <c r="A29" t="s">
        <v>23</v>
      </c>
      <c r="P29" t="str">
        <f t="shared" si="36"/>
        <v xml:space="preserve">  CAPIVA-RS138  </v>
      </c>
      <c r="Q29" t="str">
        <f t="shared" si="36"/>
        <v xml:space="preserve">   -48.6 </v>
      </c>
      <c r="R29" t="str">
        <f t="shared" si="20"/>
        <v xml:space="preserve">     0.0 </v>
      </c>
      <c r="S29" t="str">
        <f t="shared" si="37"/>
        <v xml:space="preserve">     0.0 </v>
      </c>
      <c r="T29" t="str">
        <f t="shared" si="38"/>
        <v xml:space="preserve">     0.0 </v>
      </c>
      <c r="U29" t="str">
        <f t="shared" si="42"/>
        <v xml:space="preserve">         0.0 </v>
      </c>
      <c r="V29" t="str">
        <f t="shared" si="23"/>
        <v xml:space="preserve">     0.0 </v>
      </c>
      <c r="W29" t="str">
        <f t="shared" si="39"/>
        <v xml:space="preserve">     0.0 </v>
      </c>
      <c r="X29" t="str">
        <f t="shared" si="43"/>
        <v xml:space="preserve">       </v>
      </c>
      <c r="Y29" t="str">
        <f t="shared" si="43"/>
        <v xml:space="preserve">              </v>
      </c>
      <c r="Z29" t="str">
        <f t="shared" si="43"/>
        <v xml:space="preserve">    </v>
      </c>
      <c r="AA29" t="str">
        <f t="shared" si="26"/>
        <v xml:space="preserve">         </v>
      </c>
      <c r="AB29" t="str">
        <f t="shared" si="40"/>
        <v xml:space="preserve">         </v>
      </c>
      <c r="AC29" t="str">
        <f t="shared" si="41"/>
        <v xml:space="preserve">    </v>
      </c>
      <c r="AD29" t="str">
        <f t="shared" si="42"/>
        <v/>
      </c>
      <c r="AE29" t="str">
        <f t="shared" si="29"/>
        <v/>
      </c>
      <c r="AF29" t="str">
        <f t="shared" ref="AF29:AG92" si="44">MID($A29,AF$8,AF$9)</f>
        <v/>
      </c>
      <c r="AG29" t="str">
        <f t="shared" si="44"/>
        <v/>
      </c>
      <c r="AH29" t="str">
        <f t="shared" si="30"/>
        <v/>
      </c>
      <c r="AI29" t="str">
        <f t="shared" si="34"/>
        <v/>
      </c>
      <c r="AJ29" t="str">
        <f t="shared" si="35"/>
        <v/>
      </c>
    </row>
    <row r="30" spans="1:36" x14ac:dyDescent="0.25">
      <c r="A30" t="s">
        <v>24</v>
      </c>
      <c r="P30" t="str">
        <f t="shared" si="36"/>
        <v xml:space="preserve">                </v>
      </c>
      <c r="Q30" t="str">
        <f t="shared" si="36"/>
        <v xml:space="preserve">         </v>
      </c>
      <c r="R30" t="str">
        <f t="shared" si="20"/>
        <v xml:space="preserve">    82.0 </v>
      </c>
      <c r="S30" t="str">
        <f t="shared" si="37"/>
        <v xml:space="preserve">   118.0 </v>
      </c>
      <c r="T30" t="str">
        <f t="shared" si="38"/>
        <v xml:space="preserve">   118.0 </v>
      </c>
      <c r="U30" t="str">
        <f t="shared" si="42"/>
        <v xml:space="preserve">        1.6% </v>
      </c>
      <c r="V30" t="str">
        <f t="shared" si="23"/>
        <v xml:space="preserve">         </v>
      </c>
      <c r="W30" t="str">
        <f t="shared" si="39"/>
        <v xml:space="preserve">         </v>
      </c>
      <c r="X30" t="str">
        <f t="shared" si="43"/>
        <v xml:space="preserve">  1229 </v>
      </c>
      <c r="Y30" t="str">
        <f t="shared" si="43"/>
        <v xml:space="preserve"> PALMAR-RS138 </v>
      </c>
      <c r="Z30" t="str">
        <f t="shared" si="43"/>
        <v xml:space="preserve">  1 </v>
      </c>
      <c r="AA30" t="str">
        <f t="shared" si="26"/>
        <v xml:space="preserve">     0.8 </v>
      </c>
      <c r="AB30" t="str">
        <f t="shared" si="40"/>
        <v xml:space="preserve">    -1.0 </v>
      </c>
      <c r="AC30" t="str">
        <f t="shared" si="41"/>
        <v xml:space="preserve">     1.3 </v>
      </c>
      <c r="AD30" t="str">
        <f t="shared" si="42"/>
        <v xml:space="preserve">        </v>
      </c>
      <c r="AE30" t="str">
        <f t="shared" si="29"/>
        <v xml:space="preserve">       </v>
      </c>
      <c r="AF30" t="str">
        <f t="shared" si="44"/>
        <v xml:space="preserve">     </v>
      </c>
      <c r="AG30" t="str">
        <f t="shared" si="44"/>
        <v xml:space="preserve">     0.00 </v>
      </c>
      <c r="AH30" t="str">
        <f t="shared" si="30"/>
        <v xml:space="preserve">    -1.08 </v>
      </c>
      <c r="AI30" t="str">
        <f t="shared" si="34"/>
        <v xml:space="preserve">       </v>
      </c>
      <c r="AJ30" t="str">
        <f t="shared" si="35"/>
        <v xml:space="preserve">      </v>
      </c>
    </row>
    <row r="31" spans="1:36" x14ac:dyDescent="0.25">
      <c r="A31" t="s">
        <v>25</v>
      </c>
      <c r="P31" t="str">
        <f t="shared" si="36"/>
        <v xml:space="preserve">                </v>
      </c>
      <c r="Q31" t="str">
        <f t="shared" si="36"/>
        <v xml:space="preserve">         </v>
      </c>
      <c r="R31" t="str">
        <f t="shared" si="20"/>
        <v xml:space="preserve">    82.0 </v>
      </c>
      <c r="S31" t="str">
        <f t="shared" si="37"/>
        <v xml:space="preserve">   118.0 </v>
      </c>
      <c r="T31" t="str">
        <f t="shared" si="38"/>
        <v xml:space="preserve">   118.0 </v>
      </c>
      <c r="U31" t="str">
        <f t="shared" si="42"/>
        <v xml:space="preserve">        2.8% </v>
      </c>
      <c r="V31" t="str">
        <f t="shared" si="23"/>
        <v xml:space="preserve">         </v>
      </c>
      <c r="W31" t="str">
        <f t="shared" si="39"/>
        <v xml:space="preserve">         </v>
      </c>
      <c r="X31" t="str">
        <f t="shared" si="43"/>
        <v xml:space="preserve">  1358 </v>
      </c>
      <c r="Y31" t="str">
        <f t="shared" si="43"/>
        <v xml:space="preserve"> OSO-Y2-RS138 </v>
      </c>
      <c r="Z31" t="str">
        <f t="shared" si="43"/>
        <v xml:space="preserve">  1 </v>
      </c>
      <c r="AA31" t="str">
        <f t="shared" si="26"/>
        <v xml:space="preserve">     0.0 </v>
      </c>
      <c r="AB31" t="str">
        <f t="shared" si="40"/>
        <v xml:space="preserve">    -2.3 </v>
      </c>
      <c r="AC31" t="str">
        <f t="shared" si="41"/>
        <v xml:space="preserve">     2.3 </v>
      </c>
      <c r="AD31" t="str">
        <f t="shared" si="42"/>
        <v xml:space="preserve">        </v>
      </c>
      <c r="AE31" t="str">
        <f t="shared" si="29"/>
        <v xml:space="preserve">       </v>
      </c>
      <c r="AF31" t="str">
        <f t="shared" si="44"/>
        <v xml:space="preserve">     </v>
      </c>
      <c r="AG31" t="str">
        <f t="shared" si="44"/>
        <v xml:space="preserve">     0.00 </v>
      </c>
      <c r="AH31" t="str">
        <f t="shared" si="30"/>
        <v xml:space="preserve">    -2.30 </v>
      </c>
      <c r="AI31" t="str">
        <f t="shared" si="34"/>
        <v xml:space="preserve">       </v>
      </c>
      <c r="AJ31" t="str">
        <f t="shared" si="35"/>
        <v xml:space="preserve">      </v>
      </c>
    </row>
    <row r="32" spans="1:36" x14ac:dyDescent="0.25">
      <c r="A32" t="s">
        <v>26</v>
      </c>
      <c r="P32" t="str">
        <f t="shared" si="36"/>
        <v xml:space="preserve">                </v>
      </c>
      <c r="Q32" t="str">
        <f t="shared" si="36"/>
        <v xml:space="preserve">         </v>
      </c>
      <c r="R32" t="str">
        <f t="shared" si="20"/>
        <v xml:space="preserve">   100.0 </v>
      </c>
      <c r="S32" t="str">
        <f t="shared" si="37"/>
        <v xml:space="preserve">   120.0 </v>
      </c>
      <c r="T32" t="str">
        <f t="shared" si="38"/>
        <v xml:space="preserve">   120.0 </v>
      </c>
      <c r="U32" t="str">
        <f t="shared" si="42"/>
        <v xml:space="preserve">        1.7% </v>
      </c>
      <c r="V32" t="str">
        <f t="shared" si="23"/>
        <v xml:space="preserve">         </v>
      </c>
      <c r="W32" t="str">
        <f t="shared" si="39"/>
        <v xml:space="preserve">         </v>
      </c>
      <c r="X32" t="str">
        <f t="shared" si="43"/>
        <v xml:space="preserve"> 43830 </v>
      </c>
      <c r="Y32" t="str">
        <f t="shared" si="43"/>
        <v xml:space="preserve"> CAP--3-RS000 </v>
      </c>
      <c r="Z32" t="str">
        <f t="shared" si="43"/>
        <v xml:space="preserve">  1 </v>
      </c>
      <c r="AA32" t="str">
        <f t="shared" si="26"/>
        <v xml:space="preserve">    -0.4 </v>
      </c>
      <c r="AB32" t="str">
        <f t="shared" si="40"/>
        <v xml:space="preserve">     1.7 </v>
      </c>
      <c r="AC32" t="str">
        <f t="shared" si="41"/>
        <v xml:space="preserve">     1.7 </v>
      </c>
      <c r="AD32" t="str">
        <f t="shared" si="42"/>
        <v xml:space="preserve"> 1.000F </v>
      </c>
      <c r="AE32" t="str">
        <f t="shared" si="29"/>
        <v xml:space="preserve">       </v>
      </c>
      <c r="AF32" t="str">
        <f t="shared" si="44"/>
        <v xml:space="preserve"> 002 </v>
      </c>
      <c r="AG32" t="str">
        <f t="shared" si="44"/>
        <v xml:space="preserve">    -0.00 </v>
      </c>
      <c r="AH32" t="str">
        <f t="shared" si="30"/>
        <v xml:space="preserve">    -0.00 </v>
      </c>
      <c r="AI32" t="str">
        <f t="shared" si="34"/>
        <v xml:space="preserve">       </v>
      </c>
      <c r="AJ32" t="str">
        <f t="shared" si="35"/>
        <v xml:space="preserve">      </v>
      </c>
    </row>
    <row r="33" spans="1:36" x14ac:dyDescent="0.25">
      <c r="A33" t="s">
        <v>27</v>
      </c>
      <c r="P33" t="str">
        <f t="shared" si="36"/>
        <v xml:space="preserve">                </v>
      </c>
      <c r="Q33" t="str">
        <f t="shared" si="36"/>
        <v xml:space="preserve">         </v>
      </c>
      <c r="R33" t="str">
        <f t="shared" si="20"/>
        <v xml:space="preserve">   100.0 </v>
      </c>
      <c r="S33" t="str">
        <f t="shared" si="37"/>
        <v xml:space="preserve">   120.0 </v>
      </c>
      <c r="T33" t="str">
        <f t="shared" si="38"/>
        <v xml:space="preserve">   120.0 </v>
      </c>
      <c r="U33" t="str">
        <f t="shared" si="42"/>
        <v xml:space="preserve">        1.7% </v>
      </c>
      <c r="V33" t="str">
        <f t="shared" si="23"/>
        <v xml:space="preserve">         </v>
      </c>
      <c r="W33" t="str">
        <f t="shared" si="39"/>
        <v xml:space="preserve">         </v>
      </c>
      <c r="X33" t="str">
        <f t="shared" si="43"/>
        <v xml:space="preserve"> 43832 </v>
      </c>
      <c r="Y33" t="str">
        <f t="shared" si="43"/>
        <v xml:space="preserve"> CAP--4-RS000 </v>
      </c>
      <c r="Z33" t="str">
        <f t="shared" si="43"/>
        <v xml:space="preserve">  2 </v>
      </c>
      <c r="AA33" t="str">
        <f t="shared" si="26"/>
        <v xml:space="preserve">    -0.4 </v>
      </c>
      <c r="AB33" t="str">
        <f t="shared" si="40"/>
        <v xml:space="preserve">     1.7 </v>
      </c>
      <c r="AC33" t="str">
        <f t="shared" si="41"/>
        <v xml:space="preserve">     1.7 </v>
      </c>
      <c r="AD33" t="str">
        <f t="shared" si="42"/>
        <v xml:space="preserve"> 1.000F </v>
      </c>
      <c r="AE33" t="str">
        <f t="shared" si="29"/>
        <v xml:space="preserve">       </v>
      </c>
      <c r="AF33" t="str">
        <f t="shared" si="44"/>
        <v xml:space="preserve"> 002 </v>
      </c>
      <c r="AG33" t="str">
        <f t="shared" si="44"/>
        <v xml:space="preserve">    -0.00 </v>
      </c>
      <c r="AH33" t="str">
        <f t="shared" si="30"/>
        <v xml:space="preserve">    -0.00 </v>
      </c>
      <c r="AI33" t="str">
        <f t="shared" si="34"/>
        <v xml:space="preserve">       </v>
      </c>
      <c r="AJ33" t="str">
        <f t="shared" si="35"/>
        <v xml:space="preserve">      </v>
      </c>
    </row>
    <row r="34" spans="1:36" x14ac:dyDescent="0.25">
      <c r="A34" t="s">
        <v>14</v>
      </c>
      <c r="P34" t="str">
        <f t="shared" si="36"/>
        <v xml:space="preserve">  ..............</v>
      </c>
      <c r="Q34" t="str">
        <f t="shared" si="36"/>
        <v>.........</v>
      </c>
      <c r="R34" t="str">
        <f t="shared" si="20"/>
        <v>.........</v>
      </c>
      <c r="S34" t="str">
        <f t="shared" si="37"/>
        <v>.........</v>
      </c>
      <c r="T34" t="str">
        <f t="shared" si="38"/>
        <v>.........</v>
      </c>
      <c r="U34" t="str">
        <f t="shared" si="42"/>
        <v>.............</v>
      </c>
      <c r="V34" t="str">
        <f t="shared" si="23"/>
        <v>.........</v>
      </c>
      <c r="W34" t="str">
        <f t="shared" si="39"/>
        <v>.........</v>
      </c>
      <c r="X34" t="str">
        <f t="shared" si="43"/>
        <v>.......</v>
      </c>
      <c r="Y34" t="str">
        <f t="shared" si="43"/>
        <v>..............</v>
      </c>
      <c r="Z34" t="str">
        <f t="shared" si="43"/>
        <v>....</v>
      </c>
      <c r="AA34" t="str">
        <f t="shared" si="26"/>
        <v>.........</v>
      </c>
      <c r="AB34" t="str">
        <f t="shared" si="40"/>
        <v>.........</v>
      </c>
      <c r="AC34" t="str">
        <f t="shared" si="41"/>
        <v>.........</v>
      </c>
      <c r="AD34" t="str">
        <f t="shared" si="42"/>
        <v>........</v>
      </c>
      <c r="AE34" t="str">
        <f t="shared" si="29"/>
        <v>.......</v>
      </c>
      <c r="AF34" t="str">
        <f t="shared" si="44"/>
        <v>.....</v>
      </c>
      <c r="AG34" t="str">
        <f t="shared" si="44"/>
        <v>..........</v>
      </c>
      <c r="AH34" t="str">
        <f t="shared" si="30"/>
        <v>..........</v>
      </c>
      <c r="AI34" t="str">
        <f t="shared" si="34"/>
        <v>.......</v>
      </c>
      <c r="AJ34" t="str">
        <f t="shared" si="35"/>
        <v>.......</v>
      </c>
    </row>
    <row r="35" spans="1:36" x14ac:dyDescent="0.25">
      <c r="A35" t="s">
        <v>28</v>
      </c>
      <c r="P35" t="str">
        <f t="shared" si="36"/>
        <v xml:space="preserve">   1039   69  0 </v>
      </c>
      <c r="Q35" t="str">
        <f t="shared" si="36"/>
        <v xml:space="preserve">   1.007 </v>
      </c>
      <c r="R35" t="str">
        <f t="shared" si="20"/>
        <v xml:space="preserve">     0.0 </v>
      </c>
      <c r="S35" t="str">
        <f t="shared" si="37"/>
        <v xml:space="preserve">     0.0 </v>
      </c>
      <c r="T35" t="str">
        <f t="shared" si="38"/>
        <v xml:space="preserve">    10.1 </v>
      </c>
      <c r="U35" t="str">
        <f t="shared" si="42"/>
        <v xml:space="preserve">         0.0 </v>
      </c>
      <c r="V35" t="str">
        <f t="shared" si="23"/>
        <v xml:space="preserve">     1.8 </v>
      </c>
      <c r="W35" t="str">
        <f t="shared" si="39"/>
        <v xml:space="preserve">     0.0</v>
      </c>
      <c r="X35" t="str">
        <f t="shared" si="43"/>
        <v/>
      </c>
      <c r="Y35" t="str">
        <f t="shared" si="43"/>
        <v/>
      </c>
      <c r="Z35" t="str">
        <f t="shared" si="43"/>
        <v/>
      </c>
      <c r="AA35" t="str">
        <f t="shared" si="26"/>
        <v/>
      </c>
      <c r="AB35" t="str">
        <f t="shared" si="40"/>
        <v/>
      </c>
      <c r="AC35" t="str">
        <f t="shared" si="41"/>
        <v/>
      </c>
      <c r="AD35" t="str">
        <f t="shared" si="42"/>
        <v/>
      </c>
      <c r="AE35" t="str">
        <f t="shared" si="29"/>
        <v/>
      </c>
      <c r="AF35" t="str">
        <f t="shared" si="44"/>
        <v/>
      </c>
      <c r="AG35" t="str">
        <f t="shared" si="44"/>
        <v/>
      </c>
      <c r="AH35" t="str">
        <f t="shared" si="30"/>
        <v/>
      </c>
      <c r="AI35" t="str">
        <f t="shared" si="34"/>
        <v/>
      </c>
      <c r="AJ35" t="str">
        <f t="shared" si="35"/>
        <v/>
      </c>
    </row>
    <row r="36" spans="1:36" x14ac:dyDescent="0.25">
      <c r="A36" t="s">
        <v>29</v>
      </c>
      <c r="P36" t="str">
        <f t="shared" si="36"/>
        <v xml:space="preserve">  PFUND2-RS069  </v>
      </c>
      <c r="Q36" t="str">
        <f t="shared" si="36"/>
        <v xml:space="preserve">   -50.2 </v>
      </c>
      <c r="R36" t="str">
        <f t="shared" si="20"/>
        <v xml:space="preserve">     0.0 </v>
      </c>
      <c r="S36" t="str">
        <f t="shared" si="37"/>
        <v xml:space="preserve">     0.0 </v>
      </c>
      <c r="T36" t="str">
        <f t="shared" si="38"/>
        <v xml:space="preserve">     3.1 </v>
      </c>
      <c r="U36" t="str">
        <f t="shared" si="42"/>
        <v xml:space="preserve">         0.0 </v>
      </c>
      <c r="V36" t="str">
        <f t="shared" si="23"/>
        <v xml:space="preserve">     0.0 </v>
      </c>
      <c r="W36" t="str">
        <f t="shared" si="39"/>
        <v xml:space="preserve">     0.0 </v>
      </c>
      <c r="X36" t="str">
        <f t="shared" si="43"/>
        <v xml:space="preserve">       </v>
      </c>
      <c r="Y36" t="str">
        <f t="shared" si="43"/>
        <v xml:space="preserve">              </v>
      </c>
      <c r="Z36" t="str">
        <f t="shared" si="43"/>
        <v xml:space="preserve">    </v>
      </c>
      <c r="AA36" t="str">
        <f t="shared" si="26"/>
        <v xml:space="preserve">         </v>
      </c>
      <c r="AB36" t="str">
        <f t="shared" si="40"/>
        <v xml:space="preserve">         </v>
      </c>
      <c r="AC36" t="str">
        <f t="shared" si="41"/>
        <v xml:space="preserve">    </v>
      </c>
      <c r="AD36" t="str">
        <f t="shared" si="42"/>
        <v/>
      </c>
      <c r="AE36" t="str">
        <f t="shared" si="29"/>
        <v/>
      </c>
      <c r="AF36" t="str">
        <f t="shared" si="44"/>
        <v/>
      </c>
      <c r="AG36" t="str">
        <f t="shared" si="44"/>
        <v/>
      </c>
      <c r="AH36" t="str">
        <f t="shared" si="30"/>
        <v/>
      </c>
      <c r="AI36" t="str">
        <f t="shared" si="34"/>
        <v/>
      </c>
      <c r="AJ36" t="str">
        <f t="shared" si="35"/>
        <v/>
      </c>
    </row>
    <row r="37" spans="1:36" x14ac:dyDescent="0.25">
      <c r="A37" t="s">
        <v>30</v>
      </c>
      <c r="P37" t="str">
        <f t="shared" si="36"/>
        <v xml:space="preserve">                </v>
      </c>
      <c r="Q37" t="str">
        <f t="shared" si="36"/>
        <v xml:space="preserve">         </v>
      </c>
      <c r="R37" t="str">
        <f t="shared" si="20"/>
        <v xml:space="preserve">    30.0 </v>
      </c>
      <c r="S37" t="str">
        <f t="shared" si="37"/>
        <v xml:space="preserve">    36.0 </v>
      </c>
      <c r="T37" t="str">
        <f t="shared" si="38"/>
        <v xml:space="preserve">    36.0 </v>
      </c>
      <c r="U37" t="str">
        <f t="shared" si="42"/>
        <v xml:space="preserve">       33.7% </v>
      </c>
      <c r="V37" t="str">
        <f t="shared" si="23"/>
        <v xml:space="preserve">         </v>
      </c>
      <c r="W37" t="str">
        <f t="shared" si="39"/>
        <v xml:space="preserve">         </v>
      </c>
      <c r="X37" t="str">
        <f t="shared" si="43"/>
        <v xml:space="preserve">  1279 </v>
      </c>
      <c r="Y37" t="str">
        <f t="shared" si="43"/>
        <v xml:space="preserve"> SMARTA-RS069 </v>
      </c>
      <c r="Z37" t="str">
        <f t="shared" si="43"/>
        <v xml:space="preserve">  1 </v>
      </c>
      <c r="AA37" t="str">
        <f t="shared" si="26"/>
        <v xml:space="preserve">   -10.1 </v>
      </c>
      <c r="AB37" t="str">
        <f t="shared" si="40"/>
        <v xml:space="preserve">    -1.3 </v>
      </c>
      <c r="AC37" t="str">
        <f t="shared" si="41"/>
        <v xml:space="preserve">    10.1 </v>
      </c>
      <c r="AD37" t="str">
        <f t="shared" si="42"/>
        <v xml:space="preserve">        </v>
      </c>
      <c r="AE37" t="str">
        <f t="shared" si="29"/>
        <v xml:space="preserve">       </v>
      </c>
      <c r="AF37" t="str">
        <f t="shared" si="44"/>
        <v xml:space="preserve">     </v>
      </c>
      <c r="AG37" t="str">
        <f t="shared" si="44"/>
        <v xml:space="preserve">     0.04 </v>
      </c>
      <c r="AH37" t="str">
        <f t="shared" si="30"/>
        <v xml:space="preserve">    -0.11 </v>
      </c>
      <c r="AI37" t="str">
        <f t="shared" si="34"/>
        <v xml:space="preserve">       </v>
      </c>
      <c r="AJ37" t="str">
        <f t="shared" si="35"/>
        <v xml:space="preserve">      </v>
      </c>
    </row>
    <row r="38" spans="1:36" x14ac:dyDescent="0.25">
      <c r="A38" t="s">
        <v>14</v>
      </c>
      <c r="P38" t="str">
        <f t="shared" si="36"/>
        <v xml:space="preserve">  ..............</v>
      </c>
      <c r="Q38" t="str">
        <f t="shared" si="36"/>
        <v>.........</v>
      </c>
      <c r="R38" t="str">
        <f t="shared" si="20"/>
        <v>.........</v>
      </c>
      <c r="S38" t="str">
        <f t="shared" si="37"/>
        <v>.........</v>
      </c>
      <c r="T38" t="str">
        <f t="shared" si="38"/>
        <v>.........</v>
      </c>
      <c r="U38" t="str">
        <f t="shared" si="42"/>
        <v>.............</v>
      </c>
      <c r="V38" t="str">
        <f t="shared" si="23"/>
        <v>.........</v>
      </c>
      <c r="W38" t="str">
        <f t="shared" si="39"/>
        <v>.........</v>
      </c>
      <c r="X38" t="str">
        <f t="shared" si="43"/>
        <v>.......</v>
      </c>
      <c r="Y38" t="str">
        <f t="shared" si="43"/>
        <v>..............</v>
      </c>
      <c r="Z38" t="str">
        <f t="shared" si="43"/>
        <v>....</v>
      </c>
      <c r="AA38" t="str">
        <f t="shared" si="26"/>
        <v>.........</v>
      </c>
      <c r="AB38" t="str">
        <f t="shared" si="40"/>
        <v>.........</v>
      </c>
      <c r="AC38" t="str">
        <f t="shared" si="41"/>
        <v>.........</v>
      </c>
      <c r="AD38" t="str">
        <f t="shared" si="42"/>
        <v>........</v>
      </c>
      <c r="AE38" t="str">
        <f t="shared" si="29"/>
        <v>.......</v>
      </c>
      <c r="AF38" t="str">
        <f t="shared" si="44"/>
        <v>.....</v>
      </c>
      <c r="AG38" t="str">
        <f t="shared" si="44"/>
        <v>..........</v>
      </c>
      <c r="AH38" t="str">
        <f t="shared" si="30"/>
        <v>..........</v>
      </c>
      <c r="AI38" t="str">
        <f t="shared" si="34"/>
        <v>.......</v>
      </c>
      <c r="AJ38" t="str">
        <f t="shared" si="35"/>
        <v>.......</v>
      </c>
    </row>
    <row r="39" spans="1:36" x14ac:dyDescent="0.25">
      <c r="A39" t="s">
        <v>31</v>
      </c>
      <c r="P39" t="str">
        <f t="shared" si="36"/>
        <v xml:space="preserve">   1042  138  0 </v>
      </c>
      <c r="Q39" t="str">
        <f t="shared" si="36"/>
        <v xml:space="preserve">   1.040 </v>
      </c>
      <c r="R39" t="str">
        <f t="shared" si="20"/>
        <v xml:space="preserve">     0.0 </v>
      </c>
      <c r="S39" t="str">
        <f t="shared" si="37"/>
        <v xml:space="preserve">     0.0 </v>
      </c>
      <c r="T39" t="str">
        <f t="shared" si="38"/>
        <v xml:space="preserve">     0.0 </v>
      </c>
      <c r="U39" t="str">
        <f t="shared" si="42"/>
        <v xml:space="preserve">         0.0 </v>
      </c>
      <c r="V39" t="str">
        <f t="shared" si="23"/>
        <v xml:space="preserve">     0.0 </v>
      </c>
      <c r="W39" t="str">
        <f t="shared" si="39"/>
        <v xml:space="preserve">     0.0</v>
      </c>
      <c r="X39" t="str">
        <f t="shared" si="43"/>
        <v/>
      </c>
      <c r="Y39" t="str">
        <f t="shared" si="43"/>
        <v/>
      </c>
      <c r="Z39" t="str">
        <f t="shared" si="43"/>
        <v/>
      </c>
      <c r="AA39" t="str">
        <f t="shared" si="26"/>
        <v/>
      </c>
      <c r="AB39" t="str">
        <f t="shared" si="40"/>
        <v/>
      </c>
      <c r="AC39" t="str">
        <f t="shared" si="41"/>
        <v/>
      </c>
      <c r="AD39" t="str">
        <f t="shared" si="42"/>
        <v/>
      </c>
      <c r="AE39" t="str">
        <f t="shared" si="29"/>
        <v/>
      </c>
      <c r="AF39" t="str">
        <f t="shared" si="44"/>
        <v/>
      </c>
      <c r="AG39" t="str">
        <f t="shared" si="44"/>
        <v/>
      </c>
      <c r="AH39" t="str">
        <f t="shared" si="30"/>
        <v/>
      </c>
      <c r="AI39" t="str">
        <f t="shared" si="34"/>
        <v/>
      </c>
      <c r="AJ39" t="str">
        <f t="shared" si="35"/>
        <v/>
      </c>
    </row>
    <row r="40" spans="1:36" x14ac:dyDescent="0.25">
      <c r="A40" t="s">
        <v>32</v>
      </c>
      <c r="P40" t="str">
        <f t="shared" si="36"/>
        <v xml:space="preserve">  PFUNDO-RS138  </v>
      </c>
      <c r="Q40" t="str">
        <f t="shared" si="36"/>
        <v xml:space="preserve">   -43.6 </v>
      </c>
      <c r="R40" t="str">
        <f t="shared" si="20"/>
        <v xml:space="preserve">     0.0 </v>
      </c>
      <c r="S40" t="str">
        <f t="shared" si="37"/>
        <v xml:space="preserve">     0.0 </v>
      </c>
      <c r="T40" t="str">
        <f t="shared" si="38"/>
        <v xml:space="preserve">     0.0 </v>
      </c>
      <c r="U40" t="str">
        <f t="shared" si="42"/>
        <v xml:space="preserve">         0.0 </v>
      </c>
      <c r="V40" t="str">
        <f t="shared" si="23"/>
        <v xml:space="preserve">     0.0 </v>
      </c>
      <c r="W40" t="str">
        <f t="shared" si="39"/>
        <v xml:space="preserve">     0.0 </v>
      </c>
      <c r="X40" t="str">
        <f t="shared" si="43"/>
        <v xml:space="preserve">       </v>
      </c>
      <c r="Y40" t="str">
        <f t="shared" si="43"/>
        <v xml:space="preserve">              </v>
      </c>
      <c r="Z40" t="str">
        <f t="shared" si="43"/>
        <v xml:space="preserve">    </v>
      </c>
      <c r="AA40" t="str">
        <f t="shared" si="26"/>
        <v xml:space="preserve">         </v>
      </c>
      <c r="AB40" t="str">
        <f t="shared" si="40"/>
        <v xml:space="preserve">         </v>
      </c>
      <c r="AC40" t="str">
        <f t="shared" si="41"/>
        <v xml:space="preserve">    </v>
      </c>
      <c r="AD40" t="str">
        <f t="shared" si="42"/>
        <v/>
      </c>
      <c r="AE40" t="str">
        <f t="shared" si="29"/>
        <v/>
      </c>
      <c r="AF40" t="str">
        <f t="shared" si="44"/>
        <v/>
      </c>
      <c r="AG40" t="str">
        <f t="shared" si="44"/>
        <v/>
      </c>
      <c r="AH40" t="str">
        <f t="shared" si="30"/>
        <v/>
      </c>
      <c r="AI40" t="str">
        <f t="shared" si="34"/>
        <v/>
      </c>
      <c r="AJ40" t="str">
        <f t="shared" si="35"/>
        <v/>
      </c>
    </row>
    <row r="41" spans="1:36" x14ac:dyDescent="0.25">
      <c r="A41" t="s">
        <v>33</v>
      </c>
      <c r="P41" t="str">
        <f t="shared" si="36"/>
        <v xml:space="preserve">                </v>
      </c>
      <c r="Q41" t="str">
        <f t="shared" si="36"/>
        <v xml:space="preserve">         </v>
      </c>
      <c r="R41" t="str">
        <f t="shared" si="20"/>
        <v xml:space="preserve">    81.0 </v>
      </c>
      <c r="S41" t="str">
        <f t="shared" si="37"/>
        <v xml:space="preserve">    81.0 </v>
      </c>
      <c r="T41" t="str">
        <f t="shared" si="38"/>
        <v xml:space="preserve">    81.0 </v>
      </c>
      <c r="U41" t="str">
        <f t="shared" si="42"/>
        <v xml:space="preserve">       39.1% </v>
      </c>
      <c r="V41" t="str">
        <f t="shared" si="23"/>
        <v xml:space="preserve">         </v>
      </c>
      <c r="W41" t="str">
        <f t="shared" si="39"/>
        <v xml:space="preserve">         </v>
      </c>
      <c r="X41" t="str">
        <f t="shared" si="43"/>
        <v xml:space="preserve">   932 </v>
      </c>
      <c r="Y41" t="str">
        <f t="shared" si="43"/>
        <v xml:space="preserve"> ALZANT-RS138 </v>
      </c>
      <c r="Z41" t="str">
        <f t="shared" si="43"/>
        <v xml:space="preserve">  1 </v>
      </c>
      <c r="AA41" t="str">
        <f t="shared" si="26"/>
        <v xml:space="preserve">   -32.9 </v>
      </c>
      <c r="AB41" t="str">
        <f t="shared" si="40"/>
        <v xml:space="preserve">     1.5 </v>
      </c>
      <c r="AC41" t="str">
        <f t="shared" si="41"/>
        <v xml:space="preserve">    31.6 </v>
      </c>
      <c r="AD41" t="str">
        <f t="shared" si="42"/>
        <v xml:space="preserve">        </v>
      </c>
      <c r="AE41" t="str">
        <f t="shared" si="29"/>
        <v xml:space="preserve">       </v>
      </c>
      <c r="AF41" t="str">
        <f t="shared" si="44"/>
        <v xml:space="preserve">     </v>
      </c>
      <c r="AG41" t="str">
        <f t="shared" si="44"/>
        <v xml:space="preserve">     0.12 </v>
      </c>
      <c r="AH41" t="str">
        <f t="shared" si="30"/>
        <v xml:space="preserve">    -0.81 </v>
      </c>
      <c r="AI41" t="str">
        <f t="shared" si="34"/>
        <v xml:space="preserve">       </v>
      </c>
      <c r="AJ41" t="str">
        <f t="shared" si="35"/>
        <v xml:space="preserve">      </v>
      </c>
    </row>
    <row r="42" spans="1:36" x14ac:dyDescent="0.25">
      <c r="A42" t="s">
        <v>34</v>
      </c>
      <c r="P42" t="str">
        <f t="shared" si="36"/>
        <v xml:space="preserve">                </v>
      </c>
      <c r="Q42" t="str">
        <f t="shared" si="36"/>
        <v xml:space="preserve">         </v>
      </c>
      <c r="R42" t="str">
        <f t="shared" si="20"/>
        <v xml:space="preserve">   167.0 </v>
      </c>
      <c r="S42" t="str">
        <f t="shared" si="37"/>
        <v xml:space="preserve">   167.0 </v>
      </c>
      <c r="T42" t="str">
        <f t="shared" si="38"/>
        <v xml:space="preserve">   167.0 </v>
      </c>
      <c r="U42" t="str">
        <f t="shared" si="42"/>
        <v xml:space="preserve">       38.5% </v>
      </c>
      <c r="V42" t="str">
        <f t="shared" si="23"/>
        <v xml:space="preserve">         </v>
      </c>
      <c r="W42" t="str">
        <f t="shared" si="39"/>
        <v xml:space="preserve">         </v>
      </c>
      <c r="X42" t="str">
        <f t="shared" si="43"/>
        <v xml:space="preserve">  2069 </v>
      </c>
      <c r="Y42" t="str">
        <f t="shared" si="43"/>
        <v xml:space="preserve"> EREXIM-RS138 </v>
      </c>
      <c r="Z42" t="str">
        <f t="shared" si="43"/>
        <v xml:space="preserve">  1 </v>
      </c>
      <c r="AA42" t="str">
        <f t="shared" si="26"/>
        <v xml:space="preserve">    66.7 </v>
      </c>
      <c r="AB42" t="str">
        <f t="shared" si="40"/>
        <v xml:space="preserve">    -3.8 </v>
      </c>
      <c r="AC42" t="str">
        <f t="shared" si="41"/>
        <v xml:space="preserve">    64.2 </v>
      </c>
      <c r="AD42" t="str">
        <f t="shared" si="42"/>
        <v xml:space="preserve">        </v>
      </c>
      <c r="AE42" t="str">
        <f t="shared" si="29"/>
        <v xml:space="preserve">       </v>
      </c>
      <c r="AF42" t="str">
        <f t="shared" si="44"/>
        <v xml:space="preserve">     </v>
      </c>
      <c r="AG42" t="str">
        <f t="shared" si="44"/>
        <v xml:space="preserve">     2.10 </v>
      </c>
      <c r="AH42" t="str">
        <f t="shared" si="30"/>
        <v xml:space="preserve">     2.05 </v>
      </c>
      <c r="AI42" t="str">
        <f t="shared" si="34"/>
        <v xml:space="preserve">       </v>
      </c>
      <c r="AJ42" t="str">
        <f t="shared" si="35"/>
        <v xml:space="preserve">      </v>
      </c>
    </row>
    <row r="43" spans="1:36" x14ac:dyDescent="0.25">
      <c r="A43" t="s">
        <v>35</v>
      </c>
      <c r="P43" t="str">
        <f t="shared" si="36"/>
        <v xml:space="preserve">                </v>
      </c>
      <c r="Q43" t="str">
        <f t="shared" si="36"/>
        <v xml:space="preserve">         </v>
      </c>
      <c r="R43" t="str">
        <f t="shared" si="20"/>
        <v xml:space="preserve">    25.0 </v>
      </c>
      <c r="S43" t="str">
        <f t="shared" si="37"/>
        <v xml:space="preserve">    25.0 </v>
      </c>
      <c r="T43" t="str">
        <f t="shared" si="38"/>
        <v xml:space="preserve">    25.0 </v>
      </c>
      <c r="U43" t="str">
        <f t="shared" si="42"/>
        <v xml:space="preserve">       65.4% </v>
      </c>
      <c r="V43" t="str">
        <f t="shared" si="23"/>
        <v xml:space="preserve">         </v>
      </c>
      <c r="W43" t="str">
        <f t="shared" si="39"/>
        <v xml:space="preserve">         </v>
      </c>
      <c r="X43" t="str">
        <f t="shared" si="43"/>
        <v xml:space="preserve">  2095 </v>
      </c>
      <c r="Y43" t="str">
        <f t="shared" si="43"/>
        <v xml:space="preserve"> PFUNDO-RS023 </v>
      </c>
      <c r="Z43" t="str">
        <f t="shared" si="43"/>
        <v xml:space="preserve">  4 </v>
      </c>
      <c r="AA43" t="str">
        <f t="shared" si="26"/>
        <v xml:space="preserve">    12.6 </v>
      </c>
      <c r="AB43" t="str">
        <f t="shared" si="40"/>
        <v xml:space="preserve">    11.4 </v>
      </c>
      <c r="AC43" t="str">
        <f t="shared" si="41"/>
        <v xml:space="preserve">    16.4 </v>
      </c>
      <c r="AD43" t="str">
        <f t="shared" si="42"/>
        <v xml:space="preserve"> 0.942* </v>
      </c>
      <c r="AE43" t="str">
        <f t="shared" si="29"/>
        <v xml:space="preserve">       </v>
      </c>
      <c r="AF43" t="str">
        <f t="shared" si="44"/>
        <v xml:space="preserve">     </v>
      </c>
      <c r="AG43" t="str">
        <f t="shared" si="44"/>
        <v xml:space="preserve">     0.00 </v>
      </c>
      <c r="AH43" t="str">
        <f t="shared" si="30"/>
        <v xml:space="preserve">     0.83 </v>
      </c>
      <c r="AI43" t="str">
        <f t="shared" si="34"/>
        <v xml:space="preserve">       </v>
      </c>
      <c r="AJ43" t="str">
        <f t="shared" si="35"/>
        <v xml:space="preserve">      </v>
      </c>
    </row>
    <row r="44" spans="1:36" x14ac:dyDescent="0.25">
      <c r="A44" t="s">
        <v>36</v>
      </c>
      <c r="P44" t="str">
        <f t="shared" si="36"/>
        <v xml:space="preserve">                </v>
      </c>
      <c r="Q44" t="str">
        <f t="shared" si="36"/>
        <v xml:space="preserve">         </v>
      </c>
      <c r="R44" t="str">
        <f t="shared" si="20"/>
        <v xml:space="preserve">    84.0 </v>
      </c>
      <c r="S44" t="str">
        <f t="shared" si="37"/>
        <v xml:space="preserve">    91.0 </v>
      </c>
      <c r="T44" t="str">
        <f t="shared" si="38"/>
        <v xml:space="preserve">    91.0 </v>
      </c>
      <c r="U44" t="str">
        <f t="shared" si="42"/>
        <v xml:space="preserve">       26.4% </v>
      </c>
      <c r="V44" t="str">
        <f t="shared" si="23"/>
        <v xml:space="preserve">         </v>
      </c>
      <c r="W44" t="str">
        <f t="shared" si="39"/>
        <v xml:space="preserve">         </v>
      </c>
      <c r="X44" t="str">
        <f t="shared" si="43"/>
        <v xml:space="preserve"> 41332 </v>
      </c>
      <c r="Y44" t="str">
        <f t="shared" si="43"/>
        <v xml:space="preserve"> PFU--3-RS000 </v>
      </c>
      <c r="Z44" t="str">
        <f t="shared" si="43"/>
        <v xml:space="preserve">  3 </v>
      </c>
      <c r="AA44" t="str">
        <f t="shared" si="26"/>
        <v xml:space="preserve">   -22.8 </v>
      </c>
      <c r="AB44" t="str">
        <f t="shared" si="40"/>
        <v xml:space="preserve">    -3.9 </v>
      </c>
      <c r="AC44" t="str">
        <f t="shared" si="41"/>
        <v xml:space="preserve">    22.2 </v>
      </c>
      <c r="AD44" t="str">
        <f t="shared" si="42"/>
        <v xml:space="preserve"> 1.019* </v>
      </c>
      <c r="AE44" t="str">
        <f t="shared" si="29"/>
        <v xml:space="preserve">       </v>
      </c>
      <c r="AF44" t="str">
        <f t="shared" si="44"/>
        <v xml:space="preserve"> 002 </v>
      </c>
      <c r="AG44" t="str">
        <f t="shared" si="44"/>
        <v xml:space="preserve">     0.03 </v>
      </c>
      <c r="AH44" t="str">
        <f t="shared" si="30"/>
        <v xml:space="preserve">    -0.03 </v>
      </c>
      <c r="AI44" t="str">
        <f t="shared" si="34"/>
        <v xml:space="preserve">       </v>
      </c>
      <c r="AJ44" t="str">
        <f t="shared" si="35"/>
        <v xml:space="preserve">      </v>
      </c>
    </row>
    <row r="45" spans="1:36" x14ac:dyDescent="0.25">
      <c r="A45" t="s">
        <v>37</v>
      </c>
      <c r="P45" t="str">
        <f t="shared" si="36"/>
        <v xml:space="preserve">                </v>
      </c>
      <c r="Q45" t="str">
        <f t="shared" si="36"/>
        <v xml:space="preserve">         </v>
      </c>
      <c r="R45" t="str">
        <f t="shared" si="20"/>
        <v xml:space="preserve">    84.0 </v>
      </c>
      <c r="S45" t="str">
        <f t="shared" si="37"/>
        <v xml:space="preserve">    91.0 </v>
      </c>
      <c r="T45" t="str">
        <f t="shared" si="38"/>
        <v xml:space="preserve">    91.0 </v>
      </c>
      <c r="U45" t="str">
        <f t="shared" si="42"/>
        <v xml:space="preserve">       27.7% </v>
      </c>
      <c r="V45" t="str">
        <f t="shared" si="23"/>
        <v xml:space="preserve">         </v>
      </c>
      <c r="W45" t="str">
        <f t="shared" si="39"/>
        <v xml:space="preserve">         </v>
      </c>
      <c r="X45" t="str">
        <f t="shared" si="43"/>
        <v xml:space="preserve"> 41333 </v>
      </c>
      <c r="Y45" t="str">
        <f t="shared" si="43"/>
        <v xml:space="preserve"> PFU--5-RS000 </v>
      </c>
      <c r="Z45" t="str">
        <f t="shared" si="43"/>
        <v xml:space="preserve">  5 </v>
      </c>
      <c r="AA45" t="str">
        <f t="shared" si="26"/>
        <v xml:space="preserve">   -23.7 </v>
      </c>
      <c r="AB45" t="str">
        <f t="shared" si="40"/>
        <v xml:space="preserve">    -5.2 </v>
      </c>
      <c r="AC45" t="str">
        <f t="shared" si="41"/>
        <v xml:space="preserve">    23.3 </v>
      </c>
      <c r="AD45" t="str">
        <f t="shared" si="42"/>
        <v xml:space="preserve"> 1.019* </v>
      </c>
      <c r="AE45" t="str">
        <f t="shared" si="29"/>
        <v xml:space="preserve">       </v>
      </c>
      <c r="AF45" t="str">
        <f t="shared" si="44"/>
        <v xml:space="preserve"> 002 </v>
      </c>
      <c r="AG45" t="str">
        <f t="shared" si="44"/>
        <v xml:space="preserve">     0.02 </v>
      </c>
      <c r="AH45" t="str">
        <f t="shared" si="30"/>
        <v xml:space="preserve">    -0.01 </v>
      </c>
      <c r="AI45" t="str">
        <f t="shared" si="34"/>
        <v xml:space="preserve">       </v>
      </c>
      <c r="AJ45" t="str">
        <f t="shared" si="35"/>
        <v xml:space="preserve">      </v>
      </c>
    </row>
    <row r="46" spans="1:36" x14ac:dyDescent="0.25">
      <c r="A46" t="s">
        <v>14</v>
      </c>
      <c r="P46" t="str">
        <f t="shared" si="36"/>
        <v xml:space="preserve">  ..............</v>
      </c>
      <c r="Q46" t="str">
        <f t="shared" si="36"/>
        <v>.........</v>
      </c>
      <c r="R46" t="str">
        <f t="shared" si="20"/>
        <v>.........</v>
      </c>
      <c r="S46" t="str">
        <f t="shared" si="37"/>
        <v>.........</v>
      </c>
      <c r="T46" t="str">
        <f t="shared" si="38"/>
        <v>.........</v>
      </c>
      <c r="U46" t="str">
        <f t="shared" si="42"/>
        <v>.............</v>
      </c>
      <c r="V46" t="str">
        <f t="shared" si="23"/>
        <v>.........</v>
      </c>
      <c r="W46" t="str">
        <f t="shared" si="39"/>
        <v>.........</v>
      </c>
      <c r="X46" t="str">
        <f t="shared" si="43"/>
        <v>.......</v>
      </c>
      <c r="Y46" t="str">
        <f t="shared" si="43"/>
        <v>..............</v>
      </c>
      <c r="Z46" t="str">
        <f t="shared" si="43"/>
        <v>....</v>
      </c>
      <c r="AA46" t="str">
        <f t="shared" si="26"/>
        <v>.........</v>
      </c>
      <c r="AB46" t="str">
        <f t="shared" si="40"/>
        <v>.........</v>
      </c>
      <c r="AC46" t="str">
        <f t="shared" si="41"/>
        <v>.........</v>
      </c>
      <c r="AD46" t="str">
        <f t="shared" si="42"/>
        <v>........</v>
      </c>
      <c r="AE46" t="str">
        <f t="shared" si="29"/>
        <v>.......</v>
      </c>
      <c r="AF46" t="str">
        <f t="shared" si="44"/>
        <v>.....</v>
      </c>
      <c r="AG46" t="str">
        <f t="shared" si="44"/>
        <v>..........</v>
      </c>
      <c r="AH46" t="str">
        <f t="shared" si="30"/>
        <v>..........</v>
      </c>
      <c r="AI46" t="str">
        <f t="shared" si="34"/>
        <v>.......</v>
      </c>
      <c r="AJ46" t="str">
        <f t="shared" si="35"/>
        <v>.......</v>
      </c>
    </row>
    <row r="47" spans="1:36" x14ac:dyDescent="0.25">
      <c r="A47" t="s">
        <v>38</v>
      </c>
      <c r="P47" t="str">
        <f t="shared" si="36"/>
        <v xml:space="preserve">   1162  992  1 </v>
      </c>
      <c r="Q47" t="str">
        <f t="shared" si="36"/>
        <v xml:space="preserve">   0.966 </v>
      </c>
      <c r="R47" t="str">
        <f t="shared" si="20"/>
        <v xml:space="preserve">    81.0 </v>
      </c>
      <c r="S47" t="str">
        <f t="shared" si="37"/>
        <v xml:space="preserve">     0.0 </v>
      </c>
      <c r="T47" t="str">
        <f t="shared" si="38"/>
        <v xml:space="preserve">     0.0 </v>
      </c>
      <c r="U47" t="str">
        <f t="shared" si="42"/>
        <v xml:space="preserve">         0.0 </v>
      </c>
      <c r="V47" t="str">
        <f t="shared" si="23"/>
        <v xml:space="preserve">     0.0 </v>
      </c>
      <c r="W47" t="str">
        <f t="shared" si="39"/>
        <v xml:space="preserve">     0.0</v>
      </c>
      <c r="X47" t="str">
        <f t="shared" si="43"/>
        <v/>
      </c>
      <c r="Y47" t="str">
        <f t="shared" si="43"/>
        <v/>
      </c>
      <c r="Z47" t="str">
        <f t="shared" si="43"/>
        <v/>
      </c>
      <c r="AA47" t="str">
        <f t="shared" si="26"/>
        <v/>
      </c>
      <c r="AB47" t="str">
        <f t="shared" si="40"/>
        <v/>
      </c>
      <c r="AC47" t="str">
        <f t="shared" si="41"/>
        <v/>
      </c>
      <c r="AD47" t="str">
        <f t="shared" si="42"/>
        <v/>
      </c>
      <c r="AE47" t="str">
        <f t="shared" si="29"/>
        <v/>
      </c>
      <c r="AF47" t="str">
        <f t="shared" si="44"/>
        <v/>
      </c>
      <c r="AG47" t="str">
        <f t="shared" si="44"/>
        <v/>
      </c>
      <c r="AH47" t="str">
        <f t="shared" si="30"/>
        <v/>
      </c>
      <c r="AI47" t="str">
        <f t="shared" si="34"/>
        <v/>
      </c>
      <c r="AJ47" t="str">
        <f t="shared" si="35"/>
        <v/>
      </c>
    </row>
    <row r="48" spans="1:36" x14ac:dyDescent="0.25">
      <c r="A48" t="s">
        <v>39</v>
      </c>
      <c r="P48" t="str">
        <f t="shared" si="36"/>
        <v xml:space="preserve">  JACUI-UHE003  </v>
      </c>
      <c r="Q48" t="str">
        <f t="shared" si="36"/>
        <v xml:space="preserve">   -38.5 </v>
      </c>
      <c r="R48" t="str">
        <f t="shared" si="20"/>
        <v xml:space="preserve">    13.7 </v>
      </c>
      <c r="S48" t="str">
        <f t="shared" si="37"/>
        <v xml:space="preserve">     0.0 </v>
      </c>
      <c r="T48" t="str">
        <f t="shared" si="38"/>
        <v xml:space="preserve">     0.0 </v>
      </c>
      <c r="U48" t="str">
        <f t="shared" si="42"/>
        <v xml:space="preserve">         0.0 </v>
      </c>
      <c r="V48" t="str">
        <f t="shared" si="23"/>
        <v xml:space="preserve">     0.0 </v>
      </c>
      <c r="W48" t="str">
        <f t="shared" si="39"/>
        <v xml:space="preserve">     0.0 </v>
      </c>
      <c r="X48" t="str">
        <f t="shared" si="43"/>
        <v xml:space="preserve">       </v>
      </c>
      <c r="Y48" t="str">
        <f t="shared" si="43"/>
        <v xml:space="preserve">              </v>
      </c>
      <c r="Z48" t="str">
        <f t="shared" si="43"/>
        <v xml:space="preserve">    </v>
      </c>
      <c r="AA48" t="str">
        <f t="shared" si="26"/>
        <v xml:space="preserve">         </v>
      </c>
      <c r="AB48" t="str">
        <f t="shared" si="40"/>
        <v xml:space="preserve">         </v>
      </c>
      <c r="AC48" t="str">
        <f t="shared" si="41"/>
        <v xml:space="preserve">    </v>
      </c>
      <c r="AD48" t="str">
        <f t="shared" si="42"/>
        <v/>
      </c>
      <c r="AE48" t="str">
        <f t="shared" si="29"/>
        <v/>
      </c>
      <c r="AF48" t="str">
        <f t="shared" si="44"/>
        <v/>
      </c>
      <c r="AG48" t="str">
        <f t="shared" si="44"/>
        <v/>
      </c>
      <c r="AH48" t="str">
        <f t="shared" si="30"/>
        <v/>
      </c>
      <c r="AI48" t="str">
        <f t="shared" si="34"/>
        <v/>
      </c>
      <c r="AJ48" t="str">
        <f t="shared" si="35"/>
        <v/>
      </c>
    </row>
    <row r="49" spans="1:36" x14ac:dyDescent="0.25">
      <c r="A49" t="s">
        <v>40</v>
      </c>
      <c r="P49" t="str">
        <f t="shared" si="36"/>
        <v xml:space="preserve">                </v>
      </c>
      <c r="Q49" t="str">
        <f t="shared" si="36"/>
        <v xml:space="preserve">         </v>
      </c>
      <c r="R49" t="str">
        <f t="shared" si="20"/>
        <v xml:space="preserve">   198.0 </v>
      </c>
      <c r="S49" t="str">
        <f t="shared" si="37"/>
        <v xml:space="preserve">   198.0 </v>
      </c>
      <c r="T49" t="str">
        <f t="shared" si="38"/>
        <v xml:space="preserve">   198.0 </v>
      </c>
      <c r="U49" t="str">
        <f t="shared" si="42"/>
        <v xml:space="preserve">       43.0% </v>
      </c>
      <c r="V49" t="str">
        <f t="shared" si="23"/>
        <v xml:space="preserve">         </v>
      </c>
      <c r="W49" t="str">
        <f t="shared" si="39"/>
        <v xml:space="preserve">         </v>
      </c>
      <c r="X49" t="str">
        <f t="shared" si="43"/>
        <v xml:space="preserve">  1216 </v>
      </c>
      <c r="Y49" t="str">
        <f t="shared" si="43"/>
        <v xml:space="preserve"> JACUI--RS138 </v>
      </c>
      <c r="Z49" t="str">
        <f t="shared" si="43"/>
        <v xml:space="preserve">  1 </v>
      </c>
      <c r="AA49" t="str">
        <f t="shared" si="26"/>
        <v xml:space="preserve">    81.0 </v>
      </c>
      <c r="AB49" t="str">
        <f t="shared" si="40"/>
        <v xml:space="preserve">    13.7 </v>
      </c>
      <c r="AC49" t="str">
        <f t="shared" si="41"/>
        <v xml:space="preserve">    85.1 </v>
      </c>
      <c r="AD49" t="str">
        <f t="shared" si="42"/>
        <v xml:space="preserve">        </v>
      </c>
      <c r="AE49" t="str">
        <f t="shared" si="29"/>
        <v xml:space="preserve">       </v>
      </c>
      <c r="AF49" t="str">
        <f t="shared" si="44"/>
        <v xml:space="preserve">     </v>
      </c>
      <c r="AG49" t="str">
        <f t="shared" si="44"/>
        <v xml:space="preserve">     0.00 </v>
      </c>
      <c r="AH49" t="str">
        <f t="shared" si="30"/>
        <v xml:space="preserve">    12.20 </v>
      </c>
      <c r="AI49" t="str">
        <f t="shared" si="34"/>
        <v xml:space="preserve">       </v>
      </c>
      <c r="AJ49" t="str">
        <f t="shared" si="35"/>
        <v xml:space="preserve">      </v>
      </c>
    </row>
    <row r="50" spans="1:36" x14ac:dyDescent="0.25">
      <c r="A50" t="s">
        <v>14</v>
      </c>
      <c r="P50" t="str">
        <f t="shared" si="36"/>
        <v xml:space="preserve">  ..............</v>
      </c>
      <c r="Q50" t="str">
        <f t="shared" si="36"/>
        <v>.........</v>
      </c>
      <c r="R50" t="str">
        <f t="shared" si="20"/>
        <v>.........</v>
      </c>
      <c r="S50" t="str">
        <f t="shared" si="37"/>
        <v>.........</v>
      </c>
      <c r="T50" t="str">
        <f t="shared" si="38"/>
        <v>.........</v>
      </c>
      <c r="U50" t="str">
        <f t="shared" si="42"/>
        <v>.............</v>
      </c>
      <c r="V50" t="str">
        <f t="shared" si="23"/>
        <v>.........</v>
      </c>
      <c r="W50" t="str">
        <f t="shared" si="39"/>
        <v>.........</v>
      </c>
      <c r="X50" t="str">
        <f t="shared" si="43"/>
        <v>.......</v>
      </c>
      <c r="Y50" t="str">
        <f t="shared" si="43"/>
        <v>..............</v>
      </c>
      <c r="Z50" t="str">
        <f t="shared" si="43"/>
        <v>....</v>
      </c>
      <c r="AA50" t="str">
        <f t="shared" si="26"/>
        <v>.........</v>
      </c>
      <c r="AB50" t="str">
        <f t="shared" si="40"/>
        <v>.........</v>
      </c>
      <c r="AC50" t="str">
        <f t="shared" si="41"/>
        <v>.........</v>
      </c>
      <c r="AD50" t="str">
        <f t="shared" si="42"/>
        <v>........</v>
      </c>
      <c r="AE50" t="str">
        <f t="shared" si="29"/>
        <v>.......</v>
      </c>
      <c r="AF50" t="str">
        <f t="shared" si="44"/>
        <v>.....</v>
      </c>
      <c r="AG50" t="str">
        <f t="shared" si="44"/>
        <v>..........</v>
      </c>
      <c r="AH50" t="str">
        <f t="shared" si="30"/>
        <v>..........</v>
      </c>
      <c r="AI50" t="str">
        <f t="shared" si="34"/>
        <v>.......</v>
      </c>
      <c r="AJ50" t="str">
        <f t="shared" si="35"/>
        <v>.......</v>
      </c>
    </row>
    <row r="51" spans="1:36" x14ac:dyDescent="0.25">
      <c r="A51" t="s">
        <v>41</v>
      </c>
      <c r="P51" t="str">
        <f t="shared" si="36"/>
        <v xml:space="preserve">   1182   69  0 </v>
      </c>
      <c r="Q51" t="str">
        <f t="shared" si="36"/>
        <v xml:space="preserve">   1.017 </v>
      </c>
      <c r="R51" t="str">
        <f t="shared" si="20"/>
        <v xml:space="preserve">     3.2 </v>
      </c>
      <c r="S51" t="str">
        <f t="shared" si="37"/>
        <v xml:space="preserve">     0.0 </v>
      </c>
      <c r="T51" t="str">
        <f t="shared" si="38"/>
        <v xml:space="preserve">    27.2 </v>
      </c>
      <c r="U51" t="str">
        <f t="shared" si="42"/>
        <v xml:space="preserve">         0.0 </v>
      </c>
      <c r="V51" t="str">
        <f t="shared" si="23"/>
        <v xml:space="preserve">     3.7 </v>
      </c>
      <c r="W51" t="str">
        <f t="shared" si="39"/>
        <v xml:space="preserve">     0.0</v>
      </c>
      <c r="X51" t="str">
        <f t="shared" si="43"/>
        <v/>
      </c>
      <c r="Y51" t="str">
        <f t="shared" si="43"/>
        <v/>
      </c>
      <c r="Z51" t="str">
        <f t="shared" si="43"/>
        <v/>
      </c>
      <c r="AA51" t="str">
        <f t="shared" si="26"/>
        <v/>
      </c>
      <c r="AB51" t="str">
        <f t="shared" si="40"/>
        <v/>
      </c>
      <c r="AC51" t="str">
        <f t="shared" si="41"/>
        <v/>
      </c>
      <c r="AD51" t="str">
        <f t="shared" si="42"/>
        <v/>
      </c>
      <c r="AE51" t="str">
        <f t="shared" si="29"/>
        <v/>
      </c>
      <c r="AF51" t="str">
        <f t="shared" si="44"/>
        <v/>
      </c>
      <c r="AG51" t="str">
        <f t="shared" si="44"/>
        <v/>
      </c>
      <c r="AH51" t="str">
        <f t="shared" si="30"/>
        <v/>
      </c>
      <c r="AI51" t="str">
        <f t="shared" si="34"/>
        <v/>
      </c>
      <c r="AJ51" t="str">
        <f t="shared" si="35"/>
        <v/>
      </c>
    </row>
    <row r="52" spans="1:36" x14ac:dyDescent="0.25">
      <c r="A52" t="s">
        <v>42</v>
      </c>
      <c r="P52" t="str">
        <f t="shared" si="36"/>
        <v xml:space="preserve">  ALEGRE-RS069  </v>
      </c>
      <c r="Q52" t="str">
        <f t="shared" si="36"/>
        <v xml:space="preserve">   -50.9 </v>
      </c>
      <c r="R52" t="str">
        <f t="shared" si="20"/>
        <v xml:space="preserve">     0.0 </v>
      </c>
      <c r="S52" t="str">
        <f t="shared" si="37"/>
        <v xml:space="preserve">     0.0 </v>
      </c>
      <c r="T52" t="str">
        <f t="shared" si="38"/>
        <v xml:space="preserve">     6.4 </v>
      </c>
      <c r="U52" t="str">
        <f t="shared" si="42"/>
        <v xml:space="preserve">         0.0 </v>
      </c>
      <c r="V52" t="str">
        <f t="shared" si="23"/>
        <v xml:space="preserve">     0.0 </v>
      </c>
      <c r="W52" t="str">
        <f t="shared" si="39"/>
        <v xml:space="preserve">     0.0 </v>
      </c>
      <c r="X52" t="str">
        <f t="shared" si="43"/>
        <v xml:space="preserve">       </v>
      </c>
      <c r="Y52" t="str">
        <f t="shared" si="43"/>
        <v xml:space="preserve">              </v>
      </c>
      <c r="Z52" t="str">
        <f t="shared" si="43"/>
        <v xml:space="preserve">    </v>
      </c>
      <c r="AA52" t="str">
        <f t="shared" si="26"/>
        <v xml:space="preserve">         </v>
      </c>
      <c r="AB52" t="str">
        <f t="shared" si="40"/>
        <v xml:space="preserve">         </v>
      </c>
      <c r="AC52" t="str">
        <f t="shared" si="41"/>
        <v xml:space="preserve">    </v>
      </c>
      <c r="AD52" t="str">
        <f t="shared" si="42"/>
        <v/>
      </c>
      <c r="AE52" t="str">
        <f t="shared" si="29"/>
        <v/>
      </c>
      <c r="AF52" t="str">
        <f t="shared" si="44"/>
        <v/>
      </c>
      <c r="AG52" t="str">
        <f t="shared" si="44"/>
        <v/>
      </c>
      <c r="AH52" t="str">
        <f t="shared" si="30"/>
        <v/>
      </c>
      <c r="AI52" t="str">
        <f t="shared" si="34"/>
        <v/>
      </c>
      <c r="AJ52" t="str">
        <f t="shared" si="35"/>
        <v/>
      </c>
    </row>
    <row r="53" spans="1:36" x14ac:dyDescent="0.25">
      <c r="A53" t="s">
        <v>43</v>
      </c>
      <c r="P53" t="str">
        <f t="shared" si="36"/>
        <v xml:space="preserve">                </v>
      </c>
      <c r="Q53" t="str">
        <f t="shared" si="36"/>
        <v xml:space="preserve">         </v>
      </c>
      <c r="R53" t="str">
        <f t="shared" si="20"/>
        <v xml:space="preserve">    25.0 </v>
      </c>
      <c r="S53" t="str">
        <f t="shared" si="37"/>
        <v xml:space="preserve">    25.0 </v>
      </c>
      <c r="T53" t="str">
        <f t="shared" si="38"/>
        <v xml:space="preserve">    25.0 </v>
      </c>
      <c r="U53" t="str">
        <f t="shared" si="42"/>
        <v xml:space="preserve">       12.8% </v>
      </c>
      <c r="V53" t="str">
        <f t="shared" si="23"/>
        <v xml:space="preserve">         </v>
      </c>
      <c r="W53" t="str">
        <f t="shared" si="39"/>
        <v xml:space="preserve">         </v>
      </c>
      <c r="X53" t="str">
        <f t="shared" si="43"/>
        <v xml:space="preserve">   930 </v>
      </c>
      <c r="Y53" t="str">
        <f t="shared" si="43"/>
        <v xml:space="preserve"> ALEGRE-RS138 </v>
      </c>
      <c r="Z53" t="str">
        <f t="shared" si="43"/>
        <v xml:space="preserve">  5 </v>
      </c>
      <c r="AA53" t="str">
        <f t="shared" si="26"/>
        <v xml:space="preserve">    -1.1 </v>
      </c>
      <c r="AB53" t="str">
        <f t="shared" si="40"/>
        <v xml:space="preserve">    -3.1 </v>
      </c>
      <c r="AC53" t="str">
        <f t="shared" si="41"/>
        <v xml:space="preserve">     3.2 </v>
      </c>
      <c r="AD53" t="str">
        <f t="shared" si="42"/>
        <v xml:space="preserve">        </v>
      </c>
      <c r="AE53" t="str">
        <f t="shared" si="29"/>
        <v xml:space="preserve">       </v>
      </c>
      <c r="AF53" t="str">
        <f t="shared" si="44"/>
        <v xml:space="preserve">     </v>
      </c>
      <c r="AG53" t="str">
        <f t="shared" si="44"/>
        <v xml:space="preserve">     0.00 </v>
      </c>
      <c r="AH53" t="str">
        <f t="shared" si="30"/>
        <v xml:space="preserve">     0.04 </v>
      </c>
      <c r="AI53" t="str">
        <f t="shared" si="34"/>
        <v xml:space="preserve">       </v>
      </c>
      <c r="AJ53" t="str">
        <f t="shared" si="35"/>
        <v xml:space="preserve">      </v>
      </c>
    </row>
    <row r="54" spans="1:36" x14ac:dyDescent="0.25">
      <c r="A54" t="s">
        <v>44</v>
      </c>
      <c r="P54" t="str">
        <f t="shared" si="36"/>
        <v xml:space="preserve">                </v>
      </c>
      <c r="Q54" t="str">
        <f t="shared" si="36"/>
        <v xml:space="preserve">         </v>
      </c>
      <c r="R54" t="str">
        <f t="shared" si="20"/>
        <v xml:space="preserve">    25.0 </v>
      </c>
      <c r="S54" t="str">
        <f t="shared" si="37"/>
        <v xml:space="preserve">    25.0 </v>
      </c>
      <c r="T54" t="str">
        <f t="shared" si="38"/>
        <v xml:space="preserve">    25.0 </v>
      </c>
      <c r="U54" t="str">
        <f t="shared" si="42"/>
        <v xml:space="preserve">       12.8% </v>
      </c>
      <c r="V54" t="str">
        <f t="shared" si="23"/>
        <v xml:space="preserve">         </v>
      </c>
      <c r="W54" t="str">
        <f t="shared" si="39"/>
        <v xml:space="preserve">         </v>
      </c>
      <c r="X54" t="str">
        <f t="shared" si="43"/>
        <v xml:space="preserve">   930 </v>
      </c>
      <c r="Y54" t="str">
        <f t="shared" si="43"/>
        <v xml:space="preserve"> ALEGRE-RS138 </v>
      </c>
      <c r="Z54" t="str">
        <f t="shared" si="43"/>
        <v xml:space="preserve">  6 </v>
      </c>
      <c r="AA54" t="str">
        <f t="shared" si="26"/>
        <v xml:space="preserve">    -1.1 </v>
      </c>
      <c r="AB54" t="str">
        <f t="shared" si="40"/>
        <v xml:space="preserve">    -3.1 </v>
      </c>
      <c r="AC54" t="str">
        <f t="shared" si="41"/>
        <v xml:space="preserve">     3.2 </v>
      </c>
      <c r="AD54" t="str">
        <f t="shared" si="42"/>
        <v xml:space="preserve">        </v>
      </c>
      <c r="AE54" t="str">
        <f t="shared" si="29"/>
        <v xml:space="preserve">       </v>
      </c>
      <c r="AF54" t="str">
        <f t="shared" si="44"/>
        <v xml:space="preserve">     </v>
      </c>
      <c r="AG54" t="str">
        <f t="shared" si="44"/>
        <v xml:space="preserve">     0.00 </v>
      </c>
      <c r="AH54" t="str">
        <f t="shared" si="30"/>
        <v xml:space="preserve">     0.04 </v>
      </c>
      <c r="AI54" t="str">
        <f t="shared" si="34"/>
        <v xml:space="preserve">       </v>
      </c>
      <c r="AJ54" t="str">
        <f t="shared" si="35"/>
        <v xml:space="preserve">      </v>
      </c>
    </row>
    <row r="55" spans="1:36" x14ac:dyDescent="0.25">
      <c r="A55" t="s">
        <v>45</v>
      </c>
      <c r="P55" t="str">
        <f t="shared" si="36"/>
        <v xml:space="preserve">                </v>
      </c>
      <c r="Q55" t="str">
        <f t="shared" si="36"/>
        <v xml:space="preserve">         </v>
      </c>
      <c r="R55" t="str">
        <f t="shared" si="20"/>
        <v xml:space="preserve">    48.0 </v>
      </c>
      <c r="S55" t="str">
        <f t="shared" si="37"/>
        <v xml:space="preserve">    48.0 </v>
      </c>
      <c r="T55" t="str">
        <f t="shared" si="38"/>
        <v xml:space="preserve">    48.0 </v>
      </c>
      <c r="U55" t="str">
        <f t="shared" si="42"/>
        <v xml:space="preserve">       45.2% </v>
      </c>
      <c r="V55" t="str">
        <f t="shared" si="23"/>
        <v xml:space="preserve">         </v>
      </c>
      <c r="W55" t="str">
        <f t="shared" si="39"/>
        <v xml:space="preserve">         </v>
      </c>
      <c r="X55" t="str">
        <f t="shared" si="43"/>
        <v xml:space="preserve">  1185 </v>
      </c>
      <c r="Y55" t="str">
        <f t="shared" si="43"/>
        <v xml:space="preserve"> ALEGR2-RS069 </v>
      </c>
      <c r="Z55" t="str">
        <f t="shared" si="43"/>
        <v xml:space="preserve">  1 </v>
      </c>
      <c r="AA55" t="str">
        <f t="shared" si="26"/>
        <v xml:space="preserve">   -21.8 </v>
      </c>
      <c r="AB55" t="str">
        <f t="shared" si="40"/>
        <v xml:space="preserve">     3.5 </v>
      </c>
      <c r="AC55" t="str">
        <f t="shared" si="41"/>
        <v xml:space="preserve">    21.7 </v>
      </c>
      <c r="AD55" t="str">
        <f t="shared" si="42"/>
        <v xml:space="preserve">        </v>
      </c>
      <c r="AE55" t="str">
        <f t="shared" si="29"/>
        <v xml:space="preserve">       </v>
      </c>
      <c r="AF55" t="str">
        <f t="shared" si="44"/>
        <v xml:space="preserve">     </v>
      </c>
      <c r="AG55" t="str">
        <f t="shared" si="44"/>
        <v xml:space="preserve">     0.07 </v>
      </c>
      <c r="AH55" t="str">
        <f t="shared" si="30"/>
        <v xml:space="preserve">     0.13 </v>
      </c>
      <c r="AI55" t="str">
        <f t="shared" si="34"/>
        <v xml:space="preserve">       </v>
      </c>
      <c r="AJ55" t="str">
        <f t="shared" si="35"/>
        <v xml:space="preserve">      </v>
      </c>
    </row>
    <row r="56" spans="1:36" x14ac:dyDescent="0.25">
      <c r="A56" t="s">
        <v>14</v>
      </c>
      <c r="P56" t="str">
        <f t="shared" si="36"/>
        <v xml:space="preserve">  ..............</v>
      </c>
      <c r="Q56" t="str">
        <f t="shared" si="36"/>
        <v>.........</v>
      </c>
      <c r="R56" t="str">
        <f t="shared" si="20"/>
        <v>.........</v>
      </c>
      <c r="S56" t="str">
        <f t="shared" si="37"/>
        <v>.........</v>
      </c>
      <c r="T56" t="str">
        <f t="shared" si="38"/>
        <v>.........</v>
      </c>
      <c r="U56" t="str">
        <f t="shared" si="42"/>
        <v>.............</v>
      </c>
      <c r="V56" t="str">
        <f t="shared" si="23"/>
        <v>.........</v>
      </c>
      <c r="W56" t="str">
        <f t="shared" si="39"/>
        <v>.........</v>
      </c>
      <c r="X56" t="str">
        <f t="shared" si="43"/>
        <v>.......</v>
      </c>
      <c r="Y56" t="str">
        <f t="shared" si="43"/>
        <v>..............</v>
      </c>
      <c r="Z56" t="str">
        <f t="shared" si="43"/>
        <v>....</v>
      </c>
      <c r="AA56" t="str">
        <f t="shared" si="26"/>
        <v>.........</v>
      </c>
      <c r="AB56" t="str">
        <f t="shared" si="40"/>
        <v>.........</v>
      </c>
      <c r="AC56" t="str">
        <f t="shared" si="41"/>
        <v>.........</v>
      </c>
      <c r="AD56" t="str">
        <f t="shared" si="42"/>
        <v>........</v>
      </c>
      <c r="AE56" t="str">
        <f t="shared" si="29"/>
        <v>.......</v>
      </c>
      <c r="AF56" t="str">
        <f t="shared" si="44"/>
        <v>.....</v>
      </c>
      <c r="AG56" t="str">
        <f t="shared" si="44"/>
        <v>..........</v>
      </c>
      <c r="AH56" t="str">
        <f t="shared" si="30"/>
        <v>..........</v>
      </c>
      <c r="AI56" t="str">
        <f t="shared" si="34"/>
        <v>.......</v>
      </c>
      <c r="AJ56" t="str">
        <f t="shared" si="35"/>
        <v>.......</v>
      </c>
    </row>
    <row r="57" spans="1:36" x14ac:dyDescent="0.25">
      <c r="A57" t="s">
        <v>46</v>
      </c>
      <c r="P57" t="str">
        <f t="shared" si="36"/>
        <v xml:space="preserve">   1184  138  0 </v>
      </c>
      <c r="Q57" t="str">
        <f t="shared" si="36"/>
        <v xml:space="preserve">   1.005 </v>
      </c>
      <c r="R57" t="str">
        <f t="shared" si="20"/>
        <v xml:space="preserve">     9.9 </v>
      </c>
      <c r="S57" t="str">
        <f t="shared" si="37"/>
        <v xml:space="preserve">     0.0 </v>
      </c>
      <c r="T57" t="str">
        <f t="shared" si="38"/>
        <v xml:space="preserve">    37.1 </v>
      </c>
      <c r="U57" t="str">
        <f t="shared" si="42"/>
        <v xml:space="preserve">         0.0 </v>
      </c>
      <c r="V57" t="str">
        <f t="shared" si="23"/>
        <v xml:space="preserve">     3.6 </v>
      </c>
      <c r="W57" t="str">
        <f t="shared" si="39"/>
        <v xml:space="preserve">     0.0</v>
      </c>
      <c r="X57" t="str">
        <f t="shared" si="43"/>
        <v/>
      </c>
      <c r="Y57" t="str">
        <f t="shared" si="43"/>
        <v/>
      </c>
      <c r="Z57" t="str">
        <f t="shared" si="43"/>
        <v/>
      </c>
      <c r="AA57" t="str">
        <f t="shared" si="26"/>
        <v/>
      </c>
      <c r="AB57" t="str">
        <f t="shared" si="40"/>
        <v/>
      </c>
      <c r="AC57" t="str">
        <f t="shared" si="41"/>
        <v/>
      </c>
      <c r="AD57" t="str">
        <f t="shared" si="42"/>
        <v/>
      </c>
      <c r="AE57" t="str">
        <f t="shared" si="29"/>
        <v/>
      </c>
      <c r="AF57" t="str">
        <f t="shared" si="44"/>
        <v/>
      </c>
      <c r="AG57" t="str">
        <f t="shared" si="44"/>
        <v/>
      </c>
      <c r="AH57" t="str">
        <f t="shared" si="30"/>
        <v/>
      </c>
      <c r="AI57" t="str">
        <f t="shared" si="34"/>
        <v/>
      </c>
      <c r="AJ57" t="str">
        <f t="shared" si="35"/>
        <v/>
      </c>
    </row>
    <row r="58" spans="1:36" x14ac:dyDescent="0.25">
      <c r="A58" t="s">
        <v>47</v>
      </c>
      <c r="P58" t="str">
        <f t="shared" si="36"/>
        <v xml:space="preserve">  2IRMAO-RS138  </v>
      </c>
      <c r="Q58" t="str">
        <f t="shared" si="36"/>
        <v xml:space="preserve">   -52.9 </v>
      </c>
      <c r="R58" t="str">
        <f t="shared" si="20"/>
        <v xml:space="preserve">     0.0 </v>
      </c>
      <c r="S58" t="str">
        <f t="shared" si="37"/>
        <v xml:space="preserve">     0.0 </v>
      </c>
      <c r="T58" t="str">
        <f t="shared" si="38"/>
        <v xml:space="preserve">    17.8 </v>
      </c>
      <c r="U58" t="str">
        <f t="shared" si="42"/>
        <v xml:space="preserve">         0.0 </v>
      </c>
      <c r="V58" t="str">
        <f t="shared" si="23"/>
        <v xml:space="preserve">     0.0 </v>
      </c>
      <c r="W58" t="str">
        <f t="shared" si="39"/>
        <v xml:space="preserve">     0.0 </v>
      </c>
      <c r="X58" t="str">
        <f t="shared" si="43"/>
        <v xml:space="preserve">       </v>
      </c>
      <c r="Y58" t="str">
        <f t="shared" si="43"/>
        <v xml:space="preserve">              </v>
      </c>
      <c r="Z58" t="str">
        <f t="shared" si="43"/>
        <v xml:space="preserve">    </v>
      </c>
      <c r="AA58" t="str">
        <f t="shared" si="26"/>
        <v xml:space="preserve">         </v>
      </c>
      <c r="AB58" t="str">
        <f t="shared" si="40"/>
        <v xml:space="preserve">         </v>
      </c>
      <c r="AC58" t="str">
        <f t="shared" si="41"/>
        <v xml:space="preserve">    </v>
      </c>
      <c r="AD58" t="str">
        <f t="shared" si="42"/>
        <v/>
      </c>
      <c r="AE58" t="str">
        <f t="shared" si="29"/>
        <v/>
      </c>
      <c r="AF58" t="str">
        <f t="shared" si="44"/>
        <v/>
      </c>
      <c r="AG58" t="str">
        <f t="shared" si="44"/>
        <v/>
      </c>
      <c r="AH58" t="str">
        <f t="shared" si="30"/>
        <v/>
      </c>
      <c r="AI58" t="str">
        <f t="shared" si="34"/>
        <v/>
      </c>
      <c r="AJ58" t="str">
        <f t="shared" si="35"/>
        <v/>
      </c>
    </row>
    <row r="59" spans="1:36" x14ac:dyDescent="0.25">
      <c r="A59" t="s">
        <v>48</v>
      </c>
      <c r="P59" t="str">
        <f t="shared" si="36"/>
        <v xml:space="preserve">                </v>
      </c>
      <c r="Q59" t="str">
        <f t="shared" si="36"/>
        <v xml:space="preserve">         </v>
      </c>
      <c r="R59" t="str">
        <f t="shared" si="20"/>
        <v xml:space="preserve">   134.0 </v>
      </c>
      <c r="S59" t="str">
        <f t="shared" si="37"/>
        <v xml:space="preserve">   162.0 </v>
      </c>
      <c r="T59" t="str">
        <f t="shared" si="38"/>
        <v xml:space="preserve">   162.0 </v>
      </c>
      <c r="U59" t="str">
        <f t="shared" si="42"/>
        <v xml:space="preserve">       22.8% </v>
      </c>
      <c r="V59" t="str">
        <f t="shared" si="23"/>
        <v xml:space="preserve">         </v>
      </c>
      <c r="W59" t="str">
        <f t="shared" si="39"/>
        <v xml:space="preserve">         </v>
      </c>
      <c r="X59" t="str">
        <f t="shared" si="43"/>
        <v xml:space="preserve">  9965 </v>
      </c>
      <c r="Y59" t="str">
        <f t="shared" si="43"/>
        <v xml:space="preserve"> IVOTI--RS138 </v>
      </c>
      <c r="Z59" t="str">
        <f t="shared" si="43"/>
        <v xml:space="preserve">  1 </v>
      </c>
      <c r="AA59" t="str">
        <f t="shared" si="26"/>
        <v xml:space="preserve">   -27.2 </v>
      </c>
      <c r="AB59" t="str">
        <f t="shared" si="40"/>
        <v xml:space="preserve">   -14.2 </v>
      </c>
      <c r="AC59" t="str">
        <f t="shared" si="41"/>
        <v xml:space="preserve">    30.5 </v>
      </c>
      <c r="AD59" t="str">
        <f t="shared" si="42"/>
        <v xml:space="preserve">        </v>
      </c>
      <c r="AE59" t="str">
        <f t="shared" si="29"/>
        <v xml:space="preserve">       </v>
      </c>
      <c r="AF59" t="str">
        <f t="shared" si="44"/>
        <v xml:space="preserve">     </v>
      </c>
      <c r="AG59" t="str">
        <f t="shared" si="44"/>
        <v xml:space="preserve">     0.06 </v>
      </c>
      <c r="AH59" t="str">
        <f t="shared" si="30"/>
        <v xml:space="preserve">    -0.30 </v>
      </c>
      <c r="AI59" t="str">
        <f t="shared" si="34"/>
        <v xml:space="preserve">       </v>
      </c>
      <c r="AJ59" t="str">
        <f t="shared" si="35"/>
        <v xml:space="preserve">      </v>
      </c>
    </row>
    <row r="60" spans="1:36" x14ac:dyDescent="0.25">
      <c r="A60" t="s">
        <v>14</v>
      </c>
      <c r="P60" t="str">
        <f t="shared" si="36"/>
        <v xml:space="preserve">  ..............</v>
      </c>
      <c r="Q60" t="str">
        <f t="shared" si="36"/>
        <v>.........</v>
      </c>
      <c r="R60" t="str">
        <f t="shared" si="20"/>
        <v>.........</v>
      </c>
      <c r="S60" t="str">
        <f t="shared" si="37"/>
        <v>.........</v>
      </c>
      <c r="T60" t="str">
        <f t="shared" si="38"/>
        <v>.........</v>
      </c>
      <c r="U60" t="str">
        <f t="shared" si="42"/>
        <v>.............</v>
      </c>
      <c r="V60" t="str">
        <f t="shared" si="23"/>
        <v>.........</v>
      </c>
      <c r="W60" t="str">
        <f t="shared" si="39"/>
        <v>.........</v>
      </c>
      <c r="X60" t="str">
        <f t="shared" si="43"/>
        <v>.......</v>
      </c>
      <c r="Y60" t="str">
        <f t="shared" si="43"/>
        <v>..............</v>
      </c>
      <c r="Z60" t="str">
        <f t="shared" si="43"/>
        <v>....</v>
      </c>
      <c r="AA60" t="str">
        <f t="shared" si="26"/>
        <v>.........</v>
      </c>
      <c r="AB60" t="str">
        <f t="shared" si="40"/>
        <v>.........</v>
      </c>
      <c r="AC60" t="str">
        <f t="shared" si="41"/>
        <v>.........</v>
      </c>
      <c r="AD60" t="str">
        <f t="shared" si="42"/>
        <v>........</v>
      </c>
      <c r="AE60" t="str">
        <f t="shared" si="29"/>
        <v>.......</v>
      </c>
      <c r="AF60" t="str">
        <f t="shared" si="44"/>
        <v>.....</v>
      </c>
      <c r="AG60" t="str">
        <f t="shared" si="44"/>
        <v>..........</v>
      </c>
      <c r="AH60" t="str">
        <f t="shared" si="30"/>
        <v>..........</v>
      </c>
      <c r="AI60" t="str">
        <f t="shared" si="34"/>
        <v>.......</v>
      </c>
      <c r="AJ60" t="str">
        <f t="shared" si="35"/>
        <v>.......</v>
      </c>
    </row>
    <row r="61" spans="1:36" x14ac:dyDescent="0.25">
      <c r="A61" t="s">
        <v>49</v>
      </c>
      <c r="P61" t="str">
        <f t="shared" si="36"/>
        <v xml:space="preserve">   1185   69  0 </v>
      </c>
      <c r="Q61" t="str">
        <f t="shared" si="36"/>
        <v xml:space="preserve">   1.019 </v>
      </c>
      <c r="R61" t="str">
        <f t="shared" si="20"/>
        <v xml:space="preserve">     4.9 </v>
      </c>
      <c r="S61" t="str">
        <f t="shared" si="37"/>
        <v xml:space="preserve">     0.0 </v>
      </c>
      <c r="T61" t="str">
        <f t="shared" si="38"/>
        <v xml:space="preserve">    13.7 </v>
      </c>
      <c r="U61" t="str">
        <f t="shared" si="42"/>
        <v xml:space="preserve">         0.0 </v>
      </c>
      <c r="V61" t="str">
        <f t="shared" si="23"/>
        <v xml:space="preserve">     3.7 </v>
      </c>
      <c r="W61" t="str">
        <f t="shared" si="39"/>
        <v xml:space="preserve">     0.0</v>
      </c>
      <c r="X61" t="str">
        <f t="shared" si="43"/>
        <v/>
      </c>
      <c r="Y61" t="str">
        <f t="shared" si="43"/>
        <v/>
      </c>
      <c r="Z61" t="str">
        <f t="shared" si="43"/>
        <v/>
      </c>
      <c r="AA61" t="str">
        <f t="shared" si="26"/>
        <v/>
      </c>
      <c r="AB61" t="str">
        <f t="shared" si="40"/>
        <v/>
      </c>
      <c r="AC61" t="str">
        <f t="shared" si="41"/>
        <v/>
      </c>
      <c r="AD61" t="str">
        <f t="shared" si="42"/>
        <v/>
      </c>
      <c r="AE61" t="str">
        <f t="shared" si="29"/>
        <v/>
      </c>
      <c r="AF61" t="str">
        <f t="shared" si="44"/>
        <v/>
      </c>
      <c r="AG61" t="str">
        <f t="shared" si="44"/>
        <v/>
      </c>
      <c r="AH61" t="str">
        <f t="shared" si="30"/>
        <v/>
      </c>
      <c r="AI61" t="str">
        <f t="shared" si="34"/>
        <v/>
      </c>
      <c r="AJ61" t="str">
        <f t="shared" si="35"/>
        <v/>
      </c>
    </row>
    <row r="62" spans="1:36" x14ac:dyDescent="0.25">
      <c r="A62" t="s">
        <v>50</v>
      </c>
      <c r="P62" t="str">
        <f t="shared" si="36"/>
        <v xml:space="preserve">  ALEGR2-RS069  </v>
      </c>
      <c r="Q62" t="str">
        <f t="shared" si="36"/>
        <v xml:space="preserve">   -50.3 </v>
      </c>
      <c r="R62" t="str">
        <f t="shared" si="20"/>
        <v xml:space="preserve">     0.0 </v>
      </c>
      <c r="S62" t="str">
        <f t="shared" si="37"/>
        <v xml:space="preserve">     0.0 </v>
      </c>
      <c r="T62" t="str">
        <f t="shared" si="38"/>
        <v xml:space="preserve">     3.0 </v>
      </c>
      <c r="U62" t="str">
        <f t="shared" si="42"/>
        <v xml:space="preserve">         0.0 </v>
      </c>
      <c r="V62" t="str">
        <f t="shared" si="23"/>
        <v xml:space="preserve">     0.0 </v>
      </c>
      <c r="W62" t="str">
        <f t="shared" si="39"/>
        <v xml:space="preserve">     0.0 </v>
      </c>
      <c r="X62" t="str">
        <f t="shared" si="43"/>
        <v xml:space="preserve">       </v>
      </c>
      <c r="Y62" t="str">
        <f t="shared" si="43"/>
        <v xml:space="preserve">              </v>
      </c>
      <c r="Z62" t="str">
        <f t="shared" si="43"/>
        <v xml:space="preserve">    </v>
      </c>
      <c r="AA62" t="str">
        <f t="shared" si="26"/>
        <v xml:space="preserve">         </v>
      </c>
      <c r="AB62" t="str">
        <f t="shared" si="40"/>
        <v xml:space="preserve">         </v>
      </c>
      <c r="AC62" t="str">
        <f t="shared" si="41"/>
        <v xml:space="preserve">    </v>
      </c>
      <c r="AD62" t="str">
        <f t="shared" si="42"/>
        <v/>
      </c>
      <c r="AE62" t="str">
        <f t="shared" si="29"/>
        <v/>
      </c>
      <c r="AF62" t="str">
        <f t="shared" si="44"/>
        <v/>
      </c>
      <c r="AG62" t="str">
        <f t="shared" si="44"/>
        <v/>
      </c>
      <c r="AH62" t="str">
        <f t="shared" si="30"/>
        <v/>
      </c>
      <c r="AI62" t="str">
        <f t="shared" si="34"/>
        <v/>
      </c>
      <c r="AJ62" t="str">
        <f t="shared" si="35"/>
        <v/>
      </c>
    </row>
    <row r="63" spans="1:36" x14ac:dyDescent="0.25">
      <c r="A63" t="s">
        <v>51</v>
      </c>
      <c r="P63" t="str">
        <f t="shared" si="36"/>
        <v xml:space="preserve">                </v>
      </c>
      <c r="Q63" t="str">
        <f t="shared" si="36"/>
        <v xml:space="preserve">         </v>
      </c>
      <c r="R63" t="str">
        <f t="shared" si="20"/>
        <v xml:space="preserve">    48.0 </v>
      </c>
      <c r="S63" t="str">
        <f t="shared" si="37"/>
        <v xml:space="preserve">    48.0 </v>
      </c>
      <c r="T63" t="str">
        <f t="shared" si="38"/>
        <v xml:space="preserve">    48.0 </v>
      </c>
      <c r="U63" t="str">
        <f t="shared" si="42"/>
        <v xml:space="preserve">       45.2% </v>
      </c>
      <c r="V63" t="str">
        <f t="shared" si="23"/>
        <v xml:space="preserve">         </v>
      </c>
      <c r="W63" t="str">
        <f t="shared" si="39"/>
        <v xml:space="preserve">         </v>
      </c>
      <c r="X63" t="str">
        <f t="shared" si="43"/>
        <v xml:space="preserve">  1182 </v>
      </c>
      <c r="Y63" t="str">
        <f t="shared" si="43"/>
        <v xml:space="preserve"> ALEGRE-RS069 </v>
      </c>
      <c r="Z63" t="str">
        <f t="shared" si="43"/>
        <v xml:space="preserve">  1 </v>
      </c>
      <c r="AA63" t="str">
        <f t="shared" si="26"/>
        <v xml:space="preserve">    21.9 </v>
      </c>
      <c r="AB63" t="str">
        <f t="shared" si="40"/>
        <v xml:space="preserve">    -3.3 </v>
      </c>
      <c r="AC63" t="str">
        <f t="shared" si="41"/>
        <v xml:space="preserve">    21.7 </v>
      </c>
      <c r="AD63" t="str">
        <f t="shared" si="42"/>
        <v xml:space="preserve">        </v>
      </c>
      <c r="AE63" t="str">
        <f t="shared" si="29"/>
        <v xml:space="preserve">       </v>
      </c>
      <c r="AF63" t="str">
        <f t="shared" si="44"/>
        <v xml:space="preserve">     </v>
      </c>
      <c r="AG63" t="str">
        <f t="shared" si="44"/>
        <v xml:space="preserve">     0.07 </v>
      </c>
      <c r="AH63" t="str">
        <f t="shared" si="30"/>
        <v xml:space="preserve">     0.13 </v>
      </c>
      <c r="AI63" t="str">
        <f t="shared" si="34"/>
        <v xml:space="preserve">       </v>
      </c>
      <c r="AJ63" t="str">
        <f t="shared" si="35"/>
        <v xml:space="preserve">      </v>
      </c>
    </row>
    <row r="64" spans="1:36" x14ac:dyDescent="0.25">
      <c r="A64" t="s">
        <v>52</v>
      </c>
      <c r="P64" t="str">
        <f t="shared" si="36"/>
        <v xml:space="preserve">                </v>
      </c>
      <c r="Q64" t="str">
        <f t="shared" si="36"/>
        <v xml:space="preserve">         </v>
      </c>
      <c r="R64" t="str">
        <f t="shared" si="20"/>
        <v xml:space="preserve">    83.0 </v>
      </c>
      <c r="S64" t="str">
        <f t="shared" si="37"/>
        <v xml:space="preserve">   125.0 </v>
      </c>
      <c r="T64" t="str">
        <f t="shared" si="38"/>
        <v xml:space="preserve">   125.0 </v>
      </c>
      <c r="U64" t="str">
        <f t="shared" si="42"/>
        <v xml:space="preserve">       18.1% </v>
      </c>
      <c r="V64" t="str">
        <f t="shared" si="23"/>
        <v xml:space="preserve">         </v>
      </c>
      <c r="W64" t="str">
        <f t="shared" si="39"/>
        <v xml:space="preserve">         </v>
      </c>
      <c r="X64" t="str">
        <f t="shared" si="43"/>
        <v xml:space="preserve"> 41211 </v>
      </c>
      <c r="Y64" t="str">
        <f t="shared" si="43"/>
        <v xml:space="preserve"> ALEG-1-RS000 </v>
      </c>
      <c r="Z64" t="str">
        <f t="shared" si="43"/>
        <v xml:space="preserve">  1 </v>
      </c>
      <c r="AA64" t="str">
        <f t="shared" si="26"/>
        <v xml:space="preserve">   -15.1 </v>
      </c>
      <c r="AB64" t="str">
        <f t="shared" si="40"/>
        <v xml:space="preserve">     2.1 </v>
      </c>
      <c r="AC64" t="str">
        <f t="shared" si="41"/>
        <v xml:space="preserve">    15.0 </v>
      </c>
      <c r="AD64" t="str">
        <f t="shared" si="42"/>
        <v xml:space="preserve"> 1.000F </v>
      </c>
      <c r="AE64" t="str">
        <f t="shared" si="29"/>
        <v xml:space="preserve">       </v>
      </c>
      <c r="AF64" t="str">
        <f t="shared" si="44"/>
        <v xml:space="preserve"> 002 </v>
      </c>
      <c r="AG64" t="str">
        <f t="shared" si="44"/>
        <v xml:space="preserve">     0.00 </v>
      </c>
      <c r="AH64" t="str">
        <f t="shared" si="30"/>
        <v xml:space="preserve">    -0.02 </v>
      </c>
      <c r="AI64" t="str">
        <f t="shared" si="34"/>
        <v xml:space="preserve">       </v>
      </c>
      <c r="AJ64" t="str">
        <f t="shared" si="35"/>
        <v xml:space="preserve">      </v>
      </c>
    </row>
    <row r="65" spans="1:36" x14ac:dyDescent="0.25">
      <c r="A65" t="s">
        <v>53</v>
      </c>
      <c r="P65" t="str">
        <f t="shared" si="36"/>
        <v xml:space="preserve">                </v>
      </c>
      <c r="Q65" t="str">
        <f t="shared" si="36"/>
        <v xml:space="preserve">         </v>
      </c>
      <c r="R65" t="str">
        <f t="shared" si="20"/>
        <v xml:space="preserve">    83.0 </v>
      </c>
      <c r="S65" t="str">
        <f t="shared" si="37"/>
        <v xml:space="preserve">   100.0 </v>
      </c>
      <c r="T65" t="str">
        <f t="shared" si="38"/>
        <v xml:space="preserve">   100.0 </v>
      </c>
      <c r="U65" t="str">
        <f t="shared" si="42"/>
        <v xml:space="preserve">       18.5% </v>
      </c>
      <c r="V65" t="str">
        <f t="shared" si="23"/>
        <v xml:space="preserve">         </v>
      </c>
      <c r="W65" t="str">
        <f t="shared" si="39"/>
        <v xml:space="preserve">         </v>
      </c>
      <c r="X65" t="str">
        <f t="shared" si="43"/>
        <v xml:space="preserve"> 41212 </v>
      </c>
      <c r="Y65" t="str">
        <f t="shared" si="43"/>
        <v xml:space="preserve"> ALEG-2-RS000 </v>
      </c>
      <c r="Z65" t="str">
        <f t="shared" si="43"/>
        <v xml:space="preserve">  2 </v>
      </c>
      <c r="AA65" t="str">
        <f t="shared" si="26"/>
        <v xml:space="preserve">   -15.5 </v>
      </c>
      <c r="AB65" t="str">
        <f t="shared" si="40"/>
        <v xml:space="preserve">     2.0 </v>
      </c>
      <c r="AC65" t="str">
        <f t="shared" si="41"/>
        <v xml:space="preserve">    15.4 </v>
      </c>
      <c r="AD65" t="str">
        <f t="shared" si="42"/>
        <v xml:space="preserve"> 1.000F </v>
      </c>
      <c r="AE65" t="str">
        <f t="shared" si="29"/>
        <v xml:space="preserve">       </v>
      </c>
      <c r="AF65" t="str">
        <f t="shared" si="44"/>
        <v xml:space="preserve"> 002 </v>
      </c>
      <c r="AG65" t="str">
        <f t="shared" si="44"/>
        <v xml:space="preserve">     0.00 </v>
      </c>
      <c r="AH65" t="str">
        <f t="shared" si="30"/>
        <v xml:space="preserve">    -0.02 </v>
      </c>
      <c r="AI65" t="str">
        <f t="shared" si="34"/>
        <v xml:space="preserve">       </v>
      </c>
      <c r="AJ65" t="str">
        <f t="shared" si="35"/>
        <v xml:space="preserve">      </v>
      </c>
    </row>
    <row r="66" spans="1:36" x14ac:dyDescent="0.25">
      <c r="A66" t="s">
        <v>14</v>
      </c>
      <c r="P66" t="str">
        <f t="shared" si="36"/>
        <v xml:space="preserve">  ..............</v>
      </c>
      <c r="Q66" t="str">
        <f t="shared" si="36"/>
        <v>.........</v>
      </c>
      <c r="R66" t="str">
        <f t="shared" si="20"/>
        <v>.........</v>
      </c>
      <c r="S66" t="str">
        <f t="shared" si="37"/>
        <v>.........</v>
      </c>
      <c r="T66" t="str">
        <f t="shared" si="38"/>
        <v>.........</v>
      </c>
      <c r="U66" t="str">
        <f t="shared" si="42"/>
        <v>.............</v>
      </c>
      <c r="V66" t="str">
        <f t="shared" si="23"/>
        <v>.........</v>
      </c>
      <c r="W66" t="str">
        <f t="shared" si="39"/>
        <v>.........</v>
      </c>
      <c r="X66" t="str">
        <f t="shared" si="43"/>
        <v>.......</v>
      </c>
      <c r="Y66" t="str">
        <f t="shared" si="43"/>
        <v>..............</v>
      </c>
      <c r="Z66" t="str">
        <f t="shared" si="43"/>
        <v>....</v>
      </c>
      <c r="AA66" t="str">
        <f t="shared" si="26"/>
        <v>.........</v>
      </c>
      <c r="AB66" t="str">
        <f t="shared" si="40"/>
        <v>.........</v>
      </c>
      <c r="AC66" t="str">
        <f t="shared" si="41"/>
        <v>.........</v>
      </c>
      <c r="AD66" t="str">
        <f t="shared" si="42"/>
        <v>........</v>
      </c>
      <c r="AE66" t="str">
        <f t="shared" si="29"/>
        <v>.......</v>
      </c>
      <c r="AF66" t="str">
        <f t="shared" si="44"/>
        <v>.....</v>
      </c>
      <c r="AG66" t="str">
        <f t="shared" si="44"/>
        <v>..........</v>
      </c>
      <c r="AH66" t="str">
        <f t="shared" si="30"/>
        <v>..........</v>
      </c>
      <c r="AI66" t="str">
        <f t="shared" si="34"/>
        <v>.......</v>
      </c>
      <c r="AJ66" t="str">
        <f t="shared" si="35"/>
        <v>.......</v>
      </c>
    </row>
    <row r="67" spans="1:36" x14ac:dyDescent="0.25">
      <c r="A67" t="s">
        <v>54</v>
      </c>
      <c r="P67" t="str">
        <f t="shared" si="36"/>
        <v xml:space="preserve">   1187   69  0 </v>
      </c>
      <c r="Q67" t="str">
        <f t="shared" si="36"/>
        <v xml:space="preserve">   1.008 </v>
      </c>
      <c r="R67" t="str">
        <f t="shared" si="20"/>
        <v xml:space="preserve">     4.6 </v>
      </c>
      <c r="S67" t="str">
        <f t="shared" si="37"/>
        <v xml:space="preserve">     0.0 </v>
      </c>
      <c r="T67" t="str">
        <f t="shared" si="38"/>
        <v xml:space="preserve">    57.2 </v>
      </c>
      <c r="U67" t="str">
        <f t="shared" si="42"/>
        <v xml:space="preserve">         0.0 </v>
      </c>
      <c r="V67" t="str">
        <f t="shared" si="23"/>
        <v xml:space="preserve">    11.0 </v>
      </c>
      <c r="W67" t="str">
        <f t="shared" si="39"/>
        <v xml:space="preserve">     0.0</v>
      </c>
      <c r="X67" t="str">
        <f t="shared" si="43"/>
        <v/>
      </c>
      <c r="Y67" t="str">
        <f t="shared" si="43"/>
        <v/>
      </c>
      <c r="Z67" t="str">
        <f t="shared" si="43"/>
        <v/>
      </c>
      <c r="AA67" t="str">
        <f t="shared" si="26"/>
        <v/>
      </c>
      <c r="AB67" t="str">
        <f t="shared" si="40"/>
        <v/>
      </c>
      <c r="AC67" t="str">
        <f t="shared" si="41"/>
        <v/>
      </c>
      <c r="AD67" t="str">
        <f t="shared" si="42"/>
        <v/>
      </c>
      <c r="AE67" t="str">
        <f t="shared" si="29"/>
        <v/>
      </c>
      <c r="AF67" t="str">
        <f t="shared" si="44"/>
        <v/>
      </c>
      <c r="AG67" t="str">
        <f t="shared" si="44"/>
        <v/>
      </c>
      <c r="AH67" t="str">
        <f t="shared" si="30"/>
        <v/>
      </c>
      <c r="AI67" t="str">
        <f t="shared" si="34"/>
        <v/>
      </c>
      <c r="AJ67" t="str">
        <f t="shared" si="35"/>
        <v/>
      </c>
    </row>
    <row r="68" spans="1:36" x14ac:dyDescent="0.25">
      <c r="A68" t="s">
        <v>55</v>
      </c>
      <c r="P68" t="str">
        <f t="shared" si="36"/>
        <v xml:space="preserve">  CAXIA1-RS069  </v>
      </c>
      <c r="Q68" t="str">
        <f t="shared" si="36"/>
        <v xml:space="preserve">   -52.8 </v>
      </c>
      <c r="R68" t="str">
        <f t="shared" si="20"/>
        <v xml:space="preserve">     0.0 </v>
      </c>
      <c r="S68" t="str">
        <f t="shared" si="37"/>
        <v xml:space="preserve">     0.0 </v>
      </c>
      <c r="T68" t="str">
        <f t="shared" si="38"/>
        <v xml:space="preserve">    36.2 </v>
      </c>
      <c r="U68" t="str">
        <f t="shared" si="42"/>
        <v xml:space="preserve">         0.0 </v>
      </c>
      <c r="V68" t="str">
        <f t="shared" si="23"/>
        <v xml:space="preserve">     0.0 </v>
      </c>
      <c r="W68" t="str">
        <f t="shared" si="39"/>
        <v xml:space="preserve">     0.0 </v>
      </c>
      <c r="X68" t="str">
        <f t="shared" si="43"/>
        <v xml:space="preserve">       </v>
      </c>
      <c r="Y68" t="str">
        <f t="shared" si="43"/>
        <v xml:space="preserve">              </v>
      </c>
      <c r="Z68" t="str">
        <f t="shared" si="43"/>
        <v xml:space="preserve">    </v>
      </c>
      <c r="AA68" t="str">
        <f t="shared" si="26"/>
        <v xml:space="preserve">         </v>
      </c>
      <c r="AB68" t="str">
        <f t="shared" si="40"/>
        <v xml:space="preserve">         </v>
      </c>
      <c r="AC68" t="str">
        <f t="shared" si="41"/>
        <v xml:space="preserve">    </v>
      </c>
      <c r="AD68" t="str">
        <f t="shared" si="42"/>
        <v/>
      </c>
      <c r="AE68" t="str">
        <f t="shared" si="29"/>
        <v/>
      </c>
      <c r="AF68" t="str">
        <f t="shared" si="44"/>
        <v/>
      </c>
      <c r="AG68" t="str">
        <f t="shared" si="44"/>
        <v/>
      </c>
      <c r="AH68" t="str">
        <f t="shared" si="30"/>
        <v/>
      </c>
      <c r="AI68" t="str">
        <f t="shared" si="34"/>
        <v/>
      </c>
      <c r="AJ68" t="str">
        <f t="shared" si="35"/>
        <v/>
      </c>
    </row>
    <row r="69" spans="1:36" x14ac:dyDescent="0.25">
      <c r="A69" t="s">
        <v>56</v>
      </c>
      <c r="P69" t="str">
        <f t="shared" si="36"/>
        <v xml:space="preserve">              DE</v>
      </c>
      <c r="Q69" t="str">
        <f t="shared" si="36"/>
        <v xml:space="preserve">ESLIGADO </v>
      </c>
      <c r="R69" t="str">
        <f t="shared" si="20"/>
        <v xml:space="preserve">    75.0 </v>
      </c>
      <c r="S69" t="str">
        <f t="shared" si="37"/>
        <v xml:space="preserve">    90.0 </v>
      </c>
      <c r="T69" t="str">
        <f t="shared" si="38"/>
        <v xml:space="preserve">    90.0 </v>
      </c>
      <c r="U69" t="str">
        <f t="shared" si="42"/>
        <v xml:space="preserve">             </v>
      </c>
      <c r="V69" t="str">
        <f t="shared" si="23"/>
        <v xml:space="preserve">         </v>
      </c>
      <c r="W69" t="str">
        <f t="shared" si="39"/>
        <v xml:space="preserve">         </v>
      </c>
      <c r="X69" t="str">
        <f t="shared" si="43"/>
        <v xml:space="preserve">  1193 </v>
      </c>
      <c r="Y69" t="str">
        <f t="shared" si="43"/>
        <v xml:space="preserve"> CAXIA5-RS069 </v>
      </c>
      <c r="Z69" t="str">
        <f t="shared" si="43"/>
        <v xml:space="preserve">  1 </v>
      </c>
      <c r="AA69" t="str">
        <f t="shared" si="26"/>
        <v xml:space="preserve">     0.0 </v>
      </c>
      <c r="AB69" t="str">
        <f t="shared" si="40"/>
        <v xml:space="preserve">     0.0 </v>
      </c>
      <c r="AC69" t="str">
        <f t="shared" si="41"/>
        <v xml:space="preserve">     0.0 </v>
      </c>
      <c r="AD69" t="str">
        <f t="shared" si="42"/>
        <v xml:space="preserve">        </v>
      </c>
      <c r="AE69" t="str">
        <f t="shared" si="29"/>
        <v xml:space="preserve">       </v>
      </c>
      <c r="AF69" t="str">
        <f t="shared" si="44"/>
        <v xml:space="preserve">     </v>
      </c>
      <c r="AG69" t="str">
        <f t="shared" si="44"/>
        <v xml:space="preserve">     0.00 </v>
      </c>
      <c r="AH69" t="str">
        <f t="shared" si="30"/>
        <v xml:space="preserve">     0.00 </v>
      </c>
      <c r="AI69" t="str">
        <f t="shared" si="34"/>
        <v xml:space="preserve">       </v>
      </c>
      <c r="AJ69" t="str">
        <f t="shared" si="35"/>
        <v xml:space="preserve">      </v>
      </c>
    </row>
    <row r="70" spans="1:36" x14ac:dyDescent="0.25">
      <c r="A70" t="s">
        <v>57</v>
      </c>
      <c r="P70" t="str">
        <f t="shared" si="36"/>
        <v xml:space="preserve">                </v>
      </c>
      <c r="Q70" t="str">
        <f t="shared" si="36"/>
        <v xml:space="preserve">         </v>
      </c>
      <c r="R70" t="str">
        <f t="shared" si="20"/>
        <v xml:space="preserve">    75.0 </v>
      </c>
      <c r="S70" t="str">
        <f t="shared" si="37"/>
        <v xml:space="preserve">    90.0 </v>
      </c>
      <c r="T70" t="str">
        <f t="shared" si="38"/>
        <v xml:space="preserve">    90.0 </v>
      </c>
      <c r="U70" t="str">
        <f t="shared" si="42"/>
        <v xml:space="preserve">       77.2% </v>
      </c>
      <c r="V70" t="str">
        <f t="shared" si="23"/>
        <v xml:space="preserve">         </v>
      </c>
      <c r="W70" t="str">
        <f t="shared" si="39"/>
        <v xml:space="preserve">         </v>
      </c>
      <c r="X70" t="str">
        <f t="shared" si="43"/>
        <v xml:space="preserve"> 10222 </v>
      </c>
      <c r="Y70" t="str">
        <f t="shared" si="43"/>
        <v xml:space="preserve"> LUPATETAP069 </v>
      </c>
      <c r="Z70" t="str">
        <f t="shared" si="43"/>
        <v xml:space="preserve">  1 </v>
      </c>
      <c r="AA70" t="str">
        <f t="shared" si="26"/>
        <v xml:space="preserve">   -52.6 </v>
      </c>
      <c r="AB70" t="str">
        <f t="shared" si="40"/>
        <v xml:space="preserve">   -25.2 </v>
      </c>
      <c r="AC70" t="str">
        <f t="shared" si="41"/>
        <v xml:space="preserve">    57.9 </v>
      </c>
      <c r="AD70" t="str">
        <f t="shared" si="42"/>
        <v xml:space="preserve">        </v>
      </c>
      <c r="AE70" t="str">
        <f t="shared" si="29"/>
        <v xml:space="preserve">       </v>
      </c>
      <c r="AF70" t="str">
        <f t="shared" si="44"/>
        <v xml:space="preserve">     </v>
      </c>
      <c r="AG70" t="str">
        <f t="shared" si="44"/>
        <v xml:space="preserve">     0.29 </v>
      </c>
      <c r="AH70" t="str">
        <f t="shared" si="30"/>
        <v xml:space="preserve">     0.88 </v>
      </c>
      <c r="AI70" t="str">
        <f t="shared" si="34"/>
        <v xml:space="preserve">       </v>
      </c>
      <c r="AJ70" t="str">
        <f t="shared" si="35"/>
        <v xml:space="preserve">      </v>
      </c>
    </row>
    <row r="71" spans="1:36" x14ac:dyDescent="0.25">
      <c r="A71" t="s">
        <v>14</v>
      </c>
      <c r="P71" t="str">
        <f t="shared" si="36"/>
        <v xml:space="preserve">  ..............</v>
      </c>
      <c r="Q71" t="str">
        <f t="shared" si="36"/>
        <v>.........</v>
      </c>
      <c r="R71" t="str">
        <f t="shared" si="20"/>
        <v>.........</v>
      </c>
      <c r="S71" t="str">
        <f t="shared" si="37"/>
        <v>.........</v>
      </c>
      <c r="T71" t="str">
        <f t="shared" si="38"/>
        <v>.........</v>
      </c>
      <c r="U71" t="str">
        <f t="shared" si="42"/>
        <v>.............</v>
      </c>
      <c r="V71" t="str">
        <f t="shared" si="23"/>
        <v>.........</v>
      </c>
      <c r="W71" t="str">
        <f t="shared" si="39"/>
        <v>.........</v>
      </c>
      <c r="X71" t="str">
        <f t="shared" si="43"/>
        <v>.......</v>
      </c>
      <c r="Y71" t="str">
        <f t="shared" si="43"/>
        <v>..............</v>
      </c>
      <c r="Z71" t="str">
        <f t="shared" si="43"/>
        <v>....</v>
      </c>
      <c r="AA71" t="str">
        <f t="shared" si="26"/>
        <v>.........</v>
      </c>
      <c r="AB71" t="str">
        <f t="shared" si="40"/>
        <v>.........</v>
      </c>
      <c r="AC71" t="str">
        <f t="shared" si="41"/>
        <v>.........</v>
      </c>
      <c r="AD71" t="str">
        <f t="shared" si="42"/>
        <v>........</v>
      </c>
      <c r="AE71" t="str">
        <f t="shared" si="29"/>
        <v>.......</v>
      </c>
      <c r="AF71" t="str">
        <f t="shared" si="44"/>
        <v>.....</v>
      </c>
      <c r="AG71" t="str">
        <f t="shared" si="44"/>
        <v>..........</v>
      </c>
      <c r="AH71" t="str">
        <f t="shared" si="30"/>
        <v>..........</v>
      </c>
      <c r="AI71" t="str">
        <f t="shared" si="34"/>
        <v>.......</v>
      </c>
      <c r="AJ71" t="str">
        <f t="shared" si="35"/>
        <v>.......</v>
      </c>
    </row>
    <row r="72" spans="1:36" x14ac:dyDescent="0.25">
      <c r="A72" t="s">
        <v>58</v>
      </c>
      <c r="P72" t="str">
        <f t="shared" si="36"/>
        <v xml:space="preserve">   1193   69  0 </v>
      </c>
      <c r="Q72" t="str">
        <f t="shared" si="36"/>
        <v xml:space="preserve">   1.012 </v>
      </c>
      <c r="R72" t="str">
        <f t="shared" si="20"/>
        <v xml:space="preserve">     0.0 </v>
      </c>
      <c r="S72" t="str">
        <f t="shared" si="37"/>
        <v xml:space="preserve">     0.0 </v>
      </c>
      <c r="T72" t="str">
        <f t="shared" si="38"/>
        <v xml:space="preserve">     0.0 </v>
      </c>
      <c r="U72" t="str">
        <f t="shared" si="42"/>
        <v xml:space="preserve">         0.0 </v>
      </c>
      <c r="V72" t="str">
        <f t="shared" si="23"/>
        <v xml:space="preserve">     0.0 </v>
      </c>
      <c r="W72" t="str">
        <f t="shared" si="39"/>
        <v xml:space="preserve">     0.0</v>
      </c>
      <c r="X72" t="str">
        <f t="shared" si="43"/>
        <v/>
      </c>
      <c r="Y72" t="str">
        <f t="shared" si="43"/>
        <v/>
      </c>
      <c r="Z72" t="str">
        <f t="shared" si="43"/>
        <v/>
      </c>
      <c r="AA72" t="str">
        <f t="shared" si="26"/>
        <v/>
      </c>
      <c r="AB72" t="str">
        <f t="shared" si="40"/>
        <v/>
      </c>
      <c r="AC72" t="str">
        <f t="shared" si="41"/>
        <v/>
      </c>
      <c r="AD72" t="str">
        <f t="shared" si="42"/>
        <v/>
      </c>
      <c r="AE72" t="str">
        <f t="shared" si="29"/>
        <v/>
      </c>
      <c r="AF72" t="str">
        <f t="shared" si="44"/>
        <v/>
      </c>
      <c r="AG72" t="str">
        <f t="shared" si="44"/>
        <v/>
      </c>
      <c r="AH72" t="str">
        <f t="shared" si="30"/>
        <v/>
      </c>
      <c r="AI72" t="str">
        <f t="shared" si="34"/>
        <v/>
      </c>
      <c r="AJ72" t="str">
        <f t="shared" si="35"/>
        <v/>
      </c>
    </row>
    <row r="73" spans="1:36" x14ac:dyDescent="0.25">
      <c r="A73" t="s">
        <v>59</v>
      </c>
      <c r="P73" t="str">
        <f t="shared" si="36"/>
        <v xml:space="preserve">  CAXIA5-RS069  </v>
      </c>
      <c r="Q73" t="str">
        <f t="shared" si="36"/>
        <v xml:space="preserve">   -50.5 </v>
      </c>
      <c r="R73" t="str">
        <f t="shared" si="20"/>
        <v xml:space="preserve">     0.0 </v>
      </c>
      <c r="S73" t="str">
        <f t="shared" si="37"/>
        <v xml:space="preserve">     0.0 </v>
      </c>
      <c r="T73" t="str">
        <f t="shared" si="38"/>
        <v xml:space="preserve">     0.0 </v>
      </c>
      <c r="U73" t="str">
        <f t="shared" si="42"/>
        <v xml:space="preserve">         0.0 </v>
      </c>
      <c r="V73" t="str">
        <f t="shared" si="23"/>
        <v xml:space="preserve">     0.0 </v>
      </c>
      <c r="W73" t="str">
        <f t="shared" si="39"/>
        <v xml:space="preserve">     0.0 </v>
      </c>
      <c r="X73" t="str">
        <f t="shared" si="43"/>
        <v xml:space="preserve">       </v>
      </c>
      <c r="Y73" t="str">
        <f t="shared" si="43"/>
        <v xml:space="preserve">              </v>
      </c>
      <c r="Z73" t="str">
        <f t="shared" si="43"/>
        <v xml:space="preserve">    </v>
      </c>
      <c r="AA73" t="str">
        <f t="shared" si="26"/>
        <v xml:space="preserve">         </v>
      </c>
      <c r="AB73" t="str">
        <f t="shared" si="40"/>
        <v xml:space="preserve">         </v>
      </c>
      <c r="AC73" t="str">
        <f t="shared" si="41"/>
        <v xml:space="preserve">    </v>
      </c>
      <c r="AD73" t="str">
        <f t="shared" si="42"/>
        <v/>
      </c>
      <c r="AE73" t="str">
        <f t="shared" si="29"/>
        <v/>
      </c>
      <c r="AF73" t="str">
        <f t="shared" si="44"/>
        <v/>
      </c>
      <c r="AG73" t="str">
        <f t="shared" si="44"/>
        <v/>
      </c>
      <c r="AH73" t="str">
        <f t="shared" si="30"/>
        <v/>
      </c>
      <c r="AI73" t="str">
        <f t="shared" si="34"/>
        <v/>
      </c>
      <c r="AJ73" t="str">
        <f t="shared" si="35"/>
        <v/>
      </c>
    </row>
    <row r="74" spans="1:36" x14ac:dyDescent="0.25">
      <c r="A74" t="s">
        <v>60</v>
      </c>
      <c r="P74" t="str">
        <f t="shared" si="36"/>
        <v xml:space="preserve">              DE</v>
      </c>
      <c r="Q74" t="str">
        <f t="shared" si="36"/>
        <v xml:space="preserve">ESLIGADO </v>
      </c>
      <c r="R74" t="str">
        <f t="shared" si="20"/>
        <v xml:space="preserve">    75.0 </v>
      </c>
      <c r="S74" t="str">
        <f t="shared" si="37"/>
        <v xml:space="preserve">    90.0 </v>
      </c>
      <c r="T74" t="str">
        <f t="shared" si="38"/>
        <v xml:space="preserve">    90.0 </v>
      </c>
      <c r="U74" t="str">
        <f t="shared" si="42"/>
        <v xml:space="preserve">             </v>
      </c>
      <c r="V74" t="str">
        <f t="shared" si="23"/>
        <v xml:space="preserve">         </v>
      </c>
      <c r="W74" t="str">
        <f t="shared" si="39"/>
        <v xml:space="preserve">         </v>
      </c>
      <c r="X74" t="str">
        <f t="shared" si="43"/>
        <v xml:space="preserve">  1187 </v>
      </c>
      <c r="Y74" t="str">
        <f t="shared" si="43"/>
        <v xml:space="preserve"> CAXIA1-RS069 </v>
      </c>
      <c r="Z74" t="str">
        <f t="shared" si="43"/>
        <v xml:space="preserve">  1 </v>
      </c>
      <c r="AA74" t="str">
        <f t="shared" si="26"/>
        <v xml:space="preserve">     0.0 </v>
      </c>
      <c r="AB74" t="str">
        <f t="shared" si="40"/>
        <v xml:space="preserve">    -0.1 </v>
      </c>
      <c r="AC74" t="str">
        <f t="shared" si="41"/>
        <v xml:space="preserve">     0.1 </v>
      </c>
      <c r="AD74" t="str">
        <f t="shared" si="42"/>
        <v xml:space="preserve">        </v>
      </c>
      <c r="AE74" t="str">
        <f t="shared" si="29"/>
        <v xml:space="preserve">       </v>
      </c>
      <c r="AF74" t="str">
        <f t="shared" si="44"/>
        <v xml:space="preserve">     </v>
      </c>
      <c r="AG74" t="str">
        <f t="shared" si="44"/>
        <v xml:space="preserve">     0.00 </v>
      </c>
      <c r="AH74" t="str">
        <f t="shared" si="30"/>
        <v xml:space="preserve">    -0.13 </v>
      </c>
      <c r="AI74" t="str">
        <f t="shared" si="34"/>
        <v xml:space="preserve"> 1.012 </v>
      </c>
      <c r="AJ74" t="str">
        <f t="shared" si="35"/>
        <v xml:space="preserve"> -50.5</v>
      </c>
    </row>
    <row r="75" spans="1:36" x14ac:dyDescent="0.25">
      <c r="A75" t="s">
        <v>61</v>
      </c>
      <c r="P75" t="str">
        <f t="shared" si="36"/>
        <v xml:space="preserve">                </v>
      </c>
      <c r="Q75" t="str">
        <f t="shared" si="36"/>
        <v xml:space="preserve">         </v>
      </c>
      <c r="R75" t="str">
        <f t="shared" si="20"/>
        <v xml:space="preserve">    84.0 </v>
      </c>
      <c r="S75" t="str">
        <f t="shared" si="37"/>
        <v xml:space="preserve">   101.0 </v>
      </c>
      <c r="T75" t="str">
        <f t="shared" si="38"/>
        <v xml:space="preserve">   101.0 </v>
      </c>
      <c r="U75" t="str">
        <f t="shared" si="42"/>
        <v xml:space="preserve">        0.2% </v>
      </c>
      <c r="V75" t="str">
        <f t="shared" si="23"/>
        <v xml:space="preserve">         </v>
      </c>
      <c r="W75" t="str">
        <f t="shared" si="39"/>
        <v xml:space="preserve">         </v>
      </c>
      <c r="X75" t="str">
        <f t="shared" si="43"/>
        <v xml:space="preserve">  1201 </v>
      </c>
      <c r="Y75" t="str">
        <f t="shared" si="43"/>
        <v xml:space="preserve"> CAXIA2-RS069 </v>
      </c>
      <c r="Z75" t="str">
        <f t="shared" si="43"/>
        <v xml:space="preserve">  1 </v>
      </c>
      <c r="AA75" t="str">
        <f t="shared" si="26"/>
        <v xml:space="preserve">    -0.0 </v>
      </c>
      <c r="AB75" t="str">
        <f t="shared" si="40"/>
        <v xml:space="preserve">     0.1 </v>
      </c>
      <c r="AC75" t="str">
        <f t="shared" si="41"/>
        <v xml:space="preserve">     0.1 </v>
      </c>
      <c r="AD75" t="str">
        <f t="shared" si="42"/>
        <v xml:space="preserve">        </v>
      </c>
      <c r="AE75" t="str">
        <f t="shared" si="29"/>
        <v xml:space="preserve">       </v>
      </c>
      <c r="AF75" t="str">
        <f t="shared" si="44"/>
        <v xml:space="preserve">     </v>
      </c>
      <c r="AG75" t="str">
        <f t="shared" si="44"/>
        <v xml:space="preserve">     0.00 </v>
      </c>
      <c r="AH75" t="str">
        <f t="shared" si="30"/>
        <v xml:space="preserve">    -0.08 </v>
      </c>
      <c r="AI75" t="str">
        <f t="shared" si="34"/>
        <v xml:space="preserve">       </v>
      </c>
      <c r="AJ75" t="str">
        <f t="shared" si="35"/>
        <v xml:space="preserve">      </v>
      </c>
    </row>
    <row r="76" spans="1:36" x14ac:dyDescent="0.25">
      <c r="A76" t="s">
        <v>14</v>
      </c>
      <c r="P76" t="str">
        <f t="shared" si="36"/>
        <v xml:space="preserve">  ..............</v>
      </c>
      <c r="Q76" t="str">
        <f t="shared" si="36"/>
        <v>.........</v>
      </c>
      <c r="R76" t="str">
        <f t="shared" ref="R76:R139" si="45">MID($A76,Q$8+Q$9-1,R$9)</f>
        <v>.........</v>
      </c>
      <c r="S76" t="str">
        <f t="shared" si="37"/>
        <v>.........</v>
      </c>
      <c r="T76" t="str">
        <f t="shared" si="38"/>
        <v>.........</v>
      </c>
      <c r="U76" t="str">
        <f t="shared" si="42"/>
        <v>.............</v>
      </c>
      <c r="V76" t="str">
        <f t="shared" ref="V76:V139" si="46">MID($A76,U$8+U$9-1,V$9)</f>
        <v>.........</v>
      </c>
      <c r="W76" t="str">
        <f t="shared" si="39"/>
        <v>.........</v>
      </c>
      <c r="X76" t="str">
        <f t="shared" si="43"/>
        <v>.......</v>
      </c>
      <c r="Y76" t="str">
        <f t="shared" si="43"/>
        <v>..............</v>
      </c>
      <c r="Z76" t="str">
        <f t="shared" si="43"/>
        <v>....</v>
      </c>
      <c r="AA76" t="str">
        <f t="shared" ref="AA76:AA139" si="47">MID($A76,Z$8+Z$9-1,AA$9)</f>
        <v>.........</v>
      </c>
      <c r="AB76" t="str">
        <f t="shared" si="40"/>
        <v>.........</v>
      </c>
      <c r="AC76" t="str">
        <f t="shared" si="41"/>
        <v>.........</v>
      </c>
      <c r="AD76" t="str">
        <f t="shared" si="42"/>
        <v>........</v>
      </c>
      <c r="AE76" t="str">
        <f t="shared" ref="AE76:AE139" si="48">MID($A76,AD$8+AD$9-1,AE$9)</f>
        <v>.......</v>
      </c>
      <c r="AF76" t="str">
        <f t="shared" si="44"/>
        <v>.....</v>
      </c>
      <c r="AG76" t="str">
        <f t="shared" si="44"/>
        <v>..........</v>
      </c>
      <c r="AH76" t="str">
        <f t="shared" ref="AH76:AH139" si="49">MID($A76,AG$8+AG$9-1,AH$9)</f>
        <v>..........</v>
      </c>
      <c r="AI76" t="str">
        <f t="shared" si="34"/>
        <v>.......</v>
      </c>
      <c r="AJ76" t="str">
        <f t="shared" si="35"/>
        <v>.......</v>
      </c>
    </row>
    <row r="77" spans="1:36" x14ac:dyDescent="0.25">
      <c r="A77" t="s">
        <v>62</v>
      </c>
      <c r="P77" t="str">
        <f t="shared" si="36"/>
        <v xml:space="preserve">   1195   69  0 </v>
      </c>
      <c r="Q77" t="str">
        <f t="shared" si="36"/>
        <v xml:space="preserve">   1.009 </v>
      </c>
      <c r="R77" t="str">
        <f t="shared" si="45"/>
        <v xml:space="preserve">    22.0 </v>
      </c>
      <c r="S77" t="str">
        <f t="shared" si="37"/>
        <v xml:space="preserve">     0.0 </v>
      </c>
      <c r="T77" t="str">
        <f t="shared" si="38"/>
        <v xml:space="preserve">    85.1 </v>
      </c>
      <c r="U77" t="str">
        <f t="shared" si="42"/>
        <v xml:space="preserve">         0.0 </v>
      </c>
      <c r="V77" t="str">
        <f t="shared" si="46"/>
        <v xml:space="preserve">    11.0 </v>
      </c>
      <c r="W77" t="str">
        <f t="shared" si="39"/>
        <v xml:space="preserve">     0.0</v>
      </c>
      <c r="X77" t="str">
        <f t="shared" si="43"/>
        <v/>
      </c>
      <c r="Y77" t="str">
        <f t="shared" si="43"/>
        <v/>
      </c>
      <c r="Z77" t="str">
        <f t="shared" si="43"/>
        <v/>
      </c>
      <c r="AA77" t="str">
        <f t="shared" si="47"/>
        <v/>
      </c>
      <c r="AB77" t="str">
        <f t="shared" si="40"/>
        <v/>
      </c>
      <c r="AC77" t="str">
        <f t="shared" si="41"/>
        <v/>
      </c>
      <c r="AD77" t="str">
        <f t="shared" si="42"/>
        <v/>
      </c>
      <c r="AE77" t="str">
        <f t="shared" si="48"/>
        <v/>
      </c>
      <c r="AF77" t="str">
        <f t="shared" si="44"/>
        <v/>
      </c>
      <c r="AG77" t="str">
        <f t="shared" si="44"/>
        <v/>
      </c>
      <c r="AH77" t="str">
        <f t="shared" si="49"/>
        <v/>
      </c>
      <c r="AI77" t="str">
        <f t="shared" si="34"/>
        <v/>
      </c>
      <c r="AJ77" t="str">
        <f t="shared" si="35"/>
        <v/>
      </c>
    </row>
    <row r="78" spans="1:36" x14ac:dyDescent="0.25">
      <c r="A78" t="s">
        <v>63</v>
      </c>
      <c r="P78" t="str">
        <f t="shared" si="36"/>
        <v xml:space="preserve">  CAMAQU-RS069  </v>
      </c>
      <c r="Q78" t="str">
        <f t="shared" si="36"/>
        <v xml:space="preserve">   -52.5 </v>
      </c>
      <c r="R78" t="str">
        <f t="shared" si="45"/>
        <v xml:space="preserve">     0.0 </v>
      </c>
      <c r="S78" t="str">
        <f t="shared" si="37"/>
        <v xml:space="preserve">     0.0 </v>
      </c>
      <c r="T78" t="str">
        <f t="shared" si="38"/>
        <v xml:space="preserve">    26.6 </v>
      </c>
      <c r="U78" t="str">
        <f t="shared" si="42"/>
        <v xml:space="preserve">         0.0 </v>
      </c>
      <c r="V78" t="str">
        <f t="shared" si="46"/>
        <v xml:space="preserve">     0.0 </v>
      </c>
      <c r="W78" t="str">
        <f t="shared" si="39"/>
        <v xml:space="preserve">     0.0 </v>
      </c>
      <c r="X78" t="str">
        <f t="shared" si="43"/>
        <v xml:space="preserve">       </v>
      </c>
      <c r="Y78" t="str">
        <f t="shared" si="43"/>
        <v xml:space="preserve">              </v>
      </c>
      <c r="Z78" t="str">
        <f t="shared" si="43"/>
        <v xml:space="preserve">    </v>
      </c>
      <c r="AA78" t="str">
        <f t="shared" si="47"/>
        <v xml:space="preserve">         </v>
      </c>
      <c r="AB78" t="str">
        <f t="shared" si="40"/>
        <v xml:space="preserve">         </v>
      </c>
      <c r="AC78" t="str">
        <f t="shared" si="41"/>
        <v xml:space="preserve">    </v>
      </c>
      <c r="AD78" t="str">
        <f t="shared" si="42"/>
        <v/>
      </c>
      <c r="AE78" t="str">
        <f t="shared" si="48"/>
        <v/>
      </c>
      <c r="AF78" t="str">
        <f t="shared" si="44"/>
        <v/>
      </c>
      <c r="AG78" t="str">
        <f t="shared" si="44"/>
        <v/>
      </c>
      <c r="AH78" t="str">
        <f t="shared" si="49"/>
        <v/>
      </c>
      <c r="AI78" t="str">
        <f t="shared" si="34"/>
        <v/>
      </c>
      <c r="AJ78" t="str">
        <f t="shared" si="35"/>
        <v/>
      </c>
    </row>
    <row r="79" spans="1:36" x14ac:dyDescent="0.25">
      <c r="A79" t="s">
        <v>64</v>
      </c>
      <c r="P79" t="str">
        <f t="shared" si="36"/>
        <v xml:space="preserve">                </v>
      </c>
      <c r="Q79" t="str">
        <f t="shared" si="36"/>
        <v xml:space="preserve">         </v>
      </c>
      <c r="R79" t="str">
        <f t="shared" si="45"/>
        <v xml:space="preserve">    75.0 </v>
      </c>
      <c r="S79" t="str">
        <f t="shared" si="37"/>
        <v xml:space="preserve">    90.0 </v>
      </c>
      <c r="T79" t="str">
        <f t="shared" si="38"/>
        <v xml:space="preserve">    90.0 </v>
      </c>
      <c r="U79" t="str">
        <f t="shared" si="42"/>
        <v xml:space="preserve">       33.4% </v>
      </c>
      <c r="V79" t="str">
        <f t="shared" si="46"/>
        <v xml:space="preserve">         </v>
      </c>
      <c r="W79" t="str">
        <f t="shared" si="39"/>
        <v xml:space="preserve">         </v>
      </c>
      <c r="X79" t="str">
        <f t="shared" si="43"/>
        <v xml:space="preserve">  9570 </v>
      </c>
      <c r="Y79" t="str">
        <f t="shared" si="43"/>
        <v xml:space="preserve"> CAMAQ3-RS069 </v>
      </c>
      <c r="Z79" t="str">
        <f t="shared" si="43"/>
        <v xml:space="preserve">  1 </v>
      </c>
      <c r="AA79" t="str">
        <f t="shared" si="47"/>
        <v xml:space="preserve">   -25.1 </v>
      </c>
      <c r="AB79" t="str">
        <f t="shared" si="40"/>
        <v xml:space="preserve">    -3.5 </v>
      </c>
      <c r="AC79" t="str">
        <f t="shared" si="41"/>
        <v xml:space="preserve">    25.1 </v>
      </c>
      <c r="AD79" t="str">
        <f t="shared" si="42"/>
        <v xml:space="preserve">        </v>
      </c>
      <c r="AE79" t="str">
        <f t="shared" si="48"/>
        <v xml:space="preserve">       </v>
      </c>
      <c r="AF79" t="str">
        <f t="shared" si="44"/>
        <v xml:space="preserve">     </v>
      </c>
      <c r="AG79" t="str">
        <f t="shared" si="44"/>
        <v xml:space="preserve">     0.05 </v>
      </c>
      <c r="AH79" t="str">
        <f t="shared" si="49"/>
        <v xml:space="preserve">     0.14 </v>
      </c>
      <c r="AI79" t="str">
        <f t="shared" si="34"/>
        <v xml:space="preserve">       </v>
      </c>
      <c r="AJ79" t="str">
        <f t="shared" si="35"/>
        <v xml:space="preserve">      </v>
      </c>
    </row>
    <row r="80" spans="1:36" x14ac:dyDescent="0.25">
      <c r="A80" t="s">
        <v>65</v>
      </c>
      <c r="P80" t="str">
        <f t="shared" si="36"/>
        <v xml:space="preserve">                </v>
      </c>
      <c r="Q80" t="str">
        <f t="shared" si="36"/>
        <v xml:space="preserve">         </v>
      </c>
      <c r="R80" t="str">
        <f t="shared" si="45"/>
        <v xml:space="preserve">    83.0 </v>
      </c>
      <c r="S80" t="str">
        <f t="shared" si="37"/>
        <v xml:space="preserve">   124.0 </v>
      </c>
      <c r="T80" t="str">
        <f t="shared" si="38"/>
        <v xml:space="preserve">   124.0 </v>
      </c>
      <c r="U80" t="str">
        <f t="shared" si="42"/>
        <v xml:space="preserve">       23.9% </v>
      </c>
      <c r="V80" t="str">
        <f t="shared" si="46"/>
        <v xml:space="preserve">         </v>
      </c>
      <c r="W80" t="str">
        <f t="shared" si="39"/>
        <v xml:space="preserve">         </v>
      </c>
      <c r="X80" t="str">
        <f t="shared" si="43"/>
        <v xml:space="preserve"> 41221 </v>
      </c>
      <c r="Y80" t="str">
        <f t="shared" si="43"/>
        <v xml:space="preserve"> CAMA-1-RS000 </v>
      </c>
      <c r="Z80" t="str">
        <f t="shared" si="43"/>
        <v xml:space="preserve">  1 </v>
      </c>
      <c r="AA80" t="str">
        <f t="shared" si="47"/>
        <v xml:space="preserve">   -19.1 </v>
      </c>
      <c r="AB80" t="str">
        <f t="shared" si="40"/>
        <v xml:space="preserve">    -6.1 </v>
      </c>
      <c r="AC80" t="str">
        <f t="shared" si="41"/>
        <v xml:space="preserve">    19.8 </v>
      </c>
      <c r="AD80" t="str">
        <f t="shared" si="42"/>
        <v xml:space="preserve"> 1.000F </v>
      </c>
      <c r="AE80" t="str">
        <f t="shared" si="48"/>
        <v xml:space="preserve">       </v>
      </c>
      <c r="AF80" t="str">
        <f t="shared" si="44"/>
        <v xml:space="preserve"> 002 </v>
      </c>
      <c r="AG80" t="str">
        <f t="shared" si="44"/>
        <v xml:space="preserve">     0.01 </v>
      </c>
      <c r="AH80" t="str">
        <f t="shared" si="49"/>
        <v xml:space="preserve">    -0.04 </v>
      </c>
      <c r="AI80" t="str">
        <f t="shared" si="34"/>
        <v xml:space="preserve">       </v>
      </c>
      <c r="AJ80" t="str">
        <f t="shared" si="35"/>
        <v xml:space="preserve">      </v>
      </c>
    </row>
    <row r="81" spans="1:36" x14ac:dyDescent="0.25">
      <c r="A81" t="s">
        <v>66</v>
      </c>
      <c r="P81" t="str">
        <f t="shared" si="36"/>
        <v xml:space="preserve">                </v>
      </c>
      <c r="Q81" t="str">
        <f t="shared" si="36"/>
        <v xml:space="preserve">         </v>
      </c>
      <c r="R81" t="str">
        <f t="shared" si="45"/>
        <v xml:space="preserve">    83.0 </v>
      </c>
      <c r="S81" t="str">
        <f t="shared" si="37"/>
        <v xml:space="preserve">    83.0 </v>
      </c>
      <c r="T81" t="str">
        <f t="shared" si="38"/>
        <v xml:space="preserve">    83.0 </v>
      </c>
      <c r="U81" t="str">
        <f t="shared" si="42"/>
        <v xml:space="preserve">       23.8% </v>
      </c>
      <c r="V81" t="str">
        <f t="shared" si="46"/>
        <v xml:space="preserve">         </v>
      </c>
      <c r="W81" t="str">
        <f t="shared" si="39"/>
        <v xml:space="preserve">         </v>
      </c>
      <c r="X81" t="str">
        <f t="shared" si="43"/>
        <v xml:space="preserve"> 41222 </v>
      </c>
      <c r="Y81" t="str">
        <f t="shared" si="43"/>
        <v xml:space="preserve"> CAMA-5-RS000 </v>
      </c>
      <c r="Z81" t="str">
        <f t="shared" si="43"/>
        <v xml:space="preserve">  5 </v>
      </c>
      <c r="AA81" t="str">
        <f t="shared" si="47"/>
        <v xml:space="preserve">   -19.0 </v>
      </c>
      <c r="AB81" t="str">
        <f t="shared" si="40"/>
        <v xml:space="preserve">    -6.0 </v>
      </c>
      <c r="AC81" t="str">
        <f t="shared" si="41"/>
        <v xml:space="preserve">    19.7 </v>
      </c>
      <c r="AD81" t="str">
        <f t="shared" si="42"/>
        <v xml:space="preserve"> 1.000F </v>
      </c>
      <c r="AE81" t="str">
        <f t="shared" si="48"/>
        <v xml:space="preserve">       </v>
      </c>
      <c r="AF81" t="str">
        <f t="shared" si="44"/>
        <v xml:space="preserve"> 002 </v>
      </c>
      <c r="AG81" t="str">
        <f t="shared" si="44"/>
        <v xml:space="preserve">     0.01 </v>
      </c>
      <c r="AH81" t="str">
        <f t="shared" si="49"/>
        <v xml:space="preserve">    -0.03 </v>
      </c>
      <c r="AI81" t="str">
        <f t="shared" si="34"/>
        <v xml:space="preserve">       </v>
      </c>
      <c r="AJ81" t="str">
        <f t="shared" si="35"/>
        <v xml:space="preserve">      </v>
      </c>
    </row>
    <row r="82" spans="1:36" x14ac:dyDescent="0.25">
      <c r="A82" t="s">
        <v>14</v>
      </c>
      <c r="P82" t="str">
        <f t="shared" si="36"/>
        <v xml:space="preserve">  ..............</v>
      </c>
      <c r="Q82" t="str">
        <f t="shared" si="36"/>
        <v>.........</v>
      </c>
      <c r="R82" t="str">
        <f t="shared" si="45"/>
        <v>.........</v>
      </c>
      <c r="S82" t="str">
        <f t="shared" si="37"/>
        <v>.........</v>
      </c>
      <c r="T82" t="str">
        <f t="shared" si="38"/>
        <v>.........</v>
      </c>
      <c r="U82" t="str">
        <f t="shared" si="42"/>
        <v>.............</v>
      </c>
      <c r="V82" t="str">
        <f t="shared" si="46"/>
        <v>.........</v>
      </c>
      <c r="W82" t="str">
        <f t="shared" si="39"/>
        <v>.........</v>
      </c>
      <c r="X82" t="str">
        <f t="shared" si="43"/>
        <v>.......</v>
      </c>
      <c r="Y82" t="str">
        <f t="shared" si="43"/>
        <v>..............</v>
      </c>
      <c r="Z82" t="str">
        <f t="shared" si="43"/>
        <v>....</v>
      </c>
      <c r="AA82" t="str">
        <f t="shared" si="47"/>
        <v>.........</v>
      </c>
      <c r="AB82" t="str">
        <f t="shared" si="40"/>
        <v>.........</v>
      </c>
      <c r="AC82" t="str">
        <f t="shared" si="41"/>
        <v>.........</v>
      </c>
      <c r="AD82" t="str">
        <f t="shared" si="42"/>
        <v>........</v>
      </c>
      <c r="AE82" t="str">
        <f t="shared" si="48"/>
        <v>.......</v>
      </c>
      <c r="AF82" t="str">
        <f t="shared" si="44"/>
        <v>.....</v>
      </c>
      <c r="AG82" t="str">
        <f t="shared" si="44"/>
        <v>..........</v>
      </c>
      <c r="AH82" t="str">
        <f t="shared" si="49"/>
        <v>..........</v>
      </c>
      <c r="AI82" t="str">
        <f t="shared" si="34"/>
        <v>.......</v>
      </c>
      <c r="AJ82" t="str">
        <f t="shared" si="35"/>
        <v>.......</v>
      </c>
    </row>
    <row r="83" spans="1:36" x14ac:dyDescent="0.25">
      <c r="A83" t="s">
        <v>67</v>
      </c>
      <c r="P83" t="str">
        <f t="shared" si="36"/>
        <v xml:space="preserve">   1196   69  0 </v>
      </c>
      <c r="Q83" t="str">
        <f t="shared" si="36"/>
        <v xml:space="preserve">   1.021 </v>
      </c>
      <c r="R83" t="str">
        <f t="shared" si="45"/>
        <v xml:space="preserve">    14.1 </v>
      </c>
      <c r="S83" t="str">
        <f t="shared" si="37"/>
        <v xml:space="preserve">     0.0 </v>
      </c>
      <c r="T83" t="str">
        <f t="shared" si="38"/>
        <v xml:space="preserve">   126.7 </v>
      </c>
      <c r="U83" t="str">
        <f t="shared" si="42"/>
        <v xml:space="preserve">         0.0 </v>
      </c>
      <c r="V83" t="str">
        <f t="shared" si="46"/>
        <v xml:space="preserve">    33.8 </v>
      </c>
      <c r="W83" t="str">
        <f t="shared" si="39"/>
        <v xml:space="preserve">     0.0</v>
      </c>
      <c r="X83" t="str">
        <f t="shared" si="43"/>
        <v/>
      </c>
      <c r="Y83" t="str">
        <f t="shared" si="43"/>
        <v/>
      </c>
      <c r="Z83" t="str">
        <f t="shared" si="43"/>
        <v/>
      </c>
      <c r="AA83" t="str">
        <f t="shared" si="47"/>
        <v/>
      </c>
      <c r="AB83" t="str">
        <f t="shared" si="40"/>
        <v/>
      </c>
      <c r="AC83" t="str">
        <f t="shared" si="41"/>
        <v/>
      </c>
      <c r="AD83" t="str">
        <f t="shared" si="42"/>
        <v/>
      </c>
      <c r="AE83" t="str">
        <f t="shared" si="48"/>
        <v/>
      </c>
      <c r="AF83" t="str">
        <f t="shared" si="44"/>
        <v/>
      </c>
      <c r="AG83" t="str">
        <f t="shared" si="44"/>
        <v/>
      </c>
      <c r="AH83" t="str">
        <f t="shared" si="49"/>
        <v/>
      </c>
      <c r="AI83" t="str">
        <f t="shared" si="34"/>
        <v/>
      </c>
      <c r="AJ83" t="str">
        <f t="shared" si="35"/>
        <v/>
      </c>
    </row>
    <row r="84" spans="1:36" x14ac:dyDescent="0.25">
      <c r="A84" t="s">
        <v>68</v>
      </c>
      <c r="P84" t="str">
        <f t="shared" si="36"/>
        <v xml:space="preserve">  CAMPOB-RS069  </v>
      </c>
      <c r="Q84" t="str">
        <f t="shared" si="36"/>
        <v xml:space="preserve">   -54.0 </v>
      </c>
      <c r="R84" t="str">
        <f t="shared" si="45"/>
        <v xml:space="preserve">     0.0 </v>
      </c>
      <c r="S84" t="str">
        <f t="shared" si="37"/>
        <v xml:space="preserve">     0.0 </v>
      </c>
      <c r="T84" t="str">
        <f t="shared" si="38"/>
        <v xml:space="preserve">    60.9 </v>
      </c>
      <c r="U84" t="str">
        <f t="shared" si="42"/>
        <v xml:space="preserve">         0.0 </v>
      </c>
      <c r="V84" t="str">
        <f t="shared" si="46"/>
        <v xml:space="preserve">     0.0 </v>
      </c>
      <c r="W84" t="str">
        <f t="shared" si="39"/>
        <v xml:space="preserve">     0.0 </v>
      </c>
      <c r="X84" t="str">
        <f t="shared" si="43"/>
        <v xml:space="preserve">       </v>
      </c>
      <c r="Y84" t="str">
        <f t="shared" si="43"/>
        <v xml:space="preserve">              </v>
      </c>
      <c r="Z84" t="str">
        <f t="shared" si="43"/>
        <v xml:space="preserve">    </v>
      </c>
      <c r="AA84" t="str">
        <f t="shared" si="47"/>
        <v xml:space="preserve">         </v>
      </c>
      <c r="AB84" t="str">
        <f t="shared" si="40"/>
        <v xml:space="preserve">         </v>
      </c>
      <c r="AC84" t="str">
        <f t="shared" si="41"/>
        <v xml:space="preserve">    </v>
      </c>
      <c r="AD84" t="str">
        <f t="shared" si="42"/>
        <v/>
      </c>
      <c r="AE84" t="str">
        <f t="shared" si="48"/>
        <v/>
      </c>
      <c r="AF84" t="str">
        <f t="shared" si="44"/>
        <v/>
      </c>
      <c r="AG84" t="str">
        <f t="shared" si="44"/>
        <v/>
      </c>
      <c r="AH84" t="str">
        <f t="shared" si="49"/>
        <v/>
      </c>
      <c r="AI84" t="str">
        <f t="shared" si="34"/>
        <v/>
      </c>
      <c r="AJ84" t="str">
        <f t="shared" si="35"/>
        <v/>
      </c>
    </row>
    <row r="85" spans="1:36" x14ac:dyDescent="0.25">
      <c r="A85" t="s">
        <v>69</v>
      </c>
      <c r="P85" t="str">
        <f t="shared" si="36"/>
        <v xml:space="preserve">                </v>
      </c>
      <c r="Q85" t="str">
        <f t="shared" si="36"/>
        <v xml:space="preserve">         </v>
      </c>
      <c r="R85" t="str">
        <f t="shared" si="45"/>
        <v xml:space="preserve">    83.0 </v>
      </c>
      <c r="S85" t="str">
        <f t="shared" si="37"/>
        <v xml:space="preserve">   125.0 </v>
      </c>
      <c r="T85" t="str">
        <f t="shared" si="38"/>
        <v xml:space="preserve">   125.0 </v>
      </c>
      <c r="U85" t="str">
        <f t="shared" si="42"/>
        <v xml:space="preserve">       45.0% </v>
      </c>
      <c r="V85" t="str">
        <f t="shared" si="46"/>
        <v xml:space="preserve">         </v>
      </c>
      <c r="W85" t="str">
        <f t="shared" si="39"/>
        <v xml:space="preserve">         </v>
      </c>
      <c r="X85" t="str">
        <f t="shared" si="43"/>
        <v xml:space="preserve"> 41232 </v>
      </c>
      <c r="Y85" t="str">
        <f t="shared" si="43"/>
        <v xml:space="preserve"> CBOM-1-RS000 </v>
      </c>
      <c r="Z85" t="str">
        <f t="shared" si="43"/>
        <v xml:space="preserve">  1 </v>
      </c>
      <c r="AA85" t="str">
        <f t="shared" si="47"/>
        <v xml:space="preserve">   -37.1 </v>
      </c>
      <c r="AB85" t="str">
        <f t="shared" si="40"/>
        <v xml:space="preserve">    -8.9 </v>
      </c>
      <c r="AC85" t="str">
        <f t="shared" si="41"/>
        <v xml:space="preserve">    37.3 </v>
      </c>
      <c r="AD85" t="str">
        <f t="shared" si="42"/>
        <v xml:space="preserve"> 1.000F </v>
      </c>
      <c r="AE85" t="str">
        <f t="shared" si="48"/>
        <v xml:space="preserve">       </v>
      </c>
      <c r="AF85" t="str">
        <f t="shared" si="44"/>
        <v xml:space="preserve"> 002 </v>
      </c>
      <c r="AG85" t="str">
        <f t="shared" si="44"/>
        <v xml:space="preserve">     0.02 </v>
      </c>
      <c r="AH85" t="str">
        <f t="shared" si="49"/>
        <v xml:space="preserve">    -0.10 </v>
      </c>
      <c r="AI85" t="str">
        <f t="shared" si="34"/>
        <v xml:space="preserve">       </v>
      </c>
      <c r="AJ85" t="str">
        <f t="shared" si="35"/>
        <v xml:space="preserve">      </v>
      </c>
    </row>
    <row r="86" spans="1:36" x14ac:dyDescent="0.25">
      <c r="A86" t="s">
        <v>70</v>
      </c>
      <c r="P86" t="str">
        <f t="shared" si="36"/>
        <v xml:space="preserve">                </v>
      </c>
      <c r="Q86" t="str">
        <f t="shared" si="36"/>
        <v xml:space="preserve">         </v>
      </c>
      <c r="R86" t="str">
        <f t="shared" si="45"/>
        <v xml:space="preserve">    83.0 </v>
      </c>
      <c r="S86" t="str">
        <f t="shared" si="37"/>
        <v xml:space="preserve">   120.0 </v>
      </c>
      <c r="T86" t="str">
        <f t="shared" si="38"/>
        <v xml:space="preserve">   120.0 </v>
      </c>
      <c r="U86" t="str">
        <f t="shared" si="42"/>
        <v xml:space="preserve">       44.8% </v>
      </c>
      <c r="V86" t="str">
        <f t="shared" si="46"/>
        <v xml:space="preserve">         </v>
      </c>
      <c r="W86" t="str">
        <f t="shared" si="39"/>
        <v xml:space="preserve">         </v>
      </c>
      <c r="X86" t="str">
        <f t="shared" si="43"/>
        <v xml:space="preserve"> 41233 </v>
      </c>
      <c r="Y86" t="str">
        <f t="shared" si="43"/>
        <v xml:space="preserve"> CBOM-2-RS000 </v>
      </c>
      <c r="Z86" t="str">
        <f t="shared" si="43"/>
        <v xml:space="preserve">  2 </v>
      </c>
      <c r="AA86" t="str">
        <f t="shared" si="47"/>
        <v xml:space="preserve">   -36.9 </v>
      </c>
      <c r="AB86" t="str">
        <f t="shared" si="40"/>
        <v xml:space="preserve">    -8.9 </v>
      </c>
      <c r="AC86" t="str">
        <f t="shared" si="41"/>
        <v xml:space="preserve">    37.2 </v>
      </c>
      <c r="AD86" t="str">
        <f t="shared" si="42"/>
        <v xml:space="preserve"> 1.000F </v>
      </c>
      <c r="AE86" t="str">
        <f t="shared" si="48"/>
        <v xml:space="preserve">       </v>
      </c>
      <c r="AF86" t="str">
        <f t="shared" si="44"/>
        <v xml:space="preserve"> 002 </v>
      </c>
      <c r="AG86" t="str">
        <f t="shared" si="44"/>
        <v xml:space="preserve">     0.02 </v>
      </c>
      <c r="AH86" t="str">
        <f t="shared" si="49"/>
        <v xml:space="preserve">    -0.12 </v>
      </c>
      <c r="AI86" t="str">
        <f t="shared" si="34"/>
        <v xml:space="preserve">       </v>
      </c>
      <c r="AJ86" t="str">
        <f t="shared" si="35"/>
        <v xml:space="preserve">      </v>
      </c>
    </row>
    <row r="87" spans="1:36" x14ac:dyDescent="0.25">
      <c r="A87" t="s">
        <v>71</v>
      </c>
      <c r="P87" t="str">
        <f t="shared" si="36"/>
        <v xml:space="preserve">                </v>
      </c>
      <c r="Q87" t="str">
        <f t="shared" si="36"/>
        <v xml:space="preserve">         </v>
      </c>
      <c r="R87" t="str">
        <f t="shared" si="45"/>
        <v xml:space="preserve">    83.0 </v>
      </c>
      <c r="S87" t="str">
        <f t="shared" si="37"/>
        <v xml:space="preserve">    83.0 </v>
      </c>
      <c r="T87" t="str">
        <f t="shared" si="38"/>
        <v xml:space="preserve">    83.0 </v>
      </c>
      <c r="U87" t="str">
        <f t="shared" si="42"/>
        <v xml:space="preserve">       46.9% </v>
      </c>
      <c r="V87" t="str">
        <f t="shared" si="46"/>
        <v xml:space="preserve">         </v>
      </c>
      <c r="W87" t="str">
        <f t="shared" si="39"/>
        <v xml:space="preserve">         </v>
      </c>
      <c r="X87" t="str">
        <f t="shared" si="43"/>
        <v xml:space="preserve"> 41234 </v>
      </c>
      <c r="Y87" t="str">
        <f t="shared" si="43"/>
        <v xml:space="preserve"> CBOM-7-RS000 </v>
      </c>
      <c r="Z87" t="str">
        <f t="shared" si="43"/>
        <v xml:space="preserve">  7 </v>
      </c>
      <c r="AA87" t="str">
        <f t="shared" si="47"/>
        <v xml:space="preserve">   -38.6 </v>
      </c>
      <c r="AB87" t="str">
        <f t="shared" si="40"/>
        <v xml:space="preserve">    -9.2 </v>
      </c>
      <c r="AC87" t="str">
        <f t="shared" si="41"/>
        <v xml:space="preserve">    38.9 </v>
      </c>
      <c r="AD87" t="str">
        <f t="shared" si="42"/>
        <v xml:space="preserve"> 1.000F </v>
      </c>
      <c r="AE87" t="str">
        <f t="shared" si="48"/>
        <v xml:space="preserve">       </v>
      </c>
      <c r="AF87" t="str">
        <f t="shared" si="44"/>
        <v xml:space="preserve"> 002 </v>
      </c>
      <c r="AG87" t="str">
        <f t="shared" si="44"/>
        <v xml:space="preserve">     0.03 </v>
      </c>
      <c r="AH87" t="str">
        <f t="shared" si="49"/>
        <v xml:space="preserve">    -0.15 </v>
      </c>
      <c r="AI87" t="str">
        <f t="shared" ref="AI87:AI150" si="50">MID($A87,AG$8+AG$9+AH$9-2,AI$9)</f>
        <v xml:space="preserve">       </v>
      </c>
      <c r="AJ87" t="str">
        <f t="shared" ref="AJ87:AJ150" si="51">MID($A87,AG$8+AG$9+AH$9+AI$9-3,AJ$9)</f>
        <v xml:space="preserve">      </v>
      </c>
    </row>
    <row r="88" spans="1:36" x14ac:dyDescent="0.25">
      <c r="A88" t="s">
        <v>14</v>
      </c>
      <c r="P88" t="str">
        <f t="shared" si="36"/>
        <v xml:space="preserve">  ..............</v>
      </c>
      <c r="Q88" t="str">
        <f t="shared" si="36"/>
        <v>.........</v>
      </c>
      <c r="R88" t="str">
        <f t="shared" si="45"/>
        <v>.........</v>
      </c>
      <c r="S88" t="str">
        <f t="shared" si="37"/>
        <v>.........</v>
      </c>
      <c r="T88" t="str">
        <f t="shared" si="38"/>
        <v>.........</v>
      </c>
      <c r="U88" t="str">
        <f t="shared" si="42"/>
        <v>.............</v>
      </c>
      <c r="V88" t="str">
        <f t="shared" si="46"/>
        <v>.........</v>
      </c>
      <c r="W88" t="str">
        <f t="shared" si="39"/>
        <v>.........</v>
      </c>
      <c r="X88" t="str">
        <f t="shared" si="43"/>
        <v>.......</v>
      </c>
      <c r="Y88" t="str">
        <f t="shared" si="43"/>
        <v>..............</v>
      </c>
      <c r="Z88" t="str">
        <f t="shared" si="43"/>
        <v>....</v>
      </c>
      <c r="AA88" t="str">
        <f t="shared" si="47"/>
        <v>.........</v>
      </c>
      <c r="AB88" t="str">
        <f t="shared" si="40"/>
        <v>.........</v>
      </c>
      <c r="AC88" t="str">
        <f t="shared" si="41"/>
        <v>.........</v>
      </c>
      <c r="AD88" t="str">
        <f t="shared" si="42"/>
        <v>........</v>
      </c>
      <c r="AE88" t="str">
        <f t="shared" si="48"/>
        <v>.......</v>
      </c>
      <c r="AF88" t="str">
        <f t="shared" si="44"/>
        <v>.....</v>
      </c>
      <c r="AG88" t="str">
        <f t="shared" si="44"/>
        <v>..........</v>
      </c>
      <c r="AH88" t="str">
        <f t="shared" si="49"/>
        <v>..........</v>
      </c>
      <c r="AI88" t="str">
        <f t="shared" si="50"/>
        <v>.......</v>
      </c>
      <c r="AJ88" t="str">
        <f t="shared" si="51"/>
        <v>.......</v>
      </c>
    </row>
    <row r="89" spans="1:36" x14ac:dyDescent="0.25">
      <c r="A89" t="s">
        <v>72</v>
      </c>
      <c r="P89" t="str">
        <f t="shared" si="36"/>
        <v xml:space="preserve">   1197   69  0 </v>
      </c>
      <c r="Q89" t="str">
        <f t="shared" si="36"/>
        <v xml:space="preserve">   1.017 </v>
      </c>
      <c r="R89" t="str">
        <f t="shared" si="45"/>
        <v xml:space="preserve">     0.0 </v>
      </c>
      <c r="S89" t="str">
        <f t="shared" si="37"/>
        <v xml:space="preserve">     0.0 </v>
      </c>
      <c r="T89" t="str">
        <f t="shared" si="38"/>
        <v xml:space="preserve">     0.0 </v>
      </c>
      <c r="U89" t="str">
        <f t="shared" si="42"/>
        <v xml:space="preserve">         0.0 </v>
      </c>
      <c r="V89" t="str">
        <f t="shared" si="46"/>
        <v xml:space="preserve">     0.0 </v>
      </c>
      <c r="W89" t="str">
        <f t="shared" si="39"/>
        <v xml:space="preserve">     0.0</v>
      </c>
      <c r="X89" t="str">
        <f t="shared" si="43"/>
        <v/>
      </c>
      <c r="Y89" t="str">
        <f t="shared" si="43"/>
        <v/>
      </c>
      <c r="Z89" t="str">
        <f t="shared" si="43"/>
        <v/>
      </c>
      <c r="AA89" t="str">
        <f t="shared" si="47"/>
        <v/>
      </c>
      <c r="AB89" t="str">
        <f t="shared" si="40"/>
        <v/>
      </c>
      <c r="AC89" t="str">
        <f t="shared" si="41"/>
        <v/>
      </c>
      <c r="AD89" t="str">
        <f t="shared" si="42"/>
        <v/>
      </c>
      <c r="AE89" t="str">
        <f t="shared" si="48"/>
        <v/>
      </c>
      <c r="AF89" t="str">
        <f t="shared" si="44"/>
        <v/>
      </c>
      <c r="AG89" t="str">
        <f t="shared" si="44"/>
        <v/>
      </c>
      <c r="AH89" t="str">
        <f t="shared" si="49"/>
        <v/>
      </c>
      <c r="AI89" t="str">
        <f t="shared" si="50"/>
        <v/>
      </c>
      <c r="AJ89" t="str">
        <f t="shared" si="51"/>
        <v/>
      </c>
    </row>
    <row r="90" spans="1:36" x14ac:dyDescent="0.25">
      <c r="A90" t="s">
        <v>73</v>
      </c>
      <c r="P90" t="str">
        <f t="shared" si="36"/>
        <v xml:space="preserve">  GUAIB2-RS069  </v>
      </c>
      <c r="Q90" t="str">
        <f t="shared" si="36"/>
        <v xml:space="preserve">   -53.2 </v>
      </c>
      <c r="R90" t="str">
        <f t="shared" si="45"/>
        <v xml:space="preserve">     0.0 </v>
      </c>
      <c r="S90" t="str">
        <f t="shared" si="37"/>
        <v xml:space="preserve">     0.0 </v>
      </c>
      <c r="T90" t="str">
        <f t="shared" si="38"/>
        <v xml:space="preserve">     0.0 </v>
      </c>
      <c r="U90" t="str">
        <f t="shared" si="42"/>
        <v xml:space="preserve">         0.0 </v>
      </c>
      <c r="V90" t="str">
        <f t="shared" si="46"/>
        <v xml:space="preserve">     0.0 </v>
      </c>
      <c r="W90" t="str">
        <f t="shared" si="39"/>
        <v xml:space="preserve">     0.0 </v>
      </c>
      <c r="X90" t="str">
        <f t="shared" si="43"/>
        <v xml:space="preserve">       </v>
      </c>
      <c r="Y90" t="str">
        <f t="shared" si="43"/>
        <v xml:space="preserve">              </v>
      </c>
      <c r="Z90" t="str">
        <f t="shared" si="43"/>
        <v xml:space="preserve">    </v>
      </c>
      <c r="AA90" t="str">
        <f t="shared" si="47"/>
        <v xml:space="preserve">         </v>
      </c>
      <c r="AB90" t="str">
        <f t="shared" si="40"/>
        <v xml:space="preserve">         </v>
      </c>
      <c r="AC90" t="str">
        <f t="shared" si="41"/>
        <v xml:space="preserve">    </v>
      </c>
      <c r="AD90" t="str">
        <f t="shared" si="42"/>
        <v/>
      </c>
      <c r="AE90" t="str">
        <f t="shared" si="48"/>
        <v/>
      </c>
      <c r="AF90" t="str">
        <f t="shared" si="44"/>
        <v/>
      </c>
      <c r="AG90" t="str">
        <f t="shared" si="44"/>
        <v/>
      </c>
      <c r="AH90" t="str">
        <f t="shared" si="49"/>
        <v/>
      </c>
      <c r="AI90" t="str">
        <f t="shared" si="50"/>
        <v/>
      </c>
      <c r="AJ90" t="str">
        <f t="shared" si="51"/>
        <v/>
      </c>
    </row>
    <row r="91" spans="1:36" x14ac:dyDescent="0.25">
      <c r="A91" t="s">
        <v>74</v>
      </c>
      <c r="P91" t="str">
        <f t="shared" ref="P91:Q154" si="52">MID($A91,P$8,P$9)</f>
        <v xml:space="preserve">                </v>
      </c>
      <c r="Q91" t="str">
        <f t="shared" si="52"/>
        <v xml:space="preserve">         </v>
      </c>
      <c r="R91" t="str">
        <f t="shared" si="45"/>
        <v xml:space="preserve">    48.0 </v>
      </c>
      <c r="S91" t="str">
        <f t="shared" ref="S91:S154" si="53">MID($A91,Q$8+Q$9+R$9-2,S$9)</f>
        <v xml:space="preserve">    71.0 </v>
      </c>
      <c r="T91" t="str">
        <f t="shared" ref="T91:T154" si="54">MID($A91,Q$8+Q$9+R$9+S$9-3,T$9)</f>
        <v xml:space="preserve">    71.0 </v>
      </c>
      <c r="U91" t="str">
        <f t="shared" si="42"/>
        <v xml:space="preserve">       42.5% </v>
      </c>
      <c r="V91" t="str">
        <f t="shared" si="46"/>
        <v xml:space="preserve">         </v>
      </c>
      <c r="W91" t="str">
        <f t="shared" ref="W91:W154" si="55">MID($A91,U$8+U$9+V$9-2,W$9)</f>
        <v xml:space="preserve">         </v>
      </c>
      <c r="X91" t="str">
        <f t="shared" si="43"/>
        <v xml:space="preserve">  9773 </v>
      </c>
      <c r="Y91" t="str">
        <f t="shared" si="43"/>
        <v xml:space="preserve"> STHGUATAP069 </v>
      </c>
      <c r="Z91" t="str">
        <f t="shared" si="43"/>
        <v xml:space="preserve">  1 </v>
      </c>
      <c r="AA91" t="str">
        <f t="shared" si="47"/>
        <v xml:space="preserve">    19.1 </v>
      </c>
      <c r="AB91" t="str">
        <f t="shared" ref="AB91:AB154" si="56">MID($A91,Z$8+Z$9+AA$9-2,AB$9)</f>
        <v xml:space="preserve">     8.2 </v>
      </c>
      <c r="AC91" t="str">
        <f t="shared" ref="AC91:AC154" si="57">MID($A91,Z$8+Z$9+AA$9+AB$9-3,AC$9)</f>
        <v xml:space="preserve">    20.4 </v>
      </c>
      <c r="AD91" t="str">
        <f t="shared" si="42"/>
        <v xml:space="preserve">        </v>
      </c>
      <c r="AE91" t="str">
        <f t="shared" si="48"/>
        <v xml:space="preserve">       </v>
      </c>
      <c r="AF91" t="str">
        <f t="shared" si="44"/>
        <v xml:space="preserve">     </v>
      </c>
      <c r="AG91" t="str">
        <f t="shared" si="44"/>
        <v xml:space="preserve">     0.07 </v>
      </c>
      <c r="AH91" t="str">
        <f t="shared" si="49"/>
        <v xml:space="preserve">     0.12 </v>
      </c>
      <c r="AI91" t="str">
        <f t="shared" si="50"/>
        <v xml:space="preserve">       </v>
      </c>
      <c r="AJ91" t="str">
        <f t="shared" si="51"/>
        <v xml:space="preserve">      </v>
      </c>
    </row>
    <row r="92" spans="1:36" x14ac:dyDescent="0.25">
      <c r="A92" t="s">
        <v>75</v>
      </c>
      <c r="P92" t="str">
        <f t="shared" si="52"/>
        <v xml:space="preserve">                </v>
      </c>
      <c r="Q92" t="str">
        <f t="shared" si="52"/>
        <v xml:space="preserve">         </v>
      </c>
      <c r="R92" t="str">
        <f t="shared" si="45"/>
        <v xml:space="preserve">    54.0 </v>
      </c>
      <c r="S92" t="str">
        <f t="shared" si="53"/>
        <v xml:space="preserve">    79.0 </v>
      </c>
      <c r="T92" t="str">
        <f t="shared" si="54"/>
        <v xml:space="preserve">    79.0 </v>
      </c>
      <c r="U92" t="str">
        <f t="shared" ref="U92:AD155" si="58">MID($A92,U$8,U$9)</f>
        <v xml:space="preserve">       77.4% </v>
      </c>
      <c r="V92" t="str">
        <f t="shared" si="46"/>
        <v xml:space="preserve">         </v>
      </c>
      <c r="W92" t="str">
        <f t="shared" si="55"/>
        <v xml:space="preserve">         </v>
      </c>
      <c r="X92" t="str">
        <f t="shared" ref="X92:Z155" si="59">MID($A92,X$8,X$9)</f>
        <v xml:space="preserve">  9775 </v>
      </c>
      <c r="Y92" t="str">
        <f t="shared" si="59"/>
        <v xml:space="preserve"> GUA1-A-RS069 </v>
      </c>
      <c r="Z92" t="str">
        <f t="shared" si="59"/>
        <v xml:space="preserve">  1 </v>
      </c>
      <c r="AA92" t="str">
        <f t="shared" si="47"/>
        <v xml:space="preserve">    40.1 </v>
      </c>
      <c r="AB92" t="str">
        <f t="shared" si="56"/>
        <v xml:space="preserve">    14.0 </v>
      </c>
      <c r="AC92" t="str">
        <f t="shared" si="57"/>
        <v xml:space="preserve">    41.8 </v>
      </c>
      <c r="AD92" t="str">
        <f t="shared" si="58"/>
        <v xml:space="preserve">        </v>
      </c>
      <c r="AE92" t="str">
        <f t="shared" si="48"/>
        <v xml:space="preserve">       </v>
      </c>
      <c r="AF92" t="str">
        <f t="shared" si="44"/>
        <v xml:space="preserve">     </v>
      </c>
      <c r="AG92" t="str">
        <f t="shared" si="44"/>
        <v xml:space="preserve">     0.24 </v>
      </c>
      <c r="AH92" t="str">
        <f t="shared" si="49"/>
        <v xml:space="preserve">     0.74 </v>
      </c>
      <c r="AI92" t="str">
        <f t="shared" si="50"/>
        <v xml:space="preserve">       </v>
      </c>
      <c r="AJ92" t="str">
        <f t="shared" si="51"/>
        <v xml:space="preserve">      </v>
      </c>
    </row>
    <row r="93" spans="1:36" x14ac:dyDescent="0.25">
      <c r="A93" t="s">
        <v>76</v>
      </c>
      <c r="P93" t="str">
        <f t="shared" si="52"/>
        <v xml:space="preserve">              DE</v>
      </c>
      <c r="Q93" t="str">
        <f t="shared" si="52"/>
        <v xml:space="preserve">ESLIGADO </v>
      </c>
      <c r="R93" t="str">
        <f t="shared" si="45"/>
        <v xml:space="preserve">    54.0 </v>
      </c>
      <c r="S93" t="str">
        <f t="shared" si="53"/>
        <v xml:space="preserve">    79.0 </v>
      </c>
      <c r="T93" t="str">
        <f t="shared" si="54"/>
        <v xml:space="preserve">    79.0 </v>
      </c>
      <c r="U93" t="str">
        <f t="shared" si="58"/>
        <v xml:space="preserve">             </v>
      </c>
      <c r="V93" t="str">
        <f t="shared" si="46"/>
        <v xml:space="preserve">         </v>
      </c>
      <c r="W93" t="str">
        <f t="shared" si="55"/>
        <v xml:space="preserve">         </v>
      </c>
      <c r="X93" t="str">
        <f t="shared" si="59"/>
        <v xml:space="preserve"> 10277 </v>
      </c>
      <c r="Y93" t="str">
        <f t="shared" si="59"/>
        <v xml:space="preserve"> CHARQ3-RS069 </v>
      </c>
      <c r="Z93" t="str">
        <f t="shared" si="59"/>
        <v xml:space="preserve">  1 </v>
      </c>
      <c r="AA93" t="str">
        <f t="shared" si="47"/>
        <v xml:space="preserve">     0.0 </v>
      </c>
      <c r="AB93" t="str">
        <f t="shared" si="56"/>
        <v xml:space="preserve">     0.0 </v>
      </c>
      <c r="AC93" t="str">
        <f t="shared" si="57"/>
        <v xml:space="preserve">     0.0 </v>
      </c>
      <c r="AD93" t="str">
        <f t="shared" si="58"/>
        <v xml:space="preserve">        </v>
      </c>
      <c r="AE93" t="str">
        <f t="shared" si="48"/>
        <v xml:space="preserve">       </v>
      </c>
      <c r="AF93" t="str">
        <f t="shared" ref="AF93:AG156" si="60">MID($A93,AF$8,AF$9)</f>
        <v xml:space="preserve">     </v>
      </c>
      <c r="AG93" t="str">
        <f t="shared" si="60"/>
        <v xml:space="preserve">     0.00 </v>
      </c>
      <c r="AH93" t="str">
        <f t="shared" si="49"/>
        <v xml:space="preserve">     0.00 </v>
      </c>
      <c r="AI93" t="str">
        <f t="shared" si="50"/>
        <v xml:space="preserve">       </v>
      </c>
      <c r="AJ93" t="str">
        <f t="shared" si="51"/>
        <v xml:space="preserve">      </v>
      </c>
    </row>
    <row r="94" spans="1:36" x14ac:dyDescent="0.25">
      <c r="A94" t="s">
        <v>77</v>
      </c>
      <c r="P94" t="str">
        <f t="shared" si="52"/>
        <v xml:space="preserve">                </v>
      </c>
      <c r="Q94" t="str">
        <f t="shared" si="52"/>
        <v xml:space="preserve">         </v>
      </c>
      <c r="R94" t="str">
        <f t="shared" si="45"/>
        <v xml:space="preserve">    50.0 </v>
      </c>
      <c r="S94" t="str">
        <f t="shared" si="53"/>
        <v xml:space="preserve">    75.0 </v>
      </c>
      <c r="T94" t="str">
        <f t="shared" si="54"/>
        <v xml:space="preserve">    75.0 </v>
      </c>
      <c r="U94" t="str">
        <f t="shared" si="58"/>
        <v xml:space="preserve">       41.4% </v>
      </c>
      <c r="V94" t="str">
        <f t="shared" si="46"/>
        <v xml:space="preserve">         </v>
      </c>
      <c r="W94" t="str">
        <f t="shared" si="55"/>
        <v xml:space="preserve">         </v>
      </c>
      <c r="X94" t="str">
        <f t="shared" si="59"/>
        <v xml:space="preserve"> 41277 </v>
      </c>
      <c r="Y94" t="str">
        <f t="shared" si="59"/>
        <v xml:space="preserve"> GUA2-1-RS000 </v>
      </c>
      <c r="Z94" t="str">
        <f t="shared" si="59"/>
        <v xml:space="preserve">  1 </v>
      </c>
      <c r="AA94" t="str">
        <f t="shared" si="47"/>
        <v xml:space="preserve">   -19.7 </v>
      </c>
      <c r="AB94" t="str">
        <f t="shared" si="56"/>
        <v xml:space="preserve">    -7.4 </v>
      </c>
      <c r="AC94" t="str">
        <f t="shared" si="57"/>
        <v xml:space="preserve">    20.7 </v>
      </c>
      <c r="AD94" t="str">
        <f t="shared" si="58"/>
        <v xml:space="preserve"> 1.000F </v>
      </c>
      <c r="AE94" t="str">
        <f t="shared" si="48"/>
        <v xml:space="preserve">       </v>
      </c>
      <c r="AF94" t="str">
        <f t="shared" si="60"/>
        <v xml:space="preserve"> 002 </v>
      </c>
      <c r="AG94" t="str">
        <f t="shared" si="60"/>
        <v xml:space="preserve">     0.01 </v>
      </c>
      <c r="AH94" t="str">
        <f t="shared" si="49"/>
        <v xml:space="preserve">    -0.10 </v>
      </c>
      <c r="AI94" t="str">
        <f t="shared" si="50"/>
        <v xml:space="preserve">       </v>
      </c>
      <c r="AJ94" t="str">
        <f t="shared" si="51"/>
        <v xml:space="preserve">      </v>
      </c>
    </row>
    <row r="95" spans="1:36" x14ac:dyDescent="0.25">
      <c r="A95" t="s">
        <v>78</v>
      </c>
      <c r="P95" t="str">
        <f t="shared" si="52"/>
        <v xml:space="preserve">                </v>
      </c>
      <c r="Q95" t="str">
        <f t="shared" si="52"/>
        <v xml:space="preserve">         </v>
      </c>
      <c r="R95" t="str">
        <f t="shared" si="45"/>
        <v xml:space="preserve">    50.0 </v>
      </c>
      <c r="S95" t="str">
        <f t="shared" si="53"/>
        <v xml:space="preserve">    75.0 </v>
      </c>
      <c r="T95" t="str">
        <f t="shared" si="54"/>
        <v xml:space="preserve">    75.0 </v>
      </c>
      <c r="U95" t="str">
        <f t="shared" si="58"/>
        <v xml:space="preserve">       41.7% </v>
      </c>
      <c r="V95" t="str">
        <f t="shared" si="46"/>
        <v xml:space="preserve">         </v>
      </c>
      <c r="W95" t="str">
        <f t="shared" si="55"/>
        <v xml:space="preserve">         </v>
      </c>
      <c r="X95" t="str">
        <f t="shared" si="59"/>
        <v xml:space="preserve"> 41278 </v>
      </c>
      <c r="Y95" t="str">
        <f t="shared" si="59"/>
        <v xml:space="preserve"> GUA2-2-RS000 </v>
      </c>
      <c r="Z95" t="str">
        <f t="shared" si="59"/>
        <v xml:space="preserve">  2 </v>
      </c>
      <c r="AA95" t="str">
        <f t="shared" si="47"/>
        <v xml:space="preserve">   -19.9 </v>
      </c>
      <c r="AB95" t="str">
        <f t="shared" si="56"/>
        <v xml:space="preserve">    -7.4 </v>
      </c>
      <c r="AC95" t="str">
        <f t="shared" si="57"/>
        <v xml:space="preserve">    20.8 </v>
      </c>
      <c r="AD95" t="str">
        <f t="shared" si="58"/>
        <v xml:space="preserve"> 1.000F </v>
      </c>
      <c r="AE95" t="str">
        <f t="shared" si="48"/>
        <v xml:space="preserve">       </v>
      </c>
      <c r="AF95" t="str">
        <f t="shared" si="60"/>
        <v xml:space="preserve"> 002 </v>
      </c>
      <c r="AG95" t="str">
        <f t="shared" si="60"/>
        <v xml:space="preserve">     0.01 </v>
      </c>
      <c r="AH95" t="str">
        <f t="shared" si="49"/>
        <v xml:space="preserve">    -0.02 </v>
      </c>
      <c r="AI95" t="str">
        <f t="shared" si="50"/>
        <v xml:space="preserve">       </v>
      </c>
      <c r="AJ95" t="str">
        <f t="shared" si="51"/>
        <v xml:space="preserve">      </v>
      </c>
    </row>
    <row r="96" spans="1:36" x14ac:dyDescent="0.25">
      <c r="A96" t="s">
        <v>79</v>
      </c>
      <c r="P96" t="str">
        <f t="shared" si="52"/>
        <v xml:space="preserve">                </v>
      </c>
      <c r="Q96" t="str">
        <f t="shared" si="52"/>
        <v xml:space="preserve">         </v>
      </c>
      <c r="R96" t="str">
        <f t="shared" si="45"/>
        <v xml:space="preserve">    50.0 </v>
      </c>
      <c r="S96" t="str">
        <f t="shared" si="53"/>
        <v xml:space="preserve">    60.0 </v>
      </c>
      <c r="T96" t="str">
        <f t="shared" si="54"/>
        <v xml:space="preserve">    60.0 </v>
      </c>
      <c r="U96" t="str">
        <f t="shared" si="58"/>
        <v xml:space="preserve">       41.3% </v>
      </c>
      <c r="V96" t="str">
        <f t="shared" si="46"/>
        <v xml:space="preserve">         </v>
      </c>
      <c r="W96" t="str">
        <f t="shared" si="55"/>
        <v xml:space="preserve">         </v>
      </c>
      <c r="X96" t="str">
        <f t="shared" si="59"/>
        <v xml:space="preserve"> 41279 </v>
      </c>
      <c r="Y96" t="str">
        <f t="shared" si="59"/>
        <v xml:space="preserve"> GUA2-3-RS000 </v>
      </c>
      <c r="Z96" t="str">
        <f t="shared" si="59"/>
        <v xml:space="preserve">  3 </v>
      </c>
      <c r="AA96" t="str">
        <f t="shared" si="47"/>
        <v xml:space="preserve">   -19.7 </v>
      </c>
      <c r="AB96" t="str">
        <f t="shared" si="56"/>
        <v xml:space="preserve">    -7.3 </v>
      </c>
      <c r="AC96" t="str">
        <f t="shared" si="57"/>
        <v xml:space="preserve">    20.7 </v>
      </c>
      <c r="AD96" t="str">
        <f t="shared" si="58"/>
        <v xml:space="preserve"> 1.000F </v>
      </c>
      <c r="AE96" t="str">
        <f t="shared" si="48"/>
        <v xml:space="preserve">       </v>
      </c>
      <c r="AF96" t="str">
        <f t="shared" si="60"/>
        <v xml:space="preserve"> 002 </v>
      </c>
      <c r="AG96" t="str">
        <f t="shared" si="60"/>
        <v xml:space="preserve">     0.01 </v>
      </c>
      <c r="AH96" t="str">
        <f t="shared" si="49"/>
        <v xml:space="preserve">    -0.04 </v>
      </c>
      <c r="AI96" t="str">
        <f t="shared" si="50"/>
        <v xml:space="preserve">       </v>
      </c>
      <c r="AJ96" t="str">
        <f t="shared" si="51"/>
        <v xml:space="preserve">      </v>
      </c>
    </row>
    <row r="97" spans="1:36" x14ac:dyDescent="0.25">
      <c r="A97" t="s">
        <v>14</v>
      </c>
      <c r="P97" t="str">
        <f t="shared" si="52"/>
        <v xml:space="preserve">  ..............</v>
      </c>
      <c r="Q97" t="str">
        <f t="shared" si="52"/>
        <v>.........</v>
      </c>
      <c r="R97" t="str">
        <f t="shared" si="45"/>
        <v>.........</v>
      </c>
      <c r="S97" t="str">
        <f t="shared" si="53"/>
        <v>.........</v>
      </c>
      <c r="T97" t="str">
        <f t="shared" si="54"/>
        <v>.........</v>
      </c>
      <c r="U97" t="str">
        <f t="shared" si="58"/>
        <v>.............</v>
      </c>
      <c r="V97" t="str">
        <f t="shared" si="46"/>
        <v>.........</v>
      </c>
      <c r="W97" t="str">
        <f t="shared" si="55"/>
        <v>.........</v>
      </c>
      <c r="X97" t="str">
        <f t="shared" si="59"/>
        <v>.......</v>
      </c>
      <c r="Y97" t="str">
        <f t="shared" si="59"/>
        <v>..............</v>
      </c>
      <c r="Z97" t="str">
        <f t="shared" si="59"/>
        <v>....</v>
      </c>
      <c r="AA97" t="str">
        <f t="shared" si="47"/>
        <v>.........</v>
      </c>
      <c r="AB97" t="str">
        <f t="shared" si="56"/>
        <v>.........</v>
      </c>
      <c r="AC97" t="str">
        <f t="shared" si="57"/>
        <v>.........</v>
      </c>
      <c r="AD97" t="str">
        <f t="shared" si="58"/>
        <v>........</v>
      </c>
      <c r="AE97" t="str">
        <f t="shared" si="48"/>
        <v>.......</v>
      </c>
      <c r="AF97" t="str">
        <f t="shared" si="60"/>
        <v>.....</v>
      </c>
      <c r="AG97" t="str">
        <f t="shared" si="60"/>
        <v>..........</v>
      </c>
      <c r="AH97" t="str">
        <f t="shared" si="49"/>
        <v>..........</v>
      </c>
      <c r="AI97" t="str">
        <f t="shared" si="50"/>
        <v>.......</v>
      </c>
      <c r="AJ97" t="str">
        <f t="shared" si="51"/>
        <v>.......</v>
      </c>
    </row>
    <row r="98" spans="1:36" x14ac:dyDescent="0.25">
      <c r="A98" t="s">
        <v>80</v>
      </c>
      <c r="P98" t="str">
        <f t="shared" si="52"/>
        <v xml:space="preserve">   1201   69  0 </v>
      </c>
      <c r="Q98" t="str">
        <f t="shared" si="52"/>
        <v xml:space="preserve">   1.011 </v>
      </c>
      <c r="R98" t="str">
        <f t="shared" si="45"/>
        <v xml:space="preserve">     0.0 </v>
      </c>
      <c r="S98" t="str">
        <f t="shared" si="53"/>
        <v xml:space="preserve">     0.0 </v>
      </c>
      <c r="T98" t="str">
        <f t="shared" si="54"/>
        <v xml:space="preserve">     0.0 </v>
      </c>
      <c r="U98" t="str">
        <f t="shared" si="58"/>
        <v xml:space="preserve">         0.0 </v>
      </c>
      <c r="V98" t="str">
        <f t="shared" si="46"/>
        <v xml:space="preserve">     0.0 </v>
      </c>
      <c r="W98" t="str">
        <f t="shared" si="55"/>
        <v xml:space="preserve">     0.0</v>
      </c>
      <c r="X98" t="str">
        <f t="shared" si="59"/>
        <v/>
      </c>
      <c r="Y98" t="str">
        <f t="shared" si="59"/>
        <v/>
      </c>
      <c r="Z98" t="str">
        <f t="shared" si="59"/>
        <v/>
      </c>
      <c r="AA98" t="str">
        <f t="shared" si="47"/>
        <v/>
      </c>
      <c r="AB98" t="str">
        <f t="shared" si="56"/>
        <v/>
      </c>
      <c r="AC98" t="str">
        <f t="shared" si="57"/>
        <v/>
      </c>
      <c r="AD98" t="str">
        <f t="shared" si="58"/>
        <v/>
      </c>
      <c r="AE98" t="str">
        <f t="shared" si="48"/>
        <v/>
      </c>
      <c r="AF98" t="str">
        <f t="shared" si="60"/>
        <v/>
      </c>
      <c r="AG98" t="str">
        <f t="shared" si="60"/>
        <v/>
      </c>
      <c r="AH98" t="str">
        <f t="shared" si="49"/>
        <v/>
      </c>
      <c r="AI98" t="str">
        <f t="shared" si="50"/>
        <v/>
      </c>
      <c r="AJ98" t="str">
        <f t="shared" si="51"/>
        <v/>
      </c>
    </row>
    <row r="99" spans="1:36" x14ac:dyDescent="0.25">
      <c r="A99" t="s">
        <v>81</v>
      </c>
      <c r="P99" t="str">
        <f t="shared" si="52"/>
        <v xml:space="preserve">  CAXIA2-RS069  </v>
      </c>
      <c r="Q99" t="str">
        <f t="shared" si="52"/>
        <v xml:space="preserve">   -50.5 </v>
      </c>
      <c r="R99" t="str">
        <f t="shared" si="45"/>
        <v xml:space="preserve">     0.0 </v>
      </c>
      <c r="S99" t="str">
        <f t="shared" si="53"/>
        <v xml:space="preserve">     0.0 </v>
      </c>
      <c r="T99" t="str">
        <f t="shared" si="54"/>
        <v xml:space="preserve">     0.0 </v>
      </c>
      <c r="U99" t="str">
        <f t="shared" si="58"/>
        <v xml:space="preserve">         0.0 </v>
      </c>
      <c r="V99" t="str">
        <f t="shared" si="46"/>
        <v xml:space="preserve">     0.0 </v>
      </c>
      <c r="W99" t="str">
        <f t="shared" si="55"/>
        <v xml:space="preserve">     0.0 </v>
      </c>
      <c r="X99" t="str">
        <f t="shared" si="59"/>
        <v xml:space="preserve">       </v>
      </c>
      <c r="Y99" t="str">
        <f t="shared" si="59"/>
        <v xml:space="preserve">              </v>
      </c>
      <c r="Z99" t="str">
        <f t="shared" si="59"/>
        <v xml:space="preserve">    </v>
      </c>
      <c r="AA99" t="str">
        <f t="shared" si="47"/>
        <v xml:space="preserve">         </v>
      </c>
      <c r="AB99" t="str">
        <f t="shared" si="56"/>
        <v xml:space="preserve">         </v>
      </c>
      <c r="AC99" t="str">
        <f t="shared" si="57"/>
        <v xml:space="preserve">    </v>
      </c>
      <c r="AD99" t="str">
        <f t="shared" si="58"/>
        <v/>
      </c>
      <c r="AE99" t="str">
        <f t="shared" si="48"/>
        <v/>
      </c>
      <c r="AF99" t="str">
        <f t="shared" si="60"/>
        <v/>
      </c>
      <c r="AG99" t="str">
        <f t="shared" si="60"/>
        <v/>
      </c>
      <c r="AH99" t="str">
        <f t="shared" si="49"/>
        <v/>
      </c>
      <c r="AI99" t="str">
        <f t="shared" si="50"/>
        <v/>
      </c>
      <c r="AJ99" t="str">
        <f t="shared" si="51"/>
        <v/>
      </c>
    </row>
    <row r="100" spans="1:36" x14ac:dyDescent="0.25">
      <c r="A100" t="s">
        <v>82</v>
      </c>
      <c r="P100" t="str">
        <f t="shared" si="52"/>
        <v xml:space="preserve">                </v>
      </c>
      <c r="Q100" t="str">
        <f t="shared" si="52"/>
        <v xml:space="preserve">         </v>
      </c>
      <c r="R100" t="str">
        <f t="shared" si="45"/>
        <v xml:space="preserve">    84.0 </v>
      </c>
      <c r="S100" t="str">
        <f t="shared" si="53"/>
        <v xml:space="preserve">   101.0 </v>
      </c>
      <c r="T100" t="str">
        <f t="shared" si="54"/>
        <v xml:space="preserve">   101.0 </v>
      </c>
      <c r="U100" t="str">
        <f t="shared" si="58"/>
        <v xml:space="preserve">        0.2% </v>
      </c>
      <c r="V100" t="str">
        <f t="shared" si="46"/>
        <v xml:space="preserve">         </v>
      </c>
      <c r="W100" t="str">
        <f t="shared" si="55"/>
        <v xml:space="preserve">         </v>
      </c>
      <c r="X100" t="str">
        <f t="shared" si="59"/>
        <v xml:space="preserve">  1193 </v>
      </c>
      <c r="Y100" t="str">
        <f t="shared" si="59"/>
        <v xml:space="preserve"> CAXIA5-RS069 </v>
      </c>
      <c r="Z100" t="str">
        <f t="shared" si="59"/>
        <v xml:space="preserve">  1 </v>
      </c>
      <c r="AA100" t="str">
        <f t="shared" si="47"/>
        <v xml:space="preserve">     0.0 </v>
      </c>
      <c r="AB100" t="str">
        <f t="shared" si="56"/>
        <v xml:space="preserve">    -0.2 </v>
      </c>
      <c r="AC100" t="str">
        <f t="shared" si="57"/>
        <v xml:space="preserve">     0.2 </v>
      </c>
      <c r="AD100" t="str">
        <f t="shared" si="58"/>
        <v xml:space="preserve">        </v>
      </c>
      <c r="AE100" t="str">
        <f t="shared" si="48"/>
        <v xml:space="preserve">       </v>
      </c>
      <c r="AF100" t="str">
        <f t="shared" si="60"/>
        <v xml:space="preserve">     </v>
      </c>
      <c r="AG100" t="str">
        <f t="shared" si="60"/>
        <v xml:space="preserve">     0.00 </v>
      </c>
      <c r="AH100" t="str">
        <f t="shared" si="49"/>
        <v xml:space="preserve">    -0.08 </v>
      </c>
      <c r="AI100" t="str">
        <f t="shared" si="50"/>
        <v xml:space="preserve">       </v>
      </c>
      <c r="AJ100" t="str">
        <f t="shared" si="51"/>
        <v xml:space="preserve">      </v>
      </c>
    </row>
    <row r="101" spans="1:36" x14ac:dyDescent="0.25">
      <c r="A101" t="s">
        <v>83</v>
      </c>
      <c r="P101" t="str">
        <f t="shared" si="52"/>
        <v xml:space="preserve">              DE</v>
      </c>
      <c r="Q101" t="str">
        <f t="shared" si="52"/>
        <v xml:space="preserve">ESLIGADO </v>
      </c>
      <c r="R101" t="str">
        <f t="shared" si="45"/>
        <v xml:space="preserve">    84.0 </v>
      </c>
      <c r="S101" t="str">
        <f t="shared" si="53"/>
        <v xml:space="preserve">   101.0 </v>
      </c>
      <c r="T101" t="str">
        <f t="shared" si="54"/>
        <v xml:space="preserve">   101.0 </v>
      </c>
      <c r="U101" t="str">
        <f t="shared" si="58"/>
        <v xml:space="preserve">             </v>
      </c>
      <c r="V101" t="str">
        <f t="shared" si="46"/>
        <v xml:space="preserve">         </v>
      </c>
      <c r="W101" t="str">
        <f t="shared" si="55"/>
        <v xml:space="preserve">         </v>
      </c>
      <c r="X101" t="str">
        <f t="shared" si="59"/>
        <v xml:space="preserve">  1389 </v>
      </c>
      <c r="Y101" t="str">
        <f t="shared" si="59"/>
        <v xml:space="preserve"> CAXIA4-RS069 </v>
      </c>
      <c r="Z101" t="str">
        <f t="shared" si="59"/>
        <v xml:space="preserve">  1 </v>
      </c>
      <c r="AA101" t="str">
        <f t="shared" si="47"/>
        <v xml:space="preserve">     0.0 </v>
      </c>
      <c r="AB101" t="str">
        <f t="shared" si="56"/>
        <v xml:space="preserve">     0.0 </v>
      </c>
      <c r="AC101" t="str">
        <f t="shared" si="57"/>
        <v xml:space="preserve">     0.0 </v>
      </c>
      <c r="AD101" t="str">
        <f t="shared" si="58"/>
        <v xml:space="preserve">        </v>
      </c>
      <c r="AE101" t="str">
        <f t="shared" si="48"/>
        <v xml:space="preserve">       </v>
      </c>
      <c r="AF101" t="str">
        <f t="shared" si="60"/>
        <v xml:space="preserve">     </v>
      </c>
      <c r="AG101" t="str">
        <f t="shared" si="60"/>
        <v xml:space="preserve">     0.00 </v>
      </c>
      <c r="AH101" t="str">
        <f t="shared" si="49"/>
        <v xml:space="preserve">     0.00 </v>
      </c>
      <c r="AI101" t="str">
        <f t="shared" si="50"/>
        <v xml:space="preserve">       </v>
      </c>
      <c r="AJ101" t="str">
        <f t="shared" si="51"/>
        <v xml:space="preserve">      </v>
      </c>
    </row>
    <row r="102" spans="1:36" x14ac:dyDescent="0.25">
      <c r="A102" t="s">
        <v>84</v>
      </c>
      <c r="P102" t="str">
        <f t="shared" si="52"/>
        <v xml:space="preserve">                </v>
      </c>
      <c r="Q102" t="str">
        <f t="shared" si="52"/>
        <v xml:space="preserve">         </v>
      </c>
      <c r="R102" t="str">
        <f t="shared" si="45"/>
        <v xml:space="preserve">    42.0 </v>
      </c>
      <c r="S102" t="str">
        <f t="shared" si="53"/>
        <v xml:space="preserve">    63.0 </v>
      </c>
      <c r="T102" t="str">
        <f t="shared" si="54"/>
        <v xml:space="preserve">    63.0 </v>
      </c>
      <c r="U102" t="str">
        <f t="shared" si="58"/>
        <v xml:space="preserve">       67.3% </v>
      </c>
      <c r="V102" t="str">
        <f t="shared" si="46"/>
        <v xml:space="preserve">         </v>
      </c>
      <c r="W102" t="str">
        <f t="shared" si="55"/>
        <v xml:space="preserve">         </v>
      </c>
      <c r="X102" t="str">
        <f t="shared" si="59"/>
        <v xml:space="preserve">  9281 </v>
      </c>
      <c r="Y102" t="str">
        <f t="shared" si="59"/>
        <v xml:space="preserve"> CAXIA2-RS013 </v>
      </c>
      <c r="Z102" t="str">
        <f t="shared" si="59"/>
        <v xml:space="preserve">  2 </v>
      </c>
      <c r="AA102" t="str">
        <f t="shared" si="47"/>
        <v xml:space="preserve">    28.5 </v>
      </c>
      <c r="AB102" t="str">
        <f t="shared" si="56"/>
        <v xml:space="preserve">    -2.7 </v>
      </c>
      <c r="AC102" t="str">
        <f t="shared" si="57"/>
        <v xml:space="preserve">    28.3 </v>
      </c>
      <c r="AD102" t="str">
        <f t="shared" si="58"/>
        <v xml:space="preserve"> 0.922* </v>
      </c>
      <c r="AE102" t="str">
        <f t="shared" si="48"/>
        <v xml:space="preserve">       </v>
      </c>
      <c r="AF102" t="str">
        <f t="shared" si="60"/>
        <v xml:space="preserve">     </v>
      </c>
      <c r="AG102" t="str">
        <f t="shared" si="60"/>
        <v xml:space="preserve">     0.05 </v>
      </c>
      <c r="AH102" t="str">
        <f t="shared" si="49"/>
        <v xml:space="preserve">     1.76 </v>
      </c>
      <c r="AI102" t="str">
        <f t="shared" si="50"/>
        <v xml:space="preserve">       </v>
      </c>
      <c r="AJ102" t="str">
        <f t="shared" si="51"/>
        <v xml:space="preserve">      </v>
      </c>
    </row>
    <row r="103" spans="1:36" x14ac:dyDescent="0.25">
      <c r="A103" t="s">
        <v>85</v>
      </c>
      <c r="P103" t="str">
        <f t="shared" si="52"/>
        <v xml:space="preserve">                </v>
      </c>
      <c r="Q103" t="str">
        <f t="shared" si="52"/>
        <v xml:space="preserve">         </v>
      </c>
      <c r="R103" t="str">
        <f t="shared" si="45"/>
        <v xml:space="preserve">    94.0 </v>
      </c>
      <c r="S103" t="str">
        <f t="shared" si="53"/>
        <v xml:space="preserve">   108.0 </v>
      </c>
      <c r="T103" t="str">
        <f t="shared" si="54"/>
        <v xml:space="preserve">   108.0 </v>
      </c>
      <c r="U103" t="str">
        <f t="shared" si="58"/>
        <v xml:space="preserve">        9.7% </v>
      </c>
      <c r="V103" t="str">
        <f t="shared" si="46"/>
        <v xml:space="preserve">         </v>
      </c>
      <c r="W103" t="str">
        <f t="shared" si="55"/>
        <v xml:space="preserve">         </v>
      </c>
      <c r="X103" t="str">
        <f t="shared" si="59"/>
        <v xml:space="preserve">  9297 </v>
      </c>
      <c r="Y103" t="str">
        <f t="shared" si="59"/>
        <v xml:space="preserve"> RANDONTAP069 </v>
      </c>
      <c r="Z103" t="str">
        <f t="shared" si="59"/>
        <v xml:space="preserve">  1 </v>
      </c>
      <c r="AA103" t="str">
        <f t="shared" si="47"/>
        <v xml:space="preserve">     8.5 </v>
      </c>
      <c r="AB103" t="str">
        <f t="shared" si="56"/>
        <v xml:space="preserve">     3.5 </v>
      </c>
      <c r="AC103" t="str">
        <f t="shared" si="57"/>
        <v xml:space="preserve">     9.1 </v>
      </c>
      <c r="AD103" t="str">
        <f t="shared" si="58"/>
        <v xml:space="preserve">        </v>
      </c>
      <c r="AE103" t="str">
        <f t="shared" si="48"/>
        <v xml:space="preserve">       </v>
      </c>
      <c r="AF103" t="str">
        <f t="shared" si="60"/>
        <v xml:space="preserve">     </v>
      </c>
      <c r="AG103" t="str">
        <f t="shared" si="60"/>
        <v xml:space="preserve">     0.00 </v>
      </c>
      <c r="AH103" t="str">
        <f t="shared" si="49"/>
        <v xml:space="preserve">    -0.00 </v>
      </c>
      <c r="AI103" t="str">
        <f t="shared" si="50"/>
        <v xml:space="preserve">       </v>
      </c>
      <c r="AJ103" t="str">
        <f t="shared" si="51"/>
        <v xml:space="preserve">      </v>
      </c>
    </row>
    <row r="104" spans="1:36" x14ac:dyDescent="0.25">
      <c r="A104" t="s">
        <v>86</v>
      </c>
      <c r="P104" t="str">
        <f t="shared" si="52"/>
        <v xml:space="preserve">                </v>
      </c>
      <c r="Q104" t="str">
        <f t="shared" si="52"/>
        <v xml:space="preserve">         </v>
      </c>
      <c r="R104" t="str">
        <f t="shared" si="45"/>
        <v xml:space="preserve">    84.0 </v>
      </c>
      <c r="S104" t="str">
        <f t="shared" si="53"/>
        <v xml:space="preserve">   101.0 </v>
      </c>
      <c r="T104" t="str">
        <f t="shared" si="54"/>
        <v xml:space="preserve">   101.0 </v>
      </c>
      <c r="U104" t="str">
        <f t="shared" si="58"/>
        <v xml:space="preserve">       30.2% </v>
      </c>
      <c r="V104" t="str">
        <f t="shared" si="46"/>
        <v xml:space="preserve">         </v>
      </c>
      <c r="W104" t="str">
        <f t="shared" si="55"/>
        <v xml:space="preserve">         </v>
      </c>
      <c r="X104" t="str">
        <f t="shared" si="59"/>
        <v xml:space="preserve">  9299 </v>
      </c>
      <c r="Y104" t="str">
        <f t="shared" si="59"/>
        <v xml:space="preserve"> FCUNHA-RS069 </v>
      </c>
      <c r="Z104" t="str">
        <f t="shared" si="59"/>
        <v xml:space="preserve">  1 </v>
      </c>
      <c r="AA104" t="str">
        <f t="shared" si="47"/>
        <v xml:space="preserve">    23.5 </v>
      </c>
      <c r="AB104" t="str">
        <f t="shared" si="56"/>
        <v xml:space="preserve">    10.2 </v>
      </c>
      <c r="AC104" t="str">
        <f t="shared" si="57"/>
        <v xml:space="preserve">    25.4 </v>
      </c>
      <c r="AD104" t="str">
        <f t="shared" si="58"/>
        <v xml:space="preserve">        </v>
      </c>
      <c r="AE104" t="str">
        <f t="shared" si="48"/>
        <v xml:space="preserve">       </v>
      </c>
      <c r="AF104" t="str">
        <f t="shared" si="60"/>
        <v xml:space="preserve">     </v>
      </c>
      <c r="AG104" t="str">
        <f t="shared" si="60"/>
        <v xml:space="preserve">     0.25 </v>
      </c>
      <c r="AH104" t="str">
        <f t="shared" si="49"/>
        <v xml:space="preserve">     0.70 </v>
      </c>
      <c r="AI104" t="str">
        <f t="shared" si="50"/>
        <v xml:space="preserve">       </v>
      </c>
      <c r="AJ104" t="str">
        <f t="shared" si="51"/>
        <v xml:space="preserve">      </v>
      </c>
    </row>
    <row r="105" spans="1:36" x14ac:dyDescent="0.25">
      <c r="A105" t="s">
        <v>87</v>
      </c>
      <c r="P105" t="str">
        <f t="shared" si="52"/>
        <v xml:space="preserve">                </v>
      </c>
      <c r="Q105" t="str">
        <f t="shared" si="52"/>
        <v xml:space="preserve">         </v>
      </c>
      <c r="R105" t="str">
        <f t="shared" si="45"/>
        <v xml:space="preserve">   165.0 </v>
      </c>
      <c r="S105" t="str">
        <f t="shared" si="53"/>
        <v xml:space="preserve">   165.0 </v>
      </c>
      <c r="T105" t="str">
        <f t="shared" si="54"/>
        <v xml:space="preserve">   165.0 </v>
      </c>
      <c r="U105" t="str">
        <f t="shared" si="58"/>
        <v xml:space="preserve">       18.4% </v>
      </c>
      <c r="V105" t="str">
        <f t="shared" si="46"/>
        <v xml:space="preserve">         </v>
      </c>
      <c r="W105" t="str">
        <f t="shared" si="55"/>
        <v xml:space="preserve">         </v>
      </c>
      <c r="X105" t="str">
        <f t="shared" si="59"/>
        <v xml:space="preserve"> 41225 </v>
      </c>
      <c r="Y105" t="str">
        <f t="shared" si="59"/>
        <v xml:space="preserve"> CAX2-1-RS000 </v>
      </c>
      <c r="Z105" t="str">
        <f t="shared" si="59"/>
        <v xml:space="preserve">  1 </v>
      </c>
      <c r="AA105" t="str">
        <f t="shared" si="47"/>
        <v xml:space="preserve">   -30.3 </v>
      </c>
      <c r="AB105" t="str">
        <f t="shared" si="56"/>
        <v xml:space="preserve">    -5.4 </v>
      </c>
      <c r="AC105" t="str">
        <f t="shared" si="57"/>
        <v xml:space="preserve">    30.4 </v>
      </c>
      <c r="AD105" t="str">
        <f t="shared" si="58"/>
        <v xml:space="preserve"> 1.000F </v>
      </c>
      <c r="AE105" t="str">
        <f t="shared" si="48"/>
        <v xml:space="preserve">       </v>
      </c>
      <c r="AF105" t="str">
        <f t="shared" si="60"/>
        <v xml:space="preserve"> 002 </v>
      </c>
      <c r="AG105" t="str">
        <f t="shared" si="60"/>
        <v xml:space="preserve">     0.00 </v>
      </c>
      <c r="AH105" t="str">
        <f t="shared" si="49"/>
        <v xml:space="preserve">    -0.05 </v>
      </c>
      <c r="AI105" t="str">
        <f t="shared" si="50"/>
        <v xml:space="preserve">       </v>
      </c>
      <c r="AJ105" t="str">
        <f t="shared" si="51"/>
        <v xml:space="preserve">      </v>
      </c>
    </row>
    <row r="106" spans="1:36" x14ac:dyDescent="0.25">
      <c r="A106" t="s">
        <v>88</v>
      </c>
      <c r="P106" t="str">
        <f t="shared" si="52"/>
        <v xml:space="preserve">                </v>
      </c>
      <c r="Q106" t="str">
        <f t="shared" si="52"/>
        <v xml:space="preserve">         </v>
      </c>
      <c r="R106" t="str">
        <f t="shared" si="45"/>
        <v xml:space="preserve">   165.0 </v>
      </c>
      <c r="S106" t="str">
        <f t="shared" si="53"/>
        <v xml:space="preserve">   198.0 </v>
      </c>
      <c r="T106" t="str">
        <f t="shared" si="54"/>
        <v xml:space="preserve">   198.0 </v>
      </c>
      <c r="U106" t="str">
        <f t="shared" si="58"/>
        <v xml:space="preserve">       18.4% </v>
      </c>
      <c r="V106" t="str">
        <f t="shared" si="46"/>
        <v xml:space="preserve">         </v>
      </c>
      <c r="W106" t="str">
        <f t="shared" si="55"/>
        <v xml:space="preserve">         </v>
      </c>
      <c r="X106" t="str">
        <f t="shared" si="59"/>
        <v xml:space="preserve"> 43463 </v>
      </c>
      <c r="Y106" t="str">
        <f t="shared" si="59"/>
        <v xml:space="preserve"> CAX2-2-RS000 </v>
      </c>
      <c r="Z106" t="str">
        <f t="shared" si="59"/>
        <v xml:space="preserve">  2 </v>
      </c>
      <c r="AA106" t="str">
        <f t="shared" si="47"/>
        <v xml:space="preserve">   -30.3 </v>
      </c>
      <c r="AB106" t="str">
        <f t="shared" si="56"/>
        <v xml:space="preserve">    -5.4 </v>
      </c>
      <c r="AC106" t="str">
        <f t="shared" si="57"/>
        <v xml:space="preserve">    30.4 </v>
      </c>
      <c r="AD106" t="str">
        <f t="shared" si="58"/>
        <v xml:space="preserve"> 1.000F </v>
      </c>
      <c r="AE106" t="str">
        <f t="shared" si="48"/>
        <v xml:space="preserve">       </v>
      </c>
      <c r="AF106" t="str">
        <f t="shared" si="60"/>
        <v xml:space="preserve"> 002 </v>
      </c>
      <c r="AG106" t="str">
        <f t="shared" si="60"/>
        <v xml:space="preserve">     0.00 </v>
      </c>
      <c r="AH106" t="str">
        <f t="shared" si="49"/>
        <v xml:space="preserve">    -0.05 </v>
      </c>
      <c r="AI106" t="str">
        <f t="shared" si="50"/>
        <v xml:space="preserve">       </v>
      </c>
      <c r="AJ106" t="str">
        <f t="shared" si="51"/>
        <v xml:space="preserve">      </v>
      </c>
    </row>
    <row r="107" spans="1:36" x14ac:dyDescent="0.25">
      <c r="A107" t="s">
        <v>14</v>
      </c>
      <c r="P107" t="str">
        <f t="shared" si="52"/>
        <v xml:space="preserve">  ..............</v>
      </c>
      <c r="Q107" t="str">
        <f t="shared" si="52"/>
        <v>.........</v>
      </c>
      <c r="R107" t="str">
        <f t="shared" si="45"/>
        <v>.........</v>
      </c>
      <c r="S107" t="str">
        <f t="shared" si="53"/>
        <v>.........</v>
      </c>
      <c r="T107" t="str">
        <f t="shared" si="54"/>
        <v>.........</v>
      </c>
      <c r="U107" t="str">
        <f t="shared" si="58"/>
        <v>.............</v>
      </c>
      <c r="V107" t="str">
        <f t="shared" si="46"/>
        <v>.........</v>
      </c>
      <c r="W107" t="str">
        <f t="shared" si="55"/>
        <v>.........</v>
      </c>
      <c r="X107" t="str">
        <f t="shared" si="59"/>
        <v>.......</v>
      </c>
      <c r="Y107" t="str">
        <f t="shared" si="59"/>
        <v>..............</v>
      </c>
      <c r="Z107" t="str">
        <f t="shared" si="59"/>
        <v>....</v>
      </c>
      <c r="AA107" t="str">
        <f t="shared" si="47"/>
        <v>.........</v>
      </c>
      <c r="AB107" t="str">
        <f t="shared" si="56"/>
        <v>.........</v>
      </c>
      <c r="AC107" t="str">
        <f t="shared" si="57"/>
        <v>.........</v>
      </c>
      <c r="AD107" t="str">
        <f t="shared" si="58"/>
        <v>........</v>
      </c>
      <c r="AE107" t="str">
        <f t="shared" si="48"/>
        <v>.......</v>
      </c>
      <c r="AF107" t="str">
        <f t="shared" si="60"/>
        <v>.....</v>
      </c>
      <c r="AG107" t="str">
        <f t="shared" si="60"/>
        <v>..........</v>
      </c>
      <c r="AH107" t="str">
        <f t="shared" si="49"/>
        <v>..........</v>
      </c>
      <c r="AI107" t="str">
        <f t="shared" si="50"/>
        <v>.......</v>
      </c>
      <c r="AJ107" t="str">
        <f t="shared" si="51"/>
        <v>.......</v>
      </c>
    </row>
    <row r="108" spans="1:36" x14ac:dyDescent="0.25">
      <c r="A108" t="s">
        <v>89</v>
      </c>
      <c r="P108" t="str">
        <f t="shared" si="52"/>
        <v xml:space="preserve">   1205   69  0 </v>
      </c>
      <c r="Q108" t="str">
        <f t="shared" si="52"/>
        <v xml:space="preserve">   1.017 </v>
      </c>
      <c r="R108" t="str">
        <f t="shared" si="45"/>
        <v xml:space="preserve">     9.7 </v>
      </c>
      <c r="S108" t="str">
        <f t="shared" si="53"/>
        <v xml:space="preserve">     0.0 </v>
      </c>
      <c r="T108" t="str">
        <f t="shared" si="54"/>
        <v xml:space="preserve">   106.4 </v>
      </c>
      <c r="U108" t="str">
        <f t="shared" si="58"/>
        <v xml:space="preserve">         0.0 </v>
      </c>
      <c r="V108" t="str">
        <f t="shared" si="46"/>
        <v xml:space="preserve">    11.2 </v>
      </c>
      <c r="W108" t="str">
        <f t="shared" si="55"/>
        <v xml:space="preserve">     0.0</v>
      </c>
      <c r="X108" t="str">
        <f t="shared" si="59"/>
        <v/>
      </c>
      <c r="Y108" t="str">
        <f t="shared" si="59"/>
        <v/>
      </c>
      <c r="Z108" t="str">
        <f t="shared" si="59"/>
        <v/>
      </c>
      <c r="AA108" t="str">
        <f t="shared" si="47"/>
        <v/>
      </c>
      <c r="AB108" t="str">
        <f t="shared" si="56"/>
        <v/>
      </c>
      <c r="AC108" t="str">
        <f t="shared" si="57"/>
        <v/>
      </c>
      <c r="AD108" t="str">
        <f t="shared" si="58"/>
        <v/>
      </c>
      <c r="AE108" t="str">
        <f t="shared" si="48"/>
        <v/>
      </c>
      <c r="AF108" t="str">
        <f t="shared" si="60"/>
        <v/>
      </c>
      <c r="AG108" t="str">
        <f t="shared" si="60"/>
        <v/>
      </c>
      <c r="AH108" t="str">
        <f t="shared" si="49"/>
        <v/>
      </c>
      <c r="AI108" t="str">
        <f t="shared" si="50"/>
        <v/>
      </c>
      <c r="AJ108" t="str">
        <f t="shared" si="51"/>
        <v/>
      </c>
    </row>
    <row r="109" spans="1:36" x14ac:dyDescent="0.25">
      <c r="A109" t="s">
        <v>90</v>
      </c>
      <c r="P109" t="str">
        <f t="shared" si="52"/>
        <v xml:space="preserve">  GARIBA-RS069  </v>
      </c>
      <c r="Q109" t="str">
        <f t="shared" si="52"/>
        <v xml:space="preserve">   -51.3 </v>
      </c>
      <c r="R109" t="str">
        <f t="shared" si="45"/>
        <v xml:space="preserve">     0.0 </v>
      </c>
      <c r="S109" t="str">
        <f t="shared" si="53"/>
        <v xml:space="preserve">     0.0 </v>
      </c>
      <c r="T109" t="str">
        <f t="shared" si="54"/>
        <v xml:space="preserve">    52.4 </v>
      </c>
      <c r="U109" t="str">
        <f t="shared" si="58"/>
        <v xml:space="preserve">         0.0 </v>
      </c>
      <c r="V109" t="str">
        <f t="shared" si="46"/>
        <v xml:space="preserve">     0.0 </v>
      </c>
      <c r="W109" t="str">
        <f t="shared" si="55"/>
        <v xml:space="preserve">     0.0 </v>
      </c>
      <c r="X109" t="str">
        <f t="shared" si="59"/>
        <v xml:space="preserve">       </v>
      </c>
      <c r="Y109" t="str">
        <f t="shared" si="59"/>
        <v xml:space="preserve">              </v>
      </c>
      <c r="Z109" t="str">
        <f t="shared" si="59"/>
        <v xml:space="preserve">    </v>
      </c>
      <c r="AA109" t="str">
        <f t="shared" si="47"/>
        <v xml:space="preserve">         </v>
      </c>
      <c r="AB109" t="str">
        <f t="shared" si="56"/>
        <v xml:space="preserve">         </v>
      </c>
      <c r="AC109" t="str">
        <f t="shared" si="57"/>
        <v xml:space="preserve">    </v>
      </c>
      <c r="AD109" t="str">
        <f t="shared" si="58"/>
        <v/>
      </c>
      <c r="AE109" t="str">
        <f t="shared" si="48"/>
        <v/>
      </c>
      <c r="AF109" t="str">
        <f t="shared" si="60"/>
        <v/>
      </c>
      <c r="AG109" t="str">
        <f t="shared" si="60"/>
        <v/>
      </c>
      <c r="AH109" t="str">
        <f t="shared" si="49"/>
        <v/>
      </c>
      <c r="AI109" t="str">
        <f t="shared" si="50"/>
        <v/>
      </c>
      <c r="AJ109" t="str">
        <f t="shared" si="51"/>
        <v/>
      </c>
    </row>
    <row r="110" spans="1:36" x14ac:dyDescent="0.25">
      <c r="A110" t="s">
        <v>91</v>
      </c>
      <c r="P110" t="str">
        <f t="shared" si="52"/>
        <v xml:space="preserve">                </v>
      </c>
      <c r="Q110" t="str">
        <f t="shared" si="52"/>
        <v xml:space="preserve">         </v>
      </c>
      <c r="R110" t="str">
        <f t="shared" si="45"/>
        <v xml:space="preserve">   165.0 </v>
      </c>
      <c r="S110" t="str">
        <f t="shared" si="53"/>
        <v xml:space="preserve">   198.0 </v>
      </c>
      <c r="T110" t="str">
        <f t="shared" si="54"/>
        <v xml:space="preserve">   198.0 </v>
      </c>
      <c r="U110" t="str">
        <f t="shared" si="58"/>
        <v xml:space="preserve">       31.2% </v>
      </c>
      <c r="V110" t="str">
        <f t="shared" si="46"/>
        <v xml:space="preserve">         </v>
      </c>
      <c r="W110" t="str">
        <f t="shared" si="55"/>
        <v xml:space="preserve">         </v>
      </c>
      <c r="X110" t="str">
        <f t="shared" si="59"/>
        <v xml:space="preserve"> 41265 </v>
      </c>
      <c r="Y110" t="str">
        <f t="shared" si="59"/>
        <v xml:space="preserve"> GAR-1--RS000 </v>
      </c>
      <c r="Z110" t="str">
        <f t="shared" si="59"/>
        <v xml:space="preserve">  1 </v>
      </c>
      <c r="AA110" t="str">
        <f t="shared" si="47"/>
        <v xml:space="preserve">   -48.1 </v>
      </c>
      <c r="AB110" t="str">
        <f t="shared" si="56"/>
        <v xml:space="preserve">   -20.5 </v>
      </c>
      <c r="AC110" t="str">
        <f t="shared" si="57"/>
        <v xml:space="preserve">    51.4 </v>
      </c>
      <c r="AD110" t="str">
        <f t="shared" si="58"/>
        <v xml:space="preserve"> 1.000F </v>
      </c>
      <c r="AE110" t="str">
        <f t="shared" si="48"/>
        <v xml:space="preserve">       </v>
      </c>
      <c r="AF110" t="str">
        <f t="shared" si="60"/>
        <v xml:space="preserve"> 002 </v>
      </c>
      <c r="AG110" t="str">
        <f t="shared" si="60"/>
        <v xml:space="preserve">     0.02 </v>
      </c>
      <c r="AH110" t="str">
        <f t="shared" si="49"/>
        <v xml:space="preserve">    -0.20 </v>
      </c>
      <c r="AI110" t="str">
        <f t="shared" si="50"/>
        <v xml:space="preserve">       </v>
      </c>
      <c r="AJ110" t="str">
        <f t="shared" si="51"/>
        <v xml:space="preserve">      </v>
      </c>
    </row>
    <row r="111" spans="1:36" x14ac:dyDescent="0.25">
      <c r="A111" t="s">
        <v>92</v>
      </c>
      <c r="P111" t="str">
        <f t="shared" si="52"/>
        <v xml:space="preserve">                </v>
      </c>
      <c r="Q111" t="str">
        <f t="shared" si="52"/>
        <v xml:space="preserve">         </v>
      </c>
      <c r="R111" t="str">
        <f t="shared" si="45"/>
        <v xml:space="preserve">   165.0 </v>
      </c>
      <c r="S111" t="str">
        <f t="shared" si="53"/>
        <v xml:space="preserve">   198.0 </v>
      </c>
      <c r="T111" t="str">
        <f t="shared" si="54"/>
        <v xml:space="preserve">   198.0 </v>
      </c>
      <c r="U111" t="str">
        <f t="shared" si="58"/>
        <v xml:space="preserve">       31.5% </v>
      </c>
      <c r="V111" t="str">
        <f t="shared" si="46"/>
        <v xml:space="preserve">         </v>
      </c>
      <c r="W111" t="str">
        <f t="shared" si="55"/>
        <v xml:space="preserve">         </v>
      </c>
      <c r="X111" t="str">
        <f t="shared" si="59"/>
        <v xml:space="preserve"> 41266 </v>
      </c>
      <c r="Y111" t="str">
        <f t="shared" si="59"/>
        <v xml:space="preserve"> GAR-2--RS000 </v>
      </c>
      <c r="Z111" t="str">
        <f t="shared" si="59"/>
        <v xml:space="preserve">  2 </v>
      </c>
      <c r="AA111" t="str">
        <f t="shared" si="47"/>
        <v xml:space="preserve">   -48.6 </v>
      </c>
      <c r="AB111" t="str">
        <f t="shared" si="56"/>
        <v xml:space="preserve">   -20.7 </v>
      </c>
      <c r="AC111" t="str">
        <f t="shared" si="57"/>
        <v xml:space="preserve">    51.9 </v>
      </c>
      <c r="AD111" t="str">
        <f t="shared" si="58"/>
        <v xml:space="preserve"> 1.000F </v>
      </c>
      <c r="AE111" t="str">
        <f t="shared" si="48"/>
        <v xml:space="preserve">       </v>
      </c>
      <c r="AF111" t="str">
        <f t="shared" si="60"/>
        <v xml:space="preserve"> 002 </v>
      </c>
      <c r="AG111" t="str">
        <f t="shared" si="60"/>
        <v xml:space="preserve">     0.02 </v>
      </c>
      <c r="AH111" t="str">
        <f t="shared" si="49"/>
        <v xml:space="preserve">    -0.20 </v>
      </c>
      <c r="AI111" t="str">
        <f t="shared" si="50"/>
        <v xml:space="preserve">       </v>
      </c>
      <c r="AJ111" t="str">
        <f t="shared" si="51"/>
        <v xml:space="preserve">      </v>
      </c>
    </row>
    <row r="112" spans="1:36" x14ac:dyDescent="0.25">
      <c r="A112" t="s">
        <v>14</v>
      </c>
      <c r="P112" t="str">
        <f t="shared" si="52"/>
        <v xml:space="preserve">  ..............</v>
      </c>
      <c r="Q112" t="str">
        <f t="shared" si="52"/>
        <v>.........</v>
      </c>
      <c r="R112" t="str">
        <f t="shared" si="45"/>
        <v>.........</v>
      </c>
      <c r="S112" t="str">
        <f t="shared" si="53"/>
        <v>.........</v>
      </c>
      <c r="T112" t="str">
        <f t="shared" si="54"/>
        <v>.........</v>
      </c>
      <c r="U112" t="str">
        <f t="shared" si="58"/>
        <v>.............</v>
      </c>
      <c r="V112" t="str">
        <f t="shared" si="46"/>
        <v>.........</v>
      </c>
      <c r="W112" t="str">
        <f t="shared" si="55"/>
        <v>.........</v>
      </c>
      <c r="X112" t="str">
        <f t="shared" si="59"/>
        <v>.......</v>
      </c>
      <c r="Y112" t="str">
        <f t="shared" si="59"/>
        <v>..............</v>
      </c>
      <c r="Z112" t="str">
        <f t="shared" si="59"/>
        <v>....</v>
      </c>
      <c r="AA112" t="str">
        <f t="shared" si="47"/>
        <v>.........</v>
      </c>
      <c r="AB112" t="str">
        <f t="shared" si="56"/>
        <v>.........</v>
      </c>
      <c r="AC112" t="str">
        <f t="shared" si="57"/>
        <v>.........</v>
      </c>
      <c r="AD112" t="str">
        <f t="shared" si="58"/>
        <v>........</v>
      </c>
      <c r="AE112" t="str">
        <f t="shared" si="48"/>
        <v>.......</v>
      </c>
      <c r="AF112" t="str">
        <f t="shared" si="60"/>
        <v>.....</v>
      </c>
      <c r="AG112" t="str">
        <f t="shared" si="60"/>
        <v>..........</v>
      </c>
      <c r="AH112" t="str">
        <f t="shared" si="49"/>
        <v>..........</v>
      </c>
      <c r="AI112" t="str">
        <f t="shared" si="50"/>
        <v>.......</v>
      </c>
      <c r="AJ112" t="str">
        <f t="shared" si="51"/>
        <v>.......</v>
      </c>
    </row>
    <row r="113" spans="1:36" x14ac:dyDescent="0.25">
      <c r="A113" t="s">
        <v>93</v>
      </c>
      <c r="P113" t="str">
        <f t="shared" si="52"/>
        <v xml:space="preserve">   1207   69  0 </v>
      </c>
      <c r="Q113" t="str">
        <f t="shared" si="52"/>
        <v xml:space="preserve">   1.026 </v>
      </c>
      <c r="R113" t="str">
        <f t="shared" si="45"/>
        <v xml:space="preserve">    10.3 </v>
      </c>
      <c r="S113" t="str">
        <f t="shared" si="53"/>
        <v xml:space="preserve">     0.0 </v>
      </c>
      <c r="T113" t="str">
        <f t="shared" si="54"/>
        <v xml:space="preserve">    71.1 </v>
      </c>
      <c r="U113" t="str">
        <f t="shared" si="58"/>
        <v xml:space="preserve">         0.0 </v>
      </c>
      <c r="V113" t="str">
        <f t="shared" si="46"/>
        <v xml:space="preserve">     7.6 </v>
      </c>
      <c r="W113" t="str">
        <f t="shared" si="55"/>
        <v xml:space="preserve">     0.0</v>
      </c>
      <c r="X113" t="str">
        <f t="shared" si="59"/>
        <v/>
      </c>
      <c r="Y113" t="str">
        <f t="shared" si="59"/>
        <v/>
      </c>
      <c r="Z113" t="str">
        <f t="shared" si="59"/>
        <v/>
      </c>
      <c r="AA113" t="str">
        <f t="shared" si="47"/>
        <v/>
      </c>
      <c r="AB113" t="str">
        <f t="shared" si="56"/>
        <v/>
      </c>
      <c r="AC113" t="str">
        <f t="shared" si="57"/>
        <v/>
      </c>
      <c r="AD113" t="str">
        <f t="shared" si="58"/>
        <v/>
      </c>
      <c r="AE113" t="str">
        <f t="shared" si="48"/>
        <v/>
      </c>
      <c r="AF113" t="str">
        <f t="shared" si="60"/>
        <v/>
      </c>
      <c r="AG113" t="str">
        <f t="shared" si="60"/>
        <v/>
      </c>
      <c r="AH113" t="str">
        <f t="shared" si="49"/>
        <v/>
      </c>
      <c r="AI113" t="str">
        <f t="shared" si="50"/>
        <v/>
      </c>
      <c r="AJ113" t="str">
        <f t="shared" si="51"/>
        <v/>
      </c>
    </row>
    <row r="114" spans="1:36" x14ac:dyDescent="0.25">
      <c r="A114" t="s">
        <v>94</v>
      </c>
      <c r="P114" t="str">
        <f t="shared" si="52"/>
        <v xml:space="preserve">  FARROU-RS069  </v>
      </c>
      <c r="Q114" t="str">
        <f t="shared" si="52"/>
        <v xml:space="preserve">   -50.2 </v>
      </c>
      <c r="R114" t="str">
        <f t="shared" si="45"/>
        <v xml:space="preserve">     0.0 </v>
      </c>
      <c r="S114" t="str">
        <f t="shared" si="53"/>
        <v xml:space="preserve">     0.0 </v>
      </c>
      <c r="T114" t="str">
        <f t="shared" si="54"/>
        <v xml:space="preserve">    31.6 </v>
      </c>
      <c r="U114" t="str">
        <f t="shared" si="58"/>
        <v xml:space="preserve">         0.0 </v>
      </c>
      <c r="V114" t="str">
        <f t="shared" si="46"/>
        <v xml:space="preserve">     0.0 </v>
      </c>
      <c r="W114" t="str">
        <f t="shared" si="55"/>
        <v xml:space="preserve">     0.0 </v>
      </c>
      <c r="X114" t="str">
        <f t="shared" si="59"/>
        <v xml:space="preserve">       </v>
      </c>
      <c r="Y114" t="str">
        <f t="shared" si="59"/>
        <v xml:space="preserve">              </v>
      </c>
      <c r="Z114" t="str">
        <f t="shared" si="59"/>
        <v xml:space="preserve">    </v>
      </c>
      <c r="AA114" t="str">
        <f t="shared" si="47"/>
        <v xml:space="preserve">         </v>
      </c>
      <c r="AB114" t="str">
        <f t="shared" si="56"/>
        <v xml:space="preserve">         </v>
      </c>
      <c r="AC114" t="str">
        <f t="shared" si="57"/>
        <v xml:space="preserve">    </v>
      </c>
      <c r="AD114" t="str">
        <f t="shared" si="58"/>
        <v/>
      </c>
      <c r="AE114" t="str">
        <f t="shared" si="48"/>
        <v/>
      </c>
      <c r="AF114" t="str">
        <f t="shared" si="60"/>
        <v/>
      </c>
      <c r="AG114" t="str">
        <f t="shared" si="60"/>
        <v/>
      </c>
      <c r="AH114" t="str">
        <f t="shared" si="49"/>
        <v/>
      </c>
      <c r="AI114" t="str">
        <f t="shared" si="50"/>
        <v/>
      </c>
      <c r="AJ114" t="str">
        <f t="shared" si="51"/>
        <v/>
      </c>
    </row>
    <row r="115" spans="1:36" x14ac:dyDescent="0.25">
      <c r="A115" t="s">
        <v>95</v>
      </c>
      <c r="P115" t="str">
        <f t="shared" si="52"/>
        <v xml:space="preserve">                </v>
      </c>
      <c r="Q115" t="str">
        <f t="shared" si="52"/>
        <v xml:space="preserve">         </v>
      </c>
      <c r="R115" t="str">
        <f t="shared" si="45"/>
        <v xml:space="preserve">    48.0 </v>
      </c>
      <c r="S115" t="str">
        <f t="shared" si="53"/>
        <v xml:space="preserve">    71.0 </v>
      </c>
      <c r="T115" t="str">
        <f t="shared" si="54"/>
        <v xml:space="preserve">    71.0 </v>
      </c>
      <c r="U115" t="str">
        <f t="shared" si="58"/>
        <v xml:space="preserve">       51.6% </v>
      </c>
      <c r="V115" t="str">
        <f t="shared" si="46"/>
        <v xml:space="preserve">         </v>
      </c>
      <c r="W115" t="str">
        <f t="shared" si="55"/>
        <v xml:space="preserve">         </v>
      </c>
      <c r="X115" t="str">
        <f t="shared" si="59"/>
        <v xml:space="preserve">  9714 </v>
      </c>
      <c r="Y115" t="str">
        <f t="shared" si="59"/>
        <v xml:space="preserve"> FELIZ--RS069 </v>
      </c>
      <c r="Z115" t="str">
        <f t="shared" si="59"/>
        <v xml:space="preserve">  1 </v>
      </c>
      <c r="AA115" t="str">
        <f t="shared" si="47"/>
        <v xml:space="preserve">    23.5 </v>
      </c>
      <c r="AB115" t="str">
        <f t="shared" si="56"/>
        <v xml:space="preserve">     9.5 </v>
      </c>
      <c r="AC115" t="str">
        <f t="shared" si="57"/>
        <v xml:space="preserve">    24.7 </v>
      </c>
      <c r="AD115" t="str">
        <f t="shared" si="58"/>
        <v xml:space="preserve">        </v>
      </c>
      <c r="AE115" t="str">
        <f t="shared" si="48"/>
        <v xml:space="preserve">       </v>
      </c>
      <c r="AF115" t="str">
        <f t="shared" si="60"/>
        <v xml:space="preserve">     </v>
      </c>
      <c r="AG115" t="str">
        <f t="shared" si="60"/>
        <v xml:space="preserve">     0.54 </v>
      </c>
      <c r="AH115" t="str">
        <f t="shared" si="49"/>
        <v xml:space="preserve">     1.31 </v>
      </c>
      <c r="AI115" t="str">
        <f t="shared" si="50"/>
        <v xml:space="preserve">       </v>
      </c>
      <c r="AJ115" t="str">
        <f t="shared" si="51"/>
        <v xml:space="preserve">      </v>
      </c>
    </row>
    <row r="116" spans="1:36" x14ac:dyDescent="0.25">
      <c r="A116" t="s">
        <v>96</v>
      </c>
      <c r="P116" t="str">
        <f t="shared" si="52"/>
        <v xml:space="preserve">                </v>
      </c>
      <c r="Q116" t="str">
        <f t="shared" si="52"/>
        <v xml:space="preserve">         </v>
      </c>
      <c r="R116" t="str">
        <f t="shared" si="45"/>
        <v xml:space="preserve">    75.0 </v>
      </c>
      <c r="S116" t="str">
        <f t="shared" si="53"/>
        <v xml:space="preserve">    90.0 </v>
      </c>
      <c r="T116" t="str">
        <f t="shared" si="54"/>
        <v xml:space="preserve">    90.0 </v>
      </c>
      <c r="U116" t="str">
        <f t="shared" si="58"/>
        <v xml:space="preserve">       19.7% </v>
      </c>
      <c r="V116" t="str">
        <f t="shared" si="46"/>
        <v xml:space="preserve">         </v>
      </c>
      <c r="W116" t="str">
        <f t="shared" si="55"/>
        <v xml:space="preserve">         </v>
      </c>
      <c r="X116" t="str">
        <f t="shared" si="59"/>
        <v xml:space="preserve">  9829 </v>
      </c>
      <c r="Y116" t="str">
        <f t="shared" si="59"/>
        <v xml:space="preserve"> FRASLETAP069 </v>
      </c>
      <c r="Z116" t="str">
        <f t="shared" si="59"/>
        <v xml:space="preserve">  1 </v>
      </c>
      <c r="AA116" t="str">
        <f t="shared" si="47"/>
        <v xml:space="preserve">    14.4 </v>
      </c>
      <c r="AB116" t="str">
        <f t="shared" si="56"/>
        <v xml:space="preserve">     4.6 </v>
      </c>
      <c r="AC116" t="str">
        <f t="shared" si="57"/>
        <v xml:space="preserve">    14.8 </v>
      </c>
      <c r="AD116" t="str">
        <f t="shared" si="58"/>
        <v xml:space="preserve">        </v>
      </c>
      <c r="AE116" t="str">
        <f t="shared" si="48"/>
        <v xml:space="preserve">       </v>
      </c>
      <c r="AF116" t="str">
        <f t="shared" si="60"/>
        <v xml:space="preserve">     </v>
      </c>
      <c r="AG116" t="str">
        <f t="shared" si="60"/>
        <v xml:space="preserve">     0.03 </v>
      </c>
      <c r="AH116" t="str">
        <f t="shared" si="49"/>
        <v xml:space="preserve">     0.03 </v>
      </c>
      <c r="AI116" t="str">
        <f t="shared" si="50"/>
        <v xml:space="preserve">       </v>
      </c>
      <c r="AJ116" t="str">
        <f t="shared" si="51"/>
        <v xml:space="preserve">      </v>
      </c>
    </row>
    <row r="117" spans="1:36" x14ac:dyDescent="0.25">
      <c r="A117" t="s">
        <v>97</v>
      </c>
      <c r="P117" t="str">
        <f t="shared" si="52"/>
        <v xml:space="preserve">                </v>
      </c>
      <c r="Q117" t="str">
        <f t="shared" si="52"/>
        <v xml:space="preserve">         </v>
      </c>
      <c r="R117" t="str">
        <f t="shared" si="45"/>
        <v xml:space="preserve">    88.0 </v>
      </c>
      <c r="S117" t="str">
        <f t="shared" si="53"/>
        <v xml:space="preserve">    95.0 </v>
      </c>
      <c r="T117" t="str">
        <f t="shared" si="54"/>
        <v xml:space="preserve">    95.0 </v>
      </c>
      <c r="U117" t="str">
        <f t="shared" si="58"/>
        <v xml:space="preserve">       40.3% </v>
      </c>
      <c r="V117" t="str">
        <f t="shared" si="46"/>
        <v xml:space="preserve">         </v>
      </c>
      <c r="W117" t="str">
        <f t="shared" si="55"/>
        <v xml:space="preserve">         </v>
      </c>
      <c r="X117" t="str">
        <f t="shared" si="59"/>
        <v xml:space="preserve"> 41258 </v>
      </c>
      <c r="Y117" t="str">
        <f t="shared" si="59"/>
        <v xml:space="preserve"> FARR-1-RS000 </v>
      </c>
      <c r="Z117" t="str">
        <f t="shared" si="59"/>
        <v xml:space="preserve">  1 </v>
      </c>
      <c r="AA117" t="str">
        <f t="shared" si="47"/>
        <v xml:space="preserve">   -33.9 </v>
      </c>
      <c r="AB117" t="str">
        <f t="shared" si="56"/>
        <v xml:space="preserve">   -13.1 </v>
      </c>
      <c r="AC117" t="str">
        <f t="shared" si="57"/>
        <v xml:space="preserve">    35.4 </v>
      </c>
      <c r="AD117" t="str">
        <f t="shared" si="58"/>
        <v xml:space="preserve"> 1.000F </v>
      </c>
      <c r="AE117" t="str">
        <f t="shared" si="48"/>
        <v xml:space="preserve">       </v>
      </c>
      <c r="AF117" t="str">
        <f t="shared" si="60"/>
        <v xml:space="preserve"> 002 </v>
      </c>
      <c r="AG117" t="str">
        <f t="shared" si="60"/>
        <v xml:space="preserve">     0.02 </v>
      </c>
      <c r="AH117" t="str">
        <f t="shared" si="49"/>
        <v xml:space="preserve">    -0.04 </v>
      </c>
      <c r="AI117" t="str">
        <f t="shared" si="50"/>
        <v xml:space="preserve">       </v>
      </c>
      <c r="AJ117" t="str">
        <f t="shared" si="51"/>
        <v xml:space="preserve">      </v>
      </c>
    </row>
    <row r="118" spans="1:36" x14ac:dyDescent="0.25">
      <c r="A118" t="s">
        <v>98</v>
      </c>
      <c r="P118" t="str">
        <f t="shared" si="52"/>
        <v xml:space="preserve">                </v>
      </c>
      <c r="Q118" t="str">
        <f t="shared" si="52"/>
        <v xml:space="preserve">         </v>
      </c>
      <c r="R118" t="str">
        <f t="shared" si="45"/>
        <v xml:space="preserve">    88.0 </v>
      </c>
      <c r="S118" t="str">
        <f t="shared" si="53"/>
        <v xml:space="preserve">    97.0 </v>
      </c>
      <c r="T118" t="str">
        <f t="shared" si="54"/>
        <v xml:space="preserve">    97.0 </v>
      </c>
      <c r="U118" t="str">
        <f t="shared" si="58"/>
        <v xml:space="preserve">       39.7% </v>
      </c>
      <c r="V118" t="str">
        <f t="shared" si="46"/>
        <v xml:space="preserve">         </v>
      </c>
      <c r="W118" t="str">
        <f t="shared" si="55"/>
        <v xml:space="preserve">         </v>
      </c>
      <c r="X118" t="str">
        <f t="shared" si="59"/>
        <v xml:space="preserve"> 41259 </v>
      </c>
      <c r="Y118" t="str">
        <f t="shared" si="59"/>
        <v xml:space="preserve"> FARR-2-RS000 </v>
      </c>
      <c r="Z118" t="str">
        <f t="shared" si="59"/>
        <v xml:space="preserve">  2 </v>
      </c>
      <c r="AA118" t="str">
        <f t="shared" si="47"/>
        <v xml:space="preserve">   -33.4 </v>
      </c>
      <c r="AB118" t="str">
        <f t="shared" si="56"/>
        <v xml:space="preserve">   -13.0 </v>
      </c>
      <c r="AC118" t="str">
        <f t="shared" si="57"/>
        <v xml:space="preserve">    35.0 </v>
      </c>
      <c r="AD118" t="str">
        <f t="shared" si="58"/>
        <v xml:space="preserve"> 1.000F </v>
      </c>
      <c r="AE118" t="str">
        <f t="shared" si="48"/>
        <v xml:space="preserve">       </v>
      </c>
      <c r="AF118" t="str">
        <f t="shared" si="60"/>
        <v xml:space="preserve"> 002 </v>
      </c>
      <c r="AG118" t="str">
        <f t="shared" si="60"/>
        <v xml:space="preserve">     0.02 </v>
      </c>
      <c r="AH118" t="str">
        <f t="shared" si="49"/>
        <v xml:space="preserve">     0.05 </v>
      </c>
      <c r="AI118" t="str">
        <f t="shared" si="50"/>
        <v xml:space="preserve">       </v>
      </c>
      <c r="AJ118" t="str">
        <f t="shared" si="51"/>
        <v xml:space="preserve">      </v>
      </c>
    </row>
    <row r="119" spans="1:36" x14ac:dyDescent="0.25">
      <c r="A119" t="s">
        <v>99</v>
      </c>
      <c r="P119" t="str">
        <f t="shared" si="52"/>
        <v xml:space="preserve">                </v>
      </c>
      <c r="Q119" t="str">
        <f t="shared" si="52"/>
        <v xml:space="preserve">         </v>
      </c>
      <c r="R119" t="str">
        <f t="shared" si="45"/>
        <v xml:space="preserve">    88.0 </v>
      </c>
      <c r="S119" t="str">
        <f t="shared" si="53"/>
        <v xml:space="preserve">   106.0 </v>
      </c>
      <c r="T119" t="str">
        <f t="shared" si="54"/>
        <v xml:space="preserve">   106.0 </v>
      </c>
      <c r="U119" t="str">
        <f t="shared" si="58"/>
        <v xml:space="preserve">       37.3% </v>
      </c>
      <c r="V119" t="str">
        <f t="shared" si="46"/>
        <v xml:space="preserve">         </v>
      </c>
      <c r="W119" t="str">
        <f t="shared" si="55"/>
        <v xml:space="preserve">         </v>
      </c>
      <c r="X119" t="str">
        <f t="shared" si="59"/>
        <v xml:space="preserve"> 43804 </v>
      </c>
      <c r="Y119" t="str">
        <f t="shared" si="59"/>
        <v xml:space="preserve"> FARR-3-RS000 </v>
      </c>
      <c r="Z119" t="str">
        <f t="shared" si="59"/>
        <v xml:space="preserve">  3 </v>
      </c>
      <c r="AA119" t="str">
        <f t="shared" si="47"/>
        <v xml:space="preserve">   -31.4 </v>
      </c>
      <c r="AB119" t="str">
        <f t="shared" si="56"/>
        <v xml:space="preserve">   -12.1 </v>
      </c>
      <c r="AC119" t="str">
        <f t="shared" si="57"/>
        <v xml:space="preserve">    32.8 </v>
      </c>
      <c r="AD119" t="str">
        <f t="shared" si="58"/>
        <v xml:space="preserve"> 1.000F </v>
      </c>
      <c r="AE119" t="str">
        <f t="shared" si="48"/>
        <v xml:space="preserve">       </v>
      </c>
      <c r="AF119" t="str">
        <f t="shared" si="60"/>
        <v xml:space="preserve"> 002 </v>
      </c>
      <c r="AG119" t="str">
        <f t="shared" si="60"/>
        <v xml:space="preserve">     0.02 </v>
      </c>
      <c r="AH119" t="str">
        <f t="shared" si="49"/>
        <v xml:space="preserve">    -0.09 </v>
      </c>
      <c r="AI119" t="str">
        <f t="shared" si="50"/>
        <v xml:space="preserve">       </v>
      </c>
      <c r="AJ119" t="str">
        <f t="shared" si="51"/>
        <v xml:space="preserve">      </v>
      </c>
    </row>
    <row r="120" spans="1:36" x14ac:dyDescent="0.25">
      <c r="A120" t="s">
        <v>14</v>
      </c>
      <c r="P120" t="str">
        <f t="shared" si="52"/>
        <v xml:space="preserve">  ..............</v>
      </c>
      <c r="Q120" t="str">
        <f t="shared" si="52"/>
        <v>.........</v>
      </c>
      <c r="R120" t="str">
        <f t="shared" si="45"/>
        <v>.........</v>
      </c>
      <c r="S120" t="str">
        <f t="shared" si="53"/>
        <v>.........</v>
      </c>
      <c r="T120" t="str">
        <f t="shared" si="54"/>
        <v>.........</v>
      </c>
      <c r="U120" t="str">
        <f t="shared" si="58"/>
        <v>.............</v>
      </c>
      <c r="V120" t="str">
        <f t="shared" si="46"/>
        <v>.........</v>
      </c>
      <c r="W120" t="str">
        <f t="shared" si="55"/>
        <v>.........</v>
      </c>
      <c r="X120" t="str">
        <f t="shared" si="59"/>
        <v>.......</v>
      </c>
      <c r="Y120" t="str">
        <f t="shared" si="59"/>
        <v>..............</v>
      </c>
      <c r="Z120" t="str">
        <f t="shared" si="59"/>
        <v>....</v>
      </c>
      <c r="AA120" t="str">
        <f t="shared" si="47"/>
        <v>.........</v>
      </c>
      <c r="AB120" t="str">
        <f t="shared" si="56"/>
        <v>.........</v>
      </c>
      <c r="AC120" t="str">
        <f t="shared" si="57"/>
        <v>.........</v>
      </c>
      <c r="AD120" t="str">
        <f t="shared" si="58"/>
        <v>........</v>
      </c>
      <c r="AE120" t="str">
        <f t="shared" si="48"/>
        <v>.......</v>
      </c>
      <c r="AF120" t="str">
        <f t="shared" si="60"/>
        <v>.....</v>
      </c>
      <c r="AG120" t="str">
        <f t="shared" si="60"/>
        <v>..........</v>
      </c>
      <c r="AH120" t="str">
        <f t="shared" si="49"/>
        <v>..........</v>
      </c>
      <c r="AI120" t="str">
        <f t="shared" si="50"/>
        <v>.......</v>
      </c>
      <c r="AJ120" t="str">
        <f t="shared" si="51"/>
        <v>.......</v>
      </c>
    </row>
    <row r="121" spans="1:36" x14ac:dyDescent="0.25">
      <c r="A121" t="s">
        <v>100</v>
      </c>
      <c r="P121" t="str">
        <f t="shared" si="52"/>
        <v xml:space="preserve">   1208   69  0 </v>
      </c>
      <c r="Q121" t="str">
        <f t="shared" si="52"/>
        <v xml:space="preserve">   1.030 </v>
      </c>
      <c r="R121" t="str">
        <f t="shared" si="45"/>
        <v xml:space="preserve">     1.3 </v>
      </c>
      <c r="S121" t="str">
        <f t="shared" si="53"/>
        <v xml:space="preserve">     0.0 </v>
      </c>
      <c r="T121" t="str">
        <f t="shared" si="54"/>
        <v xml:space="preserve">     7.1 </v>
      </c>
      <c r="U121" t="str">
        <f t="shared" si="58"/>
        <v xml:space="preserve">         0.0 </v>
      </c>
      <c r="V121" t="str">
        <f t="shared" si="46"/>
        <v xml:space="preserve">     0.0 </v>
      </c>
      <c r="W121" t="str">
        <f t="shared" si="55"/>
        <v xml:space="preserve">     0.0</v>
      </c>
      <c r="X121" t="str">
        <f t="shared" si="59"/>
        <v/>
      </c>
      <c r="Y121" t="str">
        <f t="shared" si="59"/>
        <v/>
      </c>
      <c r="Z121" t="str">
        <f t="shared" si="59"/>
        <v/>
      </c>
      <c r="AA121" t="str">
        <f t="shared" si="47"/>
        <v/>
      </c>
      <c r="AB121" t="str">
        <f t="shared" si="56"/>
        <v/>
      </c>
      <c r="AC121" t="str">
        <f t="shared" si="57"/>
        <v/>
      </c>
      <c r="AD121" t="str">
        <f t="shared" si="58"/>
        <v/>
      </c>
      <c r="AE121" t="str">
        <f t="shared" si="48"/>
        <v/>
      </c>
      <c r="AF121" t="str">
        <f t="shared" si="60"/>
        <v/>
      </c>
      <c r="AG121" t="str">
        <f t="shared" si="60"/>
        <v/>
      </c>
      <c r="AH121" t="str">
        <f t="shared" si="49"/>
        <v/>
      </c>
      <c r="AI121" t="str">
        <f t="shared" si="50"/>
        <v/>
      </c>
      <c r="AJ121" t="str">
        <f t="shared" si="51"/>
        <v/>
      </c>
    </row>
    <row r="122" spans="1:36" x14ac:dyDescent="0.25">
      <c r="A122" t="s">
        <v>101</v>
      </c>
      <c r="P122" t="str">
        <f t="shared" si="52"/>
        <v xml:space="preserve">  TRIUNF-RS069  </v>
      </c>
      <c r="Q122" t="str">
        <f t="shared" si="52"/>
        <v xml:space="preserve">   -53.0 </v>
      </c>
      <c r="R122" t="str">
        <f t="shared" si="45"/>
        <v xml:space="preserve">     0.0 </v>
      </c>
      <c r="S122" t="str">
        <f t="shared" si="53"/>
        <v xml:space="preserve">     0.0 </v>
      </c>
      <c r="T122" t="str">
        <f t="shared" si="54"/>
        <v xml:space="preserve">     2.4 </v>
      </c>
      <c r="U122" t="str">
        <f t="shared" si="58"/>
        <v xml:space="preserve">         0.0 </v>
      </c>
      <c r="V122" t="str">
        <f t="shared" si="46"/>
        <v xml:space="preserve">     0.0 </v>
      </c>
      <c r="W122" t="str">
        <f t="shared" si="55"/>
        <v xml:space="preserve">     0.0 </v>
      </c>
      <c r="X122" t="str">
        <f t="shared" si="59"/>
        <v xml:space="preserve">       </v>
      </c>
      <c r="Y122" t="str">
        <f t="shared" si="59"/>
        <v xml:space="preserve">              </v>
      </c>
      <c r="Z122" t="str">
        <f t="shared" si="59"/>
        <v xml:space="preserve">    </v>
      </c>
      <c r="AA122" t="str">
        <f t="shared" si="47"/>
        <v xml:space="preserve">         </v>
      </c>
      <c r="AB122" t="str">
        <f t="shared" si="56"/>
        <v xml:space="preserve">         </v>
      </c>
      <c r="AC122" t="str">
        <f t="shared" si="57"/>
        <v xml:space="preserve">    </v>
      </c>
      <c r="AD122" t="str">
        <f t="shared" si="58"/>
        <v/>
      </c>
      <c r="AE122" t="str">
        <f t="shared" si="48"/>
        <v/>
      </c>
      <c r="AF122" t="str">
        <f t="shared" si="60"/>
        <v/>
      </c>
      <c r="AG122" t="str">
        <f t="shared" si="60"/>
        <v/>
      </c>
      <c r="AH122" t="str">
        <f t="shared" si="49"/>
        <v/>
      </c>
      <c r="AI122" t="str">
        <f t="shared" si="50"/>
        <v/>
      </c>
      <c r="AJ122" t="str">
        <f t="shared" si="51"/>
        <v/>
      </c>
    </row>
    <row r="123" spans="1:36" x14ac:dyDescent="0.25">
      <c r="A123" t="s">
        <v>102</v>
      </c>
      <c r="P123" t="str">
        <f t="shared" si="52"/>
        <v xml:space="preserve">                </v>
      </c>
      <c r="Q123" t="str">
        <f t="shared" si="52"/>
        <v xml:space="preserve">         </v>
      </c>
      <c r="R123" t="str">
        <f t="shared" si="45"/>
        <v xml:space="preserve">    48.0 </v>
      </c>
      <c r="S123" t="str">
        <f t="shared" si="53"/>
        <v xml:space="preserve">    48.0 </v>
      </c>
      <c r="T123" t="str">
        <f t="shared" si="54"/>
        <v xml:space="preserve">    48.0 </v>
      </c>
      <c r="U123" t="str">
        <f t="shared" si="58"/>
        <v xml:space="preserve">       17.2% </v>
      </c>
      <c r="V123" t="str">
        <f t="shared" si="46"/>
        <v xml:space="preserve">         </v>
      </c>
      <c r="W123" t="str">
        <f t="shared" si="55"/>
        <v xml:space="preserve">         </v>
      </c>
      <c r="X123" t="str">
        <f t="shared" si="59"/>
        <v xml:space="preserve">  2053 </v>
      </c>
      <c r="Y123" t="str">
        <f t="shared" si="59"/>
        <v xml:space="preserve"> SJERO--RS069 </v>
      </c>
      <c r="Z123" t="str">
        <f t="shared" si="59"/>
        <v xml:space="preserve">  1 </v>
      </c>
      <c r="AA123" t="str">
        <f t="shared" si="47"/>
        <v xml:space="preserve">     7.9 </v>
      </c>
      <c r="AB123" t="str">
        <f t="shared" si="56"/>
        <v xml:space="preserve">     3.1 </v>
      </c>
      <c r="AC123" t="str">
        <f t="shared" si="57"/>
        <v xml:space="preserve">     8.2 </v>
      </c>
      <c r="AD123" t="str">
        <f t="shared" si="58"/>
        <v xml:space="preserve">        </v>
      </c>
      <c r="AE123" t="str">
        <f t="shared" si="48"/>
        <v xml:space="preserve">       </v>
      </c>
      <c r="AF123" t="str">
        <f t="shared" si="60"/>
        <v xml:space="preserve">     </v>
      </c>
      <c r="AG123" t="str">
        <f t="shared" si="60"/>
        <v xml:space="preserve">     0.01 </v>
      </c>
      <c r="AH123" t="str">
        <f t="shared" si="49"/>
        <v xml:space="preserve">    -0.04 </v>
      </c>
      <c r="AI123" t="str">
        <f t="shared" si="50"/>
        <v xml:space="preserve">       </v>
      </c>
      <c r="AJ123" t="str">
        <f t="shared" si="51"/>
        <v xml:space="preserve">      </v>
      </c>
    </row>
    <row r="124" spans="1:36" x14ac:dyDescent="0.25">
      <c r="A124" t="s">
        <v>103</v>
      </c>
      <c r="P124" t="str">
        <f t="shared" si="52"/>
        <v xml:space="preserve">                </v>
      </c>
      <c r="Q124" t="str">
        <f t="shared" si="52"/>
        <v xml:space="preserve">         </v>
      </c>
      <c r="R124" t="str">
        <f t="shared" si="45"/>
        <v xml:space="preserve">    48.0 </v>
      </c>
      <c r="S124" t="str">
        <f t="shared" si="53"/>
        <v xml:space="preserve">    48.0 </v>
      </c>
      <c r="T124" t="str">
        <f t="shared" si="54"/>
        <v xml:space="preserve">    48.0 </v>
      </c>
      <c r="U124" t="str">
        <f t="shared" si="58"/>
        <v xml:space="preserve">       29.9% </v>
      </c>
      <c r="V124" t="str">
        <f t="shared" si="46"/>
        <v xml:space="preserve">         </v>
      </c>
      <c r="W124" t="str">
        <f t="shared" si="55"/>
        <v xml:space="preserve">         </v>
      </c>
      <c r="X124" t="str">
        <f t="shared" si="59"/>
        <v xml:space="preserve"> 10277 </v>
      </c>
      <c r="Y124" t="str">
        <f t="shared" si="59"/>
        <v xml:space="preserve"> CHARQ3-RS069 </v>
      </c>
      <c r="Z124" t="str">
        <f t="shared" si="59"/>
        <v xml:space="preserve">  1 </v>
      </c>
      <c r="AA124" t="str">
        <f t="shared" si="47"/>
        <v xml:space="preserve">   -13.7 </v>
      </c>
      <c r="AB124" t="str">
        <f t="shared" si="56"/>
        <v xml:space="preserve">    -5.5 </v>
      </c>
      <c r="AC124" t="str">
        <f t="shared" si="57"/>
        <v xml:space="preserve">    14.3 </v>
      </c>
      <c r="AD124" t="str">
        <f t="shared" si="58"/>
        <v xml:space="preserve">        </v>
      </c>
      <c r="AE124" t="str">
        <f t="shared" si="48"/>
        <v xml:space="preserve">       </v>
      </c>
      <c r="AF124" t="str">
        <f t="shared" si="60"/>
        <v xml:space="preserve">     </v>
      </c>
      <c r="AG124" t="str">
        <f t="shared" si="60"/>
        <v xml:space="preserve">     0.11 </v>
      </c>
      <c r="AH124" t="str">
        <f t="shared" si="49"/>
        <v xml:space="preserve">     0.06 </v>
      </c>
      <c r="AI124" t="str">
        <f t="shared" si="50"/>
        <v xml:space="preserve">       </v>
      </c>
      <c r="AJ124" t="str">
        <f t="shared" si="51"/>
        <v xml:space="preserve">      </v>
      </c>
    </row>
    <row r="125" spans="1:36" x14ac:dyDescent="0.25">
      <c r="A125" t="s">
        <v>14</v>
      </c>
      <c r="P125" t="str">
        <f t="shared" si="52"/>
        <v xml:space="preserve">  ..............</v>
      </c>
      <c r="Q125" t="str">
        <f t="shared" si="52"/>
        <v>.........</v>
      </c>
      <c r="R125" t="str">
        <f t="shared" si="45"/>
        <v>.........</v>
      </c>
      <c r="S125" t="str">
        <f t="shared" si="53"/>
        <v>.........</v>
      </c>
      <c r="T125" t="str">
        <f t="shared" si="54"/>
        <v>.........</v>
      </c>
      <c r="U125" t="str">
        <f t="shared" si="58"/>
        <v>.............</v>
      </c>
      <c r="V125" t="str">
        <f t="shared" si="46"/>
        <v>.........</v>
      </c>
      <c r="W125" t="str">
        <f t="shared" si="55"/>
        <v>.........</v>
      </c>
      <c r="X125" t="str">
        <f t="shared" si="59"/>
        <v>.......</v>
      </c>
      <c r="Y125" t="str">
        <f t="shared" si="59"/>
        <v>..............</v>
      </c>
      <c r="Z125" t="str">
        <f t="shared" si="59"/>
        <v>....</v>
      </c>
      <c r="AA125" t="str">
        <f t="shared" si="47"/>
        <v>.........</v>
      </c>
      <c r="AB125" t="str">
        <f t="shared" si="56"/>
        <v>.........</v>
      </c>
      <c r="AC125" t="str">
        <f t="shared" si="57"/>
        <v>.........</v>
      </c>
      <c r="AD125" t="str">
        <f t="shared" si="58"/>
        <v>........</v>
      </c>
      <c r="AE125" t="str">
        <f t="shared" si="48"/>
        <v>.......</v>
      </c>
      <c r="AF125" t="str">
        <f t="shared" si="60"/>
        <v>.....</v>
      </c>
      <c r="AG125" t="str">
        <f t="shared" si="60"/>
        <v>..........</v>
      </c>
      <c r="AH125" t="str">
        <f t="shared" si="49"/>
        <v>..........</v>
      </c>
      <c r="AI125" t="str">
        <f t="shared" si="50"/>
        <v>.......</v>
      </c>
      <c r="AJ125" t="str">
        <f t="shared" si="51"/>
        <v>.......</v>
      </c>
    </row>
    <row r="126" spans="1:36" x14ac:dyDescent="0.25">
      <c r="A126" t="s">
        <v>104</v>
      </c>
      <c r="P126" t="str">
        <f t="shared" si="52"/>
        <v xml:space="preserve">   1209   69  0 </v>
      </c>
      <c r="Q126" t="str">
        <f t="shared" si="52"/>
        <v xml:space="preserve">   1.024 </v>
      </c>
      <c r="R126" t="str">
        <f t="shared" si="45"/>
        <v xml:space="preserve">     0.0 </v>
      </c>
      <c r="S126" t="str">
        <f t="shared" si="53"/>
        <v xml:space="preserve">     0.0 </v>
      </c>
      <c r="T126" t="str">
        <f t="shared" si="54"/>
        <v xml:space="preserve">     0.0 </v>
      </c>
      <c r="U126" t="str">
        <f t="shared" si="58"/>
        <v xml:space="preserve">         0.0 </v>
      </c>
      <c r="V126" t="str">
        <f t="shared" si="46"/>
        <v xml:space="preserve">     0.0 </v>
      </c>
      <c r="W126" t="str">
        <f t="shared" si="55"/>
        <v xml:space="preserve">     0.0</v>
      </c>
      <c r="X126" t="str">
        <f t="shared" si="59"/>
        <v/>
      </c>
      <c r="Y126" t="str">
        <f t="shared" si="59"/>
        <v/>
      </c>
      <c r="Z126" t="str">
        <f t="shared" si="59"/>
        <v/>
      </c>
      <c r="AA126" t="str">
        <f t="shared" si="47"/>
        <v/>
      </c>
      <c r="AB126" t="str">
        <f t="shared" si="56"/>
        <v/>
      </c>
      <c r="AC126" t="str">
        <f t="shared" si="57"/>
        <v/>
      </c>
      <c r="AD126" t="str">
        <f t="shared" si="58"/>
        <v/>
      </c>
      <c r="AE126" t="str">
        <f t="shared" si="48"/>
        <v/>
      </c>
      <c r="AF126" t="str">
        <f t="shared" si="60"/>
        <v/>
      </c>
      <c r="AG126" t="str">
        <f t="shared" si="60"/>
        <v/>
      </c>
      <c r="AH126" t="str">
        <f t="shared" si="49"/>
        <v/>
      </c>
      <c r="AI126" t="str">
        <f t="shared" si="50"/>
        <v/>
      </c>
      <c r="AJ126" t="str">
        <f t="shared" si="51"/>
        <v/>
      </c>
    </row>
    <row r="127" spans="1:36" x14ac:dyDescent="0.25">
      <c r="A127" t="s">
        <v>105</v>
      </c>
      <c r="P127" t="str">
        <f t="shared" si="52"/>
        <v xml:space="preserve">  GRAVA2-RS069  </v>
      </c>
      <c r="Q127" t="str">
        <f t="shared" si="52"/>
        <v xml:space="preserve">   -54.2 </v>
      </c>
      <c r="R127" t="str">
        <f t="shared" si="45"/>
        <v xml:space="preserve">     0.0 </v>
      </c>
      <c r="S127" t="str">
        <f t="shared" si="53"/>
        <v xml:space="preserve">     0.0 </v>
      </c>
      <c r="T127" t="str">
        <f t="shared" si="54"/>
        <v xml:space="preserve">     0.0 </v>
      </c>
      <c r="U127" t="str">
        <f t="shared" si="58"/>
        <v xml:space="preserve">         0.0 </v>
      </c>
      <c r="V127" t="str">
        <f t="shared" si="46"/>
        <v xml:space="preserve">     0.0 </v>
      </c>
      <c r="W127" t="str">
        <f t="shared" si="55"/>
        <v xml:space="preserve">     0.0 </v>
      </c>
      <c r="X127" t="str">
        <f t="shared" si="59"/>
        <v xml:space="preserve">       </v>
      </c>
      <c r="Y127" t="str">
        <f t="shared" si="59"/>
        <v xml:space="preserve">              </v>
      </c>
      <c r="Z127" t="str">
        <f t="shared" si="59"/>
        <v xml:space="preserve">    </v>
      </c>
      <c r="AA127" t="str">
        <f t="shared" si="47"/>
        <v xml:space="preserve">         </v>
      </c>
      <c r="AB127" t="str">
        <f t="shared" si="56"/>
        <v xml:space="preserve">         </v>
      </c>
      <c r="AC127" t="str">
        <f t="shared" si="57"/>
        <v xml:space="preserve">    </v>
      </c>
      <c r="AD127" t="str">
        <f t="shared" si="58"/>
        <v/>
      </c>
      <c r="AE127" t="str">
        <f t="shared" si="48"/>
        <v/>
      </c>
      <c r="AF127" t="str">
        <f t="shared" si="60"/>
        <v/>
      </c>
      <c r="AG127" t="str">
        <f t="shared" si="60"/>
        <v/>
      </c>
      <c r="AH127" t="str">
        <f t="shared" si="49"/>
        <v/>
      </c>
      <c r="AI127" t="str">
        <f t="shared" si="50"/>
        <v/>
      </c>
      <c r="AJ127" t="str">
        <f t="shared" si="51"/>
        <v/>
      </c>
    </row>
    <row r="128" spans="1:36" x14ac:dyDescent="0.25">
      <c r="A128" t="s">
        <v>106</v>
      </c>
      <c r="P128" t="str">
        <f t="shared" si="52"/>
        <v xml:space="preserve">                </v>
      </c>
      <c r="Q128" t="str">
        <f t="shared" si="52"/>
        <v xml:space="preserve">         </v>
      </c>
      <c r="R128" t="str">
        <f t="shared" si="45"/>
        <v xml:space="preserve">    84.0 </v>
      </c>
      <c r="S128" t="str">
        <f t="shared" si="53"/>
        <v xml:space="preserve">   101.0 </v>
      </c>
      <c r="T128" t="str">
        <f t="shared" si="54"/>
        <v xml:space="preserve">   101.0 </v>
      </c>
      <c r="U128" t="str">
        <f t="shared" si="58"/>
        <v xml:space="preserve">       47.2% </v>
      </c>
      <c r="V128" t="str">
        <f t="shared" si="46"/>
        <v xml:space="preserve">         </v>
      </c>
      <c r="W128" t="str">
        <f t="shared" si="55"/>
        <v xml:space="preserve">         </v>
      </c>
      <c r="X128" t="str">
        <f t="shared" si="59"/>
        <v xml:space="preserve">  1360 </v>
      </c>
      <c r="Y128" t="str">
        <f t="shared" si="59"/>
        <v xml:space="preserve"> CACHO2-RS069 </v>
      </c>
      <c r="Z128" t="str">
        <f t="shared" si="59"/>
        <v xml:space="preserve">  1 </v>
      </c>
      <c r="AA128" t="str">
        <f t="shared" si="47"/>
        <v xml:space="preserve">    37.9 </v>
      </c>
      <c r="AB128" t="str">
        <f t="shared" si="56"/>
        <v xml:space="preserve">    14.6 </v>
      </c>
      <c r="AC128" t="str">
        <f t="shared" si="57"/>
        <v xml:space="preserve">    39.7 </v>
      </c>
      <c r="AD128" t="str">
        <f t="shared" si="58"/>
        <v xml:space="preserve">        </v>
      </c>
      <c r="AE128" t="str">
        <f t="shared" si="48"/>
        <v xml:space="preserve">       </v>
      </c>
      <c r="AF128" t="str">
        <f t="shared" si="60"/>
        <v xml:space="preserve">     </v>
      </c>
      <c r="AG128" t="str">
        <f t="shared" si="60"/>
        <v xml:space="preserve">     0.30 </v>
      </c>
      <c r="AH128" t="str">
        <f t="shared" si="49"/>
        <v xml:space="preserve">     0.88 </v>
      </c>
      <c r="AI128" t="str">
        <f t="shared" si="50"/>
        <v xml:space="preserve">       </v>
      </c>
      <c r="AJ128" t="str">
        <f t="shared" si="51"/>
        <v xml:space="preserve">      </v>
      </c>
    </row>
    <row r="129" spans="1:36" x14ac:dyDescent="0.25">
      <c r="A129" t="s">
        <v>107</v>
      </c>
      <c r="P129" t="str">
        <f t="shared" si="52"/>
        <v xml:space="preserve">                </v>
      </c>
      <c r="Q129" t="str">
        <f t="shared" si="52"/>
        <v xml:space="preserve">         </v>
      </c>
      <c r="R129" t="str">
        <f t="shared" si="45"/>
        <v xml:space="preserve">    84.0 </v>
      </c>
      <c r="S129" t="str">
        <f t="shared" si="53"/>
        <v xml:space="preserve">   101.0 </v>
      </c>
      <c r="T129" t="str">
        <f t="shared" si="54"/>
        <v xml:space="preserve">   101.0 </v>
      </c>
      <c r="U129" t="str">
        <f t="shared" si="58"/>
        <v xml:space="preserve">       47.2% </v>
      </c>
      <c r="V129" t="str">
        <f t="shared" si="46"/>
        <v xml:space="preserve">         </v>
      </c>
      <c r="W129" t="str">
        <f t="shared" si="55"/>
        <v xml:space="preserve">         </v>
      </c>
      <c r="X129" t="str">
        <f t="shared" si="59"/>
        <v xml:space="preserve">  1360 </v>
      </c>
      <c r="Y129" t="str">
        <f t="shared" si="59"/>
        <v xml:space="preserve"> CACHO2-RS069 </v>
      </c>
      <c r="Z129" t="str">
        <f t="shared" si="59"/>
        <v xml:space="preserve">  2 </v>
      </c>
      <c r="AA129" t="str">
        <f t="shared" si="47"/>
        <v xml:space="preserve">    37.9 </v>
      </c>
      <c r="AB129" t="str">
        <f t="shared" si="56"/>
        <v xml:space="preserve">    14.6 </v>
      </c>
      <c r="AC129" t="str">
        <f t="shared" si="57"/>
        <v xml:space="preserve">    39.7 </v>
      </c>
      <c r="AD129" t="str">
        <f t="shared" si="58"/>
        <v xml:space="preserve">        </v>
      </c>
      <c r="AE129" t="str">
        <f t="shared" si="48"/>
        <v xml:space="preserve">       </v>
      </c>
      <c r="AF129" t="str">
        <f t="shared" si="60"/>
        <v xml:space="preserve">     </v>
      </c>
      <c r="AG129" t="str">
        <f t="shared" si="60"/>
        <v xml:space="preserve">     0.30 </v>
      </c>
      <c r="AH129" t="str">
        <f t="shared" si="49"/>
        <v xml:space="preserve">     0.88 </v>
      </c>
      <c r="AI129" t="str">
        <f t="shared" si="50"/>
        <v xml:space="preserve">       </v>
      </c>
      <c r="AJ129" t="str">
        <f t="shared" si="51"/>
        <v xml:space="preserve">      </v>
      </c>
    </row>
    <row r="130" spans="1:36" x14ac:dyDescent="0.25">
      <c r="A130" t="s">
        <v>108</v>
      </c>
      <c r="P130" t="str">
        <f t="shared" si="52"/>
        <v xml:space="preserve">                </v>
      </c>
      <c r="Q130" t="str">
        <f t="shared" si="52"/>
        <v xml:space="preserve">         </v>
      </c>
      <c r="R130" t="str">
        <f t="shared" si="45"/>
        <v xml:space="preserve">    54.0 </v>
      </c>
      <c r="S130" t="str">
        <f t="shared" si="53"/>
        <v xml:space="preserve">    79.0 </v>
      </c>
      <c r="T130" t="str">
        <f t="shared" si="54"/>
        <v xml:space="preserve">    79.0 </v>
      </c>
      <c r="U130" t="str">
        <f t="shared" si="58"/>
        <v xml:space="preserve">       40.2% </v>
      </c>
      <c r="V130" t="str">
        <f t="shared" si="46"/>
        <v xml:space="preserve">         </v>
      </c>
      <c r="W130" t="str">
        <f t="shared" si="55"/>
        <v xml:space="preserve">         </v>
      </c>
      <c r="X130" t="str">
        <f t="shared" si="59"/>
        <v xml:space="preserve">  9232 </v>
      </c>
      <c r="Y130" t="str">
        <f t="shared" si="59"/>
        <v xml:space="preserve"> ALVORA-RS069 </v>
      </c>
      <c r="Z130" t="str">
        <f t="shared" si="59"/>
        <v xml:space="preserve">  1 </v>
      </c>
      <c r="AA130" t="str">
        <f t="shared" si="47"/>
        <v xml:space="preserve">    22.2 </v>
      </c>
      <c r="AB130" t="str">
        <f t="shared" si="56"/>
        <v xml:space="preserve">     0.4 </v>
      </c>
      <c r="AC130" t="str">
        <f t="shared" si="57"/>
        <v xml:space="preserve">    21.7 </v>
      </c>
      <c r="AD130" t="str">
        <f t="shared" si="58"/>
        <v xml:space="preserve">        </v>
      </c>
      <c r="AE130" t="str">
        <f t="shared" si="48"/>
        <v xml:space="preserve">       </v>
      </c>
      <c r="AF130" t="str">
        <f t="shared" si="60"/>
        <v xml:space="preserve">     </v>
      </c>
      <c r="AG130" t="str">
        <f t="shared" si="60"/>
        <v xml:space="preserve">     0.22 </v>
      </c>
      <c r="AH130" t="str">
        <f t="shared" si="49"/>
        <v xml:space="preserve">     0.63 </v>
      </c>
      <c r="AI130" t="str">
        <f t="shared" si="50"/>
        <v xml:space="preserve">       </v>
      </c>
      <c r="AJ130" t="str">
        <f t="shared" si="51"/>
        <v xml:space="preserve">      </v>
      </c>
    </row>
    <row r="131" spans="1:36" x14ac:dyDescent="0.25">
      <c r="A131" t="s">
        <v>109</v>
      </c>
      <c r="P131" t="str">
        <f t="shared" si="52"/>
        <v xml:space="preserve">                </v>
      </c>
      <c r="Q131" t="str">
        <f t="shared" si="52"/>
        <v xml:space="preserve">         </v>
      </c>
      <c r="R131" t="str">
        <f t="shared" si="45"/>
        <v xml:space="preserve">    54.0 </v>
      </c>
      <c r="S131" t="str">
        <f t="shared" si="53"/>
        <v xml:space="preserve">    79.0 </v>
      </c>
      <c r="T131" t="str">
        <f t="shared" si="54"/>
        <v xml:space="preserve">    79.0 </v>
      </c>
      <c r="U131" t="str">
        <f t="shared" si="58"/>
        <v xml:space="preserve">       21.3% </v>
      </c>
      <c r="V131" t="str">
        <f t="shared" si="46"/>
        <v xml:space="preserve">         </v>
      </c>
      <c r="W131" t="str">
        <f t="shared" si="55"/>
        <v xml:space="preserve">         </v>
      </c>
      <c r="X131" t="str">
        <f t="shared" si="59"/>
        <v xml:space="preserve">  9258 </v>
      </c>
      <c r="Y131" t="str">
        <f t="shared" si="59"/>
        <v xml:space="preserve"> ALVOR2-RS069 </v>
      </c>
      <c r="Z131" t="str">
        <f t="shared" si="59"/>
        <v xml:space="preserve">  1 </v>
      </c>
      <c r="AA131" t="str">
        <f t="shared" si="47"/>
        <v xml:space="preserve">    11.8 </v>
      </c>
      <c r="AB131" t="str">
        <f t="shared" si="56"/>
        <v xml:space="preserve">     0.4 </v>
      </c>
      <c r="AC131" t="str">
        <f t="shared" si="57"/>
        <v xml:space="preserve">    11.5 </v>
      </c>
      <c r="AD131" t="str">
        <f t="shared" si="58"/>
        <v xml:space="preserve">        </v>
      </c>
      <c r="AE131" t="str">
        <f t="shared" si="48"/>
        <v xml:space="preserve">       </v>
      </c>
      <c r="AF131" t="str">
        <f t="shared" si="60"/>
        <v xml:space="preserve">     </v>
      </c>
      <c r="AG131" t="str">
        <f t="shared" si="60"/>
        <v xml:space="preserve">     0.06 </v>
      </c>
      <c r="AH131" t="str">
        <f t="shared" si="49"/>
        <v xml:space="preserve">    -0.49 </v>
      </c>
      <c r="AI131" t="str">
        <f t="shared" si="50"/>
        <v xml:space="preserve">       </v>
      </c>
      <c r="AJ131" t="str">
        <f t="shared" si="51"/>
        <v xml:space="preserve">      </v>
      </c>
    </row>
    <row r="132" spans="1:36" x14ac:dyDescent="0.25">
      <c r="A132" t="s">
        <v>110</v>
      </c>
      <c r="P132" t="str">
        <f t="shared" si="52"/>
        <v xml:space="preserve">                </v>
      </c>
      <c r="Q132" t="str">
        <f t="shared" si="52"/>
        <v xml:space="preserve">         </v>
      </c>
      <c r="R132" t="str">
        <f t="shared" si="45"/>
        <v xml:space="preserve">    48.0 </v>
      </c>
      <c r="S132" t="str">
        <f t="shared" si="53"/>
        <v xml:space="preserve">    71.0 </v>
      </c>
      <c r="T132" t="str">
        <f t="shared" si="54"/>
        <v xml:space="preserve">    71.0 </v>
      </c>
      <c r="U132" t="str">
        <f t="shared" si="58"/>
        <v xml:space="preserve">       16.1% </v>
      </c>
      <c r="V132" t="str">
        <f t="shared" si="46"/>
        <v xml:space="preserve">         </v>
      </c>
      <c r="W132" t="str">
        <f t="shared" si="55"/>
        <v xml:space="preserve">         </v>
      </c>
      <c r="X132" t="str">
        <f t="shared" si="59"/>
        <v xml:space="preserve">  9273 </v>
      </c>
      <c r="Y132" t="str">
        <f t="shared" si="59"/>
        <v xml:space="preserve"> VONPA1TAP069 </v>
      </c>
      <c r="Z132" t="str">
        <f t="shared" si="59"/>
        <v xml:space="preserve">  1 </v>
      </c>
      <c r="AA132" t="str">
        <f t="shared" si="47"/>
        <v xml:space="preserve">     6.3 </v>
      </c>
      <c r="AB132" t="str">
        <f t="shared" si="56"/>
        <v xml:space="preserve">     4.7 </v>
      </c>
      <c r="AC132" t="str">
        <f t="shared" si="57"/>
        <v xml:space="preserve">     7.7 </v>
      </c>
      <c r="AD132" t="str">
        <f t="shared" si="58"/>
        <v xml:space="preserve">        </v>
      </c>
      <c r="AE132" t="str">
        <f t="shared" si="48"/>
        <v xml:space="preserve">       </v>
      </c>
      <c r="AF132" t="str">
        <f t="shared" si="60"/>
        <v xml:space="preserve">     </v>
      </c>
      <c r="AG132" t="str">
        <f t="shared" si="60"/>
        <v xml:space="preserve">     0.02 </v>
      </c>
      <c r="AH132" t="str">
        <f t="shared" si="49"/>
        <v xml:space="preserve">    -0.13 </v>
      </c>
      <c r="AI132" t="str">
        <f t="shared" si="50"/>
        <v xml:space="preserve">       </v>
      </c>
      <c r="AJ132" t="str">
        <f t="shared" si="51"/>
        <v xml:space="preserve">      </v>
      </c>
    </row>
    <row r="133" spans="1:36" x14ac:dyDescent="0.25">
      <c r="A133" t="s">
        <v>111</v>
      </c>
      <c r="P133" t="str">
        <f t="shared" si="52"/>
        <v xml:space="preserve">                </v>
      </c>
      <c r="Q133" t="str">
        <f t="shared" si="52"/>
        <v xml:space="preserve">         </v>
      </c>
      <c r="R133" t="str">
        <f t="shared" si="45"/>
        <v xml:space="preserve">   165.0 </v>
      </c>
      <c r="S133" t="str">
        <f t="shared" si="53"/>
        <v xml:space="preserve">   214.0 </v>
      </c>
      <c r="T133" t="str">
        <f t="shared" si="54"/>
        <v xml:space="preserve">   214.0 </v>
      </c>
      <c r="U133" t="str">
        <f t="shared" si="58"/>
        <v xml:space="preserve">       35.2% </v>
      </c>
      <c r="V133" t="str">
        <f t="shared" si="46"/>
        <v xml:space="preserve">         </v>
      </c>
      <c r="W133" t="str">
        <f t="shared" si="55"/>
        <v xml:space="preserve">         </v>
      </c>
      <c r="X133" t="str">
        <f t="shared" si="59"/>
        <v xml:space="preserve"> 41267 </v>
      </c>
      <c r="Y133" t="str">
        <f t="shared" si="59"/>
        <v xml:space="preserve"> GRA2-1-RS000 </v>
      </c>
      <c r="Z133" t="str">
        <f t="shared" si="59"/>
        <v xml:space="preserve">  1 </v>
      </c>
      <c r="AA133" t="str">
        <f t="shared" si="47"/>
        <v xml:space="preserve">   -56.9 </v>
      </c>
      <c r="AB133" t="str">
        <f t="shared" si="56"/>
        <v xml:space="preserve">   -17.0 </v>
      </c>
      <c r="AC133" t="str">
        <f t="shared" si="57"/>
        <v xml:space="preserve">    58.0 </v>
      </c>
      <c r="AD133" t="str">
        <f t="shared" si="58"/>
        <v xml:space="preserve"> 1.000F </v>
      </c>
      <c r="AE133" t="str">
        <f t="shared" si="48"/>
        <v xml:space="preserve">       </v>
      </c>
      <c r="AF133" t="str">
        <f t="shared" si="60"/>
        <v xml:space="preserve"> 002 </v>
      </c>
      <c r="AG133" t="str">
        <f t="shared" si="60"/>
        <v xml:space="preserve">     0.01 </v>
      </c>
      <c r="AH133" t="str">
        <f t="shared" si="49"/>
        <v xml:space="preserve">    -0.20 </v>
      </c>
      <c r="AI133" t="str">
        <f t="shared" si="50"/>
        <v xml:space="preserve">       </v>
      </c>
      <c r="AJ133" t="str">
        <f t="shared" si="51"/>
        <v xml:space="preserve">      </v>
      </c>
    </row>
    <row r="134" spans="1:36" x14ac:dyDescent="0.25">
      <c r="A134" t="s">
        <v>112</v>
      </c>
      <c r="P134" t="str">
        <f t="shared" si="52"/>
        <v xml:space="preserve">                </v>
      </c>
      <c r="Q134" t="str">
        <f t="shared" si="52"/>
        <v xml:space="preserve">         </v>
      </c>
      <c r="R134" t="str">
        <f t="shared" si="45"/>
        <v xml:space="preserve">   165.0 </v>
      </c>
      <c r="S134" t="str">
        <f t="shared" si="53"/>
        <v xml:space="preserve">   165.0 </v>
      </c>
      <c r="T134" t="str">
        <f t="shared" si="54"/>
        <v xml:space="preserve">   165.0 </v>
      </c>
      <c r="U134" t="str">
        <f t="shared" si="58"/>
        <v xml:space="preserve">       36.6% </v>
      </c>
      <c r="V134" t="str">
        <f t="shared" si="46"/>
        <v xml:space="preserve">         </v>
      </c>
      <c r="W134" t="str">
        <f t="shared" si="55"/>
        <v xml:space="preserve">         </v>
      </c>
      <c r="X134" t="str">
        <f t="shared" si="59"/>
        <v xml:space="preserve"> 41268 </v>
      </c>
      <c r="Y134" t="str">
        <f t="shared" si="59"/>
        <v xml:space="preserve"> GRA2-2-RS000 </v>
      </c>
      <c r="Z134" t="str">
        <f t="shared" si="59"/>
        <v xml:space="preserve">  2 </v>
      </c>
      <c r="AA134" t="str">
        <f t="shared" si="47"/>
        <v xml:space="preserve">   -59.2 </v>
      </c>
      <c r="AB134" t="str">
        <f t="shared" si="56"/>
        <v xml:space="preserve">   -17.7 </v>
      </c>
      <c r="AC134" t="str">
        <f t="shared" si="57"/>
        <v xml:space="preserve">    60.3 </v>
      </c>
      <c r="AD134" t="str">
        <f t="shared" si="58"/>
        <v xml:space="preserve"> 1.000F </v>
      </c>
      <c r="AE134" t="str">
        <f t="shared" si="48"/>
        <v xml:space="preserve">       </v>
      </c>
      <c r="AF134" t="str">
        <f t="shared" si="60"/>
        <v xml:space="preserve"> 002 </v>
      </c>
      <c r="AG134" t="str">
        <f t="shared" si="60"/>
        <v xml:space="preserve">     0.01 </v>
      </c>
      <c r="AH134" t="str">
        <f t="shared" si="49"/>
        <v xml:space="preserve">    -0.43 </v>
      </c>
      <c r="AI134" t="str">
        <f t="shared" si="50"/>
        <v xml:space="preserve">       </v>
      </c>
      <c r="AJ134" t="str">
        <f t="shared" si="51"/>
        <v xml:space="preserve">      </v>
      </c>
    </row>
    <row r="135" spans="1:36" x14ac:dyDescent="0.25">
      <c r="A135" t="s">
        <v>14</v>
      </c>
      <c r="P135" t="str">
        <f t="shared" si="52"/>
        <v xml:space="preserve">  ..............</v>
      </c>
      <c r="Q135" t="str">
        <f t="shared" si="52"/>
        <v>.........</v>
      </c>
      <c r="R135" t="str">
        <f t="shared" si="45"/>
        <v>.........</v>
      </c>
      <c r="S135" t="str">
        <f t="shared" si="53"/>
        <v>.........</v>
      </c>
      <c r="T135" t="str">
        <f t="shared" si="54"/>
        <v>.........</v>
      </c>
      <c r="U135" t="str">
        <f t="shared" si="58"/>
        <v>.............</v>
      </c>
      <c r="V135" t="str">
        <f t="shared" si="46"/>
        <v>.........</v>
      </c>
      <c r="W135" t="str">
        <f t="shared" si="55"/>
        <v>.........</v>
      </c>
      <c r="X135" t="str">
        <f t="shared" si="59"/>
        <v>.......</v>
      </c>
      <c r="Y135" t="str">
        <f t="shared" si="59"/>
        <v>..............</v>
      </c>
      <c r="Z135" t="str">
        <f t="shared" si="59"/>
        <v>....</v>
      </c>
      <c r="AA135" t="str">
        <f t="shared" si="47"/>
        <v>.........</v>
      </c>
      <c r="AB135" t="str">
        <f t="shared" si="56"/>
        <v>.........</v>
      </c>
      <c r="AC135" t="str">
        <f t="shared" si="57"/>
        <v>.........</v>
      </c>
      <c r="AD135" t="str">
        <f t="shared" si="58"/>
        <v>........</v>
      </c>
      <c r="AE135" t="str">
        <f t="shared" si="48"/>
        <v>.......</v>
      </c>
      <c r="AF135" t="str">
        <f t="shared" si="60"/>
        <v>.....</v>
      </c>
      <c r="AG135" t="str">
        <f t="shared" si="60"/>
        <v>..........</v>
      </c>
      <c r="AH135" t="str">
        <f t="shared" si="49"/>
        <v>..........</v>
      </c>
      <c r="AI135" t="str">
        <f t="shared" si="50"/>
        <v>.......</v>
      </c>
      <c r="AJ135" t="str">
        <f t="shared" si="51"/>
        <v>.......</v>
      </c>
    </row>
    <row r="136" spans="1:36" x14ac:dyDescent="0.25">
      <c r="A136" t="s">
        <v>113</v>
      </c>
      <c r="P136" t="str">
        <f t="shared" si="52"/>
        <v xml:space="preserve">   1211   23  0 </v>
      </c>
      <c r="Q136" t="str">
        <f t="shared" si="52"/>
        <v xml:space="preserve">   1.035 </v>
      </c>
      <c r="R136" t="str">
        <f t="shared" si="45"/>
        <v xml:space="preserve">     0.0 </v>
      </c>
      <c r="S136" t="str">
        <f t="shared" si="53"/>
        <v xml:space="preserve">     0.0 </v>
      </c>
      <c r="T136" t="str">
        <f t="shared" si="54"/>
        <v xml:space="preserve">     0.0 </v>
      </c>
      <c r="U136" t="str">
        <f t="shared" si="58"/>
        <v xml:space="preserve">         0.0 </v>
      </c>
      <c r="V136" t="str">
        <f t="shared" si="46"/>
        <v xml:space="preserve">     0.0 </v>
      </c>
      <c r="W136" t="str">
        <f t="shared" si="55"/>
        <v xml:space="preserve">     0.0</v>
      </c>
      <c r="X136" t="str">
        <f t="shared" si="59"/>
        <v/>
      </c>
      <c r="Y136" t="str">
        <f t="shared" si="59"/>
        <v/>
      </c>
      <c r="Z136" t="str">
        <f t="shared" si="59"/>
        <v/>
      </c>
      <c r="AA136" t="str">
        <f t="shared" si="47"/>
        <v/>
      </c>
      <c r="AB136" t="str">
        <f t="shared" si="56"/>
        <v/>
      </c>
      <c r="AC136" t="str">
        <f t="shared" si="57"/>
        <v/>
      </c>
      <c r="AD136" t="str">
        <f t="shared" si="58"/>
        <v/>
      </c>
      <c r="AE136" t="str">
        <f t="shared" si="48"/>
        <v/>
      </c>
      <c r="AF136" t="str">
        <f t="shared" si="60"/>
        <v/>
      </c>
      <c r="AG136" t="str">
        <f t="shared" si="60"/>
        <v/>
      </c>
      <c r="AH136" t="str">
        <f t="shared" si="49"/>
        <v/>
      </c>
      <c r="AI136" t="str">
        <f t="shared" si="50"/>
        <v/>
      </c>
      <c r="AJ136" t="str">
        <f t="shared" si="51"/>
        <v/>
      </c>
    </row>
    <row r="137" spans="1:36" x14ac:dyDescent="0.25">
      <c r="A137" t="s">
        <v>114</v>
      </c>
      <c r="P137" t="str">
        <f t="shared" si="52"/>
        <v xml:space="preserve">  JACUIA-RS023  </v>
      </c>
      <c r="Q137" t="str">
        <f t="shared" si="52"/>
        <v xml:space="preserve">   -48.6 </v>
      </c>
      <c r="R137" t="str">
        <f t="shared" si="45"/>
        <v xml:space="preserve">     0.0 </v>
      </c>
      <c r="S137" t="str">
        <f t="shared" si="53"/>
        <v xml:space="preserve">     0.0 </v>
      </c>
      <c r="T137" t="str">
        <f t="shared" si="54"/>
        <v xml:space="preserve">     0.0 </v>
      </c>
      <c r="U137" t="str">
        <f t="shared" si="58"/>
        <v xml:space="preserve">         0.0 </v>
      </c>
      <c r="V137" t="str">
        <f t="shared" si="46"/>
        <v xml:space="preserve">     0.0 </v>
      </c>
      <c r="W137" t="str">
        <f t="shared" si="55"/>
        <v xml:space="preserve">     0.0 </v>
      </c>
      <c r="X137" t="str">
        <f t="shared" si="59"/>
        <v xml:space="preserve">       </v>
      </c>
      <c r="Y137" t="str">
        <f t="shared" si="59"/>
        <v xml:space="preserve">              </v>
      </c>
      <c r="Z137" t="str">
        <f t="shared" si="59"/>
        <v xml:space="preserve">    </v>
      </c>
      <c r="AA137" t="str">
        <f t="shared" si="47"/>
        <v xml:space="preserve">         </v>
      </c>
      <c r="AB137" t="str">
        <f t="shared" si="56"/>
        <v xml:space="preserve">         </v>
      </c>
      <c r="AC137" t="str">
        <f t="shared" si="57"/>
        <v xml:space="preserve">    </v>
      </c>
      <c r="AD137" t="str">
        <f t="shared" si="58"/>
        <v/>
      </c>
      <c r="AE137" t="str">
        <f t="shared" si="48"/>
        <v/>
      </c>
      <c r="AF137" t="str">
        <f t="shared" si="60"/>
        <v/>
      </c>
      <c r="AG137" t="str">
        <f t="shared" si="60"/>
        <v/>
      </c>
      <c r="AH137" t="str">
        <f t="shared" si="49"/>
        <v/>
      </c>
      <c r="AI137" t="str">
        <f t="shared" si="50"/>
        <v/>
      </c>
      <c r="AJ137" t="str">
        <f t="shared" si="51"/>
        <v/>
      </c>
    </row>
    <row r="138" spans="1:36" x14ac:dyDescent="0.25">
      <c r="A138" t="s">
        <v>115</v>
      </c>
      <c r="P138" t="str">
        <f t="shared" si="52"/>
        <v xml:space="preserve">                </v>
      </c>
      <c r="Q138" t="str">
        <f t="shared" si="52"/>
        <v xml:space="preserve">         </v>
      </c>
      <c r="R138" t="str">
        <f t="shared" si="45"/>
        <v xml:space="preserve">  9999.0 </v>
      </c>
      <c r="S138" t="str">
        <f t="shared" si="53"/>
        <v xml:space="preserve">  9999.0 </v>
      </c>
      <c r="T138" t="str">
        <f t="shared" si="54"/>
        <v xml:space="preserve">  9999.0 </v>
      </c>
      <c r="U138" t="str">
        <f t="shared" si="58"/>
        <v xml:space="preserve">        0.0% </v>
      </c>
      <c r="V138" t="str">
        <f t="shared" si="46"/>
        <v xml:space="preserve">         </v>
      </c>
      <c r="W138" t="str">
        <f t="shared" si="55"/>
        <v xml:space="preserve">         </v>
      </c>
      <c r="X138" t="str">
        <f t="shared" si="59"/>
        <v xml:space="preserve">  1220 </v>
      </c>
      <c r="Y138" t="str">
        <f t="shared" si="59"/>
        <v xml:space="preserve"> JACUIR-RS023 </v>
      </c>
      <c r="Z138" t="str">
        <f t="shared" si="59"/>
        <v xml:space="preserve">  1 </v>
      </c>
      <c r="AA138" t="str">
        <f t="shared" si="47"/>
        <v xml:space="preserve">     0.0 </v>
      </c>
      <c r="AB138" t="str">
        <f t="shared" si="56"/>
        <v xml:space="preserve">     0.0 </v>
      </c>
      <c r="AC138" t="str">
        <f t="shared" si="57"/>
        <v xml:space="preserve">     0.0 </v>
      </c>
      <c r="AD138" t="str">
        <f t="shared" si="58"/>
        <v xml:space="preserve">        </v>
      </c>
      <c r="AE138" t="str">
        <f t="shared" si="48"/>
        <v xml:space="preserve">       </v>
      </c>
      <c r="AF138" t="str">
        <f t="shared" si="60"/>
        <v xml:space="preserve">     </v>
      </c>
      <c r="AG138" t="str">
        <f t="shared" si="60"/>
        <v xml:space="preserve">     0.00 </v>
      </c>
      <c r="AH138" t="str">
        <f t="shared" si="49"/>
        <v xml:space="preserve">     0.00 </v>
      </c>
      <c r="AI138" t="str">
        <f t="shared" si="50"/>
        <v xml:space="preserve">       </v>
      </c>
      <c r="AJ138" t="str">
        <f t="shared" si="51"/>
        <v xml:space="preserve">      </v>
      </c>
    </row>
    <row r="139" spans="1:36" x14ac:dyDescent="0.25">
      <c r="A139" t="s">
        <v>14</v>
      </c>
      <c r="P139" t="str">
        <f t="shared" si="52"/>
        <v xml:space="preserve">  ..............</v>
      </c>
      <c r="Q139" t="str">
        <f t="shared" si="52"/>
        <v>.........</v>
      </c>
      <c r="R139" t="str">
        <f t="shared" si="45"/>
        <v>.........</v>
      </c>
      <c r="S139" t="str">
        <f t="shared" si="53"/>
        <v>.........</v>
      </c>
      <c r="T139" t="str">
        <f t="shared" si="54"/>
        <v>.........</v>
      </c>
      <c r="U139" t="str">
        <f t="shared" si="58"/>
        <v>.............</v>
      </c>
      <c r="V139" t="str">
        <f t="shared" si="46"/>
        <v>.........</v>
      </c>
      <c r="W139" t="str">
        <f t="shared" si="55"/>
        <v>.........</v>
      </c>
      <c r="X139" t="str">
        <f t="shared" si="59"/>
        <v>.......</v>
      </c>
      <c r="Y139" t="str">
        <f t="shared" si="59"/>
        <v>..............</v>
      </c>
      <c r="Z139" t="str">
        <f t="shared" si="59"/>
        <v>....</v>
      </c>
      <c r="AA139" t="str">
        <f t="shared" si="47"/>
        <v>.........</v>
      </c>
      <c r="AB139" t="str">
        <f t="shared" si="56"/>
        <v>.........</v>
      </c>
      <c r="AC139" t="str">
        <f t="shared" si="57"/>
        <v>.........</v>
      </c>
      <c r="AD139" t="str">
        <f t="shared" si="58"/>
        <v>........</v>
      </c>
      <c r="AE139" t="str">
        <f t="shared" si="48"/>
        <v>.......</v>
      </c>
      <c r="AF139" t="str">
        <f t="shared" si="60"/>
        <v>.....</v>
      </c>
      <c r="AG139" t="str">
        <f t="shared" si="60"/>
        <v>..........</v>
      </c>
      <c r="AH139" t="str">
        <f t="shared" si="49"/>
        <v>..........</v>
      </c>
      <c r="AI139" t="str">
        <f t="shared" si="50"/>
        <v>.......</v>
      </c>
      <c r="AJ139" t="str">
        <f t="shared" si="51"/>
        <v>.......</v>
      </c>
    </row>
    <row r="140" spans="1:36" x14ac:dyDescent="0.25">
      <c r="A140" t="s">
        <v>116</v>
      </c>
      <c r="P140" t="str">
        <f t="shared" si="52"/>
        <v xml:space="preserve">   1214   69  0 </v>
      </c>
      <c r="Q140" t="str">
        <f t="shared" si="52"/>
        <v xml:space="preserve">   1.026 </v>
      </c>
      <c r="R140" t="str">
        <f t="shared" ref="R140:R203" si="61">MID($A140,Q$8+Q$9-1,R$9)</f>
        <v xml:space="preserve">    60.6 </v>
      </c>
      <c r="S140" t="str">
        <f t="shared" si="53"/>
        <v xml:space="preserve">     0.0 </v>
      </c>
      <c r="T140" t="str">
        <f t="shared" si="54"/>
        <v xml:space="preserve">   197.3 </v>
      </c>
      <c r="U140" t="str">
        <f t="shared" si="58"/>
        <v xml:space="preserve">         0.0 </v>
      </c>
      <c r="V140" t="str">
        <f t="shared" ref="V140:V203" si="62">MID($A140,U$8+U$9-1,V$9)</f>
        <v xml:space="preserve">     7.6 </v>
      </c>
      <c r="W140" t="str">
        <f t="shared" si="55"/>
        <v xml:space="preserve">     0.0</v>
      </c>
      <c r="X140" t="str">
        <f t="shared" si="59"/>
        <v/>
      </c>
      <c r="Y140" t="str">
        <f t="shared" si="59"/>
        <v/>
      </c>
      <c r="Z140" t="str">
        <f t="shared" si="59"/>
        <v/>
      </c>
      <c r="AA140" t="str">
        <f t="shared" ref="AA140:AA203" si="63">MID($A140,Z$8+Z$9-1,AA$9)</f>
        <v/>
      </c>
      <c r="AB140" t="str">
        <f t="shared" si="56"/>
        <v/>
      </c>
      <c r="AC140" t="str">
        <f t="shared" si="57"/>
        <v/>
      </c>
      <c r="AD140" t="str">
        <f t="shared" si="58"/>
        <v/>
      </c>
      <c r="AE140" t="str">
        <f t="shared" ref="AE140:AE203" si="64">MID($A140,AD$8+AD$9-1,AE$9)</f>
        <v/>
      </c>
      <c r="AF140" t="str">
        <f t="shared" si="60"/>
        <v/>
      </c>
      <c r="AG140" t="str">
        <f t="shared" si="60"/>
        <v/>
      </c>
      <c r="AH140" t="str">
        <f t="shared" ref="AH140:AH203" si="65">MID($A140,AG$8+AG$9-1,AH$9)</f>
        <v/>
      </c>
      <c r="AI140" t="str">
        <f t="shared" si="50"/>
        <v/>
      </c>
      <c r="AJ140" t="str">
        <f t="shared" si="51"/>
        <v/>
      </c>
    </row>
    <row r="141" spans="1:36" x14ac:dyDescent="0.25">
      <c r="A141" t="s">
        <v>117</v>
      </c>
      <c r="P141" t="str">
        <f t="shared" si="52"/>
        <v xml:space="preserve">  GUARIT-RS069  </v>
      </c>
      <c r="Q141" t="str">
        <f t="shared" si="52"/>
        <v xml:space="preserve">   -47.3 </v>
      </c>
      <c r="R141" t="str">
        <f t="shared" si="61"/>
        <v xml:space="preserve">     0.0 </v>
      </c>
      <c r="S141" t="str">
        <f t="shared" si="53"/>
        <v xml:space="preserve">     0.0 </v>
      </c>
      <c r="T141" t="str">
        <f t="shared" si="54"/>
        <v xml:space="preserve">    96.8 </v>
      </c>
      <c r="U141" t="str">
        <f t="shared" si="58"/>
        <v xml:space="preserve">         0.0 </v>
      </c>
      <c r="V141" t="str">
        <f t="shared" si="62"/>
        <v xml:space="preserve">     0.0 </v>
      </c>
      <c r="W141" t="str">
        <f t="shared" si="55"/>
        <v xml:space="preserve">     0.0 </v>
      </c>
      <c r="X141" t="str">
        <f t="shared" si="59"/>
        <v xml:space="preserve">       </v>
      </c>
      <c r="Y141" t="str">
        <f t="shared" si="59"/>
        <v xml:space="preserve">              </v>
      </c>
      <c r="Z141" t="str">
        <f t="shared" si="59"/>
        <v xml:space="preserve">    </v>
      </c>
      <c r="AA141" t="str">
        <f t="shared" si="63"/>
        <v xml:space="preserve">         </v>
      </c>
      <c r="AB141" t="str">
        <f t="shared" si="56"/>
        <v xml:space="preserve">         </v>
      </c>
      <c r="AC141" t="str">
        <f t="shared" si="57"/>
        <v xml:space="preserve">    </v>
      </c>
      <c r="AD141" t="str">
        <f t="shared" si="58"/>
        <v/>
      </c>
      <c r="AE141" t="str">
        <f t="shared" si="64"/>
        <v/>
      </c>
      <c r="AF141" t="str">
        <f t="shared" si="60"/>
        <v/>
      </c>
      <c r="AG141" t="str">
        <f t="shared" si="60"/>
        <v/>
      </c>
      <c r="AH141" t="str">
        <f t="shared" si="65"/>
        <v/>
      </c>
      <c r="AI141" t="str">
        <f t="shared" si="50"/>
        <v/>
      </c>
      <c r="AJ141" t="str">
        <f t="shared" si="51"/>
        <v/>
      </c>
    </row>
    <row r="142" spans="1:36" x14ac:dyDescent="0.25">
      <c r="A142" t="s">
        <v>118</v>
      </c>
      <c r="P142" t="str">
        <f t="shared" si="52"/>
        <v xml:space="preserve">                </v>
      </c>
      <c r="Q142" t="str">
        <f t="shared" si="52"/>
        <v xml:space="preserve">         </v>
      </c>
      <c r="R142" t="str">
        <f t="shared" si="61"/>
        <v xml:space="preserve">    23.0 </v>
      </c>
      <c r="S142" t="str">
        <f t="shared" si="53"/>
        <v xml:space="preserve">    23.0 </v>
      </c>
      <c r="T142" t="str">
        <f t="shared" si="54"/>
        <v xml:space="preserve">    23.0 </v>
      </c>
      <c r="U142" t="str">
        <f t="shared" si="58"/>
        <v xml:space="preserve">       11.4% </v>
      </c>
      <c r="V142" t="str">
        <f t="shared" si="62"/>
        <v xml:space="preserve">         </v>
      </c>
      <c r="W142" t="str">
        <f t="shared" si="55"/>
        <v xml:space="preserve">         </v>
      </c>
      <c r="X142" t="str">
        <f t="shared" si="59"/>
        <v xml:space="preserve">  1319 </v>
      </c>
      <c r="Y142" t="str">
        <f t="shared" si="59"/>
        <v xml:space="preserve"> CGONZAPCH069 </v>
      </c>
      <c r="Z142" t="str">
        <f t="shared" si="59"/>
        <v xml:space="preserve">  1 </v>
      </c>
      <c r="AA142" t="str">
        <f t="shared" si="63"/>
        <v xml:space="preserve">    -2.7 </v>
      </c>
      <c r="AB142" t="str">
        <f t="shared" si="56"/>
        <v xml:space="preserve">    -0.1 </v>
      </c>
      <c r="AC142" t="str">
        <f t="shared" si="57"/>
        <v xml:space="preserve">     2.6 </v>
      </c>
      <c r="AD142" t="str">
        <f t="shared" si="58"/>
        <v xml:space="preserve">        </v>
      </c>
      <c r="AE142" t="str">
        <f t="shared" si="64"/>
        <v xml:space="preserve">       </v>
      </c>
      <c r="AF142" t="str">
        <f t="shared" si="60"/>
        <v xml:space="preserve">     </v>
      </c>
      <c r="AG142" t="str">
        <f t="shared" si="60"/>
        <v xml:space="preserve">     0.00 </v>
      </c>
      <c r="AH142" t="str">
        <f t="shared" si="65"/>
        <v xml:space="preserve">    -0.14 </v>
      </c>
      <c r="AI142" t="str">
        <f t="shared" si="50"/>
        <v xml:space="preserve">       </v>
      </c>
      <c r="AJ142" t="str">
        <f t="shared" si="51"/>
        <v xml:space="preserve">      </v>
      </c>
    </row>
    <row r="143" spans="1:36" x14ac:dyDescent="0.25">
      <c r="A143" t="s">
        <v>119</v>
      </c>
      <c r="P143" t="str">
        <f t="shared" si="52"/>
        <v xml:space="preserve">                </v>
      </c>
      <c r="Q143" t="str">
        <f t="shared" si="52"/>
        <v xml:space="preserve">         </v>
      </c>
      <c r="R143" t="str">
        <f t="shared" si="61"/>
        <v xml:space="preserve">    83.0 </v>
      </c>
      <c r="S143" t="str">
        <f t="shared" si="53"/>
        <v xml:space="preserve">    83.0 </v>
      </c>
      <c r="T143" t="str">
        <f t="shared" si="54"/>
        <v xml:space="preserve">    83.0 </v>
      </c>
      <c r="U143" t="str">
        <f t="shared" si="58"/>
        <v xml:space="preserve">       62.7% </v>
      </c>
      <c r="V143" t="str">
        <f t="shared" si="62"/>
        <v xml:space="preserve">         </v>
      </c>
      <c r="W143" t="str">
        <f t="shared" si="55"/>
        <v xml:space="preserve">         </v>
      </c>
      <c r="X143" t="str">
        <f t="shared" si="59"/>
        <v xml:space="preserve"> 41274 </v>
      </c>
      <c r="Y143" t="str">
        <f t="shared" si="59"/>
        <v xml:space="preserve"> GRT--1-RS000 </v>
      </c>
      <c r="Z143" t="str">
        <f t="shared" si="59"/>
        <v xml:space="preserve">  1 </v>
      </c>
      <c r="AA143" t="str">
        <f t="shared" si="63"/>
        <v xml:space="preserve">   -44.5 </v>
      </c>
      <c r="AB143" t="str">
        <f t="shared" si="56"/>
        <v xml:space="preserve">   -29.5 </v>
      </c>
      <c r="AC143" t="str">
        <f t="shared" si="57"/>
        <v xml:space="preserve">    52.0 </v>
      </c>
      <c r="AD143" t="str">
        <f t="shared" si="58"/>
        <v xml:space="preserve"> 1.000F </v>
      </c>
      <c r="AE143" t="str">
        <f t="shared" si="64"/>
        <v xml:space="preserve">       </v>
      </c>
      <c r="AF143" t="str">
        <f t="shared" si="60"/>
        <v xml:space="preserve"> 002 </v>
      </c>
      <c r="AG143" t="str">
        <f t="shared" si="60"/>
        <v xml:space="preserve">     0.04 </v>
      </c>
      <c r="AH143" t="str">
        <f t="shared" si="65"/>
        <v xml:space="preserve">    -0.26 </v>
      </c>
      <c r="AI143" t="str">
        <f t="shared" si="50"/>
        <v xml:space="preserve">       </v>
      </c>
      <c r="AJ143" t="str">
        <f t="shared" si="51"/>
        <v xml:space="preserve">      </v>
      </c>
    </row>
    <row r="144" spans="1:36" x14ac:dyDescent="0.25">
      <c r="A144" t="s">
        <v>120</v>
      </c>
      <c r="P144" t="str">
        <f t="shared" si="52"/>
        <v xml:space="preserve">                </v>
      </c>
      <c r="Q144" t="str">
        <f t="shared" si="52"/>
        <v xml:space="preserve">         </v>
      </c>
      <c r="R144" t="str">
        <f t="shared" si="61"/>
        <v xml:space="preserve">    83.0 </v>
      </c>
      <c r="S144" t="str">
        <f t="shared" si="53"/>
        <v xml:space="preserve">    83.0 </v>
      </c>
      <c r="T144" t="str">
        <f t="shared" si="54"/>
        <v xml:space="preserve">    83.0 </v>
      </c>
      <c r="U144" t="str">
        <f t="shared" si="58"/>
        <v xml:space="preserve">       62.0% </v>
      </c>
      <c r="V144" t="str">
        <f t="shared" si="62"/>
        <v xml:space="preserve">         </v>
      </c>
      <c r="W144" t="str">
        <f t="shared" si="55"/>
        <v xml:space="preserve">         </v>
      </c>
      <c r="X144" t="str">
        <f t="shared" si="59"/>
        <v xml:space="preserve"> 41275 </v>
      </c>
      <c r="Y144" t="str">
        <f t="shared" si="59"/>
        <v xml:space="preserve"> GRT--2-RS000 </v>
      </c>
      <c r="Z144" t="str">
        <f t="shared" si="59"/>
        <v xml:space="preserve">  2 </v>
      </c>
      <c r="AA144" t="str">
        <f t="shared" si="63"/>
        <v xml:space="preserve">   -44.1 </v>
      </c>
      <c r="AB144" t="str">
        <f t="shared" si="56"/>
        <v xml:space="preserve">   -29.1 </v>
      </c>
      <c r="AC144" t="str">
        <f t="shared" si="57"/>
        <v xml:space="preserve">    51.5 </v>
      </c>
      <c r="AD144" t="str">
        <f t="shared" si="58"/>
        <v xml:space="preserve"> 1.000F </v>
      </c>
      <c r="AE144" t="str">
        <f t="shared" si="64"/>
        <v xml:space="preserve">       </v>
      </c>
      <c r="AF144" t="str">
        <f t="shared" si="60"/>
        <v xml:space="preserve"> 002 </v>
      </c>
      <c r="AG144" t="str">
        <f t="shared" si="60"/>
        <v xml:space="preserve">     0.04 </v>
      </c>
      <c r="AH144" t="str">
        <f t="shared" si="65"/>
        <v xml:space="preserve">    -0.27 </v>
      </c>
      <c r="AI144" t="str">
        <f t="shared" si="50"/>
        <v xml:space="preserve">       </v>
      </c>
      <c r="AJ144" t="str">
        <f t="shared" si="51"/>
        <v xml:space="preserve">      </v>
      </c>
    </row>
    <row r="145" spans="1:36" x14ac:dyDescent="0.25">
      <c r="A145" t="s">
        <v>121</v>
      </c>
      <c r="P145" t="str">
        <f t="shared" si="52"/>
        <v xml:space="preserve">                </v>
      </c>
      <c r="Q145" t="str">
        <f t="shared" si="52"/>
        <v xml:space="preserve">         </v>
      </c>
      <c r="R145" t="str">
        <f t="shared" si="61"/>
        <v xml:space="preserve">    83.0 </v>
      </c>
      <c r="S145" t="str">
        <f t="shared" si="53"/>
        <v xml:space="preserve">    83.0 </v>
      </c>
      <c r="T145" t="str">
        <f t="shared" si="54"/>
        <v xml:space="preserve">    83.0 </v>
      </c>
      <c r="U145" t="str">
        <f t="shared" si="58"/>
        <v xml:space="preserve">       64.2% </v>
      </c>
      <c r="V145" t="str">
        <f t="shared" si="62"/>
        <v xml:space="preserve">         </v>
      </c>
      <c r="W145" t="str">
        <f t="shared" si="55"/>
        <v xml:space="preserve">         </v>
      </c>
      <c r="X145" t="str">
        <f t="shared" si="59"/>
        <v xml:space="preserve"> 41276 </v>
      </c>
      <c r="Y145" t="str">
        <f t="shared" si="59"/>
        <v xml:space="preserve"> GRT--7-RS000 </v>
      </c>
      <c r="Z145" t="str">
        <f t="shared" si="59"/>
        <v xml:space="preserve">  7 </v>
      </c>
      <c r="AA145" t="str">
        <f t="shared" si="63"/>
        <v xml:space="preserve">   -45.4 </v>
      </c>
      <c r="AB145" t="str">
        <f t="shared" si="56"/>
        <v xml:space="preserve">   -30.5 </v>
      </c>
      <c r="AC145" t="str">
        <f t="shared" si="57"/>
        <v xml:space="preserve">    53.3 </v>
      </c>
      <c r="AD145" t="str">
        <f t="shared" si="58"/>
        <v xml:space="preserve"> 1.000F </v>
      </c>
      <c r="AE145" t="str">
        <f t="shared" si="64"/>
        <v xml:space="preserve">       </v>
      </c>
      <c r="AF145" t="str">
        <f t="shared" si="60"/>
        <v xml:space="preserve"> 002 </v>
      </c>
      <c r="AG145" t="str">
        <f t="shared" si="60"/>
        <v xml:space="preserve">     0.31 </v>
      </c>
      <c r="AH145" t="str">
        <f t="shared" si="65"/>
        <v xml:space="preserve">    -0.35 </v>
      </c>
      <c r="AI145" t="str">
        <f t="shared" si="50"/>
        <v xml:space="preserve">       </v>
      </c>
      <c r="AJ145" t="str">
        <f t="shared" si="51"/>
        <v xml:space="preserve">      </v>
      </c>
    </row>
    <row r="146" spans="1:36" x14ac:dyDescent="0.25">
      <c r="A146" t="s">
        <v>14</v>
      </c>
      <c r="P146" t="str">
        <f t="shared" si="52"/>
        <v xml:space="preserve">  ..............</v>
      </c>
      <c r="Q146" t="str">
        <f t="shared" si="52"/>
        <v>.........</v>
      </c>
      <c r="R146" t="str">
        <f t="shared" si="61"/>
        <v>.........</v>
      </c>
      <c r="S146" t="str">
        <f t="shared" si="53"/>
        <v>.........</v>
      </c>
      <c r="T146" t="str">
        <f t="shared" si="54"/>
        <v>.........</v>
      </c>
      <c r="U146" t="str">
        <f t="shared" si="58"/>
        <v>.............</v>
      </c>
      <c r="V146" t="str">
        <f t="shared" si="62"/>
        <v>.........</v>
      </c>
      <c r="W146" t="str">
        <f t="shared" si="55"/>
        <v>.........</v>
      </c>
      <c r="X146" t="str">
        <f t="shared" si="59"/>
        <v>.......</v>
      </c>
      <c r="Y146" t="str">
        <f t="shared" si="59"/>
        <v>..............</v>
      </c>
      <c r="Z146" t="str">
        <f t="shared" si="59"/>
        <v>....</v>
      </c>
      <c r="AA146" t="str">
        <f t="shared" si="63"/>
        <v>.........</v>
      </c>
      <c r="AB146" t="str">
        <f t="shared" si="56"/>
        <v>.........</v>
      </c>
      <c r="AC146" t="str">
        <f t="shared" si="57"/>
        <v>.........</v>
      </c>
      <c r="AD146" t="str">
        <f t="shared" si="58"/>
        <v>........</v>
      </c>
      <c r="AE146" t="str">
        <f t="shared" si="64"/>
        <v>.......</v>
      </c>
      <c r="AF146" t="str">
        <f t="shared" si="60"/>
        <v>.....</v>
      </c>
      <c r="AG146" t="str">
        <f t="shared" si="60"/>
        <v>..........</v>
      </c>
      <c r="AH146" t="str">
        <f t="shared" si="65"/>
        <v>..........</v>
      </c>
      <c r="AI146" t="str">
        <f t="shared" si="50"/>
        <v>.......</v>
      </c>
      <c r="AJ146" t="str">
        <f t="shared" si="51"/>
        <v>.......</v>
      </c>
    </row>
    <row r="147" spans="1:36" x14ac:dyDescent="0.25">
      <c r="A147" t="s">
        <v>122</v>
      </c>
      <c r="P147" t="str">
        <f t="shared" si="52"/>
        <v xml:space="preserve">   1216  138  0 </v>
      </c>
      <c r="Q147" t="str">
        <f t="shared" si="52"/>
        <v xml:space="preserve">   1.023 </v>
      </c>
      <c r="R147" t="str">
        <f t="shared" si="61"/>
        <v xml:space="preserve">     0.0 </v>
      </c>
      <c r="S147" t="str">
        <f t="shared" si="53"/>
        <v xml:space="preserve">     0.0 </v>
      </c>
      <c r="T147" t="str">
        <f t="shared" si="54"/>
        <v xml:space="preserve">     0.0 </v>
      </c>
      <c r="U147" t="str">
        <f t="shared" si="58"/>
        <v xml:space="preserve">         0.0 </v>
      </c>
      <c r="V147" t="str">
        <f t="shared" si="62"/>
        <v xml:space="preserve">     0.0 </v>
      </c>
      <c r="W147" t="str">
        <f t="shared" si="55"/>
        <v xml:space="preserve">     0.0</v>
      </c>
      <c r="X147" t="str">
        <f t="shared" si="59"/>
        <v/>
      </c>
      <c r="Y147" t="str">
        <f t="shared" si="59"/>
        <v/>
      </c>
      <c r="Z147" t="str">
        <f t="shared" si="59"/>
        <v/>
      </c>
      <c r="AA147" t="str">
        <f t="shared" si="63"/>
        <v/>
      </c>
      <c r="AB147" t="str">
        <f t="shared" si="56"/>
        <v/>
      </c>
      <c r="AC147" t="str">
        <f t="shared" si="57"/>
        <v/>
      </c>
      <c r="AD147" t="str">
        <f t="shared" si="58"/>
        <v/>
      </c>
      <c r="AE147" t="str">
        <f t="shared" si="64"/>
        <v/>
      </c>
      <c r="AF147" t="str">
        <f t="shared" si="60"/>
        <v/>
      </c>
      <c r="AG147" t="str">
        <f t="shared" si="60"/>
        <v/>
      </c>
      <c r="AH147" t="str">
        <f t="shared" si="65"/>
        <v/>
      </c>
      <c r="AI147" t="str">
        <f t="shared" si="50"/>
        <v/>
      </c>
      <c r="AJ147" t="str">
        <f t="shared" si="51"/>
        <v/>
      </c>
    </row>
    <row r="148" spans="1:36" x14ac:dyDescent="0.25">
      <c r="A148" t="s">
        <v>123</v>
      </c>
      <c r="P148" t="str">
        <f t="shared" si="52"/>
        <v xml:space="preserve">  JACUI--RS138  </v>
      </c>
      <c r="Q148" t="str">
        <f t="shared" si="52"/>
        <v xml:space="preserve">   -47.1 </v>
      </c>
      <c r="R148" t="str">
        <f t="shared" si="61"/>
        <v xml:space="preserve">     0.0 </v>
      </c>
      <c r="S148" t="str">
        <f t="shared" si="53"/>
        <v xml:space="preserve">     0.0 </v>
      </c>
      <c r="T148" t="str">
        <f t="shared" si="54"/>
        <v xml:space="preserve">     0.0 </v>
      </c>
      <c r="U148" t="str">
        <f t="shared" si="58"/>
        <v xml:space="preserve">         0.0 </v>
      </c>
      <c r="V148" t="str">
        <f t="shared" si="62"/>
        <v xml:space="preserve">     0.0 </v>
      </c>
      <c r="W148" t="str">
        <f t="shared" si="55"/>
        <v xml:space="preserve">     0.0 </v>
      </c>
      <c r="X148" t="str">
        <f t="shared" si="59"/>
        <v xml:space="preserve">       </v>
      </c>
      <c r="Y148" t="str">
        <f t="shared" si="59"/>
        <v xml:space="preserve">              </v>
      </c>
      <c r="Z148" t="str">
        <f t="shared" si="59"/>
        <v xml:space="preserve">    </v>
      </c>
      <c r="AA148" t="str">
        <f t="shared" si="63"/>
        <v xml:space="preserve">         </v>
      </c>
      <c r="AB148" t="str">
        <f t="shared" si="56"/>
        <v xml:space="preserve">         </v>
      </c>
      <c r="AC148" t="str">
        <f t="shared" si="57"/>
        <v xml:space="preserve">    </v>
      </c>
      <c r="AD148" t="str">
        <f t="shared" si="58"/>
        <v/>
      </c>
      <c r="AE148" t="str">
        <f t="shared" si="64"/>
        <v/>
      </c>
      <c r="AF148" t="str">
        <f t="shared" si="60"/>
        <v/>
      </c>
      <c r="AG148" t="str">
        <f t="shared" si="60"/>
        <v/>
      </c>
      <c r="AH148" t="str">
        <f t="shared" si="65"/>
        <v/>
      </c>
      <c r="AI148" t="str">
        <f t="shared" si="50"/>
        <v/>
      </c>
      <c r="AJ148" t="str">
        <f t="shared" si="51"/>
        <v/>
      </c>
    </row>
    <row r="149" spans="1:36" x14ac:dyDescent="0.25">
      <c r="A149" t="s">
        <v>124</v>
      </c>
      <c r="P149" t="str">
        <f t="shared" si="52"/>
        <v xml:space="preserve">                </v>
      </c>
      <c r="Q149" t="str">
        <f t="shared" si="52"/>
        <v xml:space="preserve">         </v>
      </c>
      <c r="R149" t="str">
        <f t="shared" si="61"/>
        <v xml:space="preserve">   198.0 </v>
      </c>
      <c r="S149" t="str">
        <f t="shared" si="53"/>
        <v xml:space="preserve">   198.0 </v>
      </c>
      <c r="T149" t="str">
        <f t="shared" si="54"/>
        <v xml:space="preserve">   198.0 </v>
      </c>
      <c r="U149" t="str">
        <f t="shared" si="58"/>
        <v xml:space="preserve">       40.0% </v>
      </c>
      <c r="V149" t="str">
        <f t="shared" si="62"/>
        <v xml:space="preserve">         </v>
      </c>
      <c r="W149" t="str">
        <f t="shared" si="55"/>
        <v xml:space="preserve">         </v>
      </c>
      <c r="X149" t="str">
        <f t="shared" si="59"/>
        <v xml:space="preserve">  1162 </v>
      </c>
      <c r="Y149" t="str">
        <f t="shared" si="59"/>
        <v xml:space="preserve"> JACUI-UHE003 </v>
      </c>
      <c r="Z149" t="str">
        <f t="shared" si="59"/>
        <v xml:space="preserve">  1 </v>
      </c>
      <c r="AA149" t="str">
        <f t="shared" si="63"/>
        <v xml:space="preserve">   -81.0 </v>
      </c>
      <c r="AB149" t="str">
        <f t="shared" si="56"/>
        <v xml:space="preserve">    -1.5 </v>
      </c>
      <c r="AC149" t="str">
        <f t="shared" si="57"/>
        <v xml:space="preserve">    79.2 </v>
      </c>
      <c r="AD149" t="str">
        <f t="shared" si="58"/>
        <v xml:space="preserve"> 1.074F </v>
      </c>
      <c r="AE149" t="str">
        <f t="shared" si="64"/>
        <v xml:space="preserve">       </v>
      </c>
      <c r="AF149" t="str">
        <f t="shared" si="60"/>
        <v xml:space="preserve">     </v>
      </c>
      <c r="AG149" t="str">
        <f t="shared" si="60"/>
        <v xml:space="preserve">     0.00 </v>
      </c>
      <c r="AH149" t="str">
        <f t="shared" si="65"/>
        <v xml:space="preserve">    12.20 </v>
      </c>
      <c r="AI149" t="str">
        <f t="shared" si="50"/>
        <v xml:space="preserve">       </v>
      </c>
      <c r="AJ149" t="str">
        <f t="shared" si="51"/>
        <v xml:space="preserve">      </v>
      </c>
    </row>
    <row r="150" spans="1:36" x14ac:dyDescent="0.25">
      <c r="A150" t="s">
        <v>125</v>
      </c>
      <c r="P150" t="str">
        <f t="shared" si="52"/>
        <v xml:space="preserve">                </v>
      </c>
      <c r="Q150" t="str">
        <f t="shared" si="52"/>
        <v xml:space="preserve">         </v>
      </c>
      <c r="R150" t="str">
        <f t="shared" si="61"/>
        <v xml:space="preserve">    25.0 </v>
      </c>
      <c r="S150" t="str">
        <f t="shared" si="53"/>
        <v xml:space="preserve">    37.0 </v>
      </c>
      <c r="T150" t="str">
        <f t="shared" si="54"/>
        <v xml:space="preserve">    37.0 </v>
      </c>
      <c r="U150" t="str">
        <f t="shared" si="58"/>
        <v xml:space="preserve">       32.5% </v>
      </c>
      <c r="V150" t="str">
        <f t="shared" si="62"/>
        <v xml:space="preserve">         </v>
      </c>
      <c r="W150" t="str">
        <f t="shared" si="55"/>
        <v xml:space="preserve">         </v>
      </c>
      <c r="X150" t="str">
        <f t="shared" si="59"/>
        <v xml:space="preserve">  1220 </v>
      </c>
      <c r="Y150" t="str">
        <f t="shared" si="59"/>
        <v xml:space="preserve"> JACUIR-RS023 </v>
      </c>
      <c r="Z150" t="str">
        <f t="shared" si="59"/>
        <v xml:space="preserve">  7 </v>
      </c>
      <c r="AA150" t="str">
        <f t="shared" si="63"/>
        <v xml:space="preserve">     7.3 </v>
      </c>
      <c r="AB150" t="str">
        <f t="shared" si="56"/>
        <v xml:space="preserve">     4.0 </v>
      </c>
      <c r="AC150" t="str">
        <f t="shared" si="57"/>
        <v xml:space="preserve">     8.1 </v>
      </c>
      <c r="AD150" t="str">
        <f t="shared" si="58"/>
        <v xml:space="preserve"> 0.973* </v>
      </c>
      <c r="AE150" t="str">
        <f t="shared" si="64"/>
        <v xml:space="preserve">       </v>
      </c>
      <c r="AF150" t="str">
        <f t="shared" si="60"/>
        <v xml:space="preserve">     </v>
      </c>
      <c r="AG150" t="str">
        <f t="shared" si="60"/>
        <v xml:space="preserve">     0.01 </v>
      </c>
      <c r="AH150" t="str">
        <f t="shared" si="65"/>
        <v xml:space="preserve">     0.26 </v>
      </c>
      <c r="AI150" t="str">
        <f t="shared" si="50"/>
        <v xml:space="preserve">       </v>
      </c>
      <c r="AJ150" t="str">
        <f t="shared" si="51"/>
        <v xml:space="preserve">      </v>
      </c>
    </row>
    <row r="151" spans="1:36" x14ac:dyDescent="0.25">
      <c r="A151" t="s">
        <v>126</v>
      </c>
      <c r="P151" t="str">
        <f t="shared" si="52"/>
        <v xml:space="preserve">                </v>
      </c>
      <c r="Q151" t="str">
        <f t="shared" si="52"/>
        <v xml:space="preserve">         </v>
      </c>
      <c r="R151" t="str">
        <f t="shared" si="61"/>
        <v xml:space="preserve">    96.0 </v>
      </c>
      <c r="S151" t="str">
        <f t="shared" si="53"/>
        <v xml:space="preserve">    96.0 </v>
      </c>
      <c r="T151" t="str">
        <f t="shared" si="54"/>
        <v xml:space="preserve">    96.0 </v>
      </c>
      <c r="U151" t="str">
        <f t="shared" si="58"/>
        <v xml:space="preserve">       20.2% </v>
      </c>
      <c r="V151" t="str">
        <f t="shared" si="62"/>
        <v xml:space="preserve">         </v>
      </c>
      <c r="W151" t="str">
        <f t="shared" si="55"/>
        <v xml:space="preserve">         </v>
      </c>
      <c r="X151" t="str">
        <f t="shared" si="59"/>
        <v xml:space="preserve">  1242 </v>
      </c>
      <c r="Y151" t="str">
        <f t="shared" si="59"/>
        <v xml:space="preserve"> PREAL--RS138 </v>
      </c>
      <c r="Z151" t="str">
        <f t="shared" si="59"/>
        <v xml:space="preserve">  1 </v>
      </c>
      <c r="AA151" t="str">
        <f t="shared" si="63"/>
        <v xml:space="preserve">    19.8 </v>
      </c>
      <c r="AB151" t="str">
        <f t="shared" si="56"/>
        <v xml:space="preserve">     1.8 </v>
      </c>
      <c r="AC151" t="str">
        <f t="shared" si="57"/>
        <v xml:space="preserve">    19.4 </v>
      </c>
      <c r="AD151" t="str">
        <f t="shared" si="58"/>
        <v xml:space="preserve">        </v>
      </c>
      <c r="AE151" t="str">
        <f t="shared" si="64"/>
        <v xml:space="preserve">       </v>
      </c>
      <c r="AF151" t="str">
        <f t="shared" si="60"/>
        <v xml:space="preserve">     </v>
      </c>
      <c r="AG151" t="str">
        <f t="shared" si="60"/>
        <v xml:space="preserve">     0.02 </v>
      </c>
      <c r="AH151" t="str">
        <f t="shared" si="65"/>
        <v xml:space="preserve">    -0.49 </v>
      </c>
      <c r="AI151" t="str">
        <f t="shared" ref="AI151:AI214" si="66">MID($A151,AG$8+AG$9+AH$9-2,AI$9)</f>
        <v xml:space="preserve">       </v>
      </c>
      <c r="AJ151" t="str">
        <f t="shared" ref="AJ151:AJ214" si="67">MID($A151,AG$8+AG$9+AH$9+AI$9-3,AJ$9)</f>
        <v xml:space="preserve">      </v>
      </c>
    </row>
    <row r="152" spans="1:36" x14ac:dyDescent="0.25">
      <c r="A152" t="s">
        <v>127</v>
      </c>
      <c r="P152" t="str">
        <f t="shared" si="52"/>
        <v xml:space="preserve">                </v>
      </c>
      <c r="Q152" t="str">
        <f t="shared" si="52"/>
        <v xml:space="preserve">         </v>
      </c>
      <c r="R152" t="str">
        <f t="shared" si="61"/>
        <v xml:space="preserve">   108.0 </v>
      </c>
      <c r="S152" t="str">
        <f t="shared" si="53"/>
        <v xml:space="preserve">   108.0 </v>
      </c>
      <c r="T152" t="str">
        <f t="shared" si="54"/>
        <v xml:space="preserve">   108.0 </v>
      </c>
      <c r="U152" t="str">
        <f t="shared" si="58"/>
        <v xml:space="preserve">       18.0% </v>
      </c>
      <c r="V152" t="str">
        <f t="shared" si="62"/>
        <v xml:space="preserve">         </v>
      </c>
      <c r="W152" t="str">
        <f t="shared" si="55"/>
        <v xml:space="preserve">         </v>
      </c>
      <c r="X152" t="str">
        <f t="shared" si="59"/>
        <v xml:space="preserve">  1242 </v>
      </c>
      <c r="Y152" t="str">
        <f t="shared" si="59"/>
        <v xml:space="preserve"> PREAL--RS138 </v>
      </c>
      <c r="Z152" t="str">
        <f t="shared" si="59"/>
        <v xml:space="preserve">  2 </v>
      </c>
      <c r="AA152" t="str">
        <f t="shared" si="63"/>
        <v xml:space="preserve">    19.8 </v>
      </c>
      <c r="AB152" t="str">
        <f t="shared" si="56"/>
        <v xml:space="preserve">     1.8 </v>
      </c>
      <c r="AC152" t="str">
        <f t="shared" si="57"/>
        <v xml:space="preserve">    19.4 </v>
      </c>
      <c r="AD152" t="str">
        <f t="shared" si="58"/>
        <v xml:space="preserve">        </v>
      </c>
      <c r="AE152" t="str">
        <f t="shared" si="64"/>
        <v xml:space="preserve">       </v>
      </c>
      <c r="AF152" t="str">
        <f t="shared" si="60"/>
        <v xml:space="preserve">     </v>
      </c>
      <c r="AG152" t="str">
        <f t="shared" si="60"/>
        <v xml:space="preserve">     0.02 </v>
      </c>
      <c r="AH152" t="str">
        <f t="shared" si="65"/>
        <v xml:space="preserve">    -0.49 </v>
      </c>
      <c r="AI152" t="str">
        <f t="shared" si="66"/>
        <v xml:space="preserve">       </v>
      </c>
      <c r="AJ152" t="str">
        <f t="shared" si="67"/>
        <v xml:space="preserve">      </v>
      </c>
    </row>
    <row r="153" spans="1:36" x14ac:dyDescent="0.25">
      <c r="A153" t="s">
        <v>128</v>
      </c>
      <c r="P153" t="str">
        <f t="shared" si="52"/>
        <v xml:space="preserve">                </v>
      </c>
      <c r="Q153" t="str">
        <f t="shared" si="52"/>
        <v xml:space="preserve">         </v>
      </c>
      <c r="R153" t="str">
        <f t="shared" si="61"/>
        <v xml:space="preserve">    96.0 </v>
      </c>
      <c r="S153" t="str">
        <f t="shared" si="53"/>
        <v xml:space="preserve">    96.0 </v>
      </c>
      <c r="T153" t="str">
        <f t="shared" si="54"/>
        <v xml:space="preserve">    96.0 </v>
      </c>
      <c r="U153" t="str">
        <f t="shared" si="58"/>
        <v xml:space="preserve">       18.7% </v>
      </c>
      <c r="V153" t="str">
        <f t="shared" si="62"/>
        <v xml:space="preserve">         </v>
      </c>
      <c r="W153" t="str">
        <f t="shared" si="55"/>
        <v xml:space="preserve">         </v>
      </c>
      <c r="X153" t="str">
        <f t="shared" si="59"/>
        <v xml:space="preserve">  2061 </v>
      </c>
      <c r="Y153" t="str">
        <f t="shared" si="59"/>
        <v xml:space="preserve"> CRUZAL-RS138 </v>
      </c>
      <c r="Z153" t="str">
        <f t="shared" si="59"/>
        <v xml:space="preserve">  1 </v>
      </c>
      <c r="AA153" t="str">
        <f t="shared" si="63"/>
        <v xml:space="preserve">    18.2 </v>
      </c>
      <c r="AB153" t="str">
        <f t="shared" si="56"/>
        <v xml:space="preserve">    -1.5 </v>
      </c>
      <c r="AC153" t="str">
        <f t="shared" si="57"/>
        <v xml:space="preserve">    17.9 </v>
      </c>
      <c r="AD153" t="str">
        <f t="shared" si="58"/>
        <v xml:space="preserve">        </v>
      </c>
      <c r="AE153" t="str">
        <f t="shared" si="64"/>
        <v xml:space="preserve">       </v>
      </c>
      <c r="AF153" t="str">
        <f t="shared" si="60"/>
        <v xml:space="preserve">     </v>
      </c>
      <c r="AG153" t="str">
        <f t="shared" si="60"/>
        <v xml:space="preserve">     0.15 </v>
      </c>
      <c r="AH153" t="str">
        <f t="shared" si="65"/>
        <v xml:space="preserve">    -3.66 </v>
      </c>
      <c r="AI153" t="str">
        <f t="shared" si="66"/>
        <v xml:space="preserve">       </v>
      </c>
      <c r="AJ153" t="str">
        <f t="shared" si="67"/>
        <v xml:space="preserve">      </v>
      </c>
    </row>
    <row r="154" spans="1:36" x14ac:dyDescent="0.25">
      <c r="A154" t="s">
        <v>129</v>
      </c>
      <c r="P154" t="str">
        <f t="shared" si="52"/>
        <v xml:space="preserve">                </v>
      </c>
      <c r="Q154" t="str">
        <f t="shared" si="52"/>
        <v xml:space="preserve">         </v>
      </c>
      <c r="R154" t="str">
        <f t="shared" si="61"/>
        <v xml:space="preserve">    91.0 </v>
      </c>
      <c r="S154" t="str">
        <f t="shared" si="53"/>
        <v xml:space="preserve">    91.0 </v>
      </c>
      <c r="T154" t="str">
        <f t="shared" si="54"/>
        <v xml:space="preserve">    91.0 </v>
      </c>
      <c r="U154" t="str">
        <f t="shared" si="58"/>
        <v xml:space="preserve">        9.9% </v>
      </c>
      <c r="V154" t="str">
        <f t="shared" si="62"/>
        <v xml:space="preserve">         </v>
      </c>
      <c r="W154" t="str">
        <f t="shared" si="55"/>
        <v xml:space="preserve">         </v>
      </c>
      <c r="X154" t="str">
        <f t="shared" si="59"/>
        <v xml:space="preserve">  9223 </v>
      </c>
      <c r="Y154" t="str">
        <f t="shared" si="59"/>
        <v xml:space="preserve"> KOTZIA-RS138 </v>
      </c>
      <c r="Z154" t="str">
        <f t="shared" si="59"/>
        <v xml:space="preserve">  1 </v>
      </c>
      <c r="AA154" t="str">
        <f t="shared" si="63"/>
        <v xml:space="preserve">    -9.1 </v>
      </c>
      <c r="AB154" t="str">
        <f t="shared" si="56"/>
        <v xml:space="preserve">     1.6 </v>
      </c>
      <c r="AC154" t="str">
        <f t="shared" si="57"/>
        <v xml:space="preserve">     9.0 </v>
      </c>
      <c r="AD154" t="str">
        <f t="shared" si="58"/>
        <v xml:space="preserve">        </v>
      </c>
      <c r="AE154" t="str">
        <f t="shared" si="64"/>
        <v xml:space="preserve">       </v>
      </c>
      <c r="AF154" t="str">
        <f t="shared" si="60"/>
        <v xml:space="preserve">     </v>
      </c>
      <c r="AG154" t="str">
        <f t="shared" si="60"/>
        <v xml:space="preserve">     0.02 </v>
      </c>
      <c r="AH154" t="str">
        <f t="shared" si="65"/>
        <v xml:space="preserve">    -0.66 </v>
      </c>
      <c r="AI154" t="str">
        <f t="shared" si="66"/>
        <v xml:space="preserve">       </v>
      </c>
      <c r="AJ154" t="str">
        <f t="shared" si="67"/>
        <v xml:space="preserve">      </v>
      </c>
    </row>
    <row r="155" spans="1:36" x14ac:dyDescent="0.25">
      <c r="A155" t="s">
        <v>130</v>
      </c>
      <c r="P155" t="str">
        <f t="shared" ref="P155:Q218" si="68">MID($A155,P$8,P$9)</f>
        <v xml:space="preserve">                </v>
      </c>
      <c r="Q155" t="str">
        <f t="shared" si="68"/>
        <v xml:space="preserve">         </v>
      </c>
      <c r="R155" t="str">
        <f t="shared" si="61"/>
        <v xml:space="preserve">    82.0 </v>
      </c>
      <c r="S155" t="str">
        <f t="shared" ref="S155:S218" si="69">MID($A155,Q$8+Q$9+R$9-2,S$9)</f>
        <v xml:space="preserve">    82.0 </v>
      </c>
      <c r="T155" t="str">
        <f t="shared" ref="T155:T218" si="70">MID($A155,Q$8+Q$9+R$9+S$9-3,T$9)</f>
        <v xml:space="preserve">    82.0 </v>
      </c>
      <c r="U155" t="str">
        <f t="shared" si="58"/>
        <v xml:space="preserve">       30.7% </v>
      </c>
      <c r="V155" t="str">
        <f t="shared" si="62"/>
        <v xml:space="preserve">         </v>
      </c>
      <c r="W155" t="str">
        <f t="shared" ref="W155:W218" si="71">MID($A155,U$8+U$9+V$9-2,W$9)</f>
        <v xml:space="preserve">         </v>
      </c>
      <c r="X155" t="str">
        <f t="shared" si="59"/>
        <v xml:space="preserve">  9918 </v>
      </c>
      <c r="Y155" t="str">
        <f t="shared" si="59"/>
        <v xml:space="preserve"> JCASTI-RS138 </v>
      </c>
      <c r="Z155" t="str">
        <f t="shared" si="59"/>
        <v xml:space="preserve">  1 </v>
      </c>
      <c r="AA155" t="str">
        <f t="shared" si="63"/>
        <v xml:space="preserve">    25.0 </v>
      </c>
      <c r="AB155" t="str">
        <f t="shared" ref="AB155:AB218" si="72">MID($A155,Z$8+Z$9+AA$9-2,AB$9)</f>
        <v xml:space="preserve">    -6.2 </v>
      </c>
      <c r="AC155" t="str">
        <f t="shared" ref="AC155:AC218" si="73">MID($A155,Z$8+Z$9+AA$9+AB$9-3,AC$9)</f>
        <v xml:space="preserve">    25.2 </v>
      </c>
      <c r="AD155" t="str">
        <f t="shared" si="58"/>
        <v xml:space="preserve">        </v>
      </c>
      <c r="AE155" t="str">
        <f t="shared" si="64"/>
        <v xml:space="preserve">       </v>
      </c>
      <c r="AF155" t="str">
        <f t="shared" si="60"/>
        <v xml:space="preserve">     </v>
      </c>
      <c r="AG155" t="str">
        <f t="shared" si="60"/>
        <v xml:space="preserve">     0.24 </v>
      </c>
      <c r="AH155" t="str">
        <f t="shared" si="65"/>
        <v xml:space="preserve">    -1.58 </v>
      </c>
      <c r="AI155" t="str">
        <f t="shared" si="66"/>
        <v xml:space="preserve">       </v>
      </c>
      <c r="AJ155" t="str">
        <f t="shared" si="67"/>
        <v xml:space="preserve">      </v>
      </c>
    </row>
    <row r="156" spans="1:36" x14ac:dyDescent="0.25">
      <c r="A156" t="s">
        <v>14</v>
      </c>
      <c r="P156" t="str">
        <f t="shared" si="68"/>
        <v xml:space="preserve">  ..............</v>
      </c>
      <c r="Q156" t="str">
        <f t="shared" si="68"/>
        <v>.........</v>
      </c>
      <c r="R156" t="str">
        <f t="shared" si="61"/>
        <v>.........</v>
      </c>
      <c r="S156" t="str">
        <f t="shared" si="69"/>
        <v>.........</v>
      </c>
      <c r="T156" t="str">
        <f t="shared" si="70"/>
        <v>.........</v>
      </c>
      <c r="U156" t="str">
        <f t="shared" ref="U156:AD219" si="74">MID($A156,U$8,U$9)</f>
        <v>.............</v>
      </c>
      <c r="V156" t="str">
        <f t="shared" si="62"/>
        <v>.........</v>
      </c>
      <c r="W156" t="str">
        <f t="shared" si="71"/>
        <v>.........</v>
      </c>
      <c r="X156" t="str">
        <f t="shared" ref="X156:Z219" si="75">MID($A156,X$8,X$9)</f>
        <v>.......</v>
      </c>
      <c r="Y156" t="str">
        <f t="shared" si="75"/>
        <v>..............</v>
      </c>
      <c r="Z156" t="str">
        <f t="shared" si="75"/>
        <v>....</v>
      </c>
      <c r="AA156" t="str">
        <f t="shared" si="63"/>
        <v>.........</v>
      </c>
      <c r="AB156" t="str">
        <f t="shared" si="72"/>
        <v>.........</v>
      </c>
      <c r="AC156" t="str">
        <f t="shared" si="73"/>
        <v>.........</v>
      </c>
      <c r="AD156" t="str">
        <f t="shared" si="74"/>
        <v>........</v>
      </c>
      <c r="AE156" t="str">
        <f t="shared" si="64"/>
        <v>.......</v>
      </c>
      <c r="AF156" t="str">
        <f t="shared" si="60"/>
        <v>.....</v>
      </c>
      <c r="AG156" t="str">
        <f t="shared" si="60"/>
        <v>..........</v>
      </c>
      <c r="AH156" t="str">
        <f t="shared" si="65"/>
        <v>..........</v>
      </c>
      <c r="AI156" t="str">
        <f t="shared" si="66"/>
        <v>.......</v>
      </c>
      <c r="AJ156" t="str">
        <f t="shared" si="67"/>
        <v>.......</v>
      </c>
    </row>
    <row r="157" spans="1:36" x14ac:dyDescent="0.25">
      <c r="A157" t="s">
        <v>131</v>
      </c>
      <c r="P157" t="str">
        <f t="shared" si="68"/>
        <v xml:space="preserve">   1219  138  0 </v>
      </c>
      <c r="Q157" t="str">
        <f t="shared" si="68"/>
        <v xml:space="preserve">   1.018 </v>
      </c>
      <c r="R157" t="str">
        <f t="shared" si="61"/>
        <v xml:space="preserve">     0.0 </v>
      </c>
      <c r="S157" t="str">
        <f t="shared" si="69"/>
        <v xml:space="preserve">     0.0 </v>
      </c>
      <c r="T157" t="str">
        <f t="shared" si="70"/>
        <v xml:space="preserve">     4.8 </v>
      </c>
      <c r="U157" t="str">
        <f t="shared" si="74"/>
        <v xml:space="preserve">         0.0 </v>
      </c>
      <c r="V157" t="str">
        <f t="shared" si="62"/>
        <v xml:space="preserve">     0.0 </v>
      </c>
      <c r="W157" t="str">
        <f t="shared" si="71"/>
        <v xml:space="preserve">     0.0</v>
      </c>
      <c r="X157" t="str">
        <f t="shared" si="75"/>
        <v/>
      </c>
      <c r="Y157" t="str">
        <f t="shared" si="75"/>
        <v/>
      </c>
      <c r="Z157" t="str">
        <f t="shared" si="75"/>
        <v/>
      </c>
      <c r="AA157" t="str">
        <f t="shared" si="63"/>
        <v/>
      </c>
      <c r="AB157" t="str">
        <f t="shared" si="72"/>
        <v/>
      </c>
      <c r="AC157" t="str">
        <f t="shared" si="73"/>
        <v/>
      </c>
      <c r="AD157" t="str">
        <f t="shared" si="74"/>
        <v/>
      </c>
      <c r="AE157" t="str">
        <f t="shared" si="64"/>
        <v/>
      </c>
      <c r="AF157" t="str">
        <f t="shared" ref="AF157:AG220" si="76">MID($A157,AF$8,AF$9)</f>
        <v/>
      </c>
      <c r="AG157" t="str">
        <f t="shared" si="76"/>
        <v/>
      </c>
      <c r="AH157" t="str">
        <f t="shared" si="65"/>
        <v/>
      </c>
      <c r="AI157" t="str">
        <f t="shared" si="66"/>
        <v/>
      </c>
      <c r="AJ157" t="str">
        <f t="shared" si="67"/>
        <v/>
      </c>
    </row>
    <row r="158" spans="1:36" x14ac:dyDescent="0.25">
      <c r="A158" t="s">
        <v>132</v>
      </c>
      <c r="P158" t="str">
        <f t="shared" si="68"/>
        <v xml:space="preserve">  LANSUL-RS138  </v>
      </c>
      <c r="Q158" t="str">
        <f t="shared" si="68"/>
        <v xml:space="preserve">   -52.6 </v>
      </c>
      <c r="R158" t="str">
        <f t="shared" si="61"/>
        <v xml:space="preserve">     0.0 </v>
      </c>
      <c r="S158" t="str">
        <f t="shared" si="69"/>
        <v xml:space="preserve">     0.0 </v>
      </c>
      <c r="T158" t="str">
        <f t="shared" si="70"/>
        <v xml:space="preserve">     2.0 </v>
      </c>
      <c r="U158" t="str">
        <f t="shared" si="74"/>
        <v xml:space="preserve">         0.0 </v>
      </c>
      <c r="V158" t="str">
        <f t="shared" si="62"/>
        <v xml:space="preserve">     0.0 </v>
      </c>
      <c r="W158" t="str">
        <f t="shared" si="71"/>
        <v xml:space="preserve">     0.0 </v>
      </c>
      <c r="X158" t="str">
        <f t="shared" si="75"/>
        <v xml:space="preserve">       </v>
      </c>
      <c r="Y158" t="str">
        <f t="shared" si="75"/>
        <v xml:space="preserve">              </v>
      </c>
      <c r="Z158" t="str">
        <f t="shared" si="75"/>
        <v xml:space="preserve">    </v>
      </c>
      <c r="AA158" t="str">
        <f t="shared" si="63"/>
        <v xml:space="preserve">         </v>
      </c>
      <c r="AB158" t="str">
        <f t="shared" si="72"/>
        <v xml:space="preserve">         </v>
      </c>
      <c r="AC158" t="str">
        <f t="shared" si="73"/>
        <v xml:space="preserve">    </v>
      </c>
      <c r="AD158" t="str">
        <f t="shared" si="74"/>
        <v/>
      </c>
      <c r="AE158" t="str">
        <f t="shared" si="64"/>
        <v/>
      </c>
      <c r="AF158" t="str">
        <f t="shared" si="76"/>
        <v/>
      </c>
      <c r="AG158" t="str">
        <f t="shared" si="76"/>
        <v/>
      </c>
      <c r="AH158" t="str">
        <f t="shared" si="65"/>
        <v/>
      </c>
      <c r="AI158" t="str">
        <f t="shared" si="66"/>
        <v/>
      </c>
      <c r="AJ158" t="str">
        <f t="shared" si="67"/>
        <v/>
      </c>
    </row>
    <row r="159" spans="1:36" x14ac:dyDescent="0.25">
      <c r="A159" t="s">
        <v>133</v>
      </c>
      <c r="P159" t="str">
        <f t="shared" si="68"/>
        <v xml:space="preserve">                </v>
      </c>
      <c r="Q159" t="str">
        <f t="shared" si="68"/>
        <v xml:space="preserve">         </v>
      </c>
      <c r="R159" t="str">
        <f t="shared" si="61"/>
        <v xml:space="preserve">   108.0 </v>
      </c>
      <c r="S159" t="str">
        <f t="shared" si="69"/>
        <v xml:space="preserve">   108.0 </v>
      </c>
      <c r="T159" t="str">
        <f t="shared" si="70"/>
        <v xml:space="preserve">   108.0 </v>
      </c>
      <c r="U159" t="str">
        <f t="shared" si="74"/>
        <v xml:space="preserve">       18.1% </v>
      </c>
      <c r="V159" t="str">
        <f t="shared" si="62"/>
        <v xml:space="preserve">         </v>
      </c>
      <c r="W159" t="str">
        <f t="shared" si="71"/>
        <v xml:space="preserve">         </v>
      </c>
      <c r="X159" t="str">
        <f t="shared" si="75"/>
        <v xml:space="preserve">  1265 </v>
      </c>
      <c r="Y159" t="str">
        <f t="shared" si="75"/>
        <v xml:space="preserve"> SANREM-RS138 </v>
      </c>
      <c r="Z159" t="str">
        <f t="shared" si="75"/>
        <v xml:space="preserve">  1 </v>
      </c>
      <c r="AA159" t="str">
        <f t="shared" si="63"/>
        <v xml:space="preserve">   -19.2 </v>
      </c>
      <c r="AB159" t="str">
        <f t="shared" si="72"/>
        <v xml:space="preserve">     5.0 </v>
      </c>
      <c r="AC159" t="str">
        <f t="shared" si="73"/>
        <v xml:space="preserve">    19.5 </v>
      </c>
      <c r="AD159" t="str">
        <f t="shared" si="74"/>
        <v xml:space="preserve">        </v>
      </c>
      <c r="AE159" t="str">
        <f t="shared" si="64"/>
        <v xml:space="preserve">       </v>
      </c>
      <c r="AF159" t="str">
        <f t="shared" si="76"/>
        <v xml:space="preserve">     </v>
      </c>
      <c r="AG159" t="str">
        <f t="shared" si="76"/>
        <v xml:space="preserve">     0.01 </v>
      </c>
      <c r="AH159" t="str">
        <f t="shared" si="65"/>
        <v xml:space="preserve">    -0.28 </v>
      </c>
      <c r="AI159" t="str">
        <f t="shared" si="66"/>
        <v xml:space="preserve">       </v>
      </c>
      <c r="AJ159" t="str">
        <f t="shared" si="67"/>
        <v xml:space="preserve">      </v>
      </c>
    </row>
    <row r="160" spans="1:36" x14ac:dyDescent="0.25">
      <c r="A160" t="s">
        <v>134</v>
      </c>
      <c r="P160" t="str">
        <f t="shared" si="68"/>
        <v xml:space="preserve">                </v>
      </c>
      <c r="Q160" t="str">
        <f t="shared" si="68"/>
        <v xml:space="preserve">         </v>
      </c>
      <c r="R160" t="str">
        <f t="shared" si="61"/>
        <v xml:space="preserve">   108.0 </v>
      </c>
      <c r="S160" t="str">
        <f t="shared" si="69"/>
        <v xml:space="preserve">   108.0 </v>
      </c>
      <c r="T160" t="str">
        <f t="shared" si="70"/>
        <v xml:space="preserve">   108.0 </v>
      </c>
      <c r="U160" t="str">
        <f t="shared" si="74"/>
        <v xml:space="preserve">       14.6% </v>
      </c>
      <c r="V160" t="str">
        <f t="shared" si="62"/>
        <v xml:space="preserve">         </v>
      </c>
      <c r="W160" t="str">
        <f t="shared" si="71"/>
        <v xml:space="preserve">         </v>
      </c>
      <c r="X160" t="str">
        <f t="shared" si="75"/>
        <v xml:space="preserve">  2084 </v>
      </c>
      <c r="Y160" t="str">
        <f t="shared" si="75"/>
        <v xml:space="preserve"> PEPSI--RS138 </v>
      </c>
      <c r="Z160" t="str">
        <f t="shared" si="75"/>
        <v xml:space="preserve">  1 </v>
      </c>
      <c r="AA160" t="str">
        <f t="shared" si="63"/>
        <v xml:space="preserve">    14.4 </v>
      </c>
      <c r="AB160" t="str">
        <f t="shared" si="72"/>
        <v xml:space="preserve">    -7.0 </v>
      </c>
      <c r="AC160" t="str">
        <f t="shared" si="73"/>
        <v xml:space="preserve">    15.8 </v>
      </c>
      <c r="AD160" t="str">
        <f t="shared" si="74"/>
        <v xml:space="preserve">        </v>
      </c>
      <c r="AE160" t="str">
        <f t="shared" si="64"/>
        <v xml:space="preserve">       </v>
      </c>
      <c r="AF160" t="str">
        <f t="shared" si="76"/>
        <v xml:space="preserve">     </v>
      </c>
      <c r="AG160" t="str">
        <f t="shared" si="76"/>
        <v xml:space="preserve">     0.00 </v>
      </c>
      <c r="AH160" t="str">
        <f t="shared" si="65"/>
        <v xml:space="preserve">    -0.12 </v>
      </c>
      <c r="AI160" t="str">
        <f t="shared" si="66"/>
        <v xml:space="preserve">       </v>
      </c>
      <c r="AJ160" t="str">
        <f t="shared" si="67"/>
        <v xml:space="preserve">      </v>
      </c>
    </row>
    <row r="161" spans="1:36" x14ac:dyDescent="0.25">
      <c r="A161" t="s">
        <v>14</v>
      </c>
      <c r="P161" t="str">
        <f t="shared" si="68"/>
        <v xml:space="preserve">  ..............</v>
      </c>
      <c r="Q161" t="str">
        <f t="shared" si="68"/>
        <v>.........</v>
      </c>
      <c r="R161" t="str">
        <f t="shared" si="61"/>
        <v>.........</v>
      </c>
      <c r="S161" t="str">
        <f t="shared" si="69"/>
        <v>.........</v>
      </c>
      <c r="T161" t="str">
        <f t="shared" si="70"/>
        <v>.........</v>
      </c>
      <c r="U161" t="str">
        <f t="shared" si="74"/>
        <v>.............</v>
      </c>
      <c r="V161" t="str">
        <f t="shared" si="62"/>
        <v>.........</v>
      </c>
      <c r="W161" t="str">
        <f t="shared" si="71"/>
        <v>.........</v>
      </c>
      <c r="X161" t="str">
        <f t="shared" si="75"/>
        <v>.......</v>
      </c>
      <c r="Y161" t="str">
        <f t="shared" si="75"/>
        <v>..............</v>
      </c>
      <c r="Z161" t="str">
        <f t="shared" si="75"/>
        <v>....</v>
      </c>
      <c r="AA161" t="str">
        <f t="shared" si="63"/>
        <v>.........</v>
      </c>
      <c r="AB161" t="str">
        <f t="shared" si="72"/>
        <v>.........</v>
      </c>
      <c r="AC161" t="str">
        <f t="shared" si="73"/>
        <v>.........</v>
      </c>
      <c r="AD161" t="str">
        <f t="shared" si="74"/>
        <v>........</v>
      </c>
      <c r="AE161" t="str">
        <f t="shared" si="64"/>
        <v>.......</v>
      </c>
      <c r="AF161" t="str">
        <f t="shared" si="76"/>
        <v>.....</v>
      </c>
      <c r="AG161" t="str">
        <f t="shared" si="76"/>
        <v>..........</v>
      </c>
      <c r="AH161" t="str">
        <f t="shared" si="65"/>
        <v>..........</v>
      </c>
      <c r="AI161" t="str">
        <f t="shared" si="66"/>
        <v>.......</v>
      </c>
      <c r="AJ161" t="str">
        <f t="shared" si="67"/>
        <v>.......</v>
      </c>
    </row>
    <row r="162" spans="1:36" x14ac:dyDescent="0.25">
      <c r="A162" t="s">
        <v>135</v>
      </c>
      <c r="P162" t="str">
        <f t="shared" si="68"/>
        <v xml:space="preserve">   1220   23  0 </v>
      </c>
      <c r="Q162" t="str">
        <f t="shared" si="68"/>
        <v xml:space="preserve">   1.035 </v>
      </c>
      <c r="R162" t="str">
        <f t="shared" si="61"/>
        <v xml:space="preserve">     0.9 </v>
      </c>
      <c r="S162" t="str">
        <f t="shared" si="69"/>
        <v xml:space="preserve">     0.0 </v>
      </c>
      <c r="T162" t="str">
        <f t="shared" si="70"/>
        <v xml:space="preserve">     6.2 </v>
      </c>
      <c r="U162" t="str">
        <f t="shared" si="74"/>
        <v xml:space="preserve">         0.0 </v>
      </c>
      <c r="V162" t="str">
        <f t="shared" si="62"/>
        <v xml:space="preserve">     0.0 </v>
      </c>
      <c r="W162" t="str">
        <f t="shared" si="71"/>
        <v xml:space="preserve">     0.0</v>
      </c>
      <c r="X162" t="str">
        <f t="shared" si="75"/>
        <v/>
      </c>
      <c r="Y162" t="str">
        <f t="shared" si="75"/>
        <v/>
      </c>
      <c r="Z162" t="str">
        <f t="shared" si="75"/>
        <v/>
      </c>
      <c r="AA162" t="str">
        <f t="shared" si="63"/>
        <v/>
      </c>
      <c r="AB162" t="str">
        <f t="shared" si="72"/>
        <v/>
      </c>
      <c r="AC162" t="str">
        <f t="shared" si="73"/>
        <v/>
      </c>
      <c r="AD162" t="str">
        <f t="shared" si="74"/>
        <v/>
      </c>
      <c r="AE162" t="str">
        <f t="shared" si="64"/>
        <v/>
      </c>
      <c r="AF162" t="str">
        <f t="shared" si="76"/>
        <v/>
      </c>
      <c r="AG162" t="str">
        <f t="shared" si="76"/>
        <v/>
      </c>
      <c r="AH162" t="str">
        <f t="shared" si="65"/>
        <v/>
      </c>
      <c r="AI162" t="str">
        <f t="shared" si="66"/>
        <v/>
      </c>
      <c r="AJ162" t="str">
        <f t="shared" si="67"/>
        <v/>
      </c>
    </row>
    <row r="163" spans="1:36" x14ac:dyDescent="0.25">
      <c r="A163" t="s">
        <v>136</v>
      </c>
      <c r="P163" t="str">
        <f t="shared" si="68"/>
        <v xml:space="preserve">  JACUIR-RS023  </v>
      </c>
      <c r="Q163" t="str">
        <f t="shared" si="68"/>
        <v xml:space="preserve">   -48.6 </v>
      </c>
      <c r="R163" t="str">
        <f t="shared" si="61"/>
        <v xml:space="preserve">     0.0 </v>
      </c>
      <c r="S163" t="str">
        <f t="shared" si="69"/>
        <v xml:space="preserve">     0.0 </v>
      </c>
      <c r="T163" t="str">
        <f t="shared" si="70"/>
        <v xml:space="preserve">     2.9 </v>
      </c>
      <c r="U163" t="str">
        <f t="shared" si="74"/>
        <v xml:space="preserve">         0.0 </v>
      </c>
      <c r="V163" t="str">
        <f t="shared" si="62"/>
        <v xml:space="preserve">     0.0 </v>
      </c>
      <c r="W163" t="str">
        <f t="shared" si="71"/>
        <v xml:space="preserve">     0.0 </v>
      </c>
      <c r="X163" t="str">
        <f t="shared" si="75"/>
        <v xml:space="preserve">       </v>
      </c>
      <c r="Y163" t="str">
        <f t="shared" si="75"/>
        <v xml:space="preserve">              </v>
      </c>
      <c r="Z163" t="str">
        <f t="shared" si="75"/>
        <v xml:space="preserve">    </v>
      </c>
      <c r="AA163" t="str">
        <f t="shared" si="63"/>
        <v xml:space="preserve">         </v>
      </c>
      <c r="AB163" t="str">
        <f t="shared" si="72"/>
        <v xml:space="preserve">         </v>
      </c>
      <c r="AC163" t="str">
        <f t="shared" si="73"/>
        <v xml:space="preserve">    </v>
      </c>
      <c r="AD163" t="str">
        <f t="shared" si="74"/>
        <v/>
      </c>
      <c r="AE163" t="str">
        <f t="shared" si="64"/>
        <v/>
      </c>
      <c r="AF163" t="str">
        <f t="shared" si="76"/>
        <v/>
      </c>
      <c r="AG163" t="str">
        <f t="shared" si="76"/>
        <v/>
      </c>
      <c r="AH163" t="str">
        <f t="shared" si="65"/>
        <v/>
      </c>
      <c r="AI163" t="str">
        <f t="shared" si="66"/>
        <v/>
      </c>
      <c r="AJ163" t="str">
        <f t="shared" si="67"/>
        <v/>
      </c>
    </row>
    <row r="164" spans="1:36" x14ac:dyDescent="0.25">
      <c r="A164" t="s">
        <v>137</v>
      </c>
      <c r="P164" t="str">
        <f t="shared" si="68"/>
        <v xml:space="preserve">                </v>
      </c>
      <c r="Q164" t="str">
        <f t="shared" si="68"/>
        <v xml:space="preserve">         </v>
      </c>
      <c r="R164" t="str">
        <f t="shared" si="61"/>
        <v xml:space="preserve">  9999.0 </v>
      </c>
      <c r="S164" t="str">
        <f t="shared" si="69"/>
        <v xml:space="preserve">  9999.0 </v>
      </c>
      <c r="T164" t="str">
        <f t="shared" si="70"/>
        <v xml:space="preserve">  9999.0 </v>
      </c>
      <c r="U164" t="str">
        <f t="shared" si="74"/>
        <v xml:space="preserve">        0.0% </v>
      </c>
      <c r="V164" t="str">
        <f t="shared" si="62"/>
        <v xml:space="preserve">         </v>
      </c>
      <c r="W164" t="str">
        <f t="shared" si="71"/>
        <v xml:space="preserve">         </v>
      </c>
      <c r="X164" t="str">
        <f t="shared" si="75"/>
        <v xml:space="preserve">  1211 </v>
      </c>
      <c r="Y164" t="str">
        <f t="shared" si="75"/>
        <v xml:space="preserve"> JACUIA-RS023 </v>
      </c>
      <c r="Z164" t="str">
        <f t="shared" si="75"/>
        <v xml:space="preserve">  1 </v>
      </c>
      <c r="AA164" t="str">
        <f t="shared" si="63"/>
        <v xml:space="preserve">     0.0 </v>
      </c>
      <c r="AB164" t="str">
        <f t="shared" si="72"/>
        <v xml:space="preserve">     0.0 </v>
      </c>
      <c r="AC164" t="str">
        <f t="shared" si="73"/>
        <v xml:space="preserve">     0.0 </v>
      </c>
      <c r="AD164" t="str">
        <f t="shared" si="74"/>
        <v xml:space="preserve">        </v>
      </c>
      <c r="AE164" t="str">
        <f t="shared" si="64"/>
        <v xml:space="preserve">       </v>
      </c>
      <c r="AF164" t="str">
        <f t="shared" si="76"/>
        <v xml:space="preserve">     </v>
      </c>
      <c r="AG164" t="str">
        <f t="shared" si="76"/>
        <v xml:space="preserve">     0.00 </v>
      </c>
      <c r="AH164" t="str">
        <f t="shared" si="65"/>
        <v xml:space="preserve">     0.00 </v>
      </c>
      <c r="AI164" t="str">
        <f t="shared" si="66"/>
        <v xml:space="preserve">       </v>
      </c>
      <c r="AJ164" t="str">
        <f t="shared" si="67"/>
        <v xml:space="preserve">      </v>
      </c>
    </row>
    <row r="165" spans="1:36" x14ac:dyDescent="0.25">
      <c r="A165" t="s">
        <v>138</v>
      </c>
      <c r="P165" t="str">
        <f t="shared" si="68"/>
        <v xml:space="preserve">                </v>
      </c>
      <c r="Q165" t="str">
        <f t="shared" si="68"/>
        <v xml:space="preserve">         </v>
      </c>
      <c r="R165" t="str">
        <f t="shared" si="61"/>
        <v xml:space="preserve">    25.0 </v>
      </c>
      <c r="S165" t="str">
        <f t="shared" si="69"/>
        <v xml:space="preserve">    37.0 </v>
      </c>
      <c r="T165" t="str">
        <f t="shared" si="70"/>
        <v xml:space="preserve">    37.0 </v>
      </c>
      <c r="U165" t="str">
        <f t="shared" si="74"/>
        <v xml:space="preserve">       31.6% </v>
      </c>
      <c r="V165" t="str">
        <f t="shared" si="62"/>
        <v xml:space="preserve">         </v>
      </c>
      <c r="W165" t="str">
        <f t="shared" si="71"/>
        <v xml:space="preserve">         </v>
      </c>
      <c r="X165" t="str">
        <f t="shared" si="75"/>
        <v xml:space="preserve">  1216 </v>
      </c>
      <c r="Y165" t="str">
        <f t="shared" si="75"/>
        <v xml:space="preserve"> JACUI--RS138 </v>
      </c>
      <c r="Z165" t="str">
        <f t="shared" si="75"/>
        <v xml:space="preserve">  7 </v>
      </c>
      <c r="AA165" t="str">
        <f t="shared" si="63"/>
        <v xml:space="preserve">    -7.3 </v>
      </c>
      <c r="AB165" t="str">
        <f t="shared" si="72"/>
        <v xml:space="preserve">    -3.7 </v>
      </c>
      <c r="AC165" t="str">
        <f t="shared" si="73"/>
        <v xml:space="preserve">     7.9 </v>
      </c>
      <c r="AD165" t="str">
        <f t="shared" si="74"/>
        <v xml:space="preserve">        </v>
      </c>
      <c r="AE165" t="str">
        <f t="shared" si="64"/>
        <v xml:space="preserve">       </v>
      </c>
      <c r="AF165" t="str">
        <f t="shared" si="76"/>
        <v xml:space="preserve">     </v>
      </c>
      <c r="AG165" t="str">
        <f t="shared" si="76"/>
        <v xml:space="preserve">     0.01 </v>
      </c>
      <c r="AH165" t="str">
        <f t="shared" si="65"/>
        <v xml:space="preserve">     0.26 </v>
      </c>
      <c r="AI165" t="str">
        <f t="shared" si="66"/>
        <v xml:space="preserve">       </v>
      </c>
      <c r="AJ165" t="str">
        <f t="shared" si="67"/>
        <v xml:space="preserve">      </v>
      </c>
    </row>
    <row r="166" spans="1:36" x14ac:dyDescent="0.25">
      <c r="A166" t="s">
        <v>139</v>
      </c>
      <c r="P166" t="str">
        <f t="shared" si="68"/>
        <v xml:space="preserve">                </v>
      </c>
      <c r="Q166" t="str">
        <f t="shared" si="68"/>
        <v xml:space="preserve">         </v>
      </c>
      <c r="R166" t="str">
        <f t="shared" si="61"/>
        <v xml:space="preserve">  9999.0 </v>
      </c>
      <c r="S166" t="str">
        <f t="shared" si="69"/>
        <v xml:space="preserve">  9999.0 </v>
      </c>
      <c r="T166" t="str">
        <f t="shared" si="70"/>
        <v xml:space="preserve">  9999.0 </v>
      </c>
      <c r="U166" t="str">
        <f t="shared" si="74"/>
        <v xml:space="preserve">        0.0% </v>
      </c>
      <c r="V166" t="str">
        <f t="shared" si="62"/>
        <v xml:space="preserve">         </v>
      </c>
      <c r="W166" t="str">
        <f t="shared" si="71"/>
        <v xml:space="preserve">         </v>
      </c>
      <c r="X166" t="str">
        <f t="shared" si="75"/>
        <v xml:space="preserve"> 10028 </v>
      </c>
      <c r="Y166" t="str">
        <f t="shared" si="75"/>
        <v xml:space="preserve"> JACUIC-RS023 </v>
      </c>
      <c r="Z166" t="str">
        <f t="shared" si="75"/>
        <v xml:space="preserve">  1 </v>
      </c>
      <c r="AA166" t="str">
        <f t="shared" si="63"/>
        <v xml:space="preserve">     2.0 </v>
      </c>
      <c r="AB166" t="str">
        <f t="shared" si="72"/>
        <v xml:space="preserve">     0.8 </v>
      </c>
      <c r="AC166" t="str">
        <f t="shared" si="73"/>
        <v xml:space="preserve">     2.1 </v>
      </c>
      <c r="AD166" t="str">
        <f t="shared" si="74"/>
        <v xml:space="preserve">        </v>
      </c>
      <c r="AE166" t="str">
        <f t="shared" si="64"/>
        <v xml:space="preserve">       </v>
      </c>
      <c r="AF166" t="str">
        <f t="shared" si="76"/>
        <v xml:space="preserve">     </v>
      </c>
      <c r="AG166" t="str">
        <f t="shared" si="76"/>
        <v xml:space="preserve">     0.00 </v>
      </c>
      <c r="AH166" t="str">
        <f t="shared" si="65"/>
        <v xml:space="preserve">     0.00 </v>
      </c>
      <c r="AI166" t="str">
        <f t="shared" si="66"/>
        <v xml:space="preserve">       </v>
      </c>
      <c r="AJ166" t="str">
        <f t="shared" si="67"/>
        <v xml:space="preserve">      </v>
      </c>
    </row>
    <row r="167" spans="1:36" x14ac:dyDescent="0.25">
      <c r="A167" t="s">
        <v>14</v>
      </c>
      <c r="P167" t="str">
        <f t="shared" si="68"/>
        <v xml:space="preserve">  ..............</v>
      </c>
      <c r="Q167" t="str">
        <f t="shared" si="68"/>
        <v>.........</v>
      </c>
      <c r="R167" t="str">
        <f t="shared" si="61"/>
        <v>.........</v>
      </c>
      <c r="S167" t="str">
        <f t="shared" si="69"/>
        <v>.........</v>
      </c>
      <c r="T167" t="str">
        <f t="shared" si="70"/>
        <v>.........</v>
      </c>
      <c r="U167" t="str">
        <f t="shared" si="74"/>
        <v>.............</v>
      </c>
      <c r="V167" t="str">
        <f t="shared" si="62"/>
        <v>.........</v>
      </c>
      <c r="W167" t="str">
        <f t="shared" si="71"/>
        <v>.........</v>
      </c>
      <c r="X167" t="str">
        <f t="shared" si="75"/>
        <v>.......</v>
      </c>
      <c r="Y167" t="str">
        <f t="shared" si="75"/>
        <v>..............</v>
      </c>
      <c r="Z167" t="str">
        <f t="shared" si="75"/>
        <v>....</v>
      </c>
      <c r="AA167" t="str">
        <f t="shared" si="63"/>
        <v>.........</v>
      </c>
      <c r="AB167" t="str">
        <f t="shared" si="72"/>
        <v>.........</v>
      </c>
      <c r="AC167" t="str">
        <f t="shared" si="73"/>
        <v>.........</v>
      </c>
      <c r="AD167" t="str">
        <f t="shared" si="74"/>
        <v>........</v>
      </c>
      <c r="AE167" t="str">
        <f t="shared" si="64"/>
        <v>.......</v>
      </c>
      <c r="AF167" t="str">
        <f t="shared" si="76"/>
        <v>.....</v>
      </c>
      <c r="AG167" t="str">
        <f t="shared" si="76"/>
        <v>..........</v>
      </c>
      <c r="AH167" t="str">
        <f t="shared" si="65"/>
        <v>..........</v>
      </c>
      <c r="AI167" t="str">
        <f t="shared" si="66"/>
        <v>.......</v>
      </c>
      <c r="AJ167" t="str">
        <f t="shared" si="67"/>
        <v>.......</v>
      </c>
    </row>
    <row r="168" spans="1:36" x14ac:dyDescent="0.25">
      <c r="A168" t="s">
        <v>140</v>
      </c>
      <c r="P168" t="str">
        <f t="shared" si="68"/>
        <v xml:space="preserve">   1221  138  0 </v>
      </c>
      <c r="Q168" t="str">
        <f t="shared" si="68"/>
        <v xml:space="preserve">   1.045 </v>
      </c>
      <c r="R168" t="str">
        <f t="shared" si="61"/>
        <v xml:space="preserve">     5.6 </v>
      </c>
      <c r="S168" t="str">
        <f t="shared" si="69"/>
        <v xml:space="preserve">     0.0 </v>
      </c>
      <c r="T168" t="str">
        <f t="shared" si="70"/>
        <v xml:space="preserve">    30.2 </v>
      </c>
      <c r="U168" t="str">
        <f t="shared" si="74"/>
        <v xml:space="preserve">         0.0 </v>
      </c>
      <c r="V168" t="str">
        <f t="shared" si="62"/>
        <v xml:space="preserve">     3.9 </v>
      </c>
      <c r="W168" t="str">
        <f t="shared" si="71"/>
        <v xml:space="preserve">     0.0</v>
      </c>
      <c r="X168" t="str">
        <f t="shared" si="75"/>
        <v/>
      </c>
      <c r="Y168" t="str">
        <f t="shared" si="75"/>
        <v/>
      </c>
      <c r="Z168" t="str">
        <f t="shared" si="75"/>
        <v/>
      </c>
      <c r="AA168" t="str">
        <f t="shared" si="63"/>
        <v/>
      </c>
      <c r="AB168" t="str">
        <f t="shared" si="72"/>
        <v/>
      </c>
      <c r="AC168" t="str">
        <f t="shared" si="73"/>
        <v/>
      </c>
      <c r="AD168" t="str">
        <f t="shared" si="74"/>
        <v/>
      </c>
      <c r="AE168" t="str">
        <f t="shared" si="64"/>
        <v/>
      </c>
      <c r="AF168" t="str">
        <f t="shared" si="76"/>
        <v/>
      </c>
      <c r="AG168" t="str">
        <f t="shared" si="76"/>
        <v/>
      </c>
      <c r="AH168" t="str">
        <f t="shared" si="65"/>
        <v/>
      </c>
      <c r="AI168" t="str">
        <f t="shared" si="66"/>
        <v/>
      </c>
      <c r="AJ168" t="str">
        <f t="shared" si="67"/>
        <v/>
      </c>
    </row>
    <row r="169" spans="1:36" x14ac:dyDescent="0.25">
      <c r="A169" t="s">
        <v>141</v>
      </c>
      <c r="P169" t="str">
        <f t="shared" si="68"/>
        <v xml:space="preserve">  LVERM1-RS138  </v>
      </c>
      <c r="Q169" t="str">
        <f t="shared" si="68"/>
        <v xml:space="preserve">   -44.3 </v>
      </c>
      <c r="R169" t="str">
        <f t="shared" si="61"/>
        <v xml:space="preserve">     0.0 </v>
      </c>
      <c r="S169" t="str">
        <f t="shared" si="69"/>
        <v xml:space="preserve">     0.0 </v>
      </c>
      <c r="T169" t="str">
        <f t="shared" si="70"/>
        <v xml:space="preserve">    11.3 </v>
      </c>
      <c r="U169" t="str">
        <f t="shared" si="74"/>
        <v xml:space="preserve">         0.0 </v>
      </c>
      <c r="V169" t="str">
        <f t="shared" si="62"/>
        <v xml:space="preserve">     0.0 </v>
      </c>
      <c r="W169" t="str">
        <f t="shared" si="71"/>
        <v xml:space="preserve">     0.0 </v>
      </c>
      <c r="X169" t="str">
        <f t="shared" si="75"/>
        <v xml:space="preserve">       </v>
      </c>
      <c r="Y169" t="str">
        <f t="shared" si="75"/>
        <v xml:space="preserve">              </v>
      </c>
      <c r="Z169" t="str">
        <f t="shared" si="75"/>
        <v xml:space="preserve">    </v>
      </c>
      <c r="AA169" t="str">
        <f t="shared" si="63"/>
        <v xml:space="preserve">         </v>
      </c>
      <c r="AB169" t="str">
        <f t="shared" si="72"/>
        <v xml:space="preserve">         </v>
      </c>
      <c r="AC169" t="str">
        <f t="shared" si="73"/>
        <v xml:space="preserve">    </v>
      </c>
      <c r="AD169" t="str">
        <f t="shared" si="74"/>
        <v/>
      </c>
      <c r="AE169" t="str">
        <f t="shared" si="64"/>
        <v/>
      </c>
      <c r="AF169" t="str">
        <f t="shared" si="76"/>
        <v/>
      </c>
      <c r="AG169" t="str">
        <f t="shared" si="76"/>
        <v/>
      </c>
      <c r="AH169" t="str">
        <f t="shared" si="65"/>
        <v/>
      </c>
      <c r="AI169" t="str">
        <f t="shared" si="66"/>
        <v/>
      </c>
      <c r="AJ169" t="str">
        <f t="shared" si="67"/>
        <v/>
      </c>
    </row>
    <row r="170" spans="1:36" x14ac:dyDescent="0.25">
      <c r="A170" t="s">
        <v>142</v>
      </c>
      <c r="P170" t="str">
        <f t="shared" si="68"/>
        <v xml:space="preserve">              DE</v>
      </c>
      <c r="Q170" t="str">
        <f t="shared" si="68"/>
        <v xml:space="preserve">ESLIGADO </v>
      </c>
      <c r="R170" t="str">
        <f t="shared" si="61"/>
        <v xml:space="preserve">    82.0 </v>
      </c>
      <c r="S170" t="str">
        <f t="shared" si="69"/>
        <v xml:space="preserve">    82.0 </v>
      </c>
      <c r="T170" t="str">
        <f t="shared" si="70"/>
        <v xml:space="preserve">    82.0 </v>
      </c>
      <c r="U170" t="str">
        <f t="shared" si="74"/>
        <v xml:space="preserve">             </v>
      </c>
      <c r="V170" t="str">
        <f t="shared" si="62"/>
        <v xml:space="preserve">         </v>
      </c>
      <c r="W170" t="str">
        <f t="shared" si="71"/>
        <v xml:space="preserve">         </v>
      </c>
      <c r="X170" t="str">
        <f t="shared" si="75"/>
        <v xml:space="preserve">  1277 </v>
      </c>
      <c r="Y170" t="str">
        <f t="shared" si="75"/>
        <v xml:space="preserve"> PFUND1-RS138 </v>
      </c>
      <c r="Z170" t="str">
        <f t="shared" si="75"/>
        <v xml:space="preserve">  1 </v>
      </c>
      <c r="AA170" t="str">
        <f t="shared" si="63"/>
        <v xml:space="preserve">     0.0 </v>
      </c>
      <c r="AB170" t="str">
        <f t="shared" si="72"/>
        <v xml:space="preserve">     0.0 </v>
      </c>
      <c r="AC170" t="str">
        <f t="shared" si="73"/>
        <v xml:space="preserve">     0.0 </v>
      </c>
      <c r="AD170" t="str">
        <f t="shared" si="74"/>
        <v xml:space="preserve">        </v>
      </c>
      <c r="AE170" t="str">
        <f t="shared" si="64"/>
        <v xml:space="preserve">       </v>
      </c>
      <c r="AF170" t="str">
        <f t="shared" si="76"/>
        <v xml:space="preserve">     </v>
      </c>
      <c r="AG170" t="str">
        <f t="shared" si="76"/>
        <v xml:space="preserve">     0.00 </v>
      </c>
      <c r="AH170" t="str">
        <f t="shared" si="65"/>
        <v xml:space="preserve">     0.00 </v>
      </c>
      <c r="AI170" t="str">
        <f t="shared" si="66"/>
        <v xml:space="preserve">       </v>
      </c>
      <c r="AJ170" t="str">
        <f t="shared" si="67"/>
        <v xml:space="preserve">      </v>
      </c>
    </row>
    <row r="171" spans="1:36" x14ac:dyDescent="0.25">
      <c r="A171" t="s">
        <v>143</v>
      </c>
      <c r="P171" t="str">
        <f t="shared" si="68"/>
        <v xml:space="preserve">                </v>
      </c>
      <c r="Q171" t="str">
        <f t="shared" si="68"/>
        <v xml:space="preserve">         </v>
      </c>
      <c r="R171" t="str">
        <f t="shared" si="61"/>
        <v xml:space="preserve">   143.0 </v>
      </c>
      <c r="S171" t="str">
        <f t="shared" si="69"/>
        <v xml:space="preserve">   143.0 </v>
      </c>
      <c r="T171" t="str">
        <f t="shared" si="70"/>
        <v xml:space="preserve">   143.0 </v>
      </c>
      <c r="U171" t="str">
        <f t="shared" si="74"/>
        <v xml:space="preserve">       17.2% </v>
      </c>
      <c r="V171" t="str">
        <f t="shared" si="62"/>
        <v xml:space="preserve">         </v>
      </c>
      <c r="W171" t="str">
        <f t="shared" si="71"/>
        <v xml:space="preserve">         </v>
      </c>
      <c r="X171" t="str">
        <f t="shared" si="75"/>
        <v xml:space="preserve">  1326 </v>
      </c>
      <c r="Y171" t="str">
        <f t="shared" si="75"/>
        <v xml:space="preserve"> LVERM2-RS138 </v>
      </c>
      <c r="Z171" t="str">
        <f t="shared" si="75"/>
        <v xml:space="preserve">  1 </v>
      </c>
      <c r="AA171" t="str">
        <f t="shared" si="63"/>
        <v xml:space="preserve">   -24.6 </v>
      </c>
      <c r="AB171" t="str">
        <f t="shared" si="72"/>
        <v xml:space="preserve">    -7.4 </v>
      </c>
      <c r="AC171" t="str">
        <f t="shared" si="73"/>
        <v xml:space="preserve">    24.6 </v>
      </c>
      <c r="AD171" t="str">
        <f t="shared" si="74"/>
        <v xml:space="preserve">        </v>
      </c>
      <c r="AE171" t="str">
        <f t="shared" si="64"/>
        <v xml:space="preserve">       </v>
      </c>
      <c r="AF171" t="str">
        <f t="shared" si="76"/>
        <v xml:space="preserve">     </v>
      </c>
      <c r="AG171" t="str">
        <f t="shared" si="76"/>
        <v xml:space="preserve">     0.03 </v>
      </c>
      <c r="AH171" t="str">
        <f t="shared" si="65"/>
        <v xml:space="preserve">    -0.34 </v>
      </c>
      <c r="AI171" t="str">
        <f t="shared" si="66"/>
        <v xml:space="preserve">       </v>
      </c>
      <c r="AJ171" t="str">
        <f t="shared" si="67"/>
        <v xml:space="preserve">      </v>
      </c>
    </row>
    <row r="172" spans="1:36" x14ac:dyDescent="0.25">
      <c r="A172" t="s">
        <v>14</v>
      </c>
      <c r="P172" t="str">
        <f t="shared" si="68"/>
        <v xml:space="preserve">  ..............</v>
      </c>
      <c r="Q172" t="str">
        <f t="shared" si="68"/>
        <v>.........</v>
      </c>
      <c r="R172" t="str">
        <f t="shared" si="61"/>
        <v>.........</v>
      </c>
      <c r="S172" t="str">
        <f t="shared" si="69"/>
        <v>.........</v>
      </c>
      <c r="T172" t="str">
        <f t="shared" si="70"/>
        <v>.........</v>
      </c>
      <c r="U172" t="str">
        <f t="shared" si="74"/>
        <v>.............</v>
      </c>
      <c r="V172" t="str">
        <f t="shared" si="62"/>
        <v>.........</v>
      </c>
      <c r="W172" t="str">
        <f t="shared" si="71"/>
        <v>.........</v>
      </c>
      <c r="X172" t="str">
        <f t="shared" si="75"/>
        <v>.......</v>
      </c>
      <c r="Y172" t="str">
        <f t="shared" si="75"/>
        <v>..............</v>
      </c>
      <c r="Z172" t="str">
        <f t="shared" si="75"/>
        <v>....</v>
      </c>
      <c r="AA172" t="str">
        <f t="shared" si="63"/>
        <v>.........</v>
      </c>
      <c r="AB172" t="str">
        <f t="shared" si="72"/>
        <v>.........</v>
      </c>
      <c r="AC172" t="str">
        <f t="shared" si="73"/>
        <v>.........</v>
      </c>
      <c r="AD172" t="str">
        <f t="shared" si="74"/>
        <v>........</v>
      </c>
      <c r="AE172" t="str">
        <f t="shared" si="64"/>
        <v>.......</v>
      </c>
      <c r="AF172" t="str">
        <f t="shared" si="76"/>
        <v>.....</v>
      </c>
      <c r="AG172" t="str">
        <f t="shared" si="76"/>
        <v>..........</v>
      </c>
      <c r="AH172" t="str">
        <f t="shared" si="65"/>
        <v>..........</v>
      </c>
      <c r="AI172" t="str">
        <f t="shared" si="66"/>
        <v>.......</v>
      </c>
      <c r="AJ172" t="str">
        <f t="shared" si="67"/>
        <v>.......</v>
      </c>
    </row>
    <row r="173" spans="1:36" x14ac:dyDescent="0.25">
      <c r="A173" t="s">
        <v>144</v>
      </c>
      <c r="P173" t="str">
        <f t="shared" si="68"/>
        <v xml:space="preserve">_x000C_CEPEL - CENTRO </v>
      </c>
      <c r="Q173" t="str">
        <f t="shared" si="68"/>
        <v xml:space="preserve"> DE PESQU</v>
      </c>
      <c r="R173" t="str">
        <f t="shared" si="61"/>
        <v xml:space="preserve">UISAS DE </v>
      </c>
      <c r="S173" t="str">
        <f t="shared" si="69"/>
        <v xml:space="preserve"> ENERGIA </v>
      </c>
      <c r="T173" t="str">
        <f t="shared" si="70"/>
        <v xml:space="preserve"> ELETRICA</v>
      </c>
      <c r="U173" t="str">
        <f t="shared" si="74"/>
        <v xml:space="preserve">A - PROGRAMA </v>
      </c>
      <c r="V173" t="str">
        <f t="shared" si="62"/>
        <v xml:space="preserve"> DE ANALI</v>
      </c>
      <c r="W173" t="str">
        <f t="shared" si="71"/>
        <v>ISE DE RE</v>
      </c>
      <c r="X173" t="str">
        <f t="shared" si="75"/>
        <v xml:space="preserve">EDES - </v>
      </c>
      <c r="Y173" t="str">
        <f t="shared" si="75"/>
        <v xml:space="preserve"> V11.06.02    </v>
      </c>
      <c r="Z173" t="str">
        <f t="shared" si="75"/>
        <v xml:space="preserve">    </v>
      </c>
      <c r="AA173" t="str">
        <f t="shared" si="63"/>
        <v xml:space="preserve">         </v>
      </c>
      <c r="AB173" t="str">
        <f t="shared" si="72"/>
        <v xml:space="preserve">         </v>
      </c>
      <c r="AC173" t="str">
        <f t="shared" si="73"/>
        <v xml:space="preserve">         </v>
      </c>
      <c r="AD173" t="str">
        <f t="shared" si="74"/>
        <v xml:space="preserve">   PAG. </v>
      </c>
      <c r="AE173" t="str">
        <f t="shared" si="64"/>
        <v xml:space="preserve">   2</v>
      </c>
      <c r="AF173" t="str">
        <f t="shared" si="76"/>
        <v/>
      </c>
      <c r="AG173" t="str">
        <f t="shared" si="76"/>
        <v/>
      </c>
      <c r="AH173" t="str">
        <f t="shared" si="65"/>
        <v/>
      </c>
      <c r="AI173" t="str">
        <f t="shared" si="66"/>
        <v/>
      </c>
      <c r="AJ173" t="str">
        <f t="shared" si="67"/>
        <v/>
      </c>
    </row>
    <row r="174" spans="1:36" x14ac:dyDescent="0.25">
      <c r="P174" t="str">
        <f t="shared" si="68"/>
        <v/>
      </c>
      <c r="Q174" t="str">
        <f t="shared" si="68"/>
        <v/>
      </c>
      <c r="R174" t="str">
        <f t="shared" si="61"/>
        <v/>
      </c>
      <c r="S174" t="str">
        <f t="shared" si="69"/>
        <v/>
      </c>
      <c r="T174" t="str">
        <f t="shared" si="70"/>
        <v/>
      </c>
      <c r="U174" t="str">
        <f t="shared" si="74"/>
        <v/>
      </c>
      <c r="V174" t="str">
        <f t="shared" si="62"/>
        <v/>
      </c>
      <c r="W174" t="str">
        <f t="shared" si="71"/>
        <v/>
      </c>
      <c r="X174" t="str">
        <f t="shared" si="75"/>
        <v/>
      </c>
      <c r="Y174" t="str">
        <f t="shared" si="75"/>
        <v/>
      </c>
      <c r="Z174" t="str">
        <f t="shared" si="75"/>
        <v/>
      </c>
      <c r="AA174" t="str">
        <f t="shared" si="63"/>
        <v/>
      </c>
      <c r="AB174" t="str">
        <f t="shared" si="72"/>
        <v/>
      </c>
      <c r="AC174" t="str">
        <f t="shared" si="73"/>
        <v/>
      </c>
      <c r="AD174" t="str">
        <f t="shared" si="74"/>
        <v/>
      </c>
      <c r="AE174" t="str">
        <f t="shared" si="64"/>
        <v/>
      </c>
      <c r="AF174" t="str">
        <f t="shared" si="76"/>
        <v/>
      </c>
      <c r="AG174" t="str">
        <f t="shared" si="76"/>
        <v/>
      </c>
      <c r="AH174" t="str">
        <f t="shared" si="65"/>
        <v/>
      </c>
      <c r="AI174" t="str">
        <f t="shared" si="66"/>
        <v/>
      </c>
      <c r="AJ174" t="str">
        <f t="shared" si="67"/>
        <v/>
      </c>
    </row>
    <row r="175" spans="1:36" x14ac:dyDescent="0.25">
      <c r="A175" t="s">
        <v>1</v>
      </c>
      <c r="P175" t="str">
        <f t="shared" si="68"/>
        <v xml:space="preserve"> PARPEL 23-27 * </v>
      </c>
      <c r="Q175" t="str">
        <f t="shared" si="68"/>
        <v xml:space="preserve"> MG-GODF </v>
      </c>
      <c r="R175" t="str">
        <f t="shared" si="61"/>
        <v xml:space="preserve"> * I27M *</v>
      </c>
      <c r="S175" t="str">
        <f t="shared" si="69"/>
        <v>* NEexp *</v>
      </c>
      <c r="T175" t="str">
        <f t="shared" si="70"/>
        <v>* NESE 88</v>
      </c>
      <c r="U175" t="str">
        <f t="shared" si="74"/>
        <v>800 UFVMG 90%</v>
      </c>
      <c r="V175" t="str">
        <f t="shared" si="62"/>
        <v>% * UFVAl</v>
      </c>
      <c r="W175" t="str">
        <f t="shared" si="71"/>
        <v>lves120MW</v>
      </c>
      <c r="X175" t="str">
        <f t="shared" si="75"/>
        <v xml:space="preserve">W     </v>
      </c>
      <c r="Y175" t="str">
        <f t="shared" si="75"/>
        <v/>
      </c>
      <c r="Z175" t="str">
        <f t="shared" si="75"/>
        <v/>
      </c>
      <c r="AA175" t="str">
        <f t="shared" si="63"/>
        <v/>
      </c>
      <c r="AB175" t="str">
        <f t="shared" si="72"/>
        <v/>
      </c>
      <c r="AC175" t="str">
        <f t="shared" si="73"/>
        <v/>
      </c>
      <c r="AD175" t="str">
        <f t="shared" si="74"/>
        <v/>
      </c>
      <c r="AE175" t="str">
        <f t="shared" si="64"/>
        <v/>
      </c>
      <c r="AF175" t="str">
        <f t="shared" si="76"/>
        <v/>
      </c>
      <c r="AG175" t="str">
        <f t="shared" si="76"/>
        <v/>
      </c>
      <c r="AH175" t="str">
        <f t="shared" si="65"/>
        <v/>
      </c>
      <c r="AI175" t="str">
        <f t="shared" si="66"/>
        <v/>
      </c>
      <c r="AJ175" t="str">
        <f t="shared" si="67"/>
        <v/>
      </c>
    </row>
    <row r="176" spans="1:36" x14ac:dyDescent="0.25">
      <c r="A176" t="s">
        <v>2</v>
      </c>
      <c r="P176" t="str">
        <f t="shared" si="68"/>
        <v xml:space="preserve"> RELATORIO COMPL</v>
      </c>
      <c r="Q176" t="str">
        <f t="shared" si="68"/>
        <v>LETO DO S</v>
      </c>
      <c r="R176" t="str">
        <f t="shared" si="61"/>
        <v>SISTEMA *</v>
      </c>
      <c r="S176" t="str">
        <f t="shared" si="69"/>
        <v xml:space="preserve">* AREA   </v>
      </c>
      <c r="T176" t="str">
        <f t="shared" si="70"/>
        <v xml:space="preserve"> 3 * RS -</v>
      </c>
      <c r="U176" t="str">
        <f t="shared" si="74"/>
        <v xml:space="preserve">- DIT/DIST   </v>
      </c>
      <c r="V176" t="str">
        <f t="shared" si="62"/>
        <v xml:space="preserve">         </v>
      </c>
      <c r="W176" t="str">
        <f t="shared" si="71"/>
        <v xml:space="preserve">         </v>
      </c>
      <c r="X176" t="str">
        <f t="shared" si="75"/>
        <v xml:space="preserve">     </v>
      </c>
      <c r="Y176" t="str">
        <f t="shared" si="75"/>
        <v/>
      </c>
      <c r="Z176" t="str">
        <f t="shared" si="75"/>
        <v/>
      </c>
      <c r="AA176" t="str">
        <f t="shared" si="63"/>
        <v/>
      </c>
      <c r="AB176" t="str">
        <f t="shared" si="72"/>
        <v/>
      </c>
      <c r="AC176" t="str">
        <f t="shared" si="73"/>
        <v/>
      </c>
      <c r="AD176" t="str">
        <f t="shared" si="74"/>
        <v/>
      </c>
      <c r="AE176" t="str">
        <f t="shared" si="64"/>
        <v/>
      </c>
      <c r="AF176" t="str">
        <f t="shared" si="76"/>
        <v/>
      </c>
      <c r="AG176" t="str">
        <f t="shared" si="76"/>
        <v/>
      </c>
      <c r="AH176" t="str">
        <f t="shared" si="65"/>
        <v/>
      </c>
      <c r="AI176" t="str">
        <f t="shared" si="66"/>
        <v/>
      </c>
      <c r="AJ176" t="str">
        <f t="shared" si="67"/>
        <v/>
      </c>
    </row>
    <row r="177" spans="1:40" x14ac:dyDescent="0.25">
      <c r="P177" t="str">
        <f t="shared" si="68"/>
        <v/>
      </c>
      <c r="Q177" t="str">
        <f t="shared" si="68"/>
        <v/>
      </c>
      <c r="R177" t="str">
        <f t="shared" si="61"/>
        <v/>
      </c>
      <c r="S177" t="str">
        <f t="shared" si="69"/>
        <v/>
      </c>
      <c r="T177" t="str">
        <f t="shared" si="70"/>
        <v/>
      </c>
      <c r="U177" t="str">
        <f t="shared" si="74"/>
        <v/>
      </c>
      <c r="V177" t="str">
        <f t="shared" si="62"/>
        <v/>
      </c>
      <c r="W177" t="str">
        <f t="shared" si="71"/>
        <v/>
      </c>
      <c r="X177" t="str">
        <f t="shared" si="75"/>
        <v/>
      </c>
      <c r="Y177" t="str">
        <f t="shared" si="75"/>
        <v/>
      </c>
      <c r="Z177" t="str">
        <f t="shared" si="75"/>
        <v/>
      </c>
      <c r="AA177" t="str">
        <f t="shared" si="63"/>
        <v/>
      </c>
      <c r="AB177" t="str">
        <f t="shared" si="72"/>
        <v/>
      </c>
      <c r="AC177" t="str">
        <f t="shared" si="73"/>
        <v/>
      </c>
      <c r="AD177" t="str">
        <f t="shared" si="74"/>
        <v/>
      </c>
      <c r="AE177" t="str">
        <f t="shared" si="64"/>
        <v/>
      </c>
      <c r="AF177" t="str">
        <f t="shared" si="76"/>
        <v/>
      </c>
      <c r="AG177" t="str">
        <f t="shared" si="76"/>
        <v/>
      </c>
      <c r="AH177" t="str">
        <f t="shared" si="65"/>
        <v/>
      </c>
      <c r="AI177" t="str">
        <f t="shared" si="66"/>
        <v/>
      </c>
      <c r="AJ177" t="str">
        <f t="shared" si="67"/>
        <v/>
      </c>
    </row>
    <row r="178" spans="1:40" x14ac:dyDescent="0.25">
      <c r="A178" t="s">
        <v>3</v>
      </c>
      <c r="P178" t="str">
        <f t="shared" si="68"/>
        <v xml:space="preserve"> X--------------</v>
      </c>
      <c r="Q178" t="str">
        <f t="shared" si="68"/>
        <v xml:space="preserve">-------- </v>
      </c>
      <c r="R178" t="str">
        <f t="shared" si="61"/>
        <v xml:space="preserve"> D A D O </v>
      </c>
      <c r="S178" t="str">
        <f t="shared" si="69"/>
        <v xml:space="preserve"> S  -  B </v>
      </c>
      <c r="T178" t="str">
        <f t="shared" si="70"/>
        <v xml:space="preserve"> A R R A </v>
      </c>
      <c r="U178" t="str">
        <f t="shared" si="74"/>
        <v xml:space="preserve"> ------------</v>
      </c>
      <c r="V178" t="str">
        <f t="shared" si="62"/>
        <v>---------</v>
      </c>
      <c r="W178" t="str">
        <f t="shared" si="71"/>
        <v>--------X</v>
      </c>
      <c r="X178" t="str">
        <f t="shared" si="75"/>
        <v>X------</v>
      </c>
      <c r="Y178" t="str">
        <f t="shared" si="75"/>
        <v>-------- F L U</v>
      </c>
      <c r="Z178" t="str">
        <f t="shared" si="75"/>
        <v xml:space="preserve">U X </v>
      </c>
      <c r="AA178" t="str">
        <f t="shared" si="63"/>
        <v xml:space="preserve"> O S  -  </v>
      </c>
      <c r="AB178" t="str">
        <f t="shared" si="72"/>
        <v xml:space="preserve"> C I R C </v>
      </c>
      <c r="AC178" t="str">
        <f t="shared" si="73"/>
        <v xml:space="preserve"> U I T O </v>
      </c>
      <c r="AD178" t="str">
        <f t="shared" si="74"/>
        <v xml:space="preserve"> S -----</v>
      </c>
      <c r="AE178" t="str">
        <f t="shared" si="64"/>
        <v>-------</v>
      </c>
      <c r="AF178" t="str">
        <f t="shared" si="76"/>
        <v>----X</v>
      </c>
      <c r="AG178" t="str">
        <f t="shared" si="76"/>
        <v>X--------X</v>
      </c>
      <c r="AH178" t="str">
        <f t="shared" si="65"/>
        <v>X--------X</v>
      </c>
      <c r="AI178" t="str">
        <f t="shared" si="66"/>
        <v>X------</v>
      </c>
      <c r="AJ178" t="str">
        <f t="shared" si="67"/>
        <v>------X</v>
      </c>
    </row>
    <row r="179" spans="1:40" x14ac:dyDescent="0.25">
      <c r="A179" t="s">
        <v>4</v>
      </c>
      <c r="P179" t="str">
        <f t="shared" si="68"/>
        <v xml:space="preserve">  DA BARRA      </v>
      </c>
      <c r="Q179" t="str">
        <f t="shared" si="68"/>
        <v xml:space="preserve">  TENSAO </v>
      </c>
      <c r="R179" t="str">
        <f t="shared" si="61"/>
        <v xml:space="preserve"> GERACAO </v>
      </c>
      <c r="S179" t="str">
        <f t="shared" si="69"/>
        <v xml:space="preserve"> INJ EQV </v>
      </c>
      <c r="T179" t="str">
        <f t="shared" si="70"/>
        <v xml:space="preserve">  CARGA  </v>
      </c>
      <c r="U179" t="str">
        <f t="shared" si="74"/>
        <v xml:space="preserve">  ELO CC  SHU</v>
      </c>
      <c r="V179" t="str">
        <f t="shared" si="62"/>
        <v>UNT    MO</v>
      </c>
      <c r="W179" t="str">
        <f t="shared" si="71"/>
        <v xml:space="preserve">OTOR     </v>
      </c>
      <c r="X179" t="str">
        <f t="shared" si="75"/>
        <v xml:space="preserve">       </v>
      </c>
      <c r="Y179" t="str">
        <f t="shared" si="75"/>
        <v xml:space="preserve">              </v>
      </c>
      <c r="Z179" t="str">
        <f t="shared" si="75"/>
        <v xml:space="preserve">    </v>
      </c>
      <c r="AA179" t="str">
        <f t="shared" si="63"/>
        <v xml:space="preserve">         </v>
      </c>
      <c r="AB179" t="str">
        <f t="shared" si="72"/>
        <v xml:space="preserve">         </v>
      </c>
      <c r="AC179" t="str">
        <f t="shared" si="73"/>
        <v xml:space="preserve">         </v>
      </c>
      <c r="AD179" t="str">
        <f t="shared" si="74"/>
        <v xml:space="preserve">        </v>
      </c>
      <c r="AE179" t="str">
        <f t="shared" si="64"/>
        <v xml:space="preserve">       </v>
      </c>
      <c r="AF179" t="str">
        <f t="shared" si="76"/>
        <v xml:space="preserve">     </v>
      </c>
      <c r="AG179" t="str">
        <f t="shared" si="76"/>
        <v xml:space="preserve">          </v>
      </c>
      <c r="AH179" t="str">
        <f t="shared" si="65"/>
        <v xml:space="preserve">          </v>
      </c>
      <c r="AI179" t="str">
        <f t="shared" si="66"/>
        <v xml:space="preserve">       </v>
      </c>
      <c r="AJ179" t="str">
        <f t="shared" si="67"/>
        <v xml:space="preserve">   </v>
      </c>
    </row>
    <row r="180" spans="1:40" x14ac:dyDescent="0.25">
      <c r="A180" t="s">
        <v>5</v>
      </c>
      <c r="P180" t="str">
        <f t="shared" si="68"/>
        <v xml:space="preserve">  NUM.  KV TIPO </v>
      </c>
      <c r="Q180" t="str">
        <f t="shared" si="68"/>
        <v xml:space="preserve">   MOD/  </v>
      </c>
      <c r="R180" t="str">
        <f t="shared" si="61"/>
        <v xml:space="preserve">    MW/  </v>
      </c>
      <c r="S180" t="str">
        <f t="shared" si="69"/>
        <v xml:space="preserve">    MW/  </v>
      </c>
      <c r="T180" t="str">
        <f t="shared" si="70"/>
        <v xml:space="preserve">    MW/  </v>
      </c>
      <c r="U180" t="str">
        <f t="shared" si="74"/>
        <v xml:space="preserve">    MW/   Mva</v>
      </c>
      <c r="V180" t="str">
        <f t="shared" si="62"/>
        <v>ar/     M</v>
      </c>
      <c r="W180" t="str">
        <f t="shared" si="71"/>
        <v xml:space="preserve">MW/      </v>
      </c>
      <c r="X180" t="str">
        <f t="shared" si="75"/>
        <v xml:space="preserve">       </v>
      </c>
      <c r="Y180" t="str">
        <f t="shared" si="75"/>
        <v xml:space="preserve">              </v>
      </c>
      <c r="Z180" t="str">
        <f t="shared" si="75"/>
        <v xml:space="preserve">    </v>
      </c>
      <c r="AA180" t="str">
        <f t="shared" si="63"/>
        <v xml:space="preserve">         </v>
      </c>
      <c r="AB180" t="str">
        <f t="shared" si="72"/>
        <v xml:space="preserve">         </v>
      </c>
      <c r="AC180" t="str">
        <f t="shared" si="73"/>
        <v xml:space="preserve">         </v>
      </c>
      <c r="AD180" t="str">
        <f t="shared" si="74"/>
        <v xml:space="preserve">        </v>
      </c>
      <c r="AE180" t="str">
        <f t="shared" si="64"/>
        <v xml:space="preserve">       </v>
      </c>
      <c r="AF180" t="str">
        <f t="shared" si="76"/>
        <v xml:space="preserve">    P</v>
      </c>
      <c r="AG180" t="str">
        <f t="shared" si="76"/>
        <v xml:space="preserve">P E R D A </v>
      </c>
      <c r="AH180" t="str">
        <f t="shared" si="65"/>
        <v xml:space="preserve"> S       T</v>
      </c>
      <c r="AI180" t="str">
        <f t="shared" si="66"/>
        <v xml:space="preserve">TENSAO </v>
      </c>
      <c r="AJ180" t="str">
        <f t="shared" si="67"/>
        <v xml:space="preserve">   </v>
      </c>
    </row>
    <row r="181" spans="1:40" x14ac:dyDescent="0.25">
      <c r="A181" t="s">
        <v>6</v>
      </c>
      <c r="P181" t="str">
        <f t="shared" si="68"/>
        <v xml:space="preserve">       NOME     </v>
      </c>
      <c r="Q181" t="str">
        <f t="shared" si="68"/>
        <v xml:space="preserve">   ANG   </v>
      </c>
      <c r="R181" t="str">
        <f t="shared" si="61"/>
        <v xml:space="preserve">   Mvar  </v>
      </c>
      <c r="S181" t="str">
        <f t="shared" si="69"/>
        <v xml:space="preserve">   Mvar  </v>
      </c>
      <c r="T181" t="str">
        <f t="shared" si="70"/>
        <v xml:space="preserve">   Mvar  </v>
      </c>
      <c r="U181" t="str">
        <f t="shared" si="74"/>
        <v xml:space="preserve">   Mvar   EQU</v>
      </c>
      <c r="V181" t="str">
        <f t="shared" si="62"/>
        <v>UIV    Mv</v>
      </c>
      <c r="W181" t="str">
        <f t="shared" si="71"/>
        <v>var  PARA</v>
      </c>
      <c r="X181" t="str">
        <f t="shared" si="75"/>
        <v>A BARRA</v>
      </c>
      <c r="Y181" t="str">
        <f t="shared" si="75"/>
        <v xml:space="preserve">A             </v>
      </c>
      <c r="Z181" t="str">
        <f t="shared" si="75"/>
        <v xml:space="preserve">    </v>
      </c>
      <c r="AA181" t="str">
        <f t="shared" si="63"/>
        <v xml:space="preserve">      FLU</v>
      </c>
      <c r="AB181" t="str">
        <f t="shared" si="72"/>
        <v xml:space="preserve">UXOS     </v>
      </c>
      <c r="AC181" t="str">
        <f t="shared" si="73"/>
        <v xml:space="preserve">         </v>
      </c>
      <c r="AD181" t="str">
        <f t="shared" si="74"/>
        <v xml:space="preserve">        </v>
      </c>
      <c r="AE181" t="str">
        <f t="shared" si="64"/>
        <v xml:space="preserve">       </v>
      </c>
      <c r="AF181" t="str">
        <f t="shared" si="76"/>
        <v xml:space="preserve">  ATI</v>
      </c>
      <c r="AG181" t="str">
        <f t="shared" si="76"/>
        <v>IVA   REAT</v>
      </c>
      <c r="AH181" t="str">
        <f t="shared" si="65"/>
        <v>TIVA  CIR.</v>
      </c>
      <c r="AI181" t="str">
        <f t="shared" si="66"/>
        <v>. ABERT</v>
      </c>
      <c r="AJ181" t="str">
        <f t="shared" si="67"/>
        <v xml:space="preserve">TO </v>
      </c>
    </row>
    <row r="182" spans="1:40" x14ac:dyDescent="0.25">
      <c r="A182" t="s">
        <v>7</v>
      </c>
      <c r="P182" t="str">
        <f t="shared" si="68"/>
        <v xml:space="preserve">                </v>
      </c>
      <c r="Q182" t="str">
        <f t="shared" si="68"/>
        <v xml:space="preserve">         </v>
      </c>
      <c r="R182" t="str">
        <f t="shared" si="61"/>
        <v xml:space="preserve"> MVA_NOM </v>
      </c>
      <c r="S182" t="str">
        <f t="shared" si="69"/>
        <v xml:space="preserve"> MVA_EMR </v>
      </c>
      <c r="T182" t="str">
        <f t="shared" si="70"/>
        <v xml:space="preserve"> MVA_EQP </v>
      </c>
      <c r="U182" t="str">
        <f t="shared" si="74"/>
        <v xml:space="preserve">   FLUXO %   </v>
      </c>
      <c r="V182" t="str">
        <f t="shared" si="62"/>
        <v xml:space="preserve"> SHUNT L </v>
      </c>
      <c r="W182" t="str">
        <f t="shared" si="71"/>
        <v xml:space="preserve">         </v>
      </c>
      <c r="X182" t="str">
        <f t="shared" si="75"/>
        <v xml:space="preserve"> NUM.  </v>
      </c>
      <c r="Y182" t="str">
        <f t="shared" si="75"/>
        <v xml:space="preserve">     NOME     </v>
      </c>
      <c r="Z182" t="str">
        <f t="shared" si="75"/>
        <v xml:space="preserve"> NC </v>
      </c>
      <c r="AA182" t="str">
        <f t="shared" si="63"/>
        <v xml:space="preserve">    MW   </v>
      </c>
      <c r="AB182" t="str">
        <f t="shared" si="72"/>
        <v xml:space="preserve">   Mvar  </v>
      </c>
      <c r="AC182" t="str">
        <f t="shared" si="73"/>
        <v xml:space="preserve"> MVA/V_d </v>
      </c>
      <c r="AD182" t="str">
        <f t="shared" si="74"/>
        <v xml:space="preserve">   TAP  </v>
      </c>
      <c r="AE182" t="str">
        <f t="shared" si="64"/>
        <v xml:space="preserve"> DEFAS </v>
      </c>
      <c r="AF182" t="str">
        <f t="shared" si="76"/>
        <v xml:space="preserve"> TIE </v>
      </c>
      <c r="AG182" t="str">
        <f t="shared" si="76"/>
        <v xml:space="preserve">    MW    </v>
      </c>
      <c r="AH182" t="str">
        <f t="shared" si="65"/>
        <v xml:space="preserve">   Mvar   </v>
      </c>
      <c r="AI182" t="str">
        <f t="shared" si="66"/>
        <v xml:space="preserve">  MOD  </v>
      </c>
      <c r="AJ182" t="str">
        <f t="shared" si="67"/>
        <v xml:space="preserve">  ANG  </v>
      </c>
    </row>
    <row r="183" spans="1:40" x14ac:dyDescent="0.25">
      <c r="A183" t="s">
        <v>8</v>
      </c>
      <c r="P183" t="str">
        <f t="shared" si="68"/>
        <v xml:space="preserve"> X-------------X</v>
      </c>
      <c r="Q183" t="str">
        <f t="shared" si="68"/>
        <v>X-------X</v>
      </c>
      <c r="R183" t="str">
        <f t="shared" si="61"/>
        <v>X-------X</v>
      </c>
      <c r="S183" t="str">
        <f t="shared" si="69"/>
        <v>X-------X</v>
      </c>
      <c r="T183" t="str">
        <f t="shared" si="70"/>
        <v>X-------X</v>
      </c>
      <c r="U183" t="str">
        <f t="shared" si="74"/>
        <v>X-----------X</v>
      </c>
      <c r="V183" t="str">
        <f t="shared" si="62"/>
        <v>X-------X</v>
      </c>
      <c r="W183" t="str">
        <f t="shared" si="71"/>
        <v>X-------X</v>
      </c>
      <c r="X183" t="str">
        <f t="shared" si="75"/>
        <v>X-----X</v>
      </c>
      <c r="Y183" t="str">
        <f t="shared" si="75"/>
        <v>X------------X</v>
      </c>
      <c r="Z183" t="str">
        <f t="shared" si="75"/>
        <v>X--X</v>
      </c>
      <c r="AA183" t="str">
        <f t="shared" si="63"/>
        <v>X-------X</v>
      </c>
      <c r="AB183" t="str">
        <f t="shared" si="72"/>
        <v>X-------X</v>
      </c>
      <c r="AC183" t="str">
        <f t="shared" si="73"/>
        <v>X-------X</v>
      </c>
      <c r="AD183" t="str">
        <f t="shared" si="74"/>
        <v>X------X</v>
      </c>
      <c r="AE183" t="str">
        <f t="shared" si="64"/>
        <v>X-----X</v>
      </c>
      <c r="AF183" t="str">
        <f t="shared" si="76"/>
        <v>X---X</v>
      </c>
      <c r="AG183" t="str">
        <f t="shared" si="76"/>
        <v>X--------X</v>
      </c>
      <c r="AH183" t="str">
        <f t="shared" si="65"/>
        <v>X--------X</v>
      </c>
      <c r="AI183" t="str">
        <f t="shared" si="66"/>
        <v>X-----X</v>
      </c>
      <c r="AJ183" t="str">
        <f t="shared" si="67"/>
        <v>X-----X</v>
      </c>
    </row>
    <row r="184" spans="1:40" x14ac:dyDescent="0.25">
      <c r="P184" t="str">
        <f t="shared" si="68"/>
        <v/>
      </c>
      <c r="Q184" t="str">
        <f t="shared" si="68"/>
        <v/>
      </c>
      <c r="R184" t="str">
        <f t="shared" si="61"/>
        <v/>
      </c>
      <c r="S184" t="str">
        <f t="shared" si="69"/>
        <v/>
      </c>
      <c r="T184" t="str">
        <f t="shared" si="70"/>
        <v/>
      </c>
      <c r="U184" t="str">
        <f t="shared" si="74"/>
        <v/>
      </c>
      <c r="V184" t="str">
        <f t="shared" si="62"/>
        <v/>
      </c>
      <c r="W184" t="str">
        <f t="shared" si="71"/>
        <v/>
      </c>
      <c r="X184" t="str">
        <f t="shared" si="75"/>
        <v/>
      </c>
      <c r="Y184" t="str">
        <f t="shared" si="75"/>
        <v/>
      </c>
      <c r="Z184" t="str">
        <f t="shared" si="75"/>
        <v/>
      </c>
      <c r="AA184" t="str">
        <f t="shared" si="63"/>
        <v/>
      </c>
      <c r="AB184" t="str">
        <f t="shared" si="72"/>
        <v/>
      </c>
      <c r="AC184" t="str">
        <f t="shared" si="73"/>
        <v/>
      </c>
      <c r="AD184" t="str">
        <f t="shared" si="74"/>
        <v/>
      </c>
      <c r="AE184" t="str">
        <f t="shared" si="64"/>
        <v/>
      </c>
      <c r="AF184" t="str">
        <f t="shared" si="76"/>
        <v/>
      </c>
      <c r="AG184" t="str">
        <f t="shared" si="76"/>
        <v/>
      </c>
      <c r="AH184" t="str">
        <f t="shared" si="65"/>
        <v/>
      </c>
      <c r="AI184" t="str">
        <f t="shared" si="66"/>
        <v/>
      </c>
      <c r="AJ184" t="str">
        <f t="shared" si="67"/>
        <v/>
      </c>
      <c r="AK184" t="str">
        <f>$P$186</f>
        <v xml:space="preserve">  NPRAT2-RS069  </v>
      </c>
      <c r="AL184" t="str">
        <f>$Q$185</f>
        <v xml:space="preserve">   1.020 </v>
      </c>
      <c r="AM184" t="str">
        <f>$P$186&amp;"-"&amp;Y187</f>
        <v xml:space="preserve">  NPRAT2-RS069  - NPR2P2PCH069 </v>
      </c>
      <c r="AN184" t="str">
        <f>U187</f>
        <v xml:space="preserve">       37.9% </v>
      </c>
    </row>
    <row r="185" spans="1:40" x14ac:dyDescent="0.25">
      <c r="A185" t="s">
        <v>145</v>
      </c>
      <c r="P185" t="str">
        <f t="shared" si="68"/>
        <v xml:space="preserve">   1226   69  0 </v>
      </c>
      <c r="Q185" t="str">
        <f t="shared" si="68"/>
        <v xml:space="preserve">   1.020 </v>
      </c>
      <c r="R185" t="str">
        <f t="shared" si="61"/>
        <v xml:space="preserve">    26.5 </v>
      </c>
      <c r="S185" t="str">
        <f t="shared" si="69"/>
        <v xml:space="preserve">     0.0 </v>
      </c>
      <c r="T185" t="str">
        <f t="shared" si="70"/>
        <v xml:space="preserve">   104.1 </v>
      </c>
      <c r="U185" t="str">
        <f t="shared" si="74"/>
        <v xml:space="preserve">         0.0 </v>
      </c>
      <c r="V185" t="str">
        <f t="shared" si="62"/>
        <v xml:space="preserve">    18.7 </v>
      </c>
      <c r="W185" t="str">
        <f t="shared" si="71"/>
        <v xml:space="preserve">     0.0</v>
      </c>
      <c r="X185" t="str">
        <f t="shared" si="75"/>
        <v/>
      </c>
      <c r="Y185" t="str">
        <f t="shared" si="75"/>
        <v/>
      </c>
      <c r="Z185" t="str">
        <f t="shared" si="75"/>
        <v/>
      </c>
      <c r="AA185" t="str">
        <f t="shared" si="63"/>
        <v/>
      </c>
      <c r="AB185" t="str">
        <f t="shared" si="72"/>
        <v/>
      </c>
      <c r="AC185" t="str">
        <f t="shared" si="73"/>
        <v/>
      </c>
      <c r="AD185" t="str">
        <f t="shared" si="74"/>
        <v/>
      </c>
      <c r="AE185" t="str">
        <f t="shared" si="64"/>
        <v/>
      </c>
      <c r="AF185" t="str">
        <f t="shared" si="76"/>
        <v/>
      </c>
      <c r="AG185" t="str">
        <f t="shared" si="76"/>
        <v/>
      </c>
      <c r="AH185" t="str">
        <f t="shared" si="65"/>
        <v/>
      </c>
      <c r="AI185" t="str">
        <f t="shared" si="66"/>
        <v/>
      </c>
      <c r="AJ185" t="str">
        <f t="shared" si="67"/>
        <v/>
      </c>
      <c r="AK185" t="str">
        <f t="shared" ref="AK185:AK187" si="77">$P$186</f>
        <v xml:space="preserve">  NPRAT2-RS069  </v>
      </c>
      <c r="AL185" t="str">
        <f t="shared" ref="AL185:AL187" si="78">$Q$185</f>
        <v xml:space="preserve">   1.020 </v>
      </c>
      <c r="AM185" t="str">
        <f t="shared" ref="AM185:AM187" si="79">$P$186&amp;"-"&amp;Y188</f>
        <v xml:space="preserve">  NPRAT2-RS069  - NPR2P1PCH069 </v>
      </c>
      <c r="AN185" t="str">
        <f t="shared" ref="AN185:AN187" si="80">U188</f>
        <v xml:space="preserve">       37.3% </v>
      </c>
    </row>
    <row r="186" spans="1:40" x14ac:dyDescent="0.25">
      <c r="A186" t="s">
        <v>146</v>
      </c>
      <c r="P186" t="str">
        <f t="shared" si="68"/>
        <v xml:space="preserve">  NPRAT2-RS069  </v>
      </c>
      <c r="Q186" t="str">
        <f t="shared" si="68"/>
        <v xml:space="preserve">   -48.0 </v>
      </c>
      <c r="R186" t="str">
        <f t="shared" si="61"/>
        <v xml:space="preserve">     0.0 </v>
      </c>
      <c r="S186" t="str">
        <f t="shared" si="69"/>
        <v xml:space="preserve">     0.0 </v>
      </c>
      <c r="T186" t="str">
        <f t="shared" si="70"/>
        <v xml:space="preserve">    42.6 </v>
      </c>
      <c r="U186" t="str">
        <f t="shared" si="74"/>
        <v xml:space="preserve">         0.0 </v>
      </c>
      <c r="V186" t="str">
        <f t="shared" si="62"/>
        <v xml:space="preserve">     0.0 </v>
      </c>
      <c r="W186" t="str">
        <f t="shared" si="71"/>
        <v xml:space="preserve">     0.0 </v>
      </c>
      <c r="X186" t="str">
        <f t="shared" si="75"/>
        <v xml:space="preserve">       </v>
      </c>
      <c r="Y186" t="str">
        <f t="shared" si="75"/>
        <v xml:space="preserve">              </v>
      </c>
      <c r="Z186" t="str">
        <f t="shared" si="75"/>
        <v xml:space="preserve">    </v>
      </c>
      <c r="AA186" t="str">
        <f t="shared" si="63"/>
        <v xml:space="preserve">         </v>
      </c>
      <c r="AB186" t="str">
        <f t="shared" si="72"/>
        <v xml:space="preserve">         </v>
      </c>
      <c r="AC186" t="str">
        <f t="shared" si="73"/>
        <v xml:space="preserve">    </v>
      </c>
      <c r="AD186" t="str">
        <f t="shared" si="74"/>
        <v/>
      </c>
      <c r="AE186" t="str">
        <f t="shared" si="64"/>
        <v/>
      </c>
      <c r="AF186" t="str">
        <f t="shared" si="76"/>
        <v/>
      </c>
      <c r="AG186" t="str">
        <f t="shared" si="76"/>
        <v/>
      </c>
      <c r="AH186" t="str">
        <f t="shared" si="65"/>
        <v/>
      </c>
      <c r="AI186" t="str">
        <f t="shared" si="66"/>
        <v/>
      </c>
      <c r="AJ186" t="str">
        <f t="shared" si="67"/>
        <v/>
      </c>
      <c r="AK186" t="str">
        <f t="shared" si="77"/>
        <v xml:space="preserve">  NPRAT2-RS069  </v>
      </c>
      <c r="AL186" t="str">
        <f t="shared" si="78"/>
        <v xml:space="preserve">   1.020 </v>
      </c>
      <c r="AM186" t="str">
        <f t="shared" si="79"/>
        <v xml:space="preserve">  NPRAT2-RS069  - NPR2-1-RS000 </v>
      </c>
      <c r="AN186" t="str">
        <f t="shared" si="80"/>
        <v xml:space="preserve">        9.0% </v>
      </c>
    </row>
    <row r="187" spans="1:40" x14ac:dyDescent="0.25">
      <c r="A187" t="s">
        <v>147</v>
      </c>
      <c r="P187" t="str">
        <f t="shared" si="68"/>
        <v xml:space="preserve">                </v>
      </c>
      <c r="Q187" t="str">
        <f t="shared" si="68"/>
        <v xml:space="preserve">         </v>
      </c>
      <c r="R187" t="str">
        <f t="shared" si="61"/>
        <v xml:space="preserve">    84.0 </v>
      </c>
      <c r="S187" t="str">
        <f t="shared" si="69"/>
        <v xml:space="preserve">    84.0 </v>
      </c>
      <c r="T187" t="str">
        <f t="shared" si="70"/>
        <v xml:space="preserve">    84.0 </v>
      </c>
      <c r="U187" t="str">
        <f t="shared" si="74"/>
        <v xml:space="preserve">       37.9% </v>
      </c>
      <c r="V187" t="str">
        <f t="shared" si="62"/>
        <v xml:space="preserve">         </v>
      </c>
      <c r="W187" t="str">
        <f t="shared" si="71"/>
        <v xml:space="preserve">         </v>
      </c>
      <c r="X187" t="str">
        <f t="shared" si="75"/>
        <v xml:space="preserve">  1316 </v>
      </c>
      <c r="Y187" t="str">
        <f t="shared" si="75"/>
        <v xml:space="preserve"> NPR2P2PCH069 </v>
      </c>
      <c r="Z187" t="str">
        <f t="shared" si="75"/>
        <v xml:space="preserve">  1 </v>
      </c>
      <c r="AA187" t="str">
        <f t="shared" si="63"/>
        <v xml:space="preserve">   -32.4 </v>
      </c>
      <c r="AB187" t="str">
        <f t="shared" si="72"/>
        <v xml:space="preserve">     1.8 </v>
      </c>
      <c r="AC187" t="str">
        <f t="shared" si="73"/>
        <v xml:space="preserve">    31.8 </v>
      </c>
      <c r="AD187" t="str">
        <f t="shared" si="74"/>
        <v xml:space="preserve">        </v>
      </c>
      <c r="AE187" t="str">
        <f t="shared" si="64"/>
        <v xml:space="preserve">       </v>
      </c>
      <c r="AF187" t="str">
        <f t="shared" si="76"/>
        <v xml:space="preserve">     </v>
      </c>
      <c r="AG187" t="str">
        <f t="shared" si="76"/>
        <v xml:space="preserve">     0.57 </v>
      </c>
      <c r="AH187" t="str">
        <f t="shared" si="65"/>
        <v xml:space="preserve">     1.79 </v>
      </c>
      <c r="AI187" t="str">
        <f t="shared" si="66"/>
        <v xml:space="preserve">       </v>
      </c>
      <c r="AJ187" t="str">
        <f t="shared" si="67"/>
        <v xml:space="preserve">      </v>
      </c>
      <c r="AK187" t="str">
        <f t="shared" si="77"/>
        <v xml:space="preserve">  NPRAT2-RS069  </v>
      </c>
      <c r="AL187" t="str">
        <f t="shared" si="78"/>
        <v xml:space="preserve">   1.020 </v>
      </c>
      <c r="AM187" t="str">
        <f t="shared" si="79"/>
        <v xml:space="preserve">  NPRAT2-RS069  - NPR2-2-RS000 </v>
      </c>
      <c r="AN187" t="str">
        <f t="shared" si="80"/>
        <v xml:space="preserve">        9.0% </v>
      </c>
    </row>
    <row r="188" spans="1:40" x14ac:dyDescent="0.25">
      <c r="A188" t="s">
        <v>148</v>
      </c>
      <c r="P188" t="str">
        <f t="shared" si="68"/>
        <v xml:space="preserve">                </v>
      </c>
      <c r="Q188" t="str">
        <f t="shared" si="68"/>
        <v xml:space="preserve">         </v>
      </c>
      <c r="R188" t="str">
        <f t="shared" si="61"/>
        <v xml:space="preserve">    84.0 </v>
      </c>
      <c r="S188" t="str">
        <f t="shared" si="69"/>
        <v xml:space="preserve">    84.0 </v>
      </c>
      <c r="T188" t="str">
        <f t="shared" si="70"/>
        <v xml:space="preserve">    84.0 </v>
      </c>
      <c r="U188" t="str">
        <f t="shared" si="74"/>
        <v xml:space="preserve">       37.3% </v>
      </c>
      <c r="V188" t="str">
        <f t="shared" si="62"/>
        <v xml:space="preserve">         </v>
      </c>
      <c r="W188" t="str">
        <f t="shared" si="71"/>
        <v xml:space="preserve">         </v>
      </c>
      <c r="X188" t="str">
        <f t="shared" si="75"/>
        <v xml:space="preserve">  1317 </v>
      </c>
      <c r="Y188" t="str">
        <f t="shared" si="75"/>
        <v xml:space="preserve"> NPR2P1PCH069 </v>
      </c>
      <c r="Z188" t="str">
        <f t="shared" si="75"/>
        <v xml:space="preserve">  1 </v>
      </c>
      <c r="AA188" t="str">
        <f t="shared" si="63"/>
        <v xml:space="preserve">   -31.9 </v>
      </c>
      <c r="AB188" t="str">
        <f t="shared" si="72"/>
        <v xml:space="preserve">     1.6 </v>
      </c>
      <c r="AC188" t="str">
        <f t="shared" si="73"/>
        <v xml:space="preserve">    31.3 </v>
      </c>
      <c r="AD188" t="str">
        <f t="shared" si="74"/>
        <v xml:space="preserve">        </v>
      </c>
      <c r="AE188" t="str">
        <f t="shared" si="64"/>
        <v xml:space="preserve">       </v>
      </c>
      <c r="AF188" t="str">
        <f t="shared" si="76"/>
        <v xml:space="preserve">     </v>
      </c>
      <c r="AG188" t="str">
        <f t="shared" si="76"/>
        <v xml:space="preserve">     0.50 </v>
      </c>
      <c r="AH188" t="str">
        <f t="shared" si="65"/>
        <v xml:space="preserve">     1.55 </v>
      </c>
      <c r="AI188" t="str">
        <f t="shared" si="66"/>
        <v xml:space="preserve">       </v>
      </c>
      <c r="AJ188" t="str">
        <f t="shared" si="67"/>
        <v xml:space="preserve">      </v>
      </c>
    </row>
    <row r="189" spans="1:40" x14ac:dyDescent="0.25">
      <c r="A189" t="s">
        <v>149</v>
      </c>
      <c r="P189" t="str">
        <f t="shared" si="68"/>
        <v xml:space="preserve">                </v>
      </c>
      <c r="Q189" t="str">
        <f t="shared" si="68"/>
        <v xml:space="preserve">         </v>
      </c>
      <c r="R189" t="str">
        <f t="shared" si="61"/>
        <v xml:space="preserve">   165.0 </v>
      </c>
      <c r="S189" t="str">
        <f t="shared" si="69"/>
        <v xml:space="preserve">   198.0 </v>
      </c>
      <c r="T189" t="str">
        <f t="shared" si="70"/>
        <v xml:space="preserve">   198.0 </v>
      </c>
      <c r="U189" t="str">
        <f t="shared" si="74"/>
        <v xml:space="preserve">        9.0% </v>
      </c>
      <c r="V189" t="str">
        <f t="shared" si="62"/>
        <v xml:space="preserve">         </v>
      </c>
      <c r="W189" t="str">
        <f t="shared" si="71"/>
        <v xml:space="preserve">         </v>
      </c>
      <c r="X189" t="str">
        <f t="shared" si="75"/>
        <v xml:space="preserve"> 41298 </v>
      </c>
      <c r="Y189" t="str">
        <f t="shared" si="75"/>
        <v xml:space="preserve"> NPR2-1-RS000 </v>
      </c>
      <c r="Z189" t="str">
        <f t="shared" si="75"/>
        <v xml:space="preserve">  1 </v>
      </c>
      <c r="AA189" t="str">
        <f t="shared" si="63"/>
        <v xml:space="preserve">    -6.6 </v>
      </c>
      <c r="AB189" t="str">
        <f t="shared" si="72"/>
        <v xml:space="preserve">   -13.6 </v>
      </c>
      <c r="AC189" t="str">
        <f t="shared" si="73"/>
        <v xml:space="preserve">    14.8 </v>
      </c>
      <c r="AD189" t="str">
        <f t="shared" si="74"/>
        <v xml:space="preserve"> 1.000F </v>
      </c>
      <c r="AE189" t="str">
        <f t="shared" si="64"/>
        <v xml:space="preserve">       </v>
      </c>
      <c r="AF189" t="str">
        <f t="shared" si="76"/>
        <v xml:space="preserve"> 002 </v>
      </c>
      <c r="AG189" t="str">
        <f t="shared" si="76"/>
        <v xml:space="preserve">     0.00 </v>
      </c>
      <c r="AH189" t="str">
        <f t="shared" si="65"/>
        <v xml:space="preserve">    -0.01 </v>
      </c>
      <c r="AI189" t="str">
        <f t="shared" si="66"/>
        <v xml:space="preserve">       </v>
      </c>
      <c r="AJ189" t="str">
        <f t="shared" si="67"/>
        <v xml:space="preserve">      </v>
      </c>
    </row>
    <row r="190" spans="1:40" x14ac:dyDescent="0.25">
      <c r="A190" t="s">
        <v>150</v>
      </c>
      <c r="P190" t="str">
        <f t="shared" si="68"/>
        <v xml:space="preserve">                </v>
      </c>
      <c r="Q190" t="str">
        <f t="shared" si="68"/>
        <v xml:space="preserve">         </v>
      </c>
      <c r="R190" t="str">
        <f t="shared" si="61"/>
        <v xml:space="preserve">   165.0 </v>
      </c>
      <c r="S190" t="str">
        <f t="shared" si="69"/>
        <v xml:space="preserve">   198.0 </v>
      </c>
      <c r="T190" t="str">
        <f t="shared" si="70"/>
        <v xml:space="preserve">   198.0 </v>
      </c>
      <c r="U190" t="str">
        <f t="shared" si="74"/>
        <v xml:space="preserve">        9.0% </v>
      </c>
      <c r="V190" t="str">
        <f t="shared" si="62"/>
        <v xml:space="preserve">         </v>
      </c>
      <c r="W190" t="str">
        <f t="shared" si="71"/>
        <v xml:space="preserve">         </v>
      </c>
      <c r="X190" t="str">
        <f t="shared" si="75"/>
        <v xml:space="preserve"> 41299 </v>
      </c>
      <c r="Y190" t="str">
        <f t="shared" si="75"/>
        <v xml:space="preserve"> NPR2-2-RS000 </v>
      </c>
      <c r="Z190" t="str">
        <f t="shared" si="75"/>
        <v xml:space="preserve">  2 </v>
      </c>
      <c r="AA190" t="str">
        <f t="shared" si="63"/>
        <v xml:space="preserve">    -6.6 </v>
      </c>
      <c r="AB190" t="str">
        <f t="shared" si="72"/>
        <v xml:space="preserve">   -13.6 </v>
      </c>
      <c r="AC190" t="str">
        <f t="shared" si="73"/>
        <v xml:space="preserve">    14.8 </v>
      </c>
      <c r="AD190" t="str">
        <f t="shared" si="74"/>
        <v xml:space="preserve"> 1.000F </v>
      </c>
      <c r="AE190" t="str">
        <f t="shared" si="64"/>
        <v xml:space="preserve">       </v>
      </c>
      <c r="AF190" t="str">
        <f t="shared" si="76"/>
        <v xml:space="preserve"> 002 </v>
      </c>
      <c r="AG190" t="str">
        <f t="shared" si="76"/>
        <v xml:space="preserve">     0.00 </v>
      </c>
      <c r="AH190" t="str">
        <f t="shared" si="65"/>
        <v xml:space="preserve">    -0.01 </v>
      </c>
      <c r="AI190" t="str">
        <f t="shared" si="66"/>
        <v xml:space="preserve">       </v>
      </c>
      <c r="AJ190" t="str">
        <f t="shared" si="67"/>
        <v xml:space="preserve">      </v>
      </c>
    </row>
    <row r="191" spans="1:40" x14ac:dyDescent="0.25">
      <c r="A191" t="s">
        <v>14</v>
      </c>
      <c r="P191" t="str">
        <f t="shared" si="68"/>
        <v xml:space="preserve">  ..............</v>
      </c>
      <c r="Q191" t="str">
        <f t="shared" si="68"/>
        <v>.........</v>
      </c>
      <c r="R191" t="str">
        <f t="shared" si="61"/>
        <v>.........</v>
      </c>
      <c r="S191" t="str">
        <f t="shared" si="69"/>
        <v>.........</v>
      </c>
      <c r="T191" t="str">
        <f t="shared" si="70"/>
        <v>.........</v>
      </c>
      <c r="U191" t="str">
        <f t="shared" si="74"/>
        <v>.............</v>
      </c>
      <c r="V191" t="str">
        <f t="shared" si="62"/>
        <v>.........</v>
      </c>
      <c r="W191" t="str">
        <f t="shared" si="71"/>
        <v>.........</v>
      </c>
      <c r="X191" t="str">
        <f t="shared" si="75"/>
        <v>.......</v>
      </c>
      <c r="Y191" t="str">
        <f t="shared" si="75"/>
        <v>..............</v>
      </c>
      <c r="Z191" t="str">
        <f t="shared" si="75"/>
        <v>....</v>
      </c>
      <c r="AA191" t="str">
        <f t="shared" si="63"/>
        <v>.........</v>
      </c>
      <c r="AB191" t="str">
        <f t="shared" si="72"/>
        <v>.........</v>
      </c>
      <c r="AC191" t="str">
        <f t="shared" si="73"/>
        <v>.........</v>
      </c>
      <c r="AD191" t="str">
        <f t="shared" si="74"/>
        <v>........</v>
      </c>
      <c r="AE191" t="str">
        <f t="shared" si="64"/>
        <v>.......</v>
      </c>
      <c r="AF191" t="str">
        <f t="shared" si="76"/>
        <v>.....</v>
      </c>
      <c r="AG191" t="str">
        <f t="shared" si="76"/>
        <v>..........</v>
      </c>
      <c r="AH191" t="str">
        <f t="shared" si="65"/>
        <v>..........</v>
      </c>
      <c r="AI191" t="str">
        <f t="shared" si="66"/>
        <v>.......</v>
      </c>
      <c r="AJ191" t="str">
        <f t="shared" si="67"/>
        <v>.......</v>
      </c>
    </row>
    <row r="192" spans="1:40" x14ac:dyDescent="0.25">
      <c r="A192" t="s">
        <v>151</v>
      </c>
      <c r="P192" t="str">
        <f t="shared" si="68"/>
        <v xml:space="preserve">   1227  138  0 </v>
      </c>
      <c r="Q192" t="str">
        <f t="shared" si="68"/>
        <v xml:space="preserve">   1.018 </v>
      </c>
      <c r="R192" t="str">
        <f t="shared" si="61"/>
        <v xml:space="preserve">     0.0 </v>
      </c>
      <c r="S192" t="str">
        <f t="shared" si="69"/>
        <v xml:space="preserve">     0.0 </v>
      </c>
      <c r="T192" t="str">
        <f t="shared" si="70"/>
        <v xml:space="preserve">     5.4 </v>
      </c>
      <c r="U192" t="str">
        <f t="shared" si="74"/>
        <v xml:space="preserve">         0.0 </v>
      </c>
      <c r="V192" t="str">
        <f t="shared" si="62"/>
        <v xml:space="preserve">     0.0 </v>
      </c>
      <c r="W192" t="str">
        <f t="shared" si="71"/>
        <v xml:space="preserve">     0.0</v>
      </c>
      <c r="X192" t="str">
        <f t="shared" si="75"/>
        <v/>
      </c>
      <c r="Y192" t="str">
        <f t="shared" si="75"/>
        <v/>
      </c>
      <c r="Z192" t="str">
        <f t="shared" si="75"/>
        <v/>
      </c>
      <c r="AA192" t="str">
        <f t="shared" si="63"/>
        <v/>
      </c>
      <c r="AB192" t="str">
        <f t="shared" si="72"/>
        <v/>
      </c>
      <c r="AC192" t="str">
        <f t="shared" si="73"/>
        <v/>
      </c>
      <c r="AD192" t="str">
        <f t="shared" si="74"/>
        <v/>
      </c>
      <c r="AE192" t="str">
        <f t="shared" si="64"/>
        <v/>
      </c>
      <c r="AF192" t="str">
        <f t="shared" si="76"/>
        <v/>
      </c>
      <c r="AG192" t="str">
        <f t="shared" si="76"/>
        <v/>
      </c>
      <c r="AH192" t="str">
        <f t="shared" si="65"/>
        <v/>
      </c>
      <c r="AI192" t="str">
        <f t="shared" si="66"/>
        <v/>
      </c>
      <c r="AJ192" t="str">
        <f t="shared" si="67"/>
        <v/>
      </c>
    </row>
    <row r="193" spans="1:36" x14ac:dyDescent="0.25">
      <c r="A193" t="s">
        <v>152</v>
      </c>
      <c r="P193" t="str">
        <f t="shared" si="68"/>
        <v xml:space="preserve">  MAXSPR-RS138  </v>
      </c>
      <c r="Q193" t="str">
        <f t="shared" si="68"/>
        <v xml:space="preserve">   -52.4 </v>
      </c>
      <c r="R193" t="str">
        <f t="shared" si="61"/>
        <v xml:space="preserve">     0.0 </v>
      </c>
      <c r="S193" t="str">
        <f t="shared" si="69"/>
        <v xml:space="preserve">     0.0 </v>
      </c>
      <c r="T193" t="str">
        <f t="shared" si="70"/>
        <v xml:space="preserve">     2.3 </v>
      </c>
      <c r="U193" t="str">
        <f t="shared" si="74"/>
        <v xml:space="preserve">         0.0 </v>
      </c>
      <c r="V193" t="str">
        <f t="shared" si="62"/>
        <v xml:space="preserve">     0.0 </v>
      </c>
      <c r="W193" t="str">
        <f t="shared" si="71"/>
        <v xml:space="preserve">     0.0 </v>
      </c>
      <c r="X193" t="str">
        <f t="shared" si="75"/>
        <v xml:space="preserve">       </v>
      </c>
      <c r="Y193" t="str">
        <f t="shared" si="75"/>
        <v xml:space="preserve">              </v>
      </c>
      <c r="Z193" t="str">
        <f t="shared" si="75"/>
        <v xml:space="preserve">    </v>
      </c>
      <c r="AA193" t="str">
        <f t="shared" si="63"/>
        <v xml:space="preserve">         </v>
      </c>
      <c r="AB193" t="str">
        <f t="shared" si="72"/>
        <v xml:space="preserve">         </v>
      </c>
      <c r="AC193" t="str">
        <f t="shared" si="73"/>
        <v xml:space="preserve">    </v>
      </c>
      <c r="AD193" t="str">
        <f t="shared" si="74"/>
        <v/>
      </c>
      <c r="AE193" t="str">
        <f t="shared" si="64"/>
        <v/>
      </c>
      <c r="AF193" t="str">
        <f t="shared" si="76"/>
        <v/>
      </c>
      <c r="AG193" t="str">
        <f t="shared" si="76"/>
        <v/>
      </c>
      <c r="AH193" t="str">
        <f t="shared" si="65"/>
        <v/>
      </c>
      <c r="AI193" t="str">
        <f t="shared" si="66"/>
        <v/>
      </c>
      <c r="AJ193" t="str">
        <f t="shared" si="67"/>
        <v/>
      </c>
    </row>
    <row r="194" spans="1:36" x14ac:dyDescent="0.25">
      <c r="A194" t="s">
        <v>153</v>
      </c>
      <c r="P194" t="str">
        <f t="shared" si="68"/>
        <v xml:space="preserve">                </v>
      </c>
      <c r="Q194" t="str">
        <f t="shared" si="68"/>
        <v xml:space="preserve">         </v>
      </c>
      <c r="R194" t="str">
        <f t="shared" si="61"/>
        <v xml:space="preserve">   108.0 </v>
      </c>
      <c r="S194" t="str">
        <f t="shared" si="69"/>
        <v xml:space="preserve">   108.0 </v>
      </c>
      <c r="T194" t="str">
        <f t="shared" si="70"/>
        <v xml:space="preserve">   108.0 </v>
      </c>
      <c r="U194" t="str">
        <f t="shared" si="74"/>
        <v xml:space="preserve">       30.9% </v>
      </c>
      <c r="V194" t="str">
        <f t="shared" si="62"/>
        <v xml:space="preserve">         </v>
      </c>
      <c r="W194" t="str">
        <f t="shared" si="71"/>
        <v xml:space="preserve">         </v>
      </c>
      <c r="X194" t="str">
        <f t="shared" si="75"/>
        <v xml:space="preserve">  1252 </v>
      </c>
      <c r="Y194" t="str">
        <f t="shared" si="75"/>
        <v xml:space="preserve"> SLUIZ--RS138 </v>
      </c>
      <c r="Z194" t="str">
        <f t="shared" si="75"/>
        <v xml:space="preserve">  1 </v>
      </c>
      <c r="AA194" t="str">
        <f t="shared" si="63"/>
        <v xml:space="preserve">   -34.0 </v>
      </c>
      <c r="AB194" t="str">
        <f t="shared" si="72"/>
        <v xml:space="preserve">     1.0 </v>
      </c>
      <c r="AC194" t="str">
        <f t="shared" si="73"/>
        <v xml:space="preserve">    33.4 </v>
      </c>
      <c r="AD194" t="str">
        <f t="shared" si="74"/>
        <v xml:space="preserve">        </v>
      </c>
      <c r="AE194" t="str">
        <f t="shared" si="64"/>
        <v xml:space="preserve">       </v>
      </c>
      <c r="AF194" t="str">
        <f t="shared" si="76"/>
        <v xml:space="preserve">     </v>
      </c>
      <c r="AG194" t="str">
        <f t="shared" si="76"/>
        <v xml:space="preserve">     0.02 </v>
      </c>
      <c r="AH194" t="str">
        <f t="shared" si="65"/>
        <v xml:space="preserve">    -0.12 </v>
      </c>
      <c r="AI194" t="str">
        <f t="shared" si="66"/>
        <v xml:space="preserve">       </v>
      </c>
      <c r="AJ194" t="str">
        <f t="shared" si="67"/>
        <v xml:space="preserve">      </v>
      </c>
    </row>
    <row r="195" spans="1:36" x14ac:dyDescent="0.25">
      <c r="A195" t="s">
        <v>154</v>
      </c>
      <c r="P195" t="str">
        <f t="shared" si="68"/>
        <v xml:space="preserve">                </v>
      </c>
      <c r="Q195" t="str">
        <f t="shared" si="68"/>
        <v xml:space="preserve">         </v>
      </c>
      <c r="R195" t="str">
        <f t="shared" si="61"/>
        <v xml:space="preserve">   108.0 </v>
      </c>
      <c r="S195" t="str">
        <f t="shared" si="69"/>
        <v xml:space="preserve">   108.0 </v>
      </c>
      <c r="T195" t="str">
        <f t="shared" si="70"/>
        <v xml:space="preserve">   108.0 </v>
      </c>
      <c r="U195" t="str">
        <f t="shared" si="74"/>
        <v xml:space="preserve">       26.2% </v>
      </c>
      <c r="V195" t="str">
        <f t="shared" si="62"/>
        <v xml:space="preserve">         </v>
      </c>
      <c r="W195" t="str">
        <f t="shared" si="71"/>
        <v xml:space="preserve">         </v>
      </c>
      <c r="X195" t="str">
        <f t="shared" si="75"/>
        <v xml:space="preserve">  2099 </v>
      </c>
      <c r="Y195" t="str">
        <f t="shared" si="75"/>
        <v xml:space="preserve"> ZOOLOG-RS138 </v>
      </c>
      <c r="Z195" t="str">
        <f t="shared" si="75"/>
        <v xml:space="preserve">  1 </v>
      </c>
      <c r="AA195" t="str">
        <f t="shared" si="63"/>
        <v xml:space="preserve">    28.6 </v>
      </c>
      <c r="AB195" t="str">
        <f t="shared" si="72"/>
        <v xml:space="preserve">    -3.3 </v>
      </c>
      <c r="AC195" t="str">
        <f t="shared" si="73"/>
        <v xml:space="preserve">    28.3 </v>
      </c>
      <c r="AD195" t="str">
        <f t="shared" si="74"/>
        <v xml:space="preserve">        </v>
      </c>
      <c r="AE195" t="str">
        <f t="shared" si="64"/>
        <v xml:space="preserve">       </v>
      </c>
      <c r="AF195" t="str">
        <f t="shared" si="76"/>
        <v xml:space="preserve">     </v>
      </c>
      <c r="AG195" t="str">
        <f t="shared" si="76"/>
        <v xml:space="preserve">     0.07 </v>
      </c>
      <c r="AH195" t="str">
        <f t="shared" si="65"/>
        <v xml:space="preserve">    -0.65 </v>
      </c>
      <c r="AI195" t="str">
        <f t="shared" si="66"/>
        <v xml:space="preserve">       </v>
      </c>
      <c r="AJ195" t="str">
        <f t="shared" si="67"/>
        <v xml:space="preserve">      </v>
      </c>
    </row>
    <row r="196" spans="1:36" x14ac:dyDescent="0.25">
      <c r="A196" t="s">
        <v>14</v>
      </c>
      <c r="P196" t="str">
        <f t="shared" si="68"/>
        <v xml:space="preserve">  ..............</v>
      </c>
      <c r="Q196" t="str">
        <f t="shared" si="68"/>
        <v>.........</v>
      </c>
      <c r="R196" t="str">
        <f t="shared" si="61"/>
        <v>.........</v>
      </c>
      <c r="S196" t="str">
        <f t="shared" si="69"/>
        <v>.........</v>
      </c>
      <c r="T196" t="str">
        <f t="shared" si="70"/>
        <v>.........</v>
      </c>
      <c r="U196" t="str">
        <f t="shared" si="74"/>
        <v>.............</v>
      </c>
      <c r="V196" t="str">
        <f t="shared" si="62"/>
        <v>.........</v>
      </c>
      <c r="W196" t="str">
        <f t="shared" si="71"/>
        <v>.........</v>
      </c>
      <c r="X196" t="str">
        <f t="shared" si="75"/>
        <v>.......</v>
      </c>
      <c r="Y196" t="str">
        <f t="shared" si="75"/>
        <v>..............</v>
      </c>
      <c r="Z196" t="str">
        <f t="shared" si="75"/>
        <v>....</v>
      </c>
      <c r="AA196" t="str">
        <f t="shared" si="63"/>
        <v>.........</v>
      </c>
      <c r="AB196" t="str">
        <f t="shared" si="72"/>
        <v>.........</v>
      </c>
      <c r="AC196" t="str">
        <f t="shared" si="73"/>
        <v>.........</v>
      </c>
      <c r="AD196" t="str">
        <f t="shared" si="74"/>
        <v>........</v>
      </c>
      <c r="AE196" t="str">
        <f t="shared" si="64"/>
        <v>.......</v>
      </c>
      <c r="AF196" t="str">
        <f t="shared" si="76"/>
        <v>.....</v>
      </c>
      <c r="AG196" t="str">
        <f t="shared" si="76"/>
        <v>..........</v>
      </c>
      <c r="AH196" t="str">
        <f t="shared" si="65"/>
        <v>..........</v>
      </c>
      <c r="AI196" t="str">
        <f t="shared" si="66"/>
        <v>.......</v>
      </c>
      <c r="AJ196" t="str">
        <f t="shared" si="67"/>
        <v>.......</v>
      </c>
    </row>
    <row r="197" spans="1:36" x14ac:dyDescent="0.25">
      <c r="A197" t="s">
        <v>155</v>
      </c>
      <c r="P197" t="str">
        <f t="shared" si="68"/>
        <v xml:space="preserve">   1229  138  0 </v>
      </c>
      <c r="Q197" t="str">
        <f t="shared" si="68"/>
        <v xml:space="preserve">   0.998 </v>
      </c>
      <c r="R197" t="str">
        <f t="shared" si="61"/>
        <v xml:space="preserve">     1.3 </v>
      </c>
      <c r="S197" t="str">
        <f t="shared" si="69"/>
        <v xml:space="preserve">     0.0 </v>
      </c>
      <c r="T197" t="str">
        <f t="shared" si="70"/>
        <v xml:space="preserve">    12.4 </v>
      </c>
      <c r="U197" t="str">
        <f t="shared" si="74"/>
        <v xml:space="preserve">         0.0 </v>
      </c>
      <c r="V197" t="str">
        <f t="shared" si="62"/>
        <v xml:space="preserve">     0.0 </v>
      </c>
      <c r="W197" t="str">
        <f t="shared" si="71"/>
        <v xml:space="preserve">     0.0</v>
      </c>
      <c r="X197" t="str">
        <f t="shared" si="75"/>
        <v/>
      </c>
      <c r="Y197" t="str">
        <f t="shared" si="75"/>
        <v/>
      </c>
      <c r="Z197" t="str">
        <f t="shared" si="75"/>
        <v/>
      </c>
      <c r="AA197" t="str">
        <f t="shared" si="63"/>
        <v/>
      </c>
      <c r="AB197" t="str">
        <f t="shared" si="72"/>
        <v/>
      </c>
      <c r="AC197" t="str">
        <f t="shared" si="73"/>
        <v/>
      </c>
      <c r="AD197" t="str">
        <f t="shared" si="74"/>
        <v/>
      </c>
      <c r="AE197" t="str">
        <f t="shared" si="64"/>
        <v/>
      </c>
      <c r="AF197" t="str">
        <f t="shared" si="76"/>
        <v/>
      </c>
      <c r="AG197" t="str">
        <f t="shared" si="76"/>
        <v/>
      </c>
      <c r="AH197" t="str">
        <f t="shared" si="65"/>
        <v/>
      </c>
      <c r="AI197" t="str">
        <f t="shared" si="66"/>
        <v/>
      </c>
      <c r="AJ197" t="str">
        <f t="shared" si="67"/>
        <v/>
      </c>
    </row>
    <row r="198" spans="1:36" x14ac:dyDescent="0.25">
      <c r="A198" t="s">
        <v>156</v>
      </c>
      <c r="P198" t="str">
        <f t="shared" si="68"/>
        <v xml:space="preserve">  PALMAR-RS138  </v>
      </c>
      <c r="Q198" t="str">
        <f t="shared" si="68"/>
        <v xml:space="preserve">   -48.6 </v>
      </c>
      <c r="R198" t="str">
        <f t="shared" si="61"/>
        <v xml:space="preserve">     0.0 </v>
      </c>
      <c r="S198" t="str">
        <f t="shared" si="69"/>
        <v xml:space="preserve">     0.0 </v>
      </c>
      <c r="T198" t="str">
        <f t="shared" si="70"/>
        <v xml:space="preserve">     4.7 </v>
      </c>
      <c r="U198" t="str">
        <f t="shared" si="74"/>
        <v xml:space="preserve">         0.0 </v>
      </c>
      <c r="V198" t="str">
        <f t="shared" si="62"/>
        <v xml:space="preserve">     0.0 </v>
      </c>
      <c r="W198" t="str">
        <f t="shared" si="71"/>
        <v xml:space="preserve">     0.0 </v>
      </c>
      <c r="X198" t="str">
        <f t="shared" si="75"/>
        <v xml:space="preserve">       </v>
      </c>
      <c r="Y198" t="str">
        <f t="shared" si="75"/>
        <v xml:space="preserve">              </v>
      </c>
      <c r="Z198" t="str">
        <f t="shared" si="75"/>
        <v xml:space="preserve">    </v>
      </c>
      <c r="AA198" t="str">
        <f t="shared" si="63"/>
        <v xml:space="preserve">         </v>
      </c>
      <c r="AB198" t="str">
        <f t="shared" si="72"/>
        <v xml:space="preserve">         </v>
      </c>
      <c r="AC198" t="str">
        <f t="shared" si="73"/>
        <v xml:space="preserve">    </v>
      </c>
      <c r="AD198" t="str">
        <f t="shared" si="74"/>
        <v/>
      </c>
      <c r="AE198" t="str">
        <f t="shared" si="64"/>
        <v/>
      </c>
      <c r="AF198" t="str">
        <f t="shared" si="76"/>
        <v/>
      </c>
      <c r="AG198" t="str">
        <f t="shared" si="76"/>
        <v/>
      </c>
      <c r="AH198" t="str">
        <f t="shared" si="65"/>
        <v/>
      </c>
      <c r="AI198" t="str">
        <f t="shared" si="66"/>
        <v/>
      </c>
      <c r="AJ198" t="str">
        <f t="shared" si="67"/>
        <v/>
      </c>
    </row>
    <row r="199" spans="1:36" x14ac:dyDescent="0.25">
      <c r="A199" t="s">
        <v>157</v>
      </c>
      <c r="P199" t="str">
        <f t="shared" si="68"/>
        <v xml:space="preserve">                </v>
      </c>
      <c r="Q199" t="str">
        <f t="shared" si="68"/>
        <v xml:space="preserve">         </v>
      </c>
      <c r="R199" t="str">
        <f t="shared" si="61"/>
        <v xml:space="preserve">    82.0 </v>
      </c>
      <c r="S199" t="str">
        <f t="shared" si="69"/>
        <v xml:space="preserve">   118.0 </v>
      </c>
      <c r="T199" t="str">
        <f t="shared" si="70"/>
        <v xml:space="preserve">   118.0 </v>
      </c>
      <c r="U199" t="str">
        <f t="shared" si="74"/>
        <v xml:space="preserve">        0.9% </v>
      </c>
      <c r="V199" t="str">
        <f t="shared" si="62"/>
        <v xml:space="preserve">         </v>
      </c>
      <c r="W199" t="str">
        <f t="shared" si="71"/>
        <v xml:space="preserve">         </v>
      </c>
      <c r="X199" t="str">
        <f t="shared" si="75"/>
        <v xml:space="preserve">  1038 </v>
      </c>
      <c r="Y199" t="str">
        <f t="shared" si="75"/>
        <v xml:space="preserve"> CAPIVA-RS138 </v>
      </c>
      <c r="Z199" t="str">
        <f t="shared" si="75"/>
        <v xml:space="preserve">  1 </v>
      </c>
      <c r="AA199" t="str">
        <f t="shared" si="63"/>
        <v xml:space="preserve">    -0.8 </v>
      </c>
      <c r="AB199" t="str">
        <f t="shared" si="72"/>
        <v xml:space="preserve">    -0.0 </v>
      </c>
      <c r="AC199" t="str">
        <f t="shared" si="73"/>
        <v xml:space="preserve">     0.8 </v>
      </c>
      <c r="AD199" t="str">
        <f t="shared" si="74"/>
        <v xml:space="preserve">        </v>
      </c>
      <c r="AE199" t="str">
        <f t="shared" si="64"/>
        <v xml:space="preserve">       </v>
      </c>
      <c r="AF199" t="str">
        <f t="shared" si="76"/>
        <v xml:space="preserve">     </v>
      </c>
      <c r="AG199" t="str">
        <f t="shared" si="76"/>
        <v xml:space="preserve">     0.00 </v>
      </c>
      <c r="AH199" t="str">
        <f t="shared" si="65"/>
        <v xml:space="preserve">    -1.08 </v>
      </c>
      <c r="AI199" t="str">
        <f t="shared" si="66"/>
        <v xml:space="preserve">       </v>
      </c>
      <c r="AJ199" t="str">
        <f t="shared" si="67"/>
        <v xml:space="preserve">      </v>
      </c>
    </row>
    <row r="200" spans="1:36" x14ac:dyDescent="0.25">
      <c r="A200" t="s">
        <v>158</v>
      </c>
      <c r="P200" t="str">
        <f t="shared" si="68"/>
        <v xml:space="preserve">                </v>
      </c>
      <c r="Q200" t="str">
        <f t="shared" si="68"/>
        <v xml:space="preserve">         </v>
      </c>
      <c r="R200" t="str">
        <f t="shared" si="61"/>
        <v xml:space="preserve">   103.0 </v>
      </c>
      <c r="S200" t="str">
        <f t="shared" si="69"/>
        <v xml:space="preserve">   131.0 </v>
      </c>
      <c r="T200" t="str">
        <f t="shared" si="70"/>
        <v xml:space="preserve">   131.0 </v>
      </c>
      <c r="U200" t="str">
        <f t="shared" si="74"/>
        <v xml:space="preserve">       11.0% </v>
      </c>
      <c r="V200" t="str">
        <f t="shared" si="62"/>
        <v xml:space="preserve">         </v>
      </c>
      <c r="W200" t="str">
        <f t="shared" si="71"/>
        <v xml:space="preserve">         </v>
      </c>
      <c r="X200" t="str">
        <f t="shared" si="75"/>
        <v xml:space="preserve">  9730 </v>
      </c>
      <c r="Y200" t="str">
        <f t="shared" si="75"/>
        <v xml:space="preserve"> PALMARTAP138 </v>
      </c>
      <c r="Z200" t="str">
        <f t="shared" si="75"/>
        <v xml:space="preserve">  1 </v>
      </c>
      <c r="AA200" t="str">
        <f t="shared" si="63"/>
        <v xml:space="preserve">   -10.3 </v>
      </c>
      <c r="AB200" t="str">
        <f t="shared" si="72"/>
        <v xml:space="preserve">    -4.7 </v>
      </c>
      <c r="AC200" t="str">
        <f t="shared" si="73"/>
        <v xml:space="preserve">    11.4 </v>
      </c>
      <c r="AD200" t="str">
        <f t="shared" si="74"/>
        <v xml:space="preserve">        </v>
      </c>
      <c r="AE200" t="str">
        <f t="shared" si="64"/>
        <v xml:space="preserve">       </v>
      </c>
      <c r="AF200" t="str">
        <f t="shared" si="76"/>
        <v xml:space="preserve">     </v>
      </c>
      <c r="AG200" t="str">
        <f t="shared" si="76"/>
        <v xml:space="preserve">     0.03 </v>
      </c>
      <c r="AH200" t="str">
        <f t="shared" si="65"/>
        <v xml:space="preserve">    -1.15 </v>
      </c>
      <c r="AI200" t="str">
        <f t="shared" si="66"/>
        <v xml:space="preserve">       </v>
      </c>
      <c r="AJ200" t="str">
        <f t="shared" si="67"/>
        <v xml:space="preserve">      </v>
      </c>
    </row>
    <row r="201" spans="1:36" x14ac:dyDescent="0.25">
      <c r="A201" t="s">
        <v>14</v>
      </c>
      <c r="P201" t="str">
        <f t="shared" si="68"/>
        <v xml:space="preserve">  ..............</v>
      </c>
      <c r="Q201" t="str">
        <f t="shared" si="68"/>
        <v>.........</v>
      </c>
      <c r="R201" t="str">
        <f t="shared" si="61"/>
        <v>.........</v>
      </c>
      <c r="S201" t="str">
        <f t="shared" si="69"/>
        <v>.........</v>
      </c>
      <c r="T201" t="str">
        <f t="shared" si="70"/>
        <v>.........</v>
      </c>
      <c r="U201" t="str">
        <f t="shared" si="74"/>
        <v>.............</v>
      </c>
      <c r="V201" t="str">
        <f t="shared" si="62"/>
        <v>.........</v>
      </c>
      <c r="W201" t="str">
        <f t="shared" si="71"/>
        <v>.........</v>
      </c>
      <c r="X201" t="str">
        <f t="shared" si="75"/>
        <v>.......</v>
      </c>
      <c r="Y201" t="str">
        <f t="shared" si="75"/>
        <v>..............</v>
      </c>
      <c r="Z201" t="str">
        <f t="shared" si="75"/>
        <v>....</v>
      </c>
      <c r="AA201" t="str">
        <f t="shared" si="63"/>
        <v>.........</v>
      </c>
      <c r="AB201" t="str">
        <f t="shared" si="72"/>
        <v>.........</v>
      </c>
      <c r="AC201" t="str">
        <f t="shared" si="73"/>
        <v>.........</v>
      </c>
      <c r="AD201" t="str">
        <f t="shared" si="74"/>
        <v>........</v>
      </c>
      <c r="AE201" t="str">
        <f t="shared" si="64"/>
        <v>.......</v>
      </c>
      <c r="AF201" t="str">
        <f t="shared" si="76"/>
        <v>.....</v>
      </c>
      <c r="AG201" t="str">
        <f t="shared" si="76"/>
        <v>..........</v>
      </c>
      <c r="AH201" t="str">
        <f t="shared" si="65"/>
        <v>..........</v>
      </c>
      <c r="AI201" t="str">
        <f t="shared" si="66"/>
        <v>.......</v>
      </c>
      <c r="AJ201" t="str">
        <f t="shared" si="67"/>
        <v>.......</v>
      </c>
    </row>
    <row r="202" spans="1:36" x14ac:dyDescent="0.25">
      <c r="A202" t="s">
        <v>159</v>
      </c>
      <c r="P202" t="str">
        <f t="shared" si="68"/>
        <v xml:space="preserve">   1232   69  0 </v>
      </c>
      <c r="Q202" t="str">
        <f t="shared" si="68"/>
        <v xml:space="preserve">   1.006 </v>
      </c>
      <c r="R202" t="str">
        <f t="shared" si="61"/>
        <v xml:space="preserve">     6.6 </v>
      </c>
      <c r="S202" t="str">
        <f t="shared" si="69"/>
        <v xml:space="preserve">     0.0 </v>
      </c>
      <c r="T202" t="str">
        <f t="shared" si="70"/>
        <v xml:space="preserve">    58.9 </v>
      </c>
      <c r="U202" t="str">
        <f t="shared" si="74"/>
        <v xml:space="preserve">         0.0 </v>
      </c>
      <c r="V202" t="str">
        <f t="shared" si="62"/>
        <v xml:space="preserve">     3.6 </v>
      </c>
      <c r="W202" t="str">
        <f t="shared" si="71"/>
        <v xml:space="preserve">     0.0</v>
      </c>
      <c r="X202" t="str">
        <f t="shared" si="75"/>
        <v/>
      </c>
      <c r="Y202" t="str">
        <f t="shared" si="75"/>
        <v/>
      </c>
      <c r="Z202" t="str">
        <f t="shared" si="75"/>
        <v/>
      </c>
      <c r="AA202" t="str">
        <f t="shared" si="63"/>
        <v/>
      </c>
      <c r="AB202" t="str">
        <f t="shared" si="72"/>
        <v/>
      </c>
      <c r="AC202" t="str">
        <f t="shared" si="73"/>
        <v/>
      </c>
      <c r="AD202" t="str">
        <f t="shared" si="74"/>
        <v/>
      </c>
      <c r="AE202" t="str">
        <f t="shared" si="64"/>
        <v/>
      </c>
      <c r="AF202" t="str">
        <f t="shared" si="76"/>
        <v/>
      </c>
      <c r="AG202" t="str">
        <f t="shared" si="76"/>
        <v/>
      </c>
      <c r="AH202" t="str">
        <f t="shared" si="65"/>
        <v/>
      </c>
      <c r="AI202" t="str">
        <f t="shared" si="66"/>
        <v/>
      </c>
      <c r="AJ202" t="str">
        <f t="shared" si="67"/>
        <v/>
      </c>
    </row>
    <row r="203" spans="1:36" x14ac:dyDescent="0.25">
      <c r="A203" t="s">
        <v>160</v>
      </c>
      <c r="P203" t="str">
        <f t="shared" si="68"/>
        <v xml:space="preserve">  OSORI2-RS069  </v>
      </c>
      <c r="Q203" t="str">
        <f t="shared" si="68"/>
        <v xml:space="preserve">   -50.1 </v>
      </c>
      <c r="R203" t="str">
        <f t="shared" si="61"/>
        <v xml:space="preserve">     0.0 </v>
      </c>
      <c r="S203" t="str">
        <f t="shared" si="69"/>
        <v xml:space="preserve">     0.0 </v>
      </c>
      <c r="T203" t="str">
        <f t="shared" si="70"/>
        <v xml:space="preserve">    21.9 </v>
      </c>
      <c r="U203" t="str">
        <f t="shared" si="74"/>
        <v xml:space="preserve">         0.0 </v>
      </c>
      <c r="V203" t="str">
        <f t="shared" si="62"/>
        <v xml:space="preserve">     0.0 </v>
      </c>
      <c r="W203" t="str">
        <f t="shared" si="71"/>
        <v xml:space="preserve">     0.0 </v>
      </c>
      <c r="X203" t="str">
        <f t="shared" si="75"/>
        <v xml:space="preserve">       </v>
      </c>
      <c r="Y203" t="str">
        <f t="shared" si="75"/>
        <v xml:space="preserve">              </v>
      </c>
      <c r="Z203" t="str">
        <f t="shared" si="75"/>
        <v xml:space="preserve">    </v>
      </c>
      <c r="AA203" t="str">
        <f t="shared" si="63"/>
        <v xml:space="preserve">         </v>
      </c>
      <c r="AB203" t="str">
        <f t="shared" si="72"/>
        <v xml:space="preserve">         </v>
      </c>
      <c r="AC203" t="str">
        <f t="shared" si="73"/>
        <v xml:space="preserve">    </v>
      </c>
      <c r="AD203" t="str">
        <f t="shared" si="74"/>
        <v/>
      </c>
      <c r="AE203" t="str">
        <f t="shared" si="64"/>
        <v/>
      </c>
      <c r="AF203" t="str">
        <f t="shared" si="76"/>
        <v/>
      </c>
      <c r="AG203" t="str">
        <f t="shared" si="76"/>
        <v/>
      </c>
      <c r="AH203" t="str">
        <f t="shared" si="65"/>
        <v/>
      </c>
      <c r="AI203" t="str">
        <f t="shared" si="66"/>
        <v/>
      </c>
      <c r="AJ203" t="str">
        <f t="shared" si="67"/>
        <v/>
      </c>
    </row>
    <row r="204" spans="1:36" x14ac:dyDescent="0.25">
      <c r="A204" t="s">
        <v>161</v>
      </c>
      <c r="P204" t="str">
        <f t="shared" si="68"/>
        <v xml:space="preserve">              DE</v>
      </c>
      <c r="Q204" t="str">
        <f t="shared" si="68"/>
        <v xml:space="preserve">ESLIGADO </v>
      </c>
      <c r="R204" t="str">
        <f t="shared" ref="R204:R267" si="81">MID($A204,Q$8+Q$9-1,R$9)</f>
        <v xml:space="preserve">    54.0 </v>
      </c>
      <c r="S204" t="str">
        <f t="shared" si="69"/>
        <v xml:space="preserve">    54.0 </v>
      </c>
      <c r="T204" t="str">
        <f t="shared" si="70"/>
        <v xml:space="preserve">    54.0 </v>
      </c>
      <c r="U204" t="str">
        <f t="shared" si="74"/>
        <v xml:space="preserve">             </v>
      </c>
      <c r="V204" t="str">
        <f t="shared" ref="V204:V267" si="82">MID($A204,U$8+U$9-1,V$9)</f>
        <v xml:space="preserve">         </v>
      </c>
      <c r="W204" t="str">
        <f t="shared" si="71"/>
        <v xml:space="preserve">         </v>
      </c>
      <c r="X204" t="str">
        <f t="shared" si="75"/>
        <v xml:space="preserve">  1244 </v>
      </c>
      <c r="Y204" t="str">
        <f t="shared" si="75"/>
        <v xml:space="preserve"> OSORI2-RS138 </v>
      </c>
      <c r="Z204" t="str">
        <f t="shared" si="75"/>
        <v xml:space="preserve">  3 </v>
      </c>
      <c r="AA204" t="str">
        <f t="shared" ref="AA204:AA267" si="83">MID($A204,Z$8+Z$9-1,AA$9)</f>
        <v xml:space="preserve">     0.0 </v>
      </c>
      <c r="AB204" t="str">
        <f t="shared" si="72"/>
        <v xml:space="preserve">     0.0 </v>
      </c>
      <c r="AC204" t="str">
        <f t="shared" si="73"/>
        <v xml:space="preserve">     0.0 </v>
      </c>
      <c r="AD204" t="str">
        <f t="shared" si="74"/>
        <v xml:space="preserve"> 0.988* </v>
      </c>
      <c r="AE204" t="str">
        <f t="shared" ref="AE204:AE267" si="84">MID($A204,AD$8+AD$9-1,AE$9)</f>
        <v xml:space="preserve">       </v>
      </c>
      <c r="AF204" t="str">
        <f t="shared" si="76"/>
        <v xml:space="preserve">     </v>
      </c>
      <c r="AG204" t="str">
        <f t="shared" si="76"/>
        <v xml:space="preserve">     0.00 </v>
      </c>
      <c r="AH204" t="str">
        <f t="shared" ref="AH204:AH267" si="85">MID($A204,AG$8+AG$9-1,AH$9)</f>
        <v xml:space="preserve">     0.00 </v>
      </c>
      <c r="AI204" t="str">
        <f t="shared" si="66"/>
        <v xml:space="preserve">       </v>
      </c>
      <c r="AJ204" t="str">
        <f t="shared" si="67"/>
        <v xml:space="preserve">      </v>
      </c>
    </row>
    <row r="205" spans="1:36" x14ac:dyDescent="0.25">
      <c r="A205" t="s">
        <v>162</v>
      </c>
      <c r="P205" t="str">
        <f t="shared" si="68"/>
        <v xml:space="preserve">                </v>
      </c>
      <c r="Q205" t="str">
        <f t="shared" si="68"/>
        <v xml:space="preserve">         </v>
      </c>
      <c r="R205" t="str">
        <f t="shared" si="81"/>
        <v xml:space="preserve">    84.0 </v>
      </c>
      <c r="S205" t="str">
        <f t="shared" si="69"/>
        <v xml:space="preserve">    94.0 </v>
      </c>
      <c r="T205" t="str">
        <f t="shared" si="70"/>
        <v xml:space="preserve">    94.0 </v>
      </c>
      <c r="U205" t="str">
        <f t="shared" si="74"/>
        <v xml:space="preserve">       24.9% </v>
      </c>
      <c r="V205" t="str">
        <f t="shared" si="82"/>
        <v xml:space="preserve">         </v>
      </c>
      <c r="W205" t="str">
        <f t="shared" si="71"/>
        <v xml:space="preserve">         </v>
      </c>
      <c r="X205" t="str">
        <f t="shared" si="75"/>
        <v xml:space="preserve">  1321 </v>
      </c>
      <c r="Y205" t="str">
        <f t="shared" si="75"/>
        <v xml:space="preserve"> CIDR13-RS069 </v>
      </c>
      <c r="Z205" t="str">
        <f t="shared" si="75"/>
        <v xml:space="preserve">  1 </v>
      </c>
      <c r="AA205" t="str">
        <f t="shared" si="83"/>
        <v xml:space="preserve">   -21.0 </v>
      </c>
      <c r="AB205" t="str">
        <f t="shared" si="72"/>
        <v xml:space="preserve">     1.1 </v>
      </c>
      <c r="AC205" t="str">
        <f t="shared" si="73"/>
        <v xml:space="preserve">    20.9 </v>
      </c>
      <c r="AD205" t="str">
        <f t="shared" si="74"/>
        <v xml:space="preserve">        </v>
      </c>
      <c r="AE205" t="str">
        <f t="shared" si="84"/>
        <v xml:space="preserve">       </v>
      </c>
      <c r="AF205" t="str">
        <f t="shared" si="76"/>
        <v xml:space="preserve">     </v>
      </c>
      <c r="AG205" t="str">
        <f t="shared" si="76"/>
        <v xml:space="preserve">     0.19 </v>
      </c>
      <c r="AH205" t="str">
        <f t="shared" si="85"/>
        <v xml:space="preserve">     0.53 </v>
      </c>
      <c r="AI205" t="str">
        <f t="shared" si="66"/>
        <v xml:space="preserve">       </v>
      </c>
      <c r="AJ205" t="str">
        <f t="shared" si="67"/>
        <v xml:space="preserve">      </v>
      </c>
    </row>
    <row r="206" spans="1:36" x14ac:dyDescent="0.25">
      <c r="A206" t="s">
        <v>163</v>
      </c>
      <c r="P206" t="str">
        <f t="shared" si="68"/>
        <v xml:space="preserve">                </v>
      </c>
      <c r="Q206" t="str">
        <f t="shared" si="68"/>
        <v xml:space="preserve">         </v>
      </c>
      <c r="R206" t="str">
        <f t="shared" si="81"/>
        <v xml:space="preserve">    83.0 </v>
      </c>
      <c r="S206" t="str">
        <f t="shared" si="69"/>
        <v xml:space="preserve">   125.0 </v>
      </c>
      <c r="T206" t="str">
        <f t="shared" si="70"/>
        <v xml:space="preserve">   125.0 </v>
      </c>
      <c r="U206" t="str">
        <f t="shared" si="74"/>
        <v xml:space="preserve">       14.7% </v>
      </c>
      <c r="V206" t="str">
        <f t="shared" si="82"/>
        <v xml:space="preserve">         </v>
      </c>
      <c r="W206" t="str">
        <f t="shared" si="71"/>
        <v xml:space="preserve">         </v>
      </c>
      <c r="X206" t="str">
        <f t="shared" si="75"/>
        <v xml:space="preserve"> 41306 </v>
      </c>
      <c r="Y206" t="str">
        <f t="shared" si="75"/>
        <v xml:space="preserve"> OSO2-1-RS000 </v>
      </c>
      <c r="Z206" t="str">
        <f t="shared" si="75"/>
        <v xml:space="preserve">  1 </v>
      </c>
      <c r="AA206" t="str">
        <f t="shared" si="83"/>
        <v xml:space="preserve">   -10.4 </v>
      </c>
      <c r="AB206" t="str">
        <f t="shared" si="72"/>
        <v xml:space="preserve">    -6.5 </v>
      </c>
      <c r="AC206" t="str">
        <f t="shared" si="73"/>
        <v xml:space="preserve">    12.2 </v>
      </c>
      <c r="AD206" t="str">
        <f t="shared" si="74"/>
        <v xml:space="preserve"> 1.000F </v>
      </c>
      <c r="AE206" t="str">
        <f t="shared" si="84"/>
        <v xml:space="preserve">       </v>
      </c>
      <c r="AF206" t="str">
        <f t="shared" si="76"/>
        <v xml:space="preserve"> 002 </v>
      </c>
      <c r="AG206" t="str">
        <f t="shared" si="76"/>
        <v xml:space="preserve">     0.00 </v>
      </c>
      <c r="AH206" t="str">
        <f t="shared" si="85"/>
        <v xml:space="preserve">    -0.02 </v>
      </c>
      <c r="AI206" t="str">
        <f t="shared" si="66"/>
        <v xml:space="preserve">       </v>
      </c>
      <c r="AJ206" t="str">
        <f t="shared" si="67"/>
        <v xml:space="preserve">      </v>
      </c>
    </row>
    <row r="207" spans="1:36" x14ac:dyDescent="0.25">
      <c r="A207" t="s">
        <v>164</v>
      </c>
      <c r="P207" t="str">
        <f t="shared" si="68"/>
        <v xml:space="preserve">                </v>
      </c>
      <c r="Q207" t="str">
        <f t="shared" si="68"/>
        <v xml:space="preserve">         </v>
      </c>
      <c r="R207" t="str">
        <f t="shared" si="81"/>
        <v xml:space="preserve">    83.0 </v>
      </c>
      <c r="S207" t="str">
        <f t="shared" si="69"/>
        <v xml:space="preserve">   125.0 </v>
      </c>
      <c r="T207" t="str">
        <f t="shared" si="70"/>
        <v xml:space="preserve">   125.0 </v>
      </c>
      <c r="U207" t="str">
        <f t="shared" si="74"/>
        <v xml:space="preserve">       14.6% </v>
      </c>
      <c r="V207" t="str">
        <f t="shared" si="82"/>
        <v xml:space="preserve">         </v>
      </c>
      <c r="W207" t="str">
        <f t="shared" si="71"/>
        <v xml:space="preserve">         </v>
      </c>
      <c r="X207" t="str">
        <f t="shared" si="75"/>
        <v xml:space="preserve"> 41307 </v>
      </c>
      <c r="Y207" t="str">
        <f t="shared" si="75"/>
        <v xml:space="preserve"> OSO2-2-RS000 </v>
      </c>
      <c r="Z207" t="str">
        <f t="shared" si="75"/>
        <v xml:space="preserve">  2 </v>
      </c>
      <c r="AA207" t="str">
        <f t="shared" si="83"/>
        <v xml:space="preserve">   -10.4 </v>
      </c>
      <c r="AB207" t="str">
        <f t="shared" si="72"/>
        <v xml:space="preserve">    -6.4 </v>
      </c>
      <c r="AC207" t="str">
        <f t="shared" si="73"/>
        <v xml:space="preserve">    12.2 </v>
      </c>
      <c r="AD207" t="str">
        <f t="shared" si="74"/>
        <v xml:space="preserve"> 1.000F </v>
      </c>
      <c r="AE207" t="str">
        <f t="shared" si="84"/>
        <v xml:space="preserve">       </v>
      </c>
      <c r="AF207" t="str">
        <f t="shared" si="76"/>
        <v xml:space="preserve"> 002 </v>
      </c>
      <c r="AG207" t="str">
        <f t="shared" si="76"/>
        <v xml:space="preserve">     0.00 </v>
      </c>
      <c r="AH207" t="str">
        <f t="shared" si="85"/>
        <v xml:space="preserve">     0.01 </v>
      </c>
      <c r="AI207" t="str">
        <f t="shared" si="66"/>
        <v xml:space="preserve">       </v>
      </c>
      <c r="AJ207" t="str">
        <f t="shared" si="67"/>
        <v xml:space="preserve">      </v>
      </c>
    </row>
    <row r="208" spans="1:36" x14ac:dyDescent="0.25">
      <c r="A208" t="s">
        <v>165</v>
      </c>
      <c r="P208" t="str">
        <f t="shared" si="68"/>
        <v xml:space="preserve">                </v>
      </c>
      <c r="Q208" t="str">
        <f t="shared" si="68"/>
        <v xml:space="preserve">         </v>
      </c>
      <c r="R208" t="str">
        <f t="shared" si="81"/>
        <v xml:space="preserve">    83.0 </v>
      </c>
      <c r="S208" t="str">
        <f t="shared" si="69"/>
        <v xml:space="preserve">   125.0 </v>
      </c>
      <c r="T208" t="str">
        <f t="shared" si="70"/>
        <v xml:space="preserve">   125.0 </v>
      </c>
      <c r="U208" t="str">
        <f t="shared" si="74"/>
        <v xml:space="preserve">       14.7% </v>
      </c>
      <c r="V208" t="str">
        <f t="shared" si="82"/>
        <v xml:space="preserve">         </v>
      </c>
      <c r="W208" t="str">
        <f t="shared" si="71"/>
        <v xml:space="preserve">         </v>
      </c>
      <c r="X208" t="str">
        <f t="shared" si="75"/>
        <v xml:space="preserve"> 41308 </v>
      </c>
      <c r="Y208" t="str">
        <f t="shared" si="75"/>
        <v xml:space="preserve"> OSO2-5-RS000 </v>
      </c>
      <c r="Z208" t="str">
        <f t="shared" si="75"/>
        <v xml:space="preserve">  5 </v>
      </c>
      <c r="AA208" t="str">
        <f t="shared" si="83"/>
        <v xml:space="preserve">   -10.4 </v>
      </c>
      <c r="AB208" t="str">
        <f t="shared" si="72"/>
        <v xml:space="preserve">    -6.5 </v>
      </c>
      <c r="AC208" t="str">
        <f t="shared" si="73"/>
        <v xml:space="preserve">    12.2 </v>
      </c>
      <c r="AD208" t="str">
        <f t="shared" si="74"/>
        <v xml:space="preserve"> 1.000F </v>
      </c>
      <c r="AE208" t="str">
        <f t="shared" si="84"/>
        <v xml:space="preserve">       </v>
      </c>
      <c r="AF208" t="str">
        <f t="shared" si="76"/>
        <v xml:space="preserve"> 002 </v>
      </c>
      <c r="AG208" t="str">
        <f t="shared" si="76"/>
        <v xml:space="preserve">     0.00 </v>
      </c>
      <c r="AH208" t="str">
        <f t="shared" si="85"/>
        <v xml:space="preserve">    -0.02 </v>
      </c>
      <c r="AI208" t="str">
        <f t="shared" si="66"/>
        <v xml:space="preserve">       </v>
      </c>
      <c r="AJ208" t="str">
        <f t="shared" si="67"/>
        <v xml:space="preserve">      </v>
      </c>
    </row>
    <row r="209" spans="1:36" x14ac:dyDescent="0.25">
      <c r="A209" t="s">
        <v>14</v>
      </c>
      <c r="P209" t="str">
        <f t="shared" si="68"/>
        <v xml:space="preserve">  ..............</v>
      </c>
      <c r="Q209" t="str">
        <f t="shared" si="68"/>
        <v>.........</v>
      </c>
      <c r="R209" t="str">
        <f t="shared" si="81"/>
        <v>.........</v>
      </c>
      <c r="S209" t="str">
        <f t="shared" si="69"/>
        <v>.........</v>
      </c>
      <c r="T209" t="str">
        <f t="shared" si="70"/>
        <v>.........</v>
      </c>
      <c r="U209" t="str">
        <f t="shared" si="74"/>
        <v>.............</v>
      </c>
      <c r="V209" t="str">
        <f t="shared" si="82"/>
        <v>.........</v>
      </c>
      <c r="W209" t="str">
        <f t="shared" si="71"/>
        <v>.........</v>
      </c>
      <c r="X209" t="str">
        <f t="shared" si="75"/>
        <v>.......</v>
      </c>
      <c r="Y209" t="str">
        <f t="shared" si="75"/>
        <v>..............</v>
      </c>
      <c r="Z209" t="str">
        <f t="shared" si="75"/>
        <v>....</v>
      </c>
      <c r="AA209" t="str">
        <f t="shared" si="83"/>
        <v>.........</v>
      </c>
      <c r="AB209" t="str">
        <f t="shared" si="72"/>
        <v>.........</v>
      </c>
      <c r="AC209" t="str">
        <f t="shared" si="73"/>
        <v>.........</v>
      </c>
      <c r="AD209" t="str">
        <f t="shared" si="74"/>
        <v>........</v>
      </c>
      <c r="AE209" t="str">
        <f t="shared" si="84"/>
        <v>.......</v>
      </c>
      <c r="AF209" t="str">
        <f t="shared" si="76"/>
        <v>.....</v>
      </c>
      <c r="AG209" t="str">
        <f t="shared" si="76"/>
        <v>..........</v>
      </c>
      <c r="AH209" t="str">
        <f t="shared" si="85"/>
        <v>..........</v>
      </c>
      <c r="AI209" t="str">
        <f t="shared" si="66"/>
        <v>.......</v>
      </c>
      <c r="AJ209" t="str">
        <f t="shared" si="67"/>
        <v>.......</v>
      </c>
    </row>
    <row r="210" spans="1:36" x14ac:dyDescent="0.25">
      <c r="A210" t="s">
        <v>166</v>
      </c>
      <c r="P210" t="str">
        <f t="shared" si="68"/>
        <v xml:space="preserve">   1234  138  0 </v>
      </c>
      <c r="Q210" t="str">
        <f t="shared" si="68"/>
        <v xml:space="preserve">   0.998 </v>
      </c>
      <c r="R210" t="str">
        <f t="shared" si="81"/>
        <v xml:space="preserve">     1.8 </v>
      </c>
      <c r="S210" t="str">
        <f t="shared" si="69"/>
        <v xml:space="preserve">     0.0 </v>
      </c>
      <c r="T210" t="str">
        <f t="shared" si="70"/>
        <v xml:space="preserve">     8.4 </v>
      </c>
      <c r="U210" t="str">
        <f t="shared" si="74"/>
        <v xml:space="preserve">         0.0 </v>
      </c>
      <c r="V210" t="str">
        <f t="shared" si="82"/>
        <v xml:space="preserve">     0.0 </v>
      </c>
      <c r="W210" t="str">
        <f t="shared" si="71"/>
        <v xml:space="preserve">     0.0</v>
      </c>
      <c r="X210" t="str">
        <f t="shared" si="75"/>
        <v/>
      </c>
      <c r="Y210" t="str">
        <f t="shared" si="75"/>
        <v/>
      </c>
      <c r="Z210" t="str">
        <f t="shared" si="75"/>
        <v/>
      </c>
      <c r="AA210" t="str">
        <f t="shared" si="83"/>
        <v/>
      </c>
      <c r="AB210" t="str">
        <f t="shared" si="72"/>
        <v/>
      </c>
      <c r="AC210" t="str">
        <f t="shared" si="73"/>
        <v/>
      </c>
      <c r="AD210" t="str">
        <f t="shared" si="74"/>
        <v/>
      </c>
      <c r="AE210" t="str">
        <f t="shared" si="84"/>
        <v/>
      </c>
      <c r="AF210" t="str">
        <f t="shared" si="76"/>
        <v/>
      </c>
      <c r="AG210" t="str">
        <f t="shared" si="76"/>
        <v/>
      </c>
      <c r="AH210" t="str">
        <f t="shared" si="85"/>
        <v/>
      </c>
      <c r="AI210" t="str">
        <f t="shared" si="66"/>
        <v/>
      </c>
      <c r="AJ210" t="str">
        <f t="shared" si="67"/>
        <v/>
      </c>
    </row>
    <row r="211" spans="1:36" x14ac:dyDescent="0.25">
      <c r="A211" t="s">
        <v>167</v>
      </c>
      <c r="P211" t="str">
        <f t="shared" si="68"/>
        <v xml:space="preserve">  MOSTAR-RS138  </v>
      </c>
      <c r="Q211" t="str">
        <f t="shared" si="68"/>
        <v xml:space="preserve">   -48.7 </v>
      </c>
      <c r="R211" t="str">
        <f t="shared" si="81"/>
        <v xml:space="preserve">     0.0 </v>
      </c>
      <c r="S211" t="str">
        <f t="shared" si="69"/>
        <v xml:space="preserve">     0.0 </v>
      </c>
      <c r="T211" t="str">
        <f t="shared" si="70"/>
        <v xml:space="preserve">     2.9 </v>
      </c>
      <c r="U211" t="str">
        <f t="shared" si="74"/>
        <v xml:space="preserve">         0.0 </v>
      </c>
      <c r="V211" t="str">
        <f t="shared" si="82"/>
        <v xml:space="preserve">     0.0 </v>
      </c>
      <c r="W211" t="str">
        <f t="shared" si="71"/>
        <v xml:space="preserve">     0.0 </v>
      </c>
      <c r="X211" t="str">
        <f t="shared" si="75"/>
        <v xml:space="preserve">       </v>
      </c>
      <c r="Y211" t="str">
        <f t="shared" si="75"/>
        <v xml:space="preserve">              </v>
      </c>
      <c r="Z211" t="str">
        <f t="shared" si="75"/>
        <v xml:space="preserve">    </v>
      </c>
      <c r="AA211" t="str">
        <f t="shared" si="83"/>
        <v xml:space="preserve">         </v>
      </c>
      <c r="AB211" t="str">
        <f t="shared" si="72"/>
        <v xml:space="preserve">         </v>
      </c>
      <c r="AC211" t="str">
        <f t="shared" si="73"/>
        <v xml:space="preserve">    </v>
      </c>
      <c r="AD211" t="str">
        <f t="shared" si="74"/>
        <v/>
      </c>
      <c r="AE211" t="str">
        <f t="shared" si="84"/>
        <v/>
      </c>
      <c r="AF211" t="str">
        <f t="shared" si="76"/>
        <v/>
      </c>
      <c r="AG211" t="str">
        <f t="shared" si="76"/>
        <v/>
      </c>
      <c r="AH211" t="str">
        <f t="shared" si="85"/>
        <v/>
      </c>
      <c r="AI211" t="str">
        <f t="shared" si="66"/>
        <v/>
      </c>
      <c r="AJ211" t="str">
        <f t="shared" si="67"/>
        <v/>
      </c>
    </row>
    <row r="212" spans="1:36" x14ac:dyDescent="0.25">
      <c r="A212" t="s">
        <v>168</v>
      </c>
      <c r="P212" t="str">
        <f t="shared" si="68"/>
        <v xml:space="preserve">                </v>
      </c>
      <c r="Q212" t="str">
        <f t="shared" si="68"/>
        <v xml:space="preserve">         </v>
      </c>
      <c r="R212" t="str">
        <f t="shared" si="81"/>
        <v xml:space="preserve">   103.0 </v>
      </c>
      <c r="S212" t="str">
        <f t="shared" si="69"/>
        <v xml:space="preserve">   131.0 </v>
      </c>
      <c r="T212" t="str">
        <f t="shared" si="70"/>
        <v xml:space="preserve">   131.0 </v>
      </c>
      <c r="U212" t="str">
        <f t="shared" si="74"/>
        <v xml:space="preserve">        7.0% </v>
      </c>
      <c r="V212" t="str">
        <f t="shared" si="82"/>
        <v xml:space="preserve">         </v>
      </c>
      <c r="W212" t="str">
        <f t="shared" si="71"/>
        <v xml:space="preserve">         </v>
      </c>
      <c r="X212" t="str">
        <f t="shared" si="75"/>
        <v xml:space="preserve">  9728 </v>
      </c>
      <c r="Y212" t="str">
        <f t="shared" si="75"/>
        <v xml:space="preserve"> PALMA1-RS138 </v>
      </c>
      <c r="Z212" t="str">
        <f t="shared" si="75"/>
        <v xml:space="preserve">  1 </v>
      </c>
      <c r="AA212" t="str">
        <f t="shared" si="83"/>
        <v xml:space="preserve">    -6.6 </v>
      </c>
      <c r="AB212" t="str">
        <f t="shared" si="72"/>
        <v xml:space="preserve">    -2.9 </v>
      </c>
      <c r="AC212" t="str">
        <f t="shared" si="73"/>
        <v xml:space="preserve">     7.2 </v>
      </c>
      <c r="AD212" t="str">
        <f t="shared" si="74"/>
        <v xml:space="preserve">        </v>
      </c>
      <c r="AE212" t="str">
        <f t="shared" si="84"/>
        <v xml:space="preserve">       </v>
      </c>
      <c r="AF212" t="str">
        <f t="shared" si="76"/>
        <v xml:space="preserve">     </v>
      </c>
      <c r="AG212" t="str">
        <f t="shared" si="76"/>
        <v xml:space="preserve">     0.03 </v>
      </c>
      <c r="AH212" t="str">
        <f t="shared" si="85"/>
        <v xml:space="preserve">    -2.13 </v>
      </c>
      <c r="AI212" t="str">
        <f t="shared" si="66"/>
        <v xml:space="preserve">       </v>
      </c>
      <c r="AJ212" t="str">
        <f t="shared" si="67"/>
        <v xml:space="preserve">      </v>
      </c>
    </row>
    <row r="213" spans="1:36" x14ac:dyDescent="0.25">
      <c r="A213" t="s">
        <v>14</v>
      </c>
      <c r="P213" t="str">
        <f t="shared" si="68"/>
        <v xml:space="preserve">  ..............</v>
      </c>
      <c r="Q213" t="str">
        <f t="shared" si="68"/>
        <v>.........</v>
      </c>
      <c r="R213" t="str">
        <f t="shared" si="81"/>
        <v>.........</v>
      </c>
      <c r="S213" t="str">
        <f t="shared" si="69"/>
        <v>.........</v>
      </c>
      <c r="T213" t="str">
        <f t="shared" si="70"/>
        <v>.........</v>
      </c>
      <c r="U213" t="str">
        <f t="shared" si="74"/>
        <v>.............</v>
      </c>
      <c r="V213" t="str">
        <f t="shared" si="82"/>
        <v>.........</v>
      </c>
      <c r="W213" t="str">
        <f t="shared" si="71"/>
        <v>.........</v>
      </c>
      <c r="X213" t="str">
        <f t="shared" si="75"/>
        <v>.......</v>
      </c>
      <c r="Y213" t="str">
        <f t="shared" si="75"/>
        <v>..............</v>
      </c>
      <c r="Z213" t="str">
        <f t="shared" si="75"/>
        <v>....</v>
      </c>
      <c r="AA213" t="str">
        <f t="shared" si="83"/>
        <v>.........</v>
      </c>
      <c r="AB213" t="str">
        <f t="shared" si="72"/>
        <v>.........</v>
      </c>
      <c r="AC213" t="str">
        <f t="shared" si="73"/>
        <v>.........</v>
      </c>
      <c r="AD213" t="str">
        <f t="shared" si="74"/>
        <v>........</v>
      </c>
      <c r="AE213" t="str">
        <f t="shared" si="84"/>
        <v>.......</v>
      </c>
      <c r="AF213" t="str">
        <f t="shared" si="76"/>
        <v>.....</v>
      </c>
      <c r="AG213" t="str">
        <f t="shared" si="76"/>
        <v>..........</v>
      </c>
      <c r="AH213" t="str">
        <f t="shared" si="85"/>
        <v>..........</v>
      </c>
      <c r="AI213" t="str">
        <f t="shared" si="66"/>
        <v>.......</v>
      </c>
      <c r="AJ213" t="str">
        <f t="shared" si="67"/>
        <v>.......</v>
      </c>
    </row>
    <row r="214" spans="1:36" x14ac:dyDescent="0.25">
      <c r="A214" t="s">
        <v>169</v>
      </c>
      <c r="P214" t="str">
        <f t="shared" si="68"/>
        <v xml:space="preserve">   1235   69  0 </v>
      </c>
      <c r="Q214" t="str">
        <f t="shared" si="68"/>
        <v xml:space="preserve">   1.007 </v>
      </c>
      <c r="R214" t="str">
        <f t="shared" si="81"/>
        <v xml:space="preserve">     3.9 </v>
      </c>
      <c r="S214" t="str">
        <f t="shared" si="69"/>
        <v xml:space="preserve">     0.0 </v>
      </c>
      <c r="T214" t="str">
        <f t="shared" si="70"/>
        <v xml:space="preserve">    27.6 </v>
      </c>
      <c r="U214" t="str">
        <f t="shared" si="74"/>
        <v xml:space="preserve">         0.0 </v>
      </c>
      <c r="V214" t="str">
        <f t="shared" si="82"/>
        <v xml:space="preserve">    14.6 </v>
      </c>
      <c r="W214" t="str">
        <f t="shared" si="71"/>
        <v xml:space="preserve">     0.0</v>
      </c>
      <c r="X214" t="str">
        <f t="shared" si="75"/>
        <v/>
      </c>
      <c r="Y214" t="str">
        <f t="shared" si="75"/>
        <v/>
      </c>
      <c r="Z214" t="str">
        <f t="shared" si="75"/>
        <v/>
      </c>
      <c r="AA214" t="str">
        <f t="shared" si="83"/>
        <v/>
      </c>
      <c r="AB214" t="str">
        <f t="shared" si="72"/>
        <v/>
      </c>
      <c r="AC214" t="str">
        <f t="shared" si="73"/>
        <v/>
      </c>
      <c r="AD214" t="str">
        <f t="shared" si="74"/>
        <v/>
      </c>
      <c r="AE214" t="str">
        <f t="shared" si="84"/>
        <v/>
      </c>
      <c r="AF214" t="str">
        <f t="shared" si="76"/>
        <v/>
      </c>
      <c r="AG214" t="str">
        <f t="shared" si="76"/>
        <v/>
      </c>
      <c r="AH214" t="str">
        <f t="shared" si="85"/>
        <v/>
      </c>
      <c r="AI214" t="str">
        <f t="shared" si="66"/>
        <v/>
      </c>
      <c r="AJ214" t="str">
        <f t="shared" si="67"/>
        <v/>
      </c>
    </row>
    <row r="215" spans="1:36" x14ac:dyDescent="0.25">
      <c r="A215" t="s">
        <v>170</v>
      </c>
      <c r="P215" t="str">
        <f t="shared" si="68"/>
        <v xml:space="preserve">  MACAMB-RS069  </v>
      </c>
      <c r="Q215" t="str">
        <f t="shared" si="68"/>
        <v xml:space="preserve">   -48.3 </v>
      </c>
      <c r="R215" t="str">
        <f t="shared" si="81"/>
        <v xml:space="preserve">     0.0 </v>
      </c>
      <c r="S215" t="str">
        <f t="shared" si="69"/>
        <v xml:space="preserve">     0.0 </v>
      </c>
      <c r="T215" t="str">
        <f t="shared" si="70"/>
        <v xml:space="preserve">     1.2 </v>
      </c>
      <c r="U215" t="str">
        <f t="shared" si="74"/>
        <v xml:space="preserve">         0.0 </v>
      </c>
      <c r="V215" t="str">
        <f t="shared" si="82"/>
        <v xml:space="preserve">     0.0 </v>
      </c>
      <c r="W215" t="str">
        <f t="shared" si="71"/>
        <v xml:space="preserve">     0.0 </v>
      </c>
      <c r="X215" t="str">
        <f t="shared" si="75"/>
        <v xml:space="preserve">       </v>
      </c>
      <c r="Y215" t="str">
        <f t="shared" si="75"/>
        <v xml:space="preserve">              </v>
      </c>
      <c r="Z215" t="str">
        <f t="shared" si="75"/>
        <v xml:space="preserve">    </v>
      </c>
      <c r="AA215" t="str">
        <f t="shared" si="83"/>
        <v xml:space="preserve">         </v>
      </c>
      <c r="AB215" t="str">
        <f t="shared" si="72"/>
        <v xml:space="preserve">         </v>
      </c>
      <c r="AC215" t="str">
        <f t="shared" si="73"/>
        <v xml:space="preserve">    </v>
      </c>
      <c r="AD215" t="str">
        <f t="shared" si="74"/>
        <v/>
      </c>
      <c r="AE215" t="str">
        <f t="shared" si="84"/>
        <v/>
      </c>
      <c r="AF215" t="str">
        <f t="shared" si="76"/>
        <v/>
      </c>
      <c r="AG215" t="str">
        <f t="shared" si="76"/>
        <v/>
      </c>
      <c r="AH215" t="str">
        <f t="shared" si="85"/>
        <v/>
      </c>
      <c r="AI215" t="str">
        <f t="shared" ref="AI215:AI278" si="86">MID($A215,AG$8+AG$9+AH$9-2,AI$9)</f>
        <v/>
      </c>
      <c r="AJ215" t="str">
        <f t="shared" ref="AJ215:AJ278" si="87">MID($A215,AG$8+AG$9+AH$9+AI$9-3,AJ$9)</f>
        <v/>
      </c>
    </row>
    <row r="216" spans="1:36" x14ac:dyDescent="0.25">
      <c r="A216" t="s">
        <v>171</v>
      </c>
      <c r="P216" t="str">
        <f t="shared" si="68"/>
        <v xml:space="preserve">                </v>
      </c>
      <c r="Q216" t="str">
        <f t="shared" si="68"/>
        <v xml:space="preserve">         </v>
      </c>
      <c r="R216" t="str">
        <f t="shared" si="81"/>
        <v xml:space="preserve">    25.0 </v>
      </c>
      <c r="S216" t="str">
        <f t="shared" si="69"/>
        <v xml:space="preserve">    37.0 </v>
      </c>
      <c r="T216" t="str">
        <f t="shared" si="70"/>
        <v xml:space="preserve">    37.0 </v>
      </c>
      <c r="U216" t="str">
        <f t="shared" si="74"/>
        <v xml:space="preserve">       10.9% </v>
      </c>
      <c r="V216" t="str">
        <f t="shared" si="82"/>
        <v xml:space="preserve">         </v>
      </c>
      <c r="W216" t="str">
        <f t="shared" si="71"/>
        <v xml:space="preserve">         </v>
      </c>
      <c r="X216" t="str">
        <f t="shared" si="75"/>
        <v xml:space="preserve">  9205 </v>
      </c>
      <c r="Y216" t="str">
        <f t="shared" si="75"/>
        <v xml:space="preserve"> MACAMB-RS023 </v>
      </c>
      <c r="Z216" t="str">
        <f t="shared" si="75"/>
        <v xml:space="preserve">  2 </v>
      </c>
      <c r="AA216" t="str">
        <f t="shared" si="83"/>
        <v xml:space="preserve">     2.4 </v>
      </c>
      <c r="AB216" t="str">
        <f t="shared" si="72"/>
        <v xml:space="preserve">    -1.4 </v>
      </c>
      <c r="AC216" t="str">
        <f t="shared" si="73"/>
        <v xml:space="preserve">     2.7 </v>
      </c>
      <c r="AD216" t="str">
        <f t="shared" si="74"/>
        <v xml:space="preserve"> 0.995* </v>
      </c>
      <c r="AE216" t="str">
        <f t="shared" si="84"/>
        <v xml:space="preserve">       </v>
      </c>
      <c r="AF216" t="str">
        <f t="shared" si="76"/>
        <v xml:space="preserve">     </v>
      </c>
      <c r="AG216" t="str">
        <f t="shared" si="76"/>
        <v xml:space="preserve">     0.00 </v>
      </c>
      <c r="AH216" t="str">
        <f t="shared" si="85"/>
        <v xml:space="preserve">     0.03 </v>
      </c>
      <c r="AI216" t="str">
        <f t="shared" si="86"/>
        <v xml:space="preserve">       </v>
      </c>
      <c r="AJ216" t="str">
        <f t="shared" si="87"/>
        <v xml:space="preserve">      </v>
      </c>
    </row>
    <row r="217" spans="1:36" x14ac:dyDescent="0.25">
      <c r="A217" t="s">
        <v>172</v>
      </c>
      <c r="P217" t="str">
        <f t="shared" si="68"/>
        <v xml:space="preserve">                </v>
      </c>
      <c r="Q217" t="str">
        <f t="shared" si="68"/>
        <v xml:space="preserve">         </v>
      </c>
      <c r="R217" t="str">
        <f t="shared" si="81"/>
        <v xml:space="preserve">    25.0 </v>
      </c>
      <c r="S217" t="str">
        <f t="shared" si="69"/>
        <v xml:space="preserve">    25.0 </v>
      </c>
      <c r="T217" t="str">
        <f t="shared" si="70"/>
        <v xml:space="preserve">    25.0 </v>
      </c>
      <c r="U217" t="str">
        <f t="shared" si="74"/>
        <v xml:space="preserve">       11.3% </v>
      </c>
      <c r="V217" t="str">
        <f t="shared" si="82"/>
        <v xml:space="preserve">         </v>
      </c>
      <c r="W217" t="str">
        <f t="shared" si="71"/>
        <v xml:space="preserve">         </v>
      </c>
      <c r="X217" t="str">
        <f t="shared" si="75"/>
        <v xml:space="preserve">  9205 </v>
      </c>
      <c r="Y217" t="str">
        <f t="shared" si="75"/>
        <v xml:space="preserve"> MACAMB-RS023 </v>
      </c>
      <c r="Z217" t="str">
        <f t="shared" si="75"/>
        <v xml:space="preserve">  8 </v>
      </c>
      <c r="AA217" t="str">
        <f t="shared" si="83"/>
        <v xml:space="preserve">     2.4 </v>
      </c>
      <c r="AB217" t="str">
        <f t="shared" si="72"/>
        <v xml:space="preserve">    -1.5 </v>
      </c>
      <c r="AC217" t="str">
        <f t="shared" si="73"/>
        <v xml:space="preserve">     2.8 </v>
      </c>
      <c r="AD217" t="str">
        <f t="shared" si="74"/>
        <v xml:space="preserve"> 0.995* </v>
      </c>
      <c r="AE217" t="str">
        <f t="shared" si="84"/>
        <v xml:space="preserve">       </v>
      </c>
      <c r="AF217" t="str">
        <f t="shared" si="76"/>
        <v xml:space="preserve">     </v>
      </c>
      <c r="AG217" t="str">
        <f t="shared" si="76"/>
        <v xml:space="preserve">     0.00 </v>
      </c>
      <c r="AH217" t="str">
        <f t="shared" si="85"/>
        <v xml:space="preserve">     0.03 </v>
      </c>
      <c r="AI217" t="str">
        <f t="shared" si="86"/>
        <v xml:space="preserve">       </v>
      </c>
      <c r="AJ217" t="str">
        <f t="shared" si="87"/>
        <v xml:space="preserve">      </v>
      </c>
    </row>
    <row r="218" spans="1:36" x14ac:dyDescent="0.25">
      <c r="A218" t="s">
        <v>173</v>
      </c>
      <c r="P218" t="str">
        <f t="shared" si="68"/>
        <v xml:space="preserve">                </v>
      </c>
      <c r="Q218" t="str">
        <f t="shared" si="68"/>
        <v xml:space="preserve">         </v>
      </c>
      <c r="R218" t="str">
        <f t="shared" si="81"/>
        <v xml:space="preserve">    83.0 </v>
      </c>
      <c r="S218" t="str">
        <f t="shared" si="69"/>
        <v xml:space="preserve">    83.0 </v>
      </c>
      <c r="T218" t="str">
        <f t="shared" si="70"/>
        <v xml:space="preserve">    83.0 </v>
      </c>
      <c r="U218" t="str">
        <f t="shared" si="74"/>
        <v xml:space="preserve">       13.0% </v>
      </c>
      <c r="V218" t="str">
        <f t="shared" si="82"/>
        <v xml:space="preserve">         </v>
      </c>
      <c r="W218" t="str">
        <f t="shared" si="71"/>
        <v xml:space="preserve">         </v>
      </c>
      <c r="X218" t="str">
        <f t="shared" si="75"/>
        <v xml:space="preserve"> 41291 </v>
      </c>
      <c r="Y218" t="str">
        <f t="shared" si="75"/>
        <v xml:space="preserve"> MBR-1--RS000 </v>
      </c>
      <c r="Z218" t="str">
        <f t="shared" si="75"/>
        <v xml:space="preserve">  1 </v>
      </c>
      <c r="AA218" t="str">
        <f t="shared" si="83"/>
        <v xml:space="preserve">    -9.5 </v>
      </c>
      <c r="AB218" t="str">
        <f t="shared" si="72"/>
        <v xml:space="preserve">     5.4 </v>
      </c>
      <c r="AC218" t="str">
        <f t="shared" si="73"/>
        <v xml:space="preserve">    10.8 </v>
      </c>
      <c r="AD218" t="str">
        <f t="shared" si="74"/>
        <v xml:space="preserve"> 1.000F </v>
      </c>
      <c r="AE218" t="str">
        <f t="shared" si="84"/>
        <v xml:space="preserve">       </v>
      </c>
      <c r="AF218" t="str">
        <f t="shared" si="76"/>
        <v xml:space="preserve"> 002 </v>
      </c>
      <c r="AG218" t="str">
        <f t="shared" si="76"/>
        <v xml:space="preserve">     0.00 </v>
      </c>
      <c r="AH218" t="str">
        <f t="shared" si="85"/>
        <v xml:space="preserve">    -0.01 </v>
      </c>
      <c r="AI218" t="str">
        <f t="shared" si="86"/>
        <v xml:space="preserve">       </v>
      </c>
      <c r="AJ218" t="str">
        <f t="shared" si="87"/>
        <v xml:space="preserve">      </v>
      </c>
    </row>
    <row r="219" spans="1:36" x14ac:dyDescent="0.25">
      <c r="A219" t="s">
        <v>174</v>
      </c>
      <c r="P219" t="str">
        <f t="shared" ref="P219:Q282" si="88">MID($A219,P$8,P$9)</f>
        <v xml:space="preserve">                </v>
      </c>
      <c r="Q219" t="str">
        <f t="shared" si="88"/>
        <v xml:space="preserve">         </v>
      </c>
      <c r="R219" t="str">
        <f t="shared" si="81"/>
        <v xml:space="preserve">    83.0 </v>
      </c>
      <c r="S219" t="str">
        <f t="shared" ref="S219:S282" si="89">MID($A219,Q$8+Q$9+R$9-2,S$9)</f>
        <v xml:space="preserve">    83.0 </v>
      </c>
      <c r="T219" t="str">
        <f t="shared" ref="T219:T282" si="90">MID($A219,Q$8+Q$9+R$9+S$9-3,T$9)</f>
        <v xml:space="preserve">    83.0 </v>
      </c>
      <c r="U219" t="str">
        <f t="shared" si="74"/>
        <v xml:space="preserve">       12.7% </v>
      </c>
      <c r="V219" t="str">
        <f t="shared" si="82"/>
        <v xml:space="preserve">         </v>
      </c>
      <c r="W219" t="str">
        <f t="shared" ref="W219:W282" si="91">MID($A219,U$8+U$9+V$9-2,W$9)</f>
        <v xml:space="preserve">         </v>
      </c>
      <c r="X219" t="str">
        <f t="shared" si="75"/>
        <v xml:space="preserve"> 41292 </v>
      </c>
      <c r="Y219" t="str">
        <f t="shared" si="75"/>
        <v xml:space="preserve"> MBR-7--RS000 </v>
      </c>
      <c r="Z219" t="str">
        <f t="shared" si="75"/>
        <v xml:space="preserve">  7 </v>
      </c>
      <c r="AA219" t="str">
        <f t="shared" si="83"/>
        <v xml:space="preserve">    -9.2 </v>
      </c>
      <c r="AB219" t="str">
        <f t="shared" ref="AB219:AB282" si="92">MID($A219,Z$8+Z$9+AA$9-2,AB$9)</f>
        <v xml:space="preserve">     5.2 </v>
      </c>
      <c r="AC219" t="str">
        <f t="shared" ref="AC219:AC282" si="93">MID($A219,Z$8+Z$9+AA$9+AB$9-3,AC$9)</f>
        <v xml:space="preserve">    10.5 </v>
      </c>
      <c r="AD219" t="str">
        <f t="shared" si="74"/>
        <v xml:space="preserve"> 1.000F </v>
      </c>
      <c r="AE219" t="str">
        <f t="shared" si="84"/>
        <v xml:space="preserve">       </v>
      </c>
      <c r="AF219" t="str">
        <f t="shared" si="76"/>
        <v xml:space="preserve"> 002 </v>
      </c>
      <c r="AG219" t="str">
        <f t="shared" si="76"/>
        <v xml:space="preserve">     0.00 </v>
      </c>
      <c r="AH219" t="str">
        <f t="shared" si="85"/>
        <v xml:space="preserve">    -0.01 </v>
      </c>
      <c r="AI219" t="str">
        <f t="shared" si="86"/>
        <v xml:space="preserve">       </v>
      </c>
      <c r="AJ219" t="str">
        <f t="shared" si="87"/>
        <v xml:space="preserve">      </v>
      </c>
    </row>
    <row r="220" spans="1:36" x14ac:dyDescent="0.25">
      <c r="A220" t="s">
        <v>175</v>
      </c>
      <c r="P220" t="str">
        <f t="shared" si="88"/>
        <v xml:space="preserve">                </v>
      </c>
      <c r="Q220" t="str">
        <f t="shared" si="88"/>
        <v xml:space="preserve">         </v>
      </c>
      <c r="R220" t="str">
        <f t="shared" si="81"/>
        <v xml:space="preserve">    83.0 </v>
      </c>
      <c r="S220" t="str">
        <f t="shared" si="89"/>
        <v xml:space="preserve">    83.0 </v>
      </c>
      <c r="T220" t="str">
        <f t="shared" si="90"/>
        <v xml:space="preserve">    83.0 </v>
      </c>
      <c r="U220" t="str">
        <f t="shared" ref="U220:AD283" si="94">MID($A220,U$8,U$9)</f>
        <v xml:space="preserve">       13.6% </v>
      </c>
      <c r="V220" t="str">
        <f t="shared" si="82"/>
        <v xml:space="preserve">         </v>
      </c>
      <c r="W220" t="str">
        <f t="shared" si="91"/>
        <v xml:space="preserve">         </v>
      </c>
      <c r="X220" t="str">
        <f t="shared" ref="X220:Z283" si="95">MID($A220,X$8,X$9)</f>
        <v xml:space="preserve"> 41293 </v>
      </c>
      <c r="Y220" t="str">
        <f t="shared" si="95"/>
        <v xml:space="preserve"> MBR-9--RS000 </v>
      </c>
      <c r="Z220" t="str">
        <f t="shared" si="95"/>
        <v xml:space="preserve">  9 </v>
      </c>
      <c r="AA220" t="str">
        <f t="shared" si="83"/>
        <v xml:space="preserve">    -9.9 </v>
      </c>
      <c r="AB220" t="str">
        <f t="shared" si="92"/>
        <v xml:space="preserve">     5.6 </v>
      </c>
      <c r="AC220" t="str">
        <f t="shared" si="93"/>
        <v xml:space="preserve">    11.3 </v>
      </c>
      <c r="AD220" t="str">
        <f t="shared" si="94"/>
        <v xml:space="preserve"> 1.000F </v>
      </c>
      <c r="AE220" t="str">
        <f t="shared" si="84"/>
        <v xml:space="preserve">       </v>
      </c>
      <c r="AF220" t="str">
        <f t="shared" si="76"/>
        <v xml:space="preserve"> 002 </v>
      </c>
      <c r="AG220" t="str">
        <f t="shared" si="76"/>
        <v xml:space="preserve">     0.00 </v>
      </c>
      <c r="AH220" t="str">
        <f t="shared" si="85"/>
        <v xml:space="preserve">    -0.01 </v>
      </c>
      <c r="AI220" t="str">
        <f t="shared" si="86"/>
        <v xml:space="preserve">       </v>
      </c>
      <c r="AJ220" t="str">
        <f t="shared" si="87"/>
        <v xml:space="preserve">      </v>
      </c>
    </row>
    <row r="221" spans="1:36" x14ac:dyDescent="0.25">
      <c r="A221" t="s">
        <v>14</v>
      </c>
      <c r="P221" t="str">
        <f t="shared" si="88"/>
        <v xml:space="preserve">  ..............</v>
      </c>
      <c r="Q221" t="str">
        <f t="shared" si="88"/>
        <v>.........</v>
      </c>
      <c r="R221" t="str">
        <f t="shared" si="81"/>
        <v>.........</v>
      </c>
      <c r="S221" t="str">
        <f t="shared" si="89"/>
        <v>.........</v>
      </c>
      <c r="T221" t="str">
        <f t="shared" si="90"/>
        <v>.........</v>
      </c>
      <c r="U221" t="str">
        <f t="shared" si="94"/>
        <v>.............</v>
      </c>
      <c r="V221" t="str">
        <f t="shared" si="82"/>
        <v>.........</v>
      </c>
      <c r="W221" t="str">
        <f t="shared" si="91"/>
        <v>.........</v>
      </c>
      <c r="X221" t="str">
        <f t="shared" si="95"/>
        <v>.......</v>
      </c>
      <c r="Y221" t="str">
        <f t="shared" si="95"/>
        <v>..............</v>
      </c>
      <c r="Z221" t="str">
        <f t="shared" si="95"/>
        <v>....</v>
      </c>
      <c r="AA221" t="str">
        <f t="shared" si="83"/>
        <v>.........</v>
      </c>
      <c r="AB221" t="str">
        <f t="shared" si="92"/>
        <v>.........</v>
      </c>
      <c r="AC221" t="str">
        <f t="shared" si="93"/>
        <v>.........</v>
      </c>
      <c r="AD221" t="str">
        <f t="shared" si="94"/>
        <v>........</v>
      </c>
      <c r="AE221" t="str">
        <f t="shared" si="84"/>
        <v>.......</v>
      </c>
      <c r="AF221" t="str">
        <f t="shared" ref="AF221:AG284" si="96">MID($A221,AF$8,AF$9)</f>
        <v>.....</v>
      </c>
      <c r="AG221" t="str">
        <f t="shared" si="96"/>
        <v>..........</v>
      </c>
      <c r="AH221" t="str">
        <f t="shared" si="85"/>
        <v>..........</v>
      </c>
      <c r="AI221" t="str">
        <f t="shared" si="86"/>
        <v>.......</v>
      </c>
      <c r="AJ221" t="str">
        <f t="shared" si="87"/>
        <v>.......</v>
      </c>
    </row>
    <row r="222" spans="1:36" x14ac:dyDescent="0.25">
      <c r="A222" t="s">
        <v>176</v>
      </c>
      <c r="P222" t="str">
        <f t="shared" si="88"/>
        <v xml:space="preserve">   1237  138  0 </v>
      </c>
      <c r="Q222" t="str">
        <f t="shared" si="88"/>
        <v xml:space="preserve">   1.007 </v>
      </c>
      <c r="R222" t="str">
        <f t="shared" si="81"/>
        <v xml:space="preserve">     8.8 </v>
      </c>
      <c r="S222" t="str">
        <f t="shared" si="89"/>
        <v xml:space="preserve">     0.0 </v>
      </c>
      <c r="T222" t="str">
        <f t="shared" si="90"/>
        <v xml:space="preserve">    48.8 </v>
      </c>
      <c r="U222" t="str">
        <f t="shared" si="94"/>
        <v xml:space="preserve">         0.0 </v>
      </c>
      <c r="V222" t="str">
        <f t="shared" si="82"/>
        <v xml:space="preserve">     7.3 </v>
      </c>
      <c r="W222" t="str">
        <f t="shared" si="91"/>
        <v xml:space="preserve">     0.0</v>
      </c>
      <c r="X222" t="str">
        <f t="shared" si="95"/>
        <v/>
      </c>
      <c r="Y222" t="str">
        <f t="shared" si="95"/>
        <v/>
      </c>
      <c r="Z222" t="str">
        <f t="shared" si="95"/>
        <v/>
      </c>
      <c r="AA222" t="str">
        <f t="shared" si="83"/>
        <v/>
      </c>
      <c r="AB222" t="str">
        <f t="shared" si="92"/>
        <v/>
      </c>
      <c r="AC222" t="str">
        <f t="shared" si="93"/>
        <v/>
      </c>
      <c r="AD222" t="str">
        <f t="shared" si="94"/>
        <v/>
      </c>
      <c r="AE222" t="str">
        <f t="shared" si="84"/>
        <v/>
      </c>
      <c r="AF222" t="str">
        <f t="shared" si="96"/>
        <v/>
      </c>
      <c r="AG222" t="str">
        <f t="shared" si="96"/>
        <v/>
      </c>
      <c r="AH222" t="str">
        <f t="shared" si="85"/>
        <v/>
      </c>
      <c r="AI222" t="str">
        <f t="shared" si="86"/>
        <v/>
      </c>
      <c r="AJ222" t="str">
        <f t="shared" si="87"/>
        <v/>
      </c>
    </row>
    <row r="223" spans="1:36" x14ac:dyDescent="0.25">
      <c r="A223" t="s">
        <v>177</v>
      </c>
      <c r="P223" t="str">
        <f t="shared" si="88"/>
        <v xml:space="preserve">  MONTEN-RS138  </v>
      </c>
      <c r="Q223" t="str">
        <f t="shared" si="88"/>
        <v xml:space="preserve">   -52.2 </v>
      </c>
      <c r="R223" t="str">
        <f t="shared" si="81"/>
        <v xml:space="preserve">     0.0 </v>
      </c>
      <c r="S223" t="str">
        <f t="shared" si="89"/>
        <v xml:space="preserve">     0.0 </v>
      </c>
      <c r="T223" t="str">
        <f t="shared" si="90"/>
        <v xml:space="preserve">    18.7 </v>
      </c>
      <c r="U223" t="str">
        <f t="shared" si="94"/>
        <v xml:space="preserve">         0.0 </v>
      </c>
      <c r="V223" t="str">
        <f t="shared" si="82"/>
        <v xml:space="preserve">     0.0 </v>
      </c>
      <c r="W223" t="str">
        <f t="shared" si="91"/>
        <v xml:space="preserve">     0.0 </v>
      </c>
      <c r="X223" t="str">
        <f t="shared" si="95"/>
        <v xml:space="preserve">       </v>
      </c>
      <c r="Y223" t="str">
        <f t="shared" si="95"/>
        <v xml:space="preserve">              </v>
      </c>
      <c r="Z223" t="str">
        <f t="shared" si="95"/>
        <v xml:space="preserve">    </v>
      </c>
      <c r="AA223" t="str">
        <f t="shared" si="83"/>
        <v xml:space="preserve">         </v>
      </c>
      <c r="AB223" t="str">
        <f t="shared" si="92"/>
        <v xml:space="preserve">         </v>
      </c>
      <c r="AC223" t="str">
        <f t="shared" si="93"/>
        <v xml:space="preserve">    </v>
      </c>
      <c r="AD223" t="str">
        <f t="shared" si="94"/>
        <v/>
      </c>
      <c r="AE223" t="str">
        <f t="shared" si="84"/>
        <v/>
      </c>
      <c r="AF223" t="str">
        <f t="shared" si="96"/>
        <v/>
      </c>
      <c r="AG223" t="str">
        <f t="shared" si="96"/>
        <v/>
      </c>
      <c r="AH223" t="str">
        <f t="shared" si="85"/>
        <v/>
      </c>
      <c r="AI223" t="str">
        <f t="shared" si="86"/>
        <v/>
      </c>
      <c r="AJ223" t="str">
        <f t="shared" si="87"/>
        <v/>
      </c>
    </row>
    <row r="224" spans="1:36" x14ac:dyDescent="0.25">
      <c r="A224" t="s">
        <v>178</v>
      </c>
      <c r="P224" t="str">
        <f t="shared" si="88"/>
        <v xml:space="preserve">                </v>
      </c>
      <c r="Q224" t="str">
        <f t="shared" si="88"/>
        <v xml:space="preserve">         </v>
      </c>
      <c r="R224" t="str">
        <f t="shared" si="81"/>
        <v xml:space="preserve">   134.0 </v>
      </c>
      <c r="S224" t="str">
        <f t="shared" si="89"/>
        <v xml:space="preserve">   162.0 </v>
      </c>
      <c r="T224" t="str">
        <f t="shared" si="90"/>
        <v xml:space="preserve">   162.0 </v>
      </c>
      <c r="U224" t="str">
        <f t="shared" si="94"/>
        <v xml:space="preserve">       30.8% </v>
      </c>
      <c r="V224" t="str">
        <f t="shared" si="82"/>
        <v xml:space="preserve">         </v>
      </c>
      <c r="W224" t="str">
        <f t="shared" si="91"/>
        <v xml:space="preserve">         </v>
      </c>
      <c r="X224" t="str">
        <f t="shared" si="95"/>
        <v xml:space="preserve"> 10308 </v>
      </c>
      <c r="Y224" t="str">
        <f t="shared" si="95"/>
        <v xml:space="preserve"> SSCAI2-RS138 </v>
      </c>
      <c r="Z224" t="str">
        <f t="shared" si="95"/>
        <v xml:space="preserve">  1 </v>
      </c>
      <c r="AA224" t="str">
        <f t="shared" si="83"/>
        <v xml:space="preserve">   -40.0 </v>
      </c>
      <c r="AB224" t="str">
        <f t="shared" si="92"/>
        <v xml:space="preserve">   -11.4 </v>
      </c>
      <c r="AC224" t="str">
        <f t="shared" si="93"/>
        <v xml:space="preserve">    41.3 </v>
      </c>
      <c r="AD224" t="str">
        <f t="shared" si="94"/>
        <v xml:space="preserve">        </v>
      </c>
      <c r="AE224" t="str">
        <f t="shared" si="84"/>
        <v xml:space="preserve">       </v>
      </c>
      <c r="AF224" t="str">
        <f t="shared" si="96"/>
        <v xml:space="preserve">     </v>
      </c>
      <c r="AG224" t="str">
        <f t="shared" si="96"/>
        <v xml:space="preserve">     0.28 </v>
      </c>
      <c r="AH224" t="str">
        <f t="shared" si="85"/>
        <v xml:space="preserve">    -0.41 </v>
      </c>
      <c r="AI224" t="str">
        <f t="shared" si="86"/>
        <v xml:space="preserve">       </v>
      </c>
      <c r="AJ224" t="str">
        <f t="shared" si="87"/>
        <v xml:space="preserve">      </v>
      </c>
    </row>
    <row r="225" spans="1:36" x14ac:dyDescent="0.25">
      <c r="A225" t="s">
        <v>14</v>
      </c>
      <c r="P225" t="str">
        <f t="shared" si="88"/>
        <v xml:space="preserve">  ..............</v>
      </c>
      <c r="Q225" t="str">
        <f t="shared" si="88"/>
        <v>.........</v>
      </c>
      <c r="R225" t="str">
        <f t="shared" si="81"/>
        <v>.........</v>
      </c>
      <c r="S225" t="str">
        <f t="shared" si="89"/>
        <v>.........</v>
      </c>
      <c r="T225" t="str">
        <f t="shared" si="90"/>
        <v>.........</v>
      </c>
      <c r="U225" t="str">
        <f t="shared" si="94"/>
        <v>.............</v>
      </c>
      <c r="V225" t="str">
        <f t="shared" si="82"/>
        <v>.........</v>
      </c>
      <c r="W225" t="str">
        <f t="shared" si="91"/>
        <v>.........</v>
      </c>
      <c r="X225" t="str">
        <f t="shared" si="95"/>
        <v>.......</v>
      </c>
      <c r="Y225" t="str">
        <f t="shared" si="95"/>
        <v>..............</v>
      </c>
      <c r="Z225" t="str">
        <f t="shared" si="95"/>
        <v>....</v>
      </c>
      <c r="AA225" t="str">
        <f t="shared" si="83"/>
        <v>.........</v>
      </c>
      <c r="AB225" t="str">
        <f t="shared" si="92"/>
        <v>.........</v>
      </c>
      <c r="AC225" t="str">
        <f t="shared" si="93"/>
        <v>.........</v>
      </c>
      <c r="AD225" t="str">
        <f t="shared" si="94"/>
        <v>........</v>
      </c>
      <c r="AE225" t="str">
        <f t="shared" si="84"/>
        <v>.......</v>
      </c>
      <c r="AF225" t="str">
        <f t="shared" si="96"/>
        <v>.....</v>
      </c>
      <c r="AG225" t="str">
        <f t="shared" si="96"/>
        <v>..........</v>
      </c>
      <c r="AH225" t="str">
        <f t="shared" si="85"/>
        <v>..........</v>
      </c>
      <c r="AI225" t="str">
        <f t="shared" si="86"/>
        <v>.......</v>
      </c>
      <c r="AJ225" t="str">
        <f t="shared" si="87"/>
        <v>.......</v>
      </c>
    </row>
    <row r="226" spans="1:36" x14ac:dyDescent="0.25">
      <c r="A226" t="s">
        <v>179</v>
      </c>
      <c r="P226" t="str">
        <f t="shared" si="88"/>
        <v xml:space="preserve">   1241  138  0 </v>
      </c>
      <c r="Q226" t="str">
        <f t="shared" si="88"/>
        <v xml:space="preserve">   1.009 </v>
      </c>
      <c r="R226" t="str">
        <f t="shared" si="81"/>
        <v xml:space="preserve">     6.2 </v>
      </c>
      <c r="S226" t="str">
        <f t="shared" si="89"/>
        <v xml:space="preserve">     0.0 </v>
      </c>
      <c r="T226" t="str">
        <f t="shared" si="90"/>
        <v xml:space="preserve">    36.6 </v>
      </c>
      <c r="U226" t="str">
        <f t="shared" si="94"/>
        <v xml:space="preserve">         0.0 </v>
      </c>
      <c r="V226" t="str">
        <f t="shared" si="82"/>
        <v xml:space="preserve">     7.3 </v>
      </c>
      <c r="W226" t="str">
        <f t="shared" si="91"/>
        <v xml:space="preserve">     0.0</v>
      </c>
      <c r="X226" t="str">
        <f t="shared" si="95"/>
        <v/>
      </c>
      <c r="Y226" t="str">
        <f t="shared" si="95"/>
        <v/>
      </c>
      <c r="Z226" t="str">
        <f t="shared" si="95"/>
        <v/>
      </c>
      <c r="AA226" t="str">
        <f t="shared" si="83"/>
        <v/>
      </c>
      <c r="AB226" t="str">
        <f t="shared" si="92"/>
        <v/>
      </c>
      <c r="AC226" t="str">
        <f t="shared" si="93"/>
        <v/>
      </c>
      <c r="AD226" t="str">
        <f t="shared" si="94"/>
        <v/>
      </c>
      <c r="AE226" t="str">
        <f t="shared" si="84"/>
        <v/>
      </c>
      <c r="AF226" t="str">
        <f t="shared" si="96"/>
        <v/>
      </c>
      <c r="AG226" t="str">
        <f t="shared" si="96"/>
        <v/>
      </c>
      <c r="AH226" t="str">
        <f t="shared" si="85"/>
        <v/>
      </c>
      <c r="AI226" t="str">
        <f t="shared" si="86"/>
        <v/>
      </c>
      <c r="AJ226" t="str">
        <f t="shared" si="87"/>
        <v/>
      </c>
    </row>
    <row r="227" spans="1:36" x14ac:dyDescent="0.25">
      <c r="A227" t="s">
        <v>180</v>
      </c>
      <c r="P227" t="str">
        <f t="shared" si="88"/>
        <v xml:space="preserve">  EVELHA-RS138  </v>
      </c>
      <c r="Q227" t="str">
        <f t="shared" si="88"/>
        <v xml:space="preserve">   -53.0 </v>
      </c>
      <c r="R227" t="str">
        <f t="shared" si="81"/>
        <v xml:space="preserve">     0.0 </v>
      </c>
      <c r="S227" t="str">
        <f t="shared" si="89"/>
        <v xml:space="preserve">     0.0 </v>
      </c>
      <c r="T227" t="str">
        <f t="shared" si="90"/>
        <v xml:space="preserve">     8.6 </v>
      </c>
      <c r="U227" t="str">
        <f t="shared" si="94"/>
        <v xml:space="preserve">         0.0 </v>
      </c>
      <c r="V227" t="str">
        <f t="shared" si="82"/>
        <v xml:space="preserve">     0.0 </v>
      </c>
      <c r="W227" t="str">
        <f t="shared" si="91"/>
        <v xml:space="preserve">     0.0 </v>
      </c>
      <c r="X227" t="str">
        <f t="shared" si="95"/>
        <v xml:space="preserve">       </v>
      </c>
      <c r="Y227" t="str">
        <f t="shared" si="95"/>
        <v xml:space="preserve">              </v>
      </c>
      <c r="Z227" t="str">
        <f t="shared" si="95"/>
        <v xml:space="preserve">    </v>
      </c>
      <c r="AA227" t="str">
        <f t="shared" si="83"/>
        <v xml:space="preserve">         </v>
      </c>
      <c r="AB227" t="str">
        <f t="shared" si="92"/>
        <v xml:space="preserve">         </v>
      </c>
      <c r="AC227" t="str">
        <f t="shared" si="93"/>
        <v xml:space="preserve">    </v>
      </c>
      <c r="AD227" t="str">
        <f t="shared" si="94"/>
        <v/>
      </c>
      <c r="AE227" t="str">
        <f t="shared" si="84"/>
        <v/>
      </c>
      <c r="AF227" t="str">
        <f t="shared" si="96"/>
        <v/>
      </c>
      <c r="AG227" t="str">
        <f t="shared" si="96"/>
        <v/>
      </c>
      <c r="AH227" t="str">
        <f t="shared" si="85"/>
        <v/>
      </c>
      <c r="AI227" t="str">
        <f t="shared" si="86"/>
        <v/>
      </c>
      <c r="AJ227" t="str">
        <f t="shared" si="87"/>
        <v/>
      </c>
    </row>
    <row r="228" spans="1:36" x14ac:dyDescent="0.25">
      <c r="A228" t="s">
        <v>181</v>
      </c>
      <c r="P228" t="str">
        <f t="shared" si="88"/>
        <v xml:space="preserve">              DE</v>
      </c>
      <c r="Q228" t="str">
        <f t="shared" si="88"/>
        <v xml:space="preserve">ESLIGADO </v>
      </c>
      <c r="R228" t="str">
        <f t="shared" si="81"/>
        <v xml:space="preserve">   137.0 </v>
      </c>
      <c r="S228" t="str">
        <f t="shared" si="89"/>
        <v xml:space="preserve">   175.0 </v>
      </c>
      <c r="T228" t="str">
        <f t="shared" si="90"/>
        <v xml:space="preserve">   175.0 </v>
      </c>
      <c r="U228" t="str">
        <f t="shared" si="94"/>
        <v xml:space="preserve">             </v>
      </c>
      <c r="V228" t="str">
        <f t="shared" si="82"/>
        <v xml:space="preserve">         </v>
      </c>
      <c r="W228" t="str">
        <f t="shared" si="91"/>
        <v xml:space="preserve">         </v>
      </c>
      <c r="X228" t="str">
        <f t="shared" si="95"/>
        <v xml:space="preserve">  2090 </v>
      </c>
      <c r="Y228" t="str">
        <f t="shared" si="95"/>
        <v xml:space="preserve"> SCHARL-RS138 </v>
      </c>
      <c r="Z228" t="str">
        <f t="shared" si="95"/>
        <v xml:space="preserve">  1 </v>
      </c>
      <c r="AA228" t="str">
        <f t="shared" si="83"/>
        <v xml:space="preserve">     0.0 </v>
      </c>
      <c r="AB228" t="str">
        <f t="shared" si="92"/>
        <v xml:space="preserve">     0.0 </v>
      </c>
      <c r="AC228" t="str">
        <f t="shared" si="93"/>
        <v xml:space="preserve">     0.0 </v>
      </c>
      <c r="AD228" t="str">
        <f t="shared" si="94"/>
        <v xml:space="preserve">        </v>
      </c>
      <c r="AE228" t="str">
        <f t="shared" si="84"/>
        <v xml:space="preserve">       </v>
      </c>
      <c r="AF228" t="str">
        <f t="shared" si="96"/>
        <v xml:space="preserve">     </v>
      </c>
      <c r="AG228" t="str">
        <f t="shared" si="96"/>
        <v xml:space="preserve">     0.00 </v>
      </c>
      <c r="AH228" t="str">
        <f t="shared" si="85"/>
        <v xml:space="preserve">     0.00 </v>
      </c>
      <c r="AI228" t="str">
        <f t="shared" si="86"/>
        <v xml:space="preserve">       </v>
      </c>
      <c r="AJ228" t="str">
        <f t="shared" si="87"/>
        <v xml:space="preserve">      </v>
      </c>
    </row>
    <row r="229" spans="1:36" x14ac:dyDescent="0.25">
      <c r="A229" t="s">
        <v>182</v>
      </c>
      <c r="P229" t="str">
        <f t="shared" si="88"/>
        <v xml:space="preserve">                </v>
      </c>
      <c r="Q229" t="str">
        <f t="shared" si="88"/>
        <v xml:space="preserve">         </v>
      </c>
      <c r="R229" t="str">
        <f t="shared" si="81"/>
        <v xml:space="preserve">   134.0 </v>
      </c>
      <c r="S229" t="str">
        <f t="shared" si="89"/>
        <v xml:space="preserve">   162.0 </v>
      </c>
      <c r="T229" t="str">
        <f t="shared" si="90"/>
        <v xml:space="preserve">   162.0 </v>
      </c>
      <c r="U229" t="str">
        <f t="shared" si="94"/>
        <v xml:space="preserve">       22.5% </v>
      </c>
      <c r="V229" t="str">
        <f t="shared" si="82"/>
        <v xml:space="preserve">         </v>
      </c>
      <c r="W229" t="str">
        <f t="shared" si="91"/>
        <v xml:space="preserve">         </v>
      </c>
      <c r="X229" t="str">
        <f t="shared" si="95"/>
        <v xml:space="preserve">  9965 </v>
      </c>
      <c r="Y229" t="str">
        <f t="shared" si="95"/>
        <v xml:space="preserve"> IVOTI--RS138 </v>
      </c>
      <c r="Z229" t="str">
        <f t="shared" si="95"/>
        <v xml:space="preserve">  1 </v>
      </c>
      <c r="AA229" t="str">
        <f t="shared" si="83"/>
        <v xml:space="preserve">   -30.4 </v>
      </c>
      <c r="AB229" t="str">
        <f t="shared" si="92"/>
        <v xml:space="preserve">    -1.3 </v>
      </c>
      <c r="AC229" t="str">
        <f t="shared" si="93"/>
        <v xml:space="preserve">    30.2 </v>
      </c>
      <c r="AD229" t="str">
        <f t="shared" si="94"/>
        <v xml:space="preserve">        </v>
      </c>
      <c r="AE229" t="str">
        <f t="shared" si="84"/>
        <v xml:space="preserve">       </v>
      </c>
      <c r="AF229" t="str">
        <f t="shared" si="96"/>
        <v xml:space="preserve">     </v>
      </c>
      <c r="AG229" t="str">
        <f t="shared" si="96"/>
        <v xml:space="preserve">     0.02 </v>
      </c>
      <c r="AH229" t="str">
        <f t="shared" si="85"/>
        <v xml:space="preserve">     0.05 </v>
      </c>
      <c r="AI229" t="str">
        <f t="shared" si="86"/>
        <v xml:space="preserve">       </v>
      </c>
      <c r="AJ229" t="str">
        <f t="shared" si="87"/>
        <v xml:space="preserve">      </v>
      </c>
    </row>
    <row r="230" spans="1:36" x14ac:dyDescent="0.25">
      <c r="A230" t="s">
        <v>14</v>
      </c>
      <c r="P230" t="str">
        <f t="shared" si="88"/>
        <v xml:space="preserve">  ..............</v>
      </c>
      <c r="Q230" t="str">
        <f t="shared" si="88"/>
        <v>.........</v>
      </c>
      <c r="R230" t="str">
        <f t="shared" si="81"/>
        <v>.........</v>
      </c>
      <c r="S230" t="str">
        <f t="shared" si="89"/>
        <v>.........</v>
      </c>
      <c r="T230" t="str">
        <f t="shared" si="90"/>
        <v>.........</v>
      </c>
      <c r="U230" t="str">
        <f t="shared" si="94"/>
        <v>.............</v>
      </c>
      <c r="V230" t="str">
        <f t="shared" si="82"/>
        <v>.........</v>
      </c>
      <c r="W230" t="str">
        <f t="shared" si="91"/>
        <v>.........</v>
      </c>
      <c r="X230" t="str">
        <f t="shared" si="95"/>
        <v>.......</v>
      </c>
      <c r="Y230" t="str">
        <f t="shared" si="95"/>
        <v>..............</v>
      </c>
      <c r="Z230" t="str">
        <f t="shared" si="95"/>
        <v>....</v>
      </c>
      <c r="AA230" t="str">
        <f t="shared" si="83"/>
        <v>.........</v>
      </c>
      <c r="AB230" t="str">
        <f t="shared" si="92"/>
        <v>.........</v>
      </c>
      <c r="AC230" t="str">
        <f t="shared" si="93"/>
        <v>.........</v>
      </c>
      <c r="AD230" t="str">
        <f t="shared" si="94"/>
        <v>........</v>
      </c>
      <c r="AE230" t="str">
        <f t="shared" si="84"/>
        <v>.......</v>
      </c>
      <c r="AF230" t="str">
        <f t="shared" si="96"/>
        <v>.....</v>
      </c>
      <c r="AG230" t="str">
        <f t="shared" si="96"/>
        <v>..........</v>
      </c>
      <c r="AH230" t="str">
        <f t="shared" si="85"/>
        <v>..........</v>
      </c>
      <c r="AI230" t="str">
        <f t="shared" si="86"/>
        <v>.......</v>
      </c>
      <c r="AJ230" t="str">
        <f t="shared" si="87"/>
        <v>.......</v>
      </c>
    </row>
    <row r="231" spans="1:36" x14ac:dyDescent="0.25">
      <c r="A231" t="s">
        <v>183</v>
      </c>
      <c r="P231" t="str">
        <f t="shared" si="88"/>
        <v xml:space="preserve">   1242  138  0 </v>
      </c>
      <c r="Q231" t="str">
        <f t="shared" si="88"/>
        <v xml:space="preserve">   1.021 </v>
      </c>
      <c r="R231" t="str">
        <f t="shared" si="81"/>
        <v xml:space="preserve">     0.0 </v>
      </c>
      <c r="S231" t="str">
        <f t="shared" si="89"/>
        <v xml:space="preserve">     0.0 </v>
      </c>
      <c r="T231" t="str">
        <f t="shared" si="90"/>
        <v xml:space="preserve">     0.0 </v>
      </c>
      <c r="U231" t="str">
        <f t="shared" si="94"/>
        <v xml:space="preserve">         0.0 </v>
      </c>
      <c r="V231" t="str">
        <f t="shared" si="82"/>
        <v xml:space="preserve">     0.0 </v>
      </c>
      <c r="W231" t="str">
        <f t="shared" si="91"/>
        <v xml:space="preserve">     0.0</v>
      </c>
      <c r="X231" t="str">
        <f t="shared" si="95"/>
        <v/>
      </c>
      <c r="Y231" t="str">
        <f t="shared" si="95"/>
        <v/>
      </c>
      <c r="Z231" t="str">
        <f t="shared" si="95"/>
        <v/>
      </c>
      <c r="AA231" t="str">
        <f t="shared" si="83"/>
        <v/>
      </c>
      <c r="AB231" t="str">
        <f t="shared" si="92"/>
        <v/>
      </c>
      <c r="AC231" t="str">
        <f t="shared" si="93"/>
        <v/>
      </c>
      <c r="AD231" t="str">
        <f t="shared" si="94"/>
        <v/>
      </c>
      <c r="AE231" t="str">
        <f t="shared" si="84"/>
        <v/>
      </c>
      <c r="AF231" t="str">
        <f t="shared" si="96"/>
        <v/>
      </c>
      <c r="AG231" t="str">
        <f t="shared" si="96"/>
        <v/>
      </c>
      <c r="AH231" t="str">
        <f t="shared" si="85"/>
        <v/>
      </c>
      <c r="AI231" t="str">
        <f t="shared" si="86"/>
        <v/>
      </c>
      <c r="AJ231" t="str">
        <f t="shared" si="87"/>
        <v/>
      </c>
    </row>
    <row r="232" spans="1:36" x14ac:dyDescent="0.25">
      <c r="A232" t="s">
        <v>184</v>
      </c>
      <c r="P232" t="str">
        <f t="shared" si="88"/>
        <v xml:space="preserve">  PREAL--RS138  </v>
      </c>
      <c r="Q232" t="str">
        <f t="shared" si="88"/>
        <v xml:space="preserve">   -47.3 </v>
      </c>
      <c r="R232" t="str">
        <f t="shared" si="81"/>
        <v xml:space="preserve">     0.0 </v>
      </c>
      <c r="S232" t="str">
        <f t="shared" si="89"/>
        <v xml:space="preserve">     0.0 </v>
      </c>
      <c r="T232" t="str">
        <f t="shared" si="90"/>
        <v xml:space="preserve">     0.0 </v>
      </c>
      <c r="U232" t="str">
        <f t="shared" si="94"/>
        <v xml:space="preserve">         0.0 </v>
      </c>
      <c r="V232" t="str">
        <f t="shared" si="82"/>
        <v xml:space="preserve">     0.0 </v>
      </c>
      <c r="W232" t="str">
        <f t="shared" si="91"/>
        <v xml:space="preserve">     0.0 </v>
      </c>
      <c r="X232" t="str">
        <f t="shared" si="95"/>
        <v xml:space="preserve">       </v>
      </c>
      <c r="Y232" t="str">
        <f t="shared" si="95"/>
        <v xml:space="preserve">              </v>
      </c>
      <c r="Z232" t="str">
        <f t="shared" si="95"/>
        <v xml:space="preserve">    </v>
      </c>
      <c r="AA232" t="str">
        <f t="shared" si="83"/>
        <v xml:space="preserve">         </v>
      </c>
      <c r="AB232" t="str">
        <f t="shared" si="92"/>
        <v xml:space="preserve">         </v>
      </c>
      <c r="AC232" t="str">
        <f t="shared" si="93"/>
        <v xml:space="preserve">    </v>
      </c>
      <c r="AD232" t="str">
        <f t="shared" si="94"/>
        <v/>
      </c>
      <c r="AE232" t="str">
        <f t="shared" si="84"/>
        <v/>
      </c>
      <c r="AF232" t="str">
        <f t="shared" si="96"/>
        <v/>
      </c>
      <c r="AG232" t="str">
        <f t="shared" si="96"/>
        <v/>
      </c>
      <c r="AH232" t="str">
        <f t="shared" si="85"/>
        <v/>
      </c>
      <c r="AI232" t="str">
        <f t="shared" si="86"/>
        <v/>
      </c>
      <c r="AJ232" t="str">
        <f t="shared" si="87"/>
        <v/>
      </c>
    </row>
    <row r="233" spans="1:36" x14ac:dyDescent="0.25">
      <c r="A233" t="s">
        <v>185</v>
      </c>
      <c r="P233" t="str">
        <f t="shared" si="88"/>
        <v xml:space="preserve">                </v>
      </c>
      <c r="Q233" t="str">
        <f t="shared" si="88"/>
        <v xml:space="preserve">         </v>
      </c>
      <c r="R233" t="str">
        <f t="shared" si="81"/>
        <v xml:space="preserve">    96.0 </v>
      </c>
      <c r="S233" t="str">
        <f t="shared" si="89"/>
        <v xml:space="preserve">    96.0 </v>
      </c>
      <c r="T233" t="str">
        <f t="shared" si="90"/>
        <v xml:space="preserve">    96.0 </v>
      </c>
      <c r="U233" t="str">
        <f t="shared" si="94"/>
        <v xml:space="preserve">       20.3% </v>
      </c>
      <c r="V233" t="str">
        <f t="shared" si="82"/>
        <v xml:space="preserve">         </v>
      </c>
      <c r="W233" t="str">
        <f t="shared" si="91"/>
        <v xml:space="preserve">         </v>
      </c>
      <c r="X233" t="str">
        <f t="shared" si="95"/>
        <v xml:space="preserve">  1216 </v>
      </c>
      <c r="Y233" t="str">
        <f t="shared" si="95"/>
        <v xml:space="preserve"> JACUI--RS138 </v>
      </c>
      <c r="Z233" t="str">
        <f t="shared" si="95"/>
        <v xml:space="preserve">  1 </v>
      </c>
      <c r="AA233" t="str">
        <f t="shared" si="83"/>
        <v xml:space="preserve">   -19.7 </v>
      </c>
      <c r="AB233" t="str">
        <f t="shared" si="92"/>
        <v xml:space="preserve">    -2.3 </v>
      </c>
      <c r="AC233" t="str">
        <f t="shared" si="93"/>
        <v xml:space="preserve">    19.5 </v>
      </c>
      <c r="AD233" t="str">
        <f t="shared" si="94"/>
        <v xml:space="preserve">        </v>
      </c>
      <c r="AE233" t="str">
        <f t="shared" si="84"/>
        <v xml:space="preserve">       </v>
      </c>
      <c r="AF233" t="str">
        <f t="shared" si="96"/>
        <v xml:space="preserve">     </v>
      </c>
      <c r="AG233" t="str">
        <f t="shared" si="96"/>
        <v xml:space="preserve">     0.02 </v>
      </c>
      <c r="AH233" t="str">
        <f t="shared" si="85"/>
        <v xml:space="preserve">    -0.49 </v>
      </c>
      <c r="AI233" t="str">
        <f t="shared" si="86"/>
        <v xml:space="preserve">       </v>
      </c>
      <c r="AJ233" t="str">
        <f t="shared" si="87"/>
        <v xml:space="preserve">      </v>
      </c>
    </row>
    <row r="234" spans="1:36" x14ac:dyDescent="0.25">
      <c r="A234" t="s">
        <v>186</v>
      </c>
      <c r="P234" t="str">
        <f t="shared" si="88"/>
        <v xml:space="preserve">                </v>
      </c>
      <c r="Q234" t="str">
        <f t="shared" si="88"/>
        <v xml:space="preserve">         </v>
      </c>
      <c r="R234" t="str">
        <f t="shared" si="81"/>
        <v xml:space="preserve">   108.0 </v>
      </c>
      <c r="S234" t="str">
        <f t="shared" si="89"/>
        <v xml:space="preserve">   108.0 </v>
      </c>
      <c r="T234" t="str">
        <f t="shared" si="90"/>
        <v xml:space="preserve">   108.0 </v>
      </c>
      <c r="U234" t="str">
        <f t="shared" si="94"/>
        <v xml:space="preserve">       18.0% </v>
      </c>
      <c r="V234" t="str">
        <f t="shared" si="82"/>
        <v xml:space="preserve">         </v>
      </c>
      <c r="W234" t="str">
        <f t="shared" si="91"/>
        <v xml:space="preserve">         </v>
      </c>
      <c r="X234" t="str">
        <f t="shared" si="95"/>
        <v xml:space="preserve">  1216 </v>
      </c>
      <c r="Y234" t="str">
        <f t="shared" si="95"/>
        <v xml:space="preserve"> JACUI--RS138 </v>
      </c>
      <c r="Z234" t="str">
        <f t="shared" si="95"/>
        <v xml:space="preserve">  2 </v>
      </c>
      <c r="AA234" t="str">
        <f t="shared" si="83"/>
        <v xml:space="preserve">   -19.7 </v>
      </c>
      <c r="AB234" t="str">
        <f t="shared" si="92"/>
        <v xml:space="preserve">    -2.3 </v>
      </c>
      <c r="AC234" t="str">
        <f t="shared" si="93"/>
        <v xml:space="preserve">    19.5 </v>
      </c>
      <c r="AD234" t="str">
        <f t="shared" si="94"/>
        <v xml:space="preserve">        </v>
      </c>
      <c r="AE234" t="str">
        <f t="shared" si="84"/>
        <v xml:space="preserve">       </v>
      </c>
      <c r="AF234" t="str">
        <f t="shared" si="96"/>
        <v xml:space="preserve">     </v>
      </c>
      <c r="AG234" t="str">
        <f t="shared" si="96"/>
        <v xml:space="preserve">     0.02 </v>
      </c>
      <c r="AH234" t="str">
        <f t="shared" si="85"/>
        <v xml:space="preserve">    -0.49 </v>
      </c>
      <c r="AI234" t="str">
        <f t="shared" si="86"/>
        <v xml:space="preserve">       </v>
      </c>
      <c r="AJ234" t="str">
        <f t="shared" si="87"/>
        <v xml:space="preserve">      </v>
      </c>
    </row>
    <row r="235" spans="1:36" x14ac:dyDescent="0.25">
      <c r="A235" t="s">
        <v>187</v>
      </c>
      <c r="P235" t="str">
        <f t="shared" si="88"/>
        <v xml:space="preserve">                </v>
      </c>
      <c r="Q235" t="str">
        <f t="shared" si="88"/>
        <v xml:space="preserve">         </v>
      </c>
      <c r="R235" t="str">
        <f t="shared" si="81"/>
        <v xml:space="preserve">   150.0 </v>
      </c>
      <c r="S235" t="str">
        <f t="shared" si="89"/>
        <v xml:space="preserve">   195.0 </v>
      </c>
      <c r="T235" t="str">
        <f t="shared" si="90"/>
        <v xml:space="preserve">   195.0 </v>
      </c>
      <c r="U235" t="str">
        <f t="shared" si="94"/>
        <v xml:space="preserve">       12.6% </v>
      </c>
      <c r="V235" t="str">
        <f t="shared" si="82"/>
        <v xml:space="preserve">         </v>
      </c>
      <c r="W235" t="str">
        <f t="shared" si="91"/>
        <v xml:space="preserve">         </v>
      </c>
      <c r="X235" t="str">
        <f t="shared" si="95"/>
        <v xml:space="preserve"> 41344 </v>
      </c>
      <c r="Y235" t="str">
        <f t="shared" si="95"/>
        <v xml:space="preserve"> PRE--1-RS000 </v>
      </c>
      <c r="Z235" t="str">
        <f t="shared" si="95"/>
        <v xml:space="preserve">  1 </v>
      </c>
      <c r="AA235" t="str">
        <f t="shared" si="83"/>
        <v xml:space="preserve">    19.2 </v>
      </c>
      <c r="AB235" t="str">
        <f t="shared" si="92"/>
        <v xml:space="preserve">     2.2 </v>
      </c>
      <c r="AC235" t="str">
        <f t="shared" si="93"/>
        <v xml:space="preserve">    18.9 </v>
      </c>
      <c r="AD235" t="str">
        <f t="shared" si="94"/>
        <v xml:space="preserve"> 0.984* </v>
      </c>
      <c r="AE235" t="str">
        <f t="shared" si="84"/>
        <v xml:space="preserve">       </v>
      </c>
      <c r="AF235" t="str">
        <f t="shared" si="96"/>
        <v xml:space="preserve"> 002 </v>
      </c>
      <c r="AG235" t="str">
        <f t="shared" si="96"/>
        <v xml:space="preserve">     0.00 </v>
      </c>
      <c r="AH235" t="str">
        <f t="shared" si="85"/>
        <v xml:space="preserve">    -0.03 </v>
      </c>
      <c r="AI235" t="str">
        <f t="shared" si="86"/>
        <v xml:space="preserve">       </v>
      </c>
      <c r="AJ235" t="str">
        <f t="shared" si="87"/>
        <v xml:space="preserve">      </v>
      </c>
    </row>
    <row r="236" spans="1:36" x14ac:dyDescent="0.25">
      <c r="A236" t="s">
        <v>188</v>
      </c>
      <c r="P236" t="str">
        <f t="shared" si="88"/>
        <v xml:space="preserve">                </v>
      </c>
      <c r="Q236" t="str">
        <f t="shared" si="88"/>
        <v xml:space="preserve">         </v>
      </c>
      <c r="R236" t="str">
        <f t="shared" si="81"/>
        <v xml:space="preserve">   150.0 </v>
      </c>
      <c r="S236" t="str">
        <f t="shared" si="89"/>
        <v xml:space="preserve">   150.0 </v>
      </c>
      <c r="T236" t="str">
        <f t="shared" si="90"/>
        <v xml:space="preserve">   150.0 </v>
      </c>
      <c r="U236" t="str">
        <f t="shared" si="94"/>
        <v xml:space="preserve">       13.3% </v>
      </c>
      <c r="V236" t="str">
        <f t="shared" si="82"/>
        <v xml:space="preserve">         </v>
      </c>
      <c r="W236" t="str">
        <f t="shared" si="91"/>
        <v xml:space="preserve">         </v>
      </c>
      <c r="X236" t="str">
        <f t="shared" si="95"/>
        <v xml:space="preserve"> 41345 </v>
      </c>
      <c r="Y236" t="str">
        <f t="shared" si="95"/>
        <v xml:space="preserve"> PRE--2-RS000 </v>
      </c>
      <c r="Z236" t="str">
        <f t="shared" si="95"/>
        <v xml:space="preserve">  2 </v>
      </c>
      <c r="AA236" t="str">
        <f t="shared" si="83"/>
        <v xml:space="preserve">    20.3 </v>
      </c>
      <c r="AB236" t="str">
        <f t="shared" si="92"/>
        <v xml:space="preserve">     2.4 </v>
      </c>
      <c r="AC236" t="str">
        <f t="shared" si="93"/>
        <v xml:space="preserve">    20.0 </v>
      </c>
      <c r="AD236" t="str">
        <f t="shared" si="94"/>
        <v xml:space="preserve"> 0.984* </v>
      </c>
      <c r="AE236" t="str">
        <f t="shared" si="84"/>
        <v xml:space="preserve">       </v>
      </c>
      <c r="AF236" t="str">
        <f t="shared" si="96"/>
        <v xml:space="preserve"> 002 </v>
      </c>
      <c r="AG236" t="str">
        <f t="shared" si="96"/>
        <v xml:space="preserve">     0.00 </v>
      </c>
      <c r="AH236" t="str">
        <f t="shared" si="85"/>
        <v xml:space="preserve">    -0.02 </v>
      </c>
      <c r="AI236" t="str">
        <f t="shared" si="86"/>
        <v xml:space="preserve">       </v>
      </c>
      <c r="AJ236" t="str">
        <f t="shared" si="87"/>
        <v xml:space="preserve">      </v>
      </c>
    </row>
    <row r="237" spans="1:36" x14ac:dyDescent="0.25">
      <c r="A237" t="s">
        <v>14</v>
      </c>
      <c r="P237" t="str">
        <f t="shared" si="88"/>
        <v xml:space="preserve">  ..............</v>
      </c>
      <c r="Q237" t="str">
        <f t="shared" si="88"/>
        <v>.........</v>
      </c>
      <c r="R237" t="str">
        <f t="shared" si="81"/>
        <v>.........</v>
      </c>
      <c r="S237" t="str">
        <f t="shared" si="89"/>
        <v>.........</v>
      </c>
      <c r="T237" t="str">
        <f t="shared" si="90"/>
        <v>.........</v>
      </c>
      <c r="U237" t="str">
        <f t="shared" si="94"/>
        <v>.............</v>
      </c>
      <c r="V237" t="str">
        <f t="shared" si="82"/>
        <v>.........</v>
      </c>
      <c r="W237" t="str">
        <f t="shared" si="91"/>
        <v>.........</v>
      </c>
      <c r="X237" t="str">
        <f t="shared" si="95"/>
        <v>.......</v>
      </c>
      <c r="Y237" t="str">
        <f t="shared" si="95"/>
        <v>..............</v>
      </c>
      <c r="Z237" t="str">
        <f t="shared" si="95"/>
        <v>....</v>
      </c>
      <c r="AA237" t="str">
        <f t="shared" si="83"/>
        <v>.........</v>
      </c>
      <c r="AB237" t="str">
        <f t="shared" si="92"/>
        <v>.........</v>
      </c>
      <c r="AC237" t="str">
        <f t="shared" si="93"/>
        <v>.........</v>
      </c>
      <c r="AD237" t="str">
        <f t="shared" si="94"/>
        <v>........</v>
      </c>
      <c r="AE237" t="str">
        <f t="shared" si="84"/>
        <v>.......</v>
      </c>
      <c r="AF237" t="str">
        <f t="shared" si="96"/>
        <v>.....</v>
      </c>
      <c r="AG237" t="str">
        <f t="shared" si="96"/>
        <v>..........</v>
      </c>
      <c r="AH237" t="str">
        <f t="shared" si="85"/>
        <v>..........</v>
      </c>
      <c r="AI237" t="str">
        <f t="shared" si="86"/>
        <v>.......</v>
      </c>
      <c r="AJ237" t="str">
        <f t="shared" si="87"/>
        <v>.......</v>
      </c>
    </row>
    <row r="238" spans="1:36" x14ac:dyDescent="0.25">
      <c r="A238" t="s">
        <v>189</v>
      </c>
      <c r="P238" t="str">
        <f t="shared" si="88"/>
        <v xml:space="preserve">   1244  138  0 </v>
      </c>
      <c r="Q238" t="str">
        <f t="shared" si="88"/>
        <v xml:space="preserve">   0.999 </v>
      </c>
      <c r="R238" t="str">
        <f t="shared" si="81"/>
        <v xml:space="preserve">     0.0 </v>
      </c>
      <c r="S238" t="str">
        <f t="shared" si="89"/>
        <v xml:space="preserve">     0.0 </v>
      </c>
      <c r="T238" t="str">
        <f t="shared" si="90"/>
        <v xml:space="preserve">     0.0 </v>
      </c>
      <c r="U238" t="str">
        <f t="shared" si="94"/>
        <v xml:space="preserve">         0.0 </v>
      </c>
      <c r="V238" t="str">
        <f t="shared" si="82"/>
        <v xml:space="preserve">     0.0 </v>
      </c>
      <c r="W238" t="str">
        <f t="shared" si="91"/>
        <v xml:space="preserve">     0.0</v>
      </c>
      <c r="X238" t="str">
        <f t="shared" si="95"/>
        <v/>
      </c>
      <c r="Y238" t="str">
        <f t="shared" si="95"/>
        <v/>
      </c>
      <c r="Z238" t="str">
        <f t="shared" si="95"/>
        <v/>
      </c>
      <c r="AA238" t="str">
        <f t="shared" si="83"/>
        <v/>
      </c>
      <c r="AB238" t="str">
        <f t="shared" si="92"/>
        <v/>
      </c>
      <c r="AC238" t="str">
        <f t="shared" si="93"/>
        <v/>
      </c>
      <c r="AD238" t="str">
        <f t="shared" si="94"/>
        <v/>
      </c>
      <c r="AE238" t="str">
        <f t="shared" si="84"/>
        <v/>
      </c>
      <c r="AF238" t="str">
        <f t="shared" si="96"/>
        <v/>
      </c>
      <c r="AG238" t="str">
        <f t="shared" si="96"/>
        <v/>
      </c>
      <c r="AH238" t="str">
        <f t="shared" si="85"/>
        <v/>
      </c>
      <c r="AI238" t="str">
        <f t="shared" si="86"/>
        <v/>
      </c>
      <c r="AJ238" t="str">
        <f t="shared" si="87"/>
        <v/>
      </c>
    </row>
    <row r="239" spans="1:36" x14ac:dyDescent="0.25">
      <c r="A239" t="s">
        <v>190</v>
      </c>
      <c r="P239" t="str">
        <f t="shared" si="88"/>
        <v xml:space="preserve">  OSORI2-RS138  </v>
      </c>
      <c r="Q239" t="str">
        <f t="shared" si="88"/>
        <v xml:space="preserve">   -48.6 </v>
      </c>
      <c r="R239" t="str">
        <f t="shared" si="81"/>
        <v xml:space="preserve">     0.0 </v>
      </c>
      <c r="S239" t="str">
        <f t="shared" si="89"/>
        <v xml:space="preserve">     0.0 </v>
      </c>
      <c r="T239" t="str">
        <f t="shared" si="90"/>
        <v xml:space="preserve">     0.0 </v>
      </c>
      <c r="U239" t="str">
        <f t="shared" si="94"/>
        <v xml:space="preserve">         0.0 </v>
      </c>
      <c r="V239" t="str">
        <f t="shared" si="82"/>
        <v xml:space="preserve">     0.0 </v>
      </c>
      <c r="W239" t="str">
        <f t="shared" si="91"/>
        <v xml:space="preserve">     0.0 </v>
      </c>
      <c r="X239" t="str">
        <f t="shared" si="95"/>
        <v xml:space="preserve">       </v>
      </c>
      <c r="Y239" t="str">
        <f t="shared" si="95"/>
        <v xml:space="preserve">              </v>
      </c>
      <c r="Z239" t="str">
        <f t="shared" si="95"/>
        <v xml:space="preserve">    </v>
      </c>
      <c r="AA239" t="str">
        <f t="shared" si="83"/>
        <v xml:space="preserve">         </v>
      </c>
      <c r="AB239" t="str">
        <f t="shared" si="92"/>
        <v xml:space="preserve">         </v>
      </c>
      <c r="AC239" t="str">
        <f t="shared" si="93"/>
        <v xml:space="preserve">    </v>
      </c>
      <c r="AD239" t="str">
        <f t="shared" si="94"/>
        <v/>
      </c>
      <c r="AE239" t="str">
        <f t="shared" si="84"/>
        <v/>
      </c>
      <c r="AF239" t="str">
        <f t="shared" si="96"/>
        <v/>
      </c>
      <c r="AG239" t="str">
        <f t="shared" si="96"/>
        <v/>
      </c>
      <c r="AH239" t="str">
        <f t="shared" si="85"/>
        <v/>
      </c>
      <c r="AI239" t="str">
        <f t="shared" si="86"/>
        <v/>
      </c>
      <c r="AJ239" t="str">
        <f t="shared" si="87"/>
        <v/>
      </c>
    </row>
    <row r="240" spans="1:36" x14ac:dyDescent="0.25">
      <c r="A240" t="s">
        <v>191</v>
      </c>
      <c r="P240" t="str">
        <f t="shared" si="88"/>
        <v xml:space="preserve">              DE</v>
      </c>
      <c r="Q240" t="str">
        <f t="shared" si="88"/>
        <v xml:space="preserve">ESLIGADO </v>
      </c>
      <c r="R240" t="str">
        <f t="shared" si="81"/>
        <v xml:space="preserve">    54.0 </v>
      </c>
      <c r="S240" t="str">
        <f t="shared" si="89"/>
        <v xml:space="preserve">    54.0 </v>
      </c>
      <c r="T240" t="str">
        <f t="shared" si="90"/>
        <v xml:space="preserve">    54.0 </v>
      </c>
      <c r="U240" t="str">
        <f t="shared" si="94"/>
        <v xml:space="preserve">             </v>
      </c>
      <c r="V240" t="str">
        <f t="shared" si="82"/>
        <v xml:space="preserve">         </v>
      </c>
      <c r="W240" t="str">
        <f t="shared" si="91"/>
        <v xml:space="preserve">         </v>
      </c>
      <c r="X240" t="str">
        <f t="shared" si="95"/>
        <v xml:space="preserve">  1232 </v>
      </c>
      <c r="Y240" t="str">
        <f t="shared" si="95"/>
        <v xml:space="preserve"> OSORI2-RS069 </v>
      </c>
      <c r="Z240" t="str">
        <f t="shared" si="95"/>
        <v xml:space="preserve">  3 </v>
      </c>
      <c r="AA240" t="str">
        <f t="shared" si="83"/>
        <v xml:space="preserve">     0.0 </v>
      </c>
      <c r="AB240" t="str">
        <f t="shared" si="92"/>
        <v xml:space="preserve">     0.0 </v>
      </c>
      <c r="AC240" t="str">
        <f t="shared" si="93"/>
        <v xml:space="preserve">     0.0 </v>
      </c>
      <c r="AD240" t="str">
        <f t="shared" si="94"/>
        <v xml:space="preserve">        </v>
      </c>
      <c r="AE240" t="str">
        <f t="shared" si="84"/>
        <v xml:space="preserve">       </v>
      </c>
      <c r="AF240" t="str">
        <f t="shared" si="96"/>
        <v xml:space="preserve">     </v>
      </c>
      <c r="AG240" t="str">
        <f t="shared" si="96"/>
        <v xml:space="preserve">     0.00 </v>
      </c>
      <c r="AH240" t="str">
        <f t="shared" si="85"/>
        <v xml:space="preserve">     0.00 </v>
      </c>
      <c r="AI240" t="str">
        <f t="shared" si="86"/>
        <v xml:space="preserve">       </v>
      </c>
      <c r="AJ240" t="str">
        <f t="shared" si="87"/>
        <v xml:space="preserve">      </v>
      </c>
    </row>
    <row r="241" spans="1:36" x14ac:dyDescent="0.25">
      <c r="A241" t="s">
        <v>192</v>
      </c>
      <c r="P241" t="str">
        <f t="shared" si="88"/>
        <v xml:space="preserve">                </v>
      </c>
      <c r="Q241" t="str">
        <f t="shared" si="88"/>
        <v xml:space="preserve">         </v>
      </c>
      <c r="R241" t="str">
        <f t="shared" si="81"/>
        <v xml:space="preserve">  9999.0 </v>
      </c>
      <c r="S241" t="str">
        <f t="shared" si="89"/>
        <v xml:space="preserve">  9999.0 </v>
      </c>
      <c r="T241" t="str">
        <f t="shared" si="90"/>
        <v xml:space="preserve">  9999.0 </v>
      </c>
      <c r="U241" t="str">
        <f t="shared" si="94"/>
        <v xml:space="preserve">        0.0% </v>
      </c>
      <c r="V241" t="str">
        <f t="shared" si="82"/>
        <v xml:space="preserve">         </v>
      </c>
      <c r="W241" t="str">
        <f t="shared" si="91"/>
        <v xml:space="preserve">         </v>
      </c>
      <c r="X241" t="str">
        <f t="shared" si="95"/>
        <v xml:space="preserve">  1358 </v>
      </c>
      <c r="Y241" t="str">
        <f t="shared" si="95"/>
        <v xml:space="preserve"> OSO-Y2-RS138 </v>
      </c>
      <c r="Z241" t="str">
        <f t="shared" si="95"/>
        <v xml:space="preserve">  1 </v>
      </c>
      <c r="AA241" t="str">
        <f t="shared" si="83"/>
        <v xml:space="preserve">     0.0 </v>
      </c>
      <c r="AB241" t="str">
        <f t="shared" si="92"/>
        <v xml:space="preserve">     0.0 </v>
      </c>
      <c r="AC241" t="str">
        <f t="shared" si="93"/>
        <v xml:space="preserve">     0.0 </v>
      </c>
      <c r="AD241" t="str">
        <f t="shared" si="94"/>
        <v xml:space="preserve">        </v>
      </c>
      <c r="AE241" t="str">
        <f t="shared" si="84"/>
        <v xml:space="preserve">       </v>
      </c>
      <c r="AF241" t="str">
        <f t="shared" si="96"/>
        <v xml:space="preserve">     </v>
      </c>
      <c r="AG241" t="str">
        <f t="shared" si="96"/>
        <v xml:space="preserve">     0.00 </v>
      </c>
      <c r="AH241" t="str">
        <f t="shared" si="85"/>
        <v xml:space="preserve">     0.00 </v>
      </c>
      <c r="AI241" t="str">
        <f t="shared" si="86"/>
        <v xml:space="preserve">       </v>
      </c>
      <c r="AJ241" t="str">
        <f t="shared" si="87"/>
        <v xml:space="preserve">      </v>
      </c>
    </row>
    <row r="242" spans="1:36" x14ac:dyDescent="0.25">
      <c r="A242" t="s">
        <v>14</v>
      </c>
      <c r="P242" t="str">
        <f t="shared" si="88"/>
        <v xml:space="preserve">  ..............</v>
      </c>
      <c r="Q242" t="str">
        <f t="shared" si="88"/>
        <v>.........</v>
      </c>
      <c r="R242" t="str">
        <f t="shared" si="81"/>
        <v>.........</v>
      </c>
      <c r="S242" t="str">
        <f t="shared" si="89"/>
        <v>.........</v>
      </c>
      <c r="T242" t="str">
        <f t="shared" si="90"/>
        <v>.........</v>
      </c>
      <c r="U242" t="str">
        <f t="shared" si="94"/>
        <v>.............</v>
      </c>
      <c r="V242" t="str">
        <f t="shared" si="82"/>
        <v>.........</v>
      </c>
      <c r="W242" t="str">
        <f t="shared" si="91"/>
        <v>.........</v>
      </c>
      <c r="X242" t="str">
        <f t="shared" si="95"/>
        <v>.......</v>
      </c>
      <c r="Y242" t="str">
        <f t="shared" si="95"/>
        <v>..............</v>
      </c>
      <c r="Z242" t="str">
        <f t="shared" si="95"/>
        <v>....</v>
      </c>
      <c r="AA242" t="str">
        <f t="shared" si="83"/>
        <v>.........</v>
      </c>
      <c r="AB242" t="str">
        <f t="shared" si="92"/>
        <v>.........</v>
      </c>
      <c r="AC242" t="str">
        <f t="shared" si="93"/>
        <v>.........</v>
      </c>
      <c r="AD242" t="str">
        <f t="shared" si="94"/>
        <v>........</v>
      </c>
      <c r="AE242" t="str">
        <f t="shared" si="84"/>
        <v>.......</v>
      </c>
      <c r="AF242" t="str">
        <f t="shared" si="96"/>
        <v>.....</v>
      </c>
      <c r="AG242" t="str">
        <f t="shared" si="96"/>
        <v>..........</v>
      </c>
      <c r="AH242" t="str">
        <f t="shared" si="85"/>
        <v>..........</v>
      </c>
      <c r="AI242" t="str">
        <f t="shared" si="86"/>
        <v>.......</v>
      </c>
      <c r="AJ242" t="str">
        <f t="shared" si="87"/>
        <v>.......</v>
      </c>
    </row>
    <row r="243" spans="1:36" x14ac:dyDescent="0.25">
      <c r="A243" t="s">
        <v>193</v>
      </c>
      <c r="P243" t="str">
        <f t="shared" si="88"/>
        <v xml:space="preserve">   1251   69  0 </v>
      </c>
      <c r="Q243" t="str">
        <f t="shared" si="88"/>
        <v xml:space="preserve">   1.027 </v>
      </c>
      <c r="R243" t="str">
        <f t="shared" si="81"/>
        <v xml:space="preserve">     0.0 </v>
      </c>
      <c r="S243" t="str">
        <f t="shared" si="89"/>
        <v xml:space="preserve">     0.0 </v>
      </c>
      <c r="T243" t="str">
        <f t="shared" si="90"/>
        <v xml:space="preserve">    16.6 </v>
      </c>
      <c r="U243" t="str">
        <f t="shared" si="94"/>
        <v xml:space="preserve">         0.0 </v>
      </c>
      <c r="V243" t="str">
        <f t="shared" si="82"/>
        <v xml:space="preserve">     0.0 </v>
      </c>
      <c r="W243" t="str">
        <f t="shared" si="91"/>
        <v xml:space="preserve">     0.0</v>
      </c>
      <c r="X243" t="str">
        <f t="shared" si="95"/>
        <v/>
      </c>
      <c r="Y243" t="str">
        <f t="shared" si="95"/>
        <v/>
      </c>
      <c r="Z243" t="str">
        <f t="shared" si="95"/>
        <v/>
      </c>
      <c r="AA243" t="str">
        <f t="shared" si="83"/>
        <v/>
      </c>
      <c r="AB243" t="str">
        <f t="shared" si="92"/>
        <v/>
      </c>
      <c r="AC243" t="str">
        <f t="shared" si="93"/>
        <v/>
      </c>
      <c r="AD243" t="str">
        <f t="shared" si="94"/>
        <v/>
      </c>
      <c r="AE243" t="str">
        <f t="shared" si="84"/>
        <v/>
      </c>
      <c r="AF243" t="str">
        <f t="shared" si="96"/>
        <v/>
      </c>
      <c r="AG243" t="str">
        <f t="shared" si="96"/>
        <v/>
      </c>
      <c r="AH243" t="str">
        <f t="shared" si="85"/>
        <v/>
      </c>
      <c r="AI243" t="str">
        <f t="shared" si="86"/>
        <v/>
      </c>
      <c r="AJ243" t="str">
        <f t="shared" si="87"/>
        <v/>
      </c>
    </row>
    <row r="244" spans="1:36" x14ac:dyDescent="0.25">
      <c r="A244" t="s">
        <v>194</v>
      </c>
      <c r="P244" t="str">
        <f t="shared" si="88"/>
        <v xml:space="preserve">  SANGEL-RS069  </v>
      </c>
      <c r="Q244" t="str">
        <f t="shared" si="88"/>
        <v xml:space="preserve">   -45.7 </v>
      </c>
      <c r="R244" t="str">
        <f t="shared" si="81"/>
        <v xml:space="preserve">     0.0 </v>
      </c>
      <c r="S244" t="str">
        <f t="shared" si="89"/>
        <v xml:space="preserve">     0.0 </v>
      </c>
      <c r="T244" t="str">
        <f t="shared" si="90"/>
        <v xml:space="preserve">     6.7 </v>
      </c>
      <c r="U244" t="str">
        <f t="shared" si="94"/>
        <v xml:space="preserve">         0.0 </v>
      </c>
      <c r="V244" t="str">
        <f t="shared" si="82"/>
        <v xml:space="preserve">     0.0 </v>
      </c>
      <c r="W244" t="str">
        <f t="shared" si="91"/>
        <v xml:space="preserve">     0.0 </v>
      </c>
      <c r="X244" t="str">
        <f t="shared" si="95"/>
        <v xml:space="preserve">       </v>
      </c>
      <c r="Y244" t="str">
        <f t="shared" si="95"/>
        <v xml:space="preserve">              </v>
      </c>
      <c r="Z244" t="str">
        <f t="shared" si="95"/>
        <v xml:space="preserve">    </v>
      </c>
      <c r="AA244" t="str">
        <f t="shared" si="83"/>
        <v xml:space="preserve">         </v>
      </c>
      <c r="AB244" t="str">
        <f t="shared" si="92"/>
        <v xml:space="preserve">         </v>
      </c>
      <c r="AC244" t="str">
        <f t="shared" si="93"/>
        <v xml:space="preserve">    </v>
      </c>
      <c r="AD244" t="str">
        <f t="shared" si="94"/>
        <v/>
      </c>
      <c r="AE244" t="str">
        <f t="shared" si="84"/>
        <v/>
      </c>
      <c r="AF244" t="str">
        <f t="shared" si="96"/>
        <v/>
      </c>
      <c r="AG244" t="str">
        <f t="shared" si="96"/>
        <v/>
      </c>
      <c r="AH244" t="str">
        <f t="shared" si="85"/>
        <v/>
      </c>
      <c r="AI244" t="str">
        <f t="shared" si="86"/>
        <v/>
      </c>
      <c r="AJ244" t="str">
        <f t="shared" si="87"/>
        <v/>
      </c>
    </row>
    <row r="245" spans="1:36" x14ac:dyDescent="0.25">
      <c r="A245" t="s">
        <v>195</v>
      </c>
      <c r="P245" t="str">
        <f t="shared" si="88"/>
        <v xml:space="preserve">                </v>
      </c>
      <c r="Q245" t="str">
        <f t="shared" si="88"/>
        <v xml:space="preserve">         </v>
      </c>
      <c r="R245" t="str">
        <f t="shared" si="81"/>
        <v xml:space="preserve">    69.0 </v>
      </c>
      <c r="S245" t="str">
        <f t="shared" si="89"/>
        <v xml:space="preserve">    69.0 </v>
      </c>
      <c r="T245" t="str">
        <f t="shared" si="90"/>
        <v xml:space="preserve">    69.0 </v>
      </c>
      <c r="U245" t="str">
        <f t="shared" si="94"/>
        <v xml:space="preserve">       31.2% </v>
      </c>
      <c r="V245" t="str">
        <f t="shared" si="82"/>
        <v xml:space="preserve">         </v>
      </c>
      <c r="W245" t="str">
        <f t="shared" si="91"/>
        <v xml:space="preserve">         </v>
      </c>
      <c r="X245" t="str">
        <f t="shared" si="95"/>
        <v xml:space="preserve">  1311 </v>
      </c>
      <c r="Y245" t="str">
        <f t="shared" si="95"/>
        <v xml:space="preserve"> SANGE1-RS069 </v>
      </c>
      <c r="Z245" t="str">
        <f t="shared" si="95"/>
        <v xml:space="preserve">  1 </v>
      </c>
      <c r="AA245" t="str">
        <f t="shared" si="83"/>
        <v xml:space="preserve">    20.9 </v>
      </c>
      <c r="AB245" t="str">
        <f t="shared" si="92"/>
        <v xml:space="preserve">     7.3 </v>
      </c>
      <c r="AC245" t="str">
        <f t="shared" si="93"/>
        <v xml:space="preserve">    21.5 </v>
      </c>
      <c r="AD245" t="str">
        <f t="shared" si="94"/>
        <v xml:space="preserve">        </v>
      </c>
      <c r="AE245" t="str">
        <f t="shared" si="84"/>
        <v xml:space="preserve">       </v>
      </c>
      <c r="AF245" t="str">
        <f t="shared" si="96"/>
        <v xml:space="preserve">     </v>
      </c>
      <c r="AG245" t="str">
        <f t="shared" si="96"/>
        <v xml:space="preserve">     0.17 </v>
      </c>
      <c r="AH245" t="str">
        <f t="shared" si="85"/>
        <v xml:space="preserve">     0.40 </v>
      </c>
      <c r="AI245" t="str">
        <f t="shared" si="86"/>
        <v xml:space="preserve">       </v>
      </c>
      <c r="AJ245" t="str">
        <f t="shared" si="87"/>
        <v xml:space="preserve">      </v>
      </c>
    </row>
    <row r="246" spans="1:36" x14ac:dyDescent="0.25">
      <c r="A246" t="s">
        <v>196</v>
      </c>
      <c r="P246" t="str">
        <f t="shared" si="88"/>
        <v xml:space="preserve">                </v>
      </c>
      <c r="Q246" t="str">
        <f t="shared" si="88"/>
        <v xml:space="preserve">         </v>
      </c>
      <c r="R246" t="str">
        <f t="shared" si="81"/>
        <v xml:space="preserve">    25.0 </v>
      </c>
      <c r="S246" t="str">
        <f t="shared" si="89"/>
        <v xml:space="preserve">    37.0 </v>
      </c>
      <c r="T246" t="str">
        <f t="shared" si="90"/>
        <v xml:space="preserve">    37.0 </v>
      </c>
      <c r="U246" t="str">
        <f t="shared" si="94"/>
        <v xml:space="preserve">       38.5% </v>
      </c>
      <c r="V246" t="str">
        <f t="shared" si="82"/>
        <v xml:space="preserve">         </v>
      </c>
      <c r="W246" t="str">
        <f t="shared" si="91"/>
        <v xml:space="preserve">         </v>
      </c>
      <c r="X246" t="str">
        <f t="shared" si="95"/>
        <v xml:space="preserve">  9285 </v>
      </c>
      <c r="Y246" t="str">
        <f t="shared" si="95"/>
        <v xml:space="preserve"> SANGEL-RS023 </v>
      </c>
      <c r="Z246" t="str">
        <f t="shared" si="95"/>
        <v xml:space="preserve">  3 </v>
      </c>
      <c r="AA246" t="str">
        <f t="shared" si="83"/>
        <v xml:space="preserve">     8.4 </v>
      </c>
      <c r="AB246" t="str">
        <f t="shared" si="92"/>
        <v xml:space="preserve">     5.2 </v>
      </c>
      <c r="AC246" t="str">
        <f t="shared" si="93"/>
        <v xml:space="preserve">     9.6 </v>
      </c>
      <c r="AD246" t="str">
        <f t="shared" si="94"/>
        <v xml:space="preserve"> 0.899* </v>
      </c>
      <c r="AE246" t="str">
        <f t="shared" si="84"/>
        <v xml:space="preserve">       </v>
      </c>
      <c r="AF246" t="str">
        <f t="shared" si="96"/>
        <v xml:space="preserve">     </v>
      </c>
      <c r="AG246" t="str">
        <f t="shared" si="96"/>
        <v xml:space="preserve">     0.03 </v>
      </c>
      <c r="AH246" t="str">
        <f t="shared" si="85"/>
        <v xml:space="preserve">     0.28 </v>
      </c>
      <c r="AI246" t="str">
        <f t="shared" si="86"/>
        <v xml:space="preserve">       </v>
      </c>
      <c r="AJ246" t="str">
        <f t="shared" si="87"/>
        <v xml:space="preserve">      </v>
      </c>
    </row>
    <row r="247" spans="1:36" x14ac:dyDescent="0.25">
      <c r="A247" t="s">
        <v>197</v>
      </c>
      <c r="P247" t="str">
        <f t="shared" si="88"/>
        <v xml:space="preserve">                </v>
      </c>
      <c r="Q247" t="str">
        <f t="shared" si="88"/>
        <v xml:space="preserve">         </v>
      </c>
      <c r="R247" t="str">
        <f t="shared" si="81"/>
        <v xml:space="preserve">    25.0 </v>
      </c>
      <c r="S247" t="str">
        <f t="shared" si="89"/>
        <v xml:space="preserve">    30.0 </v>
      </c>
      <c r="T247" t="str">
        <f t="shared" si="90"/>
        <v xml:space="preserve">    30.0 </v>
      </c>
      <c r="U247" t="str">
        <f t="shared" si="94"/>
        <v xml:space="preserve">       38.3% </v>
      </c>
      <c r="V247" t="str">
        <f t="shared" si="82"/>
        <v xml:space="preserve">         </v>
      </c>
      <c r="W247" t="str">
        <f t="shared" si="91"/>
        <v xml:space="preserve">         </v>
      </c>
      <c r="X247" t="str">
        <f t="shared" si="95"/>
        <v xml:space="preserve">  9285 </v>
      </c>
      <c r="Y247" t="str">
        <f t="shared" si="95"/>
        <v xml:space="preserve"> SANGEL-RS023 </v>
      </c>
      <c r="Z247" t="str">
        <f t="shared" si="95"/>
        <v xml:space="preserve">  4 </v>
      </c>
      <c r="AA247" t="str">
        <f t="shared" si="83"/>
        <v xml:space="preserve">     8.0 </v>
      </c>
      <c r="AB247" t="str">
        <f t="shared" si="92"/>
        <v xml:space="preserve">     5.7 </v>
      </c>
      <c r="AC247" t="str">
        <f t="shared" si="93"/>
        <v xml:space="preserve">     9.6 </v>
      </c>
      <c r="AD247" t="str">
        <f t="shared" si="94"/>
        <v xml:space="preserve"> 0.899* </v>
      </c>
      <c r="AE247" t="str">
        <f t="shared" si="84"/>
        <v xml:space="preserve">       </v>
      </c>
      <c r="AF247" t="str">
        <f t="shared" si="96"/>
        <v xml:space="preserve">     </v>
      </c>
      <c r="AG247" t="str">
        <f t="shared" si="96"/>
        <v xml:space="preserve">     0.02 </v>
      </c>
      <c r="AH247" t="str">
        <f t="shared" si="85"/>
        <v xml:space="preserve">     0.28 </v>
      </c>
      <c r="AI247" t="str">
        <f t="shared" si="86"/>
        <v xml:space="preserve">       </v>
      </c>
      <c r="AJ247" t="str">
        <f t="shared" si="87"/>
        <v xml:space="preserve">      </v>
      </c>
    </row>
    <row r="248" spans="1:36" x14ac:dyDescent="0.25">
      <c r="A248" t="s">
        <v>198</v>
      </c>
      <c r="P248" t="str">
        <f t="shared" si="88"/>
        <v xml:space="preserve">                </v>
      </c>
      <c r="Q248" t="str">
        <f t="shared" si="88"/>
        <v xml:space="preserve">         </v>
      </c>
      <c r="R248" t="str">
        <f t="shared" si="81"/>
        <v xml:space="preserve">    83.0 </v>
      </c>
      <c r="S248" t="str">
        <f t="shared" si="89"/>
        <v xml:space="preserve">   125.0 </v>
      </c>
      <c r="T248" t="str">
        <f t="shared" si="90"/>
        <v xml:space="preserve">   125.0 </v>
      </c>
      <c r="U248" t="str">
        <f t="shared" si="94"/>
        <v xml:space="preserve">       34.9% </v>
      </c>
      <c r="V248" t="str">
        <f t="shared" si="82"/>
        <v xml:space="preserve">         </v>
      </c>
      <c r="W248" t="str">
        <f t="shared" si="91"/>
        <v xml:space="preserve">         </v>
      </c>
      <c r="X248" t="str">
        <f t="shared" si="95"/>
        <v xml:space="preserve"> 41352 </v>
      </c>
      <c r="Y248" t="str">
        <f t="shared" si="95"/>
        <v xml:space="preserve"> SAG2-1-RS000 </v>
      </c>
      <c r="Z248" t="str">
        <f t="shared" si="95"/>
        <v xml:space="preserve">  1 </v>
      </c>
      <c r="AA248" t="str">
        <f t="shared" si="83"/>
        <v xml:space="preserve">   -27.0 </v>
      </c>
      <c r="AB248" t="str">
        <f t="shared" si="92"/>
        <v xml:space="preserve">   -12.5 </v>
      </c>
      <c r="AC248" t="str">
        <f t="shared" si="93"/>
        <v xml:space="preserve">    29.0 </v>
      </c>
      <c r="AD248" t="str">
        <f t="shared" si="94"/>
        <v xml:space="preserve"> 1.000F </v>
      </c>
      <c r="AE248" t="str">
        <f t="shared" si="84"/>
        <v xml:space="preserve">       </v>
      </c>
      <c r="AF248" t="str">
        <f t="shared" si="96"/>
        <v xml:space="preserve"> 002 </v>
      </c>
      <c r="AG248" t="str">
        <f t="shared" si="96"/>
        <v xml:space="preserve">     0.03 </v>
      </c>
      <c r="AH248" t="str">
        <f t="shared" si="85"/>
        <v xml:space="preserve">    -0.10 </v>
      </c>
      <c r="AI248" t="str">
        <f t="shared" si="86"/>
        <v xml:space="preserve">       </v>
      </c>
      <c r="AJ248" t="str">
        <f t="shared" si="87"/>
        <v xml:space="preserve">      </v>
      </c>
    </row>
    <row r="249" spans="1:36" x14ac:dyDescent="0.25">
      <c r="A249" t="s">
        <v>199</v>
      </c>
      <c r="P249" t="str">
        <f t="shared" si="88"/>
        <v xml:space="preserve">                </v>
      </c>
      <c r="Q249" t="str">
        <f t="shared" si="88"/>
        <v xml:space="preserve">         </v>
      </c>
      <c r="R249" t="str">
        <f t="shared" si="81"/>
        <v xml:space="preserve">    83.0 </v>
      </c>
      <c r="S249" t="str">
        <f t="shared" si="89"/>
        <v xml:space="preserve">   125.0 </v>
      </c>
      <c r="T249" t="str">
        <f t="shared" si="90"/>
        <v xml:space="preserve">   125.0 </v>
      </c>
      <c r="U249" t="str">
        <f t="shared" si="94"/>
        <v xml:space="preserve">       34.7% </v>
      </c>
      <c r="V249" t="str">
        <f t="shared" si="82"/>
        <v xml:space="preserve">         </v>
      </c>
      <c r="W249" t="str">
        <f t="shared" si="91"/>
        <v xml:space="preserve">         </v>
      </c>
      <c r="X249" t="str">
        <f t="shared" si="95"/>
        <v xml:space="preserve"> 41353 </v>
      </c>
      <c r="Y249" t="str">
        <f t="shared" si="95"/>
        <v xml:space="preserve"> SAG2-2-RS000 </v>
      </c>
      <c r="Z249" t="str">
        <f t="shared" si="95"/>
        <v xml:space="preserve">  2 </v>
      </c>
      <c r="AA249" t="str">
        <f t="shared" si="83"/>
        <v xml:space="preserve">   -26.9 </v>
      </c>
      <c r="AB249" t="str">
        <f t="shared" si="92"/>
        <v xml:space="preserve">   -12.4 </v>
      </c>
      <c r="AC249" t="str">
        <f t="shared" si="93"/>
        <v xml:space="preserve">    28.8 </v>
      </c>
      <c r="AD249" t="str">
        <f t="shared" si="94"/>
        <v xml:space="preserve"> 1.000F </v>
      </c>
      <c r="AE249" t="str">
        <f t="shared" si="84"/>
        <v xml:space="preserve">       </v>
      </c>
      <c r="AF249" t="str">
        <f t="shared" si="96"/>
        <v xml:space="preserve"> 002 </v>
      </c>
      <c r="AG249" t="str">
        <f t="shared" si="96"/>
        <v xml:space="preserve">     0.03 </v>
      </c>
      <c r="AH249" t="str">
        <f t="shared" si="85"/>
        <v xml:space="preserve">    -0.09 </v>
      </c>
      <c r="AI249" t="str">
        <f t="shared" si="86"/>
        <v xml:space="preserve">       </v>
      </c>
      <c r="AJ249" t="str">
        <f t="shared" si="87"/>
        <v xml:space="preserve">      </v>
      </c>
    </row>
    <row r="250" spans="1:36" x14ac:dyDescent="0.25">
      <c r="A250" t="s">
        <v>14</v>
      </c>
      <c r="P250" t="str">
        <f t="shared" si="88"/>
        <v xml:space="preserve">  ..............</v>
      </c>
      <c r="Q250" t="str">
        <f t="shared" si="88"/>
        <v>.........</v>
      </c>
      <c r="R250" t="str">
        <f t="shared" si="81"/>
        <v>.........</v>
      </c>
      <c r="S250" t="str">
        <f t="shared" si="89"/>
        <v>.........</v>
      </c>
      <c r="T250" t="str">
        <f t="shared" si="90"/>
        <v>.........</v>
      </c>
      <c r="U250" t="str">
        <f t="shared" si="94"/>
        <v>.............</v>
      </c>
      <c r="V250" t="str">
        <f t="shared" si="82"/>
        <v>.........</v>
      </c>
      <c r="W250" t="str">
        <f t="shared" si="91"/>
        <v>.........</v>
      </c>
      <c r="X250" t="str">
        <f t="shared" si="95"/>
        <v>.......</v>
      </c>
      <c r="Y250" t="str">
        <f t="shared" si="95"/>
        <v>..............</v>
      </c>
      <c r="Z250" t="str">
        <f t="shared" si="95"/>
        <v>....</v>
      </c>
      <c r="AA250" t="str">
        <f t="shared" si="83"/>
        <v>.........</v>
      </c>
      <c r="AB250" t="str">
        <f t="shared" si="92"/>
        <v>.........</v>
      </c>
      <c r="AC250" t="str">
        <f t="shared" si="93"/>
        <v>.........</v>
      </c>
      <c r="AD250" t="str">
        <f t="shared" si="94"/>
        <v>........</v>
      </c>
      <c r="AE250" t="str">
        <f t="shared" si="84"/>
        <v>.......</v>
      </c>
      <c r="AF250" t="str">
        <f t="shared" si="96"/>
        <v>.....</v>
      </c>
      <c r="AG250" t="str">
        <f t="shared" si="96"/>
        <v>..........</v>
      </c>
      <c r="AH250" t="str">
        <f t="shared" si="85"/>
        <v>..........</v>
      </c>
      <c r="AI250" t="str">
        <f t="shared" si="86"/>
        <v>.......</v>
      </c>
      <c r="AJ250" t="str">
        <f t="shared" si="87"/>
        <v>.......</v>
      </c>
    </row>
    <row r="251" spans="1:36" x14ac:dyDescent="0.25">
      <c r="A251" t="s">
        <v>200</v>
      </c>
      <c r="P251" t="str">
        <f t="shared" si="88"/>
        <v xml:space="preserve">   1252  138  0 </v>
      </c>
      <c r="Q251" t="str">
        <f t="shared" si="88"/>
        <v xml:space="preserve">   1.018 </v>
      </c>
      <c r="R251" t="str">
        <f t="shared" si="81"/>
        <v xml:space="preserve">     0.0 </v>
      </c>
      <c r="S251" t="str">
        <f t="shared" si="89"/>
        <v xml:space="preserve">     0.0 </v>
      </c>
      <c r="T251" t="str">
        <f t="shared" si="90"/>
        <v xml:space="preserve">     5.6 </v>
      </c>
      <c r="U251" t="str">
        <f t="shared" si="94"/>
        <v xml:space="preserve">         0.0 </v>
      </c>
      <c r="V251" t="str">
        <f t="shared" si="82"/>
        <v xml:space="preserve">     0.0 </v>
      </c>
      <c r="W251" t="str">
        <f t="shared" si="91"/>
        <v xml:space="preserve">     0.0</v>
      </c>
      <c r="X251" t="str">
        <f t="shared" si="95"/>
        <v/>
      </c>
      <c r="Y251" t="str">
        <f t="shared" si="95"/>
        <v/>
      </c>
      <c r="Z251" t="str">
        <f t="shared" si="95"/>
        <v/>
      </c>
      <c r="AA251" t="str">
        <f t="shared" si="83"/>
        <v/>
      </c>
      <c r="AB251" t="str">
        <f t="shared" si="92"/>
        <v/>
      </c>
      <c r="AC251" t="str">
        <f t="shared" si="93"/>
        <v/>
      </c>
      <c r="AD251" t="str">
        <f t="shared" si="94"/>
        <v/>
      </c>
      <c r="AE251" t="str">
        <f t="shared" si="84"/>
        <v/>
      </c>
      <c r="AF251" t="str">
        <f t="shared" si="96"/>
        <v/>
      </c>
      <c r="AG251" t="str">
        <f t="shared" si="96"/>
        <v/>
      </c>
      <c r="AH251" t="str">
        <f t="shared" si="85"/>
        <v/>
      </c>
      <c r="AI251" t="str">
        <f t="shared" si="86"/>
        <v/>
      </c>
      <c r="AJ251" t="str">
        <f t="shared" si="87"/>
        <v/>
      </c>
    </row>
    <row r="252" spans="1:36" x14ac:dyDescent="0.25">
      <c r="A252" t="s">
        <v>201</v>
      </c>
      <c r="P252" t="str">
        <f t="shared" si="88"/>
        <v xml:space="preserve">  SLUIZ--RS138  </v>
      </c>
      <c r="Q252" t="str">
        <f t="shared" si="88"/>
        <v xml:space="preserve">   -52.3 </v>
      </c>
      <c r="R252" t="str">
        <f t="shared" si="81"/>
        <v xml:space="preserve">     0.0 </v>
      </c>
      <c r="S252" t="str">
        <f t="shared" si="89"/>
        <v xml:space="preserve">     0.0 </v>
      </c>
      <c r="T252" t="str">
        <f t="shared" si="90"/>
        <v xml:space="preserve">     2.4 </v>
      </c>
      <c r="U252" t="str">
        <f t="shared" si="94"/>
        <v xml:space="preserve">         0.0 </v>
      </c>
      <c r="V252" t="str">
        <f t="shared" si="82"/>
        <v xml:space="preserve">     0.0 </v>
      </c>
      <c r="W252" t="str">
        <f t="shared" si="91"/>
        <v xml:space="preserve">     0.0 </v>
      </c>
      <c r="X252" t="str">
        <f t="shared" si="95"/>
        <v xml:space="preserve">       </v>
      </c>
      <c r="Y252" t="str">
        <f t="shared" si="95"/>
        <v xml:space="preserve">              </v>
      </c>
      <c r="Z252" t="str">
        <f t="shared" si="95"/>
        <v xml:space="preserve">    </v>
      </c>
      <c r="AA252" t="str">
        <f t="shared" si="83"/>
        <v xml:space="preserve">         </v>
      </c>
      <c r="AB252" t="str">
        <f t="shared" si="92"/>
        <v xml:space="preserve">         </v>
      </c>
      <c r="AC252" t="str">
        <f t="shared" si="93"/>
        <v xml:space="preserve">    </v>
      </c>
      <c r="AD252" t="str">
        <f t="shared" si="94"/>
        <v/>
      </c>
      <c r="AE252" t="str">
        <f t="shared" si="84"/>
        <v/>
      </c>
      <c r="AF252" t="str">
        <f t="shared" si="96"/>
        <v/>
      </c>
      <c r="AG252" t="str">
        <f t="shared" si="96"/>
        <v/>
      </c>
      <c r="AH252" t="str">
        <f t="shared" si="85"/>
        <v/>
      </c>
      <c r="AI252" t="str">
        <f t="shared" si="86"/>
        <v/>
      </c>
      <c r="AJ252" t="str">
        <f t="shared" si="87"/>
        <v/>
      </c>
    </row>
    <row r="253" spans="1:36" x14ac:dyDescent="0.25">
      <c r="A253" t="s">
        <v>202</v>
      </c>
      <c r="P253" t="str">
        <f t="shared" si="88"/>
        <v xml:space="preserve">                </v>
      </c>
      <c r="Q253" t="str">
        <f t="shared" si="88"/>
        <v xml:space="preserve">         </v>
      </c>
      <c r="R253" t="str">
        <f t="shared" si="81"/>
        <v xml:space="preserve">   108.0 </v>
      </c>
      <c r="S253" t="str">
        <f t="shared" si="89"/>
        <v xml:space="preserve">   108.0 </v>
      </c>
      <c r="T253" t="str">
        <f t="shared" si="90"/>
        <v xml:space="preserve">   108.0 </v>
      </c>
      <c r="U253" t="str">
        <f t="shared" si="94"/>
        <v xml:space="preserve">       31.0% </v>
      </c>
      <c r="V253" t="str">
        <f t="shared" si="82"/>
        <v xml:space="preserve">         </v>
      </c>
      <c r="W253" t="str">
        <f t="shared" si="91"/>
        <v xml:space="preserve">         </v>
      </c>
      <c r="X253" t="str">
        <f t="shared" si="95"/>
        <v xml:space="preserve">  1227 </v>
      </c>
      <c r="Y253" t="str">
        <f t="shared" si="95"/>
        <v xml:space="preserve"> MAXSPR-RS138 </v>
      </c>
      <c r="Z253" t="str">
        <f t="shared" si="95"/>
        <v xml:space="preserve">  1 </v>
      </c>
      <c r="AA253" t="str">
        <f t="shared" si="83"/>
        <v xml:space="preserve">    34.0 </v>
      </c>
      <c r="AB253" t="str">
        <f t="shared" si="92"/>
        <v xml:space="preserve">    -1.1 </v>
      </c>
      <c r="AC253" t="str">
        <f t="shared" si="93"/>
        <v xml:space="preserve">    33.4 </v>
      </c>
      <c r="AD253" t="str">
        <f t="shared" si="94"/>
        <v xml:space="preserve">        </v>
      </c>
      <c r="AE253" t="str">
        <f t="shared" si="84"/>
        <v xml:space="preserve">       </v>
      </c>
      <c r="AF253" t="str">
        <f t="shared" si="96"/>
        <v xml:space="preserve">     </v>
      </c>
      <c r="AG253" t="str">
        <f t="shared" si="96"/>
        <v xml:space="preserve">     0.02 </v>
      </c>
      <c r="AH253" t="str">
        <f t="shared" si="85"/>
        <v xml:space="preserve">    -0.12 </v>
      </c>
      <c r="AI253" t="str">
        <f t="shared" si="86"/>
        <v xml:space="preserve">       </v>
      </c>
      <c r="AJ253" t="str">
        <f t="shared" si="87"/>
        <v xml:space="preserve">      </v>
      </c>
    </row>
    <row r="254" spans="1:36" x14ac:dyDescent="0.25">
      <c r="A254" t="s">
        <v>203</v>
      </c>
      <c r="P254" t="str">
        <f t="shared" si="88"/>
        <v xml:space="preserve">                </v>
      </c>
      <c r="Q254" t="str">
        <f t="shared" si="88"/>
        <v xml:space="preserve">         </v>
      </c>
      <c r="R254" t="str">
        <f t="shared" si="81"/>
        <v xml:space="preserve">   108.0 </v>
      </c>
      <c r="S254" t="str">
        <f t="shared" si="89"/>
        <v xml:space="preserve">   108.0 </v>
      </c>
      <c r="T254" t="str">
        <f t="shared" si="90"/>
        <v xml:space="preserve">   108.0 </v>
      </c>
      <c r="U254" t="str">
        <f t="shared" si="94"/>
        <v xml:space="preserve">       36.0% </v>
      </c>
      <c r="V254" t="str">
        <f t="shared" si="82"/>
        <v xml:space="preserve">         </v>
      </c>
      <c r="W254" t="str">
        <f t="shared" si="91"/>
        <v xml:space="preserve">         </v>
      </c>
      <c r="X254" t="str">
        <f t="shared" si="95"/>
        <v xml:space="preserve">  1257 </v>
      </c>
      <c r="Y254" t="str">
        <f t="shared" si="95"/>
        <v xml:space="preserve"> CINPAL-RS138 </v>
      </c>
      <c r="Z254" t="str">
        <f t="shared" si="95"/>
        <v xml:space="preserve">  1 </v>
      </c>
      <c r="AA254" t="str">
        <f t="shared" si="83"/>
        <v xml:space="preserve">   -39.6 </v>
      </c>
      <c r="AB254" t="str">
        <f t="shared" si="92"/>
        <v xml:space="preserve">    -1.3 </v>
      </c>
      <c r="AC254" t="str">
        <f t="shared" si="93"/>
        <v xml:space="preserve">    38.9 </v>
      </c>
      <c r="AD254" t="str">
        <f t="shared" si="94"/>
        <v xml:space="preserve">        </v>
      </c>
      <c r="AE254" t="str">
        <f t="shared" si="84"/>
        <v xml:space="preserve">       </v>
      </c>
      <c r="AF254" t="str">
        <f t="shared" si="96"/>
        <v xml:space="preserve">     </v>
      </c>
      <c r="AG254" t="str">
        <f t="shared" si="96"/>
        <v xml:space="preserve">     0.00 </v>
      </c>
      <c r="AH254" t="str">
        <f t="shared" si="85"/>
        <v xml:space="preserve">    -0.01 </v>
      </c>
      <c r="AI254" t="str">
        <f t="shared" si="86"/>
        <v xml:space="preserve">       </v>
      </c>
      <c r="AJ254" t="str">
        <f t="shared" si="87"/>
        <v xml:space="preserve">      </v>
      </c>
    </row>
    <row r="255" spans="1:36" x14ac:dyDescent="0.25">
      <c r="A255" t="s">
        <v>14</v>
      </c>
      <c r="P255" t="str">
        <f t="shared" si="88"/>
        <v xml:space="preserve">  ..............</v>
      </c>
      <c r="Q255" t="str">
        <f t="shared" si="88"/>
        <v>.........</v>
      </c>
      <c r="R255" t="str">
        <f t="shared" si="81"/>
        <v>.........</v>
      </c>
      <c r="S255" t="str">
        <f t="shared" si="89"/>
        <v>.........</v>
      </c>
      <c r="T255" t="str">
        <f t="shared" si="90"/>
        <v>.........</v>
      </c>
      <c r="U255" t="str">
        <f t="shared" si="94"/>
        <v>.............</v>
      </c>
      <c r="V255" t="str">
        <f t="shared" si="82"/>
        <v>.........</v>
      </c>
      <c r="W255" t="str">
        <f t="shared" si="91"/>
        <v>.........</v>
      </c>
      <c r="X255" t="str">
        <f t="shared" si="95"/>
        <v>.......</v>
      </c>
      <c r="Y255" t="str">
        <f t="shared" si="95"/>
        <v>..............</v>
      </c>
      <c r="Z255" t="str">
        <f t="shared" si="95"/>
        <v>....</v>
      </c>
      <c r="AA255" t="str">
        <f t="shared" si="83"/>
        <v>.........</v>
      </c>
      <c r="AB255" t="str">
        <f t="shared" si="92"/>
        <v>.........</v>
      </c>
      <c r="AC255" t="str">
        <f t="shared" si="93"/>
        <v>.........</v>
      </c>
      <c r="AD255" t="str">
        <f t="shared" si="94"/>
        <v>........</v>
      </c>
      <c r="AE255" t="str">
        <f t="shared" si="84"/>
        <v>.......</v>
      </c>
      <c r="AF255" t="str">
        <f t="shared" si="96"/>
        <v>.....</v>
      </c>
      <c r="AG255" t="str">
        <f t="shared" si="96"/>
        <v>..........</v>
      </c>
      <c r="AH255" t="str">
        <f t="shared" si="85"/>
        <v>..........</v>
      </c>
      <c r="AI255" t="str">
        <f t="shared" si="86"/>
        <v>.......</v>
      </c>
      <c r="AJ255" t="str">
        <f t="shared" si="87"/>
        <v>.......</v>
      </c>
    </row>
    <row r="256" spans="1:36" x14ac:dyDescent="0.25">
      <c r="A256" t="s">
        <v>204</v>
      </c>
      <c r="P256" t="str">
        <f t="shared" si="88"/>
        <v xml:space="preserve">   1253   69  0 </v>
      </c>
      <c r="Q256" t="str">
        <f t="shared" si="88"/>
        <v xml:space="preserve">   1.007 </v>
      </c>
      <c r="R256" t="str">
        <f t="shared" si="81"/>
        <v xml:space="preserve">     8.9 </v>
      </c>
      <c r="S256" t="str">
        <f t="shared" si="89"/>
        <v xml:space="preserve">     0.0 </v>
      </c>
      <c r="T256" t="str">
        <f t="shared" si="90"/>
        <v xml:space="preserve">    18.1 </v>
      </c>
      <c r="U256" t="str">
        <f t="shared" si="94"/>
        <v xml:space="preserve">         0.0 </v>
      </c>
      <c r="V256" t="str">
        <f t="shared" si="82"/>
        <v xml:space="preserve">     7.3 </v>
      </c>
      <c r="W256" t="str">
        <f t="shared" si="91"/>
        <v xml:space="preserve">     0.0</v>
      </c>
      <c r="X256" t="str">
        <f t="shared" si="95"/>
        <v/>
      </c>
      <c r="Y256" t="str">
        <f t="shared" si="95"/>
        <v/>
      </c>
      <c r="Z256" t="str">
        <f t="shared" si="95"/>
        <v/>
      </c>
      <c r="AA256" t="str">
        <f t="shared" si="83"/>
        <v/>
      </c>
      <c r="AB256" t="str">
        <f t="shared" si="92"/>
        <v/>
      </c>
      <c r="AC256" t="str">
        <f t="shared" si="93"/>
        <v/>
      </c>
      <c r="AD256" t="str">
        <f t="shared" si="94"/>
        <v/>
      </c>
      <c r="AE256" t="str">
        <f t="shared" si="84"/>
        <v/>
      </c>
      <c r="AF256" t="str">
        <f t="shared" si="96"/>
        <v/>
      </c>
      <c r="AG256" t="str">
        <f t="shared" si="96"/>
        <v/>
      </c>
      <c r="AH256" t="str">
        <f t="shared" si="85"/>
        <v/>
      </c>
      <c r="AI256" t="str">
        <f t="shared" si="86"/>
        <v/>
      </c>
      <c r="AJ256" t="str">
        <f t="shared" si="87"/>
        <v/>
      </c>
    </row>
    <row r="257" spans="1:36" x14ac:dyDescent="0.25">
      <c r="A257" t="s">
        <v>205</v>
      </c>
      <c r="P257" t="str">
        <f t="shared" si="88"/>
        <v xml:space="preserve">  SBORJ2-RS069  </v>
      </c>
      <c r="Q257" t="str">
        <f t="shared" si="88"/>
        <v xml:space="preserve">   -47.9 </v>
      </c>
      <c r="R257" t="str">
        <f t="shared" si="81"/>
        <v xml:space="preserve">     0.0 </v>
      </c>
      <c r="S257" t="str">
        <f t="shared" si="89"/>
        <v xml:space="preserve">     0.0 </v>
      </c>
      <c r="T257" t="str">
        <f t="shared" si="90"/>
        <v xml:space="preserve">     4.2 </v>
      </c>
      <c r="U257" t="str">
        <f t="shared" si="94"/>
        <v xml:space="preserve">         0.0 </v>
      </c>
      <c r="V257" t="str">
        <f t="shared" si="82"/>
        <v xml:space="preserve">     0.0 </v>
      </c>
      <c r="W257" t="str">
        <f t="shared" si="91"/>
        <v xml:space="preserve">     0.0 </v>
      </c>
      <c r="X257" t="str">
        <f t="shared" si="95"/>
        <v xml:space="preserve">       </v>
      </c>
      <c r="Y257" t="str">
        <f t="shared" si="95"/>
        <v xml:space="preserve">              </v>
      </c>
      <c r="Z257" t="str">
        <f t="shared" si="95"/>
        <v xml:space="preserve">    </v>
      </c>
      <c r="AA257" t="str">
        <f t="shared" si="83"/>
        <v xml:space="preserve">         </v>
      </c>
      <c r="AB257" t="str">
        <f t="shared" si="92"/>
        <v xml:space="preserve">         </v>
      </c>
      <c r="AC257" t="str">
        <f t="shared" si="93"/>
        <v xml:space="preserve">    </v>
      </c>
      <c r="AD257" t="str">
        <f t="shared" si="94"/>
        <v/>
      </c>
      <c r="AE257" t="str">
        <f t="shared" si="84"/>
        <v/>
      </c>
      <c r="AF257" t="str">
        <f t="shared" si="96"/>
        <v/>
      </c>
      <c r="AG257" t="str">
        <f t="shared" si="96"/>
        <v/>
      </c>
      <c r="AH257" t="str">
        <f t="shared" si="85"/>
        <v/>
      </c>
      <c r="AI257" t="str">
        <f t="shared" si="86"/>
        <v/>
      </c>
      <c r="AJ257" t="str">
        <f t="shared" si="87"/>
        <v/>
      </c>
    </row>
    <row r="258" spans="1:36" x14ac:dyDescent="0.25">
      <c r="A258" t="s">
        <v>206</v>
      </c>
      <c r="P258" t="str">
        <f t="shared" si="88"/>
        <v xml:space="preserve">                </v>
      </c>
      <c r="Q258" t="str">
        <f t="shared" si="88"/>
        <v xml:space="preserve">         </v>
      </c>
      <c r="R258" t="str">
        <f t="shared" si="81"/>
        <v xml:space="preserve">    25.0 </v>
      </c>
      <c r="S258" t="str">
        <f t="shared" si="89"/>
        <v xml:space="preserve">    37.0 </v>
      </c>
      <c r="T258" t="str">
        <f t="shared" si="90"/>
        <v xml:space="preserve">    37.0 </v>
      </c>
      <c r="U258" t="str">
        <f t="shared" si="94"/>
        <v xml:space="preserve">       23.2% </v>
      </c>
      <c r="V258" t="str">
        <f t="shared" si="82"/>
        <v xml:space="preserve">         </v>
      </c>
      <c r="W258" t="str">
        <f t="shared" si="91"/>
        <v xml:space="preserve">         </v>
      </c>
      <c r="X258" t="str">
        <f t="shared" si="95"/>
        <v xml:space="preserve">  9206 </v>
      </c>
      <c r="Y258" t="str">
        <f t="shared" si="95"/>
        <v xml:space="preserve"> SBORJA-RS023 </v>
      </c>
      <c r="Z258" t="str">
        <f t="shared" si="95"/>
        <v xml:space="preserve">  2 </v>
      </c>
      <c r="AA258" t="str">
        <f t="shared" si="83"/>
        <v xml:space="preserve">     5.8 </v>
      </c>
      <c r="AB258" t="str">
        <f t="shared" si="92"/>
        <v xml:space="preserve">    -0.1 </v>
      </c>
      <c r="AC258" t="str">
        <f t="shared" si="93"/>
        <v xml:space="preserve">     5.8 </v>
      </c>
      <c r="AD258" t="str">
        <f t="shared" si="94"/>
        <v xml:space="preserve"> 0.998* </v>
      </c>
      <c r="AE258" t="str">
        <f t="shared" si="84"/>
        <v xml:space="preserve">       </v>
      </c>
      <c r="AF258" t="str">
        <f t="shared" si="96"/>
        <v xml:space="preserve">     </v>
      </c>
      <c r="AG258" t="str">
        <f t="shared" si="96"/>
        <v xml:space="preserve">     0.00 </v>
      </c>
      <c r="AH258" t="str">
        <f t="shared" si="85"/>
        <v xml:space="preserve">     0.13 </v>
      </c>
      <c r="AI258" t="str">
        <f t="shared" si="86"/>
        <v xml:space="preserve">       </v>
      </c>
      <c r="AJ258" t="str">
        <f t="shared" si="87"/>
        <v xml:space="preserve">      </v>
      </c>
    </row>
    <row r="259" spans="1:36" x14ac:dyDescent="0.25">
      <c r="A259" t="s">
        <v>207</v>
      </c>
      <c r="P259" t="str">
        <f t="shared" si="88"/>
        <v xml:space="preserve">                </v>
      </c>
      <c r="Q259" t="str">
        <f t="shared" si="88"/>
        <v xml:space="preserve">         </v>
      </c>
      <c r="R259" t="str">
        <f t="shared" si="81"/>
        <v xml:space="preserve">    25.0 </v>
      </c>
      <c r="S259" t="str">
        <f t="shared" si="89"/>
        <v xml:space="preserve">    37.0 </v>
      </c>
      <c r="T259" t="str">
        <f t="shared" si="90"/>
        <v xml:space="preserve">    37.0 </v>
      </c>
      <c r="U259" t="str">
        <f t="shared" si="94"/>
        <v xml:space="preserve">       24.1% </v>
      </c>
      <c r="V259" t="str">
        <f t="shared" si="82"/>
        <v xml:space="preserve">         </v>
      </c>
      <c r="W259" t="str">
        <f t="shared" si="91"/>
        <v xml:space="preserve">         </v>
      </c>
      <c r="X259" t="str">
        <f t="shared" si="95"/>
        <v xml:space="preserve">  9206 </v>
      </c>
      <c r="Y259" t="str">
        <f t="shared" si="95"/>
        <v xml:space="preserve"> SBORJA-RS023 </v>
      </c>
      <c r="Z259" t="str">
        <f t="shared" si="95"/>
        <v xml:space="preserve">  5 </v>
      </c>
      <c r="AA259" t="str">
        <f t="shared" si="83"/>
        <v xml:space="preserve">     6.1 </v>
      </c>
      <c r="AB259" t="str">
        <f t="shared" si="92"/>
        <v xml:space="preserve">    -0.1 </v>
      </c>
      <c r="AC259" t="str">
        <f t="shared" si="93"/>
        <v xml:space="preserve">     6.0 </v>
      </c>
      <c r="AD259" t="str">
        <f t="shared" si="94"/>
        <v xml:space="preserve"> 0.998* </v>
      </c>
      <c r="AE259" t="str">
        <f t="shared" si="84"/>
        <v xml:space="preserve">       </v>
      </c>
      <c r="AF259" t="str">
        <f t="shared" si="96"/>
        <v xml:space="preserve">     </v>
      </c>
      <c r="AG259" t="str">
        <f t="shared" si="96"/>
        <v xml:space="preserve">     0.00 </v>
      </c>
      <c r="AH259" t="str">
        <f t="shared" si="85"/>
        <v xml:space="preserve">     0.14 </v>
      </c>
      <c r="AI259" t="str">
        <f t="shared" si="86"/>
        <v xml:space="preserve">       </v>
      </c>
      <c r="AJ259" t="str">
        <f t="shared" si="87"/>
        <v xml:space="preserve">      </v>
      </c>
    </row>
    <row r="260" spans="1:36" x14ac:dyDescent="0.25">
      <c r="A260" t="s">
        <v>208</v>
      </c>
      <c r="P260" t="str">
        <f t="shared" si="88"/>
        <v xml:space="preserve">                </v>
      </c>
      <c r="Q260" t="str">
        <f t="shared" si="88"/>
        <v xml:space="preserve">         </v>
      </c>
      <c r="R260" t="str">
        <f t="shared" si="81"/>
        <v xml:space="preserve">    50.0 </v>
      </c>
      <c r="S260" t="str">
        <f t="shared" si="89"/>
        <v xml:space="preserve">    75.0 </v>
      </c>
      <c r="T260" t="str">
        <f t="shared" si="90"/>
        <v xml:space="preserve">    75.0 </v>
      </c>
      <c r="U260" t="str">
        <f t="shared" si="94"/>
        <v xml:space="preserve">       14.3% </v>
      </c>
      <c r="V260" t="str">
        <f t="shared" si="82"/>
        <v xml:space="preserve">         </v>
      </c>
      <c r="W260" t="str">
        <f t="shared" si="91"/>
        <v xml:space="preserve">         </v>
      </c>
      <c r="X260" t="str">
        <f t="shared" si="95"/>
        <v xml:space="preserve"> 41357 </v>
      </c>
      <c r="Y260" t="str">
        <f t="shared" si="95"/>
        <v xml:space="preserve"> SBO2-1-RS000 </v>
      </c>
      <c r="Z260" t="str">
        <f t="shared" si="95"/>
        <v xml:space="preserve">  1 </v>
      </c>
      <c r="AA260" t="str">
        <f t="shared" si="83"/>
        <v xml:space="preserve">    -7.1 </v>
      </c>
      <c r="AB260" t="str">
        <f t="shared" si="92"/>
        <v xml:space="preserve">     1.1 </v>
      </c>
      <c r="AC260" t="str">
        <f t="shared" si="93"/>
        <v xml:space="preserve">     7.2 </v>
      </c>
      <c r="AD260" t="str">
        <f t="shared" si="94"/>
        <v xml:space="preserve"> 1.000F </v>
      </c>
      <c r="AE260" t="str">
        <f t="shared" si="84"/>
        <v xml:space="preserve">       </v>
      </c>
      <c r="AF260" t="str">
        <f t="shared" si="96"/>
        <v xml:space="preserve"> 002 </v>
      </c>
      <c r="AG260" t="str">
        <f t="shared" si="96"/>
        <v xml:space="preserve">     0.00 </v>
      </c>
      <c r="AH260" t="str">
        <f t="shared" si="85"/>
        <v xml:space="preserve">    -0.00 </v>
      </c>
      <c r="AI260" t="str">
        <f t="shared" si="86"/>
        <v xml:space="preserve">       </v>
      </c>
      <c r="AJ260" t="str">
        <f t="shared" si="87"/>
        <v xml:space="preserve">      </v>
      </c>
    </row>
    <row r="261" spans="1:36" x14ac:dyDescent="0.25">
      <c r="A261" t="s">
        <v>209</v>
      </c>
      <c r="P261" t="str">
        <f t="shared" si="88"/>
        <v xml:space="preserve">                </v>
      </c>
      <c r="Q261" t="str">
        <f t="shared" si="88"/>
        <v xml:space="preserve">         </v>
      </c>
      <c r="R261" t="str">
        <f t="shared" si="81"/>
        <v xml:space="preserve">    50.0 </v>
      </c>
      <c r="S261" t="str">
        <f t="shared" si="89"/>
        <v xml:space="preserve">    50.0 </v>
      </c>
      <c r="T261" t="str">
        <f t="shared" si="90"/>
        <v xml:space="preserve">    50.0 </v>
      </c>
      <c r="U261" t="str">
        <f t="shared" si="94"/>
        <v xml:space="preserve">       14.2% </v>
      </c>
      <c r="V261" t="str">
        <f t="shared" si="82"/>
        <v xml:space="preserve">         </v>
      </c>
      <c r="W261" t="str">
        <f t="shared" si="91"/>
        <v xml:space="preserve">         </v>
      </c>
      <c r="X261" t="str">
        <f t="shared" si="95"/>
        <v xml:space="preserve"> 41358 </v>
      </c>
      <c r="Y261" t="str">
        <f t="shared" si="95"/>
        <v xml:space="preserve"> SBO2-6-RS000 </v>
      </c>
      <c r="Z261" t="str">
        <f t="shared" si="95"/>
        <v xml:space="preserve">  6 </v>
      </c>
      <c r="AA261" t="str">
        <f t="shared" si="83"/>
        <v xml:space="preserve">    -7.1 </v>
      </c>
      <c r="AB261" t="str">
        <f t="shared" si="92"/>
        <v xml:space="preserve">     1.1 </v>
      </c>
      <c r="AC261" t="str">
        <f t="shared" si="93"/>
        <v xml:space="preserve">     7.1 </v>
      </c>
      <c r="AD261" t="str">
        <f t="shared" si="94"/>
        <v xml:space="preserve"> 1.000F </v>
      </c>
      <c r="AE261" t="str">
        <f t="shared" si="84"/>
        <v xml:space="preserve">       </v>
      </c>
      <c r="AF261" t="str">
        <f t="shared" si="96"/>
        <v xml:space="preserve"> 002 </v>
      </c>
      <c r="AG261" t="str">
        <f t="shared" si="96"/>
        <v xml:space="preserve">     0.00 </v>
      </c>
      <c r="AH261" t="str">
        <f t="shared" si="85"/>
        <v xml:space="preserve">    -0.00 </v>
      </c>
      <c r="AI261" t="str">
        <f t="shared" si="86"/>
        <v xml:space="preserve">       </v>
      </c>
      <c r="AJ261" t="str">
        <f t="shared" si="87"/>
        <v xml:space="preserve">      </v>
      </c>
    </row>
    <row r="262" spans="1:36" x14ac:dyDescent="0.25">
      <c r="A262" t="s">
        <v>210</v>
      </c>
      <c r="P262" t="str">
        <f t="shared" si="88"/>
        <v xml:space="preserve">                </v>
      </c>
      <c r="Q262" t="str">
        <f t="shared" si="88"/>
        <v xml:space="preserve">         </v>
      </c>
      <c r="R262" t="str">
        <f t="shared" si="81"/>
        <v xml:space="preserve">    50.0 </v>
      </c>
      <c r="S262" t="str">
        <f t="shared" si="89"/>
        <v xml:space="preserve">    60.0 </v>
      </c>
      <c r="T262" t="str">
        <f t="shared" si="90"/>
        <v xml:space="preserve">    60.0 </v>
      </c>
      <c r="U262" t="str">
        <f t="shared" si="94"/>
        <v xml:space="preserve">       13.9% </v>
      </c>
      <c r="V262" t="str">
        <f t="shared" si="82"/>
        <v xml:space="preserve">         </v>
      </c>
      <c r="W262" t="str">
        <f t="shared" si="91"/>
        <v xml:space="preserve">         </v>
      </c>
      <c r="X262" t="str">
        <f t="shared" si="95"/>
        <v xml:space="preserve"> 41359 </v>
      </c>
      <c r="Y262" t="str">
        <f t="shared" si="95"/>
        <v xml:space="preserve"> SBO2-7-RS000 </v>
      </c>
      <c r="Z262" t="str">
        <f t="shared" si="95"/>
        <v xml:space="preserve">  7 </v>
      </c>
      <c r="AA262" t="str">
        <f t="shared" si="83"/>
        <v xml:space="preserve">    -6.9 </v>
      </c>
      <c r="AB262" t="str">
        <f t="shared" si="92"/>
        <v xml:space="preserve">     1.1 </v>
      </c>
      <c r="AC262" t="str">
        <f t="shared" si="93"/>
        <v xml:space="preserve">     6.9 </v>
      </c>
      <c r="AD262" t="str">
        <f t="shared" si="94"/>
        <v xml:space="preserve"> 1.000F </v>
      </c>
      <c r="AE262" t="str">
        <f t="shared" si="84"/>
        <v xml:space="preserve">       </v>
      </c>
      <c r="AF262" t="str">
        <f t="shared" si="96"/>
        <v xml:space="preserve"> 002 </v>
      </c>
      <c r="AG262" t="str">
        <f t="shared" si="96"/>
        <v xml:space="preserve">     0.00 </v>
      </c>
      <c r="AH262" t="str">
        <f t="shared" si="85"/>
        <v xml:space="preserve">     0.14 </v>
      </c>
      <c r="AI262" t="str">
        <f t="shared" si="86"/>
        <v xml:space="preserve">       </v>
      </c>
      <c r="AJ262" t="str">
        <f t="shared" si="87"/>
        <v xml:space="preserve">      </v>
      </c>
    </row>
    <row r="263" spans="1:36" x14ac:dyDescent="0.25">
      <c r="A263" t="s">
        <v>14</v>
      </c>
      <c r="P263" t="str">
        <f t="shared" si="88"/>
        <v xml:space="preserve">  ..............</v>
      </c>
      <c r="Q263" t="str">
        <f t="shared" si="88"/>
        <v>.........</v>
      </c>
      <c r="R263" t="str">
        <f t="shared" si="81"/>
        <v>.........</v>
      </c>
      <c r="S263" t="str">
        <f t="shared" si="89"/>
        <v>.........</v>
      </c>
      <c r="T263" t="str">
        <f t="shared" si="90"/>
        <v>.........</v>
      </c>
      <c r="U263" t="str">
        <f t="shared" si="94"/>
        <v>.............</v>
      </c>
      <c r="V263" t="str">
        <f t="shared" si="82"/>
        <v>.........</v>
      </c>
      <c r="W263" t="str">
        <f t="shared" si="91"/>
        <v>.........</v>
      </c>
      <c r="X263" t="str">
        <f t="shared" si="95"/>
        <v>.......</v>
      </c>
      <c r="Y263" t="str">
        <f t="shared" si="95"/>
        <v>..............</v>
      </c>
      <c r="Z263" t="str">
        <f t="shared" si="95"/>
        <v>....</v>
      </c>
      <c r="AA263" t="str">
        <f t="shared" si="83"/>
        <v>.........</v>
      </c>
      <c r="AB263" t="str">
        <f t="shared" si="92"/>
        <v>.........</v>
      </c>
      <c r="AC263" t="str">
        <f t="shared" si="93"/>
        <v>.........</v>
      </c>
      <c r="AD263" t="str">
        <f t="shared" si="94"/>
        <v>........</v>
      </c>
      <c r="AE263" t="str">
        <f t="shared" si="84"/>
        <v>.......</v>
      </c>
      <c r="AF263" t="str">
        <f t="shared" si="96"/>
        <v>.....</v>
      </c>
      <c r="AG263" t="str">
        <f t="shared" si="96"/>
        <v>..........</v>
      </c>
      <c r="AH263" t="str">
        <f t="shared" si="85"/>
        <v>..........</v>
      </c>
      <c r="AI263" t="str">
        <f t="shared" si="86"/>
        <v>.......</v>
      </c>
      <c r="AJ263" t="str">
        <f t="shared" si="87"/>
        <v>.......</v>
      </c>
    </row>
    <row r="264" spans="1:36" x14ac:dyDescent="0.25">
      <c r="A264" t="s">
        <v>211</v>
      </c>
      <c r="P264" t="str">
        <f t="shared" si="88"/>
        <v xml:space="preserve">   1257  138  0 </v>
      </c>
      <c r="Q264" t="str">
        <f t="shared" si="88"/>
        <v xml:space="preserve">   1.019 </v>
      </c>
      <c r="R264" t="str">
        <f t="shared" si="81"/>
        <v xml:space="preserve">     0.0 </v>
      </c>
      <c r="S264" t="str">
        <f t="shared" si="89"/>
        <v xml:space="preserve">     0.0 </v>
      </c>
      <c r="T264" t="str">
        <f t="shared" si="90"/>
        <v xml:space="preserve">     0.0 </v>
      </c>
      <c r="U264" t="str">
        <f t="shared" si="94"/>
        <v xml:space="preserve">         0.0 </v>
      </c>
      <c r="V264" t="str">
        <f t="shared" si="82"/>
        <v xml:space="preserve">     0.0 </v>
      </c>
      <c r="W264" t="str">
        <f t="shared" si="91"/>
        <v xml:space="preserve">     0.0</v>
      </c>
      <c r="X264" t="str">
        <f t="shared" si="95"/>
        <v/>
      </c>
      <c r="Y264" t="str">
        <f t="shared" si="95"/>
        <v/>
      </c>
      <c r="Z264" t="str">
        <f t="shared" si="95"/>
        <v/>
      </c>
      <c r="AA264" t="str">
        <f t="shared" si="83"/>
        <v/>
      </c>
      <c r="AB264" t="str">
        <f t="shared" si="92"/>
        <v/>
      </c>
      <c r="AC264" t="str">
        <f t="shared" si="93"/>
        <v/>
      </c>
      <c r="AD264" t="str">
        <f t="shared" si="94"/>
        <v/>
      </c>
      <c r="AE264" t="str">
        <f t="shared" si="84"/>
        <v/>
      </c>
      <c r="AF264" t="str">
        <f t="shared" si="96"/>
        <v/>
      </c>
      <c r="AG264" t="str">
        <f t="shared" si="96"/>
        <v/>
      </c>
      <c r="AH264" t="str">
        <f t="shared" si="85"/>
        <v/>
      </c>
      <c r="AI264" t="str">
        <f t="shared" si="86"/>
        <v/>
      </c>
      <c r="AJ264" t="str">
        <f t="shared" si="87"/>
        <v/>
      </c>
    </row>
    <row r="265" spans="1:36" x14ac:dyDescent="0.25">
      <c r="A265" t="s">
        <v>212</v>
      </c>
      <c r="P265" t="str">
        <f t="shared" si="88"/>
        <v xml:space="preserve">  CINPAL-RS138  </v>
      </c>
      <c r="Q265" t="str">
        <f t="shared" si="88"/>
        <v xml:space="preserve">   -52.3 </v>
      </c>
      <c r="R265" t="str">
        <f t="shared" si="81"/>
        <v xml:space="preserve">     0.0 </v>
      </c>
      <c r="S265" t="str">
        <f t="shared" si="89"/>
        <v xml:space="preserve">     0.0 </v>
      </c>
      <c r="T265" t="str">
        <f t="shared" si="90"/>
        <v xml:space="preserve">     0.0 </v>
      </c>
      <c r="U265" t="str">
        <f t="shared" si="94"/>
        <v xml:space="preserve">         0.0 </v>
      </c>
      <c r="V265" t="str">
        <f t="shared" si="82"/>
        <v xml:space="preserve">     0.0 </v>
      </c>
      <c r="W265" t="str">
        <f t="shared" si="91"/>
        <v xml:space="preserve">     0.0 </v>
      </c>
      <c r="X265" t="str">
        <f t="shared" si="95"/>
        <v xml:space="preserve">       </v>
      </c>
      <c r="Y265" t="str">
        <f t="shared" si="95"/>
        <v xml:space="preserve">              </v>
      </c>
      <c r="Z265" t="str">
        <f t="shared" si="95"/>
        <v xml:space="preserve">    </v>
      </c>
      <c r="AA265" t="str">
        <f t="shared" si="83"/>
        <v xml:space="preserve">         </v>
      </c>
      <c r="AB265" t="str">
        <f t="shared" si="92"/>
        <v xml:space="preserve">         </v>
      </c>
      <c r="AC265" t="str">
        <f t="shared" si="93"/>
        <v xml:space="preserve">    </v>
      </c>
      <c r="AD265" t="str">
        <f t="shared" si="94"/>
        <v/>
      </c>
      <c r="AE265" t="str">
        <f t="shared" si="84"/>
        <v/>
      </c>
      <c r="AF265" t="str">
        <f t="shared" si="96"/>
        <v/>
      </c>
      <c r="AG265" t="str">
        <f t="shared" si="96"/>
        <v/>
      </c>
      <c r="AH265" t="str">
        <f t="shared" si="85"/>
        <v/>
      </c>
      <c r="AI265" t="str">
        <f t="shared" si="86"/>
        <v/>
      </c>
      <c r="AJ265" t="str">
        <f t="shared" si="87"/>
        <v/>
      </c>
    </row>
    <row r="266" spans="1:36" x14ac:dyDescent="0.25">
      <c r="A266" t="s">
        <v>213</v>
      </c>
      <c r="P266" t="str">
        <f t="shared" si="88"/>
        <v xml:space="preserve">                </v>
      </c>
      <c r="Q266" t="str">
        <f t="shared" si="88"/>
        <v xml:space="preserve">         </v>
      </c>
      <c r="R266" t="str">
        <f t="shared" si="81"/>
        <v xml:space="preserve">   108.0 </v>
      </c>
      <c r="S266" t="str">
        <f t="shared" si="89"/>
        <v xml:space="preserve">   108.0 </v>
      </c>
      <c r="T266" t="str">
        <f t="shared" si="90"/>
        <v xml:space="preserve">   108.0 </v>
      </c>
      <c r="U266" t="str">
        <f t="shared" si="94"/>
        <v xml:space="preserve">       36.0% </v>
      </c>
      <c r="V266" t="str">
        <f t="shared" si="82"/>
        <v xml:space="preserve">         </v>
      </c>
      <c r="W266" t="str">
        <f t="shared" si="91"/>
        <v xml:space="preserve">         </v>
      </c>
      <c r="X266" t="str">
        <f t="shared" si="95"/>
        <v xml:space="preserve">  1252 </v>
      </c>
      <c r="Y266" t="str">
        <f t="shared" si="95"/>
        <v xml:space="preserve"> SLUIZ--RS138 </v>
      </c>
      <c r="Z266" t="str">
        <f t="shared" si="95"/>
        <v xml:space="preserve">  1 </v>
      </c>
      <c r="AA266" t="str">
        <f t="shared" si="83"/>
        <v xml:space="preserve">    39.6 </v>
      </c>
      <c r="AB266" t="str">
        <f t="shared" si="92"/>
        <v xml:space="preserve">     1.3 </v>
      </c>
      <c r="AC266" t="str">
        <f t="shared" si="93"/>
        <v xml:space="preserve">    38.9 </v>
      </c>
      <c r="AD266" t="str">
        <f t="shared" si="94"/>
        <v xml:space="preserve">        </v>
      </c>
      <c r="AE266" t="str">
        <f t="shared" si="84"/>
        <v xml:space="preserve">       </v>
      </c>
      <c r="AF266" t="str">
        <f t="shared" si="96"/>
        <v xml:space="preserve">     </v>
      </c>
      <c r="AG266" t="str">
        <f t="shared" si="96"/>
        <v xml:space="preserve">     0.00 </v>
      </c>
      <c r="AH266" t="str">
        <f t="shared" si="85"/>
        <v xml:space="preserve">    -0.01 </v>
      </c>
      <c r="AI266" t="str">
        <f t="shared" si="86"/>
        <v xml:space="preserve">       </v>
      </c>
      <c r="AJ266" t="str">
        <f t="shared" si="87"/>
        <v xml:space="preserve">      </v>
      </c>
    </row>
    <row r="267" spans="1:36" x14ac:dyDescent="0.25">
      <c r="A267" t="s">
        <v>214</v>
      </c>
      <c r="P267" t="str">
        <f t="shared" si="88"/>
        <v xml:space="preserve">                </v>
      </c>
      <c r="Q267" t="str">
        <f t="shared" si="88"/>
        <v xml:space="preserve">         </v>
      </c>
      <c r="R267" t="str">
        <f t="shared" si="81"/>
        <v xml:space="preserve">   108.0 </v>
      </c>
      <c r="S267" t="str">
        <f t="shared" si="89"/>
        <v xml:space="preserve">   108.0 </v>
      </c>
      <c r="T267" t="str">
        <f t="shared" si="90"/>
        <v xml:space="preserve">   108.0 </v>
      </c>
      <c r="U267" t="str">
        <f t="shared" si="94"/>
        <v xml:space="preserve">       22.5% </v>
      </c>
      <c r="V267" t="str">
        <f t="shared" si="82"/>
        <v xml:space="preserve">         </v>
      </c>
      <c r="W267" t="str">
        <f t="shared" si="91"/>
        <v xml:space="preserve">         </v>
      </c>
      <c r="X267" t="str">
        <f t="shared" si="95"/>
        <v xml:space="preserve">  1265 </v>
      </c>
      <c r="Y267" t="str">
        <f t="shared" si="95"/>
        <v xml:space="preserve"> SANREM-RS138 </v>
      </c>
      <c r="Z267" t="str">
        <f t="shared" si="95"/>
        <v xml:space="preserve">  1 </v>
      </c>
      <c r="AA267" t="str">
        <f t="shared" si="83"/>
        <v xml:space="preserve">    24.5 </v>
      </c>
      <c r="AB267" t="str">
        <f t="shared" si="92"/>
        <v xml:space="preserve">    -3.9 </v>
      </c>
      <c r="AC267" t="str">
        <f t="shared" si="93"/>
        <v xml:space="preserve">    24.3 </v>
      </c>
      <c r="AD267" t="str">
        <f t="shared" si="94"/>
        <v xml:space="preserve">        </v>
      </c>
      <c r="AE267" t="str">
        <f t="shared" si="84"/>
        <v xml:space="preserve">       </v>
      </c>
      <c r="AF267" t="str">
        <f t="shared" si="96"/>
        <v xml:space="preserve">     </v>
      </c>
      <c r="AG267" t="str">
        <f t="shared" si="96"/>
        <v xml:space="preserve">     0.02 </v>
      </c>
      <c r="AH267" t="str">
        <f t="shared" si="85"/>
        <v xml:space="preserve">    -0.30 </v>
      </c>
      <c r="AI267" t="str">
        <f t="shared" si="86"/>
        <v xml:space="preserve">       </v>
      </c>
      <c r="AJ267" t="str">
        <f t="shared" si="87"/>
        <v xml:space="preserve">      </v>
      </c>
    </row>
    <row r="268" spans="1:36" x14ac:dyDescent="0.25">
      <c r="A268" t="s">
        <v>215</v>
      </c>
      <c r="P268" t="str">
        <f t="shared" si="88"/>
        <v xml:space="preserve">                </v>
      </c>
      <c r="Q268" t="str">
        <f t="shared" si="88"/>
        <v xml:space="preserve">         </v>
      </c>
      <c r="R268" t="str">
        <f t="shared" ref="R268:R331" si="97">MID($A268,Q$8+Q$9-1,R$9)</f>
        <v xml:space="preserve">   134.0 </v>
      </c>
      <c r="S268" t="str">
        <f t="shared" si="89"/>
        <v xml:space="preserve">   162.0 </v>
      </c>
      <c r="T268" t="str">
        <f t="shared" si="90"/>
        <v xml:space="preserve">   162.0 </v>
      </c>
      <c r="U268" t="str">
        <f t="shared" si="94"/>
        <v xml:space="preserve">        5.4% </v>
      </c>
      <c r="V268" t="str">
        <f t="shared" ref="V268:V331" si="98">MID($A268,U$8+U$9-1,V$9)</f>
        <v xml:space="preserve">         </v>
      </c>
      <c r="W268" t="str">
        <f t="shared" si="91"/>
        <v xml:space="preserve">         </v>
      </c>
      <c r="X268" t="str">
        <f t="shared" si="95"/>
        <v xml:space="preserve">  1338 </v>
      </c>
      <c r="Y268" t="str">
        <f t="shared" si="95"/>
        <v xml:space="preserve"> NSRIT2-RS138 </v>
      </c>
      <c r="Z268" t="str">
        <f t="shared" si="95"/>
        <v xml:space="preserve">  1 </v>
      </c>
      <c r="AA268" t="str">
        <f t="shared" ref="AA268:AA331" si="99">MID($A268,Z$8+Z$9-1,AA$9)</f>
        <v xml:space="preserve">     7.1 </v>
      </c>
      <c r="AB268" t="str">
        <f t="shared" si="92"/>
        <v xml:space="preserve">     1.9 </v>
      </c>
      <c r="AC268" t="str">
        <f t="shared" si="93"/>
        <v xml:space="preserve">     7.2 </v>
      </c>
      <c r="AD268" t="str">
        <f t="shared" si="94"/>
        <v xml:space="preserve">        </v>
      </c>
      <c r="AE268" t="str">
        <f t="shared" ref="AE268:AE331" si="100">MID($A268,AD$8+AD$9-1,AE$9)</f>
        <v xml:space="preserve">       </v>
      </c>
      <c r="AF268" t="str">
        <f t="shared" si="96"/>
        <v xml:space="preserve">     </v>
      </c>
      <c r="AG268" t="str">
        <f t="shared" si="96"/>
        <v xml:space="preserve">     0.01 </v>
      </c>
      <c r="AH268" t="str">
        <f t="shared" ref="AH268:AH331" si="101">MID($A268,AG$8+AG$9-1,AH$9)</f>
        <v xml:space="preserve">    -0.66 </v>
      </c>
      <c r="AI268" t="str">
        <f t="shared" si="86"/>
        <v xml:space="preserve">       </v>
      </c>
      <c r="AJ268" t="str">
        <f t="shared" si="87"/>
        <v xml:space="preserve">      </v>
      </c>
    </row>
    <row r="269" spans="1:36" x14ac:dyDescent="0.25">
      <c r="A269" t="s">
        <v>216</v>
      </c>
      <c r="P269" t="str">
        <f t="shared" si="88"/>
        <v xml:space="preserve">                </v>
      </c>
      <c r="Q269" t="str">
        <f t="shared" si="88"/>
        <v xml:space="preserve">         </v>
      </c>
      <c r="R269" t="str">
        <f t="shared" si="97"/>
        <v xml:space="preserve">   134.0 </v>
      </c>
      <c r="S269" t="str">
        <f t="shared" si="89"/>
        <v xml:space="preserve">   162.0 </v>
      </c>
      <c r="T269" t="str">
        <f t="shared" si="90"/>
        <v xml:space="preserve">   162.0 </v>
      </c>
      <c r="U269" t="str">
        <f t="shared" si="94"/>
        <v xml:space="preserve">        5.4% </v>
      </c>
      <c r="V269" t="str">
        <f t="shared" si="98"/>
        <v xml:space="preserve">         </v>
      </c>
      <c r="W269" t="str">
        <f t="shared" si="91"/>
        <v xml:space="preserve">         </v>
      </c>
      <c r="X269" t="str">
        <f t="shared" si="95"/>
        <v xml:space="preserve">  1338 </v>
      </c>
      <c r="Y269" t="str">
        <f t="shared" si="95"/>
        <v xml:space="preserve"> NSRIT2-RS138 </v>
      </c>
      <c r="Z269" t="str">
        <f t="shared" si="95"/>
        <v xml:space="preserve">  2 </v>
      </c>
      <c r="AA269" t="str">
        <f t="shared" si="99"/>
        <v xml:space="preserve">     7.1 </v>
      </c>
      <c r="AB269" t="str">
        <f t="shared" si="92"/>
        <v xml:space="preserve">     1.9 </v>
      </c>
      <c r="AC269" t="str">
        <f t="shared" si="93"/>
        <v xml:space="preserve">     7.2 </v>
      </c>
      <c r="AD269" t="str">
        <f t="shared" si="94"/>
        <v xml:space="preserve">        </v>
      </c>
      <c r="AE269" t="str">
        <f t="shared" si="100"/>
        <v xml:space="preserve">       </v>
      </c>
      <c r="AF269" t="str">
        <f t="shared" si="96"/>
        <v xml:space="preserve">     </v>
      </c>
      <c r="AG269" t="str">
        <f t="shared" si="96"/>
        <v xml:space="preserve">     0.01 </v>
      </c>
      <c r="AH269" t="str">
        <f t="shared" si="101"/>
        <v xml:space="preserve">    -0.66 </v>
      </c>
      <c r="AI269" t="str">
        <f t="shared" si="86"/>
        <v xml:space="preserve">       </v>
      </c>
      <c r="AJ269" t="str">
        <f t="shared" si="87"/>
        <v xml:space="preserve">      </v>
      </c>
    </row>
    <row r="270" spans="1:36" x14ac:dyDescent="0.25">
      <c r="A270" t="s">
        <v>217</v>
      </c>
      <c r="P270" t="str">
        <f t="shared" si="88"/>
        <v xml:space="preserve">                </v>
      </c>
      <c r="Q270" t="str">
        <f t="shared" si="88"/>
        <v xml:space="preserve">         </v>
      </c>
      <c r="R270" t="str">
        <f t="shared" si="97"/>
        <v xml:space="preserve">   143.0 </v>
      </c>
      <c r="S270" t="str">
        <f t="shared" si="89"/>
        <v xml:space="preserve">   167.0 </v>
      </c>
      <c r="T270" t="str">
        <f t="shared" si="90"/>
        <v xml:space="preserve">   167.0 </v>
      </c>
      <c r="U270" t="str">
        <f t="shared" si="94"/>
        <v xml:space="preserve">       34.1% </v>
      </c>
      <c r="V270" t="str">
        <f t="shared" si="98"/>
        <v xml:space="preserve">         </v>
      </c>
      <c r="W270" t="str">
        <f t="shared" si="91"/>
        <v xml:space="preserve">         </v>
      </c>
      <c r="X270" t="str">
        <f t="shared" si="95"/>
        <v xml:space="preserve">  9214 </v>
      </c>
      <c r="Y270" t="str">
        <f t="shared" si="95"/>
        <v xml:space="preserve"> CANOA3-RS138 </v>
      </c>
      <c r="Z270" t="str">
        <f t="shared" si="95"/>
        <v xml:space="preserve">  1 </v>
      </c>
      <c r="AA270" t="str">
        <f t="shared" si="99"/>
        <v xml:space="preserve">    44.2 </v>
      </c>
      <c r="AB270" t="str">
        <f t="shared" si="92"/>
        <v xml:space="preserve">    22.7 </v>
      </c>
      <c r="AC270" t="str">
        <f t="shared" si="93"/>
        <v xml:space="preserve">    48.7 </v>
      </c>
      <c r="AD270" t="str">
        <f t="shared" si="94"/>
        <v xml:space="preserve">        </v>
      </c>
      <c r="AE270" t="str">
        <f t="shared" si="100"/>
        <v xml:space="preserve">       </v>
      </c>
      <c r="AF270" t="str">
        <f t="shared" si="96"/>
        <v xml:space="preserve">     </v>
      </c>
      <c r="AG270" t="str">
        <f t="shared" si="96"/>
        <v xml:space="preserve">     0.07 </v>
      </c>
      <c r="AH270" t="str">
        <f t="shared" si="101"/>
        <v xml:space="preserve">    -0.04 </v>
      </c>
      <c r="AI270" t="str">
        <f t="shared" si="86"/>
        <v xml:space="preserve">       </v>
      </c>
      <c r="AJ270" t="str">
        <f t="shared" si="87"/>
        <v xml:space="preserve">      </v>
      </c>
    </row>
    <row r="271" spans="1:36" x14ac:dyDescent="0.25">
      <c r="A271" t="s">
        <v>218</v>
      </c>
      <c r="P271" t="str">
        <f t="shared" si="88"/>
        <v xml:space="preserve">                </v>
      </c>
      <c r="Q271" t="str">
        <f t="shared" si="88"/>
        <v xml:space="preserve">         </v>
      </c>
      <c r="R271" t="str">
        <f t="shared" si="97"/>
        <v xml:space="preserve">   225.0 </v>
      </c>
      <c r="S271" t="str">
        <f t="shared" si="89"/>
        <v xml:space="preserve">   270.0 </v>
      </c>
      <c r="T271" t="str">
        <f t="shared" si="90"/>
        <v xml:space="preserve">   270.0 </v>
      </c>
      <c r="U271" t="str">
        <f t="shared" si="94"/>
        <v xml:space="preserve">       27.2% </v>
      </c>
      <c r="V271" t="str">
        <f t="shared" si="98"/>
        <v xml:space="preserve">         </v>
      </c>
      <c r="W271" t="str">
        <f t="shared" si="91"/>
        <v xml:space="preserve">         </v>
      </c>
      <c r="X271" t="str">
        <f t="shared" si="95"/>
        <v xml:space="preserve"> 41250 </v>
      </c>
      <c r="Y271" t="str">
        <f t="shared" si="95"/>
        <v xml:space="preserve"> CIN-1--RS000 </v>
      </c>
      <c r="Z271" t="str">
        <f t="shared" si="95"/>
        <v xml:space="preserve">  1 </v>
      </c>
      <c r="AA271" t="str">
        <f t="shared" si="99"/>
        <v xml:space="preserve">   -61.2 </v>
      </c>
      <c r="AB271" t="str">
        <f t="shared" si="92"/>
        <v xml:space="preserve">   -12.0 </v>
      </c>
      <c r="AC271" t="str">
        <f t="shared" si="93"/>
        <v xml:space="preserve">    61.2 </v>
      </c>
      <c r="AD271" t="str">
        <f t="shared" si="94"/>
        <v xml:space="preserve"> 1.000F </v>
      </c>
      <c r="AE271" t="str">
        <f t="shared" si="100"/>
        <v xml:space="preserve">       </v>
      </c>
      <c r="AF271" t="str">
        <f t="shared" si="96"/>
        <v xml:space="preserve"> 002 </v>
      </c>
      <c r="AG271" t="str">
        <f t="shared" si="96"/>
        <v xml:space="preserve">     0.10 </v>
      </c>
      <c r="AH271" t="str">
        <f t="shared" si="101"/>
        <v xml:space="preserve">     1.18 </v>
      </c>
      <c r="AI271" t="str">
        <f t="shared" si="86"/>
        <v xml:space="preserve">       </v>
      </c>
      <c r="AJ271" t="str">
        <f t="shared" si="87"/>
        <v xml:space="preserve">      </v>
      </c>
    </row>
    <row r="272" spans="1:36" x14ac:dyDescent="0.25">
      <c r="A272" t="s">
        <v>219</v>
      </c>
      <c r="P272" t="str">
        <f t="shared" si="88"/>
        <v xml:space="preserve">                </v>
      </c>
      <c r="Q272" t="str">
        <f t="shared" si="88"/>
        <v xml:space="preserve">         </v>
      </c>
      <c r="R272" t="str">
        <f t="shared" si="97"/>
        <v xml:space="preserve">   225.0 </v>
      </c>
      <c r="S272" t="str">
        <f t="shared" si="89"/>
        <v xml:space="preserve">   270.0 </v>
      </c>
      <c r="T272" t="str">
        <f t="shared" si="90"/>
        <v xml:space="preserve">   270.0 </v>
      </c>
      <c r="U272" t="str">
        <f t="shared" si="94"/>
        <v xml:space="preserve">       27.2% </v>
      </c>
      <c r="V272" t="str">
        <f t="shared" si="98"/>
        <v xml:space="preserve">         </v>
      </c>
      <c r="W272" t="str">
        <f t="shared" si="91"/>
        <v xml:space="preserve">         </v>
      </c>
      <c r="X272" t="str">
        <f t="shared" si="95"/>
        <v xml:space="preserve"> 41252 </v>
      </c>
      <c r="Y272" t="str">
        <f t="shared" si="95"/>
        <v xml:space="preserve"> CIN-2--RS000 </v>
      </c>
      <c r="Z272" t="str">
        <f t="shared" si="95"/>
        <v xml:space="preserve">  2 </v>
      </c>
      <c r="AA272" t="str">
        <f t="shared" si="99"/>
        <v xml:space="preserve">   -61.2 </v>
      </c>
      <c r="AB272" t="str">
        <f t="shared" si="92"/>
        <v xml:space="preserve">   -12.0 </v>
      </c>
      <c r="AC272" t="str">
        <f t="shared" si="93"/>
        <v xml:space="preserve">    61.2 </v>
      </c>
      <c r="AD272" t="str">
        <f t="shared" si="94"/>
        <v xml:space="preserve"> 1.000F </v>
      </c>
      <c r="AE272" t="str">
        <f t="shared" si="100"/>
        <v xml:space="preserve">       </v>
      </c>
      <c r="AF272" t="str">
        <f t="shared" si="96"/>
        <v xml:space="preserve"> 002 </v>
      </c>
      <c r="AG272" t="str">
        <f t="shared" si="96"/>
        <v xml:space="preserve">     0.10 </v>
      </c>
      <c r="AH272" t="str">
        <f t="shared" si="101"/>
        <v xml:space="preserve">     1.18 </v>
      </c>
      <c r="AI272" t="str">
        <f t="shared" si="86"/>
        <v xml:space="preserve">       </v>
      </c>
      <c r="AJ272" t="str">
        <f t="shared" si="87"/>
        <v xml:space="preserve">      </v>
      </c>
    </row>
    <row r="273" spans="1:36" x14ac:dyDescent="0.25">
      <c r="A273" t="s">
        <v>14</v>
      </c>
      <c r="P273" t="str">
        <f t="shared" si="88"/>
        <v xml:space="preserve">  ..............</v>
      </c>
      <c r="Q273" t="str">
        <f t="shared" si="88"/>
        <v>.........</v>
      </c>
      <c r="R273" t="str">
        <f t="shared" si="97"/>
        <v>.........</v>
      </c>
      <c r="S273" t="str">
        <f t="shared" si="89"/>
        <v>.........</v>
      </c>
      <c r="T273" t="str">
        <f t="shared" si="90"/>
        <v>.........</v>
      </c>
      <c r="U273" t="str">
        <f t="shared" si="94"/>
        <v>.............</v>
      </c>
      <c r="V273" t="str">
        <f t="shared" si="98"/>
        <v>.........</v>
      </c>
      <c r="W273" t="str">
        <f t="shared" si="91"/>
        <v>.........</v>
      </c>
      <c r="X273" t="str">
        <f t="shared" si="95"/>
        <v>.......</v>
      </c>
      <c r="Y273" t="str">
        <f t="shared" si="95"/>
        <v>..............</v>
      </c>
      <c r="Z273" t="str">
        <f t="shared" si="95"/>
        <v>....</v>
      </c>
      <c r="AA273" t="str">
        <f t="shared" si="99"/>
        <v>.........</v>
      </c>
      <c r="AB273" t="str">
        <f t="shared" si="92"/>
        <v>.........</v>
      </c>
      <c r="AC273" t="str">
        <f t="shared" si="93"/>
        <v>.........</v>
      </c>
      <c r="AD273" t="str">
        <f t="shared" si="94"/>
        <v>........</v>
      </c>
      <c r="AE273" t="str">
        <f t="shared" si="100"/>
        <v>.......</v>
      </c>
      <c r="AF273" t="str">
        <f t="shared" si="96"/>
        <v>.....</v>
      </c>
      <c r="AG273" t="str">
        <f t="shared" si="96"/>
        <v>..........</v>
      </c>
      <c r="AH273" t="str">
        <f t="shared" si="101"/>
        <v>..........</v>
      </c>
      <c r="AI273" t="str">
        <f t="shared" si="86"/>
        <v>.......</v>
      </c>
      <c r="AJ273" t="str">
        <f t="shared" si="87"/>
        <v>.......</v>
      </c>
    </row>
    <row r="274" spans="1:36" x14ac:dyDescent="0.25">
      <c r="A274" t="s">
        <v>220</v>
      </c>
      <c r="P274" t="str">
        <f t="shared" si="88"/>
        <v xml:space="preserve">   1262   69  0 </v>
      </c>
      <c r="Q274" t="str">
        <f t="shared" si="88"/>
        <v xml:space="preserve">   1.017 </v>
      </c>
      <c r="R274" t="str">
        <f t="shared" si="97"/>
        <v xml:space="preserve">     0.0 </v>
      </c>
      <c r="S274" t="str">
        <f t="shared" si="89"/>
        <v xml:space="preserve">     0.0 </v>
      </c>
      <c r="T274" t="str">
        <f t="shared" si="90"/>
        <v xml:space="preserve">     0.0 </v>
      </c>
      <c r="U274" t="str">
        <f t="shared" si="94"/>
        <v xml:space="preserve">         0.0 </v>
      </c>
      <c r="V274" t="str">
        <f t="shared" si="98"/>
        <v xml:space="preserve">     0.0 </v>
      </c>
      <c r="W274" t="str">
        <f t="shared" si="91"/>
        <v xml:space="preserve">     0.0</v>
      </c>
      <c r="X274" t="str">
        <f t="shared" si="95"/>
        <v/>
      </c>
      <c r="Y274" t="str">
        <f t="shared" si="95"/>
        <v/>
      </c>
      <c r="Z274" t="str">
        <f t="shared" si="95"/>
        <v/>
      </c>
      <c r="AA274" t="str">
        <f t="shared" si="99"/>
        <v/>
      </c>
      <c r="AB274" t="str">
        <f t="shared" si="92"/>
        <v/>
      </c>
      <c r="AC274" t="str">
        <f t="shared" si="93"/>
        <v/>
      </c>
      <c r="AD274" t="str">
        <f t="shared" si="94"/>
        <v/>
      </c>
      <c r="AE274" t="str">
        <f t="shared" si="100"/>
        <v/>
      </c>
      <c r="AF274" t="str">
        <f t="shared" si="96"/>
        <v/>
      </c>
      <c r="AG274" t="str">
        <f t="shared" si="96"/>
        <v/>
      </c>
      <c r="AH274" t="str">
        <f t="shared" si="101"/>
        <v/>
      </c>
      <c r="AI274" t="str">
        <f t="shared" si="86"/>
        <v/>
      </c>
      <c r="AJ274" t="str">
        <f t="shared" si="87"/>
        <v/>
      </c>
    </row>
    <row r="275" spans="1:36" x14ac:dyDescent="0.25">
      <c r="A275" t="s">
        <v>221</v>
      </c>
      <c r="P275" t="str">
        <f t="shared" si="88"/>
        <v xml:space="preserve">  PALGR6-RS069  </v>
      </c>
      <c r="Q275" t="str">
        <f t="shared" si="88"/>
        <v xml:space="preserve">   -54.5 </v>
      </c>
      <c r="R275" t="str">
        <f t="shared" si="97"/>
        <v xml:space="preserve">     0.0 </v>
      </c>
      <c r="S275" t="str">
        <f t="shared" si="89"/>
        <v xml:space="preserve">     0.0 </v>
      </c>
      <c r="T275" t="str">
        <f t="shared" si="90"/>
        <v xml:space="preserve">     0.0 </v>
      </c>
      <c r="U275" t="str">
        <f t="shared" si="94"/>
        <v xml:space="preserve">         0.0 </v>
      </c>
      <c r="V275" t="str">
        <f t="shared" si="98"/>
        <v xml:space="preserve">     0.0 </v>
      </c>
      <c r="W275" t="str">
        <f t="shared" si="91"/>
        <v xml:space="preserve">     0.0 </v>
      </c>
      <c r="X275" t="str">
        <f t="shared" si="95"/>
        <v xml:space="preserve">       </v>
      </c>
      <c r="Y275" t="str">
        <f t="shared" si="95"/>
        <v xml:space="preserve">              </v>
      </c>
      <c r="Z275" t="str">
        <f t="shared" si="95"/>
        <v xml:space="preserve">    </v>
      </c>
      <c r="AA275" t="str">
        <f t="shared" si="99"/>
        <v xml:space="preserve">         </v>
      </c>
      <c r="AB275" t="str">
        <f t="shared" si="92"/>
        <v xml:space="preserve">         </v>
      </c>
      <c r="AC275" t="str">
        <f t="shared" si="93"/>
        <v xml:space="preserve">    </v>
      </c>
      <c r="AD275" t="str">
        <f t="shared" si="94"/>
        <v/>
      </c>
      <c r="AE275" t="str">
        <f t="shared" si="100"/>
        <v/>
      </c>
      <c r="AF275" t="str">
        <f t="shared" si="96"/>
        <v/>
      </c>
      <c r="AG275" t="str">
        <f t="shared" si="96"/>
        <v/>
      </c>
      <c r="AH275" t="str">
        <f t="shared" si="101"/>
        <v/>
      </c>
      <c r="AI275" t="str">
        <f t="shared" si="86"/>
        <v/>
      </c>
      <c r="AJ275" t="str">
        <f t="shared" si="87"/>
        <v/>
      </c>
    </row>
    <row r="276" spans="1:36" x14ac:dyDescent="0.25">
      <c r="A276" t="s">
        <v>222</v>
      </c>
      <c r="P276" t="str">
        <f t="shared" si="88"/>
        <v xml:space="preserve">                </v>
      </c>
      <c r="Q276" t="str">
        <f t="shared" si="88"/>
        <v xml:space="preserve">         </v>
      </c>
      <c r="R276" t="str">
        <f t="shared" si="97"/>
        <v xml:space="preserve">    54.0 </v>
      </c>
      <c r="S276" t="str">
        <f t="shared" si="89"/>
        <v xml:space="preserve">    79.0 </v>
      </c>
      <c r="T276" t="str">
        <f t="shared" si="90"/>
        <v xml:space="preserve">    79.0 </v>
      </c>
      <c r="U276" t="str">
        <f t="shared" si="94"/>
        <v xml:space="preserve">       18.5% </v>
      </c>
      <c r="V276" t="str">
        <f t="shared" si="98"/>
        <v xml:space="preserve">         </v>
      </c>
      <c r="W276" t="str">
        <f t="shared" si="91"/>
        <v xml:space="preserve">         </v>
      </c>
      <c r="X276" t="str">
        <f t="shared" si="95"/>
        <v xml:space="preserve">  9249 </v>
      </c>
      <c r="Y276" t="str">
        <f t="shared" si="95"/>
        <v xml:space="preserve"> P12-1Y-RS069 </v>
      </c>
      <c r="Z276" t="str">
        <f t="shared" si="95"/>
        <v xml:space="preserve">  1 </v>
      </c>
      <c r="AA276" t="str">
        <f t="shared" si="99"/>
        <v xml:space="preserve">     9.9 </v>
      </c>
      <c r="AB276" t="str">
        <f t="shared" si="92"/>
        <v xml:space="preserve">    -2.2 </v>
      </c>
      <c r="AC276" t="str">
        <f t="shared" si="93"/>
        <v xml:space="preserve">    10.0 </v>
      </c>
      <c r="AD276" t="str">
        <f t="shared" si="94"/>
        <v xml:space="preserve">        </v>
      </c>
      <c r="AE276" t="str">
        <f t="shared" si="100"/>
        <v xml:space="preserve">       </v>
      </c>
      <c r="AF276" t="str">
        <f t="shared" si="96"/>
        <v xml:space="preserve">     </v>
      </c>
      <c r="AG276" t="str">
        <f t="shared" si="96"/>
        <v xml:space="preserve">     0.01 </v>
      </c>
      <c r="AH276" t="str">
        <f t="shared" si="101"/>
        <v xml:space="preserve">    -0.14 </v>
      </c>
      <c r="AI276" t="str">
        <f t="shared" si="86"/>
        <v xml:space="preserve">       </v>
      </c>
      <c r="AJ276" t="str">
        <f t="shared" si="87"/>
        <v xml:space="preserve">      </v>
      </c>
    </row>
    <row r="277" spans="1:36" x14ac:dyDescent="0.25">
      <c r="A277" t="s">
        <v>223</v>
      </c>
      <c r="P277" t="str">
        <f t="shared" si="88"/>
        <v xml:space="preserve">              DE</v>
      </c>
      <c r="Q277" t="str">
        <f t="shared" si="88"/>
        <v xml:space="preserve">ESLIGADO </v>
      </c>
      <c r="R277" t="str">
        <f t="shared" si="97"/>
        <v xml:space="preserve">    54.0 </v>
      </c>
      <c r="S277" t="str">
        <f t="shared" si="89"/>
        <v xml:space="preserve">    79.0 </v>
      </c>
      <c r="T277" t="str">
        <f t="shared" si="90"/>
        <v xml:space="preserve">    79.0 </v>
      </c>
      <c r="U277" t="str">
        <f t="shared" si="94"/>
        <v xml:space="preserve">             </v>
      </c>
      <c r="V277" t="str">
        <f t="shared" si="98"/>
        <v xml:space="preserve">         </v>
      </c>
      <c r="W277" t="str">
        <f t="shared" si="91"/>
        <v xml:space="preserve">         </v>
      </c>
      <c r="X277" t="str">
        <f t="shared" si="95"/>
        <v xml:space="preserve">  9270 </v>
      </c>
      <c r="Y277" t="str">
        <f t="shared" si="95"/>
        <v xml:space="preserve"> VIAMO2-RS069 </v>
      </c>
      <c r="Z277" t="str">
        <f t="shared" si="95"/>
        <v xml:space="preserve">  1 </v>
      </c>
      <c r="AA277" t="str">
        <f t="shared" si="99"/>
        <v xml:space="preserve">     0.0 </v>
      </c>
      <c r="AB277" t="str">
        <f t="shared" si="92"/>
        <v xml:space="preserve">     0.0 </v>
      </c>
      <c r="AC277" t="str">
        <f t="shared" si="93"/>
        <v xml:space="preserve">     0.0 </v>
      </c>
      <c r="AD277" t="str">
        <f t="shared" si="94"/>
        <v xml:space="preserve">        </v>
      </c>
      <c r="AE277" t="str">
        <f t="shared" si="100"/>
        <v xml:space="preserve">       </v>
      </c>
      <c r="AF277" t="str">
        <f t="shared" si="96"/>
        <v xml:space="preserve">     </v>
      </c>
      <c r="AG277" t="str">
        <f t="shared" si="96"/>
        <v xml:space="preserve">     0.00 </v>
      </c>
      <c r="AH277" t="str">
        <f t="shared" si="101"/>
        <v xml:space="preserve">     0.00 </v>
      </c>
      <c r="AI277" t="str">
        <f t="shared" si="86"/>
        <v xml:space="preserve">       </v>
      </c>
      <c r="AJ277" t="str">
        <f t="shared" si="87"/>
        <v xml:space="preserve">      </v>
      </c>
    </row>
    <row r="278" spans="1:36" x14ac:dyDescent="0.25">
      <c r="A278" t="s">
        <v>224</v>
      </c>
      <c r="P278" t="str">
        <f t="shared" si="88"/>
        <v xml:space="preserve">                </v>
      </c>
      <c r="Q278" t="str">
        <f t="shared" si="88"/>
        <v xml:space="preserve">         </v>
      </c>
      <c r="R278" t="str">
        <f t="shared" si="97"/>
        <v xml:space="preserve">    54.0 </v>
      </c>
      <c r="S278" t="str">
        <f t="shared" si="89"/>
        <v xml:space="preserve">    79.0 </v>
      </c>
      <c r="T278" t="str">
        <f t="shared" si="90"/>
        <v xml:space="preserve">    79.0 </v>
      </c>
      <c r="U278" t="str">
        <f t="shared" si="94"/>
        <v xml:space="preserve">       33.7% </v>
      </c>
      <c r="V278" t="str">
        <f t="shared" si="98"/>
        <v xml:space="preserve">         </v>
      </c>
      <c r="W278" t="str">
        <f t="shared" si="91"/>
        <v xml:space="preserve">         </v>
      </c>
      <c r="X278" t="str">
        <f t="shared" si="95"/>
        <v xml:space="preserve">  9290 </v>
      </c>
      <c r="Y278" t="str">
        <f t="shared" si="95"/>
        <v xml:space="preserve"> PUCPAL-RS069 </v>
      </c>
      <c r="Z278" t="str">
        <f t="shared" si="95"/>
        <v xml:space="preserve">  1 </v>
      </c>
      <c r="AA278" t="str">
        <f t="shared" si="99"/>
        <v xml:space="preserve">    18.5 </v>
      </c>
      <c r="AB278" t="str">
        <f t="shared" si="92"/>
        <v xml:space="preserve">     0.5 </v>
      </c>
      <c r="AC278" t="str">
        <f t="shared" si="93"/>
        <v xml:space="preserve">    18.2 </v>
      </c>
      <c r="AD278" t="str">
        <f t="shared" si="94"/>
        <v xml:space="preserve">        </v>
      </c>
      <c r="AE278" t="str">
        <f t="shared" si="100"/>
        <v xml:space="preserve">       </v>
      </c>
      <c r="AF278" t="str">
        <f t="shared" si="96"/>
        <v xml:space="preserve">     </v>
      </c>
      <c r="AG278" t="str">
        <f t="shared" si="96"/>
        <v xml:space="preserve">     0.04 </v>
      </c>
      <c r="AH278" t="str">
        <f t="shared" si="101"/>
        <v xml:space="preserve">    -0.06 </v>
      </c>
      <c r="AI278" t="str">
        <f t="shared" si="86"/>
        <v xml:space="preserve">       </v>
      </c>
      <c r="AJ278" t="str">
        <f t="shared" si="87"/>
        <v xml:space="preserve">      </v>
      </c>
    </row>
    <row r="279" spans="1:36" x14ac:dyDescent="0.25">
      <c r="A279" t="s">
        <v>225</v>
      </c>
      <c r="P279" t="str">
        <f t="shared" si="88"/>
        <v xml:space="preserve">                </v>
      </c>
      <c r="Q279" t="str">
        <f t="shared" si="88"/>
        <v xml:space="preserve">         </v>
      </c>
      <c r="R279" t="str">
        <f t="shared" si="97"/>
        <v xml:space="preserve">    31.0 </v>
      </c>
      <c r="S279" t="str">
        <f t="shared" si="89"/>
        <v xml:space="preserve">    31.0 </v>
      </c>
      <c r="T279" t="str">
        <f t="shared" si="90"/>
        <v xml:space="preserve">    31.0 </v>
      </c>
      <c r="U279" t="str">
        <f t="shared" si="94"/>
        <v xml:space="preserve">        8.8% </v>
      </c>
      <c r="V279" t="str">
        <f t="shared" si="98"/>
        <v xml:space="preserve">         </v>
      </c>
      <c r="W279" t="str">
        <f t="shared" si="91"/>
        <v xml:space="preserve">         </v>
      </c>
      <c r="X279" t="str">
        <f t="shared" si="95"/>
        <v xml:space="preserve">  9300 </v>
      </c>
      <c r="Y279" t="str">
        <f t="shared" si="95"/>
        <v xml:space="preserve"> PALE6B-RS013 </v>
      </c>
      <c r="Z279" t="str">
        <f t="shared" si="95"/>
        <v xml:space="preserve">  1 </v>
      </c>
      <c r="AA279" t="str">
        <f t="shared" si="99"/>
        <v xml:space="preserve">     2.5 </v>
      </c>
      <c r="AB279" t="str">
        <f t="shared" si="92"/>
        <v xml:space="preserve">     1.2 </v>
      </c>
      <c r="AC279" t="str">
        <f t="shared" si="93"/>
        <v xml:space="preserve">     2.7 </v>
      </c>
      <c r="AD279" t="str">
        <f t="shared" si="94"/>
        <v xml:space="preserve"> 1.049* </v>
      </c>
      <c r="AE279" t="str">
        <f t="shared" si="100"/>
        <v xml:space="preserve">       </v>
      </c>
      <c r="AF279" t="str">
        <f t="shared" si="96"/>
        <v xml:space="preserve">     </v>
      </c>
      <c r="AG279" t="str">
        <f t="shared" si="96"/>
        <v xml:space="preserve">     0.00 </v>
      </c>
      <c r="AH279" t="str">
        <f t="shared" si="101"/>
        <v xml:space="preserve">     0.03 </v>
      </c>
      <c r="AI279" t="str">
        <f t="shared" ref="AI279:AI342" si="102">MID($A279,AG$8+AG$9+AH$9-2,AI$9)</f>
        <v xml:space="preserve">       </v>
      </c>
      <c r="AJ279" t="str">
        <f t="shared" ref="AJ279:AJ342" si="103">MID($A279,AG$8+AG$9+AH$9+AI$9-3,AJ$9)</f>
        <v xml:space="preserve">      </v>
      </c>
    </row>
    <row r="280" spans="1:36" x14ac:dyDescent="0.25">
      <c r="A280" t="s">
        <v>226</v>
      </c>
      <c r="P280" t="str">
        <f t="shared" si="88"/>
        <v xml:space="preserve">                </v>
      </c>
      <c r="Q280" t="str">
        <f t="shared" si="88"/>
        <v xml:space="preserve">         </v>
      </c>
      <c r="R280" t="str">
        <f t="shared" si="97"/>
        <v xml:space="preserve">    99.0 </v>
      </c>
      <c r="S280" t="str">
        <f t="shared" si="89"/>
        <v xml:space="preserve">   112.0 </v>
      </c>
      <c r="T280" t="str">
        <f t="shared" si="90"/>
        <v xml:space="preserve">   112.0 </v>
      </c>
      <c r="U280" t="str">
        <f t="shared" si="94"/>
        <v xml:space="preserve">       13.9% </v>
      </c>
      <c r="V280" t="str">
        <f t="shared" si="98"/>
        <v xml:space="preserve">         </v>
      </c>
      <c r="W280" t="str">
        <f t="shared" si="91"/>
        <v xml:space="preserve">         </v>
      </c>
      <c r="X280" t="str">
        <f t="shared" si="95"/>
        <v xml:space="preserve">  9392 </v>
      </c>
      <c r="Y280" t="str">
        <f t="shared" si="95"/>
        <v xml:space="preserve"> ENT874-RS069 </v>
      </c>
      <c r="Z280" t="str">
        <f t="shared" si="95"/>
        <v xml:space="preserve">  1 </v>
      </c>
      <c r="AA280" t="str">
        <f t="shared" si="99"/>
        <v xml:space="preserve">    13.9 </v>
      </c>
      <c r="AB280" t="str">
        <f t="shared" si="92"/>
        <v xml:space="preserve">     0.7 </v>
      </c>
      <c r="AC280" t="str">
        <f t="shared" si="93"/>
        <v xml:space="preserve">    13.7 </v>
      </c>
      <c r="AD280" t="str">
        <f t="shared" si="94"/>
        <v xml:space="preserve">        </v>
      </c>
      <c r="AE280" t="str">
        <f t="shared" si="100"/>
        <v xml:space="preserve">       </v>
      </c>
      <c r="AF280" t="str">
        <f t="shared" si="96"/>
        <v xml:space="preserve">     </v>
      </c>
      <c r="AG280" t="str">
        <f t="shared" si="96"/>
        <v xml:space="preserve">     0.01 </v>
      </c>
      <c r="AH280" t="str">
        <f t="shared" si="101"/>
        <v xml:space="preserve">    -0.05 </v>
      </c>
      <c r="AI280" t="str">
        <f t="shared" si="102"/>
        <v xml:space="preserve">       </v>
      </c>
      <c r="AJ280" t="str">
        <f t="shared" si="103"/>
        <v xml:space="preserve">      </v>
      </c>
    </row>
    <row r="281" spans="1:36" x14ac:dyDescent="0.25">
      <c r="A281" t="s">
        <v>227</v>
      </c>
      <c r="P281" t="str">
        <f t="shared" si="88"/>
        <v xml:space="preserve">                </v>
      </c>
      <c r="Q281" t="str">
        <f t="shared" si="88"/>
        <v xml:space="preserve">         </v>
      </c>
      <c r="R281" t="str">
        <f t="shared" si="97"/>
        <v xml:space="preserve">    54.0 </v>
      </c>
      <c r="S281" t="str">
        <f t="shared" si="89"/>
        <v xml:space="preserve">    79.0 </v>
      </c>
      <c r="T281" t="str">
        <f t="shared" si="90"/>
        <v xml:space="preserve">    79.0 </v>
      </c>
      <c r="U281" t="str">
        <f t="shared" si="94"/>
        <v xml:space="preserve">       31.3% </v>
      </c>
      <c r="V281" t="str">
        <f t="shared" si="98"/>
        <v xml:space="preserve">         </v>
      </c>
      <c r="W281" t="str">
        <f t="shared" si="91"/>
        <v xml:space="preserve">         </v>
      </c>
      <c r="X281" t="str">
        <f t="shared" si="95"/>
        <v xml:space="preserve">  9967 </v>
      </c>
      <c r="Y281" t="str">
        <f t="shared" si="95"/>
        <v xml:space="preserve"> PA16-2TAP069 </v>
      </c>
      <c r="Z281" t="str">
        <f t="shared" si="95"/>
        <v xml:space="preserve">  1 </v>
      </c>
      <c r="AA281" t="str">
        <f t="shared" si="99"/>
        <v xml:space="preserve">    17.2 </v>
      </c>
      <c r="AB281" t="str">
        <f t="shared" si="92"/>
        <v xml:space="preserve">     1.4 </v>
      </c>
      <c r="AC281" t="str">
        <f t="shared" si="93"/>
        <v xml:space="preserve">    16.9 </v>
      </c>
      <c r="AD281" t="str">
        <f t="shared" si="94"/>
        <v xml:space="preserve">        </v>
      </c>
      <c r="AE281" t="str">
        <f t="shared" si="100"/>
        <v xml:space="preserve">       </v>
      </c>
      <c r="AF281" t="str">
        <f t="shared" si="96"/>
        <v xml:space="preserve">     </v>
      </c>
      <c r="AG281" t="str">
        <f t="shared" si="96"/>
        <v xml:space="preserve">     0.05 </v>
      </c>
      <c r="AH281" t="str">
        <f t="shared" si="101"/>
        <v xml:space="preserve">     0.10 </v>
      </c>
      <c r="AI281" t="str">
        <f t="shared" si="102"/>
        <v xml:space="preserve">       </v>
      </c>
      <c r="AJ281" t="str">
        <f t="shared" si="103"/>
        <v xml:space="preserve">      </v>
      </c>
    </row>
    <row r="282" spans="1:36" x14ac:dyDescent="0.25">
      <c r="A282" t="s">
        <v>228</v>
      </c>
      <c r="P282" t="str">
        <f t="shared" si="88"/>
        <v xml:space="preserve">                </v>
      </c>
      <c r="Q282" t="str">
        <f t="shared" si="88"/>
        <v xml:space="preserve">         </v>
      </c>
      <c r="R282" t="str">
        <f t="shared" si="97"/>
        <v xml:space="preserve">    30.0 </v>
      </c>
      <c r="S282" t="str">
        <f t="shared" si="89"/>
        <v xml:space="preserve">    35.0 </v>
      </c>
      <c r="T282" t="str">
        <f t="shared" si="90"/>
        <v xml:space="preserve">    35.0 </v>
      </c>
      <c r="U282" t="str">
        <f t="shared" si="94"/>
        <v xml:space="preserve">       17.6% </v>
      </c>
      <c r="V282" t="str">
        <f t="shared" si="98"/>
        <v xml:space="preserve">         </v>
      </c>
      <c r="W282" t="str">
        <f t="shared" si="91"/>
        <v xml:space="preserve">         </v>
      </c>
      <c r="X282" t="str">
        <f t="shared" si="95"/>
        <v xml:space="preserve"> 10239 </v>
      </c>
      <c r="Y282" t="str">
        <f t="shared" si="95"/>
        <v xml:space="preserve"> UFRGS--RS069 </v>
      </c>
      <c r="Z282" t="str">
        <f t="shared" si="95"/>
        <v xml:space="preserve">  1 </v>
      </c>
      <c r="AA282" t="str">
        <f t="shared" si="99"/>
        <v xml:space="preserve">     5.1 </v>
      </c>
      <c r="AB282" t="str">
        <f t="shared" si="92"/>
        <v xml:space="preserve">     1.7 </v>
      </c>
      <c r="AC282" t="str">
        <f t="shared" si="93"/>
        <v xml:space="preserve">     5.3 </v>
      </c>
      <c r="AD282" t="str">
        <f t="shared" si="94"/>
        <v xml:space="preserve">        </v>
      </c>
      <c r="AE282" t="str">
        <f t="shared" si="100"/>
        <v xml:space="preserve">       </v>
      </c>
      <c r="AF282" t="str">
        <f t="shared" si="96"/>
        <v xml:space="preserve">     </v>
      </c>
      <c r="AG282" t="str">
        <f t="shared" si="96"/>
        <v xml:space="preserve">     0.00 </v>
      </c>
      <c r="AH282" t="str">
        <f t="shared" si="101"/>
        <v xml:space="preserve">    -0.49 </v>
      </c>
      <c r="AI282" t="str">
        <f t="shared" si="102"/>
        <v xml:space="preserve">       </v>
      </c>
      <c r="AJ282" t="str">
        <f t="shared" si="103"/>
        <v xml:space="preserve">      </v>
      </c>
    </row>
    <row r="283" spans="1:36" x14ac:dyDescent="0.25">
      <c r="A283" t="s">
        <v>229</v>
      </c>
      <c r="P283" t="str">
        <f t="shared" ref="P283:Q346" si="104">MID($A283,P$8,P$9)</f>
        <v xml:space="preserve">                </v>
      </c>
      <c r="Q283" t="str">
        <f t="shared" si="104"/>
        <v xml:space="preserve">         </v>
      </c>
      <c r="R283" t="str">
        <f t="shared" si="97"/>
        <v xml:space="preserve">    83.0 </v>
      </c>
      <c r="S283" t="str">
        <f t="shared" ref="S283:S346" si="105">MID($A283,Q$8+Q$9+R$9-2,S$9)</f>
        <v xml:space="preserve">    83.0 </v>
      </c>
      <c r="T283" t="str">
        <f t="shared" ref="T283:T346" si="106">MID($A283,Q$8+Q$9+R$9+S$9-3,T$9)</f>
        <v xml:space="preserve">    83.0 </v>
      </c>
      <c r="U283" t="str">
        <f t="shared" si="94"/>
        <v xml:space="preserve">       39.8% </v>
      </c>
      <c r="V283" t="str">
        <f t="shared" si="98"/>
        <v xml:space="preserve">         </v>
      </c>
      <c r="W283" t="str">
        <f t="shared" ref="W283:W346" si="107">MID($A283,U$8+U$9+V$9-2,W$9)</f>
        <v xml:space="preserve">         </v>
      </c>
      <c r="X283" t="str">
        <f t="shared" si="95"/>
        <v xml:space="preserve"> 41319 </v>
      </c>
      <c r="Y283" t="str">
        <f t="shared" si="95"/>
        <v xml:space="preserve"> PAL6-1-RS000 </v>
      </c>
      <c r="Z283" t="str">
        <f t="shared" si="95"/>
        <v xml:space="preserve">  1 </v>
      </c>
      <c r="AA283" t="str">
        <f t="shared" si="99"/>
        <v xml:space="preserve">   -33.6 </v>
      </c>
      <c r="AB283" t="str">
        <f t="shared" ref="AB283:AB346" si="108">MID($A283,Z$8+Z$9+AA$9-2,AB$9)</f>
        <v xml:space="preserve">    -1.6 </v>
      </c>
      <c r="AC283" t="str">
        <f t="shared" ref="AC283:AC346" si="109">MID($A283,Z$8+Z$9+AA$9+AB$9-3,AC$9)</f>
        <v xml:space="preserve">    33.0 </v>
      </c>
      <c r="AD283" t="str">
        <f t="shared" si="94"/>
        <v xml:space="preserve"> 1.000F </v>
      </c>
      <c r="AE283" t="str">
        <f t="shared" si="100"/>
        <v xml:space="preserve">       </v>
      </c>
      <c r="AF283" t="str">
        <f t="shared" si="96"/>
        <v xml:space="preserve"> 002 </v>
      </c>
      <c r="AG283" t="str">
        <f t="shared" si="96"/>
        <v xml:space="preserve">     0.02 </v>
      </c>
      <c r="AH283" t="str">
        <f t="shared" si="101"/>
        <v xml:space="preserve">    -0.10 </v>
      </c>
      <c r="AI283" t="str">
        <f t="shared" si="102"/>
        <v xml:space="preserve">       </v>
      </c>
      <c r="AJ283" t="str">
        <f t="shared" si="103"/>
        <v xml:space="preserve">      </v>
      </c>
    </row>
    <row r="284" spans="1:36" x14ac:dyDescent="0.25">
      <c r="A284" t="s">
        <v>230</v>
      </c>
      <c r="P284" t="str">
        <f t="shared" si="104"/>
        <v xml:space="preserve">                </v>
      </c>
      <c r="Q284" t="str">
        <f t="shared" si="104"/>
        <v xml:space="preserve">         </v>
      </c>
      <c r="R284" t="str">
        <f t="shared" si="97"/>
        <v xml:space="preserve">    83.0 </v>
      </c>
      <c r="S284" t="str">
        <f t="shared" si="105"/>
        <v xml:space="preserve">    83.0 </v>
      </c>
      <c r="T284" t="str">
        <f t="shared" si="106"/>
        <v xml:space="preserve">    83.0 </v>
      </c>
      <c r="U284" t="str">
        <f t="shared" ref="U284:AD347" si="110">MID($A284,U$8,U$9)</f>
        <v xml:space="preserve">       39.8% </v>
      </c>
      <c r="V284" t="str">
        <f t="shared" si="98"/>
        <v xml:space="preserve">         </v>
      </c>
      <c r="W284" t="str">
        <f t="shared" si="107"/>
        <v xml:space="preserve">         </v>
      </c>
      <c r="X284" t="str">
        <f t="shared" ref="X284:Z347" si="111">MID($A284,X$8,X$9)</f>
        <v xml:space="preserve"> 41320 </v>
      </c>
      <c r="Y284" t="str">
        <f t="shared" si="111"/>
        <v xml:space="preserve"> PAL6-2-RS000 </v>
      </c>
      <c r="Z284" t="str">
        <f t="shared" si="111"/>
        <v xml:space="preserve">  2 </v>
      </c>
      <c r="AA284" t="str">
        <f t="shared" si="99"/>
        <v xml:space="preserve">   -33.6 </v>
      </c>
      <c r="AB284" t="str">
        <f t="shared" si="108"/>
        <v xml:space="preserve">    -1.7 </v>
      </c>
      <c r="AC284" t="str">
        <f t="shared" si="109"/>
        <v xml:space="preserve">    33.1 </v>
      </c>
      <c r="AD284" t="str">
        <f t="shared" si="110"/>
        <v xml:space="preserve"> 1.000F </v>
      </c>
      <c r="AE284" t="str">
        <f t="shared" si="100"/>
        <v xml:space="preserve">       </v>
      </c>
      <c r="AF284" t="str">
        <f t="shared" si="96"/>
        <v xml:space="preserve"> 002 </v>
      </c>
      <c r="AG284" t="str">
        <f t="shared" si="96"/>
        <v xml:space="preserve">     0.02 </v>
      </c>
      <c r="AH284" t="str">
        <f t="shared" si="101"/>
        <v xml:space="preserve">    -0.09 </v>
      </c>
      <c r="AI284" t="str">
        <f t="shared" si="102"/>
        <v xml:space="preserve">       </v>
      </c>
      <c r="AJ284" t="str">
        <f t="shared" si="103"/>
        <v xml:space="preserve">      </v>
      </c>
    </row>
    <row r="285" spans="1:36" x14ac:dyDescent="0.25">
      <c r="A285" t="s">
        <v>14</v>
      </c>
      <c r="P285" t="str">
        <f t="shared" si="104"/>
        <v xml:space="preserve">  ..............</v>
      </c>
      <c r="Q285" t="str">
        <f t="shared" si="104"/>
        <v>.........</v>
      </c>
      <c r="R285" t="str">
        <f t="shared" si="97"/>
        <v>.........</v>
      </c>
      <c r="S285" t="str">
        <f t="shared" si="105"/>
        <v>.........</v>
      </c>
      <c r="T285" t="str">
        <f t="shared" si="106"/>
        <v>.........</v>
      </c>
      <c r="U285" t="str">
        <f t="shared" si="110"/>
        <v>.............</v>
      </c>
      <c r="V285" t="str">
        <f t="shared" si="98"/>
        <v>.........</v>
      </c>
      <c r="W285" t="str">
        <f t="shared" si="107"/>
        <v>.........</v>
      </c>
      <c r="X285" t="str">
        <f t="shared" si="111"/>
        <v>.......</v>
      </c>
      <c r="Y285" t="str">
        <f t="shared" si="111"/>
        <v>..............</v>
      </c>
      <c r="Z285" t="str">
        <f t="shared" si="111"/>
        <v>....</v>
      </c>
      <c r="AA285" t="str">
        <f t="shared" si="99"/>
        <v>.........</v>
      </c>
      <c r="AB285" t="str">
        <f t="shared" si="108"/>
        <v>.........</v>
      </c>
      <c r="AC285" t="str">
        <f t="shared" si="109"/>
        <v>.........</v>
      </c>
      <c r="AD285" t="str">
        <f t="shared" si="110"/>
        <v>........</v>
      </c>
      <c r="AE285" t="str">
        <f t="shared" si="100"/>
        <v>.......</v>
      </c>
      <c r="AF285" t="str">
        <f t="shared" ref="AF285:AG348" si="112">MID($A285,AF$8,AF$9)</f>
        <v>.....</v>
      </c>
      <c r="AG285" t="str">
        <f t="shared" si="112"/>
        <v>..........</v>
      </c>
      <c r="AH285" t="str">
        <f t="shared" si="101"/>
        <v>..........</v>
      </c>
      <c r="AI285" t="str">
        <f t="shared" si="102"/>
        <v>.......</v>
      </c>
      <c r="AJ285" t="str">
        <f t="shared" si="103"/>
        <v>.......</v>
      </c>
    </row>
    <row r="286" spans="1:36" x14ac:dyDescent="0.25">
      <c r="A286" t="s">
        <v>231</v>
      </c>
      <c r="P286" t="str">
        <f t="shared" si="104"/>
        <v xml:space="preserve">   1265  138  0 </v>
      </c>
      <c r="Q286" t="str">
        <f t="shared" si="104"/>
        <v xml:space="preserve">   1.018 </v>
      </c>
      <c r="R286" t="str">
        <f t="shared" si="97"/>
        <v xml:space="preserve">     0.0 </v>
      </c>
      <c r="S286" t="str">
        <f t="shared" si="105"/>
        <v xml:space="preserve">     0.0 </v>
      </c>
      <c r="T286" t="str">
        <f t="shared" si="106"/>
        <v xml:space="preserve">     5.2 </v>
      </c>
      <c r="U286" t="str">
        <f t="shared" si="110"/>
        <v xml:space="preserve">         0.0 </v>
      </c>
      <c r="V286" t="str">
        <f t="shared" si="98"/>
        <v xml:space="preserve">     0.0 </v>
      </c>
      <c r="W286" t="str">
        <f t="shared" si="107"/>
        <v xml:space="preserve">     0.0</v>
      </c>
      <c r="X286" t="str">
        <f t="shared" si="111"/>
        <v/>
      </c>
      <c r="Y286" t="str">
        <f t="shared" si="111"/>
        <v/>
      </c>
      <c r="Z286" t="str">
        <f t="shared" si="111"/>
        <v/>
      </c>
      <c r="AA286" t="str">
        <f t="shared" si="99"/>
        <v/>
      </c>
      <c r="AB286" t="str">
        <f t="shared" si="108"/>
        <v/>
      </c>
      <c r="AC286" t="str">
        <f t="shared" si="109"/>
        <v/>
      </c>
      <c r="AD286" t="str">
        <f t="shared" si="110"/>
        <v/>
      </c>
      <c r="AE286" t="str">
        <f t="shared" si="100"/>
        <v/>
      </c>
      <c r="AF286" t="str">
        <f t="shared" si="112"/>
        <v/>
      </c>
      <c r="AG286" t="str">
        <f t="shared" si="112"/>
        <v/>
      </c>
      <c r="AH286" t="str">
        <f t="shared" si="101"/>
        <v/>
      </c>
      <c r="AI286" t="str">
        <f t="shared" si="102"/>
        <v/>
      </c>
      <c r="AJ286" t="str">
        <f t="shared" si="103"/>
        <v/>
      </c>
    </row>
    <row r="287" spans="1:36" x14ac:dyDescent="0.25">
      <c r="A287" t="s">
        <v>232</v>
      </c>
      <c r="P287" t="str">
        <f t="shared" si="104"/>
        <v xml:space="preserve">  SANREM-RS138  </v>
      </c>
      <c r="Q287" t="str">
        <f t="shared" si="104"/>
        <v xml:space="preserve">   -52.4 </v>
      </c>
      <c r="R287" t="str">
        <f t="shared" si="97"/>
        <v xml:space="preserve">     0.0 </v>
      </c>
      <c r="S287" t="str">
        <f t="shared" si="105"/>
        <v xml:space="preserve">     0.0 </v>
      </c>
      <c r="T287" t="str">
        <f t="shared" si="106"/>
        <v xml:space="preserve">     1.7 </v>
      </c>
      <c r="U287" t="str">
        <f t="shared" si="110"/>
        <v xml:space="preserve">         0.0 </v>
      </c>
      <c r="V287" t="str">
        <f t="shared" si="98"/>
        <v xml:space="preserve">     0.0 </v>
      </c>
      <c r="W287" t="str">
        <f t="shared" si="107"/>
        <v xml:space="preserve">     0.0 </v>
      </c>
      <c r="X287" t="str">
        <f t="shared" si="111"/>
        <v xml:space="preserve">       </v>
      </c>
      <c r="Y287" t="str">
        <f t="shared" si="111"/>
        <v xml:space="preserve">              </v>
      </c>
      <c r="Z287" t="str">
        <f t="shared" si="111"/>
        <v xml:space="preserve">    </v>
      </c>
      <c r="AA287" t="str">
        <f t="shared" si="99"/>
        <v xml:space="preserve">         </v>
      </c>
      <c r="AB287" t="str">
        <f t="shared" si="108"/>
        <v xml:space="preserve">         </v>
      </c>
      <c r="AC287" t="str">
        <f t="shared" si="109"/>
        <v xml:space="preserve">    </v>
      </c>
      <c r="AD287" t="str">
        <f t="shared" si="110"/>
        <v/>
      </c>
      <c r="AE287" t="str">
        <f t="shared" si="100"/>
        <v/>
      </c>
      <c r="AF287" t="str">
        <f t="shared" si="112"/>
        <v/>
      </c>
      <c r="AG287" t="str">
        <f t="shared" si="112"/>
        <v/>
      </c>
      <c r="AH287" t="str">
        <f t="shared" si="101"/>
        <v/>
      </c>
      <c r="AI287" t="str">
        <f t="shared" si="102"/>
        <v/>
      </c>
      <c r="AJ287" t="str">
        <f t="shared" si="103"/>
        <v/>
      </c>
    </row>
    <row r="288" spans="1:36" x14ac:dyDescent="0.25">
      <c r="A288" t="s">
        <v>233</v>
      </c>
      <c r="P288" t="str">
        <f t="shared" si="104"/>
        <v xml:space="preserve">                </v>
      </c>
      <c r="Q288" t="str">
        <f t="shared" si="104"/>
        <v xml:space="preserve">         </v>
      </c>
      <c r="R288" t="str">
        <f t="shared" si="97"/>
        <v xml:space="preserve">   108.0 </v>
      </c>
      <c r="S288" t="str">
        <f t="shared" si="105"/>
        <v xml:space="preserve">   108.0 </v>
      </c>
      <c r="T288" t="str">
        <f t="shared" si="106"/>
        <v xml:space="preserve">   108.0 </v>
      </c>
      <c r="U288" t="str">
        <f t="shared" si="110"/>
        <v xml:space="preserve">       18.2% </v>
      </c>
      <c r="V288" t="str">
        <f t="shared" si="98"/>
        <v xml:space="preserve">         </v>
      </c>
      <c r="W288" t="str">
        <f t="shared" si="107"/>
        <v xml:space="preserve">         </v>
      </c>
      <c r="X288" t="str">
        <f t="shared" si="111"/>
        <v xml:space="preserve">  1219 </v>
      </c>
      <c r="Y288" t="str">
        <f t="shared" si="111"/>
        <v xml:space="preserve"> LANSUL-RS138 </v>
      </c>
      <c r="Z288" t="str">
        <f t="shared" si="111"/>
        <v xml:space="preserve">  1 </v>
      </c>
      <c r="AA288" t="str">
        <f t="shared" si="99"/>
        <v xml:space="preserve">    19.2 </v>
      </c>
      <c r="AB288" t="str">
        <f t="shared" si="108"/>
        <v xml:space="preserve">    -5.3 </v>
      </c>
      <c r="AC288" t="str">
        <f t="shared" si="109"/>
        <v xml:space="preserve">    19.6 </v>
      </c>
      <c r="AD288" t="str">
        <f t="shared" si="110"/>
        <v xml:space="preserve">        </v>
      </c>
      <c r="AE288" t="str">
        <f t="shared" si="100"/>
        <v xml:space="preserve">       </v>
      </c>
      <c r="AF288" t="str">
        <f t="shared" si="112"/>
        <v xml:space="preserve">     </v>
      </c>
      <c r="AG288" t="str">
        <f t="shared" si="112"/>
        <v xml:space="preserve">     0.01 </v>
      </c>
      <c r="AH288" t="str">
        <f t="shared" si="101"/>
        <v xml:space="preserve">    -0.28 </v>
      </c>
      <c r="AI288" t="str">
        <f t="shared" si="102"/>
        <v xml:space="preserve">       </v>
      </c>
      <c r="AJ288" t="str">
        <f t="shared" si="103"/>
        <v xml:space="preserve">      </v>
      </c>
    </row>
    <row r="289" spans="1:36" x14ac:dyDescent="0.25">
      <c r="A289" t="s">
        <v>234</v>
      </c>
      <c r="P289" t="str">
        <f t="shared" si="104"/>
        <v xml:space="preserve">                </v>
      </c>
      <c r="Q289" t="str">
        <f t="shared" si="104"/>
        <v xml:space="preserve">         </v>
      </c>
      <c r="R289" t="str">
        <f t="shared" si="97"/>
        <v xml:space="preserve">   108.0 </v>
      </c>
      <c r="S289" t="str">
        <f t="shared" si="105"/>
        <v xml:space="preserve">   108.0 </v>
      </c>
      <c r="T289" t="str">
        <f t="shared" si="106"/>
        <v xml:space="preserve">   108.0 </v>
      </c>
      <c r="U289" t="str">
        <f t="shared" si="110"/>
        <v xml:space="preserve">       22.5% </v>
      </c>
      <c r="V289" t="str">
        <f t="shared" si="98"/>
        <v xml:space="preserve">         </v>
      </c>
      <c r="W289" t="str">
        <f t="shared" si="107"/>
        <v xml:space="preserve">         </v>
      </c>
      <c r="X289" t="str">
        <f t="shared" si="111"/>
        <v xml:space="preserve">  1257 </v>
      </c>
      <c r="Y289" t="str">
        <f t="shared" si="111"/>
        <v xml:space="preserve"> CINPAL-RS138 </v>
      </c>
      <c r="Z289" t="str">
        <f t="shared" si="111"/>
        <v xml:space="preserve">  1 </v>
      </c>
      <c r="AA289" t="str">
        <f t="shared" si="99"/>
        <v xml:space="preserve">   -24.4 </v>
      </c>
      <c r="AB289" t="str">
        <f t="shared" si="108"/>
        <v xml:space="preserve">     3.6 </v>
      </c>
      <c r="AC289" t="str">
        <f t="shared" si="109"/>
        <v xml:space="preserve">    24.3 </v>
      </c>
      <c r="AD289" t="str">
        <f t="shared" si="110"/>
        <v xml:space="preserve">        </v>
      </c>
      <c r="AE289" t="str">
        <f t="shared" si="100"/>
        <v xml:space="preserve">       </v>
      </c>
      <c r="AF289" t="str">
        <f t="shared" si="112"/>
        <v xml:space="preserve">     </v>
      </c>
      <c r="AG289" t="str">
        <f t="shared" si="112"/>
        <v xml:space="preserve">     0.02 </v>
      </c>
      <c r="AH289" t="str">
        <f t="shared" si="101"/>
        <v xml:space="preserve">    -0.30 </v>
      </c>
      <c r="AI289" t="str">
        <f t="shared" si="102"/>
        <v xml:space="preserve">       </v>
      </c>
      <c r="AJ289" t="str">
        <f t="shared" si="103"/>
        <v xml:space="preserve">      </v>
      </c>
    </row>
    <row r="290" spans="1:36" x14ac:dyDescent="0.25">
      <c r="A290" t="s">
        <v>14</v>
      </c>
      <c r="P290" t="str">
        <f t="shared" si="104"/>
        <v xml:space="preserve">  ..............</v>
      </c>
      <c r="Q290" t="str">
        <f t="shared" si="104"/>
        <v>.........</v>
      </c>
      <c r="R290" t="str">
        <f t="shared" si="97"/>
        <v>.........</v>
      </c>
      <c r="S290" t="str">
        <f t="shared" si="105"/>
        <v>.........</v>
      </c>
      <c r="T290" t="str">
        <f t="shared" si="106"/>
        <v>.........</v>
      </c>
      <c r="U290" t="str">
        <f t="shared" si="110"/>
        <v>.............</v>
      </c>
      <c r="V290" t="str">
        <f t="shared" si="98"/>
        <v>.........</v>
      </c>
      <c r="W290" t="str">
        <f t="shared" si="107"/>
        <v>.........</v>
      </c>
      <c r="X290" t="str">
        <f t="shared" si="111"/>
        <v>.......</v>
      </c>
      <c r="Y290" t="str">
        <f t="shared" si="111"/>
        <v>..............</v>
      </c>
      <c r="Z290" t="str">
        <f t="shared" si="111"/>
        <v>....</v>
      </c>
      <c r="AA290" t="str">
        <f t="shared" si="99"/>
        <v>.........</v>
      </c>
      <c r="AB290" t="str">
        <f t="shared" si="108"/>
        <v>.........</v>
      </c>
      <c r="AC290" t="str">
        <f t="shared" si="109"/>
        <v>.........</v>
      </c>
      <c r="AD290" t="str">
        <f t="shared" si="110"/>
        <v>........</v>
      </c>
      <c r="AE290" t="str">
        <f t="shared" si="100"/>
        <v>.......</v>
      </c>
      <c r="AF290" t="str">
        <f t="shared" si="112"/>
        <v>.....</v>
      </c>
      <c r="AG290" t="str">
        <f t="shared" si="112"/>
        <v>..........</v>
      </c>
      <c r="AH290" t="str">
        <f t="shared" si="101"/>
        <v>..........</v>
      </c>
      <c r="AI290" t="str">
        <f t="shared" si="102"/>
        <v>.......</v>
      </c>
      <c r="AJ290" t="str">
        <f t="shared" si="103"/>
        <v>.......</v>
      </c>
    </row>
    <row r="291" spans="1:36" x14ac:dyDescent="0.25">
      <c r="A291" t="s">
        <v>235</v>
      </c>
      <c r="P291" t="str">
        <f t="shared" si="104"/>
        <v xml:space="preserve">   1266   69  0 </v>
      </c>
      <c r="Q291" t="str">
        <f t="shared" si="104"/>
        <v xml:space="preserve">   1.016 </v>
      </c>
      <c r="R291" t="str">
        <f t="shared" si="97"/>
        <v xml:space="preserve">     0.0 </v>
      </c>
      <c r="S291" t="str">
        <f t="shared" si="105"/>
        <v xml:space="preserve">     0.0 </v>
      </c>
      <c r="T291" t="str">
        <f t="shared" si="106"/>
        <v xml:space="preserve">     0.0 </v>
      </c>
      <c r="U291" t="str">
        <f t="shared" si="110"/>
        <v xml:space="preserve">         0.0 </v>
      </c>
      <c r="V291" t="str">
        <f t="shared" si="98"/>
        <v xml:space="preserve">     0.0 </v>
      </c>
      <c r="W291" t="str">
        <f t="shared" si="107"/>
        <v xml:space="preserve">     0.0</v>
      </c>
      <c r="X291" t="str">
        <f t="shared" si="111"/>
        <v/>
      </c>
      <c r="Y291" t="str">
        <f t="shared" si="111"/>
        <v/>
      </c>
      <c r="Z291" t="str">
        <f t="shared" si="111"/>
        <v/>
      </c>
      <c r="AA291" t="str">
        <f t="shared" si="99"/>
        <v/>
      </c>
      <c r="AB291" t="str">
        <f t="shared" si="108"/>
        <v/>
      </c>
      <c r="AC291" t="str">
        <f t="shared" si="109"/>
        <v/>
      </c>
      <c r="AD291" t="str">
        <f t="shared" si="110"/>
        <v/>
      </c>
      <c r="AE291" t="str">
        <f t="shared" si="100"/>
        <v/>
      </c>
      <c r="AF291" t="str">
        <f t="shared" si="112"/>
        <v/>
      </c>
      <c r="AG291" t="str">
        <f t="shared" si="112"/>
        <v/>
      </c>
      <c r="AH291" t="str">
        <f t="shared" si="101"/>
        <v/>
      </c>
      <c r="AI291" t="str">
        <f t="shared" si="102"/>
        <v/>
      </c>
      <c r="AJ291" t="str">
        <f t="shared" si="103"/>
        <v/>
      </c>
    </row>
    <row r="292" spans="1:36" x14ac:dyDescent="0.25">
      <c r="A292" t="s">
        <v>236</v>
      </c>
      <c r="P292" t="str">
        <f t="shared" si="104"/>
        <v xml:space="preserve">  PALGR9-RS069  </v>
      </c>
      <c r="Q292" t="str">
        <f t="shared" si="104"/>
        <v xml:space="preserve">   -54.5 </v>
      </c>
      <c r="R292" t="str">
        <f t="shared" si="97"/>
        <v xml:space="preserve">     0.0 </v>
      </c>
      <c r="S292" t="str">
        <f t="shared" si="105"/>
        <v xml:space="preserve">     0.0 </v>
      </c>
      <c r="T292" t="str">
        <f t="shared" si="106"/>
        <v xml:space="preserve">     0.0 </v>
      </c>
      <c r="U292" t="str">
        <f t="shared" si="110"/>
        <v xml:space="preserve">         0.0 </v>
      </c>
      <c r="V292" t="str">
        <f t="shared" si="98"/>
        <v xml:space="preserve">     0.0 </v>
      </c>
      <c r="W292" t="str">
        <f t="shared" si="107"/>
        <v xml:space="preserve">     0.0 </v>
      </c>
      <c r="X292" t="str">
        <f t="shared" si="111"/>
        <v xml:space="preserve">       </v>
      </c>
      <c r="Y292" t="str">
        <f t="shared" si="111"/>
        <v xml:space="preserve">              </v>
      </c>
      <c r="Z292" t="str">
        <f t="shared" si="111"/>
        <v xml:space="preserve">    </v>
      </c>
      <c r="AA292" t="str">
        <f t="shared" si="99"/>
        <v xml:space="preserve">         </v>
      </c>
      <c r="AB292" t="str">
        <f t="shared" si="108"/>
        <v xml:space="preserve">         </v>
      </c>
      <c r="AC292" t="str">
        <f t="shared" si="109"/>
        <v xml:space="preserve">    </v>
      </c>
      <c r="AD292" t="str">
        <f t="shared" si="110"/>
        <v/>
      </c>
      <c r="AE292" t="str">
        <f t="shared" si="100"/>
        <v/>
      </c>
      <c r="AF292" t="str">
        <f t="shared" si="112"/>
        <v/>
      </c>
      <c r="AG292" t="str">
        <f t="shared" si="112"/>
        <v/>
      </c>
      <c r="AH292" t="str">
        <f t="shared" si="101"/>
        <v/>
      </c>
      <c r="AI292" t="str">
        <f t="shared" si="102"/>
        <v/>
      </c>
      <c r="AJ292" t="str">
        <f t="shared" si="103"/>
        <v/>
      </c>
    </row>
    <row r="293" spans="1:36" x14ac:dyDescent="0.25">
      <c r="A293" t="s">
        <v>237</v>
      </c>
      <c r="P293" t="str">
        <f t="shared" si="104"/>
        <v xml:space="preserve">                </v>
      </c>
      <c r="Q293" t="str">
        <f t="shared" si="104"/>
        <v xml:space="preserve">         </v>
      </c>
      <c r="R293" t="str">
        <f t="shared" si="97"/>
        <v xml:space="preserve">  9999.0 </v>
      </c>
      <c r="S293" t="str">
        <f t="shared" si="105"/>
        <v xml:space="preserve">  9999.0 </v>
      </c>
      <c r="T293" t="str">
        <f t="shared" si="106"/>
        <v xml:space="preserve">  9999.0 </v>
      </c>
      <c r="U293" t="str">
        <f t="shared" si="110"/>
        <v xml:space="preserve">        0.0% </v>
      </c>
      <c r="V293" t="str">
        <f t="shared" si="98"/>
        <v xml:space="preserve">         </v>
      </c>
      <c r="W293" t="str">
        <f t="shared" si="107"/>
        <v xml:space="preserve">         </v>
      </c>
      <c r="X293" t="str">
        <f t="shared" si="111"/>
        <v xml:space="preserve">  1272 </v>
      </c>
      <c r="Y293" t="str">
        <f t="shared" si="111"/>
        <v xml:space="preserve"> PAL9AE-RS069 </v>
      </c>
      <c r="Z293" t="str">
        <f t="shared" si="111"/>
        <v xml:space="preserve">  1 </v>
      </c>
      <c r="AA293" t="str">
        <f t="shared" si="99"/>
        <v xml:space="preserve">    11.9 </v>
      </c>
      <c r="AB293" t="str">
        <f t="shared" si="108"/>
        <v xml:space="preserve">     5.1 </v>
      </c>
      <c r="AC293" t="str">
        <f t="shared" si="109"/>
        <v xml:space="preserve">    12.7 </v>
      </c>
      <c r="AD293" t="str">
        <f t="shared" si="110"/>
        <v xml:space="preserve">        </v>
      </c>
      <c r="AE293" t="str">
        <f t="shared" si="100"/>
        <v xml:space="preserve">       </v>
      </c>
      <c r="AF293" t="str">
        <f t="shared" si="112"/>
        <v xml:space="preserve">     </v>
      </c>
      <c r="AG293" t="str">
        <f t="shared" si="112"/>
        <v xml:space="preserve">     0.00 </v>
      </c>
      <c r="AH293" t="str">
        <f t="shared" si="101"/>
        <v xml:space="preserve">    -0.01 </v>
      </c>
      <c r="AI293" t="str">
        <f t="shared" si="102"/>
        <v xml:space="preserve">       </v>
      </c>
      <c r="AJ293" t="str">
        <f t="shared" si="103"/>
        <v xml:space="preserve">      </v>
      </c>
    </row>
    <row r="294" spans="1:36" x14ac:dyDescent="0.25">
      <c r="A294" t="s">
        <v>238</v>
      </c>
      <c r="P294" t="str">
        <f t="shared" si="104"/>
        <v xml:space="preserve">                </v>
      </c>
      <c r="Q294" t="str">
        <f t="shared" si="104"/>
        <v xml:space="preserve">         </v>
      </c>
      <c r="R294" t="str">
        <f t="shared" si="97"/>
        <v xml:space="preserve">    54.0 </v>
      </c>
      <c r="S294" t="str">
        <f t="shared" si="105"/>
        <v xml:space="preserve">    79.0 </v>
      </c>
      <c r="T294" t="str">
        <f t="shared" si="106"/>
        <v xml:space="preserve">    79.0 </v>
      </c>
      <c r="U294" t="str">
        <f t="shared" si="110"/>
        <v xml:space="preserve">       28.9% </v>
      </c>
      <c r="V294" t="str">
        <f t="shared" si="98"/>
        <v xml:space="preserve">         </v>
      </c>
      <c r="W294" t="str">
        <f t="shared" si="107"/>
        <v xml:space="preserve">         </v>
      </c>
      <c r="X294" t="str">
        <f t="shared" si="111"/>
        <v xml:space="preserve">  9236 </v>
      </c>
      <c r="Y294" t="str">
        <f t="shared" si="111"/>
        <v xml:space="preserve"> PALEG2-RS069 </v>
      </c>
      <c r="Z294" t="str">
        <f t="shared" si="111"/>
        <v xml:space="preserve">  1 </v>
      </c>
      <c r="AA294" t="str">
        <f t="shared" si="99"/>
        <v xml:space="preserve">    14.8 </v>
      </c>
      <c r="AB294" t="str">
        <f t="shared" si="108"/>
        <v xml:space="preserve">     5.8 </v>
      </c>
      <c r="AC294" t="str">
        <f t="shared" si="109"/>
        <v xml:space="preserve">    15.6 </v>
      </c>
      <c r="AD294" t="str">
        <f t="shared" si="110"/>
        <v xml:space="preserve">        </v>
      </c>
      <c r="AE294" t="str">
        <f t="shared" si="100"/>
        <v xml:space="preserve">       </v>
      </c>
      <c r="AF294" t="str">
        <f t="shared" si="112"/>
        <v xml:space="preserve">     </v>
      </c>
      <c r="AG294" t="str">
        <f t="shared" si="112"/>
        <v xml:space="preserve">     0.03 </v>
      </c>
      <c r="AH294" t="str">
        <f t="shared" si="101"/>
        <v xml:space="preserve">     0.02 </v>
      </c>
      <c r="AI294" t="str">
        <f t="shared" si="102"/>
        <v xml:space="preserve">       </v>
      </c>
      <c r="AJ294" t="str">
        <f t="shared" si="103"/>
        <v xml:space="preserve">      </v>
      </c>
    </row>
    <row r="295" spans="1:36" x14ac:dyDescent="0.25">
      <c r="A295" t="s">
        <v>239</v>
      </c>
      <c r="P295" t="str">
        <f t="shared" si="104"/>
        <v xml:space="preserve">                </v>
      </c>
      <c r="Q295" t="str">
        <f t="shared" si="104"/>
        <v xml:space="preserve">         </v>
      </c>
      <c r="R295" t="str">
        <f t="shared" si="97"/>
        <v xml:space="preserve">    90.0 </v>
      </c>
      <c r="S295" t="str">
        <f t="shared" si="105"/>
        <v xml:space="preserve">    90.0 </v>
      </c>
      <c r="T295" t="str">
        <f t="shared" si="106"/>
        <v xml:space="preserve">    90.0 </v>
      </c>
      <c r="U295" t="str">
        <f t="shared" si="110"/>
        <v xml:space="preserve">       28.4% </v>
      </c>
      <c r="V295" t="str">
        <f t="shared" si="98"/>
        <v xml:space="preserve">         </v>
      </c>
      <c r="W295" t="str">
        <f t="shared" si="107"/>
        <v xml:space="preserve">         </v>
      </c>
      <c r="X295" t="str">
        <f t="shared" si="111"/>
        <v xml:space="preserve">  9238 </v>
      </c>
      <c r="Y295" t="str">
        <f t="shared" si="111"/>
        <v xml:space="preserve"> PALEG7-RS069 </v>
      </c>
      <c r="Z295" t="str">
        <f t="shared" si="111"/>
        <v xml:space="preserve">  1 </v>
      </c>
      <c r="AA295" t="str">
        <f t="shared" si="99"/>
        <v xml:space="preserve">    23.4 </v>
      </c>
      <c r="AB295" t="str">
        <f t="shared" si="108"/>
        <v xml:space="preserve">   -11.2 </v>
      </c>
      <c r="AC295" t="str">
        <f t="shared" si="109"/>
        <v xml:space="preserve">    25.5 </v>
      </c>
      <c r="AD295" t="str">
        <f t="shared" si="110"/>
        <v xml:space="preserve">        </v>
      </c>
      <c r="AE295" t="str">
        <f t="shared" si="100"/>
        <v xml:space="preserve">       </v>
      </c>
      <c r="AF295" t="str">
        <f t="shared" si="112"/>
        <v xml:space="preserve">     </v>
      </c>
      <c r="AG295" t="str">
        <f t="shared" si="112"/>
        <v xml:space="preserve">     0.06 </v>
      </c>
      <c r="AH295" t="str">
        <f t="shared" si="101"/>
        <v xml:space="preserve">    -6.68 </v>
      </c>
      <c r="AI295" t="str">
        <f t="shared" si="102"/>
        <v xml:space="preserve">       </v>
      </c>
      <c r="AJ295" t="str">
        <f t="shared" si="103"/>
        <v xml:space="preserve">      </v>
      </c>
    </row>
    <row r="296" spans="1:36" x14ac:dyDescent="0.25">
      <c r="A296" t="s">
        <v>240</v>
      </c>
      <c r="P296" t="str">
        <f t="shared" si="104"/>
        <v xml:space="preserve">                </v>
      </c>
      <c r="Q296" t="str">
        <f t="shared" si="104"/>
        <v xml:space="preserve">         </v>
      </c>
      <c r="R296" t="str">
        <f t="shared" si="97"/>
        <v xml:space="preserve">    90.0 </v>
      </c>
      <c r="S296" t="str">
        <f t="shared" si="105"/>
        <v xml:space="preserve">    90.0 </v>
      </c>
      <c r="T296" t="str">
        <f t="shared" si="106"/>
        <v xml:space="preserve">    90.0 </v>
      </c>
      <c r="U296" t="str">
        <f t="shared" si="110"/>
        <v xml:space="preserve">       28.4% </v>
      </c>
      <c r="V296" t="str">
        <f t="shared" si="98"/>
        <v xml:space="preserve">         </v>
      </c>
      <c r="W296" t="str">
        <f t="shared" si="107"/>
        <v xml:space="preserve">         </v>
      </c>
      <c r="X296" t="str">
        <f t="shared" si="111"/>
        <v xml:space="preserve">  9238 </v>
      </c>
      <c r="Y296" t="str">
        <f t="shared" si="111"/>
        <v xml:space="preserve"> PALEG7-RS069 </v>
      </c>
      <c r="Z296" t="str">
        <f t="shared" si="111"/>
        <v xml:space="preserve">  2 </v>
      </c>
      <c r="AA296" t="str">
        <f t="shared" si="99"/>
        <v xml:space="preserve">    23.4 </v>
      </c>
      <c r="AB296" t="str">
        <f t="shared" si="108"/>
        <v xml:space="preserve">   -11.2 </v>
      </c>
      <c r="AC296" t="str">
        <f t="shared" si="109"/>
        <v xml:space="preserve">    25.5 </v>
      </c>
      <c r="AD296" t="str">
        <f t="shared" si="110"/>
        <v xml:space="preserve">        </v>
      </c>
      <c r="AE296" t="str">
        <f t="shared" si="100"/>
        <v xml:space="preserve">       </v>
      </c>
      <c r="AF296" t="str">
        <f t="shared" si="112"/>
        <v xml:space="preserve">     </v>
      </c>
      <c r="AG296" t="str">
        <f t="shared" si="112"/>
        <v xml:space="preserve">     0.06 </v>
      </c>
      <c r="AH296" t="str">
        <f t="shared" si="101"/>
        <v xml:space="preserve">    -6.68 </v>
      </c>
      <c r="AI296" t="str">
        <f t="shared" si="102"/>
        <v xml:space="preserve">       </v>
      </c>
      <c r="AJ296" t="str">
        <f t="shared" si="103"/>
        <v xml:space="preserve">      </v>
      </c>
    </row>
    <row r="297" spans="1:36" x14ac:dyDescent="0.25">
      <c r="A297" t="s">
        <v>241</v>
      </c>
      <c r="P297" t="str">
        <f t="shared" si="104"/>
        <v xml:space="preserve">                </v>
      </c>
      <c r="Q297" t="str">
        <f t="shared" si="104"/>
        <v xml:space="preserve">         </v>
      </c>
      <c r="R297" t="str">
        <f t="shared" si="97"/>
        <v xml:space="preserve">    52.0 </v>
      </c>
      <c r="S297" t="str">
        <f t="shared" si="105"/>
        <v xml:space="preserve">    76.0 </v>
      </c>
      <c r="T297" t="str">
        <f t="shared" si="106"/>
        <v xml:space="preserve">    76.0 </v>
      </c>
      <c r="U297" t="str">
        <f t="shared" si="110"/>
        <v xml:space="preserve">       33.8% </v>
      </c>
      <c r="V297" t="str">
        <f t="shared" si="98"/>
        <v xml:space="preserve">         </v>
      </c>
      <c r="W297" t="str">
        <f t="shared" si="107"/>
        <v xml:space="preserve">         </v>
      </c>
      <c r="X297" t="str">
        <f t="shared" si="111"/>
        <v xml:space="preserve">  9556 </v>
      </c>
      <c r="Y297" t="str">
        <f t="shared" si="111"/>
        <v xml:space="preserve"> FRPPALTAP069 </v>
      </c>
      <c r="Z297" t="str">
        <f t="shared" si="111"/>
        <v xml:space="preserve">  1 </v>
      </c>
      <c r="AA297" t="str">
        <f t="shared" si="99"/>
        <v xml:space="preserve">    16.6 </v>
      </c>
      <c r="AB297" t="str">
        <f t="shared" si="108"/>
        <v xml:space="preserve">     6.6 </v>
      </c>
      <c r="AC297" t="str">
        <f t="shared" si="109"/>
        <v xml:space="preserve">    17.6 </v>
      </c>
      <c r="AD297" t="str">
        <f t="shared" si="110"/>
        <v xml:space="preserve">        </v>
      </c>
      <c r="AE297" t="str">
        <f t="shared" si="100"/>
        <v xml:space="preserve">       </v>
      </c>
      <c r="AF297" t="str">
        <f t="shared" si="112"/>
        <v xml:space="preserve">     </v>
      </c>
      <c r="AG297" t="str">
        <f t="shared" si="112"/>
        <v xml:space="preserve">     0.03 </v>
      </c>
      <c r="AH297" t="str">
        <f t="shared" si="101"/>
        <v xml:space="preserve">     0.03 </v>
      </c>
      <c r="AI297" t="str">
        <f t="shared" si="102"/>
        <v xml:space="preserve">       </v>
      </c>
      <c r="AJ297" t="str">
        <f t="shared" si="103"/>
        <v xml:space="preserve">      </v>
      </c>
    </row>
    <row r="298" spans="1:36" x14ac:dyDescent="0.25">
      <c r="A298" t="s">
        <v>242</v>
      </c>
      <c r="P298" t="str">
        <f t="shared" si="104"/>
        <v xml:space="preserve">                </v>
      </c>
      <c r="Q298" t="str">
        <f t="shared" si="104"/>
        <v xml:space="preserve">         </v>
      </c>
      <c r="R298" t="str">
        <f t="shared" si="97"/>
        <v xml:space="preserve">    36.0 </v>
      </c>
      <c r="S298" t="str">
        <f t="shared" si="105"/>
        <v xml:space="preserve">    36.0 </v>
      </c>
      <c r="T298" t="str">
        <f t="shared" si="106"/>
        <v xml:space="preserve">    36.0 </v>
      </c>
      <c r="U298" t="str">
        <f t="shared" si="110"/>
        <v xml:space="preserve">        5.7% </v>
      </c>
      <c r="V298" t="str">
        <f t="shared" si="98"/>
        <v xml:space="preserve">         </v>
      </c>
      <c r="W298" t="str">
        <f t="shared" si="107"/>
        <v xml:space="preserve">         </v>
      </c>
      <c r="X298" t="str">
        <f t="shared" si="111"/>
        <v xml:space="preserve">  9661 </v>
      </c>
      <c r="Y298" t="str">
        <f t="shared" si="111"/>
        <v xml:space="preserve"> ARENA--RS069 </v>
      </c>
      <c r="Z298" t="str">
        <f t="shared" si="111"/>
        <v xml:space="preserve">  1 </v>
      </c>
      <c r="AA298" t="str">
        <f t="shared" si="99"/>
        <v xml:space="preserve">     2.0 </v>
      </c>
      <c r="AB298" t="str">
        <f t="shared" si="108"/>
        <v xml:space="preserve">     0.6 </v>
      </c>
      <c r="AC298" t="str">
        <f t="shared" si="109"/>
        <v xml:space="preserve">     2.1 </v>
      </c>
      <c r="AD298" t="str">
        <f t="shared" si="110"/>
        <v xml:space="preserve">        </v>
      </c>
      <c r="AE298" t="str">
        <f t="shared" si="100"/>
        <v xml:space="preserve">       </v>
      </c>
      <c r="AF298" t="str">
        <f t="shared" si="112"/>
        <v xml:space="preserve">     </v>
      </c>
      <c r="AG298" t="str">
        <f t="shared" si="112"/>
        <v xml:space="preserve">     0.00 </v>
      </c>
      <c r="AH298" t="str">
        <f t="shared" si="101"/>
        <v xml:space="preserve">    -0.06 </v>
      </c>
      <c r="AI298" t="str">
        <f t="shared" si="102"/>
        <v xml:space="preserve">       </v>
      </c>
      <c r="AJ298" t="str">
        <f t="shared" si="103"/>
        <v xml:space="preserve">      </v>
      </c>
    </row>
    <row r="299" spans="1:36" x14ac:dyDescent="0.25">
      <c r="A299" t="s">
        <v>243</v>
      </c>
      <c r="P299" t="str">
        <f t="shared" si="104"/>
        <v xml:space="preserve">                </v>
      </c>
      <c r="Q299" t="str">
        <f t="shared" si="104"/>
        <v xml:space="preserve">         </v>
      </c>
      <c r="R299" t="str">
        <f t="shared" si="97"/>
        <v xml:space="preserve">   165.0 </v>
      </c>
      <c r="S299" t="str">
        <f t="shared" si="105"/>
        <v xml:space="preserve">   214.0 </v>
      </c>
      <c r="T299" t="str">
        <f t="shared" si="106"/>
        <v xml:space="preserve">   214.0 </v>
      </c>
      <c r="U299" t="str">
        <f t="shared" si="110"/>
        <v xml:space="preserve">       27.2% </v>
      </c>
      <c r="V299" t="str">
        <f t="shared" si="98"/>
        <v xml:space="preserve">         </v>
      </c>
      <c r="W299" t="str">
        <f t="shared" si="107"/>
        <v xml:space="preserve">         </v>
      </c>
      <c r="X299" t="str">
        <f t="shared" si="111"/>
        <v xml:space="preserve"> 41327 </v>
      </c>
      <c r="Y299" t="str">
        <f t="shared" si="111"/>
        <v xml:space="preserve"> PAL9-2-RS000 </v>
      </c>
      <c r="Z299" t="str">
        <f t="shared" si="111"/>
        <v xml:space="preserve">  2 </v>
      </c>
      <c r="AA299" t="str">
        <f t="shared" si="99"/>
        <v xml:space="preserve">   -45.5 </v>
      </c>
      <c r="AB299" t="str">
        <f t="shared" si="108"/>
        <v xml:space="preserve">     2.2 </v>
      </c>
      <c r="AC299" t="str">
        <f t="shared" si="109"/>
        <v xml:space="preserve">    44.8 </v>
      </c>
      <c r="AD299" t="str">
        <f t="shared" si="110"/>
        <v xml:space="preserve"> 1.000F </v>
      </c>
      <c r="AE299" t="str">
        <f t="shared" si="100"/>
        <v xml:space="preserve">       </v>
      </c>
      <c r="AF299" t="str">
        <f t="shared" si="112"/>
        <v xml:space="preserve"> 002 </v>
      </c>
      <c r="AG299" t="str">
        <f t="shared" si="112"/>
        <v xml:space="preserve">     0.01 </v>
      </c>
      <c r="AH299" t="str">
        <f t="shared" si="101"/>
        <v xml:space="preserve">    -0.08 </v>
      </c>
      <c r="AI299" t="str">
        <f t="shared" si="102"/>
        <v xml:space="preserve">       </v>
      </c>
      <c r="AJ299" t="str">
        <f t="shared" si="103"/>
        <v xml:space="preserve">      </v>
      </c>
    </row>
    <row r="300" spans="1:36" x14ac:dyDescent="0.25">
      <c r="A300" t="s">
        <v>244</v>
      </c>
      <c r="P300" t="str">
        <f t="shared" si="104"/>
        <v xml:space="preserve">                </v>
      </c>
      <c r="Q300" t="str">
        <f t="shared" si="104"/>
        <v xml:space="preserve">         </v>
      </c>
      <c r="R300" t="str">
        <f t="shared" si="97"/>
        <v xml:space="preserve">   165.0 </v>
      </c>
      <c r="S300" t="str">
        <f t="shared" si="105"/>
        <v xml:space="preserve">   214.0 </v>
      </c>
      <c r="T300" t="str">
        <f t="shared" si="106"/>
        <v xml:space="preserve">   214.0 </v>
      </c>
      <c r="U300" t="str">
        <f t="shared" si="110"/>
        <v xml:space="preserve">       27.8% </v>
      </c>
      <c r="V300" t="str">
        <f t="shared" si="98"/>
        <v xml:space="preserve">         </v>
      </c>
      <c r="W300" t="str">
        <f t="shared" si="107"/>
        <v xml:space="preserve">         </v>
      </c>
      <c r="X300" t="str">
        <f t="shared" si="111"/>
        <v xml:space="preserve"> 41328 </v>
      </c>
      <c r="Y300" t="str">
        <f t="shared" si="111"/>
        <v xml:space="preserve"> PAL9-5-RS000 </v>
      </c>
      <c r="Z300" t="str">
        <f t="shared" si="111"/>
        <v xml:space="preserve">  5 </v>
      </c>
      <c r="AA300" t="str">
        <f t="shared" si="99"/>
        <v xml:space="preserve">   -46.6 </v>
      </c>
      <c r="AB300" t="str">
        <f t="shared" si="108"/>
        <v xml:space="preserve">     2.1 </v>
      </c>
      <c r="AC300" t="str">
        <f t="shared" si="109"/>
        <v xml:space="preserve">    45.9 </v>
      </c>
      <c r="AD300" t="str">
        <f t="shared" si="110"/>
        <v xml:space="preserve"> 1.000F </v>
      </c>
      <c r="AE300" t="str">
        <f t="shared" si="100"/>
        <v xml:space="preserve">       </v>
      </c>
      <c r="AF300" t="str">
        <f t="shared" si="112"/>
        <v xml:space="preserve"> 002 </v>
      </c>
      <c r="AG300" t="str">
        <f t="shared" si="112"/>
        <v xml:space="preserve">     0.02 </v>
      </c>
      <c r="AH300" t="str">
        <f t="shared" si="101"/>
        <v xml:space="preserve">    -0.14 </v>
      </c>
      <c r="AI300" t="str">
        <f t="shared" si="102"/>
        <v xml:space="preserve">       </v>
      </c>
      <c r="AJ300" t="str">
        <f t="shared" si="103"/>
        <v xml:space="preserve">      </v>
      </c>
    </row>
    <row r="301" spans="1:36" x14ac:dyDescent="0.25">
      <c r="A301" t="s">
        <v>14</v>
      </c>
      <c r="P301" t="str">
        <f t="shared" si="104"/>
        <v xml:space="preserve">  ..............</v>
      </c>
      <c r="Q301" t="str">
        <f t="shared" si="104"/>
        <v>.........</v>
      </c>
      <c r="R301" t="str">
        <f t="shared" si="97"/>
        <v>.........</v>
      </c>
      <c r="S301" t="str">
        <f t="shared" si="105"/>
        <v>.........</v>
      </c>
      <c r="T301" t="str">
        <f t="shared" si="106"/>
        <v>.........</v>
      </c>
      <c r="U301" t="str">
        <f t="shared" si="110"/>
        <v>.............</v>
      </c>
      <c r="V301" t="str">
        <f t="shared" si="98"/>
        <v>.........</v>
      </c>
      <c r="W301" t="str">
        <f t="shared" si="107"/>
        <v>.........</v>
      </c>
      <c r="X301" t="str">
        <f t="shared" si="111"/>
        <v>.......</v>
      </c>
      <c r="Y301" t="str">
        <f t="shared" si="111"/>
        <v>..............</v>
      </c>
      <c r="Z301" t="str">
        <f t="shared" si="111"/>
        <v>....</v>
      </c>
      <c r="AA301" t="str">
        <f t="shared" si="99"/>
        <v>.........</v>
      </c>
      <c r="AB301" t="str">
        <f t="shared" si="108"/>
        <v>.........</v>
      </c>
      <c r="AC301" t="str">
        <f t="shared" si="109"/>
        <v>.........</v>
      </c>
      <c r="AD301" t="str">
        <f t="shared" si="110"/>
        <v>........</v>
      </c>
      <c r="AE301" t="str">
        <f t="shared" si="100"/>
        <v>.......</v>
      </c>
      <c r="AF301" t="str">
        <f t="shared" si="112"/>
        <v>.....</v>
      </c>
      <c r="AG301" t="str">
        <f t="shared" si="112"/>
        <v>..........</v>
      </c>
      <c r="AH301" t="str">
        <f t="shared" si="101"/>
        <v>..........</v>
      </c>
      <c r="AI301" t="str">
        <f t="shared" si="102"/>
        <v>.......</v>
      </c>
      <c r="AJ301" t="str">
        <f t="shared" si="103"/>
        <v>.......</v>
      </c>
    </row>
    <row r="302" spans="1:36" x14ac:dyDescent="0.25">
      <c r="A302" t="s">
        <v>245</v>
      </c>
      <c r="P302" t="str">
        <f t="shared" si="104"/>
        <v xml:space="preserve">   1269   69  0 </v>
      </c>
      <c r="Q302" t="str">
        <f t="shared" si="104"/>
        <v xml:space="preserve">   1.015 </v>
      </c>
      <c r="R302" t="str">
        <f t="shared" si="97"/>
        <v xml:space="preserve">     0.0 </v>
      </c>
      <c r="S302" t="str">
        <f t="shared" si="105"/>
        <v xml:space="preserve">     0.0 </v>
      </c>
      <c r="T302" t="str">
        <f t="shared" si="106"/>
        <v xml:space="preserve">     0.0 </v>
      </c>
      <c r="U302" t="str">
        <f t="shared" si="110"/>
        <v xml:space="preserve">         0.0 </v>
      </c>
      <c r="V302" t="str">
        <f t="shared" si="98"/>
        <v xml:space="preserve">     0.0 </v>
      </c>
      <c r="W302" t="str">
        <f t="shared" si="107"/>
        <v xml:space="preserve">     0.0</v>
      </c>
      <c r="X302" t="str">
        <f t="shared" si="111"/>
        <v/>
      </c>
      <c r="Y302" t="str">
        <f t="shared" si="111"/>
        <v/>
      </c>
      <c r="Z302" t="str">
        <f t="shared" si="111"/>
        <v/>
      </c>
      <c r="AA302" t="str">
        <f t="shared" si="99"/>
        <v/>
      </c>
      <c r="AB302" t="str">
        <f t="shared" si="108"/>
        <v/>
      </c>
      <c r="AC302" t="str">
        <f t="shared" si="109"/>
        <v/>
      </c>
      <c r="AD302" t="str">
        <f t="shared" si="110"/>
        <v/>
      </c>
      <c r="AE302" t="str">
        <f t="shared" si="100"/>
        <v/>
      </c>
      <c r="AF302" t="str">
        <f t="shared" si="112"/>
        <v/>
      </c>
      <c r="AG302" t="str">
        <f t="shared" si="112"/>
        <v/>
      </c>
      <c r="AH302" t="str">
        <f t="shared" si="101"/>
        <v/>
      </c>
      <c r="AI302" t="str">
        <f t="shared" si="102"/>
        <v/>
      </c>
      <c r="AJ302" t="str">
        <f t="shared" si="103"/>
        <v/>
      </c>
    </row>
    <row r="303" spans="1:36" x14ac:dyDescent="0.25">
      <c r="A303" t="s">
        <v>246</v>
      </c>
      <c r="P303" t="str">
        <f t="shared" si="104"/>
        <v xml:space="preserve">  PALG10-RS069  </v>
      </c>
      <c r="Q303" t="str">
        <f t="shared" si="104"/>
        <v xml:space="preserve">   -55.1 </v>
      </c>
      <c r="R303" t="str">
        <f t="shared" si="97"/>
        <v xml:space="preserve">     0.0 </v>
      </c>
      <c r="S303" t="str">
        <f t="shared" si="105"/>
        <v xml:space="preserve">     0.0 </v>
      </c>
      <c r="T303" t="str">
        <f t="shared" si="106"/>
        <v xml:space="preserve">     0.0 </v>
      </c>
      <c r="U303" t="str">
        <f t="shared" si="110"/>
        <v xml:space="preserve">         0.0 </v>
      </c>
      <c r="V303" t="str">
        <f t="shared" si="98"/>
        <v xml:space="preserve">     0.0 </v>
      </c>
      <c r="W303" t="str">
        <f t="shared" si="107"/>
        <v xml:space="preserve">     0.0 </v>
      </c>
      <c r="X303" t="str">
        <f t="shared" si="111"/>
        <v xml:space="preserve">       </v>
      </c>
      <c r="Y303" t="str">
        <f t="shared" si="111"/>
        <v xml:space="preserve">              </v>
      </c>
      <c r="Z303" t="str">
        <f t="shared" si="111"/>
        <v xml:space="preserve">    </v>
      </c>
      <c r="AA303" t="str">
        <f t="shared" si="99"/>
        <v xml:space="preserve">         </v>
      </c>
      <c r="AB303" t="str">
        <f t="shared" si="108"/>
        <v xml:space="preserve">         </v>
      </c>
      <c r="AC303" t="str">
        <f t="shared" si="109"/>
        <v xml:space="preserve">    </v>
      </c>
      <c r="AD303" t="str">
        <f t="shared" si="110"/>
        <v/>
      </c>
      <c r="AE303" t="str">
        <f t="shared" si="100"/>
        <v/>
      </c>
      <c r="AF303" t="str">
        <f t="shared" si="112"/>
        <v/>
      </c>
      <c r="AG303" t="str">
        <f t="shared" si="112"/>
        <v/>
      </c>
      <c r="AH303" t="str">
        <f t="shared" si="101"/>
        <v/>
      </c>
      <c r="AI303" t="str">
        <f t="shared" si="102"/>
        <v/>
      </c>
      <c r="AJ303" t="str">
        <f t="shared" si="103"/>
        <v/>
      </c>
    </row>
    <row r="304" spans="1:36" x14ac:dyDescent="0.25">
      <c r="A304" t="s">
        <v>247</v>
      </c>
      <c r="P304" t="str">
        <f t="shared" si="104"/>
        <v xml:space="preserve">                </v>
      </c>
      <c r="Q304" t="str">
        <f t="shared" si="104"/>
        <v xml:space="preserve">         </v>
      </c>
      <c r="R304" t="str">
        <f t="shared" si="97"/>
        <v xml:space="preserve">    52.0 </v>
      </c>
      <c r="S304" t="str">
        <f t="shared" si="105"/>
        <v xml:space="preserve">    76.0 </v>
      </c>
      <c r="T304" t="str">
        <f t="shared" si="106"/>
        <v xml:space="preserve">    76.0 </v>
      </c>
      <c r="U304" t="str">
        <f t="shared" si="110"/>
        <v xml:space="preserve">       20.4% </v>
      </c>
      <c r="V304" t="str">
        <f t="shared" si="98"/>
        <v xml:space="preserve">         </v>
      </c>
      <c r="W304" t="str">
        <f t="shared" si="107"/>
        <v xml:space="preserve">         </v>
      </c>
      <c r="X304" t="str">
        <f t="shared" si="111"/>
        <v xml:space="preserve">  9248 </v>
      </c>
      <c r="Y304" t="str">
        <f t="shared" si="111"/>
        <v xml:space="preserve"> P12-2Y-RS069 </v>
      </c>
      <c r="Z304" t="str">
        <f t="shared" si="111"/>
        <v xml:space="preserve">  1 </v>
      </c>
      <c r="AA304" t="str">
        <f t="shared" si="99"/>
        <v xml:space="preserve">   -10.8 </v>
      </c>
      <c r="AB304" t="str">
        <f t="shared" si="108"/>
        <v xml:space="preserve">    -0.1 </v>
      </c>
      <c r="AC304" t="str">
        <f t="shared" si="109"/>
        <v xml:space="preserve">    10.6 </v>
      </c>
      <c r="AD304" t="str">
        <f t="shared" si="110"/>
        <v xml:space="preserve">        </v>
      </c>
      <c r="AE304" t="str">
        <f t="shared" si="100"/>
        <v xml:space="preserve">       </v>
      </c>
      <c r="AF304" t="str">
        <f t="shared" si="112"/>
        <v xml:space="preserve">     </v>
      </c>
      <c r="AG304" t="str">
        <f t="shared" si="112"/>
        <v xml:space="preserve">     0.01 </v>
      </c>
      <c r="AH304" t="str">
        <f t="shared" si="101"/>
        <v xml:space="preserve">    -0.15 </v>
      </c>
      <c r="AI304" t="str">
        <f t="shared" si="102"/>
        <v xml:space="preserve">       </v>
      </c>
      <c r="AJ304" t="str">
        <f t="shared" si="103"/>
        <v xml:space="preserve">      </v>
      </c>
    </row>
    <row r="305" spans="1:36" x14ac:dyDescent="0.25">
      <c r="A305" t="s">
        <v>248</v>
      </c>
      <c r="P305" t="str">
        <f t="shared" si="104"/>
        <v xml:space="preserve">                </v>
      </c>
      <c r="Q305" t="str">
        <f t="shared" si="104"/>
        <v xml:space="preserve">         </v>
      </c>
      <c r="R305" t="str">
        <f t="shared" si="97"/>
        <v xml:space="preserve">    80.0 </v>
      </c>
      <c r="S305" t="str">
        <f t="shared" si="105"/>
        <v xml:space="preserve">    95.0 </v>
      </c>
      <c r="T305" t="str">
        <f t="shared" si="106"/>
        <v xml:space="preserve">    95.0 </v>
      </c>
      <c r="U305" t="str">
        <f t="shared" si="110"/>
        <v xml:space="preserve">       54.4% </v>
      </c>
      <c r="V305" t="str">
        <f t="shared" si="98"/>
        <v xml:space="preserve">         </v>
      </c>
      <c r="W305" t="str">
        <f t="shared" si="107"/>
        <v xml:space="preserve">         </v>
      </c>
      <c r="X305" t="str">
        <f t="shared" si="111"/>
        <v xml:space="preserve">  9266 </v>
      </c>
      <c r="Y305" t="str">
        <f t="shared" si="111"/>
        <v xml:space="preserve"> PALEG3-RS069 </v>
      </c>
      <c r="Z305" t="str">
        <f t="shared" si="111"/>
        <v xml:space="preserve">  1 </v>
      </c>
      <c r="AA305" t="str">
        <f t="shared" si="99"/>
        <v xml:space="preserve">    44.0 </v>
      </c>
      <c r="AB305" t="str">
        <f t="shared" si="108"/>
        <v xml:space="preserve">     4.0 </v>
      </c>
      <c r="AC305" t="str">
        <f t="shared" si="109"/>
        <v xml:space="preserve">    43.5 </v>
      </c>
      <c r="AD305" t="str">
        <f t="shared" si="110"/>
        <v xml:space="preserve">        </v>
      </c>
      <c r="AE305" t="str">
        <f t="shared" si="100"/>
        <v xml:space="preserve">       </v>
      </c>
      <c r="AF305" t="str">
        <f t="shared" si="112"/>
        <v xml:space="preserve">     </v>
      </c>
      <c r="AG305" t="str">
        <f t="shared" si="112"/>
        <v xml:space="preserve">     0.18 </v>
      </c>
      <c r="AH305" t="str">
        <f t="shared" si="101"/>
        <v xml:space="preserve">     0.46 </v>
      </c>
      <c r="AI305" t="str">
        <f t="shared" si="102"/>
        <v xml:space="preserve">       </v>
      </c>
      <c r="AJ305" t="str">
        <f t="shared" si="103"/>
        <v xml:space="preserve">      </v>
      </c>
    </row>
    <row r="306" spans="1:36" x14ac:dyDescent="0.25">
      <c r="A306" t="s">
        <v>249</v>
      </c>
      <c r="P306" t="str">
        <f t="shared" si="104"/>
        <v xml:space="preserve">                </v>
      </c>
      <c r="Q306" t="str">
        <f t="shared" si="104"/>
        <v xml:space="preserve">         </v>
      </c>
      <c r="R306" t="str">
        <f t="shared" si="97"/>
        <v xml:space="preserve">    54.0 </v>
      </c>
      <c r="S306" t="str">
        <f t="shared" si="105"/>
        <v xml:space="preserve">    79.0 </v>
      </c>
      <c r="T306" t="str">
        <f t="shared" si="106"/>
        <v xml:space="preserve">    79.0 </v>
      </c>
      <c r="U306" t="str">
        <f t="shared" si="110"/>
        <v xml:space="preserve">       13.2% </v>
      </c>
      <c r="V306" t="str">
        <f t="shared" si="98"/>
        <v xml:space="preserve">         </v>
      </c>
      <c r="W306" t="str">
        <f t="shared" si="107"/>
        <v xml:space="preserve">         </v>
      </c>
      <c r="X306" t="str">
        <f t="shared" si="111"/>
        <v xml:space="preserve">  9290 </v>
      </c>
      <c r="Y306" t="str">
        <f t="shared" si="111"/>
        <v xml:space="preserve"> PUCPAL-RS069 </v>
      </c>
      <c r="Z306" t="str">
        <f t="shared" si="111"/>
        <v xml:space="preserve">  1 </v>
      </c>
      <c r="AA306" t="str">
        <f t="shared" si="99"/>
        <v xml:space="preserve">    -5.4 </v>
      </c>
      <c r="AB306" t="str">
        <f t="shared" si="108"/>
        <v xml:space="preserve">     4.8 </v>
      </c>
      <c r="AC306" t="str">
        <f t="shared" si="109"/>
        <v xml:space="preserve">     7.1 </v>
      </c>
      <c r="AD306" t="str">
        <f t="shared" si="110"/>
        <v xml:space="preserve">        </v>
      </c>
      <c r="AE306" t="str">
        <f t="shared" si="100"/>
        <v xml:space="preserve">       </v>
      </c>
      <c r="AF306" t="str">
        <f t="shared" si="112"/>
        <v xml:space="preserve">     </v>
      </c>
      <c r="AG306" t="str">
        <f t="shared" si="112"/>
        <v xml:space="preserve">     0.00 </v>
      </c>
      <c r="AH306" t="str">
        <f t="shared" si="101"/>
        <v xml:space="preserve">    -0.14 </v>
      </c>
      <c r="AI306" t="str">
        <f t="shared" si="102"/>
        <v xml:space="preserve">       </v>
      </c>
      <c r="AJ306" t="str">
        <f t="shared" si="103"/>
        <v xml:space="preserve">      </v>
      </c>
    </row>
    <row r="307" spans="1:36" x14ac:dyDescent="0.25">
      <c r="A307" t="s">
        <v>250</v>
      </c>
      <c r="P307" t="str">
        <f t="shared" si="104"/>
        <v xml:space="preserve">                </v>
      </c>
      <c r="Q307" t="str">
        <f t="shared" si="104"/>
        <v xml:space="preserve">         </v>
      </c>
      <c r="R307" t="str">
        <f t="shared" si="97"/>
        <v xml:space="preserve">    80.0 </v>
      </c>
      <c r="S307" t="str">
        <f t="shared" si="105"/>
        <v xml:space="preserve">    95.0 </v>
      </c>
      <c r="T307" t="str">
        <f t="shared" si="106"/>
        <v xml:space="preserve">    95.0 </v>
      </c>
      <c r="U307" t="str">
        <f t="shared" si="110"/>
        <v xml:space="preserve">       46.1% </v>
      </c>
      <c r="V307" t="str">
        <f t="shared" si="98"/>
        <v xml:space="preserve">         </v>
      </c>
      <c r="W307" t="str">
        <f t="shared" si="107"/>
        <v xml:space="preserve">         </v>
      </c>
      <c r="X307" t="str">
        <f t="shared" si="111"/>
        <v xml:space="preserve"> 10024 </v>
      </c>
      <c r="Y307" t="str">
        <f t="shared" si="111"/>
        <v xml:space="preserve"> HOSCLI-RS069 </v>
      </c>
      <c r="Z307" t="str">
        <f t="shared" si="111"/>
        <v xml:space="preserve">  1 </v>
      </c>
      <c r="AA307" t="str">
        <f t="shared" si="99"/>
        <v xml:space="preserve">    37.0 </v>
      </c>
      <c r="AB307" t="str">
        <f t="shared" si="108"/>
        <v xml:space="preserve">     5.5 </v>
      </c>
      <c r="AC307" t="str">
        <f t="shared" si="109"/>
        <v xml:space="preserve">    36.9 </v>
      </c>
      <c r="AD307" t="str">
        <f t="shared" si="110"/>
        <v xml:space="preserve">        </v>
      </c>
      <c r="AE307" t="str">
        <f t="shared" si="100"/>
        <v xml:space="preserve">       </v>
      </c>
      <c r="AF307" t="str">
        <f t="shared" si="112"/>
        <v xml:space="preserve">     </v>
      </c>
      <c r="AG307" t="str">
        <f t="shared" si="112"/>
        <v xml:space="preserve">     0.04 </v>
      </c>
      <c r="AH307" t="str">
        <f t="shared" si="101"/>
        <v xml:space="preserve">     0.11 </v>
      </c>
      <c r="AI307" t="str">
        <f t="shared" si="102"/>
        <v xml:space="preserve">       </v>
      </c>
      <c r="AJ307" t="str">
        <f t="shared" si="103"/>
        <v xml:space="preserve">      </v>
      </c>
    </row>
    <row r="308" spans="1:36" x14ac:dyDescent="0.25">
      <c r="A308" t="s">
        <v>251</v>
      </c>
      <c r="P308" t="str">
        <f t="shared" si="104"/>
        <v xml:space="preserve">                </v>
      </c>
      <c r="Q308" t="str">
        <f t="shared" si="104"/>
        <v xml:space="preserve">         </v>
      </c>
      <c r="R308" t="str">
        <f t="shared" si="97"/>
        <v xml:space="preserve">    83.0 </v>
      </c>
      <c r="S308" t="str">
        <f t="shared" si="105"/>
        <v xml:space="preserve">   125.0 </v>
      </c>
      <c r="T308" t="str">
        <f t="shared" si="106"/>
        <v xml:space="preserve">   125.0 </v>
      </c>
      <c r="U308" t="str">
        <f t="shared" si="110"/>
        <v xml:space="preserve">       38.9% </v>
      </c>
      <c r="V308" t="str">
        <f t="shared" si="98"/>
        <v xml:space="preserve">         </v>
      </c>
      <c r="W308" t="str">
        <f t="shared" si="107"/>
        <v xml:space="preserve">         </v>
      </c>
      <c r="X308" t="str">
        <f t="shared" si="111"/>
        <v xml:space="preserve"> 41310 </v>
      </c>
      <c r="Y308" t="str">
        <f t="shared" si="111"/>
        <v xml:space="preserve"> PA10-1-RS000 </v>
      </c>
      <c r="Z308" t="str">
        <f t="shared" si="111"/>
        <v xml:space="preserve">  1 </v>
      </c>
      <c r="AA308" t="str">
        <f t="shared" si="99"/>
        <v xml:space="preserve">   -32.0 </v>
      </c>
      <c r="AB308" t="str">
        <f t="shared" si="108"/>
        <v xml:space="preserve">    -7.0 </v>
      </c>
      <c r="AC308" t="str">
        <f t="shared" si="109"/>
        <v xml:space="preserve">    32.3 </v>
      </c>
      <c r="AD308" t="str">
        <f t="shared" si="110"/>
        <v xml:space="preserve"> 1.000F </v>
      </c>
      <c r="AE308" t="str">
        <f t="shared" si="100"/>
        <v xml:space="preserve">       </v>
      </c>
      <c r="AF308" t="str">
        <f t="shared" si="112"/>
        <v xml:space="preserve"> 002 </v>
      </c>
      <c r="AG308" t="str">
        <f t="shared" si="112"/>
        <v xml:space="preserve">     0.02 </v>
      </c>
      <c r="AH308" t="str">
        <f t="shared" si="101"/>
        <v xml:space="preserve">    -0.15 </v>
      </c>
      <c r="AI308" t="str">
        <f t="shared" si="102"/>
        <v xml:space="preserve">       </v>
      </c>
      <c r="AJ308" t="str">
        <f t="shared" si="103"/>
        <v xml:space="preserve">      </v>
      </c>
    </row>
    <row r="309" spans="1:36" x14ac:dyDescent="0.25">
      <c r="A309" t="s">
        <v>252</v>
      </c>
      <c r="P309" t="str">
        <f t="shared" si="104"/>
        <v xml:space="preserve">                </v>
      </c>
      <c r="Q309" t="str">
        <f t="shared" si="104"/>
        <v xml:space="preserve">         </v>
      </c>
      <c r="R309" t="str">
        <f t="shared" si="97"/>
        <v xml:space="preserve">    83.0 </v>
      </c>
      <c r="S309" t="str">
        <f t="shared" si="105"/>
        <v xml:space="preserve">   125.0 </v>
      </c>
      <c r="T309" t="str">
        <f t="shared" si="106"/>
        <v xml:space="preserve">   125.0 </v>
      </c>
      <c r="U309" t="str">
        <f t="shared" si="110"/>
        <v xml:space="preserve">       39.8% </v>
      </c>
      <c r="V309" t="str">
        <f t="shared" si="98"/>
        <v xml:space="preserve">         </v>
      </c>
      <c r="W309" t="str">
        <f t="shared" si="107"/>
        <v xml:space="preserve">         </v>
      </c>
      <c r="X309" t="str">
        <f t="shared" si="111"/>
        <v xml:space="preserve"> 41311 </v>
      </c>
      <c r="Y309" t="str">
        <f t="shared" si="111"/>
        <v xml:space="preserve"> PA10-2-RS000 </v>
      </c>
      <c r="Z309" t="str">
        <f t="shared" si="111"/>
        <v xml:space="preserve">  2 </v>
      </c>
      <c r="AA309" t="str">
        <f t="shared" si="99"/>
        <v xml:space="preserve">   -32.8 </v>
      </c>
      <c r="AB309" t="str">
        <f t="shared" si="108"/>
        <v xml:space="preserve">    -7.1 </v>
      </c>
      <c r="AC309" t="str">
        <f t="shared" si="109"/>
        <v xml:space="preserve">    33.1 </v>
      </c>
      <c r="AD309" t="str">
        <f t="shared" si="110"/>
        <v xml:space="preserve"> 1.000F </v>
      </c>
      <c r="AE309" t="str">
        <f t="shared" si="100"/>
        <v xml:space="preserve">       </v>
      </c>
      <c r="AF309" t="str">
        <f t="shared" si="112"/>
        <v xml:space="preserve"> 002 </v>
      </c>
      <c r="AG309" t="str">
        <f t="shared" si="112"/>
        <v xml:space="preserve">     0.02 </v>
      </c>
      <c r="AH309" t="str">
        <f t="shared" si="101"/>
        <v xml:space="preserve">    -0.16 </v>
      </c>
      <c r="AI309" t="str">
        <f t="shared" si="102"/>
        <v xml:space="preserve">       </v>
      </c>
      <c r="AJ309" t="str">
        <f t="shared" si="103"/>
        <v xml:space="preserve">      </v>
      </c>
    </row>
    <row r="310" spans="1:36" x14ac:dyDescent="0.25">
      <c r="A310" t="s">
        <v>14</v>
      </c>
      <c r="P310" t="str">
        <f t="shared" si="104"/>
        <v xml:space="preserve">  ..............</v>
      </c>
      <c r="Q310" t="str">
        <f t="shared" si="104"/>
        <v>.........</v>
      </c>
      <c r="R310" t="str">
        <f t="shared" si="97"/>
        <v>.........</v>
      </c>
      <c r="S310" t="str">
        <f t="shared" si="105"/>
        <v>.........</v>
      </c>
      <c r="T310" t="str">
        <f t="shared" si="106"/>
        <v>.........</v>
      </c>
      <c r="U310" t="str">
        <f t="shared" si="110"/>
        <v>.............</v>
      </c>
      <c r="V310" t="str">
        <f t="shared" si="98"/>
        <v>.........</v>
      </c>
      <c r="W310" t="str">
        <f t="shared" si="107"/>
        <v>.........</v>
      </c>
      <c r="X310" t="str">
        <f t="shared" si="111"/>
        <v>.......</v>
      </c>
      <c r="Y310" t="str">
        <f t="shared" si="111"/>
        <v>..............</v>
      </c>
      <c r="Z310" t="str">
        <f t="shared" si="111"/>
        <v>....</v>
      </c>
      <c r="AA310" t="str">
        <f t="shared" si="99"/>
        <v>.........</v>
      </c>
      <c r="AB310" t="str">
        <f t="shared" si="108"/>
        <v>.........</v>
      </c>
      <c r="AC310" t="str">
        <f t="shared" si="109"/>
        <v>.........</v>
      </c>
      <c r="AD310" t="str">
        <f t="shared" si="110"/>
        <v>........</v>
      </c>
      <c r="AE310" t="str">
        <f t="shared" si="100"/>
        <v>.......</v>
      </c>
      <c r="AF310" t="str">
        <f t="shared" si="112"/>
        <v>.....</v>
      </c>
      <c r="AG310" t="str">
        <f t="shared" si="112"/>
        <v>..........</v>
      </c>
      <c r="AH310" t="str">
        <f t="shared" si="101"/>
        <v>..........</v>
      </c>
      <c r="AI310" t="str">
        <f t="shared" si="102"/>
        <v>.......</v>
      </c>
      <c r="AJ310" t="str">
        <f t="shared" si="103"/>
        <v>.......</v>
      </c>
    </row>
    <row r="311" spans="1:36" x14ac:dyDescent="0.25">
      <c r="A311" t="s">
        <v>253</v>
      </c>
      <c r="P311" t="str">
        <f t="shared" si="104"/>
        <v xml:space="preserve">   1271   69  0 </v>
      </c>
      <c r="Q311" t="str">
        <f t="shared" si="104"/>
        <v xml:space="preserve">   1.015 </v>
      </c>
      <c r="R311" t="str">
        <f t="shared" si="97"/>
        <v xml:space="preserve">     1.7 </v>
      </c>
      <c r="S311" t="str">
        <f t="shared" si="105"/>
        <v xml:space="preserve">     0.0 </v>
      </c>
      <c r="T311" t="str">
        <f t="shared" si="106"/>
        <v xml:space="preserve">    44.5 </v>
      </c>
      <c r="U311" t="str">
        <f t="shared" si="110"/>
        <v xml:space="preserve">         0.0 </v>
      </c>
      <c r="V311" t="str">
        <f t="shared" si="98"/>
        <v xml:space="preserve">     0.0 </v>
      </c>
      <c r="W311" t="str">
        <f t="shared" si="107"/>
        <v xml:space="preserve">     0.0</v>
      </c>
      <c r="X311" t="str">
        <f t="shared" si="111"/>
        <v/>
      </c>
      <c r="Y311" t="str">
        <f t="shared" si="111"/>
        <v/>
      </c>
      <c r="Z311" t="str">
        <f t="shared" si="111"/>
        <v/>
      </c>
      <c r="AA311" t="str">
        <f t="shared" si="99"/>
        <v/>
      </c>
      <c r="AB311" t="str">
        <f t="shared" si="108"/>
        <v/>
      </c>
      <c r="AC311" t="str">
        <f t="shared" si="109"/>
        <v/>
      </c>
      <c r="AD311" t="str">
        <f t="shared" si="110"/>
        <v/>
      </c>
      <c r="AE311" t="str">
        <f t="shared" si="100"/>
        <v/>
      </c>
      <c r="AF311" t="str">
        <f t="shared" si="112"/>
        <v/>
      </c>
      <c r="AG311" t="str">
        <f t="shared" si="112"/>
        <v/>
      </c>
      <c r="AH311" t="str">
        <f t="shared" si="101"/>
        <v/>
      </c>
      <c r="AI311" t="str">
        <f t="shared" si="102"/>
        <v/>
      </c>
      <c r="AJ311" t="str">
        <f t="shared" si="103"/>
        <v/>
      </c>
    </row>
    <row r="312" spans="1:36" x14ac:dyDescent="0.25">
      <c r="A312" t="s">
        <v>254</v>
      </c>
      <c r="P312" t="str">
        <f t="shared" si="104"/>
        <v xml:space="preserve">  PALGR8-RS069  </v>
      </c>
      <c r="Q312" t="str">
        <f t="shared" si="104"/>
        <v xml:space="preserve">   -54.5 </v>
      </c>
      <c r="R312" t="str">
        <f t="shared" si="97"/>
        <v xml:space="preserve">     0.0 </v>
      </c>
      <c r="S312" t="str">
        <f t="shared" si="105"/>
        <v xml:space="preserve">     0.0 </v>
      </c>
      <c r="T312" t="str">
        <f t="shared" si="106"/>
        <v xml:space="preserve">    11.4 </v>
      </c>
      <c r="U312" t="str">
        <f t="shared" si="110"/>
        <v xml:space="preserve">         0.0 </v>
      </c>
      <c r="V312" t="str">
        <f t="shared" si="98"/>
        <v xml:space="preserve">     0.0 </v>
      </c>
      <c r="W312" t="str">
        <f t="shared" si="107"/>
        <v xml:space="preserve">     0.0 </v>
      </c>
      <c r="X312" t="str">
        <f t="shared" si="111"/>
        <v xml:space="preserve">       </v>
      </c>
      <c r="Y312" t="str">
        <f t="shared" si="111"/>
        <v xml:space="preserve">              </v>
      </c>
      <c r="Z312" t="str">
        <f t="shared" si="111"/>
        <v xml:space="preserve">    </v>
      </c>
      <c r="AA312" t="str">
        <f t="shared" si="99"/>
        <v xml:space="preserve">         </v>
      </c>
      <c r="AB312" t="str">
        <f t="shared" si="108"/>
        <v xml:space="preserve">         </v>
      </c>
      <c r="AC312" t="str">
        <f t="shared" si="109"/>
        <v xml:space="preserve">    </v>
      </c>
      <c r="AD312" t="str">
        <f t="shared" si="110"/>
        <v/>
      </c>
      <c r="AE312" t="str">
        <f t="shared" si="100"/>
        <v/>
      </c>
      <c r="AF312" t="str">
        <f t="shared" si="112"/>
        <v/>
      </c>
      <c r="AG312" t="str">
        <f t="shared" si="112"/>
        <v/>
      </c>
      <c r="AH312" t="str">
        <f t="shared" si="101"/>
        <v/>
      </c>
      <c r="AI312" t="str">
        <f t="shared" si="102"/>
        <v/>
      </c>
      <c r="AJ312" t="str">
        <f t="shared" si="103"/>
        <v/>
      </c>
    </row>
    <row r="313" spans="1:36" x14ac:dyDescent="0.25">
      <c r="A313" t="s">
        <v>255</v>
      </c>
      <c r="P313" t="str">
        <f t="shared" si="104"/>
        <v xml:space="preserve">                </v>
      </c>
      <c r="Q313" t="str">
        <f t="shared" si="104"/>
        <v xml:space="preserve">         </v>
      </c>
      <c r="R313" t="str">
        <f t="shared" si="97"/>
        <v xml:space="preserve">    80.0 </v>
      </c>
      <c r="S313" t="str">
        <f t="shared" si="105"/>
        <v xml:space="preserve">    95.0 </v>
      </c>
      <c r="T313" t="str">
        <f t="shared" si="106"/>
        <v xml:space="preserve">    95.0 </v>
      </c>
      <c r="U313" t="str">
        <f t="shared" si="110"/>
        <v xml:space="preserve">       62.8% </v>
      </c>
      <c r="V313" t="str">
        <f t="shared" si="98"/>
        <v xml:space="preserve">         </v>
      </c>
      <c r="W313" t="str">
        <f t="shared" si="107"/>
        <v xml:space="preserve">         </v>
      </c>
      <c r="X313" t="str">
        <f t="shared" si="111"/>
        <v xml:space="preserve">  9226 </v>
      </c>
      <c r="Y313" t="str">
        <f t="shared" si="111"/>
        <v xml:space="preserve"> GKNPAL-RS069 </v>
      </c>
      <c r="Z313" t="str">
        <f t="shared" si="111"/>
        <v xml:space="preserve">  1 </v>
      </c>
      <c r="AA313" t="str">
        <f t="shared" si="99"/>
        <v xml:space="preserve">    50.4 </v>
      </c>
      <c r="AB313" t="str">
        <f t="shared" si="108"/>
        <v xml:space="preserve">     7.6 </v>
      </c>
      <c r="AC313" t="str">
        <f t="shared" si="109"/>
        <v xml:space="preserve">    50.2 </v>
      </c>
      <c r="AD313" t="str">
        <f t="shared" si="110"/>
        <v xml:space="preserve">        </v>
      </c>
      <c r="AE313" t="str">
        <f t="shared" si="100"/>
        <v xml:space="preserve">       </v>
      </c>
      <c r="AF313" t="str">
        <f t="shared" si="112"/>
        <v xml:space="preserve">     </v>
      </c>
      <c r="AG313" t="str">
        <f t="shared" si="112"/>
        <v xml:space="preserve">     0.04 </v>
      </c>
      <c r="AH313" t="str">
        <f t="shared" si="101"/>
        <v xml:space="preserve">     0.13 </v>
      </c>
      <c r="AI313" t="str">
        <f t="shared" si="102"/>
        <v xml:space="preserve">       </v>
      </c>
      <c r="AJ313" t="str">
        <f t="shared" si="103"/>
        <v xml:space="preserve">      </v>
      </c>
    </row>
    <row r="314" spans="1:36" x14ac:dyDescent="0.25">
      <c r="A314" t="s">
        <v>256</v>
      </c>
      <c r="P314" t="str">
        <f t="shared" si="104"/>
        <v xml:space="preserve">                </v>
      </c>
      <c r="Q314" t="str">
        <f t="shared" si="104"/>
        <v xml:space="preserve">         </v>
      </c>
      <c r="R314" t="str">
        <f t="shared" si="97"/>
        <v xml:space="preserve">    99.0 </v>
      </c>
      <c r="S314" t="str">
        <f t="shared" si="105"/>
        <v xml:space="preserve">   120.0 </v>
      </c>
      <c r="T314" t="str">
        <f t="shared" si="106"/>
        <v xml:space="preserve">   100.0 </v>
      </c>
      <c r="U314" t="str">
        <f t="shared" si="110"/>
        <v xml:space="preserve">       17.0% </v>
      </c>
      <c r="V314" t="str">
        <f t="shared" si="98"/>
        <v xml:space="preserve">         </v>
      </c>
      <c r="W314" t="str">
        <f t="shared" si="107"/>
        <v xml:space="preserve">         </v>
      </c>
      <c r="X314" t="str">
        <f t="shared" si="111"/>
        <v xml:space="preserve">  9237 </v>
      </c>
      <c r="Y314" t="str">
        <f t="shared" si="111"/>
        <v xml:space="preserve"> PALE17-RS069 </v>
      </c>
      <c r="Z314" t="str">
        <f t="shared" si="111"/>
        <v xml:space="preserve">  1 </v>
      </c>
      <c r="AA314" t="str">
        <f t="shared" si="99"/>
        <v xml:space="preserve">    16.2 </v>
      </c>
      <c r="AB314" t="str">
        <f t="shared" si="108"/>
        <v xml:space="preserve">     5.5 </v>
      </c>
      <c r="AC314" t="str">
        <f t="shared" si="109"/>
        <v xml:space="preserve">    16.9 </v>
      </c>
      <c r="AD314" t="str">
        <f t="shared" si="110"/>
        <v xml:space="preserve">        </v>
      </c>
      <c r="AE314" t="str">
        <f t="shared" si="100"/>
        <v xml:space="preserve">       </v>
      </c>
      <c r="AF314" t="str">
        <f t="shared" si="112"/>
        <v xml:space="preserve">     </v>
      </c>
      <c r="AG314" t="str">
        <f t="shared" si="112"/>
        <v xml:space="preserve">     0.02 </v>
      </c>
      <c r="AH314" t="str">
        <f t="shared" si="101"/>
        <v xml:space="preserve">     0.04 </v>
      </c>
      <c r="AI314" t="str">
        <f t="shared" si="102"/>
        <v xml:space="preserve">       </v>
      </c>
      <c r="AJ314" t="str">
        <f t="shared" si="103"/>
        <v xml:space="preserve">      </v>
      </c>
    </row>
    <row r="315" spans="1:36" x14ac:dyDescent="0.25">
      <c r="A315" t="s">
        <v>257</v>
      </c>
      <c r="P315" t="str">
        <f t="shared" si="104"/>
        <v xml:space="preserve">                </v>
      </c>
      <c r="Q315" t="str">
        <f t="shared" si="104"/>
        <v xml:space="preserve">         </v>
      </c>
      <c r="R315" t="str">
        <f t="shared" si="97"/>
        <v xml:space="preserve">    48.0 </v>
      </c>
      <c r="S315" t="str">
        <f t="shared" si="105"/>
        <v xml:space="preserve">    71.0 </v>
      </c>
      <c r="T315" t="str">
        <f t="shared" si="106"/>
        <v xml:space="preserve">    71.0 </v>
      </c>
      <c r="U315" t="str">
        <f t="shared" si="110"/>
        <v xml:space="preserve">        6.1% </v>
      </c>
      <c r="V315" t="str">
        <f t="shared" si="98"/>
        <v xml:space="preserve">         </v>
      </c>
      <c r="W315" t="str">
        <f t="shared" si="107"/>
        <v xml:space="preserve">         </v>
      </c>
      <c r="X315" t="str">
        <f t="shared" si="111"/>
        <v xml:space="preserve">  9273 </v>
      </c>
      <c r="Y315" t="str">
        <f t="shared" si="111"/>
        <v xml:space="preserve"> VONPA1TAP069 </v>
      </c>
      <c r="Z315" t="str">
        <f t="shared" si="111"/>
        <v xml:space="preserve">  1 </v>
      </c>
      <c r="AA315" t="str">
        <f t="shared" si="99"/>
        <v xml:space="preserve">    -1.1 </v>
      </c>
      <c r="AB315" t="str">
        <f t="shared" si="108"/>
        <v xml:space="preserve">    -2.8 </v>
      </c>
      <c r="AC315" t="str">
        <f t="shared" si="109"/>
        <v xml:space="preserve">     3.0 </v>
      </c>
      <c r="AD315" t="str">
        <f t="shared" si="110"/>
        <v xml:space="preserve">        </v>
      </c>
      <c r="AE315" t="str">
        <f t="shared" si="100"/>
        <v xml:space="preserve">       </v>
      </c>
      <c r="AF315" t="str">
        <f t="shared" si="112"/>
        <v xml:space="preserve">     </v>
      </c>
      <c r="AG315" t="str">
        <f t="shared" si="112"/>
        <v xml:space="preserve">     0.00 </v>
      </c>
      <c r="AH315" t="str">
        <f t="shared" si="101"/>
        <v xml:space="preserve">    -0.10 </v>
      </c>
      <c r="AI315" t="str">
        <f t="shared" si="102"/>
        <v xml:space="preserve">       </v>
      </c>
      <c r="AJ315" t="str">
        <f t="shared" si="103"/>
        <v xml:space="preserve">      </v>
      </c>
    </row>
    <row r="316" spans="1:36" x14ac:dyDescent="0.25">
      <c r="A316" t="s">
        <v>258</v>
      </c>
      <c r="P316" t="str">
        <f t="shared" si="104"/>
        <v xml:space="preserve">                </v>
      </c>
      <c r="Q316" t="str">
        <f t="shared" si="104"/>
        <v xml:space="preserve">         </v>
      </c>
      <c r="R316" t="str">
        <f t="shared" si="97"/>
        <v xml:space="preserve">    80.0 </v>
      </c>
      <c r="S316" t="str">
        <f t="shared" si="105"/>
        <v xml:space="preserve">    95.0 </v>
      </c>
      <c r="T316" t="str">
        <f t="shared" si="106"/>
        <v xml:space="preserve">    95.0 </v>
      </c>
      <c r="U316" t="str">
        <f t="shared" si="110"/>
        <v xml:space="preserve">       10.0% </v>
      </c>
      <c r="V316" t="str">
        <f t="shared" si="98"/>
        <v xml:space="preserve">         </v>
      </c>
      <c r="W316" t="str">
        <f t="shared" si="107"/>
        <v xml:space="preserve">         </v>
      </c>
      <c r="X316" t="str">
        <f t="shared" si="111"/>
        <v xml:space="preserve"> 10054 </v>
      </c>
      <c r="Y316" t="str">
        <f t="shared" si="111"/>
        <v xml:space="preserve"> HOCONC-RS069 </v>
      </c>
      <c r="Z316" t="str">
        <f t="shared" si="111"/>
        <v xml:space="preserve">  1 </v>
      </c>
      <c r="AA316" t="str">
        <f t="shared" si="99"/>
        <v xml:space="preserve">     4.5 </v>
      </c>
      <c r="AB316" t="str">
        <f t="shared" si="108"/>
        <v xml:space="preserve">     6.7 </v>
      </c>
      <c r="AC316" t="str">
        <f t="shared" si="109"/>
        <v xml:space="preserve">     8.0 </v>
      </c>
      <c r="AD316" t="str">
        <f t="shared" si="110"/>
        <v xml:space="preserve">        </v>
      </c>
      <c r="AE316" t="str">
        <f t="shared" si="100"/>
        <v xml:space="preserve">       </v>
      </c>
      <c r="AF316" t="str">
        <f t="shared" si="112"/>
        <v xml:space="preserve">     </v>
      </c>
      <c r="AG316" t="str">
        <f t="shared" si="112"/>
        <v xml:space="preserve">     0.00 </v>
      </c>
      <c r="AH316" t="str">
        <f t="shared" si="101"/>
        <v xml:space="preserve">    -0.03 </v>
      </c>
      <c r="AI316" t="str">
        <f t="shared" si="102"/>
        <v xml:space="preserve">       </v>
      </c>
      <c r="AJ316" t="str">
        <f t="shared" si="103"/>
        <v xml:space="preserve">      </v>
      </c>
    </row>
    <row r="317" spans="1:36" x14ac:dyDescent="0.25">
      <c r="A317" t="s">
        <v>259</v>
      </c>
      <c r="P317" t="str">
        <f t="shared" si="104"/>
        <v xml:space="preserve">                </v>
      </c>
      <c r="Q317" t="str">
        <f t="shared" si="104"/>
        <v xml:space="preserve">         </v>
      </c>
      <c r="R317" t="str">
        <f t="shared" si="97"/>
        <v xml:space="preserve">    83.0 </v>
      </c>
      <c r="S317" t="str">
        <f t="shared" si="105"/>
        <v xml:space="preserve">   124.0 </v>
      </c>
      <c r="T317" t="str">
        <f t="shared" si="106"/>
        <v xml:space="preserve">   124.0 </v>
      </c>
      <c r="U317" t="str">
        <f t="shared" si="110"/>
        <v xml:space="preserve">       45.0% </v>
      </c>
      <c r="V317" t="str">
        <f t="shared" si="98"/>
        <v xml:space="preserve">         </v>
      </c>
      <c r="W317" t="str">
        <f t="shared" si="107"/>
        <v xml:space="preserve">         </v>
      </c>
      <c r="X317" t="str">
        <f t="shared" si="111"/>
        <v xml:space="preserve"> 41323 </v>
      </c>
      <c r="Y317" t="str">
        <f t="shared" si="111"/>
        <v xml:space="preserve"> PAL8-1-RS000 </v>
      </c>
      <c r="Z317" t="str">
        <f t="shared" si="111"/>
        <v xml:space="preserve">  1 </v>
      </c>
      <c r="AA317" t="str">
        <f t="shared" si="99"/>
        <v xml:space="preserve">   -36.8 </v>
      </c>
      <c r="AB317" t="str">
        <f t="shared" si="108"/>
        <v xml:space="preserve">    -9.3 </v>
      </c>
      <c r="AC317" t="str">
        <f t="shared" si="109"/>
        <v xml:space="preserve">    37.4 </v>
      </c>
      <c r="AD317" t="str">
        <f t="shared" si="110"/>
        <v xml:space="preserve"> 1.000F </v>
      </c>
      <c r="AE317" t="str">
        <f t="shared" si="100"/>
        <v xml:space="preserve">       </v>
      </c>
      <c r="AF317" t="str">
        <f t="shared" si="112"/>
        <v xml:space="preserve"> 002 </v>
      </c>
      <c r="AG317" t="str">
        <f t="shared" si="112"/>
        <v xml:space="preserve">     0.02 </v>
      </c>
      <c r="AH317" t="str">
        <f t="shared" si="101"/>
        <v xml:space="preserve">    -0.15 </v>
      </c>
      <c r="AI317" t="str">
        <f t="shared" si="102"/>
        <v xml:space="preserve">       </v>
      </c>
      <c r="AJ317" t="str">
        <f t="shared" si="103"/>
        <v xml:space="preserve">      </v>
      </c>
    </row>
    <row r="318" spans="1:36" x14ac:dyDescent="0.25">
      <c r="A318" t="s">
        <v>260</v>
      </c>
      <c r="P318" t="str">
        <f t="shared" si="104"/>
        <v xml:space="preserve">                </v>
      </c>
      <c r="Q318" t="str">
        <f t="shared" si="104"/>
        <v xml:space="preserve">         </v>
      </c>
      <c r="R318" t="str">
        <f t="shared" si="97"/>
        <v xml:space="preserve">    83.0 </v>
      </c>
      <c r="S318" t="str">
        <f t="shared" si="105"/>
        <v xml:space="preserve">   124.0 </v>
      </c>
      <c r="T318" t="str">
        <f t="shared" si="106"/>
        <v xml:space="preserve">   124.0 </v>
      </c>
      <c r="U318" t="str">
        <f t="shared" si="110"/>
        <v xml:space="preserve">       45.7% </v>
      </c>
      <c r="V318" t="str">
        <f t="shared" si="98"/>
        <v xml:space="preserve">         </v>
      </c>
      <c r="W318" t="str">
        <f t="shared" si="107"/>
        <v xml:space="preserve">         </v>
      </c>
      <c r="X318" t="str">
        <f t="shared" si="111"/>
        <v xml:space="preserve"> 41324 </v>
      </c>
      <c r="Y318" t="str">
        <f t="shared" si="111"/>
        <v xml:space="preserve"> PAL8-2-RS000 </v>
      </c>
      <c r="Z318" t="str">
        <f t="shared" si="111"/>
        <v xml:space="preserve">  2 </v>
      </c>
      <c r="AA318" t="str">
        <f t="shared" si="99"/>
        <v xml:space="preserve">   -37.3 </v>
      </c>
      <c r="AB318" t="str">
        <f t="shared" si="108"/>
        <v xml:space="preserve">    -9.4 </v>
      </c>
      <c r="AC318" t="str">
        <f t="shared" si="109"/>
        <v xml:space="preserve">    37.9 </v>
      </c>
      <c r="AD318" t="str">
        <f t="shared" si="110"/>
        <v xml:space="preserve"> 1.000F </v>
      </c>
      <c r="AE318" t="str">
        <f t="shared" si="100"/>
        <v xml:space="preserve">       </v>
      </c>
      <c r="AF318" t="str">
        <f t="shared" si="112"/>
        <v xml:space="preserve"> 002 </v>
      </c>
      <c r="AG318" t="str">
        <f t="shared" si="112"/>
        <v xml:space="preserve">     0.03 </v>
      </c>
      <c r="AH318" t="str">
        <f t="shared" si="101"/>
        <v xml:space="preserve">    -0.13 </v>
      </c>
      <c r="AI318" t="str">
        <f t="shared" si="102"/>
        <v xml:space="preserve">       </v>
      </c>
      <c r="AJ318" t="str">
        <f t="shared" si="103"/>
        <v xml:space="preserve">      </v>
      </c>
    </row>
    <row r="319" spans="1:36" x14ac:dyDescent="0.25">
      <c r="A319" t="s">
        <v>261</v>
      </c>
      <c r="P319" t="str">
        <f t="shared" si="104"/>
        <v xml:space="preserve">                </v>
      </c>
      <c r="Q319" t="str">
        <f t="shared" si="104"/>
        <v xml:space="preserve">         </v>
      </c>
      <c r="R319" t="str">
        <f t="shared" si="97"/>
        <v xml:space="preserve">    83.0 </v>
      </c>
      <c r="S319" t="str">
        <f t="shared" si="105"/>
        <v xml:space="preserve">   100.0 </v>
      </c>
      <c r="T319" t="str">
        <f t="shared" si="106"/>
        <v xml:space="preserve">   100.0 </v>
      </c>
      <c r="U319" t="str">
        <f t="shared" si="110"/>
        <v xml:space="preserve">       47.4% </v>
      </c>
      <c r="V319" t="str">
        <f t="shared" si="98"/>
        <v xml:space="preserve">         </v>
      </c>
      <c r="W319" t="str">
        <f t="shared" si="107"/>
        <v xml:space="preserve">         </v>
      </c>
      <c r="X319" t="str">
        <f t="shared" si="111"/>
        <v xml:space="preserve"> 41325 </v>
      </c>
      <c r="Y319" t="str">
        <f t="shared" si="111"/>
        <v xml:space="preserve"> PAL8-3-RS000 </v>
      </c>
      <c r="Z319" t="str">
        <f t="shared" si="111"/>
        <v xml:space="preserve">  3 </v>
      </c>
      <c r="AA319" t="str">
        <f t="shared" si="99"/>
        <v xml:space="preserve">   -38.7 </v>
      </c>
      <c r="AB319" t="str">
        <f t="shared" si="108"/>
        <v xml:space="preserve">    -9.8 </v>
      </c>
      <c r="AC319" t="str">
        <f t="shared" si="109"/>
        <v xml:space="preserve">    39.3 </v>
      </c>
      <c r="AD319" t="str">
        <f t="shared" si="110"/>
        <v xml:space="preserve"> 1.000F </v>
      </c>
      <c r="AE319" t="str">
        <f t="shared" si="100"/>
        <v xml:space="preserve">       </v>
      </c>
      <c r="AF319" t="str">
        <f t="shared" si="112"/>
        <v xml:space="preserve"> 002 </v>
      </c>
      <c r="AG319" t="str">
        <f t="shared" si="112"/>
        <v xml:space="preserve">     0.03 </v>
      </c>
      <c r="AH319" t="str">
        <f t="shared" si="101"/>
        <v xml:space="preserve">    -0.30 </v>
      </c>
      <c r="AI319" t="str">
        <f t="shared" si="102"/>
        <v xml:space="preserve">       </v>
      </c>
      <c r="AJ319" t="str">
        <f t="shared" si="103"/>
        <v xml:space="preserve">      </v>
      </c>
    </row>
    <row r="320" spans="1:36" x14ac:dyDescent="0.25">
      <c r="A320" t="s">
        <v>14</v>
      </c>
      <c r="P320" t="str">
        <f t="shared" si="104"/>
        <v xml:space="preserve">  ..............</v>
      </c>
      <c r="Q320" t="str">
        <f t="shared" si="104"/>
        <v>.........</v>
      </c>
      <c r="R320" t="str">
        <f t="shared" si="97"/>
        <v>.........</v>
      </c>
      <c r="S320" t="str">
        <f t="shared" si="105"/>
        <v>.........</v>
      </c>
      <c r="T320" t="str">
        <f t="shared" si="106"/>
        <v>.........</v>
      </c>
      <c r="U320" t="str">
        <f t="shared" si="110"/>
        <v>.............</v>
      </c>
      <c r="V320" t="str">
        <f t="shared" si="98"/>
        <v>.........</v>
      </c>
      <c r="W320" t="str">
        <f t="shared" si="107"/>
        <v>.........</v>
      </c>
      <c r="X320" t="str">
        <f t="shared" si="111"/>
        <v>.......</v>
      </c>
      <c r="Y320" t="str">
        <f t="shared" si="111"/>
        <v>..............</v>
      </c>
      <c r="Z320" t="str">
        <f t="shared" si="111"/>
        <v>....</v>
      </c>
      <c r="AA320" t="str">
        <f t="shared" si="99"/>
        <v>.........</v>
      </c>
      <c r="AB320" t="str">
        <f t="shared" si="108"/>
        <v>.........</v>
      </c>
      <c r="AC320" t="str">
        <f t="shared" si="109"/>
        <v>.........</v>
      </c>
      <c r="AD320" t="str">
        <f t="shared" si="110"/>
        <v>........</v>
      </c>
      <c r="AE320" t="str">
        <f t="shared" si="100"/>
        <v>.......</v>
      </c>
      <c r="AF320" t="str">
        <f t="shared" si="112"/>
        <v>.....</v>
      </c>
      <c r="AG320" t="str">
        <f t="shared" si="112"/>
        <v>..........</v>
      </c>
      <c r="AH320" t="str">
        <f t="shared" si="101"/>
        <v>..........</v>
      </c>
      <c r="AI320" t="str">
        <f t="shared" si="102"/>
        <v>.......</v>
      </c>
      <c r="AJ320" t="str">
        <f t="shared" si="103"/>
        <v>.......</v>
      </c>
    </row>
    <row r="321" spans="1:36" x14ac:dyDescent="0.25">
      <c r="A321" t="s">
        <v>262</v>
      </c>
      <c r="P321" t="str">
        <f t="shared" si="104"/>
        <v xml:space="preserve">   1272   69  0 </v>
      </c>
      <c r="Q321" t="str">
        <f t="shared" si="104"/>
        <v xml:space="preserve">   1.016 </v>
      </c>
      <c r="R321" t="str">
        <f t="shared" si="97"/>
        <v xml:space="preserve">     0.0 </v>
      </c>
      <c r="S321" t="str">
        <f t="shared" si="105"/>
        <v xml:space="preserve">     0.0 </v>
      </c>
      <c r="T321" t="str">
        <f t="shared" si="106"/>
        <v xml:space="preserve">    11.9 </v>
      </c>
      <c r="U321" t="str">
        <f t="shared" si="110"/>
        <v xml:space="preserve">         0.0 </v>
      </c>
      <c r="V321" t="str">
        <f t="shared" si="98"/>
        <v xml:space="preserve">     0.0 </v>
      </c>
      <c r="W321" t="str">
        <f t="shared" si="107"/>
        <v xml:space="preserve">     0.0</v>
      </c>
      <c r="X321" t="str">
        <f t="shared" si="111"/>
        <v/>
      </c>
      <c r="Y321" t="str">
        <f t="shared" si="111"/>
        <v/>
      </c>
      <c r="Z321" t="str">
        <f t="shared" si="111"/>
        <v/>
      </c>
      <c r="AA321" t="str">
        <f t="shared" si="99"/>
        <v/>
      </c>
      <c r="AB321" t="str">
        <f t="shared" si="108"/>
        <v/>
      </c>
      <c r="AC321" t="str">
        <f t="shared" si="109"/>
        <v/>
      </c>
      <c r="AD321" t="str">
        <f t="shared" si="110"/>
        <v/>
      </c>
      <c r="AE321" t="str">
        <f t="shared" si="100"/>
        <v/>
      </c>
      <c r="AF321" t="str">
        <f t="shared" si="112"/>
        <v/>
      </c>
      <c r="AG321" t="str">
        <f t="shared" si="112"/>
        <v/>
      </c>
      <c r="AH321" t="str">
        <f t="shared" si="101"/>
        <v/>
      </c>
      <c r="AI321" t="str">
        <f t="shared" si="102"/>
        <v/>
      </c>
      <c r="AJ321" t="str">
        <f t="shared" si="103"/>
        <v/>
      </c>
    </row>
    <row r="322" spans="1:36" x14ac:dyDescent="0.25">
      <c r="A322" t="s">
        <v>263</v>
      </c>
      <c r="P322" t="str">
        <f t="shared" si="104"/>
        <v xml:space="preserve">  PAL9AE-RS069  </v>
      </c>
      <c r="Q322" t="str">
        <f t="shared" si="104"/>
        <v xml:space="preserve">   -54.5 </v>
      </c>
      <c r="R322" t="str">
        <f t="shared" si="97"/>
        <v xml:space="preserve">     0.0 </v>
      </c>
      <c r="S322" t="str">
        <f t="shared" si="105"/>
        <v xml:space="preserve">     0.0 </v>
      </c>
      <c r="T322" t="str">
        <f t="shared" si="106"/>
        <v xml:space="preserve">     5.1 </v>
      </c>
      <c r="U322" t="str">
        <f t="shared" si="110"/>
        <v xml:space="preserve">         0.0 </v>
      </c>
      <c r="V322" t="str">
        <f t="shared" si="98"/>
        <v xml:space="preserve">     0.0 </v>
      </c>
      <c r="W322" t="str">
        <f t="shared" si="107"/>
        <v xml:space="preserve">     0.0 </v>
      </c>
      <c r="X322" t="str">
        <f t="shared" si="111"/>
        <v xml:space="preserve">       </v>
      </c>
      <c r="Y322" t="str">
        <f t="shared" si="111"/>
        <v xml:space="preserve">              </v>
      </c>
      <c r="Z322" t="str">
        <f t="shared" si="111"/>
        <v xml:space="preserve">    </v>
      </c>
      <c r="AA322" t="str">
        <f t="shared" si="99"/>
        <v xml:space="preserve">         </v>
      </c>
      <c r="AB322" t="str">
        <f t="shared" si="108"/>
        <v xml:space="preserve">         </v>
      </c>
      <c r="AC322" t="str">
        <f t="shared" si="109"/>
        <v xml:space="preserve">    </v>
      </c>
      <c r="AD322" t="str">
        <f t="shared" si="110"/>
        <v/>
      </c>
      <c r="AE322" t="str">
        <f t="shared" si="100"/>
        <v/>
      </c>
      <c r="AF322" t="str">
        <f t="shared" si="112"/>
        <v/>
      </c>
      <c r="AG322" t="str">
        <f t="shared" si="112"/>
        <v/>
      </c>
      <c r="AH322" t="str">
        <f t="shared" si="101"/>
        <v/>
      </c>
      <c r="AI322" t="str">
        <f t="shared" si="102"/>
        <v/>
      </c>
      <c r="AJ322" t="str">
        <f t="shared" si="103"/>
        <v/>
      </c>
    </row>
    <row r="323" spans="1:36" x14ac:dyDescent="0.25">
      <c r="A323" t="s">
        <v>264</v>
      </c>
      <c r="P323" t="str">
        <f t="shared" si="104"/>
        <v xml:space="preserve">                </v>
      </c>
      <c r="Q323" t="str">
        <f t="shared" si="104"/>
        <v xml:space="preserve">         </v>
      </c>
      <c r="R323" t="str">
        <f t="shared" si="97"/>
        <v xml:space="preserve">  9999.0 </v>
      </c>
      <c r="S323" t="str">
        <f t="shared" si="105"/>
        <v xml:space="preserve">  9999.0 </v>
      </c>
      <c r="T323" t="str">
        <f t="shared" si="106"/>
        <v xml:space="preserve">  9999.0 </v>
      </c>
      <c r="U323" t="str">
        <f t="shared" si="110"/>
        <v xml:space="preserve">        0.0% </v>
      </c>
      <c r="V323" t="str">
        <f t="shared" si="98"/>
        <v xml:space="preserve">         </v>
      </c>
      <c r="W323" t="str">
        <f t="shared" si="107"/>
        <v xml:space="preserve">         </v>
      </c>
      <c r="X323" t="str">
        <f t="shared" si="111"/>
        <v xml:space="preserve">  1266 </v>
      </c>
      <c r="Y323" t="str">
        <f t="shared" si="111"/>
        <v xml:space="preserve"> PALGR9-RS069 </v>
      </c>
      <c r="Z323" t="str">
        <f t="shared" si="111"/>
        <v xml:space="preserve">  1 </v>
      </c>
      <c r="AA323" t="str">
        <f t="shared" si="99"/>
        <v xml:space="preserve">   -11.9 </v>
      </c>
      <c r="AB323" t="str">
        <f t="shared" si="108"/>
        <v xml:space="preserve">    -5.1 </v>
      </c>
      <c r="AC323" t="str">
        <f t="shared" si="109"/>
        <v xml:space="preserve">    12.7 </v>
      </c>
      <c r="AD323" t="str">
        <f t="shared" si="110"/>
        <v xml:space="preserve">        </v>
      </c>
      <c r="AE323" t="str">
        <f t="shared" si="100"/>
        <v xml:space="preserve">       </v>
      </c>
      <c r="AF323" t="str">
        <f t="shared" si="112"/>
        <v xml:space="preserve">     </v>
      </c>
      <c r="AG323" t="str">
        <f t="shared" si="112"/>
        <v xml:space="preserve">     0.00 </v>
      </c>
      <c r="AH323" t="str">
        <f t="shared" si="101"/>
        <v xml:space="preserve">    -0.01 </v>
      </c>
      <c r="AI323" t="str">
        <f t="shared" si="102"/>
        <v xml:space="preserve">       </v>
      </c>
      <c r="AJ323" t="str">
        <f t="shared" si="103"/>
        <v xml:space="preserve">      </v>
      </c>
    </row>
    <row r="324" spans="1:36" x14ac:dyDescent="0.25">
      <c r="A324" t="s">
        <v>14</v>
      </c>
      <c r="P324" t="str">
        <f t="shared" si="104"/>
        <v xml:space="preserve">  ..............</v>
      </c>
      <c r="Q324" t="str">
        <f t="shared" si="104"/>
        <v>.........</v>
      </c>
      <c r="R324" t="str">
        <f t="shared" si="97"/>
        <v>.........</v>
      </c>
      <c r="S324" t="str">
        <f t="shared" si="105"/>
        <v>.........</v>
      </c>
      <c r="T324" t="str">
        <f t="shared" si="106"/>
        <v>.........</v>
      </c>
      <c r="U324" t="str">
        <f t="shared" si="110"/>
        <v>.............</v>
      </c>
      <c r="V324" t="str">
        <f t="shared" si="98"/>
        <v>.........</v>
      </c>
      <c r="W324" t="str">
        <f t="shared" si="107"/>
        <v>.........</v>
      </c>
      <c r="X324" t="str">
        <f t="shared" si="111"/>
        <v>.......</v>
      </c>
      <c r="Y324" t="str">
        <f t="shared" si="111"/>
        <v>..............</v>
      </c>
      <c r="Z324" t="str">
        <f t="shared" si="111"/>
        <v>....</v>
      </c>
      <c r="AA324" t="str">
        <f t="shared" si="99"/>
        <v>.........</v>
      </c>
      <c r="AB324" t="str">
        <f t="shared" si="108"/>
        <v>.........</v>
      </c>
      <c r="AC324" t="str">
        <f t="shared" si="109"/>
        <v>.........</v>
      </c>
      <c r="AD324" t="str">
        <f t="shared" si="110"/>
        <v>........</v>
      </c>
      <c r="AE324" t="str">
        <f t="shared" si="100"/>
        <v>.......</v>
      </c>
      <c r="AF324" t="str">
        <f t="shared" si="112"/>
        <v>.....</v>
      </c>
      <c r="AG324" t="str">
        <f t="shared" si="112"/>
        <v>..........</v>
      </c>
      <c r="AH324" t="str">
        <f t="shared" si="101"/>
        <v>..........</v>
      </c>
      <c r="AI324" t="str">
        <f t="shared" si="102"/>
        <v>.......</v>
      </c>
      <c r="AJ324" t="str">
        <f t="shared" si="103"/>
        <v>.......</v>
      </c>
    </row>
    <row r="325" spans="1:36" x14ac:dyDescent="0.25">
      <c r="A325" t="s">
        <v>265</v>
      </c>
      <c r="P325" t="str">
        <f t="shared" si="104"/>
        <v xml:space="preserve">   1274  138  0 </v>
      </c>
      <c r="Q325" t="str">
        <f t="shared" si="104"/>
        <v xml:space="preserve">   0.999 </v>
      </c>
      <c r="R325" t="str">
        <f t="shared" si="97"/>
        <v xml:space="preserve">     1.2 </v>
      </c>
      <c r="S325" t="str">
        <f t="shared" si="105"/>
        <v xml:space="preserve">     0.0 </v>
      </c>
      <c r="T325" t="str">
        <f t="shared" si="106"/>
        <v xml:space="preserve">    10.9 </v>
      </c>
      <c r="U325" t="str">
        <f t="shared" si="110"/>
        <v xml:space="preserve">         0.0 </v>
      </c>
      <c r="V325" t="str">
        <f t="shared" si="98"/>
        <v xml:space="preserve">     3.6 </v>
      </c>
      <c r="W325" t="str">
        <f t="shared" si="107"/>
        <v xml:space="preserve">     0.0</v>
      </c>
      <c r="X325" t="str">
        <f t="shared" si="111"/>
        <v/>
      </c>
      <c r="Y325" t="str">
        <f t="shared" si="111"/>
        <v/>
      </c>
      <c r="Z325" t="str">
        <f t="shared" si="111"/>
        <v/>
      </c>
      <c r="AA325" t="str">
        <f t="shared" si="99"/>
        <v/>
      </c>
      <c r="AB325" t="str">
        <f t="shared" si="108"/>
        <v/>
      </c>
      <c r="AC325" t="str">
        <f t="shared" si="109"/>
        <v/>
      </c>
      <c r="AD325" t="str">
        <f t="shared" si="110"/>
        <v/>
      </c>
      <c r="AE325" t="str">
        <f t="shared" si="100"/>
        <v/>
      </c>
      <c r="AF325" t="str">
        <f t="shared" si="112"/>
        <v/>
      </c>
      <c r="AG325" t="str">
        <f t="shared" si="112"/>
        <v/>
      </c>
      <c r="AH325" t="str">
        <f t="shared" si="101"/>
        <v/>
      </c>
      <c r="AI325" t="str">
        <f t="shared" si="102"/>
        <v/>
      </c>
      <c r="AJ325" t="str">
        <f t="shared" si="103"/>
        <v/>
      </c>
    </row>
    <row r="326" spans="1:36" x14ac:dyDescent="0.25">
      <c r="A326" t="s">
        <v>266</v>
      </c>
      <c r="P326" t="str">
        <f t="shared" si="104"/>
        <v xml:space="preserve">  SVPALM-RS138  </v>
      </c>
      <c r="Q326" t="str">
        <f t="shared" si="104"/>
        <v xml:space="preserve">   -47.0 </v>
      </c>
      <c r="R326" t="str">
        <f t="shared" si="97"/>
        <v xml:space="preserve">     0.0 </v>
      </c>
      <c r="S326" t="str">
        <f t="shared" si="105"/>
        <v xml:space="preserve">     0.0 </v>
      </c>
      <c r="T326" t="str">
        <f t="shared" si="106"/>
        <v xml:space="preserve">     3.5 </v>
      </c>
      <c r="U326" t="str">
        <f t="shared" si="110"/>
        <v xml:space="preserve">         0.0 </v>
      </c>
      <c r="V326" t="str">
        <f t="shared" si="98"/>
        <v xml:space="preserve">     0.0 </v>
      </c>
      <c r="W326" t="str">
        <f t="shared" si="107"/>
        <v xml:space="preserve">     0.0 </v>
      </c>
      <c r="X326" t="str">
        <f t="shared" si="111"/>
        <v xml:space="preserve">       </v>
      </c>
      <c r="Y326" t="str">
        <f t="shared" si="111"/>
        <v xml:space="preserve">              </v>
      </c>
      <c r="Z326" t="str">
        <f t="shared" si="111"/>
        <v xml:space="preserve">    </v>
      </c>
      <c r="AA326" t="str">
        <f t="shared" si="99"/>
        <v xml:space="preserve">         </v>
      </c>
      <c r="AB326" t="str">
        <f t="shared" si="108"/>
        <v xml:space="preserve">         </v>
      </c>
      <c r="AC326" t="str">
        <f t="shared" si="109"/>
        <v xml:space="preserve">    </v>
      </c>
      <c r="AD326" t="str">
        <f t="shared" si="110"/>
        <v/>
      </c>
      <c r="AE326" t="str">
        <f t="shared" si="100"/>
        <v/>
      </c>
      <c r="AF326" t="str">
        <f t="shared" si="112"/>
        <v/>
      </c>
      <c r="AG326" t="str">
        <f t="shared" si="112"/>
        <v/>
      </c>
      <c r="AH326" t="str">
        <f t="shared" si="101"/>
        <v/>
      </c>
      <c r="AI326" t="str">
        <f t="shared" si="102"/>
        <v/>
      </c>
      <c r="AJ326" t="str">
        <f t="shared" si="103"/>
        <v/>
      </c>
    </row>
    <row r="327" spans="1:36" x14ac:dyDescent="0.25">
      <c r="A327" t="s">
        <v>267</v>
      </c>
      <c r="P327" t="str">
        <f t="shared" si="104"/>
        <v xml:space="preserve">                </v>
      </c>
      <c r="Q327" t="str">
        <f t="shared" si="104"/>
        <v xml:space="preserve">         </v>
      </c>
      <c r="R327" t="str">
        <f t="shared" si="97"/>
        <v xml:space="preserve">    97.0 </v>
      </c>
      <c r="S327" t="str">
        <f t="shared" si="105"/>
        <v xml:space="preserve">   141.0 </v>
      </c>
      <c r="T327" t="str">
        <f t="shared" si="106"/>
        <v xml:space="preserve">   141.0 </v>
      </c>
      <c r="U327" t="str">
        <f t="shared" si="110"/>
        <v xml:space="preserve">       10.0% </v>
      </c>
      <c r="V327" t="str">
        <f t="shared" si="98"/>
        <v xml:space="preserve">         </v>
      </c>
      <c r="W327" t="str">
        <f t="shared" si="107"/>
        <v xml:space="preserve">         </v>
      </c>
      <c r="X327" t="str">
        <f t="shared" si="111"/>
        <v xml:space="preserve">  9823 </v>
      </c>
      <c r="Y327" t="str">
        <f t="shared" si="111"/>
        <v xml:space="preserve"> SVP2-A-RS138 </v>
      </c>
      <c r="Z327" t="str">
        <f t="shared" si="111"/>
        <v xml:space="preserve">  1 </v>
      </c>
      <c r="AA327" t="str">
        <f t="shared" si="99"/>
        <v xml:space="preserve">    -9.7 </v>
      </c>
      <c r="AB327" t="str">
        <f t="shared" si="108"/>
        <v xml:space="preserve">     0.1 </v>
      </c>
      <c r="AC327" t="str">
        <f t="shared" si="109"/>
        <v xml:space="preserve">     9.7 </v>
      </c>
      <c r="AD327" t="str">
        <f t="shared" si="110"/>
        <v xml:space="preserve">        </v>
      </c>
      <c r="AE327" t="str">
        <f t="shared" si="100"/>
        <v xml:space="preserve">       </v>
      </c>
      <c r="AF327" t="str">
        <f t="shared" si="112"/>
        <v xml:space="preserve">     </v>
      </c>
      <c r="AG327" t="str">
        <f t="shared" si="112"/>
        <v xml:space="preserve">     0.01 </v>
      </c>
      <c r="AH327" t="str">
        <f t="shared" si="101"/>
        <v xml:space="preserve">    -0.63 </v>
      </c>
      <c r="AI327" t="str">
        <f t="shared" si="102"/>
        <v xml:space="preserve">       </v>
      </c>
      <c r="AJ327" t="str">
        <f t="shared" si="103"/>
        <v xml:space="preserve">      </v>
      </c>
    </row>
    <row r="328" spans="1:36" x14ac:dyDescent="0.25">
      <c r="A328" t="s">
        <v>14</v>
      </c>
      <c r="P328" t="str">
        <f t="shared" si="104"/>
        <v xml:space="preserve">  ..............</v>
      </c>
      <c r="Q328" t="str">
        <f t="shared" si="104"/>
        <v>.........</v>
      </c>
      <c r="R328" t="str">
        <f t="shared" si="97"/>
        <v>.........</v>
      </c>
      <c r="S328" t="str">
        <f t="shared" si="105"/>
        <v>.........</v>
      </c>
      <c r="T328" t="str">
        <f t="shared" si="106"/>
        <v>.........</v>
      </c>
      <c r="U328" t="str">
        <f t="shared" si="110"/>
        <v>.............</v>
      </c>
      <c r="V328" t="str">
        <f t="shared" si="98"/>
        <v>.........</v>
      </c>
      <c r="W328" t="str">
        <f t="shared" si="107"/>
        <v>.........</v>
      </c>
      <c r="X328" t="str">
        <f t="shared" si="111"/>
        <v>.......</v>
      </c>
      <c r="Y328" t="str">
        <f t="shared" si="111"/>
        <v>..............</v>
      </c>
      <c r="Z328" t="str">
        <f t="shared" si="111"/>
        <v>....</v>
      </c>
      <c r="AA328" t="str">
        <f t="shared" si="99"/>
        <v>.........</v>
      </c>
      <c r="AB328" t="str">
        <f t="shared" si="108"/>
        <v>.........</v>
      </c>
      <c r="AC328" t="str">
        <f t="shared" si="109"/>
        <v>.........</v>
      </c>
      <c r="AD328" t="str">
        <f t="shared" si="110"/>
        <v>........</v>
      </c>
      <c r="AE328" t="str">
        <f t="shared" si="100"/>
        <v>.......</v>
      </c>
      <c r="AF328" t="str">
        <f t="shared" si="112"/>
        <v>.....</v>
      </c>
      <c r="AG328" t="str">
        <f t="shared" si="112"/>
        <v>..........</v>
      </c>
      <c r="AH328" t="str">
        <f t="shared" si="101"/>
        <v>..........</v>
      </c>
      <c r="AI328" t="str">
        <f t="shared" si="102"/>
        <v>.......</v>
      </c>
      <c r="AJ328" t="str">
        <f t="shared" si="103"/>
        <v>.......</v>
      </c>
    </row>
    <row r="329" spans="1:36" x14ac:dyDescent="0.25">
      <c r="A329" t="s">
        <v>268</v>
      </c>
      <c r="P329" t="str">
        <f t="shared" si="104"/>
        <v xml:space="preserve">   1275  138  0 </v>
      </c>
      <c r="Q329" t="str">
        <f t="shared" si="104"/>
        <v xml:space="preserve">   1.024 </v>
      </c>
      <c r="R329" t="str">
        <f t="shared" si="97"/>
        <v xml:space="preserve">     0.0 </v>
      </c>
      <c r="S329" t="str">
        <f t="shared" si="105"/>
        <v xml:space="preserve">     0.0 </v>
      </c>
      <c r="T329" t="str">
        <f t="shared" si="106"/>
        <v xml:space="preserve">     0.0 </v>
      </c>
      <c r="U329" t="str">
        <f t="shared" si="110"/>
        <v xml:space="preserve">         0.0 </v>
      </c>
      <c r="V329" t="str">
        <f t="shared" si="98"/>
        <v xml:space="preserve">     0.0 </v>
      </c>
      <c r="W329" t="str">
        <f t="shared" si="107"/>
        <v xml:space="preserve">     0.0</v>
      </c>
      <c r="X329" t="str">
        <f t="shared" si="111"/>
        <v/>
      </c>
      <c r="Y329" t="str">
        <f t="shared" si="111"/>
        <v/>
      </c>
      <c r="Z329" t="str">
        <f t="shared" si="111"/>
        <v/>
      </c>
      <c r="AA329" t="str">
        <f t="shared" si="99"/>
        <v/>
      </c>
      <c r="AB329" t="str">
        <f t="shared" si="108"/>
        <v/>
      </c>
      <c r="AC329" t="str">
        <f t="shared" si="109"/>
        <v/>
      </c>
      <c r="AD329" t="str">
        <f t="shared" si="110"/>
        <v/>
      </c>
      <c r="AE329" t="str">
        <f t="shared" si="100"/>
        <v/>
      </c>
      <c r="AF329" t="str">
        <f t="shared" si="112"/>
        <v/>
      </c>
      <c r="AG329" t="str">
        <f t="shared" si="112"/>
        <v/>
      </c>
      <c r="AH329" t="str">
        <f t="shared" si="101"/>
        <v/>
      </c>
      <c r="AI329" t="str">
        <f t="shared" si="102"/>
        <v/>
      </c>
      <c r="AJ329" t="str">
        <f t="shared" si="103"/>
        <v/>
      </c>
    </row>
    <row r="330" spans="1:36" x14ac:dyDescent="0.25">
      <c r="A330" t="s">
        <v>269</v>
      </c>
      <c r="P330" t="str">
        <f t="shared" si="104"/>
        <v xml:space="preserve">  SMARTA-RS138  </v>
      </c>
      <c r="Q330" t="str">
        <f t="shared" si="104"/>
        <v xml:space="preserve">   -48.7 </v>
      </c>
      <c r="R330" t="str">
        <f t="shared" si="97"/>
        <v xml:space="preserve">     0.0 </v>
      </c>
      <c r="S330" t="str">
        <f t="shared" si="105"/>
        <v xml:space="preserve">     0.0 </v>
      </c>
      <c r="T330" t="str">
        <f t="shared" si="106"/>
        <v xml:space="preserve">     0.0 </v>
      </c>
      <c r="U330" t="str">
        <f t="shared" si="110"/>
        <v xml:space="preserve">         0.0 </v>
      </c>
      <c r="V330" t="str">
        <f t="shared" si="98"/>
        <v xml:space="preserve">     0.0 </v>
      </c>
      <c r="W330" t="str">
        <f t="shared" si="107"/>
        <v xml:space="preserve">     0.0 </v>
      </c>
      <c r="X330" t="str">
        <f t="shared" si="111"/>
        <v xml:space="preserve">       </v>
      </c>
      <c r="Y330" t="str">
        <f t="shared" si="111"/>
        <v xml:space="preserve">              </v>
      </c>
      <c r="Z330" t="str">
        <f t="shared" si="111"/>
        <v xml:space="preserve">    </v>
      </c>
      <c r="AA330" t="str">
        <f t="shared" si="99"/>
        <v xml:space="preserve">         </v>
      </c>
      <c r="AB330" t="str">
        <f t="shared" si="108"/>
        <v xml:space="preserve">         </v>
      </c>
      <c r="AC330" t="str">
        <f t="shared" si="109"/>
        <v xml:space="preserve">    </v>
      </c>
      <c r="AD330" t="str">
        <f t="shared" si="110"/>
        <v/>
      </c>
      <c r="AE330" t="str">
        <f t="shared" si="100"/>
        <v/>
      </c>
      <c r="AF330" t="str">
        <f t="shared" si="112"/>
        <v/>
      </c>
      <c r="AG330" t="str">
        <f t="shared" si="112"/>
        <v/>
      </c>
      <c r="AH330" t="str">
        <f t="shared" si="101"/>
        <v/>
      </c>
      <c r="AI330" t="str">
        <f t="shared" si="102"/>
        <v/>
      </c>
      <c r="AJ330" t="str">
        <f t="shared" si="103"/>
        <v/>
      </c>
    </row>
    <row r="331" spans="1:36" x14ac:dyDescent="0.25">
      <c r="A331" t="s">
        <v>270</v>
      </c>
      <c r="P331" t="str">
        <f t="shared" si="104"/>
        <v xml:space="preserve">                </v>
      </c>
      <c r="Q331" t="str">
        <f t="shared" si="104"/>
        <v xml:space="preserve">         </v>
      </c>
      <c r="R331" t="str">
        <f t="shared" si="97"/>
        <v xml:space="preserve">    82.0 </v>
      </c>
      <c r="S331" t="str">
        <f t="shared" si="105"/>
        <v xml:space="preserve">    82.0 </v>
      </c>
      <c r="T331" t="str">
        <f t="shared" si="106"/>
        <v xml:space="preserve">    82.0 </v>
      </c>
      <c r="U331" t="str">
        <f t="shared" si="110"/>
        <v xml:space="preserve">       55.3% </v>
      </c>
      <c r="V331" t="str">
        <f t="shared" si="98"/>
        <v xml:space="preserve">         </v>
      </c>
      <c r="W331" t="str">
        <f t="shared" si="107"/>
        <v xml:space="preserve">         </v>
      </c>
      <c r="X331" t="str">
        <f t="shared" si="111"/>
        <v xml:space="preserve">  1277 </v>
      </c>
      <c r="Y331" t="str">
        <f t="shared" si="111"/>
        <v xml:space="preserve"> PFUND1-RS138 </v>
      </c>
      <c r="Z331" t="str">
        <f t="shared" si="111"/>
        <v xml:space="preserve">  1 </v>
      </c>
      <c r="AA331" t="str">
        <f t="shared" si="99"/>
        <v xml:space="preserve">    45.1 </v>
      </c>
      <c r="AB331" t="str">
        <f t="shared" si="108"/>
        <v xml:space="preserve">    11.1 </v>
      </c>
      <c r="AC331" t="str">
        <f t="shared" si="109"/>
        <v xml:space="preserve">    45.3 </v>
      </c>
      <c r="AD331" t="str">
        <f t="shared" si="110"/>
        <v xml:space="preserve">        </v>
      </c>
      <c r="AE331" t="str">
        <f t="shared" si="100"/>
        <v xml:space="preserve">       </v>
      </c>
      <c r="AF331" t="str">
        <f t="shared" si="112"/>
        <v xml:space="preserve">     </v>
      </c>
      <c r="AG331" t="str">
        <f t="shared" si="112"/>
        <v xml:space="preserve">     0.27 </v>
      </c>
      <c r="AH331" t="str">
        <f t="shared" si="101"/>
        <v xml:space="preserve">    -0.11 </v>
      </c>
      <c r="AI331" t="str">
        <f t="shared" si="102"/>
        <v xml:space="preserve">       </v>
      </c>
      <c r="AJ331" t="str">
        <f t="shared" si="103"/>
        <v xml:space="preserve">      </v>
      </c>
    </row>
    <row r="332" spans="1:36" x14ac:dyDescent="0.25">
      <c r="A332" t="s">
        <v>271</v>
      </c>
      <c r="P332" t="str">
        <f t="shared" si="104"/>
        <v xml:space="preserve">                </v>
      </c>
      <c r="Q332" t="str">
        <f t="shared" si="104"/>
        <v xml:space="preserve">         </v>
      </c>
      <c r="R332" t="str">
        <f t="shared" ref="R332:R395" si="113">MID($A332,Q$8+Q$9-1,R$9)</f>
        <v xml:space="preserve">    33.0 </v>
      </c>
      <c r="S332" t="str">
        <f t="shared" si="105"/>
        <v xml:space="preserve">    45.0 </v>
      </c>
      <c r="T332" t="str">
        <f t="shared" si="106"/>
        <v xml:space="preserve">    45.0 </v>
      </c>
      <c r="U332" t="str">
        <f t="shared" si="110"/>
        <v xml:space="preserve">        8.3% </v>
      </c>
      <c r="V332" t="str">
        <f t="shared" ref="V332:V395" si="114">MID($A332,U$8+U$9-1,V$9)</f>
        <v xml:space="preserve">         </v>
      </c>
      <c r="W332" t="str">
        <f t="shared" si="107"/>
        <v xml:space="preserve">         </v>
      </c>
      <c r="X332" t="str">
        <f t="shared" si="111"/>
        <v xml:space="preserve">  1284 </v>
      </c>
      <c r="Y332" t="str">
        <f t="shared" si="111"/>
        <v xml:space="preserve"> SMARTA-RS046 </v>
      </c>
      <c r="Z332" t="str">
        <f t="shared" si="111"/>
        <v xml:space="preserve">  2 </v>
      </c>
      <c r="AA332" t="str">
        <f t="shared" ref="AA332:AA395" si="115">MID($A332,Z$8+Z$9-1,AA$9)</f>
        <v xml:space="preserve">     2.0 </v>
      </c>
      <c r="AB332" t="str">
        <f t="shared" si="108"/>
        <v xml:space="preserve">     2.0 </v>
      </c>
      <c r="AC332" t="str">
        <f t="shared" si="109"/>
        <v xml:space="preserve">     2.7 </v>
      </c>
      <c r="AD332" t="str">
        <f t="shared" si="110"/>
        <v xml:space="preserve"> 1.019* </v>
      </c>
      <c r="AE332" t="str">
        <f t="shared" ref="AE332:AE395" si="116">MID($A332,AD$8+AD$9-1,AE$9)</f>
        <v xml:space="preserve">       </v>
      </c>
      <c r="AF332" t="str">
        <f t="shared" si="112"/>
        <v xml:space="preserve">     </v>
      </c>
      <c r="AG332" t="str">
        <f t="shared" si="112"/>
        <v xml:space="preserve">     0.00 </v>
      </c>
      <c r="AH332" t="str">
        <f t="shared" ref="AH332:AH395" si="117">MID($A332,AG$8+AG$9-1,AH$9)</f>
        <v xml:space="preserve">     0.06 </v>
      </c>
      <c r="AI332" t="str">
        <f t="shared" si="102"/>
        <v xml:space="preserve">       </v>
      </c>
      <c r="AJ332" t="str">
        <f t="shared" si="103"/>
        <v xml:space="preserve">      </v>
      </c>
    </row>
    <row r="333" spans="1:36" x14ac:dyDescent="0.25">
      <c r="A333" t="s">
        <v>272</v>
      </c>
      <c r="P333" t="str">
        <f t="shared" si="104"/>
        <v xml:space="preserve">                </v>
      </c>
      <c r="Q333" t="str">
        <f t="shared" si="104"/>
        <v xml:space="preserve">         </v>
      </c>
      <c r="R333" t="str">
        <f t="shared" si="113"/>
        <v xml:space="preserve">    12.5 </v>
      </c>
      <c r="S333" t="str">
        <f t="shared" si="105"/>
        <v xml:space="preserve">    12.5 </v>
      </c>
      <c r="T333" t="str">
        <f t="shared" si="106"/>
        <v xml:space="preserve">    12.5 </v>
      </c>
      <c r="U333" t="str">
        <f t="shared" si="110"/>
        <v xml:space="preserve">       14.4% </v>
      </c>
      <c r="V333" t="str">
        <f t="shared" si="114"/>
        <v xml:space="preserve">         </v>
      </c>
      <c r="W333" t="str">
        <f t="shared" si="107"/>
        <v xml:space="preserve">         </v>
      </c>
      <c r="X333" t="str">
        <f t="shared" si="111"/>
        <v xml:space="preserve"> 10208 </v>
      </c>
      <c r="Y333" t="str">
        <f t="shared" si="111"/>
        <v xml:space="preserve"> SMARTA-RS013 </v>
      </c>
      <c r="Z333" t="str">
        <f t="shared" si="111"/>
        <v xml:space="preserve">  1 </v>
      </c>
      <c r="AA333" t="str">
        <f t="shared" si="115"/>
        <v xml:space="preserve">     1.7 </v>
      </c>
      <c r="AB333" t="str">
        <f t="shared" si="108"/>
        <v xml:space="preserve">     0.7 </v>
      </c>
      <c r="AC333" t="str">
        <f t="shared" si="109"/>
        <v xml:space="preserve">     1.8 </v>
      </c>
      <c r="AD333" t="str">
        <f t="shared" si="110"/>
        <v xml:space="preserve"> 0.991* </v>
      </c>
      <c r="AE333" t="str">
        <f t="shared" si="116"/>
        <v xml:space="preserve">       </v>
      </c>
      <c r="AF333" t="str">
        <f t="shared" si="112"/>
        <v xml:space="preserve">     </v>
      </c>
      <c r="AG333" t="str">
        <f t="shared" si="112"/>
        <v xml:space="preserve">     0.00 </v>
      </c>
      <c r="AH333" t="str">
        <f t="shared" si="117"/>
        <v xml:space="preserve">     0.02 </v>
      </c>
      <c r="AI333" t="str">
        <f t="shared" si="102"/>
        <v xml:space="preserve">       </v>
      </c>
      <c r="AJ333" t="str">
        <f t="shared" si="103"/>
        <v xml:space="preserve">      </v>
      </c>
    </row>
    <row r="334" spans="1:36" x14ac:dyDescent="0.25">
      <c r="A334" t="s">
        <v>273</v>
      </c>
      <c r="P334" t="str">
        <f t="shared" si="104"/>
        <v xml:space="preserve">                </v>
      </c>
      <c r="Q334" t="str">
        <f t="shared" si="104"/>
        <v xml:space="preserve">         </v>
      </c>
      <c r="R334" t="str">
        <f t="shared" si="113"/>
        <v xml:space="preserve">    75.0 </v>
      </c>
      <c r="S334" t="str">
        <f t="shared" si="105"/>
        <v xml:space="preserve">   112.0 </v>
      </c>
      <c r="T334" t="str">
        <f t="shared" si="106"/>
        <v xml:space="preserve">   112.0 </v>
      </c>
      <c r="U334" t="str">
        <f t="shared" si="110"/>
        <v xml:space="preserve">       33.2% </v>
      </c>
      <c r="V334" t="str">
        <f t="shared" si="114"/>
        <v xml:space="preserve">         </v>
      </c>
      <c r="W334" t="str">
        <f t="shared" si="107"/>
        <v xml:space="preserve">         </v>
      </c>
      <c r="X334" t="str">
        <f t="shared" si="111"/>
        <v xml:space="preserve"> 41376 </v>
      </c>
      <c r="Y334" t="str">
        <f t="shared" si="111"/>
        <v xml:space="preserve"> SMT--1-RS000 </v>
      </c>
      <c r="Z334" t="str">
        <f t="shared" si="111"/>
        <v xml:space="preserve">  1 </v>
      </c>
      <c r="AA334" t="str">
        <f t="shared" si="115"/>
        <v xml:space="preserve">   -24.5 </v>
      </c>
      <c r="AB334" t="str">
        <f t="shared" si="108"/>
        <v xml:space="preserve">    -6.9 </v>
      </c>
      <c r="AC334" t="str">
        <f t="shared" si="109"/>
        <v xml:space="preserve">    24.9 </v>
      </c>
      <c r="AD334" t="str">
        <f t="shared" si="110"/>
        <v xml:space="preserve"> 1.006* </v>
      </c>
      <c r="AE334" t="str">
        <f t="shared" si="116"/>
        <v xml:space="preserve">       </v>
      </c>
      <c r="AF334" t="str">
        <f t="shared" si="112"/>
        <v xml:space="preserve"> 002 </v>
      </c>
      <c r="AG334" t="str">
        <f t="shared" si="112"/>
        <v xml:space="preserve">    -0.03 </v>
      </c>
      <c r="AH334" t="str">
        <f t="shared" si="117"/>
        <v xml:space="preserve">     2.13 </v>
      </c>
      <c r="AI334" t="str">
        <f t="shared" si="102"/>
        <v xml:space="preserve">       </v>
      </c>
      <c r="AJ334" t="str">
        <f t="shared" si="103"/>
        <v xml:space="preserve">      </v>
      </c>
    </row>
    <row r="335" spans="1:36" x14ac:dyDescent="0.25">
      <c r="A335" t="s">
        <v>274</v>
      </c>
      <c r="P335" t="str">
        <f t="shared" si="104"/>
        <v xml:space="preserve">                </v>
      </c>
      <c r="Q335" t="str">
        <f t="shared" si="104"/>
        <v xml:space="preserve">         </v>
      </c>
      <c r="R335" t="str">
        <f t="shared" si="113"/>
        <v xml:space="preserve">    75.0 </v>
      </c>
      <c r="S335" t="str">
        <f t="shared" si="105"/>
        <v xml:space="preserve">   112.0 </v>
      </c>
      <c r="T335" t="str">
        <f t="shared" si="106"/>
        <v xml:space="preserve">   112.0 </v>
      </c>
      <c r="U335" t="str">
        <f t="shared" si="110"/>
        <v xml:space="preserve">       32.8% </v>
      </c>
      <c r="V335" t="str">
        <f t="shared" si="114"/>
        <v xml:space="preserve">         </v>
      </c>
      <c r="W335" t="str">
        <f t="shared" si="107"/>
        <v xml:space="preserve">         </v>
      </c>
      <c r="X335" t="str">
        <f t="shared" si="111"/>
        <v xml:space="preserve"> 41377 </v>
      </c>
      <c r="Y335" t="str">
        <f t="shared" si="111"/>
        <v xml:space="preserve"> SMT--2-RS000 </v>
      </c>
      <c r="Z335" t="str">
        <f t="shared" si="111"/>
        <v xml:space="preserve">  2 </v>
      </c>
      <c r="AA335" t="str">
        <f t="shared" si="115"/>
        <v xml:space="preserve">   -24.2 </v>
      </c>
      <c r="AB335" t="str">
        <f t="shared" si="108"/>
        <v xml:space="preserve">    -6.8 </v>
      </c>
      <c r="AC335" t="str">
        <f t="shared" si="109"/>
        <v xml:space="preserve">    24.6 </v>
      </c>
      <c r="AD335" t="str">
        <f t="shared" si="110"/>
        <v xml:space="preserve"> 1.006* </v>
      </c>
      <c r="AE335" t="str">
        <f t="shared" si="116"/>
        <v xml:space="preserve">       </v>
      </c>
      <c r="AF335" t="str">
        <f t="shared" si="112"/>
        <v xml:space="preserve"> 002 </v>
      </c>
      <c r="AG335" t="str">
        <f t="shared" si="112"/>
        <v xml:space="preserve">    -0.02 </v>
      </c>
      <c r="AH335" t="str">
        <f t="shared" si="117"/>
        <v xml:space="preserve">     2.09 </v>
      </c>
      <c r="AI335" t="str">
        <f t="shared" si="102"/>
        <v xml:space="preserve">       </v>
      </c>
      <c r="AJ335" t="str">
        <f t="shared" si="103"/>
        <v xml:space="preserve">      </v>
      </c>
    </row>
    <row r="336" spans="1:36" x14ac:dyDescent="0.25">
      <c r="A336" t="s">
        <v>14</v>
      </c>
      <c r="P336" t="str">
        <f t="shared" si="104"/>
        <v xml:space="preserve">  ..............</v>
      </c>
      <c r="Q336" t="str">
        <f t="shared" si="104"/>
        <v>.........</v>
      </c>
      <c r="R336" t="str">
        <f t="shared" si="113"/>
        <v>.........</v>
      </c>
      <c r="S336" t="str">
        <f t="shared" si="105"/>
        <v>.........</v>
      </c>
      <c r="T336" t="str">
        <f t="shared" si="106"/>
        <v>.........</v>
      </c>
      <c r="U336" t="str">
        <f t="shared" si="110"/>
        <v>.............</v>
      </c>
      <c r="V336" t="str">
        <f t="shared" si="114"/>
        <v>.........</v>
      </c>
      <c r="W336" t="str">
        <f t="shared" si="107"/>
        <v>.........</v>
      </c>
      <c r="X336" t="str">
        <f t="shared" si="111"/>
        <v>.......</v>
      </c>
      <c r="Y336" t="str">
        <f t="shared" si="111"/>
        <v>..............</v>
      </c>
      <c r="Z336" t="str">
        <f t="shared" si="111"/>
        <v>....</v>
      </c>
      <c r="AA336" t="str">
        <f t="shared" si="115"/>
        <v>.........</v>
      </c>
      <c r="AB336" t="str">
        <f t="shared" si="108"/>
        <v>.........</v>
      </c>
      <c r="AC336" t="str">
        <f t="shared" si="109"/>
        <v>.........</v>
      </c>
      <c r="AD336" t="str">
        <f t="shared" si="110"/>
        <v>........</v>
      </c>
      <c r="AE336" t="str">
        <f t="shared" si="116"/>
        <v>.......</v>
      </c>
      <c r="AF336" t="str">
        <f t="shared" si="112"/>
        <v>.....</v>
      </c>
      <c r="AG336" t="str">
        <f t="shared" si="112"/>
        <v>..........</v>
      </c>
      <c r="AH336" t="str">
        <f t="shared" si="117"/>
        <v>..........</v>
      </c>
      <c r="AI336" t="str">
        <f t="shared" si="102"/>
        <v>.......</v>
      </c>
      <c r="AJ336" t="str">
        <f t="shared" si="103"/>
        <v>.......</v>
      </c>
    </row>
    <row r="337" spans="1:36" x14ac:dyDescent="0.25">
      <c r="A337" t="s">
        <v>275</v>
      </c>
      <c r="P337" t="str">
        <f t="shared" si="104"/>
        <v xml:space="preserve">   1276  138  0 </v>
      </c>
      <c r="Q337" t="str">
        <f t="shared" si="104"/>
        <v xml:space="preserve">   1.012 </v>
      </c>
      <c r="R337" t="str">
        <f t="shared" si="113"/>
        <v xml:space="preserve">     2.9 </v>
      </c>
      <c r="S337" t="str">
        <f t="shared" si="105"/>
        <v xml:space="preserve">     0.0 </v>
      </c>
      <c r="T337" t="str">
        <f t="shared" si="106"/>
        <v xml:space="preserve">    40.4 </v>
      </c>
      <c r="U337" t="str">
        <f t="shared" si="110"/>
        <v xml:space="preserve">         0.0 </v>
      </c>
      <c r="V337" t="str">
        <f t="shared" si="114"/>
        <v xml:space="preserve">     9.9 </v>
      </c>
      <c r="W337" t="str">
        <f t="shared" si="107"/>
        <v xml:space="preserve">     0.0</v>
      </c>
      <c r="X337" t="str">
        <f t="shared" si="111"/>
        <v/>
      </c>
      <c r="Y337" t="str">
        <f t="shared" si="111"/>
        <v/>
      </c>
      <c r="Z337" t="str">
        <f t="shared" si="111"/>
        <v/>
      </c>
      <c r="AA337" t="str">
        <f t="shared" si="115"/>
        <v/>
      </c>
      <c r="AB337" t="str">
        <f t="shared" si="108"/>
        <v/>
      </c>
      <c r="AC337" t="str">
        <f t="shared" si="109"/>
        <v/>
      </c>
      <c r="AD337" t="str">
        <f t="shared" si="110"/>
        <v/>
      </c>
      <c r="AE337" t="str">
        <f t="shared" si="116"/>
        <v/>
      </c>
      <c r="AF337" t="str">
        <f t="shared" si="112"/>
        <v/>
      </c>
      <c r="AG337" t="str">
        <f t="shared" si="112"/>
        <v/>
      </c>
      <c r="AH337" t="str">
        <f t="shared" si="117"/>
        <v/>
      </c>
      <c r="AI337" t="str">
        <f t="shared" si="102"/>
        <v/>
      </c>
      <c r="AJ337" t="str">
        <f t="shared" si="103"/>
        <v/>
      </c>
    </row>
    <row r="338" spans="1:36" x14ac:dyDescent="0.25">
      <c r="A338" t="s">
        <v>276</v>
      </c>
      <c r="P338" t="str">
        <f t="shared" si="104"/>
        <v xml:space="preserve">  SMARI1-RS138  </v>
      </c>
      <c r="Q338" t="str">
        <f t="shared" si="104"/>
        <v xml:space="preserve">   -50.3 </v>
      </c>
      <c r="R338" t="str">
        <f t="shared" si="113"/>
        <v xml:space="preserve">     0.0 </v>
      </c>
      <c r="S338" t="str">
        <f t="shared" si="105"/>
        <v xml:space="preserve">     0.0 </v>
      </c>
      <c r="T338" t="str">
        <f t="shared" si="106"/>
        <v xml:space="preserve">    13.7 </v>
      </c>
      <c r="U338" t="str">
        <f t="shared" si="110"/>
        <v xml:space="preserve">         0.0 </v>
      </c>
      <c r="V338" t="str">
        <f t="shared" si="114"/>
        <v xml:space="preserve">     0.0 </v>
      </c>
      <c r="W338" t="str">
        <f t="shared" si="107"/>
        <v xml:space="preserve">     0.0 </v>
      </c>
      <c r="X338" t="str">
        <f t="shared" si="111"/>
        <v xml:space="preserve">       </v>
      </c>
      <c r="Y338" t="str">
        <f t="shared" si="111"/>
        <v xml:space="preserve">              </v>
      </c>
      <c r="Z338" t="str">
        <f t="shared" si="111"/>
        <v xml:space="preserve">    </v>
      </c>
      <c r="AA338" t="str">
        <f t="shared" si="115"/>
        <v xml:space="preserve">         </v>
      </c>
      <c r="AB338" t="str">
        <f t="shared" si="108"/>
        <v xml:space="preserve">         </v>
      </c>
      <c r="AC338" t="str">
        <f t="shared" si="109"/>
        <v xml:space="preserve">    </v>
      </c>
      <c r="AD338" t="str">
        <f t="shared" si="110"/>
        <v/>
      </c>
      <c r="AE338" t="str">
        <f t="shared" si="116"/>
        <v/>
      </c>
      <c r="AF338" t="str">
        <f t="shared" si="112"/>
        <v/>
      </c>
      <c r="AG338" t="str">
        <f t="shared" si="112"/>
        <v/>
      </c>
      <c r="AH338" t="str">
        <f t="shared" si="117"/>
        <v/>
      </c>
      <c r="AI338" t="str">
        <f t="shared" si="102"/>
        <v/>
      </c>
      <c r="AJ338" t="str">
        <f t="shared" si="103"/>
        <v/>
      </c>
    </row>
    <row r="339" spans="1:36" x14ac:dyDescent="0.25">
      <c r="A339" t="s">
        <v>277</v>
      </c>
      <c r="P339" t="str">
        <f t="shared" si="104"/>
        <v xml:space="preserve">                </v>
      </c>
      <c r="Q339" t="str">
        <f t="shared" si="104"/>
        <v xml:space="preserve">         </v>
      </c>
      <c r="R339" t="str">
        <f t="shared" si="113"/>
        <v xml:space="preserve">    97.0 </v>
      </c>
      <c r="S339" t="str">
        <f t="shared" si="105"/>
        <v xml:space="preserve">   141.0 </v>
      </c>
      <c r="T339" t="str">
        <f t="shared" si="106"/>
        <v xml:space="preserve">   141.0 </v>
      </c>
      <c r="U339" t="str">
        <f t="shared" si="110"/>
        <v xml:space="preserve">       17.8% </v>
      </c>
      <c r="V339" t="str">
        <f t="shared" si="114"/>
        <v xml:space="preserve">         </v>
      </c>
      <c r="W339" t="str">
        <f t="shared" si="107"/>
        <v xml:space="preserve">         </v>
      </c>
      <c r="X339" t="str">
        <f t="shared" si="111"/>
        <v xml:space="preserve">  1383 </v>
      </c>
      <c r="Y339" t="str">
        <f t="shared" si="111"/>
        <v xml:space="preserve"> SMARI3-RS138 </v>
      </c>
      <c r="Z339" t="str">
        <f t="shared" si="111"/>
        <v xml:space="preserve">  1 </v>
      </c>
      <c r="AA339" t="str">
        <f t="shared" si="115"/>
        <v xml:space="preserve">   -16.0 </v>
      </c>
      <c r="AB339" t="str">
        <f t="shared" si="108"/>
        <v xml:space="preserve">    -7.1 </v>
      </c>
      <c r="AC339" t="str">
        <f t="shared" si="109"/>
        <v xml:space="preserve">    17.3 </v>
      </c>
      <c r="AD339" t="str">
        <f t="shared" si="110"/>
        <v xml:space="preserve">        </v>
      </c>
      <c r="AE339" t="str">
        <f t="shared" si="116"/>
        <v xml:space="preserve">       </v>
      </c>
      <c r="AF339" t="str">
        <f t="shared" si="112"/>
        <v xml:space="preserve">     </v>
      </c>
      <c r="AG339" t="str">
        <f t="shared" si="112"/>
        <v xml:space="preserve">     0.02 </v>
      </c>
      <c r="AH339" t="str">
        <f t="shared" si="117"/>
        <v xml:space="preserve">    -0.57 </v>
      </c>
      <c r="AI339" t="str">
        <f t="shared" si="102"/>
        <v xml:space="preserve">       </v>
      </c>
      <c r="AJ339" t="str">
        <f t="shared" si="103"/>
        <v xml:space="preserve">      </v>
      </c>
    </row>
    <row r="340" spans="1:36" x14ac:dyDescent="0.25">
      <c r="A340" t="s">
        <v>278</v>
      </c>
      <c r="P340" t="str">
        <f t="shared" si="104"/>
        <v xml:space="preserve">                </v>
      </c>
      <c r="Q340" t="str">
        <f t="shared" si="104"/>
        <v xml:space="preserve">         </v>
      </c>
      <c r="R340" t="str">
        <f t="shared" si="113"/>
        <v xml:space="preserve">    82.0 </v>
      </c>
      <c r="S340" t="str">
        <f t="shared" si="105"/>
        <v xml:space="preserve">    82.0 </v>
      </c>
      <c r="T340" t="str">
        <f t="shared" si="106"/>
        <v xml:space="preserve">    82.0 </v>
      </c>
      <c r="U340" t="str">
        <f t="shared" si="110"/>
        <v xml:space="preserve">       26.2% </v>
      </c>
      <c r="V340" t="str">
        <f t="shared" si="114"/>
        <v xml:space="preserve">         </v>
      </c>
      <c r="W340" t="str">
        <f t="shared" si="107"/>
        <v xml:space="preserve">         </v>
      </c>
      <c r="X340" t="str">
        <f t="shared" si="111"/>
        <v xml:space="preserve">  9918 </v>
      </c>
      <c r="Y340" t="str">
        <f t="shared" si="111"/>
        <v xml:space="preserve"> JCASTI-RS138 </v>
      </c>
      <c r="Z340" t="str">
        <f t="shared" si="111"/>
        <v xml:space="preserve">  1 </v>
      </c>
      <c r="AA340" t="str">
        <f t="shared" si="115"/>
        <v xml:space="preserve">   -21.5 </v>
      </c>
      <c r="AB340" t="str">
        <f t="shared" si="108"/>
        <v xml:space="preserve">     3.3 </v>
      </c>
      <c r="AC340" t="str">
        <f t="shared" si="109"/>
        <v xml:space="preserve">    21.5 </v>
      </c>
      <c r="AD340" t="str">
        <f t="shared" si="110"/>
        <v xml:space="preserve">        </v>
      </c>
      <c r="AE340" t="str">
        <f t="shared" si="116"/>
        <v xml:space="preserve">       </v>
      </c>
      <c r="AF340" t="str">
        <f t="shared" si="112"/>
        <v xml:space="preserve">     </v>
      </c>
      <c r="AG340" t="str">
        <f t="shared" si="112"/>
        <v xml:space="preserve">     0.27 </v>
      </c>
      <c r="AH340" t="str">
        <f t="shared" si="117"/>
        <v xml:space="preserve">    -2.54 </v>
      </c>
      <c r="AI340" t="str">
        <f t="shared" si="102"/>
        <v xml:space="preserve">       </v>
      </c>
      <c r="AJ340" t="str">
        <f t="shared" si="103"/>
        <v xml:space="preserve">      </v>
      </c>
    </row>
    <row r="341" spans="1:36" x14ac:dyDescent="0.25">
      <c r="A341" t="s">
        <v>14</v>
      </c>
      <c r="P341" t="str">
        <f t="shared" si="104"/>
        <v xml:space="preserve">  ..............</v>
      </c>
      <c r="Q341" t="str">
        <f t="shared" si="104"/>
        <v>.........</v>
      </c>
      <c r="R341" t="str">
        <f t="shared" si="113"/>
        <v>.........</v>
      </c>
      <c r="S341" t="str">
        <f t="shared" si="105"/>
        <v>.........</v>
      </c>
      <c r="T341" t="str">
        <f t="shared" si="106"/>
        <v>.........</v>
      </c>
      <c r="U341" t="str">
        <f t="shared" si="110"/>
        <v>.............</v>
      </c>
      <c r="V341" t="str">
        <f t="shared" si="114"/>
        <v>.........</v>
      </c>
      <c r="W341" t="str">
        <f t="shared" si="107"/>
        <v>.........</v>
      </c>
      <c r="X341" t="str">
        <f t="shared" si="111"/>
        <v>.......</v>
      </c>
      <c r="Y341" t="str">
        <f t="shared" si="111"/>
        <v>..............</v>
      </c>
      <c r="Z341" t="str">
        <f t="shared" si="111"/>
        <v>....</v>
      </c>
      <c r="AA341" t="str">
        <f t="shared" si="115"/>
        <v>.........</v>
      </c>
      <c r="AB341" t="str">
        <f t="shared" si="108"/>
        <v>.........</v>
      </c>
      <c r="AC341" t="str">
        <f t="shared" si="109"/>
        <v>.........</v>
      </c>
      <c r="AD341" t="str">
        <f t="shared" si="110"/>
        <v>........</v>
      </c>
      <c r="AE341" t="str">
        <f t="shared" si="116"/>
        <v>.......</v>
      </c>
      <c r="AF341" t="str">
        <f t="shared" si="112"/>
        <v>.....</v>
      </c>
      <c r="AG341" t="str">
        <f t="shared" si="112"/>
        <v>..........</v>
      </c>
      <c r="AH341" t="str">
        <f t="shared" si="117"/>
        <v>..........</v>
      </c>
      <c r="AI341" t="str">
        <f t="shared" si="102"/>
        <v>.......</v>
      </c>
      <c r="AJ341" t="str">
        <f t="shared" si="103"/>
        <v>.......</v>
      </c>
    </row>
    <row r="342" spans="1:36" x14ac:dyDescent="0.25">
      <c r="A342" t="s">
        <v>279</v>
      </c>
      <c r="P342" t="str">
        <f t="shared" si="104"/>
        <v xml:space="preserve">   1277  138  0 </v>
      </c>
      <c r="Q342" t="str">
        <f t="shared" si="104"/>
        <v xml:space="preserve">   1.015 </v>
      </c>
      <c r="R342" t="str">
        <f t="shared" si="113"/>
        <v xml:space="preserve">     5.6 </v>
      </c>
      <c r="S342" t="str">
        <f t="shared" si="105"/>
        <v xml:space="preserve">     0.0 </v>
      </c>
      <c r="T342" t="str">
        <f t="shared" si="106"/>
        <v xml:space="preserve">    50.4 </v>
      </c>
      <c r="U342" t="str">
        <f t="shared" si="110"/>
        <v xml:space="preserve">         0.0 </v>
      </c>
      <c r="V342" t="str">
        <f t="shared" si="114"/>
        <v xml:space="preserve">     3.7 </v>
      </c>
      <c r="W342" t="str">
        <f t="shared" si="107"/>
        <v xml:space="preserve">     0.0</v>
      </c>
      <c r="X342" t="str">
        <f t="shared" si="111"/>
        <v/>
      </c>
      <c r="Y342" t="str">
        <f t="shared" si="111"/>
        <v/>
      </c>
      <c r="Z342" t="str">
        <f t="shared" si="111"/>
        <v/>
      </c>
      <c r="AA342" t="str">
        <f t="shared" si="115"/>
        <v/>
      </c>
      <c r="AB342" t="str">
        <f t="shared" si="108"/>
        <v/>
      </c>
      <c r="AC342" t="str">
        <f t="shared" si="109"/>
        <v/>
      </c>
      <c r="AD342" t="str">
        <f t="shared" si="110"/>
        <v/>
      </c>
      <c r="AE342" t="str">
        <f t="shared" si="116"/>
        <v/>
      </c>
      <c r="AF342" t="str">
        <f t="shared" si="112"/>
        <v/>
      </c>
      <c r="AG342" t="str">
        <f t="shared" si="112"/>
        <v/>
      </c>
      <c r="AH342" t="str">
        <f t="shared" si="117"/>
        <v/>
      </c>
      <c r="AI342" t="str">
        <f t="shared" si="102"/>
        <v/>
      </c>
      <c r="AJ342" t="str">
        <f t="shared" si="103"/>
        <v/>
      </c>
    </row>
    <row r="343" spans="1:36" x14ac:dyDescent="0.25">
      <c r="A343" t="s">
        <v>280</v>
      </c>
      <c r="P343" t="str">
        <f t="shared" si="104"/>
        <v xml:space="preserve">  PFUND1-RS138  </v>
      </c>
      <c r="Q343" t="str">
        <f t="shared" si="104"/>
        <v xml:space="preserve">   -49.4 </v>
      </c>
      <c r="R343" t="str">
        <f t="shared" si="113"/>
        <v xml:space="preserve">     0.0 </v>
      </c>
      <c r="S343" t="str">
        <f t="shared" si="105"/>
        <v xml:space="preserve">     0.0 </v>
      </c>
      <c r="T343" t="str">
        <f t="shared" si="106"/>
        <v xml:space="preserve">    14.9 </v>
      </c>
      <c r="U343" t="str">
        <f t="shared" si="110"/>
        <v xml:space="preserve">         0.0 </v>
      </c>
      <c r="V343" t="str">
        <f t="shared" si="114"/>
        <v xml:space="preserve">     0.0 </v>
      </c>
      <c r="W343" t="str">
        <f t="shared" si="107"/>
        <v xml:space="preserve">     0.0 </v>
      </c>
      <c r="X343" t="str">
        <f t="shared" si="111"/>
        <v xml:space="preserve">       </v>
      </c>
      <c r="Y343" t="str">
        <f t="shared" si="111"/>
        <v xml:space="preserve">              </v>
      </c>
      <c r="Z343" t="str">
        <f t="shared" si="111"/>
        <v xml:space="preserve">    </v>
      </c>
      <c r="AA343" t="str">
        <f t="shared" si="115"/>
        <v xml:space="preserve">         </v>
      </c>
      <c r="AB343" t="str">
        <f t="shared" si="108"/>
        <v xml:space="preserve">         </v>
      </c>
      <c r="AC343" t="str">
        <f t="shared" si="109"/>
        <v xml:space="preserve">    </v>
      </c>
      <c r="AD343" t="str">
        <f t="shared" si="110"/>
        <v/>
      </c>
      <c r="AE343" t="str">
        <f t="shared" si="116"/>
        <v/>
      </c>
      <c r="AF343" t="str">
        <f t="shared" si="112"/>
        <v/>
      </c>
      <c r="AG343" t="str">
        <f t="shared" si="112"/>
        <v/>
      </c>
      <c r="AH343" t="str">
        <f t="shared" si="117"/>
        <v/>
      </c>
      <c r="AI343" t="str">
        <f t="shared" ref="AI343:AI406" si="118">MID($A343,AG$8+AG$9+AH$9-2,AI$9)</f>
        <v/>
      </c>
      <c r="AJ343" t="str">
        <f t="shared" ref="AJ343:AJ406" si="119">MID($A343,AG$8+AG$9+AH$9+AI$9-3,AJ$9)</f>
        <v/>
      </c>
    </row>
    <row r="344" spans="1:36" x14ac:dyDescent="0.25">
      <c r="A344" t="s">
        <v>281</v>
      </c>
      <c r="P344" t="str">
        <f t="shared" si="104"/>
        <v xml:space="preserve">              DE</v>
      </c>
      <c r="Q344" t="str">
        <f t="shared" si="104"/>
        <v xml:space="preserve">ESLIGADO </v>
      </c>
      <c r="R344" t="str">
        <f t="shared" si="113"/>
        <v xml:space="preserve">    82.0 </v>
      </c>
      <c r="S344" t="str">
        <f t="shared" si="105"/>
        <v xml:space="preserve">    82.0 </v>
      </c>
      <c r="T344" t="str">
        <f t="shared" si="106"/>
        <v xml:space="preserve">    82.0 </v>
      </c>
      <c r="U344" t="str">
        <f t="shared" si="110"/>
        <v xml:space="preserve">             </v>
      </c>
      <c r="V344" t="str">
        <f t="shared" si="114"/>
        <v xml:space="preserve">         </v>
      </c>
      <c r="W344" t="str">
        <f t="shared" si="107"/>
        <v xml:space="preserve">         </v>
      </c>
      <c r="X344" t="str">
        <f t="shared" si="111"/>
        <v xml:space="preserve">  1221 </v>
      </c>
      <c r="Y344" t="str">
        <f t="shared" si="111"/>
        <v xml:space="preserve"> LVERM1-RS138 </v>
      </c>
      <c r="Z344" t="str">
        <f t="shared" si="111"/>
        <v xml:space="preserve">  1 </v>
      </c>
      <c r="AA344" t="str">
        <f t="shared" si="115"/>
        <v xml:space="preserve">     0.0 </v>
      </c>
      <c r="AB344" t="str">
        <f t="shared" si="108"/>
        <v xml:space="preserve">     0.0 </v>
      </c>
      <c r="AC344" t="str">
        <f t="shared" si="109"/>
        <v xml:space="preserve">     0.0 </v>
      </c>
      <c r="AD344" t="str">
        <f t="shared" si="110"/>
        <v xml:space="preserve">        </v>
      </c>
      <c r="AE344" t="str">
        <f t="shared" si="116"/>
        <v xml:space="preserve">       </v>
      </c>
      <c r="AF344" t="str">
        <f t="shared" si="112"/>
        <v xml:space="preserve">     </v>
      </c>
      <c r="AG344" t="str">
        <f t="shared" si="112"/>
        <v xml:space="preserve">     0.00 </v>
      </c>
      <c r="AH344" t="str">
        <f t="shared" si="117"/>
        <v xml:space="preserve">     0.00 </v>
      </c>
      <c r="AI344" t="str">
        <f t="shared" si="118"/>
        <v xml:space="preserve">       </v>
      </c>
      <c r="AJ344" t="str">
        <f t="shared" si="119"/>
        <v xml:space="preserve">      </v>
      </c>
    </row>
    <row r="345" spans="1:36" x14ac:dyDescent="0.25">
      <c r="A345" t="s">
        <v>282</v>
      </c>
      <c r="P345" t="str">
        <f t="shared" si="104"/>
        <v xml:space="preserve">                </v>
      </c>
      <c r="Q345" t="str">
        <f t="shared" si="104"/>
        <v xml:space="preserve">         </v>
      </c>
      <c r="R345" t="str">
        <f t="shared" si="113"/>
        <v xml:space="preserve">    82.0 </v>
      </c>
      <c r="S345" t="str">
        <f t="shared" si="105"/>
        <v xml:space="preserve">    82.0 </v>
      </c>
      <c r="T345" t="str">
        <f t="shared" si="106"/>
        <v xml:space="preserve">    82.0 </v>
      </c>
      <c r="U345" t="str">
        <f t="shared" si="110"/>
        <v xml:space="preserve">       55.5% </v>
      </c>
      <c r="V345" t="str">
        <f t="shared" si="114"/>
        <v xml:space="preserve">         </v>
      </c>
      <c r="W345" t="str">
        <f t="shared" si="107"/>
        <v xml:space="preserve">         </v>
      </c>
      <c r="X345" t="str">
        <f t="shared" si="111"/>
        <v xml:space="preserve">  1275 </v>
      </c>
      <c r="Y345" t="str">
        <f t="shared" si="111"/>
        <v xml:space="preserve"> SMARTA-RS138 </v>
      </c>
      <c r="Z345" t="str">
        <f t="shared" si="111"/>
        <v xml:space="preserve">  1 </v>
      </c>
      <c r="AA345" t="str">
        <f t="shared" si="115"/>
        <v xml:space="preserve">   -44.8 </v>
      </c>
      <c r="AB345" t="str">
        <f t="shared" si="108"/>
        <v xml:space="preserve">   -11.2 </v>
      </c>
      <c r="AC345" t="str">
        <f t="shared" si="109"/>
        <v xml:space="preserve">    45.5 </v>
      </c>
      <c r="AD345" t="str">
        <f t="shared" si="110"/>
        <v xml:space="preserve">        </v>
      </c>
      <c r="AE345" t="str">
        <f t="shared" si="116"/>
        <v xml:space="preserve">       </v>
      </c>
      <c r="AF345" t="str">
        <f t="shared" si="112"/>
        <v xml:space="preserve">     </v>
      </c>
      <c r="AG345" t="str">
        <f t="shared" si="112"/>
        <v xml:space="preserve">     0.27 </v>
      </c>
      <c r="AH345" t="str">
        <f t="shared" si="117"/>
        <v xml:space="preserve">    -0.11 </v>
      </c>
      <c r="AI345" t="str">
        <f t="shared" si="118"/>
        <v xml:space="preserve">       </v>
      </c>
      <c r="AJ345" t="str">
        <f t="shared" si="119"/>
        <v xml:space="preserve">      </v>
      </c>
    </row>
    <row r="346" spans="1:36" x14ac:dyDescent="0.25">
      <c r="A346" t="s">
        <v>14</v>
      </c>
      <c r="P346" t="str">
        <f t="shared" si="104"/>
        <v xml:space="preserve">  ..............</v>
      </c>
      <c r="Q346" t="str">
        <f t="shared" si="104"/>
        <v>.........</v>
      </c>
      <c r="R346" t="str">
        <f t="shared" si="113"/>
        <v>.........</v>
      </c>
      <c r="S346" t="str">
        <f t="shared" si="105"/>
        <v>.........</v>
      </c>
      <c r="T346" t="str">
        <f t="shared" si="106"/>
        <v>.........</v>
      </c>
      <c r="U346" t="str">
        <f t="shared" si="110"/>
        <v>.............</v>
      </c>
      <c r="V346" t="str">
        <f t="shared" si="114"/>
        <v>.........</v>
      </c>
      <c r="W346" t="str">
        <f t="shared" si="107"/>
        <v>.........</v>
      </c>
      <c r="X346" t="str">
        <f t="shared" si="111"/>
        <v>.......</v>
      </c>
      <c r="Y346" t="str">
        <f t="shared" si="111"/>
        <v>..............</v>
      </c>
      <c r="Z346" t="str">
        <f t="shared" si="111"/>
        <v>....</v>
      </c>
      <c r="AA346" t="str">
        <f t="shared" si="115"/>
        <v>.........</v>
      </c>
      <c r="AB346" t="str">
        <f t="shared" si="108"/>
        <v>.........</v>
      </c>
      <c r="AC346" t="str">
        <f t="shared" si="109"/>
        <v>.........</v>
      </c>
      <c r="AD346" t="str">
        <f t="shared" si="110"/>
        <v>........</v>
      </c>
      <c r="AE346" t="str">
        <f t="shared" si="116"/>
        <v>.......</v>
      </c>
      <c r="AF346" t="str">
        <f t="shared" si="112"/>
        <v>.....</v>
      </c>
      <c r="AG346" t="str">
        <f t="shared" si="112"/>
        <v>..........</v>
      </c>
      <c r="AH346" t="str">
        <f t="shared" si="117"/>
        <v>..........</v>
      </c>
      <c r="AI346" t="str">
        <f t="shared" si="118"/>
        <v>.......</v>
      </c>
      <c r="AJ346" t="str">
        <f t="shared" si="119"/>
        <v>.......</v>
      </c>
    </row>
    <row r="347" spans="1:36" x14ac:dyDescent="0.25">
      <c r="A347" t="s">
        <v>283</v>
      </c>
      <c r="P347" t="str">
        <f t="shared" ref="P347:Q410" si="120">MID($A347,P$8,P$9)</f>
        <v xml:space="preserve">_x000C_CEPEL - CENTRO </v>
      </c>
      <c r="Q347" t="str">
        <f t="shared" si="120"/>
        <v xml:space="preserve"> DE PESQU</v>
      </c>
      <c r="R347" t="str">
        <f t="shared" si="113"/>
        <v xml:space="preserve">UISAS DE </v>
      </c>
      <c r="S347" t="str">
        <f t="shared" ref="S347:S410" si="121">MID($A347,Q$8+Q$9+R$9-2,S$9)</f>
        <v xml:space="preserve"> ENERGIA </v>
      </c>
      <c r="T347" t="str">
        <f t="shared" ref="T347:T410" si="122">MID($A347,Q$8+Q$9+R$9+S$9-3,T$9)</f>
        <v xml:space="preserve"> ELETRICA</v>
      </c>
      <c r="U347" t="str">
        <f t="shared" si="110"/>
        <v xml:space="preserve">A - PROGRAMA </v>
      </c>
      <c r="V347" t="str">
        <f t="shared" si="114"/>
        <v xml:space="preserve"> DE ANALI</v>
      </c>
      <c r="W347" t="str">
        <f t="shared" ref="W347:W410" si="123">MID($A347,U$8+U$9+V$9-2,W$9)</f>
        <v>ISE DE RE</v>
      </c>
      <c r="X347" t="str">
        <f t="shared" si="111"/>
        <v xml:space="preserve">EDES - </v>
      </c>
      <c r="Y347" t="str">
        <f t="shared" si="111"/>
        <v xml:space="preserve"> V11.06.02    </v>
      </c>
      <c r="Z347" t="str">
        <f t="shared" si="111"/>
        <v xml:space="preserve">    </v>
      </c>
      <c r="AA347" t="str">
        <f t="shared" si="115"/>
        <v xml:space="preserve">         </v>
      </c>
      <c r="AB347" t="str">
        <f t="shared" ref="AB347:AB410" si="124">MID($A347,Z$8+Z$9+AA$9-2,AB$9)</f>
        <v xml:space="preserve">         </v>
      </c>
      <c r="AC347" t="str">
        <f t="shared" ref="AC347:AC410" si="125">MID($A347,Z$8+Z$9+AA$9+AB$9-3,AC$9)</f>
        <v xml:space="preserve">         </v>
      </c>
      <c r="AD347" t="str">
        <f t="shared" si="110"/>
        <v xml:space="preserve">   PAG. </v>
      </c>
      <c r="AE347" t="str">
        <f t="shared" si="116"/>
        <v xml:space="preserve">   3</v>
      </c>
      <c r="AF347" t="str">
        <f t="shared" si="112"/>
        <v/>
      </c>
      <c r="AG347" t="str">
        <f t="shared" si="112"/>
        <v/>
      </c>
      <c r="AH347" t="str">
        <f t="shared" si="117"/>
        <v/>
      </c>
      <c r="AI347" t="str">
        <f t="shared" si="118"/>
        <v/>
      </c>
      <c r="AJ347" t="str">
        <f t="shared" si="119"/>
        <v/>
      </c>
    </row>
    <row r="348" spans="1:36" x14ac:dyDescent="0.25">
      <c r="P348" t="str">
        <f t="shared" si="120"/>
        <v/>
      </c>
      <c r="Q348" t="str">
        <f t="shared" si="120"/>
        <v/>
      </c>
      <c r="R348" t="str">
        <f t="shared" si="113"/>
        <v/>
      </c>
      <c r="S348" t="str">
        <f t="shared" si="121"/>
        <v/>
      </c>
      <c r="T348" t="str">
        <f t="shared" si="122"/>
        <v/>
      </c>
      <c r="U348" t="str">
        <f t="shared" ref="U348:AD411" si="126">MID($A348,U$8,U$9)</f>
        <v/>
      </c>
      <c r="V348" t="str">
        <f t="shared" si="114"/>
        <v/>
      </c>
      <c r="W348" t="str">
        <f t="shared" si="123"/>
        <v/>
      </c>
      <c r="X348" t="str">
        <f t="shared" ref="X348:Z411" si="127">MID($A348,X$8,X$9)</f>
        <v/>
      </c>
      <c r="Y348" t="str">
        <f t="shared" si="127"/>
        <v/>
      </c>
      <c r="Z348" t="str">
        <f t="shared" si="127"/>
        <v/>
      </c>
      <c r="AA348" t="str">
        <f t="shared" si="115"/>
        <v/>
      </c>
      <c r="AB348" t="str">
        <f t="shared" si="124"/>
        <v/>
      </c>
      <c r="AC348" t="str">
        <f t="shared" si="125"/>
        <v/>
      </c>
      <c r="AD348" t="str">
        <f t="shared" si="126"/>
        <v/>
      </c>
      <c r="AE348" t="str">
        <f t="shared" si="116"/>
        <v/>
      </c>
      <c r="AF348" t="str">
        <f t="shared" si="112"/>
        <v/>
      </c>
      <c r="AG348" t="str">
        <f t="shared" si="112"/>
        <v/>
      </c>
      <c r="AH348" t="str">
        <f t="shared" si="117"/>
        <v/>
      </c>
      <c r="AI348" t="str">
        <f t="shared" si="118"/>
        <v/>
      </c>
      <c r="AJ348" t="str">
        <f t="shared" si="119"/>
        <v/>
      </c>
    </row>
    <row r="349" spans="1:36" x14ac:dyDescent="0.25">
      <c r="A349" t="s">
        <v>1</v>
      </c>
      <c r="P349" t="str">
        <f t="shared" si="120"/>
        <v xml:space="preserve"> PARPEL 23-27 * </v>
      </c>
      <c r="Q349" t="str">
        <f t="shared" si="120"/>
        <v xml:space="preserve"> MG-GODF </v>
      </c>
      <c r="R349" t="str">
        <f t="shared" si="113"/>
        <v xml:space="preserve"> * I27M *</v>
      </c>
      <c r="S349" t="str">
        <f t="shared" si="121"/>
        <v>* NEexp *</v>
      </c>
      <c r="T349" t="str">
        <f t="shared" si="122"/>
        <v>* NESE 88</v>
      </c>
      <c r="U349" t="str">
        <f t="shared" si="126"/>
        <v>800 UFVMG 90%</v>
      </c>
      <c r="V349" t="str">
        <f t="shared" si="114"/>
        <v>% * UFVAl</v>
      </c>
      <c r="W349" t="str">
        <f t="shared" si="123"/>
        <v>lves120MW</v>
      </c>
      <c r="X349" t="str">
        <f t="shared" si="127"/>
        <v xml:space="preserve">W     </v>
      </c>
      <c r="Y349" t="str">
        <f t="shared" si="127"/>
        <v/>
      </c>
      <c r="Z349" t="str">
        <f t="shared" si="127"/>
        <v/>
      </c>
      <c r="AA349" t="str">
        <f t="shared" si="115"/>
        <v/>
      </c>
      <c r="AB349" t="str">
        <f t="shared" si="124"/>
        <v/>
      </c>
      <c r="AC349" t="str">
        <f t="shared" si="125"/>
        <v/>
      </c>
      <c r="AD349" t="str">
        <f t="shared" si="126"/>
        <v/>
      </c>
      <c r="AE349" t="str">
        <f t="shared" si="116"/>
        <v/>
      </c>
      <c r="AF349" t="str">
        <f t="shared" ref="AF349:AG412" si="128">MID($A349,AF$8,AF$9)</f>
        <v/>
      </c>
      <c r="AG349" t="str">
        <f t="shared" si="128"/>
        <v/>
      </c>
      <c r="AH349" t="str">
        <f t="shared" si="117"/>
        <v/>
      </c>
      <c r="AI349" t="str">
        <f t="shared" si="118"/>
        <v/>
      </c>
      <c r="AJ349" t="str">
        <f t="shared" si="119"/>
        <v/>
      </c>
    </row>
    <row r="350" spans="1:36" x14ac:dyDescent="0.25">
      <c r="A350" t="s">
        <v>2</v>
      </c>
      <c r="P350" t="str">
        <f t="shared" si="120"/>
        <v xml:space="preserve"> RELATORIO COMPL</v>
      </c>
      <c r="Q350" t="str">
        <f t="shared" si="120"/>
        <v>LETO DO S</v>
      </c>
      <c r="R350" t="str">
        <f t="shared" si="113"/>
        <v>SISTEMA *</v>
      </c>
      <c r="S350" t="str">
        <f t="shared" si="121"/>
        <v xml:space="preserve">* AREA   </v>
      </c>
      <c r="T350" t="str">
        <f t="shared" si="122"/>
        <v xml:space="preserve"> 3 * RS -</v>
      </c>
      <c r="U350" t="str">
        <f t="shared" si="126"/>
        <v xml:space="preserve">- DIT/DIST   </v>
      </c>
      <c r="V350" t="str">
        <f t="shared" si="114"/>
        <v xml:space="preserve">         </v>
      </c>
      <c r="W350" t="str">
        <f t="shared" si="123"/>
        <v xml:space="preserve">         </v>
      </c>
      <c r="X350" t="str">
        <f t="shared" si="127"/>
        <v xml:space="preserve">     </v>
      </c>
      <c r="Y350" t="str">
        <f t="shared" si="127"/>
        <v/>
      </c>
      <c r="Z350" t="str">
        <f t="shared" si="127"/>
        <v/>
      </c>
      <c r="AA350" t="str">
        <f t="shared" si="115"/>
        <v/>
      </c>
      <c r="AB350" t="str">
        <f t="shared" si="124"/>
        <v/>
      </c>
      <c r="AC350" t="str">
        <f t="shared" si="125"/>
        <v/>
      </c>
      <c r="AD350" t="str">
        <f t="shared" si="126"/>
        <v/>
      </c>
      <c r="AE350" t="str">
        <f t="shared" si="116"/>
        <v/>
      </c>
      <c r="AF350" t="str">
        <f t="shared" si="128"/>
        <v/>
      </c>
      <c r="AG350" t="str">
        <f t="shared" si="128"/>
        <v/>
      </c>
      <c r="AH350" t="str">
        <f t="shared" si="117"/>
        <v/>
      </c>
      <c r="AI350" t="str">
        <f t="shared" si="118"/>
        <v/>
      </c>
      <c r="AJ350" t="str">
        <f t="shared" si="119"/>
        <v/>
      </c>
    </row>
    <row r="351" spans="1:36" x14ac:dyDescent="0.25">
      <c r="P351" t="str">
        <f t="shared" si="120"/>
        <v/>
      </c>
      <c r="Q351" t="str">
        <f t="shared" si="120"/>
        <v/>
      </c>
      <c r="R351" t="str">
        <f t="shared" si="113"/>
        <v/>
      </c>
      <c r="S351" t="str">
        <f t="shared" si="121"/>
        <v/>
      </c>
      <c r="T351" t="str">
        <f t="shared" si="122"/>
        <v/>
      </c>
      <c r="U351" t="str">
        <f t="shared" si="126"/>
        <v/>
      </c>
      <c r="V351" t="str">
        <f t="shared" si="114"/>
        <v/>
      </c>
      <c r="W351" t="str">
        <f t="shared" si="123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15"/>
        <v/>
      </c>
      <c r="AB351" t="str">
        <f t="shared" si="124"/>
        <v/>
      </c>
      <c r="AC351" t="str">
        <f t="shared" si="125"/>
        <v/>
      </c>
      <c r="AD351" t="str">
        <f t="shared" si="126"/>
        <v/>
      </c>
      <c r="AE351" t="str">
        <f t="shared" si="116"/>
        <v/>
      </c>
      <c r="AF351" t="str">
        <f t="shared" si="128"/>
        <v/>
      </c>
      <c r="AG351" t="str">
        <f t="shared" si="128"/>
        <v/>
      </c>
      <c r="AH351" t="str">
        <f t="shared" si="117"/>
        <v/>
      </c>
      <c r="AI351" t="str">
        <f t="shared" si="118"/>
        <v/>
      </c>
      <c r="AJ351" t="str">
        <f t="shared" si="119"/>
        <v/>
      </c>
    </row>
    <row r="352" spans="1:36" x14ac:dyDescent="0.25">
      <c r="A352" t="s">
        <v>3</v>
      </c>
      <c r="P352" t="str">
        <f t="shared" si="120"/>
        <v xml:space="preserve"> X--------------</v>
      </c>
      <c r="Q352" t="str">
        <f t="shared" si="120"/>
        <v xml:space="preserve">-------- </v>
      </c>
      <c r="R352" t="str">
        <f t="shared" si="113"/>
        <v xml:space="preserve"> D A D O </v>
      </c>
      <c r="S352" t="str">
        <f t="shared" si="121"/>
        <v xml:space="preserve"> S  -  B </v>
      </c>
      <c r="T352" t="str">
        <f t="shared" si="122"/>
        <v xml:space="preserve"> A R R A </v>
      </c>
      <c r="U352" t="str">
        <f t="shared" si="126"/>
        <v xml:space="preserve"> ------------</v>
      </c>
      <c r="V352" t="str">
        <f t="shared" si="114"/>
        <v>---------</v>
      </c>
      <c r="W352" t="str">
        <f t="shared" si="123"/>
        <v>--------X</v>
      </c>
      <c r="X352" t="str">
        <f t="shared" si="127"/>
        <v>X------</v>
      </c>
      <c r="Y352" t="str">
        <f t="shared" si="127"/>
        <v>-------- F L U</v>
      </c>
      <c r="Z352" t="str">
        <f t="shared" si="127"/>
        <v xml:space="preserve">U X </v>
      </c>
      <c r="AA352" t="str">
        <f t="shared" si="115"/>
        <v xml:space="preserve"> O S  -  </v>
      </c>
      <c r="AB352" t="str">
        <f t="shared" si="124"/>
        <v xml:space="preserve"> C I R C </v>
      </c>
      <c r="AC352" t="str">
        <f t="shared" si="125"/>
        <v xml:space="preserve"> U I T O </v>
      </c>
      <c r="AD352" t="str">
        <f t="shared" si="126"/>
        <v xml:space="preserve"> S -----</v>
      </c>
      <c r="AE352" t="str">
        <f t="shared" si="116"/>
        <v>-------</v>
      </c>
      <c r="AF352" t="str">
        <f t="shared" si="128"/>
        <v>----X</v>
      </c>
      <c r="AG352" t="str">
        <f t="shared" si="128"/>
        <v>X--------X</v>
      </c>
      <c r="AH352" t="str">
        <f t="shared" si="117"/>
        <v>X--------X</v>
      </c>
      <c r="AI352" t="str">
        <f t="shared" si="118"/>
        <v>X------</v>
      </c>
      <c r="AJ352" t="str">
        <f t="shared" si="119"/>
        <v>------X</v>
      </c>
    </row>
    <row r="353" spans="1:36" x14ac:dyDescent="0.25">
      <c r="A353" t="s">
        <v>4</v>
      </c>
      <c r="P353" t="str">
        <f t="shared" si="120"/>
        <v xml:space="preserve">  DA BARRA      </v>
      </c>
      <c r="Q353" t="str">
        <f t="shared" si="120"/>
        <v xml:space="preserve">  TENSAO </v>
      </c>
      <c r="R353" t="str">
        <f t="shared" si="113"/>
        <v xml:space="preserve"> GERACAO </v>
      </c>
      <c r="S353" t="str">
        <f t="shared" si="121"/>
        <v xml:space="preserve"> INJ EQV </v>
      </c>
      <c r="T353" t="str">
        <f t="shared" si="122"/>
        <v xml:space="preserve">  CARGA  </v>
      </c>
      <c r="U353" t="str">
        <f t="shared" si="126"/>
        <v xml:space="preserve">  ELO CC  SHU</v>
      </c>
      <c r="V353" t="str">
        <f t="shared" si="114"/>
        <v>UNT    MO</v>
      </c>
      <c r="W353" t="str">
        <f t="shared" si="123"/>
        <v xml:space="preserve">OTOR     </v>
      </c>
      <c r="X353" t="str">
        <f t="shared" si="127"/>
        <v xml:space="preserve">       </v>
      </c>
      <c r="Y353" t="str">
        <f t="shared" si="127"/>
        <v xml:space="preserve">              </v>
      </c>
      <c r="Z353" t="str">
        <f t="shared" si="127"/>
        <v xml:space="preserve">    </v>
      </c>
      <c r="AA353" t="str">
        <f t="shared" si="115"/>
        <v xml:space="preserve">         </v>
      </c>
      <c r="AB353" t="str">
        <f t="shared" si="124"/>
        <v xml:space="preserve">         </v>
      </c>
      <c r="AC353" t="str">
        <f t="shared" si="125"/>
        <v xml:space="preserve">         </v>
      </c>
      <c r="AD353" t="str">
        <f t="shared" si="126"/>
        <v xml:space="preserve">        </v>
      </c>
      <c r="AE353" t="str">
        <f t="shared" si="116"/>
        <v xml:space="preserve">       </v>
      </c>
      <c r="AF353" t="str">
        <f t="shared" si="128"/>
        <v xml:space="preserve">     </v>
      </c>
      <c r="AG353" t="str">
        <f t="shared" si="128"/>
        <v xml:space="preserve">          </v>
      </c>
      <c r="AH353" t="str">
        <f t="shared" si="117"/>
        <v xml:space="preserve">          </v>
      </c>
      <c r="AI353" t="str">
        <f t="shared" si="118"/>
        <v xml:space="preserve">       </v>
      </c>
      <c r="AJ353" t="str">
        <f t="shared" si="119"/>
        <v xml:space="preserve">   </v>
      </c>
    </row>
    <row r="354" spans="1:36" x14ac:dyDescent="0.25">
      <c r="A354" t="s">
        <v>5</v>
      </c>
      <c r="P354" t="str">
        <f t="shared" si="120"/>
        <v xml:space="preserve">  NUM.  KV TIPO </v>
      </c>
      <c r="Q354" t="str">
        <f t="shared" si="120"/>
        <v xml:space="preserve">   MOD/  </v>
      </c>
      <c r="R354" t="str">
        <f t="shared" si="113"/>
        <v xml:space="preserve">    MW/  </v>
      </c>
      <c r="S354" t="str">
        <f t="shared" si="121"/>
        <v xml:space="preserve">    MW/  </v>
      </c>
      <c r="T354" t="str">
        <f t="shared" si="122"/>
        <v xml:space="preserve">    MW/  </v>
      </c>
      <c r="U354" t="str">
        <f t="shared" si="126"/>
        <v xml:space="preserve">    MW/   Mva</v>
      </c>
      <c r="V354" t="str">
        <f t="shared" si="114"/>
        <v>ar/     M</v>
      </c>
      <c r="W354" t="str">
        <f t="shared" si="123"/>
        <v xml:space="preserve">MW/      </v>
      </c>
      <c r="X354" t="str">
        <f t="shared" si="127"/>
        <v xml:space="preserve">       </v>
      </c>
      <c r="Y354" t="str">
        <f t="shared" si="127"/>
        <v xml:space="preserve">              </v>
      </c>
      <c r="Z354" t="str">
        <f t="shared" si="127"/>
        <v xml:space="preserve">    </v>
      </c>
      <c r="AA354" t="str">
        <f t="shared" si="115"/>
        <v xml:space="preserve">         </v>
      </c>
      <c r="AB354" t="str">
        <f t="shared" si="124"/>
        <v xml:space="preserve">         </v>
      </c>
      <c r="AC354" t="str">
        <f t="shared" si="125"/>
        <v xml:space="preserve">         </v>
      </c>
      <c r="AD354" t="str">
        <f t="shared" si="126"/>
        <v xml:space="preserve">        </v>
      </c>
      <c r="AE354" t="str">
        <f t="shared" si="116"/>
        <v xml:space="preserve">       </v>
      </c>
      <c r="AF354" t="str">
        <f t="shared" si="128"/>
        <v xml:space="preserve">    P</v>
      </c>
      <c r="AG354" t="str">
        <f t="shared" si="128"/>
        <v xml:space="preserve">P E R D A </v>
      </c>
      <c r="AH354" t="str">
        <f t="shared" si="117"/>
        <v xml:space="preserve"> S       T</v>
      </c>
      <c r="AI354" t="str">
        <f t="shared" si="118"/>
        <v xml:space="preserve">TENSAO </v>
      </c>
      <c r="AJ354" t="str">
        <f t="shared" si="119"/>
        <v xml:space="preserve">   </v>
      </c>
    </row>
    <row r="355" spans="1:36" x14ac:dyDescent="0.25">
      <c r="A355" t="s">
        <v>6</v>
      </c>
      <c r="P355" t="str">
        <f t="shared" si="120"/>
        <v xml:space="preserve">       NOME     </v>
      </c>
      <c r="Q355" t="str">
        <f t="shared" si="120"/>
        <v xml:space="preserve">   ANG   </v>
      </c>
      <c r="R355" t="str">
        <f t="shared" si="113"/>
        <v xml:space="preserve">   Mvar  </v>
      </c>
      <c r="S355" t="str">
        <f t="shared" si="121"/>
        <v xml:space="preserve">   Mvar  </v>
      </c>
      <c r="T355" t="str">
        <f t="shared" si="122"/>
        <v xml:space="preserve">   Mvar  </v>
      </c>
      <c r="U355" t="str">
        <f t="shared" si="126"/>
        <v xml:space="preserve">   Mvar   EQU</v>
      </c>
      <c r="V355" t="str">
        <f t="shared" si="114"/>
        <v>UIV    Mv</v>
      </c>
      <c r="W355" t="str">
        <f t="shared" si="123"/>
        <v>var  PARA</v>
      </c>
      <c r="X355" t="str">
        <f t="shared" si="127"/>
        <v>A BARRA</v>
      </c>
      <c r="Y355" t="str">
        <f t="shared" si="127"/>
        <v xml:space="preserve">A             </v>
      </c>
      <c r="Z355" t="str">
        <f t="shared" si="127"/>
        <v xml:space="preserve">    </v>
      </c>
      <c r="AA355" t="str">
        <f t="shared" si="115"/>
        <v xml:space="preserve">      FLU</v>
      </c>
      <c r="AB355" t="str">
        <f t="shared" si="124"/>
        <v xml:space="preserve">UXOS     </v>
      </c>
      <c r="AC355" t="str">
        <f t="shared" si="125"/>
        <v xml:space="preserve">         </v>
      </c>
      <c r="AD355" t="str">
        <f t="shared" si="126"/>
        <v xml:space="preserve">        </v>
      </c>
      <c r="AE355" t="str">
        <f t="shared" si="116"/>
        <v xml:space="preserve">       </v>
      </c>
      <c r="AF355" t="str">
        <f t="shared" si="128"/>
        <v xml:space="preserve">  ATI</v>
      </c>
      <c r="AG355" t="str">
        <f t="shared" si="128"/>
        <v>IVA   REAT</v>
      </c>
      <c r="AH355" t="str">
        <f t="shared" si="117"/>
        <v>TIVA  CIR.</v>
      </c>
      <c r="AI355" t="str">
        <f t="shared" si="118"/>
        <v>. ABERT</v>
      </c>
      <c r="AJ355" t="str">
        <f t="shared" si="119"/>
        <v xml:space="preserve">TO </v>
      </c>
    </row>
    <row r="356" spans="1:36" x14ac:dyDescent="0.25">
      <c r="A356" t="s">
        <v>7</v>
      </c>
      <c r="P356" t="str">
        <f t="shared" si="120"/>
        <v xml:space="preserve">                </v>
      </c>
      <c r="Q356" t="str">
        <f t="shared" si="120"/>
        <v xml:space="preserve">         </v>
      </c>
      <c r="R356" t="str">
        <f t="shared" si="113"/>
        <v xml:space="preserve"> MVA_NOM </v>
      </c>
      <c r="S356" t="str">
        <f t="shared" si="121"/>
        <v xml:space="preserve"> MVA_EMR </v>
      </c>
      <c r="T356" t="str">
        <f t="shared" si="122"/>
        <v xml:space="preserve"> MVA_EQP </v>
      </c>
      <c r="U356" t="str">
        <f t="shared" si="126"/>
        <v xml:space="preserve">   FLUXO %   </v>
      </c>
      <c r="V356" t="str">
        <f t="shared" si="114"/>
        <v xml:space="preserve"> SHUNT L </v>
      </c>
      <c r="W356" t="str">
        <f t="shared" si="123"/>
        <v xml:space="preserve">         </v>
      </c>
      <c r="X356" t="str">
        <f t="shared" si="127"/>
        <v xml:space="preserve"> NUM.  </v>
      </c>
      <c r="Y356" t="str">
        <f t="shared" si="127"/>
        <v xml:space="preserve">     NOME     </v>
      </c>
      <c r="Z356" t="str">
        <f t="shared" si="127"/>
        <v xml:space="preserve"> NC </v>
      </c>
      <c r="AA356" t="str">
        <f t="shared" si="115"/>
        <v xml:space="preserve">    MW   </v>
      </c>
      <c r="AB356" t="str">
        <f t="shared" si="124"/>
        <v xml:space="preserve">   Mvar  </v>
      </c>
      <c r="AC356" t="str">
        <f t="shared" si="125"/>
        <v xml:space="preserve"> MVA/V_d </v>
      </c>
      <c r="AD356" t="str">
        <f t="shared" si="126"/>
        <v xml:space="preserve">   TAP  </v>
      </c>
      <c r="AE356" t="str">
        <f t="shared" si="116"/>
        <v xml:space="preserve"> DEFAS </v>
      </c>
      <c r="AF356" t="str">
        <f t="shared" si="128"/>
        <v xml:space="preserve"> TIE </v>
      </c>
      <c r="AG356" t="str">
        <f t="shared" si="128"/>
        <v xml:space="preserve">    MW    </v>
      </c>
      <c r="AH356" t="str">
        <f t="shared" si="117"/>
        <v xml:space="preserve">   Mvar   </v>
      </c>
      <c r="AI356" t="str">
        <f t="shared" si="118"/>
        <v xml:space="preserve">  MOD  </v>
      </c>
      <c r="AJ356" t="str">
        <f t="shared" si="119"/>
        <v xml:space="preserve">  ANG  </v>
      </c>
    </row>
    <row r="357" spans="1:36" x14ac:dyDescent="0.25">
      <c r="A357" t="s">
        <v>8</v>
      </c>
      <c r="P357" t="str">
        <f t="shared" si="120"/>
        <v xml:space="preserve"> X-------------X</v>
      </c>
      <c r="Q357" t="str">
        <f t="shared" si="120"/>
        <v>X-------X</v>
      </c>
      <c r="R357" t="str">
        <f t="shared" si="113"/>
        <v>X-------X</v>
      </c>
      <c r="S357" t="str">
        <f t="shared" si="121"/>
        <v>X-------X</v>
      </c>
      <c r="T357" t="str">
        <f t="shared" si="122"/>
        <v>X-------X</v>
      </c>
      <c r="U357" t="str">
        <f t="shared" si="126"/>
        <v>X-----------X</v>
      </c>
      <c r="V357" t="str">
        <f t="shared" si="114"/>
        <v>X-------X</v>
      </c>
      <c r="W357" t="str">
        <f t="shared" si="123"/>
        <v>X-------X</v>
      </c>
      <c r="X357" t="str">
        <f t="shared" si="127"/>
        <v>X-----X</v>
      </c>
      <c r="Y357" t="str">
        <f t="shared" si="127"/>
        <v>X------------X</v>
      </c>
      <c r="Z357" t="str">
        <f t="shared" si="127"/>
        <v>X--X</v>
      </c>
      <c r="AA357" t="str">
        <f t="shared" si="115"/>
        <v>X-------X</v>
      </c>
      <c r="AB357" t="str">
        <f t="shared" si="124"/>
        <v>X-------X</v>
      </c>
      <c r="AC357" t="str">
        <f t="shared" si="125"/>
        <v>X-------X</v>
      </c>
      <c r="AD357" t="str">
        <f t="shared" si="126"/>
        <v>X------X</v>
      </c>
      <c r="AE357" t="str">
        <f t="shared" si="116"/>
        <v>X-----X</v>
      </c>
      <c r="AF357" t="str">
        <f t="shared" si="128"/>
        <v>X---X</v>
      </c>
      <c r="AG357" t="str">
        <f t="shared" si="128"/>
        <v>X--------X</v>
      </c>
      <c r="AH357" t="str">
        <f t="shared" si="117"/>
        <v>X--------X</v>
      </c>
      <c r="AI357" t="str">
        <f t="shared" si="118"/>
        <v>X-----X</v>
      </c>
      <c r="AJ357" t="str">
        <f t="shared" si="119"/>
        <v>X-----X</v>
      </c>
    </row>
    <row r="358" spans="1:36" x14ac:dyDescent="0.25">
      <c r="P358" t="str">
        <f t="shared" si="120"/>
        <v/>
      </c>
      <c r="Q358" t="str">
        <f t="shared" si="120"/>
        <v/>
      </c>
      <c r="R358" t="str">
        <f t="shared" si="113"/>
        <v/>
      </c>
      <c r="S358" t="str">
        <f t="shared" si="121"/>
        <v/>
      </c>
      <c r="T358" t="str">
        <f t="shared" si="122"/>
        <v/>
      </c>
      <c r="U358" t="str">
        <f t="shared" si="126"/>
        <v/>
      </c>
      <c r="V358" t="str">
        <f t="shared" si="114"/>
        <v/>
      </c>
      <c r="W358" t="str">
        <f t="shared" si="123"/>
        <v/>
      </c>
      <c r="X358" t="str">
        <f t="shared" si="127"/>
        <v/>
      </c>
      <c r="Y358" t="str">
        <f t="shared" si="127"/>
        <v/>
      </c>
      <c r="Z358" t="str">
        <f t="shared" si="127"/>
        <v/>
      </c>
      <c r="AA358" t="str">
        <f t="shared" si="115"/>
        <v/>
      </c>
      <c r="AB358" t="str">
        <f t="shared" si="124"/>
        <v/>
      </c>
      <c r="AC358" t="str">
        <f t="shared" si="125"/>
        <v/>
      </c>
      <c r="AD358" t="str">
        <f t="shared" si="126"/>
        <v/>
      </c>
      <c r="AE358" t="str">
        <f t="shared" si="116"/>
        <v/>
      </c>
      <c r="AF358" t="str">
        <f t="shared" si="128"/>
        <v/>
      </c>
      <c r="AG358" t="str">
        <f t="shared" si="128"/>
        <v/>
      </c>
      <c r="AH358" t="str">
        <f t="shared" si="117"/>
        <v/>
      </c>
      <c r="AI358" t="str">
        <f t="shared" si="118"/>
        <v/>
      </c>
      <c r="AJ358" t="str">
        <f t="shared" si="119"/>
        <v/>
      </c>
    </row>
    <row r="359" spans="1:36" x14ac:dyDescent="0.25">
      <c r="A359" t="s">
        <v>284</v>
      </c>
      <c r="P359" t="str">
        <f t="shared" si="120"/>
        <v xml:space="preserve">   1279   69  0 </v>
      </c>
      <c r="Q359" t="str">
        <f t="shared" si="120"/>
        <v xml:space="preserve">   1.011 </v>
      </c>
      <c r="R359" t="str">
        <f t="shared" si="113"/>
        <v xml:space="preserve">     9.4 </v>
      </c>
      <c r="S359" t="str">
        <f t="shared" si="121"/>
        <v xml:space="preserve">     0.0 </v>
      </c>
      <c r="T359" t="str">
        <f t="shared" si="122"/>
        <v xml:space="preserve">    53.8 </v>
      </c>
      <c r="U359" t="str">
        <f t="shared" si="126"/>
        <v xml:space="preserve">         0.0 </v>
      </c>
      <c r="V359" t="str">
        <f t="shared" si="114"/>
        <v xml:space="preserve">    14.7 </v>
      </c>
      <c r="W359" t="str">
        <f t="shared" si="123"/>
        <v xml:space="preserve">     0.0</v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15"/>
        <v/>
      </c>
      <c r="AB359" t="str">
        <f t="shared" si="124"/>
        <v/>
      </c>
      <c r="AC359" t="str">
        <f t="shared" si="125"/>
        <v/>
      </c>
      <c r="AD359" t="str">
        <f t="shared" si="126"/>
        <v/>
      </c>
      <c r="AE359" t="str">
        <f t="shared" si="116"/>
        <v/>
      </c>
      <c r="AF359" t="str">
        <f t="shared" si="128"/>
        <v/>
      </c>
      <c r="AG359" t="str">
        <f t="shared" si="128"/>
        <v/>
      </c>
      <c r="AH359" t="str">
        <f t="shared" si="117"/>
        <v/>
      </c>
      <c r="AI359" t="str">
        <f t="shared" si="118"/>
        <v/>
      </c>
      <c r="AJ359" t="str">
        <f t="shared" si="119"/>
        <v/>
      </c>
    </row>
    <row r="360" spans="1:36" x14ac:dyDescent="0.25">
      <c r="A360" t="s">
        <v>285</v>
      </c>
      <c r="P360" t="str">
        <f t="shared" si="120"/>
        <v xml:space="preserve">  SMARTA-RS069  </v>
      </c>
      <c r="Q360" t="str">
        <f t="shared" si="120"/>
        <v xml:space="preserve">   -49.8 </v>
      </c>
      <c r="R360" t="str">
        <f t="shared" si="113"/>
        <v xml:space="preserve">     0.0 </v>
      </c>
      <c r="S360" t="str">
        <f t="shared" si="121"/>
        <v xml:space="preserve">     0.0 </v>
      </c>
      <c r="T360" t="str">
        <f t="shared" si="122"/>
        <v xml:space="preserve">    11.6 </v>
      </c>
      <c r="U360" t="str">
        <f t="shared" si="126"/>
        <v xml:space="preserve">         0.0 </v>
      </c>
      <c r="V360" t="str">
        <f t="shared" si="114"/>
        <v xml:space="preserve">     0.0 </v>
      </c>
      <c r="W360" t="str">
        <f t="shared" si="123"/>
        <v xml:space="preserve">     0.0 </v>
      </c>
      <c r="X360" t="str">
        <f t="shared" si="127"/>
        <v xml:space="preserve">       </v>
      </c>
      <c r="Y360" t="str">
        <f t="shared" si="127"/>
        <v xml:space="preserve">              </v>
      </c>
      <c r="Z360" t="str">
        <f t="shared" si="127"/>
        <v xml:space="preserve">    </v>
      </c>
      <c r="AA360" t="str">
        <f t="shared" si="115"/>
        <v xml:space="preserve">         </v>
      </c>
      <c r="AB360" t="str">
        <f t="shared" si="124"/>
        <v xml:space="preserve">         </v>
      </c>
      <c r="AC360" t="str">
        <f t="shared" si="125"/>
        <v xml:space="preserve">    </v>
      </c>
      <c r="AD360" t="str">
        <f t="shared" si="126"/>
        <v/>
      </c>
      <c r="AE360" t="str">
        <f t="shared" si="116"/>
        <v/>
      </c>
      <c r="AF360" t="str">
        <f t="shared" si="128"/>
        <v/>
      </c>
      <c r="AG360" t="str">
        <f t="shared" si="128"/>
        <v/>
      </c>
      <c r="AH360" t="str">
        <f t="shared" si="117"/>
        <v/>
      </c>
      <c r="AI360" t="str">
        <f t="shared" si="118"/>
        <v/>
      </c>
      <c r="AJ360" t="str">
        <f t="shared" si="119"/>
        <v/>
      </c>
    </row>
    <row r="361" spans="1:36" x14ac:dyDescent="0.25">
      <c r="A361" t="s">
        <v>286</v>
      </c>
      <c r="P361" t="str">
        <f t="shared" si="120"/>
        <v xml:space="preserve">                </v>
      </c>
      <c r="Q361" t="str">
        <f t="shared" si="120"/>
        <v xml:space="preserve">         </v>
      </c>
      <c r="R361" t="str">
        <f t="shared" si="113"/>
        <v xml:space="preserve">    30.0 </v>
      </c>
      <c r="S361" t="str">
        <f t="shared" si="121"/>
        <v xml:space="preserve">    36.0 </v>
      </c>
      <c r="T361" t="str">
        <f t="shared" si="122"/>
        <v xml:space="preserve">    36.0 </v>
      </c>
      <c r="U361" t="str">
        <f t="shared" si="126"/>
        <v xml:space="preserve">       33.6% </v>
      </c>
      <c r="V361" t="str">
        <f t="shared" si="114"/>
        <v xml:space="preserve">         </v>
      </c>
      <c r="W361" t="str">
        <f t="shared" si="123"/>
        <v xml:space="preserve">         </v>
      </c>
      <c r="X361" t="str">
        <f t="shared" si="127"/>
        <v xml:space="preserve">  1039 </v>
      </c>
      <c r="Y361" t="str">
        <f t="shared" si="127"/>
        <v xml:space="preserve"> PFUND2-RS069 </v>
      </c>
      <c r="Z361" t="str">
        <f t="shared" si="127"/>
        <v xml:space="preserve">  1 </v>
      </c>
      <c r="AA361" t="str">
        <f t="shared" si="115"/>
        <v xml:space="preserve">    10.1 </v>
      </c>
      <c r="AB361" t="str">
        <f t="shared" si="124"/>
        <v xml:space="preserve">     1.2 </v>
      </c>
      <c r="AC361" t="str">
        <f t="shared" si="125"/>
        <v xml:space="preserve">    10.1 </v>
      </c>
      <c r="AD361" t="str">
        <f t="shared" si="126"/>
        <v xml:space="preserve">        </v>
      </c>
      <c r="AE361" t="str">
        <f t="shared" si="116"/>
        <v xml:space="preserve">       </v>
      </c>
      <c r="AF361" t="str">
        <f t="shared" si="128"/>
        <v xml:space="preserve">     </v>
      </c>
      <c r="AG361" t="str">
        <f t="shared" si="128"/>
        <v xml:space="preserve">     0.04 </v>
      </c>
      <c r="AH361" t="str">
        <f t="shared" si="117"/>
        <v xml:space="preserve">    -0.11 </v>
      </c>
      <c r="AI361" t="str">
        <f t="shared" si="118"/>
        <v xml:space="preserve">       </v>
      </c>
      <c r="AJ361" t="str">
        <f t="shared" si="119"/>
        <v xml:space="preserve">      </v>
      </c>
    </row>
    <row r="362" spans="1:36" x14ac:dyDescent="0.25">
      <c r="A362" t="s">
        <v>287</v>
      </c>
      <c r="P362" t="str">
        <f t="shared" si="120"/>
        <v xml:space="preserve">                </v>
      </c>
      <c r="Q362" t="str">
        <f t="shared" si="120"/>
        <v xml:space="preserve">         </v>
      </c>
      <c r="R362" t="str">
        <f t="shared" si="113"/>
        <v xml:space="preserve">    38.0 </v>
      </c>
      <c r="S362" t="str">
        <f t="shared" si="121"/>
        <v xml:space="preserve">    38.0 </v>
      </c>
      <c r="T362" t="str">
        <f t="shared" si="122"/>
        <v xml:space="preserve">    38.0 </v>
      </c>
      <c r="U362" t="str">
        <f t="shared" si="126"/>
        <v xml:space="preserve">       22.1% </v>
      </c>
      <c r="V362" t="str">
        <f t="shared" si="114"/>
        <v xml:space="preserve">         </v>
      </c>
      <c r="W362" t="str">
        <f t="shared" si="123"/>
        <v xml:space="preserve">         </v>
      </c>
      <c r="X362" t="str">
        <f t="shared" si="127"/>
        <v xml:space="preserve">  1306 </v>
      </c>
      <c r="Y362" t="str">
        <f t="shared" si="127"/>
        <v xml:space="preserve"> CARAZ2-RS069 </v>
      </c>
      <c r="Z362" t="str">
        <f t="shared" si="127"/>
        <v xml:space="preserve">  1 </v>
      </c>
      <c r="AA362" t="str">
        <f t="shared" si="115"/>
        <v xml:space="preserve">     8.4 </v>
      </c>
      <c r="AB362" t="str">
        <f t="shared" si="124"/>
        <v xml:space="preserve">    -1.3 </v>
      </c>
      <c r="AC362" t="str">
        <f t="shared" si="125"/>
        <v xml:space="preserve">     8.4 </v>
      </c>
      <c r="AD362" t="str">
        <f t="shared" si="126"/>
        <v xml:space="preserve">        </v>
      </c>
      <c r="AE362" t="str">
        <f t="shared" si="116"/>
        <v xml:space="preserve">       </v>
      </c>
      <c r="AF362" t="str">
        <f t="shared" si="128"/>
        <v xml:space="preserve">     </v>
      </c>
      <c r="AG362" t="str">
        <f t="shared" si="128"/>
        <v xml:space="preserve">     0.18 </v>
      </c>
      <c r="AH362" t="str">
        <f t="shared" si="117"/>
        <v xml:space="preserve">    -0.40 </v>
      </c>
      <c r="AI362" t="str">
        <f t="shared" si="118"/>
        <v xml:space="preserve">       </v>
      </c>
      <c r="AJ362" t="str">
        <f t="shared" si="119"/>
        <v xml:space="preserve">      </v>
      </c>
    </row>
    <row r="363" spans="1:36" x14ac:dyDescent="0.25">
      <c r="A363" t="s">
        <v>288</v>
      </c>
      <c r="P363" t="str">
        <f t="shared" si="120"/>
        <v xml:space="preserve">                </v>
      </c>
      <c r="Q363" t="str">
        <f t="shared" si="120"/>
        <v xml:space="preserve">         </v>
      </c>
      <c r="R363" t="str">
        <f t="shared" si="113"/>
        <v xml:space="preserve">    30.0 </v>
      </c>
      <c r="S363" t="str">
        <f t="shared" si="121"/>
        <v xml:space="preserve">    43.0 </v>
      </c>
      <c r="T363" t="str">
        <f t="shared" si="122"/>
        <v xml:space="preserve">    30.0 </v>
      </c>
      <c r="U363" t="str">
        <f t="shared" si="126"/>
        <v xml:space="preserve">       10.1% </v>
      </c>
      <c r="V363" t="str">
        <f t="shared" si="114"/>
        <v xml:space="preserve">         </v>
      </c>
      <c r="W363" t="str">
        <f t="shared" si="123"/>
        <v xml:space="preserve">         </v>
      </c>
      <c r="X363" t="str">
        <f t="shared" si="127"/>
        <v xml:space="preserve"> 10397 </v>
      </c>
      <c r="Y363" t="str">
        <f t="shared" si="127"/>
        <v xml:space="preserve"> TIOHUG-RS069 </v>
      </c>
      <c r="Z363" t="str">
        <f t="shared" si="127"/>
        <v xml:space="preserve">  1 </v>
      </c>
      <c r="AA363" t="str">
        <f t="shared" si="115"/>
        <v xml:space="preserve">    -2.9 </v>
      </c>
      <c r="AB363" t="str">
        <f t="shared" si="124"/>
        <v xml:space="preserve">    -1.0 </v>
      </c>
      <c r="AC363" t="str">
        <f t="shared" si="125"/>
        <v xml:space="preserve">     3.0 </v>
      </c>
      <c r="AD363" t="str">
        <f t="shared" si="126"/>
        <v xml:space="preserve">        </v>
      </c>
      <c r="AE363" t="str">
        <f t="shared" si="116"/>
        <v xml:space="preserve">       </v>
      </c>
      <c r="AF363" t="str">
        <f t="shared" si="128"/>
        <v xml:space="preserve">     </v>
      </c>
      <c r="AG363" t="str">
        <f t="shared" si="128"/>
        <v xml:space="preserve">     0.02 </v>
      </c>
      <c r="AH363" t="str">
        <f t="shared" si="117"/>
        <v xml:space="preserve">    -0.52 </v>
      </c>
      <c r="AI363" t="str">
        <f t="shared" si="118"/>
        <v xml:space="preserve">       </v>
      </c>
      <c r="AJ363" t="str">
        <f t="shared" si="119"/>
        <v xml:space="preserve">      </v>
      </c>
    </row>
    <row r="364" spans="1:36" x14ac:dyDescent="0.25">
      <c r="A364" t="s">
        <v>289</v>
      </c>
      <c r="P364" t="str">
        <f t="shared" si="120"/>
        <v xml:space="preserve">                </v>
      </c>
      <c r="Q364" t="str">
        <f t="shared" si="120"/>
        <v xml:space="preserve">         </v>
      </c>
      <c r="R364" t="str">
        <f t="shared" si="113"/>
        <v xml:space="preserve">    83.0 </v>
      </c>
      <c r="S364" t="str">
        <f t="shared" si="121"/>
        <v xml:space="preserve">   120.0 </v>
      </c>
      <c r="T364" t="str">
        <f t="shared" si="122"/>
        <v xml:space="preserve">   120.0 </v>
      </c>
      <c r="U364" t="str">
        <f t="shared" si="126"/>
        <v xml:space="preserve">       35.8% </v>
      </c>
      <c r="V364" t="str">
        <f t="shared" si="114"/>
        <v xml:space="preserve">         </v>
      </c>
      <c r="W364" t="str">
        <f t="shared" si="123"/>
        <v xml:space="preserve">         </v>
      </c>
      <c r="X364" t="str">
        <f t="shared" si="127"/>
        <v xml:space="preserve"> 41378 </v>
      </c>
      <c r="Y364" t="str">
        <f t="shared" si="127"/>
        <v xml:space="preserve"> SMT--3-RS000 </v>
      </c>
      <c r="Z364" t="str">
        <f t="shared" si="127"/>
        <v xml:space="preserve">  3 </v>
      </c>
      <c r="AA364" t="str">
        <f t="shared" si="115"/>
        <v xml:space="preserve">   -30.0 </v>
      </c>
      <c r="AB364" t="str">
        <f t="shared" si="124"/>
        <v xml:space="preserve">     2.1 </v>
      </c>
      <c r="AC364" t="str">
        <f t="shared" si="125"/>
        <v xml:space="preserve">    29.7 </v>
      </c>
      <c r="AD364" t="str">
        <f t="shared" si="126"/>
        <v xml:space="preserve"> 1.000F </v>
      </c>
      <c r="AE364" t="str">
        <f t="shared" si="116"/>
        <v xml:space="preserve">       </v>
      </c>
      <c r="AF364" t="str">
        <f t="shared" si="128"/>
        <v xml:space="preserve"> 002 </v>
      </c>
      <c r="AG364" t="str">
        <f t="shared" si="128"/>
        <v xml:space="preserve">     0.01 </v>
      </c>
      <c r="AH364" t="str">
        <f t="shared" si="117"/>
        <v xml:space="preserve">    -0.10 </v>
      </c>
      <c r="AI364" t="str">
        <f t="shared" si="118"/>
        <v xml:space="preserve">       </v>
      </c>
      <c r="AJ364" t="str">
        <f t="shared" si="119"/>
        <v xml:space="preserve">      </v>
      </c>
    </row>
    <row r="365" spans="1:36" x14ac:dyDescent="0.25">
      <c r="A365" t="s">
        <v>290</v>
      </c>
      <c r="P365" t="str">
        <f t="shared" si="120"/>
        <v xml:space="preserve">                </v>
      </c>
      <c r="Q365" t="str">
        <f t="shared" si="120"/>
        <v xml:space="preserve">         </v>
      </c>
      <c r="R365" t="str">
        <f t="shared" si="113"/>
        <v xml:space="preserve">    83.0 </v>
      </c>
      <c r="S365" t="str">
        <f t="shared" si="121"/>
        <v xml:space="preserve">   100.0 </v>
      </c>
      <c r="T365" t="str">
        <f t="shared" si="122"/>
        <v xml:space="preserve">   100.0 </v>
      </c>
      <c r="U365" t="str">
        <f t="shared" si="126"/>
        <v xml:space="preserve">       35.9% </v>
      </c>
      <c r="V365" t="str">
        <f t="shared" si="114"/>
        <v xml:space="preserve">         </v>
      </c>
      <c r="W365" t="str">
        <f t="shared" si="123"/>
        <v xml:space="preserve">         </v>
      </c>
      <c r="X365" t="str">
        <f t="shared" si="127"/>
        <v xml:space="preserve"> 41379 </v>
      </c>
      <c r="Y365" t="str">
        <f t="shared" si="127"/>
        <v xml:space="preserve"> SMT-11-RS000 </v>
      </c>
      <c r="Z365" t="str">
        <f t="shared" si="127"/>
        <v xml:space="preserve"> 11 </v>
      </c>
      <c r="AA365" t="str">
        <f t="shared" si="115"/>
        <v xml:space="preserve">   -30.0 </v>
      </c>
      <c r="AB365" t="str">
        <f t="shared" si="124"/>
        <v xml:space="preserve">     2.2 </v>
      </c>
      <c r="AC365" t="str">
        <f t="shared" si="125"/>
        <v xml:space="preserve">    29.8 </v>
      </c>
      <c r="AD365" t="str">
        <f t="shared" si="126"/>
        <v xml:space="preserve"> 1.000F </v>
      </c>
      <c r="AE365" t="str">
        <f t="shared" si="116"/>
        <v xml:space="preserve">       </v>
      </c>
      <c r="AF365" t="str">
        <f t="shared" si="128"/>
        <v xml:space="preserve"> 002 </v>
      </c>
      <c r="AG365" t="str">
        <f t="shared" si="128"/>
        <v xml:space="preserve">     0.02 </v>
      </c>
      <c r="AH365" t="str">
        <f t="shared" si="117"/>
        <v xml:space="preserve">    -0.13 </v>
      </c>
      <c r="AI365" t="str">
        <f t="shared" si="118"/>
        <v xml:space="preserve">       </v>
      </c>
      <c r="AJ365" t="str">
        <f t="shared" si="119"/>
        <v xml:space="preserve">      </v>
      </c>
    </row>
    <row r="366" spans="1:36" x14ac:dyDescent="0.25">
      <c r="A366" t="s">
        <v>14</v>
      </c>
      <c r="P366" t="str">
        <f t="shared" si="120"/>
        <v xml:space="preserve">  ..............</v>
      </c>
      <c r="Q366" t="str">
        <f t="shared" si="120"/>
        <v>.........</v>
      </c>
      <c r="R366" t="str">
        <f t="shared" si="113"/>
        <v>.........</v>
      </c>
      <c r="S366" t="str">
        <f t="shared" si="121"/>
        <v>.........</v>
      </c>
      <c r="T366" t="str">
        <f t="shared" si="122"/>
        <v>.........</v>
      </c>
      <c r="U366" t="str">
        <f t="shared" si="126"/>
        <v>.............</v>
      </c>
      <c r="V366" t="str">
        <f t="shared" si="114"/>
        <v>.........</v>
      </c>
      <c r="W366" t="str">
        <f t="shared" si="123"/>
        <v>.........</v>
      </c>
      <c r="X366" t="str">
        <f t="shared" si="127"/>
        <v>.......</v>
      </c>
      <c r="Y366" t="str">
        <f t="shared" si="127"/>
        <v>..............</v>
      </c>
      <c r="Z366" t="str">
        <f t="shared" si="127"/>
        <v>....</v>
      </c>
      <c r="AA366" t="str">
        <f t="shared" si="115"/>
        <v>.........</v>
      </c>
      <c r="AB366" t="str">
        <f t="shared" si="124"/>
        <v>.........</v>
      </c>
      <c r="AC366" t="str">
        <f t="shared" si="125"/>
        <v>.........</v>
      </c>
      <c r="AD366" t="str">
        <f t="shared" si="126"/>
        <v>........</v>
      </c>
      <c r="AE366" t="str">
        <f t="shared" si="116"/>
        <v>.......</v>
      </c>
      <c r="AF366" t="str">
        <f t="shared" si="128"/>
        <v>.....</v>
      </c>
      <c r="AG366" t="str">
        <f t="shared" si="128"/>
        <v>..........</v>
      </c>
      <c r="AH366" t="str">
        <f t="shared" si="117"/>
        <v>..........</v>
      </c>
      <c r="AI366" t="str">
        <f t="shared" si="118"/>
        <v>.......</v>
      </c>
      <c r="AJ366" t="str">
        <f t="shared" si="119"/>
        <v>.......</v>
      </c>
    </row>
    <row r="367" spans="1:36" x14ac:dyDescent="0.25">
      <c r="A367" t="s">
        <v>291</v>
      </c>
      <c r="P367" t="str">
        <f t="shared" si="120"/>
        <v xml:space="preserve">   1280  138  0 </v>
      </c>
      <c r="Q367" t="str">
        <f t="shared" si="120"/>
        <v xml:space="preserve">   1.017 </v>
      </c>
      <c r="R367" t="str">
        <f t="shared" si="113"/>
        <v xml:space="preserve">     5.9 </v>
      </c>
      <c r="S367" t="str">
        <f t="shared" si="121"/>
        <v xml:space="preserve">     0.0 </v>
      </c>
      <c r="T367" t="str">
        <f t="shared" si="122"/>
        <v xml:space="preserve">    35.4 </v>
      </c>
      <c r="U367" t="str">
        <f t="shared" si="126"/>
        <v xml:space="preserve">         0.0 </v>
      </c>
      <c r="V367" t="str">
        <f t="shared" si="114"/>
        <v xml:space="preserve">     3.7 </v>
      </c>
      <c r="W367" t="str">
        <f t="shared" si="123"/>
        <v xml:space="preserve">     0.0</v>
      </c>
      <c r="X367" t="str">
        <f t="shared" si="127"/>
        <v/>
      </c>
      <c r="Y367" t="str">
        <f t="shared" si="127"/>
        <v/>
      </c>
      <c r="Z367" t="str">
        <f t="shared" si="127"/>
        <v/>
      </c>
      <c r="AA367" t="str">
        <f t="shared" si="115"/>
        <v/>
      </c>
      <c r="AB367" t="str">
        <f t="shared" si="124"/>
        <v/>
      </c>
      <c r="AC367" t="str">
        <f t="shared" si="125"/>
        <v/>
      </c>
      <c r="AD367" t="str">
        <f t="shared" si="126"/>
        <v/>
      </c>
      <c r="AE367" t="str">
        <f t="shared" si="116"/>
        <v/>
      </c>
      <c r="AF367" t="str">
        <f t="shared" si="128"/>
        <v/>
      </c>
      <c r="AG367" t="str">
        <f t="shared" si="128"/>
        <v/>
      </c>
      <c r="AH367" t="str">
        <f t="shared" si="117"/>
        <v/>
      </c>
      <c r="AI367" t="str">
        <f t="shared" si="118"/>
        <v/>
      </c>
      <c r="AJ367" t="str">
        <f t="shared" si="119"/>
        <v/>
      </c>
    </row>
    <row r="368" spans="1:36" x14ac:dyDescent="0.25">
      <c r="A368" t="s">
        <v>292</v>
      </c>
      <c r="P368" t="str">
        <f t="shared" si="120"/>
        <v xml:space="preserve">  SAOSCA-RS138  </v>
      </c>
      <c r="Q368" t="str">
        <f t="shared" si="120"/>
        <v xml:space="preserve">   -51.4 </v>
      </c>
      <c r="R368" t="str">
        <f t="shared" si="113"/>
        <v xml:space="preserve">     0.0 </v>
      </c>
      <c r="S368" t="str">
        <f t="shared" si="121"/>
        <v xml:space="preserve">     0.0 </v>
      </c>
      <c r="T368" t="str">
        <f t="shared" si="122"/>
        <v xml:space="preserve">    12.8 </v>
      </c>
      <c r="U368" t="str">
        <f t="shared" si="126"/>
        <v xml:space="preserve">         0.0 </v>
      </c>
      <c r="V368" t="str">
        <f t="shared" si="114"/>
        <v xml:space="preserve">     0.0 </v>
      </c>
      <c r="W368" t="str">
        <f t="shared" si="123"/>
        <v xml:space="preserve">     0.0 </v>
      </c>
      <c r="X368" t="str">
        <f t="shared" si="127"/>
        <v xml:space="preserve">       </v>
      </c>
      <c r="Y368" t="str">
        <f t="shared" si="127"/>
        <v xml:space="preserve">              </v>
      </c>
      <c r="Z368" t="str">
        <f t="shared" si="127"/>
        <v xml:space="preserve">    </v>
      </c>
      <c r="AA368" t="str">
        <f t="shared" si="115"/>
        <v xml:space="preserve">         </v>
      </c>
      <c r="AB368" t="str">
        <f t="shared" si="124"/>
        <v xml:space="preserve">         </v>
      </c>
      <c r="AC368" t="str">
        <f t="shared" si="125"/>
        <v xml:space="preserve">    </v>
      </c>
      <c r="AD368" t="str">
        <f t="shared" si="126"/>
        <v/>
      </c>
      <c r="AE368" t="str">
        <f t="shared" si="116"/>
        <v/>
      </c>
      <c r="AF368" t="str">
        <f t="shared" si="128"/>
        <v/>
      </c>
      <c r="AG368" t="str">
        <f t="shared" si="128"/>
        <v/>
      </c>
      <c r="AH368" t="str">
        <f t="shared" si="117"/>
        <v/>
      </c>
      <c r="AI368" t="str">
        <f t="shared" si="118"/>
        <v/>
      </c>
      <c r="AJ368" t="str">
        <f t="shared" si="119"/>
        <v/>
      </c>
    </row>
    <row r="369" spans="1:36" x14ac:dyDescent="0.25">
      <c r="A369" t="s">
        <v>293</v>
      </c>
      <c r="P369" t="str">
        <f t="shared" si="120"/>
        <v xml:space="preserve">              DE</v>
      </c>
      <c r="Q369" t="str">
        <f t="shared" si="120"/>
        <v xml:space="preserve">ESLIGADO </v>
      </c>
      <c r="R369" t="str">
        <f t="shared" si="113"/>
        <v xml:space="preserve">   134.0 </v>
      </c>
      <c r="S369" t="str">
        <f t="shared" si="121"/>
        <v xml:space="preserve">   162.0 </v>
      </c>
      <c r="T369" t="str">
        <f t="shared" si="122"/>
        <v xml:space="preserve">   162.0 </v>
      </c>
      <c r="U369" t="str">
        <f t="shared" si="126"/>
        <v xml:space="preserve">             </v>
      </c>
      <c r="V369" t="str">
        <f t="shared" si="114"/>
        <v xml:space="preserve">         </v>
      </c>
      <c r="W369" t="str">
        <f t="shared" si="123"/>
        <v xml:space="preserve">         </v>
      </c>
      <c r="X369" t="str">
        <f t="shared" si="127"/>
        <v xml:space="preserve">  9964 </v>
      </c>
      <c r="Y369" t="str">
        <f t="shared" si="127"/>
        <v xml:space="preserve"> BPRINC-RS138 </v>
      </c>
      <c r="Z369" t="str">
        <f t="shared" si="127"/>
        <v xml:space="preserve">  1 </v>
      </c>
      <c r="AA369" t="str">
        <f t="shared" si="115"/>
        <v xml:space="preserve">     0.0 </v>
      </c>
      <c r="AB369" t="str">
        <f t="shared" si="124"/>
        <v xml:space="preserve">     0.0 </v>
      </c>
      <c r="AC369" t="str">
        <f t="shared" si="125"/>
        <v xml:space="preserve">     0.0 </v>
      </c>
      <c r="AD369" t="str">
        <f t="shared" si="126"/>
        <v xml:space="preserve">        </v>
      </c>
      <c r="AE369" t="str">
        <f t="shared" si="116"/>
        <v xml:space="preserve">       </v>
      </c>
      <c r="AF369" t="str">
        <f t="shared" si="128"/>
        <v xml:space="preserve">     </v>
      </c>
      <c r="AG369" t="str">
        <f t="shared" si="128"/>
        <v xml:space="preserve">     0.00 </v>
      </c>
      <c r="AH369" t="str">
        <f t="shared" si="117"/>
        <v xml:space="preserve">     0.00 </v>
      </c>
      <c r="AI369" t="str">
        <f t="shared" si="118"/>
        <v xml:space="preserve">       </v>
      </c>
      <c r="AJ369" t="str">
        <f t="shared" si="119"/>
        <v xml:space="preserve">      </v>
      </c>
    </row>
    <row r="370" spans="1:36" x14ac:dyDescent="0.25">
      <c r="A370" t="s">
        <v>294</v>
      </c>
      <c r="P370" t="str">
        <f t="shared" si="120"/>
        <v xml:space="preserve">                </v>
      </c>
      <c r="Q370" t="str">
        <f t="shared" si="120"/>
        <v xml:space="preserve">         </v>
      </c>
      <c r="R370" t="str">
        <f t="shared" si="113"/>
        <v xml:space="preserve">   134.0 </v>
      </c>
      <c r="S370" t="str">
        <f t="shared" si="121"/>
        <v xml:space="preserve">   162.0 </v>
      </c>
      <c r="T370" t="str">
        <f t="shared" si="122"/>
        <v xml:space="preserve">   162.0 </v>
      </c>
      <c r="U370" t="str">
        <f t="shared" si="126"/>
        <v xml:space="preserve">       11.3% </v>
      </c>
      <c r="V370" t="str">
        <f t="shared" si="114"/>
        <v xml:space="preserve">         </v>
      </c>
      <c r="W370" t="str">
        <f t="shared" si="123"/>
        <v xml:space="preserve">         </v>
      </c>
      <c r="X370" t="str">
        <f t="shared" si="127"/>
        <v xml:space="preserve"> 10308 </v>
      </c>
      <c r="Y370" t="str">
        <f t="shared" si="127"/>
        <v xml:space="preserve"> SSCAI2-RS138 </v>
      </c>
      <c r="Z370" t="str">
        <f t="shared" si="127"/>
        <v xml:space="preserve">  1 </v>
      </c>
      <c r="AA370" t="str">
        <f t="shared" si="115"/>
        <v xml:space="preserve">   -14.7 </v>
      </c>
      <c r="AB370" t="str">
        <f t="shared" si="124"/>
        <v xml:space="preserve">    -4.5 </v>
      </c>
      <c r="AC370" t="str">
        <f t="shared" si="125"/>
        <v xml:space="preserve">    15.2 </v>
      </c>
      <c r="AD370" t="str">
        <f t="shared" si="126"/>
        <v xml:space="preserve">        </v>
      </c>
      <c r="AE370" t="str">
        <f t="shared" si="116"/>
        <v xml:space="preserve">       </v>
      </c>
      <c r="AF370" t="str">
        <f t="shared" si="128"/>
        <v xml:space="preserve">     </v>
      </c>
      <c r="AG370" t="str">
        <f t="shared" si="128"/>
        <v xml:space="preserve">     0.01 </v>
      </c>
      <c r="AH370" t="str">
        <f t="shared" si="117"/>
        <v xml:space="preserve">    -0.26 </v>
      </c>
      <c r="AI370" t="str">
        <f t="shared" si="118"/>
        <v xml:space="preserve">       </v>
      </c>
      <c r="AJ370" t="str">
        <f t="shared" si="119"/>
        <v xml:space="preserve">      </v>
      </c>
    </row>
    <row r="371" spans="1:36" x14ac:dyDescent="0.25">
      <c r="A371" t="s">
        <v>295</v>
      </c>
      <c r="P371" t="str">
        <f t="shared" si="120"/>
        <v xml:space="preserve">                </v>
      </c>
      <c r="Q371" t="str">
        <f t="shared" si="120"/>
        <v xml:space="preserve">         </v>
      </c>
      <c r="R371" t="str">
        <f t="shared" si="113"/>
        <v xml:space="preserve">   134.0 </v>
      </c>
      <c r="S371" t="str">
        <f t="shared" si="121"/>
        <v xml:space="preserve">   162.0 </v>
      </c>
      <c r="T371" t="str">
        <f t="shared" si="122"/>
        <v xml:space="preserve">   162.0 </v>
      </c>
      <c r="U371" t="str">
        <f t="shared" si="126"/>
        <v xml:space="preserve">       11.3% </v>
      </c>
      <c r="V371" t="str">
        <f t="shared" si="114"/>
        <v xml:space="preserve">         </v>
      </c>
      <c r="W371" t="str">
        <f t="shared" si="123"/>
        <v xml:space="preserve">         </v>
      </c>
      <c r="X371" t="str">
        <f t="shared" si="127"/>
        <v xml:space="preserve"> 10308 </v>
      </c>
      <c r="Y371" t="str">
        <f t="shared" si="127"/>
        <v xml:space="preserve"> SSCAI2-RS138 </v>
      </c>
      <c r="Z371" t="str">
        <f t="shared" si="127"/>
        <v xml:space="preserve">  2 </v>
      </c>
      <c r="AA371" t="str">
        <f t="shared" si="115"/>
        <v xml:space="preserve">   -14.7 </v>
      </c>
      <c r="AB371" t="str">
        <f t="shared" si="124"/>
        <v xml:space="preserve">    -4.5 </v>
      </c>
      <c r="AC371" t="str">
        <f t="shared" si="125"/>
        <v xml:space="preserve">    15.2 </v>
      </c>
      <c r="AD371" t="str">
        <f t="shared" si="126"/>
        <v xml:space="preserve">        </v>
      </c>
      <c r="AE371" t="str">
        <f t="shared" si="116"/>
        <v xml:space="preserve">       </v>
      </c>
      <c r="AF371" t="str">
        <f t="shared" si="128"/>
        <v xml:space="preserve">     </v>
      </c>
      <c r="AG371" t="str">
        <f t="shared" si="128"/>
        <v xml:space="preserve">     0.01 </v>
      </c>
      <c r="AH371" t="str">
        <f t="shared" si="117"/>
        <v xml:space="preserve">    -0.26 </v>
      </c>
      <c r="AI371" t="str">
        <f t="shared" si="118"/>
        <v xml:space="preserve">       </v>
      </c>
      <c r="AJ371" t="str">
        <f t="shared" si="119"/>
        <v xml:space="preserve">      </v>
      </c>
    </row>
    <row r="372" spans="1:36" x14ac:dyDescent="0.25">
      <c r="A372" t="s">
        <v>14</v>
      </c>
      <c r="P372" t="str">
        <f t="shared" si="120"/>
        <v xml:space="preserve">  ..............</v>
      </c>
      <c r="Q372" t="str">
        <f t="shared" si="120"/>
        <v>.........</v>
      </c>
      <c r="R372" t="str">
        <f t="shared" si="113"/>
        <v>.........</v>
      </c>
      <c r="S372" t="str">
        <f t="shared" si="121"/>
        <v>.........</v>
      </c>
      <c r="T372" t="str">
        <f t="shared" si="122"/>
        <v>.........</v>
      </c>
      <c r="U372" t="str">
        <f t="shared" si="126"/>
        <v>.............</v>
      </c>
      <c r="V372" t="str">
        <f t="shared" si="114"/>
        <v>.........</v>
      </c>
      <c r="W372" t="str">
        <f t="shared" si="123"/>
        <v>.........</v>
      </c>
      <c r="X372" t="str">
        <f t="shared" si="127"/>
        <v>.......</v>
      </c>
      <c r="Y372" t="str">
        <f t="shared" si="127"/>
        <v>..............</v>
      </c>
      <c r="Z372" t="str">
        <f t="shared" si="127"/>
        <v>....</v>
      </c>
      <c r="AA372" t="str">
        <f t="shared" si="115"/>
        <v>.........</v>
      </c>
      <c r="AB372" t="str">
        <f t="shared" si="124"/>
        <v>.........</v>
      </c>
      <c r="AC372" t="str">
        <f t="shared" si="125"/>
        <v>.........</v>
      </c>
      <c r="AD372" t="str">
        <f t="shared" si="126"/>
        <v>........</v>
      </c>
      <c r="AE372" t="str">
        <f t="shared" si="116"/>
        <v>.......</v>
      </c>
      <c r="AF372" t="str">
        <f t="shared" si="128"/>
        <v>.....</v>
      </c>
      <c r="AG372" t="str">
        <f t="shared" si="128"/>
        <v>..........</v>
      </c>
      <c r="AH372" t="str">
        <f t="shared" si="117"/>
        <v>..........</v>
      </c>
      <c r="AI372" t="str">
        <f t="shared" si="118"/>
        <v>.......</v>
      </c>
      <c r="AJ372" t="str">
        <f t="shared" si="119"/>
        <v>.......</v>
      </c>
    </row>
    <row r="373" spans="1:36" x14ac:dyDescent="0.25">
      <c r="A373" t="s">
        <v>296</v>
      </c>
      <c r="P373" t="str">
        <f t="shared" si="120"/>
        <v xml:space="preserve">   1282   69  0 </v>
      </c>
      <c r="Q373" t="str">
        <f t="shared" si="120"/>
        <v xml:space="preserve">   1.009 </v>
      </c>
      <c r="R373" t="str">
        <f t="shared" si="113"/>
        <v xml:space="preserve">    29.8 </v>
      </c>
      <c r="S373" t="str">
        <f t="shared" si="121"/>
        <v xml:space="preserve">     0.0 </v>
      </c>
      <c r="T373" t="str">
        <f t="shared" si="122"/>
        <v xml:space="preserve">   155.2 </v>
      </c>
      <c r="U373" t="str">
        <f t="shared" si="126"/>
        <v xml:space="preserve">         0.0 </v>
      </c>
      <c r="V373" t="str">
        <f t="shared" si="114"/>
        <v xml:space="preserve">     3.7 </v>
      </c>
      <c r="W373" t="str">
        <f t="shared" si="123"/>
        <v xml:space="preserve">     0.0</v>
      </c>
      <c r="X373" t="str">
        <f t="shared" si="127"/>
        <v/>
      </c>
      <c r="Y373" t="str">
        <f t="shared" si="127"/>
        <v/>
      </c>
      <c r="Z373" t="str">
        <f t="shared" si="127"/>
        <v/>
      </c>
      <c r="AA373" t="str">
        <f t="shared" si="115"/>
        <v/>
      </c>
      <c r="AB373" t="str">
        <f t="shared" si="124"/>
        <v/>
      </c>
      <c r="AC373" t="str">
        <f t="shared" si="125"/>
        <v/>
      </c>
      <c r="AD373" t="str">
        <f t="shared" si="126"/>
        <v/>
      </c>
      <c r="AE373" t="str">
        <f t="shared" si="116"/>
        <v/>
      </c>
      <c r="AF373" t="str">
        <f t="shared" si="128"/>
        <v/>
      </c>
      <c r="AG373" t="str">
        <f t="shared" si="128"/>
        <v/>
      </c>
      <c r="AH373" t="str">
        <f t="shared" si="117"/>
        <v/>
      </c>
      <c r="AI373" t="str">
        <f t="shared" si="118"/>
        <v/>
      </c>
      <c r="AJ373" t="str">
        <f t="shared" si="119"/>
        <v/>
      </c>
    </row>
    <row r="374" spans="1:36" x14ac:dyDescent="0.25">
      <c r="A374" t="s">
        <v>297</v>
      </c>
      <c r="P374" t="str">
        <f t="shared" si="120"/>
        <v xml:space="preserve">  SROSA--RS069  </v>
      </c>
      <c r="Q374" t="str">
        <f t="shared" si="120"/>
        <v xml:space="preserve">   -48.2 </v>
      </c>
      <c r="R374" t="str">
        <f t="shared" si="113"/>
        <v xml:space="preserve">     0.0 </v>
      </c>
      <c r="S374" t="str">
        <f t="shared" si="121"/>
        <v xml:space="preserve">     0.0 </v>
      </c>
      <c r="T374" t="str">
        <f t="shared" si="122"/>
        <v xml:space="preserve">    55.9 </v>
      </c>
      <c r="U374" t="str">
        <f t="shared" si="126"/>
        <v xml:space="preserve">         0.0 </v>
      </c>
      <c r="V374" t="str">
        <f t="shared" si="114"/>
        <v xml:space="preserve">     0.0 </v>
      </c>
      <c r="W374" t="str">
        <f t="shared" si="123"/>
        <v xml:space="preserve">     0.0 </v>
      </c>
      <c r="X374" t="str">
        <f t="shared" si="127"/>
        <v xml:space="preserve">       </v>
      </c>
      <c r="Y374" t="str">
        <f t="shared" si="127"/>
        <v xml:space="preserve">              </v>
      </c>
      <c r="Z374" t="str">
        <f t="shared" si="127"/>
        <v xml:space="preserve">    </v>
      </c>
      <c r="AA374" t="str">
        <f t="shared" si="115"/>
        <v xml:space="preserve">         </v>
      </c>
      <c r="AB374" t="str">
        <f t="shared" si="124"/>
        <v xml:space="preserve">         </v>
      </c>
      <c r="AC374" t="str">
        <f t="shared" si="125"/>
        <v xml:space="preserve">    </v>
      </c>
      <c r="AD374" t="str">
        <f t="shared" si="126"/>
        <v/>
      </c>
      <c r="AE374" t="str">
        <f t="shared" si="116"/>
        <v/>
      </c>
      <c r="AF374" t="str">
        <f t="shared" si="128"/>
        <v/>
      </c>
      <c r="AG374" t="str">
        <f t="shared" si="128"/>
        <v/>
      </c>
      <c r="AH374" t="str">
        <f t="shared" si="117"/>
        <v/>
      </c>
      <c r="AI374" t="str">
        <f t="shared" si="118"/>
        <v/>
      </c>
      <c r="AJ374" t="str">
        <f t="shared" si="119"/>
        <v/>
      </c>
    </row>
    <row r="375" spans="1:36" x14ac:dyDescent="0.25">
      <c r="A375" t="s">
        <v>298</v>
      </c>
      <c r="P375" t="str">
        <f t="shared" si="120"/>
        <v xml:space="preserve">                </v>
      </c>
      <c r="Q375" t="str">
        <f t="shared" si="120"/>
        <v xml:space="preserve">         </v>
      </c>
      <c r="R375" t="str">
        <f t="shared" si="113"/>
        <v xml:space="preserve">    48.0 </v>
      </c>
      <c r="S375" t="str">
        <f t="shared" si="121"/>
        <v xml:space="preserve">    71.0 </v>
      </c>
      <c r="T375" t="str">
        <f t="shared" si="122"/>
        <v xml:space="preserve">    71.0 </v>
      </c>
      <c r="U375" t="str">
        <f t="shared" si="126"/>
        <v xml:space="preserve">        6.5% </v>
      </c>
      <c r="V375" t="str">
        <f t="shared" si="114"/>
        <v xml:space="preserve">         </v>
      </c>
      <c r="W375" t="str">
        <f t="shared" si="123"/>
        <v xml:space="preserve">         </v>
      </c>
      <c r="X375" t="str">
        <f t="shared" si="127"/>
        <v xml:space="preserve">  9261 </v>
      </c>
      <c r="Y375" t="str">
        <f t="shared" si="127"/>
        <v xml:space="preserve"> CLARGO-RS069 </v>
      </c>
      <c r="Z375" t="str">
        <f t="shared" si="127"/>
        <v xml:space="preserve">  1 </v>
      </c>
      <c r="AA375" t="str">
        <f t="shared" si="115"/>
        <v xml:space="preserve">    -2.5 </v>
      </c>
      <c r="AB375" t="str">
        <f t="shared" si="124"/>
        <v xml:space="preserve">     1.9 </v>
      </c>
      <c r="AC375" t="str">
        <f t="shared" si="125"/>
        <v xml:space="preserve">     3.1 </v>
      </c>
      <c r="AD375" t="str">
        <f t="shared" si="126"/>
        <v xml:space="preserve">        </v>
      </c>
      <c r="AE375" t="str">
        <f t="shared" si="116"/>
        <v xml:space="preserve">       </v>
      </c>
      <c r="AF375" t="str">
        <f t="shared" si="128"/>
        <v xml:space="preserve">     </v>
      </c>
      <c r="AG375" t="str">
        <f t="shared" si="128"/>
        <v xml:space="preserve">     0.02 </v>
      </c>
      <c r="AH375" t="str">
        <f t="shared" si="117"/>
        <v xml:space="preserve">    -0.64 </v>
      </c>
      <c r="AI375" t="str">
        <f t="shared" si="118"/>
        <v xml:space="preserve">       </v>
      </c>
      <c r="AJ375" t="str">
        <f t="shared" si="119"/>
        <v xml:space="preserve">      </v>
      </c>
    </row>
    <row r="376" spans="1:36" x14ac:dyDescent="0.25">
      <c r="A376" t="s">
        <v>299</v>
      </c>
      <c r="P376" t="str">
        <f t="shared" si="120"/>
        <v xml:space="preserve">                </v>
      </c>
      <c r="Q376" t="str">
        <f t="shared" si="120"/>
        <v xml:space="preserve">         </v>
      </c>
      <c r="R376" t="str">
        <f t="shared" si="113"/>
        <v xml:space="preserve">    60.0 </v>
      </c>
      <c r="S376" t="str">
        <f t="shared" si="121"/>
        <v xml:space="preserve">    70.0 </v>
      </c>
      <c r="T376" t="str">
        <f t="shared" si="122"/>
        <v xml:space="preserve">    70.0 </v>
      </c>
      <c r="U376" t="str">
        <f t="shared" si="126"/>
        <v xml:space="preserve">       19.5% </v>
      </c>
      <c r="V376" t="str">
        <f t="shared" si="114"/>
        <v xml:space="preserve">         </v>
      </c>
      <c r="W376" t="str">
        <f t="shared" si="123"/>
        <v xml:space="preserve">         </v>
      </c>
      <c r="X376" t="str">
        <f t="shared" si="127"/>
        <v xml:space="preserve"> 10022 </v>
      </c>
      <c r="Y376" t="str">
        <f t="shared" si="127"/>
        <v xml:space="preserve"> COOLUZ-RS069 </v>
      </c>
      <c r="Z376" t="str">
        <f t="shared" si="127"/>
        <v xml:space="preserve">  1 </v>
      </c>
      <c r="AA376" t="str">
        <f t="shared" si="115"/>
        <v xml:space="preserve">    10.9 </v>
      </c>
      <c r="AB376" t="str">
        <f t="shared" si="124"/>
        <v xml:space="preserve">     4.5 </v>
      </c>
      <c r="AC376" t="str">
        <f t="shared" si="125"/>
        <v xml:space="preserve">    11.7 </v>
      </c>
      <c r="AD376" t="str">
        <f t="shared" si="126"/>
        <v xml:space="preserve">        </v>
      </c>
      <c r="AE376" t="str">
        <f t="shared" si="116"/>
        <v xml:space="preserve">       </v>
      </c>
      <c r="AF376" t="str">
        <f t="shared" si="128"/>
        <v xml:space="preserve">     </v>
      </c>
      <c r="AG376" t="str">
        <f t="shared" si="128"/>
        <v xml:space="preserve">     0.01 </v>
      </c>
      <c r="AH376" t="str">
        <f t="shared" si="117"/>
        <v xml:space="preserve">    -0.01 </v>
      </c>
      <c r="AI376" t="str">
        <f t="shared" si="118"/>
        <v xml:space="preserve">       </v>
      </c>
      <c r="AJ376" t="str">
        <f t="shared" si="119"/>
        <v xml:space="preserve">      </v>
      </c>
    </row>
    <row r="377" spans="1:36" x14ac:dyDescent="0.25">
      <c r="A377" t="s">
        <v>300</v>
      </c>
      <c r="P377" t="str">
        <f t="shared" si="120"/>
        <v xml:space="preserve">                </v>
      </c>
      <c r="Q377" t="str">
        <f t="shared" si="120"/>
        <v xml:space="preserve">         </v>
      </c>
      <c r="R377" t="str">
        <f t="shared" si="113"/>
        <v xml:space="preserve">    83.0 </v>
      </c>
      <c r="S377" t="str">
        <f t="shared" si="121"/>
        <v xml:space="preserve">   100.0 </v>
      </c>
      <c r="T377" t="str">
        <f t="shared" si="122"/>
        <v xml:space="preserve">   100.0 </v>
      </c>
      <c r="U377" t="str">
        <f t="shared" si="126"/>
        <v xml:space="preserve">       58.8% </v>
      </c>
      <c r="V377" t="str">
        <f t="shared" si="114"/>
        <v xml:space="preserve">         </v>
      </c>
      <c r="W377" t="str">
        <f t="shared" si="123"/>
        <v xml:space="preserve">         </v>
      </c>
      <c r="X377" t="str">
        <f t="shared" si="127"/>
        <v xml:space="preserve"> 41380 </v>
      </c>
      <c r="Y377" t="str">
        <f t="shared" si="127"/>
        <v xml:space="preserve"> SRO1-9-RS000 </v>
      </c>
      <c r="Z377" t="str">
        <f t="shared" si="127"/>
        <v xml:space="preserve">  9 </v>
      </c>
      <c r="AA377" t="str">
        <f t="shared" si="115"/>
        <v xml:space="preserve">   -45.1 </v>
      </c>
      <c r="AB377" t="str">
        <f t="shared" si="124"/>
        <v xml:space="preserve">   -19.8 </v>
      </c>
      <c r="AC377" t="str">
        <f t="shared" si="125"/>
        <v xml:space="preserve">    48.8 </v>
      </c>
      <c r="AD377" t="str">
        <f t="shared" si="126"/>
        <v xml:space="preserve"> 1.000F </v>
      </c>
      <c r="AE377" t="str">
        <f t="shared" si="116"/>
        <v xml:space="preserve">       </v>
      </c>
      <c r="AF377" t="str">
        <f t="shared" si="128"/>
        <v xml:space="preserve"> 002 </v>
      </c>
      <c r="AG377" t="str">
        <f t="shared" si="128"/>
        <v xml:space="preserve">     0.04 </v>
      </c>
      <c r="AH377" t="str">
        <f t="shared" si="117"/>
        <v xml:space="preserve">    -0.22 </v>
      </c>
      <c r="AI377" t="str">
        <f t="shared" si="118"/>
        <v xml:space="preserve">       </v>
      </c>
      <c r="AJ377" t="str">
        <f t="shared" si="119"/>
        <v xml:space="preserve">      </v>
      </c>
    </row>
    <row r="378" spans="1:36" x14ac:dyDescent="0.25">
      <c r="A378" t="s">
        <v>301</v>
      </c>
      <c r="P378" t="str">
        <f t="shared" si="120"/>
        <v xml:space="preserve">                </v>
      </c>
      <c r="Q378" t="str">
        <f t="shared" si="120"/>
        <v xml:space="preserve">         </v>
      </c>
      <c r="R378" t="str">
        <f t="shared" si="113"/>
        <v xml:space="preserve">    83.0 </v>
      </c>
      <c r="S378" t="str">
        <f t="shared" si="121"/>
        <v xml:space="preserve">   120.0 </v>
      </c>
      <c r="T378" t="str">
        <f t="shared" si="122"/>
        <v xml:space="preserve">   120.0 </v>
      </c>
      <c r="U378" t="str">
        <f t="shared" si="126"/>
        <v xml:space="preserve">       57.7% </v>
      </c>
      <c r="V378" t="str">
        <f t="shared" si="114"/>
        <v xml:space="preserve">         </v>
      </c>
      <c r="W378" t="str">
        <f t="shared" si="123"/>
        <v xml:space="preserve">         </v>
      </c>
      <c r="X378" t="str">
        <f t="shared" si="127"/>
        <v xml:space="preserve"> 41381 </v>
      </c>
      <c r="Y378" t="str">
        <f t="shared" si="127"/>
        <v xml:space="preserve"> SRO1-1-RS000 </v>
      </c>
      <c r="Z378" t="str">
        <f t="shared" si="127"/>
        <v xml:space="preserve">  1 </v>
      </c>
      <c r="AA378" t="str">
        <f t="shared" si="115"/>
        <v xml:space="preserve">   -44.2 </v>
      </c>
      <c r="AB378" t="str">
        <f t="shared" si="124"/>
        <v xml:space="preserve">   -19.4 </v>
      </c>
      <c r="AC378" t="str">
        <f t="shared" si="125"/>
        <v xml:space="preserve">    47.9 </v>
      </c>
      <c r="AD378" t="str">
        <f t="shared" si="126"/>
        <v xml:space="preserve"> 1.000F </v>
      </c>
      <c r="AE378" t="str">
        <f t="shared" si="116"/>
        <v xml:space="preserve">       </v>
      </c>
      <c r="AF378" t="str">
        <f t="shared" si="128"/>
        <v xml:space="preserve"> 002 </v>
      </c>
      <c r="AG378" t="str">
        <f t="shared" si="128"/>
        <v xml:space="preserve">     0.04 </v>
      </c>
      <c r="AH378" t="str">
        <f t="shared" si="117"/>
        <v xml:space="preserve">    -0.17 </v>
      </c>
      <c r="AI378" t="str">
        <f t="shared" si="118"/>
        <v xml:space="preserve">       </v>
      </c>
      <c r="AJ378" t="str">
        <f t="shared" si="119"/>
        <v xml:space="preserve">      </v>
      </c>
    </row>
    <row r="379" spans="1:36" x14ac:dyDescent="0.25">
      <c r="A379" t="s">
        <v>302</v>
      </c>
      <c r="P379" t="str">
        <f t="shared" si="120"/>
        <v xml:space="preserve">                </v>
      </c>
      <c r="Q379" t="str">
        <f t="shared" si="120"/>
        <v xml:space="preserve">         </v>
      </c>
      <c r="R379" t="str">
        <f t="shared" si="113"/>
        <v xml:space="preserve">    83.0 </v>
      </c>
      <c r="S379" t="str">
        <f t="shared" si="121"/>
        <v xml:space="preserve">   120.0 </v>
      </c>
      <c r="T379" t="str">
        <f t="shared" si="122"/>
        <v xml:space="preserve">   120.0 </v>
      </c>
      <c r="U379" t="str">
        <f t="shared" si="126"/>
        <v xml:space="preserve">       57.9% </v>
      </c>
      <c r="V379" t="str">
        <f t="shared" si="114"/>
        <v xml:space="preserve">         </v>
      </c>
      <c r="W379" t="str">
        <f t="shared" si="123"/>
        <v xml:space="preserve">         </v>
      </c>
      <c r="X379" t="str">
        <f t="shared" si="127"/>
        <v xml:space="preserve"> 41382 </v>
      </c>
      <c r="Y379" t="str">
        <f t="shared" si="127"/>
        <v xml:space="preserve"> SRO--5-RS000 </v>
      </c>
      <c r="Z379" t="str">
        <f t="shared" si="127"/>
        <v xml:space="preserve">  5 </v>
      </c>
      <c r="AA379" t="str">
        <f t="shared" si="115"/>
        <v xml:space="preserve">   -44.4 </v>
      </c>
      <c r="AB379" t="str">
        <f t="shared" si="124"/>
        <v xml:space="preserve">   -19.5 </v>
      </c>
      <c r="AC379" t="str">
        <f t="shared" si="125"/>
        <v xml:space="preserve">    48.1 </v>
      </c>
      <c r="AD379" t="str">
        <f t="shared" si="126"/>
        <v xml:space="preserve"> 1.000F </v>
      </c>
      <c r="AE379" t="str">
        <f t="shared" si="116"/>
        <v xml:space="preserve">       </v>
      </c>
      <c r="AF379" t="str">
        <f t="shared" si="128"/>
        <v xml:space="preserve"> 002 </v>
      </c>
      <c r="AG379" t="str">
        <f t="shared" si="128"/>
        <v xml:space="preserve">     0.04 </v>
      </c>
      <c r="AH379" t="str">
        <f t="shared" si="117"/>
        <v xml:space="preserve">    -0.25 </v>
      </c>
      <c r="AI379" t="str">
        <f t="shared" si="118"/>
        <v xml:space="preserve">       </v>
      </c>
      <c r="AJ379" t="str">
        <f t="shared" si="119"/>
        <v xml:space="preserve">      </v>
      </c>
    </row>
    <row r="380" spans="1:36" x14ac:dyDescent="0.25">
      <c r="A380" t="s">
        <v>14</v>
      </c>
      <c r="P380" t="str">
        <f t="shared" si="120"/>
        <v xml:space="preserve">  ..............</v>
      </c>
      <c r="Q380" t="str">
        <f t="shared" si="120"/>
        <v>.........</v>
      </c>
      <c r="R380" t="str">
        <f t="shared" si="113"/>
        <v>.........</v>
      </c>
      <c r="S380" t="str">
        <f t="shared" si="121"/>
        <v>.........</v>
      </c>
      <c r="T380" t="str">
        <f t="shared" si="122"/>
        <v>.........</v>
      </c>
      <c r="U380" t="str">
        <f t="shared" si="126"/>
        <v>.............</v>
      </c>
      <c r="V380" t="str">
        <f t="shared" si="114"/>
        <v>.........</v>
      </c>
      <c r="W380" t="str">
        <f t="shared" si="123"/>
        <v>.........</v>
      </c>
      <c r="X380" t="str">
        <f t="shared" si="127"/>
        <v>.......</v>
      </c>
      <c r="Y380" t="str">
        <f t="shared" si="127"/>
        <v>..............</v>
      </c>
      <c r="Z380" t="str">
        <f t="shared" si="127"/>
        <v>....</v>
      </c>
      <c r="AA380" t="str">
        <f t="shared" si="115"/>
        <v>.........</v>
      </c>
      <c r="AB380" t="str">
        <f t="shared" si="124"/>
        <v>.........</v>
      </c>
      <c r="AC380" t="str">
        <f t="shared" si="125"/>
        <v>.........</v>
      </c>
      <c r="AD380" t="str">
        <f t="shared" si="126"/>
        <v>........</v>
      </c>
      <c r="AE380" t="str">
        <f t="shared" si="116"/>
        <v>.......</v>
      </c>
      <c r="AF380" t="str">
        <f t="shared" si="128"/>
        <v>.....</v>
      </c>
      <c r="AG380" t="str">
        <f t="shared" si="128"/>
        <v>..........</v>
      </c>
      <c r="AH380" t="str">
        <f t="shared" si="117"/>
        <v>..........</v>
      </c>
      <c r="AI380" t="str">
        <f t="shared" si="118"/>
        <v>.......</v>
      </c>
      <c r="AJ380" t="str">
        <f t="shared" si="119"/>
        <v>.......</v>
      </c>
    </row>
    <row r="381" spans="1:36" x14ac:dyDescent="0.25">
      <c r="A381" t="s">
        <v>303</v>
      </c>
      <c r="P381" t="str">
        <f t="shared" si="120"/>
        <v xml:space="preserve">   1284   46  0 </v>
      </c>
      <c r="Q381" t="str">
        <f t="shared" si="120"/>
        <v xml:space="preserve">   0.991 </v>
      </c>
      <c r="R381" t="str">
        <f t="shared" si="113"/>
        <v xml:space="preserve">     2.3 </v>
      </c>
      <c r="S381" t="str">
        <f t="shared" si="121"/>
        <v xml:space="preserve">     0.0 </v>
      </c>
      <c r="T381" t="str">
        <f t="shared" si="122"/>
        <v xml:space="preserve">     4.3 </v>
      </c>
      <c r="U381" t="str">
        <f t="shared" si="126"/>
        <v xml:space="preserve">         0.0 </v>
      </c>
      <c r="V381" t="str">
        <f t="shared" si="114"/>
        <v xml:space="preserve">     0.0 </v>
      </c>
      <c r="W381" t="str">
        <f t="shared" si="123"/>
        <v xml:space="preserve">     0.0</v>
      </c>
      <c r="X381" t="str">
        <f t="shared" si="127"/>
        <v/>
      </c>
      <c r="Y381" t="str">
        <f t="shared" si="127"/>
        <v/>
      </c>
      <c r="Z381" t="str">
        <f t="shared" si="127"/>
        <v/>
      </c>
      <c r="AA381" t="str">
        <f t="shared" si="115"/>
        <v/>
      </c>
      <c r="AB381" t="str">
        <f t="shared" si="124"/>
        <v/>
      </c>
      <c r="AC381" t="str">
        <f t="shared" si="125"/>
        <v/>
      </c>
      <c r="AD381" t="str">
        <f t="shared" si="126"/>
        <v/>
      </c>
      <c r="AE381" t="str">
        <f t="shared" si="116"/>
        <v/>
      </c>
      <c r="AF381" t="str">
        <f t="shared" si="128"/>
        <v/>
      </c>
      <c r="AG381" t="str">
        <f t="shared" si="128"/>
        <v/>
      </c>
      <c r="AH381" t="str">
        <f t="shared" si="117"/>
        <v/>
      </c>
      <c r="AI381" t="str">
        <f t="shared" si="118"/>
        <v/>
      </c>
      <c r="AJ381" t="str">
        <f t="shared" si="119"/>
        <v/>
      </c>
    </row>
    <row r="382" spans="1:36" x14ac:dyDescent="0.25">
      <c r="A382" t="s">
        <v>304</v>
      </c>
      <c r="P382" t="str">
        <f t="shared" si="120"/>
        <v xml:space="preserve">  SMARTA-RS046  </v>
      </c>
      <c r="Q382" t="str">
        <f t="shared" si="120"/>
        <v xml:space="preserve">   -49.5 </v>
      </c>
      <c r="R382" t="str">
        <f t="shared" si="113"/>
        <v xml:space="preserve">     0.0 </v>
      </c>
      <c r="S382" t="str">
        <f t="shared" si="121"/>
        <v xml:space="preserve">     0.0 </v>
      </c>
      <c r="T382" t="str">
        <f t="shared" si="122"/>
        <v xml:space="preserve">     1.9 </v>
      </c>
      <c r="U382" t="str">
        <f t="shared" si="126"/>
        <v xml:space="preserve">         0.0 </v>
      </c>
      <c r="V382" t="str">
        <f t="shared" si="114"/>
        <v xml:space="preserve">     0.0 </v>
      </c>
      <c r="W382" t="str">
        <f t="shared" si="123"/>
        <v xml:space="preserve">     0.0 </v>
      </c>
      <c r="X382" t="str">
        <f t="shared" si="127"/>
        <v xml:space="preserve">       </v>
      </c>
      <c r="Y382" t="str">
        <f t="shared" si="127"/>
        <v xml:space="preserve">              </v>
      </c>
      <c r="Z382" t="str">
        <f t="shared" si="127"/>
        <v xml:space="preserve">    </v>
      </c>
      <c r="AA382" t="str">
        <f t="shared" si="115"/>
        <v xml:space="preserve">         </v>
      </c>
      <c r="AB382" t="str">
        <f t="shared" si="124"/>
        <v xml:space="preserve">         </v>
      </c>
      <c r="AC382" t="str">
        <f t="shared" si="125"/>
        <v xml:space="preserve">    </v>
      </c>
      <c r="AD382" t="str">
        <f t="shared" si="126"/>
        <v/>
      </c>
      <c r="AE382" t="str">
        <f t="shared" si="116"/>
        <v/>
      </c>
      <c r="AF382" t="str">
        <f t="shared" si="128"/>
        <v/>
      </c>
      <c r="AG382" t="str">
        <f t="shared" si="128"/>
        <v/>
      </c>
      <c r="AH382" t="str">
        <f t="shared" si="117"/>
        <v/>
      </c>
      <c r="AI382" t="str">
        <f t="shared" si="118"/>
        <v/>
      </c>
      <c r="AJ382" t="str">
        <f t="shared" si="119"/>
        <v/>
      </c>
    </row>
    <row r="383" spans="1:36" x14ac:dyDescent="0.25">
      <c r="A383" t="s">
        <v>305</v>
      </c>
      <c r="P383" t="str">
        <f t="shared" si="120"/>
        <v xml:space="preserve">                </v>
      </c>
      <c r="Q383" t="str">
        <f t="shared" si="120"/>
        <v xml:space="preserve">         </v>
      </c>
      <c r="R383" t="str">
        <f t="shared" si="113"/>
        <v xml:space="preserve">    33.0 </v>
      </c>
      <c r="S383" t="str">
        <f t="shared" si="121"/>
        <v xml:space="preserve">    45.0 </v>
      </c>
      <c r="T383" t="str">
        <f t="shared" si="122"/>
        <v xml:space="preserve">    45.0 </v>
      </c>
      <c r="U383" t="str">
        <f t="shared" si="126"/>
        <v xml:space="preserve">        8.4% </v>
      </c>
      <c r="V383" t="str">
        <f t="shared" si="114"/>
        <v xml:space="preserve">         </v>
      </c>
      <c r="W383" t="str">
        <f t="shared" si="123"/>
        <v xml:space="preserve">         </v>
      </c>
      <c r="X383" t="str">
        <f t="shared" si="127"/>
        <v xml:space="preserve">  1275 </v>
      </c>
      <c r="Y383" t="str">
        <f t="shared" si="127"/>
        <v xml:space="preserve"> SMARTA-RS138 </v>
      </c>
      <c r="Z383" t="str">
        <f t="shared" si="127"/>
        <v xml:space="preserve">  2 </v>
      </c>
      <c r="AA383" t="str">
        <f t="shared" si="115"/>
        <v xml:space="preserve">    -2.0 </v>
      </c>
      <c r="AB383" t="str">
        <f t="shared" si="124"/>
        <v xml:space="preserve">    -1.9 </v>
      </c>
      <c r="AC383" t="str">
        <f t="shared" si="125"/>
        <v xml:space="preserve">     2.8 </v>
      </c>
      <c r="AD383" t="str">
        <f t="shared" si="126"/>
        <v xml:space="preserve">        </v>
      </c>
      <c r="AE383" t="str">
        <f t="shared" si="116"/>
        <v xml:space="preserve">       </v>
      </c>
      <c r="AF383" t="str">
        <f t="shared" si="128"/>
        <v xml:space="preserve">     </v>
      </c>
      <c r="AG383" t="str">
        <f t="shared" si="128"/>
        <v xml:space="preserve">     0.00 </v>
      </c>
      <c r="AH383" t="str">
        <f t="shared" si="117"/>
        <v xml:space="preserve">     0.06 </v>
      </c>
      <c r="AI383" t="str">
        <f t="shared" si="118"/>
        <v xml:space="preserve">       </v>
      </c>
      <c r="AJ383" t="str">
        <f t="shared" si="119"/>
        <v xml:space="preserve">      </v>
      </c>
    </row>
    <row r="384" spans="1:36" x14ac:dyDescent="0.25">
      <c r="A384" t="s">
        <v>14</v>
      </c>
      <c r="P384" t="str">
        <f t="shared" si="120"/>
        <v xml:space="preserve">  ..............</v>
      </c>
      <c r="Q384" t="str">
        <f t="shared" si="120"/>
        <v>.........</v>
      </c>
      <c r="R384" t="str">
        <f t="shared" si="113"/>
        <v>.........</v>
      </c>
      <c r="S384" t="str">
        <f t="shared" si="121"/>
        <v>.........</v>
      </c>
      <c r="T384" t="str">
        <f t="shared" si="122"/>
        <v>.........</v>
      </c>
      <c r="U384" t="str">
        <f t="shared" si="126"/>
        <v>.............</v>
      </c>
      <c r="V384" t="str">
        <f t="shared" si="114"/>
        <v>.........</v>
      </c>
      <c r="W384" t="str">
        <f t="shared" si="123"/>
        <v>.........</v>
      </c>
      <c r="X384" t="str">
        <f t="shared" si="127"/>
        <v>.......</v>
      </c>
      <c r="Y384" t="str">
        <f t="shared" si="127"/>
        <v>..............</v>
      </c>
      <c r="Z384" t="str">
        <f t="shared" si="127"/>
        <v>....</v>
      </c>
      <c r="AA384" t="str">
        <f t="shared" si="115"/>
        <v>.........</v>
      </c>
      <c r="AB384" t="str">
        <f t="shared" si="124"/>
        <v>.........</v>
      </c>
      <c r="AC384" t="str">
        <f t="shared" si="125"/>
        <v>.........</v>
      </c>
      <c r="AD384" t="str">
        <f t="shared" si="126"/>
        <v>........</v>
      </c>
      <c r="AE384" t="str">
        <f t="shared" si="116"/>
        <v>.......</v>
      </c>
      <c r="AF384" t="str">
        <f t="shared" si="128"/>
        <v>.....</v>
      </c>
      <c r="AG384" t="str">
        <f t="shared" si="128"/>
        <v>..........</v>
      </c>
      <c r="AH384" t="str">
        <f t="shared" si="117"/>
        <v>..........</v>
      </c>
      <c r="AI384" t="str">
        <f t="shared" si="118"/>
        <v>.......</v>
      </c>
      <c r="AJ384" t="str">
        <f t="shared" si="119"/>
        <v>.......</v>
      </c>
    </row>
    <row r="385" spans="1:36" x14ac:dyDescent="0.25">
      <c r="A385" t="s">
        <v>306</v>
      </c>
      <c r="P385" t="str">
        <f t="shared" si="120"/>
        <v xml:space="preserve">   1285  138  0 </v>
      </c>
      <c r="Q385" t="str">
        <f t="shared" si="120"/>
        <v xml:space="preserve">   1.011 </v>
      </c>
      <c r="R385" t="str">
        <f t="shared" si="113"/>
        <v xml:space="preserve">     0.1 </v>
      </c>
      <c r="S385" t="str">
        <f t="shared" si="121"/>
        <v xml:space="preserve">     0.0 </v>
      </c>
      <c r="T385" t="str">
        <f t="shared" si="122"/>
        <v xml:space="preserve">     2.1 </v>
      </c>
      <c r="U385" t="str">
        <f t="shared" si="126"/>
        <v xml:space="preserve">         0.0 </v>
      </c>
      <c r="V385" t="str">
        <f t="shared" si="114"/>
        <v xml:space="preserve">     7.4 </v>
      </c>
      <c r="W385" t="str">
        <f t="shared" si="123"/>
        <v xml:space="preserve">     0.0</v>
      </c>
      <c r="X385" t="str">
        <f t="shared" si="127"/>
        <v/>
      </c>
      <c r="Y385" t="str">
        <f t="shared" si="127"/>
        <v/>
      </c>
      <c r="Z385" t="str">
        <f t="shared" si="127"/>
        <v/>
      </c>
      <c r="AA385" t="str">
        <f t="shared" si="115"/>
        <v/>
      </c>
      <c r="AB385" t="str">
        <f t="shared" si="124"/>
        <v/>
      </c>
      <c r="AC385" t="str">
        <f t="shared" si="125"/>
        <v/>
      </c>
      <c r="AD385" t="str">
        <f t="shared" si="126"/>
        <v/>
      </c>
      <c r="AE385" t="str">
        <f t="shared" si="116"/>
        <v/>
      </c>
      <c r="AF385" t="str">
        <f t="shared" si="128"/>
        <v/>
      </c>
      <c r="AG385" t="str">
        <f t="shared" si="128"/>
        <v/>
      </c>
      <c r="AH385" t="str">
        <f t="shared" si="117"/>
        <v/>
      </c>
      <c r="AI385" t="str">
        <f t="shared" si="118"/>
        <v/>
      </c>
      <c r="AJ385" t="str">
        <f t="shared" si="119"/>
        <v/>
      </c>
    </row>
    <row r="386" spans="1:36" x14ac:dyDescent="0.25">
      <c r="A386" t="s">
        <v>307</v>
      </c>
      <c r="P386" t="str">
        <f t="shared" si="120"/>
        <v xml:space="preserve">  MARMEL-RS138  </v>
      </c>
      <c r="Q386" t="str">
        <f t="shared" si="120"/>
        <v xml:space="preserve">   -47.2 </v>
      </c>
      <c r="R386" t="str">
        <f t="shared" si="113"/>
        <v xml:space="preserve">     0.0 </v>
      </c>
      <c r="S386" t="str">
        <f t="shared" si="121"/>
        <v xml:space="preserve">     0.0 </v>
      </c>
      <c r="T386" t="str">
        <f t="shared" si="122"/>
        <v xml:space="preserve">     0.2 </v>
      </c>
      <c r="U386" t="str">
        <f t="shared" si="126"/>
        <v xml:space="preserve">         0.0 </v>
      </c>
      <c r="V386" t="str">
        <f t="shared" si="114"/>
        <v xml:space="preserve">     0.0 </v>
      </c>
      <c r="W386" t="str">
        <f t="shared" si="123"/>
        <v xml:space="preserve">     0.0 </v>
      </c>
      <c r="X386" t="str">
        <f t="shared" si="127"/>
        <v xml:space="preserve">       </v>
      </c>
      <c r="Y386" t="str">
        <f t="shared" si="127"/>
        <v xml:space="preserve">              </v>
      </c>
      <c r="Z386" t="str">
        <f t="shared" si="127"/>
        <v xml:space="preserve">    </v>
      </c>
      <c r="AA386" t="str">
        <f t="shared" si="115"/>
        <v xml:space="preserve">         </v>
      </c>
      <c r="AB386" t="str">
        <f t="shared" si="124"/>
        <v xml:space="preserve">         </v>
      </c>
      <c r="AC386" t="str">
        <f t="shared" si="125"/>
        <v xml:space="preserve">    </v>
      </c>
      <c r="AD386" t="str">
        <f t="shared" si="126"/>
        <v/>
      </c>
      <c r="AE386" t="str">
        <f t="shared" si="116"/>
        <v/>
      </c>
      <c r="AF386" t="str">
        <f t="shared" si="128"/>
        <v/>
      </c>
      <c r="AG386" t="str">
        <f t="shared" si="128"/>
        <v/>
      </c>
      <c r="AH386" t="str">
        <f t="shared" si="117"/>
        <v/>
      </c>
      <c r="AI386" t="str">
        <f t="shared" si="118"/>
        <v/>
      </c>
      <c r="AJ386" t="str">
        <f t="shared" si="119"/>
        <v/>
      </c>
    </row>
    <row r="387" spans="1:36" x14ac:dyDescent="0.25">
      <c r="A387" t="s">
        <v>308</v>
      </c>
      <c r="P387" t="str">
        <f t="shared" si="120"/>
        <v xml:space="preserve">              DE</v>
      </c>
      <c r="Q387" t="str">
        <f t="shared" si="120"/>
        <v xml:space="preserve">ESLIGADO </v>
      </c>
      <c r="R387" t="str">
        <f t="shared" si="113"/>
        <v xml:space="preserve">    97.0 </v>
      </c>
      <c r="S387" t="str">
        <f t="shared" si="121"/>
        <v xml:space="preserve">   141.0 </v>
      </c>
      <c r="T387" t="str">
        <f t="shared" si="122"/>
        <v xml:space="preserve">   141.0 </v>
      </c>
      <c r="U387" t="str">
        <f t="shared" si="126"/>
        <v xml:space="preserve">             </v>
      </c>
      <c r="V387" t="str">
        <f t="shared" si="114"/>
        <v xml:space="preserve">         </v>
      </c>
      <c r="W387" t="str">
        <f t="shared" si="123"/>
        <v xml:space="preserve">         </v>
      </c>
      <c r="X387" t="str">
        <f t="shared" si="127"/>
        <v xml:space="preserve">  1247 </v>
      </c>
      <c r="Y387" t="str">
        <f t="shared" si="127"/>
        <v xml:space="preserve"> QUINTA-RS138 </v>
      </c>
      <c r="Z387" t="str">
        <f t="shared" si="127"/>
        <v xml:space="preserve">  1 </v>
      </c>
      <c r="AA387" t="str">
        <f t="shared" si="115"/>
        <v xml:space="preserve">     0.0 </v>
      </c>
      <c r="AB387" t="str">
        <f t="shared" si="124"/>
        <v xml:space="preserve">     0.0 </v>
      </c>
      <c r="AC387" t="str">
        <f t="shared" si="125"/>
        <v xml:space="preserve">     0.0 </v>
      </c>
      <c r="AD387" t="str">
        <f t="shared" si="126"/>
        <v xml:space="preserve">        </v>
      </c>
      <c r="AE387" t="str">
        <f t="shared" si="116"/>
        <v xml:space="preserve">       </v>
      </c>
      <c r="AF387" t="str">
        <f t="shared" si="128"/>
        <v xml:space="preserve"> 004 </v>
      </c>
      <c r="AG387" t="str">
        <f t="shared" si="128"/>
        <v xml:space="preserve">     0.00 </v>
      </c>
      <c r="AH387" t="str">
        <f t="shared" si="117"/>
        <v xml:space="preserve">     0.00 </v>
      </c>
      <c r="AI387" t="str">
        <f t="shared" si="118"/>
        <v xml:space="preserve">       </v>
      </c>
      <c r="AJ387" t="str">
        <f t="shared" si="119"/>
        <v xml:space="preserve">      </v>
      </c>
    </row>
    <row r="388" spans="1:36" x14ac:dyDescent="0.25">
      <c r="A388" t="s">
        <v>309</v>
      </c>
      <c r="P388" t="str">
        <f t="shared" si="120"/>
        <v xml:space="preserve">                </v>
      </c>
      <c r="Q388" t="str">
        <f t="shared" si="120"/>
        <v xml:space="preserve">         </v>
      </c>
      <c r="R388" t="str">
        <f t="shared" si="113"/>
        <v xml:space="preserve">    97.0 </v>
      </c>
      <c r="S388" t="str">
        <f t="shared" si="121"/>
        <v xml:space="preserve">   141.0 </v>
      </c>
      <c r="T388" t="str">
        <f t="shared" si="122"/>
        <v xml:space="preserve">   141.0 </v>
      </c>
      <c r="U388" t="str">
        <f t="shared" si="126"/>
        <v xml:space="preserve">        7.6% </v>
      </c>
      <c r="V388" t="str">
        <f t="shared" si="114"/>
        <v xml:space="preserve">         </v>
      </c>
      <c r="W388" t="str">
        <f t="shared" si="123"/>
        <v xml:space="preserve">         </v>
      </c>
      <c r="X388" t="str">
        <f t="shared" si="127"/>
        <v xml:space="preserve">  9823 </v>
      </c>
      <c r="Y388" t="str">
        <f t="shared" si="127"/>
        <v xml:space="preserve"> SVP2-A-RS138 </v>
      </c>
      <c r="Z388" t="str">
        <f t="shared" si="127"/>
        <v xml:space="preserve">  1 </v>
      </c>
      <c r="AA388" t="str">
        <f t="shared" si="115"/>
        <v xml:space="preserve">    -2.0 </v>
      </c>
      <c r="AB388" t="str">
        <f t="shared" si="124"/>
        <v xml:space="preserve">     7.2 </v>
      </c>
      <c r="AC388" t="str">
        <f t="shared" si="125"/>
        <v xml:space="preserve">     7.3 </v>
      </c>
      <c r="AD388" t="str">
        <f t="shared" si="126"/>
        <v xml:space="preserve">        </v>
      </c>
      <c r="AE388" t="str">
        <f t="shared" si="116"/>
        <v xml:space="preserve">       </v>
      </c>
      <c r="AF388" t="str">
        <f t="shared" si="128"/>
        <v xml:space="preserve">     </v>
      </c>
      <c r="AG388" t="str">
        <f t="shared" si="128"/>
        <v xml:space="preserve">     0.03 </v>
      </c>
      <c r="AH388" t="str">
        <f t="shared" si="117"/>
        <v xml:space="preserve">    -2.41 </v>
      </c>
      <c r="AI388" t="str">
        <f t="shared" si="118"/>
        <v xml:space="preserve">       </v>
      </c>
      <c r="AJ388" t="str">
        <f t="shared" si="119"/>
        <v xml:space="preserve">      </v>
      </c>
    </row>
    <row r="389" spans="1:36" x14ac:dyDescent="0.25">
      <c r="A389" t="s">
        <v>14</v>
      </c>
      <c r="P389" t="str">
        <f t="shared" si="120"/>
        <v xml:space="preserve">  ..............</v>
      </c>
      <c r="Q389" t="str">
        <f t="shared" si="120"/>
        <v>.........</v>
      </c>
      <c r="R389" t="str">
        <f t="shared" si="113"/>
        <v>.........</v>
      </c>
      <c r="S389" t="str">
        <f t="shared" si="121"/>
        <v>.........</v>
      </c>
      <c r="T389" t="str">
        <f t="shared" si="122"/>
        <v>.........</v>
      </c>
      <c r="U389" t="str">
        <f t="shared" si="126"/>
        <v>.............</v>
      </c>
      <c r="V389" t="str">
        <f t="shared" si="114"/>
        <v>.........</v>
      </c>
      <c r="W389" t="str">
        <f t="shared" si="123"/>
        <v>.........</v>
      </c>
      <c r="X389" t="str">
        <f t="shared" si="127"/>
        <v>.......</v>
      </c>
      <c r="Y389" t="str">
        <f t="shared" si="127"/>
        <v>..............</v>
      </c>
      <c r="Z389" t="str">
        <f t="shared" si="127"/>
        <v>....</v>
      </c>
      <c r="AA389" t="str">
        <f t="shared" si="115"/>
        <v>.........</v>
      </c>
      <c r="AB389" t="str">
        <f t="shared" si="124"/>
        <v>.........</v>
      </c>
      <c r="AC389" t="str">
        <f t="shared" si="125"/>
        <v>.........</v>
      </c>
      <c r="AD389" t="str">
        <f t="shared" si="126"/>
        <v>........</v>
      </c>
      <c r="AE389" t="str">
        <f t="shared" si="116"/>
        <v>.......</v>
      </c>
      <c r="AF389" t="str">
        <f t="shared" si="128"/>
        <v>.....</v>
      </c>
      <c r="AG389" t="str">
        <f t="shared" si="128"/>
        <v>..........</v>
      </c>
      <c r="AH389" t="str">
        <f t="shared" si="117"/>
        <v>..........</v>
      </c>
      <c r="AI389" t="str">
        <f t="shared" si="118"/>
        <v>.......</v>
      </c>
      <c r="AJ389" t="str">
        <f t="shared" si="119"/>
        <v>.......</v>
      </c>
    </row>
    <row r="390" spans="1:36" x14ac:dyDescent="0.25">
      <c r="A390" t="s">
        <v>310</v>
      </c>
      <c r="P390" t="str">
        <f t="shared" si="120"/>
        <v xml:space="preserve">   1289   69  0 </v>
      </c>
      <c r="Q390" t="str">
        <f t="shared" si="120"/>
        <v xml:space="preserve">   1.012 </v>
      </c>
      <c r="R390" t="str">
        <f t="shared" si="113"/>
        <v xml:space="preserve">    14.4 </v>
      </c>
      <c r="S390" t="str">
        <f t="shared" si="121"/>
        <v xml:space="preserve">     0.0 </v>
      </c>
      <c r="T390" t="str">
        <f t="shared" si="122"/>
        <v xml:space="preserve">    59.8 </v>
      </c>
      <c r="U390" t="str">
        <f t="shared" si="126"/>
        <v xml:space="preserve">         0.0 </v>
      </c>
      <c r="V390" t="str">
        <f t="shared" si="114"/>
        <v xml:space="preserve">    11.1 </v>
      </c>
      <c r="W390" t="str">
        <f t="shared" si="123"/>
        <v xml:space="preserve">     0.0</v>
      </c>
      <c r="X390" t="str">
        <f t="shared" si="127"/>
        <v/>
      </c>
      <c r="Y390" t="str">
        <f t="shared" si="127"/>
        <v/>
      </c>
      <c r="Z390" t="str">
        <f t="shared" si="127"/>
        <v/>
      </c>
      <c r="AA390" t="str">
        <f t="shared" si="115"/>
        <v/>
      </c>
      <c r="AB390" t="str">
        <f t="shared" si="124"/>
        <v/>
      </c>
      <c r="AC390" t="str">
        <f t="shared" si="125"/>
        <v/>
      </c>
      <c r="AD390" t="str">
        <f t="shared" si="126"/>
        <v/>
      </c>
      <c r="AE390" t="str">
        <f t="shared" si="116"/>
        <v/>
      </c>
      <c r="AF390" t="str">
        <f t="shared" si="128"/>
        <v/>
      </c>
      <c r="AG390" t="str">
        <f t="shared" si="128"/>
        <v/>
      </c>
      <c r="AH390" t="str">
        <f t="shared" si="117"/>
        <v/>
      </c>
      <c r="AI390" t="str">
        <f t="shared" si="118"/>
        <v/>
      </c>
      <c r="AJ390" t="str">
        <f t="shared" si="119"/>
        <v/>
      </c>
    </row>
    <row r="391" spans="1:36" x14ac:dyDescent="0.25">
      <c r="A391" t="s">
        <v>311</v>
      </c>
      <c r="P391" t="str">
        <f t="shared" si="120"/>
        <v xml:space="preserve">  SVICEN-RS069  </v>
      </c>
      <c r="Q391" t="str">
        <f t="shared" si="120"/>
        <v xml:space="preserve">   -52.3 </v>
      </c>
      <c r="R391" t="str">
        <f t="shared" si="113"/>
        <v xml:space="preserve">     0.0 </v>
      </c>
      <c r="S391" t="str">
        <f t="shared" si="121"/>
        <v xml:space="preserve">     0.0 </v>
      </c>
      <c r="T391" t="str">
        <f t="shared" si="122"/>
        <v xml:space="preserve">    22.8 </v>
      </c>
      <c r="U391" t="str">
        <f t="shared" si="126"/>
        <v xml:space="preserve">         0.0 </v>
      </c>
      <c r="V391" t="str">
        <f t="shared" si="114"/>
        <v xml:space="preserve">     0.0 </v>
      </c>
      <c r="W391" t="str">
        <f t="shared" si="123"/>
        <v xml:space="preserve">     0.0 </v>
      </c>
      <c r="X391" t="str">
        <f t="shared" si="127"/>
        <v xml:space="preserve">       </v>
      </c>
      <c r="Y391" t="str">
        <f t="shared" si="127"/>
        <v xml:space="preserve">              </v>
      </c>
      <c r="Z391" t="str">
        <f t="shared" si="127"/>
        <v xml:space="preserve">    </v>
      </c>
      <c r="AA391" t="str">
        <f t="shared" si="115"/>
        <v xml:space="preserve">         </v>
      </c>
      <c r="AB391" t="str">
        <f t="shared" si="124"/>
        <v xml:space="preserve">         </v>
      </c>
      <c r="AC391" t="str">
        <f t="shared" si="125"/>
        <v xml:space="preserve">    </v>
      </c>
      <c r="AD391" t="str">
        <f t="shared" si="126"/>
        <v/>
      </c>
      <c r="AE391" t="str">
        <f t="shared" si="116"/>
        <v/>
      </c>
      <c r="AF391" t="str">
        <f t="shared" si="128"/>
        <v/>
      </c>
      <c r="AG391" t="str">
        <f t="shared" si="128"/>
        <v/>
      </c>
      <c r="AH391" t="str">
        <f t="shared" si="117"/>
        <v/>
      </c>
      <c r="AI391" t="str">
        <f t="shared" si="118"/>
        <v/>
      </c>
      <c r="AJ391" t="str">
        <f t="shared" si="119"/>
        <v/>
      </c>
    </row>
    <row r="392" spans="1:36" x14ac:dyDescent="0.25">
      <c r="A392" t="s">
        <v>312</v>
      </c>
      <c r="P392" t="str">
        <f t="shared" si="120"/>
        <v xml:space="preserve">                </v>
      </c>
      <c r="Q392" t="str">
        <f t="shared" si="120"/>
        <v xml:space="preserve">         </v>
      </c>
      <c r="R392" t="str">
        <f t="shared" si="113"/>
        <v xml:space="preserve">    25.0 </v>
      </c>
      <c r="S392" t="str">
        <f t="shared" si="121"/>
        <v xml:space="preserve">    30.0 </v>
      </c>
      <c r="T392" t="str">
        <f t="shared" si="122"/>
        <v xml:space="preserve">    30.0 </v>
      </c>
      <c r="U392" t="str">
        <f t="shared" si="126"/>
        <v xml:space="preserve">       21.6% </v>
      </c>
      <c r="V392" t="str">
        <f t="shared" si="114"/>
        <v xml:space="preserve">         </v>
      </c>
      <c r="W392" t="str">
        <f t="shared" si="123"/>
        <v xml:space="preserve">         </v>
      </c>
      <c r="X392" t="str">
        <f t="shared" si="127"/>
        <v xml:space="preserve">  9208 </v>
      </c>
      <c r="Y392" t="str">
        <f t="shared" si="127"/>
        <v xml:space="preserve"> SVICEN-RS023 </v>
      </c>
      <c r="Z392" t="str">
        <f t="shared" si="127"/>
        <v xml:space="preserve">  3 </v>
      </c>
      <c r="AA392" t="str">
        <f t="shared" si="115"/>
        <v xml:space="preserve">     5.0 </v>
      </c>
      <c r="AB392" t="str">
        <f t="shared" si="124"/>
        <v xml:space="preserve">     2.2 </v>
      </c>
      <c r="AC392" t="str">
        <f t="shared" si="125"/>
        <v xml:space="preserve">     5.4 </v>
      </c>
      <c r="AD392" t="str">
        <f t="shared" si="126"/>
        <v xml:space="preserve"> 0.915* </v>
      </c>
      <c r="AE392" t="str">
        <f t="shared" si="116"/>
        <v xml:space="preserve">       </v>
      </c>
      <c r="AF392" t="str">
        <f t="shared" si="128"/>
        <v xml:space="preserve">     </v>
      </c>
      <c r="AG392" t="str">
        <f t="shared" si="128"/>
        <v xml:space="preserve">     0.01 </v>
      </c>
      <c r="AH392" t="str">
        <f t="shared" si="117"/>
        <v xml:space="preserve">     0.09 </v>
      </c>
      <c r="AI392" t="str">
        <f t="shared" si="118"/>
        <v xml:space="preserve">       </v>
      </c>
      <c r="AJ392" t="str">
        <f t="shared" si="119"/>
        <v xml:space="preserve">      </v>
      </c>
    </row>
    <row r="393" spans="1:36" x14ac:dyDescent="0.25">
      <c r="A393" t="s">
        <v>313</v>
      </c>
      <c r="P393" t="str">
        <f t="shared" si="120"/>
        <v xml:space="preserve">                </v>
      </c>
      <c r="Q393" t="str">
        <f t="shared" si="120"/>
        <v xml:space="preserve">         </v>
      </c>
      <c r="R393" t="str">
        <f t="shared" si="113"/>
        <v xml:space="preserve">    50.0 </v>
      </c>
      <c r="S393" t="str">
        <f t="shared" si="121"/>
        <v xml:space="preserve">    75.0 </v>
      </c>
      <c r="T393" t="str">
        <f t="shared" si="122"/>
        <v xml:space="preserve">    75.0 </v>
      </c>
      <c r="U393" t="str">
        <f t="shared" si="126"/>
        <v xml:space="preserve">       34.9% </v>
      </c>
      <c r="V393" t="str">
        <f t="shared" si="114"/>
        <v xml:space="preserve">         </v>
      </c>
      <c r="W393" t="str">
        <f t="shared" si="123"/>
        <v xml:space="preserve">         </v>
      </c>
      <c r="X393" t="str">
        <f t="shared" si="127"/>
        <v xml:space="preserve"> 41383 </v>
      </c>
      <c r="Y393" t="str">
        <f t="shared" si="127"/>
        <v xml:space="preserve"> SVI--1-RS000 </v>
      </c>
      <c r="Z393" t="str">
        <f t="shared" si="127"/>
        <v xml:space="preserve">  1 </v>
      </c>
      <c r="AA393" t="str">
        <f t="shared" si="115"/>
        <v xml:space="preserve">   -17.0 </v>
      </c>
      <c r="AB393" t="str">
        <f t="shared" si="124"/>
        <v xml:space="preserve">    -4.7 </v>
      </c>
      <c r="AC393" t="str">
        <f t="shared" si="125"/>
        <v xml:space="preserve">    17.4 </v>
      </c>
      <c r="AD393" t="str">
        <f t="shared" si="126"/>
        <v xml:space="preserve"> 1.000F </v>
      </c>
      <c r="AE393" t="str">
        <f t="shared" si="116"/>
        <v xml:space="preserve">       </v>
      </c>
      <c r="AF393" t="str">
        <f t="shared" si="128"/>
        <v xml:space="preserve"> 002 </v>
      </c>
      <c r="AG393" t="str">
        <f t="shared" si="128"/>
        <v xml:space="preserve">     0.01 </v>
      </c>
      <c r="AH393" t="str">
        <f t="shared" si="117"/>
        <v xml:space="preserve">    -0.02 </v>
      </c>
      <c r="AI393" t="str">
        <f t="shared" si="118"/>
        <v xml:space="preserve">       </v>
      </c>
      <c r="AJ393" t="str">
        <f t="shared" si="119"/>
        <v xml:space="preserve">      </v>
      </c>
    </row>
    <row r="394" spans="1:36" x14ac:dyDescent="0.25">
      <c r="A394" t="s">
        <v>314</v>
      </c>
      <c r="P394" t="str">
        <f t="shared" si="120"/>
        <v xml:space="preserve">                </v>
      </c>
      <c r="Q394" t="str">
        <f t="shared" si="120"/>
        <v xml:space="preserve">         </v>
      </c>
      <c r="R394" t="str">
        <f t="shared" si="113"/>
        <v xml:space="preserve">    50.0 </v>
      </c>
      <c r="S394" t="str">
        <f t="shared" si="121"/>
        <v xml:space="preserve">    75.0 </v>
      </c>
      <c r="T394" t="str">
        <f t="shared" si="122"/>
        <v xml:space="preserve">    75.0 </v>
      </c>
      <c r="U394" t="str">
        <f t="shared" si="126"/>
        <v xml:space="preserve">       33.7% </v>
      </c>
      <c r="V394" t="str">
        <f t="shared" si="114"/>
        <v xml:space="preserve">         </v>
      </c>
      <c r="W394" t="str">
        <f t="shared" si="123"/>
        <v xml:space="preserve">         </v>
      </c>
      <c r="X394" t="str">
        <f t="shared" si="127"/>
        <v xml:space="preserve"> 41384 </v>
      </c>
      <c r="Y394" t="str">
        <f t="shared" si="127"/>
        <v xml:space="preserve"> SVI--2-RS000 </v>
      </c>
      <c r="Z394" t="str">
        <f t="shared" si="127"/>
        <v xml:space="preserve">  2 </v>
      </c>
      <c r="AA394" t="str">
        <f t="shared" si="115"/>
        <v xml:space="preserve">   -16.5 </v>
      </c>
      <c r="AB394" t="str">
        <f t="shared" si="124"/>
        <v xml:space="preserve">    -4.5 </v>
      </c>
      <c r="AC394" t="str">
        <f t="shared" si="125"/>
        <v xml:space="preserve">    16.9 </v>
      </c>
      <c r="AD394" t="str">
        <f t="shared" si="126"/>
        <v xml:space="preserve"> 1.000F </v>
      </c>
      <c r="AE394" t="str">
        <f t="shared" si="116"/>
        <v xml:space="preserve">       </v>
      </c>
      <c r="AF394" t="str">
        <f t="shared" si="128"/>
        <v xml:space="preserve"> 002 </v>
      </c>
      <c r="AG394" t="str">
        <f t="shared" si="128"/>
        <v xml:space="preserve">     0.01 </v>
      </c>
      <c r="AH394" t="str">
        <f t="shared" si="117"/>
        <v xml:space="preserve">    -0.03 </v>
      </c>
      <c r="AI394" t="str">
        <f t="shared" si="118"/>
        <v xml:space="preserve">       </v>
      </c>
      <c r="AJ394" t="str">
        <f t="shared" si="119"/>
        <v xml:space="preserve">      </v>
      </c>
    </row>
    <row r="395" spans="1:36" x14ac:dyDescent="0.25">
      <c r="A395" t="s">
        <v>315</v>
      </c>
      <c r="P395" t="str">
        <f t="shared" si="120"/>
        <v xml:space="preserve">                </v>
      </c>
      <c r="Q395" t="str">
        <f t="shared" si="120"/>
        <v xml:space="preserve">         </v>
      </c>
      <c r="R395" t="str">
        <f t="shared" si="113"/>
        <v xml:space="preserve">    50.0 </v>
      </c>
      <c r="S395" t="str">
        <f t="shared" si="121"/>
        <v xml:space="preserve">    50.0 </v>
      </c>
      <c r="T395" t="str">
        <f t="shared" si="122"/>
        <v xml:space="preserve">    50.0 </v>
      </c>
      <c r="U395" t="str">
        <f t="shared" si="126"/>
        <v xml:space="preserve">       34.8% </v>
      </c>
      <c r="V395" t="str">
        <f t="shared" si="114"/>
        <v xml:space="preserve">         </v>
      </c>
      <c r="W395" t="str">
        <f t="shared" si="123"/>
        <v xml:space="preserve">         </v>
      </c>
      <c r="X395" t="str">
        <f t="shared" si="127"/>
        <v xml:space="preserve"> 41385 </v>
      </c>
      <c r="Y395" t="str">
        <f t="shared" si="127"/>
        <v xml:space="preserve"> SVI--6-RS000 </v>
      </c>
      <c r="Z395" t="str">
        <f t="shared" si="127"/>
        <v xml:space="preserve">  6 </v>
      </c>
      <c r="AA395" t="str">
        <f t="shared" si="115"/>
        <v xml:space="preserve">   -16.9 </v>
      </c>
      <c r="AB395" t="str">
        <f t="shared" si="124"/>
        <v xml:space="preserve">    -4.8 </v>
      </c>
      <c r="AC395" t="str">
        <f t="shared" si="125"/>
        <v xml:space="preserve">    17.4 </v>
      </c>
      <c r="AD395" t="str">
        <f t="shared" si="126"/>
        <v xml:space="preserve"> 1.000F </v>
      </c>
      <c r="AE395" t="str">
        <f t="shared" si="116"/>
        <v xml:space="preserve">       </v>
      </c>
      <c r="AF395" t="str">
        <f t="shared" si="128"/>
        <v xml:space="preserve"> 002 </v>
      </c>
      <c r="AG395" t="str">
        <f t="shared" si="128"/>
        <v xml:space="preserve">     0.01 </v>
      </c>
      <c r="AH395" t="str">
        <f t="shared" si="117"/>
        <v xml:space="preserve">    -0.04 </v>
      </c>
      <c r="AI395" t="str">
        <f t="shared" si="118"/>
        <v xml:space="preserve">       </v>
      </c>
      <c r="AJ395" t="str">
        <f t="shared" si="119"/>
        <v xml:space="preserve">      </v>
      </c>
    </row>
    <row r="396" spans="1:36" x14ac:dyDescent="0.25">
      <c r="A396" t="s">
        <v>14</v>
      </c>
      <c r="P396" t="str">
        <f t="shared" si="120"/>
        <v xml:space="preserve">  ..............</v>
      </c>
      <c r="Q396" t="str">
        <f t="shared" si="120"/>
        <v>.........</v>
      </c>
      <c r="R396" t="str">
        <f t="shared" ref="R396:R459" si="129">MID($A396,Q$8+Q$9-1,R$9)</f>
        <v>.........</v>
      </c>
      <c r="S396" t="str">
        <f t="shared" si="121"/>
        <v>.........</v>
      </c>
      <c r="T396" t="str">
        <f t="shared" si="122"/>
        <v>.........</v>
      </c>
      <c r="U396" t="str">
        <f t="shared" si="126"/>
        <v>.............</v>
      </c>
      <c r="V396" t="str">
        <f t="shared" ref="V396:V459" si="130">MID($A396,U$8+U$9-1,V$9)</f>
        <v>.........</v>
      </c>
      <c r="W396" t="str">
        <f t="shared" si="123"/>
        <v>.........</v>
      </c>
      <c r="X396" t="str">
        <f t="shared" si="127"/>
        <v>.......</v>
      </c>
      <c r="Y396" t="str">
        <f t="shared" si="127"/>
        <v>..............</v>
      </c>
      <c r="Z396" t="str">
        <f t="shared" si="127"/>
        <v>....</v>
      </c>
      <c r="AA396" t="str">
        <f t="shared" ref="AA396:AA459" si="131">MID($A396,Z$8+Z$9-1,AA$9)</f>
        <v>.........</v>
      </c>
      <c r="AB396" t="str">
        <f t="shared" si="124"/>
        <v>.........</v>
      </c>
      <c r="AC396" t="str">
        <f t="shared" si="125"/>
        <v>.........</v>
      </c>
      <c r="AD396" t="str">
        <f t="shared" si="126"/>
        <v>........</v>
      </c>
      <c r="AE396" t="str">
        <f t="shared" ref="AE396:AE459" si="132">MID($A396,AD$8+AD$9-1,AE$9)</f>
        <v>.......</v>
      </c>
      <c r="AF396" t="str">
        <f t="shared" si="128"/>
        <v>.....</v>
      </c>
      <c r="AG396" t="str">
        <f t="shared" si="128"/>
        <v>..........</v>
      </c>
      <c r="AH396" t="str">
        <f t="shared" ref="AH396:AH459" si="133">MID($A396,AG$8+AG$9-1,AH$9)</f>
        <v>..........</v>
      </c>
      <c r="AI396" t="str">
        <f t="shared" si="118"/>
        <v>.......</v>
      </c>
      <c r="AJ396" t="str">
        <f t="shared" si="119"/>
        <v>.......</v>
      </c>
    </row>
    <row r="397" spans="1:36" x14ac:dyDescent="0.25">
      <c r="A397" t="s">
        <v>316</v>
      </c>
      <c r="P397" t="str">
        <f t="shared" si="120"/>
        <v xml:space="preserve">   1290  138  0 </v>
      </c>
      <c r="Q397" t="str">
        <f t="shared" si="120"/>
        <v xml:space="preserve">   1.004 </v>
      </c>
      <c r="R397" t="str">
        <f t="shared" si="129"/>
        <v xml:space="preserve">     4.0 </v>
      </c>
      <c r="S397" t="str">
        <f t="shared" si="121"/>
        <v xml:space="preserve">     0.0 </v>
      </c>
      <c r="T397" t="str">
        <f t="shared" si="122"/>
        <v xml:space="preserve">    32.7 </v>
      </c>
      <c r="U397" t="str">
        <f t="shared" si="126"/>
        <v xml:space="preserve">         0.0 </v>
      </c>
      <c r="V397" t="str">
        <f t="shared" si="130"/>
        <v xml:space="preserve">     3.6 </v>
      </c>
      <c r="W397" t="str">
        <f t="shared" si="123"/>
        <v xml:space="preserve">     0.0</v>
      </c>
      <c r="X397" t="str">
        <f t="shared" si="127"/>
        <v/>
      </c>
      <c r="Y397" t="str">
        <f t="shared" si="127"/>
        <v/>
      </c>
      <c r="Z397" t="str">
        <f t="shared" si="127"/>
        <v/>
      </c>
      <c r="AA397" t="str">
        <f t="shared" si="131"/>
        <v/>
      </c>
      <c r="AB397" t="str">
        <f t="shared" si="124"/>
        <v/>
      </c>
      <c r="AC397" t="str">
        <f t="shared" si="125"/>
        <v/>
      </c>
      <c r="AD397" t="str">
        <f t="shared" si="126"/>
        <v/>
      </c>
      <c r="AE397" t="str">
        <f t="shared" si="132"/>
        <v/>
      </c>
      <c r="AF397" t="str">
        <f t="shared" si="128"/>
        <v/>
      </c>
      <c r="AG397" t="str">
        <f t="shared" si="128"/>
        <v/>
      </c>
      <c r="AH397" t="str">
        <f t="shared" si="133"/>
        <v/>
      </c>
      <c r="AI397" t="str">
        <f t="shared" si="118"/>
        <v/>
      </c>
      <c r="AJ397" t="str">
        <f t="shared" si="119"/>
        <v/>
      </c>
    </row>
    <row r="398" spans="1:36" x14ac:dyDescent="0.25">
      <c r="A398" t="s">
        <v>317</v>
      </c>
      <c r="P398" t="str">
        <f t="shared" si="120"/>
        <v xml:space="preserve">  3COROA-RS138  </v>
      </c>
      <c r="Q398" t="str">
        <f t="shared" si="120"/>
        <v xml:space="preserve">   -53.5 </v>
      </c>
      <c r="R398" t="str">
        <f t="shared" si="129"/>
        <v xml:space="preserve">     0.0 </v>
      </c>
      <c r="S398" t="str">
        <f t="shared" si="121"/>
        <v xml:space="preserve">     0.0 </v>
      </c>
      <c r="T398" t="str">
        <f t="shared" si="122"/>
        <v xml:space="preserve">    13.4 </v>
      </c>
      <c r="U398" t="str">
        <f t="shared" si="126"/>
        <v xml:space="preserve">         0.0 </v>
      </c>
      <c r="V398" t="str">
        <f t="shared" si="130"/>
        <v xml:space="preserve">     0.0 </v>
      </c>
      <c r="W398" t="str">
        <f t="shared" si="123"/>
        <v xml:space="preserve">     0.0 </v>
      </c>
      <c r="X398" t="str">
        <f t="shared" si="127"/>
        <v xml:space="preserve">       </v>
      </c>
      <c r="Y398" t="str">
        <f t="shared" si="127"/>
        <v xml:space="preserve">              </v>
      </c>
      <c r="Z398" t="str">
        <f t="shared" si="127"/>
        <v xml:space="preserve">    </v>
      </c>
      <c r="AA398" t="str">
        <f t="shared" si="131"/>
        <v xml:space="preserve">         </v>
      </c>
      <c r="AB398" t="str">
        <f t="shared" si="124"/>
        <v xml:space="preserve">         </v>
      </c>
      <c r="AC398" t="str">
        <f t="shared" si="125"/>
        <v xml:space="preserve">    </v>
      </c>
      <c r="AD398" t="str">
        <f t="shared" si="126"/>
        <v/>
      </c>
      <c r="AE398" t="str">
        <f t="shared" si="132"/>
        <v/>
      </c>
      <c r="AF398" t="str">
        <f t="shared" si="128"/>
        <v/>
      </c>
      <c r="AG398" t="str">
        <f t="shared" si="128"/>
        <v/>
      </c>
      <c r="AH398" t="str">
        <f t="shared" si="133"/>
        <v/>
      </c>
      <c r="AI398" t="str">
        <f t="shared" si="118"/>
        <v/>
      </c>
      <c r="AJ398" t="str">
        <f t="shared" si="119"/>
        <v/>
      </c>
    </row>
    <row r="399" spans="1:36" x14ac:dyDescent="0.25">
      <c r="A399" t="s">
        <v>318</v>
      </c>
      <c r="P399" t="str">
        <f t="shared" si="120"/>
        <v xml:space="preserve">                </v>
      </c>
      <c r="Q399" t="str">
        <f t="shared" si="120"/>
        <v xml:space="preserve">         </v>
      </c>
      <c r="R399" t="str">
        <f t="shared" si="129"/>
        <v xml:space="preserve">  9999.0 </v>
      </c>
      <c r="S399" t="str">
        <f t="shared" si="121"/>
        <v xml:space="preserve">  9999.0 </v>
      </c>
      <c r="T399" t="str">
        <f t="shared" si="122"/>
        <v xml:space="preserve">  9999.0 </v>
      </c>
      <c r="U399" t="str">
        <f t="shared" si="126"/>
        <v xml:space="preserve">        0.0% </v>
      </c>
      <c r="V399" t="str">
        <f t="shared" si="130"/>
        <v xml:space="preserve">         </v>
      </c>
      <c r="W399" t="str">
        <f t="shared" si="123"/>
        <v xml:space="preserve">         </v>
      </c>
      <c r="X399" t="str">
        <f t="shared" si="127"/>
        <v xml:space="preserve">  1374 </v>
      </c>
      <c r="Y399" t="str">
        <f t="shared" si="127"/>
        <v xml:space="preserve"> SCHINC-RS138 </v>
      </c>
      <c r="Z399" t="str">
        <f t="shared" si="127"/>
        <v xml:space="preserve">  1 </v>
      </c>
      <c r="AA399" t="str">
        <f t="shared" si="131"/>
        <v xml:space="preserve">     4.3 </v>
      </c>
      <c r="AB399" t="str">
        <f t="shared" si="124"/>
        <v xml:space="preserve">     0.9 </v>
      </c>
      <c r="AC399" t="str">
        <f t="shared" si="125"/>
        <v xml:space="preserve">     4.4 </v>
      </c>
      <c r="AD399" t="str">
        <f t="shared" si="126"/>
        <v xml:space="preserve">        </v>
      </c>
      <c r="AE399" t="str">
        <f t="shared" si="132"/>
        <v xml:space="preserve">       </v>
      </c>
      <c r="AF399" t="str">
        <f t="shared" si="128"/>
        <v xml:space="preserve">     </v>
      </c>
      <c r="AG399" t="str">
        <f t="shared" si="128"/>
        <v xml:space="preserve">     0.00 </v>
      </c>
      <c r="AH399" t="str">
        <f t="shared" si="133"/>
        <v xml:space="preserve">    -0.89 </v>
      </c>
      <c r="AI399" t="str">
        <f t="shared" si="118"/>
        <v xml:space="preserve">       </v>
      </c>
      <c r="AJ399" t="str">
        <f t="shared" si="119"/>
        <v xml:space="preserve">      </v>
      </c>
    </row>
    <row r="400" spans="1:36" x14ac:dyDescent="0.25">
      <c r="A400" t="s">
        <v>319</v>
      </c>
      <c r="P400" t="str">
        <f t="shared" si="120"/>
        <v xml:space="preserve">                </v>
      </c>
      <c r="Q400" t="str">
        <f t="shared" si="120"/>
        <v xml:space="preserve">         </v>
      </c>
      <c r="R400" t="str">
        <f t="shared" si="129"/>
        <v xml:space="preserve">    96.0 </v>
      </c>
      <c r="S400" t="str">
        <f t="shared" si="121"/>
        <v xml:space="preserve">    96.0 </v>
      </c>
      <c r="T400" t="str">
        <f t="shared" si="122"/>
        <v xml:space="preserve">    96.0 </v>
      </c>
      <c r="U400" t="str">
        <f t="shared" si="126"/>
        <v xml:space="preserve">        3.1% </v>
      </c>
      <c r="V400" t="str">
        <f t="shared" si="130"/>
        <v xml:space="preserve">         </v>
      </c>
      <c r="W400" t="str">
        <f t="shared" si="123"/>
        <v xml:space="preserve">         </v>
      </c>
      <c r="X400" t="str">
        <f t="shared" si="127"/>
        <v xml:space="preserve">  2064 </v>
      </c>
      <c r="Y400" t="str">
        <f t="shared" si="127"/>
        <v xml:space="preserve"> CANAST-RS138 </v>
      </c>
      <c r="Z400" t="str">
        <f t="shared" si="127"/>
        <v xml:space="preserve">  1 </v>
      </c>
      <c r="AA400" t="str">
        <f t="shared" si="131"/>
        <v xml:space="preserve">    -2.6 </v>
      </c>
      <c r="AB400" t="str">
        <f t="shared" si="124"/>
        <v xml:space="preserve">     1.3 </v>
      </c>
      <c r="AC400" t="str">
        <f t="shared" si="125"/>
        <v xml:space="preserve">     2.9 </v>
      </c>
      <c r="AD400" t="str">
        <f t="shared" si="126"/>
        <v xml:space="preserve">        </v>
      </c>
      <c r="AE400" t="str">
        <f t="shared" si="132"/>
        <v xml:space="preserve">       </v>
      </c>
      <c r="AF400" t="str">
        <f t="shared" si="128"/>
        <v xml:space="preserve">     </v>
      </c>
      <c r="AG400" t="str">
        <f t="shared" si="128"/>
        <v xml:space="preserve">     0.00 </v>
      </c>
      <c r="AH400" t="str">
        <f t="shared" si="133"/>
        <v xml:space="preserve">    -0.88 </v>
      </c>
      <c r="AI400" t="str">
        <f t="shared" si="118"/>
        <v xml:space="preserve">       </v>
      </c>
      <c r="AJ400" t="str">
        <f t="shared" si="119"/>
        <v xml:space="preserve">      </v>
      </c>
    </row>
    <row r="401" spans="1:36" x14ac:dyDescent="0.25">
      <c r="A401" t="s">
        <v>320</v>
      </c>
      <c r="P401" t="str">
        <f t="shared" si="120"/>
        <v xml:space="preserve">                </v>
      </c>
      <c r="Q401" t="str">
        <f t="shared" si="120"/>
        <v xml:space="preserve">         </v>
      </c>
      <c r="R401" t="str">
        <f t="shared" si="129"/>
        <v xml:space="preserve">    97.0 </v>
      </c>
      <c r="S401" t="str">
        <f t="shared" si="121"/>
        <v xml:space="preserve">   146.0 </v>
      </c>
      <c r="T401" t="str">
        <f t="shared" si="122"/>
        <v xml:space="preserve">   146.0 </v>
      </c>
      <c r="U401" t="str">
        <f t="shared" si="126"/>
        <v xml:space="preserve">       33.5% </v>
      </c>
      <c r="V401" t="str">
        <f t="shared" si="130"/>
        <v xml:space="preserve">         </v>
      </c>
      <c r="W401" t="str">
        <f t="shared" si="123"/>
        <v xml:space="preserve">         </v>
      </c>
      <c r="X401" t="str">
        <f t="shared" si="127"/>
        <v xml:space="preserve">  2094 </v>
      </c>
      <c r="Y401" t="str">
        <f t="shared" si="127"/>
        <v xml:space="preserve"> TAQUAR-RS138 </v>
      </c>
      <c r="Z401" t="str">
        <f t="shared" si="127"/>
        <v xml:space="preserve">  1 </v>
      </c>
      <c r="AA401" t="str">
        <f t="shared" si="131"/>
        <v xml:space="preserve">   -30.4 </v>
      </c>
      <c r="AB401" t="str">
        <f t="shared" si="124"/>
        <v xml:space="preserve">   -12.0 </v>
      </c>
      <c r="AC401" t="str">
        <f t="shared" si="125"/>
        <v xml:space="preserve">    32.5 </v>
      </c>
      <c r="AD401" t="str">
        <f t="shared" si="126"/>
        <v xml:space="preserve">        </v>
      </c>
      <c r="AE401" t="str">
        <f t="shared" si="132"/>
        <v xml:space="preserve">       </v>
      </c>
      <c r="AF401" t="str">
        <f t="shared" si="128"/>
        <v xml:space="preserve">     </v>
      </c>
      <c r="AG401" t="str">
        <f t="shared" si="128"/>
        <v xml:space="preserve">     0.15 </v>
      </c>
      <c r="AH401" t="str">
        <f t="shared" si="133"/>
        <v xml:space="preserve">    -0.59 </v>
      </c>
      <c r="AI401" t="str">
        <f t="shared" si="118"/>
        <v xml:space="preserve">       </v>
      </c>
      <c r="AJ401" t="str">
        <f t="shared" si="119"/>
        <v xml:space="preserve">      </v>
      </c>
    </row>
    <row r="402" spans="1:36" x14ac:dyDescent="0.25">
      <c r="A402" t="s">
        <v>14</v>
      </c>
      <c r="P402" t="str">
        <f t="shared" si="120"/>
        <v xml:space="preserve">  ..............</v>
      </c>
      <c r="Q402" t="str">
        <f t="shared" si="120"/>
        <v>.........</v>
      </c>
      <c r="R402" t="str">
        <f t="shared" si="129"/>
        <v>.........</v>
      </c>
      <c r="S402" t="str">
        <f t="shared" si="121"/>
        <v>.........</v>
      </c>
      <c r="T402" t="str">
        <f t="shared" si="122"/>
        <v>.........</v>
      </c>
      <c r="U402" t="str">
        <f t="shared" si="126"/>
        <v>.............</v>
      </c>
      <c r="V402" t="str">
        <f t="shared" si="130"/>
        <v>.........</v>
      </c>
      <c r="W402" t="str">
        <f t="shared" si="123"/>
        <v>.........</v>
      </c>
      <c r="X402" t="str">
        <f t="shared" si="127"/>
        <v>.......</v>
      </c>
      <c r="Y402" t="str">
        <f t="shared" si="127"/>
        <v>..............</v>
      </c>
      <c r="Z402" t="str">
        <f t="shared" si="127"/>
        <v>....</v>
      </c>
      <c r="AA402" t="str">
        <f t="shared" si="131"/>
        <v>.........</v>
      </c>
      <c r="AB402" t="str">
        <f t="shared" si="124"/>
        <v>.........</v>
      </c>
      <c r="AC402" t="str">
        <f t="shared" si="125"/>
        <v>.........</v>
      </c>
      <c r="AD402" t="str">
        <f t="shared" si="126"/>
        <v>........</v>
      </c>
      <c r="AE402" t="str">
        <f t="shared" si="132"/>
        <v>.......</v>
      </c>
      <c r="AF402" t="str">
        <f t="shared" si="128"/>
        <v>.....</v>
      </c>
      <c r="AG402" t="str">
        <f t="shared" si="128"/>
        <v>..........</v>
      </c>
      <c r="AH402" t="str">
        <f t="shared" si="133"/>
        <v>..........</v>
      </c>
      <c r="AI402" t="str">
        <f t="shared" si="118"/>
        <v>.......</v>
      </c>
      <c r="AJ402" t="str">
        <f t="shared" si="119"/>
        <v>.......</v>
      </c>
    </row>
    <row r="403" spans="1:36" x14ac:dyDescent="0.25">
      <c r="A403" t="s">
        <v>321</v>
      </c>
      <c r="P403" t="str">
        <f t="shared" si="120"/>
        <v xml:space="preserve">   1292   69  0 </v>
      </c>
      <c r="Q403" t="str">
        <f t="shared" si="120"/>
        <v xml:space="preserve">   1.033 </v>
      </c>
      <c r="R403" t="str">
        <f t="shared" si="129"/>
        <v xml:space="preserve">     9.8 </v>
      </c>
      <c r="S403" t="str">
        <f t="shared" si="121"/>
        <v xml:space="preserve">     0.0 </v>
      </c>
      <c r="T403" t="str">
        <f t="shared" si="122"/>
        <v xml:space="preserve">    66.8 </v>
      </c>
      <c r="U403" t="str">
        <f t="shared" si="126"/>
        <v xml:space="preserve">         0.0 </v>
      </c>
      <c r="V403" t="str">
        <f t="shared" si="130"/>
        <v xml:space="preserve">     5.8 </v>
      </c>
      <c r="W403" t="str">
        <f t="shared" si="123"/>
        <v xml:space="preserve">     0.0</v>
      </c>
      <c r="X403" t="str">
        <f t="shared" si="127"/>
        <v/>
      </c>
      <c r="Y403" t="str">
        <f t="shared" si="127"/>
        <v/>
      </c>
      <c r="Z403" t="str">
        <f t="shared" si="127"/>
        <v/>
      </c>
      <c r="AA403" t="str">
        <f t="shared" si="131"/>
        <v/>
      </c>
      <c r="AB403" t="str">
        <f t="shared" si="124"/>
        <v/>
      </c>
      <c r="AC403" t="str">
        <f t="shared" si="125"/>
        <v/>
      </c>
      <c r="AD403" t="str">
        <f t="shared" si="126"/>
        <v/>
      </c>
      <c r="AE403" t="str">
        <f t="shared" si="132"/>
        <v/>
      </c>
      <c r="AF403" t="str">
        <f t="shared" si="128"/>
        <v/>
      </c>
      <c r="AG403" t="str">
        <f t="shared" si="128"/>
        <v/>
      </c>
      <c r="AH403" t="str">
        <f t="shared" si="133"/>
        <v/>
      </c>
      <c r="AI403" t="str">
        <f t="shared" si="118"/>
        <v/>
      </c>
      <c r="AJ403" t="str">
        <f t="shared" si="119"/>
        <v/>
      </c>
    </row>
    <row r="404" spans="1:36" x14ac:dyDescent="0.25">
      <c r="A404" t="s">
        <v>322</v>
      </c>
      <c r="P404" t="str">
        <f t="shared" si="120"/>
        <v xml:space="preserve">  TAPERA-RS069  </v>
      </c>
      <c r="Q404" t="str">
        <f t="shared" si="120"/>
        <v xml:space="preserve">   -51.5 </v>
      </c>
      <c r="R404" t="str">
        <f t="shared" si="129"/>
        <v xml:space="preserve">     0.0 </v>
      </c>
      <c r="S404" t="str">
        <f t="shared" si="121"/>
        <v xml:space="preserve">     0.0 </v>
      </c>
      <c r="T404" t="str">
        <f t="shared" si="122"/>
        <v xml:space="preserve">    31.3 </v>
      </c>
      <c r="U404" t="str">
        <f t="shared" si="126"/>
        <v xml:space="preserve">         0.0 </v>
      </c>
      <c r="V404" t="str">
        <f t="shared" si="130"/>
        <v xml:space="preserve">     0.0 </v>
      </c>
      <c r="W404" t="str">
        <f t="shared" si="123"/>
        <v xml:space="preserve">     0.0 </v>
      </c>
      <c r="X404" t="str">
        <f t="shared" si="127"/>
        <v xml:space="preserve">       </v>
      </c>
      <c r="Y404" t="str">
        <f t="shared" si="127"/>
        <v xml:space="preserve">              </v>
      </c>
      <c r="Z404" t="str">
        <f t="shared" si="127"/>
        <v xml:space="preserve">    </v>
      </c>
      <c r="AA404" t="str">
        <f t="shared" si="131"/>
        <v xml:space="preserve">         </v>
      </c>
      <c r="AB404" t="str">
        <f t="shared" si="124"/>
        <v xml:space="preserve">         </v>
      </c>
      <c r="AC404" t="str">
        <f t="shared" si="125"/>
        <v xml:space="preserve">    </v>
      </c>
      <c r="AD404" t="str">
        <f t="shared" si="126"/>
        <v/>
      </c>
      <c r="AE404" t="str">
        <f t="shared" si="132"/>
        <v/>
      </c>
      <c r="AF404" t="str">
        <f t="shared" si="128"/>
        <v/>
      </c>
      <c r="AG404" t="str">
        <f t="shared" si="128"/>
        <v/>
      </c>
      <c r="AH404" t="str">
        <f t="shared" si="133"/>
        <v/>
      </c>
      <c r="AI404" t="str">
        <f t="shared" si="118"/>
        <v/>
      </c>
      <c r="AJ404" t="str">
        <f t="shared" si="119"/>
        <v/>
      </c>
    </row>
    <row r="405" spans="1:36" x14ac:dyDescent="0.25">
      <c r="A405" t="s">
        <v>323</v>
      </c>
      <c r="P405" t="str">
        <f t="shared" si="120"/>
        <v xml:space="preserve">                </v>
      </c>
      <c r="Q405" t="str">
        <f t="shared" si="120"/>
        <v xml:space="preserve">         </v>
      </c>
      <c r="R405" t="str">
        <f t="shared" si="129"/>
        <v xml:space="preserve">    30.0 </v>
      </c>
      <c r="S405" t="str">
        <f t="shared" si="121"/>
        <v xml:space="preserve">    43.0 </v>
      </c>
      <c r="T405" t="str">
        <f t="shared" si="122"/>
        <v xml:space="preserve">    43.0 </v>
      </c>
      <c r="U405" t="str">
        <f t="shared" si="126"/>
        <v xml:space="preserve">       41.8% </v>
      </c>
      <c r="V405" t="str">
        <f t="shared" si="130"/>
        <v xml:space="preserve">         </v>
      </c>
      <c r="W405" t="str">
        <f t="shared" si="123"/>
        <v xml:space="preserve">         </v>
      </c>
      <c r="X405" t="str">
        <f t="shared" si="127"/>
        <v xml:space="preserve">  1305 </v>
      </c>
      <c r="Y405" t="str">
        <f t="shared" si="127"/>
        <v xml:space="preserve"> CARAZ1-RS069 </v>
      </c>
      <c r="Z405" t="str">
        <f t="shared" si="127"/>
        <v xml:space="preserve">  1 </v>
      </c>
      <c r="AA405" t="str">
        <f t="shared" si="131"/>
        <v xml:space="preserve">    12.3 </v>
      </c>
      <c r="AB405" t="str">
        <f t="shared" si="124"/>
        <v xml:space="preserve">     3.9 </v>
      </c>
      <c r="AC405" t="str">
        <f t="shared" si="125"/>
        <v xml:space="preserve">    12.5 </v>
      </c>
      <c r="AD405" t="str">
        <f t="shared" si="126"/>
        <v xml:space="preserve">        </v>
      </c>
      <c r="AE405" t="str">
        <f t="shared" si="132"/>
        <v xml:space="preserve">       </v>
      </c>
      <c r="AF405" t="str">
        <f t="shared" si="128"/>
        <v xml:space="preserve">     </v>
      </c>
      <c r="AG405" t="str">
        <f t="shared" si="128"/>
        <v xml:space="preserve">     0.19 </v>
      </c>
      <c r="AH405" t="str">
        <f t="shared" si="133"/>
        <v xml:space="preserve">    -0.07 </v>
      </c>
      <c r="AI405" t="str">
        <f t="shared" si="118"/>
        <v xml:space="preserve">       </v>
      </c>
      <c r="AJ405" t="str">
        <f t="shared" si="119"/>
        <v xml:space="preserve">      </v>
      </c>
    </row>
    <row r="406" spans="1:36" x14ac:dyDescent="0.25">
      <c r="A406" t="s">
        <v>324</v>
      </c>
      <c r="P406" t="str">
        <f t="shared" si="120"/>
        <v xml:space="preserve">                </v>
      </c>
      <c r="Q406" t="str">
        <f t="shared" si="120"/>
        <v xml:space="preserve">         </v>
      </c>
      <c r="R406" t="str">
        <f t="shared" si="129"/>
        <v xml:space="preserve">    30.0 </v>
      </c>
      <c r="S406" t="str">
        <f t="shared" si="121"/>
        <v xml:space="preserve">    43.0 </v>
      </c>
      <c r="T406" t="str">
        <f t="shared" si="122"/>
        <v xml:space="preserve">    43.0 </v>
      </c>
      <c r="U406" t="str">
        <f t="shared" si="126"/>
        <v xml:space="preserve">       41.8% </v>
      </c>
      <c r="V406" t="str">
        <f t="shared" si="130"/>
        <v xml:space="preserve">         </v>
      </c>
      <c r="W406" t="str">
        <f t="shared" si="123"/>
        <v xml:space="preserve">         </v>
      </c>
      <c r="X406" t="str">
        <f t="shared" si="127"/>
        <v xml:space="preserve">  1305 </v>
      </c>
      <c r="Y406" t="str">
        <f t="shared" si="127"/>
        <v xml:space="preserve"> CARAZ1-RS069 </v>
      </c>
      <c r="Z406" t="str">
        <f t="shared" si="127"/>
        <v xml:space="preserve">  2 </v>
      </c>
      <c r="AA406" t="str">
        <f t="shared" si="131"/>
        <v xml:space="preserve">    12.3 </v>
      </c>
      <c r="AB406" t="str">
        <f t="shared" si="124"/>
        <v xml:space="preserve">     3.9 </v>
      </c>
      <c r="AC406" t="str">
        <f t="shared" si="125"/>
        <v xml:space="preserve">    12.5 </v>
      </c>
      <c r="AD406" t="str">
        <f t="shared" si="126"/>
        <v xml:space="preserve">        </v>
      </c>
      <c r="AE406" t="str">
        <f t="shared" si="132"/>
        <v xml:space="preserve">       </v>
      </c>
      <c r="AF406" t="str">
        <f t="shared" si="128"/>
        <v xml:space="preserve">     </v>
      </c>
      <c r="AG406" t="str">
        <f t="shared" si="128"/>
        <v xml:space="preserve">     0.19 </v>
      </c>
      <c r="AH406" t="str">
        <f t="shared" si="133"/>
        <v xml:space="preserve">    -0.07 </v>
      </c>
      <c r="AI406" t="str">
        <f t="shared" si="118"/>
        <v xml:space="preserve">       </v>
      </c>
      <c r="AJ406" t="str">
        <f t="shared" si="119"/>
        <v xml:space="preserve">      </v>
      </c>
    </row>
    <row r="407" spans="1:36" x14ac:dyDescent="0.25">
      <c r="A407" t="s">
        <v>325</v>
      </c>
      <c r="P407" t="str">
        <f t="shared" si="120"/>
        <v xml:space="preserve">                </v>
      </c>
      <c r="Q407" t="str">
        <f t="shared" si="120"/>
        <v xml:space="preserve">         </v>
      </c>
      <c r="R407" t="str">
        <f t="shared" si="129"/>
        <v xml:space="preserve">    48.0 </v>
      </c>
      <c r="S407" t="str">
        <f t="shared" si="121"/>
        <v xml:space="preserve">    71.0 </v>
      </c>
      <c r="T407" t="str">
        <f t="shared" si="122"/>
        <v xml:space="preserve">    48.0 </v>
      </c>
      <c r="U407" t="str">
        <f t="shared" si="126"/>
        <v xml:space="preserve">       28.5% </v>
      </c>
      <c r="V407" t="str">
        <f t="shared" si="130"/>
        <v xml:space="preserve">         </v>
      </c>
      <c r="W407" t="str">
        <f t="shared" si="123"/>
        <v xml:space="preserve">         </v>
      </c>
      <c r="X407" t="str">
        <f t="shared" si="127"/>
        <v xml:space="preserve"> 10398 </v>
      </c>
      <c r="Y407" t="str">
        <f t="shared" si="127"/>
        <v xml:space="preserve"> TAPER1-RS069 </v>
      </c>
      <c r="Z407" t="str">
        <f t="shared" si="127"/>
        <v xml:space="preserve">  1 </v>
      </c>
      <c r="AA407" t="str">
        <f t="shared" si="131"/>
        <v xml:space="preserve">    13.0 </v>
      </c>
      <c r="AB407" t="str">
        <f t="shared" si="124"/>
        <v xml:space="preserve">     5.5 </v>
      </c>
      <c r="AC407" t="str">
        <f t="shared" si="125"/>
        <v xml:space="preserve">    13.7 </v>
      </c>
      <c r="AD407" t="str">
        <f t="shared" si="126"/>
        <v xml:space="preserve">        </v>
      </c>
      <c r="AE407" t="str">
        <f t="shared" si="132"/>
        <v xml:space="preserve">       </v>
      </c>
      <c r="AF407" t="str">
        <f t="shared" si="128"/>
        <v xml:space="preserve">     </v>
      </c>
      <c r="AG407" t="str">
        <f t="shared" si="128"/>
        <v xml:space="preserve">     0.03 </v>
      </c>
      <c r="AH407" t="str">
        <f t="shared" si="133"/>
        <v xml:space="preserve">    -0.71 </v>
      </c>
      <c r="AI407" t="str">
        <f t="shared" ref="AI407:AI470" si="134">MID($A407,AG$8+AG$9+AH$9-2,AI$9)</f>
        <v xml:space="preserve">       </v>
      </c>
      <c r="AJ407" t="str">
        <f t="shared" ref="AJ407:AJ470" si="135">MID($A407,AG$8+AG$9+AH$9+AI$9-3,AJ$9)</f>
        <v xml:space="preserve">      </v>
      </c>
    </row>
    <row r="408" spans="1:36" x14ac:dyDescent="0.25">
      <c r="A408" t="s">
        <v>326</v>
      </c>
      <c r="P408" t="str">
        <f t="shared" si="120"/>
        <v xml:space="preserve">                </v>
      </c>
      <c r="Q408" t="str">
        <f t="shared" si="120"/>
        <v xml:space="preserve">         </v>
      </c>
      <c r="R408" t="str">
        <f t="shared" si="129"/>
        <v xml:space="preserve">  9999.0 </v>
      </c>
      <c r="S408" t="str">
        <f t="shared" si="121"/>
        <v xml:space="preserve">    83.0 </v>
      </c>
      <c r="T408" t="str">
        <f t="shared" si="122"/>
        <v xml:space="preserve">    83.0 </v>
      </c>
      <c r="U408" t="str">
        <f t="shared" si="126"/>
        <v xml:space="preserve">        0.0% </v>
      </c>
      <c r="V408" t="str">
        <f t="shared" si="130"/>
        <v xml:space="preserve">         </v>
      </c>
      <c r="W408" t="str">
        <f t="shared" si="123"/>
        <v xml:space="preserve">         </v>
      </c>
      <c r="X408" t="str">
        <f t="shared" si="127"/>
        <v xml:space="preserve"> 41391 </v>
      </c>
      <c r="Y408" t="str">
        <f t="shared" si="127"/>
        <v xml:space="preserve"> TPR--1-RS000 </v>
      </c>
      <c r="Z408" t="str">
        <f t="shared" si="127"/>
        <v xml:space="preserve">  1 </v>
      </c>
      <c r="AA408" t="str">
        <f t="shared" si="131"/>
        <v xml:space="preserve">   -31.3 </v>
      </c>
      <c r="AB408" t="str">
        <f t="shared" si="124"/>
        <v xml:space="preserve">   -12.9 </v>
      </c>
      <c r="AC408" t="str">
        <f t="shared" si="125"/>
        <v xml:space="preserve">    32.8 </v>
      </c>
      <c r="AD408" t="str">
        <f t="shared" si="126"/>
        <v xml:space="preserve"> 1.000F </v>
      </c>
      <c r="AE408" t="str">
        <f t="shared" si="132"/>
        <v xml:space="preserve">       </v>
      </c>
      <c r="AF408" t="str">
        <f t="shared" si="128"/>
        <v xml:space="preserve"> 002 </v>
      </c>
      <c r="AG408" t="str">
        <f t="shared" si="128"/>
        <v xml:space="preserve">     0.02 </v>
      </c>
      <c r="AH408" t="str">
        <f t="shared" si="133"/>
        <v xml:space="preserve">    -0.10 </v>
      </c>
      <c r="AI408" t="str">
        <f t="shared" si="134"/>
        <v xml:space="preserve">       </v>
      </c>
      <c r="AJ408" t="str">
        <f t="shared" si="135"/>
        <v xml:space="preserve">      </v>
      </c>
    </row>
    <row r="409" spans="1:36" x14ac:dyDescent="0.25">
      <c r="A409" t="s">
        <v>327</v>
      </c>
      <c r="P409" t="str">
        <f t="shared" si="120"/>
        <v xml:space="preserve">                </v>
      </c>
      <c r="Q409" t="str">
        <f t="shared" si="120"/>
        <v xml:space="preserve">         </v>
      </c>
      <c r="R409" t="str">
        <f t="shared" si="129"/>
        <v xml:space="preserve">  9999.0 </v>
      </c>
      <c r="S409" t="str">
        <f t="shared" si="121"/>
        <v xml:space="preserve">    83.0 </v>
      </c>
      <c r="T409" t="str">
        <f t="shared" si="122"/>
        <v xml:space="preserve">    83.0 </v>
      </c>
      <c r="U409" t="str">
        <f t="shared" si="126"/>
        <v xml:space="preserve">        0.0% </v>
      </c>
      <c r="V409" t="str">
        <f t="shared" si="130"/>
        <v xml:space="preserve">         </v>
      </c>
      <c r="W409" t="str">
        <f t="shared" si="123"/>
        <v xml:space="preserve">         </v>
      </c>
      <c r="X409" t="str">
        <f t="shared" si="127"/>
        <v xml:space="preserve"> 41392 </v>
      </c>
      <c r="Y409" t="str">
        <f t="shared" si="127"/>
        <v xml:space="preserve"> TPR--2-RS000 </v>
      </c>
      <c r="Z409" t="str">
        <f t="shared" si="127"/>
        <v xml:space="preserve">  2 </v>
      </c>
      <c r="AA409" t="str">
        <f t="shared" si="131"/>
        <v xml:space="preserve">   -31.4 </v>
      </c>
      <c r="AB409" t="str">
        <f t="shared" si="124"/>
        <v xml:space="preserve">   -12.9 </v>
      </c>
      <c r="AC409" t="str">
        <f t="shared" si="125"/>
        <v xml:space="preserve">    32.9 </v>
      </c>
      <c r="AD409" t="str">
        <f t="shared" si="126"/>
        <v xml:space="preserve"> 1.000F </v>
      </c>
      <c r="AE409" t="str">
        <f t="shared" si="132"/>
        <v xml:space="preserve">       </v>
      </c>
      <c r="AF409" t="str">
        <f t="shared" si="128"/>
        <v xml:space="preserve"> 002 </v>
      </c>
      <c r="AG409" t="str">
        <f t="shared" si="128"/>
        <v xml:space="preserve">     0.02 </v>
      </c>
      <c r="AH409" t="str">
        <f t="shared" si="133"/>
        <v xml:space="preserve">    -0.10 </v>
      </c>
      <c r="AI409" t="str">
        <f t="shared" si="134"/>
        <v xml:space="preserve">       </v>
      </c>
      <c r="AJ409" t="str">
        <f t="shared" si="135"/>
        <v xml:space="preserve">      </v>
      </c>
    </row>
    <row r="410" spans="1:36" x14ac:dyDescent="0.25">
      <c r="A410" t="s">
        <v>328</v>
      </c>
      <c r="P410" t="str">
        <f t="shared" si="120"/>
        <v xml:space="preserve">                </v>
      </c>
      <c r="Q410" t="str">
        <f t="shared" si="120"/>
        <v xml:space="preserve">         </v>
      </c>
      <c r="R410" t="str">
        <f t="shared" si="129"/>
        <v xml:space="preserve">    83.0 </v>
      </c>
      <c r="S410" t="str">
        <f t="shared" si="121"/>
        <v xml:space="preserve">    83.0 </v>
      </c>
      <c r="T410" t="str">
        <f t="shared" si="122"/>
        <v xml:space="preserve">    83.0 </v>
      </c>
      <c r="U410" t="str">
        <f t="shared" si="126"/>
        <v xml:space="preserve">       40.3% </v>
      </c>
      <c r="V410" t="str">
        <f t="shared" si="130"/>
        <v xml:space="preserve">         </v>
      </c>
      <c r="W410" t="str">
        <f t="shared" si="123"/>
        <v xml:space="preserve">         </v>
      </c>
      <c r="X410" t="str">
        <f t="shared" si="127"/>
        <v xml:space="preserve"> 41393 </v>
      </c>
      <c r="Y410" t="str">
        <f t="shared" si="127"/>
        <v xml:space="preserve"> TPR--3-RS000 </v>
      </c>
      <c r="Z410" t="str">
        <f t="shared" si="127"/>
        <v xml:space="preserve">  3 </v>
      </c>
      <c r="AA410" t="str">
        <f t="shared" si="131"/>
        <v xml:space="preserve">   -31.9 </v>
      </c>
      <c r="AB410" t="str">
        <f t="shared" si="124"/>
        <v xml:space="preserve">   -13.0 </v>
      </c>
      <c r="AC410" t="str">
        <f t="shared" si="125"/>
        <v xml:space="preserve">    33.4 </v>
      </c>
      <c r="AD410" t="str">
        <f t="shared" si="126"/>
        <v xml:space="preserve"> 1.000F </v>
      </c>
      <c r="AE410" t="str">
        <f t="shared" si="132"/>
        <v xml:space="preserve">       </v>
      </c>
      <c r="AF410" t="str">
        <f t="shared" si="128"/>
        <v xml:space="preserve"> 002 </v>
      </c>
      <c r="AG410" t="str">
        <f t="shared" si="128"/>
        <v xml:space="preserve">     0.02 </v>
      </c>
      <c r="AH410" t="str">
        <f t="shared" si="133"/>
        <v xml:space="preserve">    -0.16 </v>
      </c>
      <c r="AI410" t="str">
        <f t="shared" si="134"/>
        <v xml:space="preserve">       </v>
      </c>
      <c r="AJ410" t="str">
        <f t="shared" si="135"/>
        <v xml:space="preserve">      </v>
      </c>
    </row>
    <row r="411" spans="1:36" x14ac:dyDescent="0.25">
      <c r="A411" t="s">
        <v>14</v>
      </c>
      <c r="P411" t="str">
        <f t="shared" ref="P411:Q474" si="136">MID($A411,P$8,P$9)</f>
        <v xml:space="preserve">  ..............</v>
      </c>
      <c r="Q411" t="str">
        <f t="shared" si="136"/>
        <v>.........</v>
      </c>
      <c r="R411" t="str">
        <f t="shared" si="129"/>
        <v>.........</v>
      </c>
      <c r="S411" t="str">
        <f t="shared" ref="S411:S474" si="137">MID($A411,Q$8+Q$9+R$9-2,S$9)</f>
        <v>.........</v>
      </c>
      <c r="T411" t="str">
        <f t="shared" ref="T411:T474" si="138">MID($A411,Q$8+Q$9+R$9+S$9-3,T$9)</f>
        <v>.........</v>
      </c>
      <c r="U411" t="str">
        <f t="shared" si="126"/>
        <v>.............</v>
      </c>
      <c r="V411" t="str">
        <f t="shared" si="130"/>
        <v>.........</v>
      </c>
      <c r="W411" t="str">
        <f t="shared" ref="W411:W474" si="139">MID($A411,U$8+U$9+V$9-2,W$9)</f>
        <v>.........</v>
      </c>
      <c r="X411" t="str">
        <f t="shared" si="127"/>
        <v>.......</v>
      </c>
      <c r="Y411" t="str">
        <f t="shared" si="127"/>
        <v>..............</v>
      </c>
      <c r="Z411" t="str">
        <f t="shared" si="127"/>
        <v>....</v>
      </c>
      <c r="AA411" t="str">
        <f t="shared" si="131"/>
        <v>.........</v>
      </c>
      <c r="AB411" t="str">
        <f t="shared" ref="AB411:AB474" si="140">MID($A411,Z$8+Z$9+AA$9-2,AB$9)</f>
        <v>.........</v>
      </c>
      <c r="AC411" t="str">
        <f t="shared" ref="AC411:AC474" si="141">MID($A411,Z$8+Z$9+AA$9+AB$9-3,AC$9)</f>
        <v>.........</v>
      </c>
      <c r="AD411" t="str">
        <f t="shared" si="126"/>
        <v>........</v>
      </c>
      <c r="AE411" t="str">
        <f t="shared" si="132"/>
        <v>.......</v>
      </c>
      <c r="AF411" t="str">
        <f t="shared" si="128"/>
        <v>.....</v>
      </c>
      <c r="AG411" t="str">
        <f t="shared" si="128"/>
        <v>..........</v>
      </c>
      <c r="AH411" t="str">
        <f t="shared" si="133"/>
        <v>..........</v>
      </c>
      <c r="AI411" t="str">
        <f t="shared" si="134"/>
        <v>.......</v>
      </c>
      <c r="AJ411" t="str">
        <f t="shared" si="135"/>
        <v>.......</v>
      </c>
    </row>
    <row r="412" spans="1:36" x14ac:dyDescent="0.25">
      <c r="A412" t="s">
        <v>329</v>
      </c>
      <c r="P412" t="str">
        <f t="shared" si="136"/>
        <v xml:space="preserve">   1295   69  0 </v>
      </c>
      <c r="Q412" t="str">
        <f t="shared" si="136"/>
        <v xml:space="preserve">   1.007 </v>
      </c>
      <c r="R412" t="str">
        <f t="shared" si="129"/>
        <v xml:space="preserve">     5.9 </v>
      </c>
      <c r="S412" t="str">
        <f t="shared" si="137"/>
        <v xml:space="preserve">     0.0 </v>
      </c>
      <c r="T412" t="str">
        <f t="shared" si="138"/>
        <v xml:space="preserve">    63.4 </v>
      </c>
      <c r="U412" t="str">
        <f t="shared" ref="U412:AD475" si="142">MID($A412,U$8,U$9)</f>
        <v xml:space="preserve">         0.0 </v>
      </c>
      <c r="V412" t="str">
        <f t="shared" si="130"/>
        <v xml:space="preserve">    12.5 </v>
      </c>
      <c r="W412" t="str">
        <f t="shared" si="139"/>
        <v xml:space="preserve">     0.0</v>
      </c>
      <c r="X412" t="str">
        <f t="shared" ref="X412:Z475" si="143">MID($A412,X$8,X$9)</f>
        <v/>
      </c>
      <c r="Y412" t="str">
        <f t="shared" si="143"/>
        <v/>
      </c>
      <c r="Z412" t="str">
        <f t="shared" si="143"/>
        <v/>
      </c>
      <c r="AA412" t="str">
        <f t="shared" si="131"/>
        <v/>
      </c>
      <c r="AB412" t="str">
        <f t="shared" si="140"/>
        <v/>
      </c>
      <c r="AC412" t="str">
        <f t="shared" si="141"/>
        <v/>
      </c>
      <c r="AD412" t="str">
        <f t="shared" si="142"/>
        <v/>
      </c>
      <c r="AE412" t="str">
        <f t="shared" si="132"/>
        <v/>
      </c>
      <c r="AF412" t="str">
        <f t="shared" si="128"/>
        <v/>
      </c>
      <c r="AG412" t="str">
        <f t="shared" si="128"/>
        <v/>
      </c>
      <c r="AH412" t="str">
        <f t="shared" si="133"/>
        <v/>
      </c>
      <c r="AI412" t="str">
        <f t="shared" si="134"/>
        <v/>
      </c>
      <c r="AJ412" t="str">
        <f t="shared" si="135"/>
        <v/>
      </c>
    </row>
    <row r="413" spans="1:36" x14ac:dyDescent="0.25">
      <c r="A413" t="s">
        <v>330</v>
      </c>
      <c r="P413" t="str">
        <f t="shared" si="136"/>
        <v xml:space="preserve">  URUGU5-RS069  </v>
      </c>
      <c r="Q413" t="str">
        <f t="shared" si="136"/>
        <v xml:space="preserve">   -51.3 </v>
      </c>
      <c r="R413" t="str">
        <f t="shared" si="129"/>
        <v xml:space="preserve">     0.0 </v>
      </c>
      <c r="S413" t="str">
        <f t="shared" si="137"/>
        <v xml:space="preserve">     0.0 </v>
      </c>
      <c r="T413" t="str">
        <f t="shared" si="138"/>
        <v xml:space="preserve">     9.2 </v>
      </c>
      <c r="U413" t="str">
        <f t="shared" si="142"/>
        <v xml:space="preserve">         0.0 </v>
      </c>
      <c r="V413" t="str">
        <f t="shared" si="130"/>
        <v xml:space="preserve">     0.0 </v>
      </c>
      <c r="W413" t="str">
        <f t="shared" si="139"/>
        <v xml:space="preserve">     0.0 </v>
      </c>
      <c r="X413" t="str">
        <f t="shared" si="143"/>
        <v xml:space="preserve">       </v>
      </c>
      <c r="Y413" t="str">
        <f t="shared" si="143"/>
        <v xml:space="preserve">              </v>
      </c>
      <c r="Z413" t="str">
        <f t="shared" si="143"/>
        <v xml:space="preserve">    </v>
      </c>
      <c r="AA413" t="str">
        <f t="shared" si="131"/>
        <v xml:space="preserve">         </v>
      </c>
      <c r="AB413" t="str">
        <f t="shared" si="140"/>
        <v xml:space="preserve">         </v>
      </c>
      <c r="AC413" t="str">
        <f t="shared" si="141"/>
        <v xml:space="preserve">    </v>
      </c>
      <c r="AD413" t="str">
        <f t="shared" si="142"/>
        <v/>
      </c>
      <c r="AE413" t="str">
        <f t="shared" si="132"/>
        <v/>
      </c>
      <c r="AF413" t="str">
        <f t="shared" ref="AF413:AG476" si="144">MID($A413,AF$8,AF$9)</f>
        <v/>
      </c>
      <c r="AG413" t="str">
        <f t="shared" si="144"/>
        <v/>
      </c>
      <c r="AH413" t="str">
        <f t="shared" si="133"/>
        <v/>
      </c>
      <c r="AI413" t="str">
        <f t="shared" si="134"/>
        <v/>
      </c>
      <c r="AJ413" t="str">
        <f t="shared" si="135"/>
        <v/>
      </c>
    </row>
    <row r="414" spans="1:36" x14ac:dyDescent="0.25">
      <c r="A414" t="s">
        <v>331</v>
      </c>
      <c r="P414" t="str">
        <f t="shared" si="136"/>
        <v xml:space="preserve">                </v>
      </c>
      <c r="Q414" t="str">
        <f t="shared" si="136"/>
        <v xml:space="preserve">         </v>
      </c>
      <c r="R414" t="str">
        <f t="shared" si="129"/>
        <v xml:space="preserve">    83.0 </v>
      </c>
      <c r="S414" t="str">
        <f t="shared" si="137"/>
        <v xml:space="preserve">   125.0 </v>
      </c>
      <c r="T414" t="str">
        <f t="shared" si="138"/>
        <v xml:space="preserve">   125.0 </v>
      </c>
      <c r="U414" t="str">
        <f t="shared" si="142"/>
        <v xml:space="preserve">       23.1% </v>
      </c>
      <c r="V414" t="str">
        <f t="shared" si="130"/>
        <v xml:space="preserve">         </v>
      </c>
      <c r="W414" t="str">
        <f t="shared" si="139"/>
        <v xml:space="preserve">         </v>
      </c>
      <c r="X414" t="str">
        <f t="shared" si="143"/>
        <v xml:space="preserve"> 41395 </v>
      </c>
      <c r="Y414" t="str">
        <f t="shared" si="143"/>
        <v xml:space="preserve"> URU5-1-RS000 </v>
      </c>
      <c r="Z414" t="str">
        <f t="shared" si="143"/>
        <v xml:space="preserve">  1 </v>
      </c>
      <c r="AA414" t="str">
        <f t="shared" si="131"/>
        <v xml:space="preserve">   -19.3 </v>
      </c>
      <c r="AB414" t="str">
        <f t="shared" si="140"/>
        <v xml:space="preserve">     1.1 </v>
      </c>
      <c r="AC414" t="str">
        <f t="shared" si="141"/>
        <v xml:space="preserve">    19.2 </v>
      </c>
      <c r="AD414" t="str">
        <f t="shared" si="142"/>
        <v xml:space="preserve"> 1.000F </v>
      </c>
      <c r="AE414" t="str">
        <f t="shared" si="132"/>
        <v xml:space="preserve">       </v>
      </c>
      <c r="AF414" t="str">
        <f t="shared" si="144"/>
        <v xml:space="preserve"> 002 </v>
      </c>
      <c r="AG414" t="str">
        <f t="shared" si="144"/>
        <v xml:space="preserve">     0.01 </v>
      </c>
      <c r="AH414" t="str">
        <f t="shared" si="133"/>
        <v xml:space="preserve">    -0.05 </v>
      </c>
      <c r="AI414" t="str">
        <f t="shared" si="134"/>
        <v xml:space="preserve">       </v>
      </c>
      <c r="AJ414" t="str">
        <f t="shared" si="135"/>
        <v xml:space="preserve">      </v>
      </c>
    </row>
    <row r="415" spans="1:36" x14ac:dyDescent="0.25">
      <c r="A415" t="s">
        <v>332</v>
      </c>
      <c r="P415" t="str">
        <f t="shared" si="136"/>
        <v xml:space="preserve">                </v>
      </c>
      <c r="Q415" t="str">
        <f t="shared" si="136"/>
        <v xml:space="preserve">         </v>
      </c>
      <c r="R415" t="str">
        <f t="shared" si="129"/>
        <v xml:space="preserve">    83.0 </v>
      </c>
      <c r="S415" t="str">
        <f t="shared" si="137"/>
        <v xml:space="preserve">   125.0 </v>
      </c>
      <c r="T415" t="str">
        <f t="shared" si="138"/>
        <v xml:space="preserve">   125.0 </v>
      </c>
      <c r="U415" t="str">
        <f t="shared" si="142"/>
        <v xml:space="preserve">       22.1% </v>
      </c>
      <c r="V415" t="str">
        <f t="shared" si="130"/>
        <v xml:space="preserve">         </v>
      </c>
      <c r="W415" t="str">
        <f t="shared" si="139"/>
        <v xml:space="preserve">         </v>
      </c>
      <c r="X415" t="str">
        <f t="shared" si="143"/>
        <v xml:space="preserve"> 41396 </v>
      </c>
      <c r="Y415" t="str">
        <f t="shared" si="143"/>
        <v xml:space="preserve"> URU5-2-RS000 </v>
      </c>
      <c r="Z415" t="str">
        <f t="shared" si="143"/>
        <v xml:space="preserve">  2 </v>
      </c>
      <c r="AA415" t="str">
        <f t="shared" si="131"/>
        <v xml:space="preserve">   -18.5 </v>
      </c>
      <c r="AB415" t="str">
        <f t="shared" si="140"/>
        <v xml:space="preserve">     1.0 </v>
      </c>
      <c r="AC415" t="str">
        <f t="shared" si="141"/>
        <v xml:space="preserve">    18.4 </v>
      </c>
      <c r="AD415" t="str">
        <f t="shared" si="142"/>
        <v xml:space="preserve"> 1.000F </v>
      </c>
      <c r="AE415" t="str">
        <f t="shared" si="132"/>
        <v xml:space="preserve">       </v>
      </c>
      <c r="AF415" t="str">
        <f t="shared" si="144"/>
        <v xml:space="preserve"> 002 </v>
      </c>
      <c r="AG415" t="str">
        <f t="shared" si="144"/>
        <v xml:space="preserve">     0.01 </v>
      </c>
      <c r="AH415" t="str">
        <f t="shared" si="133"/>
        <v xml:space="preserve">    -0.03 </v>
      </c>
      <c r="AI415" t="str">
        <f t="shared" si="134"/>
        <v xml:space="preserve">       </v>
      </c>
      <c r="AJ415" t="str">
        <f t="shared" si="135"/>
        <v xml:space="preserve">      </v>
      </c>
    </row>
    <row r="416" spans="1:36" x14ac:dyDescent="0.25">
      <c r="A416" t="s">
        <v>333</v>
      </c>
      <c r="P416" t="str">
        <f t="shared" si="136"/>
        <v xml:space="preserve">                </v>
      </c>
      <c r="Q416" t="str">
        <f t="shared" si="136"/>
        <v xml:space="preserve">         </v>
      </c>
      <c r="R416" t="str">
        <f t="shared" si="129"/>
        <v xml:space="preserve">    83.0 </v>
      </c>
      <c r="S416" t="str">
        <f t="shared" si="137"/>
        <v xml:space="preserve">    83.0 </v>
      </c>
      <c r="T416" t="str">
        <f t="shared" si="138"/>
        <v xml:space="preserve">    83.0 </v>
      </c>
      <c r="U416" t="str">
        <f t="shared" si="142"/>
        <v xml:space="preserve">       23.6% </v>
      </c>
      <c r="V416" t="str">
        <f t="shared" si="130"/>
        <v xml:space="preserve">         </v>
      </c>
      <c r="W416" t="str">
        <f t="shared" si="139"/>
        <v xml:space="preserve">         </v>
      </c>
      <c r="X416" t="str">
        <f t="shared" si="143"/>
        <v xml:space="preserve"> 41397 </v>
      </c>
      <c r="Y416" t="str">
        <f t="shared" si="143"/>
        <v xml:space="preserve"> URU5-5-RS000 </v>
      </c>
      <c r="Z416" t="str">
        <f t="shared" si="143"/>
        <v xml:space="preserve">  5 </v>
      </c>
      <c r="AA416" t="str">
        <f t="shared" si="131"/>
        <v xml:space="preserve">   -19.7 </v>
      </c>
      <c r="AB416" t="str">
        <f t="shared" si="140"/>
        <v xml:space="preserve">     1.2 </v>
      </c>
      <c r="AC416" t="str">
        <f t="shared" si="141"/>
        <v xml:space="preserve">    19.6 </v>
      </c>
      <c r="AD416" t="str">
        <f t="shared" si="142"/>
        <v xml:space="preserve"> 1.000F </v>
      </c>
      <c r="AE416" t="str">
        <f t="shared" si="132"/>
        <v xml:space="preserve">       </v>
      </c>
      <c r="AF416" t="str">
        <f t="shared" si="144"/>
        <v xml:space="preserve"> 002 </v>
      </c>
      <c r="AG416" t="str">
        <f t="shared" si="144"/>
        <v xml:space="preserve">     0.01 </v>
      </c>
      <c r="AH416" t="str">
        <f t="shared" si="133"/>
        <v xml:space="preserve">    -0.04 </v>
      </c>
      <c r="AI416" t="str">
        <f t="shared" si="134"/>
        <v xml:space="preserve">       </v>
      </c>
      <c r="AJ416" t="str">
        <f t="shared" si="135"/>
        <v xml:space="preserve">      </v>
      </c>
    </row>
    <row r="417" spans="1:36" x14ac:dyDescent="0.25">
      <c r="A417" t="s">
        <v>14</v>
      </c>
      <c r="P417" t="str">
        <f t="shared" si="136"/>
        <v xml:space="preserve">  ..............</v>
      </c>
      <c r="Q417" t="str">
        <f t="shared" si="136"/>
        <v>.........</v>
      </c>
      <c r="R417" t="str">
        <f t="shared" si="129"/>
        <v>.........</v>
      </c>
      <c r="S417" t="str">
        <f t="shared" si="137"/>
        <v>.........</v>
      </c>
      <c r="T417" t="str">
        <f t="shared" si="138"/>
        <v>.........</v>
      </c>
      <c r="U417" t="str">
        <f t="shared" si="142"/>
        <v>.............</v>
      </c>
      <c r="V417" t="str">
        <f t="shared" si="130"/>
        <v>.........</v>
      </c>
      <c r="W417" t="str">
        <f t="shared" si="139"/>
        <v>.........</v>
      </c>
      <c r="X417" t="str">
        <f t="shared" si="143"/>
        <v>.......</v>
      </c>
      <c r="Y417" t="str">
        <f t="shared" si="143"/>
        <v>..............</v>
      </c>
      <c r="Z417" t="str">
        <f t="shared" si="143"/>
        <v>....</v>
      </c>
      <c r="AA417" t="str">
        <f t="shared" si="131"/>
        <v>.........</v>
      </c>
      <c r="AB417" t="str">
        <f t="shared" si="140"/>
        <v>.........</v>
      </c>
      <c r="AC417" t="str">
        <f t="shared" si="141"/>
        <v>.........</v>
      </c>
      <c r="AD417" t="str">
        <f t="shared" si="142"/>
        <v>........</v>
      </c>
      <c r="AE417" t="str">
        <f t="shared" si="132"/>
        <v>.......</v>
      </c>
      <c r="AF417" t="str">
        <f t="shared" si="144"/>
        <v>.....</v>
      </c>
      <c r="AG417" t="str">
        <f t="shared" si="144"/>
        <v>..........</v>
      </c>
      <c r="AH417" t="str">
        <f t="shared" si="133"/>
        <v>..........</v>
      </c>
      <c r="AI417" t="str">
        <f t="shared" si="134"/>
        <v>.......</v>
      </c>
      <c r="AJ417" t="str">
        <f t="shared" si="135"/>
        <v>.......</v>
      </c>
    </row>
    <row r="418" spans="1:36" x14ac:dyDescent="0.25">
      <c r="A418" t="s">
        <v>334</v>
      </c>
      <c r="P418" t="str">
        <f t="shared" si="136"/>
        <v xml:space="preserve">   1298   69  0 </v>
      </c>
      <c r="Q418" t="str">
        <f t="shared" si="136"/>
        <v xml:space="preserve">   1.012 </v>
      </c>
      <c r="R418" t="str">
        <f t="shared" si="129"/>
        <v xml:space="preserve">    17.9 </v>
      </c>
      <c r="S418" t="str">
        <f t="shared" si="137"/>
        <v xml:space="preserve">     0.0 </v>
      </c>
      <c r="T418" t="str">
        <f t="shared" si="138"/>
        <v xml:space="preserve">    78.4 </v>
      </c>
      <c r="U418" t="str">
        <f t="shared" si="142"/>
        <v xml:space="preserve">         0.0 </v>
      </c>
      <c r="V418" t="str">
        <f t="shared" si="130"/>
        <v xml:space="preserve">     3.7 </v>
      </c>
      <c r="W418" t="str">
        <f t="shared" si="139"/>
        <v xml:space="preserve">     0.0</v>
      </c>
      <c r="X418" t="str">
        <f t="shared" si="143"/>
        <v/>
      </c>
      <c r="Y418" t="str">
        <f t="shared" si="143"/>
        <v/>
      </c>
      <c r="Z418" t="str">
        <f t="shared" si="143"/>
        <v/>
      </c>
      <c r="AA418" t="str">
        <f t="shared" si="131"/>
        <v/>
      </c>
      <c r="AB418" t="str">
        <f t="shared" si="140"/>
        <v/>
      </c>
      <c r="AC418" t="str">
        <f t="shared" si="141"/>
        <v/>
      </c>
      <c r="AD418" t="str">
        <f t="shared" si="142"/>
        <v/>
      </c>
      <c r="AE418" t="str">
        <f t="shared" si="132"/>
        <v/>
      </c>
      <c r="AF418" t="str">
        <f t="shared" si="144"/>
        <v/>
      </c>
      <c r="AG418" t="str">
        <f t="shared" si="144"/>
        <v/>
      </c>
      <c r="AH418" t="str">
        <f t="shared" si="133"/>
        <v/>
      </c>
      <c r="AI418" t="str">
        <f t="shared" si="134"/>
        <v/>
      </c>
      <c r="AJ418" t="str">
        <f t="shared" si="135"/>
        <v/>
      </c>
    </row>
    <row r="419" spans="1:36" x14ac:dyDescent="0.25">
      <c r="A419" t="s">
        <v>335</v>
      </c>
      <c r="P419" t="str">
        <f t="shared" si="136"/>
        <v xml:space="preserve">  VENAIR-RS069  </v>
      </c>
      <c r="Q419" t="str">
        <f t="shared" si="136"/>
        <v xml:space="preserve">   -54.8 </v>
      </c>
      <c r="R419" t="str">
        <f t="shared" si="129"/>
        <v xml:space="preserve">     0.0 </v>
      </c>
      <c r="S419" t="str">
        <f t="shared" si="137"/>
        <v xml:space="preserve">     0.0 </v>
      </c>
      <c r="T419" t="str">
        <f t="shared" si="138"/>
        <v xml:space="preserve">    28.9 </v>
      </c>
      <c r="U419" t="str">
        <f t="shared" si="142"/>
        <v xml:space="preserve">         0.0 </v>
      </c>
      <c r="V419" t="str">
        <f t="shared" si="130"/>
        <v xml:space="preserve">     0.0 </v>
      </c>
      <c r="W419" t="str">
        <f t="shared" si="139"/>
        <v xml:space="preserve">     0.0 </v>
      </c>
      <c r="X419" t="str">
        <f t="shared" si="143"/>
        <v xml:space="preserve">       </v>
      </c>
      <c r="Y419" t="str">
        <f t="shared" si="143"/>
        <v xml:space="preserve">              </v>
      </c>
      <c r="Z419" t="str">
        <f t="shared" si="143"/>
        <v xml:space="preserve">    </v>
      </c>
      <c r="AA419" t="str">
        <f t="shared" si="131"/>
        <v xml:space="preserve">         </v>
      </c>
      <c r="AB419" t="str">
        <f t="shared" si="140"/>
        <v xml:space="preserve">         </v>
      </c>
      <c r="AC419" t="str">
        <f t="shared" si="141"/>
        <v xml:space="preserve">    </v>
      </c>
      <c r="AD419" t="str">
        <f t="shared" si="142"/>
        <v/>
      </c>
      <c r="AE419" t="str">
        <f t="shared" si="132"/>
        <v/>
      </c>
      <c r="AF419" t="str">
        <f t="shared" si="144"/>
        <v/>
      </c>
      <c r="AG419" t="str">
        <f t="shared" si="144"/>
        <v/>
      </c>
      <c r="AH419" t="str">
        <f t="shared" si="133"/>
        <v/>
      </c>
      <c r="AI419" t="str">
        <f t="shared" si="134"/>
        <v/>
      </c>
      <c r="AJ419" t="str">
        <f t="shared" si="135"/>
        <v/>
      </c>
    </row>
    <row r="420" spans="1:36" x14ac:dyDescent="0.25">
      <c r="A420" t="s">
        <v>336</v>
      </c>
      <c r="P420" t="str">
        <f t="shared" si="136"/>
        <v xml:space="preserve">                </v>
      </c>
      <c r="Q420" t="str">
        <f t="shared" si="136"/>
        <v xml:space="preserve">         </v>
      </c>
      <c r="R420" t="str">
        <f t="shared" si="129"/>
        <v xml:space="preserve">    75.0 </v>
      </c>
      <c r="S420" t="str">
        <f t="shared" si="137"/>
        <v xml:space="preserve">   113.0 </v>
      </c>
      <c r="T420" t="str">
        <f t="shared" si="138"/>
        <v xml:space="preserve">   113.0 </v>
      </c>
      <c r="U420" t="str">
        <f t="shared" si="142"/>
        <v xml:space="preserve">       45.5% </v>
      </c>
      <c r="V420" t="str">
        <f t="shared" si="130"/>
        <v xml:space="preserve">         </v>
      </c>
      <c r="W420" t="str">
        <f t="shared" si="139"/>
        <v xml:space="preserve">         </v>
      </c>
      <c r="X420" t="str">
        <f t="shared" si="143"/>
        <v xml:space="preserve">  1297 </v>
      </c>
      <c r="Y420" t="str">
        <f t="shared" si="143"/>
        <v xml:space="preserve"> VENAIR-RS000 </v>
      </c>
      <c r="Z420" t="str">
        <f t="shared" si="143"/>
        <v xml:space="preserve">  1 </v>
      </c>
      <c r="AA420" t="str">
        <f t="shared" si="131"/>
        <v xml:space="preserve">   -32.0 </v>
      </c>
      <c r="AB420" t="str">
        <f t="shared" si="140"/>
        <v xml:space="preserve">   -13.1 </v>
      </c>
      <c r="AC420" t="str">
        <f t="shared" si="141"/>
        <v xml:space="preserve">    34.1 </v>
      </c>
      <c r="AD420" t="str">
        <f t="shared" si="142"/>
        <v xml:space="preserve"> 1.000F </v>
      </c>
      <c r="AE420" t="str">
        <f t="shared" si="132"/>
        <v xml:space="preserve">       </v>
      </c>
      <c r="AF420" t="str">
        <f t="shared" si="144"/>
        <v xml:space="preserve"> 002 </v>
      </c>
      <c r="AG420" t="str">
        <f t="shared" si="144"/>
        <v xml:space="preserve">     0.02 </v>
      </c>
      <c r="AH420" t="str">
        <f t="shared" si="133"/>
        <v xml:space="preserve">    -0.11 </v>
      </c>
      <c r="AI420" t="str">
        <f t="shared" si="134"/>
        <v xml:space="preserve">       </v>
      </c>
      <c r="AJ420" t="str">
        <f t="shared" si="135"/>
        <v xml:space="preserve">      </v>
      </c>
    </row>
    <row r="421" spans="1:36" x14ac:dyDescent="0.25">
      <c r="A421" t="s">
        <v>337</v>
      </c>
      <c r="P421" t="str">
        <f t="shared" si="136"/>
        <v xml:space="preserve">                </v>
      </c>
      <c r="Q421" t="str">
        <f t="shared" si="136"/>
        <v xml:space="preserve">         </v>
      </c>
      <c r="R421" t="str">
        <f t="shared" si="129"/>
        <v xml:space="preserve">    25.0 </v>
      </c>
      <c r="S421" t="str">
        <f t="shared" si="137"/>
        <v xml:space="preserve">    30.0 </v>
      </c>
      <c r="T421" t="str">
        <f t="shared" si="138"/>
        <v xml:space="preserve">    30.0 </v>
      </c>
      <c r="U421" t="str">
        <f t="shared" si="142"/>
        <v xml:space="preserve">       34.8% </v>
      </c>
      <c r="V421" t="str">
        <f t="shared" si="130"/>
        <v xml:space="preserve">         </v>
      </c>
      <c r="W421" t="str">
        <f t="shared" si="139"/>
        <v xml:space="preserve">         </v>
      </c>
      <c r="X421" t="str">
        <f t="shared" si="143"/>
        <v xml:space="preserve">  9210 </v>
      </c>
      <c r="Y421" t="str">
        <f t="shared" si="143"/>
        <v xml:space="preserve"> VAIT34-RS013 </v>
      </c>
      <c r="Z421" t="str">
        <f t="shared" si="143"/>
        <v xml:space="preserve">  1 </v>
      </c>
      <c r="AA421" t="str">
        <f t="shared" si="131"/>
        <v xml:space="preserve">     8.1 </v>
      </c>
      <c r="AB421" t="str">
        <f t="shared" si="140"/>
        <v xml:space="preserve">     3.4 </v>
      </c>
      <c r="AC421" t="str">
        <f t="shared" si="141"/>
        <v xml:space="preserve">     8.7 </v>
      </c>
      <c r="AD421" t="str">
        <f t="shared" si="142"/>
        <v xml:space="preserve"> 0.912* </v>
      </c>
      <c r="AE421" t="str">
        <f t="shared" si="132"/>
        <v xml:space="preserve">       </v>
      </c>
      <c r="AF421" t="str">
        <f t="shared" si="144"/>
        <v xml:space="preserve">     </v>
      </c>
      <c r="AG421" t="str">
        <f t="shared" si="144"/>
        <v xml:space="preserve">     0.01 </v>
      </c>
      <c r="AH421" t="str">
        <f t="shared" si="133"/>
        <v xml:space="preserve">     0.23 </v>
      </c>
      <c r="AI421" t="str">
        <f t="shared" si="134"/>
        <v xml:space="preserve">       </v>
      </c>
      <c r="AJ421" t="str">
        <f t="shared" si="135"/>
        <v xml:space="preserve">      </v>
      </c>
    </row>
    <row r="422" spans="1:36" x14ac:dyDescent="0.25">
      <c r="A422" t="s">
        <v>338</v>
      </c>
      <c r="P422" t="str">
        <f t="shared" si="136"/>
        <v xml:space="preserve">                </v>
      </c>
      <c r="Q422" t="str">
        <f t="shared" si="136"/>
        <v xml:space="preserve">         </v>
      </c>
      <c r="R422" t="str">
        <f t="shared" si="129"/>
        <v xml:space="preserve">    25.0 </v>
      </c>
      <c r="S422" t="str">
        <f t="shared" si="137"/>
        <v xml:space="preserve">    37.0 </v>
      </c>
      <c r="T422" t="str">
        <f t="shared" si="138"/>
        <v xml:space="preserve">    37.0 </v>
      </c>
      <c r="U422" t="str">
        <f t="shared" si="142"/>
        <v xml:space="preserve">       51.4% </v>
      </c>
      <c r="V422" t="str">
        <f t="shared" si="130"/>
        <v xml:space="preserve">         </v>
      </c>
      <c r="W422" t="str">
        <f t="shared" si="139"/>
        <v xml:space="preserve">         </v>
      </c>
      <c r="X422" t="str">
        <f t="shared" si="143"/>
        <v xml:space="preserve">  9211 </v>
      </c>
      <c r="Y422" t="str">
        <f t="shared" si="143"/>
        <v xml:space="preserve"> VAIRT5-RS013 </v>
      </c>
      <c r="Z422" t="str">
        <f t="shared" si="143"/>
        <v xml:space="preserve">  1 </v>
      </c>
      <c r="AA422" t="str">
        <f t="shared" si="131"/>
        <v xml:space="preserve">    11.8 </v>
      </c>
      <c r="AB422" t="str">
        <f t="shared" si="140"/>
        <v xml:space="preserve">     5.4 </v>
      </c>
      <c r="AC422" t="str">
        <f t="shared" si="141"/>
        <v xml:space="preserve">    12.8 </v>
      </c>
      <c r="AD422" t="str">
        <f t="shared" si="142"/>
        <v xml:space="preserve"> 0.896* </v>
      </c>
      <c r="AE422" t="str">
        <f t="shared" si="132"/>
        <v xml:space="preserve">       </v>
      </c>
      <c r="AF422" t="str">
        <f t="shared" si="144"/>
        <v xml:space="preserve">     </v>
      </c>
      <c r="AG422" t="str">
        <f t="shared" si="144"/>
        <v xml:space="preserve">     0.02 </v>
      </c>
      <c r="AH422" t="str">
        <f t="shared" si="133"/>
        <v xml:space="preserve">     0.49 </v>
      </c>
      <c r="AI422" t="str">
        <f t="shared" si="134"/>
        <v xml:space="preserve">       </v>
      </c>
      <c r="AJ422" t="str">
        <f t="shared" si="135"/>
        <v xml:space="preserve">      </v>
      </c>
    </row>
    <row r="423" spans="1:36" x14ac:dyDescent="0.25">
      <c r="A423" t="s">
        <v>339</v>
      </c>
      <c r="P423" t="str">
        <f t="shared" si="136"/>
        <v xml:space="preserve">                </v>
      </c>
      <c r="Q423" t="str">
        <f t="shared" si="136"/>
        <v xml:space="preserve">         </v>
      </c>
      <c r="R423" t="str">
        <f t="shared" si="129"/>
        <v xml:space="preserve">  9999.0 </v>
      </c>
      <c r="S423" t="str">
        <f t="shared" si="137"/>
        <v xml:space="preserve">  9999.0 </v>
      </c>
      <c r="T423" t="str">
        <f t="shared" si="138"/>
        <v xml:space="preserve">  9999.0 </v>
      </c>
      <c r="U423" t="str">
        <f t="shared" si="142"/>
        <v xml:space="preserve">        0.0% </v>
      </c>
      <c r="V423" t="str">
        <f t="shared" si="130"/>
        <v xml:space="preserve">         </v>
      </c>
      <c r="W423" t="str">
        <f t="shared" si="139"/>
        <v xml:space="preserve">         </v>
      </c>
      <c r="X423" t="str">
        <f t="shared" si="143"/>
        <v xml:space="preserve"> 10313 </v>
      </c>
      <c r="Y423" t="str">
        <f t="shared" si="143"/>
        <v xml:space="preserve"> CERTA3-RS069 </v>
      </c>
      <c r="Z423" t="str">
        <f t="shared" si="143"/>
        <v xml:space="preserve">  1 </v>
      </c>
      <c r="AA423" t="str">
        <f t="shared" si="131"/>
        <v xml:space="preserve">     2.8 </v>
      </c>
      <c r="AB423" t="str">
        <f t="shared" si="140"/>
        <v xml:space="preserve">     0.2 </v>
      </c>
      <c r="AC423" t="str">
        <f t="shared" si="141"/>
        <v xml:space="preserve">     2.8 </v>
      </c>
      <c r="AD423" t="str">
        <f t="shared" si="142"/>
        <v xml:space="preserve">        </v>
      </c>
      <c r="AE423" t="str">
        <f t="shared" si="132"/>
        <v xml:space="preserve">       </v>
      </c>
      <c r="AF423" t="str">
        <f t="shared" si="144"/>
        <v xml:space="preserve">     </v>
      </c>
      <c r="AG423" t="str">
        <f t="shared" si="144"/>
        <v xml:space="preserve">     0.00 </v>
      </c>
      <c r="AH423" t="str">
        <f t="shared" si="133"/>
        <v xml:space="preserve">     0.00 </v>
      </c>
      <c r="AI423" t="str">
        <f t="shared" si="134"/>
        <v xml:space="preserve">       </v>
      </c>
      <c r="AJ423" t="str">
        <f t="shared" si="135"/>
        <v xml:space="preserve">      </v>
      </c>
    </row>
    <row r="424" spans="1:36" x14ac:dyDescent="0.25">
      <c r="A424" t="s">
        <v>340</v>
      </c>
      <c r="P424" t="str">
        <f t="shared" si="136"/>
        <v xml:space="preserve">                </v>
      </c>
      <c r="Q424" t="str">
        <f t="shared" si="136"/>
        <v xml:space="preserve">         </v>
      </c>
      <c r="R424" t="str">
        <f t="shared" si="129"/>
        <v xml:space="preserve">    50.0 </v>
      </c>
      <c r="S424" t="str">
        <f t="shared" si="137"/>
        <v xml:space="preserve">    60.0 </v>
      </c>
      <c r="T424" t="str">
        <f t="shared" si="138"/>
        <v xml:space="preserve">    60.0 </v>
      </c>
      <c r="U424" t="str">
        <f t="shared" si="142"/>
        <v xml:space="preserve">       40.5% </v>
      </c>
      <c r="V424" t="str">
        <f t="shared" si="130"/>
        <v xml:space="preserve">         </v>
      </c>
      <c r="W424" t="str">
        <f t="shared" si="139"/>
        <v xml:space="preserve">         </v>
      </c>
      <c r="X424" t="str">
        <f t="shared" si="143"/>
        <v xml:space="preserve"> 10419 </v>
      </c>
      <c r="Y424" t="str">
        <f t="shared" si="143"/>
        <v xml:space="preserve"> VAI--3-RS000 </v>
      </c>
      <c r="Z424" t="str">
        <f t="shared" si="143"/>
        <v xml:space="preserve">  3 </v>
      </c>
      <c r="AA424" t="str">
        <f t="shared" si="131"/>
        <v xml:space="preserve">   -19.4 </v>
      </c>
      <c r="AB424" t="str">
        <f t="shared" si="140"/>
        <v xml:space="preserve">    -6.4 </v>
      </c>
      <c r="AC424" t="str">
        <f t="shared" si="141"/>
        <v xml:space="preserve">    20.2 </v>
      </c>
      <c r="AD424" t="str">
        <f t="shared" si="142"/>
        <v xml:space="preserve"> 1.029* </v>
      </c>
      <c r="AE424" t="str">
        <f t="shared" si="132"/>
        <v xml:space="preserve">       </v>
      </c>
      <c r="AF424" t="str">
        <f t="shared" si="144"/>
        <v xml:space="preserve"> 002 </v>
      </c>
      <c r="AG424" t="str">
        <f t="shared" si="144"/>
        <v xml:space="preserve">     0.02 </v>
      </c>
      <c r="AH424" t="str">
        <f t="shared" si="133"/>
        <v xml:space="preserve">    -0.14 </v>
      </c>
      <c r="AI424" t="str">
        <f t="shared" si="134"/>
        <v xml:space="preserve">       </v>
      </c>
      <c r="AJ424" t="str">
        <f t="shared" si="135"/>
        <v xml:space="preserve">      </v>
      </c>
    </row>
    <row r="425" spans="1:36" x14ac:dyDescent="0.25">
      <c r="A425" t="s">
        <v>341</v>
      </c>
      <c r="P425" t="str">
        <f t="shared" si="136"/>
        <v xml:space="preserve">                </v>
      </c>
      <c r="Q425" t="str">
        <f t="shared" si="136"/>
        <v xml:space="preserve">         </v>
      </c>
      <c r="R425" t="str">
        <f t="shared" si="129"/>
        <v xml:space="preserve">    75.0 </v>
      </c>
      <c r="S425" t="str">
        <f t="shared" si="137"/>
        <v xml:space="preserve">   112.0 </v>
      </c>
      <c r="T425" t="str">
        <f t="shared" si="138"/>
        <v xml:space="preserve">   112.0 </v>
      </c>
      <c r="U425" t="str">
        <f t="shared" si="142"/>
        <v xml:space="preserve">       46.2% </v>
      </c>
      <c r="V425" t="str">
        <f t="shared" si="130"/>
        <v xml:space="preserve">         </v>
      </c>
      <c r="W425" t="str">
        <f t="shared" si="139"/>
        <v xml:space="preserve">         </v>
      </c>
      <c r="X425" t="str">
        <f t="shared" si="143"/>
        <v xml:space="preserve"> 41403 </v>
      </c>
      <c r="Y425" t="str">
        <f t="shared" si="143"/>
        <v xml:space="preserve"> VAI--2-RS000 </v>
      </c>
      <c r="Z425" t="str">
        <f t="shared" si="143"/>
        <v xml:space="preserve">  2 </v>
      </c>
      <c r="AA425" t="str">
        <f t="shared" si="131"/>
        <v xml:space="preserve">   -31.8 </v>
      </c>
      <c r="AB425" t="str">
        <f t="shared" si="140"/>
        <v xml:space="preserve">   -14.7 </v>
      </c>
      <c r="AC425" t="str">
        <f t="shared" si="141"/>
        <v xml:space="preserve">    34.7 </v>
      </c>
      <c r="AD425" t="str">
        <f t="shared" si="142"/>
        <v xml:space="preserve"> 1.000F </v>
      </c>
      <c r="AE425" t="str">
        <f t="shared" si="132"/>
        <v xml:space="preserve">       </v>
      </c>
      <c r="AF425" t="str">
        <f t="shared" si="144"/>
        <v xml:space="preserve"> 002 </v>
      </c>
      <c r="AG425" t="str">
        <f t="shared" si="144"/>
        <v xml:space="preserve">     0.02 </v>
      </c>
      <c r="AH425" t="str">
        <f t="shared" si="133"/>
        <v xml:space="preserve">    -0.10 </v>
      </c>
      <c r="AI425" t="str">
        <f t="shared" si="134"/>
        <v xml:space="preserve">       </v>
      </c>
      <c r="AJ425" t="str">
        <f t="shared" si="135"/>
        <v xml:space="preserve">      </v>
      </c>
    </row>
    <row r="426" spans="1:36" x14ac:dyDescent="0.25">
      <c r="A426" t="s">
        <v>14</v>
      </c>
      <c r="P426" t="str">
        <f t="shared" si="136"/>
        <v xml:space="preserve">  ..............</v>
      </c>
      <c r="Q426" t="str">
        <f t="shared" si="136"/>
        <v>.........</v>
      </c>
      <c r="R426" t="str">
        <f t="shared" si="129"/>
        <v>.........</v>
      </c>
      <c r="S426" t="str">
        <f t="shared" si="137"/>
        <v>.........</v>
      </c>
      <c r="T426" t="str">
        <f t="shared" si="138"/>
        <v>.........</v>
      </c>
      <c r="U426" t="str">
        <f t="shared" si="142"/>
        <v>.............</v>
      </c>
      <c r="V426" t="str">
        <f t="shared" si="130"/>
        <v>.........</v>
      </c>
      <c r="W426" t="str">
        <f t="shared" si="139"/>
        <v>.........</v>
      </c>
      <c r="X426" t="str">
        <f t="shared" si="143"/>
        <v>.......</v>
      </c>
      <c r="Y426" t="str">
        <f t="shared" si="143"/>
        <v>..............</v>
      </c>
      <c r="Z426" t="str">
        <f t="shared" si="143"/>
        <v>....</v>
      </c>
      <c r="AA426" t="str">
        <f t="shared" si="131"/>
        <v>.........</v>
      </c>
      <c r="AB426" t="str">
        <f t="shared" si="140"/>
        <v>.........</v>
      </c>
      <c r="AC426" t="str">
        <f t="shared" si="141"/>
        <v>.........</v>
      </c>
      <c r="AD426" t="str">
        <f t="shared" si="142"/>
        <v>........</v>
      </c>
      <c r="AE426" t="str">
        <f t="shared" si="132"/>
        <v>.......</v>
      </c>
      <c r="AF426" t="str">
        <f t="shared" si="144"/>
        <v>.....</v>
      </c>
      <c r="AG426" t="str">
        <f t="shared" si="144"/>
        <v>..........</v>
      </c>
      <c r="AH426" t="str">
        <f t="shared" si="133"/>
        <v>..........</v>
      </c>
      <c r="AI426" t="str">
        <f t="shared" si="134"/>
        <v>.......</v>
      </c>
      <c r="AJ426" t="str">
        <f t="shared" si="135"/>
        <v>.......</v>
      </c>
    </row>
    <row r="427" spans="1:36" x14ac:dyDescent="0.25">
      <c r="A427" t="s">
        <v>342</v>
      </c>
      <c r="P427" t="str">
        <f t="shared" si="136"/>
        <v xml:space="preserve">   1301   69  0 </v>
      </c>
      <c r="Q427" t="str">
        <f t="shared" si="136"/>
        <v xml:space="preserve">   1.039 </v>
      </c>
      <c r="R427" t="str">
        <f t="shared" si="129"/>
        <v xml:space="preserve">     0.0 </v>
      </c>
      <c r="S427" t="str">
        <f t="shared" si="137"/>
        <v xml:space="preserve">     0.0 </v>
      </c>
      <c r="T427" t="str">
        <f t="shared" si="138"/>
        <v xml:space="preserve">     0.0 </v>
      </c>
      <c r="U427" t="str">
        <f t="shared" si="142"/>
        <v xml:space="preserve">         0.0 </v>
      </c>
      <c r="V427" t="str">
        <f t="shared" si="130"/>
        <v xml:space="preserve">     0.0 </v>
      </c>
      <c r="W427" t="str">
        <f t="shared" si="139"/>
        <v xml:space="preserve">     0.0</v>
      </c>
      <c r="X427" t="str">
        <f t="shared" si="143"/>
        <v/>
      </c>
      <c r="Y427" t="str">
        <f t="shared" si="143"/>
        <v/>
      </c>
      <c r="Z427" t="str">
        <f t="shared" si="143"/>
        <v/>
      </c>
      <c r="AA427" t="str">
        <f t="shared" si="131"/>
        <v/>
      </c>
      <c r="AB427" t="str">
        <f t="shared" si="140"/>
        <v/>
      </c>
      <c r="AC427" t="str">
        <f t="shared" si="141"/>
        <v/>
      </c>
      <c r="AD427" t="str">
        <f t="shared" si="142"/>
        <v/>
      </c>
      <c r="AE427" t="str">
        <f t="shared" si="132"/>
        <v/>
      </c>
      <c r="AF427" t="str">
        <f t="shared" si="144"/>
        <v/>
      </c>
      <c r="AG427" t="str">
        <f t="shared" si="144"/>
        <v/>
      </c>
      <c r="AH427" t="str">
        <f t="shared" si="133"/>
        <v/>
      </c>
      <c r="AI427" t="str">
        <f t="shared" si="134"/>
        <v/>
      </c>
      <c r="AJ427" t="str">
        <f t="shared" si="135"/>
        <v/>
      </c>
    </row>
    <row r="428" spans="1:36" x14ac:dyDescent="0.25">
      <c r="A428" t="s">
        <v>343</v>
      </c>
      <c r="P428" t="str">
        <f t="shared" si="136"/>
        <v xml:space="preserve">  CALTA1-RS069  </v>
      </c>
      <c r="Q428" t="str">
        <f t="shared" si="136"/>
        <v xml:space="preserve">   -49.7 </v>
      </c>
      <c r="R428" t="str">
        <f t="shared" si="129"/>
        <v xml:space="preserve">     0.0 </v>
      </c>
      <c r="S428" t="str">
        <f t="shared" si="137"/>
        <v xml:space="preserve">     0.0 </v>
      </c>
      <c r="T428" t="str">
        <f t="shared" si="138"/>
        <v xml:space="preserve">     0.0 </v>
      </c>
      <c r="U428" t="str">
        <f t="shared" si="142"/>
        <v xml:space="preserve">         0.0 </v>
      </c>
      <c r="V428" t="str">
        <f t="shared" si="130"/>
        <v xml:space="preserve">     0.0 </v>
      </c>
      <c r="W428" t="str">
        <f t="shared" si="139"/>
        <v xml:space="preserve">     0.0 </v>
      </c>
      <c r="X428" t="str">
        <f t="shared" si="143"/>
        <v xml:space="preserve">       </v>
      </c>
      <c r="Y428" t="str">
        <f t="shared" si="143"/>
        <v xml:space="preserve">              </v>
      </c>
      <c r="Z428" t="str">
        <f t="shared" si="143"/>
        <v xml:space="preserve">    </v>
      </c>
      <c r="AA428" t="str">
        <f t="shared" si="131"/>
        <v xml:space="preserve">         </v>
      </c>
      <c r="AB428" t="str">
        <f t="shared" si="140"/>
        <v xml:space="preserve">         </v>
      </c>
      <c r="AC428" t="str">
        <f t="shared" si="141"/>
        <v xml:space="preserve">    </v>
      </c>
      <c r="AD428" t="str">
        <f t="shared" si="142"/>
        <v/>
      </c>
      <c r="AE428" t="str">
        <f t="shared" si="132"/>
        <v/>
      </c>
      <c r="AF428" t="str">
        <f t="shared" si="144"/>
        <v/>
      </c>
      <c r="AG428" t="str">
        <f t="shared" si="144"/>
        <v/>
      </c>
      <c r="AH428" t="str">
        <f t="shared" si="133"/>
        <v/>
      </c>
      <c r="AI428" t="str">
        <f t="shared" si="134"/>
        <v/>
      </c>
      <c r="AJ428" t="str">
        <f t="shared" si="135"/>
        <v/>
      </c>
    </row>
    <row r="429" spans="1:36" x14ac:dyDescent="0.25">
      <c r="A429" t="s">
        <v>344</v>
      </c>
      <c r="P429" t="str">
        <f t="shared" si="136"/>
        <v xml:space="preserve">              DE</v>
      </c>
      <c r="Q429" t="str">
        <f t="shared" si="136"/>
        <v xml:space="preserve">ESLIGADO </v>
      </c>
      <c r="R429" t="str">
        <f t="shared" si="129"/>
        <v xml:space="preserve">    44.0 </v>
      </c>
      <c r="S429" t="str">
        <f t="shared" si="137"/>
        <v xml:space="preserve">    64.0 </v>
      </c>
      <c r="T429" t="str">
        <f t="shared" si="138"/>
        <v xml:space="preserve">    64.0 </v>
      </c>
      <c r="U429" t="str">
        <f t="shared" si="142"/>
        <v xml:space="preserve">             </v>
      </c>
      <c r="V429" t="str">
        <f t="shared" si="130"/>
        <v xml:space="preserve">         </v>
      </c>
      <c r="W429" t="str">
        <f t="shared" si="139"/>
        <v xml:space="preserve">         </v>
      </c>
      <c r="X429" t="str">
        <f t="shared" si="143"/>
        <v xml:space="preserve">  1302 </v>
      </c>
      <c r="Y429" t="str">
        <f t="shared" si="143"/>
        <v xml:space="preserve"> IJUI1--RS069 </v>
      </c>
      <c r="Z429" t="str">
        <f t="shared" si="143"/>
        <v xml:space="preserve">  1 </v>
      </c>
      <c r="AA429" t="str">
        <f t="shared" si="131"/>
        <v xml:space="preserve">     0.0 </v>
      </c>
      <c r="AB429" t="str">
        <f t="shared" si="140"/>
        <v xml:space="preserve">     0.0 </v>
      </c>
      <c r="AC429" t="str">
        <f t="shared" si="141"/>
        <v xml:space="preserve">     0.0 </v>
      </c>
      <c r="AD429" t="str">
        <f t="shared" si="142"/>
        <v xml:space="preserve">        </v>
      </c>
      <c r="AE429" t="str">
        <f t="shared" si="132"/>
        <v xml:space="preserve">       </v>
      </c>
      <c r="AF429" t="str">
        <f t="shared" si="144"/>
        <v xml:space="preserve">     </v>
      </c>
      <c r="AG429" t="str">
        <f t="shared" si="144"/>
        <v xml:space="preserve">     0.00 </v>
      </c>
      <c r="AH429" t="str">
        <f t="shared" si="133"/>
        <v xml:space="preserve">     0.00 </v>
      </c>
      <c r="AI429" t="str">
        <f t="shared" si="134"/>
        <v xml:space="preserve">       </v>
      </c>
      <c r="AJ429" t="str">
        <f t="shared" si="135"/>
        <v xml:space="preserve">      </v>
      </c>
    </row>
    <row r="430" spans="1:36" x14ac:dyDescent="0.25">
      <c r="A430" t="s">
        <v>345</v>
      </c>
      <c r="P430" t="str">
        <f t="shared" si="136"/>
        <v xml:space="preserve">                </v>
      </c>
      <c r="Q430" t="str">
        <f t="shared" si="136"/>
        <v xml:space="preserve">         </v>
      </c>
      <c r="R430" t="str">
        <f t="shared" si="129"/>
        <v xml:space="preserve">    23.0 </v>
      </c>
      <c r="S430" t="str">
        <f t="shared" si="137"/>
        <v xml:space="preserve">    23.0 </v>
      </c>
      <c r="T430" t="str">
        <f t="shared" si="138"/>
        <v xml:space="preserve">    23.0 </v>
      </c>
      <c r="U430" t="str">
        <f t="shared" si="142"/>
        <v xml:space="preserve">       85.6% </v>
      </c>
      <c r="V430" t="str">
        <f t="shared" si="130"/>
        <v xml:space="preserve">         </v>
      </c>
      <c r="W430" t="str">
        <f t="shared" si="139"/>
        <v xml:space="preserve">         </v>
      </c>
      <c r="X430" t="str">
        <f t="shared" si="143"/>
        <v xml:space="preserve">  1307 </v>
      </c>
      <c r="Y430" t="str">
        <f t="shared" si="143"/>
        <v xml:space="preserve"> PANAM--RS069 </v>
      </c>
      <c r="Z430" t="str">
        <f t="shared" si="143"/>
        <v xml:space="preserve">  1 </v>
      </c>
      <c r="AA430" t="str">
        <f t="shared" si="131"/>
        <v xml:space="preserve">    20.4 </v>
      </c>
      <c r="AB430" t="str">
        <f t="shared" si="140"/>
        <v xml:space="preserve">    -1.7 </v>
      </c>
      <c r="AC430" t="str">
        <f t="shared" si="141"/>
        <v xml:space="preserve">    19.7 </v>
      </c>
      <c r="AD430" t="str">
        <f t="shared" si="142"/>
        <v xml:space="preserve">        </v>
      </c>
      <c r="AE430" t="str">
        <f t="shared" si="132"/>
        <v xml:space="preserve">       </v>
      </c>
      <c r="AF430" t="str">
        <f t="shared" si="144"/>
        <v xml:space="preserve">     </v>
      </c>
      <c r="AG430" t="str">
        <f t="shared" si="144"/>
        <v xml:space="preserve">     1.28 </v>
      </c>
      <c r="AH430" t="str">
        <f t="shared" si="133"/>
        <v xml:space="preserve">     1.25 </v>
      </c>
      <c r="AI430" t="str">
        <f t="shared" si="134"/>
        <v xml:space="preserve">       </v>
      </c>
      <c r="AJ430" t="str">
        <f t="shared" si="135"/>
        <v xml:space="preserve">      </v>
      </c>
    </row>
    <row r="431" spans="1:36" x14ac:dyDescent="0.25">
      <c r="A431" t="s">
        <v>346</v>
      </c>
      <c r="P431" t="str">
        <f t="shared" si="136"/>
        <v xml:space="preserve">                </v>
      </c>
      <c r="Q431" t="str">
        <f t="shared" si="136"/>
        <v xml:space="preserve">         </v>
      </c>
      <c r="R431" t="str">
        <f t="shared" si="129"/>
        <v xml:space="preserve">    66.0 </v>
      </c>
      <c r="S431" t="str">
        <f t="shared" si="137"/>
        <v xml:space="preserve">    66.0 </v>
      </c>
      <c r="T431" t="str">
        <f t="shared" si="138"/>
        <v xml:space="preserve">    66.0 </v>
      </c>
      <c r="U431" t="str">
        <f t="shared" si="142"/>
        <v xml:space="preserve">        9.9% </v>
      </c>
      <c r="V431" t="str">
        <f t="shared" si="130"/>
        <v xml:space="preserve">         </v>
      </c>
      <c r="W431" t="str">
        <f t="shared" si="139"/>
        <v xml:space="preserve">         </v>
      </c>
      <c r="X431" t="str">
        <f t="shared" si="143"/>
        <v xml:space="preserve">  2061 </v>
      </c>
      <c r="Y431" t="str">
        <f t="shared" si="143"/>
        <v xml:space="preserve"> CRUZAL-RS138 </v>
      </c>
      <c r="Z431" t="str">
        <f t="shared" si="143"/>
        <v xml:space="preserve">  1 </v>
      </c>
      <c r="AA431" t="str">
        <f t="shared" si="131"/>
        <v xml:space="preserve">    -6.7 </v>
      </c>
      <c r="AB431" t="str">
        <f t="shared" si="140"/>
        <v xml:space="preserve">    -0.9 </v>
      </c>
      <c r="AC431" t="str">
        <f t="shared" si="141"/>
        <v xml:space="preserve">     6.5 </v>
      </c>
      <c r="AD431" t="str">
        <f t="shared" si="142"/>
        <v xml:space="preserve"> 1.027* </v>
      </c>
      <c r="AE431" t="str">
        <f t="shared" si="132"/>
        <v xml:space="preserve">       </v>
      </c>
      <c r="AF431" t="str">
        <f t="shared" si="144"/>
        <v xml:space="preserve">     </v>
      </c>
      <c r="AG431" t="str">
        <f t="shared" si="144"/>
        <v xml:space="preserve">     0.00 </v>
      </c>
      <c r="AH431" t="str">
        <f t="shared" si="133"/>
        <v xml:space="preserve">     0.11 </v>
      </c>
      <c r="AI431" t="str">
        <f t="shared" si="134"/>
        <v xml:space="preserve">       </v>
      </c>
      <c r="AJ431" t="str">
        <f t="shared" si="135"/>
        <v xml:space="preserve">      </v>
      </c>
    </row>
    <row r="432" spans="1:36" x14ac:dyDescent="0.25">
      <c r="A432" t="s">
        <v>347</v>
      </c>
      <c r="P432" t="str">
        <f t="shared" si="136"/>
        <v xml:space="preserve">                </v>
      </c>
      <c r="Q432" t="str">
        <f t="shared" si="136"/>
        <v xml:space="preserve">         </v>
      </c>
      <c r="R432" t="str">
        <f t="shared" si="129"/>
        <v xml:space="preserve">    25.0 </v>
      </c>
      <c r="S432" t="str">
        <f t="shared" si="137"/>
        <v xml:space="preserve">    25.0 </v>
      </c>
      <c r="T432" t="str">
        <f t="shared" si="138"/>
        <v xml:space="preserve">    25.0 </v>
      </c>
      <c r="U432" t="str">
        <f t="shared" si="142"/>
        <v xml:space="preserve">       37.5% </v>
      </c>
      <c r="V432" t="str">
        <f t="shared" si="130"/>
        <v xml:space="preserve">         </v>
      </c>
      <c r="W432" t="str">
        <f t="shared" si="139"/>
        <v xml:space="preserve">         </v>
      </c>
      <c r="X432" t="str">
        <f t="shared" si="143"/>
        <v xml:space="preserve">  9660 </v>
      </c>
      <c r="Y432" t="str">
        <f t="shared" si="143"/>
        <v xml:space="preserve"> CAL1-B-RS023 </v>
      </c>
      <c r="Z432" t="str">
        <f t="shared" si="143"/>
        <v xml:space="preserve">  1 </v>
      </c>
      <c r="AA432" t="str">
        <f t="shared" si="131"/>
        <v xml:space="preserve">     9.7 </v>
      </c>
      <c r="AB432" t="str">
        <f t="shared" si="140"/>
        <v xml:space="preserve">     0.7 </v>
      </c>
      <c r="AC432" t="str">
        <f t="shared" si="141"/>
        <v xml:space="preserve">     9.4 </v>
      </c>
      <c r="AD432" t="str">
        <f t="shared" si="142"/>
        <v xml:space="preserve"> 0.991* </v>
      </c>
      <c r="AE432" t="str">
        <f t="shared" si="132"/>
        <v xml:space="preserve">       </v>
      </c>
      <c r="AF432" t="str">
        <f t="shared" si="144"/>
        <v xml:space="preserve">     </v>
      </c>
      <c r="AG432" t="str">
        <f t="shared" si="144"/>
        <v xml:space="preserve">     0.00 </v>
      </c>
      <c r="AH432" t="str">
        <f t="shared" si="133"/>
        <v xml:space="preserve">     0.35 </v>
      </c>
      <c r="AI432" t="str">
        <f t="shared" si="134"/>
        <v xml:space="preserve">       </v>
      </c>
      <c r="AJ432" t="str">
        <f t="shared" si="135"/>
        <v xml:space="preserve">      </v>
      </c>
    </row>
    <row r="433" spans="1:36" x14ac:dyDescent="0.25">
      <c r="A433" t="s">
        <v>348</v>
      </c>
      <c r="P433" t="str">
        <f t="shared" si="136"/>
        <v xml:space="preserve">                </v>
      </c>
      <c r="Q433" t="str">
        <f t="shared" si="136"/>
        <v xml:space="preserve">         </v>
      </c>
      <c r="R433" t="str">
        <f t="shared" si="129"/>
        <v xml:space="preserve">    84.0 </v>
      </c>
      <c r="S433" t="str">
        <f t="shared" si="137"/>
        <v xml:space="preserve">   101.0 </v>
      </c>
      <c r="T433" t="str">
        <f t="shared" si="138"/>
        <v xml:space="preserve">   101.0 </v>
      </c>
      <c r="U433" t="str">
        <f t="shared" si="142"/>
        <v xml:space="preserve">       13.4% </v>
      </c>
      <c r="V433" t="str">
        <f t="shared" si="130"/>
        <v xml:space="preserve">         </v>
      </c>
      <c r="W433" t="str">
        <f t="shared" si="139"/>
        <v xml:space="preserve">         </v>
      </c>
      <c r="X433" t="str">
        <f t="shared" si="143"/>
        <v xml:space="preserve"> 10219 </v>
      </c>
      <c r="Y433" t="str">
        <f t="shared" si="143"/>
        <v xml:space="preserve"> CALTA2-RS069 </v>
      </c>
      <c r="Z433" t="str">
        <f t="shared" si="143"/>
        <v xml:space="preserve">  1 </v>
      </c>
      <c r="AA433" t="str">
        <f t="shared" si="131"/>
        <v xml:space="preserve">   -11.7 </v>
      </c>
      <c r="AB433" t="str">
        <f t="shared" si="140"/>
        <v xml:space="preserve">     0.9 </v>
      </c>
      <c r="AC433" t="str">
        <f t="shared" si="141"/>
        <v xml:space="preserve">    11.3 </v>
      </c>
      <c r="AD433" t="str">
        <f t="shared" si="142"/>
        <v xml:space="preserve">        </v>
      </c>
      <c r="AE433" t="str">
        <f t="shared" si="132"/>
        <v xml:space="preserve">       </v>
      </c>
      <c r="AF433" t="str">
        <f t="shared" si="144"/>
        <v xml:space="preserve">     </v>
      </c>
      <c r="AG433" t="str">
        <f t="shared" si="144"/>
        <v xml:space="preserve">     0.03 </v>
      </c>
      <c r="AH433" t="str">
        <f t="shared" si="133"/>
        <v xml:space="preserve">    -0.06 </v>
      </c>
      <c r="AI433" t="str">
        <f t="shared" si="134"/>
        <v xml:space="preserve">       </v>
      </c>
      <c r="AJ433" t="str">
        <f t="shared" si="135"/>
        <v xml:space="preserve">      </v>
      </c>
    </row>
    <row r="434" spans="1:36" x14ac:dyDescent="0.25">
      <c r="A434" t="s">
        <v>349</v>
      </c>
      <c r="P434" t="str">
        <f t="shared" si="136"/>
        <v xml:space="preserve">                </v>
      </c>
      <c r="Q434" t="str">
        <f t="shared" si="136"/>
        <v xml:space="preserve">         </v>
      </c>
      <c r="R434" t="str">
        <f t="shared" si="129"/>
        <v xml:space="preserve">    84.0 </v>
      </c>
      <c r="S434" t="str">
        <f t="shared" si="137"/>
        <v xml:space="preserve">   101.0 </v>
      </c>
      <c r="T434" t="str">
        <f t="shared" si="138"/>
        <v xml:space="preserve">   101.0 </v>
      </c>
      <c r="U434" t="str">
        <f t="shared" si="142"/>
        <v xml:space="preserve">       13.4% </v>
      </c>
      <c r="V434" t="str">
        <f t="shared" si="130"/>
        <v xml:space="preserve">         </v>
      </c>
      <c r="W434" t="str">
        <f t="shared" si="139"/>
        <v xml:space="preserve">         </v>
      </c>
      <c r="X434" t="str">
        <f t="shared" si="143"/>
        <v xml:space="preserve"> 10219 </v>
      </c>
      <c r="Y434" t="str">
        <f t="shared" si="143"/>
        <v xml:space="preserve"> CALTA2-RS069 </v>
      </c>
      <c r="Z434" t="str">
        <f t="shared" si="143"/>
        <v xml:space="preserve">  2 </v>
      </c>
      <c r="AA434" t="str">
        <f t="shared" si="131"/>
        <v xml:space="preserve">   -11.7 </v>
      </c>
      <c r="AB434" t="str">
        <f t="shared" si="140"/>
        <v xml:space="preserve">     0.9 </v>
      </c>
      <c r="AC434" t="str">
        <f t="shared" si="141"/>
        <v xml:space="preserve">    11.3 </v>
      </c>
      <c r="AD434" t="str">
        <f t="shared" si="142"/>
        <v xml:space="preserve">        </v>
      </c>
      <c r="AE434" t="str">
        <f t="shared" si="132"/>
        <v xml:space="preserve">       </v>
      </c>
      <c r="AF434" t="str">
        <f t="shared" si="144"/>
        <v xml:space="preserve">     </v>
      </c>
      <c r="AG434" t="str">
        <f t="shared" si="144"/>
        <v xml:space="preserve">     0.03 </v>
      </c>
      <c r="AH434" t="str">
        <f t="shared" si="133"/>
        <v xml:space="preserve">    -0.06 </v>
      </c>
      <c r="AI434" t="str">
        <f t="shared" si="134"/>
        <v xml:space="preserve">       </v>
      </c>
      <c r="AJ434" t="str">
        <f t="shared" si="135"/>
        <v xml:space="preserve">      </v>
      </c>
    </row>
    <row r="435" spans="1:36" x14ac:dyDescent="0.25">
      <c r="A435" t="s">
        <v>14</v>
      </c>
      <c r="P435" t="str">
        <f t="shared" si="136"/>
        <v xml:space="preserve">  ..............</v>
      </c>
      <c r="Q435" t="str">
        <f t="shared" si="136"/>
        <v>.........</v>
      </c>
      <c r="R435" t="str">
        <f t="shared" si="129"/>
        <v>.........</v>
      </c>
      <c r="S435" t="str">
        <f t="shared" si="137"/>
        <v>.........</v>
      </c>
      <c r="T435" t="str">
        <f t="shared" si="138"/>
        <v>.........</v>
      </c>
      <c r="U435" t="str">
        <f t="shared" si="142"/>
        <v>.............</v>
      </c>
      <c r="V435" t="str">
        <f t="shared" si="130"/>
        <v>.........</v>
      </c>
      <c r="W435" t="str">
        <f t="shared" si="139"/>
        <v>.........</v>
      </c>
      <c r="X435" t="str">
        <f t="shared" si="143"/>
        <v>.......</v>
      </c>
      <c r="Y435" t="str">
        <f t="shared" si="143"/>
        <v>..............</v>
      </c>
      <c r="Z435" t="str">
        <f t="shared" si="143"/>
        <v>....</v>
      </c>
      <c r="AA435" t="str">
        <f t="shared" si="131"/>
        <v>.........</v>
      </c>
      <c r="AB435" t="str">
        <f t="shared" si="140"/>
        <v>.........</v>
      </c>
      <c r="AC435" t="str">
        <f t="shared" si="141"/>
        <v>.........</v>
      </c>
      <c r="AD435" t="str">
        <f t="shared" si="142"/>
        <v>........</v>
      </c>
      <c r="AE435" t="str">
        <f t="shared" si="132"/>
        <v>.......</v>
      </c>
      <c r="AF435" t="str">
        <f t="shared" si="144"/>
        <v>.....</v>
      </c>
      <c r="AG435" t="str">
        <f t="shared" si="144"/>
        <v>..........</v>
      </c>
      <c r="AH435" t="str">
        <f t="shared" si="133"/>
        <v>..........</v>
      </c>
      <c r="AI435" t="str">
        <f t="shared" si="134"/>
        <v>.......</v>
      </c>
      <c r="AJ435" t="str">
        <f t="shared" si="135"/>
        <v>.......</v>
      </c>
    </row>
    <row r="436" spans="1:36" x14ac:dyDescent="0.25">
      <c r="A436" t="s">
        <v>350</v>
      </c>
      <c r="P436" t="str">
        <f t="shared" si="136"/>
        <v xml:space="preserve">   1302   69  0 </v>
      </c>
      <c r="Q436" t="str">
        <f t="shared" si="136"/>
        <v xml:space="preserve">   1.001 </v>
      </c>
      <c r="R436" t="str">
        <f t="shared" si="129"/>
        <v xml:space="preserve">     0.0 </v>
      </c>
      <c r="S436" t="str">
        <f t="shared" si="137"/>
        <v xml:space="preserve">     0.0 </v>
      </c>
      <c r="T436" t="str">
        <f t="shared" si="138"/>
        <v xml:space="preserve">     0.0 </v>
      </c>
      <c r="U436" t="str">
        <f t="shared" si="142"/>
        <v xml:space="preserve">         0.0 </v>
      </c>
      <c r="V436" t="str">
        <f t="shared" si="130"/>
        <v xml:space="preserve">     0.0 </v>
      </c>
      <c r="W436" t="str">
        <f t="shared" si="139"/>
        <v xml:space="preserve">     0.0</v>
      </c>
      <c r="X436" t="str">
        <f t="shared" si="143"/>
        <v/>
      </c>
      <c r="Y436" t="str">
        <f t="shared" si="143"/>
        <v/>
      </c>
      <c r="Z436" t="str">
        <f t="shared" si="143"/>
        <v/>
      </c>
      <c r="AA436" t="str">
        <f t="shared" si="131"/>
        <v/>
      </c>
      <c r="AB436" t="str">
        <f t="shared" si="140"/>
        <v/>
      </c>
      <c r="AC436" t="str">
        <f t="shared" si="141"/>
        <v/>
      </c>
      <c r="AD436" t="str">
        <f t="shared" si="142"/>
        <v/>
      </c>
      <c r="AE436" t="str">
        <f t="shared" si="132"/>
        <v/>
      </c>
      <c r="AF436" t="str">
        <f t="shared" si="144"/>
        <v/>
      </c>
      <c r="AG436" t="str">
        <f t="shared" si="144"/>
        <v/>
      </c>
      <c r="AH436" t="str">
        <f t="shared" si="133"/>
        <v/>
      </c>
      <c r="AI436" t="str">
        <f t="shared" si="134"/>
        <v/>
      </c>
      <c r="AJ436" t="str">
        <f t="shared" si="135"/>
        <v/>
      </c>
    </row>
    <row r="437" spans="1:36" x14ac:dyDescent="0.25">
      <c r="A437" t="s">
        <v>351</v>
      </c>
      <c r="P437" t="str">
        <f t="shared" si="136"/>
        <v xml:space="preserve">  IJUI1--RS069  </v>
      </c>
      <c r="Q437" t="str">
        <f t="shared" si="136"/>
        <v xml:space="preserve">   -50.5 </v>
      </c>
      <c r="R437" t="str">
        <f t="shared" si="129"/>
        <v xml:space="preserve">     0.0 </v>
      </c>
      <c r="S437" t="str">
        <f t="shared" si="137"/>
        <v xml:space="preserve">     0.0 </v>
      </c>
      <c r="T437" t="str">
        <f t="shared" si="138"/>
        <v xml:space="preserve">     0.0 </v>
      </c>
      <c r="U437" t="str">
        <f t="shared" si="142"/>
        <v xml:space="preserve">         0.0 </v>
      </c>
      <c r="V437" t="str">
        <f t="shared" si="130"/>
        <v xml:space="preserve">     0.0 </v>
      </c>
      <c r="W437" t="str">
        <f t="shared" si="139"/>
        <v xml:space="preserve">     0.0 </v>
      </c>
      <c r="X437" t="str">
        <f t="shared" si="143"/>
        <v xml:space="preserve">       </v>
      </c>
      <c r="Y437" t="str">
        <f t="shared" si="143"/>
        <v xml:space="preserve">              </v>
      </c>
      <c r="Z437" t="str">
        <f t="shared" si="143"/>
        <v xml:space="preserve">    </v>
      </c>
      <c r="AA437" t="str">
        <f t="shared" si="131"/>
        <v xml:space="preserve">         </v>
      </c>
      <c r="AB437" t="str">
        <f t="shared" si="140"/>
        <v xml:space="preserve">         </v>
      </c>
      <c r="AC437" t="str">
        <f t="shared" si="141"/>
        <v xml:space="preserve">    </v>
      </c>
      <c r="AD437" t="str">
        <f t="shared" si="142"/>
        <v/>
      </c>
      <c r="AE437" t="str">
        <f t="shared" si="132"/>
        <v/>
      </c>
      <c r="AF437" t="str">
        <f t="shared" si="144"/>
        <v/>
      </c>
      <c r="AG437" t="str">
        <f t="shared" si="144"/>
        <v/>
      </c>
      <c r="AH437" t="str">
        <f t="shared" si="133"/>
        <v/>
      </c>
      <c r="AI437" t="str">
        <f t="shared" si="134"/>
        <v/>
      </c>
      <c r="AJ437" t="str">
        <f t="shared" si="135"/>
        <v/>
      </c>
    </row>
    <row r="438" spans="1:36" x14ac:dyDescent="0.25">
      <c r="A438" t="s">
        <v>352</v>
      </c>
      <c r="P438" t="str">
        <f t="shared" si="136"/>
        <v xml:space="preserve">              DE</v>
      </c>
      <c r="Q438" t="str">
        <f t="shared" si="136"/>
        <v xml:space="preserve">ESLIGADO </v>
      </c>
      <c r="R438" t="str">
        <f t="shared" si="129"/>
        <v xml:space="preserve">    44.0 </v>
      </c>
      <c r="S438" t="str">
        <f t="shared" si="137"/>
        <v xml:space="preserve">    64.0 </v>
      </c>
      <c r="T438" t="str">
        <f t="shared" si="138"/>
        <v xml:space="preserve">    64.0 </v>
      </c>
      <c r="U438" t="str">
        <f t="shared" si="142"/>
        <v xml:space="preserve">             </v>
      </c>
      <c r="V438" t="str">
        <f t="shared" si="130"/>
        <v xml:space="preserve">         </v>
      </c>
      <c r="W438" t="str">
        <f t="shared" si="139"/>
        <v xml:space="preserve">         </v>
      </c>
      <c r="X438" t="str">
        <f t="shared" si="143"/>
        <v xml:space="preserve">  1301 </v>
      </c>
      <c r="Y438" t="str">
        <f t="shared" si="143"/>
        <v xml:space="preserve"> CALTA1-RS069 </v>
      </c>
      <c r="Z438" t="str">
        <f t="shared" si="143"/>
        <v xml:space="preserve">  1 </v>
      </c>
      <c r="AA438" t="str">
        <f t="shared" si="131"/>
        <v xml:space="preserve">     0.0 </v>
      </c>
      <c r="AB438" t="str">
        <f t="shared" si="140"/>
        <v xml:space="preserve">     0.0 </v>
      </c>
      <c r="AC438" t="str">
        <f t="shared" si="141"/>
        <v xml:space="preserve">     0.0 </v>
      </c>
      <c r="AD438" t="str">
        <f t="shared" si="142"/>
        <v xml:space="preserve">        </v>
      </c>
      <c r="AE438" t="str">
        <f t="shared" si="132"/>
        <v xml:space="preserve">       </v>
      </c>
      <c r="AF438" t="str">
        <f t="shared" si="144"/>
        <v xml:space="preserve">     </v>
      </c>
      <c r="AG438" t="str">
        <f t="shared" si="144"/>
        <v xml:space="preserve">     0.00 </v>
      </c>
      <c r="AH438" t="str">
        <f t="shared" si="133"/>
        <v xml:space="preserve">     0.00 </v>
      </c>
      <c r="AI438" t="str">
        <f t="shared" si="134"/>
        <v xml:space="preserve">       </v>
      </c>
      <c r="AJ438" t="str">
        <f t="shared" si="135"/>
        <v xml:space="preserve">      </v>
      </c>
    </row>
    <row r="439" spans="1:36" x14ac:dyDescent="0.25">
      <c r="A439" t="s">
        <v>353</v>
      </c>
      <c r="P439" t="str">
        <f t="shared" si="136"/>
        <v xml:space="preserve">              DE</v>
      </c>
      <c r="Q439" t="str">
        <f t="shared" si="136"/>
        <v xml:space="preserve">ESLIGADO </v>
      </c>
      <c r="R439" t="str">
        <f t="shared" si="129"/>
        <v xml:space="preserve">    44.0 </v>
      </c>
      <c r="S439" t="str">
        <f t="shared" si="137"/>
        <v xml:space="preserve">    64.0 </v>
      </c>
      <c r="T439" t="str">
        <f t="shared" si="138"/>
        <v xml:space="preserve">    64.0 </v>
      </c>
      <c r="U439" t="str">
        <f t="shared" si="142"/>
        <v xml:space="preserve">             </v>
      </c>
      <c r="V439" t="str">
        <f t="shared" si="130"/>
        <v xml:space="preserve">         </v>
      </c>
      <c r="W439" t="str">
        <f t="shared" si="139"/>
        <v xml:space="preserve">         </v>
      </c>
      <c r="X439" t="str">
        <f t="shared" si="143"/>
        <v xml:space="preserve">  1311 </v>
      </c>
      <c r="Y439" t="str">
        <f t="shared" si="143"/>
        <v xml:space="preserve"> SANGE1-RS069 </v>
      </c>
      <c r="Z439" t="str">
        <f t="shared" si="143"/>
        <v xml:space="preserve">  1 </v>
      </c>
      <c r="AA439" t="str">
        <f t="shared" si="131"/>
        <v xml:space="preserve">     0.0 </v>
      </c>
      <c r="AB439" t="str">
        <f t="shared" si="140"/>
        <v xml:space="preserve">     0.0 </v>
      </c>
      <c r="AC439" t="str">
        <f t="shared" si="141"/>
        <v xml:space="preserve">     0.0 </v>
      </c>
      <c r="AD439" t="str">
        <f t="shared" si="142"/>
        <v xml:space="preserve">        </v>
      </c>
      <c r="AE439" t="str">
        <f t="shared" si="132"/>
        <v xml:space="preserve">       </v>
      </c>
      <c r="AF439" t="str">
        <f t="shared" si="144"/>
        <v xml:space="preserve">     </v>
      </c>
      <c r="AG439" t="str">
        <f t="shared" si="144"/>
        <v xml:space="preserve">     0.00 </v>
      </c>
      <c r="AH439" t="str">
        <f t="shared" si="133"/>
        <v xml:space="preserve">     0.00 </v>
      </c>
      <c r="AI439" t="str">
        <f t="shared" si="134"/>
        <v xml:space="preserve">       </v>
      </c>
      <c r="AJ439" t="str">
        <f t="shared" si="135"/>
        <v xml:space="preserve">      </v>
      </c>
    </row>
    <row r="440" spans="1:36" x14ac:dyDescent="0.25">
      <c r="A440" t="s">
        <v>354</v>
      </c>
      <c r="P440" t="str">
        <f t="shared" si="136"/>
        <v xml:space="preserve">                </v>
      </c>
      <c r="Q440" t="str">
        <f t="shared" si="136"/>
        <v xml:space="preserve">         </v>
      </c>
      <c r="R440" t="str">
        <f t="shared" si="129"/>
        <v xml:space="preserve">    25.0 </v>
      </c>
      <c r="S440" t="str">
        <f t="shared" si="137"/>
        <v xml:space="preserve">    25.0 </v>
      </c>
      <c r="T440" t="str">
        <f t="shared" si="138"/>
        <v xml:space="preserve">    25.0 </v>
      </c>
      <c r="U440" t="str">
        <f t="shared" si="142"/>
        <v xml:space="preserve"> SUP  112.4% </v>
      </c>
      <c r="V440" t="str">
        <f t="shared" si="130"/>
        <v xml:space="preserve">         </v>
      </c>
      <c r="W440" t="str">
        <f t="shared" si="139"/>
        <v xml:space="preserve">         </v>
      </c>
      <c r="X440" t="str">
        <f t="shared" si="143"/>
        <v xml:space="preserve">  9674 </v>
      </c>
      <c r="Y440" t="str">
        <f t="shared" si="143"/>
        <v xml:space="preserve"> IJUI1--RS023 </v>
      </c>
      <c r="Z440" t="str">
        <f t="shared" si="143"/>
        <v xml:space="preserve">  1 </v>
      </c>
      <c r="AA440" t="str">
        <f t="shared" si="131"/>
        <v xml:space="preserve">    27.1 </v>
      </c>
      <c r="AB440" t="str">
        <f t="shared" si="140"/>
        <v xml:space="preserve">     7.5 </v>
      </c>
      <c r="AC440" t="str">
        <f t="shared" si="141"/>
        <v xml:space="preserve">    28.1 </v>
      </c>
      <c r="AD440" t="str">
        <f t="shared" si="142"/>
        <v xml:space="preserve"> 0.923* </v>
      </c>
      <c r="AE440" t="str">
        <f t="shared" si="132"/>
        <v xml:space="preserve">       </v>
      </c>
      <c r="AF440" t="str">
        <f t="shared" si="144"/>
        <v xml:space="preserve">     </v>
      </c>
      <c r="AG440" t="str">
        <f t="shared" si="144"/>
        <v xml:space="preserve">     0.00 </v>
      </c>
      <c r="AH440" t="str">
        <f t="shared" si="133"/>
        <v xml:space="preserve">     2.48 </v>
      </c>
      <c r="AI440" t="str">
        <f t="shared" si="134"/>
        <v xml:space="preserve">       </v>
      </c>
      <c r="AJ440" t="str">
        <f t="shared" si="135"/>
        <v xml:space="preserve">      </v>
      </c>
    </row>
    <row r="441" spans="1:36" x14ac:dyDescent="0.25">
      <c r="A441" t="s">
        <v>355</v>
      </c>
      <c r="P441" t="str">
        <f t="shared" si="136"/>
        <v xml:space="preserve">                </v>
      </c>
      <c r="Q441" t="str">
        <f t="shared" si="136"/>
        <v xml:space="preserve">         </v>
      </c>
      <c r="R441" t="str">
        <f t="shared" si="129"/>
        <v xml:space="preserve">  9999.0 </v>
      </c>
      <c r="S441" t="str">
        <f t="shared" si="137"/>
        <v xml:space="preserve">  9999.0 </v>
      </c>
      <c r="T441" t="str">
        <f t="shared" si="138"/>
        <v xml:space="preserve">  9999.0 </v>
      </c>
      <c r="U441" t="str">
        <f t="shared" si="142"/>
        <v xml:space="preserve">        0.0% </v>
      </c>
      <c r="V441" t="str">
        <f t="shared" si="130"/>
        <v xml:space="preserve">         </v>
      </c>
      <c r="W441" t="str">
        <f t="shared" si="139"/>
        <v xml:space="preserve">         </v>
      </c>
      <c r="X441" t="str">
        <f t="shared" si="143"/>
        <v xml:space="preserve">  9911 </v>
      </c>
      <c r="Y441" t="str">
        <f t="shared" si="143"/>
        <v xml:space="preserve"> IJU1-B-RS069 </v>
      </c>
      <c r="Z441" t="str">
        <f t="shared" si="143"/>
        <v xml:space="preserve">  1 </v>
      </c>
      <c r="AA441" t="str">
        <f t="shared" si="131"/>
        <v xml:space="preserve">   -27.1 </v>
      </c>
      <c r="AB441" t="str">
        <f t="shared" si="140"/>
        <v xml:space="preserve">    -7.5 </v>
      </c>
      <c r="AC441" t="str">
        <f t="shared" si="141"/>
        <v xml:space="preserve">    28.1 </v>
      </c>
      <c r="AD441" t="str">
        <f t="shared" si="142"/>
        <v xml:space="preserve">        </v>
      </c>
      <c r="AE441" t="str">
        <f t="shared" si="132"/>
        <v xml:space="preserve">       </v>
      </c>
      <c r="AF441" t="str">
        <f t="shared" si="144"/>
        <v xml:space="preserve">     </v>
      </c>
      <c r="AG441" t="str">
        <f t="shared" si="144"/>
        <v xml:space="preserve">     0.00 </v>
      </c>
      <c r="AH441" t="str">
        <f t="shared" si="133"/>
        <v xml:space="preserve">     0.00 </v>
      </c>
      <c r="AI441" t="str">
        <f t="shared" si="134"/>
        <v xml:space="preserve">       </v>
      </c>
      <c r="AJ441" t="str">
        <f t="shared" si="135"/>
        <v xml:space="preserve">      </v>
      </c>
    </row>
    <row r="442" spans="1:36" x14ac:dyDescent="0.25">
      <c r="A442" t="s">
        <v>14</v>
      </c>
      <c r="P442" t="str">
        <f t="shared" si="136"/>
        <v xml:space="preserve">  ..............</v>
      </c>
      <c r="Q442" t="str">
        <f t="shared" si="136"/>
        <v>.........</v>
      </c>
      <c r="R442" t="str">
        <f t="shared" si="129"/>
        <v>.........</v>
      </c>
      <c r="S442" t="str">
        <f t="shared" si="137"/>
        <v>.........</v>
      </c>
      <c r="T442" t="str">
        <f t="shared" si="138"/>
        <v>.........</v>
      </c>
      <c r="U442" t="str">
        <f t="shared" si="142"/>
        <v>.............</v>
      </c>
      <c r="V442" t="str">
        <f t="shared" si="130"/>
        <v>.........</v>
      </c>
      <c r="W442" t="str">
        <f t="shared" si="139"/>
        <v>.........</v>
      </c>
      <c r="X442" t="str">
        <f t="shared" si="143"/>
        <v>.......</v>
      </c>
      <c r="Y442" t="str">
        <f t="shared" si="143"/>
        <v>..............</v>
      </c>
      <c r="Z442" t="str">
        <f t="shared" si="143"/>
        <v>....</v>
      </c>
      <c r="AA442" t="str">
        <f t="shared" si="131"/>
        <v>.........</v>
      </c>
      <c r="AB442" t="str">
        <f t="shared" si="140"/>
        <v>.........</v>
      </c>
      <c r="AC442" t="str">
        <f t="shared" si="141"/>
        <v>.........</v>
      </c>
      <c r="AD442" t="str">
        <f t="shared" si="142"/>
        <v>........</v>
      </c>
      <c r="AE442" t="str">
        <f t="shared" si="132"/>
        <v>.......</v>
      </c>
      <c r="AF442" t="str">
        <f t="shared" si="144"/>
        <v>.....</v>
      </c>
      <c r="AG442" t="str">
        <f t="shared" si="144"/>
        <v>..........</v>
      </c>
      <c r="AH442" t="str">
        <f t="shared" si="133"/>
        <v>..........</v>
      </c>
      <c r="AI442" t="str">
        <f t="shared" si="134"/>
        <v>.......</v>
      </c>
      <c r="AJ442" t="str">
        <f t="shared" si="135"/>
        <v>.......</v>
      </c>
    </row>
    <row r="443" spans="1:36" x14ac:dyDescent="0.25">
      <c r="A443" t="s">
        <v>356</v>
      </c>
      <c r="P443" t="str">
        <f t="shared" si="136"/>
        <v xml:space="preserve">   1303   69  0 </v>
      </c>
      <c r="Q443" t="str">
        <f t="shared" si="136"/>
        <v xml:space="preserve">   0.999 </v>
      </c>
      <c r="R443" t="str">
        <f t="shared" si="129"/>
        <v xml:space="preserve">     0.0 </v>
      </c>
      <c r="S443" t="str">
        <f t="shared" si="137"/>
        <v xml:space="preserve">     0.0 </v>
      </c>
      <c r="T443" t="str">
        <f t="shared" si="138"/>
        <v xml:space="preserve">     8.0 </v>
      </c>
      <c r="U443" t="str">
        <f t="shared" si="142"/>
        <v xml:space="preserve">         0.0 </v>
      </c>
      <c r="V443" t="str">
        <f t="shared" si="130"/>
        <v xml:space="preserve">     0.0 </v>
      </c>
      <c r="W443" t="str">
        <f t="shared" si="139"/>
        <v xml:space="preserve">     0.0</v>
      </c>
      <c r="X443" t="str">
        <f t="shared" si="143"/>
        <v/>
      </c>
      <c r="Y443" t="str">
        <f t="shared" si="143"/>
        <v/>
      </c>
      <c r="Z443" t="str">
        <f t="shared" si="143"/>
        <v/>
      </c>
      <c r="AA443" t="str">
        <f t="shared" si="131"/>
        <v/>
      </c>
      <c r="AB443" t="str">
        <f t="shared" si="140"/>
        <v/>
      </c>
      <c r="AC443" t="str">
        <f t="shared" si="141"/>
        <v/>
      </c>
      <c r="AD443" t="str">
        <f t="shared" si="142"/>
        <v/>
      </c>
      <c r="AE443" t="str">
        <f t="shared" si="132"/>
        <v/>
      </c>
      <c r="AF443" t="str">
        <f t="shared" si="144"/>
        <v/>
      </c>
      <c r="AG443" t="str">
        <f t="shared" si="144"/>
        <v/>
      </c>
      <c r="AH443" t="str">
        <f t="shared" si="133"/>
        <v/>
      </c>
      <c r="AI443" t="str">
        <f t="shared" si="134"/>
        <v/>
      </c>
      <c r="AJ443" t="str">
        <f t="shared" si="135"/>
        <v/>
      </c>
    </row>
    <row r="444" spans="1:36" x14ac:dyDescent="0.25">
      <c r="A444" t="s">
        <v>357</v>
      </c>
      <c r="P444" t="str">
        <f t="shared" si="136"/>
        <v xml:space="preserve">  BUNGE--RS069  </v>
      </c>
      <c r="Q444" t="str">
        <f t="shared" si="136"/>
        <v xml:space="preserve">   -54.8 </v>
      </c>
      <c r="R444" t="str">
        <f t="shared" si="129"/>
        <v xml:space="preserve">     0.0 </v>
      </c>
      <c r="S444" t="str">
        <f t="shared" si="137"/>
        <v xml:space="preserve">     0.0 </v>
      </c>
      <c r="T444" t="str">
        <f t="shared" si="138"/>
        <v xml:space="preserve">     3.3 </v>
      </c>
      <c r="U444" t="str">
        <f t="shared" si="142"/>
        <v xml:space="preserve">         0.0 </v>
      </c>
      <c r="V444" t="str">
        <f t="shared" si="130"/>
        <v xml:space="preserve">     0.0 </v>
      </c>
      <c r="W444" t="str">
        <f t="shared" si="139"/>
        <v xml:space="preserve">     0.0 </v>
      </c>
      <c r="X444" t="str">
        <f t="shared" si="143"/>
        <v xml:space="preserve">       </v>
      </c>
      <c r="Y444" t="str">
        <f t="shared" si="143"/>
        <v xml:space="preserve">              </v>
      </c>
      <c r="Z444" t="str">
        <f t="shared" si="143"/>
        <v xml:space="preserve">    </v>
      </c>
      <c r="AA444" t="str">
        <f t="shared" si="131"/>
        <v xml:space="preserve">         </v>
      </c>
      <c r="AB444" t="str">
        <f t="shared" si="140"/>
        <v xml:space="preserve">         </v>
      </c>
      <c r="AC444" t="str">
        <f t="shared" si="141"/>
        <v xml:space="preserve">    </v>
      </c>
      <c r="AD444" t="str">
        <f t="shared" si="142"/>
        <v/>
      </c>
      <c r="AE444" t="str">
        <f t="shared" si="132"/>
        <v/>
      </c>
      <c r="AF444" t="str">
        <f t="shared" si="144"/>
        <v/>
      </c>
      <c r="AG444" t="str">
        <f t="shared" si="144"/>
        <v/>
      </c>
      <c r="AH444" t="str">
        <f t="shared" si="133"/>
        <v/>
      </c>
      <c r="AI444" t="str">
        <f t="shared" si="134"/>
        <v/>
      </c>
      <c r="AJ444" t="str">
        <f t="shared" si="135"/>
        <v/>
      </c>
    </row>
    <row r="445" spans="1:36" x14ac:dyDescent="0.25">
      <c r="A445" t="s">
        <v>358</v>
      </c>
      <c r="P445" t="str">
        <f t="shared" si="136"/>
        <v xml:space="preserve">                </v>
      </c>
      <c r="Q445" t="str">
        <f t="shared" si="136"/>
        <v xml:space="preserve">         </v>
      </c>
      <c r="R445" t="str">
        <f t="shared" si="129"/>
        <v xml:space="preserve">    84.0 </v>
      </c>
      <c r="S445" t="str">
        <f t="shared" si="137"/>
        <v xml:space="preserve">   101.0 </v>
      </c>
      <c r="T445" t="str">
        <f t="shared" si="138"/>
        <v xml:space="preserve">   101.0 </v>
      </c>
      <c r="U445" t="str">
        <f t="shared" si="142"/>
        <v xml:space="preserve">        5.8% </v>
      </c>
      <c r="V445" t="str">
        <f t="shared" si="130"/>
        <v xml:space="preserve">         </v>
      </c>
      <c r="W445" t="str">
        <f t="shared" si="139"/>
        <v xml:space="preserve">         </v>
      </c>
      <c r="X445" t="str">
        <f t="shared" si="143"/>
        <v xml:space="preserve">  1312 </v>
      </c>
      <c r="Y445" t="str">
        <f t="shared" si="143"/>
        <v xml:space="preserve"> ESTEIO-RS069 </v>
      </c>
      <c r="Z445" t="str">
        <f t="shared" si="143"/>
        <v xml:space="preserve">  1 </v>
      </c>
      <c r="AA445" t="str">
        <f t="shared" si="131"/>
        <v xml:space="preserve">     2.3 </v>
      </c>
      <c r="AB445" t="str">
        <f t="shared" si="140"/>
        <v xml:space="preserve">     4.2 </v>
      </c>
      <c r="AC445" t="str">
        <f t="shared" si="141"/>
        <v xml:space="preserve">     4.8 </v>
      </c>
      <c r="AD445" t="str">
        <f t="shared" si="142"/>
        <v xml:space="preserve">        </v>
      </c>
      <c r="AE445" t="str">
        <f t="shared" si="132"/>
        <v xml:space="preserve">       </v>
      </c>
      <c r="AF445" t="str">
        <f t="shared" si="144"/>
        <v xml:space="preserve">     </v>
      </c>
      <c r="AG445" t="str">
        <f t="shared" si="144"/>
        <v xml:space="preserve">     0.00 </v>
      </c>
      <c r="AH445" t="str">
        <f t="shared" si="133"/>
        <v xml:space="preserve">     0.00 </v>
      </c>
      <c r="AI445" t="str">
        <f t="shared" si="134"/>
        <v xml:space="preserve">       </v>
      </c>
      <c r="AJ445" t="str">
        <f t="shared" si="135"/>
        <v xml:space="preserve">      </v>
      </c>
    </row>
    <row r="446" spans="1:36" x14ac:dyDescent="0.25">
      <c r="A446" t="s">
        <v>359</v>
      </c>
      <c r="P446" t="str">
        <f t="shared" si="136"/>
        <v xml:space="preserve">                </v>
      </c>
      <c r="Q446" t="str">
        <f t="shared" si="136"/>
        <v xml:space="preserve">         </v>
      </c>
      <c r="R446" t="str">
        <f t="shared" si="129"/>
        <v xml:space="preserve">    84.0 </v>
      </c>
      <c r="S446" t="str">
        <f t="shared" si="137"/>
        <v xml:space="preserve">   101.0 </v>
      </c>
      <c r="T446" t="str">
        <f t="shared" si="138"/>
        <v xml:space="preserve">   101.0 </v>
      </c>
      <c r="U446" t="str">
        <f t="shared" si="142"/>
        <v xml:space="preserve">       15.2% </v>
      </c>
      <c r="V446" t="str">
        <f t="shared" si="130"/>
        <v xml:space="preserve">         </v>
      </c>
      <c r="W446" t="str">
        <f t="shared" si="139"/>
        <v xml:space="preserve">         </v>
      </c>
      <c r="X446" t="str">
        <f t="shared" si="143"/>
        <v xml:space="preserve">  1332 </v>
      </c>
      <c r="Y446" t="str">
        <f t="shared" si="143"/>
        <v xml:space="preserve"> PETROB-RS069 </v>
      </c>
      <c r="Z446" t="str">
        <f t="shared" si="143"/>
        <v xml:space="preserve">  1 </v>
      </c>
      <c r="AA446" t="str">
        <f t="shared" si="131"/>
        <v xml:space="preserve">   -10.3 </v>
      </c>
      <c r="AB446" t="str">
        <f t="shared" si="140"/>
        <v xml:space="preserve">    -7.5 </v>
      </c>
      <c r="AC446" t="str">
        <f t="shared" si="141"/>
        <v xml:space="preserve">    12.8 </v>
      </c>
      <c r="AD446" t="str">
        <f t="shared" si="142"/>
        <v xml:space="preserve">        </v>
      </c>
      <c r="AE446" t="str">
        <f t="shared" si="132"/>
        <v xml:space="preserve">       </v>
      </c>
      <c r="AF446" t="str">
        <f t="shared" si="144"/>
        <v xml:space="preserve">     </v>
      </c>
      <c r="AG446" t="str">
        <f t="shared" si="144"/>
        <v xml:space="preserve">     0.03 </v>
      </c>
      <c r="AH446" t="str">
        <f t="shared" si="133"/>
        <v xml:space="preserve">     0.10 </v>
      </c>
      <c r="AI446" t="str">
        <f t="shared" si="134"/>
        <v xml:space="preserve">       </v>
      </c>
      <c r="AJ446" t="str">
        <f t="shared" si="135"/>
        <v xml:space="preserve">      </v>
      </c>
    </row>
    <row r="447" spans="1:36" x14ac:dyDescent="0.25">
      <c r="A447" t="s">
        <v>14</v>
      </c>
      <c r="P447" t="str">
        <f t="shared" si="136"/>
        <v xml:space="preserve">  ..............</v>
      </c>
      <c r="Q447" t="str">
        <f t="shared" si="136"/>
        <v>.........</v>
      </c>
      <c r="R447" t="str">
        <f t="shared" si="129"/>
        <v>.........</v>
      </c>
      <c r="S447" t="str">
        <f t="shared" si="137"/>
        <v>.........</v>
      </c>
      <c r="T447" t="str">
        <f t="shared" si="138"/>
        <v>.........</v>
      </c>
      <c r="U447" t="str">
        <f t="shared" si="142"/>
        <v>.............</v>
      </c>
      <c r="V447" t="str">
        <f t="shared" si="130"/>
        <v>.........</v>
      </c>
      <c r="W447" t="str">
        <f t="shared" si="139"/>
        <v>.........</v>
      </c>
      <c r="X447" t="str">
        <f t="shared" si="143"/>
        <v>.......</v>
      </c>
      <c r="Y447" t="str">
        <f t="shared" si="143"/>
        <v>..............</v>
      </c>
      <c r="Z447" t="str">
        <f t="shared" si="143"/>
        <v>....</v>
      </c>
      <c r="AA447" t="str">
        <f t="shared" si="131"/>
        <v>.........</v>
      </c>
      <c r="AB447" t="str">
        <f t="shared" si="140"/>
        <v>.........</v>
      </c>
      <c r="AC447" t="str">
        <f t="shared" si="141"/>
        <v>.........</v>
      </c>
      <c r="AD447" t="str">
        <f t="shared" si="142"/>
        <v>........</v>
      </c>
      <c r="AE447" t="str">
        <f t="shared" si="132"/>
        <v>.......</v>
      </c>
      <c r="AF447" t="str">
        <f t="shared" si="144"/>
        <v>.....</v>
      </c>
      <c r="AG447" t="str">
        <f t="shared" si="144"/>
        <v>..........</v>
      </c>
      <c r="AH447" t="str">
        <f t="shared" si="133"/>
        <v>..........</v>
      </c>
      <c r="AI447" t="str">
        <f t="shared" si="134"/>
        <v>.......</v>
      </c>
      <c r="AJ447" t="str">
        <f t="shared" si="135"/>
        <v>.......</v>
      </c>
    </row>
    <row r="448" spans="1:36" x14ac:dyDescent="0.25">
      <c r="A448" t="s">
        <v>360</v>
      </c>
      <c r="P448" t="str">
        <f t="shared" si="136"/>
        <v xml:space="preserve">   1304   69  0 </v>
      </c>
      <c r="Q448" t="str">
        <f t="shared" si="136"/>
        <v xml:space="preserve">   0.954 </v>
      </c>
      <c r="R448" t="str">
        <f t="shared" si="129"/>
        <v xml:space="preserve">     3.0 </v>
      </c>
      <c r="S448" t="str">
        <f t="shared" si="137"/>
        <v xml:space="preserve">     0.0 </v>
      </c>
      <c r="T448" t="str">
        <f t="shared" si="138"/>
        <v xml:space="preserve">    23.1 </v>
      </c>
      <c r="U448" t="str">
        <f t="shared" si="142"/>
        <v xml:space="preserve">         0.0 </v>
      </c>
      <c r="V448" t="str">
        <f t="shared" si="130"/>
        <v xml:space="preserve">     0.0 </v>
      </c>
      <c r="W448" t="str">
        <f t="shared" si="139"/>
        <v xml:space="preserve">     0.0</v>
      </c>
      <c r="X448" t="str">
        <f t="shared" si="143"/>
        <v/>
      </c>
      <c r="Y448" t="str">
        <f t="shared" si="143"/>
        <v/>
      </c>
      <c r="Z448" t="str">
        <f t="shared" si="143"/>
        <v/>
      </c>
      <c r="AA448" t="str">
        <f t="shared" si="131"/>
        <v/>
      </c>
      <c r="AB448" t="str">
        <f t="shared" si="140"/>
        <v/>
      </c>
      <c r="AC448" t="str">
        <f t="shared" si="141"/>
        <v/>
      </c>
      <c r="AD448" t="str">
        <f t="shared" si="142"/>
        <v/>
      </c>
      <c r="AE448" t="str">
        <f t="shared" si="132"/>
        <v/>
      </c>
      <c r="AF448" t="str">
        <f t="shared" si="144"/>
        <v/>
      </c>
      <c r="AG448" t="str">
        <f t="shared" si="144"/>
        <v/>
      </c>
      <c r="AH448" t="str">
        <f t="shared" si="133"/>
        <v/>
      </c>
      <c r="AI448" t="str">
        <f t="shared" si="134"/>
        <v/>
      </c>
      <c r="AJ448" t="str">
        <f t="shared" si="135"/>
        <v/>
      </c>
    </row>
    <row r="449" spans="1:36" x14ac:dyDescent="0.25">
      <c r="A449" t="s">
        <v>361</v>
      </c>
      <c r="P449" t="str">
        <f t="shared" si="136"/>
        <v xml:space="preserve">  TAQUAR-RS069  </v>
      </c>
      <c r="Q449" t="str">
        <f t="shared" si="136"/>
        <v xml:space="preserve">   -55.5 </v>
      </c>
      <c r="R449" t="str">
        <f t="shared" si="129"/>
        <v xml:space="preserve">     0.0 </v>
      </c>
      <c r="S449" t="str">
        <f t="shared" si="137"/>
        <v xml:space="preserve">     0.0 </v>
      </c>
      <c r="T449" t="str">
        <f t="shared" si="138"/>
        <v xml:space="preserve">     9.0 </v>
      </c>
      <c r="U449" t="str">
        <f t="shared" si="142"/>
        <v xml:space="preserve">         0.0 </v>
      </c>
      <c r="V449" t="str">
        <f t="shared" si="130"/>
        <v xml:space="preserve">     0.0 </v>
      </c>
      <c r="W449" t="str">
        <f t="shared" si="139"/>
        <v xml:space="preserve">     0.0 </v>
      </c>
      <c r="X449" t="str">
        <f t="shared" si="143"/>
        <v xml:space="preserve">       </v>
      </c>
      <c r="Y449" t="str">
        <f t="shared" si="143"/>
        <v xml:space="preserve">              </v>
      </c>
      <c r="Z449" t="str">
        <f t="shared" si="143"/>
        <v xml:space="preserve">    </v>
      </c>
      <c r="AA449" t="str">
        <f t="shared" si="131"/>
        <v xml:space="preserve">         </v>
      </c>
      <c r="AB449" t="str">
        <f t="shared" si="140"/>
        <v xml:space="preserve">         </v>
      </c>
      <c r="AC449" t="str">
        <f t="shared" si="141"/>
        <v xml:space="preserve">    </v>
      </c>
      <c r="AD449" t="str">
        <f t="shared" si="142"/>
        <v/>
      </c>
      <c r="AE449" t="str">
        <f t="shared" si="132"/>
        <v/>
      </c>
      <c r="AF449" t="str">
        <f t="shared" si="144"/>
        <v/>
      </c>
      <c r="AG449" t="str">
        <f t="shared" si="144"/>
        <v/>
      </c>
      <c r="AH449" t="str">
        <f t="shared" si="133"/>
        <v/>
      </c>
      <c r="AI449" t="str">
        <f t="shared" si="134"/>
        <v/>
      </c>
      <c r="AJ449" t="str">
        <f t="shared" si="135"/>
        <v/>
      </c>
    </row>
    <row r="450" spans="1:36" x14ac:dyDescent="0.25">
      <c r="A450" t="s">
        <v>362</v>
      </c>
      <c r="P450" t="str">
        <f t="shared" si="136"/>
        <v xml:space="preserve">                </v>
      </c>
      <c r="Q450" t="str">
        <f t="shared" si="136"/>
        <v xml:space="preserve">         </v>
      </c>
      <c r="R450" t="str">
        <f t="shared" si="129"/>
        <v xml:space="preserve">    46.0 </v>
      </c>
      <c r="S450" t="str">
        <f t="shared" si="137"/>
        <v xml:space="preserve">    55.0 </v>
      </c>
      <c r="T450" t="str">
        <f t="shared" si="138"/>
        <v xml:space="preserve">    55.0 </v>
      </c>
      <c r="U450" t="str">
        <f t="shared" si="142"/>
        <v xml:space="preserve">       50.2% </v>
      </c>
      <c r="V450" t="str">
        <f t="shared" si="130"/>
        <v xml:space="preserve">         </v>
      </c>
      <c r="W450" t="str">
        <f t="shared" si="139"/>
        <v xml:space="preserve">         </v>
      </c>
      <c r="X450" t="str">
        <f t="shared" si="143"/>
        <v xml:space="preserve"> 10277 </v>
      </c>
      <c r="Y450" t="str">
        <f t="shared" si="143"/>
        <v xml:space="preserve"> CHARQ3-RS069 </v>
      </c>
      <c r="Z450" t="str">
        <f t="shared" si="143"/>
        <v xml:space="preserve">  1 </v>
      </c>
      <c r="AA450" t="str">
        <f t="shared" si="131"/>
        <v xml:space="preserve">   -20.1 </v>
      </c>
      <c r="AB450" t="str">
        <f t="shared" si="140"/>
        <v xml:space="preserve">    -9.0 </v>
      </c>
      <c r="AC450" t="str">
        <f t="shared" si="141"/>
        <v xml:space="preserve">    23.1 </v>
      </c>
      <c r="AD450" t="str">
        <f t="shared" si="142"/>
        <v xml:space="preserve">        </v>
      </c>
      <c r="AE450" t="str">
        <f t="shared" si="132"/>
        <v xml:space="preserve">       </v>
      </c>
      <c r="AF450" t="str">
        <f t="shared" si="144"/>
        <v xml:space="preserve">     </v>
      </c>
      <c r="AG450" t="str">
        <f t="shared" si="144"/>
        <v xml:space="preserve">     1.29 </v>
      </c>
      <c r="AH450" t="str">
        <f t="shared" si="133"/>
        <v xml:space="preserve">     1.64 </v>
      </c>
      <c r="AI450" t="str">
        <f t="shared" si="134"/>
        <v xml:space="preserve">       </v>
      </c>
      <c r="AJ450" t="str">
        <f t="shared" si="135"/>
        <v xml:space="preserve">      </v>
      </c>
    </row>
    <row r="451" spans="1:36" x14ac:dyDescent="0.25">
      <c r="A451" t="s">
        <v>14</v>
      </c>
      <c r="P451" t="str">
        <f t="shared" si="136"/>
        <v xml:space="preserve">  ..............</v>
      </c>
      <c r="Q451" t="str">
        <f t="shared" si="136"/>
        <v>.........</v>
      </c>
      <c r="R451" t="str">
        <f t="shared" si="129"/>
        <v>.........</v>
      </c>
      <c r="S451" t="str">
        <f t="shared" si="137"/>
        <v>.........</v>
      </c>
      <c r="T451" t="str">
        <f t="shared" si="138"/>
        <v>.........</v>
      </c>
      <c r="U451" t="str">
        <f t="shared" si="142"/>
        <v>.............</v>
      </c>
      <c r="V451" t="str">
        <f t="shared" si="130"/>
        <v>.........</v>
      </c>
      <c r="W451" t="str">
        <f t="shared" si="139"/>
        <v>.........</v>
      </c>
      <c r="X451" t="str">
        <f t="shared" si="143"/>
        <v>.......</v>
      </c>
      <c r="Y451" t="str">
        <f t="shared" si="143"/>
        <v>..............</v>
      </c>
      <c r="Z451" t="str">
        <f t="shared" si="143"/>
        <v>....</v>
      </c>
      <c r="AA451" t="str">
        <f t="shared" si="131"/>
        <v>.........</v>
      </c>
      <c r="AB451" t="str">
        <f t="shared" si="140"/>
        <v>.........</v>
      </c>
      <c r="AC451" t="str">
        <f t="shared" si="141"/>
        <v>.........</v>
      </c>
      <c r="AD451" t="str">
        <f t="shared" si="142"/>
        <v>........</v>
      </c>
      <c r="AE451" t="str">
        <f t="shared" si="132"/>
        <v>.......</v>
      </c>
      <c r="AF451" t="str">
        <f t="shared" si="144"/>
        <v>.....</v>
      </c>
      <c r="AG451" t="str">
        <f t="shared" si="144"/>
        <v>..........</v>
      </c>
      <c r="AH451" t="str">
        <f t="shared" si="133"/>
        <v>..........</v>
      </c>
      <c r="AI451" t="str">
        <f t="shared" si="134"/>
        <v>.......</v>
      </c>
      <c r="AJ451" t="str">
        <f t="shared" si="135"/>
        <v>.......</v>
      </c>
    </row>
    <row r="452" spans="1:36" x14ac:dyDescent="0.25">
      <c r="A452" t="s">
        <v>363</v>
      </c>
      <c r="P452" t="str">
        <f t="shared" si="136"/>
        <v xml:space="preserve">   1305   69  0 </v>
      </c>
      <c r="Q452" t="str">
        <f t="shared" si="136"/>
        <v xml:space="preserve">   1.003 </v>
      </c>
      <c r="R452" t="str">
        <f t="shared" si="129"/>
        <v xml:space="preserve">     0.0 </v>
      </c>
      <c r="S452" t="str">
        <f t="shared" si="137"/>
        <v xml:space="preserve">     0.0 </v>
      </c>
      <c r="T452" t="str">
        <f t="shared" si="138"/>
        <v xml:space="preserve">    24.3 </v>
      </c>
      <c r="U452" t="str">
        <f t="shared" si="142"/>
        <v xml:space="preserve">         0.0 </v>
      </c>
      <c r="V452" t="str">
        <f t="shared" si="130"/>
        <v xml:space="preserve">     3.6 </v>
      </c>
      <c r="W452" t="str">
        <f t="shared" si="139"/>
        <v xml:space="preserve">     0.0</v>
      </c>
      <c r="X452" t="str">
        <f t="shared" si="143"/>
        <v/>
      </c>
      <c r="Y452" t="str">
        <f t="shared" si="143"/>
        <v/>
      </c>
      <c r="Z452" t="str">
        <f t="shared" si="143"/>
        <v/>
      </c>
      <c r="AA452" t="str">
        <f t="shared" si="131"/>
        <v/>
      </c>
      <c r="AB452" t="str">
        <f t="shared" si="140"/>
        <v/>
      </c>
      <c r="AC452" t="str">
        <f t="shared" si="141"/>
        <v/>
      </c>
      <c r="AD452" t="str">
        <f t="shared" si="142"/>
        <v/>
      </c>
      <c r="AE452" t="str">
        <f t="shared" si="132"/>
        <v/>
      </c>
      <c r="AF452" t="str">
        <f t="shared" si="144"/>
        <v/>
      </c>
      <c r="AG452" t="str">
        <f t="shared" si="144"/>
        <v/>
      </c>
      <c r="AH452" t="str">
        <f t="shared" si="133"/>
        <v/>
      </c>
      <c r="AI452" t="str">
        <f t="shared" si="134"/>
        <v/>
      </c>
      <c r="AJ452" t="str">
        <f t="shared" si="135"/>
        <v/>
      </c>
    </row>
    <row r="453" spans="1:36" x14ac:dyDescent="0.25">
      <c r="A453" t="s">
        <v>364</v>
      </c>
      <c r="P453" t="str">
        <f t="shared" si="136"/>
        <v xml:space="preserve">  CARAZ1-RS069  </v>
      </c>
      <c r="Q453" t="str">
        <f t="shared" si="136"/>
        <v xml:space="preserve">   -53.9 </v>
      </c>
      <c r="R453" t="str">
        <f t="shared" si="129"/>
        <v xml:space="preserve">     0.0 </v>
      </c>
      <c r="S453" t="str">
        <f t="shared" si="137"/>
        <v xml:space="preserve">     0.0 </v>
      </c>
      <c r="T453" t="str">
        <f t="shared" si="138"/>
        <v xml:space="preserve">    11.6 </v>
      </c>
      <c r="U453" t="str">
        <f t="shared" si="142"/>
        <v xml:space="preserve">         0.0 </v>
      </c>
      <c r="V453" t="str">
        <f t="shared" si="130"/>
        <v xml:space="preserve">     0.0 </v>
      </c>
      <c r="W453" t="str">
        <f t="shared" si="139"/>
        <v xml:space="preserve">     0.0 </v>
      </c>
      <c r="X453" t="str">
        <f t="shared" si="143"/>
        <v xml:space="preserve">       </v>
      </c>
      <c r="Y453" t="str">
        <f t="shared" si="143"/>
        <v xml:space="preserve">              </v>
      </c>
      <c r="Z453" t="str">
        <f t="shared" si="143"/>
        <v xml:space="preserve">    </v>
      </c>
      <c r="AA453" t="str">
        <f t="shared" si="131"/>
        <v xml:space="preserve">         </v>
      </c>
      <c r="AB453" t="str">
        <f t="shared" si="140"/>
        <v xml:space="preserve">         </v>
      </c>
      <c r="AC453" t="str">
        <f t="shared" si="141"/>
        <v xml:space="preserve">    </v>
      </c>
      <c r="AD453" t="str">
        <f t="shared" si="142"/>
        <v/>
      </c>
      <c r="AE453" t="str">
        <f t="shared" si="132"/>
        <v/>
      </c>
      <c r="AF453" t="str">
        <f t="shared" si="144"/>
        <v/>
      </c>
      <c r="AG453" t="str">
        <f t="shared" si="144"/>
        <v/>
      </c>
      <c r="AH453" t="str">
        <f t="shared" si="133"/>
        <v/>
      </c>
      <c r="AI453" t="str">
        <f t="shared" si="134"/>
        <v/>
      </c>
      <c r="AJ453" t="str">
        <f t="shared" si="135"/>
        <v/>
      </c>
    </row>
    <row r="454" spans="1:36" x14ac:dyDescent="0.25">
      <c r="A454" t="s">
        <v>365</v>
      </c>
      <c r="P454" t="str">
        <f t="shared" si="136"/>
        <v xml:space="preserve">                </v>
      </c>
      <c r="Q454" t="str">
        <f t="shared" si="136"/>
        <v xml:space="preserve">         </v>
      </c>
      <c r="R454" t="str">
        <f t="shared" si="129"/>
        <v xml:space="preserve">    30.0 </v>
      </c>
      <c r="S454" t="str">
        <f t="shared" si="137"/>
        <v xml:space="preserve">    43.0 </v>
      </c>
      <c r="T454" t="str">
        <f t="shared" si="138"/>
        <v xml:space="preserve">    43.0 </v>
      </c>
      <c r="U454" t="str">
        <f t="shared" si="142"/>
        <v xml:space="preserve">       42.5% </v>
      </c>
      <c r="V454" t="str">
        <f t="shared" si="130"/>
        <v xml:space="preserve">         </v>
      </c>
      <c r="W454" t="str">
        <f t="shared" si="139"/>
        <v xml:space="preserve">         </v>
      </c>
      <c r="X454" t="str">
        <f t="shared" si="143"/>
        <v xml:space="preserve">  1292 </v>
      </c>
      <c r="Y454" t="str">
        <f t="shared" si="143"/>
        <v xml:space="preserve"> TAPERA-RS069 </v>
      </c>
      <c r="Z454" t="str">
        <f t="shared" si="143"/>
        <v xml:space="preserve">  1 </v>
      </c>
      <c r="AA454" t="str">
        <f t="shared" si="131"/>
        <v xml:space="preserve">   -12.2 </v>
      </c>
      <c r="AB454" t="str">
        <f t="shared" si="140"/>
        <v xml:space="preserve">    -4.0 </v>
      </c>
      <c r="AC454" t="str">
        <f t="shared" si="141"/>
        <v xml:space="preserve">    12.7 </v>
      </c>
      <c r="AD454" t="str">
        <f t="shared" si="142"/>
        <v xml:space="preserve">        </v>
      </c>
      <c r="AE454" t="str">
        <f t="shared" si="132"/>
        <v xml:space="preserve">       </v>
      </c>
      <c r="AF454" t="str">
        <f t="shared" si="144"/>
        <v xml:space="preserve">     </v>
      </c>
      <c r="AG454" t="str">
        <f t="shared" si="144"/>
        <v xml:space="preserve">     0.19 </v>
      </c>
      <c r="AH454" t="str">
        <f t="shared" si="133"/>
        <v xml:space="preserve">    -0.07 </v>
      </c>
      <c r="AI454" t="str">
        <f t="shared" si="134"/>
        <v xml:space="preserve">       </v>
      </c>
      <c r="AJ454" t="str">
        <f t="shared" si="135"/>
        <v xml:space="preserve">      </v>
      </c>
    </row>
    <row r="455" spans="1:36" x14ac:dyDescent="0.25">
      <c r="A455" t="s">
        <v>366</v>
      </c>
      <c r="P455" t="str">
        <f t="shared" si="136"/>
        <v xml:space="preserve">                </v>
      </c>
      <c r="Q455" t="str">
        <f t="shared" si="136"/>
        <v xml:space="preserve">         </v>
      </c>
      <c r="R455" t="str">
        <f t="shared" si="129"/>
        <v xml:space="preserve">    30.0 </v>
      </c>
      <c r="S455" t="str">
        <f t="shared" si="137"/>
        <v xml:space="preserve">    43.0 </v>
      </c>
      <c r="T455" t="str">
        <f t="shared" si="138"/>
        <v xml:space="preserve">    43.0 </v>
      </c>
      <c r="U455" t="str">
        <f t="shared" si="142"/>
        <v xml:space="preserve">       42.5% </v>
      </c>
      <c r="V455" t="str">
        <f t="shared" si="130"/>
        <v xml:space="preserve">         </v>
      </c>
      <c r="W455" t="str">
        <f t="shared" si="139"/>
        <v xml:space="preserve">         </v>
      </c>
      <c r="X455" t="str">
        <f t="shared" si="143"/>
        <v xml:space="preserve">  1292 </v>
      </c>
      <c r="Y455" t="str">
        <f t="shared" si="143"/>
        <v xml:space="preserve"> TAPERA-RS069 </v>
      </c>
      <c r="Z455" t="str">
        <f t="shared" si="143"/>
        <v xml:space="preserve">  2 </v>
      </c>
      <c r="AA455" t="str">
        <f t="shared" si="131"/>
        <v xml:space="preserve">   -12.2 </v>
      </c>
      <c r="AB455" t="str">
        <f t="shared" si="140"/>
        <v xml:space="preserve">    -4.0 </v>
      </c>
      <c r="AC455" t="str">
        <f t="shared" si="141"/>
        <v xml:space="preserve">    12.7 </v>
      </c>
      <c r="AD455" t="str">
        <f t="shared" si="142"/>
        <v xml:space="preserve">        </v>
      </c>
      <c r="AE455" t="str">
        <f t="shared" si="132"/>
        <v xml:space="preserve">       </v>
      </c>
      <c r="AF455" t="str">
        <f t="shared" si="144"/>
        <v xml:space="preserve">     </v>
      </c>
      <c r="AG455" t="str">
        <f t="shared" si="144"/>
        <v xml:space="preserve">     0.19 </v>
      </c>
      <c r="AH455" t="str">
        <f t="shared" si="133"/>
        <v xml:space="preserve">    -0.07 </v>
      </c>
      <c r="AI455" t="str">
        <f t="shared" si="134"/>
        <v xml:space="preserve">       </v>
      </c>
      <c r="AJ455" t="str">
        <f t="shared" si="135"/>
        <v xml:space="preserve">      </v>
      </c>
    </row>
    <row r="456" spans="1:36" x14ac:dyDescent="0.25">
      <c r="A456" t="s">
        <v>14</v>
      </c>
      <c r="P456" t="str">
        <f t="shared" si="136"/>
        <v xml:space="preserve">  ..............</v>
      </c>
      <c r="Q456" t="str">
        <f t="shared" si="136"/>
        <v>.........</v>
      </c>
      <c r="R456" t="str">
        <f t="shared" si="129"/>
        <v>.........</v>
      </c>
      <c r="S456" t="str">
        <f t="shared" si="137"/>
        <v>.........</v>
      </c>
      <c r="T456" t="str">
        <f t="shared" si="138"/>
        <v>.........</v>
      </c>
      <c r="U456" t="str">
        <f t="shared" si="142"/>
        <v>.............</v>
      </c>
      <c r="V456" t="str">
        <f t="shared" si="130"/>
        <v>.........</v>
      </c>
      <c r="W456" t="str">
        <f t="shared" si="139"/>
        <v>.........</v>
      </c>
      <c r="X456" t="str">
        <f t="shared" si="143"/>
        <v>.......</v>
      </c>
      <c r="Y456" t="str">
        <f t="shared" si="143"/>
        <v>..............</v>
      </c>
      <c r="Z456" t="str">
        <f t="shared" si="143"/>
        <v>....</v>
      </c>
      <c r="AA456" t="str">
        <f t="shared" si="131"/>
        <v>.........</v>
      </c>
      <c r="AB456" t="str">
        <f t="shared" si="140"/>
        <v>.........</v>
      </c>
      <c r="AC456" t="str">
        <f t="shared" si="141"/>
        <v>.........</v>
      </c>
      <c r="AD456" t="str">
        <f t="shared" si="142"/>
        <v>........</v>
      </c>
      <c r="AE456" t="str">
        <f t="shared" si="132"/>
        <v>.......</v>
      </c>
      <c r="AF456" t="str">
        <f t="shared" si="144"/>
        <v>.....</v>
      </c>
      <c r="AG456" t="str">
        <f t="shared" si="144"/>
        <v>..........</v>
      </c>
      <c r="AH456" t="str">
        <f t="shared" si="133"/>
        <v>..........</v>
      </c>
      <c r="AI456" t="str">
        <f t="shared" si="134"/>
        <v>.......</v>
      </c>
      <c r="AJ456" t="str">
        <f t="shared" si="135"/>
        <v>.......</v>
      </c>
    </row>
    <row r="457" spans="1:36" x14ac:dyDescent="0.25">
      <c r="A457" t="s">
        <v>367</v>
      </c>
      <c r="P457" t="str">
        <f t="shared" si="136"/>
        <v xml:space="preserve">   1306   69  0 </v>
      </c>
      <c r="Q457" t="str">
        <f t="shared" si="136"/>
        <v xml:space="preserve">   0.994 </v>
      </c>
      <c r="R457" t="str">
        <f t="shared" si="129"/>
        <v xml:space="preserve">     0.0 </v>
      </c>
      <c r="S457" t="str">
        <f t="shared" si="137"/>
        <v xml:space="preserve">     0.0 </v>
      </c>
      <c r="T457" t="str">
        <f t="shared" si="138"/>
        <v xml:space="preserve">     8.2 </v>
      </c>
      <c r="U457" t="str">
        <f t="shared" si="142"/>
        <v xml:space="preserve">         0.0 </v>
      </c>
      <c r="V457" t="str">
        <f t="shared" si="130"/>
        <v xml:space="preserve">     3.6 </v>
      </c>
      <c r="W457" t="str">
        <f t="shared" si="139"/>
        <v xml:space="preserve">     0.0</v>
      </c>
      <c r="X457" t="str">
        <f t="shared" si="143"/>
        <v/>
      </c>
      <c r="Y457" t="str">
        <f t="shared" si="143"/>
        <v/>
      </c>
      <c r="Z457" t="str">
        <f t="shared" si="143"/>
        <v/>
      </c>
      <c r="AA457" t="str">
        <f t="shared" si="131"/>
        <v/>
      </c>
      <c r="AB457" t="str">
        <f t="shared" si="140"/>
        <v/>
      </c>
      <c r="AC457" t="str">
        <f t="shared" si="141"/>
        <v/>
      </c>
      <c r="AD457" t="str">
        <f t="shared" si="142"/>
        <v/>
      </c>
      <c r="AE457" t="str">
        <f t="shared" si="132"/>
        <v/>
      </c>
      <c r="AF457" t="str">
        <f t="shared" si="144"/>
        <v/>
      </c>
      <c r="AG457" t="str">
        <f t="shared" si="144"/>
        <v/>
      </c>
      <c r="AH457" t="str">
        <f t="shared" si="133"/>
        <v/>
      </c>
      <c r="AI457" t="str">
        <f t="shared" si="134"/>
        <v/>
      </c>
      <c r="AJ457" t="str">
        <f t="shared" si="135"/>
        <v/>
      </c>
    </row>
    <row r="458" spans="1:36" x14ac:dyDescent="0.25">
      <c r="A458" t="s">
        <v>368</v>
      </c>
      <c r="P458" t="str">
        <f t="shared" si="136"/>
        <v xml:space="preserve">  CARAZ2-RS069  </v>
      </c>
      <c r="Q458" t="str">
        <f t="shared" si="136"/>
        <v xml:space="preserve">   -51.9 </v>
      </c>
      <c r="R458" t="str">
        <f t="shared" si="129"/>
        <v xml:space="preserve">     0.0 </v>
      </c>
      <c r="S458" t="str">
        <f t="shared" si="137"/>
        <v xml:space="preserve">     0.0 </v>
      </c>
      <c r="T458" t="str">
        <f t="shared" si="138"/>
        <v xml:space="preserve">     2.7 </v>
      </c>
      <c r="U458" t="str">
        <f t="shared" si="142"/>
        <v xml:space="preserve">         0.0 </v>
      </c>
      <c r="V458" t="str">
        <f t="shared" si="130"/>
        <v xml:space="preserve">     0.0 </v>
      </c>
      <c r="W458" t="str">
        <f t="shared" si="139"/>
        <v xml:space="preserve">     0.0 </v>
      </c>
      <c r="X458" t="str">
        <f t="shared" si="143"/>
        <v xml:space="preserve">       </v>
      </c>
      <c r="Y458" t="str">
        <f t="shared" si="143"/>
        <v xml:space="preserve">              </v>
      </c>
      <c r="Z458" t="str">
        <f t="shared" si="143"/>
        <v xml:space="preserve">    </v>
      </c>
      <c r="AA458" t="str">
        <f t="shared" si="131"/>
        <v xml:space="preserve">         </v>
      </c>
      <c r="AB458" t="str">
        <f t="shared" si="140"/>
        <v xml:space="preserve">         </v>
      </c>
      <c r="AC458" t="str">
        <f t="shared" si="141"/>
        <v xml:space="preserve">    </v>
      </c>
      <c r="AD458" t="str">
        <f t="shared" si="142"/>
        <v/>
      </c>
      <c r="AE458" t="str">
        <f t="shared" si="132"/>
        <v/>
      </c>
      <c r="AF458" t="str">
        <f t="shared" si="144"/>
        <v/>
      </c>
      <c r="AG458" t="str">
        <f t="shared" si="144"/>
        <v/>
      </c>
      <c r="AH458" t="str">
        <f t="shared" si="133"/>
        <v/>
      </c>
      <c r="AI458" t="str">
        <f t="shared" si="134"/>
        <v/>
      </c>
      <c r="AJ458" t="str">
        <f t="shared" si="135"/>
        <v/>
      </c>
    </row>
    <row r="459" spans="1:36" x14ac:dyDescent="0.25">
      <c r="A459" t="s">
        <v>369</v>
      </c>
      <c r="P459" t="str">
        <f t="shared" si="136"/>
        <v xml:space="preserve">                </v>
      </c>
      <c r="Q459" t="str">
        <f t="shared" si="136"/>
        <v xml:space="preserve">         </v>
      </c>
      <c r="R459" t="str">
        <f t="shared" si="129"/>
        <v xml:space="preserve">    38.0 </v>
      </c>
      <c r="S459" t="str">
        <f t="shared" si="137"/>
        <v xml:space="preserve">    38.0 </v>
      </c>
      <c r="T459" t="str">
        <f t="shared" si="138"/>
        <v xml:space="preserve">    38.0 </v>
      </c>
      <c r="U459" t="str">
        <f t="shared" si="142"/>
        <v xml:space="preserve">       21.8% </v>
      </c>
      <c r="V459" t="str">
        <f t="shared" si="130"/>
        <v xml:space="preserve">         </v>
      </c>
      <c r="W459" t="str">
        <f t="shared" si="139"/>
        <v xml:space="preserve">         </v>
      </c>
      <c r="X459" t="str">
        <f t="shared" si="143"/>
        <v xml:space="preserve">  1279 </v>
      </c>
      <c r="Y459" t="str">
        <f t="shared" si="143"/>
        <v xml:space="preserve"> SMARTA-RS069 </v>
      </c>
      <c r="Z459" t="str">
        <f t="shared" si="143"/>
        <v xml:space="preserve">  1 </v>
      </c>
      <c r="AA459" t="str">
        <f t="shared" si="131"/>
        <v xml:space="preserve">    -8.2 </v>
      </c>
      <c r="AB459" t="str">
        <f t="shared" si="140"/>
        <v xml:space="preserve">     0.9 </v>
      </c>
      <c r="AC459" t="str">
        <f t="shared" si="141"/>
        <v xml:space="preserve">     8.3 </v>
      </c>
      <c r="AD459" t="str">
        <f t="shared" si="142"/>
        <v xml:space="preserve">        </v>
      </c>
      <c r="AE459" t="str">
        <f t="shared" si="132"/>
        <v xml:space="preserve">       </v>
      </c>
      <c r="AF459" t="str">
        <f t="shared" si="144"/>
        <v xml:space="preserve">     </v>
      </c>
      <c r="AG459" t="str">
        <f t="shared" si="144"/>
        <v xml:space="preserve">     0.18 </v>
      </c>
      <c r="AH459" t="str">
        <f t="shared" si="133"/>
        <v xml:space="preserve">    -0.40 </v>
      </c>
      <c r="AI459" t="str">
        <f t="shared" si="134"/>
        <v xml:space="preserve">       </v>
      </c>
      <c r="AJ459" t="str">
        <f t="shared" si="135"/>
        <v xml:space="preserve">      </v>
      </c>
    </row>
    <row r="460" spans="1:36" x14ac:dyDescent="0.25">
      <c r="A460" t="s">
        <v>14</v>
      </c>
      <c r="P460" t="str">
        <f t="shared" si="136"/>
        <v xml:space="preserve">  ..............</v>
      </c>
      <c r="Q460" t="str">
        <f t="shared" si="136"/>
        <v>.........</v>
      </c>
      <c r="R460" t="str">
        <f t="shared" ref="R460:R523" si="145">MID($A460,Q$8+Q$9-1,R$9)</f>
        <v>.........</v>
      </c>
      <c r="S460" t="str">
        <f t="shared" si="137"/>
        <v>.........</v>
      </c>
      <c r="T460" t="str">
        <f t="shared" si="138"/>
        <v>.........</v>
      </c>
      <c r="U460" t="str">
        <f t="shared" si="142"/>
        <v>.............</v>
      </c>
      <c r="V460" t="str">
        <f t="shared" ref="V460:V523" si="146">MID($A460,U$8+U$9-1,V$9)</f>
        <v>.........</v>
      </c>
      <c r="W460" t="str">
        <f t="shared" si="139"/>
        <v>.........</v>
      </c>
      <c r="X460" t="str">
        <f t="shared" si="143"/>
        <v>.......</v>
      </c>
      <c r="Y460" t="str">
        <f t="shared" si="143"/>
        <v>..............</v>
      </c>
      <c r="Z460" t="str">
        <f t="shared" si="143"/>
        <v>....</v>
      </c>
      <c r="AA460" t="str">
        <f t="shared" ref="AA460:AA523" si="147">MID($A460,Z$8+Z$9-1,AA$9)</f>
        <v>.........</v>
      </c>
      <c r="AB460" t="str">
        <f t="shared" si="140"/>
        <v>.........</v>
      </c>
      <c r="AC460" t="str">
        <f t="shared" si="141"/>
        <v>.........</v>
      </c>
      <c r="AD460" t="str">
        <f t="shared" si="142"/>
        <v>........</v>
      </c>
      <c r="AE460" t="str">
        <f t="shared" ref="AE460:AE523" si="148">MID($A460,AD$8+AD$9-1,AE$9)</f>
        <v>.......</v>
      </c>
      <c r="AF460" t="str">
        <f t="shared" si="144"/>
        <v>.....</v>
      </c>
      <c r="AG460" t="str">
        <f t="shared" si="144"/>
        <v>..........</v>
      </c>
      <c r="AH460" t="str">
        <f t="shared" ref="AH460:AH523" si="149">MID($A460,AG$8+AG$9-1,AH$9)</f>
        <v>..........</v>
      </c>
      <c r="AI460" t="str">
        <f t="shared" si="134"/>
        <v>.......</v>
      </c>
      <c r="AJ460" t="str">
        <f t="shared" si="135"/>
        <v>.......</v>
      </c>
    </row>
    <row r="461" spans="1:36" x14ac:dyDescent="0.25">
      <c r="A461" t="s">
        <v>370</v>
      </c>
      <c r="P461" t="str">
        <f t="shared" si="136"/>
        <v xml:space="preserve">   1307   69  0 </v>
      </c>
      <c r="Q461" t="str">
        <f t="shared" si="136"/>
        <v xml:space="preserve">   0.985 </v>
      </c>
      <c r="R461" t="str">
        <f t="shared" si="145"/>
        <v xml:space="preserve">     0.0 </v>
      </c>
      <c r="S461" t="str">
        <f t="shared" si="137"/>
        <v xml:space="preserve">     0.0 </v>
      </c>
      <c r="T461" t="str">
        <f t="shared" si="138"/>
        <v xml:space="preserve">     0.0 </v>
      </c>
      <c r="U461" t="str">
        <f t="shared" si="142"/>
        <v xml:space="preserve">         0.0 </v>
      </c>
      <c r="V461" t="str">
        <f t="shared" si="146"/>
        <v xml:space="preserve">     7.0 </v>
      </c>
      <c r="W461" t="str">
        <f t="shared" si="139"/>
        <v xml:space="preserve">     0.0</v>
      </c>
      <c r="X461" t="str">
        <f t="shared" si="143"/>
        <v/>
      </c>
      <c r="Y461" t="str">
        <f t="shared" si="143"/>
        <v/>
      </c>
      <c r="Z461" t="str">
        <f t="shared" si="143"/>
        <v/>
      </c>
      <c r="AA461" t="str">
        <f t="shared" si="147"/>
        <v/>
      </c>
      <c r="AB461" t="str">
        <f t="shared" si="140"/>
        <v/>
      </c>
      <c r="AC461" t="str">
        <f t="shared" si="141"/>
        <v/>
      </c>
      <c r="AD461" t="str">
        <f t="shared" si="142"/>
        <v/>
      </c>
      <c r="AE461" t="str">
        <f t="shared" si="148"/>
        <v/>
      </c>
      <c r="AF461" t="str">
        <f t="shared" si="144"/>
        <v/>
      </c>
      <c r="AG461" t="str">
        <f t="shared" si="144"/>
        <v/>
      </c>
      <c r="AH461" t="str">
        <f t="shared" si="149"/>
        <v/>
      </c>
      <c r="AI461" t="str">
        <f t="shared" si="134"/>
        <v/>
      </c>
      <c r="AJ461" t="str">
        <f t="shared" si="135"/>
        <v/>
      </c>
    </row>
    <row r="462" spans="1:36" x14ac:dyDescent="0.25">
      <c r="A462" t="s">
        <v>371</v>
      </c>
      <c r="P462" t="str">
        <f t="shared" si="136"/>
        <v xml:space="preserve">  PANAM--RS069  </v>
      </c>
      <c r="Q462" t="str">
        <f t="shared" si="136"/>
        <v xml:space="preserve">   -55.2 </v>
      </c>
      <c r="R462" t="str">
        <f t="shared" si="145"/>
        <v xml:space="preserve">     0.0 </v>
      </c>
      <c r="S462" t="str">
        <f t="shared" si="137"/>
        <v xml:space="preserve">     0.0 </v>
      </c>
      <c r="T462" t="str">
        <f t="shared" si="138"/>
        <v xml:space="preserve">     0.0 </v>
      </c>
      <c r="U462" t="str">
        <f t="shared" si="142"/>
        <v xml:space="preserve">         0.0 </v>
      </c>
      <c r="V462" t="str">
        <f t="shared" si="146"/>
        <v xml:space="preserve">     0.0 </v>
      </c>
      <c r="W462" t="str">
        <f t="shared" si="139"/>
        <v xml:space="preserve">     0.0 </v>
      </c>
      <c r="X462" t="str">
        <f t="shared" si="143"/>
        <v xml:space="preserve">       </v>
      </c>
      <c r="Y462" t="str">
        <f t="shared" si="143"/>
        <v xml:space="preserve">              </v>
      </c>
      <c r="Z462" t="str">
        <f t="shared" si="143"/>
        <v xml:space="preserve">    </v>
      </c>
      <c r="AA462" t="str">
        <f t="shared" si="147"/>
        <v xml:space="preserve">         </v>
      </c>
      <c r="AB462" t="str">
        <f t="shared" si="140"/>
        <v xml:space="preserve">         </v>
      </c>
      <c r="AC462" t="str">
        <f t="shared" si="141"/>
        <v xml:space="preserve">    </v>
      </c>
      <c r="AD462" t="str">
        <f t="shared" si="142"/>
        <v/>
      </c>
      <c r="AE462" t="str">
        <f t="shared" si="148"/>
        <v/>
      </c>
      <c r="AF462" t="str">
        <f t="shared" si="144"/>
        <v/>
      </c>
      <c r="AG462" t="str">
        <f t="shared" si="144"/>
        <v/>
      </c>
      <c r="AH462" t="str">
        <f t="shared" si="149"/>
        <v/>
      </c>
      <c r="AI462" t="str">
        <f t="shared" si="134"/>
        <v/>
      </c>
      <c r="AJ462" t="str">
        <f t="shared" si="135"/>
        <v/>
      </c>
    </row>
    <row r="463" spans="1:36" x14ac:dyDescent="0.25">
      <c r="A463" t="s">
        <v>372</v>
      </c>
      <c r="P463" t="str">
        <f t="shared" si="136"/>
        <v xml:space="preserve">                </v>
      </c>
      <c r="Q463" t="str">
        <f t="shared" si="136"/>
        <v xml:space="preserve">         </v>
      </c>
      <c r="R463" t="str">
        <f t="shared" si="145"/>
        <v xml:space="preserve">    23.0 </v>
      </c>
      <c r="S463" t="str">
        <f t="shared" si="137"/>
        <v xml:space="preserve">    23.0 </v>
      </c>
      <c r="T463" t="str">
        <f t="shared" si="138"/>
        <v xml:space="preserve">    23.0 </v>
      </c>
      <c r="U463" t="str">
        <f t="shared" si="142"/>
        <v xml:space="preserve">       85.3% </v>
      </c>
      <c r="V463" t="str">
        <f t="shared" si="146"/>
        <v xml:space="preserve">         </v>
      </c>
      <c r="W463" t="str">
        <f t="shared" si="139"/>
        <v xml:space="preserve">         </v>
      </c>
      <c r="X463" t="str">
        <f t="shared" si="143"/>
        <v xml:space="preserve">  1301 </v>
      </c>
      <c r="Y463" t="str">
        <f t="shared" si="143"/>
        <v xml:space="preserve"> CALTA1-RS069 </v>
      </c>
      <c r="Z463" t="str">
        <f t="shared" si="143"/>
        <v xml:space="preserve">  1 </v>
      </c>
      <c r="AA463" t="str">
        <f t="shared" si="147"/>
        <v xml:space="preserve">   -19.1 </v>
      </c>
      <c r="AB463" t="str">
        <f t="shared" si="140"/>
        <v xml:space="preserve">     2.9 </v>
      </c>
      <c r="AC463" t="str">
        <f t="shared" si="141"/>
        <v xml:space="preserve">    19.6 </v>
      </c>
      <c r="AD463" t="str">
        <f t="shared" si="142"/>
        <v xml:space="preserve">        </v>
      </c>
      <c r="AE463" t="str">
        <f t="shared" si="148"/>
        <v xml:space="preserve">       </v>
      </c>
      <c r="AF463" t="str">
        <f t="shared" si="144"/>
        <v xml:space="preserve">     </v>
      </c>
      <c r="AG463" t="str">
        <f t="shared" si="144"/>
        <v xml:space="preserve">     1.28 </v>
      </c>
      <c r="AH463" t="str">
        <f t="shared" si="149"/>
        <v xml:space="preserve">     1.25 </v>
      </c>
      <c r="AI463" t="str">
        <f t="shared" si="134"/>
        <v xml:space="preserve">       </v>
      </c>
      <c r="AJ463" t="str">
        <f t="shared" si="135"/>
        <v xml:space="preserve">      </v>
      </c>
    </row>
    <row r="464" spans="1:36" x14ac:dyDescent="0.25">
      <c r="A464" t="s">
        <v>373</v>
      </c>
      <c r="P464" t="str">
        <f t="shared" si="136"/>
        <v xml:space="preserve">                </v>
      </c>
      <c r="Q464" t="str">
        <f t="shared" si="136"/>
        <v xml:space="preserve">         </v>
      </c>
      <c r="R464" t="str">
        <f t="shared" si="145"/>
        <v xml:space="preserve">    25.0 </v>
      </c>
      <c r="S464" t="str">
        <f t="shared" si="137"/>
        <v xml:space="preserve">    25.0 </v>
      </c>
      <c r="T464" t="str">
        <f t="shared" si="138"/>
        <v xml:space="preserve">    25.0 </v>
      </c>
      <c r="U464" t="str">
        <f t="shared" si="142"/>
        <v xml:space="preserve">       79.3% </v>
      </c>
      <c r="V464" t="str">
        <f t="shared" si="146"/>
        <v xml:space="preserve">         </v>
      </c>
      <c r="W464" t="str">
        <f t="shared" si="139"/>
        <v xml:space="preserve">         </v>
      </c>
      <c r="X464" t="str">
        <f t="shared" si="143"/>
        <v xml:space="preserve">  1333 </v>
      </c>
      <c r="Y464" t="str">
        <f t="shared" si="143"/>
        <v xml:space="preserve"> PANAMB-RS013 </v>
      </c>
      <c r="Z464" t="str">
        <f t="shared" si="143"/>
        <v xml:space="preserve">  1 </v>
      </c>
      <c r="AA464" t="str">
        <f t="shared" si="147"/>
        <v xml:space="preserve">    19.1 </v>
      </c>
      <c r="AB464" t="str">
        <f t="shared" si="140"/>
        <v xml:space="preserve">     4.0 </v>
      </c>
      <c r="AC464" t="str">
        <f t="shared" si="141"/>
        <v xml:space="preserve">    19.8 </v>
      </c>
      <c r="AD464" t="str">
        <f t="shared" si="142"/>
        <v xml:space="preserve"> 0.974* </v>
      </c>
      <c r="AE464" t="str">
        <f t="shared" si="148"/>
        <v xml:space="preserve">       </v>
      </c>
      <c r="AF464" t="str">
        <f t="shared" si="144"/>
        <v xml:space="preserve">     </v>
      </c>
      <c r="AG464" t="str">
        <f t="shared" si="144"/>
        <v xml:space="preserve">     0.00 </v>
      </c>
      <c r="AH464" t="str">
        <f t="shared" si="149"/>
        <v xml:space="preserve">     1.06 </v>
      </c>
      <c r="AI464" t="str">
        <f t="shared" si="134"/>
        <v xml:space="preserve">       </v>
      </c>
      <c r="AJ464" t="str">
        <f t="shared" si="135"/>
        <v xml:space="preserve">      </v>
      </c>
    </row>
    <row r="465" spans="1:36" x14ac:dyDescent="0.25">
      <c r="A465" t="s">
        <v>14</v>
      </c>
      <c r="P465" t="str">
        <f t="shared" si="136"/>
        <v xml:space="preserve">  ..............</v>
      </c>
      <c r="Q465" t="str">
        <f t="shared" si="136"/>
        <v>.........</v>
      </c>
      <c r="R465" t="str">
        <f t="shared" si="145"/>
        <v>.........</v>
      </c>
      <c r="S465" t="str">
        <f t="shared" si="137"/>
        <v>.........</v>
      </c>
      <c r="T465" t="str">
        <f t="shared" si="138"/>
        <v>.........</v>
      </c>
      <c r="U465" t="str">
        <f t="shared" si="142"/>
        <v>.............</v>
      </c>
      <c r="V465" t="str">
        <f t="shared" si="146"/>
        <v>.........</v>
      </c>
      <c r="W465" t="str">
        <f t="shared" si="139"/>
        <v>.........</v>
      </c>
      <c r="X465" t="str">
        <f t="shared" si="143"/>
        <v>.......</v>
      </c>
      <c r="Y465" t="str">
        <f t="shared" si="143"/>
        <v>..............</v>
      </c>
      <c r="Z465" t="str">
        <f t="shared" si="143"/>
        <v>....</v>
      </c>
      <c r="AA465" t="str">
        <f t="shared" si="147"/>
        <v>.........</v>
      </c>
      <c r="AB465" t="str">
        <f t="shared" si="140"/>
        <v>.........</v>
      </c>
      <c r="AC465" t="str">
        <f t="shared" si="141"/>
        <v>.........</v>
      </c>
      <c r="AD465" t="str">
        <f t="shared" si="142"/>
        <v>........</v>
      </c>
      <c r="AE465" t="str">
        <f t="shared" si="148"/>
        <v>.......</v>
      </c>
      <c r="AF465" t="str">
        <f t="shared" si="144"/>
        <v>.....</v>
      </c>
      <c r="AG465" t="str">
        <f t="shared" si="144"/>
        <v>..........</v>
      </c>
      <c r="AH465" t="str">
        <f t="shared" si="149"/>
        <v>..........</v>
      </c>
      <c r="AI465" t="str">
        <f t="shared" si="134"/>
        <v>.......</v>
      </c>
      <c r="AJ465" t="str">
        <f t="shared" si="135"/>
        <v>.......</v>
      </c>
    </row>
    <row r="466" spans="1:36" x14ac:dyDescent="0.25">
      <c r="A466" t="s">
        <v>374</v>
      </c>
      <c r="P466" t="str">
        <f t="shared" si="136"/>
        <v xml:space="preserve">   1309   14  0 </v>
      </c>
      <c r="Q466" t="str">
        <f t="shared" si="136"/>
        <v xml:space="preserve">   1.033 </v>
      </c>
      <c r="R466" t="str">
        <f t="shared" si="145"/>
        <v xml:space="preserve">     4.3 </v>
      </c>
      <c r="S466" t="str">
        <f t="shared" si="137"/>
        <v xml:space="preserve">     0.0 </v>
      </c>
      <c r="T466" t="str">
        <f t="shared" si="138"/>
        <v xml:space="preserve">    17.4 </v>
      </c>
      <c r="U466" t="str">
        <f t="shared" si="142"/>
        <v xml:space="preserve">         0.0 </v>
      </c>
      <c r="V466" t="str">
        <f t="shared" si="146"/>
        <v xml:space="preserve">     0.0 </v>
      </c>
      <c r="W466" t="str">
        <f t="shared" si="139"/>
        <v xml:space="preserve">     0.0</v>
      </c>
      <c r="X466" t="str">
        <f t="shared" si="143"/>
        <v/>
      </c>
      <c r="Y466" t="str">
        <f t="shared" si="143"/>
        <v/>
      </c>
      <c r="Z466" t="str">
        <f t="shared" si="143"/>
        <v/>
      </c>
      <c r="AA466" t="str">
        <f t="shared" si="147"/>
        <v/>
      </c>
      <c r="AB466" t="str">
        <f t="shared" si="140"/>
        <v/>
      </c>
      <c r="AC466" t="str">
        <f t="shared" si="141"/>
        <v/>
      </c>
      <c r="AD466" t="str">
        <f t="shared" si="142"/>
        <v/>
      </c>
      <c r="AE466" t="str">
        <f t="shared" si="148"/>
        <v/>
      </c>
      <c r="AF466" t="str">
        <f t="shared" si="144"/>
        <v/>
      </c>
      <c r="AG466" t="str">
        <f t="shared" si="144"/>
        <v/>
      </c>
      <c r="AH466" t="str">
        <f t="shared" si="149"/>
        <v/>
      </c>
      <c r="AI466" t="str">
        <f t="shared" si="134"/>
        <v/>
      </c>
      <c r="AJ466" t="str">
        <f t="shared" si="135"/>
        <v/>
      </c>
    </row>
    <row r="467" spans="1:36" x14ac:dyDescent="0.25">
      <c r="A467" t="s">
        <v>375</v>
      </c>
      <c r="P467" t="str">
        <f t="shared" si="136"/>
        <v xml:space="preserve">  SCRU1A-RS013  </v>
      </c>
      <c r="Q467" t="str">
        <f t="shared" si="136"/>
        <v xml:space="preserve">   -53.9 </v>
      </c>
      <c r="R467" t="str">
        <f t="shared" si="145"/>
        <v xml:space="preserve">     0.0 </v>
      </c>
      <c r="S467" t="str">
        <f t="shared" si="137"/>
        <v xml:space="preserve">     0.0 </v>
      </c>
      <c r="T467" t="str">
        <f t="shared" si="138"/>
        <v xml:space="preserve">     5.9 </v>
      </c>
      <c r="U467" t="str">
        <f t="shared" si="142"/>
        <v xml:space="preserve">         0.0 </v>
      </c>
      <c r="V467" t="str">
        <f t="shared" si="146"/>
        <v xml:space="preserve">     0.0 </v>
      </c>
      <c r="W467" t="str">
        <f t="shared" si="139"/>
        <v xml:space="preserve">     0.0 </v>
      </c>
      <c r="X467" t="str">
        <f t="shared" si="143"/>
        <v xml:space="preserve">       </v>
      </c>
      <c r="Y467" t="str">
        <f t="shared" si="143"/>
        <v xml:space="preserve">              </v>
      </c>
      <c r="Z467" t="str">
        <f t="shared" si="143"/>
        <v xml:space="preserve">    </v>
      </c>
      <c r="AA467" t="str">
        <f t="shared" si="147"/>
        <v xml:space="preserve">         </v>
      </c>
      <c r="AB467" t="str">
        <f t="shared" si="140"/>
        <v xml:space="preserve">         </v>
      </c>
      <c r="AC467" t="str">
        <f t="shared" si="141"/>
        <v xml:space="preserve">    </v>
      </c>
      <c r="AD467" t="str">
        <f t="shared" si="142"/>
        <v/>
      </c>
      <c r="AE467" t="str">
        <f t="shared" si="148"/>
        <v/>
      </c>
      <c r="AF467" t="str">
        <f t="shared" si="144"/>
        <v/>
      </c>
      <c r="AG467" t="str">
        <f t="shared" si="144"/>
        <v/>
      </c>
      <c r="AH467" t="str">
        <f t="shared" si="149"/>
        <v/>
      </c>
      <c r="AI467" t="str">
        <f t="shared" si="134"/>
        <v/>
      </c>
      <c r="AJ467" t="str">
        <f t="shared" si="135"/>
        <v/>
      </c>
    </row>
    <row r="468" spans="1:36" x14ac:dyDescent="0.25">
      <c r="A468" t="s">
        <v>376</v>
      </c>
      <c r="P468" t="str">
        <f t="shared" si="136"/>
        <v xml:space="preserve">                </v>
      </c>
      <c r="Q468" t="str">
        <f t="shared" si="136"/>
        <v xml:space="preserve">         </v>
      </c>
      <c r="R468" t="str">
        <f t="shared" si="145"/>
        <v xml:space="preserve">  9999.0 </v>
      </c>
      <c r="S468" t="str">
        <f t="shared" si="137"/>
        <v xml:space="preserve">  9999.0 </v>
      </c>
      <c r="T468" t="str">
        <f t="shared" si="138"/>
        <v xml:space="preserve">  9999.0 </v>
      </c>
      <c r="U468" t="str">
        <f t="shared" si="142"/>
        <v xml:space="preserve">        0.0% </v>
      </c>
      <c r="V468" t="str">
        <f t="shared" si="146"/>
        <v xml:space="preserve">         </v>
      </c>
      <c r="W468" t="str">
        <f t="shared" si="139"/>
        <v xml:space="preserve">         </v>
      </c>
      <c r="X468" t="str">
        <f t="shared" si="143"/>
        <v xml:space="preserve">  9753 </v>
      </c>
      <c r="Y468" t="str">
        <f t="shared" si="143"/>
        <v xml:space="preserve"> SCR1RB-RS013 </v>
      </c>
      <c r="Z468" t="str">
        <f t="shared" si="143"/>
        <v xml:space="preserve">  6 </v>
      </c>
      <c r="AA468" t="str">
        <f t="shared" si="147"/>
        <v xml:space="preserve">   -13.1 </v>
      </c>
      <c r="AB468" t="str">
        <f t="shared" si="140"/>
        <v xml:space="preserve">    -5.9 </v>
      </c>
      <c r="AC468" t="str">
        <f t="shared" si="141"/>
        <v xml:space="preserve">    13.9 </v>
      </c>
      <c r="AD468" t="str">
        <f t="shared" si="142"/>
        <v xml:space="preserve">        </v>
      </c>
      <c r="AE468" t="str">
        <f t="shared" si="148"/>
        <v xml:space="preserve">       </v>
      </c>
      <c r="AF468" t="str">
        <f t="shared" si="144"/>
        <v xml:space="preserve">     </v>
      </c>
      <c r="AG468" t="str">
        <f t="shared" si="144"/>
        <v xml:space="preserve">     0.00 </v>
      </c>
      <c r="AH468" t="str">
        <f t="shared" si="149"/>
        <v xml:space="preserve">     0.25 </v>
      </c>
      <c r="AI468" t="str">
        <f t="shared" si="134"/>
        <v xml:space="preserve">       </v>
      </c>
      <c r="AJ468" t="str">
        <f t="shared" si="135"/>
        <v xml:space="preserve">      </v>
      </c>
    </row>
    <row r="469" spans="1:36" x14ac:dyDescent="0.25">
      <c r="A469" t="s">
        <v>14</v>
      </c>
      <c r="P469" t="str">
        <f t="shared" si="136"/>
        <v xml:space="preserve">  ..............</v>
      </c>
      <c r="Q469" t="str">
        <f t="shared" si="136"/>
        <v>.........</v>
      </c>
      <c r="R469" t="str">
        <f t="shared" si="145"/>
        <v>.........</v>
      </c>
      <c r="S469" t="str">
        <f t="shared" si="137"/>
        <v>.........</v>
      </c>
      <c r="T469" t="str">
        <f t="shared" si="138"/>
        <v>.........</v>
      </c>
      <c r="U469" t="str">
        <f t="shared" si="142"/>
        <v>.............</v>
      </c>
      <c r="V469" t="str">
        <f t="shared" si="146"/>
        <v>.........</v>
      </c>
      <c r="W469" t="str">
        <f t="shared" si="139"/>
        <v>.........</v>
      </c>
      <c r="X469" t="str">
        <f t="shared" si="143"/>
        <v>.......</v>
      </c>
      <c r="Y469" t="str">
        <f t="shared" si="143"/>
        <v>..............</v>
      </c>
      <c r="Z469" t="str">
        <f t="shared" si="143"/>
        <v>....</v>
      </c>
      <c r="AA469" t="str">
        <f t="shared" si="147"/>
        <v>.........</v>
      </c>
      <c r="AB469" t="str">
        <f t="shared" si="140"/>
        <v>.........</v>
      </c>
      <c r="AC469" t="str">
        <f t="shared" si="141"/>
        <v>.........</v>
      </c>
      <c r="AD469" t="str">
        <f t="shared" si="142"/>
        <v>........</v>
      </c>
      <c r="AE469" t="str">
        <f t="shared" si="148"/>
        <v>.......</v>
      </c>
      <c r="AF469" t="str">
        <f t="shared" si="144"/>
        <v>.....</v>
      </c>
      <c r="AG469" t="str">
        <f t="shared" si="144"/>
        <v>..........</v>
      </c>
      <c r="AH469" t="str">
        <f t="shared" si="149"/>
        <v>..........</v>
      </c>
      <c r="AI469" t="str">
        <f t="shared" si="134"/>
        <v>.......</v>
      </c>
      <c r="AJ469" t="str">
        <f t="shared" si="135"/>
        <v>.......</v>
      </c>
    </row>
    <row r="470" spans="1:36" x14ac:dyDescent="0.25">
      <c r="A470" t="s">
        <v>377</v>
      </c>
      <c r="P470" t="str">
        <f t="shared" si="136"/>
        <v xml:space="preserve">   1310  138  0 </v>
      </c>
      <c r="Q470" t="str">
        <f t="shared" si="136"/>
        <v xml:space="preserve">   0.963 </v>
      </c>
      <c r="R470" t="str">
        <f t="shared" si="145"/>
        <v xml:space="preserve">    26.7 </v>
      </c>
      <c r="S470" t="str">
        <f t="shared" si="137"/>
        <v xml:space="preserve">     0.0 </v>
      </c>
      <c r="T470" t="str">
        <f t="shared" si="138"/>
        <v xml:space="preserve">    58.8 </v>
      </c>
      <c r="U470" t="str">
        <f t="shared" si="142"/>
        <v xml:space="preserve">         0.0 </v>
      </c>
      <c r="V470" t="str">
        <f t="shared" si="146"/>
        <v xml:space="preserve">    10.0 </v>
      </c>
      <c r="W470" t="str">
        <f t="shared" si="139"/>
        <v xml:space="preserve">     0.0</v>
      </c>
      <c r="X470" t="str">
        <f t="shared" si="143"/>
        <v/>
      </c>
      <c r="Y470" t="str">
        <f t="shared" si="143"/>
        <v/>
      </c>
      <c r="Z470" t="str">
        <f t="shared" si="143"/>
        <v/>
      </c>
      <c r="AA470" t="str">
        <f t="shared" si="147"/>
        <v/>
      </c>
      <c r="AB470" t="str">
        <f t="shared" si="140"/>
        <v/>
      </c>
      <c r="AC470" t="str">
        <f t="shared" si="141"/>
        <v/>
      </c>
      <c r="AD470" t="str">
        <f t="shared" si="142"/>
        <v/>
      </c>
      <c r="AE470" t="str">
        <f t="shared" si="148"/>
        <v/>
      </c>
      <c r="AF470" t="str">
        <f t="shared" si="144"/>
        <v/>
      </c>
      <c r="AG470" t="str">
        <f t="shared" si="144"/>
        <v/>
      </c>
      <c r="AH470" t="str">
        <f t="shared" si="149"/>
        <v/>
      </c>
      <c r="AI470" t="str">
        <f t="shared" si="134"/>
        <v/>
      </c>
      <c r="AJ470" t="str">
        <f t="shared" si="135"/>
        <v/>
      </c>
    </row>
    <row r="471" spans="1:36" x14ac:dyDescent="0.25">
      <c r="A471" t="s">
        <v>378</v>
      </c>
      <c r="P471" t="str">
        <f t="shared" si="136"/>
        <v xml:space="preserve">  EREXI2-RS138  </v>
      </c>
      <c r="Q471" t="str">
        <f t="shared" si="136"/>
        <v xml:space="preserve">   -51.2 </v>
      </c>
      <c r="R471" t="str">
        <f t="shared" si="145"/>
        <v xml:space="preserve">     0.0 </v>
      </c>
      <c r="S471" t="str">
        <f t="shared" si="137"/>
        <v xml:space="preserve">     0.0 </v>
      </c>
      <c r="T471" t="str">
        <f t="shared" si="138"/>
        <v xml:space="preserve">    21.4 </v>
      </c>
      <c r="U471" t="str">
        <f t="shared" si="142"/>
        <v xml:space="preserve">         0.0 </v>
      </c>
      <c r="V471" t="str">
        <f t="shared" si="146"/>
        <v xml:space="preserve">     0.0 </v>
      </c>
      <c r="W471" t="str">
        <f t="shared" si="139"/>
        <v xml:space="preserve">     0.0 </v>
      </c>
      <c r="X471" t="str">
        <f t="shared" si="143"/>
        <v xml:space="preserve">       </v>
      </c>
      <c r="Y471" t="str">
        <f t="shared" si="143"/>
        <v xml:space="preserve">              </v>
      </c>
      <c r="Z471" t="str">
        <f t="shared" si="143"/>
        <v xml:space="preserve">    </v>
      </c>
      <c r="AA471" t="str">
        <f t="shared" si="147"/>
        <v xml:space="preserve">         </v>
      </c>
      <c r="AB471" t="str">
        <f t="shared" si="140"/>
        <v xml:space="preserve">         </v>
      </c>
      <c r="AC471" t="str">
        <f t="shared" si="141"/>
        <v xml:space="preserve">    </v>
      </c>
      <c r="AD471" t="str">
        <f t="shared" si="142"/>
        <v/>
      </c>
      <c r="AE471" t="str">
        <f t="shared" si="148"/>
        <v/>
      </c>
      <c r="AF471" t="str">
        <f t="shared" si="144"/>
        <v/>
      </c>
      <c r="AG471" t="str">
        <f t="shared" si="144"/>
        <v/>
      </c>
      <c r="AH471" t="str">
        <f t="shared" si="149"/>
        <v/>
      </c>
      <c r="AI471" t="str">
        <f t="shared" ref="AI471:AI534" si="150">MID($A471,AG$8+AG$9+AH$9-2,AI$9)</f>
        <v/>
      </c>
      <c r="AJ471" t="str">
        <f t="shared" ref="AJ471:AJ534" si="151">MID($A471,AG$8+AG$9+AH$9+AI$9-3,AJ$9)</f>
        <v/>
      </c>
    </row>
    <row r="472" spans="1:36" x14ac:dyDescent="0.25">
      <c r="A472" t="s">
        <v>379</v>
      </c>
      <c r="P472" t="str">
        <f t="shared" si="136"/>
        <v xml:space="preserve">                </v>
      </c>
      <c r="Q472" t="str">
        <f t="shared" si="136"/>
        <v xml:space="preserve">         </v>
      </c>
      <c r="R472" t="str">
        <f t="shared" si="145"/>
        <v xml:space="preserve">   137.0 </v>
      </c>
      <c r="S472" t="str">
        <f t="shared" si="137"/>
        <v xml:space="preserve">   175.0 </v>
      </c>
      <c r="T472" t="str">
        <f t="shared" si="138"/>
        <v xml:space="preserve">   175.0 </v>
      </c>
      <c r="U472" t="str">
        <f t="shared" si="142"/>
        <v xml:space="preserve">       25.8% </v>
      </c>
      <c r="V472" t="str">
        <f t="shared" si="146"/>
        <v xml:space="preserve">         </v>
      </c>
      <c r="W472" t="str">
        <f t="shared" si="139"/>
        <v xml:space="preserve">         </v>
      </c>
      <c r="X472" t="str">
        <f t="shared" si="143"/>
        <v xml:space="preserve">  1340 </v>
      </c>
      <c r="Y472" t="str">
        <f t="shared" si="143"/>
        <v xml:space="preserve"> TAPEJA-RS138 </v>
      </c>
      <c r="Z472" t="str">
        <f t="shared" si="143"/>
        <v xml:space="preserve">  1 </v>
      </c>
      <c r="AA472" t="str">
        <f t="shared" si="147"/>
        <v xml:space="preserve">   -32.1 </v>
      </c>
      <c r="AB472" t="str">
        <f t="shared" si="140"/>
        <v xml:space="preserve">   -11.4 </v>
      </c>
      <c r="AC472" t="str">
        <f t="shared" si="141"/>
        <v xml:space="preserve">    35.3 </v>
      </c>
      <c r="AD472" t="str">
        <f t="shared" si="142"/>
        <v xml:space="preserve">        </v>
      </c>
      <c r="AE472" t="str">
        <f t="shared" si="148"/>
        <v xml:space="preserve">       </v>
      </c>
      <c r="AF472" t="str">
        <f t="shared" si="144"/>
        <v xml:space="preserve">     </v>
      </c>
      <c r="AG472" t="str">
        <f t="shared" si="144"/>
        <v xml:space="preserve">     0.46 </v>
      </c>
      <c r="AH472" t="str">
        <f t="shared" si="149"/>
        <v xml:space="preserve">    -1.47 </v>
      </c>
      <c r="AI472" t="str">
        <f t="shared" si="150"/>
        <v xml:space="preserve">       </v>
      </c>
      <c r="AJ472" t="str">
        <f t="shared" si="151"/>
        <v xml:space="preserve">      </v>
      </c>
    </row>
    <row r="473" spans="1:36" x14ac:dyDescent="0.25">
      <c r="A473" t="s">
        <v>380</v>
      </c>
      <c r="P473" t="str">
        <f t="shared" si="136"/>
        <v xml:space="preserve">              DE</v>
      </c>
      <c r="Q473" t="str">
        <f t="shared" si="136"/>
        <v xml:space="preserve">ESLIGADO </v>
      </c>
      <c r="R473" t="str">
        <f t="shared" si="145"/>
        <v xml:space="preserve">   143.0 </v>
      </c>
      <c r="S473" t="str">
        <f t="shared" si="137"/>
        <v xml:space="preserve">   172.0 </v>
      </c>
      <c r="T473" t="str">
        <f t="shared" si="138"/>
        <v xml:space="preserve">   172.0 </v>
      </c>
      <c r="U473" t="str">
        <f t="shared" si="142"/>
        <v xml:space="preserve">             </v>
      </c>
      <c r="V473" t="str">
        <f t="shared" si="146"/>
        <v xml:space="preserve">         </v>
      </c>
      <c r="W473" t="str">
        <f t="shared" si="139"/>
        <v xml:space="preserve">         </v>
      </c>
      <c r="X473" t="str">
        <f t="shared" si="143"/>
        <v xml:space="preserve">  2069 </v>
      </c>
      <c r="Y473" t="str">
        <f t="shared" si="143"/>
        <v xml:space="preserve"> EREXIM-RS138 </v>
      </c>
      <c r="Z473" t="str">
        <f t="shared" si="143"/>
        <v xml:space="preserve">  1 </v>
      </c>
      <c r="AA473" t="str">
        <f t="shared" si="147"/>
        <v xml:space="preserve">     0.0 </v>
      </c>
      <c r="AB473" t="str">
        <f t="shared" si="140"/>
        <v xml:space="preserve">     0.0 </v>
      </c>
      <c r="AC473" t="str">
        <f t="shared" si="141"/>
        <v xml:space="preserve">     0.0 </v>
      </c>
      <c r="AD473" t="str">
        <f t="shared" si="142"/>
        <v xml:space="preserve">        </v>
      </c>
      <c r="AE473" t="str">
        <f t="shared" si="148"/>
        <v xml:space="preserve">       </v>
      </c>
      <c r="AF473" t="str">
        <f t="shared" si="144"/>
        <v xml:space="preserve">     </v>
      </c>
      <c r="AG473" t="str">
        <f t="shared" si="144"/>
        <v xml:space="preserve">     0.00 </v>
      </c>
      <c r="AH473" t="str">
        <f t="shared" si="149"/>
        <v xml:space="preserve">     0.00 </v>
      </c>
      <c r="AI473" t="str">
        <f t="shared" si="150"/>
        <v xml:space="preserve">       </v>
      </c>
      <c r="AJ473" t="str">
        <f t="shared" si="151"/>
        <v xml:space="preserve">      </v>
      </c>
    </row>
    <row r="474" spans="1:36" x14ac:dyDescent="0.25">
      <c r="A474" t="s">
        <v>14</v>
      </c>
      <c r="P474" t="str">
        <f t="shared" si="136"/>
        <v xml:space="preserve">  ..............</v>
      </c>
      <c r="Q474" t="str">
        <f t="shared" si="136"/>
        <v>.........</v>
      </c>
      <c r="R474" t="str">
        <f t="shared" si="145"/>
        <v>.........</v>
      </c>
      <c r="S474" t="str">
        <f t="shared" si="137"/>
        <v>.........</v>
      </c>
      <c r="T474" t="str">
        <f t="shared" si="138"/>
        <v>.........</v>
      </c>
      <c r="U474" t="str">
        <f t="shared" si="142"/>
        <v>.............</v>
      </c>
      <c r="V474" t="str">
        <f t="shared" si="146"/>
        <v>.........</v>
      </c>
      <c r="W474" t="str">
        <f t="shared" si="139"/>
        <v>.........</v>
      </c>
      <c r="X474" t="str">
        <f t="shared" si="143"/>
        <v>.......</v>
      </c>
      <c r="Y474" t="str">
        <f t="shared" si="143"/>
        <v>..............</v>
      </c>
      <c r="Z474" t="str">
        <f t="shared" si="143"/>
        <v>....</v>
      </c>
      <c r="AA474" t="str">
        <f t="shared" si="147"/>
        <v>.........</v>
      </c>
      <c r="AB474" t="str">
        <f t="shared" si="140"/>
        <v>.........</v>
      </c>
      <c r="AC474" t="str">
        <f t="shared" si="141"/>
        <v>.........</v>
      </c>
      <c r="AD474" t="str">
        <f t="shared" si="142"/>
        <v>........</v>
      </c>
      <c r="AE474" t="str">
        <f t="shared" si="148"/>
        <v>.......</v>
      </c>
      <c r="AF474" t="str">
        <f t="shared" si="144"/>
        <v>.....</v>
      </c>
      <c r="AG474" t="str">
        <f t="shared" si="144"/>
        <v>..........</v>
      </c>
      <c r="AH474" t="str">
        <f t="shared" si="149"/>
        <v>..........</v>
      </c>
      <c r="AI474" t="str">
        <f t="shared" si="150"/>
        <v>.......</v>
      </c>
      <c r="AJ474" t="str">
        <f t="shared" si="151"/>
        <v>.......</v>
      </c>
    </row>
    <row r="475" spans="1:36" x14ac:dyDescent="0.25">
      <c r="A475" t="s">
        <v>381</v>
      </c>
      <c r="P475" t="str">
        <f t="shared" ref="P475:Q538" si="152">MID($A475,P$8,P$9)</f>
        <v xml:space="preserve">   1311   69  0 </v>
      </c>
      <c r="Q475" t="str">
        <f t="shared" si="152"/>
        <v xml:space="preserve">   1.010 </v>
      </c>
      <c r="R475" t="str">
        <f t="shared" si="145"/>
        <v xml:space="preserve">     6.5 </v>
      </c>
      <c r="S475" t="str">
        <f t="shared" ref="S475:S538" si="153">MID($A475,Q$8+Q$9+R$9-2,S$9)</f>
        <v xml:space="preserve">     0.0 </v>
      </c>
      <c r="T475" t="str">
        <f t="shared" ref="T475:T538" si="154">MID($A475,Q$8+Q$9+R$9+S$9-3,T$9)</f>
        <v xml:space="preserve">    27.2 </v>
      </c>
      <c r="U475" t="str">
        <f t="shared" si="142"/>
        <v xml:space="preserve">         0.0 </v>
      </c>
      <c r="V475" t="str">
        <f t="shared" si="146"/>
        <v xml:space="preserve">     3.7 </v>
      </c>
      <c r="W475" t="str">
        <f t="shared" ref="W475:W538" si="155">MID($A475,U$8+U$9+V$9-2,W$9)</f>
        <v xml:space="preserve">     0.0</v>
      </c>
      <c r="X475" t="str">
        <f t="shared" si="143"/>
        <v/>
      </c>
      <c r="Y475" t="str">
        <f t="shared" si="143"/>
        <v/>
      </c>
      <c r="Z475" t="str">
        <f t="shared" si="143"/>
        <v/>
      </c>
      <c r="AA475" t="str">
        <f t="shared" si="147"/>
        <v/>
      </c>
      <c r="AB475" t="str">
        <f t="shared" ref="AB475:AB538" si="156">MID($A475,Z$8+Z$9+AA$9-2,AB$9)</f>
        <v/>
      </c>
      <c r="AC475" t="str">
        <f t="shared" ref="AC475:AC538" si="157">MID($A475,Z$8+Z$9+AA$9+AB$9-3,AC$9)</f>
        <v/>
      </c>
      <c r="AD475" t="str">
        <f t="shared" si="142"/>
        <v/>
      </c>
      <c r="AE475" t="str">
        <f t="shared" si="148"/>
        <v/>
      </c>
      <c r="AF475" t="str">
        <f t="shared" si="144"/>
        <v/>
      </c>
      <c r="AG475" t="str">
        <f t="shared" si="144"/>
        <v/>
      </c>
      <c r="AH475" t="str">
        <f t="shared" si="149"/>
        <v/>
      </c>
      <c r="AI475" t="str">
        <f t="shared" si="150"/>
        <v/>
      </c>
      <c r="AJ475" t="str">
        <f t="shared" si="151"/>
        <v/>
      </c>
    </row>
    <row r="476" spans="1:36" x14ac:dyDescent="0.25">
      <c r="A476" t="s">
        <v>382</v>
      </c>
      <c r="P476" t="str">
        <f t="shared" si="152"/>
        <v xml:space="preserve">  SANGE1-RS069  </v>
      </c>
      <c r="Q476" t="str">
        <f t="shared" si="152"/>
        <v xml:space="preserve">   -47.1 </v>
      </c>
      <c r="R476" t="str">
        <f t="shared" si="145"/>
        <v xml:space="preserve">     0.0 </v>
      </c>
      <c r="S476" t="str">
        <f t="shared" si="153"/>
        <v xml:space="preserve">     0.0 </v>
      </c>
      <c r="T476" t="str">
        <f t="shared" si="154"/>
        <v xml:space="preserve">    10.6 </v>
      </c>
      <c r="U476" t="str">
        <f t="shared" ref="U476:AD539" si="158">MID($A476,U$8,U$9)</f>
        <v xml:space="preserve">         0.0 </v>
      </c>
      <c r="V476" t="str">
        <f t="shared" si="146"/>
        <v xml:space="preserve">     0.0 </v>
      </c>
      <c r="W476" t="str">
        <f t="shared" si="155"/>
        <v xml:space="preserve">     0.0 </v>
      </c>
      <c r="X476" t="str">
        <f t="shared" ref="X476:Z539" si="159">MID($A476,X$8,X$9)</f>
        <v xml:space="preserve">       </v>
      </c>
      <c r="Y476" t="str">
        <f t="shared" si="159"/>
        <v xml:space="preserve">              </v>
      </c>
      <c r="Z476" t="str">
        <f t="shared" si="159"/>
        <v xml:space="preserve">    </v>
      </c>
      <c r="AA476" t="str">
        <f t="shared" si="147"/>
        <v xml:space="preserve">         </v>
      </c>
      <c r="AB476" t="str">
        <f t="shared" si="156"/>
        <v xml:space="preserve">         </v>
      </c>
      <c r="AC476" t="str">
        <f t="shared" si="157"/>
        <v xml:space="preserve">    </v>
      </c>
      <c r="AD476" t="str">
        <f t="shared" si="158"/>
        <v/>
      </c>
      <c r="AE476" t="str">
        <f t="shared" si="148"/>
        <v/>
      </c>
      <c r="AF476" t="str">
        <f t="shared" si="144"/>
        <v/>
      </c>
      <c r="AG476" t="str">
        <f t="shared" si="144"/>
        <v/>
      </c>
      <c r="AH476" t="str">
        <f t="shared" si="149"/>
        <v/>
      </c>
      <c r="AI476" t="str">
        <f t="shared" si="150"/>
        <v/>
      </c>
      <c r="AJ476" t="str">
        <f t="shared" si="151"/>
        <v/>
      </c>
    </row>
    <row r="477" spans="1:36" x14ac:dyDescent="0.25">
      <c r="A477" t="s">
        <v>383</v>
      </c>
      <c r="P477" t="str">
        <f t="shared" si="152"/>
        <v xml:space="preserve">                </v>
      </c>
      <c r="Q477" t="str">
        <f t="shared" si="152"/>
        <v xml:space="preserve">         </v>
      </c>
      <c r="R477" t="str">
        <f t="shared" si="145"/>
        <v xml:space="preserve">    69.0 </v>
      </c>
      <c r="S477" t="str">
        <f t="shared" si="153"/>
        <v xml:space="preserve">    69.0 </v>
      </c>
      <c r="T477" t="str">
        <f t="shared" si="154"/>
        <v xml:space="preserve">    69.0 </v>
      </c>
      <c r="U477" t="str">
        <f t="shared" si="158"/>
        <v xml:space="preserve">       31.3% </v>
      </c>
      <c r="V477" t="str">
        <f t="shared" si="146"/>
        <v xml:space="preserve">         </v>
      </c>
      <c r="W477" t="str">
        <f t="shared" si="155"/>
        <v xml:space="preserve">         </v>
      </c>
      <c r="X477" t="str">
        <f t="shared" si="159"/>
        <v xml:space="preserve">  1251 </v>
      </c>
      <c r="Y477" t="str">
        <f t="shared" si="159"/>
        <v xml:space="preserve"> SANGEL-RS069 </v>
      </c>
      <c r="Z477" t="str">
        <f t="shared" si="159"/>
        <v xml:space="preserve">  1 </v>
      </c>
      <c r="AA477" t="str">
        <f t="shared" si="147"/>
        <v xml:space="preserve">   -20.7 </v>
      </c>
      <c r="AB477" t="str">
        <f t="shared" si="156"/>
        <v xml:space="preserve">    -6.9 </v>
      </c>
      <c r="AC477" t="str">
        <f t="shared" si="157"/>
        <v xml:space="preserve">    21.6 </v>
      </c>
      <c r="AD477" t="str">
        <f t="shared" si="158"/>
        <v xml:space="preserve">        </v>
      </c>
      <c r="AE477" t="str">
        <f t="shared" si="148"/>
        <v xml:space="preserve">       </v>
      </c>
      <c r="AF477" t="str">
        <f t="shared" ref="AF477:AG540" si="160">MID($A477,AF$8,AF$9)</f>
        <v xml:space="preserve">     </v>
      </c>
      <c r="AG477" t="str">
        <f t="shared" si="160"/>
        <v xml:space="preserve">     0.17 </v>
      </c>
      <c r="AH477" t="str">
        <f t="shared" si="149"/>
        <v xml:space="preserve">     0.40 </v>
      </c>
      <c r="AI477" t="str">
        <f t="shared" si="150"/>
        <v xml:space="preserve">       </v>
      </c>
      <c r="AJ477" t="str">
        <f t="shared" si="151"/>
        <v xml:space="preserve">      </v>
      </c>
    </row>
    <row r="478" spans="1:36" x14ac:dyDescent="0.25">
      <c r="A478" t="s">
        <v>344</v>
      </c>
      <c r="P478" t="str">
        <f t="shared" si="152"/>
        <v xml:space="preserve">              DE</v>
      </c>
      <c r="Q478" t="str">
        <f t="shared" si="152"/>
        <v xml:space="preserve">ESLIGADO </v>
      </c>
      <c r="R478" t="str">
        <f t="shared" si="145"/>
        <v xml:space="preserve">    44.0 </v>
      </c>
      <c r="S478" t="str">
        <f t="shared" si="153"/>
        <v xml:space="preserve">    64.0 </v>
      </c>
      <c r="T478" t="str">
        <f t="shared" si="154"/>
        <v xml:space="preserve">    64.0 </v>
      </c>
      <c r="U478" t="str">
        <f t="shared" si="158"/>
        <v xml:space="preserve">             </v>
      </c>
      <c r="V478" t="str">
        <f t="shared" si="146"/>
        <v xml:space="preserve">         </v>
      </c>
      <c r="W478" t="str">
        <f t="shared" si="155"/>
        <v xml:space="preserve">         </v>
      </c>
      <c r="X478" t="str">
        <f t="shared" si="159"/>
        <v xml:space="preserve">  1302 </v>
      </c>
      <c r="Y478" t="str">
        <f t="shared" si="159"/>
        <v xml:space="preserve"> IJUI1--RS069 </v>
      </c>
      <c r="Z478" t="str">
        <f t="shared" si="159"/>
        <v xml:space="preserve">  1 </v>
      </c>
      <c r="AA478" t="str">
        <f t="shared" si="147"/>
        <v xml:space="preserve">     0.0 </v>
      </c>
      <c r="AB478" t="str">
        <f t="shared" si="156"/>
        <v xml:space="preserve">     0.0 </v>
      </c>
      <c r="AC478" t="str">
        <f t="shared" si="157"/>
        <v xml:space="preserve">     0.0 </v>
      </c>
      <c r="AD478" t="str">
        <f t="shared" si="158"/>
        <v xml:space="preserve">        </v>
      </c>
      <c r="AE478" t="str">
        <f t="shared" si="148"/>
        <v xml:space="preserve">       </v>
      </c>
      <c r="AF478" t="str">
        <f t="shared" si="160"/>
        <v xml:space="preserve">     </v>
      </c>
      <c r="AG478" t="str">
        <f t="shared" si="160"/>
        <v xml:space="preserve">     0.00 </v>
      </c>
      <c r="AH478" t="str">
        <f t="shared" si="149"/>
        <v xml:space="preserve">     0.00 </v>
      </c>
      <c r="AI478" t="str">
        <f t="shared" si="150"/>
        <v xml:space="preserve">       </v>
      </c>
      <c r="AJ478" t="str">
        <f t="shared" si="151"/>
        <v xml:space="preserve">      </v>
      </c>
    </row>
    <row r="479" spans="1:36" x14ac:dyDescent="0.25">
      <c r="A479" t="s">
        <v>14</v>
      </c>
      <c r="P479" t="str">
        <f t="shared" si="152"/>
        <v xml:space="preserve">  ..............</v>
      </c>
      <c r="Q479" t="str">
        <f t="shared" si="152"/>
        <v>.........</v>
      </c>
      <c r="R479" t="str">
        <f t="shared" si="145"/>
        <v>.........</v>
      </c>
      <c r="S479" t="str">
        <f t="shared" si="153"/>
        <v>.........</v>
      </c>
      <c r="T479" t="str">
        <f t="shared" si="154"/>
        <v>.........</v>
      </c>
      <c r="U479" t="str">
        <f t="shared" si="158"/>
        <v>.............</v>
      </c>
      <c r="V479" t="str">
        <f t="shared" si="146"/>
        <v>.........</v>
      </c>
      <c r="W479" t="str">
        <f t="shared" si="155"/>
        <v>.........</v>
      </c>
      <c r="X479" t="str">
        <f t="shared" si="159"/>
        <v>.......</v>
      </c>
      <c r="Y479" t="str">
        <f t="shared" si="159"/>
        <v>..............</v>
      </c>
      <c r="Z479" t="str">
        <f t="shared" si="159"/>
        <v>....</v>
      </c>
      <c r="AA479" t="str">
        <f t="shared" si="147"/>
        <v>.........</v>
      </c>
      <c r="AB479" t="str">
        <f t="shared" si="156"/>
        <v>.........</v>
      </c>
      <c r="AC479" t="str">
        <f t="shared" si="157"/>
        <v>.........</v>
      </c>
      <c r="AD479" t="str">
        <f t="shared" si="158"/>
        <v>........</v>
      </c>
      <c r="AE479" t="str">
        <f t="shared" si="148"/>
        <v>.......</v>
      </c>
      <c r="AF479" t="str">
        <f t="shared" si="160"/>
        <v>.....</v>
      </c>
      <c r="AG479" t="str">
        <f t="shared" si="160"/>
        <v>..........</v>
      </c>
      <c r="AH479" t="str">
        <f t="shared" si="149"/>
        <v>..........</v>
      </c>
      <c r="AI479" t="str">
        <f t="shared" si="150"/>
        <v>.......</v>
      </c>
      <c r="AJ479" t="str">
        <f t="shared" si="151"/>
        <v>.......</v>
      </c>
    </row>
    <row r="480" spans="1:36" x14ac:dyDescent="0.25">
      <c r="A480" t="s">
        <v>384</v>
      </c>
      <c r="P480" t="str">
        <f t="shared" si="152"/>
        <v xml:space="preserve">   1312   69  0 </v>
      </c>
      <c r="Q480" t="str">
        <f t="shared" si="152"/>
        <v xml:space="preserve">   0.998 </v>
      </c>
      <c r="R480" t="str">
        <f t="shared" si="145"/>
        <v xml:space="preserve">     2.3 </v>
      </c>
      <c r="S480" t="str">
        <f t="shared" si="153"/>
        <v xml:space="preserve">     0.0 </v>
      </c>
      <c r="T480" t="str">
        <f t="shared" si="154"/>
        <v xml:space="preserve">    26.5 </v>
      </c>
      <c r="U480" t="str">
        <f t="shared" si="158"/>
        <v xml:space="preserve">         0.0 </v>
      </c>
      <c r="V480" t="str">
        <f t="shared" si="146"/>
        <v xml:space="preserve">     3.6 </v>
      </c>
      <c r="W480" t="str">
        <f t="shared" si="155"/>
        <v xml:space="preserve">     0.0</v>
      </c>
      <c r="X480" t="str">
        <f t="shared" si="159"/>
        <v/>
      </c>
      <c r="Y480" t="str">
        <f t="shared" si="159"/>
        <v/>
      </c>
      <c r="Z480" t="str">
        <f t="shared" si="159"/>
        <v/>
      </c>
      <c r="AA480" t="str">
        <f t="shared" si="147"/>
        <v/>
      </c>
      <c r="AB480" t="str">
        <f t="shared" si="156"/>
        <v/>
      </c>
      <c r="AC480" t="str">
        <f t="shared" si="157"/>
        <v/>
      </c>
      <c r="AD480" t="str">
        <f t="shared" si="158"/>
        <v/>
      </c>
      <c r="AE480" t="str">
        <f t="shared" si="148"/>
        <v/>
      </c>
      <c r="AF480" t="str">
        <f t="shared" si="160"/>
        <v/>
      </c>
      <c r="AG480" t="str">
        <f t="shared" si="160"/>
        <v/>
      </c>
      <c r="AH480" t="str">
        <f t="shared" si="149"/>
        <v/>
      </c>
      <c r="AI480" t="str">
        <f t="shared" si="150"/>
        <v/>
      </c>
      <c r="AJ480" t="str">
        <f t="shared" si="151"/>
        <v/>
      </c>
    </row>
    <row r="481" spans="1:36" x14ac:dyDescent="0.25">
      <c r="A481" t="s">
        <v>385</v>
      </c>
      <c r="P481" t="str">
        <f t="shared" si="152"/>
        <v xml:space="preserve">  ESTEIO-RS069  </v>
      </c>
      <c r="Q481" t="str">
        <f t="shared" si="152"/>
        <v xml:space="preserve">   -54.8 </v>
      </c>
      <c r="R481" t="str">
        <f t="shared" si="145"/>
        <v xml:space="preserve">     0.0 </v>
      </c>
      <c r="S481" t="str">
        <f t="shared" si="153"/>
        <v xml:space="preserve">     0.0 </v>
      </c>
      <c r="T481" t="str">
        <f t="shared" si="154"/>
        <v xml:space="preserve">     8.8 </v>
      </c>
      <c r="U481" t="str">
        <f t="shared" si="158"/>
        <v xml:space="preserve">         0.0 </v>
      </c>
      <c r="V481" t="str">
        <f t="shared" si="146"/>
        <v xml:space="preserve">     0.0 </v>
      </c>
      <c r="W481" t="str">
        <f t="shared" si="155"/>
        <v xml:space="preserve">     0.0 </v>
      </c>
      <c r="X481" t="str">
        <f t="shared" si="159"/>
        <v xml:space="preserve">       </v>
      </c>
      <c r="Y481" t="str">
        <f t="shared" si="159"/>
        <v xml:space="preserve">              </v>
      </c>
      <c r="Z481" t="str">
        <f t="shared" si="159"/>
        <v xml:space="preserve">    </v>
      </c>
      <c r="AA481" t="str">
        <f t="shared" si="147"/>
        <v xml:space="preserve">         </v>
      </c>
      <c r="AB481" t="str">
        <f t="shared" si="156"/>
        <v xml:space="preserve">         </v>
      </c>
      <c r="AC481" t="str">
        <f t="shared" si="157"/>
        <v xml:space="preserve">    </v>
      </c>
      <c r="AD481" t="str">
        <f t="shared" si="158"/>
        <v/>
      </c>
      <c r="AE481" t="str">
        <f t="shared" si="148"/>
        <v/>
      </c>
      <c r="AF481" t="str">
        <f t="shared" si="160"/>
        <v/>
      </c>
      <c r="AG481" t="str">
        <f t="shared" si="160"/>
        <v/>
      </c>
      <c r="AH481" t="str">
        <f t="shared" si="149"/>
        <v/>
      </c>
      <c r="AI481" t="str">
        <f t="shared" si="150"/>
        <v/>
      </c>
      <c r="AJ481" t="str">
        <f t="shared" si="151"/>
        <v/>
      </c>
    </row>
    <row r="482" spans="1:36" x14ac:dyDescent="0.25">
      <c r="A482" t="s">
        <v>386</v>
      </c>
      <c r="P482" t="str">
        <f t="shared" si="152"/>
        <v xml:space="preserve">                </v>
      </c>
      <c r="Q482" t="str">
        <f t="shared" si="152"/>
        <v xml:space="preserve">         </v>
      </c>
      <c r="R482" t="str">
        <f t="shared" si="145"/>
        <v xml:space="preserve">    84.0 </v>
      </c>
      <c r="S482" t="str">
        <f t="shared" si="153"/>
        <v xml:space="preserve">   101.0 </v>
      </c>
      <c r="T482" t="str">
        <f t="shared" si="154"/>
        <v xml:space="preserve">   101.0 </v>
      </c>
      <c r="U482" t="str">
        <f t="shared" si="158"/>
        <v xml:space="preserve">        5.8% </v>
      </c>
      <c r="V482" t="str">
        <f t="shared" si="146"/>
        <v xml:space="preserve">         </v>
      </c>
      <c r="W482" t="str">
        <f t="shared" si="155"/>
        <v xml:space="preserve">         </v>
      </c>
      <c r="X482" t="str">
        <f t="shared" si="159"/>
        <v xml:space="preserve">  1303 </v>
      </c>
      <c r="Y482" t="str">
        <f t="shared" si="159"/>
        <v xml:space="preserve"> BUNGE--RS069 </v>
      </c>
      <c r="Z482" t="str">
        <f t="shared" si="159"/>
        <v xml:space="preserve">  1 </v>
      </c>
      <c r="AA482" t="str">
        <f t="shared" si="147"/>
        <v xml:space="preserve">    -2.3 </v>
      </c>
      <c r="AB482" t="str">
        <f t="shared" si="156"/>
        <v xml:space="preserve">    -4.2 </v>
      </c>
      <c r="AC482" t="str">
        <f t="shared" si="157"/>
        <v xml:space="preserve">     4.8 </v>
      </c>
      <c r="AD482" t="str">
        <f t="shared" si="158"/>
        <v xml:space="preserve">        </v>
      </c>
      <c r="AE482" t="str">
        <f t="shared" si="148"/>
        <v xml:space="preserve">       </v>
      </c>
      <c r="AF482" t="str">
        <f t="shared" si="160"/>
        <v xml:space="preserve">     </v>
      </c>
      <c r="AG482" t="str">
        <f t="shared" si="160"/>
        <v xml:space="preserve">     0.00 </v>
      </c>
      <c r="AH482" t="str">
        <f t="shared" si="149"/>
        <v xml:space="preserve">     0.00 </v>
      </c>
      <c r="AI482" t="str">
        <f t="shared" si="150"/>
        <v xml:space="preserve">       </v>
      </c>
      <c r="AJ482" t="str">
        <f t="shared" si="151"/>
        <v xml:space="preserve">      </v>
      </c>
    </row>
    <row r="483" spans="1:36" x14ac:dyDescent="0.25">
      <c r="A483" t="s">
        <v>387</v>
      </c>
      <c r="P483" t="str">
        <f t="shared" si="152"/>
        <v xml:space="preserve">                </v>
      </c>
      <c r="Q483" t="str">
        <f t="shared" si="152"/>
        <v xml:space="preserve">         </v>
      </c>
      <c r="R483" t="str">
        <f t="shared" si="145"/>
        <v xml:space="preserve">    48.0 </v>
      </c>
      <c r="S483" t="str">
        <f t="shared" si="153"/>
        <v xml:space="preserve">    71.0 </v>
      </c>
      <c r="T483" t="str">
        <f t="shared" si="154"/>
        <v xml:space="preserve">    71.0 </v>
      </c>
      <c r="U483" t="str">
        <f t="shared" si="158"/>
        <v xml:space="preserve">       45.8% </v>
      </c>
      <c r="V483" t="str">
        <f t="shared" si="146"/>
        <v xml:space="preserve">         </v>
      </c>
      <c r="W483" t="str">
        <f t="shared" si="155"/>
        <v xml:space="preserve">         </v>
      </c>
      <c r="X483" t="str">
        <f t="shared" si="159"/>
        <v xml:space="preserve">  1341 </v>
      </c>
      <c r="Y483" t="str">
        <f t="shared" si="159"/>
        <v xml:space="preserve"> SRITA-TAP069 </v>
      </c>
      <c r="Z483" t="str">
        <f t="shared" si="159"/>
        <v xml:space="preserve">  1 </v>
      </c>
      <c r="AA483" t="str">
        <f t="shared" si="147"/>
        <v xml:space="preserve">   -21.9 </v>
      </c>
      <c r="AB483" t="str">
        <f t="shared" si="156"/>
        <v xml:space="preserve">    -1.0 </v>
      </c>
      <c r="AC483" t="str">
        <f t="shared" si="157"/>
        <v xml:space="preserve">    22.0 </v>
      </c>
      <c r="AD483" t="str">
        <f t="shared" si="158"/>
        <v xml:space="preserve">        </v>
      </c>
      <c r="AE483" t="str">
        <f t="shared" si="148"/>
        <v xml:space="preserve">       </v>
      </c>
      <c r="AF483" t="str">
        <f t="shared" si="160"/>
        <v xml:space="preserve">     </v>
      </c>
      <c r="AG483" t="str">
        <f t="shared" si="160"/>
        <v xml:space="preserve">     0.18 </v>
      </c>
      <c r="AH483" t="str">
        <f t="shared" si="149"/>
        <v xml:space="preserve">     0.52 </v>
      </c>
      <c r="AI483" t="str">
        <f t="shared" si="150"/>
        <v xml:space="preserve">       </v>
      </c>
      <c r="AJ483" t="str">
        <f t="shared" si="151"/>
        <v xml:space="preserve">      </v>
      </c>
    </row>
    <row r="484" spans="1:36" x14ac:dyDescent="0.25">
      <c r="A484" t="s">
        <v>14</v>
      </c>
      <c r="P484" t="str">
        <f t="shared" si="152"/>
        <v xml:space="preserve">  ..............</v>
      </c>
      <c r="Q484" t="str">
        <f t="shared" si="152"/>
        <v>.........</v>
      </c>
      <c r="R484" t="str">
        <f t="shared" si="145"/>
        <v>.........</v>
      </c>
      <c r="S484" t="str">
        <f t="shared" si="153"/>
        <v>.........</v>
      </c>
      <c r="T484" t="str">
        <f t="shared" si="154"/>
        <v>.........</v>
      </c>
      <c r="U484" t="str">
        <f t="shared" si="158"/>
        <v>.............</v>
      </c>
      <c r="V484" t="str">
        <f t="shared" si="146"/>
        <v>.........</v>
      </c>
      <c r="W484" t="str">
        <f t="shared" si="155"/>
        <v>.........</v>
      </c>
      <c r="X484" t="str">
        <f t="shared" si="159"/>
        <v>.......</v>
      </c>
      <c r="Y484" t="str">
        <f t="shared" si="159"/>
        <v>..............</v>
      </c>
      <c r="Z484" t="str">
        <f t="shared" si="159"/>
        <v>....</v>
      </c>
      <c r="AA484" t="str">
        <f t="shared" si="147"/>
        <v>.........</v>
      </c>
      <c r="AB484" t="str">
        <f t="shared" si="156"/>
        <v>.........</v>
      </c>
      <c r="AC484" t="str">
        <f t="shared" si="157"/>
        <v>.........</v>
      </c>
      <c r="AD484" t="str">
        <f t="shared" si="158"/>
        <v>........</v>
      </c>
      <c r="AE484" t="str">
        <f t="shared" si="148"/>
        <v>.......</v>
      </c>
      <c r="AF484" t="str">
        <f t="shared" si="160"/>
        <v>.....</v>
      </c>
      <c r="AG484" t="str">
        <f t="shared" si="160"/>
        <v>..........</v>
      </c>
      <c r="AH484" t="str">
        <f t="shared" si="149"/>
        <v>..........</v>
      </c>
      <c r="AI484" t="str">
        <f t="shared" si="150"/>
        <v>.......</v>
      </c>
      <c r="AJ484" t="str">
        <f t="shared" si="151"/>
        <v>.......</v>
      </c>
    </row>
    <row r="485" spans="1:36" x14ac:dyDescent="0.25">
      <c r="A485" t="s">
        <v>388</v>
      </c>
      <c r="P485" t="str">
        <f t="shared" si="152"/>
        <v xml:space="preserve">   1314   69  0 </v>
      </c>
      <c r="Q485" t="str">
        <f t="shared" si="152"/>
        <v xml:space="preserve">   1.037 </v>
      </c>
      <c r="R485" t="str">
        <f t="shared" si="145"/>
        <v xml:space="preserve">     0.0 </v>
      </c>
      <c r="S485" t="str">
        <f t="shared" si="153"/>
        <v xml:space="preserve">     0.0 </v>
      </c>
      <c r="T485" t="str">
        <f t="shared" si="154"/>
        <v xml:space="preserve">     0.0 </v>
      </c>
      <c r="U485" t="str">
        <f t="shared" si="158"/>
        <v xml:space="preserve">         0.0 </v>
      </c>
      <c r="V485" t="str">
        <f t="shared" si="146"/>
        <v xml:space="preserve">     0.0 </v>
      </c>
      <c r="W485" t="str">
        <f t="shared" si="155"/>
        <v xml:space="preserve">     0.0</v>
      </c>
      <c r="X485" t="str">
        <f t="shared" si="159"/>
        <v/>
      </c>
      <c r="Y485" t="str">
        <f t="shared" si="159"/>
        <v/>
      </c>
      <c r="Z485" t="str">
        <f t="shared" si="159"/>
        <v/>
      </c>
      <c r="AA485" t="str">
        <f t="shared" si="147"/>
        <v/>
      </c>
      <c r="AB485" t="str">
        <f t="shared" si="156"/>
        <v/>
      </c>
      <c r="AC485" t="str">
        <f t="shared" si="157"/>
        <v/>
      </c>
      <c r="AD485" t="str">
        <f t="shared" si="158"/>
        <v/>
      </c>
      <c r="AE485" t="str">
        <f t="shared" si="148"/>
        <v/>
      </c>
      <c r="AF485" t="str">
        <f t="shared" si="160"/>
        <v/>
      </c>
      <c r="AG485" t="str">
        <f t="shared" si="160"/>
        <v/>
      </c>
      <c r="AH485" t="str">
        <f t="shared" si="149"/>
        <v/>
      </c>
      <c r="AI485" t="str">
        <f t="shared" si="150"/>
        <v/>
      </c>
      <c r="AJ485" t="str">
        <f t="shared" si="151"/>
        <v/>
      </c>
    </row>
    <row r="486" spans="1:36" x14ac:dyDescent="0.25">
      <c r="A486" t="s">
        <v>389</v>
      </c>
      <c r="P486" t="str">
        <f t="shared" si="152"/>
        <v xml:space="preserve">  GRAVA3-RS069  </v>
      </c>
      <c r="Q486" t="str">
        <f t="shared" si="152"/>
        <v xml:space="preserve">   -53.3 </v>
      </c>
      <c r="R486" t="str">
        <f t="shared" si="145"/>
        <v xml:space="preserve">     0.0 </v>
      </c>
      <c r="S486" t="str">
        <f t="shared" si="153"/>
        <v xml:space="preserve">     0.0 </v>
      </c>
      <c r="T486" t="str">
        <f t="shared" si="154"/>
        <v xml:space="preserve">     0.0 </v>
      </c>
      <c r="U486" t="str">
        <f t="shared" si="158"/>
        <v xml:space="preserve">         0.0 </v>
      </c>
      <c r="V486" t="str">
        <f t="shared" si="146"/>
        <v xml:space="preserve">     0.0 </v>
      </c>
      <c r="W486" t="str">
        <f t="shared" si="155"/>
        <v xml:space="preserve">     0.0 </v>
      </c>
      <c r="X486" t="str">
        <f t="shared" si="159"/>
        <v xml:space="preserve">       </v>
      </c>
      <c r="Y486" t="str">
        <f t="shared" si="159"/>
        <v xml:space="preserve">              </v>
      </c>
      <c r="Z486" t="str">
        <f t="shared" si="159"/>
        <v xml:space="preserve">    </v>
      </c>
      <c r="AA486" t="str">
        <f t="shared" si="147"/>
        <v xml:space="preserve">         </v>
      </c>
      <c r="AB486" t="str">
        <f t="shared" si="156"/>
        <v xml:space="preserve">         </v>
      </c>
      <c r="AC486" t="str">
        <f t="shared" si="157"/>
        <v xml:space="preserve">    </v>
      </c>
      <c r="AD486" t="str">
        <f t="shared" si="158"/>
        <v/>
      </c>
      <c r="AE486" t="str">
        <f t="shared" si="148"/>
        <v/>
      </c>
      <c r="AF486" t="str">
        <f t="shared" si="160"/>
        <v/>
      </c>
      <c r="AG486" t="str">
        <f t="shared" si="160"/>
        <v/>
      </c>
      <c r="AH486" t="str">
        <f t="shared" si="149"/>
        <v/>
      </c>
      <c r="AI486" t="str">
        <f t="shared" si="150"/>
        <v/>
      </c>
      <c r="AJ486" t="str">
        <f t="shared" si="151"/>
        <v/>
      </c>
    </row>
    <row r="487" spans="1:36" x14ac:dyDescent="0.25">
      <c r="A487" t="s">
        <v>390</v>
      </c>
      <c r="P487" t="str">
        <f t="shared" si="152"/>
        <v xml:space="preserve">                </v>
      </c>
      <c r="Q487" t="str">
        <f t="shared" si="152"/>
        <v xml:space="preserve">         </v>
      </c>
      <c r="R487" t="str">
        <f t="shared" si="145"/>
        <v xml:space="preserve">    54.0 </v>
      </c>
      <c r="S487" t="str">
        <f t="shared" si="153"/>
        <v xml:space="preserve">    79.0 </v>
      </c>
      <c r="T487" t="str">
        <f t="shared" si="154"/>
        <v xml:space="preserve">    79.0 </v>
      </c>
      <c r="U487" t="str">
        <f t="shared" si="158"/>
        <v xml:space="preserve">       89.5% </v>
      </c>
      <c r="V487" t="str">
        <f t="shared" si="146"/>
        <v xml:space="preserve">         </v>
      </c>
      <c r="W487" t="str">
        <f t="shared" si="155"/>
        <v xml:space="preserve">         </v>
      </c>
      <c r="X487" t="str">
        <f t="shared" si="159"/>
        <v xml:space="preserve">  1364 </v>
      </c>
      <c r="Y487" t="str">
        <f t="shared" si="159"/>
        <v xml:space="preserve"> PIRELL-RS069 </v>
      </c>
      <c r="Z487" t="str">
        <f t="shared" si="159"/>
        <v xml:space="preserve">  1 </v>
      </c>
      <c r="AA487" t="str">
        <f t="shared" si="147"/>
        <v xml:space="preserve">    47.7 </v>
      </c>
      <c r="AB487" t="str">
        <f t="shared" si="156"/>
        <v xml:space="preserve">    15.6 </v>
      </c>
      <c r="AC487" t="str">
        <f t="shared" si="157"/>
        <v xml:space="preserve">    48.3 </v>
      </c>
      <c r="AD487" t="str">
        <f t="shared" si="158"/>
        <v xml:space="preserve">        </v>
      </c>
      <c r="AE487" t="str">
        <f t="shared" si="148"/>
        <v xml:space="preserve">       </v>
      </c>
      <c r="AF487" t="str">
        <f t="shared" si="160"/>
        <v xml:space="preserve">     </v>
      </c>
      <c r="AG487" t="str">
        <f t="shared" si="160"/>
        <v xml:space="preserve">     0.50 </v>
      </c>
      <c r="AH487" t="str">
        <f t="shared" si="149"/>
        <v xml:space="preserve">     0.97 </v>
      </c>
      <c r="AI487" t="str">
        <f t="shared" si="150"/>
        <v xml:space="preserve">       </v>
      </c>
      <c r="AJ487" t="str">
        <f t="shared" si="151"/>
        <v xml:space="preserve">      </v>
      </c>
    </row>
    <row r="488" spans="1:36" x14ac:dyDescent="0.25">
      <c r="A488" t="s">
        <v>391</v>
      </c>
      <c r="P488" t="str">
        <f t="shared" si="152"/>
        <v xml:space="preserve">                </v>
      </c>
      <c r="Q488" t="str">
        <f t="shared" si="152"/>
        <v xml:space="preserve">         </v>
      </c>
      <c r="R488" t="str">
        <f t="shared" si="145"/>
        <v xml:space="preserve">    67.0 </v>
      </c>
      <c r="S488" t="str">
        <f t="shared" si="153"/>
        <v xml:space="preserve">    81.0 </v>
      </c>
      <c r="T488" t="str">
        <f t="shared" si="154"/>
        <v xml:space="preserve">    81.0 </v>
      </c>
      <c r="U488" t="str">
        <f t="shared" si="158"/>
        <v xml:space="preserve">       13.2% </v>
      </c>
      <c r="V488" t="str">
        <f t="shared" si="146"/>
        <v xml:space="preserve">         </v>
      </c>
      <c r="W488" t="str">
        <f t="shared" si="155"/>
        <v xml:space="preserve">         </v>
      </c>
      <c r="X488" t="str">
        <f t="shared" si="159"/>
        <v xml:space="preserve">  1367 </v>
      </c>
      <c r="Y488" t="str">
        <f t="shared" si="159"/>
        <v xml:space="preserve"> GLORIN-RS069 </v>
      </c>
      <c r="Z488" t="str">
        <f t="shared" si="159"/>
        <v xml:space="preserve">  1 </v>
      </c>
      <c r="AA488" t="str">
        <f t="shared" si="147"/>
        <v xml:space="preserve">     7.7 </v>
      </c>
      <c r="AB488" t="str">
        <f t="shared" si="156"/>
        <v xml:space="preserve">     5.0 </v>
      </c>
      <c r="AC488" t="str">
        <f t="shared" si="157"/>
        <v xml:space="preserve">     8.8 </v>
      </c>
      <c r="AD488" t="str">
        <f t="shared" si="158"/>
        <v xml:space="preserve">        </v>
      </c>
      <c r="AE488" t="str">
        <f t="shared" si="148"/>
        <v xml:space="preserve">       </v>
      </c>
      <c r="AF488" t="str">
        <f t="shared" si="160"/>
        <v xml:space="preserve">     </v>
      </c>
      <c r="AG488" t="str">
        <f t="shared" si="160"/>
        <v xml:space="preserve">     0.07 </v>
      </c>
      <c r="AH488" t="str">
        <f t="shared" si="149"/>
        <v xml:space="preserve">    -0.20 </v>
      </c>
      <c r="AI488" t="str">
        <f t="shared" si="150"/>
        <v xml:space="preserve">       </v>
      </c>
      <c r="AJ488" t="str">
        <f t="shared" si="151"/>
        <v xml:space="preserve">      </v>
      </c>
    </row>
    <row r="489" spans="1:36" x14ac:dyDescent="0.25">
      <c r="A489" t="s">
        <v>392</v>
      </c>
      <c r="P489" t="str">
        <f t="shared" si="152"/>
        <v xml:space="preserve">                </v>
      </c>
      <c r="Q489" t="str">
        <f t="shared" si="152"/>
        <v xml:space="preserve">         </v>
      </c>
      <c r="R489" t="str">
        <f t="shared" si="145"/>
        <v xml:space="preserve">    54.0 </v>
      </c>
      <c r="S489" t="str">
        <f t="shared" si="153"/>
        <v xml:space="preserve">    79.0 </v>
      </c>
      <c r="T489" t="str">
        <f t="shared" si="154"/>
        <v xml:space="preserve">    79.0 </v>
      </c>
      <c r="U489" t="str">
        <f t="shared" si="158"/>
        <v xml:space="preserve">       64.2% </v>
      </c>
      <c r="V489" t="str">
        <f t="shared" si="146"/>
        <v xml:space="preserve">         </v>
      </c>
      <c r="W489" t="str">
        <f t="shared" si="155"/>
        <v xml:space="preserve">         </v>
      </c>
      <c r="X489" t="str">
        <f t="shared" si="159"/>
        <v xml:space="preserve">  1378 </v>
      </c>
      <c r="Y489" t="str">
        <f t="shared" si="159"/>
        <v xml:space="preserve"> ICOTROTAP069 </v>
      </c>
      <c r="Z489" t="str">
        <f t="shared" si="159"/>
        <v xml:space="preserve">  1 </v>
      </c>
      <c r="AA489" t="str">
        <f t="shared" si="147"/>
        <v xml:space="preserve">    33.4 </v>
      </c>
      <c r="AB489" t="str">
        <f t="shared" si="156"/>
        <v xml:space="preserve">    13.3 </v>
      </c>
      <c r="AC489" t="str">
        <f t="shared" si="157"/>
        <v xml:space="preserve">    34.7 </v>
      </c>
      <c r="AD489" t="str">
        <f t="shared" si="158"/>
        <v xml:space="preserve">        </v>
      </c>
      <c r="AE489" t="str">
        <f t="shared" si="148"/>
        <v xml:space="preserve">       </v>
      </c>
      <c r="AF489" t="str">
        <f t="shared" si="160"/>
        <v xml:space="preserve">     </v>
      </c>
      <c r="AG489" t="str">
        <f t="shared" si="160"/>
        <v xml:space="preserve">     0.33 </v>
      </c>
      <c r="AH489" t="str">
        <f t="shared" si="149"/>
        <v xml:space="preserve">     0.97 </v>
      </c>
      <c r="AI489" t="str">
        <f t="shared" si="150"/>
        <v xml:space="preserve">       </v>
      </c>
      <c r="AJ489" t="str">
        <f t="shared" si="151"/>
        <v xml:space="preserve">      </v>
      </c>
    </row>
    <row r="490" spans="1:36" x14ac:dyDescent="0.25">
      <c r="A490" t="s">
        <v>393</v>
      </c>
      <c r="P490" t="str">
        <f t="shared" si="152"/>
        <v xml:space="preserve">                </v>
      </c>
      <c r="Q490" t="str">
        <f t="shared" si="152"/>
        <v xml:space="preserve">         </v>
      </c>
      <c r="R490" t="str">
        <f t="shared" si="145"/>
        <v xml:space="preserve">   165.0 </v>
      </c>
      <c r="S490" t="str">
        <f t="shared" si="153"/>
        <v xml:space="preserve">   173.0 </v>
      </c>
      <c r="T490" t="str">
        <f t="shared" si="154"/>
        <v xml:space="preserve">   173.0 </v>
      </c>
      <c r="U490" t="str">
        <f t="shared" si="158"/>
        <v xml:space="preserve">       27.7% </v>
      </c>
      <c r="V490" t="str">
        <f t="shared" si="146"/>
        <v xml:space="preserve">         </v>
      </c>
      <c r="W490" t="str">
        <f t="shared" si="155"/>
        <v xml:space="preserve">         </v>
      </c>
      <c r="X490" t="str">
        <f t="shared" si="159"/>
        <v xml:space="preserve"> 41269 </v>
      </c>
      <c r="Y490" t="str">
        <f t="shared" si="159"/>
        <v xml:space="preserve"> GRA3-1-RS000 </v>
      </c>
      <c r="Z490" t="str">
        <f t="shared" si="159"/>
        <v xml:space="preserve">  1 </v>
      </c>
      <c r="AA490" t="str">
        <f t="shared" si="147"/>
        <v xml:space="preserve">   -44.4 </v>
      </c>
      <c r="AB490" t="str">
        <f t="shared" si="156"/>
        <v xml:space="preserve">   -16.9 </v>
      </c>
      <c r="AC490" t="str">
        <f t="shared" si="157"/>
        <v xml:space="preserve">    45.8 </v>
      </c>
      <c r="AD490" t="str">
        <f t="shared" si="158"/>
        <v xml:space="preserve"> 1.000F </v>
      </c>
      <c r="AE490" t="str">
        <f t="shared" si="148"/>
        <v xml:space="preserve">       </v>
      </c>
      <c r="AF490" t="str">
        <f t="shared" si="160"/>
        <v xml:space="preserve"> 002 </v>
      </c>
      <c r="AG490" t="str">
        <f t="shared" si="160"/>
        <v xml:space="preserve">     0.02 </v>
      </c>
      <c r="AH490" t="str">
        <f t="shared" si="149"/>
        <v xml:space="preserve">    -0.16 </v>
      </c>
      <c r="AI490" t="str">
        <f t="shared" si="150"/>
        <v xml:space="preserve">       </v>
      </c>
      <c r="AJ490" t="str">
        <f t="shared" si="151"/>
        <v xml:space="preserve">      </v>
      </c>
    </row>
    <row r="491" spans="1:36" x14ac:dyDescent="0.25">
      <c r="A491" t="s">
        <v>394</v>
      </c>
      <c r="P491" t="str">
        <f t="shared" si="152"/>
        <v xml:space="preserve">                </v>
      </c>
      <c r="Q491" t="str">
        <f t="shared" si="152"/>
        <v xml:space="preserve">         </v>
      </c>
      <c r="R491" t="str">
        <f t="shared" si="145"/>
        <v xml:space="preserve">   165.0 </v>
      </c>
      <c r="S491" t="str">
        <f t="shared" si="153"/>
        <v xml:space="preserve">   198.0 </v>
      </c>
      <c r="T491" t="str">
        <f t="shared" si="154"/>
        <v xml:space="preserve">   198.0 </v>
      </c>
      <c r="U491" t="str">
        <f t="shared" si="158"/>
        <v xml:space="preserve">       27.7% </v>
      </c>
      <c r="V491" t="str">
        <f t="shared" si="146"/>
        <v xml:space="preserve">         </v>
      </c>
      <c r="W491" t="str">
        <f t="shared" si="155"/>
        <v xml:space="preserve">         </v>
      </c>
      <c r="X491" t="str">
        <f t="shared" si="159"/>
        <v xml:space="preserve"> 43471 </v>
      </c>
      <c r="Y491" t="str">
        <f t="shared" si="159"/>
        <v xml:space="preserve"> GRA3-2-RS000 </v>
      </c>
      <c r="Z491" t="str">
        <f t="shared" si="159"/>
        <v xml:space="preserve">  2 </v>
      </c>
      <c r="AA491" t="str">
        <f t="shared" si="147"/>
        <v xml:space="preserve">   -44.4 </v>
      </c>
      <c r="AB491" t="str">
        <f t="shared" si="156"/>
        <v xml:space="preserve">   -16.9 </v>
      </c>
      <c r="AC491" t="str">
        <f t="shared" si="157"/>
        <v xml:space="preserve">    45.8 </v>
      </c>
      <c r="AD491" t="str">
        <f t="shared" si="158"/>
        <v xml:space="preserve"> 1.000F </v>
      </c>
      <c r="AE491" t="str">
        <f t="shared" si="148"/>
        <v xml:space="preserve">       </v>
      </c>
      <c r="AF491" t="str">
        <f t="shared" si="160"/>
        <v xml:space="preserve"> 002 </v>
      </c>
      <c r="AG491" t="str">
        <f t="shared" si="160"/>
        <v xml:space="preserve">     0.02 </v>
      </c>
      <c r="AH491" t="str">
        <f t="shared" si="149"/>
        <v xml:space="preserve">    -0.16 </v>
      </c>
      <c r="AI491" t="str">
        <f t="shared" si="150"/>
        <v xml:space="preserve">       </v>
      </c>
      <c r="AJ491" t="str">
        <f t="shared" si="151"/>
        <v xml:space="preserve">      </v>
      </c>
    </row>
    <row r="492" spans="1:36" x14ac:dyDescent="0.25">
      <c r="A492" t="s">
        <v>14</v>
      </c>
      <c r="P492" t="str">
        <f t="shared" si="152"/>
        <v xml:space="preserve">  ..............</v>
      </c>
      <c r="Q492" t="str">
        <f t="shared" si="152"/>
        <v>.........</v>
      </c>
      <c r="R492" t="str">
        <f t="shared" si="145"/>
        <v>.........</v>
      </c>
      <c r="S492" t="str">
        <f t="shared" si="153"/>
        <v>.........</v>
      </c>
      <c r="T492" t="str">
        <f t="shared" si="154"/>
        <v>.........</v>
      </c>
      <c r="U492" t="str">
        <f t="shared" si="158"/>
        <v>.............</v>
      </c>
      <c r="V492" t="str">
        <f t="shared" si="146"/>
        <v>.........</v>
      </c>
      <c r="W492" t="str">
        <f t="shared" si="155"/>
        <v>.........</v>
      </c>
      <c r="X492" t="str">
        <f t="shared" si="159"/>
        <v>.......</v>
      </c>
      <c r="Y492" t="str">
        <f t="shared" si="159"/>
        <v>..............</v>
      </c>
      <c r="Z492" t="str">
        <f t="shared" si="159"/>
        <v>....</v>
      </c>
      <c r="AA492" t="str">
        <f t="shared" si="147"/>
        <v>.........</v>
      </c>
      <c r="AB492" t="str">
        <f t="shared" si="156"/>
        <v>.........</v>
      </c>
      <c r="AC492" t="str">
        <f t="shared" si="157"/>
        <v>.........</v>
      </c>
      <c r="AD492" t="str">
        <f t="shared" si="158"/>
        <v>........</v>
      </c>
      <c r="AE492" t="str">
        <f t="shared" si="148"/>
        <v>.......</v>
      </c>
      <c r="AF492" t="str">
        <f t="shared" si="160"/>
        <v>.....</v>
      </c>
      <c r="AG492" t="str">
        <f t="shared" si="160"/>
        <v>..........</v>
      </c>
      <c r="AH492" t="str">
        <f t="shared" si="149"/>
        <v>..........</v>
      </c>
      <c r="AI492" t="str">
        <f t="shared" si="150"/>
        <v>.......</v>
      </c>
      <c r="AJ492" t="str">
        <f t="shared" si="151"/>
        <v>.......</v>
      </c>
    </row>
    <row r="493" spans="1:36" x14ac:dyDescent="0.25">
      <c r="A493" t="s">
        <v>395</v>
      </c>
      <c r="P493" t="str">
        <f t="shared" si="152"/>
        <v xml:space="preserve">   1316   69  0 </v>
      </c>
      <c r="Q493" t="str">
        <f t="shared" si="152"/>
        <v xml:space="preserve">   1.036 </v>
      </c>
      <c r="R493" t="str">
        <f t="shared" si="145"/>
        <v xml:space="preserve">    33.0 </v>
      </c>
      <c r="S493" t="str">
        <f t="shared" si="153"/>
        <v xml:space="preserve">     0.0 </v>
      </c>
      <c r="T493" t="str">
        <f t="shared" si="154"/>
        <v xml:space="preserve">     0.0 </v>
      </c>
      <c r="U493" t="str">
        <f t="shared" si="158"/>
        <v xml:space="preserve">         0.0 </v>
      </c>
      <c r="V493" t="str">
        <f t="shared" si="146"/>
        <v xml:space="preserve">     0.0 </v>
      </c>
      <c r="W493" t="str">
        <f t="shared" si="155"/>
        <v xml:space="preserve">     0.0</v>
      </c>
      <c r="X493" t="str">
        <f t="shared" si="159"/>
        <v/>
      </c>
      <c r="Y493" t="str">
        <f t="shared" si="159"/>
        <v/>
      </c>
      <c r="Z493" t="str">
        <f t="shared" si="159"/>
        <v/>
      </c>
      <c r="AA493" t="str">
        <f t="shared" si="147"/>
        <v/>
      </c>
      <c r="AB493" t="str">
        <f t="shared" si="156"/>
        <v/>
      </c>
      <c r="AC493" t="str">
        <f t="shared" si="157"/>
        <v/>
      </c>
      <c r="AD493" t="str">
        <f t="shared" si="158"/>
        <v/>
      </c>
      <c r="AE493" t="str">
        <f t="shared" si="148"/>
        <v/>
      </c>
      <c r="AF493" t="str">
        <f t="shared" si="160"/>
        <v/>
      </c>
      <c r="AG493" t="str">
        <f t="shared" si="160"/>
        <v/>
      </c>
      <c r="AH493" t="str">
        <f t="shared" si="149"/>
        <v/>
      </c>
      <c r="AI493" t="str">
        <f t="shared" si="150"/>
        <v/>
      </c>
      <c r="AJ493" t="str">
        <f t="shared" si="151"/>
        <v/>
      </c>
    </row>
    <row r="494" spans="1:36" x14ac:dyDescent="0.25">
      <c r="A494" t="s">
        <v>396</v>
      </c>
      <c r="P494" t="str">
        <f t="shared" si="152"/>
        <v xml:space="preserve">  NPR2P2PCH069  </v>
      </c>
      <c r="Q494" t="str">
        <f t="shared" si="152"/>
        <v xml:space="preserve">   -44.3 </v>
      </c>
      <c r="R494" t="str">
        <f t="shared" si="145"/>
        <v xml:space="preserve">     0.0 </v>
      </c>
      <c r="S494" t="str">
        <f t="shared" si="153"/>
        <v xml:space="preserve">     0.0 </v>
      </c>
      <c r="T494" t="str">
        <f t="shared" si="154"/>
        <v xml:space="preserve">     0.0 </v>
      </c>
      <c r="U494" t="str">
        <f t="shared" si="158"/>
        <v xml:space="preserve">         0.0 </v>
      </c>
      <c r="V494" t="str">
        <f t="shared" si="146"/>
        <v xml:space="preserve">     0.0 </v>
      </c>
      <c r="W494" t="str">
        <f t="shared" si="155"/>
        <v xml:space="preserve">     0.0 </v>
      </c>
      <c r="X494" t="str">
        <f t="shared" si="159"/>
        <v xml:space="preserve">       </v>
      </c>
      <c r="Y494" t="str">
        <f t="shared" si="159"/>
        <v xml:space="preserve">              </v>
      </c>
      <c r="Z494" t="str">
        <f t="shared" si="159"/>
        <v xml:space="preserve">    </v>
      </c>
      <c r="AA494" t="str">
        <f t="shared" si="147"/>
        <v xml:space="preserve">         </v>
      </c>
      <c r="AB494" t="str">
        <f t="shared" si="156"/>
        <v xml:space="preserve">         </v>
      </c>
      <c r="AC494" t="str">
        <f t="shared" si="157"/>
        <v xml:space="preserve">    </v>
      </c>
      <c r="AD494" t="str">
        <f t="shared" si="158"/>
        <v/>
      </c>
      <c r="AE494" t="str">
        <f t="shared" si="148"/>
        <v/>
      </c>
      <c r="AF494" t="str">
        <f t="shared" si="160"/>
        <v/>
      </c>
      <c r="AG494" t="str">
        <f t="shared" si="160"/>
        <v/>
      </c>
      <c r="AH494" t="str">
        <f t="shared" si="149"/>
        <v/>
      </c>
      <c r="AI494" t="str">
        <f t="shared" si="150"/>
        <v/>
      </c>
      <c r="AJ494" t="str">
        <f t="shared" si="151"/>
        <v/>
      </c>
    </row>
    <row r="495" spans="1:36" x14ac:dyDescent="0.25">
      <c r="A495" t="s">
        <v>397</v>
      </c>
      <c r="P495" t="str">
        <f t="shared" si="152"/>
        <v xml:space="preserve">                </v>
      </c>
      <c r="Q495" t="str">
        <f t="shared" si="152"/>
        <v xml:space="preserve">         </v>
      </c>
      <c r="R495" t="str">
        <f t="shared" si="145"/>
        <v xml:space="preserve">    84.0 </v>
      </c>
      <c r="S495" t="str">
        <f t="shared" si="153"/>
        <v xml:space="preserve">    84.0 </v>
      </c>
      <c r="T495" t="str">
        <f t="shared" si="154"/>
        <v xml:space="preserve">    84.0 </v>
      </c>
      <c r="U495" t="str">
        <f t="shared" si="158"/>
        <v xml:space="preserve">       37.9% </v>
      </c>
      <c r="V495" t="str">
        <f t="shared" si="146"/>
        <v xml:space="preserve">         </v>
      </c>
      <c r="W495" t="str">
        <f t="shared" si="155"/>
        <v xml:space="preserve">         </v>
      </c>
      <c r="X495" t="str">
        <f t="shared" si="159"/>
        <v xml:space="preserve">  1226 </v>
      </c>
      <c r="Y495" t="str">
        <f t="shared" si="159"/>
        <v xml:space="preserve"> NPRAT2-RS069 </v>
      </c>
      <c r="Z495" t="str">
        <f t="shared" si="159"/>
        <v xml:space="preserve">  1 </v>
      </c>
      <c r="AA495" t="str">
        <f t="shared" si="147"/>
        <v xml:space="preserve">    33.0 </v>
      </c>
      <c r="AB495" t="str">
        <f t="shared" si="156"/>
        <v xml:space="preserve">     0.0 </v>
      </c>
      <c r="AC495" t="str">
        <f t="shared" si="157"/>
        <v xml:space="preserve">    31.8 </v>
      </c>
      <c r="AD495" t="str">
        <f t="shared" si="158"/>
        <v xml:space="preserve">        </v>
      </c>
      <c r="AE495" t="str">
        <f t="shared" si="148"/>
        <v xml:space="preserve">       </v>
      </c>
      <c r="AF495" t="str">
        <f t="shared" si="160"/>
        <v xml:space="preserve">     </v>
      </c>
      <c r="AG495" t="str">
        <f t="shared" si="160"/>
        <v xml:space="preserve">     0.57 </v>
      </c>
      <c r="AH495" t="str">
        <f t="shared" si="149"/>
        <v xml:space="preserve">     1.79 </v>
      </c>
      <c r="AI495" t="str">
        <f t="shared" si="150"/>
        <v xml:space="preserve">       </v>
      </c>
      <c r="AJ495" t="str">
        <f t="shared" si="151"/>
        <v xml:space="preserve">      </v>
      </c>
    </row>
    <row r="496" spans="1:36" x14ac:dyDescent="0.25">
      <c r="A496" t="s">
        <v>14</v>
      </c>
      <c r="P496" t="str">
        <f t="shared" si="152"/>
        <v xml:space="preserve">  ..............</v>
      </c>
      <c r="Q496" t="str">
        <f t="shared" si="152"/>
        <v>.........</v>
      </c>
      <c r="R496" t="str">
        <f t="shared" si="145"/>
        <v>.........</v>
      </c>
      <c r="S496" t="str">
        <f t="shared" si="153"/>
        <v>.........</v>
      </c>
      <c r="T496" t="str">
        <f t="shared" si="154"/>
        <v>.........</v>
      </c>
      <c r="U496" t="str">
        <f t="shared" si="158"/>
        <v>.............</v>
      </c>
      <c r="V496" t="str">
        <f t="shared" si="146"/>
        <v>.........</v>
      </c>
      <c r="W496" t="str">
        <f t="shared" si="155"/>
        <v>.........</v>
      </c>
      <c r="X496" t="str">
        <f t="shared" si="159"/>
        <v>.......</v>
      </c>
      <c r="Y496" t="str">
        <f t="shared" si="159"/>
        <v>..............</v>
      </c>
      <c r="Z496" t="str">
        <f t="shared" si="159"/>
        <v>....</v>
      </c>
      <c r="AA496" t="str">
        <f t="shared" si="147"/>
        <v>.........</v>
      </c>
      <c r="AB496" t="str">
        <f t="shared" si="156"/>
        <v>.........</v>
      </c>
      <c r="AC496" t="str">
        <f t="shared" si="157"/>
        <v>.........</v>
      </c>
      <c r="AD496" t="str">
        <f t="shared" si="158"/>
        <v>........</v>
      </c>
      <c r="AE496" t="str">
        <f t="shared" si="148"/>
        <v>.......</v>
      </c>
      <c r="AF496" t="str">
        <f t="shared" si="160"/>
        <v>.....</v>
      </c>
      <c r="AG496" t="str">
        <f t="shared" si="160"/>
        <v>..........</v>
      </c>
      <c r="AH496" t="str">
        <f t="shared" si="149"/>
        <v>..........</v>
      </c>
      <c r="AI496" t="str">
        <f t="shared" si="150"/>
        <v>.......</v>
      </c>
      <c r="AJ496" t="str">
        <f t="shared" si="151"/>
        <v>.......</v>
      </c>
    </row>
    <row r="497" spans="1:36" x14ac:dyDescent="0.25">
      <c r="A497" t="s">
        <v>398</v>
      </c>
      <c r="P497" t="str">
        <f t="shared" si="152"/>
        <v xml:space="preserve">   1317   69  0 </v>
      </c>
      <c r="Q497" t="str">
        <f t="shared" si="152"/>
        <v xml:space="preserve">   1.034 </v>
      </c>
      <c r="R497" t="str">
        <f t="shared" si="145"/>
        <v xml:space="preserve">    32.4 </v>
      </c>
      <c r="S497" t="str">
        <f t="shared" si="153"/>
        <v xml:space="preserve">     0.0 </v>
      </c>
      <c r="T497" t="str">
        <f t="shared" si="154"/>
        <v xml:space="preserve">     0.0 </v>
      </c>
      <c r="U497" t="str">
        <f t="shared" si="158"/>
        <v xml:space="preserve">         0.0 </v>
      </c>
      <c r="V497" t="str">
        <f t="shared" si="146"/>
        <v xml:space="preserve">     0.0 </v>
      </c>
      <c r="W497" t="str">
        <f t="shared" si="155"/>
        <v xml:space="preserve">     0.0</v>
      </c>
      <c r="X497" t="str">
        <f t="shared" si="159"/>
        <v/>
      </c>
      <c r="Y497" t="str">
        <f t="shared" si="159"/>
        <v/>
      </c>
      <c r="Z497" t="str">
        <f t="shared" si="159"/>
        <v/>
      </c>
      <c r="AA497" t="str">
        <f t="shared" si="147"/>
        <v/>
      </c>
      <c r="AB497" t="str">
        <f t="shared" si="156"/>
        <v/>
      </c>
      <c r="AC497" t="str">
        <f t="shared" si="157"/>
        <v/>
      </c>
      <c r="AD497" t="str">
        <f t="shared" si="158"/>
        <v/>
      </c>
      <c r="AE497" t="str">
        <f t="shared" si="148"/>
        <v/>
      </c>
      <c r="AF497" t="str">
        <f t="shared" si="160"/>
        <v/>
      </c>
      <c r="AG497" t="str">
        <f t="shared" si="160"/>
        <v/>
      </c>
      <c r="AH497" t="str">
        <f t="shared" si="149"/>
        <v/>
      </c>
      <c r="AI497" t="str">
        <f t="shared" si="150"/>
        <v/>
      </c>
      <c r="AJ497" t="str">
        <f t="shared" si="151"/>
        <v/>
      </c>
    </row>
    <row r="498" spans="1:36" x14ac:dyDescent="0.25">
      <c r="A498" t="s">
        <v>399</v>
      </c>
      <c r="P498" t="str">
        <f t="shared" si="152"/>
        <v xml:space="preserve">  NPR2P1PCH069  </v>
      </c>
      <c r="Q498" t="str">
        <f t="shared" si="152"/>
        <v xml:space="preserve">   -44.7 </v>
      </c>
      <c r="R498" t="str">
        <f t="shared" si="145"/>
        <v xml:space="preserve">     0.0 </v>
      </c>
      <c r="S498" t="str">
        <f t="shared" si="153"/>
        <v xml:space="preserve">     0.0 </v>
      </c>
      <c r="T498" t="str">
        <f t="shared" si="154"/>
        <v xml:space="preserve">     0.0 </v>
      </c>
      <c r="U498" t="str">
        <f t="shared" si="158"/>
        <v xml:space="preserve">         0.0 </v>
      </c>
      <c r="V498" t="str">
        <f t="shared" si="146"/>
        <v xml:space="preserve">     0.0 </v>
      </c>
      <c r="W498" t="str">
        <f t="shared" si="155"/>
        <v xml:space="preserve">     0.0 </v>
      </c>
      <c r="X498" t="str">
        <f t="shared" si="159"/>
        <v xml:space="preserve">       </v>
      </c>
      <c r="Y498" t="str">
        <f t="shared" si="159"/>
        <v xml:space="preserve">              </v>
      </c>
      <c r="Z498" t="str">
        <f t="shared" si="159"/>
        <v xml:space="preserve">    </v>
      </c>
      <c r="AA498" t="str">
        <f t="shared" si="147"/>
        <v xml:space="preserve">         </v>
      </c>
      <c r="AB498" t="str">
        <f t="shared" si="156"/>
        <v xml:space="preserve">         </v>
      </c>
      <c r="AC498" t="str">
        <f t="shared" si="157"/>
        <v xml:space="preserve">    </v>
      </c>
      <c r="AD498" t="str">
        <f t="shared" si="158"/>
        <v/>
      </c>
      <c r="AE498" t="str">
        <f t="shared" si="148"/>
        <v/>
      </c>
      <c r="AF498" t="str">
        <f t="shared" si="160"/>
        <v/>
      </c>
      <c r="AG498" t="str">
        <f t="shared" si="160"/>
        <v/>
      </c>
      <c r="AH498" t="str">
        <f t="shared" si="149"/>
        <v/>
      </c>
      <c r="AI498" t="str">
        <f t="shared" si="150"/>
        <v/>
      </c>
      <c r="AJ498" t="str">
        <f t="shared" si="151"/>
        <v/>
      </c>
    </row>
    <row r="499" spans="1:36" x14ac:dyDescent="0.25">
      <c r="A499" t="s">
        <v>400</v>
      </c>
      <c r="P499" t="str">
        <f t="shared" si="152"/>
        <v xml:space="preserve">                </v>
      </c>
      <c r="Q499" t="str">
        <f t="shared" si="152"/>
        <v xml:space="preserve">         </v>
      </c>
      <c r="R499" t="str">
        <f t="shared" si="145"/>
        <v xml:space="preserve">    84.0 </v>
      </c>
      <c r="S499" t="str">
        <f t="shared" si="153"/>
        <v xml:space="preserve">    84.0 </v>
      </c>
      <c r="T499" t="str">
        <f t="shared" si="154"/>
        <v xml:space="preserve">    84.0 </v>
      </c>
      <c r="U499" t="str">
        <f t="shared" si="158"/>
        <v xml:space="preserve">       37.3% </v>
      </c>
      <c r="V499" t="str">
        <f t="shared" si="146"/>
        <v xml:space="preserve">         </v>
      </c>
      <c r="W499" t="str">
        <f t="shared" si="155"/>
        <v xml:space="preserve">         </v>
      </c>
      <c r="X499" t="str">
        <f t="shared" si="159"/>
        <v xml:space="preserve">  1226 </v>
      </c>
      <c r="Y499" t="str">
        <f t="shared" si="159"/>
        <v xml:space="preserve"> NPRAT2-RS069 </v>
      </c>
      <c r="Z499" t="str">
        <f t="shared" si="159"/>
        <v xml:space="preserve">  1 </v>
      </c>
      <c r="AA499" t="str">
        <f t="shared" si="147"/>
        <v xml:space="preserve">    32.4 </v>
      </c>
      <c r="AB499" t="str">
        <f t="shared" si="156"/>
        <v xml:space="preserve">    -0.0 </v>
      </c>
      <c r="AC499" t="str">
        <f t="shared" si="157"/>
        <v xml:space="preserve">    31.3 </v>
      </c>
      <c r="AD499" t="str">
        <f t="shared" si="158"/>
        <v xml:space="preserve">        </v>
      </c>
      <c r="AE499" t="str">
        <f t="shared" si="148"/>
        <v xml:space="preserve">       </v>
      </c>
      <c r="AF499" t="str">
        <f t="shared" si="160"/>
        <v xml:space="preserve">     </v>
      </c>
      <c r="AG499" t="str">
        <f t="shared" si="160"/>
        <v xml:space="preserve">     0.50 </v>
      </c>
      <c r="AH499" t="str">
        <f t="shared" si="149"/>
        <v xml:space="preserve">     1.55 </v>
      </c>
      <c r="AI499" t="str">
        <f t="shared" si="150"/>
        <v xml:space="preserve">       </v>
      </c>
      <c r="AJ499" t="str">
        <f t="shared" si="151"/>
        <v xml:space="preserve">      </v>
      </c>
    </row>
    <row r="500" spans="1:36" x14ac:dyDescent="0.25">
      <c r="A500" t="s">
        <v>14</v>
      </c>
      <c r="P500" t="str">
        <f t="shared" si="152"/>
        <v xml:space="preserve">  ..............</v>
      </c>
      <c r="Q500" t="str">
        <f t="shared" si="152"/>
        <v>.........</v>
      </c>
      <c r="R500" t="str">
        <f t="shared" si="145"/>
        <v>.........</v>
      </c>
      <c r="S500" t="str">
        <f t="shared" si="153"/>
        <v>.........</v>
      </c>
      <c r="T500" t="str">
        <f t="shared" si="154"/>
        <v>.........</v>
      </c>
      <c r="U500" t="str">
        <f t="shared" si="158"/>
        <v>.............</v>
      </c>
      <c r="V500" t="str">
        <f t="shared" si="146"/>
        <v>.........</v>
      </c>
      <c r="W500" t="str">
        <f t="shared" si="155"/>
        <v>.........</v>
      </c>
      <c r="X500" t="str">
        <f t="shared" si="159"/>
        <v>.......</v>
      </c>
      <c r="Y500" t="str">
        <f t="shared" si="159"/>
        <v>..............</v>
      </c>
      <c r="Z500" t="str">
        <f t="shared" si="159"/>
        <v>....</v>
      </c>
      <c r="AA500" t="str">
        <f t="shared" si="147"/>
        <v>.........</v>
      </c>
      <c r="AB500" t="str">
        <f t="shared" si="156"/>
        <v>.........</v>
      </c>
      <c r="AC500" t="str">
        <f t="shared" si="157"/>
        <v>.........</v>
      </c>
      <c r="AD500" t="str">
        <f t="shared" si="158"/>
        <v>........</v>
      </c>
      <c r="AE500" t="str">
        <f t="shared" si="148"/>
        <v>.......</v>
      </c>
      <c r="AF500" t="str">
        <f t="shared" si="160"/>
        <v>.....</v>
      </c>
      <c r="AG500" t="str">
        <f t="shared" si="160"/>
        <v>..........</v>
      </c>
      <c r="AH500" t="str">
        <f t="shared" si="149"/>
        <v>..........</v>
      </c>
      <c r="AI500" t="str">
        <f t="shared" si="150"/>
        <v>.......</v>
      </c>
      <c r="AJ500" t="str">
        <f t="shared" si="151"/>
        <v>.......</v>
      </c>
    </row>
    <row r="501" spans="1:36" x14ac:dyDescent="0.25">
      <c r="A501" t="s">
        <v>401</v>
      </c>
      <c r="P501" t="str">
        <f t="shared" si="152"/>
        <v xml:space="preserve">   1319   69  0 </v>
      </c>
      <c r="Q501" t="str">
        <f t="shared" si="152"/>
        <v xml:space="preserve">   1.028 </v>
      </c>
      <c r="R501" t="str">
        <f t="shared" si="145"/>
        <v xml:space="preserve">     2.7 </v>
      </c>
      <c r="S501" t="str">
        <f t="shared" si="153"/>
        <v xml:space="preserve">     0.0 </v>
      </c>
      <c r="T501" t="str">
        <f t="shared" si="154"/>
        <v xml:space="preserve">     0.0 </v>
      </c>
      <c r="U501" t="str">
        <f t="shared" si="158"/>
        <v xml:space="preserve">         0.0 </v>
      </c>
      <c r="V501" t="str">
        <f t="shared" si="146"/>
        <v xml:space="preserve">     0.0 </v>
      </c>
      <c r="W501" t="str">
        <f t="shared" si="155"/>
        <v xml:space="preserve">     0.0</v>
      </c>
      <c r="X501" t="str">
        <f t="shared" si="159"/>
        <v/>
      </c>
      <c r="Y501" t="str">
        <f t="shared" si="159"/>
        <v/>
      </c>
      <c r="Z501" t="str">
        <f t="shared" si="159"/>
        <v/>
      </c>
      <c r="AA501" t="str">
        <f t="shared" si="147"/>
        <v/>
      </c>
      <c r="AB501" t="str">
        <f t="shared" si="156"/>
        <v/>
      </c>
      <c r="AC501" t="str">
        <f t="shared" si="157"/>
        <v/>
      </c>
      <c r="AD501" t="str">
        <f t="shared" si="158"/>
        <v/>
      </c>
      <c r="AE501" t="str">
        <f t="shared" si="148"/>
        <v/>
      </c>
      <c r="AF501" t="str">
        <f t="shared" si="160"/>
        <v/>
      </c>
      <c r="AG501" t="str">
        <f t="shared" si="160"/>
        <v/>
      </c>
      <c r="AH501" t="str">
        <f t="shared" si="149"/>
        <v/>
      </c>
      <c r="AI501" t="str">
        <f t="shared" si="150"/>
        <v/>
      </c>
      <c r="AJ501" t="str">
        <f t="shared" si="151"/>
        <v/>
      </c>
    </row>
    <row r="502" spans="1:36" x14ac:dyDescent="0.25">
      <c r="A502" t="s">
        <v>402</v>
      </c>
      <c r="P502" t="str">
        <f t="shared" si="152"/>
        <v xml:space="preserve">  CGONZAPCH069  </v>
      </c>
      <c r="Q502" t="str">
        <f t="shared" si="152"/>
        <v xml:space="preserve">   -47.2 </v>
      </c>
      <c r="R502" t="str">
        <f t="shared" si="145"/>
        <v xml:space="preserve">     0.0 </v>
      </c>
      <c r="S502" t="str">
        <f t="shared" si="153"/>
        <v xml:space="preserve">     0.0 </v>
      </c>
      <c r="T502" t="str">
        <f t="shared" si="154"/>
        <v xml:space="preserve">     0.0 </v>
      </c>
      <c r="U502" t="str">
        <f t="shared" si="158"/>
        <v xml:space="preserve">         0.0 </v>
      </c>
      <c r="V502" t="str">
        <f t="shared" si="146"/>
        <v xml:space="preserve">     0.0 </v>
      </c>
      <c r="W502" t="str">
        <f t="shared" si="155"/>
        <v xml:space="preserve">     0.0 </v>
      </c>
      <c r="X502" t="str">
        <f t="shared" si="159"/>
        <v xml:space="preserve">       </v>
      </c>
      <c r="Y502" t="str">
        <f t="shared" si="159"/>
        <v xml:space="preserve">              </v>
      </c>
      <c r="Z502" t="str">
        <f t="shared" si="159"/>
        <v xml:space="preserve">    </v>
      </c>
      <c r="AA502" t="str">
        <f t="shared" si="147"/>
        <v xml:space="preserve">         </v>
      </c>
      <c r="AB502" t="str">
        <f t="shared" si="156"/>
        <v xml:space="preserve">         </v>
      </c>
      <c r="AC502" t="str">
        <f t="shared" si="157"/>
        <v xml:space="preserve">    </v>
      </c>
      <c r="AD502" t="str">
        <f t="shared" si="158"/>
        <v/>
      </c>
      <c r="AE502" t="str">
        <f t="shared" si="148"/>
        <v/>
      </c>
      <c r="AF502" t="str">
        <f t="shared" si="160"/>
        <v/>
      </c>
      <c r="AG502" t="str">
        <f t="shared" si="160"/>
        <v/>
      </c>
      <c r="AH502" t="str">
        <f t="shared" si="149"/>
        <v/>
      </c>
      <c r="AI502" t="str">
        <f t="shared" si="150"/>
        <v/>
      </c>
      <c r="AJ502" t="str">
        <f t="shared" si="151"/>
        <v/>
      </c>
    </row>
    <row r="503" spans="1:36" x14ac:dyDescent="0.25">
      <c r="A503" t="s">
        <v>403</v>
      </c>
      <c r="P503" t="str">
        <f t="shared" si="152"/>
        <v xml:space="preserve">                </v>
      </c>
      <c r="Q503" t="str">
        <f t="shared" si="152"/>
        <v xml:space="preserve">         </v>
      </c>
      <c r="R503" t="str">
        <f t="shared" si="145"/>
        <v xml:space="preserve">    23.0 </v>
      </c>
      <c r="S503" t="str">
        <f t="shared" si="153"/>
        <v xml:space="preserve">    23.0 </v>
      </c>
      <c r="T503" t="str">
        <f t="shared" si="154"/>
        <v xml:space="preserve">    23.0 </v>
      </c>
      <c r="U503" t="str">
        <f t="shared" si="158"/>
        <v xml:space="preserve">       11.4% </v>
      </c>
      <c r="V503" t="str">
        <f t="shared" si="146"/>
        <v xml:space="preserve">         </v>
      </c>
      <c r="W503" t="str">
        <f t="shared" si="155"/>
        <v xml:space="preserve">         </v>
      </c>
      <c r="X503" t="str">
        <f t="shared" si="159"/>
        <v xml:space="preserve">  1214 </v>
      </c>
      <c r="Y503" t="str">
        <f t="shared" si="159"/>
        <v xml:space="preserve"> GUARIT-RS069 </v>
      </c>
      <c r="Z503" t="str">
        <f t="shared" si="159"/>
        <v xml:space="preserve">  1 </v>
      </c>
      <c r="AA503" t="str">
        <f t="shared" si="147"/>
        <v xml:space="preserve">     2.7 </v>
      </c>
      <c r="AB503" t="str">
        <f t="shared" si="156"/>
        <v xml:space="preserve">     0.0 </v>
      </c>
      <c r="AC503" t="str">
        <f t="shared" si="157"/>
        <v xml:space="preserve">     2.6 </v>
      </c>
      <c r="AD503" t="str">
        <f t="shared" si="158"/>
        <v xml:space="preserve">        </v>
      </c>
      <c r="AE503" t="str">
        <f t="shared" si="148"/>
        <v xml:space="preserve">       </v>
      </c>
      <c r="AF503" t="str">
        <f t="shared" si="160"/>
        <v xml:space="preserve">     </v>
      </c>
      <c r="AG503" t="str">
        <f t="shared" si="160"/>
        <v xml:space="preserve">     0.00 </v>
      </c>
      <c r="AH503" t="str">
        <f t="shared" si="149"/>
        <v xml:space="preserve">    -0.14 </v>
      </c>
      <c r="AI503" t="str">
        <f t="shared" si="150"/>
        <v xml:space="preserve">       </v>
      </c>
      <c r="AJ503" t="str">
        <f t="shared" si="151"/>
        <v xml:space="preserve">      </v>
      </c>
    </row>
    <row r="504" spans="1:36" x14ac:dyDescent="0.25">
      <c r="A504" t="s">
        <v>14</v>
      </c>
      <c r="P504" t="str">
        <f t="shared" si="152"/>
        <v xml:space="preserve">  ..............</v>
      </c>
      <c r="Q504" t="str">
        <f t="shared" si="152"/>
        <v>.........</v>
      </c>
      <c r="R504" t="str">
        <f t="shared" si="145"/>
        <v>.........</v>
      </c>
      <c r="S504" t="str">
        <f t="shared" si="153"/>
        <v>.........</v>
      </c>
      <c r="T504" t="str">
        <f t="shared" si="154"/>
        <v>.........</v>
      </c>
      <c r="U504" t="str">
        <f t="shared" si="158"/>
        <v>.............</v>
      </c>
      <c r="V504" t="str">
        <f t="shared" si="146"/>
        <v>.........</v>
      </c>
      <c r="W504" t="str">
        <f t="shared" si="155"/>
        <v>.........</v>
      </c>
      <c r="X504" t="str">
        <f t="shared" si="159"/>
        <v>.......</v>
      </c>
      <c r="Y504" t="str">
        <f t="shared" si="159"/>
        <v>..............</v>
      </c>
      <c r="Z504" t="str">
        <f t="shared" si="159"/>
        <v>....</v>
      </c>
      <c r="AA504" t="str">
        <f t="shared" si="147"/>
        <v>.........</v>
      </c>
      <c r="AB504" t="str">
        <f t="shared" si="156"/>
        <v>.........</v>
      </c>
      <c r="AC504" t="str">
        <f t="shared" si="157"/>
        <v>.........</v>
      </c>
      <c r="AD504" t="str">
        <f t="shared" si="158"/>
        <v>........</v>
      </c>
      <c r="AE504" t="str">
        <f t="shared" si="148"/>
        <v>.......</v>
      </c>
      <c r="AF504" t="str">
        <f t="shared" si="160"/>
        <v>.....</v>
      </c>
      <c r="AG504" t="str">
        <f t="shared" si="160"/>
        <v>..........</v>
      </c>
      <c r="AH504" t="str">
        <f t="shared" si="149"/>
        <v>..........</v>
      </c>
      <c r="AI504" t="str">
        <f t="shared" si="150"/>
        <v>.......</v>
      </c>
      <c r="AJ504" t="str">
        <f t="shared" si="151"/>
        <v>.......</v>
      </c>
    </row>
    <row r="505" spans="1:36" x14ac:dyDescent="0.25">
      <c r="A505" t="s">
        <v>404</v>
      </c>
      <c r="P505" t="str">
        <f t="shared" si="152"/>
        <v xml:space="preserve">   1321   69  0 </v>
      </c>
      <c r="Q505" t="str">
        <f t="shared" si="152"/>
        <v xml:space="preserve">   1.013 </v>
      </c>
      <c r="R505" t="str">
        <f t="shared" si="145"/>
        <v xml:space="preserve">     0.0 </v>
      </c>
      <c r="S505" t="str">
        <f t="shared" si="153"/>
        <v xml:space="preserve">     0.0 </v>
      </c>
      <c r="T505" t="str">
        <f t="shared" si="154"/>
        <v xml:space="preserve">     0.0 </v>
      </c>
      <c r="U505" t="str">
        <f t="shared" si="158"/>
        <v xml:space="preserve">         0.0 </v>
      </c>
      <c r="V505" t="str">
        <f t="shared" si="146"/>
        <v xml:space="preserve">     0.0 </v>
      </c>
      <c r="W505" t="str">
        <f t="shared" si="155"/>
        <v xml:space="preserve">     0.0</v>
      </c>
      <c r="X505" t="str">
        <f t="shared" si="159"/>
        <v/>
      </c>
      <c r="Y505" t="str">
        <f t="shared" si="159"/>
        <v/>
      </c>
      <c r="Z505" t="str">
        <f t="shared" si="159"/>
        <v/>
      </c>
      <c r="AA505" t="str">
        <f t="shared" si="147"/>
        <v/>
      </c>
      <c r="AB505" t="str">
        <f t="shared" si="156"/>
        <v/>
      </c>
      <c r="AC505" t="str">
        <f t="shared" si="157"/>
        <v/>
      </c>
      <c r="AD505" t="str">
        <f t="shared" si="158"/>
        <v/>
      </c>
      <c r="AE505" t="str">
        <f t="shared" si="148"/>
        <v/>
      </c>
      <c r="AF505" t="str">
        <f t="shared" si="160"/>
        <v/>
      </c>
      <c r="AG505" t="str">
        <f t="shared" si="160"/>
        <v/>
      </c>
      <c r="AH505" t="str">
        <f t="shared" si="149"/>
        <v/>
      </c>
      <c r="AI505" t="str">
        <f t="shared" si="150"/>
        <v/>
      </c>
      <c r="AJ505" t="str">
        <f t="shared" si="151"/>
        <v/>
      </c>
    </row>
    <row r="506" spans="1:36" x14ac:dyDescent="0.25">
      <c r="A506" t="s">
        <v>405</v>
      </c>
      <c r="P506" t="str">
        <f t="shared" si="152"/>
        <v xml:space="preserve">  CIDR13-RS069  </v>
      </c>
      <c r="Q506" t="str">
        <f t="shared" si="152"/>
        <v xml:space="preserve">   -47.6 </v>
      </c>
      <c r="R506" t="str">
        <f t="shared" si="145"/>
        <v xml:space="preserve">     0.0 </v>
      </c>
      <c r="S506" t="str">
        <f t="shared" si="153"/>
        <v xml:space="preserve">     0.0 </v>
      </c>
      <c r="T506" t="str">
        <f t="shared" si="154"/>
        <v xml:space="preserve">     0.0 </v>
      </c>
      <c r="U506" t="str">
        <f t="shared" si="158"/>
        <v xml:space="preserve">         0.0 </v>
      </c>
      <c r="V506" t="str">
        <f t="shared" si="146"/>
        <v xml:space="preserve">     0.0 </v>
      </c>
      <c r="W506" t="str">
        <f t="shared" si="155"/>
        <v xml:space="preserve">     0.0 </v>
      </c>
      <c r="X506" t="str">
        <f t="shared" si="159"/>
        <v xml:space="preserve">       </v>
      </c>
      <c r="Y506" t="str">
        <f t="shared" si="159"/>
        <v xml:space="preserve">              </v>
      </c>
      <c r="Z506" t="str">
        <f t="shared" si="159"/>
        <v xml:space="preserve">    </v>
      </c>
      <c r="AA506" t="str">
        <f t="shared" si="147"/>
        <v xml:space="preserve">         </v>
      </c>
      <c r="AB506" t="str">
        <f t="shared" si="156"/>
        <v xml:space="preserve">         </v>
      </c>
      <c r="AC506" t="str">
        <f t="shared" si="157"/>
        <v xml:space="preserve">    </v>
      </c>
      <c r="AD506" t="str">
        <f t="shared" si="158"/>
        <v/>
      </c>
      <c r="AE506" t="str">
        <f t="shared" si="148"/>
        <v/>
      </c>
      <c r="AF506" t="str">
        <f t="shared" si="160"/>
        <v/>
      </c>
      <c r="AG506" t="str">
        <f t="shared" si="160"/>
        <v/>
      </c>
      <c r="AH506" t="str">
        <f t="shared" si="149"/>
        <v/>
      </c>
      <c r="AI506" t="str">
        <f t="shared" si="150"/>
        <v/>
      </c>
      <c r="AJ506" t="str">
        <f t="shared" si="151"/>
        <v/>
      </c>
    </row>
    <row r="507" spans="1:36" x14ac:dyDescent="0.25">
      <c r="A507" t="s">
        <v>406</v>
      </c>
      <c r="P507" t="str">
        <f t="shared" si="152"/>
        <v xml:space="preserve">                </v>
      </c>
      <c r="Q507" t="str">
        <f t="shared" si="152"/>
        <v xml:space="preserve">         </v>
      </c>
      <c r="R507" t="str">
        <f t="shared" si="145"/>
        <v xml:space="preserve">    84.0 </v>
      </c>
      <c r="S507" t="str">
        <f t="shared" si="153"/>
        <v xml:space="preserve">    94.0 </v>
      </c>
      <c r="T507" t="str">
        <f t="shared" si="154"/>
        <v xml:space="preserve">    94.0 </v>
      </c>
      <c r="U507" t="str">
        <f t="shared" si="158"/>
        <v xml:space="preserve">       24.9% </v>
      </c>
      <c r="V507" t="str">
        <f t="shared" si="146"/>
        <v xml:space="preserve">         </v>
      </c>
      <c r="W507" t="str">
        <f t="shared" si="155"/>
        <v xml:space="preserve">         </v>
      </c>
      <c r="X507" t="str">
        <f t="shared" si="159"/>
        <v xml:space="preserve">  1232 </v>
      </c>
      <c r="Y507" t="str">
        <f t="shared" si="159"/>
        <v xml:space="preserve"> OSORI2-RS069 </v>
      </c>
      <c r="Z507" t="str">
        <f t="shared" si="159"/>
        <v xml:space="preserve">  1 </v>
      </c>
      <c r="AA507" t="str">
        <f t="shared" si="147"/>
        <v xml:space="preserve">    21.2 </v>
      </c>
      <c r="AB507" t="str">
        <f t="shared" si="156"/>
        <v xml:space="preserve">    -0.6 </v>
      </c>
      <c r="AC507" t="str">
        <f t="shared" si="157"/>
        <v xml:space="preserve">    20.9 </v>
      </c>
      <c r="AD507" t="str">
        <f t="shared" si="158"/>
        <v xml:space="preserve">        </v>
      </c>
      <c r="AE507" t="str">
        <f t="shared" si="148"/>
        <v xml:space="preserve">       </v>
      </c>
      <c r="AF507" t="str">
        <f t="shared" si="160"/>
        <v xml:space="preserve">     </v>
      </c>
      <c r="AG507" t="str">
        <f t="shared" si="160"/>
        <v xml:space="preserve">     0.19 </v>
      </c>
      <c r="AH507" t="str">
        <f t="shared" si="149"/>
        <v xml:space="preserve">     0.53 </v>
      </c>
      <c r="AI507" t="str">
        <f t="shared" si="150"/>
        <v xml:space="preserve">       </v>
      </c>
      <c r="AJ507" t="str">
        <f t="shared" si="151"/>
        <v xml:space="preserve">      </v>
      </c>
    </row>
    <row r="508" spans="1:36" x14ac:dyDescent="0.25">
      <c r="A508" t="s">
        <v>407</v>
      </c>
      <c r="P508" t="str">
        <f t="shared" si="152"/>
        <v xml:space="preserve">                </v>
      </c>
      <c r="Q508" t="str">
        <f t="shared" si="152"/>
        <v xml:space="preserve">         </v>
      </c>
      <c r="R508" t="str">
        <f t="shared" si="145"/>
        <v xml:space="preserve">    82.0 </v>
      </c>
      <c r="S508" t="str">
        <f t="shared" si="153"/>
        <v xml:space="preserve">    82.0 </v>
      </c>
      <c r="T508" t="str">
        <f t="shared" si="154"/>
        <v xml:space="preserve">    82.0 </v>
      </c>
      <c r="U508" t="str">
        <f t="shared" si="158"/>
        <v xml:space="preserve">       25.5% </v>
      </c>
      <c r="V508" t="str">
        <f t="shared" si="146"/>
        <v xml:space="preserve">         </v>
      </c>
      <c r="W508" t="str">
        <f t="shared" si="155"/>
        <v xml:space="preserve">         </v>
      </c>
      <c r="X508" t="str">
        <f t="shared" si="159"/>
        <v xml:space="preserve"> 10123 </v>
      </c>
      <c r="Y508" t="str">
        <f t="shared" si="159"/>
        <v xml:space="preserve"> CIDREI-RS034 </v>
      </c>
      <c r="Z508" t="str">
        <f t="shared" si="159"/>
        <v xml:space="preserve">  1 </v>
      </c>
      <c r="AA508" t="str">
        <f t="shared" si="147"/>
        <v xml:space="preserve">   -21.2 </v>
      </c>
      <c r="AB508" t="str">
        <f t="shared" si="156"/>
        <v xml:space="preserve">     0.6 </v>
      </c>
      <c r="AC508" t="str">
        <f t="shared" si="157"/>
        <v xml:space="preserve">    20.9 </v>
      </c>
      <c r="AD508" t="str">
        <f t="shared" si="158"/>
        <v xml:space="preserve"> 1.000C </v>
      </c>
      <c r="AE508" t="str">
        <f t="shared" si="148"/>
        <v xml:space="preserve">       </v>
      </c>
      <c r="AF508" t="str">
        <f t="shared" si="160"/>
        <v xml:space="preserve">     </v>
      </c>
      <c r="AG508" t="str">
        <f t="shared" si="160"/>
        <v xml:space="preserve">     0.00 </v>
      </c>
      <c r="AH508" t="str">
        <f t="shared" si="149"/>
        <v xml:space="preserve">     0.71 </v>
      </c>
      <c r="AI508" t="str">
        <f t="shared" si="150"/>
        <v xml:space="preserve">       </v>
      </c>
      <c r="AJ508" t="str">
        <f t="shared" si="151"/>
        <v xml:space="preserve">      </v>
      </c>
    </row>
    <row r="509" spans="1:36" x14ac:dyDescent="0.25">
      <c r="A509" t="s">
        <v>14</v>
      </c>
      <c r="P509" t="str">
        <f t="shared" si="152"/>
        <v xml:space="preserve">  ..............</v>
      </c>
      <c r="Q509" t="str">
        <f t="shared" si="152"/>
        <v>.........</v>
      </c>
      <c r="R509" t="str">
        <f t="shared" si="145"/>
        <v>.........</v>
      </c>
      <c r="S509" t="str">
        <f t="shared" si="153"/>
        <v>.........</v>
      </c>
      <c r="T509" t="str">
        <f t="shared" si="154"/>
        <v>.........</v>
      </c>
      <c r="U509" t="str">
        <f t="shared" si="158"/>
        <v>.............</v>
      </c>
      <c r="V509" t="str">
        <f t="shared" si="146"/>
        <v>.........</v>
      </c>
      <c r="W509" t="str">
        <f t="shared" si="155"/>
        <v>.........</v>
      </c>
      <c r="X509" t="str">
        <f t="shared" si="159"/>
        <v>.......</v>
      </c>
      <c r="Y509" t="str">
        <f t="shared" si="159"/>
        <v>..............</v>
      </c>
      <c r="Z509" t="str">
        <f t="shared" si="159"/>
        <v>....</v>
      </c>
      <c r="AA509" t="str">
        <f t="shared" si="147"/>
        <v>.........</v>
      </c>
      <c r="AB509" t="str">
        <f t="shared" si="156"/>
        <v>.........</v>
      </c>
      <c r="AC509" t="str">
        <f t="shared" si="157"/>
        <v>.........</v>
      </c>
      <c r="AD509" t="str">
        <f t="shared" si="158"/>
        <v>........</v>
      </c>
      <c r="AE509" t="str">
        <f t="shared" si="148"/>
        <v>.......</v>
      </c>
      <c r="AF509" t="str">
        <f t="shared" si="160"/>
        <v>.....</v>
      </c>
      <c r="AG509" t="str">
        <f t="shared" si="160"/>
        <v>..........</v>
      </c>
      <c r="AH509" t="str">
        <f t="shared" si="149"/>
        <v>..........</v>
      </c>
      <c r="AI509" t="str">
        <f t="shared" si="150"/>
        <v>.......</v>
      </c>
      <c r="AJ509" t="str">
        <f t="shared" si="151"/>
        <v>.......</v>
      </c>
    </row>
    <row r="510" spans="1:36" x14ac:dyDescent="0.25">
      <c r="A510" t="s">
        <v>408</v>
      </c>
      <c r="P510" t="str">
        <f t="shared" si="152"/>
        <v xml:space="preserve">   1322   69  0 </v>
      </c>
      <c r="Q510" t="str">
        <f t="shared" si="152"/>
        <v xml:space="preserve">   1.036 </v>
      </c>
      <c r="R510" t="str">
        <f t="shared" si="145"/>
        <v xml:space="preserve">     0.0 </v>
      </c>
      <c r="S510" t="str">
        <f t="shared" si="153"/>
        <v xml:space="preserve">     0.0 </v>
      </c>
      <c r="T510" t="str">
        <f t="shared" si="154"/>
        <v xml:space="preserve">     0.0 </v>
      </c>
      <c r="U510" t="str">
        <f t="shared" si="158"/>
        <v xml:space="preserve">         0.0 </v>
      </c>
      <c r="V510" t="str">
        <f t="shared" si="146"/>
        <v xml:space="preserve">     0.0 </v>
      </c>
      <c r="W510" t="str">
        <f t="shared" si="155"/>
        <v xml:space="preserve">     0.0</v>
      </c>
      <c r="X510" t="str">
        <f t="shared" si="159"/>
        <v/>
      </c>
      <c r="Y510" t="str">
        <f t="shared" si="159"/>
        <v/>
      </c>
      <c r="Z510" t="str">
        <f t="shared" si="159"/>
        <v/>
      </c>
      <c r="AA510" t="str">
        <f t="shared" si="147"/>
        <v/>
      </c>
      <c r="AB510" t="str">
        <f t="shared" si="156"/>
        <v/>
      </c>
      <c r="AC510" t="str">
        <f t="shared" si="157"/>
        <v/>
      </c>
      <c r="AD510" t="str">
        <f t="shared" si="158"/>
        <v/>
      </c>
      <c r="AE510" t="str">
        <f t="shared" si="148"/>
        <v/>
      </c>
      <c r="AF510" t="str">
        <f t="shared" si="160"/>
        <v/>
      </c>
      <c r="AG510" t="str">
        <f t="shared" si="160"/>
        <v/>
      </c>
      <c r="AH510" t="str">
        <f t="shared" si="149"/>
        <v/>
      </c>
      <c r="AI510" t="str">
        <f t="shared" si="150"/>
        <v/>
      </c>
      <c r="AJ510" t="str">
        <f t="shared" si="151"/>
        <v/>
      </c>
    </row>
    <row r="511" spans="1:36" x14ac:dyDescent="0.25">
      <c r="A511" t="s">
        <v>409</v>
      </c>
      <c r="P511" t="str">
        <f t="shared" si="152"/>
        <v xml:space="preserve">  IJUI2--RS069  </v>
      </c>
      <c r="Q511" t="str">
        <f t="shared" si="152"/>
        <v xml:space="preserve">   -47.8 </v>
      </c>
      <c r="R511" t="str">
        <f t="shared" si="145"/>
        <v xml:space="preserve">     0.0 </v>
      </c>
      <c r="S511" t="str">
        <f t="shared" si="153"/>
        <v xml:space="preserve">     0.0 </v>
      </c>
      <c r="T511" t="str">
        <f t="shared" si="154"/>
        <v xml:space="preserve">     0.0 </v>
      </c>
      <c r="U511" t="str">
        <f t="shared" si="158"/>
        <v xml:space="preserve">         0.0 </v>
      </c>
      <c r="V511" t="str">
        <f t="shared" si="146"/>
        <v xml:space="preserve">     0.0 </v>
      </c>
      <c r="W511" t="str">
        <f t="shared" si="155"/>
        <v xml:space="preserve">     0.0 </v>
      </c>
      <c r="X511" t="str">
        <f t="shared" si="159"/>
        <v xml:space="preserve">       </v>
      </c>
      <c r="Y511" t="str">
        <f t="shared" si="159"/>
        <v xml:space="preserve">              </v>
      </c>
      <c r="Z511" t="str">
        <f t="shared" si="159"/>
        <v xml:space="preserve">    </v>
      </c>
      <c r="AA511" t="str">
        <f t="shared" si="147"/>
        <v xml:space="preserve">         </v>
      </c>
      <c r="AB511" t="str">
        <f t="shared" si="156"/>
        <v xml:space="preserve">         </v>
      </c>
      <c r="AC511" t="str">
        <f t="shared" si="157"/>
        <v xml:space="preserve">    </v>
      </c>
      <c r="AD511" t="str">
        <f t="shared" si="158"/>
        <v/>
      </c>
      <c r="AE511" t="str">
        <f t="shared" si="148"/>
        <v/>
      </c>
      <c r="AF511" t="str">
        <f t="shared" si="160"/>
        <v/>
      </c>
      <c r="AG511" t="str">
        <f t="shared" si="160"/>
        <v/>
      </c>
      <c r="AH511" t="str">
        <f t="shared" si="149"/>
        <v/>
      </c>
      <c r="AI511" t="str">
        <f t="shared" si="150"/>
        <v/>
      </c>
      <c r="AJ511" t="str">
        <f t="shared" si="151"/>
        <v/>
      </c>
    </row>
    <row r="512" spans="1:36" x14ac:dyDescent="0.25">
      <c r="A512" t="s">
        <v>410</v>
      </c>
      <c r="P512" t="str">
        <f t="shared" si="152"/>
        <v xml:space="preserve">                </v>
      </c>
      <c r="Q512" t="str">
        <f t="shared" si="152"/>
        <v xml:space="preserve">         </v>
      </c>
      <c r="R512" t="str">
        <f t="shared" si="145"/>
        <v xml:space="preserve">  9999.0 </v>
      </c>
      <c r="S512" t="str">
        <f t="shared" si="153"/>
        <v xml:space="preserve">  9999.0 </v>
      </c>
      <c r="T512" t="str">
        <f t="shared" si="154"/>
        <v xml:space="preserve">  9999.0 </v>
      </c>
      <c r="U512" t="str">
        <f t="shared" si="158"/>
        <v xml:space="preserve">        0.0% </v>
      </c>
      <c r="V512" t="str">
        <f t="shared" si="146"/>
        <v xml:space="preserve">         </v>
      </c>
      <c r="W512" t="str">
        <f t="shared" si="155"/>
        <v xml:space="preserve">         </v>
      </c>
      <c r="X512" t="str">
        <f t="shared" si="159"/>
        <v xml:space="preserve">  9195 </v>
      </c>
      <c r="Y512" t="str">
        <f t="shared" si="159"/>
        <v xml:space="preserve"> CERIL3-RS069 </v>
      </c>
      <c r="Z512" t="str">
        <f t="shared" si="159"/>
        <v xml:space="preserve">  1 </v>
      </c>
      <c r="AA512" t="str">
        <f t="shared" si="147"/>
        <v xml:space="preserve">     3.4 </v>
      </c>
      <c r="AB512" t="str">
        <f t="shared" si="156"/>
        <v xml:space="preserve">     2.3 </v>
      </c>
      <c r="AC512" t="str">
        <f t="shared" si="157"/>
        <v xml:space="preserve">     4.0 </v>
      </c>
      <c r="AD512" t="str">
        <f t="shared" si="158"/>
        <v xml:space="preserve">        </v>
      </c>
      <c r="AE512" t="str">
        <f t="shared" si="148"/>
        <v xml:space="preserve">       </v>
      </c>
      <c r="AF512" t="str">
        <f t="shared" si="160"/>
        <v xml:space="preserve">     </v>
      </c>
      <c r="AG512" t="str">
        <f t="shared" si="160"/>
        <v xml:space="preserve">     0.00 </v>
      </c>
      <c r="AH512" t="str">
        <f t="shared" si="149"/>
        <v xml:space="preserve">     0.00 </v>
      </c>
      <c r="AI512" t="str">
        <f t="shared" si="150"/>
        <v xml:space="preserve">       </v>
      </c>
      <c r="AJ512" t="str">
        <f t="shared" si="151"/>
        <v xml:space="preserve">      </v>
      </c>
    </row>
    <row r="513" spans="1:36" x14ac:dyDescent="0.25">
      <c r="A513" t="s">
        <v>411</v>
      </c>
      <c r="P513" t="str">
        <f t="shared" si="152"/>
        <v xml:space="preserve">                </v>
      </c>
      <c r="Q513" t="str">
        <f t="shared" si="152"/>
        <v xml:space="preserve">         </v>
      </c>
      <c r="R513" t="str">
        <f t="shared" si="145"/>
        <v xml:space="preserve">    40.0 </v>
      </c>
      <c r="S513" t="str">
        <f t="shared" si="153"/>
        <v xml:space="preserve">    65.0 </v>
      </c>
      <c r="T513" t="str">
        <f t="shared" si="154"/>
        <v xml:space="preserve">    65.0 </v>
      </c>
      <c r="U513" t="str">
        <f t="shared" si="158"/>
        <v xml:space="preserve">        6.6% </v>
      </c>
      <c r="V513" t="str">
        <f t="shared" si="146"/>
        <v xml:space="preserve">         </v>
      </c>
      <c r="W513" t="str">
        <f t="shared" si="155"/>
        <v xml:space="preserve">         </v>
      </c>
      <c r="X513" t="str">
        <f t="shared" si="159"/>
        <v xml:space="preserve">  9558 </v>
      </c>
      <c r="Y513" t="str">
        <f t="shared" si="159"/>
        <v xml:space="preserve"> DEMEI2-RS069 </v>
      </c>
      <c r="Z513" t="str">
        <f t="shared" si="159"/>
        <v xml:space="preserve">  1 </v>
      </c>
      <c r="AA513" t="str">
        <f t="shared" si="147"/>
        <v xml:space="preserve">     2.7 </v>
      </c>
      <c r="AB513" t="str">
        <f t="shared" si="156"/>
        <v xml:space="preserve">     0.5 </v>
      </c>
      <c r="AC513" t="str">
        <f t="shared" si="157"/>
        <v xml:space="preserve">     2.6 </v>
      </c>
      <c r="AD513" t="str">
        <f t="shared" si="158"/>
        <v xml:space="preserve">        </v>
      </c>
      <c r="AE513" t="str">
        <f t="shared" si="148"/>
        <v xml:space="preserve">       </v>
      </c>
      <c r="AF513" t="str">
        <f t="shared" si="160"/>
        <v xml:space="preserve">     </v>
      </c>
      <c r="AG513" t="str">
        <f t="shared" si="160"/>
        <v xml:space="preserve">     0.00 </v>
      </c>
      <c r="AH513" t="str">
        <f t="shared" si="149"/>
        <v xml:space="preserve">    -0.01 </v>
      </c>
      <c r="AI513" t="str">
        <f t="shared" si="150"/>
        <v xml:space="preserve">       </v>
      </c>
      <c r="AJ513" t="str">
        <f t="shared" si="151"/>
        <v xml:space="preserve">      </v>
      </c>
    </row>
    <row r="514" spans="1:36" x14ac:dyDescent="0.25">
      <c r="A514" t="s">
        <v>412</v>
      </c>
      <c r="P514" t="str">
        <f t="shared" si="152"/>
        <v xml:space="preserve">                </v>
      </c>
      <c r="Q514" t="str">
        <f t="shared" si="152"/>
        <v xml:space="preserve">         </v>
      </c>
      <c r="R514" t="str">
        <f t="shared" si="145"/>
        <v xml:space="preserve">    39.0 </v>
      </c>
      <c r="S514" t="str">
        <f t="shared" si="153"/>
        <v xml:space="preserve">    49.0 </v>
      </c>
      <c r="T514" t="str">
        <f t="shared" si="154"/>
        <v xml:space="preserve">    49.0 </v>
      </c>
      <c r="U514" t="str">
        <f t="shared" si="158"/>
        <v xml:space="preserve">       10.1% </v>
      </c>
      <c r="V514" t="str">
        <f t="shared" si="146"/>
        <v xml:space="preserve">         </v>
      </c>
      <c r="W514" t="str">
        <f t="shared" si="155"/>
        <v xml:space="preserve">         </v>
      </c>
      <c r="X514" t="str">
        <f t="shared" si="159"/>
        <v xml:space="preserve">  9562 </v>
      </c>
      <c r="Y514" t="str">
        <f t="shared" si="159"/>
        <v xml:space="preserve"> CERILU-RS069 </v>
      </c>
      <c r="Z514" t="str">
        <f t="shared" si="159"/>
        <v xml:space="preserve">  1 </v>
      </c>
      <c r="AA514" t="str">
        <f t="shared" si="147"/>
        <v xml:space="preserve">     3.4 </v>
      </c>
      <c r="AB514" t="str">
        <f t="shared" si="156"/>
        <v xml:space="preserve">     2.2 </v>
      </c>
      <c r="AC514" t="str">
        <f t="shared" si="157"/>
        <v xml:space="preserve">     3.9 </v>
      </c>
      <c r="AD514" t="str">
        <f t="shared" si="158"/>
        <v xml:space="preserve">        </v>
      </c>
      <c r="AE514" t="str">
        <f t="shared" si="148"/>
        <v xml:space="preserve">       </v>
      </c>
      <c r="AF514" t="str">
        <f t="shared" si="160"/>
        <v xml:space="preserve">     </v>
      </c>
      <c r="AG514" t="str">
        <f t="shared" si="160"/>
        <v xml:space="preserve">     0.01 </v>
      </c>
      <c r="AH514" t="str">
        <f t="shared" si="149"/>
        <v xml:space="preserve">    -0.17 </v>
      </c>
      <c r="AI514" t="str">
        <f t="shared" si="150"/>
        <v xml:space="preserve">       </v>
      </c>
      <c r="AJ514" t="str">
        <f t="shared" si="151"/>
        <v xml:space="preserve">      </v>
      </c>
    </row>
    <row r="515" spans="1:36" x14ac:dyDescent="0.25">
      <c r="A515" t="s">
        <v>413</v>
      </c>
      <c r="P515" t="str">
        <f t="shared" si="152"/>
        <v xml:space="preserve">                </v>
      </c>
      <c r="Q515" t="str">
        <f t="shared" si="152"/>
        <v xml:space="preserve">         </v>
      </c>
      <c r="R515" t="str">
        <f t="shared" si="145"/>
        <v xml:space="preserve">    40.0 </v>
      </c>
      <c r="S515" t="str">
        <f t="shared" si="153"/>
        <v xml:space="preserve">    65.0 </v>
      </c>
      <c r="T515" t="str">
        <f t="shared" si="154"/>
        <v xml:space="preserve">    65.0 </v>
      </c>
      <c r="U515" t="str">
        <f t="shared" si="158"/>
        <v xml:space="preserve">       36.4% </v>
      </c>
      <c r="V515" t="str">
        <f t="shared" si="146"/>
        <v xml:space="preserve">         </v>
      </c>
      <c r="W515" t="str">
        <f t="shared" si="155"/>
        <v xml:space="preserve">         </v>
      </c>
      <c r="X515" t="str">
        <f t="shared" si="159"/>
        <v xml:space="preserve">  9651 </v>
      </c>
      <c r="Y515" t="str">
        <f t="shared" si="159"/>
        <v xml:space="preserve"> PANAM2-RS069 </v>
      </c>
      <c r="Z515" t="str">
        <f t="shared" si="159"/>
        <v xml:space="preserve">  1 </v>
      </c>
      <c r="AA515" t="str">
        <f t="shared" si="147"/>
        <v xml:space="preserve">    14.9 </v>
      </c>
      <c r="AB515" t="str">
        <f t="shared" si="156"/>
        <v xml:space="preserve">     1.9 </v>
      </c>
      <c r="AC515" t="str">
        <f t="shared" si="157"/>
        <v xml:space="preserve">    14.5 </v>
      </c>
      <c r="AD515" t="str">
        <f t="shared" si="158"/>
        <v xml:space="preserve">        </v>
      </c>
      <c r="AE515" t="str">
        <f t="shared" si="148"/>
        <v xml:space="preserve">       </v>
      </c>
      <c r="AF515" t="str">
        <f t="shared" si="160"/>
        <v xml:space="preserve">     </v>
      </c>
      <c r="AG515" t="str">
        <f t="shared" si="160"/>
        <v xml:space="preserve">     0.34 </v>
      </c>
      <c r="AH515" t="str">
        <f t="shared" si="149"/>
        <v xml:space="preserve">     0.05 </v>
      </c>
      <c r="AI515" t="str">
        <f t="shared" si="150"/>
        <v xml:space="preserve">       </v>
      </c>
      <c r="AJ515" t="str">
        <f t="shared" si="151"/>
        <v xml:space="preserve">      </v>
      </c>
    </row>
    <row r="516" spans="1:36" x14ac:dyDescent="0.25">
      <c r="A516" t="s">
        <v>414</v>
      </c>
      <c r="P516" t="str">
        <f t="shared" si="152"/>
        <v xml:space="preserve">                </v>
      </c>
      <c r="Q516" t="str">
        <f t="shared" si="152"/>
        <v xml:space="preserve">         </v>
      </c>
      <c r="R516" t="str">
        <f t="shared" si="145"/>
        <v xml:space="preserve">    39.0 </v>
      </c>
      <c r="S516" t="str">
        <f t="shared" si="153"/>
        <v xml:space="preserve">    49.0 </v>
      </c>
      <c r="T516" t="str">
        <f t="shared" si="154"/>
        <v xml:space="preserve">    49.0 </v>
      </c>
      <c r="U516" t="str">
        <f t="shared" si="158"/>
        <v xml:space="preserve"> SUP  108.0% </v>
      </c>
      <c r="V516" t="str">
        <f t="shared" si="146"/>
        <v xml:space="preserve">         </v>
      </c>
      <c r="W516" t="str">
        <f t="shared" si="155"/>
        <v xml:space="preserve">         </v>
      </c>
      <c r="X516" t="str">
        <f t="shared" si="159"/>
        <v xml:space="preserve">  9911 </v>
      </c>
      <c r="Y516" t="str">
        <f t="shared" si="159"/>
        <v xml:space="preserve"> IJU1-B-RS069 </v>
      </c>
      <c r="Z516" t="str">
        <f t="shared" si="159"/>
        <v xml:space="preserve">  1 </v>
      </c>
      <c r="AA516" t="str">
        <f t="shared" si="147"/>
        <v xml:space="preserve">    43.0 </v>
      </c>
      <c r="AB516" t="str">
        <f t="shared" si="156"/>
        <v xml:space="preserve">     7.5 </v>
      </c>
      <c r="AC516" t="str">
        <f t="shared" si="157"/>
        <v xml:space="preserve">    42.1 </v>
      </c>
      <c r="AD516" t="str">
        <f t="shared" si="158"/>
        <v xml:space="preserve">        </v>
      </c>
      <c r="AE516" t="str">
        <f t="shared" si="148"/>
        <v xml:space="preserve">       </v>
      </c>
      <c r="AF516" t="str">
        <f t="shared" si="160"/>
        <v xml:space="preserve">     </v>
      </c>
      <c r="AG516" t="str">
        <f t="shared" si="160"/>
        <v xml:space="preserve">     1.16 </v>
      </c>
      <c r="AH516" t="str">
        <f t="shared" si="149"/>
        <v xml:space="preserve">     1.97 </v>
      </c>
      <c r="AI516" t="str">
        <f t="shared" si="150"/>
        <v xml:space="preserve">       </v>
      </c>
      <c r="AJ516" t="str">
        <f t="shared" si="151"/>
        <v xml:space="preserve">      </v>
      </c>
    </row>
    <row r="517" spans="1:36" x14ac:dyDescent="0.25">
      <c r="A517" t="s">
        <v>415</v>
      </c>
      <c r="P517" t="str">
        <f t="shared" si="152"/>
        <v xml:space="preserve">                </v>
      </c>
      <c r="Q517" t="str">
        <f t="shared" si="152"/>
        <v xml:space="preserve">         </v>
      </c>
      <c r="R517" t="str">
        <f t="shared" si="145"/>
        <v xml:space="preserve">    83.0 </v>
      </c>
      <c r="S517" t="str">
        <f t="shared" si="153"/>
        <v xml:space="preserve">   100.0 </v>
      </c>
      <c r="T517" t="str">
        <f t="shared" si="154"/>
        <v xml:space="preserve">   100.0 </v>
      </c>
      <c r="U517" t="str">
        <f t="shared" si="158"/>
        <v xml:space="preserve">       27.3% </v>
      </c>
      <c r="V517" t="str">
        <f t="shared" si="146"/>
        <v xml:space="preserve">         </v>
      </c>
      <c r="W517" t="str">
        <f t="shared" si="155"/>
        <v xml:space="preserve">         </v>
      </c>
      <c r="X517" t="str">
        <f t="shared" si="159"/>
        <v xml:space="preserve"> 41280 </v>
      </c>
      <c r="Y517" t="str">
        <f t="shared" si="159"/>
        <v xml:space="preserve"> IJU--1-RS000 </v>
      </c>
      <c r="Z517" t="str">
        <f t="shared" si="159"/>
        <v xml:space="preserve">  1 </v>
      </c>
      <c r="AA517" t="str">
        <f t="shared" si="147"/>
        <v xml:space="preserve">   -22.9 </v>
      </c>
      <c r="AB517" t="str">
        <f t="shared" si="156"/>
        <v xml:space="preserve">    -4.9 </v>
      </c>
      <c r="AC517" t="str">
        <f t="shared" si="157"/>
        <v xml:space="preserve">    22.6 </v>
      </c>
      <c r="AD517" t="str">
        <f t="shared" si="158"/>
        <v xml:space="preserve"> 1.000F </v>
      </c>
      <c r="AE517" t="str">
        <f t="shared" si="148"/>
        <v xml:space="preserve">       </v>
      </c>
      <c r="AF517" t="str">
        <f t="shared" si="160"/>
        <v xml:space="preserve"> 002 </v>
      </c>
      <c r="AG517" t="str">
        <f t="shared" si="160"/>
        <v xml:space="preserve">     0.01 </v>
      </c>
      <c r="AH517" t="str">
        <f t="shared" si="149"/>
        <v xml:space="preserve">    -0.05 </v>
      </c>
      <c r="AI517" t="str">
        <f t="shared" si="150"/>
        <v xml:space="preserve">       </v>
      </c>
      <c r="AJ517" t="str">
        <f t="shared" si="151"/>
        <v xml:space="preserve">      </v>
      </c>
    </row>
    <row r="518" spans="1:36" x14ac:dyDescent="0.25">
      <c r="A518" t="s">
        <v>416</v>
      </c>
      <c r="P518" t="str">
        <f t="shared" si="152"/>
        <v xml:space="preserve">                </v>
      </c>
      <c r="Q518" t="str">
        <f t="shared" si="152"/>
        <v xml:space="preserve">         </v>
      </c>
      <c r="R518" t="str">
        <f t="shared" si="145"/>
        <v xml:space="preserve">    83.0 </v>
      </c>
      <c r="S518" t="str">
        <f t="shared" si="153"/>
        <v xml:space="preserve">   100.0 </v>
      </c>
      <c r="T518" t="str">
        <f t="shared" si="154"/>
        <v xml:space="preserve">   100.0 </v>
      </c>
      <c r="U518" t="str">
        <f t="shared" si="158"/>
        <v xml:space="preserve">       27.3% </v>
      </c>
      <c r="V518" t="str">
        <f t="shared" si="146"/>
        <v xml:space="preserve">         </v>
      </c>
      <c r="W518" t="str">
        <f t="shared" si="155"/>
        <v xml:space="preserve">         </v>
      </c>
      <c r="X518" t="str">
        <f t="shared" si="159"/>
        <v xml:space="preserve"> 41281 </v>
      </c>
      <c r="Y518" t="str">
        <f t="shared" si="159"/>
        <v xml:space="preserve"> IJU--2-RS000 </v>
      </c>
      <c r="Z518" t="str">
        <f t="shared" si="159"/>
        <v xml:space="preserve">  2 </v>
      </c>
      <c r="AA518" t="str">
        <f t="shared" si="147"/>
        <v xml:space="preserve">   -22.9 </v>
      </c>
      <c r="AB518" t="str">
        <f t="shared" si="156"/>
        <v xml:space="preserve">    -4.9 </v>
      </c>
      <c r="AC518" t="str">
        <f t="shared" si="157"/>
        <v xml:space="preserve">    22.6 </v>
      </c>
      <c r="AD518" t="str">
        <f t="shared" si="158"/>
        <v xml:space="preserve"> 1.000F </v>
      </c>
      <c r="AE518" t="str">
        <f t="shared" si="148"/>
        <v xml:space="preserve">       </v>
      </c>
      <c r="AF518" t="str">
        <f t="shared" si="160"/>
        <v xml:space="preserve"> 002 </v>
      </c>
      <c r="AG518" t="str">
        <f t="shared" si="160"/>
        <v xml:space="preserve">     0.01 </v>
      </c>
      <c r="AH518" t="str">
        <f t="shared" si="149"/>
        <v xml:space="preserve">    -0.05 </v>
      </c>
      <c r="AI518" t="str">
        <f t="shared" si="150"/>
        <v xml:space="preserve">       </v>
      </c>
      <c r="AJ518" t="str">
        <f t="shared" si="151"/>
        <v xml:space="preserve">      </v>
      </c>
    </row>
    <row r="519" spans="1:36" x14ac:dyDescent="0.25">
      <c r="A519" t="s">
        <v>417</v>
      </c>
      <c r="P519" t="str">
        <f t="shared" si="152"/>
        <v xml:space="preserve">                </v>
      </c>
      <c r="Q519" t="str">
        <f t="shared" si="152"/>
        <v xml:space="preserve">         </v>
      </c>
      <c r="R519" t="str">
        <f t="shared" si="145"/>
        <v xml:space="preserve">    83.0 </v>
      </c>
      <c r="S519" t="str">
        <f t="shared" si="153"/>
        <v xml:space="preserve">   100.0 </v>
      </c>
      <c r="T519" t="str">
        <f t="shared" si="154"/>
        <v xml:space="preserve">   116.0 </v>
      </c>
      <c r="U519" t="str">
        <f t="shared" si="158"/>
        <v xml:space="preserve">       25.6% </v>
      </c>
      <c r="V519" t="str">
        <f t="shared" si="146"/>
        <v xml:space="preserve">         </v>
      </c>
      <c r="W519" t="str">
        <f t="shared" si="155"/>
        <v xml:space="preserve">         </v>
      </c>
      <c r="X519" t="str">
        <f t="shared" si="159"/>
        <v xml:space="preserve"> 43433 </v>
      </c>
      <c r="Y519" t="str">
        <f t="shared" si="159"/>
        <v xml:space="preserve"> IJU--3-RS000 </v>
      </c>
      <c r="Z519" t="str">
        <f t="shared" si="159"/>
        <v xml:space="preserve">  3 </v>
      </c>
      <c r="AA519" t="str">
        <f t="shared" si="147"/>
        <v xml:space="preserve">   -21.5 </v>
      </c>
      <c r="AB519" t="str">
        <f t="shared" si="156"/>
        <v xml:space="preserve">    -4.6 </v>
      </c>
      <c r="AC519" t="str">
        <f t="shared" si="157"/>
        <v xml:space="preserve">    21.3 </v>
      </c>
      <c r="AD519" t="str">
        <f t="shared" si="158"/>
        <v xml:space="preserve"> 1.000F </v>
      </c>
      <c r="AE519" t="str">
        <f t="shared" si="148"/>
        <v xml:space="preserve">       </v>
      </c>
      <c r="AF519" t="str">
        <f t="shared" si="160"/>
        <v xml:space="preserve"> 002 </v>
      </c>
      <c r="AG519" t="str">
        <f t="shared" si="160"/>
        <v xml:space="preserve">    -0.00 </v>
      </c>
      <c r="AH519" t="str">
        <f t="shared" si="149"/>
        <v xml:space="preserve">    -0.04 </v>
      </c>
      <c r="AI519" t="str">
        <f t="shared" si="150"/>
        <v xml:space="preserve">       </v>
      </c>
      <c r="AJ519" t="str">
        <f t="shared" si="151"/>
        <v xml:space="preserve">      </v>
      </c>
    </row>
    <row r="520" spans="1:36" x14ac:dyDescent="0.25">
      <c r="A520" t="s">
        <v>14</v>
      </c>
      <c r="P520" t="str">
        <f t="shared" si="152"/>
        <v xml:space="preserve">  ..............</v>
      </c>
      <c r="Q520" t="str">
        <f t="shared" si="152"/>
        <v>.........</v>
      </c>
      <c r="R520" t="str">
        <f t="shared" si="145"/>
        <v>.........</v>
      </c>
      <c r="S520" t="str">
        <f t="shared" si="153"/>
        <v>.........</v>
      </c>
      <c r="T520" t="str">
        <f t="shared" si="154"/>
        <v>.........</v>
      </c>
      <c r="U520" t="str">
        <f t="shared" si="158"/>
        <v>.............</v>
      </c>
      <c r="V520" t="str">
        <f t="shared" si="146"/>
        <v>.........</v>
      </c>
      <c r="W520" t="str">
        <f t="shared" si="155"/>
        <v>.........</v>
      </c>
      <c r="X520" t="str">
        <f t="shared" si="159"/>
        <v>.......</v>
      </c>
      <c r="Y520" t="str">
        <f t="shared" si="159"/>
        <v>..............</v>
      </c>
      <c r="Z520" t="str">
        <f t="shared" si="159"/>
        <v>....</v>
      </c>
      <c r="AA520" t="str">
        <f t="shared" si="147"/>
        <v>.........</v>
      </c>
      <c r="AB520" t="str">
        <f t="shared" si="156"/>
        <v>.........</v>
      </c>
      <c r="AC520" t="str">
        <f t="shared" si="157"/>
        <v>.........</v>
      </c>
      <c r="AD520" t="str">
        <f t="shared" si="158"/>
        <v>........</v>
      </c>
      <c r="AE520" t="str">
        <f t="shared" si="148"/>
        <v>.......</v>
      </c>
      <c r="AF520" t="str">
        <f t="shared" si="160"/>
        <v>.....</v>
      </c>
      <c r="AG520" t="str">
        <f t="shared" si="160"/>
        <v>..........</v>
      </c>
      <c r="AH520" t="str">
        <f t="shared" si="149"/>
        <v>..........</v>
      </c>
      <c r="AI520" t="str">
        <f t="shared" si="150"/>
        <v>.......</v>
      </c>
      <c r="AJ520" t="str">
        <f t="shared" si="151"/>
        <v>.......</v>
      </c>
    </row>
    <row r="521" spans="1:36" x14ac:dyDescent="0.25">
      <c r="A521" t="s">
        <v>418</v>
      </c>
      <c r="P521" t="str">
        <f t="shared" si="152"/>
        <v xml:space="preserve">_x000C_CEPEL - CENTRO </v>
      </c>
      <c r="Q521" t="str">
        <f t="shared" si="152"/>
        <v xml:space="preserve"> DE PESQU</v>
      </c>
      <c r="R521" t="str">
        <f t="shared" si="145"/>
        <v xml:space="preserve">UISAS DE </v>
      </c>
      <c r="S521" t="str">
        <f t="shared" si="153"/>
        <v xml:space="preserve"> ENERGIA </v>
      </c>
      <c r="T521" t="str">
        <f t="shared" si="154"/>
        <v xml:space="preserve"> ELETRICA</v>
      </c>
      <c r="U521" t="str">
        <f t="shared" si="158"/>
        <v xml:space="preserve">A - PROGRAMA </v>
      </c>
      <c r="V521" t="str">
        <f t="shared" si="146"/>
        <v xml:space="preserve"> DE ANALI</v>
      </c>
      <c r="W521" t="str">
        <f t="shared" si="155"/>
        <v>ISE DE RE</v>
      </c>
      <c r="X521" t="str">
        <f t="shared" si="159"/>
        <v xml:space="preserve">EDES - </v>
      </c>
      <c r="Y521" t="str">
        <f t="shared" si="159"/>
        <v xml:space="preserve"> V11.06.02    </v>
      </c>
      <c r="Z521" t="str">
        <f t="shared" si="159"/>
        <v xml:space="preserve">    </v>
      </c>
      <c r="AA521" t="str">
        <f t="shared" si="147"/>
        <v xml:space="preserve">         </v>
      </c>
      <c r="AB521" t="str">
        <f t="shared" si="156"/>
        <v xml:space="preserve">         </v>
      </c>
      <c r="AC521" t="str">
        <f t="shared" si="157"/>
        <v xml:space="preserve">         </v>
      </c>
      <c r="AD521" t="str">
        <f t="shared" si="158"/>
        <v xml:space="preserve">   PAG. </v>
      </c>
      <c r="AE521" t="str">
        <f t="shared" si="148"/>
        <v xml:space="preserve">   4</v>
      </c>
      <c r="AF521" t="str">
        <f t="shared" si="160"/>
        <v/>
      </c>
      <c r="AG521" t="str">
        <f t="shared" si="160"/>
        <v/>
      </c>
      <c r="AH521" t="str">
        <f t="shared" si="149"/>
        <v/>
      </c>
      <c r="AI521" t="str">
        <f t="shared" si="150"/>
        <v/>
      </c>
      <c r="AJ521" t="str">
        <f t="shared" si="151"/>
        <v/>
      </c>
    </row>
    <row r="522" spans="1:36" x14ac:dyDescent="0.25">
      <c r="P522" t="str">
        <f t="shared" si="152"/>
        <v/>
      </c>
      <c r="Q522" t="str">
        <f t="shared" si="152"/>
        <v/>
      </c>
      <c r="R522" t="str">
        <f t="shared" si="145"/>
        <v/>
      </c>
      <c r="S522" t="str">
        <f t="shared" si="153"/>
        <v/>
      </c>
      <c r="T522" t="str">
        <f t="shared" si="154"/>
        <v/>
      </c>
      <c r="U522" t="str">
        <f t="shared" si="158"/>
        <v/>
      </c>
      <c r="V522" t="str">
        <f t="shared" si="146"/>
        <v/>
      </c>
      <c r="W522" t="str">
        <f t="shared" si="155"/>
        <v/>
      </c>
      <c r="X522" t="str">
        <f t="shared" si="159"/>
        <v/>
      </c>
      <c r="Y522" t="str">
        <f t="shared" si="159"/>
        <v/>
      </c>
      <c r="Z522" t="str">
        <f t="shared" si="159"/>
        <v/>
      </c>
      <c r="AA522" t="str">
        <f t="shared" si="147"/>
        <v/>
      </c>
      <c r="AB522" t="str">
        <f t="shared" si="156"/>
        <v/>
      </c>
      <c r="AC522" t="str">
        <f t="shared" si="157"/>
        <v/>
      </c>
      <c r="AD522" t="str">
        <f t="shared" si="158"/>
        <v/>
      </c>
      <c r="AE522" t="str">
        <f t="shared" si="148"/>
        <v/>
      </c>
      <c r="AF522" t="str">
        <f t="shared" si="160"/>
        <v/>
      </c>
      <c r="AG522" t="str">
        <f t="shared" si="160"/>
        <v/>
      </c>
      <c r="AH522" t="str">
        <f t="shared" si="149"/>
        <v/>
      </c>
      <c r="AI522" t="str">
        <f t="shared" si="150"/>
        <v/>
      </c>
      <c r="AJ522" t="str">
        <f t="shared" si="151"/>
        <v/>
      </c>
    </row>
    <row r="523" spans="1:36" x14ac:dyDescent="0.25">
      <c r="A523" t="s">
        <v>1</v>
      </c>
      <c r="P523" t="str">
        <f t="shared" si="152"/>
        <v xml:space="preserve"> PARPEL 23-27 * </v>
      </c>
      <c r="Q523" t="str">
        <f t="shared" si="152"/>
        <v xml:space="preserve"> MG-GODF </v>
      </c>
      <c r="R523" t="str">
        <f t="shared" si="145"/>
        <v xml:space="preserve"> * I27M *</v>
      </c>
      <c r="S523" t="str">
        <f t="shared" si="153"/>
        <v>* NEexp *</v>
      </c>
      <c r="T523" t="str">
        <f t="shared" si="154"/>
        <v>* NESE 88</v>
      </c>
      <c r="U523" t="str">
        <f t="shared" si="158"/>
        <v>800 UFVMG 90%</v>
      </c>
      <c r="V523" t="str">
        <f t="shared" si="146"/>
        <v>% * UFVAl</v>
      </c>
      <c r="W523" t="str">
        <f t="shared" si="155"/>
        <v>lves120MW</v>
      </c>
      <c r="X523" t="str">
        <f t="shared" si="159"/>
        <v xml:space="preserve">W     </v>
      </c>
      <c r="Y523" t="str">
        <f t="shared" si="159"/>
        <v/>
      </c>
      <c r="Z523" t="str">
        <f t="shared" si="159"/>
        <v/>
      </c>
      <c r="AA523" t="str">
        <f t="shared" si="147"/>
        <v/>
      </c>
      <c r="AB523" t="str">
        <f t="shared" si="156"/>
        <v/>
      </c>
      <c r="AC523" t="str">
        <f t="shared" si="157"/>
        <v/>
      </c>
      <c r="AD523" t="str">
        <f t="shared" si="158"/>
        <v/>
      </c>
      <c r="AE523" t="str">
        <f t="shared" si="148"/>
        <v/>
      </c>
      <c r="AF523" t="str">
        <f t="shared" si="160"/>
        <v/>
      </c>
      <c r="AG523" t="str">
        <f t="shared" si="160"/>
        <v/>
      </c>
      <c r="AH523" t="str">
        <f t="shared" si="149"/>
        <v/>
      </c>
      <c r="AI523" t="str">
        <f t="shared" si="150"/>
        <v/>
      </c>
      <c r="AJ523" t="str">
        <f t="shared" si="151"/>
        <v/>
      </c>
    </row>
    <row r="524" spans="1:36" x14ac:dyDescent="0.25">
      <c r="A524" t="s">
        <v>2</v>
      </c>
      <c r="P524" t="str">
        <f t="shared" si="152"/>
        <v xml:space="preserve"> RELATORIO COMPL</v>
      </c>
      <c r="Q524" t="str">
        <f t="shared" si="152"/>
        <v>LETO DO S</v>
      </c>
      <c r="R524" t="str">
        <f t="shared" ref="R524:R587" si="161">MID($A524,Q$8+Q$9-1,R$9)</f>
        <v>SISTEMA *</v>
      </c>
      <c r="S524" t="str">
        <f t="shared" si="153"/>
        <v xml:space="preserve">* AREA   </v>
      </c>
      <c r="T524" t="str">
        <f t="shared" si="154"/>
        <v xml:space="preserve"> 3 * RS -</v>
      </c>
      <c r="U524" t="str">
        <f t="shared" si="158"/>
        <v xml:space="preserve">- DIT/DIST   </v>
      </c>
      <c r="V524" t="str">
        <f t="shared" ref="V524:V587" si="162">MID($A524,U$8+U$9-1,V$9)</f>
        <v xml:space="preserve">         </v>
      </c>
      <c r="W524" t="str">
        <f t="shared" si="155"/>
        <v xml:space="preserve">         </v>
      </c>
      <c r="X524" t="str">
        <f t="shared" si="159"/>
        <v xml:space="preserve">     </v>
      </c>
      <c r="Y524" t="str">
        <f t="shared" si="159"/>
        <v/>
      </c>
      <c r="Z524" t="str">
        <f t="shared" si="159"/>
        <v/>
      </c>
      <c r="AA524" t="str">
        <f t="shared" ref="AA524:AA587" si="163">MID($A524,Z$8+Z$9-1,AA$9)</f>
        <v/>
      </c>
      <c r="AB524" t="str">
        <f t="shared" si="156"/>
        <v/>
      </c>
      <c r="AC524" t="str">
        <f t="shared" si="157"/>
        <v/>
      </c>
      <c r="AD524" t="str">
        <f t="shared" si="158"/>
        <v/>
      </c>
      <c r="AE524" t="str">
        <f t="shared" ref="AE524:AE587" si="164">MID($A524,AD$8+AD$9-1,AE$9)</f>
        <v/>
      </c>
      <c r="AF524" t="str">
        <f t="shared" si="160"/>
        <v/>
      </c>
      <c r="AG524" t="str">
        <f t="shared" si="160"/>
        <v/>
      </c>
      <c r="AH524" t="str">
        <f t="shared" ref="AH524:AH587" si="165">MID($A524,AG$8+AG$9-1,AH$9)</f>
        <v/>
      </c>
      <c r="AI524" t="str">
        <f t="shared" si="150"/>
        <v/>
      </c>
      <c r="AJ524" t="str">
        <f t="shared" si="151"/>
        <v/>
      </c>
    </row>
    <row r="525" spans="1:36" x14ac:dyDescent="0.25">
      <c r="P525" t="str">
        <f t="shared" si="152"/>
        <v/>
      </c>
      <c r="Q525" t="str">
        <f t="shared" si="152"/>
        <v/>
      </c>
      <c r="R525" t="str">
        <f t="shared" si="161"/>
        <v/>
      </c>
      <c r="S525" t="str">
        <f t="shared" si="153"/>
        <v/>
      </c>
      <c r="T525" t="str">
        <f t="shared" si="154"/>
        <v/>
      </c>
      <c r="U525" t="str">
        <f t="shared" si="158"/>
        <v/>
      </c>
      <c r="V525" t="str">
        <f t="shared" si="162"/>
        <v/>
      </c>
      <c r="W525" t="str">
        <f t="shared" si="155"/>
        <v/>
      </c>
      <c r="X525" t="str">
        <f t="shared" si="159"/>
        <v/>
      </c>
      <c r="Y525" t="str">
        <f t="shared" si="159"/>
        <v/>
      </c>
      <c r="Z525" t="str">
        <f t="shared" si="159"/>
        <v/>
      </c>
      <c r="AA525" t="str">
        <f t="shared" si="163"/>
        <v/>
      </c>
      <c r="AB525" t="str">
        <f t="shared" si="156"/>
        <v/>
      </c>
      <c r="AC525" t="str">
        <f t="shared" si="157"/>
        <v/>
      </c>
      <c r="AD525" t="str">
        <f t="shared" si="158"/>
        <v/>
      </c>
      <c r="AE525" t="str">
        <f t="shared" si="164"/>
        <v/>
      </c>
      <c r="AF525" t="str">
        <f t="shared" si="160"/>
        <v/>
      </c>
      <c r="AG525" t="str">
        <f t="shared" si="160"/>
        <v/>
      </c>
      <c r="AH525" t="str">
        <f t="shared" si="165"/>
        <v/>
      </c>
      <c r="AI525" t="str">
        <f t="shared" si="150"/>
        <v/>
      </c>
      <c r="AJ525" t="str">
        <f t="shared" si="151"/>
        <v/>
      </c>
    </row>
    <row r="526" spans="1:36" x14ac:dyDescent="0.25">
      <c r="A526" t="s">
        <v>3</v>
      </c>
      <c r="P526" t="str">
        <f t="shared" si="152"/>
        <v xml:space="preserve"> X--------------</v>
      </c>
      <c r="Q526" t="str">
        <f t="shared" si="152"/>
        <v xml:space="preserve">-------- </v>
      </c>
      <c r="R526" t="str">
        <f t="shared" si="161"/>
        <v xml:space="preserve"> D A D O </v>
      </c>
      <c r="S526" t="str">
        <f t="shared" si="153"/>
        <v xml:space="preserve"> S  -  B </v>
      </c>
      <c r="T526" t="str">
        <f t="shared" si="154"/>
        <v xml:space="preserve"> A R R A </v>
      </c>
      <c r="U526" t="str">
        <f t="shared" si="158"/>
        <v xml:space="preserve"> ------------</v>
      </c>
      <c r="V526" t="str">
        <f t="shared" si="162"/>
        <v>---------</v>
      </c>
      <c r="W526" t="str">
        <f t="shared" si="155"/>
        <v>--------X</v>
      </c>
      <c r="X526" t="str">
        <f t="shared" si="159"/>
        <v>X------</v>
      </c>
      <c r="Y526" t="str">
        <f t="shared" si="159"/>
        <v>-------- F L U</v>
      </c>
      <c r="Z526" t="str">
        <f t="shared" si="159"/>
        <v xml:space="preserve">U X </v>
      </c>
      <c r="AA526" t="str">
        <f t="shared" si="163"/>
        <v xml:space="preserve"> O S  -  </v>
      </c>
      <c r="AB526" t="str">
        <f t="shared" si="156"/>
        <v xml:space="preserve"> C I R C </v>
      </c>
      <c r="AC526" t="str">
        <f t="shared" si="157"/>
        <v xml:space="preserve"> U I T O </v>
      </c>
      <c r="AD526" t="str">
        <f t="shared" si="158"/>
        <v xml:space="preserve"> S -----</v>
      </c>
      <c r="AE526" t="str">
        <f t="shared" si="164"/>
        <v>-------</v>
      </c>
      <c r="AF526" t="str">
        <f t="shared" si="160"/>
        <v>----X</v>
      </c>
      <c r="AG526" t="str">
        <f t="shared" si="160"/>
        <v>X--------X</v>
      </c>
      <c r="AH526" t="str">
        <f t="shared" si="165"/>
        <v>X--------X</v>
      </c>
      <c r="AI526" t="str">
        <f t="shared" si="150"/>
        <v>X------</v>
      </c>
      <c r="AJ526" t="str">
        <f t="shared" si="151"/>
        <v>------X</v>
      </c>
    </row>
    <row r="527" spans="1:36" x14ac:dyDescent="0.25">
      <c r="A527" t="s">
        <v>4</v>
      </c>
      <c r="P527" t="str">
        <f t="shared" si="152"/>
        <v xml:space="preserve">  DA BARRA      </v>
      </c>
      <c r="Q527" t="str">
        <f t="shared" si="152"/>
        <v xml:space="preserve">  TENSAO </v>
      </c>
      <c r="R527" t="str">
        <f t="shared" si="161"/>
        <v xml:space="preserve"> GERACAO </v>
      </c>
      <c r="S527" t="str">
        <f t="shared" si="153"/>
        <v xml:space="preserve"> INJ EQV </v>
      </c>
      <c r="T527" t="str">
        <f t="shared" si="154"/>
        <v xml:space="preserve">  CARGA  </v>
      </c>
      <c r="U527" t="str">
        <f t="shared" si="158"/>
        <v xml:space="preserve">  ELO CC  SHU</v>
      </c>
      <c r="V527" t="str">
        <f t="shared" si="162"/>
        <v>UNT    MO</v>
      </c>
      <c r="W527" t="str">
        <f t="shared" si="155"/>
        <v xml:space="preserve">OTOR     </v>
      </c>
      <c r="X527" t="str">
        <f t="shared" si="159"/>
        <v xml:space="preserve">       </v>
      </c>
      <c r="Y527" t="str">
        <f t="shared" si="159"/>
        <v xml:space="preserve">              </v>
      </c>
      <c r="Z527" t="str">
        <f t="shared" si="159"/>
        <v xml:space="preserve">    </v>
      </c>
      <c r="AA527" t="str">
        <f t="shared" si="163"/>
        <v xml:space="preserve">         </v>
      </c>
      <c r="AB527" t="str">
        <f t="shared" si="156"/>
        <v xml:space="preserve">         </v>
      </c>
      <c r="AC527" t="str">
        <f t="shared" si="157"/>
        <v xml:space="preserve">         </v>
      </c>
      <c r="AD527" t="str">
        <f t="shared" si="158"/>
        <v xml:space="preserve">        </v>
      </c>
      <c r="AE527" t="str">
        <f t="shared" si="164"/>
        <v xml:space="preserve">       </v>
      </c>
      <c r="AF527" t="str">
        <f t="shared" si="160"/>
        <v xml:space="preserve">     </v>
      </c>
      <c r="AG527" t="str">
        <f t="shared" si="160"/>
        <v xml:space="preserve">          </v>
      </c>
      <c r="AH527" t="str">
        <f t="shared" si="165"/>
        <v xml:space="preserve">          </v>
      </c>
      <c r="AI527" t="str">
        <f t="shared" si="150"/>
        <v xml:space="preserve">       </v>
      </c>
      <c r="AJ527" t="str">
        <f t="shared" si="151"/>
        <v xml:space="preserve">   </v>
      </c>
    </row>
    <row r="528" spans="1:36" x14ac:dyDescent="0.25">
      <c r="A528" t="s">
        <v>5</v>
      </c>
      <c r="P528" t="str">
        <f t="shared" si="152"/>
        <v xml:space="preserve">  NUM.  KV TIPO </v>
      </c>
      <c r="Q528" t="str">
        <f t="shared" si="152"/>
        <v xml:space="preserve">   MOD/  </v>
      </c>
      <c r="R528" t="str">
        <f t="shared" si="161"/>
        <v xml:space="preserve">    MW/  </v>
      </c>
      <c r="S528" t="str">
        <f t="shared" si="153"/>
        <v xml:space="preserve">    MW/  </v>
      </c>
      <c r="T528" t="str">
        <f t="shared" si="154"/>
        <v xml:space="preserve">    MW/  </v>
      </c>
      <c r="U528" t="str">
        <f t="shared" si="158"/>
        <v xml:space="preserve">    MW/   Mva</v>
      </c>
      <c r="V528" t="str">
        <f t="shared" si="162"/>
        <v>ar/     M</v>
      </c>
      <c r="W528" t="str">
        <f t="shared" si="155"/>
        <v xml:space="preserve">MW/      </v>
      </c>
      <c r="X528" t="str">
        <f t="shared" si="159"/>
        <v xml:space="preserve">       </v>
      </c>
      <c r="Y528" t="str">
        <f t="shared" si="159"/>
        <v xml:space="preserve">              </v>
      </c>
      <c r="Z528" t="str">
        <f t="shared" si="159"/>
        <v xml:space="preserve">    </v>
      </c>
      <c r="AA528" t="str">
        <f t="shared" si="163"/>
        <v xml:space="preserve">         </v>
      </c>
      <c r="AB528" t="str">
        <f t="shared" si="156"/>
        <v xml:space="preserve">         </v>
      </c>
      <c r="AC528" t="str">
        <f t="shared" si="157"/>
        <v xml:space="preserve">         </v>
      </c>
      <c r="AD528" t="str">
        <f t="shared" si="158"/>
        <v xml:space="preserve">        </v>
      </c>
      <c r="AE528" t="str">
        <f t="shared" si="164"/>
        <v xml:space="preserve">       </v>
      </c>
      <c r="AF528" t="str">
        <f t="shared" si="160"/>
        <v xml:space="preserve">    P</v>
      </c>
      <c r="AG528" t="str">
        <f t="shared" si="160"/>
        <v xml:space="preserve">P E R D A </v>
      </c>
      <c r="AH528" t="str">
        <f t="shared" si="165"/>
        <v xml:space="preserve"> S       T</v>
      </c>
      <c r="AI528" t="str">
        <f t="shared" si="150"/>
        <v xml:space="preserve">TENSAO </v>
      </c>
      <c r="AJ528" t="str">
        <f t="shared" si="151"/>
        <v xml:space="preserve">   </v>
      </c>
    </row>
    <row r="529" spans="1:36" x14ac:dyDescent="0.25">
      <c r="A529" t="s">
        <v>6</v>
      </c>
      <c r="P529" t="str">
        <f t="shared" si="152"/>
        <v xml:space="preserve">       NOME     </v>
      </c>
      <c r="Q529" t="str">
        <f t="shared" si="152"/>
        <v xml:space="preserve">   ANG   </v>
      </c>
      <c r="R529" t="str">
        <f t="shared" si="161"/>
        <v xml:space="preserve">   Mvar  </v>
      </c>
      <c r="S529" t="str">
        <f t="shared" si="153"/>
        <v xml:space="preserve">   Mvar  </v>
      </c>
      <c r="T529" t="str">
        <f t="shared" si="154"/>
        <v xml:space="preserve">   Mvar  </v>
      </c>
      <c r="U529" t="str">
        <f t="shared" si="158"/>
        <v xml:space="preserve">   Mvar   EQU</v>
      </c>
      <c r="V529" t="str">
        <f t="shared" si="162"/>
        <v>UIV    Mv</v>
      </c>
      <c r="W529" t="str">
        <f t="shared" si="155"/>
        <v>var  PARA</v>
      </c>
      <c r="X529" t="str">
        <f t="shared" si="159"/>
        <v>A BARRA</v>
      </c>
      <c r="Y529" t="str">
        <f t="shared" si="159"/>
        <v xml:space="preserve">A             </v>
      </c>
      <c r="Z529" t="str">
        <f t="shared" si="159"/>
        <v xml:space="preserve">    </v>
      </c>
      <c r="AA529" t="str">
        <f t="shared" si="163"/>
        <v xml:space="preserve">      FLU</v>
      </c>
      <c r="AB529" t="str">
        <f t="shared" si="156"/>
        <v xml:space="preserve">UXOS     </v>
      </c>
      <c r="AC529" t="str">
        <f t="shared" si="157"/>
        <v xml:space="preserve">         </v>
      </c>
      <c r="AD529" t="str">
        <f t="shared" si="158"/>
        <v xml:space="preserve">        </v>
      </c>
      <c r="AE529" t="str">
        <f t="shared" si="164"/>
        <v xml:space="preserve">       </v>
      </c>
      <c r="AF529" t="str">
        <f t="shared" si="160"/>
        <v xml:space="preserve">  ATI</v>
      </c>
      <c r="AG529" t="str">
        <f t="shared" si="160"/>
        <v>IVA   REAT</v>
      </c>
      <c r="AH529" t="str">
        <f t="shared" si="165"/>
        <v>TIVA  CIR.</v>
      </c>
      <c r="AI529" t="str">
        <f t="shared" si="150"/>
        <v>. ABERT</v>
      </c>
      <c r="AJ529" t="str">
        <f t="shared" si="151"/>
        <v xml:space="preserve">TO </v>
      </c>
    </row>
    <row r="530" spans="1:36" x14ac:dyDescent="0.25">
      <c r="A530" t="s">
        <v>7</v>
      </c>
      <c r="P530" t="str">
        <f t="shared" si="152"/>
        <v xml:space="preserve">                </v>
      </c>
      <c r="Q530" t="str">
        <f t="shared" si="152"/>
        <v xml:space="preserve">         </v>
      </c>
      <c r="R530" t="str">
        <f t="shared" si="161"/>
        <v xml:space="preserve"> MVA_NOM </v>
      </c>
      <c r="S530" t="str">
        <f t="shared" si="153"/>
        <v xml:space="preserve"> MVA_EMR </v>
      </c>
      <c r="T530" t="str">
        <f t="shared" si="154"/>
        <v xml:space="preserve"> MVA_EQP </v>
      </c>
      <c r="U530" t="str">
        <f t="shared" si="158"/>
        <v xml:space="preserve">   FLUXO %   </v>
      </c>
      <c r="V530" t="str">
        <f t="shared" si="162"/>
        <v xml:space="preserve"> SHUNT L </v>
      </c>
      <c r="W530" t="str">
        <f t="shared" si="155"/>
        <v xml:space="preserve">         </v>
      </c>
      <c r="X530" t="str">
        <f t="shared" si="159"/>
        <v xml:space="preserve"> NUM.  </v>
      </c>
      <c r="Y530" t="str">
        <f t="shared" si="159"/>
        <v xml:space="preserve">     NOME     </v>
      </c>
      <c r="Z530" t="str">
        <f t="shared" si="159"/>
        <v xml:space="preserve"> NC </v>
      </c>
      <c r="AA530" t="str">
        <f t="shared" si="163"/>
        <v xml:space="preserve">    MW   </v>
      </c>
      <c r="AB530" t="str">
        <f t="shared" si="156"/>
        <v xml:space="preserve">   Mvar  </v>
      </c>
      <c r="AC530" t="str">
        <f t="shared" si="157"/>
        <v xml:space="preserve"> MVA/V_d </v>
      </c>
      <c r="AD530" t="str">
        <f t="shared" si="158"/>
        <v xml:space="preserve">   TAP  </v>
      </c>
      <c r="AE530" t="str">
        <f t="shared" si="164"/>
        <v xml:space="preserve"> DEFAS </v>
      </c>
      <c r="AF530" t="str">
        <f t="shared" si="160"/>
        <v xml:space="preserve"> TIE </v>
      </c>
      <c r="AG530" t="str">
        <f t="shared" si="160"/>
        <v xml:space="preserve">    MW    </v>
      </c>
      <c r="AH530" t="str">
        <f t="shared" si="165"/>
        <v xml:space="preserve">   Mvar   </v>
      </c>
      <c r="AI530" t="str">
        <f t="shared" si="150"/>
        <v xml:space="preserve">  MOD  </v>
      </c>
      <c r="AJ530" t="str">
        <f t="shared" si="151"/>
        <v xml:space="preserve">  ANG  </v>
      </c>
    </row>
    <row r="531" spans="1:36" x14ac:dyDescent="0.25">
      <c r="A531" t="s">
        <v>8</v>
      </c>
      <c r="P531" t="str">
        <f t="shared" si="152"/>
        <v xml:space="preserve"> X-------------X</v>
      </c>
      <c r="Q531" t="str">
        <f t="shared" si="152"/>
        <v>X-------X</v>
      </c>
      <c r="R531" t="str">
        <f t="shared" si="161"/>
        <v>X-------X</v>
      </c>
      <c r="S531" t="str">
        <f t="shared" si="153"/>
        <v>X-------X</v>
      </c>
      <c r="T531" t="str">
        <f t="shared" si="154"/>
        <v>X-------X</v>
      </c>
      <c r="U531" t="str">
        <f t="shared" si="158"/>
        <v>X-----------X</v>
      </c>
      <c r="V531" t="str">
        <f t="shared" si="162"/>
        <v>X-------X</v>
      </c>
      <c r="W531" t="str">
        <f t="shared" si="155"/>
        <v>X-------X</v>
      </c>
      <c r="X531" t="str">
        <f t="shared" si="159"/>
        <v>X-----X</v>
      </c>
      <c r="Y531" t="str">
        <f t="shared" si="159"/>
        <v>X------------X</v>
      </c>
      <c r="Z531" t="str">
        <f t="shared" si="159"/>
        <v>X--X</v>
      </c>
      <c r="AA531" t="str">
        <f t="shared" si="163"/>
        <v>X-------X</v>
      </c>
      <c r="AB531" t="str">
        <f t="shared" si="156"/>
        <v>X-------X</v>
      </c>
      <c r="AC531" t="str">
        <f t="shared" si="157"/>
        <v>X-------X</v>
      </c>
      <c r="AD531" t="str">
        <f t="shared" si="158"/>
        <v>X------X</v>
      </c>
      <c r="AE531" t="str">
        <f t="shared" si="164"/>
        <v>X-----X</v>
      </c>
      <c r="AF531" t="str">
        <f t="shared" si="160"/>
        <v>X---X</v>
      </c>
      <c r="AG531" t="str">
        <f t="shared" si="160"/>
        <v>X--------X</v>
      </c>
      <c r="AH531" t="str">
        <f t="shared" si="165"/>
        <v>X--------X</v>
      </c>
      <c r="AI531" t="str">
        <f t="shared" si="150"/>
        <v>X-----X</v>
      </c>
      <c r="AJ531" t="str">
        <f t="shared" si="151"/>
        <v>X-----X</v>
      </c>
    </row>
    <row r="532" spans="1:36" x14ac:dyDescent="0.25">
      <c r="P532" t="str">
        <f t="shared" si="152"/>
        <v/>
      </c>
      <c r="Q532" t="str">
        <f t="shared" si="152"/>
        <v/>
      </c>
      <c r="R532" t="str">
        <f t="shared" si="161"/>
        <v/>
      </c>
      <c r="S532" t="str">
        <f t="shared" si="153"/>
        <v/>
      </c>
      <c r="T532" t="str">
        <f t="shared" si="154"/>
        <v/>
      </c>
      <c r="U532" t="str">
        <f t="shared" si="158"/>
        <v/>
      </c>
      <c r="V532" t="str">
        <f t="shared" si="162"/>
        <v/>
      </c>
      <c r="W532" t="str">
        <f t="shared" si="155"/>
        <v/>
      </c>
      <c r="X532" t="str">
        <f t="shared" si="159"/>
        <v/>
      </c>
      <c r="Y532" t="str">
        <f t="shared" si="159"/>
        <v/>
      </c>
      <c r="Z532" t="str">
        <f t="shared" si="159"/>
        <v/>
      </c>
      <c r="AA532" t="str">
        <f t="shared" si="163"/>
        <v/>
      </c>
      <c r="AB532" t="str">
        <f t="shared" si="156"/>
        <v/>
      </c>
      <c r="AC532" t="str">
        <f t="shared" si="157"/>
        <v/>
      </c>
      <c r="AD532" t="str">
        <f t="shared" si="158"/>
        <v/>
      </c>
      <c r="AE532" t="str">
        <f t="shared" si="164"/>
        <v/>
      </c>
      <c r="AF532" t="str">
        <f t="shared" si="160"/>
        <v/>
      </c>
      <c r="AG532" t="str">
        <f t="shared" si="160"/>
        <v/>
      </c>
      <c r="AH532" t="str">
        <f t="shared" si="165"/>
        <v/>
      </c>
      <c r="AI532" t="str">
        <f t="shared" si="150"/>
        <v/>
      </c>
      <c r="AJ532" t="str">
        <f t="shared" si="151"/>
        <v/>
      </c>
    </row>
    <row r="533" spans="1:36" x14ac:dyDescent="0.25">
      <c r="A533" t="s">
        <v>419</v>
      </c>
      <c r="P533" t="str">
        <f t="shared" si="152"/>
        <v xml:space="preserve">   1324   23  0 </v>
      </c>
      <c r="Q533" t="str">
        <f t="shared" si="152"/>
        <v xml:space="preserve">   1.096 </v>
      </c>
      <c r="R533" t="str">
        <f t="shared" si="161"/>
        <v xml:space="preserve">     2.0 </v>
      </c>
      <c r="S533" t="str">
        <f t="shared" si="153"/>
        <v xml:space="preserve">     0.0 </v>
      </c>
      <c r="T533" t="str">
        <f t="shared" si="154"/>
        <v xml:space="preserve">    28.0 </v>
      </c>
      <c r="U533" t="str">
        <f t="shared" si="158"/>
        <v xml:space="preserve">         0.0 </v>
      </c>
      <c r="V533" t="str">
        <f t="shared" si="162"/>
        <v xml:space="preserve">     4.3 </v>
      </c>
      <c r="W533" t="str">
        <f t="shared" si="155"/>
        <v xml:space="preserve">     0.0</v>
      </c>
      <c r="X533" t="str">
        <f t="shared" si="159"/>
        <v/>
      </c>
      <c r="Y533" t="str">
        <f t="shared" si="159"/>
        <v/>
      </c>
      <c r="Z533" t="str">
        <f t="shared" si="159"/>
        <v/>
      </c>
      <c r="AA533" t="str">
        <f t="shared" si="163"/>
        <v/>
      </c>
      <c r="AB533" t="str">
        <f t="shared" si="156"/>
        <v/>
      </c>
      <c r="AC533" t="str">
        <f t="shared" si="157"/>
        <v/>
      </c>
      <c r="AD533" t="str">
        <f t="shared" si="158"/>
        <v/>
      </c>
      <c r="AE533" t="str">
        <f t="shared" si="164"/>
        <v/>
      </c>
      <c r="AF533" t="str">
        <f t="shared" si="160"/>
        <v/>
      </c>
      <c r="AG533" t="str">
        <f t="shared" si="160"/>
        <v/>
      </c>
      <c r="AH533" t="str">
        <f t="shared" si="165"/>
        <v/>
      </c>
      <c r="AI533" t="str">
        <f t="shared" si="150"/>
        <v/>
      </c>
      <c r="AJ533" t="str">
        <f t="shared" si="151"/>
        <v/>
      </c>
    </row>
    <row r="534" spans="1:36" x14ac:dyDescent="0.25">
      <c r="A534" t="s">
        <v>420</v>
      </c>
      <c r="P534" t="str">
        <f t="shared" si="152"/>
        <v xml:space="preserve">  CANO1A-RS023  </v>
      </c>
      <c r="Q534" t="str">
        <f t="shared" si="152"/>
        <v xml:space="preserve">   -55.9 </v>
      </c>
      <c r="R534" t="str">
        <f t="shared" si="161"/>
        <v xml:space="preserve">     0.0 </v>
      </c>
      <c r="S534" t="str">
        <f t="shared" si="153"/>
        <v xml:space="preserve">     0.0 </v>
      </c>
      <c r="T534" t="str">
        <f t="shared" si="154"/>
        <v xml:space="preserve">     6.3 </v>
      </c>
      <c r="U534" t="str">
        <f t="shared" si="158"/>
        <v xml:space="preserve">         0.0 </v>
      </c>
      <c r="V534" t="str">
        <f t="shared" si="162"/>
        <v xml:space="preserve">     0.0 </v>
      </c>
      <c r="W534" t="str">
        <f t="shared" si="155"/>
        <v xml:space="preserve">     0.0 </v>
      </c>
      <c r="X534" t="str">
        <f t="shared" si="159"/>
        <v xml:space="preserve">       </v>
      </c>
      <c r="Y534" t="str">
        <f t="shared" si="159"/>
        <v xml:space="preserve">              </v>
      </c>
      <c r="Z534" t="str">
        <f t="shared" si="159"/>
        <v xml:space="preserve">    </v>
      </c>
      <c r="AA534" t="str">
        <f t="shared" si="163"/>
        <v xml:space="preserve">         </v>
      </c>
      <c r="AB534" t="str">
        <f t="shared" si="156"/>
        <v xml:space="preserve">         </v>
      </c>
      <c r="AC534" t="str">
        <f t="shared" si="157"/>
        <v xml:space="preserve">    </v>
      </c>
      <c r="AD534" t="str">
        <f t="shared" si="158"/>
        <v/>
      </c>
      <c r="AE534" t="str">
        <f t="shared" si="164"/>
        <v/>
      </c>
      <c r="AF534" t="str">
        <f t="shared" si="160"/>
        <v/>
      </c>
      <c r="AG534" t="str">
        <f t="shared" si="160"/>
        <v/>
      </c>
      <c r="AH534" t="str">
        <f t="shared" si="165"/>
        <v/>
      </c>
      <c r="AI534" t="str">
        <f t="shared" si="150"/>
        <v/>
      </c>
      <c r="AJ534" t="str">
        <f t="shared" si="151"/>
        <v/>
      </c>
    </row>
    <row r="535" spans="1:36" x14ac:dyDescent="0.25">
      <c r="A535" t="s">
        <v>421</v>
      </c>
      <c r="P535" t="str">
        <f t="shared" si="152"/>
        <v xml:space="preserve">                </v>
      </c>
      <c r="Q535" t="str">
        <f t="shared" si="152"/>
        <v xml:space="preserve">         </v>
      </c>
      <c r="R535" t="str">
        <f t="shared" si="161"/>
        <v xml:space="preserve">    75.0 </v>
      </c>
      <c r="S535" t="str">
        <f t="shared" si="153"/>
        <v xml:space="preserve">    90.0 </v>
      </c>
      <c r="T535" t="str">
        <f t="shared" si="154"/>
        <v xml:space="preserve">    90.0 </v>
      </c>
      <c r="U535" t="str">
        <f t="shared" si="158"/>
        <v xml:space="preserve">       31.7% </v>
      </c>
      <c r="V535" t="str">
        <f t="shared" si="162"/>
        <v xml:space="preserve">         </v>
      </c>
      <c r="W535" t="str">
        <f t="shared" si="155"/>
        <v xml:space="preserve">         </v>
      </c>
      <c r="X535" t="str">
        <f t="shared" si="159"/>
        <v xml:space="preserve"> 41253 </v>
      </c>
      <c r="Y535" t="str">
        <f t="shared" si="159"/>
        <v xml:space="preserve"> CNA1-1-RS000 </v>
      </c>
      <c r="Z535" t="str">
        <f t="shared" si="159"/>
        <v xml:space="preserve">  1 </v>
      </c>
      <c r="AA535" t="str">
        <f t="shared" si="163"/>
        <v xml:space="preserve">   -26.0 </v>
      </c>
      <c r="AB535" t="str">
        <f t="shared" si="156"/>
        <v xml:space="preserve">    -2.0 </v>
      </c>
      <c r="AC535" t="str">
        <f t="shared" si="157"/>
        <v xml:space="preserve">    23.8 </v>
      </c>
      <c r="AD535" t="str">
        <f t="shared" si="158"/>
        <v xml:space="preserve"> 1.000F </v>
      </c>
      <c r="AE535" t="str">
        <f t="shared" si="164"/>
        <v xml:space="preserve">       </v>
      </c>
      <c r="AF535" t="str">
        <f t="shared" si="160"/>
        <v xml:space="preserve"> 002 </v>
      </c>
      <c r="AG535" t="str">
        <f t="shared" si="160"/>
        <v xml:space="preserve">     0.00 </v>
      </c>
      <c r="AH535" t="str">
        <f t="shared" si="165"/>
        <v xml:space="preserve">    -0.04 </v>
      </c>
      <c r="AI535" t="str">
        <f t="shared" ref="AI535:AI598" si="166">MID($A535,AG$8+AG$9+AH$9-2,AI$9)</f>
        <v xml:space="preserve">       </v>
      </c>
      <c r="AJ535" t="str">
        <f t="shared" ref="AJ535:AJ598" si="167">MID($A535,AG$8+AG$9+AH$9+AI$9-3,AJ$9)</f>
        <v xml:space="preserve">      </v>
      </c>
    </row>
    <row r="536" spans="1:36" x14ac:dyDescent="0.25">
      <c r="A536" t="s">
        <v>14</v>
      </c>
      <c r="P536" t="str">
        <f t="shared" si="152"/>
        <v xml:space="preserve">  ..............</v>
      </c>
      <c r="Q536" t="str">
        <f t="shared" si="152"/>
        <v>.........</v>
      </c>
      <c r="R536" t="str">
        <f t="shared" si="161"/>
        <v>.........</v>
      </c>
      <c r="S536" t="str">
        <f t="shared" si="153"/>
        <v>.........</v>
      </c>
      <c r="T536" t="str">
        <f t="shared" si="154"/>
        <v>.........</v>
      </c>
      <c r="U536" t="str">
        <f t="shared" si="158"/>
        <v>.............</v>
      </c>
      <c r="V536" t="str">
        <f t="shared" si="162"/>
        <v>.........</v>
      </c>
      <c r="W536" t="str">
        <f t="shared" si="155"/>
        <v>.........</v>
      </c>
      <c r="X536" t="str">
        <f t="shared" si="159"/>
        <v>.......</v>
      </c>
      <c r="Y536" t="str">
        <f t="shared" si="159"/>
        <v>..............</v>
      </c>
      <c r="Z536" t="str">
        <f t="shared" si="159"/>
        <v>....</v>
      </c>
      <c r="AA536" t="str">
        <f t="shared" si="163"/>
        <v>.........</v>
      </c>
      <c r="AB536" t="str">
        <f t="shared" si="156"/>
        <v>.........</v>
      </c>
      <c r="AC536" t="str">
        <f t="shared" si="157"/>
        <v>.........</v>
      </c>
      <c r="AD536" t="str">
        <f t="shared" si="158"/>
        <v>........</v>
      </c>
      <c r="AE536" t="str">
        <f t="shared" si="164"/>
        <v>.......</v>
      </c>
      <c r="AF536" t="str">
        <f t="shared" si="160"/>
        <v>.....</v>
      </c>
      <c r="AG536" t="str">
        <f t="shared" si="160"/>
        <v>..........</v>
      </c>
      <c r="AH536" t="str">
        <f t="shared" si="165"/>
        <v>..........</v>
      </c>
      <c r="AI536" t="str">
        <f t="shared" si="166"/>
        <v>.......</v>
      </c>
      <c r="AJ536" t="str">
        <f t="shared" si="167"/>
        <v>.......</v>
      </c>
    </row>
    <row r="537" spans="1:36" x14ac:dyDescent="0.25">
      <c r="A537" t="s">
        <v>422</v>
      </c>
      <c r="P537" t="str">
        <f t="shared" si="152"/>
        <v xml:space="preserve">   1326  138  0 </v>
      </c>
      <c r="Q537" t="str">
        <f t="shared" si="152"/>
        <v xml:space="preserve">   1.047 </v>
      </c>
      <c r="R537" t="str">
        <f t="shared" si="161"/>
        <v xml:space="preserve">     0.0 </v>
      </c>
      <c r="S537" t="str">
        <f t="shared" si="153"/>
        <v xml:space="preserve">     0.0 </v>
      </c>
      <c r="T537" t="str">
        <f t="shared" si="154"/>
        <v xml:space="preserve">     0.0 </v>
      </c>
      <c r="U537" t="str">
        <f t="shared" si="158"/>
        <v xml:space="preserve">         0.0 </v>
      </c>
      <c r="V537" t="str">
        <f t="shared" si="162"/>
        <v xml:space="preserve">     0.0 </v>
      </c>
      <c r="W537" t="str">
        <f t="shared" si="155"/>
        <v xml:space="preserve">     0.0</v>
      </c>
      <c r="X537" t="str">
        <f t="shared" si="159"/>
        <v/>
      </c>
      <c r="Y537" t="str">
        <f t="shared" si="159"/>
        <v/>
      </c>
      <c r="Z537" t="str">
        <f t="shared" si="159"/>
        <v/>
      </c>
      <c r="AA537" t="str">
        <f t="shared" si="163"/>
        <v/>
      </c>
      <c r="AB537" t="str">
        <f t="shared" si="156"/>
        <v/>
      </c>
      <c r="AC537" t="str">
        <f t="shared" si="157"/>
        <v/>
      </c>
      <c r="AD537" t="str">
        <f t="shared" si="158"/>
        <v/>
      </c>
      <c r="AE537" t="str">
        <f t="shared" si="164"/>
        <v/>
      </c>
      <c r="AF537" t="str">
        <f t="shared" si="160"/>
        <v/>
      </c>
      <c r="AG537" t="str">
        <f t="shared" si="160"/>
        <v/>
      </c>
      <c r="AH537" t="str">
        <f t="shared" si="165"/>
        <v/>
      </c>
      <c r="AI537" t="str">
        <f t="shared" si="166"/>
        <v/>
      </c>
      <c r="AJ537" t="str">
        <f t="shared" si="167"/>
        <v/>
      </c>
    </row>
    <row r="538" spans="1:36" x14ac:dyDescent="0.25">
      <c r="A538" t="s">
        <v>423</v>
      </c>
      <c r="P538" t="str">
        <f t="shared" si="152"/>
        <v xml:space="preserve">  LVERM2-RS138  </v>
      </c>
      <c r="Q538" t="str">
        <f t="shared" si="152"/>
        <v xml:space="preserve">   -44.2 </v>
      </c>
      <c r="R538" t="str">
        <f t="shared" si="161"/>
        <v xml:space="preserve">     0.0 </v>
      </c>
      <c r="S538" t="str">
        <f t="shared" si="153"/>
        <v xml:space="preserve">     0.0 </v>
      </c>
      <c r="T538" t="str">
        <f t="shared" si="154"/>
        <v xml:space="preserve">     0.0 </v>
      </c>
      <c r="U538" t="str">
        <f t="shared" si="158"/>
        <v xml:space="preserve">         0.0 </v>
      </c>
      <c r="V538" t="str">
        <f t="shared" si="162"/>
        <v xml:space="preserve">     0.0 </v>
      </c>
      <c r="W538" t="str">
        <f t="shared" si="155"/>
        <v xml:space="preserve">     0.0 </v>
      </c>
      <c r="X538" t="str">
        <f t="shared" si="159"/>
        <v xml:space="preserve">       </v>
      </c>
      <c r="Y538" t="str">
        <f t="shared" si="159"/>
        <v xml:space="preserve">              </v>
      </c>
      <c r="Z538" t="str">
        <f t="shared" si="159"/>
        <v xml:space="preserve">    </v>
      </c>
      <c r="AA538" t="str">
        <f t="shared" si="163"/>
        <v xml:space="preserve">         </v>
      </c>
      <c r="AB538" t="str">
        <f t="shared" si="156"/>
        <v xml:space="preserve">         </v>
      </c>
      <c r="AC538" t="str">
        <f t="shared" si="157"/>
        <v xml:space="preserve">    </v>
      </c>
      <c r="AD538" t="str">
        <f t="shared" si="158"/>
        <v/>
      </c>
      <c r="AE538" t="str">
        <f t="shared" si="164"/>
        <v/>
      </c>
      <c r="AF538" t="str">
        <f t="shared" si="160"/>
        <v/>
      </c>
      <c r="AG538" t="str">
        <f t="shared" si="160"/>
        <v/>
      </c>
      <c r="AH538" t="str">
        <f t="shared" si="165"/>
        <v/>
      </c>
      <c r="AI538" t="str">
        <f t="shared" si="166"/>
        <v/>
      </c>
      <c r="AJ538" t="str">
        <f t="shared" si="167"/>
        <v/>
      </c>
    </row>
    <row r="539" spans="1:36" x14ac:dyDescent="0.25">
      <c r="A539" t="s">
        <v>424</v>
      </c>
      <c r="P539" t="str">
        <f t="shared" ref="P539:Q602" si="168">MID($A539,P$8,P$9)</f>
        <v xml:space="preserve">                </v>
      </c>
      <c r="Q539" t="str">
        <f t="shared" si="168"/>
        <v xml:space="preserve">         </v>
      </c>
      <c r="R539" t="str">
        <f t="shared" si="161"/>
        <v xml:space="preserve">   143.0 </v>
      </c>
      <c r="S539" t="str">
        <f t="shared" ref="S539:S602" si="169">MID($A539,Q$8+Q$9+R$9-2,S$9)</f>
        <v xml:space="preserve">   143.0 </v>
      </c>
      <c r="T539" t="str">
        <f t="shared" ref="T539:T602" si="170">MID($A539,Q$8+Q$9+R$9+S$9-3,T$9)</f>
        <v xml:space="preserve">   143.0 </v>
      </c>
      <c r="U539" t="str">
        <f t="shared" si="158"/>
        <v xml:space="preserve">       17.1% </v>
      </c>
      <c r="V539" t="str">
        <f t="shared" si="162"/>
        <v xml:space="preserve">         </v>
      </c>
      <c r="W539" t="str">
        <f t="shared" ref="W539:W602" si="171">MID($A539,U$8+U$9+V$9-2,W$9)</f>
        <v xml:space="preserve">         </v>
      </c>
      <c r="X539" t="str">
        <f t="shared" si="159"/>
        <v xml:space="preserve">  1221 </v>
      </c>
      <c r="Y539" t="str">
        <f t="shared" si="159"/>
        <v xml:space="preserve"> LVERM1-RS138 </v>
      </c>
      <c r="Z539" t="str">
        <f t="shared" si="159"/>
        <v xml:space="preserve">  1 </v>
      </c>
      <c r="AA539" t="str">
        <f t="shared" si="163"/>
        <v xml:space="preserve">    24.6 </v>
      </c>
      <c r="AB539" t="str">
        <f t="shared" ref="AB539:AB602" si="172">MID($A539,Z$8+Z$9+AA$9-2,AB$9)</f>
        <v xml:space="preserve">     7.0 </v>
      </c>
      <c r="AC539" t="str">
        <f t="shared" ref="AC539:AC602" si="173">MID($A539,Z$8+Z$9+AA$9+AB$9-3,AC$9)</f>
        <v xml:space="preserve">    24.5 </v>
      </c>
      <c r="AD539" t="str">
        <f t="shared" si="158"/>
        <v xml:space="preserve">        </v>
      </c>
      <c r="AE539" t="str">
        <f t="shared" si="164"/>
        <v xml:space="preserve">       </v>
      </c>
      <c r="AF539" t="str">
        <f t="shared" si="160"/>
        <v xml:space="preserve">     </v>
      </c>
      <c r="AG539" t="str">
        <f t="shared" si="160"/>
        <v xml:space="preserve">     0.03 </v>
      </c>
      <c r="AH539" t="str">
        <f t="shared" si="165"/>
        <v xml:space="preserve">    -0.34 </v>
      </c>
      <c r="AI539" t="str">
        <f t="shared" si="166"/>
        <v xml:space="preserve">       </v>
      </c>
      <c r="AJ539" t="str">
        <f t="shared" si="167"/>
        <v xml:space="preserve">      </v>
      </c>
    </row>
    <row r="540" spans="1:36" x14ac:dyDescent="0.25">
      <c r="A540" t="s">
        <v>425</v>
      </c>
      <c r="P540" t="str">
        <f t="shared" si="168"/>
        <v xml:space="preserve">              DE</v>
      </c>
      <c r="Q540" t="str">
        <f t="shared" si="168"/>
        <v xml:space="preserve">ESLIGADO </v>
      </c>
      <c r="R540" t="str">
        <f t="shared" si="161"/>
        <v xml:space="preserve">    82.0 </v>
      </c>
      <c r="S540" t="str">
        <f t="shared" si="169"/>
        <v xml:space="preserve">   118.0 </v>
      </c>
      <c r="T540" t="str">
        <f t="shared" si="170"/>
        <v xml:space="preserve">   118.0 </v>
      </c>
      <c r="U540" t="str">
        <f t="shared" ref="U540:AD603" si="174">MID($A540,U$8,U$9)</f>
        <v xml:space="preserve">             </v>
      </c>
      <c r="V540" t="str">
        <f t="shared" si="162"/>
        <v xml:space="preserve">         </v>
      </c>
      <c r="W540" t="str">
        <f t="shared" si="171"/>
        <v xml:space="preserve">         </v>
      </c>
      <c r="X540" t="str">
        <f t="shared" ref="X540:Z603" si="175">MID($A540,X$8,X$9)</f>
        <v xml:space="preserve">  1328 </v>
      </c>
      <c r="Y540" t="str">
        <f t="shared" si="175"/>
        <v xml:space="preserve"> VACARI-RS138 </v>
      </c>
      <c r="Z540" t="str">
        <f t="shared" si="175"/>
        <v xml:space="preserve">  1 </v>
      </c>
      <c r="AA540" t="str">
        <f t="shared" si="163"/>
        <v xml:space="preserve">     0.0 </v>
      </c>
      <c r="AB540" t="str">
        <f t="shared" si="172"/>
        <v xml:space="preserve">     0.0 </v>
      </c>
      <c r="AC540" t="str">
        <f t="shared" si="173"/>
        <v xml:space="preserve">     0.0 </v>
      </c>
      <c r="AD540" t="str">
        <f t="shared" si="174"/>
        <v xml:space="preserve">        </v>
      </c>
      <c r="AE540" t="str">
        <f t="shared" si="164"/>
        <v xml:space="preserve">       </v>
      </c>
      <c r="AF540" t="str">
        <f t="shared" si="160"/>
        <v xml:space="preserve">     </v>
      </c>
      <c r="AG540" t="str">
        <f t="shared" si="160"/>
        <v xml:space="preserve">     0.00 </v>
      </c>
      <c r="AH540" t="str">
        <f t="shared" si="165"/>
        <v xml:space="preserve">     0.00 </v>
      </c>
      <c r="AI540" t="str">
        <f t="shared" si="166"/>
        <v xml:space="preserve">       </v>
      </c>
      <c r="AJ540" t="str">
        <f t="shared" si="167"/>
        <v xml:space="preserve">      </v>
      </c>
    </row>
    <row r="541" spans="1:36" x14ac:dyDescent="0.25">
      <c r="A541" t="s">
        <v>426</v>
      </c>
      <c r="P541" t="str">
        <f t="shared" si="168"/>
        <v xml:space="preserve">                </v>
      </c>
      <c r="Q541" t="str">
        <f t="shared" si="168"/>
        <v xml:space="preserve">         </v>
      </c>
      <c r="R541" t="str">
        <f t="shared" si="161"/>
        <v xml:space="preserve">   167.0 </v>
      </c>
      <c r="S541" t="str">
        <f t="shared" si="169"/>
        <v xml:space="preserve">   203.0 </v>
      </c>
      <c r="T541" t="str">
        <f t="shared" si="170"/>
        <v xml:space="preserve">   203.0 </v>
      </c>
      <c r="U541" t="str">
        <f t="shared" si="174"/>
        <v xml:space="preserve">       42.6% </v>
      </c>
      <c r="V541" t="str">
        <f t="shared" si="162"/>
        <v xml:space="preserve">         </v>
      </c>
      <c r="W541" t="str">
        <f t="shared" si="171"/>
        <v xml:space="preserve">         </v>
      </c>
      <c r="X541" t="str">
        <f t="shared" si="175"/>
        <v xml:space="preserve">  9679 </v>
      </c>
      <c r="Y541" t="str">
        <f t="shared" si="175"/>
        <v xml:space="preserve"> SANANDTAP138 </v>
      </c>
      <c r="Z541" t="str">
        <f t="shared" si="175"/>
        <v xml:space="preserve">  1 </v>
      </c>
      <c r="AA541" t="str">
        <f t="shared" si="163"/>
        <v xml:space="preserve">    69.8 </v>
      </c>
      <c r="AB541" t="str">
        <f t="shared" si="172"/>
        <v xml:space="preserve">    25.9 </v>
      </c>
      <c r="AC541" t="str">
        <f t="shared" si="173"/>
        <v xml:space="preserve">    71.2 </v>
      </c>
      <c r="AD541" t="str">
        <f t="shared" si="174"/>
        <v xml:space="preserve">        </v>
      </c>
      <c r="AE541" t="str">
        <f t="shared" si="164"/>
        <v xml:space="preserve">       </v>
      </c>
      <c r="AF541" t="str">
        <f t="shared" ref="AF541:AG604" si="176">MID($A541,AF$8,AF$9)</f>
        <v xml:space="preserve">     </v>
      </c>
      <c r="AG541" t="str">
        <f t="shared" si="176"/>
        <v xml:space="preserve">     0.86 </v>
      </c>
      <c r="AH541" t="str">
        <f t="shared" si="165"/>
        <v xml:space="preserve">     1.61 </v>
      </c>
      <c r="AI541" t="str">
        <f t="shared" si="166"/>
        <v xml:space="preserve">       </v>
      </c>
      <c r="AJ541" t="str">
        <f t="shared" si="167"/>
        <v xml:space="preserve">      </v>
      </c>
    </row>
    <row r="542" spans="1:36" x14ac:dyDescent="0.25">
      <c r="A542" t="s">
        <v>427</v>
      </c>
      <c r="P542" t="str">
        <f t="shared" si="168"/>
        <v xml:space="preserve">                </v>
      </c>
      <c r="Q542" t="str">
        <f t="shared" si="168"/>
        <v xml:space="preserve">         </v>
      </c>
      <c r="R542" t="str">
        <f t="shared" si="161"/>
        <v xml:space="preserve">   150.0 </v>
      </c>
      <c r="S542" t="str">
        <f t="shared" si="169"/>
        <v xml:space="preserve">   150.0 </v>
      </c>
      <c r="T542" t="str">
        <f t="shared" si="170"/>
        <v xml:space="preserve">   150.0 </v>
      </c>
      <c r="U542" t="str">
        <f t="shared" si="174"/>
        <v xml:space="preserve">       31.5% </v>
      </c>
      <c r="V542" t="str">
        <f t="shared" si="162"/>
        <v xml:space="preserve">         </v>
      </c>
      <c r="W542" t="str">
        <f t="shared" si="171"/>
        <v xml:space="preserve">         </v>
      </c>
      <c r="X542" t="str">
        <f t="shared" si="175"/>
        <v xml:space="preserve"> 41289 </v>
      </c>
      <c r="Y542" t="str">
        <f t="shared" si="175"/>
        <v xml:space="preserve"> LVE-1--RS000 </v>
      </c>
      <c r="Z542" t="str">
        <f t="shared" si="175"/>
        <v xml:space="preserve">  1 </v>
      </c>
      <c r="AA542" t="str">
        <f t="shared" si="163"/>
        <v xml:space="preserve">   -46.5 </v>
      </c>
      <c r="AB542" t="str">
        <f t="shared" si="172"/>
        <v xml:space="preserve">   -16.8 </v>
      </c>
      <c r="AC542" t="str">
        <f t="shared" si="173"/>
        <v xml:space="preserve">    47.2 </v>
      </c>
      <c r="AD542" t="str">
        <f t="shared" si="174"/>
        <v xml:space="preserve"> 1.000F </v>
      </c>
      <c r="AE542" t="str">
        <f t="shared" si="164"/>
        <v xml:space="preserve">       </v>
      </c>
      <c r="AF542" t="str">
        <f t="shared" si="176"/>
        <v xml:space="preserve"> 002 </v>
      </c>
      <c r="AG542" t="str">
        <f t="shared" si="176"/>
        <v xml:space="preserve">     0.00 </v>
      </c>
      <c r="AH542" t="str">
        <f t="shared" si="165"/>
        <v xml:space="preserve">    -0.13 </v>
      </c>
      <c r="AI542" t="str">
        <f t="shared" si="166"/>
        <v xml:space="preserve">       </v>
      </c>
      <c r="AJ542" t="str">
        <f t="shared" si="167"/>
        <v xml:space="preserve">      </v>
      </c>
    </row>
    <row r="543" spans="1:36" x14ac:dyDescent="0.25">
      <c r="A543" t="s">
        <v>428</v>
      </c>
      <c r="P543" t="str">
        <f t="shared" si="168"/>
        <v xml:space="preserve">                </v>
      </c>
      <c r="Q543" t="str">
        <f t="shared" si="168"/>
        <v xml:space="preserve">         </v>
      </c>
      <c r="R543" t="str">
        <f t="shared" si="161"/>
        <v xml:space="preserve">   150.0 </v>
      </c>
      <c r="S543" t="str">
        <f t="shared" si="169"/>
        <v xml:space="preserve">   180.0 </v>
      </c>
      <c r="T543" t="str">
        <f t="shared" si="170"/>
        <v xml:space="preserve">   180.0 </v>
      </c>
      <c r="U543" t="str">
        <f t="shared" si="174"/>
        <v xml:space="preserve">       32.2% </v>
      </c>
      <c r="V543" t="str">
        <f t="shared" si="162"/>
        <v xml:space="preserve">         </v>
      </c>
      <c r="W543" t="str">
        <f t="shared" si="171"/>
        <v xml:space="preserve">         </v>
      </c>
      <c r="X543" t="str">
        <f t="shared" si="175"/>
        <v xml:space="preserve"> 41290 </v>
      </c>
      <c r="Y543" t="str">
        <f t="shared" si="175"/>
        <v xml:space="preserve"> LVE-2--RS000 </v>
      </c>
      <c r="Z543" t="str">
        <f t="shared" si="175"/>
        <v xml:space="preserve">  2 </v>
      </c>
      <c r="AA543" t="str">
        <f t="shared" si="163"/>
        <v xml:space="preserve">   -48.0 </v>
      </c>
      <c r="AB543" t="str">
        <f t="shared" si="172"/>
        <v xml:space="preserve">   -16.2 </v>
      </c>
      <c r="AC543" t="str">
        <f t="shared" si="173"/>
        <v xml:space="preserve">    48.4 </v>
      </c>
      <c r="AD543" t="str">
        <f t="shared" si="174"/>
        <v xml:space="preserve"> 1.000F </v>
      </c>
      <c r="AE543" t="str">
        <f t="shared" si="164"/>
        <v xml:space="preserve">       </v>
      </c>
      <c r="AF543" t="str">
        <f t="shared" si="176"/>
        <v xml:space="preserve"> 002 </v>
      </c>
      <c r="AG543" t="str">
        <f t="shared" si="176"/>
        <v xml:space="preserve">     0.03 </v>
      </c>
      <c r="AH543" t="str">
        <f t="shared" si="165"/>
        <v xml:space="preserve">    -0.13 </v>
      </c>
      <c r="AI543" t="str">
        <f t="shared" si="166"/>
        <v xml:space="preserve">       </v>
      </c>
      <c r="AJ543" t="str">
        <f t="shared" si="167"/>
        <v xml:space="preserve">      </v>
      </c>
    </row>
    <row r="544" spans="1:36" x14ac:dyDescent="0.25">
      <c r="A544" t="s">
        <v>14</v>
      </c>
      <c r="P544" t="str">
        <f t="shared" si="168"/>
        <v xml:space="preserve">  ..............</v>
      </c>
      <c r="Q544" t="str">
        <f t="shared" si="168"/>
        <v>.........</v>
      </c>
      <c r="R544" t="str">
        <f t="shared" si="161"/>
        <v>.........</v>
      </c>
      <c r="S544" t="str">
        <f t="shared" si="169"/>
        <v>.........</v>
      </c>
      <c r="T544" t="str">
        <f t="shared" si="170"/>
        <v>.........</v>
      </c>
      <c r="U544" t="str">
        <f t="shared" si="174"/>
        <v>.............</v>
      </c>
      <c r="V544" t="str">
        <f t="shared" si="162"/>
        <v>.........</v>
      </c>
      <c r="W544" t="str">
        <f t="shared" si="171"/>
        <v>.........</v>
      </c>
      <c r="X544" t="str">
        <f t="shared" si="175"/>
        <v>.......</v>
      </c>
      <c r="Y544" t="str">
        <f t="shared" si="175"/>
        <v>..............</v>
      </c>
      <c r="Z544" t="str">
        <f t="shared" si="175"/>
        <v>....</v>
      </c>
      <c r="AA544" t="str">
        <f t="shared" si="163"/>
        <v>.........</v>
      </c>
      <c r="AB544" t="str">
        <f t="shared" si="172"/>
        <v>.........</v>
      </c>
      <c r="AC544" t="str">
        <f t="shared" si="173"/>
        <v>.........</v>
      </c>
      <c r="AD544" t="str">
        <f t="shared" si="174"/>
        <v>........</v>
      </c>
      <c r="AE544" t="str">
        <f t="shared" si="164"/>
        <v>.......</v>
      </c>
      <c r="AF544" t="str">
        <f t="shared" si="176"/>
        <v>.....</v>
      </c>
      <c r="AG544" t="str">
        <f t="shared" si="176"/>
        <v>..........</v>
      </c>
      <c r="AH544" t="str">
        <f t="shared" si="165"/>
        <v>..........</v>
      </c>
      <c r="AI544" t="str">
        <f t="shared" si="166"/>
        <v>.......</v>
      </c>
      <c r="AJ544" t="str">
        <f t="shared" si="167"/>
        <v>.......</v>
      </c>
    </row>
    <row r="545" spans="1:36" x14ac:dyDescent="0.25">
      <c r="A545" t="s">
        <v>429</v>
      </c>
      <c r="P545" t="str">
        <f t="shared" si="168"/>
        <v xml:space="preserve">   1328  138  0 </v>
      </c>
      <c r="Q545" t="str">
        <f t="shared" si="168"/>
        <v xml:space="preserve">   1.005 </v>
      </c>
      <c r="R545" t="str">
        <f t="shared" si="161"/>
        <v xml:space="preserve">    27.8 </v>
      </c>
      <c r="S545" t="str">
        <f t="shared" si="169"/>
        <v xml:space="preserve">     0.0 </v>
      </c>
      <c r="T545" t="str">
        <f t="shared" si="170"/>
        <v xml:space="preserve">    39.2 </v>
      </c>
      <c r="U545" t="str">
        <f t="shared" si="174"/>
        <v xml:space="preserve">         0.0 </v>
      </c>
      <c r="V545" t="str">
        <f t="shared" si="162"/>
        <v xml:space="preserve">     3.6 </v>
      </c>
      <c r="W545" t="str">
        <f t="shared" si="171"/>
        <v xml:space="preserve">     0.0</v>
      </c>
      <c r="X545" t="str">
        <f t="shared" si="175"/>
        <v/>
      </c>
      <c r="Y545" t="str">
        <f t="shared" si="175"/>
        <v/>
      </c>
      <c r="Z545" t="str">
        <f t="shared" si="175"/>
        <v/>
      </c>
      <c r="AA545" t="str">
        <f t="shared" si="163"/>
        <v/>
      </c>
      <c r="AB545" t="str">
        <f t="shared" si="172"/>
        <v/>
      </c>
      <c r="AC545" t="str">
        <f t="shared" si="173"/>
        <v/>
      </c>
      <c r="AD545" t="str">
        <f t="shared" si="174"/>
        <v/>
      </c>
      <c r="AE545" t="str">
        <f t="shared" si="164"/>
        <v/>
      </c>
      <c r="AF545" t="str">
        <f t="shared" si="176"/>
        <v/>
      </c>
      <c r="AG545" t="str">
        <f t="shared" si="176"/>
        <v/>
      </c>
      <c r="AH545" t="str">
        <f t="shared" si="165"/>
        <v/>
      </c>
      <c r="AI545" t="str">
        <f t="shared" si="166"/>
        <v/>
      </c>
      <c r="AJ545" t="str">
        <f t="shared" si="167"/>
        <v/>
      </c>
    </row>
    <row r="546" spans="1:36" x14ac:dyDescent="0.25">
      <c r="A546" t="s">
        <v>430</v>
      </c>
      <c r="P546" t="str">
        <f t="shared" si="168"/>
        <v xml:space="preserve">  VACARI-RS138  </v>
      </c>
      <c r="Q546" t="str">
        <f t="shared" si="168"/>
        <v xml:space="preserve">   -47.9 </v>
      </c>
      <c r="R546" t="str">
        <f t="shared" si="161"/>
        <v xml:space="preserve">     0.0 </v>
      </c>
      <c r="S546" t="str">
        <f t="shared" si="169"/>
        <v xml:space="preserve">     0.0 </v>
      </c>
      <c r="T546" t="str">
        <f t="shared" si="170"/>
        <v xml:space="preserve">    12.4 </v>
      </c>
      <c r="U546" t="str">
        <f t="shared" si="174"/>
        <v xml:space="preserve">         0.0 </v>
      </c>
      <c r="V546" t="str">
        <f t="shared" si="162"/>
        <v xml:space="preserve">     0.0 </v>
      </c>
      <c r="W546" t="str">
        <f t="shared" si="171"/>
        <v xml:space="preserve">     0.0 </v>
      </c>
      <c r="X546" t="str">
        <f t="shared" si="175"/>
        <v xml:space="preserve">       </v>
      </c>
      <c r="Y546" t="str">
        <f t="shared" si="175"/>
        <v xml:space="preserve">              </v>
      </c>
      <c r="Z546" t="str">
        <f t="shared" si="175"/>
        <v xml:space="preserve">    </v>
      </c>
      <c r="AA546" t="str">
        <f t="shared" si="163"/>
        <v xml:space="preserve">         </v>
      </c>
      <c r="AB546" t="str">
        <f t="shared" si="172"/>
        <v xml:space="preserve">         </v>
      </c>
      <c r="AC546" t="str">
        <f t="shared" si="173"/>
        <v xml:space="preserve">    </v>
      </c>
      <c r="AD546" t="str">
        <f t="shared" si="174"/>
        <v/>
      </c>
      <c r="AE546" t="str">
        <f t="shared" si="164"/>
        <v/>
      </c>
      <c r="AF546" t="str">
        <f t="shared" si="176"/>
        <v/>
      </c>
      <c r="AG546" t="str">
        <f t="shared" si="176"/>
        <v/>
      </c>
      <c r="AH546" t="str">
        <f t="shared" si="165"/>
        <v/>
      </c>
      <c r="AI546" t="str">
        <f t="shared" si="166"/>
        <v/>
      </c>
      <c r="AJ546" t="str">
        <f t="shared" si="167"/>
        <v/>
      </c>
    </row>
    <row r="547" spans="1:36" x14ac:dyDescent="0.25">
      <c r="A547" t="s">
        <v>431</v>
      </c>
      <c r="P547" t="str">
        <f t="shared" si="168"/>
        <v xml:space="preserve">              DE</v>
      </c>
      <c r="Q547" t="str">
        <f t="shared" si="168"/>
        <v xml:space="preserve">ESLIGADO </v>
      </c>
      <c r="R547" t="str">
        <f t="shared" si="161"/>
        <v xml:space="preserve">    82.0 </v>
      </c>
      <c r="S547" t="str">
        <f t="shared" si="169"/>
        <v xml:space="preserve">   118.0 </v>
      </c>
      <c r="T547" t="str">
        <f t="shared" si="170"/>
        <v xml:space="preserve">   118.0 </v>
      </c>
      <c r="U547" t="str">
        <f t="shared" si="174"/>
        <v xml:space="preserve">             </v>
      </c>
      <c r="V547" t="str">
        <f t="shared" si="162"/>
        <v xml:space="preserve">         </v>
      </c>
      <c r="W547" t="str">
        <f t="shared" si="171"/>
        <v xml:space="preserve">         </v>
      </c>
      <c r="X547" t="str">
        <f t="shared" si="175"/>
        <v xml:space="preserve">  1326 </v>
      </c>
      <c r="Y547" t="str">
        <f t="shared" si="175"/>
        <v xml:space="preserve"> LVERM2-RS138 </v>
      </c>
      <c r="Z547" t="str">
        <f t="shared" si="175"/>
        <v xml:space="preserve">  1 </v>
      </c>
      <c r="AA547" t="str">
        <f t="shared" si="163"/>
        <v xml:space="preserve">     0.0 </v>
      </c>
      <c r="AB547" t="str">
        <f t="shared" si="172"/>
        <v xml:space="preserve">     0.0 </v>
      </c>
      <c r="AC547" t="str">
        <f t="shared" si="173"/>
        <v xml:space="preserve">     0.0 </v>
      </c>
      <c r="AD547" t="str">
        <f t="shared" si="174"/>
        <v xml:space="preserve">        </v>
      </c>
      <c r="AE547" t="str">
        <f t="shared" si="164"/>
        <v xml:space="preserve">       </v>
      </c>
      <c r="AF547" t="str">
        <f t="shared" si="176"/>
        <v xml:space="preserve">     </v>
      </c>
      <c r="AG547" t="str">
        <f t="shared" si="176"/>
        <v xml:space="preserve">     0.00 </v>
      </c>
      <c r="AH547" t="str">
        <f t="shared" si="165"/>
        <v xml:space="preserve">     0.00 </v>
      </c>
      <c r="AI547" t="str">
        <f t="shared" si="166"/>
        <v xml:space="preserve">       </v>
      </c>
      <c r="AJ547" t="str">
        <f t="shared" si="167"/>
        <v xml:space="preserve">      </v>
      </c>
    </row>
    <row r="548" spans="1:36" x14ac:dyDescent="0.25">
      <c r="A548" t="s">
        <v>432</v>
      </c>
      <c r="P548" t="str">
        <f t="shared" si="168"/>
        <v xml:space="preserve">                </v>
      </c>
      <c r="Q548" t="str">
        <f t="shared" si="168"/>
        <v xml:space="preserve">         </v>
      </c>
      <c r="R548" t="str">
        <f t="shared" si="161"/>
        <v xml:space="preserve">   167.0 </v>
      </c>
      <c r="S548" t="str">
        <f t="shared" si="169"/>
        <v xml:space="preserve">   203.0 </v>
      </c>
      <c r="T548" t="str">
        <f t="shared" si="170"/>
        <v xml:space="preserve">   203.0 </v>
      </c>
      <c r="U548" t="str">
        <f t="shared" si="174"/>
        <v xml:space="preserve">        8.6% </v>
      </c>
      <c r="V548" t="str">
        <f t="shared" si="162"/>
        <v xml:space="preserve">         </v>
      </c>
      <c r="W548" t="str">
        <f t="shared" si="171"/>
        <v xml:space="preserve">         </v>
      </c>
      <c r="X548" t="str">
        <f t="shared" si="175"/>
        <v xml:space="preserve">  9594 </v>
      </c>
      <c r="Y548" t="str">
        <f t="shared" si="175"/>
        <v xml:space="preserve"> LAGEGR-RS138 </v>
      </c>
      <c r="Z548" t="str">
        <f t="shared" si="175"/>
        <v xml:space="preserve">  1 </v>
      </c>
      <c r="AA548" t="str">
        <f t="shared" si="163"/>
        <v xml:space="preserve">   -11.4 </v>
      </c>
      <c r="AB548" t="str">
        <f t="shared" si="172"/>
        <v xml:space="preserve">    -8.8 </v>
      </c>
      <c r="AC548" t="str">
        <f t="shared" si="173"/>
        <v xml:space="preserve">    14.3 </v>
      </c>
      <c r="AD548" t="str">
        <f t="shared" si="174"/>
        <v xml:space="preserve">        </v>
      </c>
      <c r="AE548" t="str">
        <f t="shared" si="164"/>
        <v xml:space="preserve">       </v>
      </c>
      <c r="AF548" t="str">
        <f t="shared" si="176"/>
        <v xml:space="preserve">     </v>
      </c>
      <c r="AG548" t="str">
        <f t="shared" si="176"/>
        <v xml:space="preserve">     0.09 </v>
      </c>
      <c r="AH548" t="str">
        <f t="shared" si="165"/>
        <v xml:space="preserve">    -4.27 </v>
      </c>
      <c r="AI548" t="str">
        <f t="shared" si="166"/>
        <v xml:space="preserve">       </v>
      </c>
      <c r="AJ548" t="str">
        <f t="shared" si="167"/>
        <v xml:space="preserve">      </v>
      </c>
    </row>
    <row r="549" spans="1:36" x14ac:dyDescent="0.25">
      <c r="A549" t="s">
        <v>14</v>
      </c>
      <c r="P549" t="str">
        <f t="shared" si="168"/>
        <v xml:space="preserve">  ..............</v>
      </c>
      <c r="Q549" t="str">
        <f t="shared" si="168"/>
        <v>.........</v>
      </c>
      <c r="R549" t="str">
        <f t="shared" si="161"/>
        <v>.........</v>
      </c>
      <c r="S549" t="str">
        <f t="shared" si="169"/>
        <v>.........</v>
      </c>
      <c r="T549" t="str">
        <f t="shared" si="170"/>
        <v>.........</v>
      </c>
      <c r="U549" t="str">
        <f t="shared" si="174"/>
        <v>.............</v>
      </c>
      <c r="V549" t="str">
        <f t="shared" si="162"/>
        <v>.........</v>
      </c>
      <c r="W549" t="str">
        <f t="shared" si="171"/>
        <v>.........</v>
      </c>
      <c r="X549" t="str">
        <f t="shared" si="175"/>
        <v>.......</v>
      </c>
      <c r="Y549" t="str">
        <f t="shared" si="175"/>
        <v>..............</v>
      </c>
      <c r="Z549" t="str">
        <f t="shared" si="175"/>
        <v>....</v>
      </c>
      <c r="AA549" t="str">
        <f t="shared" si="163"/>
        <v>.........</v>
      </c>
      <c r="AB549" t="str">
        <f t="shared" si="172"/>
        <v>.........</v>
      </c>
      <c r="AC549" t="str">
        <f t="shared" si="173"/>
        <v>.........</v>
      </c>
      <c r="AD549" t="str">
        <f t="shared" si="174"/>
        <v>........</v>
      </c>
      <c r="AE549" t="str">
        <f t="shared" si="164"/>
        <v>.......</v>
      </c>
      <c r="AF549" t="str">
        <f t="shared" si="176"/>
        <v>.....</v>
      </c>
      <c r="AG549" t="str">
        <f t="shared" si="176"/>
        <v>..........</v>
      </c>
      <c r="AH549" t="str">
        <f t="shared" si="165"/>
        <v>..........</v>
      </c>
      <c r="AI549" t="str">
        <f t="shared" si="166"/>
        <v>.......</v>
      </c>
      <c r="AJ549" t="str">
        <f t="shared" si="167"/>
        <v>.......</v>
      </c>
    </row>
    <row r="550" spans="1:36" x14ac:dyDescent="0.25">
      <c r="A550" t="s">
        <v>433</v>
      </c>
      <c r="P550" t="str">
        <f t="shared" si="168"/>
        <v xml:space="preserve">   1331   69  0 </v>
      </c>
      <c r="Q550" t="str">
        <f t="shared" si="168"/>
        <v xml:space="preserve">   1.006 </v>
      </c>
      <c r="R550" t="str">
        <f t="shared" si="161"/>
        <v xml:space="preserve">    10.5 </v>
      </c>
      <c r="S550" t="str">
        <f t="shared" si="169"/>
        <v xml:space="preserve">     0.0 </v>
      </c>
      <c r="T550" t="str">
        <f t="shared" si="170"/>
        <v xml:space="preserve">    49.2 </v>
      </c>
      <c r="U550" t="str">
        <f t="shared" si="174"/>
        <v xml:space="preserve">         0.0 </v>
      </c>
      <c r="V550" t="str">
        <f t="shared" si="162"/>
        <v xml:space="preserve">     7.3 </v>
      </c>
      <c r="W550" t="str">
        <f t="shared" si="171"/>
        <v xml:space="preserve">     0.0</v>
      </c>
      <c r="X550" t="str">
        <f t="shared" si="175"/>
        <v/>
      </c>
      <c r="Y550" t="str">
        <f t="shared" si="175"/>
        <v/>
      </c>
      <c r="Z550" t="str">
        <f t="shared" si="175"/>
        <v/>
      </c>
      <c r="AA550" t="str">
        <f t="shared" si="163"/>
        <v/>
      </c>
      <c r="AB550" t="str">
        <f t="shared" si="172"/>
        <v/>
      </c>
      <c r="AC550" t="str">
        <f t="shared" si="173"/>
        <v/>
      </c>
      <c r="AD550" t="str">
        <f t="shared" si="174"/>
        <v/>
      </c>
      <c r="AE550" t="str">
        <f t="shared" si="164"/>
        <v/>
      </c>
      <c r="AF550" t="str">
        <f t="shared" si="176"/>
        <v/>
      </c>
      <c r="AG550" t="str">
        <f t="shared" si="176"/>
        <v/>
      </c>
      <c r="AH550" t="str">
        <f t="shared" si="165"/>
        <v/>
      </c>
      <c r="AI550" t="str">
        <f t="shared" si="166"/>
        <v/>
      </c>
      <c r="AJ550" t="str">
        <f t="shared" si="167"/>
        <v/>
      </c>
    </row>
    <row r="551" spans="1:36" x14ac:dyDescent="0.25">
      <c r="A551" t="s">
        <v>434</v>
      </c>
      <c r="P551" t="str">
        <f t="shared" si="168"/>
        <v xml:space="preserve">  ATLAN2-RS069  </v>
      </c>
      <c r="Q551" t="str">
        <f t="shared" si="168"/>
        <v xml:space="preserve">   -50.0 </v>
      </c>
      <c r="R551" t="str">
        <f t="shared" si="161"/>
        <v xml:space="preserve">     0.0 </v>
      </c>
      <c r="S551" t="str">
        <f t="shared" si="169"/>
        <v xml:space="preserve">     0.0 </v>
      </c>
      <c r="T551" t="str">
        <f t="shared" si="170"/>
        <v xml:space="preserve">    13.0 </v>
      </c>
      <c r="U551" t="str">
        <f t="shared" si="174"/>
        <v xml:space="preserve">         0.0 </v>
      </c>
      <c r="V551" t="str">
        <f t="shared" si="162"/>
        <v xml:space="preserve">     0.0 </v>
      </c>
      <c r="W551" t="str">
        <f t="shared" si="171"/>
        <v xml:space="preserve">     0.0 </v>
      </c>
      <c r="X551" t="str">
        <f t="shared" si="175"/>
        <v xml:space="preserve">       </v>
      </c>
      <c r="Y551" t="str">
        <f t="shared" si="175"/>
        <v xml:space="preserve">              </v>
      </c>
      <c r="Z551" t="str">
        <f t="shared" si="175"/>
        <v xml:space="preserve">    </v>
      </c>
      <c r="AA551" t="str">
        <f t="shared" si="163"/>
        <v xml:space="preserve">         </v>
      </c>
      <c r="AB551" t="str">
        <f t="shared" si="172"/>
        <v xml:space="preserve">         </v>
      </c>
      <c r="AC551" t="str">
        <f t="shared" si="173"/>
        <v xml:space="preserve">    </v>
      </c>
      <c r="AD551" t="str">
        <f t="shared" si="174"/>
        <v/>
      </c>
      <c r="AE551" t="str">
        <f t="shared" si="164"/>
        <v/>
      </c>
      <c r="AF551" t="str">
        <f t="shared" si="176"/>
        <v/>
      </c>
      <c r="AG551" t="str">
        <f t="shared" si="176"/>
        <v/>
      </c>
      <c r="AH551" t="str">
        <f t="shared" si="165"/>
        <v/>
      </c>
      <c r="AI551" t="str">
        <f t="shared" si="166"/>
        <v/>
      </c>
      <c r="AJ551" t="str">
        <f t="shared" si="167"/>
        <v/>
      </c>
    </row>
    <row r="552" spans="1:36" x14ac:dyDescent="0.25">
      <c r="A552" t="s">
        <v>435</v>
      </c>
      <c r="P552" t="str">
        <f t="shared" si="168"/>
        <v xml:space="preserve">                </v>
      </c>
      <c r="Q552" t="str">
        <f t="shared" si="168"/>
        <v xml:space="preserve">         </v>
      </c>
      <c r="R552" t="str">
        <f t="shared" si="161"/>
        <v xml:space="preserve">    40.0 </v>
      </c>
      <c r="S552" t="str">
        <f t="shared" si="169"/>
        <v xml:space="preserve">    40.0 </v>
      </c>
      <c r="T552" t="str">
        <f t="shared" si="170"/>
        <v xml:space="preserve">    40.0 </v>
      </c>
      <c r="U552" t="str">
        <f t="shared" si="174"/>
        <v xml:space="preserve">       20.8% </v>
      </c>
      <c r="V552" t="str">
        <f t="shared" si="162"/>
        <v xml:space="preserve">         </v>
      </c>
      <c r="W552" t="str">
        <f t="shared" si="171"/>
        <v xml:space="preserve">         </v>
      </c>
      <c r="X552" t="str">
        <f t="shared" si="175"/>
        <v xml:space="preserve">  9182 </v>
      </c>
      <c r="Y552" t="str">
        <f t="shared" si="175"/>
        <v xml:space="preserve"> XANGRI-RS069 </v>
      </c>
      <c r="Z552" t="str">
        <f t="shared" si="175"/>
        <v xml:space="preserve">  1 </v>
      </c>
      <c r="AA552" t="str">
        <f t="shared" si="163"/>
        <v xml:space="preserve">    -8.3 </v>
      </c>
      <c r="AB552" t="str">
        <f t="shared" si="172"/>
        <v xml:space="preserve">     1.3 </v>
      </c>
      <c r="AC552" t="str">
        <f t="shared" si="173"/>
        <v xml:space="preserve">     8.3 </v>
      </c>
      <c r="AD552" t="str">
        <f t="shared" si="174"/>
        <v xml:space="preserve">        </v>
      </c>
      <c r="AE552" t="str">
        <f t="shared" si="164"/>
        <v xml:space="preserve">       </v>
      </c>
      <c r="AF552" t="str">
        <f t="shared" si="176"/>
        <v xml:space="preserve">     </v>
      </c>
      <c r="AG552" t="str">
        <f t="shared" si="176"/>
        <v xml:space="preserve">     0.00 </v>
      </c>
      <c r="AH552" t="str">
        <f t="shared" si="165"/>
        <v xml:space="preserve">     0.01 </v>
      </c>
      <c r="AI552" t="str">
        <f t="shared" si="166"/>
        <v xml:space="preserve">       </v>
      </c>
      <c r="AJ552" t="str">
        <f t="shared" si="167"/>
        <v xml:space="preserve">      </v>
      </c>
    </row>
    <row r="553" spans="1:36" x14ac:dyDescent="0.25">
      <c r="A553" t="s">
        <v>436</v>
      </c>
      <c r="P553" t="str">
        <f t="shared" si="168"/>
        <v xml:space="preserve">                </v>
      </c>
      <c r="Q553" t="str">
        <f t="shared" si="168"/>
        <v xml:space="preserve">         </v>
      </c>
      <c r="R553" t="str">
        <f t="shared" si="161"/>
        <v xml:space="preserve">    83.0 </v>
      </c>
      <c r="S553" t="str">
        <f t="shared" si="169"/>
        <v xml:space="preserve">    89.0 </v>
      </c>
      <c r="T553" t="str">
        <f t="shared" si="170"/>
        <v xml:space="preserve">    89.0 </v>
      </c>
      <c r="U553" t="str">
        <f t="shared" si="174"/>
        <v xml:space="preserve">       12.5% </v>
      </c>
      <c r="V553" t="str">
        <f t="shared" si="162"/>
        <v xml:space="preserve">         </v>
      </c>
      <c r="W553" t="str">
        <f t="shared" si="171"/>
        <v xml:space="preserve">         </v>
      </c>
      <c r="X553" t="str">
        <f t="shared" si="175"/>
        <v xml:space="preserve"> 41213 </v>
      </c>
      <c r="Y553" t="str">
        <f t="shared" si="175"/>
        <v xml:space="preserve"> ATLA-1-RS000 </v>
      </c>
      <c r="Z553" t="str">
        <f t="shared" si="175"/>
        <v xml:space="preserve">  1 </v>
      </c>
      <c r="AA553" t="str">
        <f t="shared" si="163"/>
        <v xml:space="preserve">   -10.2 </v>
      </c>
      <c r="AB553" t="str">
        <f t="shared" si="172"/>
        <v xml:space="preserve">    -2.3 </v>
      </c>
      <c r="AC553" t="str">
        <f t="shared" si="173"/>
        <v xml:space="preserve">    10.4 </v>
      </c>
      <c r="AD553" t="str">
        <f t="shared" si="174"/>
        <v xml:space="preserve"> 1.000F </v>
      </c>
      <c r="AE553" t="str">
        <f t="shared" si="164"/>
        <v xml:space="preserve">       </v>
      </c>
      <c r="AF553" t="str">
        <f t="shared" si="176"/>
        <v xml:space="preserve"> 002 </v>
      </c>
      <c r="AG553" t="str">
        <f t="shared" si="176"/>
        <v xml:space="preserve">     0.00 </v>
      </c>
      <c r="AH553" t="str">
        <f t="shared" si="165"/>
        <v xml:space="preserve">    -0.01 </v>
      </c>
      <c r="AI553" t="str">
        <f t="shared" si="166"/>
        <v xml:space="preserve">       </v>
      </c>
      <c r="AJ553" t="str">
        <f t="shared" si="167"/>
        <v xml:space="preserve">      </v>
      </c>
    </row>
    <row r="554" spans="1:36" x14ac:dyDescent="0.25">
      <c r="A554" t="s">
        <v>437</v>
      </c>
      <c r="P554" t="str">
        <f t="shared" si="168"/>
        <v xml:space="preserve">                </v>
      </c>
      <c r="Q554" t="str">
        <f t="shared" si="168"/>
        <v xml:space="preserve">         </v>
      </c>
      <c r="R554" t="str">
        <f t="shared" si="161"/>
        <v xml:space="preserve">    83.0 </v>
      </c>
      <c r="S554" t="str">
        <f t="shared" si="169"/>
        <v xml:space="preserve">    89.0 </v>
      </c>
      <c r="T554" t="str">
        <f t="shared" si="170"/>
        <v xml:space="preserve">    89.0 </v>
      </c>
      <c r="U554" t="str">
        <f t="shared" si="174"/>
        <v xml:space="preserve">       12.5% </v>
      </c>
      <c r="V554" t="str">
        <f t="shared" si="162"/>
        <v xml:space="preserve">         </v>
      </c>
      <c r="W554" t="str">
        <f t="shared" si="171"/>
        <v xml:space="preserve">         </v>
      </c>
      <c r="X554" t="str">
        <f t="shared" si="175"/>
        <v xml:space="preserve"> 41214 </v>
      </c>
      <c r="Y554" t="str">
        <f t="shared" si="175"/>
        <v xml:space="preserve"> ATLA-2-RS000 </v>
      </c>
      <c r="Z554" t="str">
        <f t="shared" si="175"/>
        <v xml:space="preserve">  2 </v>
      </c>
      <c r="AA554" t="str">
        <f t="shared" si="163"/>
        <v xml:space="preserve">   -10.2 </v>
      </c>
      <c r="AB554" t="str">
        <f t="shared" si="172"/>
        <v xml:space="preserve">    -2.3 </v>
      </c>
      <c r="AC554" t="str">
        <f t="shared" si="173"/>
        <v xml:space="preserve">    10.4 </v>
      </c>
      <c r="AD554" t="str">
        <f t="shared" si="174"/>
        <v xml:space="preserve"> 1.000F </v>
      </c>
      <c r="AE554" t="str">
        <f t="shared" si="164"/>
        <v xml:space="preserve">       </v>
      </c>
      <c r="AF554" t="str">
        <f t="shared" si="176"/>
        <v xml:space="preserve"> 002 </v>
      </c>
      <c r="AG554" t="str">
        <f t="shared" si="176"/>
        <v xml:space="preserve">     0.00 </v>
      </c>
      <c r="AH554" t="str">
        <f t="shared" si="165"/>
        <v xml:space="preserve">    -0.01 </v>
      </c>
      <c r="AI554" t="str">
        <f t="shared" si="166"/>
        <v xml:space="preserve">       </v>
      </c>
      <c r="AJ554" t="str">
        <f t="shared" si="167"/>
        <v xml:space="preserve">      </v>
      </c>
    </row>
    <row r="555" spans="1:36" x14ac:dyDescent="0.25">
      <c r="A555" t="s">
        <v>438</v>
      </c>
      <c r="P555" t="str">
        <f t="shared" si="168"/>
        <v xml:space="preserve">                </v>
      </c>
      <c r="Q555" t="str">
        <f t="shared" si="168"/>
        <v xml:space="preserve">         </v>
      </c>
      <c r="R555" t="str">
        <f t="shared" si="161"/>
        <v xml:space="preserve">    83.0 </v>
      </c>
      <c r="S555" t="str">
        <f t="shared" si="169"/>
        <v xml:space="preserve">    89.0 </v>
      </c>
      <c r="T555" t="str">
        <f t="shared" si="170"/>
        <v xml:space="preserve">    89.0 </v>
      </c>
      <c r="U555" t="str">
        <f t="shared" si="174"/>
        <v xml:space="preserve">       12.4% </v>
      </c>
      <c r="V555" t="str">
        <f t="shared" si="162"/>
        <v xml:space="preserve">         </v>
      </c>
      <c r="W555" t="str">
        <f t="shared" si="171"/>
        <v xml:space="preserve">         </v>
      </c>
      <c r="X555" t="str">
        <f t="shared" si="175"/>
        <v xml:space="preserve"> 41215 </v>
      </c>
      <c r="Y555" t="str">
        <f t="shared" si="175"/>
        <v xml:space="preserve"> ATLA-3-RS000 </v>
      </c>
      <c r="Z555" t="str">
        <f t="shared" si="175"/>
        <v xml:space="preserve">  3 </v>
      </c>
      <c r="AA555" t="str">
        <f t="shared" si="163"/>
        <v xml:space="preserve">   -10.1 </v>
      </c>
      <c r="AB555" t="str">
        <f t="shared" si="172"/>
        <v xml:space="preserve">    -2.3 </v>
      </c>
      <c r="AC555" t="str">
        <f t="shared" si="173"/>
        <v xml:space="preserve">    10.3 </v>
      </c>
      <c r="AD555" t="str">
        <f t="shared" si="174"/>
        <v xml:space="preserve"> 1.000F </v>
      </c>
      <c r="AE555" t="str">
        <f t="shared" si="164"/>
        <v xml:space="preserve">       </v>
      </c>
      <c r="AF555" t="str">
        <f t="shared" si="176"/>
        <v xml:space="preserve"> 002 </v>
      </c>
      <c r="AG555" t="str">
        <f t="shared" si="176"/>
        <v xml:space="preserve">     0.00 </v>
      </c>
      <c r="AH555" t="str">
        <f t="shared" si="165"/>
        <v xml:space="preserve">    -0.01 </v>
      </c>
      <c r="AI555" t="str">
        <f t="shared" si="166"/>
        <v xml:space="preserve">       </v>
      </c>
      <c r="AJ555" t="str">
        <f t="shared" si="167"/>
        <v xml:space="preserve">      </v>
      </c>
    </row>
    <row r="556" spans="1:36" x14ac:dyDescent="0.25">
      <c r="A556" t="s">
        <v>14</v>
      </c>
      <c r="P556" t="str">
        <f t="shared" si="168"/>
        <v xml:space="preserve">  ..............</v>
      </c>
      <c r="Q556" t="str">
        <f t="shared" si="168"/>
        <v>.........</v>
      </c>
      <c r="R556" t="str">
        <f t="shared" si="161"/>
        <v>.........</v>
      </c>
      <c r="S556" t="str">
        <f t="shared" si="169"/>
        <v>.........</v>
      </c>
      <c r="T556" t="str">
        <f t="shared" si="170"/>
        <v>.........</v>
      </c>
      <c r="U556" t="str">
        <f t="shared" si="174"/>
        <v>.............</v>
      </c>
      <c r="V556" t="str">
        <f t="shared" si="162"/>
        <v>.........</v>
      </c>
      <c r="W556" t="str">
        <f t="shared" si="171"/>
        <v>.........</v>
      </c>
      <c r="X556" t="str">
        <f t="shared" si="175"/>
        <v>.......</v>
      </c>
      <c r="Y556" t="str">
        <f t="shared" si="175"/>
        <v>..............</v>
      </c>
      <c r="Z556" t="str">
        <f t="shared" si="175"/>
        <v>....</v>
      </c>
      <c r="AA556" t="str">
        <f t="shared" si="163"/>
        <v>.........</v>
      </c>
      <c r="AB556" t="str">
        <f t="shared" si="172"/>
        <v>.........</v>
      </c>
      <c r="AC556" t="str">
        <f t="shared" si="173"/>
        <v>.........</v>
      </c>
      <c r="AD556" t="str">
        <f t="shared" si="174"/>
        <v>........</v>
      </c>
      <c r="AE556" t="str">
        <f t="shared" si="164"/>
        <v>.......</v>
      </c>
      <c r="AF556" t="str">
        <f t="shared" si="176"/>
        <v>.....</v>
      </c>
      <c r="AG556" t="str">
        <f t="shared" si="176"/>
        <v>..........</v>
      </c>
      <c r="AH556" t="str">
        <f t="shared" si="165"/>
        <v>..........</v>
      </c>
      <c r="AI556" t="str">
        <f t="shared" si="166"/>
        <v>.......</v>
      </c>
      <c r="AJ556" t="str">
        <f t="shared" si="167"/>
        <v>.......</v>
      </c>
    </row>
    <row r="557" spans="1:36" x14ac:dyDescent="0.25">
      <c r="A557" t="s">
        <v>439</v>
      </c>
      <c r="P557" t="str">
        <f t="shared" si="168"/>
        <v xml:space="preserve">   1332   69  0 </v>
      </c>
      <c r="Q557" t="str">
        <f t="shared" si="168"/>
        <v xml:space="preserve">   1.005 </v>
      </c>
      <c r="R557" t="str">
        <f t="shared" si="161"/>
        <v xml:space="preserve">     4.0 </v>
      </c>
      <c r="S557" t="str">
        <f t="shared" si="169"/>
        <v xml:space="preserve">     0.0 </v>
      </c>
      <c r="T557" t="str">
        <f t="shared" si="170"/>
        <v xml:space="preserve">     4.5 </v>
      </c>
      <c r="U557" t="str">
        <f t="shared" si="174"/>
        <v xml:space="preserve">         0.0 </v>
      </c>
      <c r="V557" t="str">
        <f t="shared" si="162"/>
        <v xml:space="preserve">     0.0 </v>
      </c>
      <c r="W557" t="str">
        <f t="shared" si="171"/>
        <v xml:space="preserve">     0.0</v>
      </c>
      <c r="X557" t="str">
        <f t="shared" si="175"/>
        <v/>
      </c>
      <c r="Y557" t="str">
        <f t="shared" si="175"/>
        <v/>
      </c>
      <c r="Z557" t="str">
        <f t="shared" si="175"/>
        <v/>
      </c>
      <c r="AA557" t="str">
        <f t="shared" si="163"/>
        <v/>
      </c>
      <c r="AB557" t="str">
        <f t="shared" si="172"/>
        <v/>
      </c>
      <c r="AC557" t="str">
        <f t="shared" si="173"/>
        <v/>
      </c>
      <c r="AD557" t="str">
        <f t="shared" si="174"/>
        <v/>
      </c>
      <c r="AE557" t="str">
        <f t="shared" si="164"/>
        <v/>
      </c>
      <c r="AF557" t="str">
        <f t="shared" si="176"/>
        <v/>
      </c>
      <c r="AG557" t="str">
        <f t="shared" si="176"/>
        <v/>
      </c>
      <c r="AH557" t="str">
        <f t="shared" si="165"/>
        <v/>
      </c>
      <c r="AI557" t="str">
        <f t="shared" si="166"/>
        <v/>
      </c>
      <c r="AJ557" t="str">
        <f t="shared" si="167"/>
        <v/>
      </c>
    </row>
    <row r="558" spans="1:36" x14ac:dyDescent="0.25">
      <c r="A558" t="s">
        <v>440</v>
      </c>
      <c r="P558" t="str">
        <f t="shared" si="168"/>
        <v xml:space="preserve">  PETROB-RS069  </v>
      </c>
      <c r="Q558" t="str">
        <f t="shared" si="168"/>
        <v xml:space="preserve">   -54.6 </v>
      </c>
      <c r="R558" t="str">
        <f t="shared" si="161"/>
        <v xml:space="preserve">     0.0 </v>
      </c>
      <c r="S558" t="str">
        <f t="shared" si="169"/>
        <v xml:space="preserve">     0.0 </v>
      </c>
      <c r="T558" t="str">
        <f t="shared" si="170"/>
        <v xml:space="preserve">     1.9 </v>
      </c>
      <c r="U558" t="str">
        <f t="shared" si="174"/>
        <v xml:space="preserve">         0.0 </v>
      </c>
      <c r="V558" t="str">
        <f t="shared" si="162"/>
        <v xml:space="preserve">     0.0 </v>
      </c>
      <c r="W558" t="str">
        <f t="shared" si="171"/>
        <v xml:space="preserve">     0.0 </v>
      </c>
      <c r="X558" t="str">
        <f t="shared" si="175"/>
        <v xml:space="preserve">       </v>
      </c>
      <c r="Y558" t="str">
        <f t="shared" si="175"/>
        <v xml:space="preserve">              </v>
      </c>
      <c r="Z558" t="str">
        <f t="shared" si="175"/>
        <v xml:space="preserve">    </v>
      </c>
      <c r="AA558" t="str">
        <f t="shared" si="163"/>
        <v xml:space="preserve">         </v>
      </c>
      <c r="AB558" t="str">
        <f t="shared" si="172"/>
        <v xml:space="preserve">         </v>
      </c>
      <c r="AC558" t="str">
        <f t="shared" si="173"/>
        <v xml:space="preserve">    </v>
      </c>
      <c r="AD558" t="str">
        <f t="shared" si="174"/>
        <v/>
      </c>
      <c r="AE558" t="str">
        <f t="shared" si="164"/>
        <v/>
      </c>
      <c r="AF558" t="str">
        <f t="shared" si="176"/>
        <v/>
      </c>
      <c r="AG558" t="str">
        <f t="shared" si="176"/>
        <v/>
      </c>
      <c r="AH558" t="str">
        <f t="shared" si="165"/>
        <v/>
      </c>
      <c r="AI558" t="str">
        <f t="shared" si="166"/>
        <v/>
      </c>
      <c r="AJ558" t="str">
        <f t="shared" si="167"/>
        <v/>
      </c>
    </row>
    <row r="559" spans="1:36" x14ac:dyDescent="0.25">
      <c r="A559" t="s">
        <v>441</v>
      </c>
      <c r="P559" t="str">
        <f t="shared" si="168"/>
        <v xml:space="preserve">                </v>
      </c>
      <c r="Q559" t="str">
        <f t="shared" si="168"/>
        <v xml:space="preserve">         </v>
      </c>
      <c r="R559" t="str">
        <f t="shared" si="161"/>
        <v xml:space="preserve">    84.0 </v>
      </c>
      <c r="S559" t="str">
        <f t="shared" si="169"/>
        <v xml:space="preserve">   101.0 </v>
      </c>
      <c r="T559" t="str">
        <f t="shared" si="170"/>
        <v xml:space="preserve">   101.0 </v>
      </c>
      <c r="U559" t="str">
        <f t="shared" si="174"/>
        <v xml:space="preserve">       15.2% </v>
      </c>
      <c r="V559" t="str">
        <f t="shared" si="162"/>
        <v xml:space="preserve">         </v>
      </c>
      <c r="W559" t="str">
        <f t="shared" si="171"/>
        <v xml:space="preserve">         </v>
      </c>
      <c r="X559" t="str">
        <f t="shared" si="175"/>
        <v xml:space="preserve">  1303 </v>
      </c>
      <c r="Y559" t="str">
        <f t="shared" si="175"/>
        <v xml:space="preserve"> BUNGE--RS069 </v>
      </c>
      <c r="Z559" t="str">
        <f t="shared" si="175"/>
        <v xml:space="preserve">  1 </v>
      </c>
      <c r="AA559" t="str">
        <f t="shared" si="163"/>
        <v xml:space="preserve">    10.3 </v>
      </c>
      <c r="AB559" t="str">
        <f t="shared" si="172"/>
        <v xml:space="preserve">     7.6 </v>
      </c>
      <c r="AC559" t="str">
        <f t="shared" si="173"/>
        <v xml:space="preserve">    12.8 </v>
      </c>
      <c r="AD559" t="str">
        <f t="shared" si="174"/>
        <v xml:space="preserve">        </v>
      </c>
      <c r="AE559" t="str">
        <f t="shared" si="164"/>
        <v xml:space="preserve">       </v>
      </c>
      <c r="AF559" t="str">
        <f t="shared" si="176"/>
        <v xml:space="preserve">     </v>
      </c>
      <c r="AG559" t="str">
        <f t="shared" si="176"/>
        <v xml:space="preserve">     0.03 </v>
      </c>
      <c r="AH559" t="str">
        <f t="shared" si="165"/>
        <v xml:space="preserve">     0.10 </v>
      </c>
      <c r="AI559" t="str">
        <f t="shared" si="166"/>
        <v xml:space="preserve">       </v>
      </c>
      <c r="AJ559" t="str">
        <f t="shared" si="167"/>
        <v xml:space="preserve">      </v>
      </c>
    </row>
    <row r="560" spans="1:36" x14ac:dyDescent="0.25">
      <c r="A560" t="s">
        <v>442</v>
      </c>
      <c r="P560" t="str">
        <f t="shared" si="168"/>
        <v xml:space="preserve">                </v>
      </c>
      <c r="Q560" t="str">
        <f t="shared" si="168"/>
        <v xml:space="preserve">         </v>
      </c>
      <c r="R560" t="str">
        <f t="shared" si="161"/>
        <v xml:space="preserve">    48.0 </v>
      </c>
      <c r="S560" t="str">
        <f t="shared" si="169"/>
        <v xml:space="preserve">    71.0 </v>
      </c>
      <c r="T560" t="str">
        <f t="shared" si="170"/>
        <v xml:space="preserve">    71.0 </v>
      </c>
      <c r="U560" t="str">
        <f t="shared" si="174"/>
        <v xml:space="preserve">       29.9% </v>
      </c>
      <c r="V560" t="str">
        <f t="shared" si="162"/>
        <v xml:space="preserve">         </v>
      </c>
      <c r="W560" t="str">
        <f t="shared" si="171"/>
        <v xml:space="preserve">         </v>
      </c>
      <c r="X560" t="str">
        <f t="shared" si="175"/>
        <v xml:space="preserve">  2067 </v>
      </c>
      <c r="Y560" t="str">
        <f t="shared" si="175"/>
        <v xml:space="preserve"> CACHOE-RS069 </v>
      </c>
      <c r="Z560" t="str">
        <f t="shared" si="175"/>
        <v xml:space="preserve">  1 </v>
      </c>
      <c r="AA560" t="str">
        <f t="shared" si="163"/>
        <v xml:space="preserve">   -10.8 </v>
      </c>
      <c r="AB560" t="str">
        <f t="shared" si="172"/>
        <v xml:space="preserve">    -9.5 </v>
      </c>
      <c r="AC560" t="str">
        <f t="shared" si="173"/>
        <v xml:space="preserve">    14.4 </v>
      </c>
      <c r="AD560" t="str">
        <f t="shared" si="174"/>
        <v xml:space="preserve">        </v>
      </c>
      <c r="AE560" t="str">
        <f t="shared" si="164"/>
        <v xml:space="preserve">       </v>
      </c>
      <c r="AF560" t="str">
        <f t="shared" si="176"/>
        <v xml:space="preserve">     </v>
      </c>
      <c r="AG560" t="str">
        <f t="shared" si="176"/>
        <v xml:space="preserve">     0.05 </v>
      </c>
      <c r="AH560" t="str">
        <f t="shared" si="165"/>
        <v xml:space="preserve">     0.14 </v>
      </c>
      <c r="AI560" t="str">
        <f t="shared" si="166"/>
        <v xml:space="preserve">       </v>
      </c>
      <c r="AJ560" t="str">
        <f t="shared" si="167"/>
        <v xml:space="preserve">      </v>
      </c>
    </row>
    <row r="561" spans="1:36" x14ac:dyDescent="0.25">
      <c r="A561" t="s">
        <v>14</v>
      </c>
      <c r="P561" t="str">
        <f t="shared" si="168"/>
        <v xml:space="preserve">  ..............</v>
      </c>
      <c r="Q561" t="str">
        <f t="shared" si="168"/>
        <v>.........</v>
      </c>
      <c r="R561" t="str">
        <f t="shared" si="161"/>
        <v>.........</v>
      </c>
      <c r="S561" t="str">
        <f t="shared" si="169"/>
        <v>.........</v>
      </c>
      <c r="T561" t="str">
        <f t="shared" si="170"/>
        <v>.........</v>
      </c>
      <c r="U561" t="str">
        <f t="shared" si="174"/>
        <v>.............</v>
      </c>
      <c r="V561" t="str">
        <f t="shared" si="162"/>
        <v>.........</v>
      </c>
      <c r="W561" t="str">
        <f t="shared" si="171"/>
        <v>.........</v>
      </c>
      <c r="X561" t="str">
        <f t="shared" si="175"/>
        <v>.......</v>
      </c>
      <c r="Y561" t="str">
        <f t="shared" si="175"/>
        <v>..............</v>
      </c>
      <c r="Z561" t="str">
        <f t="shared" si="175"/>
        <v>....</v>
      </c>
      <c r="AA561" t="str">
        <f t="shared" si="163"/>
        <v>.........</v>
      </c>
      <c r="AB561" t="str">
        <f t="shared" si="172"/>
        <v>.........</v>
      </c>
      <c r="AC561" t="str">
        <f t="shared" si="173"/>
        <v>.........</v>
      </c>
      <c r="AD561" t="str">
        <f t="shared" si="174"/>
        <v>........</v>
      </c>
      <c r="AE561" t="str">
        <f t="shared" si="164"/>
        <v>.......</v>
      </c>
      <c r="AF561" t="str">
        <f t="shared" si="176"/>
        <v>.....</v>
      </c>
      <c r="AG561" t="str">
        <f t="shared" si="176"/>
        <v>..........</v>
      </c>
      <c r="AH561" t="str">
        <f t="shared" si="165"/>
        <v>..........</v>
      </c>
      <c r="AI561" t="str">
        <f t="shared" si="166"/>
        <v>.......</v>
      </c>
      <c r="AJ561" t="str">
        <f t="shared" si="167"/>
        <v>.......</v>
      </c>
    </row>
    <row r="562" spans="1:36" x14ac:dyDescent="0.25">
      <c r="A562" t="s">
        <v>443</v>
      </c>
      <c r="P562" t="str">
        <f t="shared" si="168"/>
        <v xml:space="preserve">   1333   14  0 </v>
      </c>
      <c r="Q562" t="str">
        <f t="shared" si="168"/>
        <v xml:space="preserve">   1.001 </v>
      </c>
      <c r="R562" t="str">
        <f t="shared" si="161"/>
        <v xml:space="preserve">     0.0 </v>
      </c>
      <c r="S562" t="str">
        <f t="shared" si="169"/>
        <v xml:space="preserve">     0.0 </v>
      </c>
      <c r="T562" t="str">
        <f t="shared" si="170"/>
        <v xml:space="preserve">     0.0 </v>
      </c>
      <c r="U562" t="str">
        <f t="shared" si="174"/>
        <v xml:space="preserve">         0.0 </v>
      </c>
      <c r="V562" t="str">
        <f t="shared" si="162"/>
        <v xml:space="preserve">     0.0 </v>
      </c>
      <c r="W562" t="str">
        <f t="shared" si="171"/>
        <v xml:space="preserve">     0.0</v>
      </c>
      <c r="X562" t="str">
        <f t="shared" si="175"/>
        <v/>
      </c>
      <c r="Y562" t="str">
        <f t="shared" si="175"/>
        <v/>
      </c>
      <c r="Z562" t="str">
        <f t="shared" si="175"/>
        <v/>
      </c>
      <c r="AA562" t="str">
        <f t="shared" si="163"/>
        <v/>
      </c>
      <c r="AB562" t="str">
        <f t="shared" si="172"/>
        <v/>
      </c>
      <c r="AC562" t="str">
        <f t="shared" si="173"/>
        <v/>
      </c>
      <c r="AD562" t="str">
        <f t="shared" si="174"/>
        <v/>
      </c>
      <c r="AE562" t="str">
        <f t="shared" si="164"/>
        <v/>
      </c>
      <c r="AF562" t="str">
        <f t="shared" si="176"/>
        <v/>
      </c>
      <c r="AG562" t="str">
        <f t="shared" si="176"/>
        <v/>
      </c>
      <c r="AH562" t="str">
        <f t="shared" si="165"/>
        <v/>
      </c>
      <c r="AI562" t="str">
        <f t="shared" si="166"/>
        <v/>
      </c>
      <c r="AJ562" t="str">
        <f t="shared" si="167"/>
        <v/>
      </c>
    </row>
    <row r="563" spans="1:36" x14ac:dyDescent="0.25">
      <c r="A563" t="s">
        <v>444</v>
      </c>
      <c r="P563" t="str">
        <f t="shared" si="168"/>
        <v xml:space="preserve">  PANAMB-RS013  </v>
      </c>
      <c r="Q563" t="str">
        <f t="shared" si="168"/>
        <v xml:space="preserve">   -58.3 </v>
      </c>
      <c r="R563" t="str">
        <f t="shared" si="161"/>
        <v xml:space="preserve">     0.0 </v>
      </c>
      <c r="S563" t="str">
        <f t="shared" si="169"/>
        <v xml:space="preserve">     0.0 </v>
      </c>
      <c r="T563" t="str">
        <f t="shared" si="170"/>
        <v xml:space="preserve">     0.0 </v>
      </c>
      <c r="U563" t="str">
        <f t="shared" si="174"/>
        <v xml:space="preserve">         0.0 </v>
      </c>
      <c r="V563" t="str">
        <f t="shared" si="162"/>
        <v xml:space="preserve">     0.0 </v>
      </c>
      <c r="W563" t="str">
        <f t="shared" si="171"/>
        <v xml:space="preserve">     0.0 </v>
      </c>
      <c r="X563" t="str">
        <f t="shared" si="175"/>
        <v xml:space="preserve">       </v>
      </c>
      <c r="Y563" t="str">
        <f t="shared" si="175"/>
        <v xml:space="preserve">              </v>
      </c>
      <c r="Z563" t="str">
        <f t="shared" si="175"/>
        <v xml:space="preserve">    </v>
      </c>
      <c r="AA563" t="str">
        <f t="shared" si="163"/>
        <v xml:space="preserve">         </v>
      </c>
      <c r="AB563" t="str">
        <f t="shared" si="172"/>
        <v xml:space="preserve">         </v>
      </c>
      <c r="AC563" t="str">
        <f t="shared" si="173"/>
        <v xml:space="preserve">    </v>
      </c>
      <c r="AD563" t="str">
        <f t="shared" si="174"/>
        <v/>
      </c>
      <c r="AE563" t="str">
        <f t="shared" si="164"/>
        <v/>
      </c>
      <c r="AF563" t="str">
        <f t="shared" si="176"/>
        <v/>
      </c>
      <c r="AG563" t="str">
        <f t="shared" si="176"/>
        <v/>
      </c>
      <c r="AH563" t="str">
        <f t="shared" si="165"/>
        <v/>
      </c>
      <c r="AI563" t="str">
        <f t="shared" si="166"/>
        <v/>
      </c>
      <c r="AJ563" t="str">
        <f t="shared" si="167"/>
        <v/>
      </c>
    </row>
    <row r="564" spans="1:36" x14ac:dyDescent="0.25">
      <c r="A564" t="s">
        <v>445</v>
      </c>
      <c r="P564" t="str">
        <f t="shared" si="168"/>
        <v xml:space="preserve">                </v>
      </c>
      <c r="Q564" t="str">
        <f t="shared" si="168"/>
        <v xml:space="preserve">         </v>
      </c>
      <c r="R564" t="str">
        <f t="shared" si="161"/>
        <v xml:space="preserve">    25.0 </v>
      </c>
      <c r="S564" t="str">
        <f t="shared" si="169"/>
        <v xml:space="preserve">    25.0 </v>
      </c>
      <c r="T564" t="str">
        <f t="shared" si="170"/>
        <v xml:space="preserve">    25.0 </v>
      </c>
      <c r="U564" t="str">
        <f t="shared" si="174"/>
        <v xml:space="preserve">       77.2% </v>
      </c>
      <c r="V564" t="str">
        <f t="shared" si="162"/>
        <v xml:space="preserve">         </v>
      </c>
      <c r="W564" t="str">
        <f t="shared" si="171"/>
        <v xml:space="preserve">         </v>
      </c>
      <c r="X564" t="str">
        <f t="shared" si="175"/>
        <v xml:space="preserve">  1307 </v>
      </c>
      <c r="Y564" t="str">
        <f t="shared" si="175"/>
        <v xml:space="preserve"> PANAM--RS069 </v>
      </c>
      <c r="Z564" t="str">
        <f t="shared" si="175"/>
        <v xml:space="preserve">  1 </v>
      </c>
      <c r="AA564" t="str">
        <f t="shared" si="163"/>
        <v xml:space="preserve">   -19.1 </v>
      </c>
      <c r="AB564" t="str">
        <f t="shared" si="172"/>
        <v xml:space="preserve">    -3.0 </v>
      </c>
      <c r="AC564" t="str">
        <f t="shared" si="173"/>
        <v xml:space="preserve">    19.3 </v>
      </c>
      <c r="AD564" t="str">
        <f t="shared" si="174"/>
        <v xml:space="preserve">        </v>
      </c>
      <c r="AE564" t="str">
        <f t="shared" si="164"/>
        <v xml:space="preserve">       </v>
      </c>
      <c r="AF564" t="str">
        <f t="shared" si="176"/>
        <v xml:space="preserve">     </v>
      </c>
      <c r="AG564" t="str">
        <f t="shared" si="176"/>
        <v xml:space="preserve">     0.00 </v>
      </c>
      <c r="AH564" t="str">
        <f t="shared" si="165"/>
        <v xml:space="preserve">     1.06 </v>
      </c>
      <c r="AI564" t="str">
        <f t="shared" si="166"/>
        <v xml:space="preserve">       </v>
      </c>
      <c r="AJ564" t="str">
        <f t="shared" si="167"/>
        <v xml:space="preserve">      </v>
      </c>
    </row>
    <row r="565" spans="1:36" x14ac:dyDescent="0.25">
      <c r="A565" t="s">
        <v>446</v>
      </c>
      <c r="P565" t="str">
        <f t="shared" si="168"/>
        <v xml:space="preserve">                </v>
      </c>
      <c r="Q565" t="str">
        <f t="shared" si="168"/>
        <v xml:space="preserve">         </v>
      </c>
      <c r="R565" t="str">
        <f t="shared" si="161"/>
        <v xml:space="preserve">  9999.0 </v>
      </c>
      <c r="S565" t="str">
        <f t="shared" si="169"/>
        <v xml:space="preserve">  9999.0 </v>
      </c>
      <c r="T565" t="str">
        <f t="shared" si="170"/>
        <v xml:space="preserve">  9999.0 </v>
      </c>
      <c r="U565" t="str">
        <f t="shared" si="174"/>
        <v xml:space="preserve">        0.0% </v>
      </c>
      <c r="V565" t="str">
        <f t="shared" si="162"/>
        <v xml:space="preserve">         </v>
      </c>
      <c r="W565" t="str">
        <f t="shared" si="171"/>
        <v xml:space="preserve">         </v>
      </c>
      <c r="X565" t="str">
        <f t="shared" si="175"/>
        <v xml:space="preserve">  9653 </v>
      </c>
      <c r="Y565" t="str">
        <f t="shared" si="175"/>
        <v xml:space="preserve"> HIDPA1-RS013 </v>
      </c>
      <c r="Z565" t="str">
        <f t="shared" si="175"/>
        <v xml:space="preserve">  1 </v>
      </c>
      <c r="AA565" t="str">
        <f t="shared" si="163"/>
        <v xml:space="preserve">    14.7 </v>
      </c>
      <c r="AB565" t="str">
        <f t="shared" si="172"/>
        <v xml:space="preserve">     1.3 </v>
      </c>
      <c r="AC565" t="str">
        <f t="shared" si="173"/>
        <v xml:space="preserve">    14.7 </v>
      </c>
      <c r="AD565" t="str">
        <f t="shared" si="174"/>
        <v xml:space="preserve">        </v>
      </c>
      <c r="AE565" t="str">
        <f t="shared" si="164"/>
        <v xml:space="preserve">       </v>
      </c>
      <c r="AF565" t="str">
        <f t="shared" si="176"/>
        <v xml:space="preserve">     </v>
      </c>
      <c r="AG565" t="str">
        <f t="shared" si="176"/>
        <v xml:space="preserve">     0.00 </v>
      </c>
      <c r="AH565" t="str">
        <f t="shared" si="165"/>
        <v xml:space="preserve">    -0.01 </v>
      </c>
      <c r="AI565" t="str">
        <f t="shared" si="166"/>
        <v xml:space="preserve">       </v>
      </c>
      <c r="AJ565" t="str">
        <f t="shared" si="167"/>
        <v xml:space="preserve">      </v>
      </c>
    </row>
    <row r="566" spans="1:36" x14ac:dyDescent="0.25">
      <c r="A566" t="s">
        <v>447</v>
      </c>
      <c r="P566" t="str">
        <f t="shared" si="168"/>
        <v xml:space="preserve">                </v>
      </c>
      <c r="Q566" t="str">
        <f t="shared" si="168"/>
        <v xml:space="preserve">         </v>
      </c>
      <c r="R566" t="str">
        <f t="shared" si="161"/>
        <v xml:space="preserve">  9999.0 </v>
      </c>
      <c r="S566" t="str">
        <f t="shared" si="169"/>
        <v xml:space="preserve">  9999.0 </v>
      </c>
      <c r="T566" t="str">
        <f t="shared" si="170"/>
        <v xml:space="preserve">  9999.0 </v>
      </c>
      <c r="U566" t="str">
        <f t="shared" si="174"/>
        <v xml:space="preserve">        0.0% </v>
      </c>
      <c r="V566" t="str">
        <f t="shared" si="162"/>
        <v xml:space="preserve">         </v>
      </c>
      <c r="W566" t="str">
        <f t="shared" si="171"/>
        <v xml:space="preserve">         </v>
      </c>
      <c r="X566" t="str">
        <f t="shared" si="175"/>
        <v xml:space="preserve">  9654 </v>
      </c>
      <c r="Y566" t="str">
        <f t="shared" si="175"/>
        <v xml:space="preserve"> COPRE1-RS013 </v>
      </c>
      <c r="Z566" t="str">
        <f t="shared" si="175"/>
        <v xml:space="preserve">  1 </v>
      </c>
      <c r="AA566" t="str">
        <f t="shared" si="163"/>
        <v xml:space="preserve">     4.4 </v>
      </c>
      <c r="AB566" t="str">
        <f t="shared" si="172"/>
        <v xml:space="preserve">     1.7 </v>
      </c>
      <c r="AC566" t="str">
        <f t="shared" si="173"/>
        <v xml:space="preserve">     4.7 </v>
      </c>
      <c r="AD566" t="str">
        <f t="shared" si="174"/>
        <v xml:space="preserve">        </v>
      </c>
      <c r="AE566" t="str">
        <f t="shared" si="164"/>
        <v xml:space="preserve">       </v>
      </c>
      <c r="AF566" t="str">
        <f t="shared" si="176"/>
        <v xml:space="preserve">     </v>
      </c>
      <c r="AG566" t="str">
        <f t="shared" si="176"/>
        <v xml:space="preserve">     0.00 </v>
      </c>
      <c r="AH566" t="str">
        <f t="shared" si="165"/>
        <v xml:space="preserve">    -0.01 </v>
      </c>
      <c r="AI566" t="str">
        <f t="shared" si="166"/>
        <v xml:space="preserve">       </v>
      </c>
      <c r="AJ566" t="str">
        <f t="shared" si="167"/>
        <v xml:space="preserve">      </v>
      </c>
    </row>
    <row r="567" spans="1:36" x14ac:dyDescent="0.25">
      <c r="A567" t="s">
        <v>14</v>
      </c>
      <c r="P567" t="str">
        <f t="shared" si="168"/>
        <v xml:space="preserve">  ..............</v>
      </c>
      <c r="Q567" t="str">
        <f t="shared" si="168"/>
        <v>.........</v>
      </c>
      <c r="R567" t="str">
        <f t="shared" si="161"/>
        <v>.........</v>
      </c>
      <c r="S567" t="str">
        <f t="shared" si="169"/>
        <v>.........</v>
      </c>
      <c r="T567" t="str">
        <f t="shared" si="170"/>
        <v>.........</v>
      </c>
      <c r="U567" t="str">
        <f t="shared" si="174"/>
        <v>.............</v>
      </c>
      <c r="V567" t="str">
        <f t="shared" si="162"/>
        <v>.........</v>
      </c>
      <c r="W567" t="str">
        <f t="shared" si="171"/>
        <v>.........</v>
      </c>
      <c r="X567" t="str">
        <f t="shared" si="175"/>
        <v>.......</v>
      </c>
      <c r="Y567" t="str">
        <f t="shared" si="175"/>
        <v>..............</v>
      </c>
      <c r="Z567" t="str">
        <f t="shared" si="175"/>
        <v>....</v>
      </c>
      <c r="AA567" t="str">
        <f t="shared" si="163"/>
        <v>.........</v>
      </c>
      <c r="AB567" t="str">
        <f t="shared" si="172"/>
        <v>.........</v>
      </c>
      <c r="AC567" t="str">
        <f t="shared" si="173"/>
        <v>.........</v>
      </c>
      <c r="AD567" t="str">
        <f t="shared" si="174"/>
        <v>........</v>
      </c>
      <c r="AE567" t="str">
        <f t="shared" si="164"/>
        <v>.......</v>
      </c>
      <c r="AF567" t="str">
        <f t="shared" si="176"/>
        <v>.....</v>
      </c>
      <c r="AG567" t="str">
        <f t="shared" si="176"/>
        <v>..........</v>
      </c>
      <c r="AH567" t="str">
        <f t="shared" si="165"/>
        <v>..........</v>
      </c>
      <c r="AI567" t="str">
        <f t="shared" si="166"/>
        <v>.......</v>
      </c>
      <c r="AJ567" t="str">
        <f t="shared" si="167"/>
        <v>.......</v>
      </c>
    </row>
    <row r="568" spans="1:36" x14ac:dyDescent="0.25">
      <c r="A568" t="s">
        <v>448</v>
      </c>
      <c r="P568" t="str">
        <f t="shared" si="168"/>
        <v xml:space="preserve">   1334   69  0 </v>
      </c>
      <c r="Q568" t="str">
        <f t="shared" si="168"/>
        <v xml:space="preserve">   1.014 </v>
      </c>
      <c r="R568" t="str">
        <f t="shared" si="161"/>
        <v xml:space="preserve">     0.0 </v>
      </c>
      <c r="S568" t="str">
        <f t="shared" si="169"/>
        <v xml:space="preserve">     0.0 </v>
      </c>
      <c r="T568" t="str">
        <f t="shared" si="170"/>
        <v xml:space="preserve">     6.3 </v>
      </c>
      <c r="U568" t="str">
        <f t="shared" si="174"/>
        <v xml:space="preserve">         0.0 </v>
      </c>
      <c r="V568" t="str">
        <f t="shared" si="162"/>
        <v xml:space="preserve">     0.0 </v>
      </c>
      <c r="W568" t="str">
        <f t="shared" si="171"/>
        <v xml:space="preserve">     0.0</v>
      </c>
      <c r="X568" t="str">
        <f t="shared" si="175"/>
        <v/>
      </c>
      <c r="Y568" t="str">
        <f t="shared" si="175"/>
        <v/>
      </c>
      <c r="Z568" t="str">
        <f t="shared" si="175"/>
        <v/>
      </c>
      <c r="AA568" t="str">
        <f t="shared" si="163"/>
        <v/>
      </c>
      <c r="AB568" t="str">
        <f t="shared" si="172"/>
        <v/>
      </c>
      <c r="AC568" t="str">
        <f t="shared" si="173"/>
        <v/>
      </c>
      <c r="AD568" t="str">
        <f t="shared" si="174"/>
        <v/>
      </c>
      <c r="AE568" t="str">
        <f t="shared" si="164"/>
        <v/>
      </c>
      <c r="AF568" t="str">
        <f t="shared" si="176"/>
        <v/>
      </c>
      <c r="AG568" t="str">
        <f t="shared" si="176"/>
        <v/>
      </c>
      <c r="AH568" t="str">
        <f t="shared" si="165"/>
        <v/>
      </c>
      <c r="AI568" t="str">
        <f t="shared" si="166"/>
        <v/>
      </c>
      <c r="AJ568" t="str">
        <f t="shared" si="167"/>
        <v/>
      </c>
    </row>
    <row r="569" spans="1:36" x14ac:dyDescent="0.25">
      <c r="A569" t="s">
        <v>449</v>
      </c>
      <c r="P569" t="str">
        <f t="shared" si="168"/>
        <v xml:space="preserve">  POLINDTAP069  </v>
      </c>
      <c r="Q569" t="str">
        <f t="shared" si="168"/>
        <v xml:space="preserve">   -52.2 </v>
      </c>
      <c r="R569" t="str">
        <f t="shared" si="161"/>
        <v xml:space="preserve">     0.0 </v>
      </c>
      <c r="S569" t="str">
        <f t="shared" si="169"/>
        <v xml:space="preserve">     0.0 </v>
      </c>
      <c r="T569" t="str">
        <f t="shared" si="170"/>
        <v xml:space="preserve">     2.4 </v>
      </c>
      <c r="U569" t="str">
        <f t="shared" si="174"/>
        <v xml:space="preserve">         0.0 </v>
      </c>
      <c r="V569" t="str">
        <f t="shared" si="162"/>
        <v xml:space="preserve">     0.0 </v>
      </c>
      <c r="W569" t="str">
        <f t="shared" si="171"/>
        <v xml:space="preserve">     0.0 </v>
      </c>
      <c r="X569" t="str">
        <f t="shared" si="175"/>
        <v xml:space="preserve">       </v>
      </c>
      <c r="Y569" t="str">
        <f t="shared" si="175"/>
        <v xml:space="preserve">              </v>
      </c>
      <c r="Z569" t="str">
        <f t="shared" si="175"/>
        <v xml:space="preserve">    </v>
      </c>
      <c r="AA569" t="str">
        <f t="shared" si="163"/>
        <v xml:space="preserve">         </v>
      </c>
      <c r="AB569" t="str">
        <f t="shared" si="172"/>
        <v xml:space="preserve">         </v>
      </c>
      <c r="AC569" t="str">
        <f t="shared" si="173"/>
        <v xml:space="preserve">    </v>
      </c>
      <c r="AD569" t="str">
        <f t="shared" si="174"/>
        <v/>
      </c>
      <c r="AE569" t="str">
        <f t="shared" si="164"/>
        <v/>
      </c>
      <c r="AF569" t="str">
        <f t="shared" si="176"/>
        <v/>
      </c>
      <c r="AG569" t="str">
        <f t="shared" si="176"/>
        <v/>
      </c>
      <c r="AH569" t="str">
        <f t="shared" si="165"/>
        <v/>
      </c>
      <c r="AI569" t="str">
        <f t="shared" si="166"/>
        <v/>
      </c>
      <c r="AJ569" t="str">
        <f t="shared" si="167"/>
        <v/>
      </c>
    </row>
    <row r="570" spans="1:36" x14ac:dyDescent="0.25">
      <c r="A570" t="s">
        <v>450</v>
      </c>
      <c r="P570" t="str">
        <f t="shared" si="168"/>
        <v xml:space="preserve">                </v>
      </c>
      <c r="Q570" t="str">
        <f t="shared" si="168"/>
        <v xml:space="preserve">         </v>
      </c>
      <c r="R570" t="str">
        <f t="shared" si="161"/>
        <v xml:space="preserve">    83.0 </v>
      </c>
      <c r="S570" t="str">
        <f t="shared" si="169"/>
        <v xml:space="preserve">    83.0 </v>
      </c>
      <c r="T570" t="str">
        <f t="shared" si="170"/>
        <v xml:space="preserve">    83.0 </v>
      </c>
      <c r="U570" t="str">
        <f t="shared" si="174"/>
        <v xml:space="preserve">       21.7% </v>
      </c>
      <c r="V570" t="str">
        <f t="shared" si="162"/>
        <v xml:space="preserve">         </v>
      </c>
      <c r="W570" t="str">
        <f t="shared" si="171"/>
        <v xml:space="preserve">         </v>
      </c>
      <c r="X570" t="str">
        <f t="shared" si="175"/>
        <v xml:space="preserve">  2077 </v>
      </c>
      <c r="Y570" t="str">
        <f t="shared" si="175"/>
        <v xml:space="preserve"> PPETRO-RS069 </v>
      </c>
      <c r="Z570" t="str">
        <f t="shared" si="175"/>
        <v xml:space="preserve">  1 </v>
      </c>
      <c r="AA570" t="str">
        <f t="shared" si="163"/>
        <v xml:space="preserve">   -16.9 </v>
      </c>
      <c r="AB570" t="str">
        <f t="shared" si="172"/>
        <v xml:space="preserve">    -6.9 </v>
      </c>
      <c r="AC570" t="str">
        <f t="shared" si="173"/>
        <v xml:space="preserve">    18.0 </v>
      </c>
      <c r="AD570" t="str">
        <f t="shared" si="174"/>
        <v xml:space="preserve">        </v>
      </c>
      <c r="AE570" t="str">
        <f t="shared" si="164"/>
        <v xml:space="preserve">       </v>
      </c>
      <c r="AF570" t="str">
        <f t="shared" si="176"/>
        <v xml:space="preserve">     </v>
      </c>
      <c r="AG570" t="str">
        <f t="shared" si="176"/>
        <v xml:space="preserve">     0.07 </v>
      </c>
      <c r="AH570" t="str">
        <f t="shared" si="165"/>
        <v xml:space="preserve">     0.13 </v>
      </c>
      <c r="AI570" t="str">
        <f t="shared" si="166"/>
        <v xml:space="preserve">       </v>
      </c>
      <c r="AJ570" t="str">
        <f t="shared" si="167"/>
        <v xml:space="preserve">      </v>
      </c>
    </row>
    <row r="571" spans="1:36" x14ac:dyDescent="0.25">
      <c r="A571" t="s">
        <v>451</v>
      </c>
      <c r="P571" t="str">
        <f t="shared" si="168"/>
        <v xml:space="preserve">                </v>
      </c>
      <c r="Q571" t="str">
        <f t="shared" si="168"/>
        <v xml:space="preserve">         </v>
      </c>
      <c r="R571" t="str">
        <f t="shared" si="161"/>
        <v xml:space="preserve">    30.0 </v>
      </c>
      <c r="S571" t="str">
        <f t="shared" si="169"/>
        <v xml:space="preserve">    48.0 </v>
      </c>
      <c r="T571" t="str">
        <f t="shared" si="170"/>
        <v xml:space="preserve">    48.0 </v>
      </c>
      <c r="U571" t="str">
        <f t="shared" si="174"/>
        <v xml:space="preserve">       37.9% </v>
      </c>
      <c r="V571" t="str">
        <f t="shared" si="162"/>
        <v xml:space="preserve">         </v>
      </c>
      <c r="W571" t="str">
        <f t="shared" si="171"/>
        <v xml:space="preserve">         </v>
      </c>
      <c r="X571" t="str">
        <f t="shared" si="175"/>
        <v xml:space="preserve">  9716 </v>
      </c>
      <c r="Y571" t="str">
        <f t="shared" si="175"/>
        <v xml:space="preserve"> HEXION-RS069 </v>
      </c>
      <c r="Z571" t="str">
        <f t="shared" si="175"/>
        <v xml:space="preserve">  1 </v>
      </c>
      <c r="AA571" t="str">
        <f t="shared" si="163"/>
        <v xml:space="preserve">    10.6 </v>
      </c>
      <c r="AB571" t="str">
        <f t="shared" si="172"/>
        <v xml:space="preserve">     4.5 </v>
      </c>
      <c r="AC571" t="str">
        <f t="shared" si="173"/>
        <v xml:space="preserve">    11.4 </v>
      </c>
      <c r="AD571" t="str">
        <f t="shared" si="174"/>
        <v xml:space="preserve">        </v>
      </c>
      <c r="AE571" t="str">
        <f t="shared" si="164"/>
        <v xml:space="preserve">       </v>
      </c>
      <c r="AF571" t="str">
        <f t="shared" si="176"/>
        <v xml:space="preserve">     </v>
      </c>
      <c r="AG571" t="str">
        <f t="shared" si="176"/>
        <v xml:space="preserve">     0.01 </v>
      </c>
      <c r="AH571" t="str">
        <f t="shared" si="165"/>
        <v xml:space="preserve">    -0.00 </v>
      </c>
      <c r="AI571" t="str">
        <f t="shared" si="166"/>
        <v xml:space="preserve">       </v>
      </c>
      <c r="AJ571" t="str">
        <f t="shared" si="167"/>
        <v xml:space="preserve">      </v>
      </c>
    </row>
    <row r="572" spans="1:36" x14ac:dyDescent="0.25">
      <c r="A572" t="s">
        <v>14</v>
      </c>
      <c r="P572" t="str">
        <f t="shared" si="168"/>
        <v xml:space="preserve">  ..............</v>
      </c>
      <c r="Q572" t="str">
        <f t="shared" si="168"/>
        <v>.........</v>
      </c>
      <c r="R572" t="str">
        <f t="shared" si="161"/>
        <v>.........</v>
      </c>
      <c r="S572" t="str">
        <f t="shared" si="169"/>
        <v>.........</v>
      </c>
      <c r="T572" t="str">
        <f t="shared" si="170"/>
        <v>.........</v>
      </c>
      <c r="U572" t="str">
        <f t="shared" si="174"/>
        <v>.............</v>
      </c>
      <c r="V572" t="str">
        <f t="shared" si="162"/>
        <v>.........</v>
      </c>
      <c r="W572" t="str">
        <f t="shared" si="171"/>
        <v>.........</v>
      </c>
      <c r="X572" t="str">
        <f t="shared" si="175"/>
        <v>.......</v>
      </c>
      <c r="Y572" t="str">
        <f t="shared" si="175"/>
        <v>..............</v>
      </c>
      <c r="Z572" t="str">
        <f t="shared" si="175"/>
        <v>....</v>
      </c>
      <c r="AA572" t="str">
        <f t="shared" si="163"/>
        <v>.........</v>
      </c>
      <c r="AB572" t="str">
        <f t="shared" si="172"/>
        <v>.........</v>
      </c>
      <c r="AC572" t="str">
        <f t="shared" si="173"/>
        <v>.........</v>
      </c>
      <c r="AD572" t="str">
        <f t="shared" si="174"/>
        <v>........</v>
      </c>
      <c r="AE572" t="str">
        <f t="shared" si="164"/>
        <v>.......</v>
      </c>
      <c r="AF572" t="str">
        <f t="shared" si="176"/>
        <v>.....</v>
      </c>
      <c r="AG572" t="str">
        <f t="shared" si="176"/>
        <v>..........</v>
      </c>
      <c r="AH572" t="str">
        <f t="shared" si="165"/>
        <v>..........</v>
      </c>
      <c r="AI572" t="str">
        <f t="shared" si="166"/>
        <v>.......</v>
      </c>
      <c r="AJ572" t="str">
        <f t="shared" si="167"/>
        <v>.......</v>
      </c>
    </row>
    <row r="573" spans="1:36" x14ac:dyDescent="0.25">
      <c r="A573" t="s">
        <v>452</v>
      </c>
      <c r="P573" t="str">
        <f t="shared" si="168"/>
        <v xml:space="preserve">   1335  138  0 </v>
      </c>
      <c r="Q573" t="str">
        <f t="shared" si="168"/>
        <v xml:space="preserve">   1.014 </v>
      </c>
      <c r="R573" t="str">
        <f t="shared" si="161"/>
        <v xml:space="preserve">     0.0 </v>
      </c>
      <c r="S573" t="str">
        <f t="shared" si="169"/>
        <v xml:space="preserve">     0.0 </v>
      </c>
      <c r="T573" t="str">
        <f t="shared" si="170"/>
        <v xml:space="preserve">     5.6 </v>
      </c>
      <c r="U573" t="str">
        <f t="shared" si="174"/>
        <v xml:space="preserve">         0.0 </v>
      </c>
      <c r="V573" t="str">
        <f t="shared" si="162"/>
        <v xml:space="preserve">     0.0 </v>
      </c>
      <c r="W573" t="str">
        <f t="shared" si="171"/>
        <v xml:space="preserve">     0.0</v>
      </c>
      <c r="X573" t="str">
        <f t="shared" si="175"/>
        <v/>
      </c>
      <c r="Y573" t="str">
        <f t="shared" si="175"/>
        <v/>
      </c>
      <c r="Z573" t="str">
        <f t="shared" si="175"/>
        <v/>
      </c>
      <c r="AA573" t="str">
        <f t="shared" si="163"/>
        <v/>
      </c>
      <c r="AB573" t="str">
        <f t="shared" si="172"/>
        <v/>
      </c>
      <c r="AC573" t="str">
        <f t="shared" si="173"/>
        <v/>
      </c>
      <c r="AD573" t="str">
        <f t="shared" si="174"/>
        <v/>
      </c>
      <c r="AE573" t="str">
        <f t="shared" si="164"/>
        <v/>
      </c>
      <c r="AF573" t="str">
        <f t="shared" si="176"/>
        <v/>
      </c>
      <c r="AG573" t="str">
        <f t="shared" si="176"/>
        <v/>
      </c>
      <c r="AH573" t="str">
        <f t="shared" si="165"/>
        <v/>
      </c>
      <c r="AI573" t="str">
        <f t="shared" si="166"/>
        <v/>
      </c>
      <c r="AJ573" t="str">
        <f t="shared" si="167"/>
        <v/>
      </c>
    </row>
    <row r="574" spans="1:36" x14ac:dyDescent="0.25">
      <c r="A574" t="s">
        <v>453</v>
      </c>
      <c r="P574" t="str">
        <f t="shared" si="168"/>
        <v xml:space="preserve">  CONSTA-RS138  </v>
      </c>
      <c r="Q574" t="str">
        <f t="shared" si="168"/>
        <v xml:space="preserve">   -42.8 </v>
      </c>
      <c r="R574" t="str">
        <f t="shared" si="161"/>
        <v xml:space="preserve">     0.0 </v>
      </c>
      <c r="S574" t="str">
        <f t="shared" si="169"/>
        <v xml:space="preserve">     0.0 </v>
      </c>
      <c r="T574" t="str">
        <f t="shared" si="170"/>
        <v xml:space="preserve">     2.9 </v>
      </c>
      <c r="U574" t="str">
        <f t="shared" si="174"/>
        <v xml:space="preserve">         0.0 </v>
      </c>
      <c r="V574" t="str">
        <f t="shared" si="162"/>
        <v xml:space="preserve">     0.0 </v>
      </c>
      <c r="W574" t="str">
        <f t="shared" si="171"/>
        <v xml:space="preserve">     0.0 </v>
      </c>
      <c r="X574" t="str">
        <f t="shared" si="175"/>
        <v xml:space="preserve">       </v>
      </c>
      <c r="Y574" t="str">
        <f t="shared" si="175"/>
        <v xml:space="preserve">              </v>
      </c>
      <c r="Z574" t="str">
        <f t="shared" si="175"/>
        <v xml:space="preserve">    </v>
      </c>
      <c r="AA574" t="str">
        <f t="shared" si="163"/>
        <v xml:space="preserve">         </v>
      </c>
      <c r="AB574" t="str">
        <f t="shared" si="172"/>
        <v xml:space="preserve">         </v>
      </c>
      <c r="AC574" t="str">
        <f t="shared" si="173"/>
        <v xml:space="preserve">    </v>
      </c>
      <c r="AD574" t="str">
        <f t="shared" si="174"/>
        <v/>
      </c>
      <c r="AE574" t="str">
        <f t="shared" si="164"/>
        <v/>
      </c>
      <c r="AF574" t="str">
        <f t="shared" si="176"/>
        <v/>
      </c>
      <c r="AG574" t="str">
        <f t="shared" si="176"/>
        <v/>
      </c>
      <c r="AH574" t="str">
        <f t="shared" si="165"/>
        <v/>
      </c>
      <c r="AI574" t="str">
        <f t="shared" si="166"/>
        <v/>
      </c>
      <c r="AJ574" t="str">
        <f t="shared" si="167"/>
        <v/>
      </c>
    </row>
    <row r="575" spans="1:36" x14ac:dyDescent="0.25">
      <c r="A575" t="s">
        <v>454</v>
      </c>
      <c r="P575" t="str">
        <f t="shared" si="168"/>
        <v xml:space="preserve">                </v>
      </c>
      <c r="Q575" t="str">
        <f t="shared" si="168"/>
        <v xml:space="preserve">         </v>
      </c>
      <c r="R575" t="str">
        <f t="shared" si="161"/>
        <v xml:space="preserve">   167.0 </v>
      </c>
      <c r="S575" t="str">
        <f t="shared" si="169"/>
        <v xml:space="preserve">   203.0 </v>
      </c>
      <c r="T575" t="str">
        <f t="shared" si="170"/>
        <v xml:space="preserve">   203.0 </v>
      </c>
      <c r="U575" t="str">
        <f t="shared" si="174"/>
        <v xml:space="preserve">        3.7% </v>
      </c>
      <c r="V575" t="str">
        <f t="shared" si="162"/>
        <v xml:space="preserve">         </v>
      </c>
      <c r="W575" t="str">
        <f t="shared" si="171"/>
        <v xml:space="preserve">         </v>
      </c>
      <c r="X575" t="str">
        <f t="shared" si="175"/>
        <v xml:space="preserve">  9549 </v>
      </c>
      <c r="Y575" t="str">
        <f t="shared" si="175"/>
        <v xml:space="preserve"> PLANAL-RS138 </v>
      </c>
      <c r="Z575" t="str">
        <f t="shared" si="175"/>
        <v xml:space="preserve">  1 </v>
      </c>
      <c r="AA575" t="str">
        <f t="shared" si="163"/>
        <v xml:space="preserve">    -5.6 </v>
      </c>
      <c r="AB575" t="str">
        <f t="shared" si="172"/>
        <v xml:space="preserve">    -2.9 </v>
      </c>
      <c r="AC575" t="str">
        <f t="shared" si="173"/>
        <v xml:space="preserve">     6.2 </v>
      </c>
      <c r="AD575" t="str">
        <f t="shared" si="174"/>
        <v xml:space="preserve">        </v>
      </c>
      <c r="AE575" t="str">
        <f t="shared" si="164"/>
        <v xml:space="preserve">       </v>
      </c>
      <c r="AF575" t="str">
        <f t="shared" si="176"/>
        <v xml:space="preserve">     </v>
      </c>
      <c r="AG575" t="str">
        <f t="shared" si="176"/>
        <v xml:space="preserve">     0.01 </v>
      </c>
      <c r="AH575" t="str">
        <f t="shared" si="165"/>
        <v xml:space="preserve">    -3.46 </v>
      </c>
      <c r="AI575" t="str">
        <f t="shared" si="166"/>
        <v xml:space="preserve">       </v>
      </c>
      <c r="AJ575" t="str">
        <f t="shared" si="167"/>
        <v xml:space="preserve">      </v>
      </c>
    </row>
    <row r="576" spans="1:36" x14ac:dyDescent="0.25">
      <c r="A576" t="s">
        <v>14</v>
      </c>
      <c r="P576" t="str">
        <f t="shared" si="168"/>
        <v xml:space="preserve">  ..............</v>
      </c>
      <c r="Q576" t="str">
        <f t="shared" si="168"/>
        <v>.........</v>
      </c>
      <c r="R576" t="str">
        <f t="shared" si="161"/>
        <v>.........</v>
      </c>
      <c r="S576" t="str">
        <f t="shared" si="169"/>
        <v>.........</v>
      </c>
      <c r="T576" t="str">
        <f t="shared" si="170"/>
        <v>.........</v>
      </c>
      <c r="U576" t="str">
        <f t="shared" si="174"/>
        <v>.............</v>
      </c>
      <c r="V576" t="str">
        <f t="shared" si="162"/>
        <v>.........</v>
      </c>
      <c r="W576" t="str">
        <f t="shared" si="171"/>
        <v>.........</v>
      </c>
      <c r="X576" t="str">
        <f t="shared" si="175"/>
        <v>.......</v>
      </c>
      <c r="Y576" t="str">
        <f t="shared" si="175"/>
        <v>..............</v>
      </c>
      <c r="Z576" t="str">
        <f t="shared" si="175"/>
        <v>....</v>
      </c>
      <c r="AA576" t="str">
        <f t="shared" si="163"/>
        <v>.........</v>
      </c>
      <c r="AB576" t="str">
        <f t="shared" si="172"/>
        <v>.........</v>
      </c>
      <c r="AC576" t="str">
        <f t="shared" si="173"/>
        <v>.........</v>
      </c>
      <c r="AD576" t="str">
        <f t="shared" si="174"/>
        <v>........</v>
      </c>
      <c r="AE576" t="str">
        <f t="shared" si="164"/>
        <v>.......</v>
      </c>
      <c r="AF576" t="str">
        <f t="shared" si="176"/>
        <v>.....</v>
      </c>
      <c r="AG576" t="str">
        <f t="shared" si="176"/>
        <v>..........</v>
      </c>
      <c r="AH576" t="str">
        <f t="shared" si="165"/>
        <v>..........</v>
      </c>
      <c r="AI576" t="str">
        <f t="shared" si="166"/>
        <v>.......</v>
      </c>
      <c r="AJ576" t="str">
        <f t="shared" si="167"/>
        <v>.......</v>
      </c>
    </row>
    <row r="577" spans="1:36" x14ac:dyDescent="0.25">
      <c r="A577" t="s">
        <v>455</v>
      </c>
      <c r="P577" t="str">
        <f t="shared" si="168"/>
        <v xml:space="preserve">   1338  138  0 </v>
      </c>
      <c r="Q577" t="str">
        <f t="shared" si="168"/>
        <v xml:space="preserve">   1.017 </v>
      </c>
      <c r="R577" t="str">
        <f t="shared" si="161"/>
        <v xml:space="preserve">     0.0 </v>
      </c>
      <c r="S577" t="str">
        <f t="shared" si="169"/>
        <v xml:space="preserve">     0.0 </v>
      </c>
      <c r="T577" t="str">
        <f t="shared" si="170"/>
        <v xml:space="preserve">    14.1 </v>
      </c>
      <c r="U577" t="str">
        <f t="shared" si="174"/>
        <v xml:space="preserve">         0.0 </v>
      </c>
      <c r="V577" t="str">
        <f t="shared" si="162"/>
        <v xml:space="preserve">     0.0 </v>
      </c>
      <c r="W577" t="str">
        <f t="shared" si="171"/>
        <v xml:space="preserve">     0.0</v>
      </c>
      <c r="X577" t="str">
        <f t="shared" si="175"/>
        <v/>
      </c>
      <c r="Y577" t="str">
        <f t="shared" si="175"/>
        <v/>
      </c>
      <c r="Z577" t="str">
        <f t="shared" si="175"/>
        <v/>
      </c>
      <c r="AA577" t="str">
        <f t="shared" si="163"/>
        <v/>
      </c>
      <c r="AB577" t="str">
        <f t="shared" si="172"/>
        <v/>
      </c>
      <c r="AC577" t="str">
        <f t="shared" si="173"/>
        <v/>
      </c>
      <c r="AD577" t="str">
        <f t="shared" si="174"/>
        <v/>
      </c>
      <c r="AE577" t="str">
        <f t="shared" si="164"/>
        <v/>
      </c>
      <c r="AF577" t="str">
        <f t="shared" si="176"/>
        <v/>
      </c>
      <c r="AG577" t="str">
        <f t="shared" si="176"/>
        <v/>
      </c>
      <c r="AH577" t="str">
        <f t="shared" si="165"/>
        <v/>
      </c>
      <c r="AI577" t="str">
        <f t="shared" si="166"/>
        <v/>
      </c>
      <c r="AJ577" t="str">
        <f t="shared" si="167"/>
        <v/>
      </c>
    </row>
    <row r="578" spans="1:36" x14ac:dyDescent="0.25">
      <c r="A578" t="s">
        <v>456</v>
      </c>
      <c r="P578" t="str">
        <f t="shared" si="168"/>
        <v xml:space="preserve">  NSRIT2-RS138  </v>
      </c>
      <c r="Q578" t="str">
        <f t="shared" si="168"/>
        <v xml:space="preserve">   -52.4 </v>
      </c>
      <c r="R578" t="str">
        <f t="shared" si="161"/>
        <v xml:space="preserve">     0.0 </v>
      </c>
      <c r="S578" t="str">
        <f t="shared" si="169"/>
        <v xml:space="preserve">     0.0 </v>
      </c>
      <c r="T578" t="str">
        <f t="shared" si="170"/>
        <v xml:space="preserve">     5.2 </v>
      </c>
      <c r="U578" t="str">
        <f t="shared" si="174"/>
        <v xml:space="preserve">         0.0 </v>
      </c>
      <c r="V578" t="str">
        <f t="shared" si="162"/>
        <v xml:space="preserve">     0.0 </v>
      </c>
      <c r="W578" t="str">
        <f t="shared" si="171"/>
        <v xml:space="preserve">     0.0 </v>
      </c>
      <c r="X578" t="str">
        <f t="shared" si="175"/>
        <v xml:space="preserve">       </v>
      </c>
      <c r="Y578" t="str">
        <f t="shared" si="175"/>
        <v xml:space="preserve">              </v>
      </c>
      <c r="Z578" t="str">
        <f t="shared" si="175"/>
        <v xml:space="preserve">    </v>
      </c>
      <c r="AA578" t="str">
        <f t="shared" si="163"/>
        <v xml:space="preserve">         </v>
      </c>
      <c r="AB578" t="str">
        <f t="shared" si="172"/>
        <v xml:space="preserve">         </v>
      </c>
      <c r="AC578" t="str">
        <f t="shared" si="173"/>
        <v xml:space="preserve">    </v>
      </c>
      <c r="AD578" t="str">
        <f t="shared" si="174"/>
        <v/>
      </c>
      <c r="AE578" t="str">
        <f t="shared" si="164"/>
        <v/>
      </c>
      <c r="AF578" t="str">
        <f t="shared" si="176"/>
        <v/>
      </c>
      <c r="AG578" t="str">
        <f t="shared" si="176"/>
        <v/>
      </c>
      <c r="AH578" t="str">
        <f t="shared" si="165"/>
        <v/>
      </c>
      <c r="AI578" t="str">
        <f t="shared" si="166"/>
        <v/>
      </c>
      <c r="AJ578" t="str">
        <f t="shared" si="167"/>
        <v/>
      </c>
    </row>
    <row r="579" spans="1:36" x14ac:dyDescent="0.25">
      <c r="A579" t="s">
        <v>457</v>
      </c>
      <c r="P579" t="str">
        <f t="shared" si="168"/>
        <v xml:space="preserve">                </v>
      </c>
      <c r="Q579" t="str">
        <f t="shared" si="168"/>
        <v xml:space="preserve">         </v>
      </c>
      <c r="R579" t="str">
        <f t="shared" si="161"/>
        <v xml:space="preserve">   134.0 </v>
      </c>
      <c r="S579" t="str">
        <f t="shared" si="169"/>
        <v xml:space="preserve">   162.0 </v>
      </c>
      <c r="T579" t="str">
        <f t="shared" si="170"/>
        <v xml:space="preserve">   162.0 </v>
      </c>
      <c r="U579" t="str">
        <f t="shared" si="174"/>
        <v xml:space="preserve">        5.5% </v>
      </c>
      <c r="V579" t="str">
        <f t="shared" si="162"/>
        <v xml:space="preserve">         </v>
      </c>
      <c r="W579" t="str">
        <f t="shared" si="171"/>
        <v xml:space="preserve">         </v>
      </c>
      <c r="X579" t="str">
        <f t="shared" si="175"/>
        <v xml:space="preserve">  1257 </v>
      </c>
      <c r="Y579" t="str">
        <f t="shared" si="175"/>
        <v xml:space="preserve"> CINPAL-RS138 </v>
      </c>
      <c r="Z579" t="str">
        <f t="shared" si="175"/>
        <v xml:space="preserve">  1 </v>
      </c>
      <c r="AA579" t="str">
        <f t="shared" si="163"/>
        <v xml:space="preserve">    -7.1 </v>
      </c>
      <c r="AB579" t="str">
        <f t="shared" si="172"/>
        <v xml:space="preserve">    -2.6 </v>
      </c>
      <c r="AC579" t="str">
        <f t="shared" si="173"/>
        <v xml:space="preserve">     7.4 </v>
      </c>
      <c r="AD579" t="str">
        <f t="shared" si="174"/>
        <v xml:space="preserve">        </v>
      </c>
      <c r="AE579" t="str">
        <f t="shared" si="164"/>
        <v xml:space="preserve">       </v>
      </c>
      <c r="AF579" t="str">
        <f t="shared" si="176"/>
        <v xml:space="preserve">     </v>
      </c>
      <c r="AG579" t="str">
        <f t="shared" si="176"/>
        <v xml:space="preserve">     0.01 </v>
      </c>
      <c r="AH579" t="str">
        <f t="shared" si="165"/>
        <v xml:space="preserve">    -0.66 </v>
      </c>
      <c r="AI579" t="str">
        <f t="shared" si="166"/>
        <v xml:space="preserve">       </v>
      </c>
      <c r="AJ579" t="str">
        <f t="shared" si="167"/>
        <v xml:space="preserve">      </v>
      </c>
    </row>
    <row r="580" spans="1:36" x14ac:dyDescent="0.25">
      <c r="A580" t="s">
        <v>458</v>
      </c>
      <c r="P580" t="str">
        <f t="shared" si="168"/>
        <v xml:space="preserve">                </v>
      </c>
      <c r="Q580" t="str">
        <f t="shared" si="168"/>
        <v xml:space="preserve">         </v>
      </c>
      <c r="R580" t="str">
        <f t="shared" si="161"/>
        <v xml:space="preserve">   134.0 </v>
      </c>
      <c r="S580" t="str">
        <f t="shared" si="169"/>
        <v xml:space="preserve">   162.0 </v>
      </c>
      <c r="T580" t="str">
        <f t="shared" si="170"/>
        <v xml:space="preserve">   162.0 </v>
      </c>
      <c r="U580" t="str">
        <f t="shared" si="174"/>
        <v xml:space="preserve">        5.5% </v>
      </c>
      <c r="V580" t="str">
        <f t="shared" si="162"/>
        <v xml:space="preserve">         </v>
      </c>
      <c r="W580" t="str">
        <f t="shared" si="171"/>
        <v xml:space="preserve">         </v>
      </c>
      <c r="X580" t="str">
        <f t="shared" si="175"/>
        <v xml:space="preserve">  1257 </v>
      </c>
      <c r="Y580" t="str">
        <f t="shared" si="175"/>
        <v xml:space="preserve"> CINPAL-RS138 </v>
      </c>
      <c r="Z580" t="str">
        <f t="shared" si="175"/>
        <v xml:space="preserve">  2 </v>
      </c>
      <c r="AA580" t="str">
        <f t="shared" si="163"/>
        <v xml:space="preserve">    -7.1 </v>
      </c>
      <c r="AB580" t="str">
        <f t="shared" si="172"/>
        <v xml:space="preserve">    -2.6 </v>
      </c>
      <c r="AC580" t="str">
        <f t="shared" si="173"/>
        <v xml:space="preserve">     7.4 </v>
      </c>
      <c r="AD580" t="str">
        <f t="shared" si="174"/>
        <v xml:space="preserve">        </v>
      </c>
      <c r="AE580" t="str">
        <f t="shared" si="164"/>
        <v xml:space="preserve">       </v>
      </c>
      <c r="AF580" t="str">
        <f t="shared" si="176"/>
        <v xml:space="preserve">     </v>
      </c>
      <c r="AG580" t="str">
        <f t="shared" si="176"/>
        <v xml:space="preserve">     0.01 </v>
      </c>
      <c r="AH580" t="str">
        <f t="shared" si="165"/>
        <v xml:space="preserve">    -0.66 </v>
      </c>
      <c r="AI580" t="str">
        <f t="shared" si="166"/>
        <v xml:space="preserve">       </v>
      </c>
      <c r="AJ580" t="str">
        <f t="shared" si="167"/>
        <v xml:space="preserve">      </v>
      </c>
    </row>
    <row r="581" spans="1:36" x14ac:dyDescent="0.25">
      <c r="A581" t="s">
        <v>14</v>
      </c>
      <c r="P581" t="str">
        <f t="shared" si="168"/>
        <v xml:space="preserve">  ..............</v>
      </c>
      <c r="Q581" t="str">
        <f t="shared" si="168"/>
        <v>.........</v>
      </c>
      <c r="R581" t="str">
        <f t="shared" si="161"/>
        <v>.........</v>
      </c>
      <c r="S581" t="str">
        <f t="shared" si="169"/>
        <v>.........</v>
      </c>
      <c r="T581" t="str">
        <f t="shared" si="170"/>
        <v>.........</v>
      </c>
      <c r="U581" t="str">
        <f t="shared" si="174"/>
        <v>.............</v>
      </c>
      <c r="V581" t="str">
        <f t="shared" si="162"/>
        <v>.........</v>
      </c>
      <c r="W581" t="str">
        <f t="shared" si="171"/>
        <v>.........</v>
      </c>
      <c r="X581" t="str">
        <f t="shared" si="175"/>
        <v>.......</v>
      </c>
      <c r="Y581" t="str">
        <f t="shared" si="175"/>
        <v>..............</v>
      </c>
      <c r="Z581" t="str">
        <f t="shared" si="175"/>
        <v>....</v>
      </c>
      <c r="AA581" t="str">
        <f t="shared" si="163"/>
        <v>.........</v>
      </c>
      <c r="AB581" t="str">
        <f t="shared" si="172"/>
        <v>.........</v>
      </c>
      <c r="AC581" t="str">
        <f t="shared" si="173"/>
        <v>.........</v>
      </c>
      <c r="AD581" t="str">
        <f t="shared" si="174"/>
        <v>........</v>
      </c>
      <c r="AE581" t="str">
        <f t="shared" si="164"/>
        <v>.......</v>
      </c>
      <c r="AF581" t="str">
        <f t="shared" si="176"/>
        <v>.....</v>
      </c>
      <c r="AG581" t="str">
        <f t="shared" si="176"/>
        <v>..........</v>
      </c>
      <c r="AH581" t="str">
        <f t="shared" si="165"/>
        <v>..........</v>
      </c>
      <c r="AI581" t="str">
        <f t="shared" si="166"/>
        <v>.......</v>
      </c>
      <c r="AJ581" t="str">
        <f t="shared" si="167"/>
        <v>.......</v>
      </c>
    </row>
    <row r="582" spans="1:36" x14ac:dyDescent="0.25">
      <c r="A582" t="s">
        <v>459</v>
      </c>
      <c r="P582" t="str">
        <f t="shared" si="168"/>
        <v xml:space="preserve">   1339   69  0 </v>
      </c>
      <c r="Q582" t="str">
        <f t="shared" si="168"/>
        <v xml:space="preserve">   1.019 </v>
      </c>
      <c r="R582" t="str">
        <f t="shared" si="161"/>
        <v xml:space="preserve">     0.0 </v>
      </c>
      <c r="S582" t="str">
        <f t="shared" si="169"/>
        <v xml:space="preserve">     0.0 </v>
      </c>
      <c r="T582" t="str">
        <f t="shared" si="170"/>
        <v xml:space="preserve">     1.0 </v>
      </c>
      <c r="U582" t="str">
        <f t="shared" si="174"/>
        <v xml:space="preserve">         0.0 </v>
      </c>
      <c r="V582" t="str">
        <f t="shared" si="162"/>
        <v xml:space="preserve">     0.0 </v>
      </c>
      <c r="W582" t="str">
        <f t="shared" si="171"/>
        <v xml:space="preserve">     0.0</v>
      </c>
      <c r="X582" t="str">
        <f t="shared" si="175"/>
        <v/>
      </c>
      <c r="Y582" t="str">
        <f t="shared" si="175"/>
        <v/>
      </c>
      <c r="Z582" t="str">
        <f t="shared" si="175"/>
        <v/>
      </c>
      <c r="AA582" t="str">
        <f t="shared" si="163"/>
        <v/>
      </c>
      <c r="AB582" t="str">
        <f t="shared" si="172"/>
        <v/>
      </c>
      <c r="AC582" t="str">
        <f t="shared" si="173"/>
        <v/>
      </c>
      <c r="AD582" t="str">
        <f t="shared" si="174"/>
        <v/>
      </c>
      <c r="AE582" t="str">
        <f t="shared" si="164"/>
        <v/>
      </c>
      <c r="AF582" t="str">
        <f t="shared" si="176"/>
        <v/>
      </c>
      <c r="AG582" t="str">
        <f t="shared" si="176"/>
        <v/>
      </c>
      <c r="AH582" t="str">
        <f t="shared" si="165"/>
        <v/>
      </c>
      <c r="AI582" t="str">
        <f t="shared" si="166"/>
        <v/>
      </c>
      <c r="AJ582" t="str">
        <f t="shared" si="167"/>
        <v/>
      </c>
    </row>
    <row r="583" spans="1:36" x14ac:dyDescent="0.25">
      <c r="A583" t="s">
        <v>460</v>
      </c>
      <c r="P583" t="str">
        <f t="shared" si="168"/>
        <v xml:space="preserve">  SITEL-TAP069  </v>
      </c>
      <c r="Q583" t="str">
        <f t="shared" si="168"/>
        <v xml:space="preserve">   -52.0 </v>
      </c>
      <c r="R583" t="str">
        <f t="shared" si="161"/>
        <v xml:space="preserve">     0.0 </v>
      </c>
      <c r="S583" t="str">
        <f t="shared" si="169"/>
        <v xml:space="preserve">     0.0 </v>
      </c>
      <c r="T583" t="str">
        <f t="shared" si="170"/>
        <v xml:space="preserve">     0.4 </v>
      </c>
      <c r="U583" t="str">
        <f t="shared" si="174"/>
        <v xml:space="preserve">         0.0 </v>
      </c>
      <c r="V583" t="str">
        <f t="shared" si="162"/>
        <v xml:space="preserve">     0.0 </v>
      </c>
      <c r="W583" t="str">
        <f t="shared" si="171"/>
        <v xml:space="preserve">     0.0 </v>
      </c>
      <c r="X583" t="str">
        <f t="shared" si="175"/>
        <v xml:space="preserve">       </v>
      </c>
      <c r="Y583" t="str">
        <f t="shared" si="175"/>
        <v xml:space="preserve">              </v>
      </c>
      <c r="Z583" t="str">
        <f t="shared" si="175"/>
        <v xml:space="preserve">    </v>
      </c>
      <c r="AA583" t="str">
        <f t="shared" si="163"/>
        <v xml:space="preserve">         </v>
      </c>
      <c r="AB583" t="str">
        <f t="shared" si="172"/>
        <v xml:space="preserve">         </v>
      </c>
      <c r="AC583" t="str">
        <f t="shared" si="173"/>
        <v xml:space="preserve">    </v>
      </c>
      <c r="AD583" t="str">
        <f t="shared" si="174"/>
        <v/>
      </c>
      <c r="AE583" t="str">
        <f t="shared" si="164"/>
        <v/>
      </c>
      <c r="AF583" t="str">
        <f t="shared" si="176"/>
        <v/>
      </c>
      <c r="AG583" t="str">
        <f t="shared" si="176"/>
        <v/>
      </c>
      <c r="AH583" t="str">
        <f t="shared" si="165"/>
        <v/>
      </c>
      <c r="AI583" t="str">
        <f t="shared" si="166"/>
        <v/>
      </c>
      <c r="AJ583" t="str">
        <f t="shared" si="167"/>
        <v/>
      </c>
    </row>
    <row r="584" spans="1:36" x14ac:dyDescent="0.25">
      <c r="A584" t="s">
        <v>461</v>
      </c>
      <c r="P584" t="str">
        <f t="shared" si="168"/>
        <v xml:space="preserve">                </v>
      </c>
      <c r="Q584" t="str">
        <f t="shared" si="168"/>
        <v xml:space="preserve">         </v>
      </c>
      <c r="R584" t="str">
        <f t="shared" si="161"/>
        <v xml:space="preserve">    48.0 </v>
      </c>
      <c r="S584" t="str">
        <f t="shared" si="169"/>
        <v xml:space="preserve">    71.0 </v>
      </c>
      <c r="T584" t="str">
        <f t="shared" si="170"/>
        <v xml:space="preserve">    71.0 </v>
      </c>
      <c r="U584" t="str">
        <f t="shared" si="174"/>
        <v xml:space="preserve">       56.5% </v>
      </c>
      <c r="V584" t="str">
        <f t="shared" si="162"/>
        <v xml:space="preserve">         </v>
      </c>
      <c r="W584" t="str">
        <f t="shared" si="171"/>
        <v xml:space="preserve">         </v>
      </c>
      <c r="X584" t="str">
        <f t="shared" si="175"/>
        <v xml:space="preserve">  1341 </v>
      </c>
      <c r="Y584" t="str">
        <f t="shared" si="175"/>
        <v xml:space="preserve"> SRITA-TAP069 </v>
      </c>
      <c r="Z584" t="str">
        <f t="shared" si="175"/>
        <v xml:space="preserve">  1 </v>
      </c>
      <c r="AA584" t="str">
        <f t="shared" si="163"/>
        <v xml:space="preserve">    27.3 </v>
      </c>
      <c r="AB584" t="str">
        <f t="shared" si="172"/>
        <v xml:space="preserve">     4.3 </v>
      </c>
      <c r="AC584" t="str">
        <f t="shared" si="173"/>
        <v xml:space="preserve">    27.1 </v>
      </c>
      <c r="AD584" t="str">
        <f t="shared" si="174"/>
        <v xml:space="preserve">        </v>
      </c>
      <c r="AE584" t="str">
        <f t="shared" si="164"/>
        <v xml:space="preserve">       </v>
      </c>
      <c r="AF584" t="str">
        <f t="shared" si="176"/>
        <v xml:space="preserve">     </v>
      </c>
      <c r="AG584" t="str">
        <f t="shared" si="176"/>
        <v xml:space="preserve">     0.20 </v>
      </c>
      <c r="AH584" t="str">
        <f t="shared" si="165"/>
        <v xml:space="preserve">     0.74 </v>
      </c>
      <c r="AI584" t="str">
        <f t="shared" si="166"/>
        <v xml:space="preserve">       </v>
      </c>
      <c r="AJ584" t="str">
        <f t="shared" si="167"/>
        <v xml:space="preserve">      </v>
      </c>
    </row>
    <row r="585" spans="1:36" x14ac:dyDescent="0.25">
      <c r="A585" t="s">
        <v>462</v>
      </c>
      <c r="P585" t="str">
        <f t="shared" si="168"/>
        <v xml:space="preserve">                </v>
      </c>
      <c r="Q585" t="str">
        <f t="shared" si="168"/>
        <v xml:space="preserve">         </v>
      </c>
      <c r="R585" t="str">
        <f t="shared" si="161"/>
        <v xml:space="preserve">    84.0 </v>
      </c>
      <c r="S585" t="str">
        <f t="shared" si="169"/>
        <v xml:space="preserve">   101.0 </v>
      </c>
      <c r="T585" t="str">
        <f t="shared" si="170"/>
        <v xml:space="preserve">   101.0 </v>
      </c>
      <c r="U585" t="str">
        <f t="shared" si="174"/>
        <v xml:space="preserve">       33.5% </v>
      </c>
      <c r="V585" t="str">
        <f t="shared" si="162"/>
        <v xml:space="preserve">         </v>
      </c>
      <c r="W585" t="str">
        <f t="shared" si="171"/>
        <v xml:space="preserve">         </v>
      </c>
      <c r="X585" t="str">
        <f t="shared" si="175"/>
        <v xml:space="preserve">  2077 </v>
      </c>
      <c r="Y585" t="str">
        <f t="shared" si="175"/>
        <v xml:space="preserve"> PPETRO-RS069 </v>
      </c>
      <c r="Z585" t="str">
        <f t="shared" si="175"/>
        <v xml:space="preserve">  1 </v>
      </c>
      <c r="AA585" t="str">
        <f t="shared" si="163"/>
        <v xml:space="preserve">   -28.3 </v>
      </c>
      <c r="AB585" t="str">
        <f t="shared" si="172"/>
        <v xml:space="preserve">    -4.7 </v>
      </c>
      <c r="AC585" t="str">
        <f t="shared" si="173"/>
        <v xml:space="preserve">    28.1 </v>
      </c>
      <c r="AD585" t="str">
        <f t="shared" si="174"/>
        <v xml:space="preserve">        </v>
      </c>
      <c r="AE585" t="str">
        <f t="shared" si="164"/>
        <v xml:space="preserve">       </v>
      </c>
      <c r="AF585" t="str">
        <f t="shared" si="176"/>
        <v xml:space="preserve">     </v>
      </c>
      <c r="AG585" t="str">
        <f t="shared" si="176"/>
        <v xml:space="preserve">     0.08 </v>
      </c>
      <c r="AH585" t="str">
        <f t="shared" si="165"/>
        <v xml:space="preserve">     0.23 </v>
      </c>
      <c r="AI585" t="str">
        <f t="shared" si="166"/>
        <v xml:space="preserve">       </v>
      </c>
      <c r="AJ585" t="str">
        <f t="shared" si="167"/>
        <v xml:space="preserve">      </v>
      </c>
    </row>
    <row r="586" spans="1:36" x14ac:dyDescent="0.25">
      <c r="A586" t="s">
        <v>14</v>
      </c>
      <c r="P586" t="str">
        <f t="shared" si="168"/>
        <v xml:space="preserve">  ..............</v>
      </c>
      <c r="Q586" t="str">
        <f t="shared" si="168"/>
        <v>.........</v>
      </c>
      <c r="R586" t="str">
        <f t="shared" si="161"/>
        <v>.........</v>
      </c>
      <c r="S586" t="str">
        <f t="shared" si="169"/>
        <v>.........</v>
      </c>
      <c r="T586" t="str">
        <f t="shared" si="170"/>
        <v>.........</v>
      </c>
      <c r="U586" t="str">
        <f t="shared" si="174"/>
        <v>.............</v>
      </c>
      <c r="V586" t="str">
        <f t="shared" si="162"/>
        <v>.........</v>
      </c>
      <c r="W586" t="str">
        <f t="shared" si="171"/>
        <v>.........</v>
      </c>
      <c r="X586" t="str">
        <f t="shared" si="175"/>
        <v>.......</v>
      </c>
      <c r="Y586" t="str">
        <f t="shared" si="175"/>
        <v>..............</v>
      </c>
      <c r="Z586" t="str">
        <f t="shared" si="175"/>
        <v>....</v>
      </c>
      <c r="AA586" t="str">
        <f t="shared" si="163"/>
        <v>.........</v>
      </c>
      <c r="AB586" t="str">
        <f t="shared" si="172"/>
        <v>.........</v>
      </c>
      <c r="AC586" t="str">
        <f t="shared" si="173"/>
        <v>.........</v>
      </c>
      <c r="AD586" t="str">
        <f t="shared" si="174"/>
        <v>........</v>
      </c>
      <c r="AE586" t="str">
        <f t="shared" si="164"/>
        <v>.......</v>
      </c>
      <c r="AF586" t="str">
        <f t="shared" si="176"/>
        <v>.....</v>
      </c>
      <c r="AG586" t="str">
        <f t="shared" si="176"/>
        <v>..........</v>
      </c>
      <c r="AH586" t="str">
        <f t="shared" si="165"/>
        <v>..........</v>
      </c>
      <c r="AI586" t="str">
        <f t="shared" si="166"/>
        <v>.......</v>
      </c>
      <c r="AJ586" t="str">
        <f t="shared" si="167"/>
        <v>.......</v>
      </c>
    </row>
    <row r="587" spans="1:36" x14ac:dyDescent="0.25">
      <c r="A587" t="s">
        <v>463</v>
      </c>
      <c r="P587" t="str">
        <f t="shared" si="168"/>
        <v xml:space="preserve">   1340  138  0 </v>
      </c>
      <c r="Q587" t="str">
        <f t="shared" si="168"/>
        <v xml:space="preserve">   0.991 </v>
      </c>
      <c r="R587" t="str">
        <f t="shared" si="161"/>
        <v xml:space="preserve">     0.3 </v>
      </c>
      <c r="S587" t="str">
        <f t="shared" si="169"/>
        <v xml:space="preserve">     0.0 </v>
      </c>
      <c r="T587" t="str">
        <f t="shared" si="170"/>
        <v xml:space="preserve">    27.2 </v>
      </c>
      <c r="U587" t="str">
        <f t="shared" si="174"/>
        <v xml:space="preserve">         0.0 </v>
      </c>
      <c r="V587" t="str">
        <f t="shared" si="162"/>
        <v xml:space="preserve">     3.5 </v>
      </c>
      <c r="W587" t="str">
        <f t="shared" si="171"/>
        <v xml:space="preserve">     0.0</v>
      </c>
      <c r="X587" t="str">
        <f t="shared" si="175"/>
        <v/>
      </c>
      <c r="Y587" t="str">
        <f t="shared" si="175"/>
        <v/>
      </c>
      <c r="Z587" t="str">
        <f t="shared" si="175"/>
        <v/>
      </c>
      <c r="AA587" t="str">
        <f t="shared" si="163"/>
        <v/>
      </c>
      <c r="AB587" t="str">
        <f t="shared" si="172"/>
        <v/>
      </c>
      <c r="AC587" t="str">
        <f t="shared" si="173"/>
        <v/>
      </c>
      <c r="AD587" t="str">
        <f t="shared" si="174"/>
        <v/>
      </c>
      <c r="AE587" t="str">
        <f t="shared" si="164"/>
        <v/>
      </c>
      <c r="AF587" t="str">
        <f t="shared" si="176"/>
        <v/>
      </c>
      <c r="AG587" t="str">
        <f t="shared" si="176"/>
        <v/>
      </c>
      <c r="AH587" t="str">
        <f t="shared" si="165"/>
        <v/>
      </c>
      <c r="AI587" t="str">
        <f t="shared" si="166"/>
        <v/>
      </c>
      <c r="AJ587" t="str">
        <f t="shared" si="167"/>
        <v/>
      </c>
    </row>
    <row r="588" spans="1:36" x14ac:dyDescent="0.25">
      <c r="A588" t="s">
        <v>464</v>
      </c>
      <c r="P588" t="str">
        <f t="shared" si="168"/>
        <v xml:space="preserve">  TAPEJA-RS138  </v>
      </c>
      <c r="Q588" t="str">
        <f t="shared" si="168"/>
        <v xml:space="preserve">   -48.7 </v>
      </c>
      <c r="R588" t="str">
        <f t="shared" ref="R588:R651" si="177">MID($A588,Q$8+Q$9-1,R$9)</f>
        <v xml:space="preserve">     0.0 </v>
      </c>
      <c r="S588" t="str">
        <f t="shared" si="169"/>
        <v xml:space="preserve">     0.0 </v>
      </c>
      <c r="T588" t="str">
        <f t="shared" si="170"/>
        <v xml:space="preserve">    13.0 </v>
      </c>
      <c r="U588" t="str">
        <f t="shared" si="174"/>
        <v xml:space="preserve">         0.0 </v>
      </c>
      <c r="V588" t="str">
        <f t="shared" ref="V588:V651" si="178">MID($A588,U$8+U$9-1,V$9)</f>
        <v xml:space="preserve">     0.0 </v>
      </c>
      <c r="W588" t="str">
        <f t="shared" si="171"/>
        <v xml:space="preserve">     0.0 </v>
      </c>
      <c r="X588" t="str">
        <f t="shared" si="175"/>
        <v xml:space="preserve">       </v>
      </c>
      <c r="Y588" t="str">
        <f t="shared" si="175"/>
        <v xml:space="preserve">              </v>
      </c>
      <c r="Z588" t="str">
        <f t="shared" si="175"/>
        <v xml:space="preserve">    </v>
      </c>
      <c r="AA588" t="str">
        <f t="shared" ref="AA588:AA651" si="179">MID($A588,Z$8+Z$9-1,AA$9)</f>
        <v xml:space="preserve">         </v>
      </c>
      <c r="AB588" t="str">
        <f t="shared" si="172"/>
        <v xml:space="preserve">         </v>
      </c>
      <c r="AC588" t="str">
        <f t="shared" si="173"/>
        <v xml:space="preserve">    </v>
      </c>
      <c r="AD588" t="str">
        <f t="shared" si="174"/>
        <v/>
      </c>
      <c r="AE588" t="str">
        <f t="shared" ref="AE588:AE651" si="180">MID($A588,AD$8+AD$9-1,AE$9)</f>
        <v/>
      </c>
      <c r="AF588" t="str">
        <f t="shared" si="176"/>
        <v/>
      </c>
      <c r="AG588" t="str">
        <f t="shared" si="176"/>
        <v/>
      </c>
      <c r="AH588" t="str">
        <f t="shared" ref="AH588:AH651" si="181">MID($A588,AG$8+AG$9-1,AH$9)</f>
        <v/>
      </c>
      <c r="AI588" t="str">
        <f t="shared" si="166"/>
        <v/>
      </c>
      <c r="AJ588" t="str">
        <f t="shared" si="167"/>
        <v/>
      </c>
    </row>
    <row r="589" spans="1:36" x14ac:dyDescent="0.25">
      <c r="A589" t="s">
        <v>465</v>
      </c>
      <c r="P589" t="str">
        <f t="shared" si="168"/>
        <v xml:space="preserve">                </v>
      </c>
      <c r="Q589" t="str">
        <f t="shared" si="168"/>
        <v xml:space="preserve">         </v>
      </c>
      <c r="R589" t="str">
        <f t="shared" si="177"/>
        <v xml:space="preserve">   137.0 </v>
      </c>
      <c r="S589" t="str">
        <f t="shared" si="169"/>
        <v xml:space="preserve">   175.0 </v>
      </c>
      <c r="T589" t="str">
        <f t="shared" si="170"/>
        <v xml:space="preserve">   175.0 </v>
      </c>
      <c r="U589" t="str">
        <f t="shared" si="174"/>
        <v xml:space="preserve">       25.1% </v>
      </c>
      <c r="V589" t="str">
        <f t="shared" si="178"/>
        <v xml:space="preserve">         </v>
      </c>
      <c r="W589" t="str">
        <f t="shared" si="171"/>
        <v xml:space="preserve">         </v>
      </c>
      <c r="X589" t="str">
        <f t="shared" si="175"/>
        <v xml:space="preserve">  1310 </v>
      </c>
      <c r="Y589" t="str">
        <f t="shared" si="175"/>
        <v xml:space="preserve"> EREXI2-RS138 </v>
      </c>
      <c r="Z589" t="str">
        <f t="shared" si="175"/>
        <v xml:space="preserve">  1 </v>
      </c>
      <c r="AA589" t="str">
        <f t="shared" si="179"/>
        <v xml:space="preserve">    32.6 </v>
      </c>
      <c r="AB589" t="str">
        <f t="shared" si="172"/>
        <v xml:space="preserve">     9.9 </v>
      </c>
      <c r="AC589" t="str">
        <f t="shared" si="173"/>
        <v xml:space="preserve">    34.3 </v>
      </c>
      <c r="AD589" t="str">
        <f t="shared" si="174"/>
        <v xml:space="preserve">        </v>
      </c>
      <c r="AE589" t="str">
        <f t="shared" si="180"/>
        <v xml:space="preserve">       </v>
      </c>
      <c r="AF589" t="str">
        <f t="shared" si="176"/>
        <v xml:space="preserve">     </v>
      </c>
      <c r="AG589" t="str">
        <f t="shared" si="176"/>
        <v xml:space="preserve">     0.46 </v>
      </c>
      <c r="AH589" t="str">
        <f t="shared" si="181"/>
        <v xml:space="preserve">    -1.47 </v>
      </c>
      <c r="AI589" t="str">
        <f t="shared" si="166"/>
        <v xml:space="preserve">       </v>
      </c>
      <c r="AJ589" t="str">
        <f t="shared" si="167"/>
        <v xml:space="preserve">      </v>
      </c>
    </row>
    <row r="590" spans="1:36" x14ac:dyDescent="0.25">
      <c r="A590" t="s">
        <v>466</v>
      </c>
      <c r="P590" t="str">
        <f t="shared" si="168"/>
        <v xml:space="preserve">                </v>
      </c>
      <c r="Q590" t="str">
        <f t="shared" si="168"/>
        <v xml:space="preserve">         </v>
      </c>
      <c r="R590" t="str">
        <f t="shared" si="177"/>
        <v xml:space="preserve">   167.0 </v>
      </c>
      <c r="S590" t="str">
        <f t="shared" si="169"/>
        <v xml:space="preserve">   203.0 </v>
      </c>
      <c r="T590" t="str">
        <f t="shared" si="170"/>
        <v xml:space="preserve">   203.0 </v>
      </c>
      <c r="U590" t="str">
        <f t="shared" si="174"/>
        <v xml:space="preserve">       37.8% </v>
      </c>
      <c r="V590" t="str">
        <f t="shared" si="178"/>
        <v xml:space="preserve">         </v>
      </c>
      <c r="W590" t="str">
        <f t="shared" si="171"/>
        <v xml:space="preserve">         </v>
      </c>
      <c r="X590" t="str">
        <f t="shared" si="175"/>
        <v xml:space="preserve">  9679 </v>
      </c>
      <c r="Y590" t="str">
        <f t="shared" si="175"/>
        <v xml:space="preserve"> SANANDTAP138 </v>
      </c>
      <c r="Z590" t="str">
        <f t="shared" si="175"/>
        <v xml:space="preserve">  1 </v>
      </c>
      <c r="AA590" t="str">
        <f t="shared" si="179"/>
        <v xml:space="preserve">   -59.5 </v>
      </c>
      <c r="AB590" t="str">
        <f t="shared" si="172"/>
        <v xml:space="preserve">   -19.4 </v>
      </c>
      <c r="AC590" t="str">
        <f t="shared" si="173"/>
        <v xml:space="preserve">    63.1 </v>
      </c>
      <c r="AD590" t="str">
        <f t="shared" si="174"/>
        <v xml:space="preserve">        </v>
      </c>
      <c r="AE590" t="str">
        <f t="shared" si="180"/>
        <v xml:space="preserve">       </v>
      </c>
      <c r="AF590" t="str">
        <f t="shared" si="176"/>
        <v xml:space="preserve">     </v>
      </c>
      <c r="AG590" t="str">
        <f t="shared" si="176"/>
        <v xml:space="preserve">     0.89 </v>
      </c>
      <c r="AH590" t="str">
        <f t="shared" si="181"/>
        <v xml:space="preserve">     0.98 </v>
      </c>
      <c r="AI590" t="str">
        <f t="shared" si="166"/>
        <v xml:space="preserve">       </v>
      </c>
      <c r="AJ590" t="str">
        <f t="shared" si="167"/>
        <v xml:space="preserve">      </v>
      </c>
    </row>
    <row r="591" spans="1:36" x14ac:dyDescent="0.25">
      <c r="A591" t="s">
        <v>14</v>
      </c>
      <c r="P591" t="str">
        <f t="shared" si="168"/>
        <v xml:space="preserve">  ..............</v>
      </c>
      <c r="Q591" t="str">
        <f t="shared" si="168"/>
        <v>.........</v>
      </c>
      <c r="R591" t="str">
        <f t="shared" si="177"/>
        <v>.........</v>
      </c>
      <c r="S591" t="str">
        <f t="shared" si="169"/>
        <v>.........</v>
      </c>
      <c r="T591" t="str">
        <f t="shared" si="170"/>
        <v>.........</v>
      </c>
      <c r="U591" t="str">
        <f t="shared" si="174"/>
        <v>.............</v>
      </c>
      <c r="V591" t="str">
        <f t="shared" si="178"/>
        <v>.........</v>
      </c>
      <c r="W591" t="str">
        <f t="shared" si="171"/>
        <v>.........</v>
      </c>
      <c r="X591" t="str">
        <f t="shared" si="175"/>
        <v>.......</v>
      </c>
      <c r="Y591" t="str">
        <f t="shared" si="175"/>
        <v>..............</v>
      </c>
      <c r="Z591" t="str">
        <f t="shared" si="175"/>
        <v>....</v>
      </c>
      <c r="AA591" t="str">
        <f t="shared" si="179"/>
        <v>.........</v>
      </c>
      <c r="AB591" t="str">
        <f t="shared" si="172"/>
        <v>.........</v>
      </c>
      <c r="AC591" t="str">
        <f t="shared" si="173"/>
        <v>.........</v>
      </c>
      <c r="AD591" t="str">
        <f t="shared" si="174"/>
        <v>........</v>
      </c>
      <c r="AE591" t="str">
        <f t="shared" si="180"/>
        <v>.......</v>
      </c>
      <c r="AF591" t="str">
        <f t="shared" si="176"/>
        <v>.....</v>
      </c>
      <c r="AG591" t="str">
        <f t="shared" si="176"/>
        <v>..........</v>
      </c>
      <c r="AH591" t="str">
        <f t="shared" si="181"/>
        <v>..........</v>
      </c>
      <c r="AI591" t="str">
        <f t="shared" si="166"/>
        <v>.......</v>
      </c>
      <c r="AJ591" t="str">
        <f t="shared" si="167"/>
        <v>.......</v>
      </c>
    </row>
    <row r="592" spans="1:36" x14ac:dyDescent="0.25">
      <c r="A592" t="s">
        <v>467</v>
      </c>
      <c r="P592" t="str">
        <f t="shared" si="168"/>
        <v xml:space="preserve">   1341   69  0 </v>
      </c>
      <c r="Q592" t="str">
        <f t="shared" si="168"/>
        <v xml:space="preserve">   1.008 </v>
      </c>
      <c r="R592" t="str">
        <f t="shared" si="177"/>
        <v xml:space="preserve">     0.0 </v>
      </c>
      <c r="S592" t="str">
        <f t="shared" si="169"/>
        <v xml:space="preserve">     0.0 </v>
      </c>
      <c r="T592" t="str">
        <f t="shared" si="170"/>
        <v xml:space="preserve">     5.0 </v>
      </c>
      <c r="U592" t="str">
        <f t="shared" si="174"/>
        <v xml:space="preserve">         0.0 </v>
      </c>
      <c r="V592" t="str">
        <f t="shared" si="178"/>
        <v xml:space="preserve">     0.0 </v>
      </c>
      <c r="W592" t="str">
        <f t="shared" si="171"/>
        <v xml:space="preserve">     0.0</v>
      </c>
      <c r="X592" t="str">
        <f t="shared" si="175"/>
        <v/>
      </c>
      <c r="Y592" t="str">
        <f t="shared" si="175"/>
        <v/>
      </c>
      <c r="Z592" t="str">
        <f t="shared" si="175"/>
        <v/>
      </c>
      <c r="AA592" t="str">
        <f t="shared" si="179"/>
        <v/>
      </c>
      <c r="AB592" t="str">
        <f t="shared" si="172"/>
        <v/>
      </c>
      <c r="AC592" t="str">
        <f t="shared" si="173"/>
        <v/>
      </c>
      <c r="AD592" t="str">
        <f t="shared" si="174"/>
        <v/>
      </c>
      <c r="AE592" t="str">
        <f t="shared" si="180"/>
        <v/>
      </c>
      <c r="AF592" t="str">
        <f t="shared" si="176"/>
        <v/>
      </c>
      <c r="AG592" t="str">
        <f t="shared" si="176"/>
        <v/>
      </c>
      <c r="AH592" t="str">
        <f t="shared" si="181"/>
        <v/>
      </c>
      <c r="AI592" t="str">
        <f t="shared" si="166"/>
        <v/>
      </c>
      <c r="AJ592" t="str">
        <f t="shared" si="167"/>
        <v/>
      </c>
    </row>
    <row r="593" spans="1:36" x14ac:dyDescent="0.25">
      <c r="A593" t="s">
        <v>468</v>
      </c>
      <c r="P593" t="str">
        <f t="shared" si="168"/>
        <v xml:space="preserve">  SRITA-TAP069  </v>
      </c>
      <c r="Q593" t="str">
        <f t="shared" si="168"/>
        <v xml:space="preserve">   -53.5 </v>
      </c>
      <c r="R593" t="str">
        <f t="shared" si="177"/>
        <v xml:space="preserve">     0.0 </v>
      </c>
      <c r="S593" t="str">
        <f t="shared" si="169"/>
        <v xml:space="preserve">     0.0 </v>
      </c>
      <c r="T593" t="str">
        <f t="shared" si="170"/>
        <v xml:space="preserve">     2.1 </v>
      </c>
      <c r="U593" t="str">
        <f t="shared" si="174"/>
        <v xml:space="preserve">         0.0 </v>
      </c>
      <c r="V593" t="str">
        <f t="shared" si="178"/>
        <v xml:space="preserve">     0.0 </v>
      </c>
      <c r="W593" t="str">
        <f t="shared" si="171"/>
        <v xml:space="preserve">     0.0 </v>
      </c>
      <c r="X593" t="str">
        <f t="shared" si="175"/>
        <v xml:space="preserve">       </v>
      </c>
      <c r="Y593" t="str">
        <f t="shared" si="175"/>
        <v xml:space="preserve">              </v>
      </c>
      <c r="Z593" t="str">
        <f t="shared" si="175"/>
        <v xml:space="preserve">    </v>
      </c>
      <c r="AA593" t="str">
        <f t="shared" si="179"/>
        <v xml:space="preserve">         </v>
      </c>
      <c r="AB593" t="str">
        <f t="shared" si="172"/>
        <v xml:space="preserve">         </v>
      </c>
      <c r="AC593" t="str">
        <f t="shared" si="173"/>
        <v xml:space="preserve">    </v>
      </c>
      <c r="AD593" t="str">
        <f t="shared" si="174"/>
        <v/>
      </c>
      <c r="AE593" t="str">
        <f t="shared" si="180"/>
        <v/>
      </c>
      <c r="AF593" t="str">
        <f t="shared" si="176"/>
        <v/>
      </c>
      <c r="AG593" t="str">
        <f t="shared" si="176"/>
        <v/>
      </c>
      <c r="AH593" t="str">
        <f t="shared" si="181"/>
        <v/>
      </c>
      <c r="AI593" t="str">
        <f t="shared" si="166"/>
        <v/>
      </c>
      <c r="AJ593" t="str">
        <f t="shared" si="167"/>
        <v/>
      </c>
    </row>
    <row r="594" spans="1:36" x14ac:dyDescent="0.25">
      <c r="A594" t="s">
        <v>469</v>
      </c>
      <c r="P594" t="str">
        <f t="shared" si="168"/>
        <v xml:space="preserve">                </v>
      </c>
      <c r="Q594" t="str">
        <f t="shared" si="168"/>
        <v xml:space="preserve">         </v>
      </c>
      <c r="R594" t="str">
        <f t="shared" si="177"/>
        <v xml:space="preserve">    48.0 </v>
      </c>
      <c r="S594" t="str">
        <f t="shared" si="169"/>
        <v xml:space="preserve">    71.0 </v>
      </c>
      <c r="T594" t="str">
        <f t="shared" si="170"/>
        <v xml:space="preserve">    71.0 </v>
      </c>
      <c r="U594" t="str">
        <f t="shared" si="174"/>
        <v xml:space="preserve">       45.8% </v>
      </c>
      <c r="V594" t="str">
        <f t="shared" si="178"/>
        <v xml:space="preserve">         </v>
      </c>
      <c r="W594" t="str">
        <f t="shared" si="171"/>
        <v xml:space="preserve">         </v>
      </c>
      <c r="X594" t="str">
        <f t="shared" si="175"/>
        <v xml:space="preserve">  1312 </v>
      </c>
      <c r="Y594" t="str">
        <f t="shared" si="175"/>
        <v xml:space="preserve"> ESTEIO-RS069 </v>
      </c>
      <c r="Z594" t="str">
        <f t="shared" si="175"/>
        <v xml:space="preserve">  1 </v>
      </c>
      <c r="AA594" t="str">
        <f t="shared" si="179"/>
        <v xml:space="preserve">    22.1 </v>
      </c>
      <c r="AB594" t="str">
        <f t="shared" si="172"/>
        <v xml:space="preserve">     1.5 </v>
      </c>
      <c r="AC594" t="str">
        <f t="shared" si="173"/>
        <v xml:space="preserve">    22.0 </v>
      </c>
      <c r="AD594" t="str">
        <f t="shared" si="174"/>
        <v xml:space="preserve">        </v>
      </c>
      <c r="AE594" t="str">
        <f t="shared" si="180"/>
        <v xml:space="preserve">       </v>
      </c>
      <c r="AF594" t="str">
        <f t="shared" si="176"/>
        <v xml:space="preserve">     </v>
      </c>
      <c r="AG594" t="str">
        <f t="shared" si="176"/>
        <v xml:space="preserve">     0.18 </v>
      </c>
      <c r="AH594" t="str">
        <f t="shared" si="181"/>
        <v xml:space="preserve">     0.52 </v>
      </c>
      <c r="AI594" t="str">
        <f t="shared" si="166"/>
        <v xml:space="preserve">       </v>
      </c>
      <c r="AJ594" t="str">
        <f t="shared" si="167"/>
        <v xml:space="preserve">      </v>
      </c>
    </row>
    <row r="595" spans="1:36" x14ac:dyDescent="0.25">
      <c r="A595" t="s">
        <v>470</v>
      </c>
      <c r="P595" t="str">
        <f t="shared" si="168"/>
        <v xml:space="preserve">                </v>
      </c>
      <c r="Q595" t="str">
        <f t="shared" si="168"/>
        <v xml:space="preserve">         </v>
      </c>
      <c r="R595" t="str">
        <f t="shared" si="177"/>
        <v xml:space="preserve">    48.0 </v>
      </c>
      <c r="S595" t="str">
        <f t="shared" si="169"/>
        <v xml:space="preserve">    71.0 </v>
      </c>
      <c r="T595" t="str">
        <f t="shared" si="170"/>
        <v xml:space="preserve">    71.0 </v>
      </c>
      <c r="U595" t="str">
        <f t="shared" si="174"/>
        <v xml:space="preserve">       56.5% </v>
      </c>
      <c r="V595" t="str">
        <f t="shared" si="178"/>
        <v xml:space="preserve">         </v>
      </c>
      <c r="W595" t="str">
        <f t="shared" si="171"/>
        <v xml:space="preserve">         </v>
      </c>
      <c r="X595" t="str">
        <f t="shared" si="175"/>
        <v xml:space="preserve">  1339 </v>
      </c>
      <c r="Y595" t="str">
        <f t="shared" si="175"/>
        <v xml:space="preserve"> SITEL-TAP069 </v>
      </c>
      <c r="Z595" t="str">
        <f t="shared" si="175"/>
        <v xml:space="preserve">  1 </v>
      </c>
      <c r="AA595" t="str">
        <f t="shared" si="179"/>
        <v xml:space="preserve">   -27.1 </v>
      </c>
      <c r="AB595" t="str">
        <f t="shared" si="172"/>
        <v xml:space="preserve">    -3.6 </v>
      </c>
      <c r="AC595" t="str">
        <f t="shared" si="173"/>
        <v xml:space="preserve">    27.1 </v>
      </c>
      <c r="AD595" t="str">
        <f t="shared" si="174"/>
        <v xml:space="preserve">        </v>
      </c>
      <c r="AE595" t="str">
        <f t="shared" si="180"/>
        <v xml:space="preserve">       </v>
      </c>
      <c r="AF595" t="str">
        <f t="shared" si="176"/>
        <v xml:space="preserve">     </v>
      </c>
      <c r="AG595" t="str">
        <f t="shared" si="176"/>
        <v xml:space="preserve">     0.20 </v>
      </c>
      <c r="AH595" t="str">
        <f t="shared" si="181"/>
        <v xml:space="preserve">     0.74 </v>
      </c>
      <c r="AI595" t="str">
        <f t="shared" si="166"/>
        <v xml:space="preserve">       </v>
      </c>
      <c r="AJ595" t="str">
        <f t="shared" si="167"/>
        <v xml:space="preserve">      </v>
      </c>
    </row>
    <row r="596" spans="1:36" x14ac:dyDescent="0.25">
      <c r="A596" t="s">
        <v>14</v>
      </c>
      <c r="P596" t="str">
        <f t="shared" si="168"/>
        <v xml:space="preserve">  ..............</v>
      </c>
      <c r="Q596" t="str">
        <f t="shared" si="168"/>
        <v>.........</v>
      </c>
      <c r="R596" t="str">
        <f t="shared" si="177"/>
        <v>.........</v>
      </c>
      <c r="S596" t="str">
        <f t="shared" si="169"/>
        <v>.........</v>
      </c>
      <c r="T596" t="str">
        <f t="shared" si="170"/>
        <v>.........</v>
      </c>
      <c r="U596" t="str">
        <f t="shared" si="174"/>
        <v>.............</v>
      </c>
      <c r="V596" t="str">
        <f t="shared" si="178"/>
        <v>.........</v>
      </c>
      <c r="W596" t="str">
        <f t="shared" si="171"/>
        <v>.........</v>
      </c>
      <c r="X596" t="str">
        <f t="shared" si="175"/>
        <v>.......</v>
      </c>
      <c r="Y596" t="str">
        <f t="shared" si="175"/>
        <v>..............</v>
      </c>
      <c r="Z596" t="str">
        <f t="shared" si="175"/>
        <v>....</v>
      </c>
      <c r="AA596" t="str">
        <f t="shared" si="179"/>
        <v>.........</v>
      </c>
      <c r="AB596" t="str">
        <f t="shared" si="172"/>
        <v>.........</v>
      </c>
      <c r="AC596" t="str">
        <f t="shared" si="173"/>
        <v>.........</v>
      </c>
      <c r="AD596" t="str">
        <f t="shared" si="174"/>
        <v>........</v>
      </c>
      <c r="AE596" t="str">
        <f t="shared" si="180"/>
        <v>.......</v>
      </c>
      <c r="AF596" t="str">
        <f t="shared" si="176"/>
        <v>.....</v>
      </c>
      <c r="AG596" t="str">
        <f t="shared" si="176"/>
        <v>..........</v>
      </c>
      <c r="AH596" t="str">
        <f t="shared" si="181"/>
        <v>..........</v>
      </c>
      <c r="AI596" t="str">
        <f t="shared" si="166"/>
        <v>.......</v>
      </c>
      <c r="AJ596" t="str">
        <f t="shared" si="167"/>
        <v>.......</v>
      </c>
    </row>
    <row r="597" spans="1:36" x14ac:dyDescent="0.25">
      <c r="A597" t="s">
        <v>471</v>
      </c>
      <c r="P597" t="str">
        <f t="shared" si="168"/>
        <v xml:space="preserve">   1343   14  0 </v>
      </c>
      <c r="Q597" t="str">
        <f t="shared" si="168"/>
        <v xml:space="preserve">   1.034 </v>
      </c>
      <c r="R597" t="str">
        <f t="shared" si="177"/>
        <v xml:space="preserve">     3.0 </v>
      </c>
      <c r="S597" t="str">
        <f t="shared" si="169"/>
        <v xml:space="preserve">     0.0 </v>
      </c>
      <c r="T597" t="str">
        <f t="shared" si="170"/>
        <v xml:space="preserve">    12.5 </v>
      </c>
      <c r="U597" t="str">
        <f t="shared" si="174"/>
        <v xml:space="preserve">         0.0 </v>
      </c>
      <c r="V597" t="str">
        <f t="shared" si="178"/>
        <v xml:space="preserve">     0.0 </v>
      </c>
      <c r="W597" t="str">
        <f t="shared" si="171"/>
        <v xml:space="preserve">     0.0</v>
      </c>
      <c r="X597" t="str">
        <f t="shared" si="175"/>
        <v/>
      </c>
      <c r="Y597" t="str">
        <f t="shared" si="175"/>
        <v/>
      </c>
      <c r="Z597" t="str">
        <f t="shared" si="175"/>
        <v/>
      </c>
      <c r="AA597" t="str">
        <f t="shared" si="179"/>
        <v/>
      </c>
      <c r="AB597" t="str">
        <f t="shared" si="172"/>
        <v/>
      </c>
      <c r="AC597" t="str">
        <f t="shared" si="173"/>
        <v/>
      </c>
      <c r="AD597" t="str">
        <f t="shared" si="174"/>
        <v/>
      </c>
      <c r="AE597" t="str">
        <f t="shared" si="180"/>
        <v/>
      </c>
      <c r="AF597" t="str">
        <f t="shared" si="176"/>
        <v/>
      </c>
      <c r="AG597" t="str">
        <f t="shared" si="176"/>
        <v/>
      </c>
      <c r="AH597" t="str">
        <f t="shared" si="181"/>
        <v/>
      </c>
      <c r="AI597" t="str">
        <f t="shared" si="166"/>
        <v/>
      </c>
      <c r="AJ597" t="str">
        <f t="shared" si="167"/>
        <v/>
      </c>
    </row>
    <row r="598" spans="1:36" x14ac:dyDescent="0.25">
      <c r="A598" t="s">
        <v>472</v>
      </c>
      <c r="P598" t="str">
        <f t="shared" si="168"/>
        <v xml:space="preserve">  SCRU1B-RS013  </v>
      </c>
      <c r="Q598" t="str">
        <f t="shared" si="168"/>
        <v xml:space="preserve">   -53.1 </v>
      </c>
      <c r="R598" t="str">
        <f t="shared" si="177"/>
        <v xml:space="preserve">     0.0 </v>
      </c>
      <c r="S598" t="str">
        <f t="shared" si="169"/>
        <v xml:space="preserve">     0.0 </v>
      </c>
      <c r="T598" t="str">
        <f t="shared" si="170"/>
        <v xml:space="preserve">     2.9 </v>
      </c>
      <c r="U598" t="str">
        <f t="shared" si="174"/>
        <v xml:space="preserve">         0.0 </v>
      </c>
      <c r="V598" t="str">
        <f t="shared" si="178"/>
        <v xml:space="preserve">     0.0 </v>
      </c>
      <c r="W598" t="str">
        <f t="shared" si="171"/>
        <v xml:space="preserve">     0.0 </v>
      </c>
      <c r="X598" t="str">
        <f t="shared" si="175"/>
        <v xml:space="preserve">       </v>
      </c>
      <c r="Y598" t="str">
        <f t="shared" si="175"/>
        <v xml:space="preserve">              </v>
      </c>
      <c r="Z598" t="str">
        <f t="shared" si="175"/>
        <v xml:space="preserve">    </v>
      </c>
      <c r="AA598" t="str">
        <f t="shared" si="179"/>
        <v xml:space="preserve">         </v>
      </c>
      <c r="AB598" t="str">
        <f t="shared" si="172"/>
        <v xml:space="preserve">         </v>
      </c>
      <c r="AC598" t="str">
        <f t="shared" si="173"/>
        <v xml:space="preserve">    </v>
      </c>
      <c r="AD598" t="str">
        <f t="shared" si="174"/>
        <v/>
      </c>
      <c r="AE598" t="str">
        <f t="shared" si="180"/>
        <v/>
      </c>
      <c r="AF598" t="str">
        <f t="shared" si="176"/>
        <v/>
      </c>
      <c r="AG598" t="str">
        <f t="shared" si="176"/>
        <v/>
      </c>
      <c r="AH598" t="str">
        <f t="shared" si="181"/>
        <v/>
      </c>
      <c r="AI598" t="str">
        <f t="shared" si="166"/>
        <v/>
      </c>
      <c r="AJ598" t="str">
        <f t="shared" si="167"/>
        <v/>
      </c>
    </row>
    <row r="599" spans="1:36" x14ac:dyDescent="0.25">
      <c r="A599" t="s">
        <v>473</v>
      </c>
      <c r="P599" t="str">
        <f t="shared" si="168"/>
        <v xml:space="preserve">                </v>
      </c>
      <c r="Q599" t="str">
        <f t="shared" si="168"/>
        <v xml:space="preserve">         </v>
      </c>
      <c r="R599" t="str">
        <f t="shared" si="177"/>
        <v xml:space="preserve">  9999.0 </v>
      </c>
      <c r="S599" t="str">
        <f t="shared" si="169"/>
        <v xml:space="preserve">  9999.0 </v>
      </c>
      <c r="T599" t="str">
        <f t="shared" si="170"/>
        <v xml:space="preserve">  9999.0 </v>
      </c>
      <c r="U599" t="str">
        <f t="shared" si="174"/>
        <v xml:space="preserve">        0.0% </v>
      </c>
      <c r="V599" t="str">
        <f t="shared" si="178"/>
        <v xml:space="preserve">         </v>
      </c>
      <c r="W599" t="str">
        <f t="shared" si="171"/>
        <v xml:space="preserve">         </v>
      </c>
      <c r="X599" t="str">
        <f t="shared" si="175"/>
        <v xml:space="preserve">  9754 </v>
      </c>
      <c r="Y599" t="str">
        <f t="shared" si="175"/>
        <v xml:space="preserve"> SCR1RA-RS013 </v>
      </c>
      <c r="Z599" t="str">
        <f t="shared" si="175"/>
        <v xml:space="preserve">  7 </v>
      </c>
      <c r="AA599" t="str">
        <f t="shared" si="179"/>
        <v xml:space="preserve">    -9.5 </v>
      </c>
      <c r="AB599" t="str">
        <f t="shared" si="172"/>
        <v xml:space="preserve">    -2.9 </v>
      </c>
      <c r="AC599" t="str">
        <f t="shared" si="173"/>
        <v xml:space="preserve">     9.6 </v>
      </c>
      <c r="AD599" t="str">
        <f t="shared" si="174"/>
        <v xml:space="preserve">        </v>
      </c>
      <c r="AE599" t="str">
        <f t="shared" si="180"/>
        <v xml:space="preserve">       </v>
      </c>
      <c r="AF599" t="str">
        <f t="shared" si="176"/>
        <v xml:space="preserve">     </v>
      </c>
      <c r="AG599" t="str">
        <f t="shared" si="176"/>
        <v xml:space="preserve">     0.00 </v>
      </c>
      <c r="AH599" t="str">
        <f t="shared" si="181"/>
        <v xml:space="preserve">     0.12 </v>
      </c>
      <c r="AI599" t="str">
        <f t="shared" ref="AI599:AI662" si="182">MID($A599,AG$8+AG$9+AH$9-2,AI$9)</f>
        <v xml:space="preserve">       </v>
      </c>
      <c r="AJ599" t="str">
        <f t="shared" ref="AJ599:AJ662" si="183">MID($A599,AG$8+AG$9+AH$9+AI$9-3,AJ$9)</f>
        <v xml:space="preserve">      </v>
      </c>
    </row>
    <row r="600" spans="1:36" x14ac:dyDescent="0.25">
      <c r="A600" t="s">
        <v>14</v>
      </c>
      <c r="P600" t="str">
        <f t="shared" si="168"/>
        <v xml:space="preserve">  ..............</v>
      </c>
      <c r="Q600" t="str">
        <f t="shared" si="168"/>
        <v>.........</v>
      </c>
      <c r="R600" t="str">
        <f t="shared" si="177"/>
        <v>.........</v>
      </c>
      <c r="S600" t="str">
        <f t="shared" si="169"/>
        <v>.........</v>
      </c>
      <c r="T600" t="str">
        <f t="shared" si="170"/>
        <v>.........</v>
      </c>
      <c r="U600" t="str">
        <f t="shared" si="174"/>
        <v>.............</v>
      </c>
      <c r="V600" t="str">
        <f t="shared" si="178"/>
        <v>.........</v>
      </c>
      <c r="W600" t="str">
        <f t="shared" si="171"/>
        <v>.........</v>
      </c>
      <c r="X600" t="str">
        <f t="shared" si="175"/>
        <v>.......</v>
      </c>
      <c r="Y600" t="str">
        <f t="shared" si="175"/>
        <v>..............</v>
      </c>
      <c r="Z600" t="str">
        <f t="shared" si="175"/>
        <v>....</v>
      </c>
      <c r="AA600" t="str">
        <f t="shared" si="179"/>
        <v>.........</v>
      </c>
      <c r="AB600" t="str">
        <f t="shared" si="172"/>
        <v>.........</v>
      </c>
      <c r="AC600" t="str">
        <f t="shared" si="173"/>
        <v>.........</v>
      </c>
      <c r="AD600" t="str">
        <f t="shared" si="174"/>
        <v>........</v>
      </c>
      <c r="AE600" t="str">
        <f t="shared" si="180"/>
        <v>.......</v>
      </c>
      <c r="AF600" t="str">
        <f t="shared" si="176"/>
        <v>.....</v>
      </c>
      <c r="AG600" t="str">
        <f t="shared" si="176"/>
        <v>..........</v>
      </c>
      <c r="AH600" t="str">
        <f t="shared" si="181"/>
        <v>..........</v>
      </c>
      <c r="AI600" t="str">
        <f t="shared" si="182"/>
        <v>.......</v>
      </c>
      <c r="AJ600" t="str">
        <f t="shared" si="183"/>
        <v>.......</v>
      </c>
    </row>
    <row r="601" spans="1:36" x14ac:dyDescent="0.25">
      <c r="A601" t="s">
        <v>474</v>
      </c>
      <c r="P601" t="str">
        <f t="shared" si="168"/>
        <v xml:space="preserve">   1347   35  1 </v>
      </c>
      <c r="Q601" t="str">
        <f t="shared" si="168"/>
        <v xml:space="preserve">   1.016 </v>
      </c>
      <c r="R601" t="str">
        <f t="shared" si="177"/>
        <v xml:space="preserve">    21.3 </v>
      </c>
      <c r="S601" t="str">
        <f t="shared" si="169"/>
        <v xml:space="preserve">     0.0 </v>
      </c>
      <c r="T601" t="str">
        <f t="shared" si="170"/>
        <v xml:space="preserve">     0.0 </v>
      </c>
      <c r="U601" t="str">
        <f t="shared" si="174"/>
        <v xml:space="preserve">         0.0 </v>
      </c>
      <c r="V601" t="str">
        <f t="shared" si="178"/>
        <v xml:space="preserve">     3.2 </v>
      </c>
      <c r="W601" t="str">
        <f t="shared" si="171"/>
        <v xml:space="preserve">     0.0</v>
      </c>
      <c r="X601" t="str">
        <f t="shared" si="175"/>
        <v/>
      </c>
      <c r="Y601" t="str">
        <f t="shared" si="175"/>
        <v/>
      </c>
      <c r="Z601" t="str">
        <f t="shared" si="175"/>
        <v/>
      </c>
      <c r="AA601" t="str">
        <f t="shared" si="179"/>
        <v/>
      </c>
      <c r="AB601" t="str">
        <f t="shared" si="172"/>
        <v/>
      </c>
      <c r="AC601" t="str">
        <f t="shared" si="173"/>
        <v/>
      </c>
      <c r="AD601" t="str">
        <f t="shared" si="174"/>
        <v/>
      </c>
      <c r="AE601" t="str">
        <f t="shared" si="180"/>
        <v/>
      </c>
      <c r="AF601" t="str">
        <f t="shared" si="176"/>
        <v/>
      </c>
      <c r="AG601" t="str">
        <f t="shared" si="176"/>
        <v/>
      </c>
      <c r="AH601" t="str">
        <f t="shared" si="181"/>
        <v/>
      </c>
      <c r="AI601" t="str">
        <f t="shared" si="182"/>
        <v/>
      </c>
      <c r="AJ601" t="str">
        <f t="shared" si="183"/>
        <v/>
      </c>
    </row>
    <row r="602" spans="1:36" x14ac:dyDescent="0.25">
      <c r="A602" t="s">
        <v>475</v>
      </c>
      <c r="P602" t="str">
        <f t="shared" si="168"/>
        <v xml:space="preserve">  CIDREIEOL034  </v>
      </c>
      <c r="Q602" t="str">
        <f t="shared" si="168"/>
        <v xml:space="preserve">   -44.6 </v>
      </c>
      <c r="R602" t="str">
        <f t="shared" si="177"/>
        <v xml:space="preserve">    -5.2 </v>
      </c>
      <c r="S602" t="str">
        <f t="shared" si="169"/>
        <v xml:space="preserve">     0.0 </v>
      </c>
      <c r="T602" t="str">
        <f t="shared" si="170"/>
        <v xml:space="preserve">     0.0 </v>
      </c>
      <c r="U602" t="str">
        <f t="shared" si="174"/>
        <v xml:space="preserve">         0.0 </v>
      </c>
      <c r="V602" t="str">
        <f t="shared" si="178"/>
        <v xml:space="preserve">     0.0 </v>
      </c>
      <c r="W602" t="str">
        <f t="shared" si="171"/>
        <v xml:space="preserve">     0.0 </v>
      </c>
      <c r="X602" t="str">
        <f t="shared" si="175"/>
        <v xml:space="preserve">       </v>
      </c>
      <c r="Y602" t="str">
        <f t="shared" si="175"/>
        <v xml:space="preserve">              </v>
      </c>
      <c r="Z602" t="str">
        <f t="shared" si="175"/>
        <v xml:space="preserve">    </v>
      </c>
      <c r="AA602" t="str">
        <f t="shared" si="179"/>
        <v xml:space="preserve">         </v>
      </c>
      <c r="AB602" t="str">
        <f t="shared" si="172"/>
        <v xml:space="preserve">         </v>
      </c>
      <c r="AC602" t="str">
        <f t="shared" si="173"/>
        <v xml:space="preserve">    </v>
      </c>
      <c r="AD602" t="str">
        <f t="shared" si="174"/>
        <v/>
      </c>
      <c r="AE602" t="str">
        <f t="shared" si="180"/>
        <v/>
      </c>
      <c r="AF602" t="str">
        <f t="shared" si="176"/>
        <v/>
      </c>
      <c r="AG602" t="str">
        <f t="shared" si="176"/>
        <v/>
      </c>
      <c r="AH602" t="str">
        <f t="shared" si="181"/>
        <v/>
      </c>
      <c r="AI602" t="str">
        <f t="shared" si="182"/>
        <v/>
      </c>
      <c r="AJ602" t="str">
        <f t="shared" si="183"/>
        <v/>
      </c>
    </row>
    <row r="603" spans="1:36" x14ac:dyDescent="0.25">
      <c r="A603" t="s">
        <v>476</v>
      </c>
      <c r="P603" t="str">
        <f t="shared" ref="P603:Q666" si="184">MID($A603,P$8,P$9)</f>
        <v xml:space="preserve">                </v>
      </c>
      <c r="Q603" t="str">
        <f t="shared" si="184"/>
        <v xml:space="preserve">         </v>
      </c>
      <c r="R603" t="str">
        <f t="shared" si="177"/>
        <v xml:space="preserve">  9999.0 </v>
      </c>
      <c r="S603" t="str">
        <f t="shared" ref="S603:S666" si="185">MID($A603,Q$8+Q$9+R$9-2,S$9)</f>
        <v xml:space="preserve">  9999.0 </v>
      </c>
      <c r="T603" t="str">
        <f t="shared" ref="T603:T666" si="186">MID($A603,Q$8+Q$9+R$9+S$9-3,T$9)</f>
        <v xml:space="preserve">  9999.0 </v>
      </c>
      <c r="U603" t="str">
        <f t="shared" si="174"/>
        <v xml:space="preserve">        0.0% </v>
      </c>
      <c r="V603" t="str">
        <f t="shared" si="178"/>
        <v xml:space="preserve">         </v>
      </c>
      <c r="W603" t="str">
        <f t="shared" ref="W603:W666" si="187">MID($A603,U$8+U$9+V$9-2,W$9)</f>
        <v xml:space="preserve">         </v>
      </c>
      <c r="X603" t="str">
        <f t="shared" si="175"/>
        <v xml:space="preserve"> 10123 </v>
      </c>
      <c r="Y603" t="str">
        <f t="shared" si="175"/>
        <v xml:space="preserve"> CIDREI-RS034 </v>
      </c>
      <c r="Z603" t="str">
        <f t="shared" si="175"/>
        <v xml:space="preserve">  1 </v>
      </c>
      <c r="AA603" t="str">
        <f t="shared" si="179"/>
        <v xml:space="preserve">    21.3 </v>
      </c>
      <c r="AB603" t="str">
        <f t="shared" ref="AB603:AB666" si="188">MID($A603,Z$8+Z$9+AA$9-2,AB$9)</f>
        <v xml:space="preserve">    -2.0 </v>
      </c>
      <c r="AC603" t="str">
        <f t="shared" ref="AC603:AC666" si="189">MID($A603,Z$8+Z$9+AA$9+AB$9-3,AC$9)</f>
        <v xml:space="preserve">    21.1 </v>
      </c>
      <c r="AD603" t="str">
        <f t="shared" si="174"/>
        <v xml:space="preserve">        </v>
      </c>
      <c r="AE603" t="str">
        <f t="shared" si="180"/>
        <v xml:space="preserve">       </v>
      </c>
      <c r="AF603" t="str">
        <f t="shared" si="176"/>
        <v xml:space="preserve">     </v>
      </c>
      <c r="AG603" t="str">
        <f t="shared" si="176"/>
        <v xml:space="preserve">     0.09 </v>
      </c>
      <c r="AH603" t="str">
        <f t="shared" si="181"/>
        <v xml:space="preserve">    -2.16 </v>
      </c>
      <c r="AI603" t="str">
        <f t="shared" si="182"/>
        <v xml:space="preserve">       </v>
      </c>
      <c r="AJ603" t="str">
        <f t="shared" si="183"/>
        <v xml:space="preserve">      </v>
      </c>
    </row>
    <row r="604" spans="1:36" x14ac:dyDescent="0.25">
      <c r="A604" t="s">
        <v>14</v>
      </c>
      <c r="P604" t="str">
        <f t="shared" si="184"/>
        <v xml:space="preserve">  ..............</v>
      </c>
      <c r="Q604" t="str">
        <f t="shared" si="184"/>
        <v>.........</v>
      </c>
      <c r="R604" t="str">
        <f t="shared" si="177"/>
        <v>.........</v>
      </c>
      <c r="S604" t="str">
        <f t="shared" si="185"/>
        <v>.........</v>
      </c>
      <c r="T604" t="str">
        <f t="shared" si="186"/>
        <v>.........</v>
      </c>
      <c r="U604" t="str">
        <f t="shared" ref="U604:AD667" si="190">MID($A604,U$8,U$9)</f>
        <v>.............</v>
      </c>
      <c r="V604" t="str">
        <f t="shared" si="178"/>
        <v>.........</v>
      </c>
      <c r="W604" t="str">
        <f t="shared" si="187"/>
        <v>.........</v>
      </c>
      <c r="X604" t="str">
        <f t="shared" ref="X604:Z667" si="191">MID($A604,X$8,X$9)</f>
        <v>.......</v>
      </c>
      <c r="Y604" t="str">
        <f t="shared" si="191"/>
        <v>..............</v>
      </c>
      <c r="Z604" t="str">
        <f t="shared" si="191"/>
        <v>....</v>
      </c>
      <c r="AA604" t="str">
        <f t="shared" si="179"/>
        <v>.........</v>
      </c>
      <c r="AB604" t="str">
        <f t="shared" si="188"/>
        <v>.........</v>
      </c>
      <c r="AC604" t="str">
        <f t="shared" si="189"/>
        <v>.........</v>
      </c>
      <c r="AD604" t="str">
        <f t="shared" si="190"/>
        <v>........</v>
      </c>
      <c r="AE604" t="str">
        <f t="shared" si="180"/>
        <v>.......</v>
      </c>
      <c r="AF604" t="str">
        <f t="shared" si="176"/>
        <v>.....</v>
      </c>
      <c r="AG604" t="str">
        <f t="shared" si="176"/>
        <v>..........</v>
      </c>
      <c r="AH604" t="str">
        <f t="shared" si="181"/>
        <v>..........</v>
      </c>
      <c r="AI604" t="str">
        <f t="shared" si="182"/>
        <v>.......</v>
      </c>
      <c r="AJ604" t="str">
        <f t="shared" si="183"/>
        <v>.......</v>
      </c>
    </row>
    <row r="605" spans="1:36" x14ac:dyDescent="0.25">
      <c r="A605" t="s">
        <v>477</v>
      </c>
      <c r="P605" t="str">
        <f t="shared" si="184"/>
        <v xml:space="preserve">   1352   14  0 </v>
      </c>
      <c r="Q605" t="str">
        <f t="shared" si="184"/>
        <v xml:space="preserve">   1.050 </v>
      </c>
      <c r="R605" t="str">
        <f t="shared" si="177"/>
        <v xml:space="preserve">     1.0 </v>
      </c>
      <c r="S605" t="str">
        <f t="shared" si="185"/>
        <v xml:space="preserve">     0.0 </v>
      </c>
      <c r="T605" t="str">
        <f t="shared" si="186"/>
        <v xml:space="preserve">    15.1 </v>
      </c>
      <c r="U605" t="str">
        <f t="shared" si="190"/>
        <v xml:space="preserve">         0.0 </v>
      </c>
      <c r="V605" t="str">
        <f t="shared" si="178"/>
        <v xml:space="preserve">     0.0 </v>
      </c>
      <c r="W605" t="str">
        <f t="shared" si="187"/>
        <v xml:space="preserve">     0.0</v>
      </c>
      <c r="X605" t="str">
        <f t="shared" si="191"/>
        <v/>
      </c>
      <c r="Y605" t="str">
        <f t="shared" si="191"/>
        <v/>
      </c>
      <c r="Z605" t="str">
        <f t="shared" si="191"/>
        <v/>
      </c>
      <c r="AA605" t="str">
        <f t="shared" si="179"/>
        <v/>
      </c>
      <c r="AB605" t="str">
        <f t="shared" si="188"/>
        <v/>
      </c>
      <c r="AC605" t="str">
        <f t="shared" si="189"/>
        <v/>
      </c>
      <c r="AD605" t="str">
        <f t="shared" si="190"/>
        <v/>
      </c>
      <c r="AE605" t="str">
        <f t="shared" si="180"/>
        <v/>
      </c>
      <c r="AF605" t="str">
        <f t="shared" ref="AF605:AG668" si="192">MID($A605,AF$8,AF$9)</f>
        <v/>
      </c>
      <c r="AG605" t="str">
        <f t="shared" si="192"/>
        <v/>
      </c>
      <c r="AH605" t="str">
        <f t="shared" si="181"/>
        <v/>
      </c>
      <c r="AI605" t="str">
        <f t="shared" si="182"/>
        <v/>
      </c>
      <c r="AJ605" t="str">
        <f t="shared" si="183"/>
        <v/>
      </c>
    </row>
    <row r="606" spans="1:36" x14ac:dyDescent="0.25">
      <c r="A606" t="s">
        <v>478</v>
      </c>
      <c r="P606" t="str">
        <f t="shared" si="184"/>
        <v xml:space="preserve">  PALEG9-RS013  </v>
      </c>
      <c r="Q606" t="str">
        <f t="shared" si="184"/>
        <v xml:space="preserve">   -54.1 </v>
      </c>
      <c r="R606" t="str">
        <f t="shared" si="177"/>
        <v xml:space="preserve">     0.0 </v>
      </c>
      <c r="S606" t="str">
        <f t="shared" si="185"/>
        <v xml:space="preserve">     0.0 </v>
      </c>
      <c r="T606" t="str">
        <f t="shared" si="186"/>
        <v xml:space="preserve">     3.3 </v>
      </c>
      <c r="U606" t="str">
        <f t="shared" si="190"/>
        <v xml:space="preserve">         0.0 </v>
      </c>
      <c r="V606" t="str">
        <f t="shared" si="178"/>
        <v xml:space="preserve">     0.0 </v>
      </c>
      <c r="W606" t="str">
        <f t="shared" si="187"/>
        <v xml:space="preserve">     0.0 </v>
      </c>
      <c r="X606" t="str">
        <f t="shared" si="191"/>
        <v xml:space="preserve">       </v>
      </c>
      <c r="Y606" t="str">
        <f t="shared" si="191"/>
        <v xml:space="preserve">              </v>
      </c>
      <c r="Z606" t="str">
        <f t="shared" si="191"/>
        <v xml:space="preserve">    </v>
      </c>
      <c r="AA606" t="str">
        <f t="shared" si="179"/>
        <v xml:space="preserve">         </v>
      </c>
      <c r="AB606" t="str">
        <f t="shared" si="188"/>
        <v xml:space="preserve">         </v>
      </c>
      <c r="AC606" t="str">
        <f t="shared" si="189"/>
        <v xml:space="preserve">    </v>
      </c>
      <c r="AD606" t="str">
        <f t="shared" si="190"/>
        <v/>
      </c>
      <c r="AE606" t="str">
        <f t="shared" si="180"/>
        <v/>
      </c>
      <c r="AF606" t="str">
        <f t="shared" si="192"/>
        <v/>
      </c>
      <c r="AG606" t="str">
        <f t="shared" si="192"/>
        <v/>
      </c>
      <c r="AH606" t="str">
        <f t="shared" si="181"/>
        <v/>
      </c>
      <c r="AI606" t="str">
        <f t="shared" si="182"/>
        <v/>
      </c>
      <c r="AJ606" t="str">
        <f t="shared" si="183"/>
        <v/>
      </c>
    </row>
    <row r="607" spans="1:36" x14ac:dyDescent="0.25">
      <c r="A607" t="s">
        <v>479</v>
      </c>
      <c r="P607" t="str">
        <f t="shared" si="184"/>
        <v xml:space="preserve">                </v>
      </c>
      <c r="Q607" t="str">
        <f t="shared" si="184"/>
        <v xml:space="preserve">         </v>
      </c>
      <c r="R607" t="str">
        <f t="shared" si="177"/>
        <v xml:space="preserve">    75.0 </v>
      </c>
      <c r="S607" t="str">
        <f t="shared" si="185"/>
        <v xml:space="preserve">    90.0 </v>
      </c>
      <c r="T607" t="str">
        <f t="shared" si="186"/>
        <v xml:space="preserve">    90.0 </v>
      </c>
      <c r="U607" t="str">
        <f t="shared" si="190"/>
        <v xml:space="preserve">       18.4% </v>
      </c>
      <c r="V607" t="str">
        <f t="shared" si="178"/>
        <v xml:space="preserve">         </v>
      </c>
      <c r="W607" t="str">
        <f t="shared" si="187"/>
        <v xml:space="preserve">         </v>
      </c>
      <c r="X607" t="str">
        <f t="shared" si="191"/>
        <v xml:space="preserve"> 41326 </v>
      </c>
      <c r="Y607" t="str">
        <f t="shared" si="191"/>
        <v xml:space="preserve"> PAL9-1-RS000 </v>
      </c>
      <c r="Z607" t="str">
        <f t="shared" si="191"/>
        <v xml:space="preserve">  1 </v>
      </c>
      <c r="AA607" t="str">
        <f t="shared" si="179"/>
        <v xml:space="preserve">   -14.1 </v>
      </c>
      <c r="AB607" t="str">
        <f t="shared" si="188"/>
        <v xml:space="preserve">    -3.3 </v>
      </c>
      <c r="AC607" t="str">
        <f t="shared" si="189"/>
        <v xml:space="preserve">    13.8 </v>
      </c>
      <c r="AD607" t="str">
        <f t="shared" si="190"/>
        <v xml:space="preserve"> 1.000F </v>
      </c>
      <c r="AE607" t="str">
        <f t="shared" si="180"/>
        <v xml:space="preserve">       </v>
      </c>
      <c r="AF607" t="str">
        <f t="shared" si="192"/>
        <v xml:space="preserve"> 002 </v>
      </c>
      <c r="AG607" t="str">
        <f t="shared" si="192"/>
        <v xml:space="preserve">     0.00 </v>
      </c>
      <c r="AH607" t="str">
        <f t="shared" si="181"/>
        <v xml:space="preserve">    -0.01 </v>
      </c>
      <c r="AI607" t="str">
        <f t="shared" si="182"/>
        <v xml:space="preserve">       </v>
      </c>
      <c r="AJ607" t="str">
        <f t="shared" si="183"/>
        <v xml:space="preserve">      </v>
      </c>
    </row>
    <row r="608" spans="1:36" x14ac:dyDescent="0.25">
      <c r="A608" t="s">
        <v>14</v>
      </c>
      <c r="P608" t="str">
        <f t="shared" si="184"/>
        <v xml:space="preserve">  ..............</v>
      </c>
      <c r="Q608" t="str">
        <f t="shared" si="184"/>
        <v>.........</v>
      </c>
      <c r="R608" t="str">
        <f t="shared" si="177"/>
        <v>.........</v>
      </c>
      <c r="S608" t="str">
        <f t="shared" si="185"/>
        <v>.........</v>
      </c>
      <c r="T608" t="str">
        <f t="shared" si="186"/>
        <v>.........</v>
      </c>
      <c r="U608" t="str">
        <f t="shared" si="190"/>
        <v>.............</v>
      </c>
      <c r="V608" t="str">
        <f t="shared" si="178"/>
        <v>.........</v>
      </c>
      <c r="W608" t="str">
        <f t="shared" si="187"/>
        <v>.........</v>
      </c>
      <c r="X608" t="str">
        <f t="shared" si="191"/>
        <v>.......</v>
      </c>
      <c r="Y608" t="str">
        <f t="shared" si="191"/>
        <v>..............</v>
      </c>
      <c r="Z608" t="str">
        <f t="shared" si="191"/>
        <v>....</v>
      </c>
      <c r="AA608" t="str">
        <f t="shared" si="179"/>
        <v>.........</v>
      </c>
      <c r="AB608" t="str">
        <f t="shared" si="188"/>
        <v>.........</v>
      </c>
      <c r="AC608" t="str">
        <f t="shared" si="189"/>
        <v>.........</v>
      </c>
      <c r="AD608" t="str">
        <f t="shared" si="190"/>
        <v>........</v>
      </c>
      <c r="AE608" t="str">
        <f t="shared" si="180"/>
        <v>.......</v>
      </c>
      <c r="AF608" t="str">
        <f t="shared" si="192"/>
        <v>.....</v>
      </c>
      <c r="AG608" t="str">
        <f t="shared" si="192"/>
        <v>..........</v>
      </c>
      <c r="AH608" t="str">
        <f t="shared" si="181"/>
        <v>..........</v>
      </c>
      <c r="AI608" t="str">
        <f t="shared" si="182"/>
        <v>.......</v>
      </c>
      <c r="AJ608" t="str">
        <f t="shared" si="183"/>
        <v>.......</v>
      </c>
    </row>
    <row r="609" spans="1:36" x14ac:dyDescent="0.25">
      <c r="A609" t="s">
        <v>480</v>
      </c>
      <c r="P609" t="str">
        <f t="shared" si="184"/>
        <v xml:space="preserve">   1358  138  0 </v>
      </c>
      <c r="Q609" t="str">
        <f t="shared" si="184"/>
        <v xml:space="preserve">   0.999 </v>
      </c>
      <c r="R609" t="str">
        <f t="shared" si="177"/>
        <v xml:space="preserve">     0.0 </v>
      </c>
      <c r="S609" t="str">
        <f t="shared" si="185"/>
        <v xml:space="preserve">     0.0 </v>
      </c>
      <c r="T609" t="str">
        <f t="shared" si="186"/>
        <v xml:space="preserve">     0.0 </v>
      </c>
      <c r="U609" t="str">
        <f t="shared" si="190"/>
        <v xml:space="preserve">         0.0 </v>
      </c>
      <c r="V609" t="str">
        <f t="shared" si="178"/>
        <v xml:space="preserve">     0.0 </v>
      </c>
      <c r="W609" t="str">
        <f t="shared" si="187"/>
        <v xml:space="preserve">     0.0</v>
      </c>
      <c r="X609" t="str">
        <f t="shared" si="191"/>
        <v/>
      </c>
      <c r="Y609" t="str">
        <f t="shared" si="191"/>
        <v/>
      </c>
      <c r="Z609" t="str">
        <f t="shared" si="191"/>
        <v/>
      </c>
      <c r="AA609" t="str">
        <f t="shared" si="179"/>
        <v/>
      </c>
      <c r="AB609" t="str">
        <f t="shared" si="188"/>
        <v/>
      </c>
      <c r="AC609" t="str">
        <f t="shared" si="189"/>
        <v/>
      </c>
      <c r="AD609" t="str">
        <f t="shared" si="190"/>
        <v/>
      </c>
      <c r="AE609" t="str">
        <f t="shared" si="180"/>
        <v/>
      </c>
      <c r="AF609" t="str">
        <f t="shared" si="192"/>
        <v/>
      </c>
      <c r="AG609" t="str">
        <f t="shared" si="192"/>
        <v/>
      </c>
      <c r="AH609" t="str">
        <f t="shared" si="181"/>
        <v/>
      </c>
      <c r="AI609" t="str">
        <f t="shared" si="182"/>
        <v/>
      </c>
      <c r="AJ609" t="str">
        <f t="shared" si="183"/>
        <v/>
      </c>
    </row>
    <row r="610" spans="1:36" x14ac:dyDescent="0.25">
      <c r="A610" t="s">
        <v>481</v>
      </c>
      <c r="P610" t="str">
        <f t="shared" si="184"/>
        <v xml:space="preserve">  OSO-Y2-RS138  </v>
      </c>
      <c r="Q610" t="str">
        <f t="shared" si="184"/>
        <v xml:space="preserve">   -48.6 </v>
      </c>
      <c r="R610" t="str">
        <f t="shared" si="177"/>
        <v xml:space="preserve">     0.0 </v>
      </c>
      <c r="S610" t="str">
        <f t="shared" si="185"/>
        <v xml:space="preserve">     0.0 </v>
      </c>
      <c r="T610" t="str">
        <f t="shared" si="186"/>
        <v xml:space="preserve">     0.0 </v>
      </c>
      <c r="U610" t="str">
        <f t="shared" si="190"/>
        <v xml:space="preserve">         0.0 </v>
      </c>
      <c r="V610" t="str">
        <f t="shared" si="178"/>
        <v xml:space="preserve">     0.0 </v>
      </c>
      <c r="W610" t="str">
        <f t="shared" si="187"/>
        <v xml:space="preserve">     0.0 </v>
      </c>
      <c r="X610" t="str">
        <f t="shared" si="191"/>
        <v xml:space="preserve">       </v>
      </c>
      <c r="Y610" t="str">
        <f t="shared" si="191"/>
        <v xml:space="preserve">              </v>
      </c>
      <c r="Z610" t="str">
        <f t="shared" si="191"/>
        <v xml:space="preserve">    </v>
      </c>
      <c r="AA610" t="str">
        <f t="shared" si="179"/>
        <v xml:space="preserve">         </v>
      </c>
      <c r="AB610" t="str">
        <f t="shared" si="188"/>
        <v xml:space="preserve">         </v>
      </c>
      <c r="AC610" t="str">
        <f t="shared" si="189"/>
        <v xml:space="preserve">    </v>
      </c>
      <c r="AD610" t="str">
        <f t="shared" si="190"/>
        <v/>
      </c>
      <c r="AE610" t="str">
        <f t="shared" si="180"/>
        <v/>
      </c>
      <c r="AF610" t="str">
        <f t="shared" si="192"/>
        <v/>
      </c>
      <c r="AG610" t="str">
        <f t="shared" si="192"/>
        <v/>
      </c>
      <c r="AH610" t="str">
        <f t="shared" si="181"/>
        <v/>
      </c>
      <c r="AI610" t="str">
        <f t="shared" si="182"/>
        <v/>
      </c>
      <c r="AJ610" t="str">
        <f t="shared" si="183"/>
        <v/>
      </c>
    </row>
    <row r="611" spans="1:36" x14ac:dyDescent="0.25">
      <c r="A611" t="s">
        <v>482</v>
      </c>
      <c r="P611" t="str">
        <f t="shared" si="184"/>
        <v xml:space="preserve">                </v>
      </c>
      <c r="Q611" t="str">
        <f t="shared" si="184"/>
        <v xml:space="preserve">         </v>
      </c>
      <c r="R611" t="str">
        <f t="shared" si="177"/>
        <v xml:space="preserve">    82.0 </v>
      </c>
      <c r="S611" t="str">
        <f t="shared" si="185"/>
        <v xml:space="preserve">   118.0 </v>
      </c>
      <c r="T611" t="str">
        <f t="shared" si="186"/>
        <v xml:space="preserve">   118.0 </v>
      </c>
      <c r="U611" t="str">
        <f t="shared" si="190"/>
        <v xml:space="preserve">        0.0% </v>
      </c>
      <c r="V611" t="str">
        <f t="shared" si="178"/>
        <v xml:space="preserve">         </v>
      </c>
      <c r="W611" t="str">
        <f t="shared" si="187"/>
        <v xml:space="preserve">         </v>
      </c>
      <c r="X611" t="str">
        <f t="shared" si="191"/>
        <v xml:space="preserve">  1038 </v>
      </c>
      <c r="Y611" t="str">
        <f t="shared" si="191"/>
        <v xml:space="preserve"> CAPIVA-RS138 </v>
      </c>
      <c r="Z611" t="str">
        <f t="shared" si="191"/>
        <v xml:space="preserve">  1 </v>
      </c>
      <c r="AA611" t="str">
        <f t="shared" si="179"/>
        <v xml:space="preserve">    -0.0 </v>
      </c>
      <c r="AB611" t="str">
        <f t="shared" si="188"/>
        <v xml:space="preserve">     0.0 </v>
      </c>
      <c r="AC611" t="str">
        <f t="shared" si="189"/>
        <v xml:space="preserve">     0.0 </v>
      </c>
      <c r="AD611" t="str">
        <f t="shared" si="190"/>
        <v xml:space="preserve">        </v>
      </c>
      <c r="AE611" t="str">
        <f t="shared" si="180"/>
        <v xml:space="preserve">       </v>
      </c>
      <c r="AF611" t="str">
        <f t="shared" si="192"/>
        <v xml:space="preserve">     </v>
      </c>
      <c r="AG611" t="str">
        <f t="shared" si="192"/>
        <v xml:space="preserve">     0.00 </v>
      </c>
      <c r="AH611" t="str">
        <f t="shared" si="181"/>
        <v xml:space="preserve">    -2.30 </v>
      </c>
      <c r="AI611" t="str">
        <f t="shared" si="182"/>
        <v xml:space="preserve">       </v>
      </c>
      <c r="AJ611" t="str">
        <f t="shared" si="183"/>
        <v xml:space="preserve">      </v>
      </c>
    </row>
    <row r="612" spans="1:36" x14ac:dyDescent="0.25">
      <c r="A612" t="s">
        <v>483</v>
      </c>
      <c r="P612" t="str">
        <f t="shared" si="184"/>
        <v xml:space="preserve">                </v>
      </c>
      <c r="Q612" t="str">
        <f t="shared" si="184"/>
        <v xml:space="preserve">         </v>
      </c>
      <c r="R612" t="str">
        <f t="shared" si="177"/>
        <v xml:space="preserve">  9999.0 </v>
      </c>
      <c r="S612" t="str">
        <f t="shared" si="185"/>
        <v xml:space="preserve">  9999.0 </v>
      </c>
      <c r="T612" t="str">
        <f t="shared" si="186"/>
        <v xml:space="preserve">  9999.0 </v>
      </c>
      <c r="U612" t="str">
        <f t="shared" si="190"/>
        <v xml:space="preserve">        0.0% </v>
      </c>
      <c r="V612" t="str">
        <f t="shared" si="178"/>
        <v xml:space="preserve">         </v>
      </c>
      <c r="W612" t="str">
        <f t="shared" si="187"/>
        <v xml:space="preserve">         </v>
      </c>
      <c r="X612" t="str">
        <f t="shared" si="191"/>
        <v xml:space="preserve">  1244 </v>
      </c>
      <c r="Y612" t="str">
        <f t="shared" si="191"/>
        <v xml:space="preserve"> OSORI2-RS138 </v>
      </c>
      <c r="Z612" t="str">
        <f t="shared" si="191"/>
        <v xml:space="preserve">  1 </v>
      </c>
      <c r="AA612" t="str">
        <f t="shared" si="179"/>
        <v xml:space="preserve">     0.0 </v>
      </c>
      <c r="AB612" t="str">
        <f t="shared" si="188"/>
        <v xml:space="preserve">     0.0 </v>
      </c>
      <c r="AC612" t="str">
        <f t="shared" si="189"/>
        <v xml:space="preserve">     0.0 </v>
      </c>
      <c r="AD612" t="str">
        <f t="shared" si="190"/>
        <v xml:space="preserve">        </v>
      </c>
      <c r="AE612" t="str">
        <f t="shared" si="180"/>
        <v xml:space="preserve">       </v>
      </c>
      <c r="AF612" t="str">
        <f t="shared" si="192"/>
        <v xml:space="preserve">     </v>
      </c>
      <c r="AG612" t="str">
        <f t="shared" si="192"/>
        <v xml:space="preserve">     0.00 </v>
      </c>
      <c r="AH612" t="str">
        <f t="shared" si="181"/>
        <v xml:space="preserve">     0.00 </v>
      </c>
      <c r="AI612" t="str">
        <f t="shared" si="182"/>
        <v xml:space="preserve">       </v>
      </c>
      <c r="AJ612" t="str">
        <f t="shared" si="183"/>
        <v xml:space="preserve">      </v>
      </c>
    </row>
    <row r="613" spans="1:36" x14ac:dyDescent="0.25">
      <c r="A613" t="s">
        <v>484</v>
      </c>
      <c r="P613" t="str">
        <f t="shared" si="184"/>
        <v xml:space="preserve">              DE</v>
      </c>
      <c r="Q613" t="str">
        <f t="shared" si="184"/>
        <v xml:space="preserve">ESLIGADO </v>
      </c>
      <c r="R613" t="str">
        <f t="shared" si="177"/>
        <v xml:space="preserve">    82.0 </v>
      </c>
      <c r="S613" t="str">
        <f t="shared" si="185"/>
        <v xml:space="preserve">    82.0 </v>
      </c>
      <c r="T613" t="str">
        <f t="shared" si="186"/>
        <v xml:space="preserve">    82.0 </v>
      </c>
      <c r="U613" t="str">
        <f t="shared" si="190"/>
        <v xml:space="preserve">             </v>
      </c>
      <c r="V613" t="str">
        <f t="shared" si="178"/>
        <v xml:space="preserve">         </v>
      </c>
      <c r="W613" t="str">
        <f t="shared" si="187"/>
        <v xml:space="preserve">         </v>
      </c>
      <c r="X613" t="str">
        <f t="shared" si="191"/>
        <v xml:space="preserve">  2055 </v>
      </c>
      <c r="Y613" t="str">
        <f t="shared" si="191"/>
        <v xml:space="preserve"> SAPATR-RS138 </v>
      </c>
      <c r="Z613" t="str">
        <f t="shared" si="191"/>
        <v xml:space="preserve">  1 </v>
      </c>
      <c r="AA613" t="str">
        <f t="shared" si="179"/>
        <v xml:space="preserve">     0.0 </v>
      </c>
      <c r="AB613" t="str">
        <f t="shared" si="188"/>
        <v xml:space="preserve">     0.0 </v>
      </c>
      <c r="AC613" t="str">
        <f t="shared" si="189"/>
        <v xml:space="preserve">     0.0 </v>
      </c>
      <c r="AD613" t="str">
        <f t="shared" si="190"/>
        <v xml:space="preserve">        </v>
      </c>
      <c r="AE613" t="str">
        <f t="shared" si="180"/>
        <v xml:space="preserve">       </v>
      </c>
      <c r="AF613" t="str">
        <f t="shared" si="192"/>
        <v xml:space="preserve">     </v>
      </c>
      <c r="AG613" t="str">
        <f t="shared" si="192"/>
        <v xml:space="preserve">     0.00 </v>
      </c>
      <c r="AH613" t="str">
        <f t="shared" si="181"/>
        <v xml:space="preserve">     0.00 </v>
      </c>
      <c r="AI613" t="str">
        <f t="shared" si="182"/>
        <v xml:space="preserve">       </v>
      </c>
      <c r="AJ613" t="str">
        <f t="shared" si="183"/>
        <v xml:space="preserve">      </v>
      </c>
    </row>
    <row r="614" spans="1:36" x14ac:dyDescent="0.25">
      <c r="A614" t="s">
        <v>14</v>
      </c>
      <c r="P614" t="str">
        <f t="shared" si="184"/>
        <v xml:space="preserve">  ..............</v>
      </c>
      <c r="Q614" t="str">
        <f t="shared" si="184"/>
        <v>.........</v>
      </c>
      <c r="R614" t="str">
        <f t="shared" si="177"/>
        <v>.........</v>
      </c>
      <c r="S614" t="str">
        <f t="shared" si="185"/>
        <v>.........</v>
      </c>
      <c r="T614" t="str">
        <f t="shared" si="186"/>
        <v>.........</v>
      </c>
      <c r="U614" t="str">
        <f t="shared" si="190"/>
        <v>.............</v>
      </c>
      <c r="V614" t="str">
        <f t="shared" si="178"/>
        <v>.........</v>
      </c>
      <c r="W614" t="str">
        <f t="shared" si="187"/>
        <v>.........</v>
      </c>
      <c r="X614" t="str">
        <f t="shared" si="191"/>
        <v>.......</v>
      </c>
      <c r="Y614" t="str">
        <f t="shared" si="191"/>
        <v>..............</v>
      </c>
      <c r="Z614" t="str">
        <f t="shared" si="191"/>
        <v>....</v>
      </c>
      <c r="AA614" t="str">
        <f t="shared" si="179"/>
        <v>.........</v>
      </c>
      <c r="AB614" t="str">
        <f t="shared" si="188"/>
        <v>.........</v>
      </c>
      <c r="AC614" t="str">
        <f t="shared" si="189"/>
        <v>.........</v>
      </c>
      <c r="AD614" t="str">
        <f t="shared" si="190"/>
        <v>........</v>
      </c>
      <c r="AE614" t="str">
        <f t="shared" si="180"/>
        <v>.......</v>
      </c>
      <c r="AF614" t="str">
        <f t="shared" si="192"/>
        <v>.....</v>
      </c>
      <c r="AG614" t="str">
        <f t="shared" si="192"/>
        <v>..........</v>
      </c>
      <c r="AH614" t="str">
        <f t="shared" si="181"/>
        <v>..........</v>
      </c>
      <c r="AI614" t="str">
        <f t="shared" si="182"/>
        <v>.......</v>
      </c>
      <c r="AJ614" t="str">
        <f t="shared" si="183"/>
        <v>.......</v>
      </c>
    </row>
    <row r="615" spans="1:36" x14ac:dyDescent="0.25">
      <c r="A615" t="s">
        <v>485</v>
      </c>
      <c r="P615" t="str">
        <f t="shared" si="184"/>
        <v xml:space="preserve">   1360   69  0 </v>
      </c>
      <c r="Q615" t="str">
        <f t="shared" si="184"/>
        <v xml:space="preserve">   1.008 </v>
      </c>
      <c r="R615" t="str">
        <f t="shared" si="177"/>
        <v xml:space="preserve">     2.7 </v>
      </c>
      <c r="S615" t="str">
        <f t="shared" si="185"/>
        <v xml:space="preserve">     0.0 </v>
      </c>
      <c r="T615" t="str">
        <f t="shared" si="186"/>
        <v xml:space="preserve">    57.2 </v>
      </c>
      <c r="U615" t="str">
        <f t="shared" si="190"/>
        <v xml:space="preserve">         0.0 </v>
      </c>
      <c r="V615" t="str">
        <f t="shared" si="178"/>
        <v xml:space="preserve">     3.7 </v>
      </c>
      <c r="W615" t="str">
        <f t="shared" si="187"/>
        <v xml:space="preserve">     0.0</v>
      </c>
      <c r="X615" t="str">
        <f t="shared" si="191"/>
        <v/>
      </c>
      <c r="Y615" t="str">
        <f t="shared" si="191"/>
        <v/>
      </c>
      <c r="Z615" t="str">
        <f t="shared" si="191"/>
        <v/>
      </c>
      <c r="AA615" t="str">
        <f t="shared" si="179"/>
        <v/>
      </c>
      <c r="AB615" t="str">
        <f t="shared" si="188"/>
        <v/>
      </c>
      <c r="AC615" t="str">
        <f t="shared" si="189"/>
        <v/>
      </c>
      <c r="AD615" t="str">
        <f t="shared" si="190"/>
        <v/>
      </c>
      <c r="AE615" t="str">
        <f t="shared" si="180"/>
        <v/>
      </c>
      <c r="AF615" t="str">
        <f t="shared" si="192"/>
        <v/>
      </c>
      <c r="AG615" t="str">
        <f t="shared" si="192"/>
        <v/>
      </c>
      <c r="AH615" t="str">
        <f t="shared" si="181"/>
        <v/>
      </c>
      <c r="AI615" t="str">
        <f t="shared" si="182"/>
        <v/>
      </c>
      <c r="AJ615" t="str">
        <f t="shared" si="183"/>
        <v/>
      </c>
    </row>
    <row r="616" spans="1:36" x14ac:dyDescent="0.25">
      <c r="A616" t="s">
        <v>486</v>
      </c>
      <c r="P616" t="str">
        <f t="shared" si="184"/>
        <v xml:space="preserve">  CACHO2-RS069  </v>
      </c>
      <c r="Q616" t="str">
        <f t="shared" si="184"/>
        <v xml:space="preserve">   -55.4 </v>
      </c>
      <c r="R616" t="str">
        <f t="shared" si="177"/>
        <v xml:space="preserve">     0.0 </v>
      </c>
      <c r="S616" t="str">
        <f t="shared" si="185"/>
        <v xml:space="preserve">     0.0 </v>
      </c>
      <c r="T616" t="str">
        <f t="shared" si="186"/>
        <v xml:space="preserve">    22.6 </v>
      </c>
      <c r="U616" t="str">
        <f t="shared" si="190"/>
        <v xml:space="preserve">         0.0 </v>
      </c>
      <c r="V616" t="str">
        <f t="shared" si="178"/>
        <v xml:space="preserve">     0.0 </v>
      </c>
      <c r="W616" t="str">
        <f t="shared" si="187"/>
        <v xml:space="preserve">     0.0 </v>
      </c>
      <c r="X616" t="str">
        <f t="shared" si="191"/>
        <v xml:space="preserve">       </v>
      </c>
      <c r="Y616" t="str">
        <f t="shared" si="191"/>
        <v xml:space="preserve">              </v>
      </c>
      <c r="Z616" t="str">
        <f t="shared" si="191"/>
        <v xml:space="preserve">    </v>
      </c>
      <c r="AA616" t="str">
        <f t="shared" si="179"/>
        <v xml:space="preserve">         </v>
      </c>
      <c r="AB616" t="str">
        <f t="shared" si="188"/>
        <v xml:space="preserve">         </v>
      </c>
      <c r="AC616" t="str">
        <f t="shared" si="189"/>
        <v xml:space="preserve">    </v>
      </c>
      <c r="AD616" t="str">
        <f t="shared" si="190"/>
        <v/>
      </c>
      <c r="AE616" t="str">
        <f t="shared" si="180"/>
        <v/>
      </c>
      <c r="AF616" t="str">
        <f t="shared" si="192"/>
        <v/>
      </c>
      <c r="AG616" t="str">
        <f t="shared" si="192"/>
        <v/>
      </c>
      <c r="AH616" t="str">
        <f t="shared" si="181"/>
        <v/>
      </c>
      <c r="AI616" t="str">
        <f t="shared" si="182"/>
        <v/>
      </c>
      <c r="AJ616" t="str">
        <f t="shared" si="183"/>
        <v/>
      </c>
    </row>
    <row r="617" spans="1:36" x14ac:dyDescent="0.25">
      <c r="A617" t="s">
        <v>487</v>
      </c>
      <c r="P617" t="str">
        <f t="shared" si="184"/>
        <v xml:space="preserve">                </v>
      </c>
      <c r="Q617" t="str">
        <f t="shared" si="184"/>
        <v xml:space="preserve">         </v>
      </c>
      <c r="R617" t="str">
        <f t="shared" si="177"/>
        <v xml:space="preserve">    84.0 </v>
      </c>
      <c r="S617" t="str">
        <f t="shared" si="185"/>
        <v xml:space="preserve">   101.0 </v>
      </c>
      <c r="T617" t="str">
        <f t="shared" si="186"/>
        <v xml:space="preserve">   101.0 </v>
      </c>
      <c r="U617" t="str">
        <f t="shared" si="190"/>
        <v xml:space="preserve">       47.3% </v>
      </c>
      <c r="V617" t="str">
        <f t="shared" si="178"/>
        <v xml:space="preserve">         </v>
      </c>
      <c r="W617" t="str">
        <f t="shared" si="187"/>
        <v xml:space="preserve">         </v>
      </c>
      <c r="X617" t="str">
        <f t="shared" si="191"/>
        <v xml:space="preserve">  1209 </v>
      </c>
      <c r="Y617" t="str">
        <f t="shared" si="191"/>
        <v xml:space="preserve"> GRAVA2-RS069 </v>
      </c>
      <c r="Z617" t="str">
        <f t="shared" si="191"/>
        <v xml:space="preserve">  1 </v>
      </c>
      <c r="AA617" t="str">
        <f t="shared" si="179"/>
        <v xml:space="preserve">   -37.6 </v>
      </c>
      <c r="AB617" t="str">
        <f t="shared" si="188"/>
        <v xml:space="preserve">   -13.7 </v>
      </c>
      <c r="AC617" t="str">
        <f t="shared" si="189"/>
        <v xml:space="preserve">    39.7 </v>
      </c>
      <c r="AD617" t="str">
        <f t="shared" si="190"/>
        <v xml:space="preserve">        </v>
      </c>
      <c r="AE617" t="str">
        <f t="shared" si="180"/>
        <v xml:space="preserve">       </v>
      </c>
      <c r="AF617" t="str">
        <f t="shared" si="192"/>
        <v xml:space="preserve">     </v>
      </c>
      <c r="AG617" t="str">
        <f t="shared" si="192"/>
        <v xml:space="preserve">     0.30 </v>
      </c>
      <c r="AH617" t="str">
        <f t="shared" si="181"/>
        <v xml:space="preserve">     0.88 </v>
      </c>
      <c r="AI617" t="str">
        <f t="shared" si="182"/>
        <v xml:space="preserve">       </v>
      </c>
      <c r="AJ617" t="str">
        <f t="shared" si="183"/>
        <v xml:space="preserve">      </v>
      </c>
    </row>
    <row r="618" spans="1:36" x14ac:dyDescent="0.25">
      <c r="A618" t="s">
        <v>488</v>
      </c>
      <c r="P618" t="str">
        <f t="shared" si="184"/>
        <v xml:space="preserve">                </v>
      </c>
      <c r="Q618" t="str">
        <f t="shared" si="184"/>
        <v xml:space="preserve">         </v>
      </c>
      <c r="R618" t="str">
        <f t="shared" si="177"/>
        <v xml:space="preserve">    84.0 </v>
      </c>
      <c r="S618" t="str">
        <f t="shared" si="185"/>
        <v xml:space="preserve">   101.0 </v>
      </c>
      <c r="T618" t="str">
        <f t="shared" si="186"/>
        <v xml:space="preserve">   101.0 </v>
      </c>
      <c r="U618" t="str">
        <f t="shared" si="190"/>
        <v xml:space="preserve">       47.3% </v>
      </c>
      <c r="V618" t="str">
        <f t="shared" si="178"/>
        <v xml:space="preserve">         </v>
      </c>
      <c r="W618" t="str">
        <f t="shared" si="187"/>
        <v xml:space="preserve">         </v>
      </c>
      <c r="X618" t="str">
        <f t="shared" si="191"/>
        <v xml:space="preserve">  1209 </v>
      </c>
      <c r="Y618" t="str">
        <f t="shared" si="191"/>
        <v xml:space="preserve"> GRAVA2-RS069 </v>
      </c>
      <c r="Z618" t="str">
        <f t="shared" si="191"/>
        <v xml:space="preserve">  2 </v>
      </c>
      <c r="AA618" t="str">
        <f t="shared" si="179"/>
        <v xml:space="preserve">   -37.6 </v>
      </c>
      <c r="AB618" t="str">
        <f t="shared" si="188"/>
        <v xml:space="preserve">   -13.7 </v>
      </c>
      <c r="AC618" t="str">
        <f t="shared" si="189"/>
        <v xml:space="preserve">    39.7 </v>
      </c>
      <c r="AD618" t="str">
        <f t="shared" si="190"/>
        <v xml:space="preserve">        </v>
      </c>
      <c r="AE618" t="str">
        <f t="shared" si="180"/>
        <v xml:space="preserve">       </v>
      </c>
      <c r="AF618" t="str">
        <f t="shared" si="192"/>
        <v xml:space="preserve">     </v>
      </c>
      <c r="AG618" t="str">
        <f t="shared" si="192"/>
        <v xml:space="preserve">     0.30 </v>
      </c>
      <c r="AH618" t="str">
        <f t="shared" si="181"/>
        <v xml:space="preserve">     0.88 </v>
      </c>
      <c r="AI618" t="str">
        <f t="shared" si="182"/>
        <v xml:space="preserve">       </v>
      </c>
      <c r="AJ618" t="str">
        <f t="shared" si="183"/>
        <v xml:space="preserve">      </v>
      </c>
    </row>
    <row r="619" spans="1:36" x14ac:dyDescent="0.25">
      <c r="A619" t="s">
        <v>489</v>
      </c>
      <c r="P619" t="str">
        <f t="shared" si="184"/>
        <v xml:space="preserve">                </v>
      </c>
      <c r="Q619" t="str">
        <f t="shared" si="184"/>
        <v xml:space="preserve">         </v>
      </c>
      <c r="R619" t="str">
        <f t="shared" si="177"/>
        <v xml:space="preserve">    54.0 </v>
      </c>
      <c r="S619" t="str">
        <f t="shared" si="185"/>
        <v xml:space="preserve">    79.0 </v>
      </c>
      <c r="T619" t="str">
        <f t="shared" si="186"/>
        <v xml:space="preserve">    79.0 </v>
      </c>
      <c r="U619" t="str">
        <f t="shared" si="190"/>
        <v xml:space="preserve">        5.8% </v>
      </c>
      <c r="V619" t="str">
        <f t="shared" si="178"/>
        <v xml:space="preserve">         </v>
      </c>
      <c r="W619" t="str">
        <f t="shared" si="187"/>
        <v xml:space="preserve">         </v>
      </c>
      <c r="X619" t="str">
        <f t="shared" si="191"/>
        <v xml:space="preserve">  1366 </v>
      </c>
      <c r="Y619" t="str">
        <f t="shared" si="191"/>
        <v xml:space="preserve"> MUNDIA-RS069 </v>
      </c>
      <c r="Z619" t="str">
        <f t="shared" si="191"/>
        <v xml:space="preserve">  1 </v>
      </c>
      <c r="AA619" t="str">
        <f t="shared" si="179"/>
        <v xml:space="preserve">     3.0 </v>
      </c>
      <c r="AB619" t="str">
        <f t="shared" si="188"/>
        <v xml:space="preserve">     1.0 </v>
      </c>
      <c r="AC619" t="str">
        <f t="shared" si="189"/>
        <v xml:space="preserve">     3.2 </v>
      </c>
      <c r="AD619" t="str">
        <f t="shared" si="190"/>
        <v xml:space="preserve">        </v>
      </c>
      <c r="AE619" t="str">
        <f t="shared" si="180"/>
        <v xml:space="preserve">       </v>
      </c>
      <c r="AF619" t="str">
        <f t="shared" si="192"/>
        <v xml:space="preserve">     </v>
      </c>
      <c r="AG619" t="str">
        <f t="shared" si="192"/>
        <v xml:space="preserve">     0.00 </v>
      </c>
      <c r="AH619" t="str">
        <f t="shared" si="181"/>
        <v xml:space="preserve">    -0.11 </v>
      </c>
      <c r="AI619" t="str">
        <f t="shared" si="182"/>
        <v xml:space="preserve">       </v>
      </c>
      <c r="AJ619" t="str">
        <f t="shared" si="183"/>
        <v xml:space="preserve">      </v>
      </c>
    </row>
    <row r="620" spans="1:36" x14ac:dyDescent="0.25">
      <c r="A620" t="s">
        <v>490</v>
      </c>
      <c r="P620" t="str">
        <f t="shared" si="184"/>
        <v xml:space="preserve">                </v>
      </c>
      <c r="Q620" t="str">
        <f t="shared" si="184"/>
        <v xml:space="preserve">         </v>
      </c>
      <c r="R620" t="str">
        <f t="shared" si="177"/>
        <v xml:space="preserve">    54.0 </v>
      </c>
      <c r="S620" t="str">
        <f t="shared" si="185"/>
        <v xml:space="preserve">    79.0 </v>
      </c>
      <c r="T620" t="str">
        <f t="shared" si="186"/>
        <v xml:space="preserve">    79.0 </v>
      </c>
      <c r="U620" t="str">
        <f t="shared" si="190"/>
        <v xml:space="preserve">       35.3% </v>
      </c>
      <c r="V620" t="str">
        <f t="shared" si="178"/>
        <v xml:space="preserve">         </v>
      </c>
      <c r="W620" t="str">
        <f t="shared" si="187"/>
        <v xml:space="preserve">         </v>
      </c>
      <c r="X620" t="str">
        <f t="shared" si="191"/>
        <v xml:space="preserve">  1379 </v>
      </c>
      <c r="Y620" t="str">
        <f t="shared" si="191"/>
        <v xml:space="preserve"> ALBARUTAP069 </v>
      </c>
      <c r="Z620" t="str">
        <f t="shared" si="191"/>
        <v xml:space="preserve">  1 </v>
      </c>
      <c r="AA620" t="str">
        <f t="shared" si="179"/>
        <v xml:space="preserve">    17.7 </v>
      </c>
      <c r="AB620" t="str">
        <f t="shared" si="188"/>
        <v xml:space="preserve">     7.5 </v>
      </c>
      <c r="AC620" t="str">
        <f t="shared" si="189"/>
        <v xml:space="preserve">    19.0 </v>
      </c>
      <c r="AD620" t="str">
        <f t="shared" si="190"/>
        <v xml:space="preserve">        </v>
      </c>
      <c r="AE620" t="str">
        <f t="shared" si="180"/>
        <v xml:space="preserve">       </v>
      </c>
      <c r="AF620" t="str">
        <f t="shared" si="192"/>
        <v xml:space="preserve">     </v>
      </c>
      <c r="AG620" t="str">
        <f t="shared" si="192"/>
        <v xml:space="preserve">     0.07 </v>
      </c>
      <c r="AH620" t="str">
        <f t="shared" si="181"/>
        <v xml:space="preserve">     0.12 </v>
      </c>
      <c r="AI620" t="str">
        <f t="shared" si="182"/>
        <v xml:space="preserve">       </v>
      </c>
      <c r="AJ620" t="str">
        <f t="shared" si="183"/>
        <v xml:space="preserve">      </v>
      </c>
    </row>
    <row r="621" spans="1:36" x14ac:dyDescent="0.25">
      <c r="A621" t="s">
        <v>14</v>
      </c>
      <c r="P621" t="str">
        <f t="shared" si="184"/>
        <v xml:space="preserve">  ..............</v>
      </c>
      <c r="Q621" t="str">
        <f t="shared" si="184"/>
        <v>.........</v>
      </c>
      <c r="R621" t="str">
        <f t="shared" si="177"/>
        <v>.........</v>
      </c>
      <c r="S621" t="str">
        <f t="shared" si="185"/>
        <v>.........</v>
      </c>
      <c r="T621" t="str">
        <f t="shared" si="186"/>
        <v>.........</v>
      </c>
      <c r="U621" t="str">
        <f t="shared" si="190"/>
        <v>.............</v>
      </c>
      <c r="V621" t="str">
        <f t="shared" si="178"/>
        <v>.........</v>
      </c>
      <c r="W621" t="str">
        <f t="shared" si="187"/>
        <v>.........</v>
      </c>
      <c r="X621" t="str">
        <f t="shared" si="191"/>
        <v>.......</v>
      </c>
      <c r="Y621" t="str">
        <f t="shared" si="191"/>
        <v>..............</v>
      </c>
      <c r="Z621" t="str">
        <f t="shared" si="191"/>
        <v>....</v>
      </c>
      <c r="AA621" t="str">
        <f t="shared" si="179"/>
        <v>.........</v>
      </c>
      <c r="AB621" t="str">
        <f t="shared" si="188"/>
        <v>.........</v>
      </c>
      <c r="AC621" t="str">
        <f t="shared" si="189"/>
        <v>.........</v>
      </c>
      <c r="AD621" t="str">
        <f t="shared" si="190"/>
        <v>........</v>
      </c>
      <c r="AE621" t="str">
        <f t="shared" si="180"/>
        <v>.......</v>
      </c>
      <c r="AF621" t="str">
        <f t="shared" si="192"/>
        <v>.....</v>
      </c>
      <c r="AG621" t="str">
        <f t="shared" si="192"/>
        <v>..........</v>
      </c>
      <c r="AH621" t="str">
        <f t="shared" si="181"/>
        <v>..........</v>
      </c>
      <c r="AI621" t="str">
        <f t="shared" si="182"/>
        <v>.......</v>
      </c>
      <c r="AJ621" t="str">
        <f t="shared" si="183"/>
        <v>.......</v>
      </c>
    </row>
    <row r="622" spans="1:36" x14ac:dyDescent="0.25">
      <c r="A622" t="s">
        <v>491</v>
      </c>
      <c r="P622" t="str">
        <f t="shared" si="184"/>
        <v xml:space="preserve">   1361   69  0 </v>
      </c>
      <c r="Q622" t="str">
        <f t="shared" si="184"/>
        <v xml:space="preserve">   0.999 </v>
      </c>
      <c r="R622" t="str">
        <f t="shared" si="177"/>
        <v xml:space="preserve">     0.0 </v>
      </c>
      <c r="S622" t="str">
        <f t="shared" si="185"/>
        <v xml:space="preserve">     0.0 </v>
      </c>
      <c r="T622" t="str">
        <f t="shared" si="186"/>
        <v xml:space="preserve">    10.1 </v>
      </c>
      <c r="U622" t="str">
        <f t="shared" si="190"/>
        <v xml:space="preserve">         0.0 </v>
      </c>
      <c r="V622" t="str">
        <f t="shared" si="178"/>
        <v xml:space="preserve">     0.0 </v>
      </c>
      <c r="W622" t="str">
        <f t="shared" si="187"/>
        <v xml:space="preserve">     0.0</v>
      </c>
      <c r="X622" t="str">
        <f t="shared" si="191"/>
        <v/>
      </c>
      <c r="Y622" t="str">
        <f t="shared" si="191"/>
        <v/>
      </c>
      <c r="Z622" t="str">
        <f t="shared" si="191"/>
        <v/>
      </c>
      <c r="AA622" t="str">
        <f t="shared" si="179"/>
        <v/>
      </c>
      <c r="AB622" t="str">
        <f t="shared" si="188"/>
        <v/>
      </c>
      <c r="AC622" t="str">
        <f t="shared" si="189"/>
        <v/>
      </c>
      <c r="AD622" t="str">
        <f t="shared" si="190"/>
        <v/>
      </c>
      <c r="AE622" t="str">
        <f t="shared" si="180"/>
        <v/>
      </c>
      <c r="AF622" t="str">
        <f t="shared" si="192"/>
        <v/>
      </c>
      <c r="AG622" t="str">
        <f t="shared" si="192"/>
        <v/>
      </c>
      <c r="AH622" t="str">
        <f t="shared" si="181"/>
        <v/>
      </c>
      <c r="AI622" t="str">
        <f t="shared" si="182"/>
        <v/>
      </c>
      <c r="AJ622" t="str">
        <f t="shared" si="183"/>
        <v/>
      </c>
    </row>
    <row r="623" spans="1:36" x14ac:dyDescent="0.25">
      <c r="A623" t="s">
        <v>492</v>
      </c>
      <c r="P623" t="str">
        <f t="shared" si="184"/>
        <v xml:space="preserve">  ALBARU-RS069  </v>
      </c>
      <c r="Q623" t="str">
        <f t="shared" si="184"/>
        <v xml:space="preserve">   -56.0 </v>
      </c>
      <c r="R623" t="str">
        <f t="shared" si="177"/>
        <v xml:space="preserve">     0.0 </v>
      </c>
      <c r="S623" t="str">
        <f t="shared" si="185"/>
        <v xml:space="preserve">     0.0 </v>
      </c>
      <c r="T623" t="str">
        <f t="shared" si="186"/>
        <v xml:space="preserve">     4.3 </v>
      </c>
      <c r="U623" t="str">
        <f t="shared" si="190"/>
        <v xml:space="preserve">         0.0 </v>
      </c>
      <c r="V623" t="str">
        <f t="shared" si="178"/>
        <v xml:space="preserve">     0.0 </v>
      </c>
      <c r="W623" t="str">
        <f t="shared" si="187"/>
        <v xml:space="preserve">     0.0 </v>
      </c>
      <c r="X623" t="str">
        <f t="shared" si="191"/>
        <v xml:space="preserve">       </v>
      </c>
      <c r="Y623" t="str">
        <f t="shared" si="191"/>
        <v xml:space="preserve">              </v>
      </c>
      <c r="Z623" t="str">
        <f t="shared" si="191"/>
        <v xml:space="preserve">    </v>
      </c>
      <c r="AA623" t="str">
        <f t="shared" si="179"/>
        <v xml:space="preserve">         </v>
      </c>
      <c r="AB623" t="str">
        <f t="shared" si="188"/>
        <v xml:space="preserve">         </v>
      </c>
      <c r="AC623" t="str">
        <f t="shared" si="189"/>
        <v xml:space="preserve">    </v>
      </c>
      <c r="AD623" t="str">
        <f t="shared" si="190"/>
        <v/>
      </c>
      <c r="AE623" t="str">
        <f t="shared" si="180"/>
        <v/>
      </c>
      <c r="AF623" t="str">
        <f t="shared" si="192"/>
        <v/>
      </c>
      <c r="AG623" t="str">
        <f t="shared" si="192"/>
        <v/>
      </c>
      <c r="AH623" t="str">
        <f t="shared" si="181"/>
        <v/>
      </c>
      <c r="AI623" t="str">
        <f t="shared" si="182"/>
        <v/>
      </c>
      <c r="AJ623" t="str">
        <f t="shared" si="183"/>
        <v/>
      </c>
    </row>
    <row r="624" spans="1:36" x14ac:dyDescent="0.25">
      <c r="A624" t="s">
        <v>493</v>
      </c>
      <c r="P624" t="str">
        <f t="shared" si="184"/>
        <v xml:space="preserve">                </v>
      </c>
      <c r="Q624" t="str">
        <f t="shared" si="184"/>
        <v xml:space="preserve">         </v>
      </c>
      <c r="R624" t="str">
        <f t="shared" si="177"/>
        <v xml:space="preserve">    54.0 </v>
      </c>
      <c r="S624" t="str">
        <f t="shared" si="185"/>
        <v xml:space="preserve">    79.0 </v>
      </c>
      <c r="T624" t="str">
        <f t="shared" si="186"/>
        <v xml:space="preserve">    79.0 </v>
      </c>
      <c r="U624" t="str">
        <f t="shared" si="190"/>
        <v xml:space="preserve">       15.0% </v>
      </c>
      <c r="V624" t="str">
        <f t="shared" si="178"/>
        <v xml:space="preserve">         </v>
      </c>
      <c r="W624" t="str">
        <f t="shared" si="187"/>
        <v xml:space="preserve">         </v>
      </c>
      <c r="X624" t="str">
        <f t="shared" si="191"/>
        <v xml:space="preserve">  1365 </v>
      </c>
      <c r="Y624" t="str">
        <f t="shared" si="191"/>
        <v xml:space="preserve"> FITESA-RS069 </v>
      </c>
      <c r="Z624" t="str">
        <f t="shared" si="191"/>
        <v xml:space="preserve">  1 </v>
      </c>
      <c r="AA624" t="str">
        <f t="shared" si="179"/>
        <v xml:space="preserve">     7.5 </v>
      </c>
      <c r="AB624" t="str">
        <f t="shared" si="188"/>
        <v xml:space="preserve">     3.1 </v>
      </c>
      <c r="AC624" t="str">
        <f t="shared" si="189"/>
        <v xml:space="preserve">     8.1 </v>
      </c>
      <c r="AD624" t="str">
        <f t="shared" si="190"/>
        <v xml:space="preserve">        </v>
      </c>
      <c r="AE624" t="str">
        <f t="shared" si="180"/>
        <v xml:space="preserve">       </v>
      </c>
      <c r="AF624" t="str">
        <f t="shared" si="192"/>
        <v xml:space="preserve">     </v>
      </c>
      <c r="AG624" t="str">
        <f t="shared" si="192"/>
        <v xml:space="preserve">     0.00 </v>
      </c>
      <c r="AH624" t="str">
        <f t="shared" si="181"/>
        <v xml:space="preserve">    -0.00 </v>
      </c>
      <c r="AI624" t="str">
        <f t="shared" si="182"/>
        <v xml:space="preserve">       </v>
      </c>
      <c r="AJ624" t="str">
        <f t="shared" si="183"/>
        <v xml:space="preserve">      </v>
      </c>
    </row>
    <row r="625" spans="1:36" x14ac:dyDescent="0.25">
      <c r="A625" t="s">
        <v>494</v>
      </c>
      <c r="P625" t="str">
        <f t="shared" si="184"/>
        <v xml:space="preserve">                </v>
      </c>
      <c r="Q625" t="str">
        <f t="shared" si="184"/>
        <v xml:space="preserve">         </v>
      </c>
      <c r="R625" t="str">
        <f t="shared" si="177"/>
        <v xml:space="preserve">    54.0 </v>
      </c>
      <c r="S625" t="str">
        <f t="shared" si="185"/>
        <v xml:space="preserve">    79.0 </v>
      </c>
      <c r="T625" t="str">
        <f t="shared" si="186"/>
        <v xml:space="preserve">    79.0 </v>
      </c>
      <c r="U625" t="str">
        <f t="shared" si="190"/>
        <v xml:space="preserve">       35.4% </v>
      </c>
      <c r="V625" t="str">
        <f t="shared" si="178"/>
        <v xml:space="preserve">         </v>
      </c>
      <c r="W625" t="str">
        <f t="shared" si="187"/>
        <v xml:space="preserve">         </v>
      </c>
      <c r="X625" t="str">
        <f t="shared" si="191"/>
        <v xml:space="preserve">  1379 </v>
      </c>
      <c r="Y625" t="str">
        <f t="shared" si="191"/>
        <v xml:space="preserve"> ALBARUTAP069 </v>
      </c>
      <c r="Z625" t="str">
        <f t="shared" si="191"/>
        <v xml:space="preserve">  1 </v>
      </c>
      <c r="AA625" t="str">
        <f t="shared" si="179"/>
        <v xml:space="preserve">   -17.6 </v>
      </c>
      <c r="AB625" t="str">
        <f t="shared" si="188"/>
        <v xml:space="preserve">    -7.4 </v>
      </c>
      <c r="AC625" t="str">
        <f t="shared" si="189"/>
        <v xml:space="preserve">    19.1 </v>
      </c>
      <c r="AD625" t="str">
        <f t="shared" si="190"/>
        <v xml:space="preserve">        </v>
      </c>
      <c r="AE625" t="str">
        <f t="shared" si="180"/>
        <v xml:space="preserve">       </v>
      </c>
      <c r="AF625" t="str">
        <f t="shared" si="192"/>
        <v xml:space="preserve">     </v>
      </c>
      <c r="AG625" t="str">
        <f t="shared" si="192"/>
        <v xml:space="preserve">     0.01 </v>
      </c>
      <c r="AH625" t="str">
        <f t="shared" si="181"/>
        <v xml:space="preserve">     0.00 </v>
      </c>
      <c r="AI625" t="str">
        <f t="shared" si="182"/>
        <v xml:space="preserve">       </v>
      </c>
      <c r="AJ625" t="str">
        <f t="shared" si="183"/>
        <v xml:space="preserve">      </v>
      </c>
    </row>
    <row r="626" spans="1:36" x14ac:dyDescent="0.25">
      <c r="A626" t="s">
        <v>14</v>
      </c>
      <c r="P626" t="str">
        <f t="shared" si="184"/>
        <v xml:space="preserve">  ..............</v>
      </c>
      <c r="Q626" t="str">
        <f t="shared" si="184"/>
        <v>.........</v>
      </c>
      <c r="R626" t="str">
        <f t="shared" si="177"/>
        <v>.........</v>
      </c>
      <c r="S626" t="str">
        <f t="shared" si="185"/>
        <v>.........</v>
      </c>
      <c r="T626" t="str">
        <f t="shared" si="186"/>
        <v>.........</v>
      </c>
      <c r="U626" t="str">
        <f t="shared" si="190"/>
        <v>.............</v>
      </c>
      <c r="V626" t="str">
        <f t="shared" si="178"/>
        <v>.........</v>
      </c>
      <c r="W626" t="str">
        <f t="shared" si="187"/>
        <v>.........</v>
      </c>
      <c r="X626" t="str">
        <f t="shared" si="191"/>
        <v>.......</v>
      </c>
      <c r="Y626" t="str">
        <f t="shared" si="191"/>
        <v>..............</v>
      </c>
      <c r="Z626" t="str">
        <f t="shared" si="191"/>
        <v>....</v>
      </c>
      <c r="AA626" t="str">
        <f t="shared" si="179"/>
        <v>.........</v>
      </c>
      <c r="AB626" t="str">
        <f t="shared" si="188"/>
        <v>.........</v>
      </c>
      <c r="AC626" t="str">
        <f t="shared" si="189"/>
        <v>.........</v>
      </c>
      <c r="AD626" t="str">
        <f t="shared" si="190"/>
        <v>........</v>
      </c>
      <c r="AE626" t="str">
        <f t="shared" si="180"/>
        <v>.......</v>
      </c>
      <c r="AF626" t="str">
        <f t="shared" si="192"/>
        <v>.....</v>
      </c>
      <c r="AG626" t="str">
        <f t="shared" si="192"/>
        <v>..........</v>
      </c>
      <c r="AH626" t="str">
        <f t="shared" si="181"/>
        <v>..........</v>
      </c>
      <c r="AI626" t="str">
        <f t="shared" si="182"/>
        <v>.......</v>
      </c>
      <c r="AJ626" t="str">
        <f t="shared" si="183"/>
        <v>.......</v>
      </c>
    </row>
    <row r="627" spans="1:36" x14ac:dyDescent="0.25">
      <c r="A627" t="s">
        <v>495</v>
      </c>
      <c r="P627" t="str">
        <f t="shared" si="184"/>
        <v xml:space="preserve">   1362   69  0 </v>
      </c>
      <c r="Q627" t="str">
        <f t="shared" si="184"/>
        <v xml:space="preserve">   1.012 </v>
      </c>
      <c r="R627" t="str">
        <f t="shared" si="177"/>
        <v xml:space="preserve">     3.4 </v>
      </c>
      <c r="S627" t="str">
        <f t="shared" si="185"/>
        <v xml:space="preserve">     0.0 </v>
      </c>
      <c r="T627" t="str">
        <f t="shared" si="186"/>
        <v xml:space="preserve">    60.2 </v>
      </c>
      <c r="U627" t="str">
        <f t="shared" si="190"/>
        <v xml:space="preserve">         0.0 </v>
      </c>
      <c r="V627" t="str">
        <f t="shared" si="178"/>
        <v xml:space="preserve">     3.7 </v>
      </c>
      <c r="W627" t="str">
        <f t="shared" si="187"/>
        <v xml:space="preserve">     0.0</v>
      </c>
      <c r="X627" t="str">
        <f t="shared" si="191"/>
        <v/>
      </c>
      <c r="Y627" t="str">
        <f t="shared" si="191"/>
        <v/>
      </c>
      <c r="Z627" t="str">
        <f t="shared" si="191"/>
        <v/>
      </c>
      <c r="AA627" t="str">
        <f t="shared" si="179"/>
        <v/>
      </c>
      <c r="AB627" t="str">
        <f t="shared" si="188"/>
        <v/>
      </c>
      <c r="AC627" t="str">
        <f t="shared" si="189"/>
        <v/>
      </c>
      <c r="AD627" t="str">
        <f t="shared" si="190"/>
        <v/>
      </c>
      <c r="AE627" t="str">
        <f t="shared" si="180"/>
        <v/>
      </c>
      <c r="AF627" t="str">
        <f t="shared" si="192"/>
        <v/>
      </c>
      <c r="AG627" t="str">
        <f t="shared" si="192"/>
        <v/>
      </c>
      <c r="AH627" t="str">
        <f t="shared" si="181"/>
        <v/>
      </c>
      <c r="AI627" t="str">
        <f t="shared" si="182"/>
        <v/>
      </c>
      <c r="AJ627" t="str">
        <f t="shared" si="183"/>
        <v/>
      </c>
    </row>
    <row r="628" spans="1:36" x14ac:dyDescent="0.25">
      <c r="A628" t="s">
        <v>496</v>
      </c>
      <c r="P628" t="str">
        <f t="shared" si="184"/>
        <v xml:space="preserve">  GRAVA1-RS069  </v>
      </c>
      <c r="Q628" t="str">
        <f t="shared" si="184"/>
        <v xml:space="preserve">   -55.2 </v>
      </c>
      <c r="R628" t="str">
        <f t="shared" si="177"/>
        <v xml:space="preserve">     0.0 </v>
      </c>
      <c r="S628" t="str">
        <f t="shared" si="185"/>
        <v xml:space="preserve">     0.0 </v>
      </c>
      <c r="T628" t="str">
        <f t="shared" si="186"/>
        <v xml:space="preserve">    20.2 </v>
      </c>
      <c r="U628" t="str">
        <f t="shared" si="190"/>
        <v xml:space="preserve">         0.0 </v>
      </c>
      <c r="V628" t="str">
        <f t="shared" si="178"/>
        <v xml:space="preserve">     0.0 </v>
      </c>
      <c r="W628" t="str">
        <f t="shared" si="187"/>
        <v xml:space="preserve">     0.0 </v>
      </c>
      <c r="X628" t="str">
        <f t="shared" si="191"/>
        <v xml:space="preserve">       </v>
      </c>
      <c r="Y628" t="str">
        <f t="shared" si="191"/>
        <v xml:space="preserve">              </v>
      </c>
      <c r="Z628" t="str">
        <f t="shared" si="191"/>
        <v xml:space="preserve">    </v>
      </c>
      <c r="AA628" t="str">
        <f t="shared" si="179"/>
        <v xml:space="preserve">         </v>
      </c>
      <c r="AB628" t="str">
        <f t="shared" si="188"/>
        <v xml:space="preserve">         </v>
      </c>
      <c r="AC628" t="str">
        <f t="shared" si="189"/>
        <v xml:space="preserve">    </v>
      </c>
      <c r="AD628" t="str">
        <f t="shared" si="190"/>
        <v/>
      </c>
      <c r="AE628" t="str">
        <f t="shared" si="180"/>
        <v/>
      </c>
      <c r="AF628" t="str">
        <f t="shared" si="192"/>
        <v/>
      </c>
      <c r="AG628" t="str">
        <f t="shared" si="192"/>
        <v/>
      </c>
      <c r="AH628" t="str">
        <f t="shared" si="181"/>
        <v/>
      </c>
      <c r="AI628" t="str">
        <f t="shared" si="182"/>
        <v/>
      </c>
      <c r="AJ628" t="str">
        <f t="shared" si="183"/>
        <v/>
      </c>
    </row>
    <row r="629" spans="1:36" x14ac:dyDescent="0.25">
      <c r="A629" t="s">
        <v>497</v>
      </c>
      <c r="P629" t="str">
        <f t="shared" si="184"/>
        <v xml:space="preserve">                </v>
      </c>
      <c r="Q629" t="str">
        <f t="shared" si="184"/>
        <v xml:space="preserve">         </v>
      </c>
      <c r="R629" t="str">
        <f t="shared" si="177"/>
        <v xml:space="preserve">    54.0 </v>
      </c>
      <c r="S629" t="str">
        <f t="shared" si="185"/>
        <v xml:space="preserve">    79.0 </v>
      </c>
      <c r="T629" t="str">
        <f t="shared" si="186"/>
        <v xml:space="preserve">    79.0 </v>
      </c>
      <c r="U629" t="str">
        <f t="shared" si="190"/>
        <v xml:space="preserve">       57.9% </v>
      </c>
      <c r="V629" t="str">
        <f t="shared" si="178"/>
        <v xml:space="preserve">         </v>
      </c>
      <c r="W629" t="str">
        <f t="shared" si="187"/>
        <v xml:space="preserve">         </v>
      </c>
      <c r="X629" t="str">
        <f t="shared" si="191"/>
        <v xml:space="preserve">  1364 </v>
      </c>
      <c r="Y629" t="str">
        <f t="shared" si="191"/>
        <v xml:space="preserve"> PIRELL-RS069 </v>
      </c>
      <c r="Z629" t="str">
        <f t="shared" si="191"/>
        <v xml:space="preserve">  1 </v>
      </c>
      <c r="AA629" t="str">
        <f t="shared" si="179"/>
        <v xml:space="preserve">   -30.8 </v>
      </c>
      <c r="AB629" t="str">
        <f t="shared" si="188"/>
        <v xml:space="preserve">    -7.2 </v>
      </c>
      <c r="AC629" t="str">
        <f t="shared" si="189"/>
        <v xml:space="preserve">    31.3 </v>
      </c>
      <c r="AD629" t="str">
        <f t="shared" si="190"/>
        <v xml:space="preserve">        </v>
      </c>
      <c r="AE629" t="str">
        <f t="shared" si="180"/>
        <v xml:space="preserve">       </v>
      </c>
      <c r="AF629" t="str">
        <f t="shared" si="192"/>
        <v xml:space="preserve">     </v>
      </c>
      <c r="AG629" t="str">
        <f t="shared" si="192"/>
        <v xml:space="preserve">     0.15 </v>
      </c>
      <c r="AH629" t="str">
        <f t="shared" si="181"/>
        <v xml:space="preserve">     0.46 </v>
      </c>
      <c r="AI629" t="str">
        <f t="shared" si="182"/>
        <v xml:space="preserve">       </v>
      </c>
      <c r="AJ629" t="str">
        <f t="shared" si="183"/>
        <v xml:space="preserve">      </v>
      </c>
    </row>
    <row r="630" spans="1:36" x14ac:dyDescent="0.25">
      <c r="A630" t="s">
        <v>498</v>
      </c>
      <c r="P630" t="str">
        <f t="shared" si="184"/>
        <v xml:space="preserve">              DE</v>
      </c>
      <c r="Q630" t="str">
        <f t="shared" si="184"/>
        <v xml:space="preserve">ESLIGADO </v>
      </c>
      <c r="R630" t="str">
        <f t="shared" si="177"/>
        <v xml:space="preserve">    54.0 </v>
      </c>
      <c r="S630" t="str">
        <f t="shared" si="185"/>
        <v xml:space="preserve">    79.0 </v>
      </c>
      <c r="T630" t="str">
        <f t="shared" si="186"/>
        <v xml:space="preserve">    79.0 </v>
      </c>
      <c r="U630" t="str">
        <f t="shared" si="190"/>
        <v xml:space="preserve">             </v>
      </c>
      <c r="V630" t="str">
        <f t="shared" si="178"/>
        <v xml:space="preserve">         </v>
      </c>
      <c r="W630" t="str">
        <f t="shared" si="187"/>
        <v xml:space="preserve">         </v>
      </c>
      <c r="X630" t="str">
        <f t="shared" si="191"/>
        <v xml:space="preserve">  1366 </v>
      </c>
      <c r="Y630" t="str">
        <f t="shared" si="191"/>
        <v xml:space="preserve"> MUNDIA-RS069 </v>
      </c>
      <c r="Z630" t="str">
        <f t="shared" si="191"/>
        <v xml:space="preserve">  1 </v>
      </c>
      <c r="AA630" t="str">
        <f t="shared" si="179"/>
        <v xml:space="preserve">     0.0 </v>
      </c>
      <c r="AB630" t="str">
        <f t="shared" si="188"/>
        <v xml:space="preserve">     0.0 </v>
      </c>
      <c r="AC630" t="str">
        <f t="shared" si="189"/>
        <v xml:space="preserve">     0.0 </v>
      </c>
      <c r="AD630" t="str">
        <f t="shared" si="190"/>
        <v xml:space="preserve">        </v>
      </c>
      <c r="AE630" t="str">
        <f t="shared" si="180"/>
        <v xml:space="preserve">       </v>
      </c>
      <c r="AF630" t="str">
        <f t="shared" si="192"/>
        <v xml:space="preserve">     </v>
      </c>
      <c r="AG630" t="str">
        <f t="shared" si="192"/>
        <v xml:space="preserve">     0.00 </v>
      </c>
      <c r="AH630" t="str">
        <f t="shared" si="181"/>
        <v xml:space="preserve">     0.00 </v>
      </c>
      <c r="AI630" t="str">
        <f t="shared" si="182"/>
        <v xml:space="preserve">       </v>
      </c>
      <c r="AJ630" t="str">
        <f t="shared" si="183"/>
        <v xml:space="preserve">      </v>
      </c>
    </row>
    <row r="631" spans="1:36" x14ac:dyDescent="0.25">
      <c r="A631" t="s">
        <v>499</v>
      </c>
      <c r="P631" t="str">
        <f t="shared" si="184"/>
        <v xml:space="preserve">                </v>
      </c>
      <c r="Q631" t="str">
        <f t="shared" si="184"/>
        <v xml:space="preserve">         </v>
      </c>
      <c r="R631" t="str">
        <f t="shared" si="177"/>
        <v xml:space="preserve">    54.0 </v>
      </c>
      <c r="S631" t="str">
        <f t="shared" si="185"/>
        <v xml:space="preserve">    79.0 </v>
      </c>
      <c r="T631" t="str">
        <f t="shared" si="186"/>
        <v xml:space="preserve">    79.0 </v>
      </c>
      <c r="U631" t="str">
        <f t="shared" si="190"/>
        <v xml:space="preserve">       50.5% </v>
      </c>
      <c r="V631" t="str">
        <f t="shared" si="178"/>
        <v xml:space="preserve">         </v>
      </c>
      <c r="W631" t="str">
        <f t="shared" si="187"/>
        <v xml:space="preserve">         </v>
      </c>
      <c r="X631" t="str">
        <f t="shared" si="191"/>
        <v xml:space="preserve">  1378 </v>
      </c>
      <c r="Y631" t="str">
        <f t="shared" si="191"/>
        <v xml:space="preserve"> ICOTROTAP069 </v>
      </c>
      <c r="Z631" t="str">
        <f t="shared" si="191"/>
        <v xml:space="preserve">  1 </v>
      </c>
      <c r="AA631" t="str">
        <f t="shared" si="179"/>
        <v xml:space="preserve">   -26.0 </v>
      </c>
      <c r="AB631" t="str">
        <f t="shared" si="188"/>
        <v xml:space="preserve">    -9.3 </v>
      </c>
      <c r="AC631" t="str">
        <f t="shared" si="189"/>
        <v xml:space="preserve">    27.3 </v>
      </c>
      <c r="AD631" t="str">
        <f t="shared" si="190"/>
        <v xml:space="preserve">        </v>
      </c>
      <c r="AE631" t="str">
        <f t="shared" si="180"/>
        <v xml:space="preserve">       </v>
      </c>
      <c r="AF631" t="str">
        <f t="shared" si="192"/>
        <v xml:space="preserve">     </v>
      </c>
      <c r="AG631" t="str">
        <f t="shared" si="192"/>
        <v xml:space="preserve">     0.06 </v>
      </c>
      <c r="AH631" t="str">
        <f t="shared" si="181"/>
        <v xml:space="preserve">     0.15 </v>
      </c>
      <c r="AI631" t="str">
        <f t="shared" si="182"/>
        <v xml:space="preserve">       </v>
      </c>
      <c r="AJ631" t="str">
        <f t="shared" si="183"/>
        <v xml:space="preserve">      </v>
      </c>
    </row>
    <row r="632" spans="1:36" x14ac:dyDescent="0.25">
      <c r="A632" t="s">
        <v>500</v>
      </c>
      <c r="P632" t="str">
        <f t="shared" si="184"/>
        <v xml:space="preserve">              DE</v>
      </c>
      <c r="Q632" t="str">
        <f t="shared" si="184"/>
        <v xml:space="preserve">ESLIGADO </v>
      </c>
      <c r="R632" t="str">
        <f t="shared" si="177"/>
        <v xml:space="preserve">    54.0 </v>
      </c>
      <c r="S632" t="str">
        <f t="shared" si="185"/>
        <v xml:space="preserve">    79.0 </v>
      </c>
      <c r="T632" t="str">
        <f t="shared" si="186"/>
        <v xml:space="preserve">    79.0 </v>
      </c>
      <c r="U632" t="str">
        <f t="shared" si="190"/>
        <v xml:space="preserve">             </v>
      </c>
      <c r="V632" t="str">
        <f t="shared" si="178"/>
        <v xml:space="preserve">         </v>
      </c>
      <c r="W632" t="str">
        <f t="shared" si="187"/>
        <v xml:space="preserve">         </v>
      </c>
      <c r="X632" t="str">
        <f t="shared" si="191"/>
        <v xml:space="preserve">  1379 </v>
      </c>
      <c r="Y632" t="str">
        <f t="shared" si="191"/>
        <v xml:space="preserve"> ALBARUTAP069 </v>
      </c>
      <c r="Z632" t="str">
        <f t="shared" si="191"/>
        <v xml:space="preserve">  1 </v>
      </c>
      <c r="AA632" t="str">
        <f t="shared" si="179"/>
        <v xml:space="preserve">     0.0 </v>
      </c>
      <c r="AB632" t="str">
        <f t="shared" si="188"/>
        <v xml:space="preserve">     0.0 </v>
      </c>
      <c r="AC632" t="str">
        <f t="shared" si="189"/>
        <v xml:space="preserve">     0.0 </v>
      </c>
      <c r="AD632" t="str">
        <f t="shared" si="190"/>
        <v xml:space="preserve">        </v>
      </c>
      <c r="AE632" t="str">
        <f t="shared" si="180"/>
        <v xml:space="preserve">       </v>
      </c>
      <c r="AF632" t="str">
        <f t="shared" si="192"/>
        <v xml:space="preserve">     </v>
      </c>
      <c r="AG632" t="str">
        <f t="shared" si="192"/>
        <v xml:space="preserve">     0.00 </v>
      </c>
      <c r="AH632" t="str">
        <f t="shared" si="181"/>
        <v xml:space="preserve">     0.00 </v>
      </c>
      <c r="AI632" t="str">
        <f t="shared" si="182"/>
        <v xml:space="preserve">       </v>
      </c>
      <c r="AJ632" t="str">
        <f t="shared" si="183"/>
        <v xml:space="preserve">      </v>
      </c>
    </row>
    <row r="633" spans="1:36" x14ac:dyDescent="0.25">
      <c r="A633" t="s">
        <v>14</v>
      </c>
      <c r="P633" t="str">
        <f t="shared" si="184"/>
        <v xml:space="preserve">  ..............</v>
      </c>
      <c r="Q633" t="str">
        <f t="shared" si="184"/>
        <v>.........</v>
      </c>
      <c r="R633" t="str">
        <f t="shared" si="177"/>
        <v>.........</v>
      </c>
      <c r="S633" t="str">
        <f t="shared" si="185"/>
        <v>.........</v>
      </c>
      <c r="T633" t="str">
        <f t="shared" si="186"/>
        <v>.........</v>
      </c>
      <c r="U633" t="str">
        <f t="shared" si="190"/>
        <v>.............</v>
      </c>
      <c r="V633" t="str">
        <f t="shared" si="178"/>
        <v>.........</v>
      </c>
      <c r="W633" t="str">
        <f t="shared" si="187"/>
        <v>.........</v>
      </c>
      <c r="X633" t="str">
        <f t="shared" si="191"/>
        <v>.......</v>
      </c>
      <c r="Y633" t="str">
        <f t="shared" si="191"/>
        <v>..............</v>
      </c>
      <c r="Z633" t="str">
        <f t="shared" si="191"/>
        <v>....</v>
      </c>
      <c r="AA633" t="str">
        <f t="shared" si="179"/>
        <v>.........</v>
      </c>
      <c r="AB633" t="str">
        <f t="shared" si="188"/>
        <v>.........</v>
      </c>
      <c r="AC633" t="str">
        <f t="shared" si="189"/>
        <v>.........</v>
      </c>
      <c r="AD633" t="str">
        <f t="shared" si="190"/>
        <v>........</v>
      </c>
      <c r="AE633" t="str">
        <f t="shared" si="180"/>
        <v>.......</v>
      </c>
      <c r="AF633" t="str">
        <f t="shared" si="192"/>
        <v>.....</v>
      </c>
      <c r="AG633" t="str">
        <f t="shared" si="192"/>
        <v>..........</v>
      </c>
      <c r="AH633" t="str">
        <f t="shared" si="181"/>
        <v>..........</v>
      </c>
      <c r="AI633" t="str">
        <f t="shared" si="182"/>
        <v>.......</v>
      </c>
      <c r="AJ633" t="str">
        <f t="shared" si="183"/>
        <v>.......</v>
      </c>
    </row>
    <row r="634" spans="1:36" x14ac:dyDescent="0.25">
      <c r="A634" t="s">
        <v>501</v>
      </c>
      <c r="P634" t="str">
        <f t="shared" si="184"/>
        <v xml:space="preserve">   1363   69  0 </v>
      </c>
      <c r="Q634" t="str">
        <f t="shared" si="184"/>
        <v xml:space="preserve">   1.016 </v>
      </c>
      <c r="R634" t="str">
        <f t="shared" si="177"/>
        <v xml:space="preserve">     0.0 </v>
      </c>
      <c r="S634" t="str">
        <f t="shared" si="185"/>
        <v xml:space="preserve">     0.0 </v>
      </c>
      <c r="T634" t="str">
        <f t="shared" si="186"/>
        <v xml:space="preserve">     7.0 </v>
      </c>
      <c r="U634" t="str">
        <f t="shared" si="190"/>
        <v xml:space="preserve">         0.0 </v>
      </c>
      <c r="V634" t="str">
        <f t="shared" si="178"/>
        <v xml:space="preserve">     0.0 </v>
      </c>
      <c r="W634" t="str">
        <f t="shared" si="187"/>
        <v xml:space="preserve">     0.0</v>
      </c>
      <c r="X634" t="str">
        <f t="shared" si="191"/>
        <v/>
      </c>
      <c r="Y634" t="str">
        <f t="shared" si="191"/>
        <v/>
      </c>
      <c r="Z634" t="str">
        <f t="shared" si="191"/>
        <v/>
      </c>
      <c r="AA634" t="str">
        <f t="shared" si="179"/>
        <v/>
      </c>
      <c r="AB634" t="str">
        <f t="shared" si="188"/>
        <v/>
      </c>
      <c r="AC634" t="str">
        <f t="shared" si="189"/>
        <v/>
      </c>
      <c r="AD634" t="str">
        <f t="shared" si="190"/>
        <v/>
      </c>
      <c r="AE634" t="str">
        <f t="shared" si="180"/>
        <v/>
      </c>
      <c r="AF634" t="str">
        <f t="shared" si="192"/>
        <v/>
      </c>
      <c r="AG634" t="str">
        <f t="shared" si="192"/>
        <v/>
      </c>
      <c r="AH634" t="str">
        <f t="shared" si="181"/>
        <v/>
      </c>
      <c r="AI634" t="str">
        <f t="shared" si="182"/>
        <v/>
      </c>
      <c r="AJ634" t="str">
        <f t="shared" si="183"/>
        <v/>
      </c>
    </row>
    <row r="635" spans="1:36" x14ac:dyDescent="0.25">
      <c r="A635" t="s">
        <v>502</v>
      </c>
      <c r="P635" t="str">
        <f t="shared" si="184"/>
        <v xml:space="preserve">  ICOTR--RS069  </v>
      </c>
      <c r="Q635" t="str">
        <f t="shared" si="184"/>
        <v xml:space="preserve">   -54.9 </v>
      </c>
      <c r="R635" t="str">
        <f t="shared" si="177"/>
        <v xml:space="preserve">     0.0 </v>
      </c>
      <c r="S635" t="str">
        <f t="shared" si="185"/>
        <v xml:space="preserve">     0.0 </v>
      </c>
      <c r="T635" t="str">
        <f t="shared" si="186"/>
        <v xml:space="preserve">     2.9 </v>
      </c>
      <c r="U635" t="str">
        <f t="shared" si="190"/>
        <v xml:space="preserve">         0.0 </v>
      </c>
      <c r="V635" t="str">
        <f t="shared" si="178"/>
        <v xml:space="preserve">     0.0 </v>
      </c>
      <c r="W635" t="str">
        <f t="shared" si="187"/>
        <v xml:space="preserve">     0.0 </v>
      </c>
      <c r="X635" t="str">
        <f t="shared" si="191"/>
        <v xml:space="preserve">       </v>
      </c>
      <c r="Y635" t="str">
        <f t="shared" si="191"/>
        <v xml:space="preserve">              </v>
      </c>
      <c r="Z635" t="str">
        <f t="shared" si="191"/>
        <v xml:space="preserve">    </v>
      </c>
      <c r="AA635" t="str">
        <f t="shared" si="179"/>
        <v xml:space="preserve">         </v>
      </c>
      <c r="AB635" t="str">
        <f t="shared" si="188"/>
        <v xml:space="preserve">         </v>
      </c>
      <c r="AC635" t="str">
        <f t="shared" si="189"/>
        <v xml:space="preserve">    </v>
      </c>
      <c r="AD635" t="str">
        <f t="shared" si="190"/>
        <v/>
      </c>
      <c r="AE635" t="str">
        <f t="shared" si="180"/>
        <v/>
      </c>
      <c r="AF635" t="str">
        <f t="shared" si="192"/>
        <v/>
      </c>
      <c r="AG635" t="str">
        <f t="shared" si="192"/>
        <v/>
      </c>
      <c r="AH635" t="str">
        <f t="shared" si="181"/>
        <v/>
      </c>
      <c r="AI635" t="str">
        <f t="shared" si="182"/>
        <v/>
      </c>
      <c r="AJ635" t="str">
        <f t="shared" si="183"/>
        <v/>
      </c>
    </row>
    <row r="636" spans="1:36" x14ac:dyDescent="0.25">
      <c r="A636" t="s">
        <v>503</v>
      </c>
      <c r="P636" t="str">
        <f t="shared" si="184"/>
        <v xml:space="preserve">                </v>
      </c>
      <c r="Q636" t="str">
        <f t="shared" si="184"/>
        <v xml:space="preserve">         </v>
      </c>
      <c r="R636" t="str">
        <f t="shared" si="177"/>
        <v xml:space="preserve">    54.0 </v>
      </c>
      <c r="S636" t="str">
        <f t="shared" si="185"/>
        <v xml:space="preserve">    79.0 </v>
      </c>
      <c r="T636" t="str">
        <f t="shared" si="186"/>
        <v xml:space="preserve">    79.0 </v>
      </c>
      <c r="U636" t="str">
        <f t="shared" si="190"/>
        <v xml:space="preserve">       13.8% </v>
      </c>
      <c r="V636" t="str">
        <f t="shared" si="178"/>
        <v xml:space="preserve">         </v>
      </c>
      <c r="W636" t="str">
        <f t="shared" si="187"/>
        <v xml:space="preserve">         </v>
      </c>
      <c r="X636" t="str">
        <f t="shared" si="191"/>
        <v xml:space="preserve">  1378 </v>
      </c>
      <c r="Y636" t="str">
        <f t="shared" si="191"/>
        <v xml:space="preserve"> ICOTROTAP069 </v>
      </c>
      <c r="Z636" t="str">
        <f t="shared" si="191"/>
        <v xml:space="preserve">  1 </v>
      </c>
      <c r="AA636" t="str">
        <f t="shared" si="179"/>
        <v xml:space="preserve">    -7.0 </v>
      </c>
      <c r="AB636" t="str">
        <f t="shared" si="188"/>
        <v xml:space="preserve">    -2.9 </v>
      </c>
      <c r="AC636" t="str">
        <f t="shared" si="189"/>
        <v xml:space="preserve">     7.5 </v>
      </c>
      <c r="AD636" t="str">
        <f t="shared" si="190"/>
        <v xml:space="preserve">        </v>
      </c>
      <c r="AE636" t="str">
        <f t="shared" si="180"/>
        <v xml:space="preserve">       </v>
      </c>
      <c r="AF636" t="str">
        <f t="shared" si="192"/>
        <v xml:space="preserve">     </v>
      </c>
      <c r="AG636" t="str">
        <f t="shared" si="192"/>
        <v xml:space="preserve">     0.00 </v>
      </c>
      <c r="AH636" t="str">
        <f t="shared" si="181"/>
        <v xml:space="preserve">    -0.00 </v>
      </c>
      <c r="AI636" t="str">
        <f t="shared" si="182"/>
        <v xml:space="preserve">       </v>
      </c>
      <c r="AJ636" t="str">
        <f t="shared" si="183"/>
        <v xml:space="preserve">      </v>
      </c>
    </row>
    <row r="637" spans="1:36" x14ac:dyDescent="0.25">
      <c r="A637" t="s">
        <v>14</v>
      </c>
      <c r="P637" t="str">
        <f t="shared" si="184"/>
        <v xml:space="preserve">  ..............</v>
      </c>
      <c r="Q637" t="str">
        <f t="shared" si="184"/>
        <v>.........</v>
      </c>
      <c r="R637" t="str">
        <f t="shared" si="177"/>
        <v>.........</v>
      </c>
      <c r="S637" t="str">
        <f t="shared" si="185"/>
        <v>.........</v>
      </c>
      <c r="T637" t="str">
        <f t="shared" si="186"/>
        <v>.........</v>
      </c>
      <c r="U637" t="str">
        <f t="shared" si="190"/>
        <v>.............</v>
      </c>
      <c r="V637" t="str">
        <f t="shared" si="178"/>
        <v>.........</v>
      </c>
      <c r="W637" t="str">
        <f t="shared" si="187"/>
        <v>.........</v>
      </c>
      <c r="X637" t="str">
        <f t="shared" si="191"/>
        <v>.......</v>
      </c>
      <c r="Y637" t="str">
        <f t="shared" si="191"/>
        <v>..............</v>
      </c>
      <c r="Z637" t="str">
        <f t="shared" si="191"/>
        <v>....</v>
      </c>
      <c r="AA637" t="str">
        <f t="shared" si="179"/>
        <v>.........</v>
      </c>
      <c r="AB637" t="str">
        <f t="shared" si="188"/>
        <v>.........</v>
      </c>
      <c r="AC637" t="str">
        <f t="shared" si="189"/>
        <v>.........</v>
      </c>
      <c r="AD637" t="str">
        <f t="shared" si="190"/>
        <v>........</v>
      </c>
      <c r="AE637" t="str">
        <f t="shared" si="180"/>
        <v>.......</v>
      </c>
      <c r="AF637" t="str">
        <f t="shared" si="192"/>
        <v>.....</v>
      </c>
      <c r="AG637" t="str">
        <f t="shared" si="192"/>
        <v>..........</v>
      </c>
      <c r="AH637" t="str">
        <f t="shared" si="181"/>
        <v>..........</v>
      </c>
      <c r="AI637" t="str">
        <f t="shared" si="182"/>
        <v>.......</v>
      </c>
      <c r="AJ637" t="str">
        <f t="shared" si="183"/>
        <v>.......</v>
      </c>
    </row>
    <row r="638" spans="1:36" x14ac:dyDescent="0.25">
      <c r="A638" t="s">
        <v>504</v>
      </c>
      <c r="P638" t="str">
        <f t="shared" si="184"/>
        <v xml:space="preserve">   1364   69  0 </v>
      </c>
      <c r="Q638" t="str">
        <f t="shared" si="184"/>
        <v xml:space="preserve">   1.021 </v>
      </c>
      <c r="R638" t="str">
        <f t="shared" si="177"/>
        <v xml:space="preserve">     0.0 </v>
      </c>
      <c r="S638" t="str">
        <f t="shared" si="185"/>
        <v xml:space="preserve">     0.0 </v>
      </c>
      <c r="T638" t="str">
        <f t="shared" si="186"/>
        <v xml:space="preserve">    16.2 </v>
      </c>
      <c r="U638" t="str">
        <f t="shared" si="190"/>
        <v xml:space="preserve">         0.0 </v>
      </c>
      <c r="V638" t="str">
        <f t="shared" si="178"/>
        <v xml:space="preserve">     0.0 </v>
      </c>
      <c r="W638" t="str">
        <f t="shared" si="187"/>
        <v xml:space="preserve">     0.0</v>
      </c>
      <c r="X638" t="str">
        <f t="shared" si="191"/>
        <v/>
      </c>
      <c r="Y638" t="str">
        <f t="shared" si="191"/>
        <v/>
      </c>
      <c r="Z638" t="str">
        <f t="shared" si="191"/>
        <v/>
      </c>
      <c r="AA638" t="str">
        <f t="shared" si="179"/>
        <v/>
      </c>
      <c r="AB638" t="str">
        <f t="shared" si="188"/>
        <v/>
      </c>
      <c r="AC638" t="str">
        <f t="shared" si="189"/>
        <v/>
      </c>
      <c r="AD638" t="str">
        <f t="shared" si="190"/>
        <v/>
      </c>
      <c r="AE638" t="str">
        <f t="shared" si="180"/>
        <v/>
      </c>
      <c r="AF638" t="str">
        <f t="shared" si="192"/>
        <v/>
      </c>
      <c r="AG638" t="str">
        <f t="shared" si="192"/>
        <v/>
      </c>
      <c r="AH638" t="str">
        <f t="shared" si="181"/>
        <v/>
      </c>
      <c r="AI638" t="str">
        <f t="shared" si="182"/>
        <v/>
      </c>
      <c r="AJ638" t="str">
        <f t="shared" si="183"/>
        <v/>
      </c>
    </row>
    <row r="639" spans="1:36" x14ac:dyDescent="0.25">
      <c r="A639" t="s">
        <v>505</v>
      </c>
      <c r="P639" t="str">
        <f t="shared" si="184"/>
        <v xml:space="preserve">  PIRELL-RS069  </v>
      </c>
      <c r="Q639" t="str">
        <f t="shared" si="184"/>
        <v xml:space="preserve">   -54.3 </v>
      </c>
      <c r="R639" t="str">
        <f t="shared" si="177"/>
        <v xml:space="preserve">     0.0 </v>
      </c>
      <c r="S639" t="str">
        <f t="shared" si="185"/>
        <v xml:space="preserve">     0.0 </v>
      </c>
      <c r="T639" t="str">
        <f t="shared" si="186"/>
        <v xml:space="preserve">     6.9 </v>
      </c>
      <c r="U639" t="str">
        <f t="shared" si="190"/>
        <v xml:space="preserve">         0.0 </v>
      </c>
      <c r="V639" t="str">
        <f t="shared" si="178"/>
        <v xml:space="preserve">     0.0 </v>
      </c>
      <c r="W639" t="str">
        <f t="shared" si="187"/>
        <v xml:space="preserve">     0.0 </v>
      </c>
      <c r="X639" t="str">
        <f t="shared" si="191"/>
        <v xml:space="preserve">       </v>
      </c>
      <c r="Y639" t="str">
        <f t="shared" si="191"/>
        <v xml:space="preserve">              </v>
      </c>
      <c r="Z639" t="str">
        <f t="shared" si="191"/>
        <v xml:space="preserve">    </v>
      </c>
      <c r="AA639" t="str">
        <f t="shared" si="179"/>
        <v xml:space="preserve">         </v>
      </c>
      <c r="AB639" t="str">
        <f t="shared" si="188"/>
        <v xml:space="preserve">         </v>
      </c>
      <c r="AC639" t="str">
        <f t="shared" si="189"/>
        <v xml:space="preserve">    </v>
      </c>
      <c r="AD639" t="str">
        <f t="shared" si="190"/>
        <v/>
      </c>
      <c r="AE639" t="str">
        <f t="shared" si="180"/>
        <v/>
      </c>
      <c r="AF639" t="str">
        <f t="shared" si="192"/>
        <v/>
      </c>
      <c r="AG639" t="str">
        <f t="shared" si="192"/>
        <v/>
      </c>
      <c r="AH639" t="str">
        <f t="shared" si="181"/>
        <v/>
      </c>
      <c r="AI639" t="str">
        <f t="shared" si="182"/>
        <v/>
      </c>
      <c r="AJ639" t="str">
        <f t="shared" si="183"/>
        <v/>
      </c>
    </row>
    <row r="640" spans="1:36" x14ac:dyDescent="0.25">
      <c r="A640" t="s">
        <v>506</v>
      </c>
      <c r="P640" t="str">
        <f t="shared" si="184"/>
        <v xml:space="preserve">                </v>
      </c>
      <c r="Q640" t="str">
        <f t="shared" si="184"/>
        <v xml:space="preserve">         </v>
      </c>
      <c r="R640" t="str">
        <f t="shared" si="177"/>
        <v xml:space="preserve">    54.0 </v>
      </c>
      <c r="S640" t="str">
        <f t="shared" si="185"/>
        <v xml:space="preserve">    79.0 </v>
      </c>
      <c r="T640" t="str">
        <f t="shared" si="186"/>
        <v xml:space="preserve">    79.0 </v>
      </c>
      <c r="U640" t="str">
        <f t="shared" si="190"/>
        <v xml:space="preserve">       89.5% </v>
      </c>
      <c r="V640" t="str">
        <f t="shared" si="178"/>
        <v xml:space="preserve">         </v>
      </c>
      <c r="W640" t="str">
        <f t="shared" si="187"/>
        <v xml:space="preserve">         </v>
      </c>
      <c r="X640" t="str">
        <f t="shared" si="191"/>
        <v xml:space="preserve">  1314 </v>
      </c>
      <c r="Y640" t="str">
        <f t="shared" si="191"/>
        <v xml:space="preserve"> GRAVA3-RS069 </v>
      </c>
      <c r="Z640" t="str">
        <f t="shared" si="191"/>
        <v xml:space="preserve">  1 </v>
      </c>
      <c r="AA640" t="str">
        <f t="shared" si="179"/>
        <v xml:space="preserve">   -47.2 </v>
      </c>
      <c r="AB640" t="str">
        <f t="shared" si="188"/>
        <v xml:space="preserve">   -14.6 </v>
      </c>
      <c r="AC640" t="str">
        <f t="shared" si="189"/>
        <v xml:space="preserve">    48.4 </v>
      </c>
      <c r="AD640" t="str">
        <f t="shared" si="190"/>
        <v xml:space="preserve">        </v>
      </c>
      <c r="AE640" t="str">
        <f t="shared" si="180"/>
        <v xml:space="preserve">       </v>
      </c>
      <c r="AF640" t="str">
        <f t="shared" si="192"/>
        <v xml:space="preserve">     </v>
      </c>
      <c r="AG640" t="str">
        <f t="shared" si="192"/>
        <v xml:space="preserve">     0.50 </v>
      </c>
      <c r="AH640" t="str">
        <f t="shared" si="181"/>
        <v xml:space="preserve">     0.97 </v>
      </c>
      <c r="AI640" t="str">
        <f t="shared" si="182"/>
        <v xml:space="preserve">       </v>
      </c>
      <c r="AJ640" t="str">
        <f t="shared" si="183"/>
        <v xml:space="preserve">      </v>
      </c>
    </row>
    <row r="641" spans="1:36" x14ac:dyDescent="0.25">
      <c r="A641" t="s">
        <v>507</v>
      </c>
      <c r="P641" t="str">
        <f t="shared" si="184"/>
        <v xml:space="preserve">                </v>
      </c>
      <c r="Q641" t="str">
        <f t="shared" si="184"/>
        <v xml:space="preserve">         </v>
      </c>
      <c r="R641" t="str">
        <f t="shared" si="177"/>
        <v xml:space="preserve">    54.0 </v>
      </c>
      <c r="S641" t="str">
        <f t="shared" si="185"/>
        <v xml:space="preserve">    79.0 </v>
      </c>
      <c r="T641" t="str">
        <f t="shared" si="186"/>
        <v xml:space="preserve">    79.0 </v>
      </c>
      <c r="U641" t="str">
        <f t="shared" si="190"/>
        <v xml:space="preserve">       57.9% </v>
      </c>
      <c r="V641" t="str">
        <f t="shared" si="178"/>
        <v xml:space="preserve">         </v>
      </c>
      <c r="W641" t="str">
        <f t="shared" si="187"/>
        <v xml:space="preserve">         </v>
      </c>
      <c r="X641" t="str">
        <f t="shared" si="191"/>
        <v xml:space="preserve">  1362 </v>
      </c>
      <c r="Y641" t="str">
        <f t="shared" si="191"/>
        <v xml:space="preserve"> GRAVA1-RS069 </v>
      </c>
      <c r="Z641" t="str">
        <f t="shared" si="191"/>
        <v xml:space="preserve">  1 </v>
      </c>
      <c r="AA641" t="str">
        <f t="shared" si="179"/>
        <v xml:space="preserve">    31.0 </v>
      </c>
      <c r="AB641" t="str">
        <f t="shared" si="188"/>
        <v xml:space="preserve">     7.7 </v>
      </c>
      <c r="AC641" t="str">
        <f t="shared" si="189"/>
        <v xml:space="preserve">    31.2 </v>
      </c>
      <c r="AD641" t="str">
        <f t="shared" si="190"/>
        <v xml:space="preserve">        </v>
      </c>
      <c r="AE641" t="str">
        <f t="shared" si="180"/>
        <v xml:space="preserve">       </v>
      </c>
      <c r="AF641" t="str">
        <f t="shared" si="192"/>
        <v xml:space="preserve">     </v>
      </c>
      <c r="AG641" t="str">
        <f t="shared" si="192"/>
        <v xml:space="preserve">     0.15 </v>
      </c>
      <c r="AH641" t="str">
        <f t="shared" si="181"/>
        <v xml:space="preserve">     0.46 </v>
      </c>
      <c r="AI641" t="str">
        <f t="shared" si="182"/>
        <v xml:space="preserve">       </v>
      </c>
      <c r="AJ641" t="str">
        <f t="shared" si="183"/>
        <v xml:space="preserve">      </v>
      </c>
    </row>
    <row r="642" spans="1:36" x14ac:dyDescent="0.25">
      <c r="A642" t="s">
        <v>14</v>
      </c>
      <c r="P642" t="str">
        <f t="shared" si="184"/>
        <v xml:space="preserve">  ..............</v>
      </c>
      <c r="Q642" t="str">
        <f t="shared" si="184"/>
        <v>.........</v>
      </c>
      <c r="R642" t="str">
        <f t="shared" si="177"/>
        <v>.........</v>
      </c>
      <c r="S642" t="str">
        <f t="shared" si="185"/>
        <v>.........</v>
      </c>
      <c r="T642" t="str">
        <f t="shared" si="186"/>
        <v>.........</v>
      </c>
      <c r="U642" t="str">
        <f t="shared" si="190"/>
        <v>.............</v>
      </c>
      <c r="V642" t="str">
        <f t="shared" si="178"/>
        <v>.........</v>
      </c>
      <c r="W642" t="str">
        <f t="shared" si="187"/>
        <v>.........</v>
      </c>
      <c r="X642" t="str">
        <f t="shared" si="191"/>
        <v>.......</v>
      </c>
      <c r="Y642" t="str">
        <f t="shared" si="191"/>
        <v>..............</v>
      </c>
      <c r="Z642" t="str">
        <f t="shared" si="191"/>
        <v>....</v>
      </c>
      <c r="AA642" t="str">
        <f t="shared" si="179"/>
        <v>.........</v>
      </c>
      <c r="AB642" t="str">
        <f t="shared" si="188"/>
        <v>.........</v>
      </c>
      <c r="AC642" t="str">
        <f t="shared" si="189"/>
        <v>.........</v>
      </c>
      <c r="AD642" t="str">
        <f t="shared" si="190"/>
        <v>........</v>
      </c>
      <c r="AE642" t="str">
        <f t="shared" si="180"/>
        <v>.......</v>
      </c>
      <c r="AF642" t="str">
        <f t="shared" si="192"/>
        <v>.....</v>
      </c>
      <c r="AG642" t="str">
        <f t="shared" si="192"/>
        <v>..........</v>
      </c>
      <c r="AH642" t="str">
        <f t="shared" si="181"/>
        <v>..........</v>
      </c>
      <c r="AI642" t="str">
        <f t="shared" si="182"/>
        <v>.......</v>
      </c>
      <c r="AJ642" t="str">
        <f t="shared" si="183"/>
        <v>.......</v>
      </c>
    </row>
    <row r="643" spans="1:36" x14ac:dyDescent="0.25">
      <c r="A643" t="s">
        <v>508</v>
      </c>
      <c r="P643" t="str">
        <f t="shared" si="184"/>
        <v xml:space="preserve">   1365   69  0 </v>
      </c>
      <c r="Q643" t="str">
        <f t="shared" si="184"/>
        <v xml:space="preserve">   0.998 </v>
      </c>
      <c r="R643" t="str">
        <f t="shared" si="177"/>
        <v xml:space="preserve">     0.0 </v>
      </c>
      <c r="S643" t="str">
        <f t="shared" si="185"/>
        <v xml:space="preserve">     0.0 </v>
      </c>
      <c r="T643" t="str">
        <f t="shared" si="186"/>
        <v xml:space="preserve">     7.5 </v>
      </c>
      <c r="U643" t="str">
        <f t="shared" si="190"/>
        <v xml:space="preserve">         0.0 </v>
      </c>
      <c r="V643" t="str">
        <f t="shared" si="178"/>
        <v xml:space="preserve">     0.0 </v>
      </c>
      <c r="W643" t="str">
        <f t="shared" si="187"/>
        <v xml:space="preserve">     0.0</v>
      </c>
      <c r="X643" t="str">
        <f t="shared" si="191"/>
        <v/>
      </c>
      <c r="Y643" t="str">
        <f t="shared" si="191"/>
        <v/>
      </c>
      <c r="Z643" t="str">
        <f t="shared" si="191"/>
        <v/>
      </c>
      <c r="AA643" t="str">
        <f t="shared" si="179"/>
        <v/>
      </c>
      <c r="AB643" t="str">
        <f t="shared" si="188"/>
        <v/>
      </c>
      <c r="AC643" t="str">
        <f t="shared" si="189"/>
        <v/>
      </c>
      <c r="AD643" t="str">
        <f t="shared" si="190"/>
        <v/>
      </c>
      <c r="AE643" t="str">
        <f t="shared" si="180"/>
        <v/>
      </c>
      <c r="AF643" t="str">
        <f t="shared" si="192"/>
        <v/>
      </c>
      <c r="AG643" t="str">
        <f t="shared" si="192"/>
        <v/>
      </c>
      <c r="AH643" t="str">
        <f t="shared" si="181"/>
        <v/>
      </c>
      <c r="AI643" t="str">
        <f t="shared" si="182"/>
        <v/>
      </c>
      <c r="AJ643" t="str">
        <f t="shared" si="183"/>
        <v/>
      </c>
    </row>
    <row r="644" spans="1:36" x14ac:dyDescent="0.25">
      <c r="A644" t="s">
        <v>509</v>
      </c>
      <c r="P644" t="str">
        <f t="shared" si="184"/>
        <v xml:space="preserve">  FITESA-RS069  </v>
      </c>
      <c r="Q644" t="str">
        <f t="shared" si="184"/>
        <v xml:space="preserve">   -56.1 </v>
      </c>
      <c r="R644" t="str">
        <f t="shared" si="177"/>
        <v xml:space="preserve">     0.0 </v>
      </c>
      <c r="S644" t="str">
        <f t="shared" si="185"/>
        <v xml:space="preserve">     0.0 </v>
      </c>
      <c r="T644" t="str">
        <f t="shared" si="186"/>
        <v xml:space="preserve">     3.1 </v>
      </c>
      <c r="U644" t="str">
        <f t="shared" si="190"/>
        <v xml:space="preserve">         0.0 </v>
      </c>
      <c r="V644" t="str">
        <f t="shared" si="178"/>
        <v xml:space="preserve">     0.0 </v>
      </c>
      <c r="W644" t="str">
        <f t="shared" si="187"/>
        <v xml:space="preserve">     0.0 </v>
      </c>
      <c r="X644" t="str">
        <f t="shared" si="191"/>
        <v xml:space="preserve">       </v>
      </c>
      <c r="Y644" t="str">
        <f t="shared" si="191"/>
        <v xml:space="preserve">              </v>
      </c>
      <c r="Z644" t="str">
        <f t="shared" si="191"/>
        <v xml:space="preserve">    </v>
      </c>
      <c r="AA644" t="str">
        <f t="shared" si="179"/>
        <v xml:space="preserve">         </v>
      </c>
      <c r="AB644" t="str">
        <f t="shared" si="188"/>
        <v xml:space="preserve">         </v>
      </c>
      <c r="AC644" t="str">
        <f t="shared" si="189"/>
        <v xml:space="preserve">    </v>
      </c>
      <c r="AD644" t="str">
        <f t="shared" si="190"/>
        <v/>
      </c>
      <c r="AE644" t="str">
        <f t="shared" si="180"/>
        <v/>
      </c>
      <c r="AF644" t="str">
        <f t="shared" si="192"/>
        <v/>
      </c>
      <c r="AG644" t="str">
        <f t="shared" si="192"/>
        <v/>
      </c>
      <c r="AH644" t="str">
        <f t="shared" si="181"/>
        <v/>
      </c>
      <c r="AI644" t="str">
        <f t="shared" si="182"/>
        <v/>
      </c>
      <c r="AJ644" t="str">
        <f t="shared" si="183"/>
        <v/>
      </c>
    </row>
    <row r="645" spans="1:36" x14ac:dyDescent="0.25">
      <c r="A645" t="s">
        <v>510</v>
      </c>
      <c r="P645" t="str">
        <f t="shared" si="184"/>
        <v xml:space="preserve">                </v>
      </c>
      <c r="Q645" t="str">
        <f t="shared" si="184"/>
        <v xml:space="preserve">         </v>
      </c>
      <c r="R645" t="str">
        <f t="shared" si="177"/>
        <v xml:space="preserve">    54.0 </v>
      </c>
      <c r="S645" t="str">
        <f t="shared" si="185"/>
        <v xml:space="preserve">    79.0 </v>
      </c>
      <c r="T645" t="str">
        <f t="shared" si="186"/>
        <v xml:space="preserve">    79.0 </v>
      </c>
      <c r="U645" t="str">
        <f t="shared" si="190"/>
        <v xml:space="preserve">       15.1% </v>
      </c>
      <c r="V645" t="str">
        <f t="shared" si="178"/>
        <v xml:space="preserve">         </v>
      </c>
      <c r="W645" t="str">
        <f t="shared" si="187"/>
        <v xml:space="preserve">         </v>
      </c>
      <c r="X645" t="str">
        <f t="shared" si="191"/>
        <v xml:space="preserve">  1361 </v>
      </c>
      <c r="Y645" t="str">
        <f t="shared" si="191"/>
        <v xml:space="preserve"> ALBARU-RS069 </v>
      </c>
      <c r="Z645" t="str">
        <f t="shared" si="191"/>
        <v xml:space="preserve">  1 </v>
      </c>
      <c r="AA645" t="str">
        <f t="shared" si="179"/>
        <v xml:space="preserve">    -7.5 </v>
      </c>
      <c r="AB645" t="str">
        <f t="shared" si="188"/>
        <v xml:space="preserve">    -3.1 </v>
      </c>
      <c r="AC645" t="str">
        <f t="shared" si="189"/>
        <v xml:space="preserve">     8.1 </v>
      </c>
      <c r="AD645" t="str">
        <f t="shared" si="190"/>
        <v xml:space="preserve">        </v>
      </c>
      <c r="AE645" t="str">
        <f t="shared" si="180"/>
        <v xml:space="preserve">       </v>
      </c>
      <c r="AF645" t="str">
        <f t="shared" si="192"/>
        <v xml:space="preserve">     </v>
      </c>
      <c r="AG645" t="str">
        <f t="shared" si="192"/>
        <v xml:space="preserve">     0.00 </v>
      </c>
      <c r="AH645" t="str">
        <f t="shared" si="181"/>
        <v xml:space="preserve">    -0.00 </v>
      </c>
      <c r="AI645" t="str">
        <f t="shared" si="182"/>
        <v xml:space="preserve">       </v>
      </c>
      <c r="AJ645" t="str">
        <f t="shared" si="183"/>
        <v xml:space="preserve">      </v>
      </c>
    </row>
    <row r="646" spans="1:36" x14ac:dyDescent="0.25">
      <c r="A646" t="s">
        <v>14</v>
      </c>
      <c r="P646" t="str">
        <f t="shared" si="184"/>
        <v xml:space="preserve">  ..............</v>
      </c>
      <c r="Q646" t="str">
        <f t="shared" si="184"/>
        <v>.........</v>
      </c>
      <c r="R646" t="str">
        <f t="shared" si="177"/>
        <v>.........</v>
      </c>
      <c r="S646" t="str">
        <f t="shared" si="185"/>
        <v>.........</v>
      </c>
      <c r="T646" t="str">
        <f t="shared" si="186"/>
        <v>.........</v>
      </c>
      <c r="U646" t="str">
        <f t="shared" si="190"/>
        <v>.............</v>
      </c>
      <c r="V646" t="str">
        <f t="shared" si="178"/>
        <v>.........</v>
      </c>
      <c r="W646" t="str">
        <f t="shared" si="187"/>
        <v>.........</v>
      </c>
      <c r="X646" t="str">
        <f t="shared" si="191"/>
        <v>.......</v>
      </c>
      <c r="Y646" t="str">
        <f t="shared" si="191"/>
        <v>..............</v>
      </c>
      <c r="Z646" t="str">
        <f t="shared" si="191"/>
        <v>....</v>
      </c>
      <c r="AA646" t="str">
        <f t="shared" si="179"/>
        <v>.........</v>
      </c>
      <c r="AB646" t="str">
        <f t="shared" si="188"/>
        <v>.........</v>
      </c>
      <c r="AC646" t="str">
        <f t="shared" si="189"/>
        <v>.........</v>
      </c>
      <c r="AD646" t="str">
        <f t="shared" si="190"/>
        <v>........</v>
      </c>
      <c r="AE646" t="str">
        <f t="shared" si="180"/>
        <v>.......</v>
      </c>
      <c r="AF646" t="str">
        <f t="shared" si="192"/>
        <v>.....</v>
      </c>
      <c r="AG646" t="str">
        <f t="shared" si="192"/>
        <v>..........</v>
      </c>
      <c r="AH646" t="str">
        <f t="shared" si="181"/>
        <v>..........</v>
      </c>
      <c r="AI646" t="str">
        <f t="shared" si="182"/>
        <v>.......</v>
      </c>
      <c r="AJ646" t="str">
        <f t="shared" si="183"/>
        <v>.......</v>
      </c>
    </row>
    <row r="647" spans="1:36" x14ac:dyDescent="0.25">
      <c r="A647" t="s">
        <v>511</v>
      </c>
      <c r="P647" t="str">
        <f t="shared" si="184"/>
        <v xml:space="preserve">   1366   69  0 </v>
      </c>
      <c r="Q647" t="str">
        <f t="shared" si="184"/>
        <v xml:space="preserve">   1.007 </v>
      </c>
      <c r="R647" t="str">
        <f t="shared" si="177"/>
        <v xml:space="preserve">     0.0 </v>
      </c>
      <c r="S647" t="str">
        <f t="shared" si="185"/>
        <v xml:space="preserve">     0.0 </v>
      </c>
      <c r="T647" t="str">
        <f t="shared" si="186"/>
        <v xml:space="preserve">     3.0 </v>
      </c>
      <c r="U647" t="str">
        <f t="shared" si="190"/>
        <v xml:space="preserve">         0.0 </v>
      </c>
      <c r="V647" t="str">
        <f t="shared" si="178"/>
        <v xml:space="preserve">     0.0 </v>
      </c>
      <c r="W647" t="str">
        <f t="shared" si="187"/>
        <v xml:space="preserve">     0.0</v>
      </c>
      <c r="X647" t="str">
        <f t="shared" si="191"/>
        <v/>
      </c>
      <c r="Y647" t="str">
        <f t="shared" si="191"/>
        <v/>
      </c>
      <c r="Z647" t="str">
        <f t="shared" si="191"/>
        <v/>
      </c>
      <c r="AA647" t="str">
        <f t="shared" si="179"/>
        <v/>
      </c>
      <c r="AB647" t="str">
        <f t="shared" si="188"/>
        <v/>
      </c>
      <c r="AC647" t="str">
        <f t="shared" si="189"/>
        <v/>
      </c>
      <c r="AD647" t="str">
        <f t="shared" si="190"/>
        <v/>
      </c>
      <c r="AE647" t="str">
        <f t="shared" si="180"/>
        <v/>
      </c>
      <c r="AF647" t="str">
        <f t="shared" si="192"/>
        <v/>
      </c>
      <c r="AG647" t="str">
        <f t="shared" si="192"/>
        <v/>
      </c>
      <c r="AH647" t="str">
        <f t="shared" si="181"/>
        <v/>
      </c>
      <c r="AI647" t="str">
        <f t="shared" si="182"/>
        <v/>
      </c>
      <c r="AJ647" t="str">
        <f t="shared" si="183"/>
        <v/>
      </c>
    </row>
    <row r="648" spans="1:36" x14ac:dyDescent="0.25">
      <c r="A648" t="s">
        <v>512</v>
      </c>
      <c r="P648" t="str">
        <f t="shared" si="184"/>
        <v xml:space="preserve">  MUNDIA-RS069  </v>
      </c>
      <c r="Q648" t="str">
        <f t="shared" si="184"/>
        <v xml:space="preserve">   -55.5 </v>
      </c>
      <c r="R648" t="str">
        <f t="shared" si="177"/>
        <v xml:space="preserve">     0.0 </v>
      </c>
      <c r="S648" t="str">
        <f t="shared" si="185"/>
        <v xml:space="preserve">     0.0 </v>
      </c>
      <c r="T648" t="str">
        <f t="shared" si="186"/>
        <v xml:space="preserve">     1.2 </v>
      </c>
      <c r="U648" t="str">
        <f t="shared" si="190"/>
        <v xml:space="preserve">         0.0 </v>
      </c>
      <c r="V648" t="str">
        <f t="shared" si="178"/>
        <v xml:space="preserve">     0.0 </v>
      </c>
      <c r="W648" t="str">
        <f t="shared" si="187"/>
        <v xml:space="preserve">     0.0 </v>
      </c>
      <c r="X648" t="str">
        <f t="shared" si="191"/>
        <v xml:space="preserve">       </v>
      </c>
      <c r="Y648" t="str">
        <f t="shared" si="191"/>
        <v xml:space="preserve">              </v>
      </c>
      <c r="Z648" t="str">
        <f t="shared" si="191"/>
        <v xml:space="preserve">    </v>
      </c>
      <c r="AA648" t="str">
        <f t="shared" si="179"/>
        <v xml:space="preserve">         </v>
      </c>
      <c r="AB648" t="str">
        <f t="shared" si="188"/>
        <v xml:space="preserve">         </v>
      </c>
      <c r="AC648" t="str">
        <f t="shared" si="189"/>
        <v xml:space="preserve">    </v>
      </c>
      <c r="AD648" t="str">
        <f t="shared" si="190"/>
        <v/>
      </c>
      <c r="AE648" t="str">
        <f t="shared" si="180"/>
        <v/>
      </c>
      <c r="AF648" t="str">
        <f t="shared" si="192"/>
        <v/>
      </c>
      <c r="AG648" t="str">
        <f t="shared" si="192"/>
        <v/>
      </c>
      <c r="AH648" t="str">
        <f t="shared" si="181"/>
        <v/>
      </c>
      <c r="AI648" t="str">
        <f t="shared" si="182"/>
        <v/>
      </c>
      <c r="AJ648" t="str">
        <f t="shared" si="183"/>
        <v/>
      </c>
    </row>
    <row r="649" spans="1:36" x14ac:dyDescent="0.25">
      <c r="A649" t="s">
        <v>513</v>
      </c>
      <c r="P649" t="str">
        <f t="shared" si="184"/>
        <v xml:space="preserve">                </v>
      </c>
      <c r="Q649" t="str">
        <f t="shared" si="184"/>
        <v xml:space="preserve">         </v>
      </c>
      <c r="R649" t="str">
        <f t="shared" si="177"/>
        <v xml:space="preserve">    54.0 </v>
      </c>
      <c r="S649" t="str">
        <f t="shared" si="185"/>
        <v xml:space="preserve">    79.0 </v>
      </c>
      <c r="T649" t="str">
        <f t="shared" si="186"/>
        <v xml:space="preserve">    79.0 </v>
      </c>
      <c r="U649" t="str">
        <f t="shared" si="190"/>
        <v xml:space="preserve">        5.9% </v>
      </c>
      <c r="V649" t="str">
        <f t="shared" si="178"/>
        <v xml:space="preserve">         </v>
      </c>
      <c r="W649" t="str">
        <f t="shared" si="187"/>
        <v xml:space="preserve">         </v>
      </c>
      <c r="X649" t="str">
        <f t="shared" si="191"/>
        <v xml:space="preserve">  1360 </v>
      </c>
      <c r="Y649" t="str">
        <f t="shared" si="191"/>
        <v xml:space="preserve"> CACHO2-RS069 </v>
      </c>
      <c r="Z649" t="str">
        <f t="shared" si="191"/>
        <v xml:space="preserve">  1 </v>
      </c>
      <c r="AA649" t="str">
        <f t="shared" si="179"/>
        <v xml:space="preserve">    -3.0 </v>
      </c>
      <c r="AB649" t="str">
        <f t="shared" si="188"/>
        <v xml:space="preserve">    -1.1 </v>
      </c>
      <c r="AC649" t="str">
        <f t="shared" si="189"/>
        <v xml:space="preserve">     3.2 </v>
      </c>
      <c r="AD649" t="str">
        <f t="shared" si="190"/>
        <v xml:space="preserve">        </v>
      </c>
      <c r="AE649" t="str">
        <f t="shared" si="180"/>
        <v xml:space="preserve">       </v>
      </c>
      <c r="AF649" t="str">
        <f t="shared" si="192"/>
        <v xml:space="preserve">     </v>
      </c>
      <c r="AG649" t="str">
        <f t="shared" si="192"/>
        <v xml:space="preserve">     0.00 </v>
      </c>
      <c r="AH649" t="str">
        <f t="shared" si="181"/>
        <v xml:space="preserve">    -0.11 </v>
      </c>
      <c r="AI649" t="str">
        <f t="shared" si="182"/>
        <v xml:space="preserve">       </v>
      </c>
      <c r="AJ649" t="str">
        <f t="shared" si="183"/>
        <v xml:space="preserve">      </v>
      </c>
    </row>
    <row r="650" spans="1:36" x14ac:dyDescent="0.25">
      <c r="A650" t="s">
        <v>514</v>
      </c>
      <c r="P650" t="str">
        <f t="shared" si="184"/>
        <v xml:space="preserve">              DE</v>
      </c>
      <c r="Q650" t="str">
        <f t="shared" si="184"/>
        <v xml:space="preserve">ESLIGADO </v>
      </c>
      <c r="R650" t="str">
        <f t="shared" si="177"/>
        <v xml:space="preserve">    54.0 </v>
      </c>
      <c r="S650" t="str">
        <f t="shared" si="185"/>
        <v xml:space="preserve">    79.0 </v>
      </c>
      <c r="T650" t="str">
        <f t="shared" si="186"/>
        <v xml:space="preserve">    79.0 </v>
      </c>
      <c r="U650" t="str">
        <f t="shared" si="190"/>
        <v xml:space="preserve">             </v>
      </c>
      <c r="V650" t="str">
        <f t="shared" si="178"/>
        <v xml:space="preserve">         </v>
      </c>
      <c r="W650" t="str">
        <f t="shared" si="187"/>
        <v xml:space="preserve">         </v>
      </c>
      <c r="X650" t="str">
        <f t="shared" si="191"/>
        <v xml:space="preserve">  1362 </v>
      </c>
      <c r="Y650" t="str">
        <f t="shared" si="191"/>
        <v xml:space="preserve"> GRAVA1-RS069 </v>
      </c>
      <c r="Z650" t="str">
        <f t="shared" si="191"/>
        <v xml:space="preserve">  1 </v>
      </c>
      <c r="AA650" t="str">
        <f t="shared" si="179"/>
        <v xml:space="preserve">     0.0 </v>
      </c>
      <c r="AB650" t="str">
        <f t="shared" si="188"/>
        <v xml:space="preserve">    -0.1 </v>
      </c>
      <c r="AC650" t="str">
        <f t="shared" si="189"/>
        <v xml:space="preserve">     0.1 </v>
      </c>
      <c r="AD650" t="str">
        <f t="shared" si="190"/>
        <v xml:space="preserve">        </v>
      </c>
      <c r="AE650" t="str">
        <f t="shared" si="180"/>
        <v xml:space="preserve">       </v>
      </c>
      <c r="AF650" t="str">
        <f t="shared" si="192"/>
        <v xml:space="preserve">     </v>
      </c>
      <c r="AG650" t="str">
        <f t="shared" si="192"/>
        <v xml:space="preserve">     0.00 </v>
      </c>
      <c r="AH650" t="str">
        <f t="shared" si="181"/>
        <v xml:space="preserve">    -0.05 </v>
      </c>
      <c r="AI650" t="str">
        <f t="shared" si="182"/>
        <v xml:space="preserve"> 1.007 </v>
      </c>
      <c r="AJ650" t="str">
        <f t="shared" si="183"/>
        <v xml:space="preserve"> -55.5</v>
      </c>
    </row>
    <row r="651" spans="1:36" x14ac:dyDescent="0.25">
      <c r="A651" t="s">
        <v>14</v>
      </c>
      <c r="P651" t="str">
        <f t="shared" si="184"/>
        <v xml:space="preserve">  ..............</v>
      </c>
      <c r="Q651" t="str">
        <f t="shared" si="184"/>
        <v>.........</v>
      </c>
      <c r="R651" t="str">
        <f t="shared" si="177"/>
        <v>.........</v>
      </c>
      <c r="S651" t="str">
        <f t="shared" si="185"/>
        <v>.........</v>
      </c>
      <c r="T651" t="str">
        <f t="shared" si="186"/>
        <v>.........</v>
      </c>
      <c r="U651" t="str">
        <f t="shared" si="190"/>
        <v>.............</v>
      </c>
      <c r="V651" t="str">
        <f t="shared" si="178"/>
        <v>.........</v>
      </c>
      <c r="W651" t="str">
        <f t="shared" si="187"/>
        <v>.........</v>
      </c>
      <c r="X651" t="str">
        <f t="shared" si="191"/>
        <v>.......</v>
      </c>
      <c r="Y651" t="str">
        <f t="shared" si="191"/>
        <v>..............</v>
      </c>
      <c r="Z651" t="str">
        <f t="shared" si="191"/>
        <v>....</v>
      </c>
      <c r="AA651" t="str">
        <f t="shared" si="179"/>
        <v>.........</v>
      </c>
      <c r="AB651" t="str">
        <f t="shared" si="188"/>
        <v>.........</v>
      </c>
      <c r="AC651" t="str">
        <f t="shared" si="189"/>
        <v>.........</v>
      </c>
      <c r="AD651" t="str">
        <f t="shared" si="190"/>
        <v>........</v>
      </c>
      <c r="AE651" t="str">
        <f t="shared" si="180"/>
        <v>.......</v>
      </c>
      <c r="AF651" t="str">
        <f t="shared" si="192"/>
        <v>.....</v>
      </c>
      <c r="AG651" t="str">
        <f t="shared" si="192"/>
        <v>..........</v>
      </c>
      <c r="AH651" t="str">
        <f t="shared" si="181"/>
        <v>..........</v>
      </c>
      <c r="AI651" t="str">
        <f t="shared" si="182"/>
        <v>.......</v>
      </c>
      <c r="AJ651" t="str">
        <f t="shared" si="183"/>
        <v>.......</v>
      </c>
    </row>
    <row r="652" spans="1:36" x14ac:dyDescent="0.25">
      <c r="A652" t="s">
        <v>515</v>
      </c>
      <c r="P652" t="str">
        <f t="shared" si="184"/>
        <v xml:space="preserve">   1367   69  0 </v>
      </c>
      <c r="Q652" t="str">
        <f t="shared" si="184"/>
        <v xml:space="preserve">   1.020 </v>
      </c>
      <c r="R652" t="str">
        <f t="shared" ref="R652:R715" si="193">MID($A652,Q$8+Q$9-1,R$9)</f>
        <v xml:space="preserve">     0.9 </v>
      </c>
      <c r="S652" t="str">
        <f t="shared" si="185"/>
        <v xml:space="preserve">     0.0 </v>
      </c>
      <c r="T652" t="str">
        <f t="shared" si="186"/>
        <v xml:space="preserve">     8.5 </v>
      </c>
      <c r="U652" t="str">
        <f t="shared" si="190"/>
        <v xml:space="preserve">         0.0 </v>
      </c>
      <c r="V652" t="str">
        <f t="shared" ref="V652:V715" si="194">MID($A652,U$8+U$9-1,V$9)</f>
        <v xml:space="preserve">     0.0 </v>
      </c>
      <c r="W652" t="str">
        <f t="shared" si="187"/>
        <v xml:space="preserve">     0.0</v>
      </c>
      <c r="X652" t="str">
        <f t="shared" si="191"/>
        <v/>
      </c>
      <c r="Y652" t="str">
        <f t="shared" si="191"/>
        <v/>
      </c>
      <c r="Z652" t="str">
        <f t="shared" si="191"/>
        <v/>
      </c>
      <c r="AA652" t="str">
        <f t="shared" ref="AA652:AA715" si="195">MID($A652,Z$8+Z$9-1,AA$9)</f>
        <v/>
      </c>
      <c r="AB652" t="str">
        <f t="shared" si="188"/>
        <v/>
      </c>
      <c r="AC652" t="str">
        <f t="shared" si="189"/>
        <v/>
      </c>
      <c r="AD652" t="str">
        <f t="shared" si="190"/>
        <v/>
      </c>
      <c r="AE652" t="str">
        <f t="shared" ref="AE652:AE715" si="196">MID($A652,AD$8+AD$9-1,AE$9)</f>
        <v/>
      </c>
      <c r="AF652" t="str">
        <f t="shared" si="192"/>
        <v/>
      </c>
      <c r="AG652" t="str">
        <f t="shared" si="192"/>
        <v/>
      </c>
      <c r="AH652" t="str">
        <f t="shared" ref="AH652:AH715" si="197">MID($A652,AG$8+AG$9-1,AH$9)</f>
        <v/>
      </c>
      <c r="AI652" t="str">
        <f t="shared" si="182"/>
        <v/>
      </c>
      <c r="AJ652" t="str">
        <f t="shared" si="183"/>
        <v/>
      </c>
    </row>
    <row r="653" spans="1:36" x14ac:dyDescent="0.25">
      <c r="A653" t="s">
        <v>516</v>
      </c>
      <c r="P653" t="str">
        <f t="shared" si="184"/>
        <v xml:space="preserve">  GLORIN-RS069  </v>
      </c>
      <c r="Q653" t="str">
        <f t="shared" si="184"/>
        <v xml:space="preserve">   -54.0 </v>
      </c>
      <c r="R653" t="str">
        <f t="shared" si="193"/>
        <v xml:space="preserve">     0.0 </v>
      </c>
      <c r="S653" t="str">
        <f t="shared" si="185"/>
        <v xml:space="preserve">     0.0 </v>
      </c>
      <c r="T653" t="str">
        <f t="shared" si="186"/>
        <v xml:space="preserve">     5.2 </v>
      </c>
      <c r="U653" t="str">
        <f t="shared" si="190"/>
        <v xml:space="preserve">         0.0 </v>
      </c>
      <c r="V653" t="str">
        <f t="shared" si="194"/>
        <v xml:space="preserve">     0.0 </v>
      </c>
      <c r="W653" t="str">
        <f t="shared" si="187"/>
        <v xml:space="preserve">     0.0 </v>
      </c>
      <c r="X653" t="str">
        <f t="shared" si="191"/>
        <v xml:space="preserve">       </v>
      </c>
      <c r="Y653" t="str">
        <f t="shared" si="191"/>
        <v xml:space="preserve">              </v>
      </c>
      <c r="Z653" t="str">
        <f t="shared" si="191"/>
        <v xml:space="preserve">    </v>
      </c>
      <c r="AA653" t="str">
        <f t="shared" si="195"/>
        <v xml:space="preserve">         </v>
      </c>
      <c r="AB653" t="str">
        <f t="shared" si="188"/>
        <v xml:space="preserve">         </v>
      </c>
      <c r="AC653" t="str">
        <f t="shared" si="189"/>
        <v xml:space="preserve">    </v>
      </c>
      <c r="AD653" t="str">
        <f t="shared" si="190"/>
        <v/>
      </c>
      <c r="AE653" t="str">
        <f t="shared" si="196"/>
        <v/>
      </c>
      <c r="AF653" t="str">
        <f t="shared" si="192"/>
        <v/>
      </c>
      <c r="AG653" t="str">
        <f t="shared" si="192"/>
        <v/>
      </c>
      <c r="AH653" t="str">
        <f t="shared" si="197"/>
        <v/>
      </c>
      <c r="AI653" t="str">
        <f t="shared" si="182"/>
        <v/>
      </c>
      <c r="AJ653" t="str">
        <f t="shared" si="183"/>
        <v/>
      </c>
    </row>
    <row r="654" spans="1:36" x14ac:dyDescent="0.25">
      <c r="A654" t="s">
        <v>517</v>
      </c>
      <c r="P654" t="str">
        <f t="shared" si="184"/>
        <v xml:space="preserve">                </v>
      </c>
      <c r="Q654" t="str">
        <f t="shared" si="184"/>
        <v xml:space="preserve">         </v>
      </c>
      <c r="R654" t="str">
        <f t="shared" si="193"/>
        <v xml:space="preserve">    67.0 </v>
      </c>
      <c r="S654" t="str">
        <f t="shared" si="185"/>
        <v xml:space="preserve">    81.0 </v>
      </c>
      <c r="T654" t="str">
        <f t="shared" si="186"/>
        <v xml:space="preserve">    81.0 </v>
      </c>
      <c r="U654" t="str">
        <f t="shared" si="190"/>
        <v xml:space="preserve">       13.5% </v>
      </c>
      <c r="V654" t="str">
        <f t="shared" si="194"/>
        <v xml:space="preserve">         </v>
      </c>
      <c r="W654" t="str">
        <f t="shared" si="187"/>
        <v xml:space="preserve">         </v>
      </c>
      <c r="X654" t="str">
        <f t="shared" si="191"/>
        <v xml:space="preserve">  1314 </v>
      </c>
      <c r="Y654" t="str">
        <f t="shared" si="191"/>
        <v xml:space="preserve"> GRAVA3-RS069 </v>
      </c>
      <c r="Z654" t="str">
        <f t="shared" si="191"/>
        <v xml:space="preserve">  1 </v>
      </c>
      <c r="AA654" t="str">
        <f t="shared" si="195"/>
        <v xml:space="preserve">    -7.6 </v>
      </c>
      <c r="AB654" t="str">
        <f t="shared" si="188"/>
        <v xml:space="preserve">    -5.2 </v>
      </c>
      <c r="AC654" t="str">
        <f t="shared" si="189"/>
        <v xml:space="preserve">     9.0 </v>
      </c>
      <c r="AD654" t="str">
        <f t="shared" si="190"/>
        <v xml:space="preserve">        </v>
      </c>
      <c r="AE654" t="str">
        <f t="shared" si="196"/>
        <v xml:space="preserve">       </v>
      </c>
      <c r="AF654" t="str">
        <f t="shared" si="192"/>
        <v xml:space="preserve">     </v>
      </c>
      <c r="AG654" t="str">
        <f t="shared" si="192"/>
        <v xml:space="preserve">     0.07 </v>
      </c>
      <c r="AH654" t="str">
        <f t="shared" si="197"/>
        <v xml:space="preserve">    -0.20 </v>
      </c>
      <c r="AI654" t="str">
        <f t="shared" si="182"/>
        <v xml:space="preserve">       </v>
      </c>
      <c r="AJ654" t="str">
        <f t="shared" si="183"/>
        <v xml:space="preserve">      </v>
      </c>
    </row>
    <row r="655" spans="1:36" x14ac:dyDescent="0.25">
      <c r="A655" t="s">
        <v>14</v>
      </c>
      <c r="P655" t="str">
        <f t="shared" si="184"/>
        <v xml:space="preserve">  ..............</v>
      </c>
      <c r="Q655" t="str">
        <f t="shared" si="184"/>
        <v>.........</v>
      </c>
      <c r="R655" t="str">
        <f t="shared" si="193"/>
        <v>.........</v>
      </c>
      <c r="S655" t="str">
        <f t="shared" si="185"/>
        <v>.........</v>
      </c>
      <c r="T655" t="str">
        <f t="shared" si="186"/>
        <v>.........</v>
      </c>
      <c r="U655" t="str">
        <f t="shared" si="190"/>
        <v>.............</v>
      </c>
      <c r="V655" t="str">
        <f t="shared" si="194"/>
        <v>.........</v>
      </c>
      <c r="W655" t="str">
        <f t="shared" si="187"/>
        <v>.........</v>
      </c>
      <c r="X655" t="str">
        <f t="shared" si="191"/>
        <v>.......</v>
      </c>
      <c r="Y655" t="str">
        <f t="shared" si="191"/>
        <v>..............</v>
      </c>
      <c r="Z655" t="str">
        <f t="shared" si="191"/>
        <v>....</v>
      </c>
      <c r="AA655" t="str">
        <f t="shared" si="195"/>
        <v>.........</v>
      </c>
      <c r="AB655" t="str">
        <f t="shared" si="188"/>
        <v>.........</v>
      </c>
      <c r="AC655" t="str">
        <f t="shared" si="189"/>
        <v>.........</v>
      </c>
      <c r="AD655" t="str">
        <f t="shared" si="190"/>
        <v>........</v>
      </c>
      <c r="AE655" t="str">
        <f t="shared" si="196"/>
        <v>.......</v>
      </c>
      <c r="AF655" t="str">
        <f t="shared" si="192"/>
        <v>.....</v>
      </c>
      <c r="AG655" t="str">
        <f t="shared" si="192"/>
        <v>..........</v>
      </c>
      <c r="AH655" t="str">
        <f t="shared" si="197"/>
        <v>..........</v>
      </c>
      <c r="AI655" t="str">
        <f t="shared" si="182"/>
        <v>.......</v>
      </c>
      <c r="AJ655" t="str">
        <f t="shared" si="183"/>
        <v>.......</v>
      </c>
    </row>
    <row r="656" spans="1:36" x14ac:dyDescent="0.25">
      <c r="A656" t="s">
        <v>518</v>
      </c>
      <c r="P656" t="str">
        <f t="shared" si="184"/>
        <v xml:space="preserve">   1374  138  0 </v>
      </c>
      <c r="Q656" t="str">
        <f t="shared" si="184"/>
        <v xml:space="preserve">   1.004 </v>
      </c>
      <c r="R656" t="str">
        <f t="shared" si="193"/>
        <v xml:space="preserve">     0.0 </v>
      </c>
      <c r="S656" t="str">
        <f t="shared" si="185"/>
        <v xml:space="preserve">     0.0 </v>
      </c>
      <c r="T656" t="str">
        <f t="shared" si="186"/>
        <v xml:space="preserve">     4.3 </v>
      </c>
      <c r="U656" t="str">
        <f t="shared" si="190"/>
        <v xml:space="preserve">         0.0 </v>
      </c>
      <c r="V656" t="str">
        <f t="shared" si="194"/>
        <v xml:space="preserve">     0.0 </v>
      </c>
      <c r="W656" t="str">
        <f t="shared" si="187"/>
        <v xml:space="preserve">     0.0</v>
      </c>
      <c r="X656" t="str">
        <f t="shared" si="191"/>
        <v/>
      </c>
      <c r="Y656" t="str">
        <f t="shared" si="191"/>
        <v/>
      </c>
      <c r="Z656" t="str">
        <f t="shared" si="191"/>
        <v/>
      </c>
      <c r="AA656" t="str">
        <f t="shared" si="195"/>
        <v/>
      </c>
      <c r="AB656" t="str">
        <f t="shared" si="188"/>
        <v/>
      </c>
      <c r="AC656" t="str">
        <f t="shared" si="189"/>
        <v/>
      </c>
      <c r="AD656" t="str">
        <f t="shared" si="190"/>
        <v/>
      </c>
      <c r="AE656" t="str">
        <f t="shared" si="196"/>
        <v/>
      </c>
      <c r="AF656" t="str">
        <f t="shared" si="192"/>
        <v/>
      </c>
      <c r="AG656" t="str">
        <f t="shared" si="192"/>
        <v/>
      </c>
      <c r="AH656" t="str">
        <f t="shared" si="197"/>
        <v/>
      </c>
      <c r="AI656" t="str">
        <f t="shared" si="182"/>
        <v/>
      </c>
      <c r="AJ656" t="str">
        <f t="shared" si="183"/>
        <v/>
      </c>
    </row>
    <row r="657" spans="1:36" x14ac:dyDescent="0.25">
      <c r="A657" t="s">
        <v>519</v>
      </c>
      <c r="P657" t="str">
        <f t="shared" si="184"/>
        <v xml:space="preserve">  SCHINC-RS138  </v>
      </c>
      <c r="Q657" t="str">
        <f t="shared" si="184"/>
        <v xml:space="preserve">   -53.5 </v>
      </c>
      <c r="R657" t="str">
        <f t="shared" si="193"/>
        <v xml:space="preserve">     0.0 </v>
      </c>
      <c r="S657" t="str">
        <f t="shared" si="185"/>
        <v xml:space="preserve">     0.0 </v>
      </c>
      <c r="T657" t="str">
        <f t="shared" si="186"/>
        <v xml:space="preserve">     1.8 </v>
      </c>
      <c r="U657" t="str">
        <f t="shared" si="190"/>
        <v xml:space="preserve">         0.0 </v>
      </c>
      <c r="V657" t="str">
        <f t="shared" si="194"/>
        <v xml:space="preserve">     0.0 </v>
      </c>
      <c r="W657" t="str">
        <f t="shared" si="187"/>
        <v xml:space="preserve">     0.0 </v>
      </c>
      <c r="X657" t="str">
        <f t="shared" si="191"/>
        <v xml:space="preserve">       </v>
      </c>
      <c r="Y657" t="str">
        <f t="shared" si="191"/>
        <v xml:space="preserve">              </v>
      </c>
      <c r="Z657" t="str">
        <f t="shared" si="191"/>
        <v xml:space="preserve">    </v>
      </c>
      <c r="AA657" t="str">
        <f t="shared" si="195"/>
        <v xml:space="preserve">         </v>
      </c>
      <c r="AB657" t="str">
        <f t="shared" si="188"/>
        <v xml:space="preserve">         </v>
      </c>
      <c r="AC657" t="str">
        <f t="shared" si="189"/>
        <v xml:space="preserve">    </v>
      </c>
      <c r="AD657" t="str">
        <f t="shared" si="190"/>
        <v/>
      </c>
      <c r="AE657" t="str">
        <f t="shared" si="196"/>
        <v/>
      </c>
      <c r="AF657" t="str">
        <f t="shared" si="192"/>
        <v/>
      </c>
      <c r="AG657" t="str">
        <f t="shared" si="192"/>
        <v/>
      </c>
      <c r="AH657" t="str">
        <f t="shared" si="197"/>
        <v/>
      </c>
      <c r="AI657" t="str">
        <f t="shared" si="182"/>
        <v/>
      </c>
      <c r="AJ657" t="str">
        <f t="shared" si="183"/>
        <v/>
      </c>
    </row>
    <row r="658" spans="1:36" x14ac:dyDescent="0.25">
      <c r="A658" t="s">
        <v>520</v>
      </c>
      <c r="P658" t="str">
        <f t="shared" si="184"/>
        <v xml:space="preserve">                </v>
      </c>
      <c r="Q658" t="str">
        <f t="shared" si="184"/>
        <v xml:space="preserve">         </v>
      </c>
      <c r="R658" t="str">
        <f t="shared" si="193"/>
        <v xml:space="preserve">  9999.0 </v>
      </c>
      <c r="S658" t="str">
        <f t="shared" si="185"/>
        <v xml:space="preserve">  9999.0 </v>
      </c>
      <c r="T658" t="str">
        <f t="shared" si="186"/>
        <v xml:space="preserve">  9999.0 </v>
      </c>
      <c r="U658" t="str">
        <f t="shared" si="190"/>
        <v xml:space="preserve">        0.0% </v>
      </c>
      <c r="V658" t="str">
        <f t="shared" si="194"/>
        <v xml:space="preserve">         </v>
      </c>
      <c r="W658" t="str">
        <f t="shared" si="187"/>
        <v xml:space="preserve">         </v>
      </c>
      <c r="X658" t="str">
        <f t="shared" si="191"/>
        <v xml:space="preserve">  1290 </v>
      </c>
      <c r="Y658" t="str">
        <f t="shared" si="191"/>
        <v xml:space="preserve"> 3COROA-RS138 </v>
      </c>
      <c r="Z658" t="str">
        <f t="shared" si="191"/>
        <v xml:space="preserve">  1 </v>
      </c>
      <c r="AA658" t="str">
        <f t="shared" si="195"/>
        <v xml:space="preserve">    -4.3 </v>
      </c>
      <c r="AB658" t="str">
        <f t="shared" si="188"/>
        <v xml:space="preserve">    -1.8 </v>
      </c>
      <c r="AC658" t="str">
        <f t="shared" si="189"/>
        <v xml:space="preserve">     4.6 </v>
      </c>
      <c r="AD658" t="str">
        <f t="shared" si="190"/>
        <v xml:space="preserve">        </v>
      </c>
      <c r="AE658" t="str">
        <f t="shared" si="196"/>
        <v xml:space="preserve">       </v>
      </c>
      <c r="AF658" t="str">
        <f t="shared" si="192"/>
        <v xml:space="preserve">     </v>
      </c>
      <c r="AG658" t="str">
        <f t="shared" si="192"/>
        <v xml:space="preserve">     0.00 </v>
      </c>
      <c r="AH658" t="str">
        <f t="shared" si="197"/>
        <v xml:space="preserve">    -0.89 </v>
      </c>
      <c r="AI658" t="str">
        <f t="shared" si="182"/>
        <v xml:space="preserve">       </v>
      </c>
      <c r="AJ658" t="str">
        <f t="shared" si="183"/>
        <v xml:space="preserve">      </v>
      </c>
    </row>
    <row r="659" spans="1:36" x14ac:dyDescent="0.25">
      <c r="A659" t="s">
        <v>14</v>
      </c>
      <c r="P659" t="str">
        <f t="shared" si="184"/>
        <v xml:space="preserve">  ..............</v>
      </c>
      <c r="Q659" t="str">
        <f t="shared" si="184"/>
        <v>.........</v>
      </c>
      <c r="R659" t="str">
        <f t="shared" si="193"/>
        <v>.........</v>
      </c>
      <c r="S659" t="str">
        <f t="shared" si="185"/>
        <v>.........</v>
      </c>
      <c r="T659" t="str">
        <f t="shared" si="186"/>
        <v>.........</v>
      </c>
      <c r="U659" t="str">
        <f t="shared" si="190"/>
        <v>.............</v>
      </c>
      <c r="V659" t="str">
        <f t="shared" si="194"/>
        <v>.........</v>
      </c>
      <c r="W659" t="str">
        <f t="shared" si="187"/>
        <v>.........</v>
      </c>
      <c r="X659" t="str">
        <f t="shared" si="191"/>
        <v>.......</v>
      </c>
      <c r="Y659" t="str">
        <f t="shared" si="191"/>
        <v>..............</v>
      </c>
      <c r="Z659" t="str">
        <f t="shared" si="191"/>
        <v>....</v>
      </c>
      <c r="AA659" t="str">
        <f t="shared" si="195"/>
        <v>.........</v>
      </c>
      <c r="AB659" t="str">
        <f t="shared" si="188"/>
        <v>.........</v>
      </c>
      <c r="AC659" t="str">
        <f t="shared" si="189"/>
        <v>.........</v>
      </c>
      <c r="AD659" t="str">
        <f t="shared" si="190"/>
        <v>........</v>
      </c>
      <c r="AE659" t="str">
        <f t="shared" si="196"/>
        <v>.......</v>
      </c>
      <c r="AF659" t="str">
        <f t="shared" si="192"/>
        <v>.....</v>
      </c>
      <c r="AG659" t="str">
        <f t="shared" si="192"/>
        <v>..........</v>
      </c>
      <c r="AH659" t="str">
        <f t="shared" si="197"/>
        <v>..........</v>
      </c>
      <c r="AI659" t="str">
        <f t="shared" si="182"/>
        <v>.......</v>
      </c>
      <c r="AJ659" t="str">
        <f t="shared" si="183"/>
        <v>.......</v>
      </c>
    </row>
    <row r="660" spans="1:36" x14ac:dyDescent="0.25">
      <c r="A660" t="s">
        <v>521</v>
      </c>
      <c r="P660" t="str">
        <f t="shared" si="184"/>
        <v xml:space="preserve">   1378   69  0 </v>
      </c>
      <c r="Q660" t="str">
        <f t="shared" si="184"/>
        <v xml:space="preserve">   1.017 </v>
      </c>
      <c r="R660" t="str">
        <f t="shared" si="193"/>
        <v xml:space="preserve">     0.0 </v>
      </c>
      <c r="S660" t="str">
        <f t="shared" si="185"/>
        <v xml:space="preserve">     0.0 </v>
      </c>
      <c r="T660" t="str">
        <f t="shared" si="186"/>
        <v xml:space="preserve">     0.0 </v>
      </c>
      <c r="U660" t="str">
        <f t="shared" si="190"/>
        <v xml:space="preserve">         0.0 </v>
      </c>
      <c r="V660" t="str">
        <f t="shared" si="194"/>
        <v xml:space="preserve">     0.0 </v>
      </c>
      <c r="W660" t="str">
        <f t="shared" si="187"/>
        <v xml:space="preserve">     0.0</v>
      </c>
      <c r="X660" t="str">
        <f t="shared" si="191"/>
        <v/>
      </c>
      <c r="Y660" t="str">
        <f t="shared" si="191"/>
        <v/>
      </c>
      <c r="Z660" t="str">
        <f t="shared" si="191"/>
        <v/>
      </c>
      <c r="AA660" t="str">
        <f t="shared" si="195"/>
        <v/>
      </c>
      <c r="AB660" t="str">
        <f t="shared" si="188"/>
        <v/>
      </c>
      <c r="AC660" t="str">
        <f t="shared" si="189"/>
        <v/>
      </c>
      <c r="AD660" t="str">
        <f t="shared" si="190"/>
        <v/>
      </c>
      <c r="AE660" t="str">
        <f t="shared" si="196"/>
        <v/>
      </c>
      <c r="AF660" t="str">
        <f t="shared" si="192"/>
        <v/>
      </c>
      <c r="AG660" t="str">
        <f t="shared" si="192"/>
        <v/>
      </c>
      <c r="AH660" t="str">
        <f t="shared" si="197"/>
        <v/>
      </c>
      <c r="AI660" t="str">
        <f t="shared" si="182"/>
        <v/>
      </c>
      <c r="AJ660" t="str">
        <f t="shared" si="183"/>
        <v/>
      </c>
    </row>
    <row r="661" spans="1:36" x14ac:dyDescent="0.25">
      <c r="A661" t="s">
        <v>522</v>
      </c>
      <c r="P661" t="str">
        <f t="shared" si="184"/>
        <v xml:space="preserve">  ICOTROTAP069  </v>
      </c>
      <c r="Q661" t="str">
        <f t="shared" si="184"/>
        <v xml:space="preserve">   -54.8 </v>
      </c>
      <c r="R661" t="str">
        <f t="shared" si="193"/>
        <v xml:space="preserve">     0.0 </v>
      </c>
      <c r="S661" t="str">
        <f t="shared" si="185"/>
        <v xml:space="preserve">     0.0 </v>
      </c>
      <c r="T661" t="str">
        <f t="shared" si="186"/>
        <v xml:space="preserve">     0.0 </v>
      </c>
      <c r="U661" t="str">
        <f t="shared" si="190"/>
        <v xml:space="preserve">         0.0 </v>
      </c>
      <c r="V661" t="str">
        <f t="shared" si="194"/>
        <v xml:space="preserve">     0.0 </v>
      </c>
      <c r="W661" t="str">
        <f t="shared" si="187"/>
        <v xml:space="preserve">     0.0 </v>
      </c>
      <c r="X661" t="str">
        <f t="shared" si="191"/>
        <v xml:space="preserve">       </v>
      </c>
      <c r="Y661" t="str">
        <f t="shared" si="191"/>
        <v xml:space="preserve">              </v>
      </c>
      <c r="Z661" t="str">
        <f t="shared" si="191"/>
        <v xml:space="preserve">    </v>
      </c>
      <c r="AA661" t="str">
        <f t="shared" si="195"/>
        <v xml:space="preserve">         </v>
      </c>
      <c r="AB661" t="str">
        <f t="shared" si="188"/>
        <v xml:space="preserve">         </v>
      </c>
      <c r="AC661" t="str">
        <f t="shared" si="189"/>
        <v xml:space="preserve">    </v>
      </c>
      <c r="AD661" t="str">
        <f t="shared" si="190"/>
        <v/>
      </c>
      <c r="AE661" t="str">
        <f t="shared" si="196"/>
        <v/>
      </c>
      <c r="AF661" t="str">
        <f t="shared" si="192"/>
        <v/>
      </c>
      <c r="AG661" t="str">
        <f t="shared" si="192"/>
        <v/>
      </c>
      <c r="AH661" t="str">
        <f t="shared" si="197"/>
        <v/>
      </c>
      <c r="AI661" t="str">
        <f t="shared" si="182"/>
        <v/>
      </c>
      <c r="AJ661" t="str">
        <f t="shared" si="183"/>
        <v/>
      </c>
    </row>
    <row r="662" spans="1:36" x14ac:dyDescent="0.25">
      <c r="A662" t="s">
        <v>523</v>
      </c>
      <c r="P662" t="str">
        <f t="shared" si="184"/>
        <v xml:space="preserve">                </v>
      </c>
      <c r="Q662" t="str">
        <f t="shared" si="184"/>
        <v xml:space="preserve">         </v>
      </c>
      <c r="R662" t="str">
        <f t="shared" si="193"/>
        <v xml:space="preserve">    54.0 </v>
      </c>
      <c r="S662" t="str">
        <f t="shared" si="185"/>
        <v xml:space="preserve">    79.0 </v>
      </c>
      <c r="T662" t="str">
        <f t="shared" si="186"/>
        <v xml:space="preserve">    79.0 </v>
      </c>
      <c r="U662" t="str">
        <f t="shared" si="190"/>
        <v xml:space="preserve">       64.3% </v>
      </c>
      <c r="V662" t="str">
        <f t="shared" si="194"/>
        <v xml:space="preserve">         </v>
      </c>
      <c r="W662" t="str">
        <f t="shared" si="187"/>
        <v xml:space="preserve">         </v>
      </c>
      <c r="X662" t="str">
        <f t="shared" si="191"/>
        <v xml:space="preserve">  1314 </v>
      </c>
      <c r="Y662" t="str">
        <f t="shared" si="191"/>
        <v xml:space="preserve"> GRAVA3-RS069 </v>
      </c>
      <c r="Z662" t="str">
        <f t="shared" si="191"/>
        <v xml:space="preserve">  1 </v>
      </c>
      <c r="AA662" t="str">
        <f t="shared" si="195"/>
        <v xml:space="preserve">   -33.1 </v>
      </c>
      <c r="AB662" t="str">
        <f t="shared" si="188"/>
        <v xml:space="preserve">   -12.3 </v>
      </c>
      <c r="AC662" t="str">
        <f t="shared" si="189"/>
        <v xml:space="preserve">    34.7 </v>
      </c>
      <c r="AD662" t="str">
        <f t="shared" si="190"/>
        <v xml:space="preserve">        </v>
      </c>
      <c r="AE662" t="str">
        <f t="shared" si="196"/>
        <v xml:space="preserve">       </v>
      </c>
      <c r="AF662" t="str">
        <f t="shared" si="192"/>
        <v xml:space="preserve">     </v>
      </c>
      <c r="AG662" t="str">
        <f t="shared" si="192"/>
        <v xml:space="preserve">     0.33 </v>
      </c>
      <c r="AH662" t="str">
        <f t="shared" si="197"/>
        <v xml:space="preserve">     0.97 </v>
      </c>
      <c r="AI662" t="str">
        <f t="shared" si="182"/>
        <v xml:space="preserve">       </v>
      </c>
      <c r="AJ662" t="str">
        <f t="shared" si="183"/>
        <v xml:space="preserve">      </v>
      </c>
    </row>
    <row r="663" spans="1:36" x14ac:dyDescent="0.25">
      <c r="A663" t="s">
        <v>524</v>
      </c>
      <c r="P663" t="str">
        <f t="shared" si="184"/>
        <v xml:space="preserve">                </v>
      </c>
      <c r="Q663" t="str">
        <f t="shared" si="184"/>
        <v xml:space="preserve">         </v>
      </c>
      <c r="R663" t="str">
        <f t="shared" si="193"/>
        <v xml:space="preserve">    54.0 </v>
      </c>
      <c r="S663" t="str">
        <f t="shared" si="185"/>
        <v xml:space="preserve">    79.0 </v>
      </c>
      <c r="T663" t="str">
        <f t="shared" si="186"/>
        <v xml:space="preserve">    79.0 </v>
      </c>
      <c r="U663" t="str">
        <f t="shared" si="190"/>
        <v xml:space="preserve">       50.5% </v>
      </c>
      <c r="V663" t="str">
        <f t="shared" si="194"/>
        <v xml:space="preserve">         </v>
      </c>
      <c r="W663" t="str">
        <f t="shared" si="187"/>
        <v xml:space="preserve">         </v>
      </c>
      <c r="X663" t="str">
        <f t="shared" si="191"/>
        <v xml:space="preserve">  1362 </v>
      </c>
      <c r="Y663" t="str">
        <f t="shared" si="191"/>
        <v xml:space="preserve"> GRAVA1-RS069 </v>
      </c>
      <c r="Z663" t="str">
        <f t="shared" si="191"/>
        <v xml:space="preserve">  1 </v>
      </c>
      <c r="AA663" t="str">
        <f t="shared" si="195"/>
        <v xml:space="preserve">    26.1 </v>
      </c>
      <c r="AB663" t="str">
        <f t="shared" si="188"/>
        <v xml:space="preserve">     9.4 </v>
      </c>
      <c r="AC663" t="str">
        <f t="shared" si="189"/>
        <v xml:space="preserve">    27.3 </v>
      </c>
      <c r="AD663" t="str">
        <f t="shared" si="190"/>
        <v xml:space="preserve">        </v>
      </c>
      <c r="AE663" t="str">
        <f t="shared" si="196"/>
        <v xml:space="preserve">       </v>
      </c>
      <c r="AF663" t="str">
        <f t="shared" si="192"/>
        <v xml:space="preserve">     </v>
      </c>
      <c r="AG663" t="str">
        <f t="shared" si="192"/>
        <v xml:space="preserve">     0.06 </v>
      </c>
      <c r="AH663" t="str">
        <f t="shared" si="197"/>
        <v xml:space="preserve">     0.15 </v>
      </c>
      <c r="AI663" t="str">
        <f t="shared" ref="AI663:AI726" si="198">MID($A663,AG$8+AG$9+AH$9-2,AI$9)</f>
        <v xml:space="preserve">       </v>
      </c>
      <c r="AJ663" t="str">
        <f t="shared" ref="AJ663:AJ726" si="199">MID($A663,AG$8+AG$9+AH$9+AI$9-3,AJ$9)</f>
        <v xml:space="preserve">      </v>
      </c>
    </row>
    <row r="664" spans="1:36" x14ac:dyDescent="0.25">
      <c r="A664" t="s">
        <v>525</v>
      </c>
      <c r="P664" t="str">
        <f t="shared" si="184"/>
        <v xml:space="preserve">                </v>
      </c>
      <c r="Q664" t="str">
        <f t="shared" si="184"/>
        <v xml:space="preserve">         </v>
      </c>
      <c r="R664" t="str">
        <f t="shared" si="193"/>
        <v xml:space="preserve">    54.0 </v>
      </c>
      <c r="S664" t="str">
        <f t="shared" si="185"/>
        <v xml:space="preserve">    79.0 </v>
      </c>
      <c r="T664" t="str">
        <f t="shared" si="186"/>
        <v xml:space="preserve">    79.0 </v>
      </c>
      <c r="U664" t="str">
        <f t="shared" si="190"/>
        <v xml:space="preserve">       13.8% </v>
      </c>
      <c r="V664" t="str">
        <f t="shared" si="194"/>
        <v xml:space="preserve">         </v>
      </c>
      <c r="W664" t="str">
        <f t="shared" si="187"/>
        <v xml:space="preserve">         </v>
      </c>
      <c r="X664" t="str">
        <f t="shared" si="191"/>
        <v xml:space="preserve">  1363 </v>
      </c>
      <c r="Y664" t="str">
        <f t="shared" si="191"/>
        <v xml:space="preserve"> ICOTR--RS069 </v>
      </c>
      <c r="Z664" t="str">
        <f t="shared" si="191"/>
        <v xml:space="preserve">  1 </v>
      </c>
      <c r="AA664" t="str">
        <f t="shared" si="195"/>
        <v xml:space="preserve">     7.0 </v>
      </c>
      <c r="AB664" t="str">
        <f t="shared" si="188"/>
        <v xml:space="preserve">     2.9 </v>
      </c>
      <c r="AC664" t="str">
        <f t="shared" si="189"/>
        <v xml:space="preserve">     7.5 </v>
      </c>
      <c r="AD664" t="str">
        <f t="shared" si="190"/>
        <v xml:space="preserve">        </v>
      </c>
      <c r="AE664" t="str">
        <f t="shared" si="196"/>
        <v xml:space="preserve">       </v>
      </c>
      <c r="AF664" t="str">
        <f t="shared" si="192"/>
        <v xml:space="preserve">     </v>
      </c>
      <c r="AG664" t="str">
        <f t="shared" si="192"/>
        <v xml:space="preserve">     0.00 </v>
      </c>
      <c r="AH664" t="str">
        <f t="shared" si="197"/>
        <v xml:space="preserve">    -0.00 </v>
      </c>
      <c r="AI664" t="str">
        <f t="shared" si="198"/>
        <v xml:space="preserve">       </v>
      </c>
      <c r="AJ664" t="str">
        <f t="shared" si="199"/>
        <v xml:space="preserve">      </v>
      </c>
    </row>
    <row r="665" spans="1:36" x14ac:dyDescent="0.25">
      <c r="A665" t="s">
        <v>14</v>
      </c>
      <c r="P665" t="str">
        <f t="shared" si="184"/>
        <v xml:space="preserve">  ..............</v>
      </c>
      <c r="Q665" t="str">
        <f t="shared" si="184"/>
        <v>.........</v>
      </c>
      <c r="R665" t="str">
        <f t="shared" si="193"/>
        <v>.........</v>
      </c>
      <c r="S665" t="str">
        <f t="shared" si="185"/>
        <v>.........</v>
      </c>
      <c r="T665" t="str">
        <f t="shared" si="186"/>
        <v>.........</v>
      </c>
      <c r="U665" t="str">
        <f t="shared" si="190"/>
        <v>.............</v>
      </c>
      <c r="V665" t="str">
        <f t="shared" si="194"/>
        <v>.........</v>
      </c>
      <c r="W665" t="str">
        <f t="shared" si="187"/>
        <v>.........</v>
      </c>
      <c r="X665" t="str">
        <f t="shared" si="191"/>
        <v>.......</v>
      </c>
      <c r="Y665" t="str">
        <f t="shared" si="191"/>
        <v>..............</v>
      </c>
      <c r="Z665" t="str">
        <f t="shared" si="191"/>
        <v>....</v>
      </c>
      <c r="AA665" t="str">
        <f t="shared" si="195"/>
        <v>.........</v>
      </c>
      <c r="AB665" t="str">
        <f t="shared" si="188"/>
        <v>.........</v>
      </c>
      <c r="AC665" t="str">
        <f t="shared" si="189"/>
        <v>.........</v>
      </c>
      <c r="AD665" t="str">
        <f t="shared" si="190"/>
        <v>........</v>
      </c>
      <c r="AE665" t="str">
        <f t="shared" si="196"/>
        <v>.......</v>
      </c>
      <c r="AF665" t="str">
        <f t="shared" si="192"/>
        <v>.....</v>
      </c>
      <c r="AG665" t="str">
        <f t="shared" si="192"/>
        <v>..........</v>
      </c>
      <c r="AH665" t="str">
        <f t="shared" si="197"/>
        <v>..........</v>
      </c>
      <c r="AI665" t="str">
        <f t="shared" si="198"/>
        <v>.......</v>
      </c>
      <c r="AJ665" t="str">
        <f t="shared" si="199"/>
        <v>.......</v>
      </c>
    </row>
    <row r="666" spans="1:36" x14ac:dyDescent="0.25">
      <c r="A666" t="s">
        <v>526</v>
      </c>
      <c r="P666" t="str">
        <f t="shared" si="184"/>
        <v xml:space="preserve">   1379   69  0 </v>
      </c>
      <c r="Q666" t="str">
        <f t="shared" si="184"/>
        <v xml:space="preserve">   1.000 </v>
      </c>
      <c r="R666" t="str">
        <f t="shared" si="193"/>
        <v xml:space="preserve">     0.0 </v>
      </c>
      <c r="S666" t="str">
        <f t="shared" si="185"/>
        <v xml:space="preserve">     0.0 </v>
      </c>
      <c r="T666" t="str">
        <f t="shared" si="186"/>
        <v xml:space="preserve">     0.0 </v>
      </c>
      <c r="U666" t="str">
        <f t="shared" si="190"/>
        <v xml:space="preserve">         0.0 </v>
      </c>
      <c r="V666" t="str">
        <f t="shared" si="194"/>
        <v xml:space="preserve">     0.0 </v>
      </c>
      <c r="W666" t="str">
        <f t="shared" si="187"/>
        <v xml:space="preserve">     0.0</v>
      </c>
      <c r="X666" t="str">
        <f t="shared" si="191"/>
        <v/>
      </c>
      <c r="Y666" t="str">
        <f t="shared" si="191"/>
        <v/>
      </c>
      <c r="Z666" t="str">
        <f t="shared" si="191"/>
        <v/>
      </c>
      <c r="AA666" t="str">
        <f t="shared" si="195"/>
        <v/>
      </c>
      <c r="AB666" t="str">
        <f t="shared" si="188"/>
        <v/>
      </c>
      <c r="AC666" t="str">
        <f t="shared" si="189"/>
        <v/>
      </c>
      <c r="AD666" t="str">
        <f t="shared" si="190"/>
        <v/>
      </c>
      <c r="AE666" t="str">
        <f t="shared" si="196"/>
        <v/>
      </c>
      <c r="AF666" t="str">
        <f t="shared" si="192"/>
        <v/>
      </c>
      <c r="AG666" t="str">
        <f t="shared" si="192"/>
        <v/>
      </c>
      <c r="AH666" t="str">
        <f t="shared" si="197"/>
        <v/>
      </c>
      <c r="AI666" t="str">
        <f t="shared" si="198"/>
        <v/>
      </c>
      <c r="AJ666" t="str">
        <f t="shared" si="199"/>
        <v/>
      </c>
    </row>
    <row r="667" spans="1:36" x14ac:dyDescent="0.25">
      <c r="A667" t="s">
        <v>527</v>
      </c>
      <c r="P667" t="str">
        <f t="shared" ref="P667:Q730" si="200">MID($A667,P$8,P$9)</f>
        <v xml:space="preserve">  ALBARUTAP069  </v>
      </c>
      <c r="Q667" t="str">
        <f t="shared" si="200"/>
        <v xml:space="preserve">   -56.0 </v>
      </c>
      <c r="R667" t="str">
        <f t="shared" si="193"/>
        <v xml:space="preserve">     0.0 </v>
      </c>
      <c r="S667" t="str">
        <f t="shared" ref="S667:S730" si="201">MID($A667,Q$8+Q$9+R$9-2,S$9)</f>
        <v xml:space="preserve">     0.0 </v>
      </c>
      <c r="T667" t="str">
        <f t="shared" ref="T667:T730" si="202">MID($A667,Q$8+Q$9+R$9+S$9-3,T$9)</f>
        <v xml:space="preserve">     0.0 </v>
      </c>
      <c r="U667" t="str">
        <f t="shared" si="190"/>
        <v xml:space="preserve">         0.0 </v>
      </c>
      <c r="V667" t="str">
        <f t="shared" si="194"/>
        <v xml:space="preserve">     0.0 </v>
      </c>
      <c r="W667" t="str">
        <f t="shared" ref="W667:W730" si="203">MID($A667,U$8+U$9+V$9-2,W$9)</f>
        <v xml:space="preserve">     0.0 </v>
      </c>
      <c r="X667" t="str">
        <f t="shared" si="191"/>
        <v xml:space="preserve">       </v>
      </c>
      <c r="Y667" t="str">
        <f t="shared" si="191"/>
        <v xml:space="preserve">              </v>
      </c>
      <c r="Z667" t="str">
        <f t="shared" si="191"/>
        <v xml:space="preserve">    </v>
      </c>
      <c r="AA667" t="str">
        <f t="shared" si="195"/>
        <v xml:space="preserve">         </v>
      </c>
      <c r="AB667" t="str">
        <f t="shared" ref="AB667:AB730" si="204">MID($A667,Z$8+Z$9+AA$9-2,AB$9)</f>
        <v xml:space="preserve">         </v>
      </c>
      <c r="AC667" t="str">
        <f t="shared" ref="AC667:AC730" si="205">MID($A667,Z$8+Z$9+AA$9+AB$9-3,AC$9)</f>
        <v xml:space="preserve">    </v>
      </c>
      <c r="AD667" t="str">
        <f t="shared" si="190"/>
        <v/>
      </c>
      <c r="AE667" t="str">
        <f t="shared" si="196"/>
        <v/>
      </c>
      <c r="AF667" t="str">
        <f t="shared" si="192"/>
        <v/>
      </c>
      <c r="AG667" t="str">
        <f t="shared" si="192"/>
        <v/>
      </c>
      <c r="AH667" t="str">
        <f t="shared" si="197"/>
        <v/>
      </c>
      <c r="AI667" t="str">
        <f t="shared" si="198"/>
        <v/>
      </c>
      <c r="AJ667" t="str">
        <f t="shared" si="199"/>
        <v/>
      </c>
    </row>
    <row r="668" spans="1:36" x14ac:dyDescent="0.25">
      <c r="A668" t="s">
        <v>528</v>
      </c>
      <c r="P668" t="str">
        <f t="shared" si="200"/>
        <v xml:space="preserve">                </v>
      </c>
      <c r="Q668" t="str">
        <f t="shared" si="200"/>
        <v xml:space="preserve">         </v>
      </c>
      <c r="R668" t="str">
        <f t="shared" si="193"/>
        <v xml:space="preserve">    54.0 </v>
      </c>
      <c r="S668" t="str">
        <f t="shared" si="201"/>
        <v xml:space="preserve">    79.0 </v>
      </c>
      <c r="T668" t="str">
        <f t="shared" si="202"/>
        <v xml:space="preserve">    79.0 </v>
      </c>
      <c r="U668" t="str">
        <f t="shared" ref="U668:AD731" si="206">MID($A668,U$8,U$9)</f>
        <v xml:space="preserve">       35.4% </v>
      </c>
      <c r="V668" t="str">
        <f t="shared" si="194"/>
        <v xml:space="preserve">         </v>
      </c>
      <c r="W668" t="str">
        <f t="shared" si="203"/>
        <v xml:space="preserve">         </v>
      </c>
      <c r="X668" t="str">
        <f t="shared" ref="X668:Z731" si="207">MID($A668,X$8,X$9)</f>
        <v xml:space="preserve">  1360 </v>
      </c>
      <c r="Y668" t="str">
        <f t="shared" si="207"/>
        <v xml:space="preserve"> CACHO2-RS069 </v>
      </c>
      <c r="Z668" t="str">
        <f t="shared" si="207"/>
        <v xml:space="preserve">  1 </v>
      </c>
      <c r="AA668" t="str">
        <f t="shared" si="195"/>
        <v xml:space="preserve">   -17.6 </v>
      </c>
      <c r="AB668" t="str">
        <f t="shared" si="204"/>
        <v xml:space="preserve">    -7.4 </v>
      </c>
      <c r="AC668" t="str">
        <f t="shared" si="205"/>
        <v xml:space="preserve">    19.1 </v>
      </c>
      <c r="AD668" t="str">
        <f t="shared" si="206"/>
        <v xml:space="preserve">        </v>
      </c>
      <c r="AE668" t="str">
        <f t="shared" si="196"/>
        <v xml:space="preserve">       </v>
      </c>
      <c r="AF668" t="str">
        <f t="shared" si="192"/>
        <v xml:space="preserve">     </v>
      </c>
      <c r="AG668" t="str">
        <f t="shared" si="192"/>
        <v xml:space="preserve">     0.07 </v>
      </c>
      <c r="AH668" t="str">
        <f t="shared" si="197"/>
        <v xml:space="preserve">     0.12 </v>
      </c>
      <c r="AI668" t="str">
        <f t="shared" si="198"/>
        <v xml:space="preserve">       </v>
      </c>
      <c r="AJ668" t="str">
        <f t="shared" si="199"/>
        <v xml:space="preserve">      </v>
      </c>
    </row>
    <row r="669" spans="1:36" x14ac:dyDescent="0.25">
      <c r="A669" t="s">
        <v>529</v>
      </c>
      <c r="P669" t="str">
        <f t="shared" si="200"/>
        <v xml:space="preserve">                </v>
      </c>
      <c r="Q669" t="str">
        <f t="shared" si="200"/>
        <v xml:space="preserve">         </v>
      </c>
      <c r="R669" t="str">
        <f t="shared" si="193"/>
        <v xml:space="preserve">    54.0 </v>
      </c>
      <c r="S669" t="str">
        <f t="shared" si="201"/>
        <v xml:space="preserve">    79.0 </v>
      </c>
      <c r="T669" t="str">
        <f t="shared" si="202"/>
        <v xml:space="preserve">    79.0 </v>
      </c>
      <c r="U669" t="str">
        <f t="shared" si="206"/>
        <v xml:space="preserve">       35.4% </v>
      </c>
      <c r="V669" t="str">
        <f t="shared" si="194"/>
        <v xml:space="preserve">         </v>
      </c>
      <c r="W669" t="str">
        <f t="shared" si="203"/>
        <v xml:space="preserve">         </v>
      </c>
      <c r="X669" t="str">
        <f t="shared" si="207"/>
        <v xml:space="preserve">  1361 </v>
      </c>
      <c r="Y669" t="str">
        <f t="shared" si="207"/>
        <v xml:space="preserve"> ALBARU-RS069 </v>
      </c>
      <c r="Z669" t="str">
        <f t="shared" si="207"/>
        <v xml:space="preserve">  1 </v>
      </c>
      <c r="AA669" t="str">
        <f t="shared" si="195"/>
        <v xml:space="preserve">    17.6 </v>
      </c>
      <c r="AB669" t="str">
        <f t="shared" si="204"/>
        <v xml:space="preserve">     7.4 </v>
      </c>
      <c r="AC669" t="str">
        <f t="shared" si="205"/>
        <v xml:space="preserve">    19.1 </v>
      </c>
      <c r="AD669" t="str">
        <f t="shared" si="206"/>
        <v xml:space="preserve">        </v>
      </c>
      <c r="AE669" t="str">
        <f t="shared" si="196"/>
        <v xml:space="preserve">       </v>
      </c>
      <c r="AF669" t="str">
        <f t="shared" ref="AF669:AG732" si="208">MID($A669,AF$8,AF$9)</f>
        <v xml:space="preserve">     </v>
      </c>
      <c r="AG669" t="str">
        <f t="shared" si="208"/>
        <v xml:space="preserve">     0.01 </v>
      </c>
      <c r="AH669" t="str">
        <f t="shared" si="197"/>
        <v xml:space="preserve">     0.00 </v>
      </c>
      <c r="AI669" t="str">
        <f t="shared" si="198"/>
        <v xml:space="preserve">       </v>
      </c>
      <c r="AJ669" t="str">
        <f t="shared" si="199"/>
        <v xml:space="preserve">      </v>
      </c>
    </row>
    <row r="670" spans="1:36" x14ac:dyDescent="0.25">
      <c r="A670" t="s">
        <v>530</v>
      </c>
      <c r="P670" t="str">
        <f t="shared" si="200"/>
        <v xml:space="preserve">              DE</v>
      </c>
      <c r="Q670" t="str">
        <f t="shared" si="200"/>
        <v xml:space="preserve">ESLIGADO </v>
      </c>
      <c r="R670" t="str">
        <f t="shared" si="193"/>
        <v xml:space="preserve">    54.0 </v>
      </c>
      <c r="S670" t="str">
        <f t="shared" si="201"/>
        <v xml:space="preserve">    79.0 </v>
      </c>
      <c r="T670" t="str">
        <f t="shared" si="202"/>
        <v xml:space="preserve">    79.0 </v>
      </c>
      <c r="U670" t="str">
        <f t="shared" si="206"/>
        <v xml:space="preserve">             </v>
      </c>
      <c r="V670" t="str">
        <f t="shared" si="194"/>
        <v xml:space="preserve">         </v>
      </c>
      <c r="W670" t="str">
        <f t="shared" si="203"/>
        <v xml:space="preserve">         </v>
      </c>
      <c r="X670" t="str">
        <f t="shared" si="207"/>
        <v xml:space="preserve">  1362 </v>
      </c>
      <c r="Y670" t="str">
        <f t="shared" si="207"/>
        <v xml:space="preserve"> GRAVA1-RS069 </v>
      </c>
      <c r="Z670" t="str">
        <f t="shared" si="207"/>
        <v xml:space="preserve">  1 </v>
      </c>
      <c r="AA670" t="str">
        <f t="shared" si="195"/>
        <v xml:space="preserve">     0.0 </v>
      </c>
      <c r="AB670" t="str">
        <f t="shared" si="204"/>
        <v xml:space="preserve">    -0.0 </v>
      </c>
      <c r="AC670" t="str">
        <f t="shared" si="205"/>
        <v xml:space="preserve">     0.0 </v>
      </c>
      <c r="AD670" t="str">
        <f t="shared" si="206"/>
        <v xml:space="preserve">        </v>
      </c>
      <c r="AE670" t="str">
        <f t="shared" si="196"/>
        <v xml:space="preserve">       </v>
      </c>
      <c r="AF670" t="str">
        <f t="shared" si="208"/>
        <v xml:space="preserve">     </v>
      </c>
      <c r="AG670" t="str">
        <f t="shared" si="208"/>
        <v xml:space="preserve">     0.00 </v>
      </c>
      <c r="AH670" t="str">
        <f t="shared" si="197"/>
        <v xml:space="preserve">    -0.04 </v>
      </c>
      <c r="AI670" t="str">
        <f t="shared" si="198"/>
        <v xml:space="preserve"> 1.000 </v>
      </c>
      <c r="AJ670" t="str">
        <f t="shared" si="199"/>
        <v xml:space="preserve"> -56.0</v>
      </c>
    </row>
    <row r="671" spans="1:36" x14ac:dyDescent="0.25">
      <c r="A671" t="s">
        <v>14</v>
      </c>
      <c r="P671" t="str">
        <f t="shared" si="200"/>
        <v xml:space="preserve">  ..............</v>
      </c>
      <c r="Q671" t="str">
        <f t="shared" si="200"/>
        <v>.........</v>
      </c>
      <c r="R671" t="str">
        <f t="shared" si="193"/>
        <v>.........</v>
      </c>
      <c r="S671" t="str">
        <f t="shared" si="201"/>
        <v>.........</v>
      </c>
      <c r="T671" t="str">
        <f t="shared" si="202"/>
        <v>.........</v>
      </c>
      <c r="U671" t="str">
        <f t="shared" si="206"/>
        <v>.............</v>
      </c>
      <c r="V671" t="str">
        <f t="shared" si="194"/>
        <v>.........</v>
      </c>
      <c r="W671" t="str">
        <f t="shared" si="203"/>
        <v>.........</v>
      </c>
      <c r="X671" t="str">
        <f t="shared" si="207"/>
        <v>.......</v>
      </c>
      <c r="Y671" t="str">
        <f t="shared" si="207"/>
        <v>..............</v>
      </c>
      <c r="Z671" t="str">
        <f t="shared" si="207"/>
        <v>....</v>
      </c>
      <c r="AA671" t="str">
        <f t="shared" si="195"/>
        <v>.........</v>
      </c>
      <c r="AB671" t="str">
        <f t="shared" si="204"/>
        <v>.........</v>
      </c>
      <c r="AC671" t="str">
        <f t="shared" si="205"/>
        <v>.........</v>
      </c>
      <c r="AD671" t="str">
        <f t="shared" si="206"/>
        <v>........</v>
      </c>
      <c r="AE671" t="str">
        <f t="shared" si="196"/>
        <v>.......</v>
      </c>
      <c r="AF671" t="str">
        <f t="shared" si="208"/>
        <v>.....</v>
      </c>
      <c r="AG671" t="str">
        <f t="shared" si="208"/>
        <v>..........</v>
      </c>
      <c r="AH671" t="str">
        <f t="shared" si="197"/>
        <v>..........</v>
      </c>
      <c r="AI671" t="str">
        <f t="shared" si="198"/>
        <v>.......</v>
      </c>
      <c r="AJ671" t="str">
        <f t="shared" si="199"/>
        <v>.......</v>
      </c>
    </row>
    <row r="672" spans="1:36" x14ac:dyDescent="0.25">
      <c r="A672" t="s">
        <v>531</v>
      </c>
      <c r="P672" t="str">
        <f t="shared" si="200"/>
        <v xml:space="preserve">   1383  138  0 </v>
      </c>
      <c r="Q672" t="str">
        <f t="shared" si="200"/>
        <v xml:space="preserve">   1.015 </v>
      </c>
      <c r="R672" t="str">
        <f t="shared" si="193"/>
        <v xml:space="preserve">     0.0 </v>
      </c>
      <c r="S672" t="str">
        <f t="shared" si="201"/>
        <v xml:space="preserve">     0.0 </v>
      </c>
      <c r="T672" t="str">
        <f t="shared" si="202"/>
        <v xml:space="preserve">     0.0 </v>
      </c>
      <c r="U672" t="str">
        <f t="shared" si="206"/>
        <v xml:space="preserve">         0.0 </v>
      </c>
      <c r="V672" t="str">
        <f t="shared" si="194"/>
        <v xml:space="preserve">     0.0 </v>
      </c>
      <c r="W672" t="str">
        <f t="shared" si="203"/>
        <v xml:space="preserve">     0.0</v>
      </c>
      <c r="X672" t="str">
        <f t="shared" si="207"/>
        <v/>
      </c>
      <c r="Y672" t="str">
        <f t="shared" si="207"/>
        <v/>
      </c>
      <c r="Z672" t="str">
        <f t="shared" si="207"/>
        <v/>
      </c>
      <c r="AA672" t="str">
        <f t="shared" si="195"/>
        <v/>
      </c>
      <c r="AB672" t="str">
        <f t="shared" si="204"/>
        <v/>
      </c>
      <c r="AC672" t="str">
        <f t="shared" si="205"/>
        <v/>
      </c>
      <c r="AD672" t="str">
        <f t="shared" si="206"/>
        <v/>
      </c>
      <c r="AE672" t="str">
        <f t="shared" si="196"/>
        <v/>
      </c>
      <c r="AF672" t="str">
        <f t="shared" si="208"/>
        <v/>
      </c>
      <c r="AG672" t="str">
        <f t="shared" si="208"/>
        <v/>
      </c>
      <c r="AH672" t="str">
        <f t="shared" si="197"/>
        <v/>
      </c>
      <c r="AI672" t="str">
        <f t="shared" si="198"/>
        <v/>
      </c>
      <c r="AJ672" t="str">
        <f t="shared" si="199"/>
        <v/>
      </c>
    </row>
    <row r="673" spans="1:36" x14ac:dyDescent="0.25">
      <c r="A673" t="s">
        <v>532</v>
      </c>
      <c r="P673" t="str">
        <f t="shared" si="200"/>
        <v xml:space="preserve">  SMARI3-RS138  </v>
      </c>
      <c r="Q673" t="str">
        <f t="shared" si="200"/>
        <v xml:space="preserve">   -50.1 </v>
      </c>
      <c r="R673" t="str">
        <f t="shared" si="193"/>
        <v xml:space="preserve">     0.0 </v>
      </c>
      <c r="S673" t="str">
        <f t="shared" si="201"/>
        <v xml:space="preserve">     0.0 </v>
      </c>
      <c r="T673" t="str">
        <f t="shared" si="202"/>
        <v xml:space="preserve">     0.0 </v>
      </c>
      <c r="U673" t="str">
        <f t="shared" si="206"/>
        <v xml:space="preserve">         0.0 </v>
      </c>
      <c r="V673" t="str">
        <f t="shared" si="194"/>
        <v xml:space="preserve">     0.0 </v>
      </c>
      <c r="W673" t="str">
        <f t="shared" si="203"/>
        <v xml:space="preserve">     0.0 </v>
      </c>
      <c r="X673" t="str">
        <f t="shared" si="207"/>
        <v xml:space="preserve">       </v>
      </c>
      <c r="Y673" t="str">
        <f t="shared" si="207"/>
        <v xml:space="preserve">              </v>
      </c>
      <c r="Z673" t="str">
        <f t="shared" si="207"/>
        <v xml:space="preserve">    </v>
      </c>
      <c r="AA673" t="str">
        <f t="shared" si="195"/>
        <v xml:space="preserve">         </v>
      </c>
      <c r="AB673" t="str">
        <f t="shared" si="204"/>
        <v xml:space="preserve">         </v>
      </c>
      <c r="AC673" t="str">
        <f t="shared" si="205"/>
        <v xml:space="preserve">    </v>
      </c>
      <c r="AD673" t="str">
        <f t="shared" si="206"/>
        <v/>
      </c>
      <c r="AE673" t="str">
        <f t="shared" si="196"/>
        <v/>
      </c>
      <c r="AF673" t="str">
        <f t="shared" si="208"/>
        <v/>
      </c>
      <c r="AG673" t="str">
        <f t="shared" si="208"/>
        <v/>
      </c>
      <c r="AH673" t="str">
        <f t="shared" si="197"/>
        <v/>
      </c>
      <c r="AI673" t="str">
        <f t="shared" si="198"/>
        <v/>
      </c>
      <c r="AJ673" t="str">
        <f t="shared" si="199"/>
        <v/>
      </c>
    </row>
    <row r="674" spans="1:36" x14ac:dyDescent="0.25">
      <c r="A674" t="s">
        <v>533</v>
      </c>
      <c r="P674" t="str">
        <f t="shared" si="200"/>
        <v xml:space="preserve">                </v>
      </c>
      <c r="Q674" t="str">
        <f t="shared" si="200"/>
        <v xml:space="preserve">         </v>
      </c>
      <c r="R674" t="str">
        <f t="shared" si="193"/>
        <v xml:space="preserve">    97.0 </v>
      </c>
      <c r="S674" t="str">
        <f t="shared" si="201"/>
        <v xml:space="preserve">   141.0 </v>
      </c>
      <c r="T674" t="str">
        <f t="shared" si="202"/>
        <v xml:space="preserve">   141.0 </v>
      </c>
      <c r="U674" t="str">
        <f t="shared" si="206"/>
        <v xml:space="preserve">        6.5% </v>
      </c>
      <c r="V674" t="str">
        <f t="shared" si="194"/>
        <v xml:space="preserve">         </v>
      </c>
      <c r="W674" t="str">
        <f t="shared" si="203"/>
        <v xml:space="preserve">         </v>
      </c>
      <c r="X674" t="str">
        <f t="shared" si="207"/>
        <v xml:space="preserve">   930 </v>
      </c>
      <c r="Y674" t="str">
        <f t="shared" si="207"/>
        <v xml:space="preserve"> ALEGRE-RS138 </v>
      </c>
      <c r="Z674" t="str">
        <f t="shared" si="207"/>
        <v xml:space="preserve">  1 </v>
      </c>
      <c r="AA674" t="str">
        <f t="shared" si="195"/>
        <v xml:space="preserve">     2.2 </v>
      </c>
      <c r="AB674" t="str">
        <f t="shared" si="204"/>
        <v xml:space="preserve">    -6.0 </v>
      </c>
      <c r="AC674" t="str">
        <f t="shared" si="205"/>
        <v xml:space="preserve">     6.3 </v>
      </c>
      <c r="AD674" t="str">
        <f t="shared" si="206"/>
        <v xml:space="preserve">        </v>
      </c>
      <c r="AE674" t="str">
        <f t="shared" si="196"/>
        <v xml:space="preserve">       </v>
      </c>
      <c r="AF674" t="str">
        <f t="shared" si="208"/>
        <v xml:space="preserve">     </v>
      </c>
      <c r="AG674" t="str">
        <f t="shared" si="208"/>
        <v xml:space="preserve">     0.01 </v>
      </c>
      <c r="AH674" t="str">
        <f t="shared" si="197"/>
        <v xml:space="preserve">   -12.25 </v>
      </c>
      <c r="AI674" t="str">
        <f t="shared" si="198"/>
        <v xml:space="preserve">       </v>
      </c>
      <c r="AJ674" t="str">
        <f t="shared" si="199"/>
        <v xml:space="preserve">      </v>
      </c>
    </row>
    <row r="675" spans="1:36" x14ac:dyDescent="0.25">
      <c r="A675" t="s">
        <v>534</v>
      </c>
      <c r="P675" t="str">
        <f t="shared" si="200"/>
        <v xml:space="preserve">                </v>
      </c>
      <c r="Q675" t="str">
        <f t="shared" si="200"/>
        <v xml:space="preserve">         </v>
      </c>
      <c r="R675" t="str">
        <f t="shared" si="193"/>
        <v xml:space="preserve">    97.0 </v>
      </c>
      <c r="S675" t="str">
        <f t="shared" si="201"/>
        <v xml:space="preserve">   141.0 </v>
      </c>
      <c r="T675" t="str">
        <f t="shared" si="202"/>
        <v xml:space="preserve">   141.0 </v>
      </c>
      <c r="U675" t="str">
        <f t="shared" si="206"/>
        <v xml:space="preserve">       17.6% </v>
      </c>
      <c r="V675" t="str">
        <f t="shared" si="194"/>
        <v xml:space="preserve">         </v>
      </c>
      <c r="W675" t="str">
        <f t="shared" si="203"/>
        <v xml:space="preserve">         </v>
      </c>
      <c r="X675" t="str">
        <f t="shared" si="207"/>
        <v xml:space="preserve">  1276 </v>
      </c>
      <c r="Y675" t="str">
        <f t="shared" si="207"/>
        <v xml:space="preserve"> SMARI1-RS138 </v>
      </c>
      <c r="Z675" t="str">
        <f t="shared" si="207"/>
        <v xml:space="preserve">  1 </v>
      </c>
      <c r="AA675" t="str">
        <f t="shared" si="195"/>
        <v xml:space="preserve">    16.0 </v>
      </c>
      <c r="AB675" t="str">
        <f t="shared" si="204"/>
        <v xml:space="preserve">     6.5 </v>
      </c>
      <c r="AC675" t="str">
        <f t="shared" si="205"/>
        <v xml:space="preserve">    17.0 </v>
      </c>
      <c r="AD675" t="str">
        <f t="shared" si="206"/>
        <v xml:space="preserve">        </v>
      </c>
      <c r="AE675" t="str">
        <f t="shared" si="196"/>
        <v xml:space="preserve">       </v>
      </c>
      <c r="AF675" t="str">
        <f t="shared" si="208"/>
        <v xml:space="preserve">     </v>
      </c>
      <c r="AG675" t="str">
        <f t="shared" si="208"/>
        <v xml:space="preserve">     0.02 </v>
      </c>
      <c r="AH675" t="str">
        <f t="shared" si="197"/>
        <v xml:space="preserve">    -0.57 </v>
      </c>
      <c r="AI675" t="str">
        <f t="shared" si="198"/>
        <v xml:space="preserve">       </v>
      </c>
      <c r="AJ675" t="str">
        <f t="shared" si="199"/>
        <v xml:space="preserve">      </v>
      </c>
    </row>
    <row r="676" spans="1:36" x14ac:dyDescent="0.25">
      <c r="A676" t="s">
        <v>535</v>
      </c>
      <c r="P676" t="str">
        <f t="shared" si="200"/>
        <v xml:space="preserve">                </v>
      </c>
      <c r="Q676" t="str">
        <f t="shared" si="200"/>
        <v xml:space="preserve">         </v>
      </c>
      <c r="R676" t="str">
        <f t="shared" si="193"/>
        <v xml:space="preserve">   134.0 </v>
      </c>
      <c r="S676" t="str">
        <f t="shared" si="201"/>
        <v xml:space="preserve">   162.0 </v>
      </c>
      <c r="T676" t="str">
        <f t="shared" si="202"/>
        <v xml:space="preserve">   162.0 </v>
      </c>
      <c r="U676" t="str">
        <f t="shared" si="206"/>
        <v xml:space="preserve">       18.2% </v>
      </c>
      <c r="V676" t="str">
        <f t="shared" si="194"/>
        <v xml:space="preserve">         </v>
      </c>
      <c r="W676" t="str">
        <f t="shared" si="203"/>
        <v xml:space="preserve">         </v>
      </c>
      <c r="X676" t="str">
        <f t="shared" si="207"/>
        <v xml:space="preserve"> 10169 </v>
      </c>
      <c r="Y676" t="str">
        <f t="shared" si="207"/>
        <v xml:space="preserve"> FORMIG-RS138 </v>
      </c>
      <c r="Z676" t="str">
        <f t="shared" si="207"/>
        <v xml:space="preserve">  1 </v>
      </c>
      <c r="AA676" t="str">
        <f t="shared" si="195"/>
        <v xml:space="preserve">    22.1 </v>
      </c>
      <c r="AB676" t="str">
        <f t="shared" si="204"/>
        <v xml:space="preserve">    11.3 </v>
      </c>
      <c r="AC676" t="str">
        <f t="shared" si="205"/>
        <v xml:space="preserve">    24.4 </v>
      </c>
      <c r="AD676" t="str">
        <f t="shared" si="206"/>
        <v xml:space="preserve">        </v>
      </c>
      <c r="AE676" t="str">
        <f t="shared" si="196"/>
        <v xml:space="preserve">       </v>
      </c>
      <c r="AF676" t="str">
        <f t="shared" si="208"/>
        <v xml:space="preserve">     </v>
      </c>
      <c r="AG676" t="str">
        <f t="shared" si="208"/>
        <v xml:space="preserve">     0.41 </v>
      </c>
      <c r="AH676" t="str">
        <f t="shared" si="197"/>
        <v xml:space="preserve">    -3.08 </v>
      </c>
      <c r="AI676" t="str">
        <f t="shared" si="198"/>
        <v xml:space="preserve">       </v>
      </c>
      <c r="AJ676" t="str">
        <f t="shared" si="199"/>
        <v xml:space="preserve">      </v>
      </c>
    </row>
    <row r="677" spans="1:36" x14ac:dyDescent="0.25">
      <c r="A677" t="s">
        <v>536</v>
      </c>
      <c r="P677" t="str">
        <f t="shared" si="200"/>
        <v xml:space="preserve">                </v>
      </c>
      <c r="Q677" t="str">
        <f t="shared" si="200"/>
        <v xml:space="preserve">         </v>
      </c>
      <c r="R677" t="str">
        <f t="shared" si="193"/>
        <v xml:space="preserve">    83.0 </v>
      </c>
      <c r="S677" t="str">
        <f t="shared" si="201"/>
        <v xml:space="preserve">   100.0 </v>
      </c>
      <c r="T677" t="str">
        <f t="shared" si="202"/>
        <v xml:space="preserve">   100.0 </v>
      </c>
      <c r="U677" t="str">
        <f t="shared" si="206"/>
        <v xml:space="preserve">       24.9% </v>
      </c>
      <c r="V677" t="str">
        <f t="shared" si="194"/>
        <v xml:space="preserve">         </v>
      </c>
      <c r="W677" t="str">
        <f t="shared" si="203"/>
        <v xml:space="preserve">         </v>
      </c>
      <c r="X677" t="str">
        <f t="shared" si="207"/>
        <v xml:space="preserve"> 41371 </v>
      </c>
      <c r="Y677" t="str">
        <f t="shared" si="207"/>
        <v xml:space="preserve"> SM3--1-RS000 </v>
      </c>
      <c r="Z677" t="str">
        <f t="shared" si="207"/>
        <v xml:space="preserve">  1 </v>
      </c>
      <c r="AA677" t="str">
        <f t="shared" si="195"/>
        <v xml:space="preserve">   -20.2 </v>
      </c>
      <c r="AB677" t="str">
        <f t="shared" si="204"/>
        <v xml:space="preserve">    -5.9 </v>
      </c>
      <c r="AC677" t="str">
        <f t="shared" si="205"/>
        <v xml:space="preserve">    20.7 </v>
      </c>
      <c r="AD677" t="str">
        <f t="shared" si="206"/>
        <v xml:space="preserve"> 1.000F </v>
      </c>
      <c r="AE677" t="str">
        <f t="shared" si="196"/>
        <v xml:space="preserve">       </v>
      </c>
      <c r="AF677" t="str">
        <f t="shared" si="208"/>
        <v xml:space="preserve"> 002 </v>
      </c>
      <c r="AG677" t="str">
        <f t="shared" si="208"/>
        <v xml:space="preserve">     0.01 </v>
      </c>
      <c r="AH677" t="str">
        <f t="shared" si="197"/>
        <v xml:space="preserve">    -0.10 </v>
      </c>
      <c r="AI677" t="str">
        <f t="shared" si="198"/>
        <v xml:space="preserve">       </v>
      </c>
      <c r="AJ677" t="str">
        <f t="shared" si="199"/>
        <v xml:space="preserve">      </v>
      </c>
    </row>
    <row r="678" spans="1:36" x14ac:dyDescent="0.25">
      <c r="A678" t="s">
        <v>537</v>
      </c>
      <c r="P678" t="str">
        <f t="shared" si="200"/>
        <v xml:space="preserve">                </v>
      </c>
      <c r="Q678" t="str">
        <f t="shared" si="200"/>
        <v xml:space="preserve">         </v>
      </c>
      <c r="R678" t="str">
        <f t="shared" si="193"/>
        <v xml:space="preserve">    83.0 </v>
      </c>
      <c r="S678" t="str">
        <f t="shared" si="201"/>
        <v xml:space="preserve">   100.0 </v>
      </c>
      <c r="T678" t="str">
        <f t="shared" si="202"/>
        <v xml:space="preserve">   100.0 </v>
      </c>
      <c r="U678" t="str">
        <f t="shared" si="206"/>
        <v xml:space="preserve">       24.9% </v>
      </c>
      <c r="V678" t="str">
        <f t="shared" si="194"/>
        <v xml:space="preserve">         </v>
      </c>
      <c r="W678" t="str">
        <f t="shared" si="203"/>
        <v xml:space="preserve">         </v>
      </c>
      <c r="X678" t="str">
        <f t="shared" si="207"/>
        <v xml:space="preserve"> 41372 </v>
      </c>
      <c r="Y678" t="str">
        <f t="shared" si="207"/>
        <v xml:space="preserve"> SM3--2-RS000 </v>
      </c>
      <c r="Z678" t="str">
        <f t="shared" si="207"/>
        <v xml:space="preserve">  2 </v>
      </c>
      <c r="AA678" t="str">
        <f t="shared" si="195"/>
        <v xml:space="preserve">   -20.2 </v>
      </c>
      <c r="AB678" t="str">
        <f t="shared" si="204"/>
        <v xml:space="preserve">    -5.9 </v>
      </c>
      <c r="AC678" t="str">
        <f t="shared" si="205"/>
        <v xml:space="preserve">    20.7 </v>
      </c>
      <c r="AD678" t="str">
        <f t="shared" si="206"/>
        <v xml:space="preserve"> 1.000F </v>
      </c>
      <c r="AE678" t="str">
        <f t="shared" si="196"/>
        <v xml:space="preserve">       </v>
      </c>
      <c r="AF678" t="str">
        <f t="shared" si="208"/>
        <v xml:space="preserve"> 002 </v>
      </c>
      <c r="AG678" t="str">
        <f t="shared" si="208"/>
        <v xml:space="preserve">     0.01 </v>
      </c>
      <c r="AH678" t="str">
        <f t="shared" si="197"/>
        <v xml:space="preserve">    -0.10 </v>
      </c>
      <c r="AI678" t="str">
        <f t="shared" si="198"/>
        <v xml:space="preserve">       </v>
      </c>
      <c r="AJ678" t="str">
        <f t="shared" si="199"/>
        <v xml:space="preserve">      </v>
      </c>
    </row>
    <row r="679" spans="1:36" x14ac:dyDescent="0.25">
      <c r="A679" t="s">
        <v>14</v>
      </c>
      <c r="P679" t="str">
        <f t="shared" si="200"/>
        <v xml:space="preserve">  ..............</v>
      </c>
      <c r="Q679" t="str">
        <f t="shared" si="200"/>
        <v>.........</v>
      </c>
      <c r="R679" t="str">
        <f t="shared" si="193"/>
        <v>.........</v>
      </c>
      <c r="S679" t="str">
        <f t="shared" si="201"/>
        <v>.........</v>
      </c>
      <c r="T679" t="str">
        <f t="shared" si="202"/>
        <v>.........</v>
      </c>
      <c r="U679" t="str">
        <f t="shared" si="206"/>
        <v>.............</v>
      </c>
      <c r="V679" t="str">
        <f t="shared" si="194"/>
        <v>.........</v>
      </c>
      <c r="W679" t="str">
        <f t="shared" si="203"/>
        <v>.........</v>
      </c>
      <c r="X679" t="str">
        <f t="shared" si="207"/>
        <v>.......</v>
      </c>
      <c r="Y679" t="str">
        <f t="shared" si="207"/>
        <v>..............</v>
      </c>
      <c r="Z679" t="str">
        <f t="shared" si="207"/>
        <v>....</v>
      </c>
      <c r="AA679" t="str">
        <f t="shared" si="195"/>
        <v>.........</v>
      </c>
      <c r="AB679" t="str">
        <f t="shared" si="204"/>
        <v>.........</v>
      </c>
      <c r="AC679" t="str">
        <f t="shared" si="205"/>
        <v>.........</v>
      </c>
      <c r="AD679" t="str">
        <f t="shared" si="206"/>
        <v>........</v>
      </c>
      <c r="AE679" t="str">
        <f t="shared" si="196"/>
        <v>.......</v>
      </c>
      <c r="AF679" t="str">
        <f t="shared" si="208"/>
        <v>.....</v>
      </c>
      <c r="AG679" t="str">
        <f t="shared" si="208"/>
        <v>..........</v>
      </c>
      <c r="AH679" t="str">
        <f t="shared" si="197"/>
        <v>..........</v>
      </c>
      <c r="AI679" t="str">
        <f t="shared" si="198"/>
        <v>.......</v>
      </c>
      <c r="AJ679" t="str">
        <f t="shared" si="199"/>
        <v>.......</v>
      </c>
    </row>
    <row r="680" spans="1:36" x14ac:dyDescent="0.25">
      <c r="A680" t="s">
        <v>538</v>
      </c>
      <c r="P680" t="str">
        <f t="shared" si="200"/>
        <v xml:space="preserve">   1384   69  0 </v>
      </c>
      <c r="Q680" t="str">
        <f t="shared" si="200"/>
        <v xml:space="preserve">   1.009 </v>
      </c>
      <c r="R680" t="str">
        <f t="shared" si="193"/>
        <v xml:space="preserve">     0.0 </v>
      </c>
      <c r="S680" t="str">
        <f t="shared" si="201"/>
        <v xml:space="preserve">     0.0 </v>
      </c>
      <c r="T680" t="str">
        <f t="shared" si="202"/>
        <v xml:space="preserve">     9.5 </v>
      </c>
      <c r="U680" t="str">
        <f t="shared" si="206"/>
        <v xml:space="preserve">         0.0 </v>
      </c>
      <c r="V680" t="str">
        <f t="shared" si="194"/>
        <v xml:space="preserve">     0.0 </v>
      </c>
      <c r="W680" t="str">
        <f t="shared" si="203"/>
        <v xml:space="preserve">     0.0</v>
      </c>
      <c r="X680" t="str">
        <f t="shared" si="207"/>
        <v/>
      </c>
      <c r="Y680" t="str">
        <f t="shared" si="207"/>
        <v/>
      </c>
      <c r="Z680" t="str">
        <f t="shared" si="207"/>
        <v/>
      </c>
      <c r="AA680" t="str">
        <f t="shared" si="195"/>
        <v/>
      </c>
      <c r="AB680" t="str">
        <f t="shared" si="204"/>
        <v/>
      </c>
      <c r="AC680" t="str">
        <f t="shared" si="205"/>
        <v/>
      </c>
      <c r="AD680" t="str">
        <f t="shared" si="206"/>
        <v/>
      </c>
      <c r="AE680" t="str">
        <f t="shared" si="196"/>
        <v/>
      </c>
      <c r="AF680" t="str">
        <f t="shared" si="208"/>
        <v/>
      </c>
      <c r="AG680" t="str">
        <f t="shared" si="208"/>
        <v/>
      </c>
      <c r="AH680" t="str">
        <f t="shared" si="197"/>
        <v/>
      </c>
      <c r="AI680" t="str">
        <f t="shared" si="198"/>
        <v/>
      </c>
      <c r="AJ680" t="str">
        <f t="shared" si="199"/>
        <v/>
      </c>
    </row>
    <row r="681" spans="1:36" x14ac:dyDescent="0.25">
      <c r="A681" t="s">
        <v>539</v>
      </c>
      <c r="P681" t="str">
        <f t="shared" si="200"/>
        <v xml:space="preserve">  POLOFI-RS069  </v>
      </c>
      <c r="Q681" t="str">
        <f t="shared" si="200"/>
        <v xml:space="preserve">   -52.4 </v>
      </c>
      <c r="R681" t="str">
        <f t="shared" si="193"/>
        <v xml:space="preserve">     0.0 </v>
      </c>
      <c r="S681" t="str">
        <f t="shared" si="201"/>
        <v xml:space="preserve">     0.0 </v>
      </c>
      <c r="T681" t="str">
        <f t="shared" si="202"/>
        <v xml:space="preserve">     4.0 </v>
      </c>
      <c r="U681" t="str">
        <f t="shared" si="206"/>
        <v xml:space="preserve">         0.0 </v>
      </c>
      <c r="V681" t="str">
        <f t="shared" si="194"/>
        <v xml:space="preserve">     0.0 </v>
      </c>
      <c r="W681" t="str">
        <f t="shared" si="203"/>
        <v xml:space="preserve">     0.0 </v>
      </c>
      <c r="X681" t="str">
        <f t="shared" si="207"/>
        <v xml:space="preserve">       </v>
      </c>
      <c r="Y681" t="str">
        <f t="shared" si="207"/>
        <v xml:space="preserve">              </v>
      </c>
      <c r="Z681" t="str">
        <f t="shared" si="207"/>
        <v xml:space="preserve">    </v>
      </c>
      <c r="AA681" t="str">
        <f t="shared" si="195"/>
        <v xml:space="preserve">         </v>
      </c>
      <c r="AB681" t="str">
        <f t="shared" si="204"/>
        <v xml:space="preserve">         </v>
      </c>
      <c r="AC681" t="str">
        <f t="shared" si="205"/>
        <v xml:space="preserve">    </v>
      </c>
      <c r="AD681" t="str">
        <f t="shared" si="206"/>
        <v/>
      </c>
      <c r="AE681" t="str">
        <f t="shared" si="196"/>
        <v/>
      </c>
      <c r="AF681" t="str">
        <f t="shared" si="208"/>
        <v/>
      </c>
      <c r="AG681" t="str">
        <f t="shared" si="208"/>
        <v/>
      </c>
      <c r="AH681" t="str">
        <f t="shared" si="197"/>
        <v/>
      </c>
      <c r="AI681" t="str">
        <f t="shared" si="198"/>
        <v/>
      </c>
      <c r="AJ681" t="str">
        <f t="shared" si="199"/>
        <v/>
      </c>
    </row>
    <row r="682" spans="1:36" x14ac:dyDescent="0.25">
      <c r="A682" t="s">
        <v>540</v>
      </c>
      <c r="P682" t="str">
        <f t="shared" si="200"/>
        <v xml:space="preserve">                </v>
      </c>
      <c r="Q682" t="str">
        <f t="shared" si="200"/>
        <v xml:space="preserve">         </v>
      </c>
      <c r="R682" t="str">
        <f t="shared" si="193"/>
        <v xml:space="preserve">    30.0 </v>
      </c>
      <c r="S682" t="str">
        <f t="shared" si="201"/>
        <v xml:space="preserve">    48.0 </v>
      </c>
      <c r="T682" t="str">
        <f t="shared" si="202"/>
        <v xml:space="preserve">    48.0 </v>
      </c>
      <c r="U682" t="str">
        <f t="shared" si="206"/>
        <v xml:space="preserve">       34.0% </v>
      </c>
      <c r="V682" t="str">
        <f t="shared" si="194"/>
        <v xml:space="preserve">         </v>
      </c>
      <c r="W682" t="str">
        <f t="shared" si="203"/>
        <v xml:space="preserve">         </v>
      </c>
      <c r="X682" t="str">
        <f t="shared" si="207"/>
        <v xml:space="preserve">  9716 </v>
      </c>
      <c r="Y682" t="str">
        <f t="shared" si="207"/>
        <v xml:space="preserve"> HEXION-RS069 </v>
      </c>
      <c r="Z682" t="str">
        <f t="shared" si="207"/>
        <v xml:space="preserve">  1 </v>
      </c>
      <c r="AA682" t="str">
        <f t="shared" si="195"/>
        <v xml:space="preserve">    -9.5 </v>
      </c>
      <c r="AB682" t="str">
        <f t="shared" si="204"/>
        <v xml:space="preserve">    -4.0 </v>
      </c>
      <c r="AC682" t="str">
        <f t="shared" si="205"/>
        <v xml:space="preserve">    10.2 </v>
      </c>
      <c r="AD682" t="str">
        <f t="shared" si="206"/>
        <v xml:space="preserve">        </v>
      </c>
      <c r="AE682" t="str">
        <f t="shared" si="196"/>
        <v xml:space="preserve">       </v>
      </c>
      <c r="AF682" t="str">
        <f t="shared" si="208"/>
        <v xml:space="preserve">     </v>
      </c>
      <c r="AG682" t="str">
        <f t="shared" si="208"/>
        <v xml:space="preserve">     0.02 </v>
      </c>
      <c r="AH682" t="str">
        <f t="shared" si="197"/>
        <v xml:space="preserve">    -0.01 </v>
      </c>
      <c r="AI682" t="str">
        <f t="shared" si="198"/>
        <v xml:space="preserve">       </v>
      </c>
      <c r="AJ682" t="str">
        <f t="shared" si="199"/>
        <v xml:space="preserve">      </v>
      </c>
    </row>
    <row r="683" spans="1:36" x14ac:dyDescent="0.25">
      <c r="A683" t="s">
        <v>14</v>
      </c>
      <c r="P683" t="str">
        <f t="shared" si="200"/>
        <v xml:space="preserve">  ..............</v>
      </c>
      <c r="Q683" t="str">
        <f t="shared" si="200"/>
        <v>.........</v>
      </c>
      <c r="R683" t="str">
        <f t="shared" si="193"/>
        <v>.........</v>
      </c>
      <c r="S683" t="str">
        <f t="shared" si="201"/>
        <v>.........</v>
      </c>
      <c r="T683" t="str">
        <f t="shared" si="202"/>
        <v>.........</v>
      </c>
      <c r="U683" t="str">
        <f t="shared" si="206"/>
        <v>.............</v>
      </c>
      <c r="V683" t="str">
        <f t="shared" si="194"/>
        <v>.........</v>
      </c>
      <c r="W683" t="str">
        <f t="shared" si="203"/>
        <v>.........</v>
      </c>
      <c r="X683" t="str">
        <f t="shared" si="207"/>
        <v>.......</v>
      </c>
      <c r="Y683" t="str">
        <f t="shared" si="207"/>
        <v>..............</v>
      </c>
      <c r="Z683" t="str">
        <f t="shared" si="207"/>
        <v>....</v>
      </c>
      <c r="AA683" t="str">
        <f t="shared" si="195"/>
        <v>.........</v>
      </c>
      <c r="AB683" t="str">
        <f t="shared" si="204"/>
        <v>.........</v>
      </c>
      <c r="AC683" t="str">
        <f t="shared" si="205"/>
        <v>.........</v>
      </c>
      <c r="AD683" t="str">
        <f t="shared" si="206"/>
        <v>........</v>
      </c>
      <c r="AE683" t="str">
        <f t="shared" si="196"/>
        <v>.......</v>
      </c>
      <c r="AF683" t="str">
        <f t="shared" si="208"/>
        <v>.....</v>
      </c>
      <c r="AG683" t="str">
        <f t="shared" si="208"/>
        <v>..........</v>
      </c>
      <c r="AH683" t="str">
        <f t="shared" si="197"/>
        <v>..........</v>
      </c>
      <c r="AI683" t="str">
        <f t="shared" si="198"/>
        <v>.......</v>
      </c>
      <c r="AJ683" t="str">
        <f t="shared" si="199"/>
        <v>.......</v>
      </c>
    </row>
    <row r="684" spans="1:36" x14ac:dyDescent="0.25">
      <c r="A684" t="s">
        <v>541</v>
      </c>
      <c r="P684" t="str">
        <f t="shared" si="200"/>
        <v xml:space="preserve">   1387   69  0 </v>
      </c>
      <c r="Q684" t="str">
        <f t="shared" si="200"/>
        <v xml:space="preserve">   1.035 </v>
      </c>
      <c r="R684" t="str">
        <f t="shared" si="193"/>
        <v xml:space="preserve">     0.0 </v>
      </c>
      <c r="S684" t="str">
        <f t="shared" si="201"/>
        <v xml:space="preserve">     0.0 </v>
      </c>
      <c r="T684" t="str">
        <f t="shared" si="202"/>
        <v xml:space="preserve">     0.0 </v>
      </c>
      <c r="U684" t="str">
        <f t="shared" si="206"/>
        <v xml:space="preserve">         0.0 </v>
      </c>
      <c r="V684" t="str">
        <f t="shared" si="194"/>
        <v xml:space="preserve">     0.0 </v>
      </c>
      <c r="W684" t="str">
        <f t="shared" si="203"/>
        <v xml:space="preserve">     0.0</v>
      </c>
      <c r="X684" t="str">
        <f t="shared" si="207"/>
        <v/>
      </c>
      <c r="Y684" t="str">
        <f t="shared" si="207"/>
        <v/>
      </c>
      <c r="Z684" t="str">
        <f t="shared" si="207"/>
        <v/>
      </c>
      <c r="AA684" t="str">
        <f t="shared" si="195"/>
        <v/>
      </c>
      <c r="AB684" t="str">
        <f t="shared" si="204"/>
        <v/>
      </c>
      <c r="AC684" t="str">
        <f t="shared" si="205"/>
        <v/>
      </c>
      <c r="AD684" t="str">
        <f t="shared" si="206"/>
        <v/>
      </c>
      <c r="AE684" t="str">
        <f t="shared" si="196"/>
        <v/>
      </c>
      <c r="AF684" t="str">
        <f t="shared" si="208"/>
        <v/>
      </c>
      <c r="AG684" t="str">
        <f t="shared" si="208"/>
        <v/>
      </c>
      <c r="AH684" t="str">
        <f t="shared" si="197"/>
        <v/>
      </c>
      <c r="AI684" t="str">
        <f t="shared" si="198"/>
        <v/>
      </c>
      <c r="AJ684" t="str">
        <f t="shared" si="199"/>
        <v/>
      </c>
    </row>
    <row r="685" spans="1:36" x14ac:dyDescent="0.25">
      <c r="A685" t="s">
        <v>542</v>
      </c>
      <c r="P685" t="str">
        <f t="shared" si="200"/>
        <v xml:space="preserve">  CAXIA6-RS069  </v>
      </c>
      <c r="Q685" t="str">
        <f t="shared" si="200"/>
        <v xml:space="preserve">   -50.5 </v>
      </c>
      <c r="R685" t="str">
        <f t="shared" si="193"/>
        <v xml:space="preserve">     0.0 </v>
      </c>
      <c r="S685" t="str">
        <f t="shared" si="201"/>
        <v xml:space="preserve">     0.0 </v>
      </c>
      <c r="T685" t="str">
        <f t="shared" si="202"/>
        <v xml:space="preserve">     0.0 </v>
      </c>
      <c r="U685" t="str">
        <f t="shared" si="206"/>
        <v xml:space="preserve">         0.0 </v>
      </c>
      <c r="V685" t="str">
        <f t="shared" si="194"/>
        <v xml:space="preserve">     0.0 </v>
      </c>
      <c r="W685" t="str">
        <f t="shared" si="203"/>
        <v xml:space="preserve">     0.0 </v>
      </c>
      <c r="X685" t="str">
        <f t="shared" si="207"/>
        <v xml:space="preserve">       </v>
      </c>
      <c r="Y685" t="str">
        <f t="shared" si="207"/>
        <v xml:space="preserve">              </v>
      </c>
      <c r="Z685" t="str">
        <f t="shared" si="207"/>
        <v xml:space="preserve">    </v>
      </c>
      <c r="AA685" t="str">
        <f t="shared" si="195"/>
        <v xml:space="preserve">         </v>
      </c>
      <c r="AB685" t="str">
        <f t="shared" si="204"/>
        <v xml:space="preserve">         </v>
      </c>
      <c r="AC685" t="str">
        <f t="shared" si="205"/>
        <v xml:space="preserve">    </v>
      </c>
      <c r="AD685" t="str">
        <f t="shared" si="206"/>
        <v/>
      </c>
      <c r="AE685" t="str">
        <f t="shared" si="196"/>
        <v/>
      </c>
      <c r="AF685" t="str">
        <f t="shared" si="208"/>
        <v/>
      </c>
      <c r="AG685" t="str">
        <f t="shared" si="208"/>
        <v/>
      </c>
      <c r="AH685" t="str">
        <f t="shared" si="197"/>
        <v/>
      </c>
      <c r="AI685" t="str">
        <f t="shared" si="198"/>
        <v/>
      </c>
      <c r="AJ685" t="str">
        <f t="shared" si="199"/>
        <v/>
      </c>
    </row>
    <row r="686" spans="1:36" x14ac:dyDescent="0.25">
      <c r="A686" t="s">
        <v>543</v>
      </c>
      <c r="P686" t="str">
        <f t="shared" si="200"/>
        <v xml:space="preserve">                </v>
      </c>
      <c r="Q686" t="str">
        <f t="shared" si="200"/>
        <v xml:space="preserve">         </v>
      </c>
      <c r="R686" t="str">
        <f t="shared" si="193"/>
        <v xml:space="preserve">   106.0 </v>
      </c>
      <c r="S686" t="str">
        <f t="shared" si="201"/>
        <v xml:space="preserve">   130.0 </v>
      </c>
      <c r="T686" t="str">
        <f t="shared" si="202"/>
        <v xml:space="preserve">   130.0 </v>
      </c>
      <c r="U686" t="str">
        <f t="shared" si="206"/>
        <v xml:space="preserve">       29.5% </v>
      </c>
      <c r="V686" t="str">
        <f t="shared" si="194"/>
        <v xml:space="preserve">         </v>
      </c>
      <c r="W686" t="str">
        <f t="shared" si="203"/>
        <v xml:space="preserve">         </v>
      </c>
      <c r="X686" t="str">
        <f t="shared" si="207"/>
        <v xml:space="preserve">  1388 </v>
      </c>
      <c r="Y686" t="str">
        <f t="shared" si="207"/>
        <v xml:space="preserve"> CAXIA3-RS069 </v>
      </c>
      <c r="Z686" t="str">
        <f t="shared" si="207"/>
        <v xml:space="preserve">  1 </v>
      </c>
      <c r="AA686" t="str">
        <f t="shared" si="195"/>
        <v xml:space="preserve">    32.2 </v>
      </c>
      <c r="AB686" t="str">
        <f t="shared" si="204"/>
        <v xml:space="preserve">     3.1 </v>
      </c>
      <c r="AC686" t="str">
        <f t="shared" si="205"/>
        <v xml:space="preserve">    31.3 </v>
      </c>
      <c r="AD686" t="str">
        <f t="shared" si="206"/>
        <v xml:space="preserve">        </v>
      </c>
      <c r="AE686" t="str">
        <f t="shared" si="196"/>
        <v xml:space="preserve">       </v>
      </c>
      <c r="AF686" t="str">
        <f t="shared" si="208"/>
        <v xml:space="preserve">     </v>
      </c>
      <c r="AG686" t="str">
        <f t="shared" si="208"/>
        <v xml:space="preserve">     0.10 </v>
      </c>
      <c r="AH686" t="str">
        <f t="shared" si="197"/>
        <v xml:space="preserve">     0.48 </v>
      </c>
      <c r="AI686" t="str">
        <f t="shared" si="198"/>
        <v xml:space="preserve">       </v>
      </c>
      <c r="AJ686" t="str">
        <f t="shared" si="199"/>
        <v xml:space="preserve">      </v>
      </c>
    </row>
    <row r="687" spans="1:36" x14ac:dyDescent="0.25">
      <c r="A687" t="s">
        <v>544</v>
      </c>
      <c r="P687" t="str">
        <f t="shared" si="200"/>
        <v xml:space="preserve">                </v>
      </c>
      <c r="Q687" t="str">
        <f t="shared" si="200"/>
        <v xml:space="preserve">         </v>
      </c>
      <c r="R687" t="str">
        <f t="shared" si="193"/>
        <v xml:space="preserve">   106.0 </v>
      </c>
      <c r="S687" t="str">
        <f t="shared" si="201"/>
        <v xml:space="preserve">   130.0 </v>
      </c>
      <c r="T687" t="str">
        <f t="shared" si="202"/>
        <v xml:space="preserve">   130.0 </v>
      </c>
      <c r="U687" t="str">
        <f t="shared" si="206"/>
        <v xml:space="preserve">       59.0% </v>
      </c>
      <c r="V687" t="str">
        <f t="shared" si="194"/>
        <v xml:space="preserve">         </v>
      </c>
      <c r="W687" t="str">
        <f t="shared" si="203"/>
        <v xml:space="preserve">         </v>
      </c>
      <c r="X687" t="str">
        <f t="shared" si="207"/>
        <v xml:space="preserve">  1389 </v>
      </c>
      <c r="Y687" t="str">
        <f t="shared" si="207"/>
        <v xml:space="preserve"> CAXIA4-RS069 </v>
      </c>
      <c r="Z687" t="str">
        <f t="shared" si="207"/>
        <v xml:space="preserve">  1 </v>
      </c>
      <c r="AA687" t="str">
        <f t="shared" si="195"/>
        <v xml:space="preserve">    58.0 </v>
      </c>
      <c r="AB687" t="str">
        <f t="shared" si="204"/>
        <v xml:space="preserve">    28.7 </v>
      </c>
      <c r="AC687" t="str">
        <f t="shared" si="205"/>
        <v xml:space="preserve">    62.5 </v>
      </c>
      <c r="AD687" t="str">
        <f t="shared" si="206"/>
        <v xml:space="preserve">        </v>
      </c>
      <c r="AE687" t="str">
        <f t="shared" si="196"/>
        <v xml:space="preserve">       </v>
      </c>
      <c r="AF687" t="str">
        <f t="shared" si="208"/>
        <v xml:space="preserve">     </v>
      </c>
      <c r="AG687" t="str">
        <f t="shared" si="208"/>
        <v xml:space="preserve">     0.48 </v>
      </c>
      <c r="AH687" t="str">
        <f t="shared" si="197"/>
        <v xml:space="preserve">     2.61 </v>
      </c>
      <c r="AI687" t="str">
        <f t="shared" si="198"/>
        <v xml:space="preserve">       </v>
      </c>
      <c r="AJ687" t="str">
        <f t="shared" si="199"/>
        <v xml:space="preserve">      </v>
      </c>
    </row>
    <row r="688" spans="1:36" x14ac:dyDescent="0.25">
      <c r="A688" t="s">
        <v>545</v>
      </c>
      <c r="P688" t="str">
        <f t="shared" si="200"/>
        <v xml:space="preserve">                </v>
      </c>
      <c r="Q688" t="str">
        <f t="shared" si="200"/>
        <v xml:space="preserve">         </v>
      </c>
      <c r="R688" t="str">
        <f t="shared" si="193"/>
        <v xml:space="preserve">    84.0 </v>
      </c>
      <c r="S688" t="str">
        <f t="shared" si="201"/>
        <v xml:space="preserve">   101.0 </v>
      </c>
      <c r="T688" t="str">
        <f t="shared" si="202"/>
        <v xml:space="preserve">   101.0 </v>
      </c>
      <c r="U688" t="str">
        <f t="shared" si="206"/>
        <v xml:space="preserve">       14.3% </v>
      </c>
      <c r="V688" t="str">
        <f t="shared" si="194"/>
        <v xml:space="preserve">         </v>
      </c>
      <c r="W688" t="str">
        <f t="shared" si="203"/>
        <v xml:space="preserve">         </v>
      </c>
      <c r="X688" t="str">
        <f t="shared" si="207"/>
        <v xml:space="preserve">  9676 </v>
      </c>
      <c r="Y688" t="str">
        <f t="shared" si="207"/>
        <v xml:space="preserve"> CAXIA7-RS069 </v>
      </c>
      <c r="Z688" t="str">
        <f t="shared" si="207"/>
        <v xml:space="preserve">  1 </v>
      </c>
      <c r="AA688" t="str">
        <f t="shared" si="195"/>
        <v xml:space="preserve">    11.5 </v>
      </c>
      <c r="AB688" t="str">
        <f t="shared" si="204"/>
        <v xml:space="preserve">     4.7 </v>
      </c>
      <c r="AC688" t="str">
        <f t="shared" si="205"/>
        <v xml:space="preserve">    12.1 </v>
      </c>
      <c r="AD688" t="str">
        <f t="shared" si="206"/>
        <v xml:space="preserve">        </v>
      </c>
      <c r="AE688" t="str">
        <f t="shared" si="196"/>
        <v xml:space="preserve">       </v>
      </c>
      <c r="AF688" t="str">
        <f t="shared" si="208"/>
        <v xml:space="preserve">     </v>
      </c>
      <c r="AG688" t="str">
        <f t="shared" si="208"/>
        <v xml:space="preserve">     0.04 </v>
      </c>
      <c r="AH688" t="str">
        <f t="shared" si="197"/>
        <v xml:space="preserve">    -0.01 </v>
      </c>
      <c r="AI688" t="str">
        <f t="shared" si="198"/>
        <v xml:space="preserve">       </v>
      </c>
      <c r="AJ688" t="str">
        <f t="shared" si="199"/>
        <v xml:space="preserve">      </v>
      </c>
    </row>
    <row r="689" spans="1:36" x14ac:dyDescent="0.25">
      <c r="A689" t="s">
        <v>546</v>
      </c>
      <c r="P689" t="str">
        <f t="shared" si="200"/>
        <v xml:space="preserve">                </v>
      </c>
      <c r="Q689" t="str">
        <f t="shared" si="200"/>
        <v xml:space="preserve">         </v>
      </c>
      <c r="R689" t="str">
        <f t="shared" si="193"/>
        <v xml:space="preserve">    84.0 </v>
      </c>
      <c r="S689" t="str">
        <f t="shared" si="201"/>
        <v xml:space="preserve">   101.0 </v>
      </c>
      <c r="T689" t="str">
        <f t="shared" si="202"/>
        <v xml:space="preserve">   101.0 </v>
      </c>
      <c r="U689" t="str">
        <f t="shared" si="206"/>
        <v xml:space="preserve">       14.4% </v>
      </c>
      <c r="V689" t="str">
        <f t="shared" si="194"/>
        <v xml:space="preserve">         </v>
      </c>
      <c r="W689" t="str">
        <f t="shared" si="203"/>
        <v xml:space="preserve">         </v>
      </c>
      <c r="X689" t="str">
        <f t="shared" si="207"/>
        <v xml:space="preserve">  9676 </v>
      </c>
      <c r="Y689" t="str">
        <f t="shared" si="207"/>
        <v xml:space="preserve"> CAXIA7-RS069 </v>
      </c>
      <c r="Z689" t="str">
        <f t="shared" si="207"/>
        <v xml:space="preserve">  2 </v>
      </c>
      <c r="AA689" t="str">
        <f t="shared" si="195"/>
        <v xml:space="preserve">    11.5 </v>
      </c>
      <c r="AB689" t="str">
        <f t="shared" si="204"/>
        <v xml:space="preserve">     4.7 </v>
      </c>
      <c r="AC689" t="str">
        <f t="shared" si="205"/>
        <v xml:space="preserve">    12.1 </v>
      </c>
      <c r="AD689" t="str">
        <f t="shared" si="206"/>
        <v xml:space="preserve">        </v>
      </c>
      <c r="AE689" t="str">
        <f t="shared" si="196"/>
        <v xml:space="preserve">       </v>
      </c>
      <c r="AF689" t="str">
        <f t="shared" si="208"/>
        <v xml:space="preserve">     </v>
      </c>
      <c r="AG689" t="str">
        <f t="shared" si="208"/>
        <v xml:space="preserve">     0.04 </v>
      </c>
      <c r="AH689" t="str">
        <f t="shared" si="197"/>
        <v xml:space="preserve">    -0.01 </v>
      </c>
      <c r="AI689" t="str">
        <f t="shared" si="198"/>
        <v xml:space="preserve">       </v>
      </c>
      <c r="AJ689" t="str">
        <f t="shared" si="199"/>
        <v xml:space="preserve">      </v>
      </c>
    </row>
    <row r="690" spans="1:36" x14ac:dyDescent="0.25">
      <c r="A690" t="s">
        <v>547</v>
      </c>
      <c r="P690" t="str">
        <f t="shared" si="200"/>
        <v xml:space="preserve">                </v>
      </c>
      <c r="Q690" t="str">
        <f t="shared" si="200"/>
        <v xml:space="preserve">         </v>
      </c>
      <c r="R690" t="str">
        <f t="shared" si="193"/>
        <v xml:space="preserve">   165.0 </v>
      </c>
      <c r="S690" t="str">
        <f t="shared" si="201"/>
        <v xml:space="preserve">   198.0 </v>
      </c>
      <c r="T690" t="str">
        <f t="shared" si="202"/>
        <v xml:space="preserve">   198.0 </v>
      </c>
      <c r="U690" t="str">
        <f t="shared" si="206"/>
        <v xml:space="preserve">       35.3% </v>
      </c>
      <c r="V690" t="str">
        <f t="shared" si="194"/>
        <v xml:space="preserve">         </v>
      </c>
      <c r="W690" t="str">
        <f t="shared" si="203"/>
        <v xml:space="preserve">         </v>
      </c>
      <c r="X690" t="str">
        <f t="shared" si="207"/>
        <v xml:space="preserve"> 41255 </v>
      </c>
      <c r="Y690" t="str">
        <f t="shared" si="207"/>
        <v xml:space="preserve"> CAX6-1-RS000 </v>
      </c>
      <c r="Z690" t="str">
        <f t="shared" si="207"/>
        <v xml:space="preserve">  1 </v>
      </c>
      <c r="AA690" t="str">
        <f t="shared" si="195"/>
        <v xml:space="preserve">   -56.6 </v>
      </c>
      <c r="AB690" t="str">
        <f t="shared" si="204"/>
        <v xml:space="preserve">   -20.6 </v>
      </c>
      <c r="AC690" t="str">
        <f t="shared" si="205"/>
        <v xml:space="preserve">    58.2 </v>
      </c>
      <c r="AD690" t="str">
        <f t="shared" si="206"/>
        <v xml:space="preserve"> 1.000F </v>
      </c>
      <c r="AE690" t="str">
        <f t="shared" si="196"/>
        <v xml:space="preserve">       </v>
      </c>
      <c r="AF690" t="str">
        <f t="shared" si="208"/>
        <v xml:space="preserve"> 002 </v>
      </c>
      <c r="AG690" t="str">
        <f t="shared" si="208"/>
        <v xml:space="preserve">     0.03 </v>
      </c>
      <c r="AH690" t="str">
        <f t="shared" si="197"/>
        <v xml:space="preserve">    -0.19 </v>
      </c>
      <c r="AI690" t="str">
        <f t="shared" si="198"/>
        <v xml:space="preserve">       </v>
      </c>
      <c r="AJ690" t="str">
        <f t="shared" si="199"/>
        <v xml:space="preserve">      </v>
      </c>
    </row>
    <row r="691" spans="1:36" x14ac:dyDescent="0.25">
      <c r="A691" t="s">
        <v>548</v>
      </c>
      <c r="P691" t="str">
        <f t="shared" si="200"/>
        <v xml:space="preserve">                </v>
      </c>
      <c r="Q691" t="str">
        <f t="shared" si="200"/>
        <v xml:space="preserve">         </v>
      </c>
      <c r="R691" t="str">
        <f t="shared" si="193"/>
        <v xml:space="preserve">   165.0 </v>
      </c>
      <c r="S691" t="str">
        <f t="shared" si="201"/>
        <v xml:space="preserve">   198.0 </v>
      </c>
      <c r="T691" t="str">
        <f t="shared" si="202"/>
        <v xml:space="preserve">   198.0 </v>
      </c>
      <c r="U691" t="str">
        <f t="shared" si="206"/>
        <v xml:space="preserve">       35.3% </v>
      </c>
      <c r="V691" t="str">
        <f t="shared" si="194"/>
        <v xml:space="preserve">         </v>
      </c>
      <c r="W691" t="str">
        <f t="shared" si="203"/>
        <v xml:space="preserve">         </v>
      </c>
      <c r="X691" t="str">
        <f t="shared" si="207"/>
        <v xml:space="preserve"> 41256 </v>
      </c>
      <c r="Y691" t="str">
        <f t="shared" si="207"/>
        <v xml:space="preserve"> CAX6-2-RS000 </v>
      </c>
      <c r="Z691" t="str">
        <f t="shared" si="207"/>
        <v xml:space="preserve">  2 </v>
      </c>
      <c r="AA691" t="str">
        <f t="shared" si="195"/>
        <v xml:space="preserve">   -56.7 </v>
      </c>
      <c r="AB691" t="str">
        <f t="shared" si="204"/>
        <v xml:space="preserve">   -20.6 </v>
      </c>
      <c r="AC691" t="str">
        <f t="shared" si="205"/>
        <v xml:space="preserve">    58.3 </v>
      </c>
      <c r="AD691" t="str">
        <f t="shared" si="206"/>
        <v xml:space="preserve"> 1.000F </v>
      </c>
      <c r="AE691" t="str">
        <f t="shared" si="196"/>
        <v xml:space="preserve">       </v>
      </c>
      <c r="AF691" t="str">
        <f t="shared" si="208"/>
        <v xml:space="preserve"> 002 </v>
      </c>
      <c r="AG691" t="str">
        <f t="shared" si="208"/>
        <v xml:space="preserve">     0.03 </v>
      </c>
      <c r="AH691" t="str">
        <f t="shared" si="197"/>
        <v xml:space="preserve">    -0.19 </v>
      </c>
      <c r="AI691" t="str">
        <f t="shared" si="198"/>
        <v xml:space="preserve">       </v>
      </c>
      <c r="AJ691" t="str">
        <f t="shared" si="199"/>
        <v xml:space="preserve">      </v>
      </c>
    </row>
    <row r="692" spans="1:36" x14ac:dyDescent="0.25">
      <c r="A692" t="s">
        <v>14</v>
      </c>
      <c r="P692" t="str">
        <f t="shared" si="200"/>
        <v xml:space="preserve">  ..............</v>
      </c>
      <c r="Q692" t="str">
        <f t="shared" si="200"/>
        <v>.........</v>
      </c>
      <c r="R692" t="str">
        <f t="shared" si="193"/>
        <v>.........</v>
      </c>
      <c r="S692" t="str">
        <f t="shared" si="201"/>
        <v>.........</v>
      </c>
      <c r="T692" t="str">
        <f t="shared" si="202"/>
        <v>.........</v>
      </c>
      <c r="U692" t="str">
        <f t="shared" si="206"/>
        <v>.............</v>
      </c>
      <c r="V692" t="str">
        <f t="shared" si="194"/>
        <v>.........</v>
      </c>
      <c r="W692" t="str">
        <f t="shared" si="203"/>
        <v>.........</v>
      </c>
      <c r="X692" t="str">
        <f t="shared" si="207"/>
        <v>.......</v>
      </c>
      <c r="Y692" t="str">
        <f t="shared" si="207"/>
        <v>..............</v>
      </c>
      <c r="Z692" t="str">
        <f t="shared" si="207"/>
        <v>....</v>
      </c>
      <c r="AA692" t="str">
        <f t="shared" si="195"/>
        <v>.........</v>
      </c>
      <c r="AB692" t="str">
        <f t="shared" si="204"/>
        <v>.........</v>
      </c>
      <c r="AC692" t="str">
        <f t="shared" si="205"/>
        <v>.........</v>
      </c>
      <c r="AD692" t="str">
        <f t="shared" si="206"/>
        <v>........</v>
      </c>
      <c r="AE692" t="str">
        <f t="shared" si="196"/>
        <v>.......</v>
      </c>
      <c r="AF692" t="str">
        <f t="shared" si="208"/>
        <v>.....</v>
      </c>
      <c r="AG692" t="str">
        <f t="shared" si="208"/>
        <v>..........</v>
      </c>
      <c r="AH692" t="str">
        <f t="shared" si="197"/>
        <v>..........</v>
      </c>
      <c r="AI692" t="str">
        <f t="shared" si="198"/>
        <v>.......</v>
      </c>
      <c r="AJ692" t="str">
        <f t="shared" si="199"/>
        <v>.......</v>
      </c>
    </row>
    <row r="693" spans="1:36" x14ac:dyDescent="0.25">
      <c r="A693" t="s">
        <v>549</v>
      </c>
      <c r="P693" t="str">
        <f t="shared" si="200"/>
        <v xml:space="preserve">_x000C_CEPEL - CENTRO </v>
      </c>
      <c r="Q693" t="str">
        <f t="shared" si="200"/>
        <v xml:space="preserve"> DE PESQU</v>
      </c>
      <c r="R693" t="str">
        <f t="shared" si="193"/>
        <v xml:space="preserve">UISAS DE </v>
      </c>
      <c r="S693" t="str">
        <f t="shared" si="201"/>
        <v xml:space="preserve"> ENERGIA </v>
      </c>
      <c r="T693" t="str">
        <f t="shared" si="202"/>
        <v xml:space="preserve"> ELETRICA</v>
      </c>
      <c r="U693" t="str">
        <f t="shared" si="206"/>
        <v xml:space="preserve">A - PROGRAMA </v>
      </c>
      <c r="V693" t="str">
        <f t="shared" si="194"/>
        <v xml:space="preserve"> DE ANALI</v>
      </c>
      <c r="W693" t="str">
        <f t="shared" si="203"/>
        <v>ISE DE RE</v>
      </c>
      <c r="X693" t="str">
        <f t="shared" si="207"/>
        <v xml:space="preserve">EDES - </v>
      </c>
      <c r="Y693" t="str">
        <f t="shared" si="207"/>
        <v xml:space="preserve"> V11.06.02    </v>
      </c>
      <c r="Z693" t="str">
        <f t="shared" si="207"/>
        <v xml:space="preserve">    </v>
      </c>
      <c r="AA693" t="str">
        <f t="shared" si="195"/>
        <v xml:space="preserve">         </v>
      </c>
      <c r="AB693" t="str">
        <f t="shared" si="204"/>
        <v xml:space="preserve">         </v>
      </c>
      <c r="AC693" t="str">
        <f t="shared" si="205"/>
        <v xml:space="preserve">         </v>
      </c>
      <c r="AD693" t="str">
        <f t="shared" si="206"/>
        <v xml:space="preserve">   PAG. </v>
      </c>
      <c r="AE693" t="str">
        <f t="shared" si="196"/>
        <v xml:space="preserve">   5</v>
      </c>
      <c r="AF693" t="str">
        <f t="shared" si="208"/>
        <v/>
      </c>
      <c r="AG693" t="str">
        <f t="shared" si="208"/>
        <v/>
      </c>
      <c r="AH693" t="str">
        <f t="shared" si="197"/>
        <v/>
      </c>
      <c r="AI693" t="str">
        <f t="shared" si="198"/>
        <v/>
      </c>
      <c r="AJ693" t="str">
        <f t="shared" si="199"/>
        <v/>
      </c>
    </row>
    <row r="694" spans="1:36" x14ac:dyDescent="0.25">
      <c r="P694" t="str">
        <f t="shared" si="200"/>
        <v/>
      </c>
      <c r="Q694" t="str">
        <f t="shared" si="200"/>
        <v/>
      </c>
      <c r="R694" t="str">
        <f t="shared" si="193"/>
        <v/>
      </c>
      <c r="S694" t="str">
        <f t="shared" si="201"/>
        <v/>
      </c>
      <c r="T694" t="str">
        <f t="shared" si="202"/>
        <v/>
      </c>
      <c r="U694" t="str">
        <f t="shared" si="206"/>
        <v/>
      </c>
      <c r="V694" t="str">
        <f t="shared" si="194"/>
        <v/>
      </c>
      <c r="W694" t="str">
        <f t="shared" si="203"/>
        <v/>
      </c>
      <c r="X694" t="str">
        <f t="shared" si="207"/>
        <v/>
      </c>
      <c r="Y694" t="str">
        <f t="shared" si="207"/>
        <v/>
      </c>
      <c r="Z694" t="str">
        <f t="shared" si="207"/>
        <v/>
      </c>
      <c r="AA694" t="str">
        <f t="shared" si="195"/>
        <v/>
      </c>
      <c r="AB694" t="str">
        <f t="shared" si="204"/>
        <v/>
      </c>
      <c r="AC694" t="str">
        <f t="shared" si="205"/>
        <v/>
      </c>
      <c r="AD694" t="str">
        <f t="shared" si="206"/>
        <v/>
      </c>
      <c r="AE694" t="str">
        <f t="shared" si="196"/>
        <v/>
      </c>
      <c r="AF694" t="str">
        <f t="shared" si="208"/>
        <v/>
      </c>
      <c r="AG694" t="str">
        <f t="shared" si="208"/>
        <v/>
      </c>
      <c r="AH694" t="str">
        <f t="shared" si="197"/>
        <v/>
      </c>
      <c r="AI694" t="str">
        <f t="shared" si="198"/>
        <v/>
      </c>
      <c r="AJ694" t="str">
        <f t="shared" si="199"/>
        <v/>
      </c>
    </row>
    <row r="695" spans="1:36" x14ac:dyDescent="0.25">
      <c r="A695" t="s">
        <v>1</v>
      </c>
      <c r="P695" t="str">
        <f t="shared" si="200"/>
        <v xml:space="preserve"> PARPEL 23-27 * </v>
      </c>
      <c r="Q695" t="str">
        <f t="shared" si="200"/>
        <v xml:space="preserve"> MG-GODF </v>
      </c>
      <c r="R695" t="str">
        <f t="shared" si="193"/>
        <v xml:space="preserve"> * I27M *</v>
      </c>
      <c r="S695" t="str">
        <f t="shared" si="201"/>
        <v>* NEexp *</v>
      </c>
      <c r="T695" t="str">
        <f t="shared" si="202"/>
        <v>* NESE 88</v>
      </c>
      <c r="U695" t="str">
        <f t="shared" si="206"/>
        <v>800 UFVMG 90%</v>
      </c>
      <c r="V695" t="str">
        <f t="shared" si="194"/>
        <v>% * UFVAl</v>
      </c>
      <c r="W695" t="str">
        <f t="shared" si="203"/>
        <v>lves120MW</v>
      </c>
      <c r="X695" t="str">
        <f t="shared" si="207"/>
        <v xml:space="preserve">W     </v>
      </c>
      <c r="Y695" t="str">
        <f t="shared" si="207"/>
        <v/>
      </c>
      <c r="Z695" t="str">
        <f t="shared" si="207"/>
        <v/>
      </c>
      <c r="AA695" t="str">
        <f t="shared" si="195"/>
        <v/>
      </c>
      <c r="AB695" t="str">
        <f t="shared" si="204"/>
        <v/>
      </c>
      <c r="AC695" t="str">
        <f t="shared" si="205"/>
        <v/>
      </c>
      <c r="AD695" t="str">
        <f t="shared" si="206"/>
        <v/>
      </c>
      <c r="AE695" t="str">
        <f t="shared" si="196"/>
        <v/>
      </c>
      <c r="AF695" t="str">
        <f t="shared" si="208"/>
        <v/>
      </c>
      <c r="AG695" t="str">
        <f t="shared" si="208"/>
        <v/>
      </c>
      <c r="AH695" t="str">
        <f t="shared" si="197"/>
        <v/>
      </c>
      <c r="AI695" t="str">
        <f t="shared" si="198"/>
        <v/>
      </c>
      <c r="AJ695" t="str">
        <f t="shared" si="199"/>
        <v/>
      </c>
    </row>
    <row r="696" spans="1:36" x14ac:dyDescent="0.25">
      <c r="A696" t="s">
        <v>2</v>
      </c>
      <c r="P696" t="str">
        <f t="shared" si="200"/>
        <v xml:space="preserve"> RELATORIO COMPL</v>
      </c>
      <c r="Q696" t="str">
        <f t="shared" si="200"/>
        <v>LETO DO S</v>
      </c>
      <c r="R696" t="str">
        <f t="shared" si="193"/>
        <v>SISTEMA *</v>
      </c>
      <c r="S696" t="str">
        <f t="shared" si="201"/>
        <v xml:space="preserve">* AREA   </v>
      </c>
      <c r="T696" t="str">
        <f t="shared" si="202"/>
        <v xml:space="preserve"> 3 * RS -</v>
      </c>
      <c r="U696" t="str">
        <f t="shared" si="206"/>
        <v xml:space="preserve">- DIT/DIST   </v>
      </c>
      <c r="V696" t="str">
        <f t="shared" si="194"/>
        <v xml:space="preserve">         </v>
      </c>
      <c r="W696" t="str">
        <f t="shared" si="203"/>
        <v xml:space="preserve">         </v>
      </c>
      <c r="X696" t="str">
        <f t="shared" si="207"/>
        <v xml:space="preserve">     </v>
      </c>
      <c r="Y696" t="str">
        <f t="shared" si="207"/>
        <v/>
      </c>
      <c r="Z696" t="str">
        <f t="shared" si="207"/>
        <v/>
      </c>
      <c r="AA696" t="str">
        <f t="shared" si="195"/>
        <v/>
      </c>
      <c r="AB696" t="str">
        <f t="shared" si="204"/>
        <v/>
      </c>
      <c r="AC696" t="str">
        <f t="shared" si="205"/>
        <v/>
      </c>
      <c r="AD696" t="str">
        <f t="shared" si="206"/>
        <v/>
      </c>
      <c r="AE696" t="str">
        <f t="shared" si="196"/>
        <v/>
      </c>
      <c r="AF696" t="str">
        <f t="shared" si="208"/>
        <v/>
      </c>
      <c r="AG696" t="str">
        <f t="shared" si="208"/>
        <v/>
      </c>
      <c r="AH696" t="str">
        <f t="shared" si="197"/>
        <v/>
      </c>
      <c r="AI696" t="str">
        <f t="shared" si="198"/>
        <v/>
      </c>
      <c r="AJ696" t="str">
        <f t="shared" si="199"/>
        <v/>
      </c>
    </row>
    <row r="697" spans="1:36" x14ac:dyDescent="0.25">
      <c r="P697" t="str">
        <f t="shared" si="200"/>
        <v/>
      </c>
      <c r="Q697" t="str">
        <f t="shared" si="200"/>
        <v/>
      </c>
      <c r="R697" t="str">
        <f t="shared" si="193"/>
        <v/>
      </c>
      <c r="S697" t="str">
        <f t="shared" si="201"/>
        <v/>
      </c>
      <c r="T697" t="str">
        <f t="shared" si="202"/>
        <v/>
      </c>
      <c r="U697" t="str">
        <f t="shared" si="206"/>
        <v/>
      </c>
      <c r="V697" t="str">
        <f t="shared" si="194"/>
        <v/>
      </c>
      <c r="W697" t="str">
        <f t="shared" si="203"/>
        <v/>
      </c>
      <c r="X697" t="str">
        <f t="shared" si="207"/>
        <v/>
      </c>
      <c r="Y697" t="str">
        <f t="shared" si="207"/>
        <v/>
      </c>
      <c r="Z697" t="str">
        <f t="shared" si="207"/>
        <v/>
      </c>
      <c r="AA697" t="str">
        <f t="shared" si="195"/>
        <v/>
      </c>
      <c r="AB697" t="str">
        <f t="shared" si="204"/>
        <v/>
      </c>
      <c r="AC697" t="str">
        <f t="shared" si="205"/>
        <v/>
      </c>
      <c r="AD697" t="str">
        <f t="shared" si="206"/>
        <v/>
      </c>
      <c r="AE697" t="str">
        <f t="shared" si="196"/>
        <v/>
      </c>
      <c r="AF697" t="str">
        <f t="shared" si="208"/>
        <v/>
      </c>
      <c r="AG697" t="str">
        <f t="shared" si="208"/>
        <v/>
      </c>
      <c r="AH697" t="str">
        <f t="shared" si="197"/>
        <v/>
      </c>
      <c r="AI697" t="str">
        <f t="shared" si="198"/>
        <v/>
      </c>
      <c r="AJ697" t="str">
        <f t="shared" si="199"/>
        <v/>
      </c>
    </row>
    <row r="698" spans="1:36" x14ac:dyDescent="0.25">
      <c r="A698" t="s">
        <v>3</v>
      </c>
      <c r="P698" t="str">
        <f t="shared" si="200"/>
        <v xml:space="preserve"> X--------------</v>
      </c>
      <c r="Q698" t="str">
        <f t="shared" si="200"/>
        <v xml:space="preserve">-------- </v>
      </c>
      <c r="R698" t="str">
        <f t="shared" si="193"/>
        <v xml:space="preserve"> D A D O </v>
      </c>
      <c r="S698" t="str">
        <f t="shared" si="201"/>
        <v xml:space="preserve"> S  -  B </v>
      </c>
      <c r="T698" t="str">
        <f t="shared" si="202"/>
        <v xml:space="preserve"> A R R A </v>
      </c>
      <c r="U698" t="str">
        <f t="shared" si="206"/>
        <v xml:space="preserve"> ------------</v>
      </c>
      <c r="V698" t="str">
        <f t="shared" si="194"/>
        <v>---------</v>
      </c>
      <c r="W698" t="str">
        <f t="shared" si="203"/>
        <v>--------X</v>
      </c>
      <c r="X698" t="str">
        <f t="shared" si="207"/>
        <v>X------</v>
      </c>
      <c r="Y698" t="str">
        <f t="shared" si="207"/>
        <v>-------- F L U</v>
      </c>
      <c r="Z698" t="str">
        <f t="shared" si="207"/>
        <v xml:space="preserve">U X </v>
      </c>
      <c r="AA698" t="str">
        <f t="shared" si="195"/>
        <v xml:space="preserve"> O S  -  </v>
      </c>
      <c r="AB698" t="str">
        <f t="shared" si="204"/>
        <v xml:space="preserve"> C I R C </v>
      </c>
      <c r="AC698" t="str">
        <f t="shared" si="205"/>
        <v xml:space="preserve"> U I T O </v>
      </c>
      <c r="AD698" t="str">
        <f t="shared" si="206"/>
        <v xml:space="preserve"> S -----</v>
      </c>
      <c r="AE698" t="str">
        <f t="shared" si="196"/>
        <v>-------</v>
      </c>
      <c r="AF698" t="str">
        <f t="shared" si="208"/>
        <v>----X</v>
      </c>
      <c r="AG698" t="str">
        <f t="shared" si="208"/>
        <v>X--------X</v>
      </c>
      <c r="AH698" t="str">
        <f t="shared" si="197"/>
        <v>X--------X</v>
      </c>
      <c r="AI698" t="str">
        <f t="shared" si="198"/>
        <v>X------</v>
      </c>
      <c r="AJ698" t="str">
        <f t="shared" si="199"/>
        <v>------X</v>
      </c>
    </row>
    <row r="699" spans="1:36" x14ac:dyDescent="0.25">
      <c r="A699" t="s">
        <v>4</v>
      </c>
      <c r="P699" t="str">
        <f t="shared" si="200"/>
        <v xml:space="preserve">  DA BARRA      </v>
      </c>
      <c r="Q699" t="str">
        <f t="shared" si="200"/>
        <v xml:space="preserve">  TENSAO </v>
      </c>
      <c r="R699" t="str">
        <f t="shared" si="193"/>
        <v xml:space="preserve"> GERACAO </v>
      </c>
      <c r="S699" t="str">
        <f t="shared" si="201"/>
        <v xml:space="preserve"> INJ EQV </v>
      </c>
      <c r="T699" t="str">
        <f t="shared" si="202"/>
        <v xml:space="preserve">  CARGA  </v>
      </c>
      <c r="U699" t="str">
        <f t="shared" si="206"/>
        <v xml:space="preserve">  ELO CC  SHU</v>
      </c>
      <c r="V699" t="str">
        <f t="shared" si="194"/>
        <v>UNT    MO</v>
      </c>
      <c r="W699" t="str">
        <f t="shared" si="203"/>
        <v xml:space="preserve">OTOR     </v>
      </c>
      <c r="X699" t="str">
        <f t="shared" si="207"/>
        <v xml:space="preserve">       </v>
      </c>
      <c r="Y699" t="str">
        <f t="shared" si="207"/>
        <v xml:space="preserve">              </v>
      </c>
      <c r="Z699" t="str">
        <f t="shared" si="207"/>
        <v xml:space="preserve">    </v>
      </c>
      <c r="AA699" t="str">
        <f t="shared" si="195"/>
        <v xml:space="preserve">         </v>
      </c>
      <c r="AB699" t="str">
        <f t="shared" si="204"/>
        <v xml:space="preserve">         </v>
      </c>
      <c r="AC699" t="str">
        <f t="shared" si="205"/>
        <v xml:space="preserve">         </v>
      </c>
      <c r="AD699" t="str">
        <f t="shared" si="206"/>
        <v xml:space="preserve">        </v>
      </c>
      <c r="AE699" t="str">
        <f t="shared" si="196"/>
        <v xml:space="preserve">       </v>
      </c>
      <c r="AF699" t="str">
        <f t="shared" si="208"/>
        <v xml:space="preserve">     </v>
      </c>
      <c r="AG699" t="str">
        <f t="shared" si="208"/>
        <v xml:space="preserve">          </v>
      </c>
      <c r="AH699" t="str">
        <f t="shared" si="197"/>
        <v xml:space="preserve">          </v>
      </c>
      <c r="AI699" t="str">
        <f t="shared" si="198"/>
        <v xml:space="preserve">       </v>
      </c>
      <c r="AJ699" t="str">
        <f t="shared" si="199"/>
        <v xml:space="preserve">   </v>
      </c>
    </row>
    <row r="700" spans="1:36" x14ac:dyDescent="0.25">
      <c r="A700" t="s">
        <v>5</v>
      </c>
      <c r="P700" t="str">
        <f t="shared" si="200"/>
        <v xml:space="preserve">  NUM.  KV TIPO </v>
      </c>
      <c r="Q700" t="str">
        <f t="shared" si="200"/>
        <v xml:space="preserve">   MOD/  </v>
      </c>
      <c r="R700" t="str">
        <f t="shared" si="193"/>
        <v xml:space="preserve">    MW/  </v>
      </c>
      <c r="S700" t="str">
        <f t="shared" si="201"/>
        <v xml:space="preserve">    MW/  </v>
      </c>
      <c r="T700" t="str">
        <f t="shared" si="202"/>
        <v xml:space="preserve">    MW/  </v>
      </c>
      <c r="U700" t="str">
        <f t="shared" si="206"/>
        <v xml:space="preserve">    MW/   Mva</v>
      </c>
      <c r="V700" t="str">
        <f t="shared" si="194"/>
        <v>ar/     M</v>
      </c>
      <c r="W700" t="str">
        <f t="shared" si="203"/>
        <v xml:space="preserve">MW/      </v>
      </c>
      <c r="X700" t="str">
        <f t="shared" si="207"/>
        <v xml:space="preserve">       </v>
      </c>
      <c r="Y700" t="str">
        <f t="shared" si="207"/>
        <v xml:space="preserve">              </v>
      </c>
      <c r="Z700" t="str">
        <f t="shared" si="207"/>
        <v xml:space="preserve">    </v>
      </c>
      <c r="AA700" t="str">
        <f t="shared" si="195"/>
        <v xml:space="preserve">         </v>
      </c>
      <c r="AB700" t="str">
        <f t="shared" si="204"/>
        <v xml:space="preserve">         </v>
      </c>
      <c r="AC700" t="str">
        <f t="shared" si="205"/>
        <v xml:space="preserve">         </v>
      </c>
      <c r="AD700" t="str">
        <f t="shared" si="206"/>
        <v xml:space="preserve">        </v>
      </c>
      <c r="AE700" t="str">
        <f t="shared" si="196"/>
        <v xml:space="preserve">       </v>
      </c>
      <c r="AF700" t="str">
        <f t="shared" si="208"/>
        <v xml:space="preserve">    P</v>
      </c>
      <c r="AG700" t="str">
        <f t="shared" si="208"/>
        <v xml:space="preserve">P E R D A </v>
      </c>
      <c r="AH700" t="str">
        <f t="shared" si="197"/>
        <v xml:space="preserve"> S       T</v>
      </c>
      <c r="AI700" t="str">
        <f t="shared" si="198"/>
        <v xml:space="preserve">TENSAO </v>
      </c>
      <c r="AJ700" t="str">
        <f t="shared" si="199"/>
        <v xml:space="preserve">   </v>
      </c>
    </row>
    <row r="701" spans="1:36" x14ac:dyDescent="0.25">
      <c r="A701" t="s">
        <v>6</v>
      </c>
      <c r="P701" t="str">
        <f t="shared" si="200"/>
        <v xml:space="preserve">       NOME     </v>
      </c>
      <c r="Q701" t="str">
        <f t="shared" si="200"/>
        <v xml:space="preserve">   ANG   </v>
      </c>
      <c r="R701" t="str">
        <f t="shared" si="193"/>
        <v xml:space="preserve">   Mvar  </v>
      </c>
      <c r="S701" t="str">
        <f t="shared" si="201"/>
        <v xml:space="preserve">   Mvar  </v>
      </c>
      <c r="T701" t="str">
        <f t="shared" si="202"/>
        <v xml:space="preserve">   Mvar  </v>
      </c>
      <c r="U701" t="str">
        <f t="shared" si="206"/>
        <v xml:space="preserve">   Mvar   EQU</v>
      </c>
      <c r="V701" t="str">
        <f t="shared" si="194"/>
        <v>UIV    Mv</v>
      </c>
      <c r="W701" t="str">
        <f t="shared" si="203"/>
        <v>var  PARA</v>
      </c>
      <c r="X701" t="str">
        <f t="shared" si="207"/>
        <v>A BARRA</v>
      </c>
      <c r="Y701" t="str">
        <f t="shared" si="207"/>
        <v xml:space="preserve">A             </v>
      </c>
      <c r="Z701" t="str">
        <f t="shared" si="207"/>
        <v xml:space="preserve">    </v>
      </c>
      <c r="AA701" t="str">
        <f t="shared" si="195"/>
        <v xml:space="preserve">      FLU</v>
      </c>
      <c r="AB701" t="str">
        <f t="shared" si="204"/>
        <v xml:space="preserve">UXOS     </v>
      </c>
      <c r="AC701" t="str">
        <f t="shared" si="205"/>
        <v xml:space="preserve">         </v>
      </c>
      <c r="AD701" t="str">
        <f t="shared" si="206"/>
        <v xml:space="preserve">        </v>
      </c>
      <c r="AE701" t="str">
        <f t="shared" si="196"/>
        <v xml:space="preserve">       </v>
      </c>
      <c r="AF701" t="str">
        <f t="shared" si="208"/>
        <v xml:space="preserve">  ATI</v>
      </c>
      <c r="AG701" t="str">
        <f t="shared" si="208"/>
        <v>IVA   REAT</v>
      </c>
      <c r="AH701" t="str">
        <f t="shared" si="197"/>
        <v>TIVA  CIR.</v>
      </c>
      <c r="AI701" t="str">
        <f t="shared" si="198"/>
        <v>. ABERT</v>
      </c>
      <c r="AJ701" t="str">
        <f t="shared" si="199"/>
        <v xml:space="preserve">TO </v>
      </c>
    </row>
    <row r="702" spans="1:36" x14ac:dyDescent="0.25">
      <c r="A702" t="s">
        <v>7</v>
      </c>
      <c r="P702" t="str">
        <f t="shared" si="200"/>
        <v xml:space="preserve">                </v>
      </c>
      <c r="Q702" t="str">
        <f t="shared" si="200"/>
        <v xml:space="preserve">         </v>
      </c>
      <c r="R702" t="str">
        <f t="shared" si="193"/>
        <v xml:space="preserve"> MVA_NOM </v>
      </c>
      <c r="S702" t="str">
        <f t="shared" si="201"/>
        <v xml:space="preserve"> MVA_EMR </v>
      </c>
      <c r="T702" t="str">
        <f t="shared" si="202"/>
        <v xml:space="preserve"> MVA_EQP </v>
      </c>
      <c r="U702" t="str">
        <f t="shared" si="206"/>
        <v xml:space="preserve">   FLUXO %   </v>
      </c>
      <c r="V702" t="str">
        <f t="shared" si="194"/>
        <v xml:space="preserve"> SHUNT L </v>
      </c>
      <c r="W702" t="str">
        <f t="shared" si="203"/>
        <v xml:space="preserve">         </v>
      </c>
      <c r="X702" t="str">
        <f t="shared" si="207"/>
        <v xml:space="preserve"> NUM.  </v>
      </c>
      <c r="Y702" t="str">
        <f t="shared" si="207"/>
        <v xml:space="preserve">     NOME     </v>
      </c>
      <c r="Z702" t="str">
        <f t="shared" si="207"/>
        <v xml:space="preserve"> NC </v>
      </c>
      <c r="AA702" t="str">
        <f t="shared" si="195"/>
        <v xml:space="preserve">    MW   </v>
      </c>
      <c r="AB702" t="str">
        <f t="shared" si="204"/>
        <v xml:space="preserve">   Mvar  </v>
      </c>
      <c r="AC702" t="str">
        <f t="shared" si="205"/>
        <v xml:space="preserve"> MVA/V_d </v>
      </c>
      <c r="AD702" t="str">
        <f t="shared" si="206"/>
        <v xml:space="preserve">   TAP  </v>
      </c>
      <c r="AE702" t="str">
        <f t="shared" si="196"/>
        <v xml:space="preserve"> DEFAS </v>
      </c>
      <c r="AF702" t="str">
        <f t="shared" si="208"/>
        <v xml:space="preserve"> TIE </v>
      </c>
      <c r="AG702" t="str">
        <f t="shared" si="208"/>
        <v xml:space="preserve">    MW    </v>
      </c>
      <c r="AH702" t="str">
        <f t="shared" si="197"/>
        <v xml:space="preserve">   Mvar   </v>
      </c>
      <c r="AI702" t="str">
        <f t="shared" si="198"/>
        <v xml:space="preserve">  MOD  </v>
      </c>
      <c r="AJ702" t="str">
        <f t="shared" si="199"/>
        <v xml:space="preserve">  ANG  </v>
      </c>
    </row>
    <row r="703" spans="1:36" x14ac:dyDescent="0.25">
      <c r="A703" t="s">
        <v>8</v>
      </c>
      <c r="P703" t="str">
        <f t="shared" si="200"/>
        <v xml:space="preserve"> X-------------X</v>
      </c>
      <c r="Q703" t="str">
        <f t="shared" si="200"/>
        <v>X-------X</v>
      </c>
      <c r="R703" t="str">
        <f t="shared" si="193"/>
        <v>X-------X</v>
      </c>
      <c r="S703" t="str">
        <f t="shared" si="201"/>
        <v>X-------X</v>
      </c>
      <c r="T703" t="str">
        <f t="shared" si="202"/>
        <v>X-------X</v>
      </c>
      <c r="U703" t="str">
        <f t="shared" si="206"/>
        <v>X-----------X</v>
      </c>
      <c r="V703" t="str">
        <f t="shared" si="194"/>
        <v>X-------X</v>
      </c>
      <c r="W703" t="str">
        <f t="shared" si="203"/>
        <v>X-------X</v>
      </c>
      <c r="X703" t="str">
        <f t="shared" si="207"/>
        <v>X-----X</v>
      </c>
      <c r="Y703" t="str">
        <f t="shared" si="207"/>
        <v>X------------X</v>
      </c>
      <c r="Z703" t="str">
        <f t="shared" si="207"/>
        <v>X--X</v>
      </c>
      <c r="AA703" t="str">
        <f t="shared" si="195"/>
        <v>X-------X</v>
      </c>
      <c r="AB703" t="str">
        <f t="shared" si="204"/>
        <v>X-------X</v>
      </c>
      <c r="AC703" t="str">
        <f t="shared" si="205"/>
        <v>X-------X</v>
      </c>
      <c r="AD703" t="str">
        <f t="shared" si="206"/>
        <v>X------X</v>
      </c>
      <c r="AE703" t="str">
        <f t="shared" si="196"/>
        <v>X-----X</v>
      </c>
      <c r="AF703" t="str">
        <f t="shared" si="208"/>
        <v>X---X</v>
      </c>
      <c r="AG703" t="str">
        <f t="shared" si="208"/>
        <v>X--------X</v>
      </c>
      <c r="AH703" t="str">
        <f t="shared" si="197"/>
        <v>X--------X</v>
      </c>
      <c r="AI703" t="str">
        <f t="shared" si="198"/>
        <v>X-----X</v>
      </c>
      <c r="AJ703" t="str">
        <f t="shared" si="199"/>
        <v>X-----X</v>
      </c>
    </row>
    <row r="704" spans="1:36" x14ac:dyDescent="0.25">
      <c r="P704" t="str">
        <f t="shared" si="200"/>
        <v/>
      </c>
      <c r="Q704" t="str">
        <f t="shared" si="200"/>
        <v/>
      </c>
      <c r="R704" t="str">
        <f t="shared" si="193"/>
        <v/>
      </c>
      <c r="S704" t="str">
        <f t="shared" si="201"/>
        <v/>
      </c>
      <c r="T704" t="str">
        <f t="shared" si="202"/>
        <v/>
      </c>
      <c r="U704" t="str">
        <f t="shared" si="206"/>
        <v/>
      </c>
      <c r="V704" t="str">
        <f t="shared" si="194"/>
        <v/>
      </c>
      <c r="W704" t="str">
        <f t="shared" si="203"/>
        <v/>
      </c>
      <c r="X704" t="str">
        <f t="shared" si="207"/>
        <v/>
      </c>
      <c r="Y704" t="str">
        <f t="shared" si="207"/>
        <v/>
      </c>
      <c r="Z704" t="str">
        <f t="shared" si="207"/>
        <v/>
      </c>
      <c r="AA704" t="str">
        <f t="shared" si="195"/>
        <v/>
      </c>
      <c r="AB704" t="str">
        <f t="shared" si="204"/>
        <v/>
      </c>
      <c r="AC704" t="str">
        <f t="shared" si="205"/>
        <v/>
      </c>
      <c r="AD704" t="str">
        <f t="shared" si="206"/>
        <v/>
      </c>
      <c r="AE704" t="str">
        <f t="shared" si="196"/>
        <v/>
      </c>
      <c r="AF704" t="str">
        <f t="shared" si="208"/>
        <v/>
      </c>
      <c r="AG704" t="str">
        <f t="shared" si="208"/>
        <v/>
      </c>
      <c r="AH704" t="str">
        <f t="shared" si="197"/>
        <v/>
      </c>
      <c r="AI704" t="str">
        <f t="shared" si="198"/>
        <v/>
      </c>
      <c r="AJ704" t="str">
        <f t="shared" si="199"/>
        <v/>
      </c>
    </row>
    <row r="705" spans="1:36" x14ac:dyDescent="0.25">
      <c r="A705" t="s">
        <v>550</v>
      </c>
      <c r="P705" t="str">
        <f t="shared" si="200"/>
        <v xml:space="preserve">   1388   69  0 </v>
      </c>
      <c r="Q705" t="str">
        <f t="shared" si="200"/>
        <v xml:space="preserve">   1.030 </v>
      </c>
      <c r="R705" t="str">
        <f t="shared" si="193"/>
        <v xml:space="preserve">     2.2 </v>
      </c>
      <c r="S705" t="str">
        <f t="shared" si="201"/>
        <v xml:space="preserve">     0.0 </v>
      </c>
      <c r="T705" t="str">
        <f t="shared" si="202"/>
        <v xml:space="preserve">    34.3 </v>
      </c>
      <c r="U705" t="str">
        <f t="shared" si="206"/>
        <v xml:space="preserve">         0.0 </v>
      </c>
      <c r="V705" t="str">
        <f t="shared" si="194"/>
        <v xml:space="preserve">     7.6 </v>
      </c>
      <c r="W705" t="str">
        <f t="shared" si="203"/>
        <v xml:space="preserve">     0.0</v>
      </c>
      <c r="X705" t="str">
        <f t="shared" si="207"/>
        <v/>
      </c>
      <c r="Y705" t="str">
        <f t="shared" si="207"/>
        <v/>
      </c>
      <c r="Z705" t="str">
        <f t="shared" si="207"/>
        <v/>
      </c>
      <c r="AA705" t="str">
        <f t="shared" si="195"/>
        <v/>
      </c>
      <c r="AB705" t="str">
        <f t="shared" si="204"/>
        <v/>
      </c>
      <c r="AC705" t="str">
        <f t="shared" si="205"/>
        <v/>
      </c>
      <c r="AD705" t="str">
        <f t="shared" si="206"/>
        <v/>
      </c>
      <c r="AE705" t="str">
        <f t="shared" si="196"/>
        <v/>
      </c>
      <c r="AF705" t="str">
        <f t="shared" si="208"/>
        <v/>
      </c>
      <c r="AG705" t="str">
        <f t="shared" si="208"/>
        <v/>
      </c>
      <c r="AH705" t="str">
        <f t="shared" si="197"/>
        <v/>
      </c>
      <c r="AI705" t="str">
        <f t="shared" si="198"/>
        <v/>
      </c>
      <c r="AJ705" t="str">
        <f t="shared" si="199"/>
        <v/>
      </c>
    </row>
    <row r="706" spans="1:36" x14ac:dyDescent="0.25">
      <c r="A706" t="s">
        <v>551</v>
      </c>
      <c r="P706" t="str">
        <f t="shared" si="200"/>
        <v xml:space="preserve">  CAXIA3-RS069  </v>
      </c>
      <c r="Q706" t="str">
        <f t="shared" si="200"/>
        <v xml:space="preserve">   -51.4 </v>
      </c>
      <c r="R706" t="str">
        <f t="shared" si="193"/>
        <v xml:space="preserve">     0.0 </v>
      </c>
      <c r="S706" t="str">
        <f t="shared" si="201"/>
        <v xml:space="preserve">     0.0 </v>
      </c>
      <c r="T706" t="str">
        <f t="shared" si="202"/>
        <v xml:space="preserve">    10.3 </v>
      </c>
      <c r="U706" t="str">
        <f t="shared" si="206"/>
        <v xml:space="preserve">         0.0 </v>
      </c>
      <c r="V706" t="str">
        <f t="shared" si="194"/>
        <v xml:space="preserve">     0.0 </v>
      </c>
      <c r="W706" t="str">
        <f t="shared" si="203"/>
        <v xml:space="preserve">     0.0 </v>
      </c>
      <c r="X706" t="str">
        <f t="shared" si="207"/>
        <v xml:space="preserve">       </v>
      </c>
      <c r="Y706" t="str">
        <f t="shared" si="207"/>
        <v xml:space="preserve">              </v>
      </c>
      <c r="Z706" t="str">
        <f t="shared" si="207"/>
        <v xml:space="preserve">    </v>
      </c>
      <c r="AA706" t="str">
        <f t="shared" si="195"/>
        <v xml:space="preserve">         </v>
      </c>
      <c r="AB706" t="str">
        <f t="shared" si="204"/>
        <v xml:space="preserve">         </v>
      </c>
      <c r="AC706" t="str">
        <f t="shared" si="205"/>
        <v xml:space="preserve">    </v>
      </c>
      <c r="AD706" t="str">
        <f t="shared" si="206"/>
        <v/>
      </c>
      <c r="AE706" t="str">
        <f t="shared" si="196"/>
        <v/>
      </c>
      <c r="AF706" t="str">
        <f t="shared" si="208"/>
        <v/>
      </c>
      <c r="AG706" t="str">
        <f t="shared" si="208"/>
        <v/>
      </c>
      <c r="AH706" t="str">
        <f t="shared" si="197"/>
        <v/>
      </c>
      <c r="AI706" t="str">
        <f t="shared" si="198"/>
        <v/>
      </c>
      <c r="AJ706" t="str">
        <f t="shared" si="199"/>
        <v/>
      </c>
    </row>
    <row r="707" spans="1:36" x14ac:dyDescent="0.25">
      <c r="A707" t="s">
        <v>552</v>
      </c>
      <c r="P707" t="str">
        <f t="shared" si="200"/>
        <v xml:space="preserve">                </v>
      </c>
      <c r="Q707" t="str">
        <f t="shared" si="200"/>
        <v xml:space="preserve">         </v>
      </c>
      <c r="R707" t="str">
        <f t="shared" si="193"/>
        <v xml:space="preserve">   106.0 </v>
      </c>
      <c r="S707" t="str">
        <f t="shared" si="201"/>
        <v xml:space="preserve">   130.0 </v>
      </c>
      <c r="T707" t="str">
        <f t="shared" si="202"/>
        <v xml:space="preserve">   130.0 </v>
      </c>
      <c r="U707" t="str">
        <f t="shared" si="206"/>
        <v xml:space="preserve">       29.5% </v>
      </c>
      <c r="V707" t="str">
        <f t="shared" si="194"/>
        <v xml:space="preserve">         </v>
      </c>
      <c r="W707" t="str">
        <f t="shared" si="203"/>
        <v xml:space="preserve">         </v>
      </c>
      <c r="X707" t="str">
        <f t="shared" si="207"/>
        <v xml:space="preserve">  1387 </v>
      </c>
      <c r="Y707" t="str">
        <f t="shared" si="207"/>
        <v xml:space="preserve"> CAXIA6-RS069 </v>
      </c>
      <c r="Z707" t="str">
        <f t="shared" si="207"/>
        <v xml:space="preserve">  1 </v>
      </c>
      <c r="AA707" t="str">
        <f t="shared" si="195"/>
        <v xml:space="preserve">   -32.1 </v>
      </c>
      <c r="AB707" t="str">
        <f t="shared" si="204"/>
        <v xml:space="preserve">    -2.7 </v>
      </c>
      <c r="AC707" t="str">
        <f t="shared" si="205"/>
        <v xml:space="preserve">    31.3 </v>
      </c>
      <c r="AD707" t="str">
        <f t="shared" si="206"/>
        <v xml:space="preserve">        </v>
      </c>
      <c r="AE707" t="str">
        <f t="shared" si="196"/>
        <v xml:space="preserve">       </v>
      </c>
      <c r="AF707" t="str">
        <f t="shared" si="208"/>
        <v xml:space="preserve">     </v>
      </c>
      <c r="AG707" t="str">
        <f t="shared" si="208"/>
        <v xml:space="preserve">     0.10 </v>
      </c>
      <c r="AH707" t="str">
        <f t="shared" si="197"/>
        <v xml:space="preserve">     0.48 </v>
      </c>
      <c r="AI707" t="str">
        <f t="shared" si="198"/>
        <v xml:space="preserve">       </v>
      </c>
      <c r="AJ707" t="str">
        <f t="shared" si="199"/>
        <v xml:space="preserve">      </v>
      </c>
    </row>
    <row r="708" spans="1:36" x14ac:dyDescent="0.25">
      <c r="A708" t="s">
        <v>553</v>
      </c>
      <c r="P708" t="str">
        <f t="shared" si="200"/>
        <v xml:space="preserve">              DE</v>
      </c>
      <c r="Q708" t="str">
        <f t="shared" si="200"/>
        <v xml:space="preserve">ESLIGADO </v>
      </c>
      <c r="R708" t="str">
        <f t="shared" si="193"/>
        <v xml:space="preserve">    80.0 </v>
      </c>
      <c r="S708" t="str">
        <f t="shared" si="201"/>
        <v xml:space="preserve">    95.0 </v>
      </c>
      <c r="T708" t="str">
        <f t="shared" si="202"/>
        <v xml:space="preserve">    95.0 </v>
      </c>
      <c r="U708" t="str">
        <f t="shared" si="206"/>
        <v xml:space="preserve">             </v>
      </c>
      <c r="V708" t="str">
        <f t="shared" si="194"/>
        <v xml:space="preserve">         </v>
      </c>
      <c r="W708" t="str">
        <f t="shared" si="203"/>
        <v xml:space="preserve">         </v>
      </c>
      <c r="X708" t="str">
        <f t="shared" si="207"/>
        <v xml:space="preserve">  9295 </v>
      </c>
      <c r="Y708" t="str">
        <f t="shared" si="207"/>
        <v xml:space="preserve"> EBERLETAP069 </v>
      </c>
      <c r="Z708" t="str">
        <f t="shared" si="207"/>
        <v xml:space="preserve">  1 </v>
      </c>
      <c r="AA708" t="str">
        <f t="shared" si="195"/>
        <v xml:space="preserve">     0.0 </v>
      </c>
      <c r="AB708" t="str">
        <f t="shared" si="204"/>
        <v xml:space="preserve">     0.0 </v>
      </c>
      <c r="AC708" t="str">
        <f t="shared" si="205"/>
        <v xml:space="preserve">     0.0 </v>
      </c>
      <c r="AD708" t="str">
        <f t="shared" si="206"/>
        <v xml:space="preserve">        </v>
      </c>
      <c r="AE708" t="str">
        <f t="shared" si="196"/>
        <v xml:space="preserve">       </v>
      </c>
      <c r="AF708" t="str">
        <f t="shared" si="208"/>
        <v xml:space="preserve">     </v>
      </c>
      <c r="AG708" t="str">
        <f t="shared" si="208"/>
        <v xml:space="preserve">     0.00 </v>
      </c>
      <c r="AH708" t="str">
        <f t="shared" si="197"/>
        <v xml:space="preserve">     0.00 </v>
      </c>
      <c r="AI708" t="str">
        <f t="shared" si="198"/>
        <v xml:space="preserve">       </v>
      </c>
      <c r="AJ708" t="str">
        <f t="shared" si="199"/>
        <v xml:space="preserve">      </v>
      </c>
    </row>
    <row r="709" spans="1:36" x14ac:dyDescent="0.25">
      <c r="A709" t="s">
        <v>14</v>
      </c>
      <c r="P709" t="str">
        <f t="shared" si="200"/>
        <v xml:space="preserve">  ..............</v>
      </c>
      <c r="Q709" t="str">
        <f t="shared" si="200"/>
        <v>.........</v>
      </c>
      <c r="R709" t="str">
        <f t="shared" si="193"/>
        <v>.........</v>
      </c>
      <c r="S709" t="str">
        <f t="shared" si="201"/>
        <v>.........</v>
      </c>
      <c r="T709" t="str">
        <f t="shared" si="202"/>
        <v>.........</v>
      </c>
      <c r="U709" t="str">
        <f t="shared" si="206"/>
        <v>.............</v>
      </c>
      <c r="V709" t="str">
        <f t="shared" si="194"/>
        <v>.........</v>
      </c>
      <c r="W709" t="str">
        <f t="shared" si="203"/>
        <v>.........</v>
      </c>
      <c r="X709" t="str">
        <f t="shared" si="207"/>
        <v>.......</v>
      </c>
      <c r="Y709" t="str">
        <f t="shared" si="207"/>
        <v>..............</v>
      </c>
      <c r="Z709" t="str">
        <f t="shared" si="207"/>
        <v>....</v>
      </c>
      <c r="AA709" t="str">
        <f t="shared" si="195"/>
        <v>.........</v>
      </c>
      <c r="AB709" t="str">
        <f t="shared" si="204"/>
        <v>.........</v>
      </c>
      <c r="AC709" t="str">
        <f t="shared" si="205"/>
        <v>.........</v>
      </c>
      <c r="AD709" t="str">
        <f t="shared" si="206"/>
        <v>........</v>
      </c>
      <c r="AE709" t="str">
        <f t="shared" si="196"/>
        <v>.......</v>
      </c>
      <c r="AF709" t="str">
        <f t="shared" si="208"/>
        <v>.....</v>
      </c>
      <c r="AG709" t="str">
        <f t="shared" si="208"/>
        <v>..........</v>
      </c>
      <c r="AH709" t="str">
        <f t="shared" si="197"/>
        <v>..........</v>
      </c>
      <c r="AI709" t="str">
        <f t="shared" si="198"/>
        <v>.......</v>
      </c>
      <c r="AJ709" t="str">
        <f t="shared" si="199"/>
        <v>.......</v>
      </c>
    </row>
    <row r="710" spans="1:36" x14ac:dyDescent="0.25">
      <c r="A710" t="s">
        <v>554</v>
      </c>
      <c r="P710" t="str">
        <f t="shared" si="200"/>
        <v xml:space="preserve">   1389   69  0 </v>
      </c>
      <c r="Q710" t="str">
        <f t="shared" si="200"/>
        <v xml:space="preserve">   1.009 </v>
      </c>
      <c r="R710" t="str">
        <f t="shared" si="193"/>
        <v xml:space="preserve">     6.5 </v>
      </c>
      <c r="S710" t="str">
        <f t="shared" si="201"/>
        <v xml:space="preserve">     0.0 </v>
      </c>
      <c r="T710" t="str">
        <f t="shared" si="202"/>
        <v xml:space="preserve">    48.3 </v>
      </c>
      <c r="U710" t="str">
        <f t="shared" si="206"/>
        <v xml:space="preserve">         0.0 </v>
      </c>
      <c r="V710" t="str">
        <f t="shared" si="194"/>
        <v xml:space="preserve">     7.3 </v>
      </c>
      <c r="W710" t="str">
        <f t="shared" si="203"/>
        <v xml:space="preserve">     0.0</v>
      </c>
      <c r="X710" t="str">
        <f t="shared" si="207"/>
        <v/>
      </c>
      <c r="Y710" t="str">
        <f t="shared" si="207"/>
        <v/>
      </c>
      <c r="Z710" t="str">
        <f t="shared" si="207"/>
        <v/>
      </c>
      <c r="AA710" t="str">
        <f t="shared" si="195"/>
        <v/>
      </c>
      <c r="AB710" t="str">
        <f t="shared" si="204"/>
        <v/>
      </c>
      <c r="AC710" t="str">
        <f t="shared" si="205"/>
        <v/>
      </c>
      <c r="AD710" t="str">
        <f t="shared" si="206"/>
        <v/>
      </c>
      <c r="AE710" t="str">
        <f t="shared" si="196"/>
        <v/>
      </c>
      <c r="AF710" t="str">
        <f t="shared" si="208"/>
        <v/>
      </c>
      <c r="AG710" t="str">
        <f t="shared" si="208"/>
        <v/>
      </c>
      <c r="AH710" t="str">
        <f t="shared" si="197"/>
        <v/>
      </c>
      <c r="AI710" t="str">
        <f t="shared" si="198"/>
        <v/>
      </c>
      <c r="AJ710" t="str">
        <f t="shared" si="199"/>
        <v/>
      </c>
    </row>
    <row r="711" spans="1:36" x14ac:dyDescent="0.25">
      <c r="A711" t="s">
        <v>555</v>
      </c>
      <c r="P711" t="str">
        <f t="shared" si="200"/>
        <v xml:space="preserve">  CAXIA4-RS069  </v>
      </c>
      <c r="Q711" t="str">
        <f t="shared" si="200"/>
        <v xml:space="preserve">   -52.5 </v>
      </c>
      <c r="R711" t="str">
        <f t="shared" si="193"/>
        <v xml:space="preserve">     0.0 </v>
      </c>
      <c r="S711" t="str">
        <f t="shared" si="201"/>
        <v xml:space="preserve">     0.0 </v>
      </c>
      <c r="T711" t="str">
        <f t="shared" si="202"/>
        <v xml:space="preserve">    15.8 </v>
      </c>
      <c r="U711" t="str">
        <f t="shared" si="206"/>
        <v xml:space="preserve">         0.0 </v>
      </c>
      <c r="V711" t="str">
        <f t="shared" si="194"/>
        <v xml:space="preserve">     0.0 </v>
      </c>
      <c r="W711" t="str">
        <f t="shared" si="203"/>
        <v xml:space="preserve">     0.0 </v>
      </c>
      <c r="X711" t="str">
        <f t="shared" si="207"/>
        <v xml:space="preserve">       </v>
      </c>
      <c r="Y711" t="str">
        <f t="shared" si="207"/>
        <v xml:space="preserve">              </v>
      </c>
      <c r="Z711" t="str">
        <f t="shared" si="207"/>
        <v xml:space="preserve">    </v>
      </c>
      <c r="AA711" t="str">
        <f t="shared" si="195"/>
        <v xml:space="preserve">         </v>
      </c>
      <c r="AB711" t="str">
        <f t="shared" si="204"/>
        <v xml:space="preserve">         </v>
      </c>
      <c r="AC711" t="str">
        <f t="shared" si="205"/>
        <v xml:space="preserve">    </v>
      </c>
      <c r="AD711" t="str">
        <f t="shared" si="206"/>
        <v/>
      </c>
      <c r="AE711" t="str">
        <f t="shared" si="196"/>
        <v/>
      </c>
      <c r="AF711" t="str">
        <f t="shared" si="208"/>
        <v/>
      </c>
      <c r="AG711" t="str">
        <f t="shared" si="208"/>
        <v/>
      </c>
      <c r="AH711" t="str">
        <f t="shared" si="197"/>
        <v/>
      </c>
      <c r="AI711" t="str">
        <f t="shared" si="198"/>
        <v/>
      </c>
      <c r="AJ711" t="str">
        <f t="shared" si="199"/>
        <v/>
      </c>
    </row>
    <row r="712" spans="1:36" x14ac:dyDescent="0.25">
      <c r="A712" t="s">
        <v>556</v>
      </c>
      <c r="P712" t="str">
        <f t="shared" si="200"/>
        <v xml:space="preserve">              DE</v>
      </c>
      <c r="Q712" t="str">
        <f t="shared" si="200"/>
        <v xml:space="preserve">ESLIGADO </v>
      </c>
      <c r="R712" t="str">
        <f t="shared" si="193"/>
        <v xml:space="preserve">    84.0 </v>
      </c>
      <c r="S712" t="str">
        <f t="shared" si="201"/>
        <v xml:space="preserve">   101.0 </v>
      </c>
      <c r="T712" t="str">
        <f t="shared" si="202"/>
        <v xml:space="preserve">   101.0 </v>
      </c>
      <c r="U712" t="str">
        <f t="shared" si="206"/>
        <v xml:space="preserve">             </v>
      </c>
      <c r="V712" t="str">
        <f t="shared" si="194"/>
        <v xml:space="preserve">         </v>
      </c>
      <c r="W712" t="str">
        <f t="shared" si="203"/>
        <v xml:space="preserve">         </v>
      </c>
      <c r="X712" t="str">
        <f t="shared" si="207"/>
        <v xml:space="preserve">  1201 </v>
      </c>
      <c r="Y712" t="str">
        <f t="shared" si="207"/>
        <v xml:space="preserve"> CAXIA2-RS069 </v>
      </c>
      <c r="Z712" t="str">
        <f t="shared" si="207"/>
        <v xml:space="preserve">  1 </v>
      </c>
      <c r="AA712" t="str">
        <f t="shared" si="195"/>
        <v xml:space="preserve">     0.0 </v>
      </c>
      <c r="AB712" t="str">
        <f t="shared" si="204"/>
        <v xml:space="preserve">     0.0 </v>
      </c>
      <c r="AC712" t="str">
        <f t="shared" si="205"/>
        <v xml:space="preserve">     0.0 </v>
      </c>
      <c r="AD712" t="str">
        <f t="shared" si="206"/>
        <v xml:space="preserve">        </v>
      </c>
      <c r="AE712" t="str">
        <f t="shared" si="196"/>
        <v xml:space="preserve">       </v>
      </c>
      <c r="AF712" t="str">
        <f t="shared" si="208"/>
        <v xml:space="preserve">     </v>
      </c>
      <c r="AG712" t="str">
        <f t="shared" si="208"/>
        <v xml:space="preserve">     0.00 </v>
      </c>
      <c r="AH712" t="str">
        <f t="shared" si="197"/>
        <v xml:space="preserve">     0.00 </v>
      </c>
      <c r="AI712" t="str">
        <f t="shared" si="198"/>
        <v xml:space="preserve">       </v>
      </c>
      <c r="AJ712" t="str">
        <f t="shared" si="199"/>
        <v xml:space="preserve">      </v>
      </c>
    </row>
    <row r="713" spans="1:36" x14ac:dyDescent="0.25">
      <c r="A713" t="s">
        <v>557</v>
      </c>
      <c r="P713" t="str">
        <f t="shared" si="200"/>
        <v xml:space="preserve">                </v>
      </c>
      <c r="Q713" t="str">
        <f t="shared" si="200"/>
        <v xml:space="preserve">         </v>
      </c>
      <c r="R713" t="str">
        <f t="shared" si="193"/>
        <v xml:space="preserve">   106.0 </v>
      </c>
      <c r="S713" t="str">
        <f t="shared" si="201"/>
        <v xml:space="preserve">   130.0 </v>
      </c>
      <c r="T713" t="str">
        <f t="shared" si="202"/>
        <v xml:space="preserve">   130.0 </v>
      </c>
      <c r="U713" t="str">
        <f t="shared" si="206"/>
        <v xml:space="preserve">       59.0% </v>
      </c>
      <c r="V713" t="str">
        <f t="shared" si="194"/>
        <v xml:space="preserve">         </v>
      </c>
      <c r="W713" t="str">
        <f t="shared" si="203"/>
        <v xml:space="preserve">         </v>
      </c>
      <c r="X713" t="str">
        <f t="shared" si="207"/>
        <v xml:space="preserve">  1387 </v>
      </c>
      <c r="Y713" t="str">
        <f t="shared" si="207"/>
        <v xml:space="preserve"> CAXIA6-RS069 </v>
      </c>
      <c r="Z713" t="str">
        <f t="shared" si="207"/>
        <v xml:space="preserve">  1 </v>
      </c>
      <c r="AA713" t="str">
        <f t="shared" si="195"/>
        <v xml:space="preserve">   -57.5 </v>
      </c>
      <c r="AB713" t="str">
        <f t="shared" si="204"/>
        <v xml:space="preserve">   -26.0 </v>
      </c>
      <c r="AC713" t="str">
        <f t="shared" si="205"/>
        <v xml:space="preserve">    62.6 </v>
      </c>
      <c r="AD713" t="str">
        <f t="shared" si="206"/>
        <v xml:space="preserve">        </v>
      </c>
      <c r="AE713" t="str">
        <f t="shared" si="196"/>
        <v xml:space="preserve">       </v>
      </c>
      <c r="AF713" t="str">
        <f t="shared" si="208"/>
        <v xml:space="preserve">     </v>
      </c>
      <c r="AG713" t="str">
        <f t="shared" si="208"/>
        <v xml:space="preserve">     0.48 </v>
      </c>
      <c r="AH713" t="str">
        <f t="shared" si="197"/>
        <v xml:space="preserve">     2.61 </v>
      </c>
      <c r="AI713" t="str">
        <f t="shared" si="198"/>
        <v xml:space="preserve">       </v>
      </c>
      <c r="AJ713" t="str">
        <f t="shared" si="199"/>
        <v xml:space="preserve">      </v>
      </c>
    </row>
    <row r="714" spans="1:36" x14ac:dyDescent="0.25">
      <c r="A714" t="s">
        <v>558</v>
      </c>
      <c r="P714" t="str">
        <f t="shared" si="200"/>
        <v xml:space="preserve">                </v>
      </c>
      <c r="Q714" t="str">
        <f t="shared" si="200"/>
        <v xml:space="preserve">         </v>
      </c>
      <c r="R714" t="str">
        <f t="shared" si="193"/>
        <v xml:space="preserve">    54.0 </v>
      </c>
      <c r="S714" t="str">
        <f t="shared" si="201"/>
        <v xml:space="preserve">    79.0 </v>
      </c>
      <c r="T714" t="str">
        <f t="shared" si="202"/>
        <v xml:space="preserve">    79.0 </v>
      </c>
      <c r="U714" t="str">
        <f t="shared" si="206"/>
        <v xml:space="preserve">       43.3% </v>
      </c>
      <c r="V714" t="str">
        <f t="shared" si="194"/>
        <v xml:space="preserve">         </v>
      </c>
      <c r="W714" t="str">
        <f t="shared" si="203"/>
        <v xml:space="preserve">         </v>
      </c>
      <c r="X714" t="str">
        <f t="shared" si="207"/>
        <v xml:space="preserve">  9293 </v>
      </c>
      <c r="Y714" t="str">
        <f t="shared" si="207"/>
        <v xml:space="preserve"> POTOMETAP069 </v>
      </c>
      <c r="Z714" t="str">
        <f t="shared" si="207"/>
        <v xml:space="preserve">  1 </v>
      </c>
      <c r="AA714" t="str">
        <f t="shared" si="195"/>
        <v xml:space="preserve">    15.7 </v>
      </c>
      <c r="AB714" t="str">
        <f t="shared" si="204"/>
        <v xml:space="preserve">    17.6 </v>
      </c>
      <c r="AC714" t="str">
        <f t="shared" si="205"/>
        <v xml:space="preserve">    23.4 </v>
      </c>
      <c r="AD714" t="str">
        <f t="shared" si="206"/>
        <v xml:space="preserve">        </v>
      </c>
      <c r="AE714" t="str">
        <f t="shared" si="196"/>
        <v xml:space="preserve">       </v>
      </c>
      <c r="AF714" t="str">
        <f t="shared" si="208"/>
        <v xml:space="preserve">     </v>
      </c>
      <c r="AG714" t="str">
        <f t="shared" si="208"/>
        <v xml:space="preserve">     0.02 </v>
      </c>
      <c r="AH714" t="str">
        <f t="shared" si="197"/>
        <v xml:space="preserve">     0.06 </v>
      </c>
      <c r="AI714" t="str">
        <f t="shared" si="198"/>
        <v xml:space="preserve">       </v>
      </c>
      <c r="AJ714" t="str">
        <f t="shared" si="199"/>
        <v xml:space="preserve">      </v>
      </c>
    </row>
    <row r="715" spans="1:36" x14ac:dyDescent="0.25">
      <c r="A715" t="s">
        <v>14</v>
      </c>
      <c r="P715" t="str">
        <f t="shared" si="200"/>
        <v xml:space="preserve">  ..............</v>
      </c>
      <c r="Q715" t="str">
        <f t="shared" si="200"/>
        <v>.........</v>
      </c>
      <c r="R715" t="str">
        <f t="shared" si="193"/>
        <v>.........</v>
      </c>
      <c r="S715" t="str">
        <f t="shared" si="201"/>
        <v>.........</v>
      </c>
      <c r="T715" t="str">
        <f t="shared" si="202"/>
        <v>.........</v>
      </c>
      <c r="U715" t="str">
        <f t="shared" si="206"/>
        <v>.............</v>
      </c>
      <c r="V715" t="str">
        <f t="shared" si="194"/>
        <v>.........</v>
      </c>
      <c r="W715" t="str">
        <f t="shared" si="203"/>
        <v>.........</v>
      </c>
      <c r="X715" t="str">
        <f t="shared" si="207"/>
        <v>.......</v>
      </c>
      <c r="Y715" t="str">
        <f t="shared" si="207"/>
        <v>..............</v>
      </c>
      <c r="Z715" t="str">
        <f t="shared" si="207"/>
        <v>....</v>
      </c>
      <c r="AA715" t="str">
        <f t="shared" si="195"/>
        <v>.........</v>
      </c>
      <c r="AB715" t="str">
        <f t="shared" si="204"/>
        <v>.........</v>
      </c>
      <c r="AC715" t="str">
        <f t="shared" si="205"/>
        <v>.........</v>
      </c>
      <c r="AD715" t="str">
        <f t="shared" si="206"/>
        <v>........</v>
      </c>
      <c r="AE715" t="str">
        <f t="shared" si="196"/>
        <v>.......</v>
      </c>
      <c r="AF715" t="str">
        <f t="shared" si="208"/>
        <v>.....</v>
      </c>
      <c r="AG715" t="str">
        <f t="shared" si="208"/>
        <v>..........</v>
      </c>
      <c r="AH715" t="str">
        <f t="shared" si="197"/>
        <v>..........</v>
      </c>
      <c r="AI715" t="str">
        <f t="shared" si="198"/>
        <v>.......</v>
      </c>
      <c r="AJ715" t="str">
        <f t="shared" si="199"/>
        <v>.......</v>
      </c>
    </row>
    <row r="716" spans="1:36" x14ac:dyDescent="0.25">
      <c r="A716" t="s">
        <v>559</v>
      </c>
      <c r="P716" t="str">
        <f t="shared" si="200"/>
        <v xml:space="preserve">   2050    7  1 </v>
      </c>
      <c r="Q716" t="str">
        <f t="shared" si="200"/>
        <v xml:space="preserve">   1.029 </v>
      </c>
      <c r="R716" t="str">
        <f t="shared" ref="R716:R779" si="209">MID($A716,Q$8+Q$9-1,R$9)</f>
        <v xml:space="preserve">     3.4 </v>
      </c>
      <c r="S716" t="str">
        <f t="shared" si="201"/>
        <v xml:space="preserve">     0.0 </v>
      </c>
      <c r="T716" t="str">
        <f t="shared" si="202"/>
        <v xml:space="preserve">     2.9 </v>
      </c>
      <c r="U716" t="str">
        <f t="shared" si="206"/>
        <v xml:space="preserve">         0.0 </v>
      </c>
      <c r="V716" t="str">
        <f t="shared" ref="V716:V779" si="210">MID($A716,U$8+U$9-1,V$9)</f>
        <v xml:space="preserve">     0.0 </v>
      </c>
      <c r="W716" t="str">
        <f t="shared" si="203"/>
        <v xml:space="preserve">     0.0</v>
      </c>
      <c r="X716" t="str">
        <f t="shared" si="207"/>
        <v/>
      </c>
      <c r="Y716" t="str">
        <f t="shared" si="207"/>
        <v/>
      </c>
      <c r="Z716" t="str">
        <f t="shared" si="207"/>
        <v/>
      </c>
      <c r="AA716" t="str">
        <f t="shared" ref="AA716:AA779" si="211">MID($A716,Z$8+Z$9-1,AA$9)</f>
        <v/>
      </c>
      <c r="AB716" t="str">
        <f t="shared" si="204"/>
        <v/>
      </c>
      <c r="AC716" t="str">
        <f t="shared" si="205"/>
        <v/>
      </c>
      <c r="AD716" t="str">
        <f t="shared" si="206"/>
        <v/>
      </c>
      <c r="AE716" t="str">
        <f t="shared" ref="AE716:AE779" si="212">MID($A716,AD$8+AD$9-1,AE$9)</f>
        <v/>
      </c>
      <c r="AF716" t="str">
        <f t="shared" si="208"/>
        <v/>
      </c>
      <c r="AG716" t="str">
        <f t="shared" si="208"/>
        <v/>
      </c>
      <c r="AH716" t="str">
        <f t="shared" ref="AH716:AH779" si="213">MID($A716,AG$8+AG$9-1,AH$9)</f>
        <v/>
      </c>
      <c r="AI716" t="str">
        <f t="shared" si="198"/>
        <v/>
      </c>
      <c r="AJ716" t="str">
        <f t="shared" si="199"/>
        <v/>
      </c>
    </row>
    <row r="717" spans="1:36" x14ac:dyDescent="0.25">
      <c r="A717" t="s">
        <v>560</v>
      </c>
      <c r="P717" t="str">
        <f t="shared" si="200"/>
        <v xml:space="preserve">  BUGRESPCH006  </v>
      </c>
      <c r="Q717" t="str">
        <f t="shared" si="200"/>
        <v xml:space="preserve">   -50.7 </v>
      </c>
      <c r="R717" t="str">
        <f t="shared" si="209"/>
        <v xml:space="preserve">     0.1 </v>
      </c>
      <c r="S717" t="str">
        <f t="shared" si="201"/>
        <v xml:space="preserve">     0.0 </v>
      </c>
      <c r="T717" t="str">
        <f t="shared" si="202"/>
        <v xml:space="preserve">    -0.6 </v>
      </c>
      <c r="U717" t="str">
        <f t="shared" si="206"/>
        <v xml:space="preserve">         0.0 </v>
      </c>
      <c r="V717" t="str">
        <f t="shared" si="210"/>
        <v xml:space="preserve">     0.0 </v>
      </c>
      <c r="W717" t="str">
        <f t="shared" si="203"/>
        <v xml:space="preserve">     0.0 </v>
      </c>
      <c r="X717" t="str">
        <f t="shared" si="207"/>
        <v xml:space="preserve">       </v>
      </c>
      <c r="Y717" t="str">
        <f t="shared" si="207"/>
        <v xml:space="preserve">              </v>
      </c>
      <c r="Z717" t="str">
        <f t="shared" si="207"/>
        <v xml:space="preserve">    </v>
      </c>
      <c r="AA717" t="str">
        <f t="shared" si="211"/>
        <v xml:space="preserve">         </v>
      </c>
      <c r="AB717" t="str">
        <f t="shared" si="204"/>
        <v xml:space="preserve">         </v>
      </c>
      <c r="AC717" t="str">
        <f t="shared" si="205"/>
        <v xml:space="preserve">    </v>
      </c>
      <c r="AD717" t="str">
        <f t="shared" si="206"/>
        <v/>
      </c>
      <c r="AE717" t="str">
        <f t="shared" si="212"/>
        <v/>
      </c>
      <c r="AF717" t="str">
        <f t="shared" si="208"/>
        <v/>
      </c>
      <c r="AG717" t="str">
        <f t="shared" si="208"/>
        <v/>
      </c>
      <c r="AH717" t="str">
        <f t="shared" si="213"/>
        <v/>
      </c>
      <c r="AI717" t="str">
        <f t="shared" si="198"/>
        <v/>
      </c>
      <c r="AJ717" t="str">
        <f t="shared" si="199"/>
        <v/>
      </c>
    </row>
    <row r="718" spans="1:36" x14ac:dyDescent="0.25">
      <c r="A718" t="s">
        <v>561</v>
      </c>
      <c r="P718" t="str">
        <f t="shared" si="200"/>
        <v xml:space="preserve">                </v>
      </c>
      <c r="Q718" t="str">
        <f t="shared" si="200"/>
        <v xml:space="preserve">         </v>
      </c>
      <c r="R718" t="str">
        <f t="shared" si="209"/>
        <v xml:space="preserve">    14.0 </v>
      </c>
      <c r="S718" t="str">
        <f t="shared" si="201"/>
        <v xml:space="preserve">    14.0 </v>
      </c>
      <c r="T718" t="str">
        <f t="shared" si="202"/>
        <v xml:space="preserve">    14.0 </v>
      </c>
      <c r="U718" t="str">
        <f t="shared" si="206"/>
        <v xml:space="preserve">        5.8% </v>
      </c>
      <c r="V718" t="str">
        <f t="shared" si="210"/>
        <v xml:space="preserve">         </v>
      </c>
      <c r="W718" t="str">
        <f t="shared" si="203"/>
        <v xml:space="preserve">         </v>
      </c>
      <c r="X718" t="str">
        <f t="shared" si="207"/>
        <v xml:space="preserve">  2058 </v>
      </c>
      <c r="Y718" t="str">
        <f t="shared" si="207"/>
        <v xml:space="preserve"> BUGRES-RS069 </v>
      </c>
      <c r="Z718" t="str">
        <f t="shared" si="207"/>
        <v xml:space="preserve">  1 </v>
      </c>
      <c r="AA718" t="str">
        <f t="shared" si="211"/>
        <v xml:space="preserve">     0.5 </v>
      </c>
      <c r="AB718" t="str">
        <f t="shared" si="204"/>
        <v xml:space="preserve">     0.7 </v>
      </c>
      <c r="AC718" t="str">
        <f t="shared" si="205"/>
        <v xml:space="preserve">     0.8 </v>
      </c>
      <c r="AD718" t="str">
        <f t="shared" si="206"/>
        <v xml:space="preserve">        </v>
      </c>
      <c r="AE718" t="str">
        <f t="shared" si="212"/>
        <v xml:space="preserve">       </v>
      </c>
      <c r="AF718" t="str">
        <f t="shared" si="208"/>
        <v xml:space="preserve">     </v>
      </c>
      <c r="AG718" t="str">
        <f t="shared" si="208"/>
        <v xml:space="preserve">     0.00 </v>
      </c>
      <c r="AH718" t="str">
        <f t="shared" si="213"/>
        <v xml:space="preserve">     0.00 </v>
      </c>
      <c r="AI718" t="str">
        <f t="shared" si="198"/>
        <v xml:space="preserve">       </v>
      </c>
      <c r="AJ718" t="str">
        <f t="shared" si="199"/>
        <v xml:space="preserve">      </v>
      </c>
    </row>
    <row r="719" spans="1:36" x14ac:dyDescent="0.25">
      <c r="A719" t="s">
        <v>14</v>
      </c>
      <c r="P719" t="str">
        <f t="shared" si="200"/>
        <v xml:space="preserve">  ..............</v>
      </c>
      <c r="Q719" t="str">
        <f t="shared" si="200"/>
        <v>.........</v>
      </c>
      <c r="R719" t="str">
        <f t="shared" si="209"/>
        <v>.........</v>
      </c>
      <c r="S719" t="str">
        <f t="shared" si="201"/>
        <v>.........</v>
      </c>
      <c r="T719" t="str">
        <f t="shared" si="202"/>
        <v>.........</v>
      </c>
      <c r="U719" t="str">
        <f t="shared" si="206"/>
        <v>.............</v>
      </c>
      <c r="V719" t="str">
        <f t="shared" si="210"/>
        <v>.........</v>
      </c>
      <c r="W719" t="str">
        <f t="shared" si="203"/>
        <v>.........</v>
      </c>
      <c r="X719" t="str">
        <f t="shared" si="207"/>
        <v>.......</v>
      </c>
      <c r="Y719" t="str">
        <f t="shared" si="207"/>
        <v>..............</v>
      </c>
      <c r="Z719" t="str">
        <f t="shared" si="207"/>
        <v>....</v>
      </c>
      <c r="AA719" t="str">
        <f t="shared" si="211"/>
        <v>.........</v>
      </c>
      <c r="AB719" t="str">
        <f t="shared" si="204"/>
        <v>.........</v>
      </c>
      <c r="AC719" t="str">
        <f t="shared" si="205"/>
        <v>.........</v>
      </c>
      <c r="AD719" t="str">
        <f t="shared" si="206"/>
        <v>........</v>
      </c>
      <c r="AE719" t="str">
        <f t="shared" si="212"/>
        <v>.......</v>
      </c>
      <c r="AF719" t="str">
        <f t="shared" si="208"/>
        <v>.....</v>
      </c>
      <c r="AG719" t="str">
        <f t="shared" si="208"/>
        <v>..........</v>
      </c>
      <c r="AH719" t="str">
        <f t="shared" si="213"/>
        <v>..........</v>
      </c>
      <c r="AI719" t="str">
        <f t="shared" si="198"/>
        <v>.......</v>
      </c>
      <c r="AJ719" t="str">
        <f t="shared" si="199"/>
        <v>.......</v>
      </c>
    </row>
    <row r="720" spans="1:36" x14ac:dyDescent="0.25">
      <c r="A720" t="s">
        <v>562</v>
      </c>
      <c r="P720" t="str">
        <f t="shared" si="200"/>
        <v xml:space="preserve">   2051   14  1 </v>
      </c>
      <c r="Q720" t="str">
        <f t="shared" si="200"/>
        <v xml:space="preserve">   1.026 </v>
      </c>
      <c r="R720" t="str">
        <f t="shared" si="209"/>
        <v xml:space="preserve">    37.0 </v>
      </c>
      <c r="S720" t="str">
        <f t="shared" si="201"/>
        <v xml:space="preserve">     0.0 </v>
      </c>
      <c r="T720" t="str">
        <f t="shared" si="202"/>
        <v xml:space="preserve">     0.0 </v>
      </c>
      <c r="U720" t="str">
        <f t="shared" si="206"/>
        <v xml:space="preserve">         0.0 </v>
      </c>
      <c r="V720" t="str">
        <f t="shared" si="210"/>
        <v xml:space="preserve">     0.0 </v>
      </c>
      <c r="W720" t="str">
        <f t="shared" si="203"/>
        <v xml:space="preserve">     0.0</v>
      </c>
      <c r="X720" t="str">
        <f t="shared" si="207"/>
        <v/>
      </c>
      <c r="Y720" t="str">
        <f t="shared" si="207"/>
        <v/>
      </c>
      <c r="Z720" t="str">
        <f t="shared" si="207"/>
        <v/>
      </c>
      <c r="AA720" t="str">
        <f t="shared" si="211"/>
        <v/>
      </c>
      <c r="AB720" t="str">
        <f t="shared" si="204"/>
        <v/>
      </c>
      <c r="AC720" t="str">
        <f t="shared" si="205"/>
        <v/>
      </c>
      <c r="AD720" t="str">
        <f t="shared" si="206"/>
        <v/>
      </c>
      <c r="AE720" t="str">
        <f t="shared" si="212"/>
        <v/>
      </c>
      <c r="AF720" t="str">
        <f t="shared" si="208"/>
        <v/>
      </c>
      <c r="AG720" t="str">
        <f t="shared" si="208"/>
        <v/>
      </c>
      <c r="AH720" t="str">
        <f t="shared" si="213"/>
        <v/>
      </c>
      <c r="AI720" t="str">
        <f t="shared" si="198"/>
        <v/>
      </c>
      <c r="AJ720" t="str">
        <f t="shared" si="199"/>
        <v/>
      </c>
    </row>
    <row r="721" spans="1:36" x14ac:dyDescent="0.25">
      <c r="A721" t="s">
        <v>563</v>
      </c>
      <c r="P721" t="str">
        <f t="shared" si="200"/>
        <v xml:space="preserve">  CANASTPCH013  </v>
      </c>
      <c r="Q721" t="str">
        <f t="shared" si="200"/>
        <v xml:space="preserve">   -49.0 </v>
      </c>
      <c r="R721" t="str">
        <f t="shared" si="209"/>
        <v xml:space="preserve">    11.6 </v>
      </c>
      <c r="S721" t="str">
        <f t="shared" si="201"/>
        <v xml:space="preserve">     0.0 </v>
      </c>
      <c r="T721" t="str">
        <f t="shared" si="202"/>
        <v xml:space="preserve">     0.0 </v>
      </c>
      <c r="U721" t="str">
        <f t="shared" si="206"/>
        <v xml:space="preserve">         0.0 </v>
      </c>
      <c r="V721" t="str">
        <f t="shared" si="210"/>
        <v xml:space="preserve">     0.0 </v>
      </c>
      <c r="W721" t="str">
        <f t="shared" si="203"/>
        <v xml:space="preserve">     0.0 </v>
      </c>
      <c r="X721" t="str">
        <f t="shared" si="207"/>
        <v xml:space="preserve">       </v>
      </c>
      <c r="Y721" t="str">
        <f t="shared" si="207"/>
        <v xml:space="preserve">              </v>
      </c>
      <c r="Z721" t="str">
        <f t="shared" si="207"/>
        <v xml:space="preserve">    </v>
      </c>
      <c r="AA721" t="str">
        <f t="shared" si="211"/>
        <v xml:space="preserve">         </v>
      </c>
      <c r="AB721" t="str">
        <f t="shared" si="204"/>
        <v xml:space="preserve">         </v>
      </c>
      <c r="AC721" t="str">
        <f t="shared" si="205"/>
        <v xml:space="preserve">    </v>
      </c>
      <c r="AD721" t="str">
        <f t="shared" si="206"/>
        <v/>
      </c>
      <c r="AE721" t="str">
        <f t="shared" si="212"/>
        <v/>
      </c>
      <c r="AF721" t="str">
        <f t="shared" si="208"/>
        <v/>
      </c>
      <c r="AG721" t="str">
        <f t="shared" si="208"/>
        <v/>
      </c>
      <c r="AH721" t="str">
        <f t="shared" si="213"/>
        <v/>
      </c>
      <c r="AI721" t="str">
        <f t="shared" si="198"/>
        <v/>
      </c>
      <c r="AJ721" t="str">
        <f t="shared" si="199"/>
        <v/>
      </c>
    </row>
    <row r="722" spans="1:36" x14ac:dyDescent="0.25">
      <c r="A722" t="s">
        <v>564</v>
      </c>
      <c r="P722" t="str">
        <f t="shared" si="200"/>
        <v xml:space="preserve">                </v>
      </c>
      <c r="Q722" t="str">
        <f t="shared" si="200"/>
        <v xml:space="preserve">         </v>
      </c>
      <c r="R722" t="str">
        <f t="shared" si="209"/>
        <v xml:space="preserve">    25.0 </v>
      </c>
      <c r="S722" t="str">
        <f t="shared" si="201"/>
        <v xml:space="preserve">    25.0 </v>
      </c>
      <c r="T722" t="str">
        <f t="shared" si="202"/>
        <v xml:space="preserve">    25.0 </v>
      </c>
      <c r="U722" t="str">
        <f t="shared" si="206"/>
        <v xml:space="preserve">       54.6% </v>
      </c>
      <c r="V722" t="str">
        <f t="shared" si="210"/>
        <v xml:space="preserve">         </v>
      </c>
      <c r="W722" t="str">
        <f t="shared" si="203"/>
        <v xml:space="preserve">         </v>
      </c>
      <c r="X722" t="str">
        <f t="shared" si="207"/>
        <v xml:space="preserve">  2060 </v>
      </c>
      <c r="Y722" t="str">
        <f t="shared" si="207"/>
        <v xml:space="preserve"> CANA-B-RS000 </v>
      </c>
      <c r="Z722" t="str">
        <f t="shared" si="207"/>
        <v xml:space="preserve">  1 </v>
      </c>
      <c r="AA722" t="str">
        <f t="shared" si="211"/>
        <v xml:space="preserve">    13.3 </v>
      </c>
      <c r="AB722" t="str">
        <f t="shared" si="204"/>
        <v xml:space="preserve">     4.3 </v>
      </c>
      <c r="AC722" t="str">
        <f t="shared" si="205"/>
        <v xml:space="preserve">    13.7 </v>
      </c>
      <c r="AD722" t="str">
        <f t="shared" si="206"/>
        <v xml:space="preserve"> 1.000F </v>
      </c>
      <c r="AE722" t="str">
        <f t="shared" si="212"/>
        <v xml:space="preserve">       </v>
      </c>
      <c r="AF722" t="str">
        <f t="shared" si="208"/>
        <v xml:space="preserve">     </v>
      </c>
      <c r="AG722" t="str">
        <f t="shared" si="208"/>
        <v xml:space="preserve">     0.00 </v>
      </c>
      <c r="AH722" t="str">
        <f t="shared" si="213"/>
        <v xml:space="preserve">     1.19 </v>
      </c>
      <c r="AI722" t="str">
        <f t="shared" si="198"/>
        <v xml:space="preserve">       </v>
      </c>
      <c r="AJ722" t="str">
        <f t="shared" si="199"/>
        <v xml:space="preserve">      </v>
      </c>
    </row>
    <row r="723" spans="1:36" x14ac:dyDescent="0.25">
      <c r="A723" t="s">
        <v>565</v>
      </c>
      <c r="P723" t="str">
        <f t="shared" si="200"/>
        <v xml:space="preserve">                </v>
      </c>
      <c r="Q723" t="str">
        <f t="shared" si="200"/>
        <v xml:space="preserve">         </v>
      </c>
      <c r="R723" t="str">
        <f t="shared" si="209"/>
        <v xml:space="preserve">    30.0 </v>
      </c>
      <c r="S723" t="str">
        <f t="shared" si="201"/>
        <v xml:space="preserve">    30.0 </v>
      </c>
      <c r="T723" t="str">
        <f t="shared" si="202"/>
        <v xml:space="preserve">    30.0 </v>
      </c>
      <c r="U723" t="str">
        <f t="shared" si="206"/>
        <v xml:space="preserve">       80.5% </v>
      </c>
      <c r="V723" t="str">
        <f t="shared" si="210"/>
        <v xml:space="preserve">         </v>
      </c>
      <c r="W723" t="str">
        <f t="shared" si="203"/>
        <v xml:space="preserve">         </v>
      </c>
      <c r="X723" t="str">
        <f t="shared" si="207"/>
        <v xml:space="preserve">  2062 </v>
      </c>
      <c r="Y723" t="str">
        <f t="shared" si="207"/>
        <v xml:space="preserve"> CANA-A-RS000 </v>
      </c>
      <c r="Z723" t="str">
        <f t="shared" si="207"/>
        <v xml:space="preserve">  1 </v>
      </c>
      <c r="AA723" t="str">
        <f t="shared" si="211"/>
        <v xml:space="preserve">    23.7 </v>
      </c>
      <c r="AB723" t="str">
        <f t="shared" si="204"/>
        <v xml:space="preserve">     7.3 </v>
      </c>
      <c r="AC723" t="str">
        <f t="shared" si="205"/>
        <v xml:space="preserve">    24.1 </v>
      </c>
      <c r="AD723" t="str">
        <f t="shared" si="206"/>
        <v xml:space="preserve"> 1.000F </v>
      </c>
      <c r="AE723" t="str">
        <f t="shared" si="212"/>
        <v xml:space="preserve">       </v>
      </c>
      <c r="AF723" t="str">
        <f t="shared" si="208"/>
        <v xml:space="preserve">     </v>
      </c>
      <c r="AG723" t="str">
        <f t="shared" si="208"/>
        <v xml:space="preserve">     0.00 </v>
      </c>
      <c r="AH723" t="str">
        <f t="shared" si="213"/>
        <v xml:space="preserve">     0.86 </v>
      </c>
      <c r="AI723" t="str">
        <f t="shared" si="198"/>
        <v xml:space="preserve">       </v>
      </c>
      <c r="AJ723" t="str">
        <f t="shared" si="199"/>
        <v xml:space="preserve">      </v>
      </c>
    </row>
    <row r="724" spans="1:36" x14ac:dyDescent="0.25">
      <c r="A724" t="s">
        <v>14</v>
      </c>
      <c r="P724" t="str">
        <f t="shared" si="200"/>
        <v xml:space="preserve">  ..............</v>
      </c>
      <c r="Q724" t="str">
        <f t="shared" si="200"/>
        <v>.........</v>
      </c>
      <c r="R724" t="str">
        <f t="shared" si="209"/>
        <v>.........</v>
      </c>
      <c r="S724" t="str">
        <f t="shared" si="201"/>
        <v>.........</v>
      </c>
      <c r="T724" t="str">
        <f t="shared" si="202"/>
        <v>.........</v>
      </c>
      <c r="U724" t="str">
        <f t="shared" si="206"/>
        <v>.............</v>
      </c>
      <c r="V724" t="str">
        <f t="shared" si="210"/>
        <v>.........</v>
      </c>
      <c r="W724" t="str">
        <f t="shared" si="203"/>
        <v>.........</v>
      </c>
      <c r="X724" t="str">
        <f t="shared" si="207"/>
        <v>.......</v>
      </c>
      <c r="Y724" t="str">
        <f t="shared" si="207"/>
        <v>..............</v>
      </c>
      <c r="Z724" t="str">
        <f t="shared" si="207"/>
        <v>....</v>
      </c>
      <c r="AA724" t="str">
        <f t="shared" si="211"/>
        <v>.........</v>
      </c>
      <c r="AB724" t="str">
        <f t="shared" si="204"/>
        <v>.........</v>
      </c>
      <c r="AC724" t="str">
        <f t="shared" si="205"/>
        <v>.........</v>
      </c>
      <c r="AD724" t="str">
        <f t="shared" si="206"/>
        <v>........</v>
      </c>
      <c r="AE724" t="str">
        <f t="shared" si="212"/>
        <v>.......</v>
      </c>
      <c r="AF724" t="str">
        <f t="shared" si="208"/>
        <v>.....</v>
      </c>
      <c r="AG724" t="str">
        <f t="shared" si="208"/>
        <v>..........</v>
      </c>
      <c r="AH724" t="str">
        <f t="shared" si="213"/>
        <v>..........</v>
      </c>
      <c r="AI724" t="str">
        <f t="shared" si="198"/>
        <v>.......</v>
      </c>
      <c r="AJ724" t="str">
        <f t="shared" si="199"/>
        <v>.......</v>
      </c>
    </row>
    <row r="725" spans="1:36" x14ac:dyDescent="0.25">
      <c r="A725" t="s">
        <v>566</v>
      </c>
      <c r="P725" t="str">
        <f t="shared" si="200"/>
        <v xml:space="preserve">   2053   69  0 </v>
      </c>
      <c r="Q725" t="str">
        <f t="shared" si="200"/>
        <v xml:space="preserve">   1.027 </v>
      </c>
      <c r="R725" t="str">
        <f t="shared" si="209"/>
        <v xml:space="preserve">     1.1 </v>
      </c>
      <c r="S725" t="str">
        <f t="shared" si="201"/>
        <v xml:space="preserve">     0.0 </v>
      </c>
      <c r="T725" t="str">
        <f t="shared" si="202"/>
        <v xml:space="preserve">     9.0 </v>
      </c>
      <c r="U725" t="str">
        <f t="shared" si="206"/>
        <v xml:space="preserve">         0.0 </v>
      </c>
      <c r="V725" t="str">
        <f t="shared" si="210"/>
        <v xml:space="preserve">     0.0 </v>
      </c>
      <c r="W725" t="str">
        <f t="shared" si="203"/>
        <v xml:space="preserve">     0.0</v>
      </c>
      <c r="X725" t="str">
        <f t="shared" si="207"/>
        <v/>
      </c>
      <c r="Y725" t="str">
        <f t="shared" si="207"/>
        <v/>
      </c>
      <c r="Z725" t="str">
        <f t="shared" si="207"/>
        <v/>
      </c>
      <c r="AA725" t="str">
        <f t="shared" si="211"/>
        <v/>
      </c>
      <c r="AB725" t="str">
        <f t="shared" si="204"/>
        <v/>
      </c>
      <c r="AC725" t="str">
        <f t="shared" si="205"/>
        <v/>
      </c>
      <c r="AD725" t="str">
        <f t="shared" si="206"/>
        <v/>
      </c>
      <c r="AE725" t="str">
        <f t="shared" si="212"/>
        <v/>
      </c>
      <c r="AF725" t="str">
        <f t="shared" si="208"/>
        <v/>
      </c>
      <c r="AG725" t="str">
        <f t="shared" si="208"/>
        <v/>
      </c>
      <c r="AH725" t="str">
        <f t="shared" si="213"/>
        <v/>
      </c>
      <c r="AI725" t="str">
        <f t="shared" si="198"/>
        <v/>
      </c>
      <c r="AJ725" t="str">
        <f t="shared" si="199"/>
        <v/>
      </c>
    </row>
    <row r="726" spans="1:36" x14ac:dyDescent="0.25">
      <c r="A726" t="s">
        <v>567</v>
      </c>
      <c r="P726" t="str">
        <f t="shared" si="200"/>
        <v xml:space="preserve">  SJERO--RS069  </v>
      </c>
      <c r="Q726" t="str">
        <f t="shared" si="200"/>
        <v xml:space="preserve">   -53.2 </v>
      </c>
      <c r="R726" t="str">
        <f t="shared" si="209"/>
        <v xml:space="preserve">     0.0 </v>
      </c>
      <c r="S726" t="str">
        <f t="shared" si="201"/>
        <v xml:space="preserve">     0.0 </v>
      </c>
      <c r="T726" t="str">
        <f t="shared" si="202"/>
        <v xml:space="preserve">     3.1 </v>
      </c>
      <c r="U726" t="str">
        <f t="shared" si="206"/>
        <v xml:space="preserve">         0.0 </v>
      </c>
      <c r="V726" t="str">
        <f t="shared" si="210"/>
        <v xml:space="preserve">     0.0 </v>
      </c>
      <c r="W726" t="str">
        <f t="shared" si="203"/>
        <v xml:space="preserve">     0.0 </v>
      </c>
      <c r="X726" t="str">
        <f t="shared" si="207"/>
        <v xml:space="preserve">       </v>
      </c>
      <c r="Y726" t="str">
        <f t="shared" si="207"/>
        <v xml:space="preserve">              </v>
      </c>
      <c r="Z726" t="str">
        <f t="shared" si="207"/>
        <v xml:space="preserve">    </v>
      </c>
      <c r="AA726" t="str">
        <f t="shared" si="211"/>
        <v xml:space="preserve">         </v>
      </c>
      <c r="AB726" t="str">
        <f t="shared" si="204"/>
        <v xml:space="preserve">         </v>
      </c>
      <c r="AC726" t="str">
        <f t="shared" si="205"/>
        <v xml:space="preserve">    </v>
      </c>
      <c r="AD726" t="str">
        <f t="shared" si="206"/>
        <v/>
      </c>
      <c r="AE726" t="str">
        <f t="shared" si="212"/>
        <v/>
      </c>
      <c r="AF726" t="str">
        <f t="shared" si="208"/>
        <v/>
      </c>
      <c r="AG726" t="str">
        <f t="shared" si="208"/>
        <v/>
      </c>
      <c r="AH726" t="str">
        <f t="shared" si="213"/>
        <v/>
      </c>
      <c r="AI726" t="str">
        <f t="shared" si="198"/>
        <v/>
      </c>
      <c r="AJ726" t="str">
        <f t="shared" si="199"/>
        <v/>
      </c>
    </row>
    <row r="727" spans="1:36" x14ac:dyDescent="0.25">
      <c r="A727" t="s">
        <v>568</v>
      </c>
      <c r="P727" t="str">
        <f t="shared" si="200"/>
        <v xml:space="preserve">                </v>
      </c>
      <c r="Q727" t="str">
        <f t="shared" si="200"/>
        <v xml:space="preserve">         </v>
      </c>
      <c r="R727" t="str">
        <f t="shared" si="209"/>
        <v xml:space="preserve">    48.0 </v>
      </c>
      <c r="S727" t="str">
        <f t="shared" si="201"/>
        <v xml:space="preserve">    48.0 </v>
      </c>
      <c r="T727" t="str">
        <f t="shared" si="202"/>
        <v xml:space="preserve">    48.0 </v>
      </c>
      <c r="U727" t="str">
        <f t="shared" si="206"/>
        <v xml:space="preserve">       17.2% </v>
      </c>
      <c r="V727" t="str">
        <f t="shared" si="210"/>
        <v xml:space="preserve">         </v>
      </c>
      <c r="W727" t="str">
        <f t="shared" si="203"/>
        <v xml:space="preserve">         </v>
      </c>
      <c r="X727" t="str">
        <f t="shared" si="207"/>
        <v xml:space="preserve">  1208 </v>
      </c>
      <c r="Y727" t="str">
        <f t="shared" si="207"/>
        <v xml:space="preserve"> TRIUNF-RS069 </v>
      </c>
      <c r="Z727" t="str">
        <f t="shared" si="207"/>
        <v xml:space="preserve">  1 </v>
      </c>
      <c r="AA727" t="str">
        <f t="shared" si="211"/>
        <v xml:space="preserve">    -7.9 </v>
      </c>
      <c r="AB727" t="str">
        <f t="shared" si="204"/>
        <v xml:space="preserve">    -3.1 </v>
      </c>
      <c r="AC727" t="str">
        <f t="shared" si="205"/>
        <v xml:space="preserve">     8.3 </v>
      </c>
      <c r="AD727" t="str">
        <f t="shared" si="206"/>
        <v xml:space="preserve">        </v>
      </c>
      <c r="AE727" t="str">
        <f t="shared" si="212"/>
        <v xml:space="preserve">       </v>
      </c>
      <c r="AF727" t="str">
        <f t="shared" si="208"/>
        <v xml:space="preserve">     </v>
      </c>
      <c r="AG727" t="str">
        <f t="shared" si="208"/>
        <v xml:space="preserve">     0.01 </v>
      </c>
      <c r="AH727" t="str">
        <f t="shared" si="213"/>
        <v xml:space="preserve">    -0.04 </v>
      </c>
      <c r="AI727" t="str">
        <f t="shared" ref="AI727:AI790" si="214">MID($A727,AG$8+AG$9+AH$9-2,AI$9)</f>
        <v xml:space="preserve">       </v>
      </c>
      <c r="AJ727" t="str">
        <f t="shared" ref="AJ727:AJ790" si="215">MID($A727,AG$8+AG$9+AH$9+AI$9-3,AJ$9)</f>
        <v xml:space="preserve">      </v>
      </c>
    </row>
    <row r="728" spans="1:36" x14ac:dyDescent="0.25">
      <c r="A728" t="s">
        <v>14</v>
      </c>
      <c r="P728" t="str">
        <f t="shared" si="200"/>
        <v xml:space="preserve">  ..............</v>
      </c>
      <c r="Q728" t="str">
        <f t="shared" si="200"/>
        <v>.........</v>
      </c>
      <c r="R728" t="str">
        <f t="shared" si="209"/>
        <v>.........</v>
      </c>
      <c r="S728" t="str">
        <f t="shared" si="201"/>
        <v>.........</v>
      </c>
      <c r="T728" t="str">
        <f t="shared" si="202"/>
        <v>.........</v>
      </c>
      <c r="U728" t="str">
        <f t="shared" si="206"/>
        <v>.............</v>
      </c>
      <c r="V728" t="str">
        <f t="shared" si="210"/>
        <v>.........</v>
      </c>
      <c r="W728" t="str">
        <f t="shared" si="203"/>
        <v>.........</v>
      </c>
      <c r="X728" t="str">
        <f t="shared" si="207"/>
        <v>.......</v>
      </c>
      <c r="Y728" t="str">
        <f t="shared" si="207"/>
        <v>..............</v>
      </c>
      <c r="Z728" t="str">
        <f t="shared" si="207"/>
        <v>....</v>
      </c>
      <c r="AA728" t="str">
        <f t="shared" si="211"/>
        <v>.........</v>
      </c>
      <c r="AB728" t="str">
        <f t="shared" si="204"/>
        <v>.........</v>
      </c>
      <c r="AC728" t="str">
        <f t="shared" si="205"/>
        <v>.........</v>
      </c>
      <c r="AD728" t="str">
        <f t="shared" si="206"/>
        <v>........</v>
      </c>
      <c r="AE728" t="str">
        <f t="shared" si="212"/>
        <v>.......</v>
      </c>
      <c r="AF728" t="str">
        <f t="shared" si="208"/>
        <v>.....</v>
      </c>
      <c r="AG728" t="str">
        <f t="shared" si="208"/>
        <v>..........</v>
      </c>
      <c r="AH728" t="str">
        <f t="shared" si="213"/>
        <v>..........</v>
      </c>
      <c r="AI728" t="str">
        <f t="shared" si="214"/>
        <v>.......</v>
      </c>
      <c r="AJ728" t="str">
        <f t="shared" si="215"/>
        <v>.......</v>
      </c>
    </row>
    <row r="729" spans="1:36" x14ac:dyDescent="0.25">
      <c r="A729" t="s">
        <v>569</v>
      </c>
      <c r="P729" t="str">
        <f t="shared" si="200"/>
        <v xml:space="preserve">   2055  138  0 </v>
      </c>
      <c r="Q729" t="str">
        <f t="shared" si="200"/>
        <v xml:space="preserve">   0.991 </v>
      </c>
      <c r="R729" t="str">
        <f t="shared" si="209"/>
        <v xml:space="preserve">     0.0 </v>
      </c>
      <c r="S729" t="str">
        <f t="shared" si="201"/>
        <v xml:space="preserve">     0.0 </v>
      </c>
      <c r="T729" t="str">
        <f t="shared" si="202"/>
        <v xml:space="preserve">     2.5 </v>
      </c>
      <c r="U729" t="str">
        <f t="shared" si="206"/>
        <v xml:space="preserve">         0.0 </v>
      </c>
      <c r="V729" t="str">
        <f t="shared" si="210"/>
        <v xml:space="preserve">     0.0 </v>
      </c>
      <c r="W729" t="str">
        <f t="shared" si="203"/>
        <v xml:space="preserve">     0.0</v>
      </c>
      <c r="X729" t="str">
        <f t="shared" si="207"/>
        <v/>
      </c>
      <c r="Y729" t="str">
        <f t="shared" si="207"/>
        <v/>
      </c>
      <c r="Z729" t="str">
        <f t="shared" si="207"/>
        <v/>
      </c>
      <c r="AA729" t="str">
        <f t="shared" si="211"/>
        <v/>
      </c>
      <c r="AB729" t="str">
        <f t="shared" si="204"/>
        <v/>
      </c>
      <c r="AC729" t="str">
        <f t="shared" si="205"/>
        <v/>
      </c>
      <c r="AD729" t="str">
        <f t="shared" si="206"/>
        <v/>
      </c>
      <c r="AE729" t="str">
        <f t="shared" si="212"/>
        <v/>
      </c>
      <c r="AF729" t="str">
        <f t="shared" si="208"/>
        <v/>
      </c>
      <c r="AG729" t="str">
        <f t="shared" si="208"/>
        <v/>
      </c>
      <c r="AH729" t="str">
        <f t="shared" si="213"/>
        <v/>
      </c>
      <c r="AI729" t="str">
        <f t="shared" si="214"/>
        <v/>
      </c>
      <c r="AJ729" t="str">
        <f t="shared" si="215"/>
        <v/>
      </c>
    </row>
    <row r="730" spans="1:36" x14ac:dyDescent="0.25">
      <c r="A730" t="s">
        <v>570</v>
      </c>
      <c r="P730" t="str">
        <f t="shared" si="200"/>
        <v xml:space="preserve">  SAPATR-RS138  </v>
      </c>
      <c r="Q730" t="str">
        <f t="shared" si="200"/>
        <v xml:space="preserve">   -53.9 </v>
      </c>
      <c r="R730" t="str">
        <f t="shared" si="209"/>
        <v xml:space="preserve">     0.0 </v>
      </c>
      <c r="S730" t="str">
        <f t="shared" si="201"/>
        <v xml:space="preserve">     0.0 </v>
      </c>
      <c r="T730" t="str">
        <f t="shared" si="202"/>
        <v xml:space="preserve">     1.1 </v>
      </c>
      <c r="U730" t="str">
        <f t="shared" si="206"/>
        <v xml:space="preserve">         0.0 </v>
      </c>
      <c r="V730" t="str">
        <f t="shared" si="210"/>
        <v xml:space="preserve">     0.0 </v>
      </c>
      <c r="W730" t="str">
        <f t="shared" si="203"/>
        <v xml:space="preserve">     0.0 </v>
      </c>
      <c r="X730" t="str">
        <f t="shared" si="207"/>
        <v xml:space="preserve">       </v>
      </c>
      <c r="Y730" t="str">
        <f t="shared" si="207"/>
        <v xml:space="preserve">              </v>
      </c>
      <c r="Z730" t="str">
        <f t="shared" si="207"/>
        <v xml:space="preserve">    </v>
      </c>
      <c r="AA730" t="str">
        <f t="shared" si="211"/>
        <v xml:space="preserve">         </v>
      </c>
      <c r="AB730" t="str">
        <f t="shared" si="204"/>
        <v xml:space="preserve">         </v>
      </c>
      <c r="AC730" t="str">
        <f t="shared" si="205"/>
        <v xml:space="preserve">    </v>
      </c>
      <c r="AD730" t="str">
        <f t="shared" si="206"/>
        <v/>
      </c>
      <c r="AE730" t="str">
        <f t="shared" si="212"/>
        <v/>
      </c>
      <c r="AF730" t="str">
        <f t="shared" si="208"/>
        <v/>
      </c>
      <c r="AG730" t="str">
        <f t="shared" si="208"/>
        <v/>
      </c>
      <c r="AH730" t="str">
        <f t="shared" si="213"/>
        <v/>
      </c>
      <c r="AI730" t="str">
        <f t="shared" si="214"/>
        <v/>
      </c>
      <c r="AJ730" t="str">
        <f t="shared" si="215"/>
        <v/>
      </c>
    </row>
    <row r="731" spans="1:36" x14ac:dyDescent="0.25">
      <c r="A731" t="s">
        <v>571</v>
      </c>
      <c r="P731" t="str">
        <f t="shared" ref="P731:Q794" si="216">MID($A731,P$8,P$9)</f>
        <v xml:space="preserve">              DE</v>
      </c>
      <c r="Q731" t="str">
        <f t="shared" si="216"/>
        <v xml:space="preserve">ESLIGADO </v>
      </c>
      <c r="R731" t="str">
        <f t="shared" si="209"/>
        <v xml:space="preserve">    82.0 </v>
      </c>
      <c r="S731" t="str">
        <f t="shared" ref="S731:S794" si="217">MID($A731,Q$8+Q$9+R$9-2,S$9)</f>
        <v xml:space="preserve">    82.0 </v>
      </c>
      <c r="T731" t="str">
        <f t="shared" ref="T731:T794" si="218">MID($A731,Q$8+Q$9+R$9+S$9-3,T$9)</f>
        <v xml:space="preserve">    82.0 </v>
      </c>
      <c r="U731" t="str">
        <f t="shared" si="206"/>
        <v xml:space="preserve">             </v>
      </c>
      <c r="V731" t="str">
        <f t="shared" si="210"/>
        <v xml:space="preserve">         </v>
      </c>
      <c r="W731" t="str">
        <f t="shared" ref="W731:W794" si="219">MID($A731,U$8+U$9+V$9-2,W$9)</f>
        <v xml:space="preserve">         </v>
      </c>
      <c r="X731" t="str">
        <f t="shared" si="207"/>
        <v xml:space="preserve">  1358 </v>
      </c>
      <c r="Y731" t="str">
        <f t="shared" si="207"/>
        <v xml:space="preserve"> OSO-Y2-RS138 </v>
      </c>
      <c r="Z731" t="str">
        <f t="shared" si="207"/>
        <v xml:space="preserve">  1 </v>
      </c>
      <c r="AA731" t="str">
        <f t="shared" si="211"/>
        <v xml:space="preserve">     0.0 </v>
      </c>
      <c r="AB731" t="str">
        <f t="shared" ref="AB731:AB794" si="220">MID($A731,Z$8+Z$9+AA$9-2,AB$9)</f>
        <v xml:space="preserve">     0.0 </v>
      </c>
      <c r="AC731" t="str">
        <f t="shared" ref="AC731:AC794" si="221">MID($A731,Z$8+Z$9+AA$9+AB$9-3,AC$9)</f>
        <v xml:space="preserve">     0.0 </v>
      </c>
      <c r="AD731" t="str">
        <f t="shared" si="206"/>
        <v xml:space="preserve">        </v>
      </c>
      <c r="AE731" t="str">
        <f t="shared" si="212"/>
        <v xml:space="preserve">       </v>
      </c>
      <c r="AF731" t="str">
        <f t="shared" si="208"/>
        <v xml:space="preserve">     </v>
      </c>
      <c r="AG731" t="str">
        <f t="shared" si="208"/>
        <v xml:space="preserve">     0.00 </v>
      </c>
      <c r="AH731" t="str">
        <f t="shared" si="213"/>
        <v xml:space="preserve">     0.00 </v>
      </c>
      <c r="AI731" t="str">
        <f t="shared" si="214"/>
        <v xml:space="preserve">       </v>
      </c>
      <c r="AJ731" t="str">
        <f t="shared" si="215"/>
        <v xml:space="preserve">      </v>
      </c>
    </row>
    <row r="732" spans="1:36" x14ac:dyDescent="0.25">
      <c r="A732" t="s">
        <v>572</v>
      </c>
      <c r="P732" t="str">
        <f t="shared" si="216"/>
        <v xml:space="preserve">                </v>
      </c>
      <c r="Q732" t="str">
        <f t="shared" si="216"/>
        <v xml:space="preserve">         </v>
      </c>
      <c r="R732" t="str">
        <f t="shared" si="209"/>
        <v xml:space="preserve">    82.0 </v>
      </c>
      <c r="S732" t="str">
        <f t="shared" si="217"/>
        <v xml:space="preserve">    82.0 </v>
      </c>
      <c r="T732" t="str">
        <f t="shared" si="218"/>
        <v xml:space="preserve">    82.0 </v>
      </c>
      <c r="U732" t="str">
        <f t="shared" ref="U732:AD795" si="222">MID($A732,U$8,U$9)</f>
        <v xml:space="preserve">       37.3% </v>
      </c>
      <c r="V732" t="str">
        <f t="shared" si="210"/>
        <v xml:space="preserve">         </v>
      </c>
      <c r="W732" t="str">
        <f t="shared" si="219"/>
        <v xml:space="preserve">         </v>
      </c>
      <c r="X732" t="str">
        <f t="shared" ref="X732:Z795" si="223">MID($A732,X$8,X$9)</f>
        <v xml:space="preserve">  2094 </v>
      </c>
      <c r="Y732" t="str">
        <f t="shared" si="223"/>
        <v xml:space="preserve"> TAQUAR-RS138 </v>
      </c>
      <c r="Z732" t="str">
        <f t="shared" si="223"/>
        <v xml:space="preserve">  1 </v>
      </c>
      <c r="AA732" t="str">
        <f t="shared" si="211"/>
        <v xml:space="preserve">   -26.9 </v>
      </c>
      <c r="AB732" t="str">
        <f t="shared" si="220"/>
        <v xml:space="preserve">   -14.0 </v>
      </c>
      <c r="AC732" t="str">
        <f t="shared" si="221"/>
        <v xml:space="preserve">    30.6 </v>
      </c>
      <c r="AD732" t="str">
        <f t="shared" si="222"/>
        <v xml:space="preserve">        </v>
      </c>
      <c r="AE732" t="str">
        <f t="shared" si="212"/>
        <v xml:space="preserve">       </v>
      </c>
      <c r="AF732" t="str">
        <f t="shared" si="208"/>
        <v xml:space="preserve">     </v>
      </c>
      <c r="AG732" t="str">
        <f t="shared" si="208"/>
        <v xml:space="preserve">     0.36 </v>
      </c>
      <c r="AH732" t="str">
        <f t="shared" si="213"/>
        <v xml:space="preserve">    -1.36 </v>
      </c>
      <c r="AI732" t="str">
        <f t="shared" si="214"/>
        <v xml:space="preserve">       </v>
      </c>
      <c r="AJ732" t="str">
        <f t="shared" si="215"/>
        <v xml:space="preserve">      </v>
      </c>
    </row>
    <row r="733" spans="1:36" x14ac:dyDescent="0.25">
      <c r="A733" t="s">
        <v>573</v>
      </c>
      <c r="P733" t="str">
        <f t="shared" si="216"/>
        <v xml:space="preserve">                </v>
      </c>
      <c r="Q733" t="str">
        <f t="shared" si="216"/>
        <v xml:space="preserve">         </v>
      </c>
      <c r="R733" t="str">
        <f t="shared" si="209"/>
        <v xml:space="preserve">    25.0 </v>
      </c>
      <c r="S733" t="str">
        <f t="shared" si="217"/>
        <v xml:space="preserve">    25.0 </v>
      </c>
      <c r="T733" t="str">
        <f t="shared" si="218"/>
        <v xml:space="preserve">    25.0 </v>
      </c>
      <c r="U733" t="str">
        <f t="shared" si="222"/>
        <v xml:space="preserve"> SUP  111.5% </v>
      </c>
      <c r="V733" t="str">
        <f t="shared" si="210"/>
        <v xml:space="preserve">         </v>
      </c>
      <c r="W733" t="str">
        <f t="shared" si="219"/>
        <v xml:space="preserve">         </v>
      </c>
      <c r="X733" t="str">
        <f t="shared" si="223"/>
        <v xml:space="preserve">  9250 </v>
      </c>
      <c r="Y733" t="str">
        <f t="shared" si="223"/>
        <v xml:space="preserve"> SAPATR-RS023 </v>
      </c>
      <c r="Z733" t="str">
        <f t="shared" si="223"/>
        <v xml:space="preserve">  1 </v>
      </c>
      <c r="AA733" t="str">
        <f t="shared" si="211"/>
        <v xml:space="preserve">    24.4 </v>
      </c>
      <c r="AB733" t="str">
        <f t="shared" si="220"/>
        <v xml:space="preserve">    12.9 </v>
      </c>
      <c r="AC733" t="str">
        <f t="shared" si="221"/>
        <v xml:space="preserve">    27.9 </v>
      </c>
      <c r="AD733" t="str">
        <f t="shared" si="222"/>
        <v xml:space="preserve"> 0.898* </v>
      </c>
      <c r="AE733" t="str">
        <f t="shared" si="212"/>
        <v xml:space="preserve">       </v>
      </c>
      <c r="AF733" t="str">
        <f t="shared" ref="AF733:AG796" si="224">MID($A733,AF$8,AF$9)</f>
        <v xml:space="preserve">     </v>
      </c>
      <c r="AG733" t="str">
        <f t="shared" si="224"/>
        <v xml:space="preserve">     0.00 </v>
      </c>
      <c r="AH733" t="str">
        <f t="shared" si="213"/>
        <v xml:space="preserve">     2.50 </v>
      </c>
      <c r="AI733" t="str">
        <f t="shared" si="214"/>
        <v xml:space="preserve">       </v>
      </c>
      <c r="AJ733" t="str">
        <f t="shared" si="215"/>
        <v xml:space="preserve">      </v>
      </c>
    </row>
    <row r="734" spans="1:36" x14ac:dyDescent="0.25">
      <c r="A734" t="s">
        <v>14</v>
      </c>
      <c r="P734" t="str">
        <f t="shared" si="216"/>
        <v xml:space="preserve">  ..............</v>
      </c>
      <c r="Q734" t="str">
        <f t="shared" si="216"/>
        <v>.........</v>
      </c>
      <c r="R734" t="str">
        <f t="shared" si="209"/>
        <v>.........</v>
      </c>
      <c r="S734" t="str">
        <f t="shared" si="217"/>
        <v>.........</v>
      </c>
      <c r="T734" t="str">
        <f t="shared" si="218"/>
        <v>.........</v>
      </c>
      <c r="U734" t="str">
        <f t="shared" si="222"/>
        <v>.............</v>
      </c>
      <c r="V734" t="str">
        <f t="shared" si="210"/>
        <v>.........</v>
      </c>
      <c r="W734" t="str">
        <f t="shared" si="219"/>
        <v>.........</v>
      </c>
      <c r="X734" t="str">
        <f t="shared" si="223"/>
        <v>.......</v>
      </c>
      <c r="Y734" t="str">
        <f t="shared" si="223"/>
        <v>..............</v>
      </c>
      <c r="Z734" t="str">
        <f t="shared" si="223"/>
        <v>....</v>
      </c>
      <c r="AA734" t="str">
        <f t="shared" si="211"/>
        <v>.........</v>
      </c>
      <c r="AB734" t="str">
        <f t="shared" si="220"/>
        <v>.........</v>
      </c>
      <c r="AC734" t="str">
        <f t="shared" si="221"/>
        <v>.........</v>
      </c>
      <c r="AD734" t="str">
        <f t="shared" si="222"/>
        <v>........</v>
      </c>
      <c r="AE734" t="str">
        <f t="shared" si="212"/>
        <v>.......</v>
      </c>
      <c r="AF734" t="str">
        <f t="shared" si="224"/>
        <v>.....</v>
      </c>
      <c r="AG734" t="str">
        <f t="shared" si="224"/>
        <v>..........</v>
      </c>
      <c r="AH734" t="str">
        <f t="shared" si="213"/>
        <v>..........</v>
      </c>
      <c r="AI734" t="str">
        <f t="shared" si="214"/>
        <v>.......</v>
      </c>
      <c r="AJ734" t="str">
        <f t="shared" si="215"/>
        <v>.......</v>
      </c>
    </row>
    <row r="735" spans="1:36" x14ac:dyDescent="0.25">
      <c r="A735" t="s">
        <v>574</v>
      </c>
      <c r="P735" t="str">
        <f t="shared" si="216"/>
        <v xml:space="preserve">   2058   69  0 </v>
      </c>
      <c r="Q735" t="str">
        <f t="shared" si="216"/>
        <v xml:space="preserve">   1.017 </v>
      </c>
      <c r="R735" t="str">
        <f t="shared" si="209"/>
        <v xml:space="preserve">     0.0 </v>
      </c>
      <c r="S735" t="str">
        <f t="shared" si="217"/>
        <v xml:space="preserve">     0.0 </v>
      </c>
      <c r="T735" t="str">
        <f t="shared" si="218"/>
        <v xml:space="preserve">     0.0 </v>
      </c>
      <c r="U735" t="str">
        <f t="shared" si="222"/>
        <v xml:space="preserve">         0.0 </v>
      </c>
      <c r="V735" t="str">
        <f t="shared" si="210"/>
        <v xml:space="preserve">     0.0 </v>
      </c>
      <c r="W735" t="str">
        <f t="shared" si="219"/>
        <v xml:space="preserve">     0.0</v>
      </c>
      <c r="X735" t="str">
        <f t="shared" si="223"/>
        <v/>
      </c>
      <c r="Y735" t="str">
        <f t="shared" si="223"/>
        <v/>
      </c>
      <c r="Z735" t="str">
        <f t="shared" si="223"/>
        <v/>
      </c>
      <c r="AA735" t="str">
        <f t="shared" si="211"/>
        <v/>
      </c>
      <c r="AB735" t="str">
        <f t="shared" si="220"/>
        <v/>
      </c>
      <c r="AC735" t="str">
        <f t="shared" si="221"/>
        <v/>
      </c>
      <c r="AD735" t="str">
        <f t="shared" si="222"/>
        <v/>
      </c>
      <c r="AE735" t="str">
        <f t="shared" si="212"/>
        <v/>
      </c>
      <c r="AF735" t="str">
        <f t="shared" si="224"/>
        <v/>
      </c>
      <c r="AG735" t="str">
        <f t="shared" si="224"/>
        <v/>
      </c>
      <c r="AH735" t="str">
        <f t="shared" si="213"/>
        <v/>
      </c>
      <c r="AI735" t="str">
        <f t="shared" si="214"/>
        <v/>
      </c>
      <c r="AJ735" t="str">
        <f t="shared" si="215"/>
        <v/>
      </c>
    </row>
    <row r="736" spans="1:36" x14ac:dyDescent="0.25">
      <c r="A736" t="s">
        <v>575</v>
      </c>
      <c r="P736" t="str">
        <f t="shared" si="216"/>
        <v xml:space="preserve">  BUGRES-RS069  </v>
      </c>
      <c r="Q736" t="str">
        <f t="shared" si="216"/>
        <v xml:space="preserve">   -50.9 </v>
      </c>
      <c r="R736" t="str">
        <f t="shared" si="209"/>
        <v xml:space="preserve">     0.0 </v>
      </c>
      <c r="S736" t="str">
        <f t="shared" si="217"/>
        <v xml:space="preserve">     0.0 </v>
      </c>
      <c r="T736" t="str">
        <f t="shared" si="218"/>
        <v xml:space="preserve">     0.0 </v>
      </c>
      <c r="U736" t="str">
        <f t="shared" si="222"/>
        <v xml:space="preserve">         0.0 </v>
      </c>
      <c r="V736" t="str">
        <f t="shared" si="210"/>
        <v xml:space="preserve">     0.0 </v>
      </c>
      <c r="W736" t="str">
        <f t="shared" si="219"/>
        <v xml:space="preserve">     0.0 </v>
      </c>
      <c r="X736" t="str">
        <f t="shared" si="223"/>
        <v xml:space="preserve">       </v>
      </c>
      <c r="Y736" t="str">
        <f t="shared" si="223"/>
        <v xml:space="preserve">              </v>
      </c>
      <c r="Z736" t="str">
        <f t="shared" si="223"/>
        <v xml:space="preserve">    </v>
      </c>
      <c r="AA736" t="str">
        <f t="shared" si="211"/>
        <v xml:space="preserve">         </v>
      </c>
      <c r="AB736" t="str">
        <f t="shared" si="220"/>
        <v xml:space="preserve">         </v>
      </c>
      <c r="AC736" t="str">
        <f t="shared" si="221"/>
        <v xml:space="preserve">    </v>
      </c>
      <c r="AD736" t="str">
        <f t="shared" si="222"/>
        <v/>
      </c>
      <c r="AE736" t="str">
        <f t="shared" si="212"/>
        <v/>
      </c>
      <c r="AF736" t="str">
        <f t="shared" si="224"/>
        <v/>
      </c>
      <c r="AG736" t="str">
        <f t="shared" si="224"/>
        <v/>
      </c>
      <c r="AH736" t="str">
        <f t="shared" si="213"/>
        <v/>
      </c>
      <c r="AI736" t="str">
        <f t="shared" si="214"/>
        <v/>
      </c>
      <c r="AJ736" t="str">
        <f t="shared" si="215"/>
        <v/>
      </c>
    </row>
    <row r="737" spans="1:36" x14ac:dyDescent="0.25">
      <c r="A737" t="s">
        <v>576</v>
      </c>
      <c r="P737" t="str">
        <f t="shared" si="216"/>
        <v xml:space="preserve">                </v>
      </c>
      <c r="Q737" t="str">
        <f t="shared" si="216"/>
        <v xml:space="preserve">         </v>
      </c>
      <c r="R737" t="str">
        <f t="shared" si="209"/>
        <v xml:space="preserve">    14.0 </v>
      </c>
      <c r="S737" t="str">
        <f t="shared" si="217"/>
        <v xml:space="preserve">    14.0 </v>
      </c>
      <c r="T737" t="str">
        <f t="shared" si="218"/>
        <v xml:space="preserve">    14.0 </v>
      </c>
      <c r="U737" t="str">
        <f t="shared" si="222"/>
        <v xml:space="preserve">        5.8% </v>
      </c>
      <c r="V737" t="str">
        <f t="shared" si="210"/>
        <v xml:space="preserve">         </v>
      </c>
      <c r="W737" t="str">
        <f t="shared" si="219"/>
        <v xml:space="preserve">         </v>
      </c>
      <c r="X737" t="str">
        <f t="shared" si="223"/>
        <v xml:space="preserve">  2050 </v>
      </c>
      <c r="Y737" t="str">
        <f t="shared" si="223"/>
        <v xml:space="preserve"> BUGRESPCH006 </v>
      </c>
      <c r="Z737" t="str">
        <f t="shared" si="223"/>
        <v xml:space="preserve">  1 </v>
      </c>
      <c r="AA737" t="str">
        <f t="shared" si="211"/>
        <v xml:space="preserve">    -0.5 </v>
      </c>
      <c r="AB737" t="str">
        <f t="shared" si="220"/>
        <v xml:space="preserve">    -0.7 </v>
      </c>
      <c r="AC737" t="str">
        <f t="shared" si="221"/>
        <v xml:space="preserve">     0.8 </v>
      </c>
      <c r="AD737" t="str">
        <f t="shared" si="222"/>
        <v xml:space="preserve"> 0.993F </v>
      </c>
      <c r="AE737" t="str">
        <f t="shared" si="212"/>
        <v xml:space="preserve">       </v>
      </c>
      <c r="AF737" t="str">
        <f t="shared" si="224"/>
        <v xml:space="preserve">     </v>
      </c>
      <c r="AG737" t="str">
        <f t="shared" si="224"/>
        <v xml:space="preserve">     0.00 </v>
      </c>
      <c r="AH737" t="str">
        <f t="shared" si="213"/>
        <v xml:space="preserve">     0.00 </v>
      </c>
      <c r="AI737" t="str">
        <f t="shared" si="214"/>
        <v xml:space="preserve">       </v>
      </c>
      <c r="AJ737" t="str">
        <f t="shared" si="215"/>
        <v xml:space="preserve">      </v>
      </c>
    </row>
    <row r="738" spans="1:36" x14ac:dyDescent="0.25">
      <c r="A738" t="s">
        <v>577</v>
      </c>
      <c r="P738" t="str">
        <f t="shared" si="216"/>
        <v xml:space="preserve">                </v>
      </c>
      <c r="Q738" t="str">
        <f t="shared" si="216"/>
        <v xml:space="preserve">         </v>
      </c>
      <c r="R738" t="str">
        <f t="shared" si="209"/>
        <v xml:space="preserve">    14.0 </v>
      </c>
      <c r="S738" t="str">
        <f t="shared" si="217"/>
        <v xml:space="preserve">    14.0 </v>
      </c>
      <c r="T738" t="str">
        <f t="shared" si="218"/>
        <v xml:space="preserve">    14.0 </v>
      </c>
      <c r="U738" t="str">
        <f t="shared" si="222"/>
        <v xml:space="preserve">        5.8% </v>
      </c>
      <c r="V738" t="str">
        <f t="shared" si="210"/>
        <v xml:space="preserve">         </v>
      </c>
      <c r="W738" t="str">
        <f t="shared" si="219"/>
        <v xml:space="preserve">         </v>
      </c>
      <c r="X738" t="str">
        <f t="shared" si="223"/>
        <v xml:space="preserve">  2063 </v>
      </c>
      <c r="Y738" t="str">
        <f t="shared" si="223"/>
        <v xml:space="preserve"> CANAST-RS069 </v>
      </c>
      <c r="Z738" t="str">
        <f t="shared" si="223"/>
        <v xml:space="preserve">  1 </v>
      </c>
      <c r="AA738" t="str">
        <f t="shared" si="211"/>
        <v xml:space="preserve">     0.5 </v>
      </c>
      <c r="AB738" t="str">
        <f t="shared" si="220"/>
        <v xml:space="preserve">     0.7 </v>
      </c>
      <c r="AC738" t="str">
        <f t="shared" si="221"/>
        <v xml:space="preserve">     0.8 </v>
      </c>
      <c r="AD738" t="str">
        <f t="shared" si="222"/>
        <v xml:space="preserve">        </v>
      </c>
      <c r="AE738" t="str">
        <f t="shared" si="212"/>
        <v xml:space="preserve">       </v>
      </c>
      <c r="AF738" t="str">
        <f t="shared" si="224"/>
        <v xml:space="preserve">     </v>
      </c>
      <c r="AG738" t="str">
        <f t="shared" si="224"/>
        <v xml:space="preserve">     0.00 </v>
      </c>
      <c r="AH738" t="str">
        <f t="shared" si="213"/>
        <v xml:space="preserve">    -0.12 </v>
      </c>
      <c r="AI738" t="str">
        <f t="shared" si="214"/>
        <v xml:space="preserve">       </v>
      </c>
      <c r="AJ738" t="str">
        <f t="shared" si="215"/>
        <v xml:space="preserve">      </v>
      </c>
    </row>
    <row r="739" spans="1:36" x14ac:dyDescent="0.25">
      <c r="A739" t="s">
        <v>14</v>
      </c>
      <c r="P739" t="str">
        <f t="shared" si="216"/>
        <v xml:space="preserve">  ..............</v>
      </c>
      <c r="Q739" t="str">
        <f t="shared" si="216"/>
        <v>.........</v>
      </c>
      <c r="R739" t="str">
        <f t="shared" si="209"/>
        <v>.........</v>
      </c>
      <c r="S739" t="str">
        <f t="shared" si="217"/>
        <v>.........</v>
      </c>
      <c r="T739" t="str">
        <f t="shared" si="218"/>
        <v>.........</v>
      </c>
      <c r="U739" t="str">
        <f t="shared" si="222"/>
        <v>.............</v>
      </c>
      <c r="V739" t="str">
        <f t="shared" si="210"/>
        <v>.........</v>
      </c>
      <c r="W739" t="str">
        <f t="shared" si="219"/>
        <v>.........</v>
      </c>
      <c r="X739" t="str">
        <f t="shared" si="223"/>
        <v>.......</v>
      </c>
      <c r="Y739" t="str">
        <f t="shared" si="223"/>
        <v>..............</v>
      </c>
      <c r="Z739" t="str">
        <f t="shared" si="223"/>
        <v>....</v>
      </c>
      <c r="AA739" t="str">
        <f t="shared" si="211"/>
        <v>.........</v>
      </c>
      <c r="AB739" t="str">
        <f t="shared" si="220"/>
        <v>.........</v>
      </c>
      <c r="AC739" t="str">
        <f t="shared" si="221"/>
        <v>.........</v>
      </c>
      <c r="AD739" t="str">
        <f t="shared" si="222"/>
        <v>........</v>
      </c>
      <c r="AE739" t="str">
        <f t="shared" si="212"/>
        <v>.......</v>
      </c>
      <c r="AF739" t="str">
        <f t="shared" si="224"/>
        <v>.....</v>
      </c>
      <c r="AG739" t="str">
        <f t="shared" si="224"/>
        <v>..........</v>
      </c>
      <c r="AH739" t="str">
        <f t="shared" si="213"/>
        <v>..........</v>
      </c>
      <c r="AI739" t="str">
        <f t="shared" si="214"/>
        <v>.......</v>
      </c>
      <c r="AJ739" t="str">
        <f t="shared" si="215"/>
        <v>.......</v>
      </c>
    </row>
    <row r="740" spans="1:36" x14ac:dyDescent="0.25">
      <c r="A740" t="s">
        <v>578</v>
      </c>
      <c r="P740" t="str">
        <f t="shared" si="216"/>
        <v xml:space="preserve">   2060  991  0 </v>
      </c>
      <c r="Q740" t="str">
        <f t="shared" si="216"/>
        <v xml:space="preserve">   1.003 </v>
      </c>
      <c r="R740" t="str">
        <f t="shared" si="209"/>
        <v xml:space="preserve">     0.0 </v>
      </c>
      <c r="S740" t="str">
        <f t="shared" si="217"/>
        <v xml:space="preserve">     0.0 </v>
      </c>
      <c r="T740" t="str">
        <f t="shared" si="218"/>
        <v xml:space="preserve">     0.0 </v>
      </c>
      <c r="U740" t="str">
        <f t="shared" si="222"/>
        <v xml:space="preserve">         0.0 </v>
      </c>
      <c r="V740" t="str">
        <f t="shared" si="210"/>
        <v xml:space="preserve">     0.0 </v>
      </c>
      <c r="W740" t="str">
        <f t="shared" si="219"/>
        <v xml:space="preserve">     0.0</v>
      </c>
      <c r="X740" t="str">
        <f t="shared" si="223"/>
        <v/>
      </c>
      <c r="Y740" t="str">
        <f t="shared" si="223"/>
        <v/>
      </c>
      <c r="Z740" t="str">
        <f t="shared" si="223"/>
        <v/>
      </c>
      <c r="AA740" t="str">
        <f t="shared" si="211"/>
        <v/>
      </c>
      <c r="AB740" t="str">
        <f t="shared" si="220"/>
        <v/>
      </c>
      <c r="AC740" t="str">
        <f t="shared" si="221"/>
        <v/>
      </c>
      <c r="AD740" t="str">
        <f t="shared" si="222"/>
        <v/>
      </c>
      <c r="AE740" t="str">
        <f t="shared" si="212"/>
        <v/>
      </c>
      <c r="AF740" t="str">
        <f t="shared" si="224"/>
        <v/>
      </c>
      <c r="AG740" t="str">
        <f t="shared" si="224"/>
        <v/>
      </c>
      <c r="AH740" t="str">
        <f t="shared" si="213"/>
        <v/>
      </c>
      <c r="AI740" t="str">
        <f t="shared" si="214"/>
        <v/>
      </c>
      <c r="AJ740" t="str">
        <f t="shared" si="215"/>
        <v/>
      </c>
    </row>
    <row r="741" spans="1:36" x14ac:dyDescent="0.25">
      <c r="A741" t="s">
        <v>579</v>
      </c>
      <c r="P741" t="str">
        <f t="shared" si="216"/>
        <v xml:space="preserve">  CANA-B-RS000  </v>
      </c>
      <c r="Q741" t="str">
        <f t="shared" si="216"/>
        <v xml:space="preserve">   -53.7 </v>
      </c>
      <c r="R741" t="str">
        <f t="shared" si="209"/>
        <v xml:space="preserve">     0.0 </v>
      </c>
      <c r="S741" t="str">
        <f t="shared" si="217"/>
        <v xml:space="preserve">     0.0 </v>
      </c>
      <c r="T741" t="str">
        <f t="shared" si="218"/>
        <v xml:space="preserve">     0.0 </v>
      </c>
      <c r="U741" t="str">
        <f t="shared" si="222"/>
        <v xml:space="preserve">         0.0 </v>
      </c>
      <c r="V741" t="str">
        <f t="shared" si="210"/>
        <v xml:space="preserve">     0.0 </v>
      </c>
      <c r="W741" t="str">
        <f t="shared" si="219"/>
        <v xml:space="preserve">     0.0 </v>
      </c>
      <c r="X741" t="str">
        <f t="shared" si="223"/>
        <v xml:space="preserve">       </v>
      </c>
      <c r="Y741" t="str">
        <f t="shared" si="223"/>
        <v xml:space="preserve">              </v>
      </c>
      <c r="Z741" t="str">
        <f t="shared" si="223"/>
        <v xml:space="preserve">    </v>
      </c>
      <c r="AA741" t="str">
        <f t="shared" si="211"/>
        <v xml:space="preserve">         </v>
      </c>
      <c r="AB741" t="str">
        <f t="shared" si="220"/>
        <v xml:space="preserve">         </v>
      </c>
      <c r="AC741" t="str">
        <f t="shared" si="221"/>
        <v xml:space="preserve">    </v>
      </c>
      <c r="AD741" t="str">
        <f t="shared" si="222"/>
        <v/>
      </c>
      <c r="AE741" t="str">
        <f t="shared" si="212"/>
        <v/>
      </c>
      <c r="AF741" t="str">
        <f t="shared" si="224"/>
        <v/>
      </c>
      <c r="AG741" t="str">
        <f t="shared" si="224"/>
        <v/>
      </c>
      <c r="AH741" t="str">
        <f t="shared" si="213"/>
        <v/>
      </c>
      <c r="AI741" t="str">
        <f t="shared" si="214"/>
        <v/>
      </c>
      <c r="AJ741" t="str">
        <f t="shared" si="215"/>
        <v/>
      </c>
    </row>
    <row r="742" spans="1:36" x14ac:dyDescent="0.25">
      <c r="A742" t="s">
        <v>580</v>
      </c>
      <c r="P742" t="str">
        <f t="shared" si="216"/>
        <v xml:space="preserve">                </v>
      </c>
      <c r="Q742" t="str">
        <f t="shared" si="216"/>
        <v xml:space="preserve">         </v>
      </c>
      <c r="R742" t="str">
        <f t="shared" si="209"/>
        <v xml:space="preserve">    25.0 </v>
      </c>
      <c r="S742" t="str">
        <f t="shared" si="217"/>
        <v xml:space="preserve">    25.0 </v>
      </c>
      <c r="T742" t="str">
        <f t="shared" si="218"/>
        <v xml:space="preserve">    25.0 </v>
      </c>
      <c r="U742" t="str">
        <f t="shared" si="222"/>
        <v xml:space="preserve">       54.6% </v>
      </c>
      <c r="V742" t="str">
        <f t="shared" si="210"/>
        <v xml:space="preserve">         </v>
      </c>
      <c r="W742" t="str">
        <f t="shared" si="219"/>
        <v xml:space="preserve">         </v>
      </c>
      <c r="X742" t="str">
        <f t="shared" si="223"/>
        <v xml:space="preserve">  2051 </v>
      </c>
      <c r="Y742" t="str">
        <f t="shared" si="223"/>
        <v xml:space="preserve"> CANASTPCH013 </v>
      </c>
      <c r="Z742" t="str">
        <f t="shared" si="223"/>
        <v xml:space="preserve">  1 </v>
      </c>
      <c r="AA742" t="str">
        <f t="shared" si="211"/>
        <v xml:space="preserve">   -13.3 </v>
      </c>
      <c r="AB742" t="str">
        <f t="shared" si="220"/>
        <v xml:space="preserve">    -3.1 </v>
      </c>
      <c r="AC742" t="str">
        <f t="shared" si="221"/>
        <v xml:space="preserve">    13.7 </v>
      </c>
      <c r="AD742" t="str">
        <f t="shared" si="222"/>
        <v xml:space="preserve">        </v>
      </c>
      <c r="AE742" t="str">
        <f t="shared" si="212"/>
        <v xml:space="preserve">       </v>
      </c>
      <c r="AF742" t="str">
        <f t="shared" si="224"/>
        <v xml:space="preserve">     </v>
      </c>
      <c r="AG742" t="str">
        <f t="shared" si="224"/>
        <v xml:space="preserve">     0.00 </v>
      </c>
      <c r="AH742" t="str">
        <f t="shared" si="213"/>
        <v xml:space="preserve">     1.19 </v>
      </c>
      <c r="AI742" t="str">
        <f t="shared" si="214"/>
        <v xml:space="preserve">       </v>
      </c>
      <c r="AJ742" t="str">
        <f t="shared" si="215"/>
        <v xml:space="preserve">      </v>
      </c>
    </row>
    <row r="743" spans="1:36" x14ac:dyDescent="0.25">
      <c r="A743" t="s">
        <v>581</v>
      </c>
      <c r="P743" t="str">
        <f t="shared" si="216"/>
        <v xml:space="preserve">                </v>
      </c>
      <c r="Q743" t="str">
        <f t="shared" si="216"/>
        <v xml:space="preserve">         </v>
      </c>
      <c r="R743" t="str">
        <f t="shared" si="209"/>
        <v xml:space="preserve">    10.0 </v>
      </c>
      <c r="S743" t="str">
        <f t="shared" si="217"/>
        <v xml:space="preserve">    10.0 </v>
      </c>
      <c r="T743" t="str">
        <f t="shared" si="218"/>
        <v xml:space="preserve">    10.0 </v>
      </c>
      <c r="U743" t="str">
        <f t="shared" si="222"/>
        <v xml:space="preserve">       60.3% </v>
      </c>
      <c r="V743" t="str">
        <f t="shared" si="210"/>
        <v xml:space="preserve">         </v>
      </c>
      <c r="W743" t="str">
        <f t="shared" si="219"/>
        <v xml:space="preserve">         </v>
      </c>
      <c r="X743" t="str">
        <f t="shared" si="223"/>
        <v xml:space="preserve">  2063 </v>
      </c>
      <c r="Y743" t="str">
        <f t="shared" si="223"/>
        <v xml:space="preserve"> CANAST-RS069 </v>
      </c>
      <c r="Z743" t="str">
        <f t="shared" si="223"/>
        <v xml:space="preserve">  1 </v>
      </c>
      <c r="AA743" t="str">
        <f t="shared" si="211"/>
        <v xml:space="preserve">    -5.9 </v>
      </c>
      <c r="AB743" t="str">
        <f t="shared" si="220"/>
        <v xml:space="preserve">    -1.4 </v>
      </c>
      <c r="AC743" t="str">
        <f t="shared" si="221"/>
        <v xml:space="preserve">     6.0 </v>
      </c>
      <c r="AD743" t="str">
        <f t="shared" si="222"/>
        <v xml:space="preserve">        </v>
      </c>
      <c r="AE743" t="str">
        <f t="shared" si="212"/>
        <v xml:space="preserve">       </v>
      </c>
      <c r="AF743" t="str">
        <f t="shared" si="224"/>
        <v xml:space="preserve">     </v>
      </c>
      <c r="AG743" t="str">
        <f t="shared" si="224"/>
        <v xml:space="preserve">     0.00 </v>
      </c>
      <c r="AH743" t="str">
        <f t="shared" si="213"/>
        <v xml:space="preserve">     0.31 </v>
      </c>
      <c r="AI743" t="str">
        <f t="shared" si="214"/>
        <v xml:space="preserve">       </v>
      </c>
      <c r="AJ743" t="str">
        <f t="shared" si="215"/>
        <v xml:space="preserve">      </v>
      </c>
    </row>
    <row r="744" spans="1:36" x14ac:dyDescent="0.25">
      <c r="A744" t="s">
        <v>582</v>
      </c>
      <c r="P744" t="str">
        <f t="shared" si="216"/>
        <v xml:space="preserve">                </v>
      </c>
      <c r="Q744" t="str">
        <f t="shared" si="216"/>
        <v xml:space="preserve">         </v>
      </c>
      <c r="R744" t="str">
        <f t="shared" si="209"/>
        <v xml:space="preserve">    35.0 </v>
      </c>
      <c r="S744" t="str">
        <f t="shared" si="217"/>
        <v xml:space="preserve">    35.0 </v>
      </c>
      <c r="T744" t="str">
        <f t="shared" si="218"/>
        <v xml:space="preserve">    35.0 </v>
      </c>
      <c r="U744" t="str">
        <f t="shared" si="222"/>
        <v xml:space="preserve">       56.2% </v>
      </c>
      <c r="V744" t="str">
        <f t="shared" si="210"/>
        <v xml:space="preserve">         </v>
      </c>
      <c r="W744" t="str">
        <f t="shared" si="219"/>
        <v xml:space="preserve">         </v>
      </c>
      <c r="X744" t="str">
        <f t="shared" si="223"/>
        <v xml:space="preserve">  2064 </v>
      </c>
      <c r="Y744" t="str">
        <f t="shared" si="223"/>
        <v xml:space="preserve"> CANAST-RS138 </v>
      </c>
      <c r="Z744" t="str">
        <f t="shared" si="223"/>
        <v xml:space="preserve">  1 </v>
      </c>
      <c r="AA744" t="str">
        <f t="shared" si="211"/>
        <v xml:space="preserve">    19.2 </v>
      </c>
      <c r="AB744" t="str">
        <f t="shared" si="220"/>
        <v xml:space="preserve">     4.6 </v>
      </c>
      <c r="AC744" t="str">
        <f t="shared" si="221"/>
        <v xml:space="preserve">    19.7 </v>
      </c>
      <c r="AD744" t="str">
        <f t="shared" si="222"/>
        <v xml:space="preserve">        </v>
      </c>
      <c r="AE744" t="str">
        <f t="shared" si="212"/>
        <v xml:space="preserve">       </v>
      </c>
      <c r="AF744" t="str">
        <f t="shared" si="224"/>
        <v xml:space="preserve">     </v>
      </c>
      <c r="AG744" t="str">
        <f t="shared" si="224"/>
        <v xml:space="preserve">     0.00 </v>
      </c>
      <c r="AH744" t="str">
        <f t="shared" si="213"/>
        <v xml:space="preserve">    -0.11 </v>
      </c>
      <c r="AI744" t="str">
        <f t="shared" si="214"/>
        <v xml:space="preserve">       </v>
      </c>
      <c r="AJ744" t="str">
        <f t="shared" si="215"/>
        <v xml:space="preserve">      </v>
      </c>
    </row>
    <row r="745" spans="1:36" x14ac:dyDescent="0.25">
      <c r="A745" t="s">
        <v>14</v>
      </c>
      <c r="P745" t="str">
        <f t="shared" si="216"/>
        <v xml:space="preserve">  ..............</v>
      </c>
      <c r="Q745" t="str">
        <f t="shared" si="216"/>
        <v>.........</v>
      </c>
      <c r="R745" t="str">
        <f t="shared" si="209"/>
        <v>.........</v>
      </c>
      <c r="S745" t="str">
        <f t="shared" si="217"/>
        <v>.........</v>
      </c>
      <c r="T745" t="str">
        <f t="shared" si="218"/>
        <v>.........</v>
      </c>
      <c r="U745" t="str">
        <f t="shared" si="222"/>
        <v>.............</v>
      </c>
      <c r="V745" t="str">
        <f t="shared" si="210"/>
        <v>.........</v>
      </c>
      <c r="W745" t="str">
        <f t="shared" si="219"/>
        <v>.........</v>
      </c>
      <c r="X745" t="str">
        <f t="shared" si="223"/>
        <v>.......</v>
      </c>
      <c r="Y745" t="str">
        <f t="shared" si="223"/>
        <v>..............</v>
      </c>
      <c r="Z745" t="str">
        <f t="shared" si="223"/>
        <v>....</v>
      </c>
      <c r="AA745" t="str">
        <f t="shared" si="211"/>
        <v>.........</v>
      </c>
      <c r="AB745" t="str">
        <f t="shared" si="220"/>
        <v>.........</v>
      </c>
      <c r="AC745" t="str">
        <f t="shared" si="221"/>
        <v>.........</v>
      </c>
      <c r="AD745" t="str">
        <f t="shared" si="222"/>
        <v>........</v>
      </c>
      <c r="AE745" t="str">
        <f t="shared" si="212"/>
        <v>.......</v>
      </c>
      <c r="AF745" t="str">
        <f t="shared" si="224"/>
        <v>.....</v>
      </c>
      <c r="AG745" t="str">
        <f t="shared" si="224"/>
        <v>..........</v>
      </c>
      <c r="AH745" t="str">
        <f t="shared" si="213"/>
        <v>..........</v>
      </c>
      <c r="AI745" t="str">
        <f t="shared" si="214"/>
        <v>.......</v>
      </c>
      <c r="AJ745" t="str">
        <f t="shared" si="215"/>
        <v>.......</v>
      </c>
    </row>
    <row r="746" spans="1:36" x14ac:dyDescent="0.25">
      <c r="A746" t="s">
        <v>583</v>
      </c>
      <c r="P746" t="str">
        <f t="shared" si="216"/>
        <v xml:space="preserve">   2061  138  0 </v>
      </c>
      <c r="Q746" t="str">
        <f t="shared" si="216"/>
        <v xml:space="preserve">   1.014 </v>
      </c>
      <c r="R746" t="str">
        <f t="shared" si="209"/>
        <v xml:space="preserve">     0.0 </v>
      </c>
      <c r="S746" t="str">
        <f t="shared" si="217"/>
        <v xml:space="preserve">     0.0 </v>
      </c>
      <c r="T746" t="str">
        <f t="shared" si="218"/>
        <v xml:space="preserve">     0.0 </v>
      </c>
      <c r="U746" t="str">
        <f t="shared" si="222"/>
        <v xml:space="preserve">         0.0 </v>
      </c>
      <c r="V746" t="str">
        <f t="shared" si="210"/>
        <v xml:space="preserve">     0.0 </v>
      </c>
      <c r="W746" t="str">
        <f t="shared" si="219"/>
        <v xml:space="preserve">     0.0</v>
      </c>
      <c r="X746" t="str">
        <f t="shared" si="223"/>
        <v/>
      </c>
      <c r="Y746" t="str">
        <f t="shared" si="223"/>
        <v/>
      </c>
      <c r="Z746" t="str">
        <f t="shared" si="223"/>
        <v/>
      </c>
      <c r="AA746" t="str">
        <f t="shared" si="211"/>
        <v/>
      </c>
      <c r="AB746" t="str">
        <f t="shared" si="220"/>
        <v/>
      </c>
      <c r="AC746" t="str">
        <f t="shared" si="221"/>
        <v/>
      </c>
      <c r="AD746" t="str">
        <f t="shared" si="222"/>
        <v/>
      </c>
      <c r="AE746" t="str">
        <f t="shared" si="212"/>
        <v/>
      </c>
      <c r="AF746" t="str">
        <f t="shared" si="224"/>
        <v/>
      </c>
      <c r="AG746" t="str">
        <f t="shared" si="224"/>
        <v/>
      </c>
      <c r="AH746" t="str">
        <f t="shared" si="213"/>
        <v/>
      </c>
      <c r="AI746" t="str">
        <f t="shared" si="214"/>
        <v/>
      </c>
      <c r="AJ746" t="str">
        <f t="shared" si="215"/>
        <v/>
      </c>
    </row>
    <row r="747" spans="1:36" x14ac:dyDescent="0.25">
      <c r="A747" t="s">
        <v>584</v>
      </c>
      <c r="P747" t="str">
        <f t="shared" si="216"/>
        <v xml:space="preserve">  CRUZAL-RS138  </v>
      </c>
      <c r="Q747" t="str">
        <f t="shared" si="216"/>
        <v xml:space="preserve">   -48.8 </v>
      </c>
      <c r="R747" t="str">
        <f t="shared" si="209"/>
        <v xml:space="preserve">     0.0 </v>
      </c>
      <c r="S747" t="str">
        <f t="shared" si="217"/>
        <v xml:space="preserve">     0.0 </v>
      </c>
      <c r="T747" t="str">
        <f t="shared" si="218"/>
        <v xml:space="preserve">     0.0 </v>
      </c>
      <c r="U747" t="str">
        <f t="shared" si="222"/>
        <v xml:space="preserve">         0.0 </v>
      </c>
      <c r="V747" t="str">
        <f t="shared" si="210"/>
        <v xml:space="preserve">     0.0 </v>
      </c>
      <c r="W747" t="str">
        <f t="shared" si="219"/>
        <v xml:space="preserve">     0.0 </v>
      </c>
      <c r="X747" t="str">
        <f t="shared" si="223"/>
        <v xml:space="preserve">       </v>
      </c>
      <c r="Y747" t="str">
        <f t="shared" si="223"/>
        <v xml:space="preserve">              </v>
      </c>
      <c r="Z747" t="str">
        <f t="shared" si="223"/>
        <v xml:space="preserve">    </v>
      </c>
      <c r="AA747" t="str">
        <f t="shared" si="211"/>
        <v xml:space="preserve">         </v>
      </c>
      <c r="AB747" t="str">
        <f t="shared" si="220"/>
        <v xml:space="preserve">         </v>
      </c>
      <c r="AC747" t="str">
        <f t="shared" si="221"/>
        <v xml:space="preserve">    </v>
      </c>
      <c r="AD747" t="str">
        <f t="shared" si="222"/>
        <v/>
      </c>
      <c r="AE747" t="str">
        <f t="shared" si="212"/>
        <v/>
      </c>
      <c r="AF747" t="str">
        <f t="shared" si="224"/>
        <v/>
      </c>
      <c r="AG747" t="str">
        <f t="shared" si="224"/>
        <v/>
      </c>
      <c r="AH747" t="str">
        <f t="shared" si="213"/>
        <v/>
      </c>
      <c r="AI747" t="str">
        <f t="shared" si="214"/>
        <v/>
      </c>
      <c r="AJ747" t="str">
        <f t="shared" si="215"/>
        <v/>
      </c>
    </row>
    <row r="748" spans="1:36" x14ac:dyDescent="0.25">
      <c r="A748" t="s">
        <v>585</v>
      </c>
      <c r="P748" t="str">
        <f t="shared" si="216"/>
        <v xml:space="preserve">                </v>
      </c>
      <c r="Q748" t="str">
        <f t="shared" si="216"/>
        <v xml:space="preserve">         </v>
      </c>
      <c r="R748" t="str">
        <f t="shared" si="209"/>
        <v xml:space="preserve">    96.0 </v>
      </c>
      <c r="S748" t="str">
        <f t="shared" si="217"/>
        <v xml:space="preserve">    96.0 </v>
      </c>
      <c r="T748" t="str">
        <f t="shared" si="218"/>
        <v xml:space="preserve">    96.0 </v>
      </c>
      <c r="U748" t="str">
        <f t="shared" si="222"/>
        <v xml:space="preserve">       18.7% </v>
      </c>
      <c r="V748" t="str">
        <f t="shared" si="210"/>
        <v xml:space="preserve">         </v>
      </c>
      <c r="W748" t="str">
        <f t="shared" si="219"/>
        <v xml:space="preserve">         </v>
      </c>
      <c r="X748" t="str">
        <f t="shared" si="223"/>
        <v xml:space="preserve">  1216 </v>
      </c>
      <c r="Y748" t="str">
        <f t="shared" si="223"/>
        <v xml:space="preserve"> JACUI--RS138 </v>
      </c>
      <c r="Z748" t="str">
        <f t="shared" si="223"/>
        <v xml:space="preserve">  1 </v>
      </c>
      <c r="AA748" t="str">
        <f t="shared" si="211"/>
        <v xml:space="preserve">   -18.1 </v>
      </c>
      <c r="AB748" t="str">
        <f t="shared" si="220"/>
        <v xml:space="preserve">    -2.1 </v>
      </c>
      <c r="AC748" t="str">
        <f t="shared" si="221"/>
        <v xml:space="preserve">    18.0 </v>
      </c>
      <c r="AD748" t="str">
        <f t="shared" si="222"/>
        <v xml:space="preserve">        </v>
      </c>
      <c r="AE748" t="str">
        <f t="shared" si="212"/>
        <v xml:space="preserve">       </v>
      </c>
      <c r="AF748" t="str">
        <f t="shared" si="224"/>
        <v xml:space="preserve">     </v>
      </c>
      <c r="AG748" t="str">
        <f t="shared" si="224"/>
        <v xml:space="preserve">     0.15 </v>
      </c>
      <c r="AH748" t="str">
        <f t="shared" si="213"/>
        <v xml:space="preserve">    -3.66 </v>
      </c>
      <c r="AI748" t="str">
        <f t="shared" si="214"/>
        <v xml:space="preserve">       </v>
      </c>
      <c r="AJ748" t="str">
        <f t="shared" si="215"/>
        <v xml:space="preserve">      </v>
      </c>
    </row>
    <row r="749" spans="1:36" x14ac:dyDescent="0.25">
      <c r="A749" t="s">
        <v>586</v>
      </c>
      <c r="P749" t="str">
        <f t="shared" si="216"/>
        <v xml:space="preserve">                </v>
      </c>
      <c r="Q749" t="str">
        <f t="shared" si="216"/>
        <v xml:space="preserve">         </v>
      </c>
      <c r="R749" t="str">
        <f t="shared" si="209"/>
        <v xml:space="preserve">    66.0 </v>
      </c>
      <c r="S749" t="str">
        <f t="shared" si="217"/>
        <v xml:space="preserve">    66.0 </v>
      </c>
      <c r="T749" t="str">
        <f t="shared" si="218"/>
        <v xml:space="preserve">    66.0 </v>
      </c>
      <c r="U749" t="str">
        <f t="shared" si="222"/>
        <v xml:space="preserve">       10.1% </v>
      </c>
      <c r="V749" t="str">
        <f t="shared" si="210"/>
        <v xml:space="preserve">         </v>
      </c>
      <c r="W749" t="str">
        <f t="shared" si="219"/>
        <v xml:space="preserve">         </v>
      </c>
      <c r="X749" t="str">
        <f t="shared" si="223"/>
        <v xml:space="preserve">  1301 </v>
      </c>
      <c r="Y749" t="str">
        <f t="shared" si="223"/>
        <v xml:space="preserve"> CALTA1-RS069 </v>
      </c>
      <c r="Z749" t="str">
        <f t="shared" si="223"/>
        <v xml:space="preserve">  1 </v>
      </c>
      <c r="AA749" t="str">
        <f t="shared" si="211"/>
        <v xml:space="preserve">     6.7 </v>
      </c>
      <c r="AB749" t="str">
        <f t="shared" si="220"/>
        <v xml:space="preserve">     1.0 </v>
      </c>
      <c r="AC749" t="str">
        <f t="shared" si="221"/>
        <v xml:space="preserve">     6.7 </v>
      </c>
      <c r="AD749" t="str">
        <f t="shared" si="222"/>
        <v xml:space="preserve">        </v>
      </c>
      <c r="AE749" t="str">
        <f t="shared" si="212"/>
        <v xml:space="preserve">       </v>
      </c>
      <c r="AF749" t="str">
        <f t="shared" si="224"/>
        <v xml:space="preserve">     </v>
      </c>
      <c r="AG749" t="str">
        <f t="shared" si="224"/>
        <v xml:space="preserve">     0.00 </v>
      </c>
      <c r="AH749" t="str">
        <f t="shared" si="213"/>
        <v xml:space="preserve">     0.11 </v>
      </c>
      <c r="AI749" t="str">
        <f t="shared" si="214"/>
        <v xml:space="preserve">       </v>
      </c>
      <c r="AJ749" t="str">
        <f t="shared" si="215"/>
        <v xml:space="preserve">      </v>
      </c>
    </row>
    <row r="750" spans="1:36" x14ac:dyDescent="0.25">
      <c r="A750" t="s">
        <v>587</v>
      </c>
      <c r="P750" t="str">
        <f t="shared" si="216"/>
        <v xml:space="preserve">                </v>
      </c>
      <c r="Q750" t="str">
        <f t="shared" si="216"/>
        <v xml:space="preserve">         </v>
      </c>
      <c r="R750" t="str">
        <f t="shared" si="209"/>
        <v xml:space="preserve">    25.0 </v>
      </c>
      <c r="S750" t="str">
        <f t="shared" si="217"/>
        <v xml:space="preserve">    25.0 </v>
      </c>
      <c r="T750" t="str">
        <f t="shared" si="218"/>
        <v xml:space="preserve">    25.0 </v>
      </c>
      <c r="U750" t="str">
        <f t="shared" si="222"/>
        <v xml:space="preserve">       45.2% </v>
      </c>
      <c r="V750" t="str">
        <f t="shared" si="210"/>
        <v xml:space="preserve">         </v>
      </c>
      <c r="W750" t="str">
        <f t="shared" si="219"/>
        <v xml:space="preserve">         </v>
      </c>
      <c r="X750" t="str">
        <f t="shared" si="223"/>
        <v xml:space="preserve">  9675 </v>
      </c>
      <c r="Y750" t="str">
        <f t="shared" si="223"/>
        <v xml:space="preserve"> CAL1-A-RS023 </v>
      </c>
      <c r="Z750" t="str">
        <f t="shared" si="223"/>
        <v xml:space="preserve">  1 </v>
      </c>
      <c r="AA750" t="str">
        <f t="shared" si="211"/>
        <v xml:space="preserve">    11.4 </v>
      </c>
      <c r="AB750" t="str">
        <f t="shared" si="220"/>
        <v xml:space="preserve">     1.2 </v>
      </c>
      <c r="AC750" t="str">
        <f t="shared" si="221"/>
        <v xml:space="preserve">    11.3 </v>
      </c>
      <c r="AD750" t="str">
        <f t="shared" si="222"/>
        <v xml:space="preserve"> 0.990* </v>
      </c>
      <c r="AE750" t="str">
        <f t="shared" si="212"/>
        <v xml:space="preserve">       </v>
      </c>
      <c r="AF750" t="str">
        <f t="shared" si="224"/>
        <v xml:space="preserve">     </v>
      </c>
      <c r="AG750" t="str">
        <f t="shared" si="224"/>
        <v xml:space="preserve">     0.00 </v>
      </c>
      <c r="AH750" t="str">
        <f t="shared" si="213"/>
        <v xml:space="preserve">     0.52 </v>
      </c>
      <c r="AI750" t="str">
        <f t="shared" si="214"/>
        <v xml:space="preserve">       </v>
      </c>
      <c r="AJ750" t="str">
        <f t="shared" si="215"/>
        <v xml:space="preserve">      </v>
      </c>
    </row>
    <row r="751" spans="1:36" x14ac:dyDescent="0.25">
      <c r="A751" t="s">
        <v>14</v>
      </c>
      <c r="P751" t="str">
        <f t="shared" si="216"/>
        <v xml:space="preserve">  ..............</v>
      </c>
      <c r="Q751" t="str">
        <f t="shared" si="216"/>
        <v>.........</v>
      </c>
      <c r="R751" t="str">
        <f t="shared" si="209"/>
        <v>.........</v>
      </c>
      <c r="S751" t="str">
        <f t="shared" si="217"/>
        <v>.........</v>
      </c>
      <c r="T751" t="str">
        <f t="shared" si="218"/>
        <v>.........</v>
      </c>
      <c r="U751" t="str">
        <f t="shared" si="222"/>
        <v>.............</v>
      </c>
      <c r="V751" t="str">
        <f t="shared" si="210"/>
        <v>.........</v>
      </c>
      <c r="W751" t="str">
        <f t="shared" si="219"/>
        <v>.........</v>
      </c>
      <c r="X751" t="str">
        <f t="shared" si="223"/>
        <v>.......</v>
      </c>
      <c r="Y751" t="str">
        <f t="shared" si="223"/>
        <v>..............</v>
      </c>
      <c r="Z751" t="str">
        <f t="shared" si="223"/>
        <v>....</v>
      </c>
      <c r="AA751" t="str">
        <f t="shared" si="211"/>
        <v>.........</v>
      </c>
      <c r="AB751" t="str">
        <f t="shared" si="220"/>
        <v>.........</v>
      </c>
      <c r="AC751" t="str">
        <f t="shared" si="221"/>
        <v>.........</v>
      </c>
      <c r="AD751" t="str">
        <f t="shared" si="222"/>
        <v>........</v>
      </c>
      <c r="AE751" t="str">
        <f t="shared" si="212"/>
        <v>.......</v>
      </c>
      <c r="AF751" t="str">
        <f t="shared" si="224"/>
        <v>.....</v>
      </c>
      <c r="AG751" t="str">
        <f t="shared" si="224"/>
        <v>..........</v>
      </c>
      <c r="AH751" t="str">
        <f t="shared" si="213"/>
        <v>..........</v>
      </c>
      <c r="AI751" t="str">
        <f t="shared" si="214"/>
        <v>.......</v>
      </c>
      <c r="AJ751" t="str">
        <f t="shared" si="215"/>
        <v>.......</v>
      </c>
    </row>
    <row r="752" spans="1:36" x14ac:dyDescent="0.25">
      <c r="A752" t="s">
        <v>588</v>
      </c>
      <c r="P752" t="str">
        <f t="shared" si="216"/>
        <v xml:space="preserve">   2062  991  0 </v>
      </c>
      <c r="Q752" t="str">
        <f t="shared" si="216"/>
        <v xml:space="preserve">   1.016 </v>
      </c>
      <c r="R752" t="str">
        <f t="shared" si="209"/>
        <v xml:space="preserve">     0.0 </v>
      </c>
      <c r="S752" t="str">
        <f t="shared" si="217"/>
        <v xml:space="preserve">     0.0 </v>
      </c>
      <c r="T752" t="str">
        <f t="shared" si="218"/>
        <v xml:space="preserve">     0.0 </v>
      </c>
      <c r="U752" t="str">
        <f t="shared" si="222"/>
        <v xml:space="preserve">         0.0 </v>
      </c>
      <c r="V752" t="str">
        <f t="shared" si="210"/>
        <v xml:space="preserve">     0.0 </v>
      </c>
      <c r="W752" t="str">
        <f t="shared" si="219"/>
        <v xml:space="preserve">     0.0</v>
      </c>
      <c r="X752" t="str">
        <f t="shared" si="223"/>
        <v/>
      </c>
      <c r="Y752" t="str">
        <f t="shared" si="223"/>
        <v/>
      </c>
      <c r="Z752" t="str">
        <f t="shared" si="223"/>
        <v/>
      </c>
      <c r="AA752" t="str">
        <f t="shared" si="211"/>
        <v/>
      </c>
      <c r="AB752" t="str">
        <f t="shared" si="220"/>
        <v/>
      </c>
      <c r="AC752" t="str">
        <f t="shared" si="221"/>
        <v/>
      </c>
      <c r="AD752" t="str">
        <f t="shared" si="222"/>
        <v/>
      </c>
      <c r="AE752" t="str">
        <f t="shared" si="212"/>
        <v/>
      </c>
      <c r="AF752" t="str">
        <f t="shared" si="224"/>
        <v/>
      </c>
      <c r="AG752" t="str">
        <f t="shared" si="224"/>
        <v/>
      </c>
      <c r="AH752" t="str">
        <f t="shared" si="213"/>
        <v/>
      </c>
      <c r="AI752" t="str">
        <f t="shared" si="214"/>
        <v/>
      </c>
      <c r="AJ752" t="str">
        <f t="shared" si="215"/>
        <v/>
      </c>
    </row>
    <row r="753" spans="1:36" x14ac:dyDescent="0.25">
      <c r="A753" t="s">
        <v>589</v>
      </c>
      <c r="P753" t="str">
        <f t="shared" si="216"/>
        <v xml:space="preserve">  CANA-A-RS000  </v>
      </c>
      <c r="Q753" t="str">
        <f t="shared" si="216"/>
        <v xml:space="preserve">   -50.9 </v>
      </c>
      <c r="R753" t="str">
        <f t="shared" si="209"/>
        <v xml:space="preserve">     0.0 </v>
      </c>
      <c r="S753" t="str">
        <f t="shared" si="217"/>
        <v xml:space="preserve">     0.0 </v>
      </c>
      <c r="T753" t="str">
        <f t="shared" si="218"/>
        <v xml:space="preserve">     0.0 </v>
      </c>
      <c r="U753" t="str">
        <f t="shared" si="222"/>
        <v xml:space="preserve">         0.0 </v>
      </c>
      <c r="V753" t="str">
        <f t="shared" si="210"/>
        <v xml:space="preserve">     0.0 </v>
      </c>
      <c r="W753" t="str">
        <f t="shared" si="219"/>
        <v xml:space="preserve">     0.0 </v>
      </c>
      <c r="X753" t="str">
        <f t="shared" si="223"/>
        <v xml:space="preserve">       </v>
      </c>
      <c r="Y753" t="str">
        <f t="shared" si="223"/>
        <v xml:space="preserve">              </v>
      </c>
      <c r="Z753" t="str">
        <f t="shared" si="223"/>
        <v xml:space="preserve">    </v>
      </c>
      <c r="AA753" t="str">
        <f t="shared" si="211"/>
        <v xml:space="preserve">         </v>
      </c>
      <c r="AB753" t="str">
        <f t="shared" si="220"/>
        <v xml:space="preserve">         </v>
      </c>
      <c r="AC753" t="str">
        <f t="shared" si="221"/>
        <v xml:space="preserve">    </v>
      </c>
      <c r="AD753" t="str">
        <f t="shared" si="222"/>
        <v/>
      </c>
      <c r="AE753" t="str">
        <f t="shared" si="212"/>
        <v/>
      </c>
      <c r="AF753" t="str">
        <f t="shared" si="224"/>
        <v/>
      </c>
      <c r="AG753" t="str">
        <f t="shared" si="224"/>
        <v/>
      </c>
      <c r="AH753" t="str">
        <f t="shared" si="213"/>
        <v/>
      </c>
      <c r="AI753" t="str">
        <f t="shared" si="214"/>
        <v/>
      </c>
      <c r="AJ753" t="str">
        <f t="shared" si="215"/>
        <v/>
      </c>
    </row>
    <row r="754" spans="1:36" x14ac:dyDescent="0.25">
      <c r="A754" t="s">
        <v>590</v>
      </c>
      <c r="P754" t="str">
        <f t="shared" si="216"/>
        <v xml:space="preserve">                </v>
      </c>
      <c r="Q754" t="str">
        <f t="shared" si="216"/>
        <v xml:space="preserve">         </v>
      </c>
      <c r="R754" t="str">
        <f t="shared" si="209"/>
        <v xml:space="preserve">    30.0 </v>
      </c>
      <c r="S754" t="str">
        <f t="shared" si="217"/>
        <v xml:space="preserve">    30.0 </v>
      </c>
      <c r="T754" t="str">
        <f t="shared" si="218"/>
        <v xml:space="preserve">    30.0 </v>
      </c>
      <c r="U754" t="str">
        <f t="shared" si="222"/>
        <v xml:space="preserve">       80.5% </v>
      </c>
      <c r="V754" t="str">
        <f t="shared" si="210"/>
        <v xml:space="preserve">         </v>
      </c>
      <c r="W754" t="str">
        <f t="shared" si="219"/>
        <v xml:space="preserve">         </v>
      </c>
      <c r="X754" t="str">
        <f t="shared" si="223"/>
        <v xml:space="preserve">  2051 </v>
      </c>
      <c r="Y754" t="str">
        <f t="shared" si="223"/>
        <v xml:space="preserve"> CANASTPCH013 </v>
      </c>
      <c r="Z754" t="str">
        <f t="shared" si="223"/>
        <v xml:space="preserve">  1 </v>
      </c>
      <c r="AA754" t="str">
        <f t="shared" si="211"/>
        <v xml:space="preserve">   -23.7 </v>
      </c>
      <c r="AB754" t="str">
        <f t="shared" si="220"/>
        <v xml:space="preserve">    -6.4 </v>
      </c>
      <c r="AC754" t="str">
        <f t="shared" si="221"/>
        <v xml:space="preserve">    24.1 </v>
      </c>
      <c r="AD754" t="str">
        <f t="shared" si="222"/>
        <v xml:space="preserve">        </v>
      </c>
      <c r="AE754" t="str">
        <f t="shared" si="212"/>
        <v xml:space="preserve">       </v>
      </c>
      <c r="AF754" t="str">
        <f t="shared" si="224"/>
        <v xml:space="preserve">     </v>
      </c>
      <c r="AG754" t="str">
        <f t="shared" si="224"/>
        <v xml:space="preserve">     0.00 </v>
      </c>
      <c r="AH754" t="str">
        <f t="shared" si="213"/>
        <v xml:space="preserve">     0.86 </v>
      </c>
      <c r="AI754" t="str">
        <f t="shared" si="214"/>
        <v xml:space="preserve">       </v>
      </c>
      <c r="AJ754" t="str">
        <f t="shared" si="215"/>
        <v xml:space="preserve">      </v>
      </c>
    </row>
    <row r="755" spans="1:36" x14ac:dyDescent="0.25">
      <c r="A755" t="s">
        <v>591</v>
      </c>
      <c r="P755" t="str">
        <f t="shared" si="216"/>
        <v xml:space="preserve">                </v>
      </c>
      <c r="Q755" t="str">
        <f t="shared" si="216"/>
        <v xml:space="preserve">         </v>
      </c>
      <c r="R755" t="str">
        <f t="shared" si="209"/>
        <v xml:space="preserve">    20.0 </v>
      </c>
      <c r="S755" t="str">
        <f t="shared" si="217"/>
        <v xml:space="preserve">    20.0 </v>
      </c>
      <c r="T755" t="str">
        <f t="shared" si="218"/>
        <v xml:space="preserve">    20.0 </v>
      </c>
      <c r="U755" t="str">
        <f t="shared" si="222"/>
        <v xml:space="preserve">       26.9% </v>
      </c>
      <c r="V755" t="str">
        <f t="shared" si="210"/>
        <v xml:space="preserve">         </v>
      </c>
      <c r="W755" t="str">
        <f t="shared" si="219"/>
        <v xml:space="preserve">         </v>
      </c>
      <c r="X755" t="str">
        <f t="shared" si="223"/>
        <v xml:space="preserve">  2063 </v>
      </c>
      <c r="Y755" t="str">
        <f t="shared" si="223"/>
        <v xml:space="preserve"> CANAST-RS069 </v>
      </c>
      <c r="Z755" t="str">
        <f t="shared" si="223"/>
        <v xml:space="preserve">  1 </v>
      </c>
      <c r="AA755" t="str">
        <f t="shared" si="211"/>
        <v xml:space="preserve">     5.4 </v>
      </c>
      <c r="AB755" t="str">
        <f t="shared" si="220"/>
        <v xml:space="preserve">     1.0 </v>
      </c>
      <c r="AC755" t="str">
        <f t="shared" si="221"/>
        <v xml:space="preserve">     5.4 </v>
      </c>
      <c r="AD755" t="str">
        <f t="shared" si="222"/>
        <v xml:space="preserve">        </v>
      </c>
      <c r="AE755" t="str">
        <f t="shared" si="212"/>
        <v xml:space="preserve">       </v>
      </c>
      <c r="AF755" t="str">
        <f t="shared" si="224"/>
        <v xml:space="preserve">     </v>
      </c>
      <c r="AG755" t="str">
        <f t="shared" si="224"/>
        <v xml:space="preserve">     0.00 </v>
      </c>
      <c r="AH755" t="str">
        <f t="shared" si="213"/>
        <v xml:space="preserve">    -0.00 </v>
      </c>
      <c r="AI755" t="str">
        <f t="shared" si="214"/>
        <v xml:space="preserve">       </v>
      </c>
      <c r="AJ755" t="str">
        <f t="shared" si="215"/>
        <v xml:space="preserve">      </v>
      </c>
    </row>
    <row r="756" spans="1:36" x14ac:dyDescent="0.25">
      <c r="A756" t="s">
        <v>592</v>
      </c>
      <c r="P756" t="str">
        <f t="shared" si="216"/>
        <v xml:space="preserve">                </v>
      </c>
      <c r="Q756" t="str">
        <f t="shared" si="216"/>
        <v xml:space="preserve">         </v>
      </c>
      <c r="R756" t="str">
        <f t="shared" si="209"/>
        <v xml:space="preserve">    50.0 </v>
      </c>
      <c r="S756" t="str">
        <f t="shared" si="217"/>
        <v xml:space="preserve">    50.0 </v>
      </c>
      <c r="T756" t="str">
        <f t="shared" si="218"/>
        <v xml:space="preserve">    50.0 </v>
      </c>
      <c r="U756" t="str">
        <f t="shared" si="222"/>
        <v xml:space="preserve">       37.6% </v>
      </c>
      <c r="V756" t="str">
        <f t="shared" si="210"/>
        <v xml:space="preserve">         </v>
      </c>
      <c r="W756" t="str">
        <f t="shared" si="219"/>
        <v xml:space="preserve">         </v>
      </c>
      <c r="X756" t="str">
        <f t="shared" si="223"/>
        <v xml:space="preserve">  2064 </v>
      </c>
      <c r="Y756" t="str">
        <f t="shared" si="223"/>
        <v xml:space="preserve"> CANAST-RS138 </v>
      </c>
      <c r="Z756" t="str">
        <f t="shared" si="223"/>
        <v xml:space="preserve">  1 </v>
      </c>
      <c r="AA756" t="str">
        <f t="shared" si="211"/>
        <v xml:space="preserve">    18.3 </v>
      </c>
      <c r="AB756" t="str">
        <f t="shared" si="220"/>
        <v xml:space="preserve">     5.5 </v>
      </c>
      <c r="AC756" t="str">
        <f t="shared" si="221"/>
        <v xml:space="preserve">    18.8 </v>
      </c>
      <c r="AD756" t="str">
        <f t="shared" si="222"/>
        <v xml:space="preserve">        </v>
      </c>
      <c r="AE756" t="str">
        <f t="shared" si="212"/>
        <v xml:space="preserve">       </v>
      </c>
      <c r="AF756" t="str">
        <f t="shared" si="224"/>
        <v xml:space="preserve">     </v>
      </c>
      <c r="AG756" t="str">
        <f t="shared" si="224"/>
        <v xml:space="preserve">     0.00 </v>
      </c>
      <c r="AH756" t="str">
        <f t="shared" si="213"/>
        <v xml:space="preserve">     0.86 </v>
      </c>
      <c r="AI756" t="str">
        <f t="shared" si="214"/>
        <v xml:space="preserve">       </v>
      </c>
      <c r="AJ756" t="str">
        <f t="shared" si="215"/>
        <v xml:space="preserve">      </v>
      </c>
    </row>
    <row r="757" spans="1:36" x14ac:dyDescent="0.25">
      <c r="A757" t="s">
        <v>14</v>
      </c>
      <c r="P757" t="str">
        <f t="shared" si="216"/>
        <v xml:space="preserve">  ..............</v>
      </c>
      <c r="Q757" t="str">
        <f t="shared" si="216"/>
        <v>.........</v>
      </c>
      <c r="R757" t="str">
        <f t="shared" si="209"/>
        <v>.........</v>
      </c>
      <c r="S757" t="str">
        <f t="shared" si="217"/>
        <v>.........</v>
      </c>
      <c r="T757" t="str">
        <f t="shared" si="218"/>
        <v>.........</v>
      </c>
      <c r="U757" t="str">
        <f t="shared" si="222"/>
        <v>.............</v>
      </c>
      <c r="V757" t="str">
        <f t="shared" si="210"/>
        <v>.........</v>
      </c>
      <c r="W757" t="str">
        <f t="shared" si="219"/>
        <v>.........</v>
      </c>
      <c r="X757" t="str">
        <f t="shared" si="223"/>
        <v>.......</v>
      </c>
      <c r="Y757" t="str">
        <f t="shared" si="223"/>
        <v>..............</v>
      </c>
      <c r="Z757" t="str">
        <f t="shared" si="223"/>
        <v>....</v>
      </c>
      <c r="AA757" t="str">
        <f t="shared" si="211"/>
        <v>.........</v>
      </c>
      <c r="AB757" t="str">
        <f t="shared" si="220"/>
        <v>.........</v>
      </c>
      <c r="AC757" t="str">
        <f t="shared" si="221"/>
        <v>.........</v>
      </c>
      <c r="AD757" t="str">
        <f t="shared" si="222"/>
        <v>........</v>
      </c>
      <c r="AE757" t="str">
        <f t="shared" si="212"/>
        <v>.......</v>
      </c>
      <c r="AF757" t="str">
        <f t="shared" si="224"/>
        <v>.....</v>
      </c>
      <c r="AG757" t="str">
        <f t="shared" si="224"/>
        <v>..........</v>
      </c>
      <c r="AH757" t="str">
        <f t="shared" si="213"/>
        <v>..........</v>
      </c>
      <c r="AI757" t="str">
        <f t="shared" si="214"/>
        <v>.......</v>
      </c>
      <c r="AJ757" t="str">
        <f t="shared" si="215"/>
        <v>.......</v>
      </c>
    </row>
    <row r="758" spans="1:36" x14ac:dyDescent="0.25">
      <c r="A758" t="s">
        <v>593</v>
      </c>
      <c r="P758" t="str">
        <f t="shared" si="216"/>
        <v xml:space="preserve">   2063   69  0 </v>
      </c>
      <c r="Q758" t="str">
        <f t="shared" si="216"/>
        <v xml:space="preserve">   1.016 </v>
      </c>
      <c r="R758" t="str">
        <f t="shared" si="209"/>
        <v xml:space="preserve">     0.0 </v>
      </c>
      <c r="S758" t="str">
        <f t="shared" si="217"/>
        <v xml:space="preserve">     0.0 </v>
      </c>
      <c r="T758" t="str">
        <f t="shared" si="218"/>
        <v xml:space="preserve">     0.0 </v>
      </c>
      <c r="U758" t="str">
        <f t="shared" si="222"/>
        <v xml:space="preserve">         0.0 </v>
      </c>
      <c r="V758" t="str">
        <f t="shared" si="210"/>
        <v xml:space="preserve">     0.0 </v>
      </c>
      <c r="W758" t="str">
        <f t="shared" si="219"/>
        <v xml:space="preserve">     0.0</v>
      </c>
      <c r="X758" t="str">
        <f t="shared" si="223"/>
        <v/>
      </c>
      <c r="Y758" t="str">
        <f t="shared" si="223"/>
        <v/>
      </c>
      <c r="Z758" t="str">
        <f t="shared" si="223"/>
        <v/>
      </c>
      <c r="AA758" t="str">
        <f t="shared" si="211"/>
        <v/>
      </c>
      <c r="AB758" t="str">
        <f t="shared" si="220"/>
        <v/>
      </c>
      <c r="AC758" t="str">
        <f t="shared" si="221"/>
        <v/>
      </c>
      <c r="AD758" t="str">
        <f t="shared" si="222"/>
        <v/>
      </c>
      <c r="AE758" t="str">
        <f t="shared" si="212"/>
        <v/>
      </c>
      <c r="AF758" t="str">
        <f t="shared" si="224"/>
        <v/>
      </c>
      <c r="AG758" t="str">
        <f t="shared" si="224"/>
        <v/>
      </c>
      <c r="AH758" t="str">
        <f t="shared" si="213"/>
        <v/>
      </c>
      <c r="AI758" t="str">
        <f t="shared" si="214"/>
        <v/>
      </c>
      <c r="AJ758" t="str">
        <f t="shared" si="215"/>
        <v/>
      </c>
    </row>
    <row r="759" spans="1:36" x14ac:dyDescent="0.25">
      <c r="A759" t="s">
        <v>594</v>
      </c>
      <c r="P759" t="str">
        <f t="shared" si="216"/>
        <v xml:space="preserve">  CANAST-RS069  </v>
      </c>
      <c r="Q759" t="str">
        <f t="shared" si="216"/>
        <v xml:space="preserve">   -50.9 </v>
      </c>
      <c r="R759" t="str">
        <f t="shared" si="209"/>
        <v xml:space="preserve">     0.0 </v>
      </c>
      <c r="S759" t="str">
        <f t="shared" si="217"/>
        <v xml:space="preserve">     0.0 </v>
      </c>
      <c r="T759" t="str">
        <f t="shared" si="218"/>
        <v xml:space="preserve">     0.0 </v>
      </c>
      <c r="U759" t="str">
        <f t="shared" si="222"/>
        <v xml:space="preserve">         0.0 </v>
      </c>
      <c r="V759" t="str">
        <f t="shared" si="210"/>
        <v xml:space="preserve">     0.0 </v>
      </c>
      <c r="W759" t="str">
        <f t="shared" si="219"/>
        <v xml:space="preserve">     0.0 </v>
      </c>
      <c r="X759" t="str">
        <f t="shared" si="223"/>
        <v xml:space="preserve">       </v>
      </c>
      <c r="Y759" t="str">
        <f t="shared" si="223"/>
        <v xml:space="preserve">              </v>
      </c>
      <c r="Z759" t="str">
        <f t="shared" si="223"/>
        <v xml:space="preserve">    </v>
      </c>
      <c r="AA759" t="str">
        <f t="shared" si="211"/>
        <v xml:space="preserve">         </v>
      </c>
      <c r="AB759" t="str">
        <f t="shared" si="220"/>
        <v xml:space="preserve">         </v>
      </c>
      <c r="AC759" t="str">
        <f t="shared" si="221"/>
        <v xml:space="preserve">    </v>
      </c>
      <c r="AD759" t="str">
        <f t="shared" si="222"/>
        <v/>
      </c>
      <c r="AE759" t="str">
        <f t="shared" si="212"/>
        <v/>
      </c>
      <c r="AF759" t="str">
        <f t="shared" si="224"/>
        <v/>
      </c>
      <c r="AG759" t="str">
        <f t="shared" si="224"/>
        <v/>
      </c>
      <c r="AH759" t="str">
        <f t="shared" si="213"/>
        <v/>
      </c>
      <c r="AI759" t="str">
        <f t="shared" si="214"/>
        <v/>
      </c>
      <c r="AJ759" t="str">
        <f t="shared" si="215"/>
        <v/>
      </c>
    </row>
    <row r="760" spans="1:36" x14ac:dyDescent="0.25">
      <c r="A760" t="s">
        <v>595</v>
      </c>
      <c r="P760" t="str">
        <f t="shared" si="216"/>
        <v xml:space="preserve">                </v>
      </c>
      <c r="Q760" t="str">
        <f t="shared" si="216"/>
        <v xml:space="preserve">         </v>
      </c>
      <c r="R760" t="str">
        <f t="shared" si="209"/>
        <v xml:space="preserve">    14.0 </v>
      </c>
      <c r="S760" t="str">
        <f t="shared" si="217"/>
        <v xml:space="preserve">    14.0 </v>
      </c>
      <c r="T760" t="str">
        <f t="shared" si="218"/>
        <v xml:space="preserve">    14.0 </v>
      </c>
      <c r="U760" t="str">
        <f t="shared" si="222"/>
        <v xml:space="preserve">        6.5% </v>
      </c>
      <c r="V760" t="str">
        <f t="shared" si="210"/>
        <v xml:space="preserve">         </v>
      </c>
      <c r="W760" t="str">
        <f t="shared" si="219"/>
        <v xml:space="preserve">         </v>
      </c>
      <c r="X760" t="str">
        <f t="shared" si="223"/>
        <v xml:space="preserve">  2058 </v>
      </c>
      <c r="Y760" t="str">
        <f t="shared" si="223"/>
        <v xml:space="preserve"> BUGRES-RS069 </v>
      </c>
      <c r="Z760" t="str">
        <f t="shared" si="223"/>
        <v xml:space="preserve">  1 </v>
      </c>
      <c r="AA760" t="str">
        <f t="shared" si="211"/>
        <v xml:space="preserve">    -0.5 </v>
      </c>
      <c r="AB760" t="str">
        <f t="shared" si="220"/>
        <v xml:space="preserve">    -0.8 </v>
      </c>
      <c r="AC760" t="str">
        <f t="shared" si="221"/>
        <v xml:space="preserve">     0.9 </v>
      </c>
      <c r="AD760" t="str">
        <f t="shared" si="222"/>
        <v xml:space="preserve">        </v>
      </c>
      <c r="AE760" t="str">
        <f t="shared" si="212"/>
        <v xml:space="preserve">       </v>
      </c>
      <c r="AF760" t="str">
        <f t="shared" si="224"/>
        <v xml:space="preserve">     </v>
      </c>
      <c r="AG760" t="str">
        <f t="shared" si="224"/>
        <v xml:space="preserve">     0.00 </v>
      </c>
      <c r="AH760" t="str">
        <f t="shared" si="213"/>
        <v xml:space="preserve">    -0.12 </v>
      </c>
      <c r="AI760" t="str">
        <f t="shared" si="214"/>
        <v xml:space="preserve">       </v>
      </c>
      <c r="AJ760" t="str">
        <f t="shared" si="215"/>
        <v xml:space="preserve">      </v>
      </c>
    </row>
    <row r="761" spans="1:36" x14ac:dyDescent="0.25">
      <c r="A761" t="s">
        <v>596</v>
      </c>
      <c r="P761" t="str">
        <f t="shared" si="216"/>
        <v xml:space="preserve">                </v>
      </c>
      <c r="Q761" t="str">
        <f t="shared" si="216"/>
        <v xml:space="preserve">         </v>
      </c>
      <c r="R761" t="str">
        <f t="shared" si="209"/>
        <v xml:space="preserve">    10.0 </v>
      </c>
      <c r="S761" t="str">
        <f t="shared" si="217"/>
        <v xml:space="preserve">    10.0 </v>
      </c>
      <c r="T761" t="str">
        <f t="shared" si="218"/>
        <v xml:space="preserve">    10.0 </v>
      </c>
      <c r="U761" t="str">
        <f t="shared" si="222"/>
        <v xml:space="preserve">       60.3% </v>
      </c>
      <c r="V761" t="str">
        <f t="shared" si="210"/>
        <v xml:space="preserve">         </v>
      </c>
      <c r="W761" t="str">
        <f t="shared" si="219"/>
        <v xml:space="preserve">         </v>
      </c>
      <c r="X761" t="str">
        <f t="shared" si="223"/>
        <v xml:space="preserve">  2060 </v>
      </c>
      <c r="Y761" t="str">
        <f t="shared" si="223"/>
        <v xml:space="preserve"> CANA-B-RS000 </v>
      </c>
      <c r="Z761" t="str">
        <f t="shared" si="223"/>
        <v xml:space="preserve">  1 </v>
      </c>
      <c r="AA761" t="str">
        <f t="shared" si="211"/>
        <v xml:space="preserve">     5.9 </v>
      </c>
      <c r="AB761" t="str">
        <f t="shared" si="220"/>
        <v xml:space="preserve">     1.8 </v>
      </c>
      <c r="AC761" t="str">
        <f t="shared" si="221"/>
        <v xml:space="preserve">     6.0 </v>
      </c>
      <c r="AD761" t="str">
        <f t="shared" si="222"/>
        <v xml:space="preserve"> 1.000F </v>
      </c>
      <c r="AE761" t="str">
        <f t="shared" si="212"/>
        <v xml:space="preserve">       </v>
      </c>
      <c r="AF761" t="str">
        <f t="shared" si="224"/>
        <v xml:space="preserve">     </v>
      </c>
      <c r="AG761" t="str">
        <f t="shared" si="224"/>
        <v xml:space="preserve">     0.00 </v>
      </c>
      <c r="AH761" t="str">
        <f t="shared" si="213"/>
        <v xml:space="preserve">     0.31 </v>
      </c>
      <c r="AI761" t="str">
        <f t="shared" si="214"/>
        <v xml:space="preserve">       </v>
      </c>
      <c r="AJ761" t="str">
        <f t="shared" si="215"/>
        <v xml:space="preserve">      </v>
      </c>
    </row>
    <row r="762" spans="1:36" x14ac:dyDescent="0.25">
      <c r="A762" t="s">
        <v>597</v>
      </c>
      <c r="P762" t="str">
        <f t="shared" si="216"/>
        <v xml:space="preserve">                </v>
      </c>
      <c r="Q762" t="str">
        <f t="shared" si="216"/>
        <v xml:space="preserve">         </v>
      </c>
      <c r="R762" t="str">
        <f t="shared" si="209"/>
        <v xml:space="preserve">    20.0 </v>
      </c>
      <c r="S762" t="str">
        <f t="shared" si="217"/>
        <v xml:space="preserve">    20.0 </v>
      </c>
      <c r="T762" t="str">
        <f t="shared" si="218"/>
        <v xml:space="preserve">    20.0 </v>
      </c>
      <c r="U762" t="str">
        <f t="shared" si="222"/>
        <v xml:space="preserve">       26.9% </v>
      </c>
      <c r="V762" t="str">
        <f t="shared" si="210"/>
        <v xml:space="preserve">         </v>
      </c>
      <c r="W762" t="str">
        <f t="shared" si="219"/>
        <v xml:space="preserve">         </v>
      </c>
      <c r="X762" t="str">
        <f t="shared" si="223"/>
        <v xml:space="preserve">  2062 </v>
      </c>
      <c r="Y762" t="str">
        <f t="shared" si="223"/>
        <v xml:space="preserve"> CANA-A-RS000 </v>
      </c>
      <c r="Z762" t="str">
        <f t="shared" si="223"/>
        <v xml:space="preserve">  1 </v>
      </c>
      <c r="AA762" t="str">
        <f t="shared" si="211"/>
        <v xml:space="preserve">    -5.4 </v>
      </c>
      <c r="AB762" t="str">
        <f t="shared" si="220"/>
        <v xml:space="preserve">    -1.0 </v>
      </c>
      <c r="AC762" t="str">
        <f t="shared" si="221"/>
        <v xml:space="preserve">     5.4 </v>
      </c>
      <c r="AD762" t="str">
        <f t="shared" si="222"/>
        <v xml:space="preserve"> 1.000F </v>
      </c>
      <c r="AE762" t="str">
        <f t="shared" si="212"/>
        <v xml:space="preserve">       </v>
      </c>
      <c r="AF762" t="str">
        <f t="shared" si="224"/>
        <v xml:space="preserve">     </v>
      </c>
      <c r="AG762" t="str">
        <f t="shared" si="224"/>
        <v xml:space="preserve">     0.00 </v>
      </c>
      <c r="AH762" t="str">
        <f t="shared" si="213"/>
        <v xml:space="preserve">    -0.00 </v>
      </c>
      <c r="AI762" t="str">
        <f t="shared" si="214"/>
        <v xml:space="preserve">       </v>
      </c>
      <c r="AJ762" t="str">
        <f t="shared" si="215"/>
        <v xml:space="preserve">      </v>
      </c>
    </row>
    <row r="763" spans="1:36" x14ac:dyDescent="0.25">
      <c r="A763" t="s">
        <v>14</v>
      </c>
      <c r="P763" t="str">
        <f t="shared" si="216"/>
        <v xml:space="preserve">  ..............</v>
      </c>
      <c r="Q763" t="str">
        <f t="shared" si="216"/>
        <v>.........</v>
      </c>
      <c r="R763" t="str">
        <f t="shared" si="209"/>
        <v>.........</v>
      </c>
      <c r="S763" t="str">
        <f t="shared" si="217"/>
        <v>.........</v>
      </c>
      <c r="T763" t="str">
        <f t="shared" si="218"/>
        <v>.........</v>
      </c>
      <c r="U763" t="str">
        <f t="shared" si="222"/>
        <v>.............</v>
      </c>
      <c r="V763" t="str">
        <f t="shared" si="210"/>
        <v>.........</v>
      </c>
      <c r="W763" t="str">
        <f t="shared" si="219"/>
        <v>.........</v>
      </c>
      <c r="X763" t="str">
        <f t="shared" si="223"/>
        <v>.......</v>
      </c>
      <c r="Y763" t="str">
        <f t="shared" si="223"/>
        <v>..............</v>
      </c>
      <c r="Z763" t="str">
        <f t="shared" si="223"/>
        <v>....</v>
      </c>
      <c r="AA763" t="str">
        <f t="shared" si="211"/>
        <v>.........</v>
      </c>
      <c r="AB763" t="str">
        <f t="shared" si="220"/>
        <v>.........</v>
      </c>
      <c r="AC763" t="str">
        <f t="shared" si="221"/>
        <v>.........</v>
      </c>
      <c r="AD763" t="str">
        <f t="shared" si="222"/>
        <v>........</v>
      </c>
      <c r="AE763" t="str">
        <f t="shared" si="212"/>
        <v>.......</v>
      </c>
      <c r="AF763" t="str">
        <f t="shared" si="224"/>
        <v>.....</v>
      </c>
      <c r="AG763" t="str">
        <f t="shared" si="224"/>
        <v>..........</v>
      </c>
      <c r="AH763" t="str">
        <f t="shared" si="213"/>
        <v>..........</v>
      </c>
      <c r="AI763" t="str">
        <f t="shared" si="214"/>
        <v>.......</v>
      </c>
      <c r="AJ763" t="str">
        <f t="shared" si="215"/>
        <v>.......</v>
      </c>
    </row>
    <row r="764" spans="1:36" x14ac:dyDescent="0.25">
      <c r="A764" t="s">
        <v>598</v>
      </c>
      <c r="P764" t="str">
        <f t="shared" si="216"/>
        <v xml:space="preserve">   2064  138  0 </v>
      </c>
      <c r="Q764" t="str">
        <f t="shared" si="216"/>
        <v xml:space="preserve">   1.004 </v>
      </c>
      <c r="R764" t="str">
        <f t="shared" si="209"/>
        <v xml:space="preserve">     0.0 </v>
      </c>
      <c r="S764" t="str">
        <f t="shared" si="217"/>
        <v xml:space="preserve">     0.0 </v>
      </c>
      <c r="T764" t="str">
        <f t="shared" si="218"/>
        <v xml:space="preserve">     0.0 </v>
      </c>
      <c r="U764" t="str">
        <f t="shared" si="222"/>
        <v xml:space="preserve">         0.0 </v>
      </c>
      <c r="V764" t="str">
        <f t="shared" si="210"/>
        <v xml:space="preserve">     0.0 </v>
      </c>
      <c r="W764" t="str">
        <f t="shared" si="219"/>
        <v xml:space="preserve">     0.0</v>
      </c>
      <c r="X764" t="str">
        <f t="shared" si="223"/>
        <v/>
      </c>
      <c r="Y764" t="str">
        <f t="shared" si="223"/>
        <v/>
      </c>
      <c r="Z764" t="str">
        <f t="shared" si="223"/>
        <v/>
      </c>
      <c r="AA764" t="str">
        <f t="shared" si="211"/>
        <v/>
      </c>
      <c r="AB764" t="str">
        <f t="shared" si="220"/>
        <v/>
      </c>
      <c r="AC764" t="str">
        <f t="shared" si="221"/>
        <v/>
      </c>
      <c r="AD764" t="str">
        <f t="shared" si="222"/>
        <v/>
      </c>
      <c r="AE764" t="str">
        <f t="shared" si="212"/>
        <v/>
      </c>
      <c r="AF764" t="str">
        <f t="shared" si="224"/>
        <v/>
      </c>
      <c r="AG764" t="str">
        <f t="shared" si="224"/>
        <v/>
      </c>
      <c r="AH764" t="str">
        <f t="shared" si="213"/>
        <v/>
      </c>
      <c r="AI764" t="str">
        <f t="shared" si="214"/>
        <v/>
      </c>
      <c r="AJ764" t="str">
        <f t="shared" si="215"/>
        <v/>
      </c>
    </row>
    <row r="765" spans="1:36" x14ac:dyDescent="0.25">
      <c r="A765" t="s">
        <v>599</v>
      </c>
      <c r="P765" t="str">
        <f t="shared" si="216"/>
        <v xml:space="preserve">  CANAST-RS138  </v>
      </c>
      <c r="Q765" t="str">
        <f t="shared" si="216"/>
        <v xml:space="preserve">   -53.4 </v>
      </c>
      <c r="R765" t="str">
        <f t="shared" si="209"/>
        <v xml:space="preserve">     0.0 </v>
      </c>
      <c r="S765" t="str">
        <f t="shared" si="217"/>
        <v xml:space="preserve">     0.0 </v>
      </c>
      <c r="T765" t="str">
        <f t="shared" si="218"/>
        <v xml:space="preserve">     0.0 </v>
      </c>
      <c r="U765" t="str">
        <f t="shared" si="222"/>
        <v xml:space="preserve">         0.0 </v>
      </c>
      <c r="V765" t="str">
        <f t="shared" si="210"/>
        <v xml:space="preserve">     0.0 </v>
      </c>
      <c r="W765" t="str">
        <f t="shared" si="219"/>
        <v xml:space="preserve">     0.0 </v>
      </c>
      <c r="X765" t="str">
        <f t="shared" si="223"/>
        <v xml:space="preserve">       </v>
      </c>
      <c r="Y765" t="str">
        <f t="shared" si="223"/>
        <v xml:space="preserve">              </v>
      </c>
      <c r="Z765" t="str">
        <f t="shared" si="223"/>
        <v xml:space="preserve">    </v>
      </c>
      <c r="AA765" t="str">
        <f t="shared" si="211"/>
        <v xml:space="preserve">         </v>
      </c>
      <c r="AB765" t="str">
        <f t="shared" si="220"/>
        <v xml:space="preserve">         </v>
      </c>
      <c r="AC765" t="str">
        <f t="shared" si="221"/>
        <v xml:space="preserve">    </v>
      </c>
      <c r="AD765" t="str">
        <f t="shared" si="222"/>
        <v/>
      </c>
      <c r="AE765" t="str">
        <f t="shared" si="212"/>
        <v/>
      </c>
      <c r="AF765" t="str">
        <f t="shared" si="224"/>
        <v/>
      </c>
      <c r="AG765" t="str">
        <f t="shared" si="224"/>
        <v/>
      </c>
      <c r="AH765" t="str">
        <f t="shared" si="213"/>
        <v/>
      </c>
      <c r="AI765" t="str">
        <f t="shared" si="214"/>
        <v/>
      </c>
      <c r="AJ765" t="str">
        <f t="shared" si="215"/>
        <v/>
      </c>
    </row>
    <row r="766" spans="1:36" x14ac:dyDescent="0.25">
      <c r="A766" t="s">
        <v>600</v>
      </c>
      <c r="P766" t="str">
        <f t="shared" si="216"/>
        <v xml:space="preserve">                </v>
      </c>
      <c r="Q766" t="str">
        <f t="shared" si="216"/>
        <v xml:space="preserve">         </v>
      </c>
      <c r="R766" t="str">
        <f t="shared" si="209"/>
        <v xml:space="preserve">    96.0 </v>
      </c>
      <c r="S766" t="str">
        <f t="shared" si="217"/>
        <v xml:space="preserve">    96.0 </v>
      </c>
      <c r="T766" t="str">
        <f t="shared" si="218"/>
        <v xml:space="preserve">    96.0 </v>
      </c>
      <c r="U766" t="str">
        <f t="shared" si="222"/>
        <v xml:space="preserve">        3.6% </v>
      </c>
      <c r="V766" t="str">
        <f t="shared" si="210"/>
        <v xml:space="preserve">         </v>
      </c>
      <c r="W766" t="str">
        <f t="shared" si="219"/>
        <v xml:space="preserve">         </v>
      </c>
      <c r="X766" t="str">
        <f t="shared" si="223"/>
        <v xml:space="preserve">  1290 </v>
      </c>
      <c r="Y766" t="str">
        <f t="shared" si="223"/>
        <v xml:space="preserve"> 3COROA-RS138 </v>
      </c>
      <c r="Z766" t="str">
        <f t="shared" si="223"/>
        <v xml:space="preserve">  1 </v>
      </c>
      <c r="AA766" t="str">
        <f t="shared" si="211"/>
        <v xml:space="preserve">     2.6 </v>
      </c>
      <c r="AB766" t="str">
        <f t="shared" si="220"/>
        <v xml:space="preserve">    -2.2 </v>
      </c>
      <c r="AC766" t="str">
        <f t="shared" si="221"/>
        <v xml:space="preserve">     3.4 </v>
      </c>
      <c r="AD766" t="str">
        <f t="shared" si="222"/>
        <v xml:space="preserve">        </v>
      </c>
      <c r="AE766" t="str">
        <f t="shared" si="212"/>
        <v xml:space="preserve">       </v>
      </c>
      <c r="AF766" t="str">
        <f t="shared" si="224"/>
        <v xml:space="preserve">     </v>
      </c>
      <c r="AG766" t="str">
        <f t="shared" si="224"/>
        <v xml:space="preserve">     0.00 </v>
      </c>
      <c r="AH766" t="str">
        <f t="shared" si="213"/>
        <v xml:space="preserve">    -0.88 </v>
      </c>
      <c r="AI766" t="str">
        <f t="shared" si="214"/>
        <v xml:space="preserve">       </v>
      </c>
      <c r="AJ766" t="str">
        <f t="shared" si="215"/>
        <v xml:space="preserve">      </v>
      </c>
    </row>
    <row r="767" spans="1:36" x14ac:dyDescent="0.25">
      <c r="A767" t="s">
        <v>601</v>
      </c>
      <c r="P767" t="str">
        <f t="shared" si="216"/>
        <v xml:space="preserve">                </v>
      </c>
      <c r="Q767" t="str">
        <f t="shared" si="216"/>
        <v xml:space="preserve">         </v>
      </c>
      <c r="R767" t="str">
        <f t="shared" si="209"/>
        <v xml:space="preserve">    35.0 </v>
      </c>
      <c r="S767" t="str">
        <f t="shared" si="217"/>
        <v xml:space="preserve">    35.0 </v>
      </c>
      <c r="T767" t="str">
        <f t="shared" si="218"/>
        <v xml:space="preserve">    35.0 </v>
      </c>
      <c r="U767" t="str">
        <f t="shared" si="222"/>
        <v xml:space="preserve">       56.2% </v>
      </c>
      <c r="V767" t="str">
        <f t="shared" si="210"/>
        <v xml:space="preserve">         </v>
      </c>
      <c r="W767" t="str">
        <f t="shared" si="219"/>
        <v xml:space="preserve">         </v>
      </c>
      <c r="X767" t="str">
        <f t="shared" si="223"/>
        <v xml:space="preserve">  2060 </v>
      </c>
      <c r="Y767" t="str">
        <f t="shared" si="223"/>
        <v xml:space="preserve"> CANA-B-RS000 </v>
      </c>
      <c r="Z767" t="str">
        <f t="shared" si="223"/>
        <v xml:space="preserve">  1 </v>
      </c>
      <c r="AA767" t="str">
        <f t="shared" si="211"/>
        <v xml:space="preserve">   -19.2 </v>
      </c>
      <c r="AB767" t="str">
        <f t="shared" si="220"/>
        <v xml:space="preserve">    -4.7 </v>
      </c>
      <c r="AC767" t="str">
        <f t="shared" si="221"/>
        <v xml:space="preserve">    19.7 </v>
      </c>
      <c r="AD767" t="str">
        <f t="shared" si="222"/>
        <v xml:space="preserve"> 1.000F </v>
      </c>
      <c r="AE767" t="str">
        <f t="shared" si="212"/>
        <v xml:space="preserve">       </v>
      </c>
      <c r="AF767" t="str">
        <f t="shared" si="224"/>
        <v xml:space="preserve">     </v>
      </c>
      <c r="AG767" t="str">
        <f t="shared" si="224"/>
        <v xml:space="preserve">     0.00 </v>
      </c>
      <c r="AH767" t="str">
        <f t="shared" si="213"/>
        <v xml:space="preserve">    -0.11 </v>
      </c>
      <c r="AI767" t="str">
        <f t="shared" si="214"/>
        <v xml:space="preserve">       </v>
      </c>
      <c r="AJ767" t="str">
        <f t="shared" si="215"/>
        <v xml:space="preserve">      </v>
      </c>
    </row>
    <row r="768" spans="1:36" x14ac:dyDescent="0.25">
      <c r="A768" t="s">
        <v>602</v>
      </c>
      <c r="P768" t="str">
        <f t="shared" si="216"/>
        <v xml:space="preserve">                </v>
      </c>
      <c r="Q768" t="str">
        <f t="shared" si="216"/>
        <v xml:space="preserve">         </v>
      </c>
      <c r="R768" t="str">
        <f t="shared" si="209"/>
        <v xml:space="preserve">    50.0 </v>
      </c>
      <c r="S768" t="str">
        <f t="shared" si="217"/>
        <v xml:space="preserve">    50.0 </v>
      </c>
      <c r="T768" t="str">
        <f t="shared" si="218"/>
        <v xml:space="preserve">    50.0 </v>
      </c>
      <c r="U768" t="str">
        <f t="shared" si="222"/>
        <v xml:space="preserve">       37.6% </v>
      </c>
      <c r="V768" t="str">
        <f t="shared" si="210"/>
        <v xml:space="preserve">         </v>
      </c>
      <c r="W768" t="str">
        <f t="shared" si="219"/>
        <v xml:space="preserve">         </v>
      </c>
      <c r="X768" t="str">
        <f t="shared" si="223"/>
        <v xml:space="preserve">  2062 </v>
      </c>
      <c r="Y768" t="str">
        <f t="shared" si="223"/>
        <v xml:space="preserve"> CANA-A-RS000 </v>
      </c>
      <c r="Z768" t="str">
        <f t="shared" si="223"/>
        <v xml:space="preserve">  1 </v>
      </c>
      <c r="AA768" t="str">
        <f t="shared" si="211"/>
        <v xml:space="preserve">   -18.3 </v>
      </c>
      <c r="AB768" t="str">
        <f t="shared" si="220"/>
        <v xml:space="preserve">    -4.6 </v>
      </c>
      <c r="AC768" t="str">
        <f t="shared" si="221"/>
        <v xml:space="preserve">    18.8 </v>
      </c>
      <c r="AD768" t="str">
        <f t="shared" si="222"/>
        <v xml:space="preserve"> 1.000F </v>
      </c>
      <c r="AE768" t="str">
        <f t="shared" si="212"/>
        <v xml:space="preserve">       </v>
      </c>
      <c r="AF768" t="str">
        <f t="shared" si="224"/>
        <v xml:space="preserve">     </v>
      </c>
      <c r="AG768" t="str">
        <f t="shared" si="224"/>
        <v xml:space="preserve">     0.00 </v>
      </c>
      <c r="AH768" t="str">
        <f t="shared" si="213"/>
        <v xml:space="preserve">     0.86 </v>
      </c>
      <c r="AI768" t="str">
        <f t="shared" si="214"/>
        <v xml:space="preserve">       </v>
      </c>
      <c r="AJ768" t="str">
        <f t="shared" si="215"/>
        <v xml:space="preserve">      </v>
      </c>
    </row>
    <row r="769" spans="1:36" x14ac:dyDescent="0.25">
      <c r="A769" t="s">
        <v>603</v>
      </c>
      <c r="P769" t="str">
        <f t="shared" si="216"/>
        <v xml:space="preserve">                </v>
      </c>
      <c r="Q769" t="str">
        <f t="shared" si="216"/>
        <v xml:space="preserve">         </v>
      </c>
      <c r="R769" t="str">
        <f t="shared" si="209"/>
        <v xml:space="preserve">   108.0 </v>
      </c>
      <c r="S769" t="str">
        <f t="shared" si="217"/>
        <v xml:space="preserve">   158.0 </v>
      </c>
      <c r="T769" t="str">
        <f t="shared" si="218"/>
        <v xml:space="preserve">   158.0 </v>
      </c>
      <c r="U769" t="str">
        <f t="shared" si="222"/>
        <v xml:space="preserve">       33.8% </v>
      </c>
      <c r="V769" t="str">
        <f t="shared" si="210"/>
        <v xml:space="preserve">         </v>
      </c>
      <c r="W769" t="str">
        <f t="shared" si="219"/>
        <v xml:space="preserve">         </v>
      </c>
      <c r="X769" t="str">
        <f t="shared" si="223"/>
        <v xml:space="preserve">  2065 </v>
      </c>
      <c r="Y769" t="str">
        <f t="shared" si="223"/>
        <v xml:space="preserve"> CANAS2-RS138 </v>
      </c>
      <c r="Z769" t="str">
        <f t="shared" si="223"/>
        <v xml:space="preserve">  1 </v>
      </c>
      <c r="AA769" t="str">
        <f t="shared" si="211"/>
        <v xml:space="preserve">    34.9 </v>
      </c>
      <c r="AB769" t="str">
        <f t="shared" si="220"/>
        <v xml:space="preserve">    11.5 </v>
      </c>
      <c r="AC769" t="str">
        <f t="shared" si="221"/>
        <v xml:space="preserve">    36.5 </v>
      </c>
      <c r="AD769" t="str">
        <f t="shared" si="222"/>
        <v xml:space="preserve">        </v>
      </c>
      <c r="AE769" t="str">
        <f t="shared" si="212"/>
        <v xml:space="preserve">       </v>
      </c>
      <c r="AF769" t="str">
        <f t="shared" si="224"/>
        <v xml:space="preserve">     </v>
      </c>
      <c r="AG769" t="str">
        <f t="shared" si="224"/>
        <v xml:space="preserve">     0.00 </v>
      </c>
      <c r="AH769" t="str">
        <f t="shared" si="213"/>
        <v xml:space="preserve">    -0.00 </v>
      </c>
      <c r="AI769" t="str">
        <f t="shared" si="214"/>
        <v xml:space="preserve">       </v>
      </c>
      <c r="AJ769" t="str">
        <f t="shared" si="215"/>
        <v xml:space="preserve">      </v>
      </c>
    </row>
    <row r="770" spans="1:36" x14ac:dyDescent="0.25">
      <c r="A770" t="s">
        <v>14</v>
      </c>
      <c r="P770" t="str">
        <f t="shared" si="216"/>
        <v xml:space="preserve">  ..............</v>
      </c>
      <c r="Q770" t="str">
        <f t="shared" si="216"/>
        <v>.........</v>
      </c>
      <c r="R770" t="str">
        <f t="shared" si="209"/>
        <v>.........</v>
      </c>
      <c r="S770" t="str">
        <f t="shared" si="217"/>
        <v>.........</v>
      </c>
      <c r="T770" t="str">
        <f t="shared" si="218"/>
        <v>.........</v>
      </c>
      <c r="U770" t="str">
        <f t="shared" si="222"/>
        <v>.............</v>
      </c>
      <c r="V770" t="str">
        <f t="shared" si="210"/>
        <v>.........</v>
      </c>
      <c r="W770" t="str">
        <f t="shared" si="219"/>
        <v>.........</v>
      </c>
      <c r="X770" t="str">
        <f t="shared" si="223"/>
        <v>.......</v>
      </c>
      <c r="Y770" t="str">
        <f t="shared" si="223"/>
        <v>..............</v>
      </c>
      <c r="Z770" t="str">
        <f t="shared" si="223"/>
        <v>....</v>
      </c>
      <c r="AA770" t="str">
        <f t="shared" si="211"/>
        <v>.........</v>
      </c>
      <c r="AB770" t="str">
        <f t="shared" si="220"/>
        <v>.........</v>
      </c>
      <c r="AC770" t="str">
        <f t="shared" si="221"/>
        <v>.........</v>
      </c>
      <c r="AD770" t="str">
        <f t="shared" si="222"/>
        <v>........</v>
      </c>
      <c r="AE770" t="str">
        <f t="shared" si="212"/>
        <v>.......</v>
      </c>
      <c r="AF770" t="str">
        <f t="shared" si="224"/>
        <v>.....</v>
      </c>
      <c r="AG770" t="str">
        <f t="shared" si="224"/>
        <v>..........</v>
      </c>
      <c r="AH770" t="str">
        <f t="shared" si="213"/>
        <v>..........</v>
      </c>
      <c r="AI770" t="str">
        <f t="shared" si="214"/>
        <v>.......</v>
      </c>
      <c r="AJ770" t="str">
        <f t="shared" si="215"/>
        <v>.......</v>
      </c>
    </row>
    <row r="771" spans="1:36" x14ac:dyDescent="0.25">
      <c r="A771" t="s">
        <v>604</v>
      </c>
      <c r="P771" t="str">
        <f t="shared" si="216"/>
        <v xml:space="preserve">   2065  138  0 </v>
      </c>
      <c r="Q771" t="str">
        <f t="shared" si="216"/>
        <v xml:space="preserve">   1.004 </v>
      </c>
      <c r="R771" t="str">
        <f t="shared" si="209"/>
        <v xml:space="preserve">     5.0 </v>
      </c>
      <c r="S771" t="str">
        <f t="shared" si="217"/>
        <v xml:space="preserve">     0.0 </v>
      </c>
      <c r="T771" t="str">
        <f t="shared" si="218"/>
        <v xml:space="preserve">    15.3 </v>
      </c>
      <c r="U771" t="str">
        <f t="shared" si="222"/>
        <v xml:space="preserve">         0.0 </v>
      </c>
      <c r="V771" t="str">
        <f t="shared" si="210"/>
        <v xml:space="preserve">     0.0 </v>
      </c>
      <c r="W771" t="str">
        <f t="shared" si="219"/>
        <v xml:space="preserve">     0.0</v>
      </c>
      <c r="X771" t="str">
        <f t="shared" si="223"/>
        <v/>
      </c>
      <c r="Y771" t="str">
        <f t="shared" si="223"/>
        <v/>
      </c>
      <c r="Z771" t="str">
        <f t="shared" si="223"/>
        <v/>
      </c>
      <c r="AA771" t="str">
        <f t="shared" si="211"/>
        <v/>
      </c>
      <c r="AB771" t="str">
        <f t="shared" si="220"/>
        <v/>
      </c>
      <c r="AC771" t="str">
        <f t="shared" si="221"/>
        <v/>
      </c>
      <c r="AD771" t="str">
        <f t="shared" si="222"/>
        <v/>
      </c>
      <c r="AE771" t="str">
        <f t="shared" si="212"/>
        <v/>
      </c>
      <c r="AF771" t="str">
        <f t="shared" si="224"/>
        <v/>
      </c>
      <c r="AG771" t="str">
        <f t="shared" si="224"/>
        <v/>
      </c>
      <c r="AH771" t="str">
        <f t="shared" si="213"/>
        <v/>
      </c>
      <c r="AI771" t="str">
        <f t="shared" si="214"/>
        <v/>
      </c>
      <c r="AJ771" t="str">
        <f t="shared" si="215"/>
        <v/>
      </c>
    </row>
    <row r="772" spans="1:36" x14ac:dyDescent="0.25">
      <c r="A772" t="s">
        <v>605</v>
      </c>
      <c r="P772" t="str">
        <f t="shared" si="216"/>
        <v xml:space="preserve">  CANAS2-RS138  </v>
      </c>
      <c r="Q772" t="str">
        <f t="shared" si="216"/>
        <v xml:space="preserve">   -53.4 </v>
      </c>
      <c r="R772" t="str">
        <f t="shared" si="209"/>
        <v xml:space="preserve">     0.0 </v>
      </c>
      <c r="S772" t="str">
        <f t="shared" si="217"/>
        <v xml:space="preserve">     0.0 </v>
      </c>
      <c r="T772" t="str">
        <f t="shared" si="218"/>
        <v xml:space="preserve">     5.2 </v>
      </c>
      <c r="U772" t="str">
        <f t="shared" si="222"/>
        <v xml:space="preserve">         0.0 </v>
      </c>
      <c r="V772" t="str">
        <f t="shared" si="210"/>
        <v xml:space="preserve">     0.0 </v>
      </c>
      <c r="W772" t="str">
        <f t="shared" si="219"/>
        <v xml:space="preserve">     0.0 </v>
      </c>
      <c r="X772" t="str">
        <f t="shared" si="223"/>
        <v xml:space="preserve">       </v>
      </c>
      <c r="Y772" t="str">
        <f t="shared" si="223"/>
        <v xml:space="preserve">              </v>
      </c>
      <c r="Z772" t="str">
        <f t="shared" si="223"/>
        <v xml:space="preserve">    </v>
      </c>
      <c r="AA772" t="str">
        <f t="shared" si="211"/>
        <v xml:space="preserve">         </v>
      </c>
      <c r="AB772" t="str">
        <f t="shared" si="220"/>
        <v xml:space="preserve">         </v>
      </c>
      <c r="AC772" t="str">
        <f t="shared" si="221"/>
        <v xml:space="preserve">    </v>
      </c>
      <c r="AD772" t="str">
        <f t="shared" si="222"/>
        <v/>
      </c>
      <c r="AE772" t="str">
        <f t="shared" si="212"/>
        <v/>
      </c>
      <c r="AF772" t="str">
        <f t="shared" si="224"/>
        <v/>
      </c>
      <c r="AG772" t="str">
        <f t="shared" si="224"/>
        <v/>
      </c>
      <c r="AH772" t="str">
        <f t="shared" si="213"/>
        <v/>
      </c>
      <c r="AI772" t="str">
        <f t="shared" si="214"/>
        <v/>
      </c>
      <c r="AJ772" t="str">
        <f t="shared" si="215"/>
        <v/>
      </c>
    </row>
    <row r="773" spans="1:36" x14ac:dyDescent="0.25">
      <c r="A773" t="s">
        <v>606</v>
      </c>
      <c r="P773" t="str">
        <f t="shared" si="216"/>
        <v xml:space="preserve">                </v>
      </c>
      <c r="Q773" t="str">
        <f t="shared" si="216"/>
        <v xml:space="preserve">         </v>
      </c>
      <c r="R773" t="str">
        <f t="shared" si="209"/>
        <v xml:space="preserve">   108.0 </v>
      </c>
      <c r="S773" t="str">
        <f t="shared" si="217"/>
        <v xml:space="preserve">   158.0 </v>
      </c>
      <c r="T773" t="str">
        <f t="shared" si="218"/>
        <v xml:space="preserve">   158.0 </v>
      </c>
      <c r="U773" t="str">
        <f t="shared" si="222"/>
        <v xml:space="preserve">       33.8% </v>
      </c>
      <c r="V773" t="str">
        <f t="shared" si="210"/>
        <v xml:space="preserve">         </v>
      </c>
      <c r="W773" t="str">
        <f t="shared" si="219"/>
        <v xml:space="preserve">         </v>
      </c>
      <c r="X773" t="str">
        <f t="shared" si="223"/>
        <v xml:space="preserve">  2064 </v>
      </c>
      <c r="Y773" t="str">
        <f t="shared" si="223"/>
        <v xml:space="preserve"> CANAST-RS138 </v>
      </c>
      <c r="Z773" t="str">
        <f t="shared" si="223"/>
        <v xml:space="preserve">  1 </v>
      </c>
      <c r="AA773" t="str">
        <f t="shared" si="211"/>
        <v xml:space="preserve">   -34.9 </v>
      </c>
      <c r="AB773" t="str">
        <f t="shared" si="220"/>
        <v xml:space="preserve">   -11.5 </v>
      </c>
      <c r="AC773" t="str">
        <f t="shared" si="221"/>
        <v xml:space="preserve">    36.5 </v>
      </c>
      <c r="AD773" t="str">
        <f t="shared" si="222"/>
        <v xml:space="preserve">        </v>
      </c>
      <c r="AE773" t="str">
        <f t="shared" si="212"/>
        <v xml:space="preserve">       </v>
      </c>
      <c r="AF773" t="str">
        <f t="shared" si="224"/>
        <v xml:space="preserve">     </v>
      </c>
      <c r="AG773" t="str">
        <f t="shared" si="224"/>
        <v xml:space="preserve">     0.00 </v>
      </c>
      <c r="AH773" t="str">
        <f t="shared" si="213"/>
        <v xml:space="preserve">    -0.00 </v>
      </c>
      <c r="AI773" t="str">
        <f t="shared" si="214"/>
        <v xml:space="preserve">       </v>
      </c>
      <c r="AJ773" t="str">
        <f t="shared" si="215"/>
        <v xml:space="preserve">      </v>
      </c>
    </row>
    <row r="774" spans="1:36" x14ac:dyDescent="0.25">
      <c r="A774" t="s">
        <v>607</v>
      </c>
      <c r="P774" t="str">
        <f t="shared" si="216"/>
        <v xml:space="preserve">                </v>
      </c>
      <c r="Q774" t="str">
        <f t="shared" si="216"/>
        <v xml:space="preserve">         </v>
      </c>
      <c r="R774" t="str">
        <f t="shared" si="209"/>
        <v xml:space="preserve">    50.0 </v>
      </c>
      <c r="S774" t="str">
        <f t="shared" si="217"/>
        <v xml:space="preserve">    50.0 </v>
      </c>
      <c r="T774" t="str">
        <f t="shared" si="218"/>
        <v xml:space="preserve">    50.0 </v>
      </c>
      <c r="U774" t="str">
        <f t="shared" si="222"/>
        <v xml:space="preserve">       50.5% </v>
      </c>
      <c r="V774" t="str">
        <f t="shared" si="210"/>
        <v xml:space="preserve">         </v>
      </c>
      <c r="W774" t="str">
        <f t="shared" si="219"/>
        <v xml:space="preserve">         </v>
      </c>
      <c r="X774" t="str">
        <f t="shared" si="223"/>
        <v xml:space="preserve">  9557 </v>
      </c>
      <c r="Y774" t="str">
        <f t="shared" si="223"/>
        <v xml:space="preserve"> CANAS2-RS069 </v>
      </c>
      <c r="Z774" t="str">
        <f t="shared" si="223"/>
        <v xml:space="preserve">  1 </v>
      </c>
      <c r="AA774" t="str">
        <f t="shared" si="211"/>
        <v xml:space="preserve">    24.6 </v>
      </c>
      <c r="AB774" t="str">
        <f t="shared" si="220"/>
        <v xml:space="preserve">     6.3 </v>
      </c>
      <c r="AC774" t="str">
        <f t="shared" si="221"/>
        <v xml:space="preserve">    25.2 </v>
      </c>
      <c r="AD774" t="str">
        <f t="shared" si="222"/>
        <v xml:space="preserve"> 0.969* </v>
      </c>
      <c r="AE774" t="str">
        <f t="shared" si="212"/>
        <v xml:space="preserve">       </v>
      </c>
      <c r="AF774" t="str">
        <f t="shared" si="224"/>
        <v xml:space="preserve">     </v>
      </c>
      <c r="AG774" t="str">
        <f t="shared" si="224"/>
        <v xml:space="preserve">     0.00 </v>
      </c>
      <c r="AH774" t="str">
        <f t="shared" si="213"/>
        <v xml:space="preserve">     0.69 </v>
      </c>
      <c r="AI774" t="str">
        <f t="shared" si="214"/>
        <v xml:space="preserve">       </v>
      </c>
      <c r="AJ774" t="str">
        <f t="shared" si="215"/>
        <v xml:space="preserve">      </v>
      </c>
    </row>
    <row r="775" spans="1:36" x14ac:dyDescent="0.25">
      <c r="A775" t="s">
        <v>14</v>
      </c>
      <c r="P775" t="str">
        <f t="shared" si="216"/>
        <v xml:space="preserve">  ..............</v>
      </c>
      <c r="Q775" t="str">
        <f t="shared" si="216"/>
        <v>.........</v>
      </c>
      <c r="R775" t="str">
        <f t="shared" si="209"/>
        <v>.........</v>
      </c>
      <c r="S775" t="str">
        <f t="shared" si="217"/>
        <v>.........</v>
      </c>
      <c r="T775" t="str">
        <f t="shared" si="218"/>
        <v>.........</v>
      </c>
      <c r="U775" t="str">
        <f t="shared" si="222"/>
        <v>.............</v>
      </c>
      <c r="V775" t="str">
        <f t="shared" si="210"/>
        <v>.........</v>
      </c>
      <c r="W775" t="str">
        <f t="shared" si="219"/>
        <v>.........</v>
      </c>
      <c r="X775" t="str">
        <f t="shared" si="223"/>
        <v>.......</v>
      </c>
      <c r="Y775" t="str">
        <f t="shared" si="223"/>
        <v>..............</v>
      </c>
      <c r="Z775" t="str">
        <f t="shared" si="223"/>
        <v>....</v>
      </c>
      <c r="AA775" t="str">
        <f t="shared" si="211"/>
        <v>.........</v>
      </c>
      <c r="AB775" t="str">
        <f t="shared" si="220"/>
        <v>.........</v>
      </c>
      <c r="AC775" t="str">
        <f t="shared" si="221"/>
        <v>.........</v>
      </c>
      <c r="AD775" t="str">
        <f t="shared" si="222"/>
        <v>........</v>
      </c>
      <c r="AE775" t="str">
        <f t="shared" si="212"/>
        <v>.......</v>
      </c>
      <c r="AF775" t="str">
        <f t="shared" si="224"/>
        <v>.....</v>
      </c>
      <c r="AG775" t="str">
        <f t="shared" si="224"/>
        <v>..........</v>
      </c>
      <c r="AH775" t="str">
        <f t="shared" si="213"/>
        <v>..........</v>
      </c>
      <c r="AI775" t="str">
        <f t="shared" si="214"/>
        <v>.......</v>
      </c>
      <c r="AJ775" t="str">
        <f t="shared" si="215"/>
        <v>.......</v>
      </c>
    </row>
    <row r="776" spans="1:36" x14ac:dyDescent="0.25">
      <c r="A776" t="s">
        <v>608</v>
      </c>
      <c r="P776" t="str">
        <f t="shared" si="216"/>
        <v xml:space="preserve">   2067   69  0 </v>
      </c>
      <c r="Q776" t="str">
        <f t="shared" si="216"/>
        <v xml:space="preserve">   1.014 </v>
      </c>
      <c r="R776" t="str">
        <f t="shared" si="209"/>
        <v xml:space="preserve">     0.0 </v>
      </c>
      <c r="S776" t="str">
        <f t="shared" si="217"/>
        <v xml:space="preserve">     0.0 </v>
      </c>
      <c r="T776" t="str">
        <f t="shared" si="218"/>
        <v xml:space="preserve">     0.0 </v>
      </c>
      <c r="U776" t="str">
        <f t="shared" si="222"/>
        <v xml:space="preserve">         0.0 </v>
      </c>
      <c r="V776" t="str">
        <f t="shared" si="210"/>
        <v xml:space="preserve">     0.0 </v>
      </c>
      <c r="W776" t="str">
        <f t="shared" si="219"/>
        <v xml:space="preserve">     0.0</v>
      </c>
      <c r="X776" t="str">
        <f t="shared" si="223"/>
        <v/>
      </c>
      <c r="Y776" t="str">
        <f t="shared" si="223"/>
        <v/>
      </c>
      <c r="Z776" t="str">
        <f t="shared" si="223"/>
        <v/>
      </c>
      <c r="AA776" t="str">
        <f t="shared" si="211"/>
        <v/>
      </c>
      <c r="AB776" t="str">
        <f t="shared" si="220"/>
        <v/>
      </c>
      <c r="AC776" t="str">
        <f t="shared" si="221"/>
        <v/>
      </c>
      <c r="AD776" t="str">
        <f t="shared" si="222"/>
        <v/>
      </c>
      <c r="AE776" t="str">
        <f t="shared" si="212"/>
        <v/>
      </c>
      <c r="AF776" t="str">
        <f t="shared" si="224"/>
        <v/>
      </c>
      <c r="AG776" t="str">
        <f t="shared" si="224"/>
        <v/>
      </c>
      <c r="AH776" t="str">
        <f t="shared" si="213"/>
        <v/>
      </c>
      <c r="AI776" t="str">
        <f t="shared" si="214"/>
        <v/>
      </c>
      <c r="AJ776" t="str">
        <f t="shared" si="215"/>
        <v/>
      </c>
    </row>
    <row r="777" spans="1:36" x14ac:dyDescent="0.25">
      <c r="A777" t="s">
        <v>609</v>
      </c>
      <c r="P777" t="str">
        <f t="shared" si="216"/>
        <v xml:space="preserve">  CACHOE-RS069  </v>
      </c>
      <c r="Q777" t="str">
        <f t="shared" si="216"/>
        <v xml:space="preserve">   -54.3 </v>
      </c>
      <c r="R777" t="str">
        <f t="shared" si="209"/>
        <v xml:space="preserve">     0.0 </v>
      </c>
      <c r="S777" t="str">
        <f t="shared" si="217"/>
        <v xml:space="preserve">     0.0 </v>
      </c>
      <c r="T777" t="str">
        <f t="shared" si="218"/>
        <v xml:space="preserve">     0.0 </v>
      </c>
      <c r="U777" t="str">
        <f t="shared" si="222"/>
        <v xml:space="preserve">         0.0 </v>
      </c>
      <c r="V777" t="str">
        <f t="shared" si="210"/>
        <v xml:space="preserve">     0.0 </v>
      </c>
      <c r="W777" t="str">
        <f t="shared" si="219"/>
        <v xml:space="preserve">     0.0 </v>
      </c>
      <c r="X777" t="str">
        <f t="shared" si="223"/>
        <v xml:space="preserve">       </v>
      </c>
      <c r="Y777" t="str">
        <f t="shared" si="223"/>
        <v xml:space="preserve">              </v>
      </c>
      <c r="Z777" t="str">
        <f t="shared" si="223"/>
        <v xml:space="preserve">    </v>
      </c>
      <c r="AA777" t="str">
        <f t="shared" si="211"/>
        <v xml:space="preserve">         </v>
      </c>
      <c r="AB777" t="str">
        <f t="shared" si="220"/>
        <v xml:space="preserve">         </v>
      </c>
      <c r="AC777" t="str">
        <f t="shared" si="221"/>
        <v xml:space="preserve">    </v>
      </c>
      <c r="AD777" t="str">
        <f t="shared" si="222"/>
        <v/>
      </c>
      <c r="AE777" t="str">
        <f t="shared" si="212"/>
        <v/>
      </c>
      <c r="AF777" t="str">
        <f t="shared" si="224"/>
        <v/>
      </c>
      <c r="AG777" t="str">
        <f t="shared" si="224"/>
        <v/>
      </c>
      <c r="AH777" t="str">
        <f t="shared" si="213"/>
        <v/>
      </c>
      <c r="AI777" t="str">
        <f t="shared" si="214"/>
        <v/>
      </c>
      <c r="AJ777" t="str">
        <f t="shared" si="215"/>
        <v/>
      </c>
    </row>
    <row r="778" spans="1:36" x14ac:dyDescent="0.25">
      <c r="A778" t="s">
        <v>610</v>
      </c>
      <c r="P778" t="str">
        <f t="shared" si="216"/>
        <v xml:space="preserve">                </v>
      </c>
      <c r="Q778" t="str">
        <f t="shared" si="216"/>
        <v xml:space="preserve">         </v>
      </c>
      <c r="R778" t="str">
        <f t="shared" si="209"/>
        <v xml:space="preserve">    48.0 </v>
      </c>
      <c r="S778" t="str">
        <f t="shared" si="217"/>
        <v xml:space="preserve">    71.0 </v>
      </c>
      <c r="T778" t="str">
        <f t="shared" si="218"/>
        <v xml:space="preserve">    71.0 </v>
      </c>
      <c r="U778" t="str">
        <f t="shared" si="222"/>
        <v xml:space="preserve">       29.9% </v>
      </c>
      <c r="V778" t="str">
        <f t="shared" si="210"/>
        <v xml:space="preserve">         </v>
      </c>
      <c r="W778" t="str">
        <f t="shared" si="219"/>
        <v xml:space="preserve">         </v>
      </c>
      <c r="X778" t="str">
        <f t="shared" si="223"/>
        <v xml:space="preserve">  1332 </v>
      </c>
      <c r="Y778" t="str">
        <f t="shared" si="223"/>
        <v xml:space="preserve"> PETROB-RS069 </v>
      </c>
      <c r="Z778" t="str">
        <f t="shared" si="223"/>
        <v xml:space="preserve">  1 </v>
      </c>
      <c r="AA778" t="str">
        <f t="shared" si="211"/>
        <v xml:space="preserve">    10.9 </v>
      </c>
      <c r="AB778" t="str">
        <f t="shared" si="220"/>
        <v xml:space="preserve">     9.7 </v>
      </c>
      <c r="AC778" t="str">
        <f t="shared" si="221"/>
        <v xml:space="preserve">    14.4 </v>
      </c>
      <c r="AD778" t="str">
        <f t="shared" si="222"/>
        <v xml:space="preserve">        </v>
      </c>
      <c r="AE778" t="str">
        <f t="shared" si="212"/>
        <v xml:space="preserve">       </v>
      </c>
      <c r="AF778" t="str">
        <f t="shared" si="224"/>
        <v xml:space="preserve">     </v>
      </c>
      <c r="AG778" t="str">
        <f t="shared" si="224"/>
        <v xml:space="preserve">     0.05 </v>
      </c>
      <c r="AH778" t="str">
        <f t="shared" si="213"/>
        <v xml:space="preserve">     0.14 </v>
      </c>
      <c r="AI778" t="str">
        <f t="shared" si="214"/>
        <v xml:space="preserve">       </v>
      </c>
      <c r="AJ778" t="str">
        <f t="shared" si="215"/>
        <v xml:space="preserve">      </v>
      </c>
    </row>
    <row r="779" spans="1:36" x14ac:dyDescent="0.25">
      <c r="A779" t="s">
        <v>611</v>
      </c>
      <c r="P779" t="str">
        <f t="shared" si="216"/>
        <v xml:space="preserve">              DE</v>
      </c>
      <c r="Q779" t="str">
        <f t="shared" si="216"/>
        <v xml:space="preserve">ESLIGADO </v>
      </c>
      <c r="R779" t="str">
        <f t="shared" si="209"/>
        <v xml:space="preserve">    35.0 </v>
      </c>
      <c r="S779" t="str">
        <f t="shared" si="217"/>
        <v xml:space="preserve">    35.0 </v>
      </c>
      <c r="T779" t="str">
        <f t="shared" si="218"/>
        <v xml:space="preserve">    35.0 </v>
      </c>
      <c r="U779" t="str">
        <f t="shared" si="222"/>
        <v xml:space="preserve">             </v>
      </c>
      <c r="V779" t="str">
        <f t="shared" si="210"/>
        <v xml:space="preserve">         </v>
      </c>
      <c r="W779" t="str">
        <f t="shared" si="219"/>
        <v xml:space="preserve">         </v>
      </c>
      <c r="X779" t="str">
        <f t="shared" si="223"/>
        <v xml:space="preserve">  2068 </v>
      </c>
      <c r="Y779" t="str">
        <f t="shared" si="223"/>
        <v xml:space="preserve"> CACHOE-RS138 </v>
      </c>
      <c r="Z779" t="str">
        <f t="shared" si="223"/>
        <v xml:space="preserve">  2 </v>
      </c>
      <c r="AA779" t="str">
        <f t="shared" si="211"/>
        <v xml:space="preserve">     0.0 </v>
      </c>
      <c r="AB779" t="str">
        <f t="shared" si="220"/>
        <v xml:space="preserve">     0.0 </v>
      </c>
      <c r="AC779" t="str">
        <f t="shared" si="221"/>
        <v xml:space="preserve">     0.0 </v>
      </c>
      <c r="AD779" t="str">
        <f t="shared" si="222"/>
        <v xml:space="preserve">        </v>
      </c>
      <c r="AE779" t="str">
        <f t="shared" si="212"/>
        <v xml:space="preserve">       </v>
      </c>
      <c r="AF779" t="str">
        <f t="shared" si="224"/>
        <v xml:space="preserve">     </v>
      </c>
      <c r="AG779" t="str">
        <f t="shared" si="224"/>
        <v xml:space="preserve">     0.00 </v>
      </c>
      <c r="AH779" t="str">
        <f t="shared" si="213"/>
        <v xml:space="preserve">     0.00 </v>
      </c>
      <c r="AI779" t="str">
        <f t="shared" si="214"/>
        <v xml:space="preserve">       </v>
      </c>
      <c r="AJ779" t="str">
        <f t="shared" si="215"/>
        <v xml:space="preserve">      </v>
      </c>
    </row>
    <row r="780" spans="1:36" x14ac:dyDescent="0.25">
      <c r="A780" t="s">
        <v>612</v>
      </c>
      <c r="P780" t="str">
        <f t="shared" si="216"/>
        <v xml:space="preserve">                </v>
      </c>
      <c r="Q780" t="str">
        <f t="shared" si="216"/>
        <v xml:space="preserve">         </v>
      </c>
      <c r="R780" t="str">
        <f t="shared" ref="R780:R843" si="225">MID($A780,Q$8+Q$9-1,R$9)</f>
        <v xml:space="preserve">    35.0 </v>
      </c>
      <c r="S780" t="str">
        <f t="shared" si="217"/>
        <v xml:space="preserve">    35.0 </v>
      </c>
      <c r="T780" t="str">
        <f t="shared" si="218"/>
        <v xml:space="preserve">    35.0 </v>
      </c>
      <c r="U780" t="str">
        <f t="shared" si="222"/>
        <v xml:space="preserve">       41.0% </v>
      </c>
      <c r="V780" t="str">
        <f t="shared" ref="V780:V843" si="226">MID($A780,U$8+U$9-1,V$9)</f>
        <v xml:space="preserve">         </v>
      </c>
      <c r="W780" t="str">
        <f t="shared" si="219"/>
        <v xml:space="preserve">         </v>
      </c>
      <c r="X780" t="str">
        <f t="shared" si="223"/>
        <v xml:space="preserve">  2068 </v>
      </c>
      <c r="Y780" t="str">
        <f t="shared" si="223"/>
        <v xml:space="preserve"> CACHOE-RS138 </v>
      </c>
      <c r="Z780" t="str">
        <f t="shared" si="223"/>
        <v xml:space="preserve">  3 </v>
      </c>
      <c r="AA780" t="str">
        <f t="shared" ref="AA780:AA843" si="227">MID($A780,Z$8+Z$9-1,AA$9)</f>
        <v xml:space="preserve">   -10.9 </v>
      </c>
      <c r="AB780" t="str">
        <f t="shared" si="220"/>
        <v xml:space="preserve">    -9.7 </v>
      </c>
      <c r="AC780" t="str">
        <f t="shared" si="221"/>
        <v xml:space="preserve">    14.4 </v>
      </c>
      <c r="AD780" t="str">
        <f t="shared" si="222"/>
        <v xml:space="preserve">        </v>
      </c>
      <c r="AE780" t="str">
        <f t="shared" ref="AE780:AE843" si="228">MID($A780,AD$8+AD$9-1,AE$9)</f>
        <v xml:space="preserve">       </v>
      </c>
      <c r="AF780" t="str">
        <f t="shared" si="224"/>
        <v xml:space="preserve">     </v>
      </c>
      <c r="AG780" t="str">
        <f t="shared" si="224"/>
        <v xml:space="preserve">     0.00 </v>
      </c>
      <c r="AH780" t="str">
        <f t="shared" ref="AH780:AH843" si="229">MID($A780,AG$8+AG$9-1,AH$9)</f>
        <v xml:space="preserve">     0.68 </v>
      </c>
      <c r="AI780" t="str">
        <f t="shared" si="214"/>
        <v xml:space="preserve">       </v>
      </c>
      <c r="AJ780" t="str">
        <f t="shared" si="215"/>
        <v xml:space="preserve">      </v>
      </c>
    </row>
    <row r="781" spans="1:36" x14ac:dyDescent="0.25">
      <c r="A781" t="s">
        <v>14</v>
      </c>
      <c r="P781" t="str">
        <f t="shared" si="216"/>
        <v xml:space="preserve">  ..............</v>
      </c>
      <c r="Q781" t="str">
        <f t="shared" si="216"/>
        <v>.........</v>
      </c>
      <c r="R781" t="str">
        <f t="shared" si="225"/>
        <v>.........</v>
      </c>
      <c r="S781" t="str">
        <f t="shared" si="217"/>
        <v>.........</v>
      </c>
      <c r="T781" t="str">
        <f t="shared" si="218"/>
        <v>.........</v>
      </c>
      <c r="U781" t="str">
        <f t="shared" si="222"/>
        <v>.............</v>
      </c>
      <c r="V781" t="str">
        <f t="shared" si="226"/>
        <v>.........</v>
      </c>
      <c r="W781" t="str">
        <f t="shared" si="219"/>
        <v>.........</v>
      </c>
      <c r="X781" t="str">
        <f t="shared" si="223"/>
        <v>.......</v>
      </c>
      <c r="Y781" t="str">
        <f t="shared" si="223"/>
        <v>..............</v>
      </c>
      <c r="Z781" t="str">
        <f t="shared" si="223"/>
        <v>....</v>
      </c>
      <c r="AA781" t="str">
        <f t="shared" si="227"/>
        <v>.........</v>
      </c>
      <c r="AB781" t="str">
        <f t="shared" si="220"/>
        <v>.........</v>
      </c>
      <c r="AC781" t="str">
        <f t="shared" si="221"/>
        <v>.........</v>
      </c>
      <c r="AD781" t="str">
        <f t="shared" si="222"/>
        <v>........</v>
      </c>
      <c r="AE781" t="str">
        <f t="shared" si="228"/>
        <v>.......</v>
      </c>
      <c r="AF781" t="str">
        <f t="shared" si="224"/>
        <v>.....</v>
      </c>
      <c r="AG781" t="str">
        <f t="shared" si="224"/>
        <v>..........</v>
      </c>
      <c r="AH781" t="str">
        <f t="shared" si="229"/>
        <v>..........</v>
      </c>
      <c r="AI781" t="str">
        <f t="shared" si="214"/>
        <v>.......</v>
      </c>
      <c r="AJ781" t="str">
        <f t="shared" si="215"/>
        <v>.......</v>
      </c>
    </row>
    <row r="782" spans="1:36" x14ac:dyDescent="0.25">
      <c r="A782" t="s">
        <v>613</v>
      </c>
      <c r="P782" t="str">
        <f t="shared" si="216"/>
        <v xml:space="preserve">   2068  138  0 </v>
      </c>
      <c r="Q782" t="str">
        <f t="shared" si="216"/>
        <v xml:space="preserve">   1.017 </v>
      </c>
      <c r="R782" t="str">
        <f t="shared" si="225"/>
        <v xml:space="preserve">     2.0 </v>
      </c>
      <c r="S782" t="str">
        <f t="shared" si="217"/>
        <v xml:space="preserve">     0.0 </v>
      </c>
      <c r="T782" t="str">
        <f t="shared" si="218"/>
        <v xml:space="preserve">    34.0 </v>
      </c>
      <c r="U782" t="str">
        <f t="shared" si="222"/>
        <v xml:space="preserve">         0.0 </v>
      </c>
      <c r="V782" t="str">
        <f t="shared" si="226"/>
        <v xml:space="preserve">     0.0 </v>
      </c>
      <c r="W782" t="str">
        <f t="shared" si="219"/>
        <v xml:space="preserve">     0.0</v>
      </c>
      <c r="X782" t="str">
        <f t="shared" si="223"/>
        <v/>
      </c>
      <c r="Y782" t="str">
        <f t="shared" si="223"/>
        <v/>
      </c>
      <c r="Z782" t="str">
        <f t="shared" si="223"/>
        <v/>
      </c>
      <c r="AA782" t="str">
        <f t="shared" si="227"/>
        <v/>
      </c>
      <c r="AB782" t="str">
        <f t="shared" si="220"/>
        <v/>
      </c>
      <c r="AC782" t="str">
        <f t="shared" si="221"/>
        <v/>
      </c>
      <c r="AD782" t="str">
        <f t="shared" si="222"/>
        <v/>
      </c>
      <c r="AE782" t="str">
        <f t="shared" si="228"/>
        <v/>
      </c>
      <c r="AF782" t="str">
        <f t="shared" si="224"/>
        <v/>
      </c>
      <c r="AG782" t="str">
        <f t="shared" si="224"/>
        <v/>
      </c>
      <c r="AH782" t="str">
        <f t="shared" si="229"/>
        <v/>
      </c>
      <c r="AI782" t="str">
        <f t="shared" si="214"/>
        <v/>
      </c>
      <c r="AJ782" t="str">
        <f t="shared" si="215"/>
        <v/>
      </c>
    </row>
    <row r="783" spans="1:36" x14ac:dyDescent="0.25">
      <c r="A783" t="s">
        <v>614</v>
      </c>
      <c r="P783" t="str">
        <f t="shared" si="216"/>
        <v xml:space="preserve">  CACHOE-RS138  </v>
      </c>
      <c r="Q783" t="str">
        <f t="shared" si="216"/>
        <v xml:space="preserve">   -52.3 </v>
      </c>
      <c r="R783" t="str">
        <f t="shared" si="225"/>
        <v xml:space="preserve">     0.0 </v>
      </c>
      <c r="S783" t="str">
        <f t="shared" si="217"/>
        <v xml:space="preserve">     0.0 </v>
      </c>
      <c r="T783" t="str">
        <f t="shared" si="218"/>
        <v xml:space="preserve">    12.3 </v>
      </c>
      <c r="U783" t="str">
        <f t="shared" si="222"/>
        <v xml:space="preserve">         0.0 </v>
      </c>
      <c r="V783" t="str">
        <f t="shared" si="226"/>
        <v xml:space="preserve">     0.0 </v>
      </c>
      <c r="W783" t="str">
        <f t="shared" si="219"/>
        <v xml:space="preserve">     0.0 </v>
      </c>
      <c r="X783" t="str">
        <f t="shared" si="223"/>
        <v xml:space="preserve">       </v>
      </c>
      <c r="Y783" t="str">
        <f t="shared" si="223"/>
        <v xml:space="preserve">              </v>
      </c>
      <c r="Z783" t="str">
        <f t="shared" si="223"/>
        <v xml:space="preserve">    </v>
      </c>
      <c r="AA783" t="str">
        <f t="shared" si="227"/>
        <v xml:space="preserve">         </v>
      </c>
      <c r="AB783" t="str">
        <f t="shared" si="220"/>
        <v xml:space="preserve">         </v>
      </c>
      <c r="AC783" t="str">
        <f t="shared" si="221"/>
        <v xml:space="preserve">    </v>
      </c>
      <c r="AD783" t="str">
        <f t="shared" si="222"/>
        <v/>
      </c>
      <c r="AE783" t="str">
        <f t="shared" si="228"/>
        <v/>
      </c>
      <c r="AF783" t="str">
        <f t="shared" si="224"/>
        <v/>
      </c>
      <c r="AG783" t="str">
        <f t="shared" si="224"/>
        <v/>
      </c>
      <c r="AH783" t="str">
        <f t="shared" si="229"/>
        <v/>
      </c>
      <c r="AI783" t="str">
        <f t="shared" si="214"/>
        <v/>
      </c>
      <c r="AJ783" t="str">
        <f t="shared" si="215"/>
        <v/>
      </c>
    </row>
    <row r="784" spans="1:36" x14ac:dyDescent="0.25">
      <c r="A784" t="s">
        <v>615</v>
      </c>
      <c r="P784" t="str">
        <f t="shared" si="216"/>
        <v xml:space="preserve">              DE</v>
      </c>
      <c r="Q784" t="str">
        <f t="shared" si="216"/>
        <v xml:space="preserve">ESLIGADO </v>
      </c>
      <c r="R784" t="str">
        <f t="shared" si="225"/>
        <v xml:space="preserve">    35.0 </v>
      </c>
      <c r="S784" t="str">
        <f t="shared" si="217"/>
        <v xml:space="preserve">    35.0 </v>
      </c>
      <c r="T784" t="str">
        <f t="shared" si="218"/>
        <v xml:space="preserve">    35.0 </v>
      </c>
      <c r="U784" t="str">
        <f t="shared" si="222"/>
        <v xml:space="preserve">             </v>
      </c>
      <c r="V784" t="str">
        <f t="shared" si="226"/>
        <v xml:space="preserve">         </v>
      </c>
      <c r="W784" t="str">
        <f t="shared" si="219"/>
        <v xml:space="preserve">         </v>
      </c>
      <c r="X784" t="str">
        <f t="shared" si="223"/>
        <v xml:space="preserve">  2067 </v>
      </c>
      <c r="Y784" t="str">
        <f t="shared" si="223"/>
        <v xml:space="preserve"> CACHOE-RS069 </v>
      </c>
      <c r="Z784" t="str">
        <f t="shared" si="223"/>
        <v xml:space="preserve">  2 </v>
      </c>
      <c r="AA784" t="str">
        <f t="shared" si="227"/>
        <v xml:space="preserve">     0.0 </v>
      </c>
      <c r="AB784" t="str">
        <f t="shared" si="220"/>
        <v xml:space="preserve">     0.0 </v>
      </c>
      <c r="AC784" t="str">
        <f t="shared" si="221"/>
        <v xml:space="preserve">     0.0 </v>
      </c>
      <c r="AD784" t="str">
        <f t="shared" si="222"/>
        <v xml:space="preserve"> 0.990* </v>
      </c>
      <c r="AE784" t="str">
        <f t="shared" si="228"/>
        <v xml:space="preserve">       </v>
      </c>
      <c r="AF784" t="str">
        <f t="shared" si="224"/>
        <v xml:space="preserve">     </v>
      </c>
      <c r="AG784" t="str">
        <f t="shared" si="224"/>
        <v xml:space="preserve">     0.00 </v>
      </c>
      <c r="AH784" t="str">
        <f t="shared" si="229"/>
        <v xml:space="preserve">     0.00 </v>
      </c>
      <c r="AI784" t="str">
        <f t="shared" si="214"/>
        <v xml:space="preserve">       </v>
      </c>
      <c r="AJ784" t="str">
        <f t="shared" si="215"/>
        <v xml:space="preserve">      </v>
      </c>
    </row>
    <row r="785" spans="1:36" x14ac:dyDescent="0.25">
      <c r="A785" t="s">
        <v>616</v>
      </c>
      <c r="P785" t="str">
        <f t="shared" si="216"/>
        <v xml:space="preserve">                </v>
      </c>
      <c r="Q785" t="str">
        <f t="shared" si="216"/>
        <v xml:space="preserve">         </v>
      </c>
      <c r="R785" t="str">
        <f t="shared" si="225"/>
        <v xml:space="preserve">    35.0 </v>
      </c>
      <c r="S785" t="str">
        <f t="shared" si="217"/>
        <v xml:space="preserve">    35.0 </v>
      </c>
      <c r="T785" t="str">
        <f t="shared" si="218"/>
        <v xml:space="preserve">    35.0 </v>
      </c>
      <c r="U785" t="str">
        <f t="shared" si="222"/>
        <v xml:space="preserve">       42.2% </v>
      </c>
      <c r="V785" t="str">
        <f t="shared" si="226"/>
        <v xml:space="preserve">         </v>
      </c>
      <c r="W785" t="str">
        <f t="shared" si="219"/>
        <v xml:space="preserve">         </v>
      </c>
      <c r="X785" t="str">
        <f t="shared" si="223"/>
        <v xml:space="preserve">  2067 </v>
      </c>
      <c r="Y785" t="str">
        <f t="shared" si="223"/>
        <v xml:space="preserve"> CACHOE-RS069 </v>
      </c>
      <c r="Z785" t="str">
        <f t="shared" si="223"/>
        <v xml:space="preserve">  3 </v>
      </c>
      <c r="AA785" t="str">
        <f t="shared" si="227"/>
        <v xml:space="preserve">    10.9 </v>
      </c>
      <c r="AB785" t="str">
        <f t="shared" si="220"/>
        <v xml:space="preserve">    10.4 </v>
      </c>
      <c r="AC785" t="str">
        <f t="shared" si="221"/>
        <v xml:space="preserve">    14.8 </v>
      </c>
      <c r="AD785" t="str">
        <f t="shared" si="222"/>
        <v xml:space="preserve"> 0.973* </v>
      </c>
      <c r="AE785" t="str">
        <f t="shared" si="228"/>
        <v xml:space="preserve">       </v>
      </c>
      <c r="AF785" t="str">
        <f t="shared" si="224"/>
        <v xml:space="preserve">     </v>
      </c>
      <c r="AG785" t="str">
        <f t="shared" si="224"/>
        <v xml:space="preserve">     0.00 </v>
      </c>
      <c r="AH785" t="str">
        <f t="shared" si="229"/>
        <v xml:space="preserve">     0.68 </v>
      </c>
      <c r="AI785" t="str">
        <f t="shared" si="214"/>
        <v xml:space="preserve">       </v>
      </c>
      <c r="AJ785" t="str">
        <f t="shared" si="215"/>
        <v xml:space="preserve">      </v>
      </c>
    </row>
    <row r="786" spans="1:36" x14ac:dyDescent="0.25">
      <c r="A786" t="s">
        <v>617</v>
      </c>
      <c r="P786" t="str">
        <f t="shared" si="216"/>
        <v xml:space="preserve">                </v>
      </c>
      <c r="Q786" t="str">
        <f t="shared" si="216"/>
        <v xml:space="preserve">         </v>
      </c>
      <c r="R786" t="str">
        <f t="shared" si="225"/>
        <v xml:space="preserve">   108.0 </v>
      </c>
      <c r="S786" t="str">
        <f t="shared" si="217"/>
        <v xml:space="preserve">   108.0 </v>
      </c>
      <c r="T786" t="str">
        <f t="shared" si="218"/>
        <v xml:space="preserve">   108.0 </v>
      </c>
      <c r="U786" t="str">
        <f t="shared" si="222"/>
        <v xml:space="preserve">       37.0% </v>
      </c>
      <c r="V786" t="str">
        <f t="shared" si="226"/>
        <v xml:space="preserve">         </v>
      </c>
      <c r="W786" t="str">
        <f t="shared" si="219"/>
        <v xml:space="preserve">         </v>
      </c>
      <c r="X786" t="str">
        <f t="shared" si="223"/>
        <v xml:space="preserve">  9305 </v>
      </c>
      <c r="Y786" t="str">
        <f t="shared" si="223"/>
        <v xml:space="preserve"> CACHO3-RS138 </v>
      </c>
      <c r="Z786" t="str">
        <f t="shared" si="223"/>
        <v xml:space="preserve">  1 </v>
      </c>
      <c r="AA786" t="str">
        <f t="shared" si="227"/>
        <v xml:space="preserve">   -36.1 </v>
      </c>
      <c r="AB786" t="str">
        <f t="shared" si="220"/>
        <v xml:space="preserve">   -18.8 </v>
      </c>
      <c r="AC786" t="str">
        <f t="shared" si="221"/>
        <v xml:space="preserve">    40.0 </v>
      </c>
      <c r="AD786" t="str">
        <f t="shared" si="222"/>
        <v xml:space="preserve">        </v>
      </c>
      <c r="AE786" t="str">
        <f t="shared" si="228"/>
        <v xml:space="preserve">       </v>
      </c>
      <c r="AF786" t="str">
        <f t="shared" si="224"/>
        <v xml:space="preserve">     </v>
      </c>
      <c r="AG786" t="str">
        <f t="shared" si="224"/>
        <v xml:space="preserve">     0.05 </v>
      </c>
      <c r="AH786" t="str">
        <f t="shared" si="229"/>
        <v xml:space="preserve">    -0.10 </v>
      </c>
      <c r="AI786" t="str">
        <f t="shared" si="214"/>
        <v xml:space="preserve">       </v>
      </c>
      <c r="AJ786" t="str">
        <f t="shared" si="215"/>
        <v xml:space="preserve">      </v>
      </c>
    </row>
    <row r="787" spans="1:36" x14ac:dyDescent="0.25">
      <c r="A787" t="s">
        <v>618</v>
      </c>
      <c r="P787" t="str">
        <f t="shared" si="216"/>
        <v xml:space="preserve">                </v>
      </c>
      <c r="Q787" t="str">
        <f t="shared" si="216"/>
        <v xml:space="preserve">         </v>
      </c>
      <c r="R787" t="str">
        <f t="shared" si="225"/>
        <v xml:space="preserve">    96.0 </v>
      </c>
      <c r="S787" t="str">
        <f t="shared" si="217"/>
        <v xml:space="preserve">    96.0 </v>
      </c>
      <c r="T787" t="str">
        <f t="shared" si="218"/>
        <v xml:space="preserve">    96.0 </v>
      </c>
      <c r="U787" t="str">
        <f t="shared" si="222"/>
        <v xml:space="preserve">        8.0% </v>
      </c>
      <c r="V787" t="str">
        <f t="shared" si="226"/>
        <v xml:space="preserve">         </v>
      </c>
      <c r="W787" t="str">
        <f t="shared" si="219"/>
        <v xml:space="preserve">         </v>
      </c>
      <c r="X787" t="str">
        <f t="shared" si="223"/>
        <v xml:space="preserve">  9305 </v>
      </c>
      <c r="Y787" t="str">
        <f t="shared" si="223"/>
        <v xml:space="preserve"> CACHO3-RS138 </v>
      </c>
      <c r="Z787" t="str">
        <f t="shared" si="223"/>
        <v xml:space="preserve">  2 </v>
      </c>
      <c r="AA787" t="str">
        <f t="shared" si="227"/>
        <v xml:space="preserve">    -6.8 </v>
      </c>
      <c r="AB787" t="str">
        <f t="shared" si="220"/>
        <v xml:space="preserve">    -3.9 </v>
      </c>
      <c r="AC787" t="str">
        <f t="shared" si="221"/>
        <v xml:space="preserve">     7.7 </v>
      </c>
      <c r="AD787" t="str">
        <f t="shared" si="222"/>
        <v xml:space="preserve">        </v>
      </c>
      <c r="AE787" t="str">
        <f t="shared" si="228"/>
        <v xml:space="preserve">       </v>
      </c>
      <c r="AF787" t="str">
        <f t="shared" si="224"/>
        <v xml:space="preserve">     </v>
      </c>
      <c r="AG787" t="str">
        <f t="shared" si="224"/>
        <v xml:space="preserve">     0.01 </v>
      </c>
      <c r="AH787" t="str">
        <f t="shared" si="229"/>
        <v xml:space="preserve">    -1.37 </v>
      </c>
      <c r="AI787" t="str">
        <f t="shared" si="214"/>
        <v xml:space="preserve">       </v>
      </c>
      <c r="AJ787" t="str">
        <f t="shared" si="215"/>
        <v xml:space="preserve">      </v>
      </c>
    </row>
    <row r="788" spans="1:36" x14ac:dyDescent="0.25">
      <c r="A788" t="s">
        <v>14</v>
      </c>
      <c r="P788" t="str">
        <f t="shared" si="216"/>
        <v xml:space="preserve">  ..............</v>
      </c>
      <c r="Q788" t="str">
        <f t="shared" si="216"/>
        <v>.........</v>
      </c>
      <c r="R788" t="str">
        <f t="shared" si="225"/>
        <v>.........</v>
      </c>
      <c r="S788" t="str">
        <f t="shared" si="217"/>
        <v>.........</v>
      </c>
      <c r="T788" t="str">
        <f t="shared" si="218"/>
        <v>.........</v>
      </c>
      <c r="U788" t="str">
        <f t="shared" si="222"/>
        <v>.............</v>
      </c>
      <c r="V788" t="str">
        <f t="shared" si="226"/>
        <v>.........</v>
      </c>
      <c r="W788" t="str">
        <f t="shared" si="219"/>
        <v>.........</v>
      </c>
      <c r="X788" t="str">
        <f t="shared" si="223"/>
        <v>.......</v>
      </c>
      <c r="Y788" t="str">
        <f t="shared" si="223"/>
        <v>..............</v>
      </c>
      <c r="Z788" t="str">
        <f t="shared" si="223"/>
        <v>....</v>
      </c>
      <c r="AA788" t="str">
        <f t="shared" si="227"/>
        <v>.........</v>
      </c>
      <c r="AB788" t="str">
        <f t="shared" si="220"/>
        <v>.........</v>
      </c>
      <c r="AC788" t="str">
        <f t="shared" si="221"/>
        <v>.........</v>
      </c>
      <c r="AD788" t="str">
        <f t="shared" si="222"/>
        <v>........</v>
      </c>
      <c r="AE788" t="str">
        <f t="shared" si="228"/>
        <v>.......</v>
      </c>
      <c r="AF788" t="str">
        <f t="shared" si="224"/>
        <v>.....</v>
      </c>
      <c r="AG788" t="str">
        <f t="shared" si="224"/>
        <v>..........</v>
      </c>
      <c r="AH788" t="str">
        <f t="shared" si="229"/>
        <v>..........</v>
      </c>
      <c r="AI788" t="str">
        <f t="shared" si="214"/>
        <v>.......</v>
      </c>
      <c r="AJ788" t="str">
        <f t="shared" si="215"/>
        <v>.......</v>
      </c>
    </row>
    <row r="789" spans="1:36" x14ac:dyDescent="0.25">
      <c r="A789" t="s">
        <v>619</v>
      </c>
      <c r="P789" t="str">
        <f t="shared" si="216"/>
        <v xml:space="preserve">   2069  138  0 </v>
      </c>
      <c r="Q789" t="str">
        <f t="shared" si="216"/>
        <v xml:space="preserve">   1.013 </v>
      </c>
      <c r="R789" t="str">
        <f t="shared" si="225"/>
        <v xml:space="preserve">    14.2 </v>
      </c>
      <c r="S789" t="str">
        <f t="shared" si="217"/>
        <v xml:space="preserve">     0.0 </v>
      </c>
      <c r="T789" t="str">
        <f t="shared" si="218"/>
        <v xml:space="preserve">    78.8 </v>
      </c>
      <c r="U789" t="str">
        <f t="shared" si="222"/>
        <v xml:space="preserve">         0.0 </v>
      </c>
      <c r="V789" t="str">
        <f t="shared" si="226"/>
        <v xml:space="preserve">    30.8 </v>
      </c>
      <c r="W789" t="str">
        <f t="shared" si="219"/>
        <v xml:space="preserve">     0.0</v>
      </c>
      <c r="X789" t="str">
        <f t="shared" si="223"/>
        <v/>
      </c>
      <c r="Y789" t="str">
        <f t="shared" si="223"/>
        <v/>
      </c>
      <c r="Z789" t="str">
        <f t="shared" si="223"/>
        <v/>
      </c>
      <c r="AA789" t="str">
        <f t="shared" si="227"/>
        <v/>
      </c>
      <c r="AB789" t="str">
        <f t="shared" si="220"/>
        <v/>
      </c>
      <c r="AC789" t="str">
        <f t="shared" si="221"/>
        <v/>
      </c>
      <c r="AD789" t="str">
        <f t="shared" si="222"/>
        <v/>
      </c>
      <c r="AE789" t="str">
        <f t="shared" si="228"/>
        <v/>
      </c>
      <c r="AF789" t="str">
        <f t="shared" si="224"/>
        <v/>
      </c>
      <c r="AG789" t="str">
        <f t="shared" si="224"/>
        <v/>
      </c>
      <c r="AH789" t="str">
        <f t="shared" si="229"/>
        <v/>
      </c>
      <c r="AI789" t="str">
        <f t="shared" si="214"/>
        <v/>
      </c>
      <c r="AJ789" t="str">
        <f t="shared" si="215"/>
        <v/>
      </c>
    </row>
    <row r="790" spans="1:36" x14ac:dyDescent="0.25">
      <c r="A790" t="s">
        <v>620</v>
      </c>
      <c r="P790" t="str">
        <f t="shared" si="216"/>
        <v xml:space="preserve">  EREXIM-RS138  </v>
      </c>
      <c r="Q790" t="str">
        <f t="shared" si="216"/>
        <v xml:space="preserve">   -48.0 </v>
      </c>
      <c r="R790" t="str">
        <f t="shared" si="225"/>
        <v xml:space="preserve">     0.0 </v>
      </c>
      <c r="S790" t="str">
        <f t="shared" si="217"/>
        <v xml:space="preserve">     0.0 </v>
      </c>
      <c r="T790" t="str">
        <f t="shared" si="218"/>
        <v xml:space="preserve">    24.9 </v>
      </c>
      <c r="U790" t="str">
        <f t="shared" si="222"/>
        <v xml:space="preserve">         0.0 </v>
      </c>
      <c r="V790" t="str">
        <f t="shared" si="226"/>
        <v xml:space="preserve">     0.0 </v>
      </c>
      <c r="W790" t="str">
        <f t="shared" si="219"/>
        <v xml:space="preserve">     0.0 </v>
      </c>
      <c r="X790" t="str">
        <f t="shared" si="223"/>
        <v xml:space="preserve">       </v>
      </c>
      <c r="Y790" t="str">
        <f t="shared" si="223"/>
        <v xml:space="preserve">              </v>
      </c>
      <c r="Z790" t="str">
        <f t="shared" si="223"/>
        <v xml:space="preserve">    </v>
      </c>
      <c r="AA790" t="str">
        <f t="shared" si="227"/>
        <v xml:space="preserve">         </v>
      </c>
      <c r="AB790" t="str">
        <f t="shared" si="220"/>
        <v xml:space="preserve">         </v>
      </c>
      <c r="AC790" t="str">
        <f t="shared" si="221"/>
        <v xml:space="preserve">    </v>
      </c>
      <c r="AD790" t="str">
        <f t="shared" si="222"/>
        <v/>
      </c>
      <c r="AE790" t="str">
        <f t="shared" si="228"/>
        <v/>
      </c>
      <c r="AF790" t="str">
        <f t="shared" si="224"/>
        <v/>
      </c>
      <c r="AG790" t="str">
        <f t="shared" si="224"/>
        <v/>
      </c>
      <c r="AH790" t="str">
        <f t="shared" si="229"/>
        <v/>
      </c>
      <c r="AI790" t="str">
        <f t="shared" si="214"/>
        <v/>
      </c>
      <c r="AJ790" t="str">
        <f t="shared" si="215"/>
        <v/>
      </c>
    </row>
    <row r="791" spans="1:36" x14ac:dyDescent="0.25">
      <c r="A791" t="s">
        <v>621</v>
      </c>
      <c r="P791" t="str">
        <f t="shared" si="216"/>
        <v xml:space="preserve">                </v>
      </c>
      <c r="Q791" t="str">
        <f t="shared" si="216"/>
        <v xml:space="preserve">         </v>
      </c>
      <c r="R791" t="str">
        <f t="shared" si="225"/>
        <v xml:space="preserve">   167.0 </v>
      </c>
      <c r="S791" t="str">
        <f t="shared" si="217"/>
        <v xml:space="preserve">   167.0 </v>
      </c>
      <c r="T791" t="str">
        <f t="shared" si="218"/>
        <v xml:space="preserve">   167.0 </v>
      </c>
      <c r="U791" t="str">
        <f t="shared" si="222"/>
        <v xml:space="preserve">       38.3% </v>
      </c>
      <c r="V791" t="str">
        <f t="shared" si="226"/>
        <v xml:space="preserve">         </v>
      </c>
      <c r="W791" t="str">
        <f t="shared" si="219"/>
        <v xml:space="preserve">         </v>
      </c>
      <c r="X791" t="str">
        <f t="shared" si="223"/>
        <v xml:space="preserve">  1042 </v>
      </c>
      <c r="Y791" t="str">
        <f t="shared" si="223"/>
        <v xml:space="preserve"> PFUNDO-RS138 </v>
      </c>
      <c r="Z791" t="str">
        <f t="shared" si="223"/>
        <v xml:space="preserve">  1 </v>
      </c>
      <c r="AA791" t="str">
        <f t="shared" si="227"/>
        <v xml:space="preserve">   -64.6 </v>
      </c>
      <c r="AB791" t="str">
        <f t="shared" si="220"/>
        <v xml:space="preserve">     5.9 </v>
      </c>
      <c r="AC791" t="str">
        <f t="shared" si="221"/>
        <v xml:space="preserve">    64.0 </v>
      </c>
      <c r="AD791" t="str">
        <f t="shared" si="222"/>
        <v xml:space="preserve">        </v>
      </c>
      <c r="AE791" t="str">
        <f t="shared" si="228"/>
        <v xml:space="preserve">       </v>
      </c>
      <c r="AF791" t="str">
        <f t="shared" si="224"/>
        <v xml:space="preserve">     </v>
      </c>
      <c r="AG791" t="str">
        <f t="shared" si="224"/>
        <v xml:space="preserve">     2.10 </v>
      </c>
      <c r="AH791" t="str">
        <f t="shared" si="229"/>
        <v xml:space="preserve">     2.05 </v>
      </c>
      <c r="AI791" t="str">
        <f t="shared" ref="AI791:AI854" si="230">MID($A791,AG$8+AG$9+AH$9-2,AI$9)</f>
        <v xml:space="preserve">       </v>
      </c>
      <c r="AJ791" t="str">
        <f t="shared" ref="AJ791:AJ854" si="231">MID($A791,AG$8+AG$9+AH$9+AI$9-3,AJ$9)</f>
        <v xml:space="preserve">      </v>
      </c>
    </row>
    <row r="792" spans="1:36" x14ac:dyDescent="0.25">
      <c r="A792" t="s">
        <v>622</v>
      </c>
      <c r="P792" t="str">
        <f t="shared" si="216"/>
        <v xml:space="preserve">              DE</v>
      </c>
      <c r="Q792" t="str">
        <f t="shared" si="216"/>
        <v xml:space="preserve">ESLIGADO </v>
      </c>
      <c r="R792" t="str">
        <f t="shared" si="225"/>
        <v xml:space="preserve">   143.0 </v>
      </c>
      <c r="S792" t="str">
        <f t="shared" si="217"/>
        <v xml:space="preserve">   172.0 </v>
      </c>
      <c r="T792" t="str">
        <f t="shared" si="218"/>
        <v xml:space="preserve">   172.0 </v>
      </c>
      <c r="U792" t="str">
        <f t="shared" si="222"/>
        <v xml:space="preserve">             </v>
      </c>
      <c r="V792" t="str">
        <f t="shared" si="226"/>
        <v xml:space="preserve">         </v>
      </c>
      <c r="W792" t="str">
        <f t="shared" si="219"/>
        <v xml:space="preserve">         </v>
      </c>
      <c r="X792" t="str">
        <f t="shared" si="223"/>
        <v xml:space="preserve">  1310 </v>
      </c>
      <c r="Y792" t="str">
        <f t="shared" si="223"/>
        <v xml:space="preserve"> EREXI2-RS138 </v>
      </c>
      <c r="Z792" t="str">
        <f t="shared" si="223"/>
        <v xml:space="preserve">  1 </v>
      </c>
      <c r="AA792" t="str">
        <f t="shared" si="227"/>
        <v xml:space="preserve">     0.0 </v>
      </c>
      <c r="AB792" t="str">
        <f t="shared" si="220"/>
        <v xml:space="preserve">     0.0 </v>
      </c>
      <c r="AC792" t="str">
        <f t="shared" si="221"/>
        <v xml:space="preserve">     0.0 </v>
      </c>
      <c r="AD792" t="str">
        <f t="shared" si="222"/>
        <v xml:space="preserve">        </v>
      </c>
      <c r="AE792" t="str">
        <f t="shared" si="228"/>
        <v xml:space="preserve">       </v>
      </c>
      <c r="AF792" t="str">
        <f t="shared" si="224"/>
        <v xml:space="preserve">     </v>
      </c>
      <c r="AG792" t="str">
        <f t="shared" si="224"/>
        <v xml:space="preserve">     0.00 </v>
      </c>
      <c r="AH792" t="str">
        <f t="shared" si="229"/>
        <v xml:space="preserve">     0.00 </v>
      </c>
      <c r="AI792" t="str">
        <f t="shared" si="230"/>
        <v xml:space="preserve">       </v>
      </c>
      <c r="AJ792" t="str">
        <f t="shared" si="231"/>
        <v xml:space="preserve">      </v>
      </c>
    </row>
    <row r="793" spans="1:36" x14ac:dyDescent="0.25">
      <c r="A793" t="s">
        <v>14</v>
      </c>
      <c r="P793" t="str">
        <f t="shared" si="216"/>
        <v xml:space="preserve">  ..............</v>
      </c>
      <c r="Q793" t="str">
        <f t="shared" si="216"/>
        <v>.........</v>
      </c>
      <c r="R793" t="str">
        <f t="shared" si="225"/>
        <v>.........</v>
      </c>
      <c r="S793" t="str">
        <f t="shared" si="217"/>
        <v>.........</v>
      </c>
      <c r="T793" t="str">
        <f t="shared" si="218"/>
        <v>.........</v>
      </c>
      <c r="U793" t="str">
        <f t="shared" si="222"/>
        <v>.............</v>
      </c>
      <c r="V793" t="str">
        <f t="shared" si="226"/>
        <v>.........</v>
      </c>
      <c r="W793" t="str">
        <f t="shared" si="219"/>
        <v>.........</v>
      </c>
      <c r="X793" t="str">
        <f t="shared" si="223"/>
        <v>.......</v>
      </c>
      <c r="Y793" t="str">
        <f t="shared" si="223"/>
        <v>..............</v>
      </c>
      <c r="Z793" t="str">
        <f t="shared" si="223"/>
        <v>....</v>
      </c>
      <c r="AA793" t="str">
        <f t="shared" si="227"/>
        <v>.........</v>
      </c>
      <c r="AB793" t="str">
        <f t="shared" si="220"/>
        <v>.........</v>
      </c>
      <c r="AC793" t="str">
        <f t="shared" si="221"/>
        <v>.........</v>
      </c>
      <c r="AD793" t="str">
        <f t="shared" si="222"/>
        <v>........</v>
      </c>
      <c r="AE793" t="str">
        <f t="shared" si="228"/>
        <v>.......</v>
      </c>
      <c r="AF793" t="str">
        <f t="shared" si="224"/>
        <v>.....</v>
      </c>
      <c r="AG793" t="str">
        <f t="shared" si="224"/>
        <v>..........</v>
      </c>
      <c r="AH793" t="str">
        <f t="shared" si="229"/>
        <v>..........</v>
      </c>
      <c r="AI793" t="str">
        <f t="shared" si="230"/>
        <v>.......</v>
      </c>
      <c r="AJ793" t="str">
        <f t="shared" si="231"/>
        <v>.......</v>
      </c>
    </row>
    <row r="794" spans="1:36" x14ac:dyDescent="0.25">
      <c r="A794" t="s">
        <v>623</v>
      </c>
      <c r="P794" t="str">
        <f t="shared" si="216"/>
        <v xml:space="preserve">   2076  138  0 </v>
      </c>
      <c r="Q794" t="str">
        <f t="shared" si="216"/>
        <v xml:space="preserve">   1.017 </v>
      </c>
      <c r="R794" t="str">
        <f t="shared" si="225"/>
        <v xml:space="preserve">     2.6 </v>
      </c>
      <c r="S794" t="str">
        <f t="shared" si="217"/>
        <v xml:space="preserve">     0.0 </v>
      </c>
      <c r="T794" t="str">
        <f t="shared" si="218"/>
        <v xml:space="preserve">    21.6 </v>
      </c>
      <c r="U794" t="str">
        <f t="shared" si="222"/>
        <v xml:space="preserve">         0.0 </v>
      </c>
      <c r="V794" t="str">
        <f t="shared" si="226"/>
        <v xml:space="preserve">     3.7 </v>
      </c>
      <c r="W794" t="str">
        <f t="shared" si="219"/>
        <v xml:space="preserve">     0.0</v>
      </c>
      <c r="X794" t="str">
        <f t="shared" si="223"/>
        <v/>
      </c>
      <c r="Y794" t="str">
        <f t="shared" si="223"/>
        <v/>
      </c>
      <c r="Z794" t="str">
        <f t="shared" si="223"/>
        <v/>
      </c>
      <c r="AA794" t="str">
        <f t="shared" si="227"/>
        <v/>
      </c>
      <c r="AB794" t="str">
        <f t="shared" si="220"/>
        <v/>
      </c>
      <c r="AC794" t="str">
        <f t="shared" si="221"/>
        <v/>
      </c>
      <c r="AD794" t="str">
        <f t="shared" si="222"/>
        <v/>
      </c>
      <c r="AE794" t="str">
        <f t="shared" si="228"/>
        <v/>
      </c>
      <c r="AF794" t="str">
        <f t="shared" si="224"/>
        <v/>
      </c>
      <c r="AG794" t="str">
        <f t="shared" si="224"/>
        <v/>
      </c>
      <c r="AH794" t="str">
        <f t="shared" si="229"/>
        <v/>
      </c>
      <c r="AI794" t="str">
        <f t="shared" si="230"/>
        <v/>
      </c>
      <c r="AJ794" t="str">
        <f t="shared" si="231"/>
        <v/>
      </c>
    </row>
    <row r="795" spans="1:36" x14ac:dyDescent="0.25">
      <c r="A795" t="s">
        <v>624</v>
      </c>
      <c r="P795" t="str">
        <f t="shared" ref="P795:Q858" si="232">MID($A795,P$8,P$9)</f>
        <v xml:space="preserve">  PORTAO-RS138  </v>
      </c>
      <c r="Q795" t="str">
        <f t="shared" si="232"/>
        <v xml:space="preserve">   -53.1 </v>
      </c>
      <c r="R795" t="str">
        <f t="shared" si="225"/>
        <v xml:space="preserve">     0.0 </v>
      </c>
      <c r="S795" t="str">
        <f t="shared" ref="S795:S858" si="233">MID($A795,Q$8+Q$9+R$9-2,S$9)</f>
        <v xml:space="preserve">     0.0 </v>
      </c>
      <c r="T795" t="str">
        <f t="shared" ref="T795:T858" si="234">MID($A795,Q$8+Q$9+R$9+S$9-3,T$9)</f>
        <v xml:space="preserve">     5.2 </v>
      </c>
      <c r="U795" t="str">
        <f t="shared" si="222"/>
        <v xml:space="preserve">         0.0 </v>
      </c>
      <c r="V795" t="str">
        <f t="shared" si="226"/>
        <v xml:space="preserve">     0.0 </v>
      </c>
      <c r="W795" t="str">
        <f t="shared" ref="W795:W858" si="235">MID($A795,U$8+U$9+V$9-2,W$9)</f>
        <v xml:space="preserve">     0.0 </v>
      </c>
      <c r="X795" t="str">
        <f t="shared" si="223"/>
        <v xml:space="preserve">       </v>
      </c>
      <c r="Y795" t="str">
        <f t="shared" si="223"/>
        <v xml:space="preserve">              </v>
      </c>
      <c r="Z795" t="str">
        <f t="shared" si="223"/>
        <v xml:space="preserve">    </v>
      </c>
      <c r="AA795" t="str">
        <f t="shared" si="227"/>
        <v xml:space="preserve">         </v>
      </c>
      <c r="AB795" t="str">
        <f t="shared" ref="AB795:AB858" si="236">MID($A795,Z$8+Z$9+AA$9-2,AB$9)</f>
        <v xml:space="preserve">         </v>
      </c>
      <c r="AC795" t="str">
        <f t="shared" ref="AC795:AC858" si="237">MID($A795,Z$8+Z$9+AA$9+AB$9-3,AC$9)</f>
        <v xml:space="preserve">    </v>
      </c>
      <c r="AD795" t="str">
        <f t="shared" si="222"/>
        <v/>
      </c>
      <c r="AE795" t="str">
        <f t="shared" si="228"/>
        <v/>
      </c>
      <c r="AF795" t="str">
        <f t="shared" si="224"/>
        <v/>
      </c>
      <c r="AG795" t="str">
        <f t="shared" si="224"/>
        <v/>
      </c>
      <c r="AH795" t="str">
        <f t="shared" si="229"/>
        <v/>
      </c>
      <c r="AI795" t="str">
        <f t="shared" si="230"/>
        <v/>
      </c>
      <c r="AJ795" t="str">
        <f t="shared" si="231"/>
        <v/>
      </c>
    </row>
    <row r="796" spans="1:36" x14ac:dyDescent="0.25">
      <c r="A796" t="s">
        <v>625</v>
      </c>
      <c r="P796" t="str">
        <f t="shared" si="232"/>
        <v xml:space="preserve">                </v>
      </c>
      <c r="Q796" t="str">
        <f t="shared" si="232"/>
        <v xml:space="preserve">         </v>
      </c>
      <c r="R796" t="str">
        <f t="shared" si="225"/>
        <v xml:space="preserve">   134.0 </v>
      </c>
      <c r="S796" t="str">
        <f t="shared" si="233"/>
        <v xml:space="preserve">   162.0 </v>
      </c>
      <c r="T796" t="str">
        <f t="shared" si="234"/>
        <v xml:space="preserve">   162.0 </v>
      </c>
      <c r="U796" t="str">
        <f t="shared" ref="U796:AD859" si="238">MID($A796,U$8,U$9)</f>
        <v xml:space="preserve">       14.0% </v>
      </c>
      <c r="V796" t="str">
        <f t="shared" si="226"/>
        <v xml:space="preserve">         </v>
      </c>
      <c r="W796" t="str">
        <f t="shared" si="235"/>
        <v xml:space="preserve">         </v>
      </c>
      <c r="X796" t="str">
        <f t="shared" ref="X796:Z859" si="239">MID($A796,X$8,X$9)</f>
        <v xml:space="preserve">  2090 </v>
      </c>
      <c r="Y796" t="str">
        <f t="shared" si="239"/>
        <v xml:space="preserve"> SCHARL-RS138 </v>
      </c>
      <c r="Z796" t="str">
        <f t="shared" si="239"/>
        <v xml:space="preserve">  1 </v>
      </c>
      <c r="AA796" t="str">
        <f t="shared" si="227"/>
        <v xml:space="preserve">   -19.0 </v>
      </c>
      <c r="AB796" t="str">
        <f t="shared" si="236"/>
        <v xml:space="preserve">    -1.5 </v>
      </c>
      <c r="AC796" t="str">
        <f t="shared" si="237"/>
        <v xml:space="preserve">    18.7 </v>
      </c>
      <c r="AD796" t="str">
        <f t="shared" si="238"/>
        <v xml:space="preserve">        </v>
      </c>
      <c r="AE796" t="str">
        <f t="shared" si="228"/>
        <v xml:space="preserve">       </v>
      </c>
      <c r="AF796" t="str">
        <f t="shared" si="224"/>
        <v xml:space="preserve">     </v>
      </c>
      <c r="AG796" t="str">
        <f t="shared" si="224"/>
        <v xml:space="preserve">     0.04 </v>
      </c>
      <c r="AH796" t="str">
        <f t="shared" si="229"/>
        <v xml:space="preserve">    -0.69 </v>
      </c>
      <c r="AI796" t="str">
        <f t="shared" si="230"/>
        <v xml:space="preserve">       </v>
      </c>
      <c r="AJ796" t="str">
        <f t="shared" si="231"/>
        <v xml:space="preserve">      </v>
      </c>
    </row>
    <row r="797" spans="1:36" x14ac:dyDescent="0.25">
      <c r="A797" t="s">
        <v>626</v>
      </c>
      <c r="P797" t="str">
        <f t="shared" si="232"/>
        <v xml:space="preserve">              DE</v>
      </c>
      <c r="Q797" t="str">
        <f t="shared" si="232"/>
        <v xml:space="preserve">ESLIGADO </v>
      </c>
      <c r="R797" t="str">
        <f t="shared" si="225"/>
        <v xml:space="preserve">   134.0 </v>
      </c>
      <c r="S797" t="str">
        <f t="shared" si="233"/>
        <v xml:space="preserve">   162.0 </v>
      </c>
      <c r="T797" t="str">
        <f t="shared" si="234"/>
        <v xml:space="preserve">   162.0 </v>
      </c>
      <c r="U797" t="str">
        <f t="shared" si="238"/>
        <v xml:space="preserve">             </v>
      </c>
      <c r="V797" t="str">
        <f t="shared" si="226"/>
        <v xml:space="preserve">         </v>
      </c>
      <c r="W797" t="str">
        <f t="shared" si="235"/>
        <v xml:space="preserve">         </v>
      </c>
      <c r="X797" t="str">
        <f t="shared" si="239"/>
        <v xml:space="preserve"> 10308 </v>
      </c>
      <c r="Y797" t="str">
        <f t="shared" si="239"/>
        <v xml:space="preserve"> SSCAI2-RS138 </v>
      </c>
      <c r="Z797" t="str">
        <f t="shared" si="239"/>
        <v xml:space="preserve">  1 </v>
      </c>
      <c r="AA797" t="str">
        <f t="shared" si="227"/>
        <v xml:space="preserve">     0.0 </v>
      </c>
      <c r="AB797" t="str">
        <f t="shared" si="236"/>
        <v xml:space="preserve">     0.0 </v>
      </c>
      <c r="AC797" t="str">
        <f t="shared" si="237"/>
        <v xml:space="preserve">     0.0 </v>
      </c>
      <c r="AD797" t="str">
        <f t="shared" si="238"/>
        <v xml:space="preserve">        </v>
      </c>
      <c r="AE797" t="str">
        <f t="shared" si="228"/>
        <v xml:space="preserve">       </v>
      </c>
      <c r="AF797" t="str">
        <f t="shared" ref="AF797:AG860" si="240">MID($A797,AF$8,AF$9)</f>
        <v xml:space="preserve">     </v>
      </c>
      <c r="AG797" t="str">
        <f t="shared" si="240"/>
        <v xml:space="preserve">     0.00 </v>
      </c>
      <c r="AH797" t="str">
        <f t="shared" si="229"/>
        <v xml:space="preserve">     0.00 </v>
      </c>
      <c r="AI797" t="str">
        <f t="shared" si="230"/>
        <v xml:space="preserve">       </v>
      </c>
      <c r="AJ797" t="str">
        <f t="shared" si="231"/>
        <v xml:space="preserve">      </v>
      </c>
    </row>
    <row r="798" spans="1:36" x14ac:dyDescent="0.25">
      <c r="A798" t="s">
        <v>14</v>
      </c>
      <c r="P798" t="str">
        <f t="shared" si="232"/>
        <v xml:space="preserve">  ..............</v>
      </c>
      <c r="Q798" t="str">
        <f t="shared" si="232"/>
        <v>.........</v>
      </c>
      <c r="R798" t="str">
        <f t="shared" si="225"/>
        <v>.........</v>
      </c>
      <c r="S798" t="str">
        <f t="shared" si="233"/>
        <v>.........</v>
      </c>
      <c r="T798" t="str">
        <f t="shared" si="234"/>
        <v>.........</v>
      </c>
      <c r="U798" t="str">
        <f t="shared" si="238"/>
        <v>.............</v>
      </c>
      <c r="V798" t="str">
        <f t="shared" si="226"/>
        <v>.........</v>
      </c>
      <c r="W798" t="str">
        <f t="shared" si="235"/>
        <v>.........</v>
      </c>
      <c r="X798" t="str">
        <f t="shared" si="239"/>
        <v>.......</v>
      </c>
      <c r="Y798" t="str">
        <f t="shared" si="239"/>
        <v>..............</v>
      </c>
      <c r="Z798" t="str">
        <f t="shared" si="239"/>
        <v>....</v>
      </c>
      <c r="AA798" t="str">
        <f t="shared" si="227"/>
        <v>.........</v>
      </c>
      <c r="AB798" t="str">
        <f t="shared" si="236"/>
        <v>.........</v>
      </c>
      <c r="AC798" t="str">
        <f t="shared" si="237"/>
        <v>.........</v>
      </c>
      <c r="AD798" t="str">
        <f t="shared" si="238"/>
        <v>........</v>
      </c>
      <c r="AE798" t="str">
        <f t="shared" si="228"/>
        <v>.......</v>
      </c>
      <c r="AF798" t="str">
        <f t="shared" si="240"/>
        <v>.....</v>
      </c>
      <c r="AG798" t="str">
        <f t="shared" si="240"/>
        <v>..........</v>
      </c>
      <c r="AH798" t="str">
        <f t="shared" si="229"/>
        <v>..........</v>
      </c>
      <c r="AI798" t="str">
        <f t="shared" si="230"/>
        <v>.......</v>
      </c>
      <c r="AJ798" t="str">
        <f t="shared" si="231"/>
        <v>.......</v>
      </c>
    </row>
    <row r="799" spans="1:36" x14ac:dyDescent="0.25">
      <c r="A799" t="s">
        <v>627</v>
      </c>
      <c r="P799" t="str">
        <f t="shared" si="232"/>
        <v xml:space="preserve">   2077   69  0 </v>
      </c>
      <c r="Q799" t="str">
        <f t="shared" si="232"/>
        <v xml:space="preserve">   1.023 </v>
      </c>
      <c r="R799" t="str">
        <f t="shared" si="225"/>
        <v xml:space="preserve">     0.0 </v>
      </c>
      <c r="S799" t="str">
        <f t="shared" si="233"/>
        <v xml:space="preserve">     0.0 </v>
      </c>
      <c r="T799" t="str">
        <f t="shared" si="234"/>
        <v xml:space="preserve">     0.0 </v>
      </c>
      <c r="U799" t="str">
        <f t="shared" si="238"/>
        <v xml:space="preserve">         0.0 </v>
      </c>
      <c r="V799" t="str">
        <f t="shared" si="226"/>
        <v xml:space="preserve">     0.0 </v>
      </c>
      <c r="W799" t="str">
        <f t="shared" si="235"/>
        <v xml:space="preserve">     0.0</v>
      </c>
      <c r="X799" t="str">
        <f t="shared" si="239"/>
        <v/>
      </c>
      <c r="Y799" t="str">
        <f t="shared" si="239"/>
        <v/>
      </c>
      <c r="Z799" t="str">
        <f t="shared" si="239"/>
        <v/>
      </c>
      <c r="AA799" t="str">
        <f t="shared" si="227"/>
        <v/>
      </c>
      <c r="AB799" t="str">
        <f t="shared" si="236"/>
        <v/>
      </c>
      <c r="AC799" t="str">
        <f t="shared" si="237"/>
        <v/>
      </c>
      <c r="AD799" t="str">
        <f t="shared" si="238"/>
        <v/>
      </c>
      <c r="AE799" t="str">
        <f t="shared" si="228"/>
        <v/>
      </c>
      <c r="AF799" t="str">
        <f t="shared" si="240"/>
        <v/>
      </c>
      <c r="AG799" t="str">
        <f t="shared" si="240"/>
        <v/>
      </c>
      <c r="AH799" t="str">
        <f t="shared" si="229"/>
        <v/>
      </c>
      <c r="AI799" t="str">
        <f t="shared" si="230"/>
        <v/>
      </c>
      <c r="AJ799" t="str">
        <f t="shared" si="231"/>
        <v/>
      </c>
    </row>
    <row r="800" spans="1:36" x14ac:dyDescent="0.25">
      <c r="A800" t="s">
        <v>628</v>
      </c>
      <c r="P800" t="str">
        <f t="shared" si="232"/>
        <v xml:space="preserve">  PPETRO-RS069  </v>
      </c>
      <c r="Q800" t="str">
        <f t="shared" si="232"/>
        <v xml:space="preserve">   -51.5 </v>
      </c>
      <c r="R800" t="str">
        <f t="shared" si="225"/>
        <v xml:space="preserve">     0.0 </v>
      </c>
      <c r="S800" t="str">
        <f t="shared" si="233"/>
        <v xml:space="preserve">     0.0 </v>
      </c>
      <c r="T800" t="str">
        <f t="shared" si="234"/>
        <v xml:space="preserve">     0.0 </v>
      </c>
      <c r="U800" t="str">
        <f t="shared" si="238"/>
        <v xml:space="preserve">         0.0 </v>
      </c>
      <c r="V800" t="str">
        <f t="shared" si="226"/>
        <v xml:space="preserve">     0.0 </v>
      </c>
      <c r="W800" t="str">
        <f t="shared" si="235"/>
        <v xml:space="preserve">     0.0 </v>
      </c>
      <c r="X800" t="str">
        <f t="shared" si="239"/>
        <v xml:space="preserve">       </v>
      </c>
      <c r="Y800" t="str">
        <f t="shared" si="239"/>
        <v xml:space="preserve">              </v>
      </c>
      <c r="Z800" t="str">
        <f t="shared" si="239"/>
        <v xml:space="preserve">    </v>
      </c>
      <c r="AA800" t="str">
        <f t="shared" si="227"/>
        <v xml:space="preserve">         </v>
      </c>
      <c r="AB800" t="str">
        <f t="shared" si="236"/>
        <v xml:space="preserve">         </v>
      </c>
      <c r="AC800" t="str">
        <f t="shared" si="237"/>
        <v xml:space="preserve">    </v>
      </c>
      <c r="AD800" t="str">
        <f t="shared" si="238"/>
        <v/>
      </c>
      <c r="AE800" t="str">
        <f t="shared" si="228"/>
        <v/>
      </c>
      <c r="AF800" t="str">
        <f t="shared" si="240"/>
        <v/>
      </c>
      <c r="AG800" t="str">
        <f t="shared" si="240"/>
        <v/>
      </c>
      <c r="AH800" t="str">
        <f t="shared" si="229"/>
        <v/>
      </c>
      <c r="AI800" t="str">
        <f t="shared" si="230"/>
        <v/>
      </c>
      <c r="AJ800" t="str">
        <f t="shared" si="231"/>
        <v/>
      </c>
    </row>
    <row r="801" spans="1:36" x14ac:dyDescent="0.25">
      <c r="A801" t="s">
        <v>629</v>
      </c>
      <c r="P801" t="str">
        <f t="shared" si="232"/>
        <v xml:space="preserve">                </v>
      </c>
      <c r="Q801" t="str">
        <f t="shared" si="232"/>
        <v xml:space="preserve">         </v>
      </c>
      <c r="R801" t="str">
        <f t="shared" si="225"/>
        <v xml:space="preserve">    83.0 </v>
      </c>
      <c r="S801" t="str">
        <f t="shared" si="233"/>
        <v xml:space="preserve">    83.0 </v>
      </c>
      <c r="T801" t="str">
        <f t="shared" si="234"/>
        <v xml:space="preserve">    83.0 </v>
      </c>
      <c r="U801" t="str">
        <f t="shared" si="238"/>
        <v xml:space="preserve">       21.7% </v>
      </c>
      <c r="V801" t="str">
        <f t="shared" si="226"/>
        <v xml:space="preserve">         </v>
      </c>
      <c r="W801" t="str">
        <f t="shared" si="235"/>
        <v xml:space="preserve">         </v>
      </c>
      <c r="X801" t="str">
        <f t="shared" si="239"/>
        <v xml:space="preserve">  1334 </v>
      </c>
      <c r="Y801" t="str">
        <f t="shared" si="239"/>
        <v xml:space="preserve"> POLINDTAP069 </v>
      </c>
      <c r="Z801" t="str">
        <f t="shared" si="239"/>
        <v xml:space="preserve">  1 </v>
      </c>
      <c r="AA801" t="str">
        <f t="shared" si="227"/>
        <v xml:space="preserve">    17.0 </v>
      </c>
      <c r="AB801" t="str">
        <f t="shared" si="236"/>
        <v xml:space="preserve">     7.0 </v>
      </c>
      <c r="AC801" t="str">
        <f t="shared" si="237"/>
        <v xml:space="preserve">    18.0 </v>
      </c>
      <c r="AD801" t="str">
        <f t="shared" si="238"/>
        <v xml:space="preserve">        </v>
      </c>
      <c r="AE801" t="str">
        <f t="shared" si="228"/>
        <v xml:space="preserve">       </v>
      </c>
      <c r="AF801" t="str">
        <f t="shared" si="240"/>
        <v xml:space="preserve">     </v>
      </c>
      <c r="AG801" t="str">
        <f t="shared" si="240"/>
        <v xml:space="preserve">     0.07 </v>
      </c>
      <c r="AH801" t="str">
        <f t="shared" si="229"/>
        <v xml:space="preserve">     0.13 </v>
      </c>
      <c r="AI801" t="str">
        <f t="shared" si="230"/>
        <v xml:space="preserve">       </v>
      </c>
      <c r="AJ801" t="str">
        <f t="shared" si="231"/>
        <v xml:space="preserve">      </v>
      </c>
    </row>
    <row r="802" spans="1:36" x14ac:dyDescent="0.25">
      <c r="A802" t="s">
        <v>630</v>
      </c>
      <c r="P802" t="str">
        <f t="shared" si="232"/>
        <v xml:space="preserve">                </v>
      </c>
      <c r="Q802" t="str">
        <f t="shared" si="232"/>
        <v xml:space="preserve">         </v>
      </c>
      <c r="R802" t="str">
        <f t="shared" si="225"/>
        <v xml:space="preserve">    84.0 </v>
      </c>
      <c r="S802" t="str">
        <f t="shared" si="233"/>
        <v xml:space="preserve">   101.0 </v>
      </c>
      <c r="T802" t="str">
        <f t="shared" si="234"/>
        <v xml:space="preserve">   101.0 </v>
      </c>
      <c r="U802" t="str">
        <f t="shared" si="238"/>
        <v xml:space="preserve">       33.5% </v>
      </c>
      <c r="V802" t="str">
        <f t="shared" si="226"/>
        <v xml:space="preserve">         </v>
      </c>
      <c r="W802" t="str">
        <f t="shared" si="235"/>
        <v xml:space="preserve">         </v>
      </c>
      <c r="X802" t="str">
        <f t="shared" si="239"/>
        <v xml:space="preserve">  1339 </v>
      </c>
      <c r="Y802" t="str">
        <f t="shared" si="239"/>
        <v xml:space="preserve"> SITEL-TAP069 </v>
      </c>
      <c r="Z802" t="str">
        <f t="shared" si="239"/>
        <v xml:space="preserve">  1 </v>
      </c>
      <c r="AA802" t="str">
        <f t="shared" si="227"/>
        <v xml:space="preserve">    28.4 </v>
      </c>
      <c r="AB802" t="str">
        <f t="shared" si="236"/>
        <v xml:space="preserve">     5.0 </v>
      </c>
      <c r="AC802" t="str">
        <f t="shared" si="237"/>
        <v xml:space="preserve">    28.1 </v>
      </c>
      <c r="AD802" t="str">
        <f t="shared" si="238"/>
        <v xml:space="preserve">        </v>
      </c>
      <c r="AE802" t="str">
        <f t="shared" si="228"/>
        <v xml:space="preserve">       </v>
      </c>
      <c r="AF802" t="str">
        <f t="shared" si="240"/>
        <v xml:space="preserve">     </v>
      </c>
      <c r="AG802" t="str">
        <f t="shared" si="240"/>
        <v xml:space="preserve">     0.08 </v>
      </c>
      <c r="AH802" t="str">
        <f t="shared" si="229"/>
        <v xml:space="preserve">     0.23 </v>
      </c>
      <c r="AI802" t="str">
        <f t="shared" si="230"/>
        <v xml:space="preserve">       </v>
      </c>
      <c r="AJ802" t="str">
        <f t="shared" si="231"/>
        <v xml:space="preserve">      </v>
      </c>
    </row>
    <row r="803" spans="1:36" x14ac:dyDescent="0.25">
      <c r="A803" t="s">
        <v>631</v>
      </c>
      <c r="P803" t="str">
        <f t="shared" si="232"/>
        <v xml:space="preserve">                </v>
      </c>
      <c r="Q803" t="str">
        <f t="shared" si="232"/>
        <v xml:space="preserve">         </v>
      </c>
      <c r="R803" t="str">
        <f t="shared" si="225"/>
        <v xml:space="preserve">    62.0 </v>
      </c>
      <c r="S803" t="str">
        <f t="shared" si="233"/>
        <v xml:space="preserve">    74.0 </v>
      </c>
      <c r="T803" t="str">
        <f t="shared" si="234"/>
        <v xml:space="preserve">    74.0 </v>
      </c>
      <c r="U803" t="str">
        <f t="shared" si="238"/>
        <v xml:space="preserve">       34.0% </v>
      </c>
      <c r="V803" t="str">
        <f t="shared" si="226"/>
        <v xml:space="preserve">         </v>
      </c>
      <c r="W803" t="str">
        <f t="shared" si="235"/>
        <v xml:space="preserve">         </v>
      </c>
      <c r="X803" t="str">
        <f t="shared" si="239"/>
        <v xml:space="preserve">  9692 </v>
      </c>
      <c r="Y803" t="str">
        <f t="shared" si="239"/>
        <v xml:space="preserve"> CERTAJ-RS069 </v>
      </c>
      <c r="Z803" t="str">
        <f t="shared" si="239"/>
        <v xml:space="preserve">  1 </v>
      </c>
      <c r="AA803" t="str">
        <f t="shared" si="227"/>
        <v xml:space="preserve">    21.0 </v>
      </c>
      <c r="AB803" t="str">
        <f t="shared" si="236"/>
        <v xml:space="preserve">     4.8 </v>
      </c>
      <c r="AC803" t="str">
        <f t="shared" si="237"/>
        <v xml:space="preserve">    21.1 </v>
      </c>
      <c r="AD803" t="str">
        <f t="shared" si="238"/>
        <v xml:space="preserve">        </v>
      </c>
      <c r="AE803" t="str">
        <f t="shared" si="228"/>
        <v xml:space="preserve">       </v>
      </c>
      <c r="AF803" t="str">
        <f t="shared" si="240"/>
        <v xml:space="preserve">     </v>
      </c>
      <c r="AG803" t="str">
        <f t="shared" si="240"/>
        <v xml:space="preserve">     0.22 </v>
      </c>
      <c r="AH803" t="str">
        <f t="shared" si="229"/>
        <v xml:space="preserve">     0.53 </v>
      </c>
      <c r="AI803" t="str">
        <f t="shared" si="230"/>
        <v xml:space="preserve">       </v>
      </c>
      <c r="AJ803" t="str">
        <f t="shared" si="231"/>
        <v xml:space="preserve">      </v>
      </c>
    </row>
    <row r="804" spans="1:36" x14ac:dyDescent="0.25">
      <c r="A804" t="s">
        <v>632</v>
      </c>
      <c r="P804" t="str">
        <f t="shared" si="232"/>
        <v xml:space="preserve">                </v>
      </c>
      <c r="Q804" t="str">
        <f t="shared" si="232"/>
        <v xml:space="preserve">         </v>
      </c>
      <c r="R804" t="str">
        <f t="shared" si="225"/>
        <v xml:space="preserve">   165.0 </v>
      </c>
      <c r="S804" t="str">
        <f t="shared" si="233"/>
        <v xml:space="preserve">   198.0 </v>
      </c>
      <c r="T804" t="str">
        <f t="shared" si="234"/>
        <v xml:space="preserve">   198.0 </v>
      </c>
      <c r="U804" t="str">
        <f t="shared" si="238"/>
        <v xml:space="preserve">       20.4% </v>
      </c>
      <c r="V804" t="str">
        <f t="shared" si="226"/>
        <v xml:space="preserve">         </v>
      </c>
      <c r="W804" t="str">
        <f t="shared" si="235"/>
        <v xml:space="preserve">         </v>
      </c>
      <c r="X804" t="str">
        <f t="shared" si="239"/>
        <v xml:space="preserve"> 41339 </v>
      </c>
      <c r="Y804" t="str">
        <f t="shared" si="239"/>
        <v xml:space="preserve"> PPE--7-RS000 </v>
      </c>
      <c r="Z804" t="str">
        <f t="shared" si="239"/>
        <v xml:space="preserve">  7 </v>
      </c>
      <c r="AA804" t="str">
        <f t="shared" si="227"/>
        <v xml:space="preserve">   -33.4 </v>
      </c>
      <c r="AB804" t="str">
        <f t="shared" si="236"/>
        <v xml:space="preserve">    -8.4 </v>
      </c>
      <c r="AC804" t="str">
        <f t="shared" si="237"/>
        <v xml:space="preserve">    33.6 </v>
      </c>
      <c r="AD804" t="str">
        <f t="shared" si="238"/>
        <v xml:space="preserve"> 1.000F </v>
      </c>
      <c r="AE804" t="str">
        <f t="shared" si="228"/>
        <v xml:space="preserve">       </v>
      </c>
      <c r="AF804" t="str">
        <f t="shared" si="240"/>
        <v xml:space="preserve"> 002 </v>
      </c>
      <c r="AG804" t="str">
        <f t="shared" si="240"/>
        <v xml:space="preserve">     0.01 </v>
      </c>
      <c r="AH804" t="str">
        <f t="shared" si="229"/>
        <v xml:space="preserve">    -0.08 </v>
      </c>
      <c r="AI804" t="str">
        <f t="shared" si="230"/>
        <v xml:space="preserve">       </v>
      </c>
      <c r="AJ804" t="str">
        <f t="shared" si="231"/>
        <v xml:space="preserve">      </v>
      </c>
    </row>
    <row r="805" spans="1:36" x14ac:dyDescent="0.25">
      <c r="A805" t="s">
        <v>633</v>
      </c>
      <c r="P805" t="str">
        <f t="shared" si="232"/>
        <v xml:space="preserve">                </v>
      </c>
      <c r="Q805" t="str">
        <f t="shared" si="232"/>
        <v xml:space="preserve">         </v>
      </c>
      <c r="R805" t="str">
        <f t="shared" si="225"/>
        <v xml:space="preserve">   165.0 </v>
      </c>
      <c r="S805" t="str">
        <f t="shared" si="233"/>
        <v xml:space="preserve">   198.0 </v>
      </c>
      <c r="T805" t="str">
        <f t="shared" si="234"/>
        <v xml:space="preserve">   198.0 </v>
      </c>
      <c r="U805" t="str">
        <f t="shared" si="238"/>
        <v xml:space="preserve">       20.2% </v>
      </c>
      <c r="V805" t="str">
        <f t="shared" si="226"/>
        <v xml:space="preserve">         </v>
      </c>
      <c r="W805" t="str">
        <f t="shared" si="235"/>
        <v xml:space="preserve">         </v>
      </c>
      <c r="X805" t="str">
        <f t="shared" si="239"/>
        <v xml:space="preserve"> 41341 </v>
      </c>
      <c r="Y805" t="str">
        <f t="shared" si="239"/>
        <v xml:space="preserve"> PPE--8-RS000 </v>
      </c>
      <c r="Z805" t="str">
        <f t="shared" si="239"/>
        <v xml:space="preserve">  8 </v>
      </c>
      <c r="AA805" t="str">
        <f t="shared" si="227"/>
        <v xml:space="preserve">   -33.0 </v>
      </c>
      <c r="AB805" t="str">
        <f t="shared" si="236"/>
        <v xml:space="preserve">    -8.4 </v>
      </c>
      <c r="AC805" t="str">
        <f t="shared" si="237"/>
        <v xml:space="preserve">    33.3 </v>
      </c>
      <c r="AD805" t="str">
        <f t="shared" si="238"/>
        <v xml:space="preserve"> 1.000F </v>
      </c>
      <c r="AE805" t="str">
        <f t="shared" si="228"/>
        <v xml:space="preserve">       </v>
      </c>
      <c r="AF805" t="str">
        <f t="shared" si="240"/>
        <v xml:space="preserve"> 002 </v>
      </c>
      <c r="AG805" t="str">
        <f t="shared" si="240"/>
        <v xml:space="preserve">     0.01 </v>
      </c>
      <c r="AH805" t="str">
        <f t="shared" si="229"/>
        <v xml:space="preserve">    -0.09 </v>
      </c>
      <c r="AI805" t="str">
        <f t="shared" si="230"/>
        <v xml:space="preserve">       </v>
      </c>
      <c r="AJ805" t="str">
        <f t="shared" si="231"/>
        <v xml:space="preserve">      </v>
      </c>
    </row>
    <row r="806" spans="1:36" x14ac:dyDescent="0.25">
      <c r="A806" t="s">
        <v>14</v>
      </c>
      <c r="P806" t="str">
        <f t="shared" si="232"/>
        <v xml:space="preserve">  ..............</v>
      </c>
      <c r="Q806" t="str">
        <f t="shared" si="232"/>
        <v>.........</v>
      </c>
      <c r="R806" t="str">
        <f t="shared" si="225"/>
        <v>.........</v>
      </c>
      <c r="S806" t="str">
        <f t="shared" si="233"/>
        <v>.........</v>
      </c>
      <c r="T806" t="str">
        <f t="shared" si="234"/>
        <v>.........</v>
      </c>
      <c r="U806" t="str">
        <f t="shared" si="238"/>
        <v>.............</v>
      </c>
      <c r="V806" t="str">
        <f t="shared" si="226"/>
        <v>.........</v>
      </c>
      <c r="W806" t="str">
        <f t="shared" si="235"/>
        <v>.........</v>
      </c>
      <c r="X806" t="str">
        <f t="shared" si="239"/>
        <v>.......</v>
      </c>
      <c r="Y806" t="str">
        <f t="shared" si="239"/>
        <v>..............</v>
      </c>
      <c r="Z806" t="str">
        <f t="shared" si="239"/>
        <v>....</v>
      </c>
      <c r="AA806" t="str">
        <f t="shared" si="227"/>
        <v>.........</v>
      </c>
      <c r="AB806" t="str">
        <f t="shared" si="236"/>
        <v>.........</v>
      </c>
      <c r="AC806" t="str">
        <f t="shared" si="237"/>
        <v>.........</v>
      </c>
      <c r="AD806" t="str">
        <f t="shared" si="238"/>
        <v>........</v>
      </c>
      <c r="AE806" t="str">
        <f t="shared" si="228"/>
        <v>.......</v>
      </c>
      <c r="AF806" t="str">
        <f t="shared" si="240"/>
        <v>.....</v>
      </c>
      <c r="AG806" t="str">
        <f t="shared" si="240"/>
        <v>..........</v>
      </c>
      <c r="AH806" t="str">
        <f t="shared" si="229"/>
        <v>..........</v>
      </c>
      <c r="AI806" t="str">
        <f t="shared" si="230"/>
        <v>.......</v>
      </c>
      <c r="AJ806" t="str">
        <f t="shared" si="231"/>
        <v>.......</v>
      </c>
    </row>
    <row r="807" spans="1:36" x14ac:dyDescent="0.25">
      <c r="A807" t="s">
        <v>634</v>
      </c>
      <c r="P807" t="str">
        <f t="shared" si="232"/>
        <v xml:space="preserve">   2079   69  0 </v>
      </c>
      <c r="Q807" t="str">
        <f t="shared" si="232"/>
        <v xml:space="preserve">   1.005 </v>
      </c>
      <c r="R807" t="str">
        <f t="shared" si="225"/>
        <v xml:space="preserve">     4.7 </v>
      </c>
      <c r="S807" t="str">
        <f t="shared" si="233"/>
        <v xml:space="preserve">     0.0 </v>
      </c>
      <c r="T807" t="str">
        <f t="shared" si="234"/>
        <v xml:space="preserve">    21.0 </v>
      </c>
      <c r="U807" t="str">
        <f t="shared" si="238"/>
        <v xml:space="preserve">         0.0 </v>
      </c>
      <c r="V807" t="str">
        <f t="shared" si="226"/>
        <v xml:space="preserve">     1.8 </v>
      </c>
      <c r="W807" t="str">
        <f t="shared" si="235"/>
        <v xml:space="preserve">     0.0</v>
      </c>
      <c r="X807" t="str">
        <f t="shared" si="239"/>
        <v/>
      </c>
      <c r="Y807" t="str">
        <f t="shared" si="239"/>
        <v/>
      </c>
      <c r="Z807" t="str">
        <f t="shared" si="239"/>
        <v/>
      </c>
      <c r="AA807" t="str">
        <f t="shared" si="227"/>
        <v/>
      </c>
      <c r="AB807" t="str">
        <f t="shared" si="236"/>
        <v/>
      </c>
      <c r="AC807" t="str">
        <f t="shared" si="237"/>
        <v/>
      </c>
      <c r="AD807" t="str">
        <f t="shared" si="238"/>
        <v/>
      </c>
      <c r="AE807" t="str">
        <f t="shared" si="228"/>
        <v/>
      </c>
      <c r="AF807" t="str">
        <f t="shared" si="240"/>
        <v/>
      </c>
      <c r="AG807" t="str">
        <f t="shared" si="240"/>
        <v/>
      </c>
      <c r="AH807" t="str">
        <f t="shared" si="229"/>
        <v/>
      </c>
      <c r="AI807" t="str">
        <f t="shared" si="230"/>
        <v/>
      </c>
      <c r="AJ807" t="str">
        <f t="shared" si="231"/>
        <v/>
      </c>
    </row>
    <row r="808" spans="1:36" x14ac:dyDescent="0.25">
      <c r="A808" t="s">
        <v>635</v>
      </c>
      <c r="P808" t="str">
        <f t="shared" si="232"/>
        <v xml:space="preserve">  MISSOE-RS069  </v>
      </c>
      <c r="Q808" t="str">
        <f t="shared" si="232"/>
        <v xml:space="preserve">   -44.5 </v>
      </c>
      <c r="R808" t="str">
        <f t="shared" si="225"/>
        <v xml:space="preserve">     0.0 </v>
      </c>
      <c r="S808" t="str">
        <f t="shared" si="233"/>
        <v xml:space="preserve">     0.0 </v>
      </c>
      <c r="T808" t="str">
        <f t="shared" si="234"/>
        <v xml:space="preserve">     7.7 </v>
      </c>
      <c r="U808" t="str">
        <f t="shared" si="238"/>
        <v xml:space="preserve">         0.0 </v>
      </c>
      <c r="V808" t="str">
        <f t="shared" si="226"/>
        <v xml:space="preserve">     0.0 </v>
      </c>
      <c r="W808" t="str">
        <f t="shared" si="235"/>
        <v xml:space="preserve">     0.0 </v>
      </c>
      <c r="X808" t="str">
        <f t="shared" si="239"/>
        <v xml:space="preserve">       </v>
      </c>
      <c r="Y808" t="str">
        <f t="shared" si="239"/>
        <v xml:space="preserve">              </v>
      </c>
      <c r="Z808" t="str">
        <f t="shared" si="239"/>
        <v xml:space="preserve">    </v>
      </c>
      <c r="AA808" t="str">
        <f t="shared" si="227"/>
        <v xml:space="preserve">         </v>
      </c>
      <c r="AB808" t="str">
        <f t="shared" si="236"/>
        <v xml:space="preserve">         </v>
      </c>
      <c r="AC808" t="str">
        <f t="shared" si="237"/>
        <v xml:space="preserve">    </v>
      </c>
      <c r="AD808" t="str">
        <f t="shared" si="238"/>
        <v/>
      </c>
      <c r="AE808" t="str">
        <f t="shared" si="228"/>
        <v/>
      </c>
      <c r="AF808" t="str">
        <f t="shared" si="240"/>
        <v/>
      </c>
      <c r="AG808" t="str">
        <f t="shared" si="240"/>
        <v/>
      </c>
      <c r="AH808" t="str">
        <f t="shared" si="229"/>
        <v/>
      </c>
      <c r="AI808" t="str">
        <f t="shared" si="230"/>
        <v/>
      </c>
      <c r="AJ808" t="str">
        <f t="shared" si="231"/>
        <v/>
      </c>
    </row>
    <row r="809" spans="1:36" x14ac:dyDescent="0.25">
      <c r="A809" t="s">
        <v>636</v>
      </c>
      <c r="P809" t="str">
        <f t="shared" si="232"/>
        <v xml:space="preserve">                </v>
      </c>
      <c r="Q809" t="str">
        <f t="shared" si="232"/>
        <v xml:space="preserve">         </v>
      </c>
      <c r="R809" t="str">
        <f t="shared" si="225"/>
        <v xml:space="preserve">    87.0 </v>
      </c>
      <c r="S809" t="str">
        <f t="shared" si="233"/>
        <v xml:space="preserve">    87.0 </v>
      </c>
      <c r="T809" t="str">
        <f t="shared" si="234"/>
        <v xml:space="preserve">    87.0 </v>
      </c>
      <c r="U809" t="str">
        <f t="shared" si="238"/>
        <v xml:space="preserve">       17.0% </v>
      </c>
      <c r="V809" t="str">
        <f t="shared" si="226"/>
        <v xml:space="preserve">         </v>
      </c>
      <c r="W809" t="str">
        <f t="shared" si="235"/>
        <v xml:space="preserve">         </v>
      </c>
      <c r="X809" t="str">
        <f t="shared" si="239"/>
        <v xml:space="preserve">  9219 </v>
      </c>
      <c r="Y809" t="str">
        <f t="shared" si="239"/>
        <v xml:space="preserve"> PSJOAO-RS069 </v>
      </c>
      <c r="Z809" t="str">
        <f t="shared" si="239"/>
        <v xml:space="preserve">  1 </v>
      </c>
      <c r="AA809" t="str">
        <f t="shared" si="227"/>
        <v xml:space="preserve">   -14.7 </v>
      </c>
      <c r="AB809" t="str">
        <f t="shared" si="236"/>
        <v xml:space="preserve">     1.9 </v>
      </c>
      <c r="AC809" t="str">
        <f t="shared" si="237"/>
        <v xml:space="preserve">    14.8 </v>
      </c>
      <c r="AD809" t="str">
        <f t="shared" si="238"/>
        <v xml:space="preserve">        </v>
      </c>
      <c r="AE809" t="str">
        <f t="shared" si="228"/>
        <v xml:space="preserve">       </v>
      </c>
      <c r="AF809" t="str">
        <f t="shared" si="240"/>
        <v xml:space="preserve">     </v>
      </c>
      <c r="AG809" t="str">
        <f t="shared" si="240"/>
        <v xml:space="preserve">     0.18 </v>
      </c>
      <c r="AH809" t="str">
        <f t="shared" si="229"/>
        <v xml:space="preserve">     0.10 </v>
      </c>
      <c r="AI809" t="str">
        <f t="shared" si="230"/>
        <v xml:space="preserve">       </v>
      </c>
      <c r="AJ809" t="str">
        <f t="shared" si="231"/>
        <v xml:space="preserve">      </v>
      </c>
    </row>
    <row r="810" spans="1:36" x14ac:dyDescent="0.25">
      <c r="A810" t="s">
        <v>637</v>
      </c>
      <c r="P810" t="str">
        <f t="shared" si="232"/>
        <v xml:space="preserve">                </v>
      </c>
      <c r="Q810" t="str">
        <f t="shared" si="232"/>
        <v xml:space="preserve">         </v>
      </c>
      <c r="R810" t="str">
        <f t="shared" si="225"/>
        <v xml:space="preserve">    87.0 </v>
      </c>
      <c r="S810" t="str">
        <f t="shared" si="233"/>
        <v xml:space="preserve">    87.0 </v>
      </c>
      <c r="T810" t="str">
        <f t="shared" si="234"/>
        <v xml:space="preserve">    87.0 </v>
      </c>
      <c r="U810" t="str">
        <f t="shared" si="238"/>
        <v xml:space="preserve">       17.0% </v>
      </c>
      <c r="V810" t="str">
        <f t="shared" si="226"/>
        <v xml:space="preserve">         </v>
      </c>
      <c r="W810" t="str">
        <f t="shared" si="235"/>
        <v xml:space="preserve">         </v>
      </c>
      <c r="X810" t="str">
        <f t="shared" si="239"/>
        <v xml:space="preserve">  9219 </v>
      </c>
      <c r="Y810" t="str">
        <f t="shared" si="239"/>
        <v xml:space="preserve"> PSJOAO-RS069 </v>
      </c>
      <c r="Z810" t="str">
        <f t="shared" si="239"/>
        <v xml:space="preserve">  2 </v>
      </c>
      <c r="AA810" t="str">
        <f t="shared" si="227"/>
        <v xml:space="preserve">   -14.7 </v>
      </c>
      <c r="AB810" t="str">
        <f t="shared" si="236"/>
        <v xml:space="preserve">     1.9 </v>
      </c>
      <c r="AC810" t="str">
        <f t="shared" si="237"/>
        <v xml:space="preserve">    14.8 </v>
      </c>
      <c r="AD810" t="str">
        <f t="shared" si="238"/>
        <v xml:space="preserve">        </v>
      </c>
      <c r="AE810" t="str">
        <f t="shared" si="228"/>
        <v xml:space="preserve">       </v>
      </c>
      <c r="AF810" t="str">
        <f t="shared" si="240"/>
        <v xml:space="preserve">     </v>
      </c>
      <c r="AG810" t="str">
        <f t="shared" si="240"/>
        <v xml:space="preserve">     0.18 </v>
      </c>
      <c r="AH810" t="str">
        <f t="shared" si="229"/>
        <v xml:space="preserve">     0.10 </v>
      </c>
      <c r="AI810" t="str">
        <f t="shared" si="230"/>
        <v xml:space="preserve">       </v>
      </c>
      <c r="AJ810" t="str">
        <f t="shared" si="231"/>
        <v xml:space="preserve">      </v>
      </c>
    </row>
    <row r="811" spans="1:36" x14ac:dyDescent="0.25">
      <c r="A811" t="s">
        <v>638</v>
      </c>
      <c r="P811" t="str">
        <f t="shared" si="232"/>
        <v xml:space="preserve">                </v>
      </c>
      <c r="Q811" t="str">
        <f t="shared" si="232"/>
        <v xml:space="preserve">         </v>
      </c>
      <c r="R811" t="str">
        <f t="shared" si="225"/>
        <v xml:space="preserve">  9999.0 </v>
      </c>
      <c r="S811" t="str">
        <f t="shared" si="233"/>
        <v xml:space="preserve">  9999.0 </v>
      </c>
      <c r="T811" t="str">
        <f t="shared" si="234"/>
        <v xml:space="preserve">  9999.0 </v>
      </c>
      <c r="U811" t="str">
        <f t="shared" si="238"/>
        <v xml:space="preserve">        0.0% </v>
      </c>
      <c r="V811" t="str">
        <f t="shared" si="226"/>
        <v xml:space="preserve">         </v>
      </c>
      <c r="W811" t="str">
        <f t="shared" si="235"/>
        <v xml:space="preserve">         </v>
      </c>
      <c r="X811" t="str">
        <f t="shared" si="239"/>
        <v xml:space="preserve"> 10211 </v>
      </c>
      <c r="Y811" t="str">
        <f t="shared" si="239"/>
        <v xml:space="preserve"> CERMIS-RS069 </v>
      </c>
      <c r="Z811" t="str">
        <f t="shared" si="239"/>
        <v xml:space="preserve">  1 </v>
      </c>
      <c r="AA811" t="str">
        <f t="shared" si="227"/>
        <v xml:space="preserve">    15.3 </v>
      </c>
      <c r="AB811" t="str">
        <f t="shared" si="236"/>
        <v xml:space="preserve">     6.6 </v>
      </c>
      <c r="AC811" t="str">
        <f t="shared" si="237"/>
        <v xml:space="preserve">    16.6 </v>
      </c>
      <c r="AD811" t="str">
        <f t="shared" si="238"/>
        <v xml:space="preserve">        </v>
      </c>
      <c r="AE811" t="str">
        <f t="shared" si="228"/>
        <v xml:space="preserve">       </v>
      </c>
      <c r="AF811" t="str">
        <f t="shared" si="240"/>
        <v xml:space="preserve">     </v>
      </c>
      <c r="AG811" t="str">
        <f t="shared" si="240"/>
        <v xml:space="preserve">     0.00 </v>
      </c>
      <c r="AH811" t="str">
        <f t="shared" si="229"/>
        <v xml:space="preserve">     0.00 </v>
      </c>
      <c r="AI811" t="str">
        <f t="shared" si="230"/>
        <v xml:space="preserve">       </v>
      </c>
      <c r="AJ811" t="str">
        <f t="shared" si="231"/>
        <v xml:space="preserve">      </v>
      </c>
    </row>
    <row r="812" spans="1:36" x14ac:dyDescent="0.25">
      <c r="A812" t="s">
        <v>639</v>
      </c>
      <c r="P812" t="str">
        <f t="shared" si="232"/>
        <v xml:space="preserve">                </v>
      </c>
      <c r="Q812" t="str">
        <f t="shared" si="232"/>
        <v xml:space="preserve">         </v>
      </c>
      <c r="R812" t="str">
        <f t="shared" si="225"/>
        <v xml:space="preserve">    50.0 </v>
      </c>
      <c r="S812" t="str">
        <f t="shared" si="233"/>
        <v xml:space="preserve">    53.0 </v>
      </c>
      <c r="T812" t="str">
        <f t="shared" si="234"/>
        <v xml:space="preserve">    53.0 </v>
      </c>
      <c r="U812" t="str">
        <f t="shared" si="238"/>
        <v xml:space="preserve">       10.9% </v>
      </c>
      <c r="V812" t="str">
        <f t="shared" si="226"/>
        <v xml:space="preserve">         </v>
      </c>
      <c r="W812" t="str">
        <f t="shared" si="235"/>
        <v xml:space="preserve">         </v>
      </c>
      <c r="X812" t="str">
        <f t="shared" si="239"/>
        <v xml:space="preserve"> 41294 </v>
      </c>
      <c r="Y812" t="str">
        <f t="shared" si="239"/>
        <v xml:space="preserve"> MIS--1-RS000 </v>
      </c>
      <c r="Z812" t="str">
        <f t="shared" si="239"/>
        <v xml:space="preserve">  1 </v>
      </c>
      <c r="AA812" t="str">
        <f t="shared" si="227"/>
        <v xml:space="preserve">    -0.7 </v>
      </c>
      <c r="AB812" t="str">
        <f t="shared" si="236"/>
        <v xml:space="preserve">    -5.4 </v>
      </c>
      <c r="AC812" t="str">
        <f t="shared" si="237"/>
        <v xml:space="preserve">     5.5 </v>
      </c>
      <c r="AD812" t="str">
        <f t="shared" si="238"/>
        <v xml:space="preserve"> 0.984* </v>
      </c>
      <c r="AE812" t="str">
        <f t="shared" si="228"/>
        <v xml:space="preserve">       </v>
      </c>
      <c r="AF812" t="str">
        <f t="shared" si="240"/>
        <v xml:space="preserve"> 002 </v>
      </c>
      <c r="AG812" t="str">
        <f t="shared" si="240"/>
        <v xml:space="preserve">     0.00 </v>
      </c>
      <c r="AH812" t="str">
        <f t="shared" si="229"/>
        <v xml:space="preserve">    -0.01 </v>
      </c>
      <c r="AI812" t="str">
        <f t="shared" si="230"/>
        <v xml:space="preserve">       </v>
      </c>
      <c r="AJ812" t="str">
        <f t="shared" si="231"/>
        <v xml:space="preserve">      </v>
      </c>
    </row>
    <row r="813" spans="1:36" x14ac:dyDescent="0.25">
      <c r="A813" t="s">
        <v>640</v>
      </c>
      <c r="P813" t="str">
        <f t="shared" si="232"/>
        <v xml:space="preserve">                </v>
      </c>
      <c r="Q813" t="str">
        <f t="shared" si="232"/>
        <v xml:space="preserve">         </v>
      </c>
      <c r="R813" t="str">
        <f t="shared" si="225"/>
        <v xml:space="preserve">    50.0 </v>
      </c>
      <c r="S813" t="str">
        <f t="shared" si="233"/>
        <v xml:space="preserve">    53.0 </v>
      </c>
      <c r="T813" t="str">
        <f t="shared" si="234"/>
        <v xml:space="preserve">    53.0 </v>
      </c>
      <c r="U813" t="str">
        <f t="shared" si="238"/>
        <v xml:space="preserve">       10.9% </v>
      </c>
      <c r="V813" t="str">
        <f t="shared" si="226"/>
        <v xml:space="preserve">         </v>
      </c>
      <c r="W813" t="str">
        <f t="shared" si="235"/>
        <v xml:space="preserve">         </v>
      </c>
      <c r="X813" t="str">
        <f t="shared" si="239"/>
        <v xml:space="preserve"> 41295 </v>
      </c>
      <c r="Y813" t="str">
        <f t="shared" si="239"/>
        <v xml:space="preserve"> MIS--2-RS000 </v>
      </c>
      <c r="Z813" t="str">
        <f t="shared" si="239"/>
        <v xml:space="preserve">  2 </v>
      </c>
      <c r="AA813" t="str">
        <f t="shared" si="227"/>
        <v xml:space="preserve">    -0.7 </v>
      </c>
      <c r="AB813" t="str">
        <f t="shared" si="236"/>
        <v xml:space="preserve">    -5.4 </v>
      </c>
      <c r="AC813" t="str">
        <f t="shared" si="237"/>
        <v xml:space="preserve">     5.4 </v>
      </c>
      <c r="AD813" t="str">
        <f t="shared" si="238"/>
        <v xml:space="preserve"> 0.984* </v>
      </c>
      <c r="AE813" t="str">
        <f t="shared" si="228"/>
        <v xml:space="preserve">       </v>
      </c>
      <c r="AF813" t="str">
        <f t="shared" si="240"/>
        <v xml:space="preserve"> 002 </v>
      </c>
      <c r="AG813" t="str">
        <f t="shared" si="240"/>
        <v xml:space="preserve">     0.00 </v>
      </c>
      <c r="AH813" t="str">
        <f t="shared" si="229"/>
        <v xml:space="preserve">    -0.01 </v>
      </c>
      <c r="AI813" t="str">
        <f t="shared" si="230"/>
        <v xml:space="preserve">       </v>
      </c>
      <c r="AJ813" t="str">
        <f t="shared" si="231"/>
        <v xml:space="preserve">      </v>
      </c>
    </row>
    <row r="814" spans="1:36" x14ac:dyDescent="0.25">
      <c r="A814" t="s">
        <v>641</v>
      </c>
      <c r="P814" t="str">
        <f t="shared" si="232"/>
        <v xml:space="preserve">                </v>
      </c>
      <c r="Q814" t="str">
        <f t="shared" si="232"/>
        <v xml:space="preserve">         </v>
      </c>
      <c r="R814" t="str">
        <f t="shared" si="225"/>
        <v xml:space="preserve">    50.0 </v>
      </c>
      <c r="S814" t="str">
        <f t="shared" si="233"/>
        <v xml:space="preserve">    53.0 </v>
      </c>
      <c r="T814" t="str">
        <f t="shared" si="234"/>
        <v xml:space="preserve">    53.0 </v>
      </c>
      <c r="U814" t="str">
        <f t="shared" si="238"/>
        <v xml:space="preserve">       10.8% </v>
      </c>
      <c r="V814" t="str">
        <f t="shared" si="226"/>
        <v xml:space="preserve">         </v>
      </c>
      <c r="W814" t="str">
        <f t="shared" si="235"/>
        <v xml:space="preserve">         </v>
      </c>
      <c r="X814" t="str">
        <f t="shared" si="239"/>
        <v xml:space="preserve"> 41296 </v>
      </c>
      <c r="Y814" t="str">
        <f t="shared" si="239"/>
        <v xml:space="preserve"> MIS-3--RS000 </v>
      </c>
      <c r="Z814" t="str">
        <f t="shared" si="239"/>
        <v xml:space="preserve">  3 </v>
      </c>
      <c r="AA814" t="str">
        <f t="shared" si="227"/>
        <v xml:space="preserve">    -0.7 </v>
      </c>
      <c r="AB814" t="str">
        <f t="shared" si="236"/>
        <v xml:space="preserve">    -5.4 </v>
      </c>
      <c r="AC814" t="str">
        <f t="shared" si="237"/>
        <v xml:space="preserve">     5.4 </v>
      </c>
      <c r="AD814" t="str">
        <f t="shared" si="238"/>
        <v xml:space="preserve"> 0.984* </v>
      </c>
      <c r="AE814" t="str">
        <f t="shared" si="228"/>
        <v xml:space="preserve">       </v>
      </c>
      <c r="AF814" t="str">
        <f t="shared" si="240"/>
        <v xml:space="preserve"> 002 </v>
      </c>
      <c r="AG814" t="str">
        <f t="shared" si="240"/>
        <v xml:space="preserve">     0.00 </v>
      </c>
      <c r="AH814" t="str">
        <f t="shared" si="229"/>
        <v xml:space="preserve">    -0.01 </v>
      </c>
      <c r="AI814" t="str">
        <f t="shared" si="230"/>
        <v xml:space="preserve">       </v>
      </c>
      <c r="AJ814" t="str">
        <f t="shared" si="231"/>
        <v xml:space="preserve">      </v>
      </c>
    </row>
    <row r="815" spans="1:36" x14ac:dyDescent="0.25">
      <c r="A815" t="s">
        <v>14</v>
      </c>
      <c r="P815" t="str">
        <f t="shared" si="232"/>
        <v xml:space="preserve">  ..............</v>
      </c>
      <c r="Q815" t="str">
        <f t="shared" si="232"/>
        <v>.........</v>
      </c>
      <c r="R815" t="str">
        <f t="shared" si="225"/>
        <v>.........</v>
      </c>
      <c r="S815" t="str">
        <f t="shared" si="233"/>
        <v>.........</v>
      </c>
      <c r="T815" t="str">
        <f t="shared" si="234"/>
        <v>.........</v>
      </c>
      <c r="U815" t="str">
        <f t="shared" si="238"/>
        <v>.............</v>
      </c>
      <c r="V815" t="str">
        <f t="shared" si="226"/>
        <v>.........</v>
      </c>
      <c r="W815" t="str">
        <f t="shared" si="235"/>
        <v>.........</v>
      </c>
      <c r="X815" t="str">
        <f t="shared" si="239"/>
        <v>.......</v>
      </c>
      <c r="Y815" t="str">
        <f t="shared" si="239"/>
        <v>..............</v>
      </c>
      <c r="Z815" t="str">
        <f t="shared" si="239"/>
        <v>....</v>
      </c>
      <c r="AA815" t="str">
        <f t="shared" si="227"/>
        <v>.........</v>
      </c>
      <c r="AB815" t="str">
        <f t="shared" si="236"/>
        <v>.........</v>
      </c>
      <c r="AC815" t="str">
        <f t="shared" si="237"/>
        <v>.........</v>
      </c>
      <c r="AD815" t="str">
        <f t="shared" si="238"/>
        <v>........</v>
      </c>
      <c r="AE815" t="str">
        <f t="shared" si="228"/>
        <v>.......</v>
      </c>
      <c r="AF815" t="str">
        <f t="shared" si="240"/>
        <v>.....</v>
      </c>
      <c r="AG815" t="str">
        <f t="shared" si="240"/>
        <v>..........</v>
      </c>
      <c r="AH815" t="str">
        <f t="shared" si="229"/>
        <v>..........</v>
      </c>
      <c r="AI815" t="str">
        <f t="shared" si="230"/>
        <v>.......</v>
      </c>
      <c r="AJ815" t="str">
        <f t="shared" si="231"/>
        <v>.......</v>
      </c>
    </row>
    <row r="816" spans="1:36" x14ac:dyDescent="0.25">
      <c r="A816" t="s">
        <v>642</v>
      </c>
      <c r="P816" t="str">
        <f t="shared" si="232"/>
        <v xml:space="preserve">   2081   69  0 </v>
      </c>
      <c r="Q816" t="str">
        <f t="shared" si="232"/>
        <v xml:space="preserve">   1.047 </v>
      </c>
      <c r="R816" t="str">
        <f t="shared" si="225"/>
        <v xml:space="preserve">     0.0 </v>
      </c>
      <c r="S816" t="str">
        <f t="shared" si="233"/>
        <v xml:space="preserve">     0.0 </v>
      </c>
      <c r="T816" t="str">
        <f t="shared" si="234"/>
        <v xml:space="preserve">     0.0 </v>
      </c>
      <c r="U816" t="str">
        <f t="shared" si="238"/>
        <v xml:space="preserve">         0.0 </v>
      </c>
      <c r="V816" t="str">
        <f t="shared" si="226"/>
        <v xml:space="preserve">     0.0 </v>
      </c>
      <c r="W816" t="str">
        <f t="shared" si="235"/>
        <v xml:space="preserve">     0.0</v>
      </c>
      <c r="X816" t="str">
        <f t="shared" si="239"/>
        <v/>
      </c>
      <c r="Y816" t="str">
        <f t="shared" si="239"/>
        <v/>
      </c>
      <c r="Z816" t="str">
        <f t="shared" si="239"/>
        <v/>
      </c>
      <c r="AA816" t="str">
        <f t="shared" si="227"/>
        <v/>
      </c>
      <c r="AB816" t="str">
        <f t="shared" si="236"/>
        <v/>
      </c>
      <c r="AC816" t="str">
        <f t="shared" si="237"/>
        <v/>
      </c>
      <c r="AD816" t="str">
        <f t="shared" si="238"/>
        <v/>
      </c>
      <c r="AE816" t="str">
        <f t="shared" si="228"/>
        <v/>
      </c>
      <c r="AF816" t="str">
        <f t="shared" si="240"/>
        <v/>
      </c>
      <c r="AG816" t="str">
        <f t="shared" si="240"/>
        <v/>
      </c>
      <c r="AH816" t="str">
        <f t="shared" si="229"/>
        <v/>
      </c>
      <c r="AI816" t="str">
        <f t="shared" si="230"/>
        <v/>
      </c>
      <c r="AJ816" t="str">
        <f t="shared" si="231"/>
        <v/>
      </c>
    </row>
    <row r="817" spans="1:36" x14ac:dyDescent="0.25">
      <c r="A817" t="s">
        <v>643</v>
      </c>
      <c r="P817" t="str">
        <f t="shared" si="232"/>
        <v xml:space="preserve">  LAJEA2-RS069  </v>
      </c>
      <c r="Q817" t="str">
        <f t="shared" si="232"/>
        <v xml:space="preserve">   -55.2 </v>
      </c>
      <c r="R817" t="str">
        <f t="shared" si="225"/>
        <v xml:space="preserve">     0.0 </v>
      </c>
      <c r="S817" t="str">
        <f t="shared" si="233"/>
        <v xml:space="preserve">     0.0 </v>
      </c>
      <c r="T817" t="str">
        <f t="shared" si="234"/>
        <v xml:space="preserve">     0.0 </v>
      </c>
      <c r="U817" t="str">
        <f t="shared" si="238"/>
        <v xml:space="preserve">         0.0 </v>
      </c>
      <c r="V817" t="str">
        <f t="shared" si="226"/>
        <v xml:space="preserve">     0.0 </v>
      </c>
      <c r="W817" t="str">
        <f t="shared" si="235"/>
        <v xml:space="preserve">     0.0 </v>
      </c>
      <c r="X817" t="str">
        <f t="shared" si="239"/>
        <v xml:space="preserve">       </v>
      </c>
      <c r="Y817" t="str">
        <f t="shared" si="239"/>
        <v xml:space="preserve">              </v>
      </c>
      <c r="Z817" t="str">
        <f t="shared" si="239"/>
        <v xml:space="preserve">    </v>
      </c>
      <c r="AA817" t="str">
        <f t="shared" si="227"/>
        <v xml:space="preserve">         </v>
      </c>
      <c r="AB817" t="str">
        <f t="shared" si="236"/>
        <v xml:space="preserve">         </v>
      </c>
      <c r="AC817" t="str">
        <f t="shared" si="237"/>
        <v xml:space="preserve">    </v>
      </c>
      <c r="AD817" t="str">
        <f t="shared" si="238"/>
        <v/>
      </c>
      <c r="AE817" t="str">
        <f t="shared" si="228"/>
        <v/>
      </c>
      <c r="AF817" t="str">
        <f t="shared" si="240"/>
        <v/>
      </c>
      <c r="AG817" t="str">
        <f t="shared" si="240"/>
        <v/>
      </c>
      <c r="AH817" t="str">
        <f t="shared" si="229"/>
        <v/>
      </c>
      <c r="AI817" t="str">
        <f t="shared" si="230"/>
        <v/>
      </c>
      <c r="AJ817" t="str">
        <f t="shared" si="231"/>
        <v/>
      </c>
    </row>
    <row r="818" spans="1:36" x14ac:dyDescent="0.25">
      <c r="A818" t="s">
        <v>644</v>
      </c>
      <c r="P818" t="str">
        <f t="shared" si="232"/>
        <v xml:space="preserve">                </v>
      </c>
      <c r="Q818" t="str">
        <f t="shared" si="232"/>
        <v xml:space="preserve">         </v>
      </c>
      <c r="R818" t="str">
        <f t="shared" si="225"/>
        <v xml:space="preserve">    25.0 </v>
      </c>
      <c r="S818" t="str">
        <f t="shared" si="233"/>
        <v xml:space="preserve">    37.0 </v>
      </c>
      <c r="T818" t="str">
        <f t="shared" si="234"/>
        <v xml:space="preserve">    37.0 </v>
      </c>
      <c r="U818" t="str">
        <f t="shared" si="238"/>
        <v xml:space="preserve">       63.5% </v>
      </c>
      <c r="V818" t="str">
        <f t="shared" si="226"/>
        <v xml:space="preserve">         </v>
      </c>
      <c r="W818" t="str">
        <f t="shared" si="235"/>
        <v xml:space="preserve">         </v>
      </c>
      <c r="X818" t="str">
        <f t="shared" si="239"/>
        <v xml:space="preserve">  2083 </v>
      </c>
      <c r="Y818" t="str">
        <f t="shared" si="239"/>
        <v xml:space="preserve"> LAJE2A-RS013 </v>
      </c>
      <c r="Z818" t="str">
        <f t="shared" si="239"/>
        <v xml:space="preserve">  4 </v>
      </c>
      <c r="AA818" t="str">
        <f t="shared" si="227"/>
        <v xml:space="preserve">    15.6 </v>
      </c>
      <c r="AB818" t="str">
        <f t="shared" si="236"/>
        <v xml:space="preserve">     5.7 </v>
      </c>
      <c r="AC818" t="str">
        <f t="shared" si="237"/>
        <v xml:space="preserve">    15.9 </v>
      </c>
      <c r="AD818" t="str">
        <f t="shared" si="238"/>
        <v xml:space="preserve"> 0.982* </v>
      </c>
      <c r="AE818" t="str">
        <f t="shared" si="228"/>
        <v xml:space="preserve">       </v>
      </c>
      <c r="AF818" t="str">
        <f t="shared" si="240"/>
        <v xml:space="preserve">     </v>
      </c>
      <c r="AG818" t="str">
        <f t="shared" si="240"/>
        <v xml:space="preserve">     0.00 </v>
      </c>
      <c r="AH818" t="str">
        <f t="shared" si="229"/>
        <v xml:space="preserve">     0.91 </v>
      </c>
      <c r="AI818" t="str">
        <f t="shared" si="230"/>
        <v xml:space="preserve">       </v>
      </c>
      <c r="AJ818" t="str">
        <f t="shared" si="231"/>
        <v xml:space="preserve">      </v>
      </c>
    </row>
    <row r="819" spans="1:36" x14ac:dyDescent="0.25">
      <c r="A819" t="s">
        <v>645</v>
      </c>
      <c r="P819" t="str">
        <f t="shared" si="232"/>
        <v xml:space="preserve">                </v>
      </c>
      <c r="Q819" t="str">
        <f t="shared" si="232"/>
        <v xml:space="preserve">         </v>
      </c>
      <c r="R819" t="str">
        <f t="shared" si="225"/>
        <v xml:space="preserve">    30.0 </v>
      </c>
      <c r="S819" t="str">
        <f t="shared" si="233"/>
        <v xml:space="preserve">    48.0 </v>
      </c>
      <c r="T819" t="str">
        <f t="shared" si="234"/>
        <v xml:space="preserve">    48.0 </v>
      </c>
      <c r="U819" t="str">
        <f t="shared" si="238"/>
        <v xml:space="preserve">       41.6% </v>
      </c>
      <c r="V819" t="str">
        <f t="shared" si="226"/>
        <v xml:space="preserve">         </v>
      </c>
      <c r="W819" t="str">
        <f t="shared" si="235"/>
        <v xml:space="preserve">         </v>
      </c>
      <c r="X819" t="str">
        <f t="shared" si="239"/>
        <v xml:space="preserve">  9715 </v>
      </c>
      <c r="Y819" t="str">
        <f t="shared" si="239"/>
        <v xml:space="preserve"> PERDIG-RS069 </v>
      </c>
      <c r="Z819" t="str">
        <f t="shared" si="239"/>
        <v xml:space="preserve">  1 </v>
      </c>
      <c r="AA819" t="str">
        <f t="shared" si="227"/>
        <v xml:space="preserve">    12.2 </v>
      </c>
      <c r="AB819" t="str">
        <f t="shared" si="236"/>
        <v xml:space="preserve">     4.7 </v>
      </c>
      <c r="AC819" t="str">
        <f t="shared" si="237"/>
        <v xml:space="preserve">    12.5 </v>
      </c>
      <c r="AD819" t="str">
        <f t="shared" si="238"/>
        <v xml:space="preserve">        </v>
      </c>
      <c r="AE819" t="str">
        <f t="shared" si="228"/>
        <v xml:space="preserve">       </v>
      </c>
      <c r="AF819" t="str">
        <f t="shared" si="240"/>
        <v xml:space="preserve">     </v>
      </c>
      <c r="AG819" t="str">
        <f t="shared" si="240"/>
        <v xml:space="preserve">     0.01 </v>
      </c>
      <c r="AH819" t="str">
        <f t="shared" si="229"/>
        <v xml:space="preserve">     0.00 </v>
      </c>
      <c r="AI819" t="str">
        <f t="shared" si="230"/>
        <v xml:space="preserve">       </v>
      </c>
      <c r="AJ819" t="str">
        <f t="shared" si="231"/>
        <v xml:space="preserve">      </v>
      </c>
    </row>
    <row r="820" spans="1:36" x14ac:dyDescent="0.25">
      <c r="A820" t="s">
        <v>646</v>
      </c>
      <c r="P820" t="str">
        <f t="shared" si="232"/>
        <v xml:space="preserve">                </v>
      </c>
      <c r="Q820" t="str">
        <f t="shared" si="232"/>
        <v xml:space="preserve">         </v>
      </c>
      <c r="R820" t="str">
        <f t="shared" si="225"/>
        <v xml:space="preserve">    84.0 </v>
      </c>
      <c r="S820" t="str">
        <f t="shared" si="233"/>
        <v xml:space="preserve">   101.0 </v>
      </c>
      <c r="T820" t="str">
        <f t="shared" si="234"/>
        <v xml:space="preserve">   101.0 </v>
      </c>
      <c r="U820" t="str">
        <f t="shared" si="238"/>
        <v xml:space="preserve">        7.7% </v>
      </c>
      <c r="V820" t="str">
        <f t="shared" si="226"/>
        <v xml:space="preserve">         </v>
      </c>
      <c r="W820" t="str">
        <f t="shared" si="235"/>
        <v xml:space="preserve">         </v>
      </c>
      <c r="X820" t="str">
        <f t="shared" si="239"/>
        <v xml:space="preserve">  9781 </v>
      </c>
      <c r="Y820" t="str">
        <f t="shared" si="239"/>
        <v xml:space="preserve"> LAJEA1-RS069 </v>
      </c>
      <c r="Z820" t="str">
        <f t="shared" si="239"/>
        <v xml:space="preserve">  1 </v>
      </c>
      <c r="AA820" t="str">
        <f t="shared" si="227"/>
        <v xml:space="preserve">     6.8 </v>
      </c>
      <c r="AB820" t="str">
        <f t="shared" si="236"/>
        <v xml:space="preserve">     0.9 </v>
      </c>
      <c r="AC820" t="str">
        <f t="shared" si="237"/>
        <v xml:space="preserve">     6.5 </v>
      </c>
      <c r="AD820" t="str">
        <f t="shared" si="238"/>
        <v xml:space="preserve">        </v>
      </c>
      <c r="AE820" t="str">
        <f t="shared" si="228"/>
        <v xml:space="preserve">       </v>
      </c>
      <c r="AF820" t="str">
        <f t="shared" si="240"/>
        <v xml:space="preserve">     </v>
      </c>
      <c r="AG820" t="str">
        <f t="shared" si="240"/>
        <v xml:space="preserve">     0.00 </v>
      </c>
      <c r="AH820" t="str">
        <f t="shared" si="229"/>
        <v xml:space="preserve">    -0.06 </v>
      </c>
      <c r="AI820" t="str">
        <f t="shared" si="230"/>
        <v xml:space="preserve">       </v>
      </c>
      <c r="AJ820" t="str">
        <f t="shared" si="231"/>
        <v xml:space="preserve">      </v>
      </c>
    </row>
    <row r="821" spans="1:36" x14ac:dyDescent="0.25">
      <c r="A821" t="s">
        <v>647</v>
      </c>
      <c r="P821" t="str">
        <f t="shared" si="232"/>
        <v xml:space="preserve">                </v>
      </c>
      <c r="Q821" t="str">
        <f t="shared" si="232"/>
        <v xml:space="preserve">         </v>
      </c>
      <c r="R821" t="str">
        <f t="shared" si="225"/>
        <v xml:space="preserve">    84.0 </v>
      </c>
      <c r="S821" t="str">
        <f t="shared" si="233"/>
        <v xml:space="preserve">   101.0 </v>
      </c>
      <c r="T821" t="str">
        <f t="shared" si="234"/>
        <v xml:space="preserve">   101.0 </v>
      </c>
      <c r="U821" t="str">
        <f t="shared" si="238"/>
        <v xml:space="preserve">        7.7% </v>
      </c>
      <c r="V821" t="str">
        <f t="shared" si="226"/>
        <v xml:space="preserve">         </v>
      </c>
      <c r="W821" t="str">
        <f t="shared" si="235"/>
        <v xml:space="preserve">         </v>
      </c>
      <c r="X821" t="str">
        <f t="shared" si="239"/>
        <v xml:space="preserve">  9781 </v>
      </c>
      <c r="Y821" t="str">
        <f t="shared" si="239"/>
        <v xml:space="preserve"> LAJEA1-RS069 </v>
      </c>
      <c r="Z821" t="str">
        <f t="shared" si="239"/>
        <v xml:space="preserve">  2 </v>
      </c>
      <c r="AA821" t="str">
        <f t="shared" si="227"/>
        <v xml:space="preserve">     6.8 </v>
      </c>
      <c r="AB821" t="str">
        <f t="shared" si="236"/>
        <v xml:space="preserve">     0.9 </v>
      </c>
      <c r="AC821" t="str">
        <f t="shared" si="237"/>
        <v xml:space="preserve">     6.5 </v>
      </c>
      <c r="AD821" t="str">
        <f t="shared" si="238"/>
        <v xml:space="preserve">        </v>
      </c>
      <c r="AE821" t="str">
        <f t="shared" si="228"/>
        <v xml:space="preserve">       </v>
      </c>
      <c r="AF821" t="str">
        <f t="shared" si="240"/>
        <v xml:space="preserve">     </v>
      </c>
      <c r="AG821" t="str">
        <f t="shared" si="240"/>
        <v xml:space="preserve">     0.00 </v>
      </c>
      <c r="AH821" t="str">
        <f t="shared" si="229"/>
        <v xml:space="preserve">    -0.06 </v>
      </c>
      <c r="AI821" t="str">
        <f t="shared" si="230"/>
        <v xml:space="preserve">       </v>
      </c>
      <c r="AJ821" t="str">
        <f t="shared" si="231"/>
        <v xml:space="preserve">      </v>
      </c>
    </row>
    <row r="822" spans="1:36" x14ac:dyDescent="0.25">
      <c r="A822" t="s">
        <v>648</v>
      </c>
      <c r="P822" t="str">
        <f t="shared" si="232"/>
        <v xml:space="preserve">                </v>
      </c>
      <c r="Q822" t="str">
        <f t="shared" si="232"/>
        <v xml:space="preserve">         </v>
      </c>
      <c r="R822" t="str">
        <f t="shared" si="225"/>
        <v xml:space="preserve">    67.0 </v>
      </c>
      <c r="S822" t="str">
        <f t="shared" si="233"/>
        <v xml:space="preserve">    81.0 </v>
      </c>
      <c r="T822" t="str">
        <f t="shared" si="234"/>
        <v xml:space="preserve">    81.0 </v>
      </c>
      <c r="U822" t="str">
        <f t="shared" si="238"/>
        <v xml:space="preserve">       89.9% </v>
      </c>
      <c r="V822" t="str">
        <f t="shared" si="226"/>
        <v xml:space="preserve">         </v>
      </c>
      <c r="W822" t="str">
        <f t="shared" si="235"/>
        <v xml:space="preserve">         </v>
      </c>
      <c r="X822" t="str">
        <f t="shared" si="239"/>
        <v xml:space="preserve">  9797 </v>
      </c>
      <c r="Y822" t="str">
        <f t="shared" si="239"/>
        <v xml:space="preserve"> ARMEIO-RS069 </v>
      </c>
      <c r="Z822" t="str">
        <f t="shared" si="239"/>
        <v xml:space="preserve">  1 </v>
      </c>
      <c r="AA822" t="str">
        <f t="shared" si="227"/>
        <v xml:space="preserve">    62.0 </v>
      </c>
      <c r="AB822" t="str">
        <f t="shared" si="236"/>
        <v xml:space="preserve">    11.7 </v>
      </c>
      <c r="AC822" t="str">
        <f t="shared" si="237"/>
        <v xml:space="preserve">    60.2 </v>
      </c>
      <c r="AD822" t="str">
        <f t="shared" si="238"/>
        <v xml:space="preserve">        </v>
      </c>
      <c r="AE822" t="str">
        <f t="shared" si="228"/>
        <v xml:space="preserve">       </v>
      </c>
      <c r="AF822" t="str">
        <f t="shared" si="240"/>
        <v xml:space="preserve">     </v>
      </c>
      <c r="AG822" t="str">
        <f t="shared" si="240"/>
        <v xml:space="preserve">     1.02 </v>
      </c>
      <c r="AH822" t="str">
        <f t="shared" si="229"/>
        <v xml:space="preserve">     2.12 </v>
      </c>
      <c r="AI822" t="str">
        <f t="shared" si="230"/>
        <v xml:space="preserve">       </v>
      </c>
      <c r="AJ822" t="str">
        <f t="shared" si="231"/>
        <v xml:space="preserve">      </v>
      </c>
    </row>
    <row r="823" spans="1:36" x14ac:dyDescent="0.25">
      <c r="A823" t="s">
        <v>649</v>
      </c>
      <c r="P823" t="str">
        <f t="shared" si="232"/>
        <v xml:space="preserve">                </v>
      </c>
      <c r="Q823" t="str">
        <f t="shared" si="232"/>
        <v xml:space="preserve">         </v>
      </c>
      <c r="R823" t="str">
        <f t="shared" si="225"/>
        <v xml:space="preserve">    25.0 </v>
      </c>
      <c r="S823" t="str">
        <f t="shared" si="233"/>
        <v xml:space="preserve">    37.0 </v>
      </c>
      <c r="T823" t="str">
        <f t="shared" si="234"/>
        <v xml:space="preserve">    37.0 </v>
      </c>
      <c r="U823" t="str">
        <f t="shared" si="238"/>
        <v xml:space="preserve">       76.5% </v>
      </c>
      <c r="V823" t="str">
        <f t="shared" si="226"/>
        <v xml:space="preserve">         </v>
      </c>
      <c r="W823" t="str">
        <f t="shared" si="235"/>
        <v xml:space="preserve">         </v>
      </c>
      <c r="X823" t="str">
        <f t="shared" si="239"/>
        <v xml:space="preserve"> 10142 </v>
      </c>
      <c r="Y823" t="str">
        <f t="shared" si="239"/>
        <v xml:space="preserve"> LAJE2B-RS013 </v>
      </c>
      <c r="Z823" t="str">
        <f t="shared" si="239"/>
        <v xml:space="preserve">  5 </v>
      </c>
      <c r="AA823" t="str">
        <f t="shared" si="227"/>
        <v xml:space="preserve">    18.6 </v>
      </c>
      <c r="AB823" t="str">
        <f t="shared" si="236"/>
        <v xml:space="preserve">     7.4 </v>
      </c>
      <c r="AC823" t="str">
        <f t="shared" si="237"/>
        <v xml:space="preserve">    19.1 </v>
      </c>
      <c r="AD823" t="str">
        <f t="shared" si="238"/>
        <v xml:space="preserve"> 0.981* </v>
      </c>
      <c r="AE823" t="str">
        <f t="shared" si="228"/>
        <v xml:space="preserve">       </v>
      </c>
      <c r="AF823" t="str">
        <f t="shared" si="240"/>
        <v xml:space="preserve">     </v>
      </c>
      <c r="AG823" t="str">
        <f t="shared" si="240"/>
        <v xml:space="preserve">     0.00 </v>
      </c>
      <c r="AH823" t="str">
        <f t="shared" si="229"/>
        <v xml:space="preserve">     1.32 </v>
      </c>
      <c r="AI823" t="str">
        <f t="shared" si="230"/>
        <v xml:space="preserve">       </v>
      </c>
      <c r="AJ823" t="str">
        <f t="shared" si="231"/>
        <v xml:space="preserve">      </v>
      </c>
    </row>
    <row r="824" spans="1:36" x14ac:dyDescent="0.25">
      <c r="A824" t="s">
        <v>650</v>
      </c>
      <c r="P824" t="str">
        <f t="shared" si="232"/>
        <v xml:space="preserve">                </v>
      </c>
      <c r="Q824" t="str">
        <f t="shared" si="232"/>
        <v xml:space="preserve">         </v>
      </c>
      <c r="R824" t="str">
        <f t="shared" si="225"/>
        <v xml:space="preserve">    83.0 </v>
      </c>
      <c r="S824" t="str">
        <f t="shared" si="233"/>
        <v xml:space="preserve">   125.0 </v>
      </c>
      <c r="T824" t="str">
        <f t="shared" si="234"/>
        <v xml:space="preserve">   125.0 </v>
      </c>
      <c r="U824" t="str">
        <f t="shared" si="238"/>
        <v xml:space="preserve">       48.1% </v>
      </c>
      <c r="V824" t="str">
        <f t="shared" si="226"/>
        <v xml:space="preserve">         </v>
      </c>
      <c r="W824" t="str">
        <f t="shared" si="235"/>
        <v xml:space="preserve">         </v>
      </c>
      <c r="X824" t="str">
        <f t="shared" si="239"/>
        <v xml:space="preserve"> 41282 </v>
      </c>
      <c r="Y824" t="str">
        <f t="shared" si="239"/>
        <v xml:space="preserve"> LAJ2-1-RS000 </v>
      </c>
      <c r="Z824" t="str">
        <f t="shared" si="239"/>
        <v xml:space="preserve">  1 </v>
      </c>
      <c r="AA824" t="str">
        <f t="shared" si="227"/>
        <v xml:space="preserve">   -40.5 </v>
      </c>
      <c r="AB824" t="str">
        <f t="shared" si="236"/>
        <v xml:space="preserve">   -10.4 </v>
      </c>
      <c r="AC824" t="str">
        <f t="shared" si="237"/>
        <v xml:space="preserve">    40.0 </v>
      </c>
      <c r="AD824" t="str">
        <f t="shared" si="238"/>
        <v xml:space="preserve"> 1.000F </v>
      </c>
      <c r="AE824" t="str">
        <f t="shared" si="228"/>
        <v xml:space="preserve">       </v>
      </c>
      <c r="AF824" t="str">
        <f t="shared" si="240"/>
        <v xml:space="preserve"> 002 </v>
      </c>
      <c r="AG824" t="str">
        <f t="shared" si="240"/>
        <v xml:space="preserve">     0.03 </v>
      </c>
      <c r="AH824" t="str">
        <f t="shared" si="229"/>
        <v xml:space="preserve">    -0.14 </v>
      </c>
      <c r="AI824" t="str">
        <f t="shared" si="230"/>
        <v xml:space="preserve">       </v>
      </c>
      <c r="AJ824" t="str">
        <f t="shared" si="231"/>
        <v xml:space="preserve">      </v>
      </c>
    </row>
    <row r="825" spans="1:36" x14ac:dyDescent="0.25">
      <c r="A825" t="s">
        <v>651</v>
      </c>
      <c r="P825" t="str">
        <f t="shared" si="232"/>
        <v xml:space="preserve">                </v>
      </c>
      <c r="Q825" t="str">
        <f t="shared" si="232"/>
        <v xml:space="preserve">         </v>
      </c>
      <c r="R825" t="str">
        <f t="shared" si="225"/>
        <v xml:space="preserve">    83.0 </v>
      </c>
      <c r="S825" t="str">
        <f t="shared" si="233"/>
        <v xml:space="preserve">   125.0 </v>
      </c>
      <c r="T825" t="str">
        <f t="shared" si="234"/>
        <v xml:space="preserve">   125.0 </v>
      </c>
      <c r="U825" t="str">
        <f t="shared" si="238"/>
        <v xml:space="preserve">       47.6% </v>
      </c>
      <c r="V825" t="str">
        <f t="shared" si="226"/>
        <v xml:space="preserve">         </v>
      </c>
      <c r="W825" t="str">
        <f t="shared" si="235"/>
        <v xml:space="preserve">         </v>
      </c>
      <c r="X825" t="str">
        <f t="shared" si="239"/>
        <v xml:space="preserve"> 41283 </v>
      </c>
      <c r="Y825" t="str">
        <f t="shared" si="239"/>
        <v xml:space="preserve"> LAJ2-2-RS000 </v>
      </c>
      <c r="Z825" t="str">
        <f t="shared" si="239"/>
        <v xml:space="preserve">  2 </v>
      </c>
      <c r="AA825" t="str">
        <f t="shared" si="227"/>
        <v xml:space="preserve">   -40.1 </v>
      </c>
      <c r="AB825" t="str">
        <f t="shared" si="236"/>
        <v xml:space="preserve">   -10.3 </v>
      </c>
      <c r="AC825" t="str">
        <f t="shared" si="237"/>
        <v xml:space="preserve">    39.5 </v>
      </c>
      <c r="AD825" t="str">
        <f t="shared" si="238"/>
        <v xml:space="preserve"> 1.000F </v>
      </c>
      <c r="AE825" t="str">
        <f t="shared" si="228"/>
        <v xml:space="preserve">       </v>
      </c>
      <c r="AF825" t="str">
        <f t="shared" si="240"/>
        <v xml:space="preserve"> 002 </v>
      </c>
      <c r="AG825" t="str">
        <f t="shared" si="240"/>
        <v xml:space="preserve">     0.02 </v>
      </c>
      <c r="AH825" t="str">
        <f t="shared" si="229"/>
        <v xml:space="preserve">    -0.13 </v>
      </c>
      <c r="AI825" t="str">
        <f t="shared" si="230"/>
        <v xml:space="preserve">       </v>
      </c>
      <c r="AJ825" t="str">
        <f t="shared" si="231"/>
        <v xml:space="preserve">      </v>
      </c>
    </row>
    <row r="826" spans="1:36" x14ac:dyDescent="0.25">
      <c r="A826" t="s">
        <v>652</v>
      </c>
      <c r="P826" t="str">
        <f t="shared" si="232"/>
        <v xml:space="preserve">                </v>
      </c>
      <c r="Q826" t="str">
        <f t="shared" si="232"/>
        <v xml:space="preserve">         </v>
      </c>
      <c r="R826" t="str">
        <f t="shared" si="225"/>
        <v xml:space="preserve">    83.0 </v>
      </c>
      <c r="S826" t="str">
        <f t="shared" si="233"/>
        <v xml:space="preserve">    83.0 </v>
      </c>
      <c r="T826" t="str">
        <f t="shared" si="234"/>
        <v xml:space="preserve">    83.0 </v>
      </c>
      <c r="U826" t="str">
        <f t="shared" si="238"/>
        <v xml:space="preserve">       49.0% </v>
      </c>
      <c r="V826" t="str">
        <f t="shared" si="226"/>
        <v xml:space="preserve">         </v>
      </c>
      <c r="W826" t="str">
        <f t="shared" si="235"/>
        <v xml:space="preserve">         </v>
      </c>
      <c r="X826" t="str">
        <f t="shared" si="239"/>
        <v xml:space="preserve"> 41284 </v>
      </c>
      <c r="Y826" t="str">
        <f t="shared" si="239"/>
        <v xml:space="preserve"> LAJ2-3-RS000 </v>
      </c>
      <c r="Z826" t="str">
        <f t="shared" si="239"/>
        <v xml:space="preserve">  3 </v>
      </c>
      <c r="AA826" t="str">
        <f t="shared" si="227"/>
        <v xml:space="preserve">   -41.3 </v>
      </c>
      <c r="AB826" t="str">
        <f t="shared" si="236"/>
        <v xml:space="preserve">   -10.6 </v>
      </c>
      <c r="AC826" t="str">
        <f t="shared" si="237"/>
        <v xml:space="preserve">    40.7 </v>
      </c>
      <c r="AD826" t="str">
        <f t="shared" si="238"/>
        <v xml:space="preserve"> 1.000F </v>
      </c>
      <c r="AE826" t="str">
        <f t="shared" si="228"/>
        <v xml:space="preserve">       </v>
      </c>
      <c r="AF826" t="str">
        <f t="shared" si="240"/>
        <v xml:space="preserve"> 002 </v>
      </c>
      <c r="AG826" t="str">
        <f t="shared" si="240"/>
        <v xml:space="preserve">     0.03 </v>
      </c>
      <c r="AH826" t="str">
        <f t="shared" si="229"/>
        <v xml:space="preserve">    -0.13 </v>
      </c>
      <c r="AI826" t="str">
        <f t="shared" si="230"/>
        <v xml:space="preserve">       </v>
      </c>
      <c r="AJ826" t="str">
        <f t="shared" si="231"/>
        <v xml:space="preserve">      </v>
      </c>
    </row>
    <row r="827" spans="1:36" x14ac:dyDescent="0.25">
      <c r="A827" t="s">
        <v>14</v>
      </c>
      <c r="P827" t="str">
        <f t="shared" si="232"/>
        <v xml:space="preserve">  ..............</v>
      </c>
      <c r="Q827" t="str">
        <f t="shared" si="232"/>
        <v>.........</v>
      </c>
      <c r="R827" t="str">
        <f t="shared" si="225"/>
        <v>.........</v>
      </c>
      <c r="S827" t="str">
        <f t="shared" si="233"/>
        <v>.........</v>
      </c>
      <c r="T827" t="str">
        <f t="shared" si="234"/>
        <v>.........</v>
      </c>
      <c r="U827" t="str">
        <f t="shared" si="238"/>
        <v>.............</v>
      </c>
      <c r="V827" t="str">
        <f t="shared" si="226"/>
        <v>.........</v>
      </c>
      <c r="W827" t="str">
        <f t="shared" si="235"/>
        <v>.........</v>
      </c>
      <c r="X827" t="str">
        <f t="shared" si="239"/>
        <v>.......</v>
      </c>
      <c r="Y827" t="str">
        <f t="shared" si="239"/>
        <v>..............</v>
      </c>
      <c r="Z827" t="str">
        <f t="shared" si="239"/>
        <v>....</v>
      </c>
      <c r="AA827" t="str">
        <f t="shared" si="227"/>
        <v>.........</v>
      </c>
      <c r="AB827" t="str">
        <f t="shared" si="236"/>
        <v>.........</v>
      </c>
      <c r="AC827" t="str">
        <f t="shared" si="237"/>
        <v>.........</v>
      </c>
      <c r="AD827" t="str">
        <f t="shared" si="238"/>
        <v>........</v>
      </c>
      <c r="AE827" t="str">
        <f t="shared" si="228"/>
        <v>.......</v>
      </c>
      <c r="AF827" t="str">
        <f t="shared" si="240"/>
        <v>.....</v>
      </c>
      <c r="AG827" t="str">
        <f t="shared" si="240"/>
        <v>..........</v>
      </c>
      <c r="AH827" t="str">
        <f t="shared" si="229"/>
        <v>..........</v>
      </c>
      <c r="AI827" t="str">
        <f t="shared" si="230"/>
        <v>.......</v>
      </c>
      <c r="AJ827" t="str">
        <f t="shared" si="231"/>
        <v>.......</v>
      </c>
    </row>
    <row r="828" spans="1:36" x14ac:dyDescent="0.25">
      <c r="A828" t="s">
        <v>653</v>
      </c>
      <c r="P828" t="str">
        <f t="shared" si="232"/>
        <v xml:space="preserve">   2083   14  0 </v>
      </c>
      <c r="Q828" t="str">
        <f t="shared" si="232"/>
        <v xml:space="preserve">   1.048 </v>
      </c>
      <c r="R828" t="str">
        <f t="shared" si="225"/>
        <v xml:space="preserve">     2.3 </v>
      </c>
      <c r="S828" t="str">
        <f t="shared" si="233"/>
        <v xml:space="preserve">     0.0 </v>
      </c>
      <c r="T828" t="str">
        <f t="shared" si="234"/>
        <v xml:space="preserve">    17.9 </v>
      </c>
      <c r="U828" t="str">
        <f t="shared" si="238"/>
        <v xml:space="preserve">         0.0 </v>
      </c>
      <c r="V828" t="str">
        <f t="shared" si="226"/>
        <v xml:space="preserve">     0.0 </v>
      </c>
      <c r="W828" t="str">
        <f t="shared" si="235"/>
        <v xml:space="preserve">     0.0</v>
      </c>
      <c r="X828" t="str">
        <f t="shared" si="239"/>
        <v/>
      </c>
      <c r="Y828" t="str">
        <f t="shared" si="239"/>
        <v/>
      </c>
      <c r="Z828" t="str">
        <f t="shared" si="239"/>
        <v/>
      </c>
      <c r="AA828" t="str">
        <f t="shared" si="227"/>
        <v/>
      </c>
      <c r="AB828" t="str">
        <f t="shared" si="236"/>
        <v/>
      </c>
      <c r="AC828" t="str">
        <f t="shared" si="237"/>
        <v/>
      </c>
      <c r="AD828" t="str">
        <f t="shared" si="238"/>
        <v/>
      </c>
      <c r="AE828" t="str">
        <f t="shared" si="228"/>
        <v/>
      </c>
      <c r="AF828" t="str">
        <f t="shared" si="240"/>
        <v/>
      </c>
      <c r="AG828" t="str">
        <f t="shared" si="240"/>
        <v/>
      </c>
      <c r="AH828" t="str">
        <f t="shared" si="229"/>
        <v/>
      </c>
      <c r="AI828" t="str">
        <f t="shared" si="230"/>
        <v/>
      </c>
      <c r="AJ828" t="str">
        <f t="shared" si="231"/>
        <v/>
      </c>
    </row>
    <row r="829" spans="1:36" x14ac:dyDescent="0.25">
      <c r="A829" t="s">
        <v>654</v>
      </c>
      <c r="P829" t="str">
        <f t="shared" si="232"/>
        <v xml:space="preserve">  LAJE2A-RS013  </v>
      </c>
      <c r="Q829" t="str">
        <f t="shared" si="232"/>
        <v xml:space="preserve">   -58.2 </v>
      </c>
      <c r="R829" t="str">
        <f t="shared" si="225"/>
        <v xml:space="preserve">     0.0 </v>
      </c>
      <c r="S829" t="str">
        <f t="shared" si="233"/>
        <v xml:space="preserve">     0.0 </v>
      </c>
      <c r="T829" t="str">
        <f t="shared" si="234"/>
        <v xml:space="preserve">     4.8 </v>
      </c>
      <c r="U829" t="str">
        <f t="shared" si="238"/>
        <v xml:space="preserve">         0.0 </v>
      </c>
      <c r="V829" t="str">
        <f t="shared" si="226"/>
        <v xml:space="preserve">     0.0 </v>
      </c>
      <c r="W829" t="str">
        <f t="shared" si="235"/>
        <v xml:space="preserve">     0.0 </v>
      </c>
      <c r="X829" t="str">
        <f t="shared" si="239"/>
        <v xml:space="preserve">       </v>
      </c>
      <c r="Y829" t="str">
        <f t="shared" si="239"/>
        <v xml:space="preserve">              </v>
      </c>
      <c r="Z829" t="str">
        <f t="shared" si="239"/>
        <v xml:space="preserve">    </v>
      </c>
      <c r="AA829" t="str">
        <f t="shared" si="227"/>
        <v xml:space="preserve">         </v>
      </c>
      <c r="AB829" t="str">
        <f t="shared" si="236"/>
        <v xml:space="preserve">         </v>
      </c>
      <c r="AC829" t="str">
        <f t="shared" si="237"/>
        <v xml:space="preserve">    </v>
      </c>
      <c r="AD829" t="str">
        <f t="shared" si="238"/>
        <v/>
      </c>
      <c r="AE829" t="str">
        <f t="shared" si="228"/>
        <v/>
      </c>
      <c r="AF829" t="str">
        <f t="shared" si="240"/>
        <v/>
      </c>
      <c r="AG829" t="str">
        <f t="shared" si="240"/>
        <v/>
      </c>
      <c r="AH829" t="str">
        <f t="shared" si="229"/>
        <v/>
      </c>
      <c r="AI829" t="str">
        <f t="shared" si="230"/>
        <v/>
      </c>
      <c r="AJ829" t="str">
        <f t="shared" si="231"/>
        <v/>
      </c>
    </row>
    <row r="830" spans="1:36" x14ac:dyDescent="0.25">
      <c r="A830" t="s">
        <v>655</v>
      </c>
      <c r="P830" t="str">
        <f t="shared" si="232"/>
        <v xml:space="preserve">                </v>
      </c>
      <c r="Q830" t="str">
        <f t="shared" si="232"/>
        <v xml:space="preserve">         </v>
      </c>
      <c r="R830" t="str">
        <f t="shared" si="225"/>
        <v xml:space="preserve">    25.0 </v>
      </c>
      <c r="S830" t="str">
        <f t="shared" si="233"/>
        <v xml:space="preserve">    37.0 </v>
      </c>
      <c r="T830" t="str">
        <f t="shared" si="234"/>
        <v xml:space="preserve">    37.0 </v>
      </c>
      <c r="U830" t="str">
        <f t="shared" si="238"/>
        <v xml:space="preserve">       62.3% </v>
      </c>
      <c r="V830" t="str">
        <f t="shared" si="226"/>
        <v xml:space="preserve">         </v>
      </c>
      <c r="W830" t="str">
        <f t="shared" si="235"/>
        <v xml:space="preserve">         </v>
      </c>
      <c r="X830" t="str">
        <f t="shared" si="239"/>
        <v xml:space="preserve">  2081 </v>
      </c>
      <c r="Y830" t="str">
        <f t="shared" si="239"/>
        <v xml:space="preserve"> LAJEA2-RS069 </v>
      </c>
      <c r="Z830" t="str">
        <f t="shared" si="239"/>
        <v xml:space="preserve">  4 </v>
      </c>
      <c r="AA830" t="str">
        <f t="shared" si="227"/>
        <v xml:space="preserve">   -15.6 </v>
      </c>
      <c r="AB830" t="str">
        <f t="shared" si="236"/>
        <v xml:space="preserve">    -4.8 </v>
      </c>
      <c r="AC830" t="str">
        <f t="shared" si="237"/>
        <v xml:space="preserve">    15.6 </v>
      </c>
      <c r="AD830" t="str">
        <f t="shared" si="238"/>
        <v xml:space="preserve">        </v>
      </c>
      <c r="AE830" t="str">
        <f t="shared" si="228"/>
        <v xml:space="preserve">       </v>
      </c>
      <c r="AF830" t="str">
        <f t="shared" si="240"/>
        <v xml:space="preserve">     </v>
      </c>
      <c r="AG830" t="str">
        <f t="shared" si="240"/>
        <v xml:space="preserve">     0.00 </v>
      </c>
      <c r="AH830" t="str">
        <f t="shared" si="229"/>
        <v xml:space="preserve">     0.91 </v>
      </c>
      <c r="AI830" t="str">
        <f t="shared" si="230"/>
        <v xml:space="preserve">       </v>
      </c>
      <c r="AJ830" t="str">
        <f t="shared" si="231"/>
        <v xml:space="preserve">      </v>
      </c>
    </row>
    <row r="831" spans="1:36" x14ac:dyDescent="0.25">
      <c r="A831" t="s">
        <v>656</v>
      </c>
      <c r="P831" t="str">
        <f t="shared" si="232"/>
        <v xml:space="preserve">              DE</v>
      </c>
      <c r="Q831" t="str">
        <f t="shared" si="232"/>
        <v xml:space="preserve">ESLIGADO </v>
      </c>
      <c r="R831" t="str">
        <f t="shared" si="225"/>
        <v xml:space="preserve">  9999.0 </v>
      </c>
      <c r="S831" t="str">
        <f t="shared" si="233"/>
        <v xml:space="preserve">  9999.0 </v>
      </c>
      <c r="T831" t="str">
        <f t="shared" si="234"/>
        <v xml:space="preserve">  9999.0 </v>
      </c>
      <c r="U831" t="str">
        <f t="shared" si="238"/>
        <v xml:space="preserve">             </v>
      </c>
      <c r="V831" t="str">
        <f t="shared" si="226"/>
        <v xml:space="preserve">         </v>
      </c>
      <c r="W831" t="str">
        <f t="shared" si="235"/>
        <v xml:space="preserve">         </v>
      </c>
      <c r="X831" t="str">
        <f t="shared" si="239"/>
        <v xml:space="preserve"> 10142 </v>
      </c>
      <c r="Y831" t="str">
        <f t="shared" si="239"/>
        <v xml:space="preserve"> LAJE2B-RS013 </v>
      </c>
      <c r="Z831" t="str">
        <f t="shared" si="239"/>
        <v xml:space="preserve">  1 </v>
      </c>
      <c r="AA831" t="str">
        <f t="shared" si="227"/>
        <v xml:space="preserve">     0.0 </v>
      </c>
      <c r="AB831" t="str">
        <f t="shared" si="236"/>
        <v xml:space="preserve">     0.0 </v>
      </c>
      <c r="AC831" t="str">
        <f t="shared" si="237"/>
        <v xml:space="preserve">     0.0 </v>
      </c>
      <c r="AD831" t="str">
        <f t="shared" si="238"/>
        <v xml:space="preserve">        </v>
      </c>
      <c r="AE831" t="str">
        <f t="shared" si="228"/>
        <v xml:space="preserve">       </v>
      </c>
      <c r="AF831" t="str">
        <f t="shared" si="240"/>
        <v xml:space="preserve">     </v>
      </c>
      <c r="AG831" t="str">
        <f t="shared" si="240"/>
        <v xml:space="preserve">     0.00 </v>
      </c>
      <c r="AH831" t="str">
        <f t="shared" si="229"/>
        <v xml:space="preserve">     0.00 </v>
      </c>
      <c r="AI831" t="str">
        <f t="shared" si="230"/>
        <v xml:space="preserve">       </v>
      </c>
      <c r="AJ831" t="str">
        <f t="shared" si="231"/>
        <v xml:space="preserve">      </v>
      </c>
    </row>
    <row r="832" spans="1:36" x14ac:dyDescent="0.25">
      <c r="A832" t="s">
        <v>14</v>
      </c>
      <c r="P832" t="str">
        <f t="shared" si="232"/>
        <v xml:space="preserve">  ..............</v>
      </c>
      <c r="Q832" t="str">
        <f t="shared" si="232"/>
        <v>.........</v>
      </c>
      <c r="R832" t="str">
        <f t="shared" si="225"/>
        <v>.........</v>
      </c>
      <c r="S832" t="str">
        <f t="shared" si="233"/>
        <v>.........</v>
      </c>
      <c r="T832" t="str">
        <f t="shared" si="234"/>
        <v>.........</v>
      </c>
      <c r="U832" t="str">
        <f t="shared" si="238"/>
        <v>.............</v>
      </c>
      <c r="V832" t="str">
        <f t="shared" si="226"/>
        <v>.........</v>
      </c>
      <c r="W832" t="str">
        <f t="shared" si="235"/>
        <v>.........</v>
      </c>
      <c r="X832" t="str">
        <f t="shared" si="239"/>
        <v>.......</v>
      </c>
      <c r="Y832" t="str">
        <f t="shared" si="239"/>
        <v>..............</v>
      </c>
      <c r="Z832" t="str">
        <f t="shared" si="239"/>
        <v>....</v>
      </c>
      <c r="AA832" t="str">
        <f t="shared" si="227"/>
        <v>.........</v>
      </c>
      <c r="AB832" t="str">
        <f t="shared" si="236"/>
        <v>.........</v>
      </c>
      <c r="AC832" t="str">
        <f t="shared" si="237"/>
        <v>.........</v>
      </c>
      <c r="AD832" t="str">
        <f t="shared" si="238"/>
        <v>........</v>
      </c>
      <c r="AE832" t="str">
        <f t="shared" si="228"/>
        <v>.......</v>
      </c>
      <c r="AF832" t="str">
        <f t="shared" si="240"/>
        <v>.....</v>
      </c>
      <c r="AG832" t="str">
        <f t="shared" si="240"/>
        <v>..........</v>
      </c>
      <c r="AH832" t="str">
        <f t="shared" si="229"/>
        <v>..........</v>
      </c>
      <c r="AI832" t="str">
        <f t="shared" si="230"/>
        <v>.......</v>
      </c>
      <c r="AJ832" t="str">
        <f t="shared" si="231"/>
        <v>.......</v>
      </c>
    </row>
    <row r="833" spans="1:36" x14ac:dyDescent="0.25">
      <c r="A833" t="s">
        <v>657</v>
      </c>
      <c r="P833" t="str">
        <f t="shared" si="232"/>
        <v xml:space="preserve">   2084  138  0 </v>
      </c>
      <c r="Q833" t="str">
        <f t="shared" si="232"/>
        <v xml:space="preserve">   1.018 </v>
      </c>
      <c r="R833" t="str">
        <f t="shared" si="225"/>
        <v xml:space="preserve">     0.0 </v>
      </c>
      <c r="S833" t="str">
        <f t="shared" si="233"/>
        <v xml:space="preserve">     0.0 </v>
      </c>
      <c r="T833" t="str">
        <f t="shared" si="234"/>
        <v xml:space="preserve">     4.0 </v>
      </c>
      <c r="U833" t="str">
        <f t="shared" si="238"/>
        <v xml:space="preserve">         0.0 </v>
      </c>
      <c r="V833" t="str">
        <f t="shared" si="226"/>
        <v xml:space="preserve">     0.0 </v>
      </c>
      <c r="W833" t="str">
        <f t="shared" si="235"/>
        <v xml:space="preserve">     0.0</v>
      </c>
      <c r="X833" t="str">
        <f t="shared" si="239"/>
        <v/>
      </c>
      <c r="Y833" t="str">
        <f t="shared" si="239"/>
        <v/>
      </c>
      <c r="Z833" t="str">
        <f t="shared" si="239"/>
        <v/>
      </c>
      <c r="AA833" t="str">
        <f t="shared" si="227"/>
        <v/>
      </c>
      <c r="AB833" t="str">
        <f t="shared" si="236"/>
        <v/>
      </c>
      <c r="AC833" t="str">
        <f t="shared" si="237"/>
        <v/>
      </c>
      <c r="AD833" t="str">
        <f t="shared" si="238"/>
        <v/>
      </c>
      <c r="AE833" t="str">
        <f t="shared" si="228"/>
        <v/>
      </c>
      <c r="AF833" t="str">
        <f t="shared" si="240"/>
        <v/>
      </c>
      <c r="AG833" t="str">
        <f t="shared" si="240"/>
        <v/>
      </c>
      <c r="AH833" t="str">
        <f t="shared" si="229"/>
        <v/>
      </c>
      <c r="AI833" t="str">
        <f t="shared" si="230"/>
        <v/>
      </c>
      <c r="AJ833" t="str">
        <f t="shared" si="231"/>
        <v/>
      </c>
    </row>
    <row r="834" spans="1:36" x14ac:dyDescent="0.25">
      <c r="A834" t="s">
        <v>658</v>
      </c>
      <c r="P834" t="str">
        <f t="shared" si="232"/>
        <v xml:space="preserve">  PEPSI--RS138  </v>
      </c>
      <c r="Q834" t="str">
        <f t="shared" si="232"/>
        <v xml:space="preserve">   -52.6 </v>
      </c>
      <c r="R834" t="str">
        <f t="shared" si="225"/>
        <v xml:space="preserve">     0.0 </v>
      </c>
      <c r="S834" t="str">
        <f t="shared" si="233"/>
        <v xml:space="preserve">     0.0 </v>
      </c>
      <c r="T834" t="str">
        <f t="shared" si="234"/>
        <v xml:space="preserve">     1.7 </v>
      </c>
      <c r="U834" t="str">
        <f t="shared" si="238"/>
        <v xml:space="preserve">         0.0 </v>
      </c>
      <c r="V834" t="str">
        <f t="shared" si="226"/>
        <v xml:space="preserve">     0.0 </v>
      </c>
      <c r="W834" t="str">
        <f t="shared" si="235"/>
        <v xml:space="preserve">     0.0 </v>
      </c>
      <c r="X834" t="str">
        <f t="shared" si="239"/>
        <v xml:space="preserve">       </v>
      </c>
      <c r="Y834" t="str">
        <f t="shared" si="239"/>
        <v xml:space="preserve">              </v>
      </c>
      <c r="Z834" t="str">
        <f t="shared" si="239"/>
        <v xml:space="preserve">    </v>
      </c>
      <c r="AA834" t="str">
        <f t="shared" si="227"/>
        <v xml:space="preserve">         </v>
      </c>
      <c r="AB834" t="str">
        <f t="shared" si="236"/>
        <v xml:space="preserve">         </v>
      </c>
      <c r="AC834" t="str">
        <f t="shared" si="237"/>
        <v xml:space="preserve">    </v>
      </c>
      <c r="AD834" t="str">
        <f t="shared" si="238"/>
        <v/>
      </c>
      <c r="AE834" t="str">
        <f t="shared" si="228"/>
        <v/>
      </c>
      <c r="AF834" t="str">
        <f t="shared" si="240"/>
        <v/>
      </c>
      <c r="AG834" t="str">
        <f t="shared" si="240"/>
        <v/>
      </c>
      <c r="AH834" t="str">
        <f t="shared" si="229"/>
        <v/>
      </c>
      <c r="AI834" t="str">
        <f t="shared" si="230"/>
        <v/>
      </c>
      <c r="AJ834" t="str">
        <f t="shared" si="231"/>
        <v/>
      </c>
    </row>
    <row r="835" spans="1:36" x14ac:dyDescent="0.25">
      <c r="A835" t="s">
        <v>659</v>
      </c>
      <c r="P835" t="str">
        <f t="shared" si="232"/>
        <v xml:space="preserve">                </v>
      </c>
      <c r="Q835" t="str">
        <f t="shared" si="232"/>
        <v xml:space="preserve">         </v>
      </c>
      <c r="R835" t="str">
        <f t="shared" si="225"/>
        <v xml:space="preserve">   108.0 </v>
      </c>
      <c r="S835" t="str">
        <f t="shared" si="233"/>
        <v xml:space="preserve">   108.0 </v>
      </c>
      <c r="T835" t="str">
        <f t="shared" si="234"/>
        <v xml:space="preserve">   108.0 </v>
      </c>
      <c r="U835" t="str">
        <f t="shared" si="238"/>
        <v xml:space="preserve">       14.5% </v>
      </c>
      <c r="V835" t="str">
        <f t="shared" si="226"/>
        <v xml:space="preserve">         </v>
      </c>
      <c r="W835" t="str">
        <f t="shared" si="235"/>
        <v xml:space="preserve">         </v>
      </c>
      <c r="X835" t="str">
        <f t="shared" si="239"/>
        <v xml:space="preserve">  1219 </v>
      </c>
      <c r="Y835" t="str">
        <f t="shared" si="239"/>
        <v xml:space="preserve"> LANSUL-RS138 </v>
      </c>
      <c r="Z835" t="str">
        <f t="shared" si="239"/>
        <v xml:space="preserve">  1 </v>
      </c>
      <c r="AA835" t="str">
        <f t="shared" si="227"/>
        <v xml:space="preserve">   -14.4 </v>
      </c>
      <c r="AB835" t="str">
        <f t="shared" si="236"/>
        <v xml:space="preserve">     6.9 </v>
      </c>
      <c r="AC835" t="str">
        <f t="shared" si="237"/>
        <v xml:space="preserve">    15.7 </v>
      </c>
      <c r="AD835" t="str">
        <f t="shared" si="238"/>
        <v xml:space="preserve">        </v>
      </c>
      <c r="AE835" t="str">
        <f t="shared" si="228"/>
        <v xml:space="preserve">       </v>
      </c>
      <c r="AF835" t="str">
        <f t="shared" si="240"/>
        <v xml:space="preserve">     </v>
      </c>
      <c r="AG835" t="str">
        <f t="shared" si="240"/>
        <v xml:space="preserve">     0.00 </v>
      </c>
      <c r="AH835" t="str">
        <f t="shared" si="229"/>
        <v xml:space="preserve">    -0.12 </v>
      </c>
      <c r="AI835" t="str">
        <f t="shared" si="230"/>
        <v xml:space="preserve">       </v>
      </c>
      <c r="AJ835" t="str">
        <f t="shared" si="231"/>
        <v xml:space="preserve">      </v>
      </c>
    </row>
    <row r="836" spans="1:36" x14ac:dyDescent="0.25">
      <c r="A836" t="s">
        <v>660</v>
      </c>
      <c r="P836" t="str">
        <f t="shared" si="232"/>
        <v xml:space="preserve">                </v>
      </c>
      <c r="Q836" t="str">
        <f t="shared" si="232"/>
        <v xml:space="preserve">         </v>
      </c>
      <c r="R836" t="str">
        <f t="shared" si="225"/>
        <v xml:space="preserve">   108.0 </v>
      </c>
      <c r="S836" t="str">
        <f t="shared" si="233"/>
        <v xml:space="preserve">   108.0 </v>
      </c>
      <c r="T836" t="str">
        <f t="shared" si="234"/>
        <v xml:space="preserve">   108.0 </v>
      </c>
      <c r="U836" t="str">
        <f t="shared" si="238"/>
        <v xml:space="preserve">       12.3% </v>
      </c>
      <c r="V836" t="str">
        <f t="shared" si="226"/>
        <v xml:space="preserve">         </v>
      </c>
      <c r="W836" t="str">
        <f t="shared" si="235"/>
        <v xml:space="preserve">         </v>
      </c>
      <c r="X836" t="str">
        <f t="shared" si="239"/>
        <v xml:space="preserve">  2090 </v>
      </c>
      <c r="Y836" t="str">
        <f t="shared" si="239"/>
        <v xml:space="preserve"> SCHARL-RS138 </v>
      </c>
      <c r="Z836" t="str">
        <f t="shared" si="239"/>
        <v xml:space="preserve">  1 </v>
      </c>
      <c r="AA836" t="str">
        <f t="shared" si="227"/>
        <v xml:space="preserve">    10.4 </v>
      </c>
      <c r="AB836" t="str">
        <f t="shared" si="236"/>
        <v xml:space="preserve">    -8.6 </v>
      </c>
      <c r="AC836" t="str">
        <f t="shared" si="237"/>
        <v xml:space="preserve">    13.3 </v>
      </c>
      <c r="AD836" t="str">
        <f t="shared" si="238"/>
        <v xml:space="preserve">        </v>
      </c>
      <c r="AE836" t="str">
        <f t="shared" si="228"/>
        <v xml:space="preserve">       </v>
      </c>
      <c r="AF836" t="str">
        <f t="shared" si="240"/>
        <v xml:space="preserve">     </v>
      </c>
      <c r="AG836" t="str">
        <f t="shared" si="240"/>
        <v xml:space="preserve">     0.01 </v>
      </c>
      <c r="AH836" t="str">
        <f t="shared" si="229"/>
        <v xml:space="preserve">    -0.79 </v>
      </c>
      <c r="AI836" t="str">
        <f t="shared" si="230"/>
        <v xml:space="preserve">       </v>
      </c>
      <c r="AJ836" t="str">
        <f t="shared" si="231"/>
        <v xml:space="preserve">      </v>
      </c>
    </row>
    <row r="837" spans="1:36" x14ac:dyDescent="0.25">
      <c r="A837" t="s">
        <v>14</v>
      </c>
      <c r="P837" t="str">
        <f t="shared" si="232"/>
        <v xml:space="preserve">  ..............</v>
      </c>
      <c r="Q837" t="str">
        <f t="shared" si="232"/>
        <v>.........</v>
      </c>
      <c r="R837" t="str">
        <f t="shared" si="225"/>
        <v>.........</v>
      </c>
      <c r="S837" t="str">
        <f t="shared" si="233"/>
        <v>.........</v>
      </c>
      <c r="T837" t="str">
        <f t="shared" si="234"/>
        <v>.........</v>
      </c>
      <c r="U837" t="str">
        <f t="shared" si="238"/>
        <v>.............</v>
      </c>
      <c r="V837" t="str">
        <f t="shared" si="226"/>
        <v>.........</v>
      </c>
      <c r="W837" t="str">
        <f t="shared" si="235"/>
        <v>.........</v>
      </c>
      <c r="X837" t="str">
        <f t="shared" si="239"/>
        <v>.......</v>
      </c>
      <c r="Y837" t="str">
        <f t="shared" si="239"/>
        <v>..............</v>
      </c>
      <c r="Z837" t="str">
        <f t="shared" si="239"/>
        <v>....</v>
      </c>
      <c r="AA837" t="str">
        <f t="shared" si="227"/>
        <v>.........</v>
      </c>
      <c r="AB837" t="str">
        <f t="shared" si="236"/>
        <v>.........</v>
      </c>
      <c r="AC837" t="str">
        <f t="shared" si="237"/>
        <v>.........</v>
      </c>
      <c r="AD837" t="str">
        <f t="shared" si="238"/>
        <v>........</v>
      </c>
      <c r="AE837" t="str">
        <f t="shared" si="228"/>
        <v>.......</v>
      </c>
      <c r="AF837" t="str">
        <f t="shared" si="240"/>
        <v>.....</v>
      </c>
      <c r="AG837" t="str">
        <f t="shared" si="240"/>
        <v>..........</v>
      </c>
      <c r="AH837" t="str">
        <f t="shared" si="229"/>
        <v>..........</v>
      </c>
      <c r="AI837" t="str">
        <f t="shared" si="230"/>
        <v>.......</v>
      </c>
      <c r="AJ837" t="str">
        <f t="shared" si="231"/>
        <v>.......</v>
      </c>
    </row>
    <row r="838" spans="1:36" x14ac:dyDescent="0.25">
      <c r="A838" t="s">
        <v>661</v>
      </c>
      <c r="P838" t="str">
        <f t="shared" si="232"/>
        <v xml:space="preserve">   2087   69  0 </v>
      </c>
      <c r="Q838" t="str">
        <f t="shared" si="232"/>
        <v xml:space="preserve">   1.020 </v>
      </c>
      <c r="R838" t="str">
        <f t="shared" si="225"/>
        <v xml:space="preserve">    40.8 </v>
      </c>
      <c r="S838" t="str">
        <f t="shared" si="233"/>
        <v xml:space="preserve">     0.0 </v>
      </c>
      <c r="T838" t="str">
        <f t="shared" si="234"/>
        <v xml:space="preserve">   147.3 </v>
      </c>
      <c r="U838" t="str">
        <f t="shared" si="238"/>
        <v xml:space="preserve">         0.0 </v>
      </c>
      <c r="V838" t="str">
        <f t="shared" si="226"/>
        <v xml:space="preserve">    46.2 </v>
      </c>
      <c r="W838" t="str">
        <f t="shared" si="235"/>
        <v xml:space="preserve">     0.0</v>
      </c>
      <c r="X838" t="str">
        <f t="shared" si="239"/>
        <v/>
      </c>
      <c r="Y838" t="str">
        <f t="shared" si="239"/>
        <v/>
      </c>
      <c r="Z838" t="str">
        <f t="shared" si="239"/>
        <v/>
      </c>
      <c r="AA838" t="str">
        <f t="shared" si="227"/>
        <v/>
      </c>
      <c r="AB838" t="str">
        <f t="shared" si="236"/>
        <v/>
      </c>
      <c r="AC838" t="str">
        <f t="shared" si="237"/>
        <v/>
      </c>
      <c r="AD838" t="str">
        <f t="shared" si="238"/>
        <v/>
      </c>
      <c r="AE838" t="str">
        <f t="shared" si="228"/>
        <v/>
      </c>
      <c r="AF838" t="str">
        <f t="shared" si="240"/>
        <v/>
      </c>
      <c r="AG838" t="str">
        <f t="shared" si="240"/>
        <v/>
      </c>
      <c r="AH838" t="str">
        <f t="shared" si="229"/>
        <v/>
      </c>
      <c r="AI838" t="str">
        <f t="shared" si="230"/>
        <v/>
      </c>
      <c r="AJ838" t="str">
        <f t="shared" si="231"/>
        <v/>
      </c>
    </row>
    <row r="839" spans="1:36" x14ac:dyDescent="0.25">
      <c r="A839" t="s">
        <v>662</v>
      </c>
      <c r="P839" t="str">
        <f t="shared" si="232"/>
        <v xml:space="preserve">  SMARI3-RS069  </v>
      </c>
      <c r="Q839" t="str">
        <f t="shared" si="232"/>
        <v xml:space="preserve">   -51.7 </v>
      </c>
      <c r="R839" t="str">
        <f t="shared" si="225"/>
        <v xml:space="preserve">     0.0 </v>
      </c>
      <c r="S839" t="str">
        <f t="shared" si="233"/>
        <v xml:space="preserve">     0.0 </v>
      </c>
      <c r="T839" t="str">
        <f t="shared" si="234"/>
        <v xml:space="preserve">    52.8 </v>
      </c>
      <c r="U839" t="str">
        <f t="shared" si="238"/>
        <v xml:space="preserve">         0.0 </v>
      </c>
      <c r="V839" t="str">
        <f t="shared" si="226"/>
        <v xml:space="preserve">     0.0 </v>
      </c>
      <c r="W839" t="str">
        <f t="shared" si="235"/>
        <v xml:space="preserve">     0.0 </v>
      </c>
      <c r="X839" t="str">
        <f t="shared" si="239"/>
        <v xml:space="preserve">       </v>
      </c>
      <c r="Y839" t="str">
        <f t="shared" si="239"/>
        <v xml:space="preserve">              </v>
      </c>
      <c r="Z839" t="str">
        <f t="shared" si="239"/>
        <v xml:space="preserve">    </v>
      </c>
      <c r="AA839" t="str">
        <f t="shared" si="227"/>
        <v xml:space="preserve">         </v>
      </c>
      <c r="AB839" t="str">
        <f t="shared" si="236"/>
        <v xml:space="preserve">         </v>
      </c>
      <c r="AC839" t="str">
        <f t="shared" si="237"/>
        <v xml:space="preserve">    </v>
      </c>
      <c r="AD839" t="str">
        <f t="shared" si="238"/>
        <v/>
      </c>
      <c r="AE839" t="str">
        <f t="shared" si="228"/>
        <v/>
      </c>
      <c r="AF839" t="str">
        <f t="shared" si="240"/>
        <v/>
      </c>
      <c r="AG839" t="str">
        <f t="shared" si="240"/>
        <v/>
      </c>
      <c r="AH839" t="str">
        <f t="shared" si="229"/>
        <v/>
      </c>
      <c r="AI839" t="str">
        <f t="shared" si="230"/>
        <v/>
      </c>
      <c r="AJ839" t="str">
        <f t="shared" si="231"/>
        <v/>
      </c>
    </row>
    <row r="840" spans="1:36" x14ac:dyDescent="0.25">
      <c r="A840" t="s">
        <v>663</v>
      </c>
      <c r="P840" t="str">
        <f t="shared" si="232"/>
        <v xml:space="preserve">                </v>
      </c>
      <c r="Q840" t="str">
        <f t="shared" si="232"/>
        <v xml:space="preserve">         </v>
      </c>
      <c r="R840" t="str">
        <f t="shared" si="225"/>
        <v xml:space="preserve">    83.0 </v>
      </c>
      <c r="S840" t="str">
        <f t="shared" si="233"/>
        <v xml:space="preserve">    83.0 </v>
      </c>
      <c r="T840" t="str">
        <f t="shared" si="234"/>
        <v xml:space="preserve">    83.0 </v>
      </c>
      <c r="U840" t="str">
        <f t="shared" si="238"/>
        <v xml:space="preserve">       41.3% </v>
      </c>
      <c r="V840" t="str">
        <f t="shared" si="226"/>
        <v xml:space="preserve">         </v>
      </c>
      <c r="W840" t="str">
        <f t="shared" si="235"/>
        <v xml:space="preserve">         </v>
      </c>
      <c r="X840" t="str">
        <f t="shared" si="239"/>
        <v xml:space="preserve"> 41373 </v>
      </c>
      <c r="Y840" t="str">
        <f t="shared" si="239"/>
        <v xml:space="preserve"> SMA3-1-RS000 </v>
      </c>
      <c r="Z840" t="str">
        <f t="shared" si="239"/>
        <v xml:space="preserve">  1 </v>
      </c>
      <c r="AA840" t="str">
        <f t="shared" si="227"/>
        <v xml:space="preserve">   -35.0 </v>
      </c>
      <c r="AB840" t="str">
        <f t="shared" si="236"/>
        <v xml:space="preserve">    -1.9 </v>
      </c>
      <c r="AC840" t="str">
        <f t="shared" si="237"/>
        <v xml:space="preserve">    34.3 </v>
      </c>
      <c r="AD840" t="str">
        <f t="shared" si="238"/>
        <v xml:space="preserve"> 1.000F </v>
      </c>
      <c r="AE840" t="str">
        <f t="shared" si="228"/>
        <v xml:space="preserve">       </v>
      </c>
      <c r="AF840" t="str">
        <f t="shared" si="240"/>
        <v xml:space="preserve"> 002 </v>
      </c>
      <c r="AG840" t="str">
        <f t="shared" si="240"/>
        <v xml:space="preserve">     0.04 </v>
      </c>
      <c r="AH840" t="str">
        <f t="shared" si="229"/>
        <v xml:space="preserve">    -0.12 </v>
      </c>
      <c r="AI840" t="str">
        <f t="shared" si="230"/>
        <v xml:space="preserve">       </v>
      </c>
      <c r="AJ840" t="str">
        <f t="shared" si="231"/>
        <v xml:space="preserve">      </v>
      </c>
    </row>
    <row r="841" spans="1:36" x14ac:dyDescent="0.25">
      <c r="A841" t="s">
        <v>664</v>
      </c>
      <c r="P841" t="str">
        <f t="shared" si="232"/>
        <v xml:space="preserve">                </v>
      </c>
      <c r="Q841" t="str">
        <f t="shared" si="232"/>
        <v xml:space="preserve">         </v>
      </c>
      <c r="R841" t="str">
        <f t="shared" si="225"/>
        <v xml:space="preserve">    83.0 </v>
      </c>
      <c r="S841" t="str">
        <f t="shared" si="233"/>
        <v xml:space="preserve">    83.0 </v>
      </c>
      <c r="T841" t="str">
        <f t="shared" si="234"/>
        <v xml:space="preserve">    83.0 </v>
      </c>
      <c r="U841" t="str">
        <f t="shared" si="238"/>
        <v xml:space="preserve">       43.0% </v>
      </c>
      <c r="V841" t="str">
        <f t="shared" si="226"/>
        <v xml:space="preserve">         </v>
      </c>
      <c r="W841" t="str">
        <f t="shared" si="235"/>
        <v xml:space="preserve">         </v>
      </c>
      <c r="X841" t="str">
        <f t="shared" si="239"/>
        <v xml:space="preserve"> 41374 </v>
      </c>
      <c r="Y841" t="str">
        <f t="shared" si="239"/>
        <v xml:space="preserve"> SMA3-5-RS000 </v>
      </c>
      <c r="Z841" t="str">
        <f t="shared" si="239"/>
        <v xml:space="preserve">  5 </v>
      </c>
      <c r="AA841" t="str">
        <f t="shared" si="227"/>
        <v xml:space="preserve">   -36.4 </v>
      </c>
      <c r="AB841" t="str">
        <f t="shared" si="236"/>
        <v xml:space="preserve">    -2.7 </v>
      </c>
      <c r="AC841" t="str">
        <f t="shared" si="237"/>
        <v xml:space="preserve">    35.7 </v>
      </c>
      <c r="AD841" t="str">
        <f t="shared" si="238"/>
        <v xml:space="preserve"> 1.000F </v>
      </c>
      <c r="AE841" t="str">
        <f t="shared" si="228"/>
        <v xml:space="preserve">       </v>
      </c>
      <c r="AF841" t="str">
        <f t="shared" si="240"/>
        <v xml:space="preserve"> 002 </v>
      </c>
      <c r="AG841" t="str">
        <f t="shared" si="240"/>
        <v xml:space="preserve">     0.02 </v>
      </c>
      <c r="AH841" t="str">
        <f t="shared" si="229"/>
        <v xml:space="preserve">    -0.09 </v>
      </c>
      <c r="AI841" t="str">
        <f t="shared" si="230"/>
        <v xml:space="preserve">       </v>
      </c>
      <c r="AJ841" t="str">
        <f t="shared" si="231"/>
        <v xml:space="preserve">      </v>
      </c>
    </row>
    <row r="842" spans="1:36" x14ac:dyDescent="0.25">
      <c r="A842" t="s">
        <v>665</v>
      </c>
      <c r="P842" t="str">
        <f t="shared" si="232"/>
        <v xml:space="preserve">                </v>
      </c>
      <c r="Q842" t="str">
        <f t="shared" si="232"/>
        <v xml:space="preserve">         </v>
      </c>
      <c r="R842" t="str">
        <f t="shared" si="225"/>
        <v xml:space="preserve">    83.0 </v>
      </c>
      <c r="S842" t="str">
        <f t="shared" si="233"/>
        <v xml:space="preserve">   125.0 </v>
      </c>
      <c r="T842" t="str">
        <f t="shared" si="234"/>
        <v xml:space="preserve">   125.0 </v>
      </c>
      <c r="U842" t="str">
        <f t="shared" si="238"/>
        <v xml:space="preserve">       41.6% </v>
      </c>
      <c r="V842" t="str">
        <f t="shared" si="226"/>
        <v xml:space="preserve">         </v>
      </c>
      <c r="W842" t="str">
        <f t="shared" si="235"/>
        <v xml:space="preserve">         </v>
      </c>
      <c r="X842" t="str">
        <f t="shared" si="239"/>
        <v xml:space="preserve"> 41375 </v>
      </c>
      <c r="Y842" t="str">
        <f t="shared" si="239"/>
        <v xml:space="preserve"> SMA3-2-RS000 </v>
      </c>
      <c r="Z842" t="str">
        <f t="shared" si="239"/>
        <v xml:space="preserve">  2 </v>
      </c>
      <c r="AA842" t="str">
        <f t="shared" si="227"/>
        <v xml:space="preserve">   -35.2 </v>
      </c>
      <c r="AB842" t="str">
        <f t="shared" si="236"/>
        <v xml:space="preserve">    -2.0 </v>
      </c>
      <c r="AC842" t="str">
        <f t="shared" si="237"/>
        <v xml:space="preserve">    34.5 </v>
      </c>
      <c r="AD842" t="str">
        <f t="shared" si="238"/>
        <v xml:space="preserve"> 1.000F </v>
      </c>
      <c r="AE842" t="str">
        <f t="shared" si="228"/>
        <v xml:space="preserve">       </v>
      </c>
      <c r="AF842" t="str">
        <f t="shared" si="240"/>
        <v xml:space="preserve"> 002 </v>
      </c>
      <c r="AG842" t="str">
        <f t="shared" si="240"/>
        <v xml:space="preserve">     0.04 </v>
      </c>
      <c r="AH842" t="str">
        <f t="shared" si="229"/>
        <v xml:space="preserve">    -0.14 </v>
      </c>
      <c r="AI842" t="str">
        <f t="shared" si="230"/>
        <v xml:space="preserve">       </v>
      </c>
      <c r="AJ842" t="str">
        <f t="shared" si="231"/>
        <v xml:space="preserve">      </v>
      </c>
    </row>
    <row r="843" spans="1:36" x14ac:dyDescent="0.25">
      <c r="A843" t="s">
        <v>14</v>
      </c>
      <c r="P843" t="str">
        <f t="shared" si="232"/>
        <v xml:space="preserve">  ..............</v>
      </c>
      <c r="Q843" t="str">
        <f t="shared" si="232"/>
        <v>.........</v>
      </c>
      <c r="R843" t="str">
        <f t="shared" si="225"/>
        <v>.........</v>
      </c>
      <c r="S843" t="str">
        <f t="shared" si="233"/>
        <v>.........</v>
      </c>
      <c r="T843" t="str">
        <f t="shared" si="234"/>
        <v>.........</v>
      </c>
      <c r="U843" t="str">
        <f t="shared" si="238"/>
        <v>.............</v>
      </c>
      <c r="V843" t="str">
        <f t="shared" si="226"/>
        <v>.........</v>
      </c>
      <c r="W843" t="str">
        <f t="shared" si="235"/>
        <v>.........</v>
      </c>
      <c r="X843" t="str">
        <f t="shared" si="239"/>
        <v>.......</v>
      </c>
      <c r="Y843" t="str">
        <f t="shared" si="239"/>
        <v>..............</v>
      </c>
      <c r="Z843" t="str">
        <f t="shared" si="239"/>
        <v>....</v>
      </c>
      <c r="AA843" t="str">
        <f t="shared" si="227"/>
        <v>.........</v>
      </c>
      <c r="AB843" t="str">
        <f t="shared" si="236"/>
        <v>.........</v>
      </c>
      <c r="AC843" t="str">
        <f t="shared" si="237"/>
        <v>.........</v>
      </c>
      <c r="AD843" t="str">
        <f t="shared" si="238"/>
        <v>........</v>
      </c>
      <c r="AE843" t="str">
        <f t="shared" si="228"/>
        <v>.......</v>
      </c>
      <c r="AF843" t="str">
        <f t="shared" si="240"/>
        <v>.....</v>
      </c>
      <c r="AG843" t="str">
        <f t="shared" si="240"/>
        <v>..........</v>
      </c>
      <c r="AH843" t="str">
        <f t="shared" si="229"/>
        <v>..........</v>
      </c>
      <c r="AI843" t="str">
        <f t="shared" si="230"/>
        <v>.......</v>
      </c>
      <c r="AJ843" t="str">
        <f t="shared" si="231"/>
        <v>.......</v>
      </c>
    </row>
    <row r="844" spans="1:36" x14ac:dyDescent="0.25">
      <c r="A844" t="s">
        <v>666</v>
      </c>
      <c r="P844" t="str">
        <f t="shared" si="232"/>
        <v xml:space="preserve">   2088   69  0 </v>
      </c>
      <c r="Q844" t="str">
        <f t="shared" si="232"/>
        <v xml:space="preserve">   1.011 </v>
      </c>
      <c r="R844" t="str">
        <f t="shared" ref="R844:R907" si="241">MID($A844,Q$8+Q$9-1,R$9)</f>
        <v xml:space="preserve">    18.3 </v>
      </c>
      <c r="S844" t="str">
        <f t="shared" si="233"/>
        <v xml:space="preserve">     0.0 </v>
      </c>
      <c r="T844" t="str">
        <f t="shared" si="234"/>
        <v xml:space="preserve">   101.8 </v>
      </c>
      <c r="U844" t="str">
        <f t="shared" si="238"/>
        <v xml:space="preserve">         0.0 </v>
      </c>
      <c r="V844" t="str">
        <f t="shared" ref="V844:V907" si="242">MID($A844,U$8+U$9-1,V$9)</f>
        <v xml:space="preserve">    36.0 </v>
      </c>
      <c r="W844" t="str">
        <f t="shared" si="235"/>
        <v xml:space="preserve">     0.0</v>
      </c>
      <c r="X844" t="str">
        <f t="shared" si="239"/>
        <v/>
      </c>
      <c r="Y844" t="str">
        <f t="shared" si="239"/>
        <v/>
      </c>
      <c r="Z844" t="str">
        <f t="shared" si="239"/>
        <v/>
      </c>
      <c r="AA844" t="str">
        <f t="shared" ref="AA844:AA907" si="243">MID($A844,Z$8+Z$9-1,AA$9)</f>
        <v/>
      </c>
      <c r="AB844" t="str">
        <f t="shared" si="236"/>
        <v/>
      </c>
      <c r="AC844" t="str">
        <f t="shared" si="237"/>
        <v/>
      </c>
      <c r="AD844" t="str">
        <f t="shared" si="238"/>
        <v/>
      </c>
      <c r="AE844" t="str">
        <f t="shared" ref="AE844:AE907" si="244">MID($A844,AD$8+AD$9-1,AE$9)</f>
        <v/>
      </c>
      <c r="AF844" t="str">
        <f t="shared" si="240"/>
        <v/>
      </c>
      <c r="AG844" t="str">
        <f t="shared" si="240"/>
        <v/>
      </c>
      <c r="AH844" t="str">
        <f t="shared" ref="AH844:AH907" si="245">MID($A844,AG$8+AG$9-1,AH$9)</f>
        <v/>
      </c>
      <c r="AI844" t="str">
        <f t="shared" si="230"/>
        <v/>
      </c>
      <c r="AJ844" t="str">
        <f t="shared" si="231"/>
        <v/>
      </c>
    </row>
    <row r="845" spans="1:36" x14ac:dyDescent="0.25">
      <c r="A845" t="s">
        <v>667</v>
      </c>
      <c r="P845" t="str">
        <f t="shared" si="232"/>
        <v xml:space="preserve">  SCRUZ1-RS069  </v>
      </c>
      <c r="Q845" t="str">
        <f t="shared" si="232"/>
        <v xml:space="preserve">   -53.7 </v>
      </c>
      <c r="R845" t="str">
        <f t="shared" si="241"/>
        <v xml:space="preserve">     0.0 </v>
      </c>
      <c r="S845" t="str">
        <f t="shared" si="233"/>
        <v xml:space="preserve">     0.0 </v>
      </c>
      <c r="T845" t="str">
        <f t="shared" si="234"/>
        <v xml:space="preserve">    42.9 </v>
      </c>
      <c r="U845" t="str">
        <f t="shared" si="238"/>
        <v xml:space="preserve">         0.0 </v>
      </c>
      <c r="V845" t="str">
        <f t="shared" si="242"/>
        <v xml:space="preserve">     0.0 </v>
      </c>
      <c r="W845" t="str">
        <f t="shared" si="235"/>
        <v xml:space="preserve">     0.0 </v>
      </c>
      <c r="X845" t="str">
        <f t="shared" si="239"/>
        <v xml:space="preserve">       </v>
      </c>
      <c r="Y845" t="str">
        <f t="shared" si="239"/>
        <v xml:space="preserve">              </v>
      </c>
      <c r="Z845" t="str">
        <f t="shared" si="239"/>
        <v xml:space="preserve">    </v>
      </c>
      <c r="AA845" t="str">
        <f t="shared" si="243"/>
        <v xml:space="preserve">         </v>
      </c>
      <c r="AB845" t="str">
        <f t="shared" si="236"/>
        <v xml:space="preserve">         </v>
      </c>
      <c r="AC845" t="str">
        <f t="shared" si="237"/>
        <v xml:space="preserve">    </v>
      </c>
      <c r="AD845" t="str">
        <f t="shared" si="238"/>
        <v/>
      </c>
      <c r="AE845" t="str">
        <f t="shared" si="244"/>
        <v/>
      </c>
      <c r="AF845" t="str">
        <f t="shared" si="240"/>
        <v/>
      </c>
      <c r="AG845" t="str">
        <f t="shared" si="240"/>
        <v/>
      </c>
      <c r="AH845" t="str">
        <f t="shared" si="245"/>
        <v/>
      </c>
      <c r="AI845" t="str">
        <f t="shared" si="230"/>
        <v/>
      </c>
      <c r="AJ845" t="str">
        <f t="shared" si="231"/>
        <v/>
      </c>
    </row>
    <row r="846" spans="1:36" x14ac:dyDescent="0.25">
      <c r="A846" t="s">
        <v>668</v>
      </c>
      <c r="P846" t="str">
        <f t="shared" si="232"/>
        <v xml:space="preserve">                </v>
      </c>
      <c r="Q846" t="str">
        <f t="shared" si="232"/>
        <v xml:space="preserve">         </v>
      </c>
      <c r="R846" t="str">
        <f t="shared" si="241"/>
        <v xml:space="preserve">    83.0 </v>
      </c>
      <c r="S846" t="str">
        <f t="shared" si="233"/>
        <v xml:space="preserve">    83.0 </v>
      </c>
      <c r="T846" t="str">
        <f t="shared" si="234"/>
        <v xml:space="preserve">    83.0 </v>
      </c>
      <c r="U846" t="str">
        <f t="shared" si="238"/>
        <v xml:space="preserve">       32.9% </v>
      </c>
      <c r="V846" t="str">
        <f t="shared" si="242"/>
        <v xml:space="preserve">         </v>
      </c>
      <c r="W846" t="str">
        <f t="shared" si="235"/>
        <v xml:space="preserve">         </v>
      </c>
      <c r="X846" t="str">
        <f t="shared" si="239"/>
        <v xml:space="preserve"> 41365 </v>
      </c>
      <c r="Y846" t="str">
        <f t="shared" si="239"/>
        <v xml:space="preserve"> SCR1-1-RS000 </v>
      </c>
      <c r="Z846" t="str">
        <f t="shared" si="239"/>
        <v xml:space="preserve">  1 </v>
      </c>
      <c r="AA846" t="str">
        <f t="shared" si="243"/>
        <v xml:space="preserve">   -27.5 </v>
      </c>
      <c r="AB846" t="str">
        <f t="shared" si="236"/>
        <v xml:space="preserve">    -2.3 </v>
      </c>
      <c r="AC846" t="str">
        <f t="shared" si="237"/>
        <v xml:space="preserve">    27.3 </v>
      </c>
      <c r="AD846" t="str">
        <f t="shared" si="238"/>
        <v xml:space="preserve"> 1.000F </v>
      </c>
      <c r="AE846" t="str">
        <f t="shared" si="244"/>
        <v xml:space="preserve">       </v>
      </c>
      <c r="AF846" t="str">
        <f t="shared" si="240"/>
        <v xml:space="preserve"> 002 </v>
      </c>
      <c r="AG846" t="str">
        <f t="shared" si="240"/>
        <v xml:space="preserve">     0.01 </v>
      </c>
      <c r="AH846" t="str">
        <f t="shared" si="245"/>
        <v xml:space="preserve">    -0.07 </v>
      </c>
      <c r="AI846" t="str">
        <f t="shared" si="230"/>
        <v xml:space="preserve">       </v>
      </c>
      <c r="AJ846" t="str">
        <f t="shared" si="231"/>
        <v xml:space="preserve">      </v>
      </c>
    </row>
    <row r="847" spans="1:36" x14ac:dyDescent="0.25">
      <c r="A847" t="s">
        <v>669</v>
      </c>
      <c r="P847" t="str">
        <f t="shared" si="232"/>
        <v xml:space="preserve">                </v>
      </c>
      <c r="Q847" t="str">
        <f t="shared" si="232"/>
        <v xml:space="preserve">         </v>
      </c>
      <c r="R847" t="str">
        <f t="shared" si="241"/>
        <v xml:space="preserve">    83.0 </v>
      </c>
      <c r="S847" t="str">
        <f t="shared" si="233"/>
        <v xml:space="preserve">   120.0 </v>
      </c>
      <c r="T847" t="str">
        <f t="shared" si="234"/>
        <v xml:space="preserve">   120.0 </v>
      </c>
      <c r="U847" t="str">
        <f t="shared" si="238"/>
        <v xml:space="preserve">       32.5% </v>
      </c>
      <c r="V847" t="str">
        <f t="shared" si="242"/>
        <v xml:space="preserve">         </v>
      </c>
      <c r="W847" t="str">
        <f t="shared" si="235"/>
        <v xml:space="preserve">         </v>
      </c>
      <c r="X847" t="str">
        <f t="shared" si="239"/>
        <v xml:space="preserve"> 41366 </v>
      </c>
      <c r="Y847" t="str">
        <f t="shared" si="239"/>
        <v xml:space="preserve"> SCR1-2-RS000 </v>
      </c>
      <c r="Z847" t="str">
        <f t="shared" si="239"/>
        <v xml:space="preserve">  2 </v>
      </c>
      <c r="AA847" t="str">
        <f t="shared" si="243"/>
        <v xml:space="preserve">   -27.1 </v>
      </c>
      <c r="AB847" t="str">
        <f t="shared" si="236"/>
        <v xml:space="preserve">    -2.3 </v>
      </c>
      <c r="AC847" t="str">
        <f t="shared" si="237"/>
        <v xml:space="preserve">    26.9 </v>
      </c>
      <c r="AD847" t="str">
        <f t="shared" si="238"/>
        <v xml:space="preserve"> 1.000F </v>
      </c>
      <c r="AE847" t="str">
        <f t="shared" si="244"/>
        <v xml:space="preserve">       </v>
      </c>
      <c r="AF847" t="str">
        <f t="shared" si="240"/>
        <v xml:space="preserve"> 002 </v>
      </c>
      <c r="AG847" t="str">
        <f t="shared" si="240"/>
        <v xml:space="preserve">     0.01 </v>
      </c>
      <c r="AH847" t="str">
        <f t="shared" si="245"/>
        <v xml:space="preserve">    -0.08 </v>
      </c>
      <c r="AI847" t="str">
        <f t="shared" si="230"/>
        <v xml:space="preserve">       </v>
      </c>
      <c r="AJ847" t="str">
        <f t="shared" si="231"/>
        <v xml:space="preserve">      </v>
      </c>
    </row>
    <row r="848" spans="1:36" x14ac:dyDescent="0.25">
      <c r="A848" t="s">
        <v>670</v>
      </c>
      <c r="P848" t="str">
        <f t="shared" si="232"/>
        <v xml:space="preserve">                </v>
      </c>
      <c r="Q848" t="str">
        <f t="shared" si="232"/>
        <v xml:space="preserve">         </v>
      </c>
      <c r="R848" t="str">
        <f t="shared" si="241"/>
        <v xml:space="preserve">    83.0 </v>
      </c>
      <c r="S848" t="str">
        <f t="shared" si="233"/>
        <v xml:space="preserve">    83.0 </v>
      </c>
      <c r="T848" t="str">
        <f t="shared" si="234"/>
        <v xml:space="preserve">    83.0 </v>
      </c>
      <c r="U848" t="str">
        <f t="shared" si="238"/>
        <v xml:space="preserve">       34.6% </v>
      </c>
      <c r="V848" t="str">
        <f t="shared" si="242"/>
        <v xml:space="preserve">         </v>
      </c>
      <c r="W848" t="str">
        <f t="shared" si="235"/>
        <v xml:space="preserve">         </v>
      </c>
      <c r="X848" t="str">
        <f t="shared" si="239"/>
        <v xml:space="preserve"> 41367 </v>
      </c>
      <c r="Y848" t="str">
        <f t="shared" si="239"/>
        <v xml:space="preserve"> SCR1-5-RS000 </v>
      </c>
      <c r="Z848" t="str">
        <f t="shared" si="239"/>
        <v xml:space="preserve">  5 </v>
      </c>
      <c r="AA848" t="str">
        <f t="shared" si="243"/>
        <v xml:space="preserve">   -28.9 </v>
      </c>
      <c r="AB848" t="str">
        <f t="shared" si="236"/>
        <v xml:space="preserve">    -2.4 </v>
      </c>
      <c r="AC848" t="str">
        <f t="shared" si="237"/>
        <v xml:space="preserve">    28.7 </v>
      </c>
      <c r="AD848" t="str">
        <f t="shared" si="238"/>
        <v xml:space="preserve"> 1.000F </v>
      </c>
      <c r="AE848" t="str">
        <f t="shared" si="244"/>
        <v xml:space="preserve">       </v>
      </c>
      <c r="AF848" t="str">
        <f t="shared" si="240"/>
        <v xml:space="preserve"> 002 </v>
      </c>
      <c r="AG848" t="str">
        <f t="shared" si="240"/>
        <v xml:space="preserve">     0.01 </v>
      </c>
      <c r="AH848" t="str">
        <f t="shared" si="245"/>
        <v xml:space="preserve">    -0.08 </v>
      </c>
      <c r="AI848" t="str">
        <f t="shared" si="230"/>
        <v xml:space="preserve">       </v>
      </c>
      <c r="AJ848" t="str">
        <f t="shared" si="231"/>
        <v xml:space="preserve">      </v>
      </c>
    </row>
    <row r="849" spans="1:36" x14ac:dyDescent="0.25">
      <c r="A849" t="s">
        <v>14</v>
      </c>
      <c r="P849" t="str">
        <f t="shared" si="232"/>
        <v xml:space="preserve">  ..............</v>
      </c>
      <c r="Q849" t="str">
        <f t="shared" si="232"/>
        <v>.........</v>
      </c>
      <c r="R849" t="str">
        <f t="shared" si="241"/>
        <v>.........</v>
      </c>
      <c r="S849" t="str">
        <f t="shared" si="233"/>
        <v>.........</v>
      </c>
      <c r="T849" t="str">
        <f t="shared" si="234"/>
        <v>.........</v>
      </c>
      <c r="U849" t="str">
        <f t="shared" si="238"/>
        <v>.............</v>
      </c>
      <c r="V849" t="str">
        <f t="shared" si="242"/>
        <v>.........</v>
      </c>
      <c r="W849" t="str">
        <f t="shared" si="235"/>
        <v>.........</v>
      </c>
      <c r="X849" t="str">
        <f t="shared" si="239"/>
        <v>.......</v>
      </c>
      <c r="Y849" t="str">
        <f t="shared" si="239"/>
        <v>..............</v>
      </c>
      <c r="Z849" t="str">
        <f t="shared" si="239"/>
        <v>....</v>
      </c>
      <c r="AA849" t="str">
        <f t="shared" si="243"/>
        <v>.........</v>
      </c>
      <c r="AB849" t="str">
        <f t="shared" si="236"/>
        <v>.........</v>
      </c>
      <c r="AC849" t="str">
        <f t="shared" si="237"/>
        <v>.........</v>
      </c>
      <c r="AD849" t="str">
        <f t="shared" si="238"/>
        <v>........</v>
      </c>
      <c r="AE849" t="str">
        <f t="shared" si="244"/>
        <v>.......</v>
      </c>
      <c r="AF849" t="str">
        <f t="shared" si="240"/>
        <v>.....</v>
      </c>
      <c r="AG849" t="str">
        <f t="shared" si="240"/>
        <v>..........</v>
      </c>
      <c r="AH849" t="str">
        <f t="shared" si="245"/>
        <v>..........</v>
      </c>
      <c r="AI849" t="str">
        <f t="shared" si="230"/>
        <v>.......</v>
      </c>
      <c r="AJ849" t="str">
        <f t="shared" si="231"/>
        <v>.......</v>
      </c>
    </row>
    <row r="850" spans="1:36" x14ac:dyDescent="0.25">
      <c r="A850" t="s">
        <v>671</v>
      </c>
      <c r="P850" t="str">
        <f t="shared" si="232"/>
        <v xml:space="preserve">   2089   14  0 </v>
      </c>
      <c r="Q850" t="str">
        <f t="shared" si="232"/>
        <v xml:space="preserve">   1.022 </v>
      </c>
      <c r="R850" t="str">
        <f t="shared" si="241"/>
        <v xml:space="preserve">     0.0 </v>
      </c>
      <c r="S850" t="str">
        <f t="shared" si="233"/>
        <v xml:space="preserve">     0.0 </v>
      </c>
      <c r="T850" t="str">
        <f t="shared" si="234"/>
        <v xml:space="preserve">     0.0 </v>
      </c>
      <c r="U850" t="str">
        <f t="shared" si="238"/>
        <v xml:space="preserve">         0.0 </v>
      </c>
      <c r="V850" t="str">
        <f t="shared" si="242"/>
        <v xml:space="preserve">     0.0 </v>
      </c>
      <c r="W850" t="str">
        <f t="shared" si="235"/>
        <v xml:space="preserve">     0.0</v>
      </c>
      <c r="X850" t="str">
        <f t="shared" si="239"/>
        <v/>
      </c>
      <c r="Y850" t="str">
        <f t="shared" si="239"/>
        <v/>
      </c>
      <c r="Z850" t="str">
        <f t="shared" si="239"/>
        <v/>
      </c>
      <c r="AA850" t="str">
        <f t="shared" si="243"/>
        <v/>
      </c>
      <c r="AB850" t="str">
        <f t="shared" si="236"/>
        <v/>
      </c>
      <c r="AC850" t="str">
        <f t="shared" si="237"/>
        <v/>
      </c>
      <c r="AD850" t="str">
        <f t="shared" si="238"/>
        <v/>
      </c>
      <c r="AE850" t="str">
        <f t="shared" si="244"/>
        <v/>
      </c>
      <c r="AF850" t="str">
        <f t="shared" si="240"/>
        <v/>
      </c>
      <c r="AG850" t="str">
        <f t="shared" si="240"/>
        <v/>
      </c>
      <c r="AH850" t="str">
        <f t="shared" si="245"/>
        <v/>
      </c>
      <c r="AI850" t="str">
        <f t="shared" si="230"/>
        <v/>
      </c>
      <c r="AJ850" t="str">
        <f t="shared" si="231"/>
        <v/>
      </c>
    </row>
    <row r="851" spans="1:36" x14ac:dyDescent="0.25">
      <c r="A851" t="s">
        <v>672</v>
      </c>
      <c r="P851" t="str">
        <f t="shared" si="232"/>
        <v xml:space="preserve">  SCHARL-RS013  </v>
      </c>
      <c r="Q851" t="str">
        <f t="shared" si="232"/>
        <v xml:space="preserve">   -53.1 </v>
      </c>
      <c r="R851" t="str">
        <f t="shared" si="241"/>
        <v xml:space="preserve">     0.0 </v>
      </c>
      <c r="S851" t="str">
        <f t="shared" si="233"/>
        <v xml:space="preserve">     0.0 </v>
      </c>
      <c r="T851" t="str">
        <f t="shared" si="234"/>
        <v xml:space="preserve">     0.0 </v>
      </c>
      <c r="U851" t="str">
        <f t="shared" si="238"/>
        <v xml:space="preserve">         0.0 </v>
      </c>
      <c r="V851" t="str">
        <f t="shared" si="242"/>
        <v xml:space="preserve">     0.0 </v>
      </c>
      <c r="W851" t="str">
        <f t="shared" si="235"/>
        <v xml:space="preserve">     0.0 </v>
      </c>
      <c r="X851" t="str">
        <f t="shared" si="239"/>
        <v xml:space="preserve">       </v>
      </c>
      <c r="Y851" t="str">
        <f t="shared" si="239"/>
        <v xml:space="preserve">              </v>
      </c>
      <c r="Z851" t="str">
        <f t="shared" si="239"/>
        <v xml:space="preserve">    </v>
      </c>
      <c r="AA851" t="str">
        <f t="shared" si="243"/>
        <v xml:space="preserve">         </v>
      </c>
      <c r="AB851" t="str">
        <f t="shared" si="236"/>
        <v xml:space="preserve">         </v>
      </c>
      <c r="AC851" t="str">
        <f t="shared" si="237"/>
        <v xml:space="preserve">    </v>
      </c>
      <c r="AD851" t="str">
        <f t="shared" si="238"/>
        <v/>
      </c>
      <c r="AE851" t="str">
        <f t="shared" si="244"/>
        <v/>
      </c>
      <c r="AF851" t="str">
        <f t="shared" si="240"/>
        <v/>
      </c>
      <c r="AG851" t="str">
        <f t="shared" si="240"/>
        <v/>
      </c>
      <c r="AH851" t="str">
        <f t="shared" si="245"/>
        <v/>
      </c>
      <c r="AI851" t="str">
        <f t="shared" si="230"/>
        <v/>
      </c>
      <c r="AJ851" t="str">
        <f t="shared" si="231"/>
        <v/>
      </c>
    </row>
    <row r="852" spans="1:36" x14ac:dyDescent="0.25">
      <c r="A852" t="s">
        <v>673</v>
      </c>
      <c r="P852" t="str">
        <f t="shared" si="232"/>
        <v xml:space="preserve">                </v>
      </c>
      <c r="Q852" t="str">
        <f t="shared" si="232"/>
        <v xml:space="preserve">         </v>
      </c>
      <c r="R852" t="str">
        <f t="shared" si="241"/>
        <v xml:space="preserve">    20.0 </v>
      </c>
      <c r="S852" t="str">
        <f t="shared" si="233"/>
        <v xml:space="preserve">    20.0 </v>
      </c>
      <c r="T852" t="str">
        <f t="shared" si="234"/>
        <v xml:space="preserve">    20.0 </v>
      </c>
      <c r="U852" t="str">
        <f t="shared" si="238"/>
        <v xml:space="preserve">        0.0% </v>
      </c>
      <c r="V852" t="str">
        <f t="shared" si="242"/>
        <v xml:space="preserve">         </v>
      </c>
      <c r="W852" t="str">
        <f t="shared" si="235"/>
        <v xml:space="preserve">         </v>
      </c>
      <c r="X852" t="str">
        <f t="shared" si="239"/>
        <v xml:space="preserve">  2093 </v>
      </c>
      <c r="Y852" t="str">
        <f t="shared" si="239"/>
        <v xml:space="preserve"> SCHARL-RS000 </v>
      </c>
      <c r="Z852" t="str">
        <f t="shared" si="239"/>
        <v xml:space="preserve">  1 </v>
      </c>
      <c r="AA852" t="str">
        <f t="shared" si="243"/>
        <v xml:space="preserve">     0.0 </v>
      </c>
      <c r="AB852" t="str">
        <f t="shared" si="236"/>
        <v xml:space="preserve">     0.0 </v>
      </c>
      <c r="AC852" t="str">
        <f t="shared" si="237"/>
        <v xml:space="preserve">     0.0 </v>
      </c>
      <c r="AD852" t="str">
        <f t="shared" si="238"/>
        <v xml:space="preserve"> 1.000F </v>
      </c>
      <c r="AE852" t="str">
        <f t="shared" si="244"/>
        <v xml:space="preserve">       </v>
      </c>
      <c r="AF852" t="str">
        <f t="shared" si="240"/>
        <v xml:space="preserve">     </v>
      </c>
      <c r="AG852" t="str">
        <f t="shared" si="240"/>
        <v xml:space="preserve">     0.00 </v>
      </c>
      <c r="AH852" t="str">
        <f t="shared" si="245"/>
        <v xml:space="preserve">     0.00 </v>
      </c>
      <c r="AI852" t="str">
        <f t="shared" si="230"/>
        <v xml:space="preserve">       </v>
      </c>
      <c r="AJ852" t="str">
        <f t="shared" si="231"/>
        <v xml:space="preserve">      </v>
      </c>
    </row>
    <row r="853" spans="1:36" x14ac:dyDescent="0.25">
      <c r="A853" t="s">
        <v>14</v>
      </c>
      <c r="P853" t="str">
        <f t="shared" si="232"/>
        <v xml:space="preserve">  ..............</v>
      </c>
      <c r="Q853" t="str">
        <f t="shared" si="232"/>
        <v>.........</v>
      </c>
      <c r="R853" t="str">
        <f t="shared" si="241"/>
        <v>.........</v>
      </c>
      <c r="S853" t="str">
        <f t="shared" si="233"/>
        <v>.........</v>
      </c>
      <c r="T853" t="str">
        <f t="shared" si="234"/>
        <v>.........</v>
      </c>
      <c r="U853" t="str">
        <f t="shared" si="238"/>
        <v>.............</v>
      </c>
      <c r="V853" t="str">
        <f t="shared" si="242"/>
        <v>.........</v>
      </c>
      <c r="W853" t="str">
        <f t="shared" si="235"/>
        <v>.........</v>
      </c>
      <c r="X853" t="str">
        <f t="shared" si="239"/>
        <v>.......</v>
      </c>
      <c r="Y853" t="str">
        <f t="shared" si="239"/>
        <v>..............</v>
      </c>
      <c r="Z853" t="str">
        <f t="shared" si="239"/>
        <v>....</v>
      </c>
      <c r="AA853" t="str">
        <f t="shared" si="243"/>
        <v>.........</v>
      </c>
      <c r="AB853" t="str">
        <f t="shared" si="236"/>
        <v>.........</v>
      </c>
      <c r="AC853" t="str">
        <f t="shared" si="237"/>
        <v>.........</v>
      </c>
      <c r="AD853" t="str">
        <f t="shared" si="238"/>
        <v>........</v>
      </c>
      <c r="AE853" t="str">
        <f t="shared" si="244"/>
        <v>.......</v>
      </c>
      <c r="AF853" t="str">
        <f t="shared" si="240"/>
        <v>.....</v>
      </c>
      <c r="AG853" t="str">
        <f t="shared" si="240"/>
        <v>..........</v>
      </c>
      <c r="AH853" t="str">
        <f t="shared" si="245"/>
        <v>..........</v>
      </c>
      <c r="AI853" t="str">
        <f t="shared" si="230"/>
        <v>.......</v>
      </c>
      <c r="AJ853" t="str">
        <f t="shared" si="231"/>
        <v>.......</v>
      </c>
    </row>
    <row r="854" spans="1:36" x14ac:dyDescent="0.25">
      <c r="A854" t="s">
        <v>674</v>
      </c>
      <c r="P854" t="str">
        <f t="shared" si="232"/>
        <v xml:space="preserve">   2090  138  0 </v>
      </c>
      <c r="Q854" t="str">
        <f t="shared" si="232"/>
        <v xml:space="preserve">   1.020 </v>
      </c>
      <c r="R854" t="str">
        <f t="shared" si="241"/>
        <v xml:space="preserve">     5.1 </v>
      </c>
      <c r="S854" t="str">
        <f t="shared" si="233"/>
        <v xml:space="preserve">     0.0 </v>
      </c>
      <c r="T854" t="str">
        <f t="shared" si="234"/>
        <v xml:space="preserve">    50.0 </v>
      </c>
      <c r="U854" t="str">
        <f t="shared" si="238"/>
        <v xml:space="preserve">         0.0 </v>
      </c>
      <c r="V854" t="str">
        <f t="shared" si="242"/>
        <v xml:space="preserve">     3.7 </v>
      </c>
      <c r="W854" t="str">
        <f t="shared" si="235"/>
        <v xml:space="preserve">     0.0</v>
      </c>
      <c r="X854" t="str">
        <f t="shared" si="239"/>
        <v/>
      </c>
      <c r="Y854" t="str">
        <f t="shared" si="239"/>
        <v/>
      </c>
      <c r="Z854" t="str">
        <f t="shared" si="239"/>
        <v/>
      </c>
      <c r="AA854" t="str">
        <f t="shared" si="243"/>
        <v/>
      </c>
      <c r="AB854" t="str">
        <f t="shared" si="236"/>
        <v/>
      </c>
      <c r="AC854" t="str">
        <f t="shared" si="237"/>
        <v/>
      </c>
      <c r="AD854" t="str">
        <f t="shared" si="238"/>
        <v/>
      </c>
      <c r="AE854" t="str">
        <f t="shared" si="244"/>
        <v/>
      </c>
      <c r="AF854" t="str">
        <f t="shared" si="240"/>
        <v/>
      </c>
      <c r="AG854" t="str">
        <f t="shared" si="240"/>
        <v/>
      </c>
      <c r="AH854" t="str">
        <f t="shared" si="245"/>
        <v/>
      </c>
      <c r="AI854" t="str">
        <f t="shared" si="230"/>
        <v/>
      </c>
      <c r="AJ854" t="str">
        <f t="shared" si="231"/>
        <v/>
      </c>
    </row>
    <row r="855" spans="1:36" x14ac:dyDescent="0.25">
      <c r="A855" t="s">
        <v>675</v>
      </c>
      <c r="P855" t="str">
        <f t="shared" si="232"/>
        <v xml:space="preserve">  SCHARL-RS138  </v>
      </c>
      <c r="Q855" t="str">
        <f t="shared" si="232"/>
        <v xml:space="preserve">   -52.8 </v>
      </c>
      <c r="R855" t="str">
        <f t="shared" si="241"/>
        <v xml:space="preserve">     0.0 </v>
      </c>
      <c r="S855" t="str">
        <f t="shared" si="233"/>
        <v xml:space="preserve">     0.0 </v>
      </c>
      <c r="T855" t="str">
        <f t="shared" si="234"/>
        <v xml:space="preserve">     9.8 </v>
      </c>
      <c r="U855" t="str">
        <f t="shared" si="238"/>
        <v xml:space="preserve">         0.0 </v>
      </c>
      <c r="V855" t="str">
        <f t="shared" si="242"/>
        <v xml:space="preserve">     0.0 </v>
      </c>
      <c r="W855" t="str">
        <f t="shared" si="235"/>
        <v xml:space="preserve">     0.0 </v>
      </c>
      <c r="X855" t="str">
        <f t="shared" si="239"/>
        <v xml:space="preserve">       </v>
      </c>
      <c r="Y855" t="str">
        <f t="shared" si="239"/>
        <v xml:space="preserve">              </v>
      </c>
      <c r="Z855" t="str">
        <f t="shared" si="239"/>
        <v xml:space="preserve">    </v>
      </c>
      <c r="AA855" t="str">
        <f t="shared" si="243"/>
        <v xml:space="preserve">         </v>
      </c>
      <c r="AB855" t="str">
        <f t="shared" si="236"/>
        <v xml:space="preserve">         </v>
      </c>
      <c r="AC855" t="str">
        <f t="shared" si="237"/>
        <v xml:space="preserve">    </v>
      </c>
      <c r="AD855" t="str">
        <f t="shared" si="238"/>
        <v/>
      </c>
      <c r="AE855" t="str">
        <f t="shared" si="244"/>
        <v/>
      </c>
      <c r="AF855" t="str">
        <f t="shared" si="240"/>
        <v/>
      </c>
      <c r="AG855" t="str">
        <f t="shared" si="240"/>
        <v/>
      </c>
      <c r="AH855" t="str">
        <f t="shared" si="245"/>
        <v/>
      </c>
      <c r="AI855" t="str">
        <f t="shared" ref="AI855:AI918" si="246">MID($A855,AG$8+AG$9+AH$9-2,AI$9)</f>
        <v/>
      </c>
      <c r="AJ855" t="str">
        <f t="shared" ref="AJ855:AJ918" si="247">MID($A855,AG$8+AG$9+AH$9+AI$9-3,AJ$9)</f>
        <v/>
      </c>
    </row>
    <row r="856" spans="1:36" x14ac:dyDescent="0.25">
      <c r="A856" t="s">
        <v>676</v>
      </c>
      <c r="P856" t="str">
        <f t="shared" si="232"/>
        <v xml:space="preserve">              DE</v>
      </c>
      <c r="Q856" t="str">
        <f t="shared" si="232"/>
        <v xml:space="preserve">ESLIGADO </v>
      </c>
      <c r="R856" t="str">
        <f t="shared" si="241"/>
        <v xml:space="preserve">   137.0 </v>
      </c>
      <c r="S856" t="str">
        <f t="shared" si="233"/>
        <v xml:space="preserve">   175.0 </v>
      </c>
      <c r="T856" t="str">
        <f t="shared" si="234"/>
        <v xml:space="preserve">   175.0 </v>
      </c>
      <c r="U856" t="str">
        <f t="shared" si="238"/>
        <v xml:space="preserve">             </v>
      </c>
      <c r="V856" t="str">
        <f t="shared" si="242"/>
        <v xml:space="preserve">         </v>
      </c>
      <c r="W856" t="str">
        <f t="shared" si="235"/>
        <v xml:space="preserve">         </v>
      </c>
      <c r="X856" t="str">
        <f t="shared" si="239"/>
        <v xml:space="preserve">  1241 </v>
      </c>
      <c r="Y856" t="str">
        <f t="shared" si="239"/>
        <v xml:space="preserve"> EVELHA-RS138 </v>
      </c>
      <c r="Z856" t="str">
        <f t="shared" si="239"/>
        <v xml:space="preserve">  1 </v>
      </c>
      <c r="AA856" t="str">
        <f t="shared" si="243"/>
        <v xml:space="preserve">     0.0 </v>
      </c>
      <c r="AB856" t="str">
        <f t="shared" si="236"/>
        <v xml:space="preserve">     0.0 </v>
      </c>
      <c r="AC856" t="str">
        <f t="shared" si="237"/>
        <v xml:space="preserve">     0.0 </v>
      </c>
      <c r="AD856" t="str">
        <f t="shared" si="238"/>
        <v xml:space="preserve">        </v>
      </c>
      <c r="AE856" t="str">
        <f t="shared" si="244"/>
        <v xml:space="preserve">       </v>
      </c>
      <c r="AF856" t="str">
        <f t="shared" si="240"/>
        <v xml:space="preserve">     </v>
      </c>
      <c r="AG856" t="str">
        <f t="shared" si="240"/>
        <v xml:space="preserve">     0.00 </v>
      </c>
      <c r="AH856" t="str">
        <f t="shared" si="245"/>
        <v xml:space="preserve">     0.00 </v>
      </c>
      <c r="AI856" t="str">
        <f t="shared" si="246"/>
        <v xml:space="preserve">       </v>
      </c>
      <c r="AJ856" t="str">
        <f t="shared" si="247"/>
        <v xml:space="preserve">      </v>
      </c>
    </row>
    <row r="857" spans="1:36" x14ac:dyDescent="0.25">
      <c r="A857" t="s">
        <v>677</v>
      </c>
      <c r="P857" t="str">
        <f t="shared" si="232"/>
        <v xml:space="preserve">                </v>
      </c>
      <c r="Q857" t="str">
        <f t="shared" si="232"/>
        <v xml:space="preserve">         </v>
      </c>
      <c r="R857" t="str">
        <f t="shared" si="241"/>
        <v xml:space="preserve">   134.0 </v>
      </c>
      <c r="S857" t="str">
        <f t="shared" si="233"/>
        <v xml:space="preserve">   162.0 </v>
      </c>
      <c r="T857" t="str">
        <f t="shared" si="234"/>
        <v xml:space="preserve">   162.0 </v>
      </c>
      <c r="U857" t="str">
        <f t="shared" si="238"/>
        <v xml:space="preserve">       13.9% </v>
      </c>
      <c r="V857" t="str">
        <f t="shared" si="242"/>
        <v xml:space="preserve">         </v>
      </c>
      <c r="W857" t="str">
        <f t="shared" si="235"/>
        <v xml:space="preserve">         </v>
      </c>
      <c r="X857" t="str">
        <f t="shared" si="239"/>
        <v xml:space="preserve">  2076 </v>
      </c>
      <c r="Y857" t="str">
        <f t="shared" si="239"/>
        <v xml:space="preserve"> PORTAO-RS138 </v>
      </c>
      <c r="Z857" t="str">
        <f t="shared" si="239"/>
        <v xml:space="preserve">  1 </v>
      </c>
      <c r="AA857" t="str">
        <f t="shared" si="243"/>
        <v xml:space="preserve">    19.0 </v>
      </c>
      <c r="AB857" t="str">
        <f t="shared" si="236"/>
        <v xml:space="preserve">     0.8 </v>
      </c>
      <c r="AC857" t="str">
        <f t="shared" si="237"/>
        <v xml:space="preserve">    18.7 </v>
      </c>
      <c r="AD857" t="str">
        <f t="shared" si="238"/>
        <v xml:space="preserve">        </v>
      </c>
      <c r="AE857" t="str">
        <f t="shared" si="244"/>
        <v xml:space="preserve">       </v>
      </c>
      <c r="AF857" t="str">
        <f t="shared" si="240"/>
        <v xml:space="preserve">     </v>
      </c>
      <c r="AG857" t="str">
        <f t="shared" si="240"/>
        <v xml:space="preserve">     0.04 </v>
      </c>
      <c r="AH857" t="str">
        <f t="shared" si="245"/>
        <v xml:space="preserve">    -0.69 </v>
      </c>
      <c r="AI857" t="str">
        <f t="shared" si="246"/>
        <v xml:space="preserve">       </v>
      </c>
      <c r="AJ857" t="str">
        <f t="shared" si="247"/>
        <v xml:space="preserve">      </v>
      </c>
    </row>
    <row r="858" spans="1:36" x14ac:dyDescent="0.25">
      <c r="A858" t="s">
        <v>678</v>
      </c>
      <c r="P858" t="str">
        <f t="shared" si="232"/>
        <v xml:space="preserve">                </v>
      </c>
      <c r="Q858" t="str">
        <f t="shared" si="232"/>
        <v xml:space="preserve">         </v>
      </c>
      <c r="R858" t="str">
        <f t="shared" si="241"/>
        <v xml:space="preserve">   108.0 </v>
      </c>
      <c r="S858" t="str">
        <f t="shared" si="233"/>
        <v xml:space="preserve">   108.0 </v>
      </c>
      <c r="T858" t="str">
        <f t="shared" si="234"/>
        <v xml:space="preserve">   108.0 </v>
      </c>
      <c r="U858" t="str">
        <f t="shared" si="238"/>
        <v xml:space="preserve">       11.8% </v>
      </c>
      <c r="V858" t="str">
        <f t="shared" si="242"/>
        <v xml:space="preserve">         </v>
      </c>
      <c r="W858" t="str">
        <f t="shared" si="235"/>
        <v xml:space="preserve">         </v>
      </c>
      <c r="X858" t="str">
        <f t="shared" si="239"/>
        <v xml:space="preserve">  2084 </v>
      </c>
      <c r="Y858" t="str">
        <f t="shared" si="239"/>
        <v xml:space="preserve"> PEPSI--RS138 </v>
      </c>
      <c r="Z858" t="str">
        <f t="shared" si="239"/>
        <v xml:space="preserve">  1 </v>
      </c>
      <c r="AA858" t="str">
        <f t="shared" si="243"/>
        <v xml:space="preserve">   -10.4 </v>
      </c>
      <c r="AB858" t="str">
        <f t="shared" si="236"/>
        <v xml:space="preserve">     7.8 </v>
      </c>
      <c r="AC858" t="str">
        <f t="shared" si="237"/>
        <v xml:space="preserve">    12.8 </v>
      </c>
      <c r="AD858" t="str">
        <f t="shared" si="238"/>
        <v xml:space="preserve">        </v>
      </c>
      <c r="AE858" t="str">
        <f t="shared" si="244"/>
        <v xml:space="preserve">       </v>
      </c>
      <c r="AF858" t="str">
        <f t="shared" si="240"/>
        <v xml:space="preserve">     </v>
      </c>
      <c r="AG858" t="str">
        <f t="shared" si="240"/>
        <v xml:space="preserve">     0.01 </v>
      </c>
      <c r="AH858" t="str">
        <f t="shared" si="245"/>
        <v xml:space="preserve">    -0.79 </v>
      </c>
      <c r="AI858" t="str">
        <f t="shared" si="246"/>
        <v xml:space="preserve">       </v>
      </c>
      <c r="AJ858" t="str">
        <f t="shared" si="247"/>
        <v xml:space="preserve">      </v>
      </c>
    </row>
    <row r="859" spans="1:36" x14ac:dyDescent="0.25">
      <c r="A859" t="s">
        <v>679</v>
      </c>
      <c r="P859" t="str">
        <f t="shared" ref="P859:Q922" si="248">MID($A859,P$8,P$9)</f>
        <v xml:space="preserve">                </v>
      </c>
      <c r="Q859" t="str">
        <f t="shared" si="248"/>
        <v xml:space="preserve">         </v>
      </c>
      <c r="R859" t="str">
        <f t="shared" si="241"/>
        <v xml:space="preserve">  9999.0 </v>
      </c>
      <c r="S859" t="str">
        <f t="shared" ref="S859:S922" si="249">MID($A859,Q$8+Q$9+R$9-2,S$9)</f>
        <v xml:space="preserve">  9999.0 </v>
      </c>
      <c r="T859" t="str">
        <f t="shared" ref="T859:T922" si="250">MID($A859,Q$8+Q$9+R$9+S$9-3,T$9)</f>
        <v xml:space="preserve">  9999.0 </v>
      </c>
      <c r="U859" t="str">
        <f t="shared" si="238"/>
        <v xml:space="preserve">        0.0% </v>
      </c>
      <c r="V859" t="str">
        <f t="shared" si="242"/>
        <v xml:space="preserve">         </v>
      </c>
      <c r="W859" t="str">
        <f t="shared" ref="W859:W922" si="251">MID($A859,U$8+U$9+V$9-2,W$9)</f>
        <v xml:space="preserve">         </v>
      </c>
      <c r="X859" t="str">
        <f t="shared" si="239"/>
        <v xml:space="preserve">  2093 </v>
      </c>
      <c r="Y859" t="str">
        <f t="shared" si="239"/>
        <v xml:space="preserve"> SCHARL-RS000 </v>
      </c>
      <c r="Z859" t="str">
        <f t="shared" si="239"/>
        <v xml:space="preserve">  1 </v>
      </c>
      <c r="AA859" t="str">
        <f t="shared" si="243"/>
        <v xml:space="preserve">     2.9 </v>
      </c>
      <c r="AB859" t="str">
        <f t="shared" ref="AB859:AB922" si="252">MID($A859,Z$8+Z$9+AA$9-2,AB$9)</f>
        <v xml:space="preserve">     1.2 </v>
      </c>
      <c r="AC859" t="str">
        <f t="shared" ref="AC859:AC922" si="253">MID($A859,Z$8+Z$9+AA$9+AB$9-3,AC$9)</f>
        <v xml:space="preserve">     3.1 </v>
      </c>
      <c r="AD859" t="str">
        <f t="shared" si="238"/>
        <v xml:space="preserve"> 0.996F </v>
      </c>
      <c r="AE859" t="str">
        <f t="shared" si="244"/>
        <v xml:space="preserve">       </v>
      </c>
      <c r="AF859" t="str">
        <f t="shared" si="240"/>
        <v xml:space="preserve">     </v>
      </c>
      <c r="AG859" t="str">
        <f t="shared" si="240"/>
        <v xml:space="preserve">     0.00 </v>
      </c>
      <c r="AH859" t="str">
        <f t="shared" si="245"/>
        <v xml:space="preserve">     0.02 </v>
      </c>
      <c r="AI859" t="str">
        <f t="shared" si="246"/>
        <v xml:space="preserve">       </v>
      </c>
      <c r="AJ859" t="str">
        <f t="shared" si="247"/>
        <v xml:space="preserve">      </v>
      </c>
    </row>
    <row r="860" spans="1:36" x14ac:dyDescent="0.25">
      <c r="A860" t="s">
        <v>680</v>
      </c>
      <c r="P860" t="str">
        <f t="shared" si="248"/>
        <v xml:space="preserve">                </v>
      </c>
      <c r="Q860" t="str">
        <f t="shared" si="248"/>
        <v xml:space="preserve">         </v>
      </c>
      <c r="R860" t="str">
        <f t="shared" si="241"/>
        <v xml:space="preserve">   108.0 </v>
      </c>
      <c r="S860" t="str">
        <f t="shared" si="249"/>
        <v xml:space="preserve">   108.0 </v>
      </c>
      <c r="T860" t="str">
        <f t="shared" si="250"/>
        <v xml:space="preserve">   108.0 </v>
      </c>
      <c r="U860" t="str">
        <f t="shared" ref="U860:AD923" si="254">MID($A860,U$8,U$9)</f>
        <v xml:space="preserve">       16.5% </v>
      </c>
      <c r="V860" t="str">
        <f t="shared" si="242"/>
        <v xml:space="preserve">         </v>
      </c>
      <c r="W860" t="str">
        <f t="shared" si="251"/>
        <v xml:space="preserve">         </v>
      </c>
      <c r="X860" t="str">
        <f t="shared" ref="X860:Z923" si="255">MID($A860,X$8,X$9)</f>
        <v xml:space="preserve">  2099 </v>
      </c>
      <c r="Y860" t="str">
        <f t="shared" si="255"/>
        <v xml:space="preserve"> ZOOLOG-RS138 </v>
      </c>
      <c r="Z860" t="str">
        <f t="shared" si="255"/>
        <v xml:space="preserve">  1 </v>
      </c>
      <c r="AA860" t="str">
        <f t="shared" si="243"/>
        <v xml:space="preserve">    11.7 </v>
      </c>
      <c r="AB860" t="str">
        <f t="shared" si="252"/>
        <v xml:space="preserve">    14.0 </v>
      </c>
      <c r="AC860" t="str">
        <f t="shared" si="253"/>
        <v xml:space="preserve">    17.9 </v>
      </c>
      <c r="AD860" t="str">
        <f t="shared" si="254"/>
        <v xml:space="preserve">        </v>
      </c>
      <c r="AE860" t="str">
        <f t="shared" si="244"/>
        <v xml:space="preserve">       </v>
      </c>
      <c r="AF860" t="str">
        <f t="shared" si="240"/>
        <v xml:space="preserve">     </v>
      </c>
      <c r="AG860" t="str">
        <f t="shared" si="240"/>
        <v xml:space="preserve">     0.02 </v>
      </c>
      <c r="AH860" t="str">
        <f t="shared" si="245"/>
        <v xml:space="preserve">    -0.51 </v>
      </c>
      <c r="AI860" t="str">
        <f t="shared" si="246"/>
        <v xml:space="preserve">       </v>
      </c>
      <c r="AJ860" t="str">
        <f t="shared" si="247"/>
        <v xml:space="preserve">      </v>
      </c>
    </row>
    <row r="861" spans="1:36" x14ac:dyDescent="0.25">
      <c r="A861" t="s">
        <v>681</v>
      </c>
      <c r="P861" t="str">
        <f t="shared" si="248"/>
        <v xml:space="preserve">                </v>
      </c>
      <c r="Q861" t="str">
        <f t="shared" si="248"/>
        <v xml:space="preserve">         </v>
      </c>
      <c r="R861" t="str">
        <f t="shared" si="241"/>
        <v xml:space="preserve">   167.0 </v>
      </c>
      <c r="S861" t="str">
        <f t="shared" si="249"/>
        <v xml:space="preserve">   203.0 </v>
      </c>
      <c r="T861" t="str">
        <f t="shared" si="250"/>
        <v xml:space="preserve">   203.0 </v>
      </c>
      <c r="U861" t="str">
        <f t="shared" si="254"/>
        <v xml:space="preserve">       41.3% </v>
      </c>
      <c r="V861" t="str">
        <f t="shared" si="242"/>
        <v xml:space="preserve">         </v>
      </c>
      <c r="W861" t="str">
        <f t="shared" si="251"/>
        <v xml:space="preserve">         </v>
      </c>
      <c r="X861" t="str">
        <f t="shared" si="255"/>
        <v xml:space="preserve">  9200 </v>
      </c>
      <c r="Y861" t="str">
        <f t="shared" si="255"/>
        <v xml:space="preserve"> SLEOP2-RS138 </v>
      </c>
      <c r="Z861" t="str">
        <f t="shared" si="255"/>
        <v xml:space="preserve">  1 </v>
      </c>
      <c r="AA861" t="str">
        <f t="shared" si="243"/>
        <v xml:space="preserve">    67.4 </v>
      </c>
      <c r="AB861" t="str">
        <f t="shared" si="252"/>
        <v xml:space="preserve">    20.0 </v>
      </c>
      <c r="AC861" t="str">
        <f t="shared" si="253"/>
        <v xml:space="preserve">    68.9 </v>
      </c>
      <c r="AD861" t="str">
        <f t="shared" si="254"/>
        <v xml:space="preserve">        </v>
      </c>
      <c r="AE861" t="str">
        <f t="shared" si="244"/>
        <v xml:space="preserve">       </v>
      </c>
      <c r="AF861" t="str">
        <f t="shared" ref="AF861:AG924" si="256">MID($A861,AF$8,AF$9)</f>
        <v xml:space="preserve">     </v>
      </c>
      <c r="AG861" t="str">
        <f t="shared" si="256"/>
        <v xml:space="preserve">     0.29 </v>
      </c>
      <c r="AH861" t="str">
        <f t="shared" si="245"/>
        <v xml:space="preserve">     0.40 </v>
      </c>
      <c r="AI861" t="str">
        <f t="shared" si="246"/>
        <v xml:space="preserve">       </v>
      </c>
      <c r="AJ861" t="str">
        <f t="shared" si="247"/>
        <v xml:space="preserve">      </v>
      </c>
    </row>
    <row r="862" spans="1:36" x14ac:dyDescent="0.25">
      <c r="A862" t="s">
        <v>682</v>
      </c>
      <c r="P862" t="str">
        <f t="shared" si="248"/>
        <v xml:space="preserve">                </v>
      </c>
      <c r="Q862" t="str">
        <f t="shared" si="248"/>
        <v xml:space="preserve">         </v>
      </c>
      <c r="R862" t="str">
        <f t="shared" si="241"/>
        <v xml:space="preserve">   167.0 </v>
      </c>
      <c r="S862" t="str">
        <f t="shared" si="249"/>
        <v xml:space="preserve">   203.0 </v>
      </c>
      <c r="T862" t="str">
        <f t="shared" si="250"/>
        <v xml:space="preserve">   203.0 </v>
      </c>
      <c r="U862" t="str">
        <f t="shared" si="254"/>
        <v xml:space="preserve">       25.4% </v>
      </c>
      <c r="V862" t="str">
        <f t="shared" si="242"/>
        <v xml:space="preserve">         </v>
      </c>
      <c r="W862" t="str">
        <f t="shared" si="251"/>
        <v xml:space="preserve">         </v>
      </c>
      <c r="X862" t="str">
        <f t="shared" si="255"/>
        <v xml:space="preserve">  9215 </v>
      </c>
      <c r="Y862" t="str">
        <f t="shared" si="255"/>
        <v xml:space="preserve"> NHAMB2-RS138 </v>
      </c>
      <c r="Z862" t="str">
        <f t="shared" si="255"/>
        <v xml:space="preserve">  1 </v>
      </c>
      <c r="AA862" t="str">
        <f t="shared" si="243"/>
        <v xml:space="preserve">    42.0 </v>
      </c>
      <c r="AB862" t="str">
        <f t="shared" si="252"/>
        <v xml:space="preserve">    10.6 </v>
      </c>
      <c r="AC862" t="str">
        <f t="shared" si="253"/>
        <v xml:space="preserve">    42.5 </v>
      </c>
      <c r="AD862" t="str">
        <f t="shared" si="254"/>
        <v xml:space="preserve">        </v>
      </c>
      <c r="AE862" t="str">
        <f t="shared" si="244"/>
        <v xml:space="preserve">       </v>
      </c>
      <c r="AF862" t="str">
        <f t="shared" si="256"/>
        <v xml:space="preserve">     </v>
      </c>
      <c r="AG862" t="str">
        <f t="shared" si="256"/>
        <v xml:space="preserve">     0.10 </v>
      </c>
      <c r="AH862" t="str">
        <f t="shared" si="245"/>
        <v xml:space="preserve">    -0.18 </v>
      </c>
      <c r="AI862" t="str">
        <f t="shared" si="246"/>
        <v xml:space="preserve">       </v>
      </c>
      <c r="AJ862" t="str">
        <f t="shared" si="247"/>
        <v xml:space="preserve">      </v>
      </c>
    </row>
    <row r="863" spans="1:36" x14ac:dyDescent="0.25">
      <c r="A863" t="s">
        <v>683</v>
      </c>
      <c r="P863" t="str">
        <f t="shared" si="248"/>
        <v xml:space="preserve">                </v>
      </c>
      <c r="Q863" t="str">
        <f t="shared" si="248"/>
        <v xml:space="preserve">         </v>
      </c>
      <c r="R863" t="str">
        <f t="shared" si="241"/>
        <v xml:space="preserve">   150.0 </v>
      </c>
      <c r="S863" t="str">
        <f t="shared" si="249"/>
        <v xml:space="preserve">   195.0 </v>
      </c>
      <c r="T863" t="str">
        <f t="shared" si="250"/>
        <v xml:space="preserve">   195.0 </v>
      </c>
      <c r="U863" t="str">
        <f t="shared" si="254"/>
        <v xml:space="preserve">       40.8% </v>
      </c>
      <c r="V863" t="str">
        <f t="shared" si="242"/>
        <v xml:space="preserve">         </v>
      </c>
      <c r="W863" t="str">
        <f t="shared" si="251"/>
        <v xml:space="preserve">         </v>
      </c>
      <c r="X863" t="str">
        <f t="shared" si="255"/>
        <v xml:space="preserve"> 41360 </v>
      </c>
      <c r="Y863" t="str">
        <f t="shared" si="255"/>
        <v xml:space="preserve"> SC2--1-RS000 </v>
      </c>
      <c r="Z863" t="str">
        <f t="shared" si="255"/>
        <v xml:space="preserve">  1 </v>
      </c>
      <c r="AA863" t="str">
        <f t="shared" si="243"/>
        <v xml:space="preserve">   -59.1 </v>
      </c>
      <c r="AB863" t="str">
        <f t="shared" si="252"/>
        <v xml:space="preserve">   -20.1 </v>
      </c>
      <c r="AC863" t="str">
        <f t="shared" si="253"/>
        <v xml:space="preserve">    61.2 </v>
      </c>
      <c r="AD863" t="str">
        <f t="shared" si="254"/>
        <v xml:space="preserve"> 1.000F </v>
      </c>
      <c r="AE863" t="str">
        <f t="shared" si="244"/>
        <v xml:space="preserve">       </v>
      </c>
      <c r="AF863" t="str">
        <f t="shared" si="256"/>
        <v xml:space="preserve"> 002 </v>
      </c>
      <c r="AG863" t="str">
        <f t="shared" si="256"/>
        <v xml:space="preserve">    -0.00 </v>
      </c>
      <c r="AH863" t="str">
        <f t="shared" si="245"/>
        <v xml:space="preserve">    -0.17 </v>
      </c>
      <c r="AI863" t="str">
        <f t="shared" si="246"/>
        <v xml:space="preserve">       </v>
      </c>
      <c r="AJ863" t="str">
        <f t="shared" si="247"/>
        <v xml:space="preserve">      </v>
      </c>
    </row>
    <row r="864" spans="1:36" x14ac:dyDescent="0.25">
      <c r="A864" t="s">
        <v>684</v>
      </c>
      <c r="P864" t="str">
        <f t="shared" si="248"/>
        <v xml:space="preserve">                </v>
      </c>
      <c r="Q864" t="str">
        <f t="shared" si="248"/>
        <v xml:space="preserve">         </v>
      </c>
      <c r="R864" t="str">
        <f t="shared" si="241"/>
        <v xml:space="preserve">   150.0 </v>
      </c>
      <c r="S864" t="str">
        <f t="shared" si="249"/>
        <v xml:space="preserve">   195.0 </v>
      </c>
      <c r="T864" t="str">
        <f t="shared" si="250"/>
        <v xml:space="preserve">   195.0 </v>
      </c>
      <c r="U864" t="str">
        <f t="shared" si="254"/>
        <v xml:space="preserve">       40.7% </v>
      </c>
      <c r="V864" t="str">
        <f t="shared" si="242"/>
        <v xml:space="preserve">         </v>
      </c>
      <c r="W864" t="str">
        <f t="shared" si="251"/>
        <v xml:space="preserve">         </v>
      </c>
      <c r="X864" t="str">
        <f t="shared" si="255"/>
        <v xml:space="preserve"> 41361 </v>
      </c>
      <c r="Y864" t="str">
        <f t="shared" si="255"/>
        <v xml:space="preserve"> SC2--3-RS000 </v>
      </c>
      <c r="Z864" t="str">
        <f t="shared" si="255"/>
        <v xml:space="preserve">  3 </v>
      </c>
      <c r="AA864" t="str">
        <f t="shared" si="243"/>
        <v xml:space="preserve">   -58.9 </v>
      </c>
      <c r="AB864" t="str">
        <f t="shared" si="252"/>
        <v xml:space="preserve">   -20.0 </v>
      </c>
      <c r="AC864" t="str">
        <f t="shared" si="253"/>
        <v xml:space="preserve">    61.0 </v>
      </c>
      <c r="AD864" t="str">
        <f t="shared" si="254"/>
        <v xml:space="preserve"> 1.000F </v>
      </c>
      <c r="AE864" t="str">
        <f t="shared" si="244"/>
        <v xml:space="preserve">       </v>
      </c>
      <c r="AF864" t="str">
        <f t="shared" si="256"/>
        <v xml:space="preserve"> 002 </v>
      </c>
      <c r="AG864" t="str">
        <f t="shared" si="256"/>
        <v xml:space="preserve">    -0.00 </v>
      </c>
      <c r="AH864" t="str">
        <f t="shared" si="245"/>
        <v xml:space="preserve">    -0.16 </v>
      </c>
      <c r="AI864" t="str">
        <f t="shared" si="246"/>
        <v xml:space="preserve">       </v>
      </c>
      <c r="AJ864" t="str">
        <f t="shared" si="247"/>
        <v xml:space="preserve">      </v>
      </c>
    </row>
    <row r="865" spans="1:36" x14ac:dyDescent="0.25">
      <c r="A865" t="s">
        <v>685</v>
      </c>
      <c r="P865" t="str">
        <f t="shared" si="248"/>
        <v xml:space="preserve">                </v>
      </c>
      <c r="Q865" t="str">
        <f t="shared" si="248"/>
        <v xml:space="preserve">         </v>
      </c>
      <c r="R865" t="str">
        <f t="shared" si="241"/>
        <v xml:space="preserve">   150.0 </v>
      </c>
      <c r="S865" t="str">
        <f t="shared" si="249"/>
        <v xml:space="preserve">   195.0 </v>
      </c>
      <c r="T865" t="str">
        <f t="shared" si="250"/>
        <v xml:space="preserve">   195.0 </v>
      </c>
      <c r="U865" t="str">
        <f t="shared" si="254"/>
        <v xml:space="preserve">       41.1% </v>
      </c>
      <c r="V865" t="str">
        <f t="shared" si="242"/>
        <v xml:space="preserve">         </v>
      </c>
      <c r="W865" t="str">
        <f t="shared" si="251"/>
        <v xml:space="preserve">         </v>
      </c>
      <c r="X865" t="str">
        <f t="shared" si="255"/>
        <v xml:space="preserve"> 41362 </v>
      </c>
      <c r="Y865" t="str">
        <f t="shared" si="255"/>
        <v xml:space="preserve"> SC2--2-RS000 </v>
      </c>
      <c r="Z865" t="str">
        <f t="shared" si="255"/>
        <v xml:space="preserve">  2 </v>
      </c>
      <c r="AA865" t="str">
        <f t="shared" si="243"/>
        <v xml:space="preserve">   -59.5 </v>
      </c>
      <c r="AB865" t="str">
        <f t="shared" si="252"/>
        <v xml:space="preserve">   -20.3 </v>
      </c>
      <c r="AC865" t="str">
        <f t="shared" si="253"/>
        <v xml:space="preserve">    61.6 </v>
      </c>
      <c r="AD865" t="str">
        <f t="shared" si="254"/>
        <v xml:space="preserve"> 1.000F </v>
      </c>
      <c r="AE865" t="str">
        <f t="shared" si="244"/>
        <v xml:space="preserve">       </v>
      </c>
      <c r="AF865" t="str">
        <f t="shared" si="256"/>
        <v xml:space="preserve"> 002 </v>
      </c>
      <c r="AG865" t="str">
        <f t="shared" si="256"/>
        <v xml:space="preserve">    -0.01 </v>
      </c>
      <c r="AH865" t="str">
        <f t="shared" si="245"/>
        <v xml:space="preserve">    -0.30 </v>
      </c>
      <c r="AI865" t="str">
        <f t="shared" si="246"/>
        <v xml:space="preserve">       </v>
      </c>
      <c r="AJ865" t="str">
        <f t="shared" si="247"/>
        <v xml:space="preserve">      </v>
      </c>
    </row>
    <row r="866" spans="1:36" x14ac:dyDescent="0.25">
      <c r="A866" t="s">
        <v>14</v>
      </c>
      <c r="P866" t="str">
        <f t="shared" si="248"/>
        <v xml:space="preserve">  ..............</v>
      </c>
      <c r="Q866" t="str">
        <f t="shared" si="248"/>
        <v>.........</v>
      </c>
      <c r="R866" t="str">
        <f t="shared" si="241"/>
        <v>.........</v>
      </c>
      <c r="S866" t="str">
        <f t="shared" si="249"/>
        <v>.........</v>
      </c>
      <c r="T866" t="str">
        <f t="shared" si="250"/>
        <v>.........</v>
      </c>
      <c r="U866" t="str">
        <f t="shared" si="254"/>
        <v>.............</v>
      </c>
      <c r="V866" t="str">
        <f t="shared" si="242"/>
        <v>.........</v>
      </c>
      <c r="W866" t="str">
        <f t="shared" si="251"/>
        <v>.........</v>
      </c>
      <c r="X866" t="str">
        <f t="shared" si="255"/>
        <v>.......</v>
      </c>
      <c r="Y866" t="str">
        <f t="shared" si="255"/>
        <v>..............</v>
      </c>
      <c r="Z866" t="str">
        <f t="shared" si="255"/>
        <v>....</v>
      </c>
      <c r="AA866" t="str">
        <f t="shared" si="243"/>
        <v>.........</v>
      </c>
      <c r="AB866" t="str">
        <f t="shared" si="252"/>
        <v>.........</v>
      </c>
      <c r="AC866" t="str">
        <f t="shared" si="253"/>
        <v>.........</v>
      </c>
      <c r="AD866" t="str">
        <f t="shared" si="254"/>
        <v>........</v>
      </c>
      <c r="AE866" t="str">
        <f t="shared" si="244"/>
        <v>.......</v>
      </c>
      <c r="AF866" t="str">
        <f t="shared" si="256"/>
        <v>.....</v>
      </c>
      <c r="AG866" t="str">
        <f t="shared" si="256"/>
        <v>..........</v>
      </c>
      <c r="AH866" t="str">
        <f t="shared" si="245"/>
        <v>..........</v>
      </c>
      <c r="AI866" t="str">
        <f t="shared" si="246"/>
        <v>.......</v>
      </c>
      <c r="AJ866" t="str">
        <f t="shared" si="247"/>
        <v>.......</v>
      </c>
    </row>
    <row r="867" spans="1:36" x14ac:dyDescent="0.25">
      <c r="A867" t="s">
        <v>686</v>
      </c>
      <c r="P867" t="str">
        <f t="shared" si="248"/>
        <v xml:space="preserve">_x000C_CEPEL - CENTRO </v>
      </c>
      <c r="Q867" t="str">
        <f t="shared" si="248"/>
        <v xml:space="preserve"> DE PESQU</v>
      </c>
      <c r="R867" t="str">
        <f t="shared" si="241"/>
        <v xml:space="preserve">UISAS DE </v>
      </c>
      <c r="S867" t="str">
        <f t="shared" si="249"/>
        <v xml:space="preserve"> ENERGIA </v>
      </c>
      <c r="T867" t="str">
        <f t="shared" si="250"/>
        <v xml:space="preserve"> ELETRICA</v>
      </c>
      <c r="U867" t="str">
        <f t="shared" si="254"/>
        <v xml:space="preserve">A - PROGRAMA </v>
      </c>
      <c r="V867" t="str">
        <f t="shared" si="242"/>
        <v xml:space="preserve"> DE ANALI</v>
      </c>
      <c r="W867" t="str">
        <f t="shared" si="251"/>
        <v>ISE DE RE</v>
      </c>
      <c r="X867" t="str">
        <f t="shared" si="255"/>
        <v xml:space="preserve">EDES - </v>
      </c>
      <c r="Y867" t="str">
        <f t="shared" si="255"/>
        <v xml:space="preserve"> V11.06.02    </v>
      </c>
      <c r="Z867" t="str">
        <f t="shared" si="255"/>
        <v xml:space="preserve">    </v>
      </c>
      <c r="AA867" t="str">
        <f t="shared" si="243"/>
        <v xml:space="preserve">         </v>
      </c>
      <c r="AB867" t="str">
        <f t="shared" si="252"/>
        <v xml:space="preserve">         </v>
      </c>
      <c r="AC867" t="str">
        <f t="shared" si="253"/>
        <v xml:space="preserve">         </v>
      </c>
      <c r="AD867" t="str">
        <f t="shared" si="254"/>
        <v xml:space="preserve">   PAG. </v>
      </c>
      <c r="AE867" t="str">
        <f t="shared" si="244"/>
        <v xml:space="preserve">   6</v>
      </c>
      <c r="AF867" t="str">
        <f t="shared" si="256"/>
        <v/>
      </c>
      <c r="AG867" t="str">
        <f t="shared" si="256"/>
        <v/>
      </c>
      <c r="AH867" t="str">
        <f t="shared" si="245"/>
        <v/>
      </c>
      <c r="AI867" t="str">
        <f t="shared" si="246"/>
        <v/>
      </c>
      <c r="AJ867" t="str">
        <f t="shared" si="247"/>
        <v/>
      </c>
    </row>
    <row r="868" spans="1:36" x14ac:dyDescent="0.25">
      <c r="P868" t="str">
        <f t="shared" si="248"/>
        <v/>
      </c>
      <c r="Q868" t="str">
        <f t="shared" si="248"/>
        <v/>
      </c>
      <c r="R868" t="str">
        <f t="shared" si="241"/>
        <v/>
      </c>
      <c r="S868" t="str">
        <f t="shared" si="249"/>
        <v/>
      </c>
      <c r="T868" t="str">
        <f t="shared" si="250"/>
        <v/>
      </c>
      <c r="U868" t="str">
        <f t="shared" si="254"/>
        <v/>
      </c>
      <c r="V868" t="str">
        <f t="shared" si="242"/>
        <v/>
      </c>
      <c r="W868" t="str">
        <f t="shared" si="251"/>
        <v/>
      </c>
      <c r="X868" t="str">
        <f t="shared" si="255"/>
        <v/>
      </c>
      <c r="Y868" t="str">
        <f t="shared" si="255"/>
        <v/>
      </c>
      <c r="Z868" t="str">
        <f t="shared" si="255"/>
        <v/>
      </c>
      <c r="AA868" t="str">
        <f t="shared" si="243"/>
        <v/>
      </c>
      <c r="AB868" t="str">
        <f t="shared" si="252"/>
        <v/>
      </c>
      <c r="AC868" t="str">
        <f t="shared" si="253"/>
        <v/>
      </c>
      <c r="AD868" t="str">
        <f t="shared" si="254"/>
        <v/>
      </c>
      <c r="AE868" t="str">
        <f t="shared" si="244"/>
        <v/>
      </c>
      <c r="AF868" t="str">
        <f t="shared" si="256"/>
        <v/>
      </c>
      <c r="AG868" t="str">
        <f t="shared" si="256"/>
        <v/>
      </c>
      <c r="AH868" t="str">
        <f t="shared" si="245"/>
        <v/>
      </c>
      <c r="AI868" t="str">
        <f t="shared" si="246"/>
        <v/>
      </c>
      <c r="AJ868" t="str">
        <f t="shared" si="247"/>
        <v/>
      </c>
    </row>
    <row r="869" spans="1:36" x14ac:dyDescent="0.25">
      <c r="A869" t="s">
        <v>1</v>
      </c>
      <c r="P869" t="str">
        <f t="shared" si="248"/>
        <v xml:space="preserve"> PARPEL 23-27 * </v>
      </c>
      <c r="Q869" t="str">
        <f t="shared" si="248"/>
        <v xml:space="preserve"> MG-GODF </v>
      </c>
      <c r="R869" t="str">
        <f t="shared" si="241"/>
        <v xml:space="preserve"> * I27M *</v>
      </c>
      <c r="S869" t="str">
        <f t="shared" si="249"/>
        <v>* NEexp *</v>
      </c>
      <c r="T869" t="str">
        <f t="shared" si="250"/>
        <v>* NESE 88</v>
      </c>
      <c r="U869" t="str">
        <f t="shared" si="254"/>
        <v>800 UFVMG 90%</v>
      </c>
      <c r="V869" t="str">
        <f t="shared" si="242"/>
        <v>% * UFVAl</v>
      </c>
      <c r="W869" t="str">
        <f t="shared" si="251"/>
        <v>lves120MW</v>
      </c>
      <c r="X869" t="str">
        <f t="shared" si="255"/>
        <v xml:space="preserve">W     </v>
      </c>
      <c r="Y869" t="str">
        <f t="shared" si="255"/>
        <v/>
      </c>
      <c r="Z869" t="str">
        <f t="shared" si="255"/>
        <v/>
      </c>
      <c r="AA869" t="str">
        <f t="shared" si="243"/>
        <v/>
      </c>
      <c r="AB869" t="str">
        <f t="shared" si="252"/>
        <v/>
      </c>
      <c r="AC869" t="str">
        <f t="shared" si="253"/>
        <v/>
      </c>
      <c r="AD869" t="str">
        <f t="shared" si="254"/>
        <v/>
      </c>
      <c r="AE869" t="str">
        <f t="shared" si="244"/>
        <v/>
      </c>
      <c r="AF869" t="str">
        <f t="shared" si="256"/>
        <v/>
      </c>
      <c r="AG869" t="str">
        <f t="shared" si="256"/>
        <v/>
      </c>
      <c r="AH869" t="str">
        <f t="shared" si="245"/>
        <v/>
      </c>
      <c r="AI869" t="str">
        <f t="shared" si="246"/>
        <v/>
      </c>
      <c r="AJ869" t="str">
        <f t="shared" si="247"/>
        <v/>
      </c>
    </row>
    <row r="870" spans="1:36" x14ac:dyDescent="0.25">
      <c r="A870" t="s">
        <v>2</v>
      </c>
      <c r="P870" t="str">
        <f t="shared" si="248"/>
        <v xml:space="preserve"> RELATORIO COMPL</v>
      </c>
      <c r="Q870" t="str">
        <f t="shared" si="248"/>
        <v>LETO DO S</v>
      </c>
      <c r="R870" t="str">
        <f t="shared" si="241"/>
        <v>SISTEMA *</v>
      </c>
      <c r="S870" t="str">
        <f t="shared" si="249"/>
        <v xml:space="preserve">* AREA   </v>
      </c>
      <c r="T870" t="str">
        <f t="shared" si="250"/>
        <v xml:space="preserve"> 3 * RS -</v>
      </c>
      <c r="U870" t="str">
        <f t="shared" si="254"/>
        <v xml:space="preserve">- DIT/DIST   </v>
      </c>
      <c r="V870" t="str">
        <f t="shared" si="242"/>
        <v xml:space="preserve">         </v>
      </c>
      <c r="W870" t="str">
        <f t="shared" si="251"/>
        <v xml:space="preserve">         </v>
      </c>
      <c r="X870" t="str">
        <f t="shared" si="255"/>
        <v xml:space="preserve">     </v>
      </c>
      <c r="Y870" t="str">
        <f t="shared" si="255"/>
        <v/>
      </c>
      <c r="Z870" t="str">
        <f t="shared" si="255"/>
        <v/>
      </c>
      <c r="AA870" t="str">
        <f t="shared" si="243"/>
        <v/>
      </c>
      <c r="AB870" t="str">
        <f t="shared" si="252"/>
        <v/>
      </c>
      <c r="AC870" t="str">
        <f t="shared" si="253"/>
        <v/>
      </c>
      <c r="AD870" t="str">
        <f t="shared" si="254"/>
        <v/>
      </c>
      <c r="AE870" t="str">
        <f t="shared" si="244"/>
        <v/>
      </c>
      <c r="AF870" t="str">
        <f t="shared" si="256"/>
        <v/>
      </c>
      <c r="AG870" t="str">
        <f t="shared" si="256"/>
        <v/>
      </c>
      <c r="AH870" t="str">
        <f t="shared" si="245"/>
        <v/>
      </c>
      <c r="AI870" t="str">
        <f t="shared" si="246"/>
        <v/>
      </c>
      <c r="AJ870" t="str">
        <f t="shared" si="247"/>
        <v/>
      </c>
    </row>
    <row r="871" spans="1:36" x14ac:dyDescent="0.25">
      <c r="P871" t="str">
        <f t="shared" si="248"/>
        <v/>
      </c>
      <c r="Q871" t="str">
        <f t="shared" si="248"/>
        <v/>
      </c>
      <c r="R871" t="str">
        <f t="shared" si="241"/>
        <v/>
      </c>
      <c r="S871" t="str">
        <f t="shared" si="249"/>
        <v/>
      </c>
      <c r="T871" t="str">
        <f t="shared" si="250"/>
        <v/>
      </c>
      <c r="U871" t="str">
        <f t="shared" si="254"/>
        <v/>
      </c>
      <c r="V871" t="str">
        <f t="shared" si="242"/>
        <v/>
      </c>
      <c r="W871" t="str">
        <f t="shared" si="251"/>
        <v/>
      </c>
      <c r="X871" t="str">
        <f t="shared" si="255"/>
        <v/>
      </c>
      <c r="Y871" t="str">
        <f t="shared" si="255"/>
        <v/>
      </c>
      <c r="Z871" t="str">
        <f t="shared" si="255"/>
        <v/>
      </c>
      <c r="AA871" t="str">
        <f t="shared" si="243"/>
        <v/>
      </c>
      <c r="AB871" t="str">
        <f t="shared" si="252"/>
        <v/>
      </c>
      <c r="AC871" t="str">
        <f t="shared" si="253"/>
        <v/>
      </c>
      <c r="AD871" t="str">
        <f t="shared" si="254"/>
        <v/>
      </c>
      <c r="AE871" t="str">
        <f t="shared" si="244"/>
        <v/>
      </c>
      <c r="AF871" t="str">
        <f t="shared" si="256"/>
        <v/>
      </c>
      <c r="AG871" t="str">
        <f t="shared" si="256"/>
        <v/>
      </c>
      <c r="AH871" t="str">
        <f t="shared" si="245"/>
        <v/>
      </c>
      <c r="AI871" t="str">
        <f t="shared" si="246"/>
        <v/>
      </c>
      <c r="AJ871" t="str">
        <f t="shared" si="247"/>
        <v/>
      </c>
    </row>
    <row r="872" spans="1:36" x14ac:dyDescent="0.25">
      <c r="A872" t="s">
        <v>3</v>
      </c>
      <c r="P872" t="str">
        <f t="shared" si="248"/>
        <v xml:space="preserve"> X--------------</v>
      </c>
      <c r="Q872" t="str">
        <f t="shared" si="248"/>
        <v xml:space="preserve">-------- </v>
      </c>
      <c r="R872" t="str">
        <f t="shared" si="241"/>
        <v xml:space="preserve"> D A D O </v>
      </c>
      <c r="S872" t="str">
        <f t="shared" si="249"/>
        <v xml:space="preserve"> S  -  B </v>
      </c>
      <c r="T872" t="str">
        <f t="shared" si="250"/>
        <v xml:space="preserve"> A R R A </v>
      </c>
      <c r="U872" t="str">
        <f t="shared" si="254"/>
        <v xml:space="preserve"> ------------</v>
      </c>
      <c r="V872" t="str">
        <f t="shared" si="242"/>
        <v>---------</v>
      </c>
      <c r="W872" t="str">
        <f t="shared" si="251"/>
        <v>--------X</v>
      </c>
      <c r="X872" t="str">
        <f t="shared" si="255"/>
        <v>X------</v>
      </c>
      <c r="Y872" t="str">
        <f t="shared" si="255"/>
        <v>-------- F L U</v>
      </c>
      <c r="Z872" t="str">
        <f t="shared" si="255"/>
        <v xml:space="preserve">U X </v>
      </c>
      <c r="AA872" t="str">
        <f t="shared" si="243"/>
        <v xml:space="preserve"> O S  -  </v>
      </c>
      <c r="AB872" t="str">
        <f t="shared" si="252"/>
        <v xml:space="preserve"> C I R C </v>
      </c>
      <c r="AC872" t="str">
        <f t="shared" si="253"/>
        <v xml:space="preserve"> U I T O </v>
      </c>
      <c r="AD872" t="str">
        <f t="shared" si="254"/>
        <v xml:space="preserve"> S -----</v>
      </c>
      <c r="AE872" t="str">
        <f t="shared" si="244"/>
        <v>-------</v>
      </c>
      <c r="AF872" t="str">
        <f t="shared" si="256"/>
        <v>----X</v>
      </c>
      <c r="AG872" t="str">
        <f t="shared" si="256"/>
        <v>X--------X</v>
      </c>
      <c r="AH872" t="str">
        <f t="shared" si="245"/>
        <v>X--------X</v>
      </c>
      <c r="AI872" t="str">
        <f t="shared" si="246"/>
        <v>X------</v>
      </c>
      <c r="AJ872" t="str">
        <f t="shared" si="247"/>
        <v>------X</v>
      </c>
    </row>
    <row r="873" spans="1:36" x14ac:dyDescent="0.25">
      <c r="A873" t="s">
        <v>4</v>
      </c>
      <c r="P873" t="str">
        <f t="shared" si="248"/>
        <v xml:space="preserve">  DA BARRA      </v>
      </c>
      <c r="Q873" t="str">
        <f t="shared" si="248"/>
        <v xml:space="preserve">  TENSAO </v>
      </c>
      <c r="R873" t="str">
        <f t="shared" si="241"/>
        <v xml:space="preserve"> GERACAO </v>
      </c>
      <c r="S873" t="str">
        <f t="shared" si="249"/>
        <v xml:space="preserve"> INJ EQV </v>
      </c>
      <c r="T873" t="str">
        <f t="shared" si="250"/>
        <v xml:space="preserve">  CARGA  </v>
      </c>
      <c r="U873" t="str">
        <f t="shared" si="254"/>
        <v xml:space="preserve">  ELO CC  SHU</v>
      </c>
      <c r="V873" t="str">
        <f t="shared" si="242"/>
        <v>UNT    MO</v>
      </c>
      <c r="W873" t="str">
        <f t="shared" si="251"/>
        <v xml:space="preserve">OTOR     </v>
      </c>
      <c r="X873" t="str">
        <f t="shared" si="255"/>
        <v xml:space="preserve">       </v>
      </c>
      <c r="Y873" t="str">
        <f t="shared" si="255"/>
        <v xml:space="preserve">              </v>
      </c>
      <c r="Z873" t="str">
        <f t="shared" si="255"/>
        <v xml:space="preserve">    </v>
      </c>
      <c r="AA873" t="str">
        <f t="shared" si="243"/>
        <v xml:space="preserve">         </v>
      </c>
      <c r="AB873" t="str">
        <f t="shared" si="252"/>
        <v xml:space="preserve">         </v>
      </c>
      <c r="AC873" t="str">
        <f t="shared" si="253"/>
        <v xml:space="preserve">         </v>
      </c>
      <c r="AD873" t="str">
        <f t="shared" si="254"/>
        <v xml:space="preserve">        </v>
      </c>
      <c r="AE873" t="str">
        <f t="shared" si="244"/>
        <v xml:space="preserve">       </v>
      </c>
      <c r="AF873" t="str">
        <f t="shared" si="256"/>
        <v xml:space="preserve">     </v>
      </c>
      <c r="AG873" t="str">
        <f t="shared" si="256"/>
        <v xml:space="preserve">          </v>
      </c>
      <c r="AH873" t="str">
        <f t="shared" si="245"/>
        <v xml:space="preserve">          </v>
      </c>
      <c r="AI873" t="str">
        <f t="shared" si="246"/>
        <v xml:space="preserve">       </v>
      </c>
      <c r="AJ873" t="str">
        <f t="shared" si="247"/>
        <v xml:space="preserve">   </v>
      </c>
    </row>
    <row r="874" spans="1:36" x14ac:dyDescent="0.25">
      <c r="A874" t="s">
        <v>5</v>
      </c>
      <c r="P874" t="str">
        <f t="shared" si="248"/>
        <v xml:space="preserve">  NUM.  KV TIPO </v>
      </c>
      <c r="Q874" t="str">
        <f t="shared" si="248"/>
        <v xml:space="preserve">   MOD/  </v>
      </c>
      <c r="R874" t="str">
        <f t="shared" si="241"/>
        <v xml:space="preserve">    MW/  </v>
      </c>
      <c r="S874" t="str">
        <f t="shared" si="249"/>
        <v xml:space="preserve">    MW/  </v>
      </c>
      <c r="T874" t="str">
        <f t="shared" si="250"/>
        <v xml:space="preserve">    MW/  </v>
      </c>
      <c r="U874" t="str">
        <f t="shared" si="254"/>
        <v xml:space="preserve">    MW/   Mva</v>
      </c>
      <c r="V874" t="str">
        <f t="shared" si="242"/>
        <v>ar/     M</v>
      </c>
      <c r="W874" t="str">
        <f t="shared" si="251"/>
        <v xml:space="preserve">MW/      </v>
      </c>
      <c r="X874" t="str">
        <f t="shared" si="255"/>
        <v xml:space="preserve">       </v>
      </c>
      <c r="Y874" t="str">
        <f t="shared" si="255"/>
        <v xml:space="preserve">              </v>
      </c>
      <c r="Z874" t="str">
        <f t="shared" si="255"/>
        <v xml:space="preserve">    </v>
      </c>
      <c r="AA874" t="str">
        <f t="shared" si="243"/>
        <v xml:space="preserve">         </v>
      </c>
      <c r="AB874" t="str">
        <f t="shared" si="252"/>
        <v xml:space="preserve">         </v>
      </c>
      <c r="AC874" t="str">
        <f t="shared" si="253"/>
        <v xml:space="preserve">         </v>
      </c>
      <c r="AD874" t="str">
        <f t="shared" si="254"/>
        <v xml:space="preserve">        </v>
      </c>
      <c r="AE874" t="str">
        <f t="shared" si="244"/>
        <v xml:space="preserve">       </v>
      </c>
      <c r="AF874" t="str">
        <f t="shared" si="256"/>
        <v xml:space="preserve">    P</v>
      </c>
      <c r="AG874" t="str">
        <f t="shared" si="256"/>
        <v xml:space="preserve">P E R D A </v>
      </c>
      <c r="AH874" t="str">
        <f t="shared" si="245"/>
        <v xml:space="preserve"> S       T</v>
      </c>
      <c r="AI874" t="str">
        <f t="shared" si="246"/>
        <v xml:space="preserve">TENSAO </v>
      </c>
      <c r="AJ874" t="str">
        <f t="shared" si="247"/>
        <v xml:space="preserve">   </v>
      </c>
    </row>
    <row r="875" spans="1:36" x14ac:dyDescent="0.25">
      <c r="A875" t="s">
        <v>6</v>
      </c>
      <c r="P875" t="str">
        <f t="shared" si="248"/>
        <v xml:space="preserve">       NOME     </v>
      </c>
      <c r="Q875" t="str">
        <f t="shared" si="248"/>
        <v xml:space="preserve">   ANG   </v>
      </c>
      <c r="R875" t="str">
        <f t="shared" si="241"/>
        <v xml:space="preserve">   Mvar  </v>
      </c>
      <c r="S875" t="str">
        <f t="shared" si="249"/>
        <v xml:space="preserve">   Mvar  </v>
      </c>
      <c r="T875" t="str">
        <f t="shared" si="250"/>
        <v xml:space="preserve">   Mvar  </v>
      </c>
      <c r="U875" t="str">
        <f t="shared" si="254"/>
        <v xml:space="preserve">   Mvar   EQU</v>
      </c>
      <c r="V875" t="str">
        <f t="shared" si="242"/>
        <v>UIV    Mv</v>
      </c>
      <c r="W875" t="str">
        <f t="shared" si="251"/>
        <v>var  PARA</v>
      </c>
      <c r="X875" t="str">
        <f t="shared" si="255"/>
        <v>A BARRA</v>
      </c>
      <c r="Y875" t="str">
        <f t="shared" si="255"/>
        <v xml:space="preserve">A             </v>
      </c>
      <c r="Z875" t="str">
        <f t="shared" si="255"/>
        <v xml:space="preserve">    </v>
      </c>
      <c r="AA875" t="str">
        <f t="shared" si="243"/>
        <v xml:space="preserve">      FLU</v>
      </c>
      <c r="AB875" t="str">
        <f t="shared" si="252"/>
        <v xml:space="preserve">UXOS     </v>
      </c>
      <c r="AC875" t="str">
        <f t="shared" si="253"/>
        <v xml:space="preserve">         </v>
      </c>
      <c r="AD875" t="str">
        <f t="shared" si="254"/>
        <v xml:space="preserve">        </v>
      </c>
      <c r="AE875" t="str">
        <f t="shared" si="244"/>
        <v xml:space="preserve">       </v>
      </c>
      <c r="AF875" t="str">
        <f t="shared" si="256"/>
        <v xml:space="preserve">  ATI</v>
      </c>
      <c r="AG875" t="str">
        <f t="shared" si="256"/>
        <v>IVA   REAT</v>
      </c>
      <c r="AH875" t="str">
        <f t="shared" si="245"/>
        <v>TIVA  CIR.</v>
      </c>
      <c r="AI875" t="str">
        <f t="shared" si="246"/>
        <v>. ABERT</v>
      </c>
      <c r="AJ875" t="str">
        <f t="shared" si="247"/>
        <v xml:space="preserve">TO </v>
      </c>
    </row>
    <row r="876" spans="1:36" x14ac:dyDescent="0.25">
      <c r="A876" t="s">
        <v>7</v>
      </c>
      <c r="P876" t="str">
        <f t="shared" si="248"/>
        <v xml:space="preserve">                </v>
      </c>
      <c r="Q876" t="str">
        <f t="shared" si="248"/>
        <v xml:space="preserve">         </v>
      </c>
      <c r="R876" t="str">
        <f t="shared" si="241"/>
        <v xml:space="preserve"> MVA_NOM </v>
      </c>
      <c r="S876" t="str">
        <f t="shared" si="249"/>
        <v xml:space="preserve"> MVA_EMR </v>
      </c>
      <c r="T876" t="str">
        <f t="shared" si="250"/>
        <v xml:space="preserve"> MVA_EQP </v>
      </c>
      <c r="U876" t="str">
        <f t="shared" si="254"/>
        <v xml:space="preserve">   FLUXO %   </v>
      </c>
      <c r="V876" t="str">
        <f t="shared" si="242"/>
        <v xml:space="preserve"> SHUNT L </v>
      </c>
      <c r="W876" t="str">
        <f t="shared" si="251"/>
        <v xml:space="preserve">         </v>
      </c>
      <c r="X876" t="str">
        <f t="shared" si="255"/>
        <v xml:space="preserve"> NUM.  </v>
      </c>
      <c r="Y876" t="str">
        <f t="shared" si="255"/>
        <v xml:space="preserve">     NOME     </v>
      </c>
      <c r="Z876" t="str">
        <f t="shared" si="255"/>
        <v xml:space="preserve"> NC </v>
      </c>
      <c r="AA876" t="str">
        <f t="shared" si="243"/>
        <v xml:space="preserve">    MW   </v>
      </c>
      <c r="AB876" t="str">
        <f t="shared" si="252"/>
        <v xml:space="preserve">   Mvar  </v>
      </c>
      <c r="AC876" t="str">
        <f t="shared" si="253"/>
        <v xml:space="preserve"> MVA/V_d </v>
      </c>
      <c r="AD876" t="str">
        <f t="shared" si="254"/>
        <v xml:space="preserve">   TAP  </v>
      </c>
      <c r="AE876" t="str">
        <f t="shared" si="244"/>
        <v xml:space="preserve"> DEFAS </v>
      </c>
      <c r="AF876" t="str">
        <f t="shared" si="256"/>
        <v xml:space="preserve"> TIE </v>
      </c>
      <c r="AG876" t="str">
        <f t="shared" si="256"/>
        <v xml:space="preserve">    MW    </v>
      </c>
      <c r="AH876" t="str">
        <f t="shared" si="245"/>
        <v xml:space="preserve">   Mvar   </v>
      </c>
      <c r="AI876" t="str">
        <f t="shared" si="246"/>
        <v xml:space="preserve">  MOD  </v>
      </c>
      <c r="AJ876" t="str">
        <f t="shared" si="247"/>
        <v xml:space="preserve">  ANG  </v>
      </c>
    </row>
    <row r="877" spans="1:36" x14ac:dyDescent="0.25">
      <c r="A877" t="s">
        <v>8</v>
      </c>
      <c r="P877" t="str">
        <f t="shared" si="248"/>
        <v xml:space="preserve"> X-------------X</v>
      </c>
      <c r="Q877" t="str">
        <f t="shared" si="248"/>
        <v>X-------X</v>
      </c>
      <c r="R877" t="str">
        <f t="shared" si="241"/>
        <v>X-------X</v>
      </c>
      <c r="S877" t="str">
        <f t="shared" si="249"/>
        <v>X-------X</v>
      </c>
      <c r="T877" t="str">
        <f t="shared" si="250"/>
        <v>X-------X</v>
      </c>
      <c r="U877" t="str">
        <f t="shared" si="254"/>
        <v>X-----------X</v>
      </c>
      <c r="V877" t="str">
        <f t="shared" si="242"/>
        <v>X-------X</v>
      </c>
      <c r="W877" t="str">
        <f t="shared" si="251"/>
        <v>X-------X</v>
      </c>
      <c r="X877" t="str">
        <f t="shared" si="255"/>
        <v>X-----X</v>
      </c>
      <c r="Y877" t="str">
        <f t="shared" si="255"/>
        <v>X------------X</v>
      </c>
      <c r="Z877" t="str">
        <f t="shared" si="255"/>
        <v>X--X</v>
      </c>
      <c r="AA877" t="str">
        <f t="shared" si="243"/>
        <v>X-------X</v>
      </c>
      <c r="AB877" t="str">
        <f t="shared" si="252"/>
        <v>X-------X</v>
      </c>
      <c r="AC877" t="str">
        <f t="shared" si="253"/>
        <v>X-------X</v>
      </c>
      <c r="AD877" t="str">
        <f t="shared" si="254"/>
        <v>X------X</v>
      </c>
      <c r="AE877" t="str">
        <f t="shared" si="244"/>
        <v>X-----X</v>
      </c>
      <c r="AF877" t="str">
        <f t="shared" si="256"/>
        <v>X---X</v>
      </c>
      <c r="AG877" t="str">
        <f t="shared" si="256"/>
        <v>X--------X</v>
      </c>
      <c r="AH877" t="str">
        <f t="shared" si="245"/>
        <v>X--------X</v>
      </c>
      <c r="AI877" t="str">
        <f t="shared" si="246"/>
        <v>X-----X</v>
      </c>
      <c r="AJ877" t="str">
        <f t="shared" si="247"/>
        <v>X-----X</v>
      </c>
    </row>
    <row r="878" spans="1:36" x14ac:dyDescent="0.25">
      <c r="P878" t="str">
        <f t="shared" si="248"/>
        <v/>
      </c>
      <c r="Q878" t="str">
        <f t="shared" si="248"/>
        <v/>
      </c>
      <c r="R878" t="str">
        <f t="shared" si="241"/>
        <v/>
      </c>
      <c r="S878" t="str">
        <f t="shared" si="249"/>
        <v/>
      </c>
      <c r="T878" t="str">
        <f t="shared" si="250"/>
        <v/>
      </c>
      <c r="U878" t="str">
        <f t="shared" si="254"/>
        <v/>
      </c>
      <c r="V878" t="str">
        <f t="shared" si="242"/>
        <v/>
      </c>
      <c r="W878" t="str">
        <f t="shared" si="251"/>
        <v/>
      </c>
      <c r="X878" t="str">
        <f t="shared" si="255"/>
        <v/>
      </c>
      <c r="Y878" t="str">
        <f t="shared" si="255"/>
        <v/>
      </c>
      <c r="Z878" t="str">
        <f t="shared" si="255"/>
        <v/>
      </c>
      <c r="AA878" t="str">
        <f t="shared" si="243"/>
        <v/>
      </c>
      <c r="AB878" t="str">
        <f t="shared" si="252"/>
        <v/>
      </c>
      <c r="AC878" t="str">
        <f t="shared" si="253"/>
        <v/>
      </c>
      <c r="AD878" t="str">
        <f t="shared" si="254"/>
        <v/>
      </c>
      <c r="AE878" t="str">
        <f t="shared" si="244"/>
        <v/>
      </c>
      <c r="AF878" t="str">
        <f t="shared" si="256"/>
        <v/>
      </c>
      <c r="AG878" t="str">
        <f t="shared" si="256"/>
        <v/>
      </c>
      <c r="AH878" t="str">
        <f t="shared" si="245"/>
        <v/>
      </c>
      <c r="AI878" t="str">
        <f t="shared" si="246"/>
        <v/>
      </c>
      <c r="AJ878" t="str">
        <f t="shared" si="247"/>
        <v/>
      </c>
    </row>
    <row r="879" spans="1:36" x14ac:dyDescent="0.25">
      <c r="A879" t="s">
        <v>687</v>
      </c>
      <c r="P879" t="str">
        <f t="shared" si="248"/>
        <v xml:space="preserve">   2091   69  0 </v>
      </c>
      <c r="Q879" t="str">
        <f t="shared" si="248"/>
        <v xml:space="preserve">   0.993 </v>
      </c>
      <c r="R879" t="str">
        <f t="shared" si="241"/>
        <v xml:space="preserve">     0.0 </v>
      </c>
      <c r="S879" t="str">
        <f t="shared" si="249"/>
        <v xml:space="preserve">     0.0 </v>
      </c>
      <c r="T879" t="str">
        <f t="shared" si="250"/>
        <v xml:space="preserve">     2.9 </v>
      </c>
      <c r="U879" t="str">
        <f t="shared" si="254"/>
        <v xml:space="preserve">         0.0 </v>
      </c>
      <c r="V879" t="str">
        <f t="shared" si="242"/>
        <v xml:space="preserve">     0.0 </v>
      </c>
      <c r="W879" t="str">
        <f t="shared" si="251"/>
        <v xml:space="preserve">     0.0</v>
      </c>
      <c r="X879" t="str">
        <f t="shared" si="255"/>
        <v/>
      </c>
      <c r="Y879" t="str">
        <f t="shared" si="255"/>
        <v/>
      </c>
      <c r="Z879" t="str">
        <f t="shared" si="255"/>
        <v/>
      </c>
      <c r="AA879" t="str">
        <f t="shared" si="243"/>
        <v/>
      </c>
      <c r="AB879" t="str">
        <f t="shared" si="252"/>
        <v/>
      </c>
      <c r="AC879" t="str">
        <f t="shared" si="253"/>
        <v/>
      </c>
      <c r="AD879" t="str">
        <f t="shared" si="254"/>
        <v/>
      </c>
      <c r="AE879" t="str">
        <f t="shared" si="244"/>
        <v/>
      </c>
      <c r="AF879" t="str">
        <f t="shared" si="256"/>
        <v/>
      </c>
      <c r="AG879" t="str">
        <f t="shared" si="256"/>
        <v/>
      </c>
      <c r="AH879" t="str">
        <f t="shared" si="245"/>
        <v/>
      </c>
      <c r="AI879" t="str">
        <f t="shared" si="246"/>
        <v/>
      </c>
      <c r="AJ879" t="str">
        <f t="shared" si="247"/>
        <v/>
      </c>
    </row>
    <row r="880" spans="1:36" x14ac:dyDescent="0.25">
      <c r="A880" t="s">
        <v>688</v>
      </c>
      <c r="P880" t="str">
        <f t="shared" si="248"/>
        <v xml:space="preserve">  SCHARL-RS069  </v>
      </c>
      <c r="Q880" t="str">
        <f t="shared" si="248"/>
        <v xml:space="preserve">   -53.0 </v>
      </c>
      <c r="R880" t="str">
        <f t="shared" si="241"/>
        <v xml:space="preserve">     0.0 </v>
      </c>
      <c r="S880" t="str">
        <f t="shared" si="249"/>
        <v xml:space="preserve">     0.0 </v>
      </c>
      <c r="T880" t="str">
        <f t="shared" si="250"/>
        <v xml:space="preserve">     1.2 </v>
      </c>
      <c r="U880" t="str">
        <f t="shared" si="254"/>
        <v xml:space="preserve">         0.0 </v>
      </c>
      <c r="V880" t="str">
        <f t="shared" si="242"/>
        <v xml:space="preserve">     0.0 </v>
      </c>
      <c r="W880" t="str">
        <f t="shared" si="251"/>
        <v xml:space="preserve">     0.0 </v>
      </c>
      <c r="X880" t="str">
        <f t="shared" si="255"/>
        <v xml:space="preserve">       </v>
      </c>
      <c r="Y880" t="str">
        <f t="shared" si="255"/>
        <v xml:space="preserve">              </v>
      </c>
      <c r="Z880" t="str">
        <f t="shared" si="255"/>
        <v xml:space="preserve">    </v>
      </c>
      <c r="AA880" t="str">
        <f t="shared" si="243"/>
        <v xml:space="preserve">         </v>
      </c>
      <c r="AB880" t="str">
        <f t="shared" si="252"/>
        <v xml:space="preserve">         </v>
      </c>
      <c r="AC880" t="str">
        <f t="shared" si="253"/>
        <v xml:space="preserve">    </v>
      </c>
      <c r="AD880" t="str">
        <f t="shared" si="254"/>
        <v/>
      </c>
      <c r="AE880" t="str">
        <f t="shared" si="244"/>
        <v/>
      </c>
      <c r="AF880" t="str">
        <f t="shared" si="256"/>
        <v/>
      </c>
      <c r="AG880" t="str">
        <f t="shared" si="256"/>
        <v/>
      </c>
      <c r="AH880" t="str">
        <f t="shared" si="245"/>
        <v/>
      </c>
      <c r="AI880" t="str">
        <f t="shared" si="246"/>
        <v/>
      </c>
      <c r="AJ880" t="str">
        <f t="shared" si="247"/>
        <v/>
      </c>
    </row>
    <row r="881" spans="1:36" x14ac:dyDescent="0.25">
      <c r="A881" t="s">
        <v>689</v>
      </c>
      <c r="P881" t="str">
        <f t="shared" si="248"/>
        <v xml:space="preserve">                </v>
      </c>
      <c r="Q881" t="str">
        <f t="shared" si="248"/>
        <v xml:space="preserve">         </v>
      </c>
      <c r="R881" t="str">
        <f t="shared" si="241"/>
        <v xml:space="preserve">    60.0 </v>
      </c>
      <c r="S881" t="str">
        <f t="shared" si="249"/>
        <v xml:space="preserve">    60.0 </v>
      </c>
      <c r="T881" t="str">
        <f t="shared" si="250"/>
        <v xml:space="preserve">    60.0 </v>
      </c>
      <c r="U881" t="str">
        <f t="shared" si="254"/>
        <v xml:space="preserve">        5.3% </v>
      </c>
      <c r="V881" t="str">
        <f t="shared" si="242"/>
        <v xml:space="preserve">         </v>
      </c>
      <c r="W881" t="str">
        <f t="shared" si="251"/>
        <v xml:space="preserve">         </v>
      </c>
      <c r="X881" t="str">
        <f t="shared" si="255"/>
        <v xml:space="preserve">  2093 </v>
      </c>
      <c r="Y881" t="str">
        <f t="shared" si="255"/>
        <v xml:space="preserve"> SCHARL-RS000 </v>
      </c>
      <c r="Z881" t="str">
        <f t="shared" si="255"/>
        <v xml:space="preserve">  1 </v>
      </c>
      <c r="AA881" t="str">
        <f t="shared" si="243"/>
        <v xml:space="preserve">    -2.9 </v>
      </c>
      <c r="AB881" t="str">
        <f t="shared" si="252"/>
        <v xml:space="preserve">    -1.2 </v>
      </c>
      <c r="AC881" t="str">
        <f t="shared" si="253"/>
        <v xml:space="preserve">     3.2 </v>
      </c>
      <c r="AD881" t="str">
        <f t="shared" si="254"/>
        <v xml:space="preserve"> 0.972* </v>
      </c>
      <c r="AE881" t="str">
        <f t="shared" si="244"/>
        <v xml:space="preserve">       </v>
      </c>
      <c r="AF881" t="str">
        <f t="shared" si="256"/>
        <v xml:space="preserve">     </v>
      </c>
      <c r="AG881" t="str">
        <f t="shared" si="256"/>
        <v xml:space="preserve">     0.00 </v>
      </c>
      <c r="AH881" t="str">
        <f t="shared" si="245"/>
        <v xml:space="preserve">    -0.00 </v>
      </c>
      <c r="AI881" t="str">
        <f t="shared" si="246"/>
        <v xml:space="preserve">       </v>
      </c>
      <c r="AJ881" t="str">
        <f t="shared" si="247"/>
        <v xml:space="preserve">      </v>
      </c>
    </row>
    <row r="882" spans="1:36" x14ac:dyDescent="0.25">
      <c r="A882" t="s">
        <v>14</v>
      </c>
      <c r="P882" t="str">
        <f t="shared" si="248"/>
        <v xml:space="preserve">  ..............</v>
      </c>
      <c r="Q882" t="str">
        <f t="shared" si="248"/>
        <v>.........</v>
      </c>
      <c r="R882" t="str">
        <f t="shared" si="241"/>
        <v>.........</v>
      </c>
      <c r="S882" t="str">
        <f t="shared" si="249"/>
        <v>.........</v>
      </c>
      <c r="T882" t="str">
        <f t="shared" si="250"/>
        <v>.........</v>
      </c>
      <c r="U882" t="str">
        <f t="shared" si="254"/>
        <v>.............</v>
      </c>
      <c r="V882" t="str">
        <f t="shared" si="242"/>
        <v>.........</v>
      </c>
      <c r="W882" t="str">
        <f t="shared" si="251"/>
        <v>.........</v>
      </c>
      <c r="X882" t="str">
        <f t="shared" si="255"/>
        <v>.......</v>
      </c>
      <c r="Y882" t="str">
        <f t="shared" si="255"/>
        <v>..............</v>
      </c>
      <c r="Z882" t="str">
        <f t="shared" si="255"/>
        <v>....</v>
      </c>
      <c r="AA882" t="str">
        <f t="shared" si="243"/>
        <v>.........</v>
      </c>
      <c r="AB882" t="str">
        <f t="shared" si="252"/>
        <v>.........</v>
      </c>
      <c r="AC882" t="str">
        <f t="shared" si="253"/>
        <v>.........</v>
      </c>
      <c r="AD882" t="str">
        <f t="shared" si="254"/>
        <v>........</v>
      </c>
      <c r="AE882" t="str">
        <f t="shared" si="244"/>
        <v>.......</v>
      </c>
      <c r="AF882" t="str">
        <f t="shared" si="256"/>
        <v>.....</v>
      </c>
      <c r="AG882" t="str">
        <f t="shared" si="256"/>
        <v>..........</v>
      </c>
      <c r="AH882" t="str">
        <f t="shared" si="245"/>
        <v>..........</v>
      </c>
      <c r="AI882" t="str">
        <f t="shared" si="246"/>
        <v>.......</v>
      </c>
      <c r="AJ882" t="str">
        <f t="shared" si="247"/>
        <v>.......</v>
      </c>
    </row>
    <row r="883" spans="1:36" x14ac:dyDescent="0.25">
      <c r="A883" t="s">
        <v>690</v>
      </c>
      <c r="P883" t="str">
        <f t="shared" si="248"/>
        <v xml:space="preserve">   2092  138  0 </v>
      </c>
      <c r="Q883" t="str">
        <f t="shared" si="248"/>
        <v xml:space="preserve">   1.009 </v>
      </c>
      <c r="R883" t="str">
        <f t="shared" si="241"/>
        <v xml:space="preserve">     5.2 </v>
      </c>
      <c r="S883" t="str">
        <f t="shared" si="249"/>
        <v xml:space="preserve">     0.0 </v>
      </c>
      <c r="T883" t="str">
        <f t="shared" si="250"/>
        <v xml:space="preserve">    39.9 </v>
      </c>
      <c r="U883" t="str">
        <f t="shared" si="254"/>
        <v xml:space="preserve">         0.0 </v>
      </c>
      <c r="V883" t="str">
        <f t="shared" si="242"/>
        <v xml:space="preserve">     3.7 </v>
      </c>
      <c r="W883" t="str">
        <f t="shared" si="251"/>
        <v xml:space="preserve">     0.0</v>
      </c>
      <c r="X883" t="str">
        <f t="shared" si="255"/>
        <v/>
      </c>
      <c r="Y883" t="str">
        <f t="shared" si="255"/>
        <v/>
      </c>
      <c r="Z883" t="str">
        <f t="shared" si="255"/>
        <v/>
      </c>
      <c r="AA883" t="str">
        <f t="shared" si="243"/>
        <v/>
      </c>
      <c r="AB883" t="str">
        <f t="shared" si="252"/>
        <v/>
      </c>
      <c r="AC883" t="str">
        <f t="shared" si="253"/>
        <v/>
      </c>
      <c r="AD883" t="str">
        <f t="shared" si="254"/>
        <v/>
      </c>
      <c r="AE883" t="str">
        <f t="shared" si="244"/>
        <v/>
      </c>
      <c r="AF883" t="str">
        <f t="shared" si="256"/>
        <v/>
      </c>
      <c r="AG883" t="str">
        <f t="shared" si="256"/>
        <v/>
      </c>
      <c r="AH883" t="str">
        <f t="shared" si="245"/>
        <v/>
      </c>
      <c r="AI883" t="str">
        <f t="shared" si="246"/>
        <v/>
      </c>
      <c r="AJ883" t="str">
        <f t="shared" si="247"/>
        <v/>
      </c>
    </row>
    <row r="884" spans="1:36" x14ac:dyDescent="0.25">
      <c r="A884" t="s">
        <v>691</v>
      </c>
      <c r="P884" t="str">
        <f t="shared" si="248"/>
        <v xml:space="preserve">  PAROBE-RS138  </v>
      </c>
      <c r="Q884" t="str">
        <f t="shared" si="248"/>
        <v xml:space="preserve">   -53.2 </v>
      </c>
      <c r="R884" t="str">
        <f t="shared" si="241"/>
        <v xml:space="preserve">     0.0 </v>
      </c>
      <c r="S884" t="str">
        <f t="shared" si="249"/>
        <v xml:space="preserve">     0.0 </v>
      </c>
      <c r="T884" t="str">
        <f t="shared" si="250"/>
        <v xml:space="preserve">    15.5 </v>
      </c>
      <c r="U884" t="str">
        <f t="shared" si="254"/>
        <v xml:space="preserve">         0.0 </v>
      </c>
      <c r="V884" t="str">
        <f t="shared" si="242"/>
        <v xml:space="preserve">     0.0 </v>
      </c>
      <c r="W884" t="str">
        <f t="shared" si="251"/>
        <v xml:space="preserve">     0.0 </v>
      </c>
      <c r="X884" t="str">
        <f t="shared" si="255"/>
        <v xml:space="preserve">       </v>
      </c>
      <c r="Y884" t="str">
        <f t="shared" si="255"/>
        <v xml:space="preserve">              </v>
      </c>
      <c r="Z884" t="str">
        <f t="shared" si="255"/>
        <v xml:space="preserve">    </v>
      </c>
      <c r="AA884" t="str">
        <f t="shared" si="243"/>
        <v xml:space="preserve">         </v>
      </c>
      <c r="AB884" t="str">
        <f t="shared" si="252"/>
        <v xml:space="preserve">         </v>
      </c>
      <c r="AC884" t="str">
        <f t="shared" si="253"/>
        <v xml:space="preserve">    </v>
      </c>
      <c r="AD884" t="str">
        <f t="shared" si="254"/>
        <v/>
      </c>
      <c r="AE884" t="str">
        <f t="shared" si="244"/>
        <v/>
      </c>
      <c r="AF884" t="str">
        <f t="shared" si="256"/>
        <v/>
      </c>
      <c r="AG884" t="str">
        <f t="shared" si="256"/>
        <v/>
      </c>
      <c r="AH884" t="str">
        <f t="shared" si="245"/>
        <v/>
      </c>
      <c r="AI884" t="str">
        <f t="shared" si="246"/>
        <v/>
      </c>
      <c r="AJ884" t="str">
        <f t="shared" si="247"/>
        <v/>
      </c>
    </row>
    <row r="885" spans="1:36" x14ac:dyDescent="0.25">
      <c r="A885" t="s">
        <v>692</v>
      </c>
      <c r="P885" t="str">
        <f t="shared" si="248"/>
        <v xml:space="preserve">                </v>
      </c>
      <c r="Q885" t="str">
        <f t="shared" si="248"/>
        <v xml:space="preserve">         </v>
      </c>
      <c r="R885" t="str">
        <f t="shared" si="241"/>
        <v xml:space="preserve">   111.0 </v>
      </c>
      <c r="S885" t="str">
        <f t="shared" si="249"/>
        <v xml:space="preserve">   111.0 </v>
      </c>
      <c r="T885" t="str">
        <f t="shared" si="250"/>
        <v xml:space="preserve">   111.0 </v>
      </c>
      <c r="U885" t="str">
        <f t="shared" si="254"/>
        <v xml:space="preserve">       32.7% </v>
      </c>
      <c r="V885" t="str">
        <f t="shared" si="242"/>
        <v xml:space="preserve">         </v>
      </c>
      <c r="W885" t="str">
        <f t="shared" si="251"/>
        <v xml:space="preserve">         </v>
      </c>
      <c r="X885" t="str">
        <f t="shared" si="255"/>
        <v xml:space="preserve">  2094 </v>
      </c>
      <c r="Y885" t="str">
        <f t="shared" si="255"/>
        <v xml:space="preserve"> TAQUAR-RS138 </v>
      </c>
      <c r="Z885" t="str">
        <f t="shared" si="255"/>
        <v xml:space="preserve">  1 </v>
      </c>
      <c r="AA885" t="str">
        <f t="shared" si="243"/>
        <v xml:space="preserve">   -34.7 </v>
      </c>
      <c r="AB885" t="str">
        <f t="shared" si="252"/>
        <v xml:space="preserve">   -11.8 </v>
      </c>
      <c r="AC885" t="str">
        <f t="shared" si="253"/>
        <v xml:space="preserve">    36.4 </v>
      </c>
      <c r="AD885" t="str">
        <f t="shared" si="254"/>
        <v xml:space="preserve">        </v>
      </c>
      <c r="AE885" t="str">
        <f t="shared" si="244"/>
        <v xml:space="preserve">       </v>
      </c>
      <c r="AF885" t="str">
        <f t="shared" si="256"/>
        <v xml:space="preserve">     </v>
      </c>
      <c r="AG885" t="str">
        <f t="shared" si="256"/>
        <v xml:space="preserve">     0.11 </v>
      </c>
      <c r="AH885" t="str">
        <f t="shared" si="245"/>
        <v xml:space="preserve">     0.03 </v>
      </c>
      <c r="AI885" t="str">
        <f t="shared" si="246"/>
        <v xml:space="preserve">       </v>
      </c>
      <c r="AJ885" t="str">
        <f t="shared" si="247"/>
        <v xml:space="preserve">      </v>
      </c>
    </row>
    <row r="886" spans="1:36" x14ac:dyDescent="0.25">
      <c r="A886" t="s">
        <v>14</v>
      </c>
      <c r="P886" t="str">
        <f t="shared" si="248"/>
        <v xml:space="preserve">  ..............</v>
      </c>
      <c r="Q886" t="str">
        <f t="shared" si="248"/>
        <v>.........</v>
      </c>
      <c r="R886" t="str">
        <f t="shared" si="241"/>
        <v>.........</v>
      </c>
      <c r="S886" t="str">
        <f t="shared" si="249"/>
        <v>.........</v>
      </c>
      <c r="T886" t="str">
        <f t="shared" si="250"/>
        <v>.........</v>
      </c>
      <c r="U886" t="str">
        <f t="shared" si="254"/>
        <v>.............</v>
      </c>
      <c r="V886" t="str">
        <f t="shared" si="242"/>
        <v>.........</v>
      </c>
      <c r="W886" t="str">
        <f t="shared" si="251"/>
        <v>.........</v>
      </c>
      <c r="X886" t="str">
        <f t="shared" si="255"/>
        <v>.......</v>
      </c>
      <c r="Y886" t="str">
        <f t="shared" si="255"/>
        <v>..............</v>
      </c>
      <c r="Z886" t="str">
        <f t="shared" si="255"/>
        <v>....</v>
      </c>
      <c r="AA886" t="str">
        <f t="shared" si="243"/>
        <v>.........</v>
      </c>
      <c r="AB886" t="str">
        <f t="shared" si="252"/>
        <v>.........</v>
      </c>
      <c r="AC886" t="str">
        <f t="shared" si="253"/>
        <v>.........</v>
      </c>
      <c r="AD886" t="str">
        <f t="shared" si="254"/>
        <v>........</v>
      </c>
      <c r="AE886" t="str">
        <f t="shared" si="244"/>
        <v>.......</v>
      </c>
      <c r="AF886" t="str">
        <f t="shared" si="256"/>
        <v>.....</v>
      </c>
      <c r="AG886" t="str">
        <f t="shared" si="256"/>
        <v>..........</v>
      </c>
      <c r="AH886" t="str">
        <f t="shared" si="245"/>
        <v>..........</v>
      </c>
      <c r="AI886" t="str">
        <f t="shared" si="246"/>
        <v>.......</v>
      </c>
      <c r="AJ886" t="str">
        <f t="shared" si="247"/>
        <v>.......</v>
      </c>
    </row>
    <row r="887" spans="1:36" x14ac:dyDescent="0.25">
      <c r="A887" t="s">
        <v>693</v>
      </c>
      <c r="P887" t="str">
        <f t="shared" si="248"/>
        <v xml:space="preserve">   2093  991  0 </v>
      </c>
      <c r="Q887" t="str">
        <f t="shared" si="248"/>
        <v xml:space="preserve">   1.022 </v>
      </c>
      <c r="R887" t="str">
        <f t="shared" si="241"/>
        <v xml:space="preserve">     0.0 </v>
      </c>
      <c r="S887" t="str">
        <f t="shared" si="249"/>
        <v xml:space="preserve">     0.0 </v>
      </c>
      <c r="T887" t="str">
        <f t="shared" si="250"/>
        <v xml:space="preserve">     0.0 </v>
      </c>
      <c r="U887" t="str">
        <f t="shared" si="254"/>
        <v xml:space="preserve">         0.0 </v>
      </c>
      <c r="V887" t="str">
        <f t="shared" si="242"/>
        <v xml:space="preserve">     0.0 </v>
      </c>
      <c r="W887" t="str">
        <f t="shared" si="251"/>
        <v xml:space="preserve">     0.0</v>
      </c>
      <c r="X887" t="str">
        <f t="shared" si="255"/>
        <v/>
      </c>
      <c r="Y887" t="str">
        <f t="shared" si="255"/>
        <v/>
      </c>
      <c r="Z887" t="str">
        <f t="shared" si="255"/>
        <v/>
      </c>
      <c r="AA887" t="str">
        <f t="shared" si="243"/>
        <v/>
      </c>
      <c r="AB887" t="str">
        <f t="shared" si="252"/>
        <v/>
      </c>
      <c r="AC887" t="str">
        <f t="shared" si="253"/>
        <v/>
      </c>
      <c r="AD887" t="str">
        <f t="shared" si="254"/>
        <v/>
      </c>
      <c r="AE887" t="str">
        <f t="shared" si="244"/>
        <v/>
      </c>
      <c r="AF887" t="str">
        <f t="shared" si="256"/>
        <v/>
      </c>
      <c r="AG887" t="str">
        <f t="shared" si="256"/>
        <v/>
      </c>
      <c r="AH887" t="str">
        <f t="shared" si="245"/>
        <v/>
      </c>
      <c r="AI887" t="str">
        <f t="shared" si="246"/>
        <v/>
      </c>
      <c r="AJ887" t="str">
        <f t="shared" si="247"/>
        <v/>
      </c>
    </row>
    <row r="888" spans="1:36" x14ac:dyDescent="0.25">
      <c r="A888" t="s">
        <v>694</v>
      </c>
      <c r="P888" t="str">
        <f t="shared" si="248"/>
        <v xml:space="preserve">  SCHARL-RS000  </v>
      </c>
      <c r="Q888" t="str">
        <f t="shared" si="248"/>
        <v xml:space="preserve">   -53.1 </v>
      </c>
      <c r="R888" t="str">
        <f t="shared" si="241"/>
        <v xml:space="preserve">     0.0 </v>
      </c>
      <c r="S888" t="str">
        <f t="shared" si="249"/>
        <v xml:space="preserve">     0.0 </v>
      </c>
      <c r="T888" t="str">
        <f t="shared" si="250"/>
        <v xml:space="preserve">     0.0 </v>
      </c>
      <c r="U888" t="str">
        <f t="shared" si="254"/>
        <v xml:space="preserve">         0.0 </v>
      </c>
      <c r="V888" t="str">
        <f t="shared" si="242"/>
        <v xml:space="preserve">     0.0 </v>
      </c>
      <c r="W888" t="str">
        <f t="shared" si="251"/>
        <v xml:space="preserve">     0.0 </v>
      </c>
      <c r="X888" t="str">
        <f t="shared" si="255"/>
        <v xml:space="preserve">       </v>
      </c>
      <c r="Y888" t="str">
        <f t="shared" si="255"/>
        <v xml:space="preserve">              </v>
      </c>
      <c r="Z888" t="str">
        <f t="shared" si="255"/>
        <v xml:space="preserve">    </v>
      </c>
      <c r="AA888" t="str">
        <f t="shared" si="243"/>
        <v xml:space="preserve">         </v>
      </c>
      <c r="AB888" t="str">
        <f t="shared" si="252"/>
        <v xml:space="preserve">         </v>
      </c>
      <c r="AC888" t="str">
        <f t="shared" si="253"/>
        <v xml:space="preserve">    </v>
      </c>
      <c r="AD888" t="str">
        <f t="shared" si="254"/>
        <v/>
      </c>
      <c r="AE888" t="str">
        <f t="shared" si="244"/>
        <v/>
      </c>
      <c r="AF888" t="str">
        <f t="shared" si="256"/>
        <v/>
      </c>
      <c r="AG888" t="str">
        <f t="shared" si="256"/>
        <v/>
      </c>
      <c r="AH888" t="str">
        <f t="shared" si="245"/>
        <v/>
      </c>
      <c r="AI888" t="str">
        <f t="shared" si="246"/>
        <v/>
      </c>
      <c r="AJ888" t="str">
        <f t="shared" si="247"/>
        <v/>
      </c>
    </row>
    <row r="889" spans="1:36" x14ac:dyDescent="0.25">
      <c r="A889" t="s">
        <v>695</v>
      </c>
      <c r="P889" t="str">
        <f t="shared" si="248"/>
        <v xml:space="preserve">                </v>
      </c>
      <c r="Q889" t="str">
        <f t="shared" si="248"/>
        <v xml:space="preserve">         </v>
      </c>
      <c r="R889" t="str">
        <f t="shared" si="241"/>
        <v xml:space="preserve">    20.0 </v>
      </c>
      <c r="S889" t="str">
        <f t="shared" si="249"/>
        <v xml:space="preserve">    20.0 </v>
      </c>
      <c r="T889" t="str">
        <f t="shared" si="250"/>
        <v xml:space="preserve">    20.0 </v>
      </c>
      <c r="U889" t="str">
        <f t="shared" si="254"/>
        <v xml:space="preserve">        0.0% </v>
      </c>
      <c r="V889" t="str">
        <f t="shared" si="242"/>
        <v xml:space="preserve">         </v>
      </c>
      <c r="W889" t="str">
        <f t="shared" si="251"/>
        <v xml:space="preserve">         </v>
      </c>
      <c r="X889" t="str">
        <f t="shared" si="255"/>
        <v xml:space="preserve">  2089 </v>
      </c>
      <c r="Y889" t="str">
        <f t="shared" si="255"/>
        <v xml:space="preserve"> SCHARL-RS013 </v>
      </c>
      <c r="Z889" t="str">
        <f t="shared" si="255"/>
        <v xml:space="preserve">  1 </v>
      </c>
      <c r="AA889" t="str">
        <f t="shared" si="243"/>
        <v xml:space="preserve">     0.0 </v>
      </c>
      <c r="AB889" t="str">
        <f t="shared" si="252"/>
        <v xml:space="preserve">     0.0 </v>
      </c>
      <c r="AC889" t="str">
        <f t="shared" si="253"/>
        <v xml:space="preserve">     0.0 </v>
      </c>
      <c r="AD889" t="str">
        <f t="shared" si="254"/>
        <v xml:space="preserve">        </v>
      </c>
      <c r="AE889" t="str">
        <f t="shared" si="244"/>
        <v xml:space="preserve">       </v>
      </c>
      <c r="AF889" t="str">
        <f t="shared" si="256"/>
        <v xml:space="preserve">     </v>
      </c>
      <c r="AG889" t="str">
        <f t="shared" si="256"/>
        <v xml:space="preserve">     0.00 </v>
      </c>
      <c r="AH889" t="str">
        <f t="shared" si="245"/>
        <v xml:space="preserve">     0.00 </v>
      </c>
      <c r="AI889" t="str">
        <f t="shared" si="246"/>
        <v xml:space="preserve">       </v>
      </c>
      <c r="AJ889" t="str">
        <f t="shared" si="247"/>
        <v xml:space="preserve">      </v>
      </c>
    </row>
    <row r="890" spans="1:36" x14ac:dyDescent="0.25">
      <c r="A890" t="s">
        <v>696</v>
      </c>
      <c r="P890" t="str">
        <f t="shared" si="248"/>
        <v xml:space="preserve">                </v>
      </c>
      <c r="Q890" t="str">
        <f t="shared" si="248"/>
        <v xml:space="preserve">         </v>
      </c>
      <c r="R890" t="str">
        <f t="shared" si="241"/>
        <v xml:space="preserve">  9999.0 </v>
      </c>
      <c r="S890" t="str">
        <f t="shared" si="249"/>
        <v xml:space="preserve">  9999.0 </v>
      </c>
      <c r="T890" t="str">
        <f t="shared" si="250"/>
        <v xml:space="preserve">  9999.0 </v>
      </c>
      <c r="U890" t="str">
        <f t="shared" si="254"/>
        <v xml:space="preserve">        0.0% </v>
      </c>
      <c r="V890" t="str">
        <f t="shared" si="242"/>
        <v xml:space="preserve">         </v>
      </c>
      <c r="W890" t="str">
        <f t="shared" si="251"/>
        <v xml:space="preserve">         </v>
      </c>
      <c r="X890" t="str">
        <f t="shared" si="255"/>
        <v xml:space="preserve">  2090 </v>
      </c>
      <c r="Y890" t="str">
        <f t="shared" si="255"/>
        <v xml:space="preserve"> SCHARL-RS138 </v>
      </c>
      <c r="Z890" t="str">
        <f t="shared" si="255"/>
        <v xml:space="preserve">  1 </v>
      </c>
      <c r="AA890" t="str">
        <f t="shared" si="243"/>
        <v xml:space="preserve">    -2.9 </v>
      </c>
      <c r="AB890" t="str">
        <f t="shared" si="252"/>
        <v xml:space="preserve">    -1.2 </v>
      </c>
      <c r="AC890" t="str">
        <f t="shared" si="253"/>
        <v xml:space="preserve">     3.1 </v>
      </c>
      <c r="AD890" t="str">
        <f t="shared" si="254"/>
        <v xml:space="preserve">        </v>
      </c>
      <c r="AE890" t="str">
        <f t="shared" si="244"/>
        <v xml:space="preserve">       </v>
      </c>
      <c r="AF890" t="str">
        <f t="shared" si="256"/>
        <v xml:space="preserve">     </v>
      </c>
      <c r="AG890" t="str">
        <f t="shared" si="256"/>
        <v xml:space="preserve">     0.00 </v>
      </c>
      <c r="AH890" t="str">
        <f t="shared" si="245"/>
        <v xml:space="preserve">     0.02 </v>
      </c>
      <c r="AI890" t="str">
        <f t="shared" si="246"/>
        <v xml:space="preserve">       </v>
      </c>
      <c r="AJ890" t="str">
        <f t="shared" si="247"/>
        <v xml:space="preserve">      </v>
      </c>
    </row>
    <row r="891" spans="1:36" x14ac:dyDescent="0.25">
      <c r="A891" t="s">
        <v>697</v>
      </c>
      <c r="P891" t="str">
        <f t="shared" si="248"/>
        <v xml:space="preserve">                </v>
      </c>
      <c r="Q891" t="str">
        <f t="shared" si="248"/>
        <v xml:space="preserve">         </v>
      </c>
      <c r="R891" t="str">
        <f t="shared" si="241"/>
        <v xml:space="preserve">    60.0 </v>
      </c>
      <c r="S891" t="str">
        <f t="shared" si="249"/>
        <v xml:space="preserve">    60.0 </v>
      </c>
      <c r="T891" t="str">
        <f t="shared" si="250"/>
        <v xml:space="preserve">    60.0 </v>
      </c>
      <c r="U891" t="str">
        <f t="shared" si="254"/>
        <v xml:space="preserve">        5.1% </v>
      </c>
      <c r="V891" t="str">
        <f t="shared" si="242"/>
        <v xml:space="preserve">         </v>
      </c>
      <c r="W891" t="str">
        <f t="shared" si="251"/>
        <v xml:space="preserve">         </v>
      </c>
      <c r="X891" t="str">
        <f t="shared" si="255"/>
        <v xml:space="preserve">  2091 </v>
      </c>
      <c r="Y891" t="str">
        <f t="shared" si="255"/>
        <v xml:space="preserve"> SCHARL-RS069 </v>
      </c>
      <c r="Z891" t="str">
        <f t="shared" si="255"/>
        <v xml:space="preserve">  1 </v>
      </c>
      <c r="AA891" t="str">
        <f t="shared" si="243"/>
        <v xml:space="preserve">     2.9 </v>
      </c>
      <c r="AB891" t="str">
        <f t="shared" si="252"/>
        <v xml:space="preserve">     1.2 </v>
      </c>
      <c r="AC891" t="str">
        <f t="shared" si="253"/>
        <v xml:space="preserve">     3.1 </v>
      </c>
      <c r="AD891" t="str">
        <f t="shared" si="254"/>
        <v xml:space="preserve">        </v>
      </c>
      <c r="AE891" t="str">
        <f t="shared" si="244"/>
        <v xml:space="preserve">       </v>
      </c>
      <c r="AF891" t="str">
        <f t="shared" si="256"/>
        <v xml:space="preserve">     </v>
      </c>
      <c r="AG891" t="str">
        <f t="shared" si="256"/>
        <v xml:space="preserve">     0.00 </v>
      </c>
      <c r="AH891" t="str">
        <f t="shared" si="245"/>
        <v xml:space="preserve">    -0.00 </v>
      </c>
      <c r="AI891" t="str">
        <f t="shared" si="246"/>
        <v xml:space="preserve">       </v>
      </c>
      <c r="AJ891" t="str">
        <f t="shared" si="247"/>
        <v xml:space="preserve">      </v>
      </c>
    </row>
    <row r="892" spans="1:36" x14ac:dyDescent="0.25">
      <c r="A892" t="s">
        <v>14</v>
      </c>
      <c r="P892" t="str">
        <f t="shared" si="248"/>
        <v xml:space="preserve">  ..............</v>
      </c>
      <c r="Q892" t="str">
        <f t="shared" si="248"/>
        <v>.........</v>
      </c>
      <c r="R892" t="str">
        <f t="shared" si="241"/>
        <v>.........</v>
      </c>
      <c r="S892" t="str">
        <f t="shared" si="249"/>
        <v>.........</v>
      </c>
      <c r="T892" t="str">
        <f t="shared" si="250"/>
        <v>.........</v>
      </c>
      <c r="U892" t="str">
        <f t="shared" si="254"/>
        <v>.............</v>
      </c>
      <c r="V892" t="str">
        <f t="shared" si="242"/>
        <v>.........</v>
      </c>
      <c r="W892" t="str">
        <f t="shared" si="251"/>
        <v>.........</v>
      </c>
      <c r="X892" t="str">
        <f t="shared" si="255"/>
        <v>.......</v>
      </c>
      <c r="Y892" t="str">
        <f t="shared" si="255"/>
        <v>..............</v>
      </c>
      <c r="Z892" t="str">
        <f t="shared" si="255"/>
        <v>....</v>
      </c>
      <c r="AA892" t="str">
        <f t="shared" si="243"/>
        <v>.........</v>
      </c>
      <c r="AB892" t="str">
        <f t="shared" si="252"/>
        <v>.........</v>
      </c>
      <c r="AC892" t="str">
        <f t="shared" si="253"/>
        <v>.........</v>
      </c>
      <c r="AD892" t="str">
        <f t="shared" si="254"/>
        <v>........</v>
      </c>
      <c r="AE892" t="str">
        <f t="shared" si="244"/>
        <v>.......</v>
      </c>
      <c r="AF892" t="str">
        <f t="shared" si="256"/>
        <v>.....</v>
      </c>
      <c r="AG892" t="str">
        <f t="shared" si="256"/>
        <v>..........</v>
      </c>
      <c r="AH892" t="str">
        <f t="shared" si="245"/>
        <v>..........</v>
      </c>
      <c r="AI892" t="str">
        <f t="shared" si="246"/>
        <v>.......</v>
      </c>
      <c r="AJ892" t="str">
        <f t="shared" si="247"/>
        <v>.......</v>
      </c>
    </row>
    <row r="893" spans="1:36" x14ac:dyDescent="0.25">
      <c r="A893" t="s">
        <v>698</v>
      </c>
      <c r="P893" t="str">
        <f t="shared" si="248"/>
        <v xml:space="preserve">   2094  138  0 </v>
      </c>
      <c r="Q893" t="str">
        <f t="shared" si="248"/>
        <v xml:space="preserve">   1.014 </v>
      </c>
      <c r="R893" t="str">
        <f t="shared" si="241"/>
        <v xml:space="preserve">     5.6 </v>
      </c>
      <c r="S893" t="str">
        <f t="shared" si="249"/>
        <v xml:space="preserve">     0.0 </v>
      </c>
      <c r="T893" t="str">
        <f t="shared" si="250"/>
        <v xml:space="preserve">    40.7 </v>
      </c>
      <c r="U893" t="str">
        <f t="shared" si="254"/>
        <v xml:space="preserve">         0.0 </v>
      </c>
      <c r="V893" t="str">
        <f t="shared" si="242"/>
        <v xml:space="preserve">     3.7 </v>
      </c>
      <c r="W893" t="str">
        <f t="shared" si="251"/>
        <v xml:space="preserve">     0.0</v>
      </c>
      <c r="X893" t="str">
        <f t="shared" si="255"/>
        <v/>
      </c>
      <c r="Y893" t="str">
        <f t="shared" si="255"/>
        <v/>
      </c>
      <c r="Z893" t="str">
        <f t="shared" si="255"/>
        <v/>
      </c>
      <c r="AA893" t="str">
        <f t="shared" si="243"/>
        <v/>
      </c>
      <c r="AB893" t="str">
        <f t="shared" si="252"/>
        <v/>
      </c>
      <c r="AC893" t="str">
        <f t="shared" si="253"/>
        <v/>
      </c>
      <c r="AD893" t="str">
        <f t="shared" si="254"/>
        <v/>
      </c>
      <c r="AE893" t="str">
        <f t="shared" si="244"/>
        <v/>
      </c>
      <c r="AF893" t="str">
        <f t="shared" si="256"/>
        <v/>
      </c>
      <c r="AG893" t="str">
        <f t="shared" si="256"/>
        <v/>
      </c>
      <c r="AH893" t="str">
        <f t="shared" si="245"/>
        <v/>
      </c>
      <c r="AI893" t="str">
        <f t="shared" si="246"/>
        <v/>
      </c>
      <c r="AJ893" t="str">
        <f t="shared" si="247"/>
        <v/>
      </c>
    </row>
    <row r="894" spans="1:36" x14ac:dyDescent="0.25">
      <c r="A894" t="s">
        <v>699</v>
      </c>
      <c r="P894" t="str">
        <f t="shared" si="248"/>
        <v xml:space="preserve">  TAQUAR-RS138  </v>
      </c>
      <c r="Q894" t="str">
        <f t="shared" si="248"/>
        <v xml:space="preserve">   -52.8 </v>
      </c>
      <c r="R894" t="str">
        <f t="shared" si="241"/>
        <v xml:space="preserve">     0.0 </v>
      </c>
      <c r="S894" t="str">
        <f t="shared" si="249"/>
        <v xml:space="preserve">     0.0 </v>
      </c>
      <c r="T894" t="str">
        <f t="shared" si="250"/>
        <v xml:space="preserve">    10.4 </v>
      </c>
      <c r="U894" t="str">
        <f t="shared" si="254"/>
        <v xml:space="preserve">         0.0 </v>
      </c>
      <c r="V894" t="str">
        <f t="shared" si="242"/>
        <v xml:space="preserve">     0.0 </v>
      </c>
      <c r="W894" t="str">
        <f t="shared" si="251"/>
        <v xml:space="preserve">     0.0 </v>
      </c>
      <c r="X894" t="str">
        <f t="shared" si="255"/>
        <v xml:space="preserve">       </v>
      </c>
      <c r="Y894" t="str">
        <f t="shared" si="255"/>
        <v xml:space="preserve">              </v>
      </c>
      <c r="Z894" t="str">
        <f t="shared" si="255"/>
        <v xml:space="preserve">    </v>
      </c>
      <c r="AA894" t="str">
        <f t="shared" si="243"/>
        <v xml:space="preserve">         </v>
      </c>
      <c r="AB894" t="str">
        <f t="shared" si="252"/>
        <v xml:space="preserve">         </v>
      </c>
      <c r="AC894" t="str">
        <f t="shared" si="253"/>
        <v xml:space="preserve">    </v>
      </c>
      <c r="AD894" t="str">
        <f t="shared" si="254"/>
        <v/>
      </c>
      <c r="AE894" t="str">
        <f t="shared" si="244"/>
        <v/>
      </c>
      <c r="AF894" t="str">
        <f t="shared" si="256"/>
        <v/>
      </c>
      <c r="AG894" t="str">
        <f t="shared" si="256"/>
        <v/>
      </c>
      <c r="AH894" t="str">
        <f t="shared" si="245"/>
        <v/>
      </c>
      <c r="AI894" t="str">
        <f t="shared" si="246"/>
        <v/>
      </c>
      <c r="AJ894" t="str">
        <f t="shared" si="247"/>
        <v/>
      </c>
    </row>
    <row r="895" spans="1:36" x14ac:dyDescent="0.25">
      <c r="A895" t="s">
        <v>700</v>
      </c>
      <c r="P895" t="str">
        <f t="shared" si="248"/>
        <v xml:space="preserve">                </v>
      </c>
      <c r="Q895" t="str">
        <f t="shared" si="248"/>
        <v xml:space="preserve">         </v>
      </c>
      <c r="R895" t="str">
        <f t="shared" si="241"/>
        <v xml:space="preserve">    97.0 </v>
      </c>
      <c r="S895" t="str">
        <f t="shared" si="249"/>
        <v xml:space="preserve">   146.0 </v>
      </c>
      <c r="T895" t="str">
        <f t="shared" si="250"/>
        <v xml:space="preserve">   146.0 </v>
      </c>
      <c r="U895" t="str">
        <f t="shared" si="254"/>
        <v xml:space="preserve">       33.1% </v>
      </c>
      <c r="V895" t="str">
        <f t="shared" si="242"/>
        <v xml:space="preserve">         </v>
      </c>
      <c r="W895" t="str">
        <f t="shared" si="251"/>
        <v xml:space="preserve">         </v>
      </c>
      <c r="X895" t="str">
        <f t="shared" si="255"/>
        <v xml:space="preserve">  1290 </v>
      </c>
      <c r="Y895" t="str">
        <f t="shared" si="255"/>
        <v xml:space="preserve"> 3COROA-RS138 </v>
      </c>
      <c r="Z895" t="str">
        <f t="shared" si="255"/>
        <v xml:space="preserve">  1 </v>
      </c>
      <c r="AA895" t="str">
        <f t="shared" si="243"/>
        <v xml:space="preserve">    30.5 </v>
      </c>
      <c r="AB895" t="str">
        <f t="shared" si="252"/>
        <v xml:space="preserve">    11.4 </v>
      </c>
      <c r="AC895" t="str">
        <f t="shared" si="253"/>
        <v xml:space="preserve">    32.1 </v>
      </c>
      <c r="AD895" t="str">
        <f t="shared" si="254"/>
        <v xml:space="preserve">        </v>
      </c>
      <c r="AE895" t="str">
        <f t="shared" si="244"/>
        <v xml:space="preserve">       </v>
      </c>
      <c r="AF895" t="str">
        <f t="shared" si="256"/>
        <v xml:space="preserve">     </v>
      </c>
      <c r="AG895" t="str">
        <f t="shared" si="256"/>
        <v xml:space="preserve">     0.15 </v>
      </c>
      <c r="AH895" t="str">
        <f t="shared" si="245"/>
        <v xml:space="preserve">    -0.59 </v>
      </c>
      <c r="AI895" t="str">
        <f t="shared" si="246"/>
        <v xml:space="preserve">       </v>
      </c>
      <c r="AJ895" t="str">
        <f t="shared" si="247"/>
        <v xml:space="preserve">      </v>
      </c>
    </row>
    <row r="896" spans="1:36" x14ac:dyDescent="0.25">
      <c r="A896" t="s">
        <v>701</v>
      </c>
      <c r="P896" t="str">
        <f t="shared" si="248"/>
        <v xml:space="preserve">                </v>
      </c>
      <c r="Q896" t="str">
        <f t="shared" si="248"/>
        <v xml:space="preserve">         </v>
      </c>
      <c r="R896" t="str">
        <f t="shared" si="241"/>
        <v xml:space="preserve">    82.0 </v>
      </c>
      <c r="S896" t="str">
        <f t="shared" si="249"/>
        <v xml:space="preserve">    82.0 </v>
      </c>
      <c r="T896" t="str">
        <f t="shared" si="250"/>
        <v xml:space="preserve">    82.0 </v>
      </c>
      <c r="U896" t="str">
        <f t="shared" si="254"/>
        <v xml:space="preserve">       36.2% </v>
      </c>
      <c r="V896" t="str">
        <f t="shared" si="242"/>
        <v xml:space="preserve">         </v>
      </c>
      <c r="W896" t="str">
        <f t="shared" si="251"/>
        <v xml:space="preserve">         </v>
      </c>
      <c r="X896" t="str">
        <f t="shared" si="255"/>
        <v xml:space="preserve">  2055 </v>
      </c>
      <c r="Y896" t="str">
        <f t="shared" si="255"/>
        <v xml:space="preserve"> SAPATR-RS138 </v>
      </c>
      <c r="Z896" t="str">
        <f t="shared" si="255"/>
        <v xml:space="preserve">  1 </v>
      </c>
      <c r="AA896" t="str">
        <f t="shared" si="243"/>
        <v xml:space="preserve">    27.3 </v>
      </c>
      <c r="AB896" t="str">
        <f t="shared" si="252"/>
        <v xml:space="preserve">    12.7 </v>
      </c>
      <c r="AC896" t="str">
        <f t="shared" si="253"/>
        <v xml:space="preserve">    29.7 </v>
      </c>
      <c r="AD896" t="str">
        <f t="shared" si="254"/>
        <v xml:space="preserve">        </v>
      </c>
      <c r="AE896" t="str">
        <f t="shared" si="244"/>
        <v xml:space="preserve">       </v>
      </c>
      <c r="AF896" t="str">
        <f t="shared" si="256"/>
        <v xml:space="preserve">     </v>
      </c>
      <c r="AG896" t="str">
        <f t="shared" si="256"/>
        <v xml:space="preserve">     0.36 </v>
      </c>
      <c r="AH896" t="str">
        <f t="shared" si="245"/>
        <v xml:space="preserve">    -1.36 </v>
      </c>
      <c r="AI896" t="str">
        <f t="shared" si="246"/>
        <v xml:space="preserve">       </v>
      </c>
      <c r="AJ896" t="str">
        <f t="shared" si="247"/>
        <v xml:space="preserve">      </v>
      </c>
    </row>
    <row r="897" spans="1:36" x14ac:dyDescent="0.25">
      <c r="A897" t="s">
        <v>702</v>
      </c>
      <c r="P897" t="str">
        <f t="shared" si="248"/>
        <v xml:space="preserve">                </v>
      </c>
      <c r="Q897" t="str">
        <f t="shared" si="248"/>
        <v xml:space="preserve">         </v>
      </c>
      <c r="R897" t="str">
        <f t="shared" si="241"/>
        <v xml:space="preserve">   111.0 </v>
      </c>
      <c r="S897" t="str">
        <f t="shared" si="249"/>
        <v xml:space="preserve">   111.0 </v>
      </c>
      <c r="T897" t="str">
        <f t="shared" si="250"/>
        <v xml:space="preserve">   111.0 </v>
      </c>
      <c r="U897" t="str">
        <f t="shared" si="254"/>
        <v xml:space="preserve">       32.7% </v>
      </c>
      <c r="V897" t="str">
        <f t="shared" si="242"/>
        <v xml:space="preserve">         </v>
      </c>
      <c r="W897" t="str">
        <f t="shared" si="251"/>
        <v xml:space="preserve">         </v>
      </c>
      <c r="X897" t="str">
        <f t="shared" si="255"/>
        <v xml:space="preserve">  2092 </v>
      </c>
      <c r="Y897" t="str">
        <f t="shared" si="255"/>
        <v xml:space="preserve"> PAROBE-RS138 </v>
      </c>
      <c r="Z897" t="str">
        <f t="shared" si="255"/>
        <v xml:space="preserve">  1 </v>
      </c>
      <c r="AA897" t="str">
        <f t="shared" si="243"/>
        <v xml:space="preserve">    34.8 </v>
      </c>
      <c r="AB897" t="str">
        <f t="shared" si="252"/>
        <v xml:space="preserve">    11.9 </v>
      </c>
      <c r="AC897" t="str">
        <f t="shared" si="253"/>
        <v xml:space="preserve">    36.3 </v>
      </c>
      <c r="AD897" t="str">
        <f t="shared" si="254"/>
        <v xml:space="preserve">        </v>
      </c>
      <c r="AE897" t="str">
        <f t="shared" si="244"/>
        <v xml:space="preserve">       </v>
      </c>
      <c r="AF897" t="str">
        <f t="shared" si="256"/>
        <v xml:space="preserve">     </v>
      </c>
      <c r="AG897" t="str">
        <f t="shared" si="256"/>
        <v xml:space="preserve">     0.11 </v>
      </c>
      <c r="AH897" t="str">
        <f t="shared" si="245"/>
        <v xml:space="preserve">     0.03 </v>
      </c>
      <c r="AI897" t="str">
        <f t="shared" si="246"/>
        <v xml:space="preserve">       </v>
      </c>
      <c r="AJ897" t="str">
        <f t="shared" si="247"/>
        <v xml:space="preserve">      </v>
      </c>
    </row>
    <row r="898" spans="1:36" x14ac:dyDescent="0.25">
      <c r="A898" t="s">
        <v>703</v>
      </c>
      <c r="P898" t="str">
        <f t="shared" si="248"/>
        <v xml:space="preserve">              DE</v>
      </c>
      <c r="Q898" t="str">
        <f t="shared" si="248"/>
        <v xml:space="preserve">ESLIGADO </v>
      </c>
      <c r="R898" t="str">
        <f t="shared" si="241"/>
        <v xml:space="preserve">    96.0 </v>
      </c>
      <c r="S898" t="str">
        <f t="shared" si="249"/>
        <v xml:space="preserve">    96.0 </v>
      </c>
      <c r="T898" t="str">
        <f t="shared" si="250"/>
        <v xml:space="preserve">    96.0 </v>
      </c>
      <c r="U898" t="str">
        <f t="shared" si="254"/>
        <v xml:space="preserve">             </v>
      </c>
      <c r="V898" t="str">
        <f t="shared" si="242"/>
        <v xml:space="preserve">         </v>
      </c>
      <c r="W898" t="str">
        <f t="shared" si="251"/>
        <v xml:space="preserve">         </v>
      </c>
      <c r="X898" t="str">
        <f t="shared" si="255"/>
        <v xml:space="preserve">  9305 </v>
      </c>
      <c r="Y898" t="str">
        <f t="shared" si="255"/>
        <v xml:space="preserve"> CACHO3-RS138 </v>
      </c>
      <c r="Z898" t="str">
        <f t="shared" si="255"/>
        <v xml:space="preserve">  1 </v>
      </c>
      <c r="AA898" t="str">
        <f t="shared" si="243"/>
        <v xml:space="preserve">     0.0 </v>
      </c>
      <c r="AB898" t="str">
        <f t="shared" si="252"/>
        <v xml:space="preserve">     0.0 </v>
      </c>
      <c r="AC898" t="str">
        <f t="shared" si="253"/>
        <v xml:space="preserve">     0.0 </v>
      </c>
      <c r="AD898" t="str">
        <f t="shared" si="254"/>
        <v xml:space="preserve">        </v>
      </c>
      <c r="AE898" t="str">
        <f t="shared" si="244"/>
        <v xml:space="preserve">       </v>
      </c>
      <c r="AF898" t="str">
        <f t="shared" si="256"/>
        <v xml:space="preserve">     </v>
      </c>
      <c r="AG898" t="str">
        <f t="shared" si="256"/>
        <v xml:space="preserve">     0.00 </v>
      </c>
      <c r="AH898" t="str">
        <f t="shared" si="245"/>
        <v xml:space="preserve">     0.00 </v>
      </c>
      <c r="AI898" t="str">
        <f t="shared" si="246"/>
        <v xml:space="preserve">       </v>
      </c>
      <c r="AJ898" t="str">
        <f t="shared" si="247"/>
        <v xml:space="preserve">      </v>
      </c>
    </row>
    <row r="899" spans="1:36" x14ac:dyDescent="0.25">
      <c r="A899" t="s">
        <v>704</v>
      </c>
      <c r="P899" t="str">
        <f t="shared" si="248"/>
        <v xml:space="preserve">                </v>
      </c>
      <c r="Q899" t="str">
        <f t="shared" si="248"/>
        <v xml:space="preserve">         </v>
      </c>
      <c r="R899" t="str">
        <f t="shared" si="241"/>
        <v xml:space="preserve">   134.0 </v>
      </c>
      <c r="S899" t="str">
        <f t="shared" si="249"/>
        <v xml:space="preserve">   162.0 </v>
      </c>
      <c r="T899" t="str">
        <f t="shared" si="250"/>
        <v xml:space="preserve">   162.0 </v>
      </c>
      <c r="U899" t="str">
        <f t="shared" si="254"/>
        <v xml:space="preserve">        9.7% </v>
      </c>
      <c r="V899" t="str">
        <f t="shared" si="242"/>
        <v xml:space="preserve">         </v>
      </c>
      <c r="W899" t="str">
        <f t="shared" si="251"/>
        <v xml:space="preserve">         </v>
      </c>
      <c r="X899" t="str">
        <f t="shared" si="255"/>
        <v xml:space="preserve">  9677 </v>
      </c>
      <c r="Y899" t="str">
        <f t="shared" si="255"/>
        <v xml:space="preserve"> ROLANT-RS138 </v>
      </c>
      <c r="Z899" t="str">
        <f t="shared" si="255"/>
        <v xml:space="preserve">  1 </v>
      </c>
      <c r="AA899" t="str">
        <f t="shared" si="243"/>
        <v xml:space="preserve">    12.9 </v>
      </c>
      <c r="AB899" t="str">
        <f t="shared" si="252"/>
        <v xml:space="preserve">     2.8 </v>
      </c>
      <c r="AC899" t="str">
        <f t="shared" si="253"/>
        <v xml:space="preserve">    13.0 </v>
      </c>
      <c r="AD899" t="str">
        <f t="shared" si="254"/>
        <v xml:space="preserve">        </v>
      </c>
      <c r="AE899" t="str">
        <f t="shared" si="244"/>
        <v xml:space="preserve">       </v>
      </c>
      <c r="AF899" t="str">
        <f t="shared" si="256"/>
        <v xml:space="preserve">     </v>
      </c>
      <c r="AG899" t="str">
        <f t="shared" si="256"/>
        <v xml:space="preserve">     0.05 </v>
      </c>
      <c r="AH899" t="str">
        <f t="shared" si="245"/>
        <v xml:space="preserve">    -1.89 </v>
      </c>
      <c r="AI899" t="str">
        <f t="shared" si="246"/>
        <v xml:space="preserve">       </v>
      </c>
      <c r="AJ899" t="str">
        <f t="shared" si="247"/>
        <v xml:space="preserve">      </v>
      </c>
    </row>
    <row r="900" spans="1:36" x14ac:dyDescent="0.25">
      <c r="A900" t="s">
        <v>705</v>
      </c>
      <c r="P900" t="str">
        <f t="shared" si="248"/>
        <v xml:space="preserve">                </v>
      </c>
      <c r="Q900" t="str">
        <f t="shared" si="248"/>
        <v xml:space="preserve">         </v>
      </c>
      <c r="R900" t="str">
        <f t="shared" si="241"/>
        <v xml:space="preserve">   150.0 </v>
      </c>
      <c r="S900" t="str">
        <f t="shared" si="249"/>
        <v xml:space="preserve">   150.0 </v>
      </c>
      <c r="T900" t="str">
        <f t="shared" si="250"/>
        <v xml:space="preserve">   150.0 </v>
      </c>
      <c r="U900" t="str">
        <f t="shared" si="254"/>
        <v xml:space="preserve">       32.5% </v>
      </c>
      <c r="V900" t="str">
        <f t="shared" si="242"/>
        <v xml:space="preserve">         </v>
      </c>
      <c r="W900" t="str">
        <f t="shared" si="251"/>
        <v xml:space="preserve">         </v>
      </c>
      <c r="X900" t="str">
        <f t="shared" si="255"/>
        <v xml:space="preserve"> 41389 </v>
      </c>
      <c r="Y900" t="str">
        <f t="shared" si="255"/>
        <v xml:space="preserve"> TAQ--1-RS000 </v>
      </c>
      <c r="Z900" t="str">
        <f t="shared" si="255"/>
        <v xml:space="preserve">  1 </v>
      </c>
      <c r="AA900" t="str">
        <f t="shared" si="243"/>
        <v xml:space="preserve">   -47.0 </v>
      </c>
      <c r="AB900" t="str">
        <f t="shared" si="252"/>
        <v xml:space="preserve">   -15.2 </v>
      </c>
      <c r="AC900" t="str">
        <f t="shared" si="253"/>
        <v xml:space="preserve">    48.7 </v>
      </c>
      <c r="AD900" t="str">
        <f t="shared" si="254"/>
        <v xml:space="preserve"> 1.000F </v>
      </c>
      <c r="AE900" t="str">
        <f t="shared" si="244"/>
        <v xml:space="preserve">       </v>
      </c>
      <c r="AF900" t="str">
        <f t="shared" si="256"/>
        <v xml:space="preserve"> 002 </v>
      </c>
      <c r="AG900" t="str">
        <f t="shared" si="256"/>
        <v xml:space="preserve">     0.03 </v>
      </c>
      <c r="AH900" t="str">
        <f t="shared" si="245"/>
        <v xml:space="preserve">    -0.40 </v>
      </c>
      <c r="AI900" t="str">
        <f t="shared" si="246"/>
        <v xml:space="preserve">       </v>
      </c>
      <c r="AJ900" t="str">
        <f t="shared" si="247"/>
        <v xml:space="preserve">      </v>
      </c>
    </row>
    <row r="901" spans="1:36" x14ac:dyDescent="0.25">
      <c r="A901" t="s">
        <v>706</v>
      </c>
      <c r="P901" t="str">
        <f t="shared" si="248"/>
        <v xml:space="preserve">                </v>
      </c>
      <c r="Q901" t="str">
        <f t="shared" si="248"/>
        <v xml:space="preserve">         </v>
      </c>
      <c r="R901" t="str">
        <f t="shared" si="241"/>
        <v xml:space="preserve">   150.0 </v>
      </c>
      <c r="S901" t="str">
        <f t="shared" si="249"/>
        <v xml:space="preserve">   150.0 </v>
      </c>
      <c r="T901" t="str">
        <f t="shared" si="250"/>
        <v xml:space="preserve">   150.0 </v>
      </c>
      <c r="U901" t="str">
        <f t="shared" si="254"/>
        <v xml:space="preserve">       32.3% </v>
      </c>
      <c r="V901" t="str">
        <f t="shared" si="242"/>
        <v xml:space="preserve">         </v>
      </c>
      <c r="W901" t="str">
        <f t="shared" si="251"/>
        <v xml:space="preserve">         </v>
      </c>
      <c r="X901" t="str">
        <f t="shared" si="255"/>
        <v xml:space="preserve"> 41390 </v>
      </c>
      <c r="Y901" t="str">
        <f t="shared" si="255"/>
        <v xml:space="preserve"> TAQ--2-RS000 </v>
      </c>
      <c r="Z901" t="str">
        <f t="shared" si="255"/>
        <v xml:space="preserve">  2 </v>
      </c>
      <c r="AA901" t="str">
        <f t="shared" si="243"/>
        <v xml:space="preserve">   -46.7 </v>
      </c>
      <c r="AB901" t="str">
        <f t="shared" si="252"/>
        <v xml:space="preserve">   -15.1 </v>
      </c>
      <c r="AC901" t="str">
        <f t="shared" si="253"/>
        <v xml:space="preserve">    48.5 </v>
      </c>
      <c r="AD901" t="str">
        <f t="shared" si="254"/>
        <v xml:space="preserve"> 1.000F </v>
      </c>
      <c r="AE901" t="str">
        <f t="shared" si="244"/>
        <v xml:space="preserve">       </v>
      </c>
      <c r="AF901" t="str">
        <f t="shared" si="256"/>
        <v xml:space="preserve"> 002 </v>
      </c>
      <c r="AG901" t="str">
        <f t="shared" si="256"/>
        <v xml:space="preserve">     0.03 </v>
      </c>
      <c r="AH901" t="str">
        <f t="shared" si="245"/>
        <v xml:space="preserve">    -0.36 </v>
      </c>
      <c r="AI901" t="str">
        <f t="shared" si="246"/>
        <v xml:space="preserve">       </v>
      </c>
      <c r="AJ901" t="str">
        <f t="shared" si="247"/>
        <v xml:space="preserve">      </v>
      </c>
    </row>
    <row r="902" spans="1:36" x14ac:dyDescent="0.25">
      <c r="A902" t="s">
        <v>707</v>
      </c>
      <c r="P902" t="str">
        <f t="shared" si="248"/>
        <v xml:space="preserve">                </v>
      </c>
      <c r="Q902" t="str">
        <f t="shared" si="248"/>
        <v xml:space="preserve">         </v>
      </c>
      <c r="R902" t="str">
        <f t="shared" si="241"/>
        <v xml:space="preserve">   150.0 </v>
      </c>
      <c r="S902" t="str">
        <f t="shared" si="249"/>
        <v xml:space="preserve">   180.0 </v>
      </c>
      <c r="T902" t="str">
        <f t="shared" si="250"/>
        <v xml:space="preserve">   180.0 </v>
      </c>
      <c r="U902" t="str">
        <f t="shared" si="254"/>
        <v xml:space="preserve">       32.3% </v>
      </c>
      <c r="V902" t="str">
        <f t="shared" si="242"/>
        <v xml:space="preserve">         </v>
      </c>
      <c r="W902" t="str">
        <f t="shared" si="251"/>
        <v xml:space="preserve">         </v>
      </c>
      <c r="X902" t="str">
        <f t="shared" si="255"/>
        <v xml:space="preserve"> 43461 </v>
      </c>
      <c r="Y902" t="str">
        <f t="shared" si="255"/>
        <v xml:space="preserve"> TAQ--3-RS000 </v>
      </c>
      <c r="Z902" t="str">
        <f t="shared" si="255"/>
        <v xml:space="preserve">  3 </v>
      </c>
      <c r="AA902" t="str">
        <f t="shared" si="243"/>
        <v xml:space="preserve">   -46.7 </v>
      </c>
      <c r="AB902" t="str">
        <f t="shared" si="252"/>
        <v xml:space="preserve">   -15.1 </v>
      </c>
      <c r="AC902" t="str">
        <f t="shared" si="253"/>
        <v xml:space="preserve">    48.5 </v>
      </c>
      <c r="AD902" t="str">
        <f t="shared" si="254"/>
        <v xml:space="preserve"> 1.000F </v>
      </c>
      <c r="AE902" t="str">
        <f t="shared" si="244"/>
        <v xml:space="preserve">       </v>
      </c>
      <c r="AF902" t="str">
        <f t="shared" si="256"/>
        <v xml:space="preserve"> 002 </v>
      </c>
      <c r="AG902" t="str">
        <f t="shared" si="256"/>
        <v xml:space="preserve">     0.03 </v>
      </c>
      <c r="AH902" t="str">
        <f t="shared" si="245"/>
        <v xml:space="preserve">    -0.36 </v>
      </c>
      <c r="AI902" t="str">
        <f t="shared" si="246"/>
        <v xml:space="preserve">       </v>
      </c>
      <c r="AJ902" t="str">
        <f t="shared" si="247"/>
        <v xml:space="preserve">      </v>
      </c>
    </row>
    <row r="903" spans="1:36" x14ac:dyDescent="0.25">
      <c r="A903" t="s">
        <v>14</v>
      </c>
      <c r="P903" t="str">
        <f t="shared" si="248"/>
        <v xml:space="preserve">  ..............</v>
      </c>
      <c r="Q903" t="str">
        <f t="shared" si="248"/>
        <v>.........</v>
      </c>
      <c r="R903" t="str">
        <f t="shared" si="241"/>
        <v>.........</v>
      </c>
      <c r="S903" t="str">
        <f t="shared" si="249"/>
        <v>.........</v>
      </c>
      <c r="T903" t="str">
        <f t="shared" si="250"/>
        <v>.........</v>
      </c>
      <c r="U903" t="str">
        <f t="shared" si="254"/>
        <v>.............</v>
      </c>
      <c r="V903" t="str">
        <f t="shared" si="242"/>
        <v>.........</v>
      </c>
      <c r="W903" t="str">
        <f t="shared" si="251"/>
        <v>.........</v>
      </c>
      <c r="X903" t="str">
        <f t="shared" si="255"/>
        <v>.......</v>
      </c>
      <c r="Y903" t="str">
        <f t="shared" si="255"/>
        <v>..............</v>
      </c>
      <c r="Z903" t="str">
        <f t="shared" si="255"/>
        <v>....</v>
      </c>
      <c r="AA903" t="str">
        <f t="shared" si="243"/>
        <v>.........</v>
      </c>
      <c r="AB903" t="str">
        <f t="shared" si="252"/>
        <v>.........</v>
      </c>
      <c r="AC903" t="str">
        <f t="shared" si="253"/>
        <v>.........</v>
      </c>
      <c r="AD903" t="str">
        <f t="shared" si="254"/>
        <v>........</v>
      </c>
      <c r="AE903" t="str">
        <f t="shared" si="244"/>
        <v>.......</v>
      </c>
      <c r="AF903" t="str">
        <f t="shared" si="256"/>
        <v>.....</v>
      </c>
      <c r="AG903" t="str">
        <f t="shared" si="256"/>
        <v>..........</v>
      </c>
      <c r="AH903" t="str">
        <f t="shared" si="245"/>
        <v>..........</v>
      </c>
      <c r="AI903" t="str">
        <f t="shared" si="246"/>
        <v>.......</v>
      </c>
      <c r="AJ903" t="str">
        <f t="shared" si="247"/>
        <v>.......</v>
      </c>
    </row>
    <row r="904" spans="1:36" x14ac:dyDescent="0.25">
      <c r="A904" t="s">
        <v>708</v>
      </c>
      <c r="P904" t="str">
        <f t="shared" si="248"/>
        <v xml:space="preserve">   2095   23  0 </v>
      </c>
      <c r="Q904" t="str">
        <f t="shared" si="248"/>
        <v xml:space="preserve">   1.068 </v>
      </c>
      <c r="R904" t="str">
        <f t="shared" si="241"/>
        <v xml:space="preserve">     6.0 </v>
      </c>
      <c r="S904" t="str">
        <f t="shared" si="249"/>
        <v xml:space="preserve">     0.0 </v>
      </c>
      <c r="T904" t="str">
        <f t="shared" si="250"/>
        <v xml:space="preserve">    18.6 </v>
      </c>
      <c r="U904" t="str">
        <f t="shared" si="254"/>
        <v xml:space="preserve">         0.0 </v>
      </c>
      <c r="V904" t="str">
        <f t="shared" si="242"/>
        <v xml:space="preserve">     0.0 </v>
      </c>
      <c r="W904" t="str">
        <f t="shared" si="251"/>
        <v xml:space="preserve">     0.0</v>
      </c>
      <c r="X904" t="str">
        <f t="shared" si="255"/>
        <v/>
      </c>
      <c r="Y904" t="str">
        <f t="shared" si="255"/>
        <v/>
      </c>
      <c r="Z904" t="str">
        <f t="shared" si="255"/>
        <v/>
      </c>
      <c r="AA904" t="str">
        <f t="shared" si="243"/>
        <v/>
      </c>
      <c r="AB904" t="str">
        <f t="shared" si="252"/>
        <v/>
      </c>
      <c r="AC904" t="str">
        <f t="shared" si="253"/>
        <v/>
      </c>
      <c r="AD904" t="str">
        <f t="shared" si="254"/>
        <v/>
      </c>
      <c r="AE904" t="str">
        <f t="shared" si="244"/>
        <v/>
      </c>
      <c r="AF904" t="str">
        <f t="shared" si="256"/>
        <v/>
      </c>
      <c r="AG904" t="str">
        <f t="shared" si="256"/>
        <v/>
      </c>
      <c r="AH904" t="str">
        <f t="shared" si="245"/>
        <v/>
      </c>
      <c r="AI904" t="str">
        <f t="shared" si="246"/>
        <v/>
      </c>
      <c r="AJ904" t="str">
        <f t="shared" si="247"/>
        <v/>
      </c>
    </row>
    <row r="905" spans="1:36" x14ac:dyDescent="0.25">
      <c r="A905" t="s">
        <v>709</v>
      </c>
      <c r="P905" t="str">
        <f t="shared" si="248"/>
        <v xml:space="preserve">  PFUNDO-RS023  </v>
      </c>
      <c r="Q905" t="str">
        <f t="shared" si="248"/>
        <v xml:space="preserve">   -45.7 </v>
      </c>
      <c r="R905" t="str">
        <f t="shared" si="241"/>
        <v xml:space="preserve">     0.0 </v>
      </c>
      <c r="S905" t="str">
        <f t="shared" si="249"/>
        <v xml:space="preserve">     0.0 </v>
      </c>
      <c r="T905" t="str">
        <f t="shared" si="250"/>
        <v xml:space="preserve">    10.6 </v>
      </c>
      <c r="U905" t="str">
        <f t="shared" si="254"/>
        <v xml:space="preserve">         0.0 </v>
      </c>
      <c r="V905" t="str">
        <f t="shared" si="242"/>
        <v xml:space="preserve">     0.0 </v>
      </c>
      <c r="W905" t="str">
        <f t="shared" si="251"/>
        <v xml:space="preserve">     0.0 </v>
      </c>
      <c r="X905" t="str">
        <f t="shared" si="255"/>
        <v xml:space="preserve">       </v>
      </c>
      <c r="Y905" t="str">
        <f t="shared" si="255"/>
        <v xml:space="preserve">              </v>
      </c>
      <c r="Z905" t="str">
        <f t="shared" si="255"/>
        <v xml:space="preserve">    </v>
      </c>
      <c r="AA905" t="str">
        <f t="shared" si="243"/>
        <v xml:space="preserve">         </v>
      </c>
      <c r="AB905" t="str">
        <f t="shared" si="252"/>
        <v xml:space="preserve">         </v>
      </c>
      <c r="AC905" t="str">
        <f t="shared" si="253"/>
        <v xml:space="preserve">    </v>
      </c>
      <c r="AD905" t="str">
        <f t="shared" si="254"/>
        <v/>
      </c>
      <c r="AE905" t="str">
        <f t="shared" si="244"/>
        <v/>
      </c>
      <c r="AF905" t="str">
        <f t="shared" si="256"/>
        <v/>
      </c>
      <c r="AG905" t="str">
        <f t="shared" si="256"/>
        <v/>
      </c>
      <c r="AH905" t="str">
        <f t="shared" si="245"/>
        <v/>
      </c>
      <c r="AI905" t="str">
        <f t="shared" si="246"/>
        <v/>
      </c>
      <c r="AJ905" t="str">
        <f t="shared" si="247"/>
        <v/>
      </c>
    </row>
    <row r="906" spans="1:36" x14ac:dyDescent="0.25">
      <c r="A906" t="s">
        <v>710</v>
      </c>
      <c r="P906" t="str">
        <f t="shared" si="248"/>
        <v xml:space="preserve">                </v>
      </c>
      <c r="Q906" t="str">
        <f t="shared" si="248"/>
        <v xml:space="preserve">         </v>
      </c>
      <c r="R906" t="str">
        <f t="shared" si="241"/>
        <v xml:space="preserve">    25.0 </v>
      </c>
      <c r="S906" t="str">
        <f t="shared" si="249"/>
        <v xml:space="preserve">    25.0 </v>
      </c>
      <c r="T906" t="str">
        <f t="shared" si="250"/>
        <v xml:space="preserve">    25.0 </v>
      </c>
      <c r="U906" t="str">
        <f t="shared" si="254"/>
        <v xml:space="preserve">       61.7% </v>
      </c>
      <c r="V906" t="str">
        <f t="shared" si="242"/>
        <v xml:space="preserve">         </v>
      </c>
      <c r="W906" t="str">
        <f t="shared" si="251"/>
        <v xml:space="preserve">         </v>
      </c>
      <c r="X906" t="str">
        <f t="shared" si="255"/>
        <v xml:space="preserve">  1042 </v>
      </c>
      <c r="Y906" t="str">
        <f t="shared" si="255"/>
        <v xml:space="preserve"> PFUNDO-RS138 </v>
      </c>
      <c r="Z906" t="str">
        <f t="shared" si="255"/>
        <v xml:space="preserve">  4 </v>
      </c>
      <c r="AA906" t="str">
        <f t="shared" si="243"/>
        <v xml:space="preserve">   -12.6 </v>
      </c>
      <c r="AB906" t="str">
        <f t="shared" si="252"/>
        <v xml:space="preserve">   -10.6 </v>
      </c>
      <c r="AC906" t="str">
        <f t="shared" si="253"/>
        <v xml:space="preserve">    15.4 </v>
      </c>
      <c r="AD906" t="str">
        <f t="shared" si="254"/>
        <v xml:space="preserve">        </v>
      </c>
      <c r="AE906" t="str">
        <f t="shared" si="244"/>
        <v xml:space="preserve">       </v>
      </c>
      <c r="AF906" t="str">
        <f t="shared" si="256"/>
        <v xml:space="preserve">     </v>
      </c>
      <c r="AG906" t="str">
        <f t="shared" si="256"/>
        <v xml:space="preserve">     0.00 </v>
      </c>
      <c r="AH906" t="str">
        <f t="shared" si="245"/>
        <v xml:space="preserve">     0.83 </v>
      </c>
      <c r="AI906" t="str">
        <f t="shared" si="246"/>
        <v xml:space="preserve">       </v>
      </c>
      <c r="AJ906" t="str">
        <f t="shared" si="247"/>
        <v xml:space="preserve">      </v>
      </c>
    </row>
    <row r="907" spans="1:36" x14ac:dyDescent="0.25">
      <c r="A907" t="s">
        <v>14</v>
      </c>
      <c r="P907" t="str">
        <f t="shared" si="248"/>
        <v xml:space="preserve">  ..............</v>
      </c>
      <c r="Q907" t="str">
        <f t="shared" si="248"/>
        <v>.........</v>
      </c>
      <c r="R907" t="str">
        <f t="shared" si="241"/>
        <v>.........</v>
      </c>
      <c r="S907" t="str">
        <f t="shared" si="249"/>
        <v>.........</v>
      </c>
      <c r="T907" t="str">
        <f t="shared" si="250"/>
        <v>.........</v>
      </c>
      <c r="U907" t="str">
        <f t="shared" si="254"/>
        <v>.............</v>
      </c>
      <c r="V907" t="str">
        <f t="shared" si="242"/>
        <v>.........</v>
      </c>
      <c r="W907" t="str">
        <f t="shared" si="251"/>
        <v>.........</v>
      </c>
      <c r="X907" t="str">
        <f t="shared" si="255"/>
        <v>.......</v>
      </c>
      <c r="Y907" t="str">
        <f t="shared" si="255"/>
        <v>..............</v>
      </c>
      <c r="Z907" t="str">
        <f t="shared" si="255"/>
        <v>....</v>
      </c>
      <c r="AA907" t="str">
        <f t="shared" si="243"/>
        <v>.........</v>
      </c>
      <c r="AB907" t="str">
        <f t="shared" si="252"/>
        <v>.........</v>
      </c>
      <c r="AC907" t="str">
        <f t="shared" si="253"/>
        <v>.........</v>
      </c>
      <c r="AD907" t="str">
        <f t="shared" si="254"/>
        <v>........</v>
      </c>
      <c r="AE907" t="str">
        <f t="shared" si="244"/>
        <v>.......</v>
      </c>
      <c r="AF907" t="str">
        <f t="shared" si="256"/>
        <v>.....</v>
      </c>
      <c r="AG907" t="str">
        <f t="shared" si="256"/>
        <v>..........</v>
      </c>
      <c r="AH907" t="str">
        <f t="shared" si="245"/>
        <v>..........</v>
      </c>
      <c r="AI907" t="str">
        <f t="shared" si="246"/>
        <v>.......</v>
      </c>
      <c r="AJ907" t="str">
        <f t="shared" si="247"/>
        <v>.......</v>
      </c>
    </row>
    <row r="908" spans="1:36" x14ac:dyDescent="0.25">
      <c r="A908" t="s">
        <v>711</v>
      </c>
      <c r="P908" t="str">
        <f t="shared" si="248"/>
        <v xml:space="preserve">   2099  138  0 </v>
      </c>
      <c r="Q908" t="str">
        <f t="shared" si="248"/>
        <v xml:space="preserve">   1.016 </v>
      </c>
      <c r="R908" t="str">
        <f t="shared" ref="R908:R971" si="257">MID($A908,Q$8+Q$9-1,R$9)</f>
        <v xml:space="preserve">     2.1 </v>
      </c>
      <c r="S908" t="str">
        <f t="shared" si="249"/>
        <v xml:space="preserve">     0.0 </v>
      </c>
      <c r="T908" t="str">
        <f t="shared" si="250"/>
        <v xml:space="preserve">    42.3 </v>
      </c>
      <c r="U908" t="str">
        <f t="shared" si="254"/>
        <v xml:space="preserve">         0.0 </v>
      </c>
      <c r="V908" t="str">
        <f t="shared" ref="V908:V971" si="258">MID($A908,U$8+U$9-1,V$9)</f>
        <v xml:space="preserve">     3.7 </v>
      </c>
      <c r="W908" t="str">
        <f t="shared" si="251"/>
        <v xml:space="preserve">     0.0</v>
      </c>
      <c r="X908" t="str">
        <f t="shared" si="255"/>
        <v/>
      </c>
      <c r="Y908" t="str">
        <f t="shared" si="255"/>
        <v/>
      </c>
      <c r="Z908" t="str">
        <f t="shared" si="255"/>
        <v/>
      </c>
      <c r="AA908" t="str">
        <f t="shared" ref="AA908:AA971" si="259">MID($A908,Z$8+Z$9-1,AA$9)</f>
        <v/>
      </c>
      <c r="AB908" t="str">
        <f t="shared" si="252"/>
        <v/>
      </c>
      <c r="AC908" t="str">
        <f t="shared" si="253"/>
        <v/>
      </c>
      <c r="AD908" t="str">
        <f t="shared" si="254"/>
        <v/>
      </c>
      <c r="AE908" t="str">
        <f t="shared" ref="AE908:AE971" si="260">MID($A908,AD$8+AD$9-1,AE$9)</f>
        <v/>
      </c>
      <c r="AF908" t="str">
        <f t="shared" si="256"/>
        <v/>
      </c>
      <c r="AG908" t="str">
        <f t="shared" si="256"/>
        <v/>
      </c>
      <c r="AH908" t="str">
        <f t="shared" ref="AH908:AH971" si="261">MID($A908,AG$8+AG$9-1,AH$9)</f>
        <v/>
      </c>
      <c r="AI908" t="str">
        <f t="shared" si="246"/>
        <v/>
      </c>
      <c r="AJ908" t="str">
        <f t="shared" si="247"/>
        <v/>
      </c>
    </row>
    <row r="909" spans="1:36" x14ac:dyDescent="0.25">
      <c r="A909" t="s">
        <v>712</v>
      </c>
      <c r="P909" t="str">
        <f t="shared" si="248"/>
        <v xml:space="preserve">  ZOOLOG-RS138  </v>
      </c>
      <c r="Q909" t="str">
        <f t="shared" si="248"/>
        <v xml:space="preserve">   -52.9 </v>
      </c>
      <c r="R909" t="str">
        <f t="shared" si="257"/>
        <v xml:space="preserve">     0.0 </v>
      </c>
      <c r="S909" t="str">
        <f t="shared" si="249"/>
        <v xml:space="preserve">     0.0 </v>
      </c>
      <c r="T909" t="str">
        <f t="shared" si="250"/>
        <v xml:space="preserve">    15.6 </v>
      </c>
      <c r="U909" t="str">
        <f t="shared" si="254"/>
        <v xml:space="preserve">         0.0 </v>
      </c>
      <c r="V909" t="str">
        <f t="shared" si="258"/>
        <v xml:space="preserve">     0.0 </v>
      </c>
      <c r="W909" t="str">
        <f t="shared" si="251"/>
        <v xml:space="preserve">     0.0 </v>
      </c>
      <c r="X909" t="str">
        <f t="shared" si="255"/>
        <v xml:space="preserve">       </v>
      </c>
      <c r="Y909" t="str">
        <f t="shared" si="255"/>
        <v xml:space="preserve">              </v>
      </c>
      <c r="Z909" t="str">
        <f t="shared" si="255"/>
        <v xml:space="preserve">    </v>
      </c>
      <c r="AA909" t="str">
        <f t="shared" si="259"/>
        <v xml:space="preserve">         </v>
      </c>
      <c r="AB909" t="str">
        <f t="shared" si="252"/>
        <v xml:space="preserve">         </v>
      </c>
      <c r="AC909" t="str">
        <f t="shared" si="253"/>
        <v xml:space="preserve">    </v>
      </c>
      <c r="AD909" t="str">
        <f t="shared" si="254"/>
        <v/>
      </c>
      <c r="AE909" t="str">
        <f t="shared" si="260"/>
        <v/>
      </c>
      <c r="AF909" t="str">
        <f t="shared" si="256"/>
        <v/>
      </c>
      <c r="AG909" t="str">
        <f t="shared" si="256"/>
        <v/>
      </c>
      <c r="AH909" t="str">
        <f t="shared" si="261"/>
        <v/>
      </c>
      <c r="AI909" t="str">
        <f t="shared" si="246"/>
        <v/>
      </c>
      <c r="AJ909" t="str">
        <f t="shared" si="247"/>
        <v/>
      </c>
    </row>
    <row r="910" spans="1:36" x14ac:dyDescent="0.25">
      <c r="A910" t="s">
        <v>713</v>
      </c>
      <c r="P910" t="str">
        <f t="shared" si="248"/>
        <v xml:space="preserve">                </v>
      </c>
      <c r="Q910" t="str">
        <f t="shared" si="248"/>
        <v xml:space="preserve">         </v>
      </c>
      <c r="R910" t="str">
        <f t="shared" si="257"/>
        <v xml:space="preserve">   108.0 </v>
      </c>
      <c r="S910" t="str">
        <f t="shared" si="249"/>
        <v xml:space="preserve">   108.0 </v>
      </c>
      <c r="T910" t="str">
        <f t="shared" si="250"/>
        <v xml:space="preserve">   108.0 </v>
      </c>
      <c r="U910" t="str">
        <f t="shared" si="254"/>
        <v xml:space="preserve">       26.1% </v>
      </c>
      <c r="V910" t="str">
        <f t="shared" si="258"/>
        <v xml:space="preserve">         </v>
      </c>
      <c r="W910" t="str">
        <f t="shared" si="251"/>
        <v xml:space="preserve">         </v>
      </c>
      <c r="X910" t="str">
        <f t="shared" si="255"/>
        <v xml:space="preserve">  1227 </v>
      </c>
      <c r="Y910" t="str">
        <f t="shared" si="255"/>
        <v xml:space="preserve"> MAXSPR-RS138 </v>
      </c>
      <c r="Z910" t="str">
        <f t="shared" si="255"/>
        <v xml:space="preserve">  1 </v>
      </c>
      <c r="AA910" t="str">
        <f t="shared" si="259"/>
        <v xml:space="preserve">   -28.5 </v>
      </c>
      <c r="AB910" t="str">
        <f t="shared" si="252"/>
        <v xml:space="preserve">     2.6 </v>
      </c>
      <c r="AC910" t="str">
        <f t="shared" si="253"/>
        <v xml:space="preserve">    28.2 </v>
      </c>
      <c r="AD910" t="str">
        <f t="shared" si="254"/>
        <v xml:space="preserve">        </v>
      </c>
      <c r="AE910" t="str">
        <f t="shared" si="260"/>
        <v xml:space="preserve">       </v>
      </c>
      <c r="AF910" t="str">
        <f t="shared" si="256"/>
        <v xml:space="preserve">     </v>
      </c>
      <c r="AG910" t="str">
        <f t="shared" si="256"/>
        <v xml:space="preserve">     0.07 </v>
      </c>
      <c r="AH910" t="str">
        <f t="shared" si="261"/>
        <v xml:space="preserve">    -0.65 </v>
      </c>
      <c r="AI910" t="str">
        <f t="shared" si="246"/>
        <v xml:space="preserve">       </v>
      </c>
      <c r="AJ910" t="str">
        <f t="shared" si="247"/>
        <v xml:space="preserve">      </v>
      </c>
    </row>
    <row r="911" spans="1:36" x14ac:dyDescent="0.25">
      <c r="A911" t="s">
        <v>714</v>
      </c>
      <c r="P911" t="str">
        <f t="shared" si="248"/>
        <v xml:space="preserve">                </v>
      </c>
      <c r="Q911" t="str">
        <f t="shared" si="248"/>
        <v xml:space="preserve">         </v>
      </c>
      <c r="R911" t="str">
        <f t="shared" si="257"/>
        <v xml:space="preserve">   108.0 </v>
      </c>
      <c r="S911" t="str">
        <f t="shared" si="249"/>
        <v xml:space="preserve">   108.0 </v>
      </c>
      <c r="T911" t="str">
        <f t="shared" si="250"/>
        <v xml:space="preserve">   108.0 </v>
      </c>
      <c r="U911" t="str">
        <f t="shared" si="254"/>
        <v xml:space="preserve">       16.9% </v>
      </c>
      <c r="V911" t="str">
        <f t="shared" si="258"/>
        <v xml:space="preserve">         </v>
      </c>
      <c r="W911" t="str">
        <f t="shared" si="251"/>
        <v xml:space="preserve">         </v>
      </c>
      <c r="X911" t="str">
        <f t="shared" si="255"/>
        <v xml:space="preserve">  2090 </v>
      </c>
      <c r="Y911" t="str">
        <f t="shared" si="255"/>
        <v xml:space="preserve"> SCHARL-RS138 </v>
      </c>
      <c r="Z911" t="str">
        <f t="shared" si="255"/>
        <v xml:space="preserve">  1 </v>
      </c>
      <c r="AA911" t="str">
        <f t="shared" si="259"/>
        <v xml:space="preserve">   -11.7 </v>
      </c>
      <c r="AB911" t="str">
        <f t="shared" si="252"/>
        <v xml:space="preserve">   -14.5 </v>
      </c>
      <c r="AC911" t="str">
        <f t="shared" si="253"/>
        <v xml:space="preserve">    18.3 </v>
      </c>
      <c r="AD911" t="str">
        <f t="shared" si="254"/>
        <v xml:space="preserve">        </v>
      </c>
      <c r="AE911" t="str">
        <f t="shared" si="260"/>
        <v xml:space="preserve">       </v>
      </c>
      <c r="AF911" t="str">
        <f t="shared" si="256"/>
        <v xml:space="preserve">     </v>
      </c>
      <c r="AG911" t="str">
        <f t="shared" si="256"/>
        <v xml:space="preserve">     0.02 </v>
      </c>
      <c r="AH911" t="str">
        <f t="shared" si="261"/>
        <v xml:space="preserve">    -0.51 </v>
      </c>
      <c r="AI911" t="str">
        <f t="shared" si="246"/>
        <v xml:space="preserve">       </v>
      </c>
      <c r="AJ911" t="str">
        <f t="shared" si="247"/>
        <v xml:space="preserve">      </v>
      </c>
    </row>
    <row r="912" spans="1:36" x14ac:dyDescent="0.25">
      <c r="A912" t="s">
        <v>14</v>
      </c>
      <c r="P912" t="str">
        <f t="shared" si="248"/>
        <v xml:space="preserve">  ..............</v>
      </c>
      <c r="Q912" t="str">
        <f t="shared" si="248"/>
        <v>.........</v>
      </c>
      <c r="R912" t="str">
        <f t="shared" si="257"/>
        <v>.........</v>
      </c>
      <c r="S912" t="str">
        <f t="shared" si="249"/>
        <v>.........</v>
      </c>
      <c r="T912" t="str">
        <f t="shared" si="250"/>
        <v>.........</v>
      </c>
      <c r="U912" t="str">
        <f t="shared" si="254"/>
        <v>.............</v>
      </c>
      <c r="V912" t="str">
        <f t="shared" si="258"/>
        <v>.........</v>
      </c>
      <c r="W912" t="str">
        <f t="shared" si="251"/>
        <v>.........</v>
      </c>
      <c r="X912" t="str">
        <f t="shared" si="255"/>
        <v>.......</v>
      </c>
      <c r="Y912" t="str">
        <f t="shared" si="255"/>
        <v>..............</v>
      </c>
      <c r="Z912" t="str">
        <f t="shared" si="255"/>
        <v>....</v>
      </c>
      <c r="AA912" t="str">
        <f t="shared" si="259"/>
        <v>.........</v>
      </c>
      <c r="AB912" t="str">
        <f t="shared" si="252"/>
        <v>.........</v>
      </c>
      <c r="AC912" t="str">
        <f t="shared" si="253"/>
        <v>.........</v>
      </c>
      <c r="AD912" t="str">
        <f t="shared" si="254"/>
        <v>........</v>
      </c>
      <c r="AE912" t="str">
        <f t="shared" si="260"/>
        <v>.......</v>
      </c>
      <c r="AF912" t="str">
        <f t="shared" si="256"/>
        <v>.....</v>
      </c>
      <c r="AG912" t="str">
        <f t="shared" si="256"/>
        <v>..........</v>
      </c>
      <c r="AH912" t="str">
        <f t="shared" si="261"/>
        <v>..........</v>
      </c>
      <c r="AI912" t="str">
        <f t="shared" si="246"/>
        <v>.......</v>
      </c>
      <c r="AJ912" t="str">
        <f t="shared" si="247"/>
        <v>.......</v>
      </c>
    </row>
    <row r="913" spans="1:36" x14ac:dyDescent="0.25">
      <c r="A913" t="s">
        <v>715</v>
      </c>
      <c r="P913" t="str">
        <f t="shared" si="248"/>
        <v xml:space="preserve">   3000  138  0 </v>
      </c>
      <c r="Q913" t="str">
        <f t="shared" si="248"/>
        <v xml:space="preserve">   1.012 </v>
      </c>
      <c r="R913" t="str">
        <f t="shared" si="257"/>
        <v xml:space="preserve">     2.6 </v>
      </c>
      <c r="S913" t="str">
        <f t="shared" si="249"/>
        <v xml:space="preserve">     0.0 </v>
      </c>
      <c r="T913" t="str">
        <f t="shared" si="250"/>
        <v xml:space="preserve">    47.8 </v>
      </c>
      <c r="U913" t="str">
        <f t="shared" si="254"/>
        <v xml:space="preserve">         0.0 </v>
      </c>
      <c r="V913" t="str">
        <f t="shared" si="258"/>
        <v xml:space="preserve">     3.7 </v>
      </c>
      <c r="W913" t="str">
        <f t="shared" si="251"/>
        <v xml:space="preserve">     0.0</v>
      </c>
      <c r="X913" t="str">
        <f t="shared" si="255"/>
        <v/>
      </c>
      <c r="Y913" t="str">
        <f t="shared" si="255"/>
        <v/>
      </c>
      <c r="Z913" t="str">
        <f t="shared" si="255"/>
        <v/>
      </c>
      <c r="AA913" t="str">
        <f t="shared" si="259"/>
        <v/>
      </c>
      <c r="AB913" t="str">
        <f t="shared" si="252"/>
        <v/>
      </c>
      <c r="AC913" t="str">
        <f t="shared" si="253"/>
        <v/>
      </c>
      <c r="AD913" t="str">
        <f t="shared" si="254"/>
        <v/>
      </c>
      <c r="AE913" t="str">
        <f t="shared" si="260"/>
        <v/>
      </c>
      <c r="AF913" t="str">
        <f t="shared" si="256"/>
        <v/>
      </c>
      <c r="AG913" t="str">
        <f t="shared" si="256"/>
        <v/>
      </c>
      <c r="AH913" t="str">
        <f t="shared" si="261"/>
        <v/>
      </c>
      <c r="AI913" t="str">
        <f t="shared" si="246"/>
        <v/>
      </c>
      <c r="AJ913" t="str">
        <f t="shared" si="247"/>
        <v/>
      </c>
    </row>
    <row r="914" spans="1:36" x14ac:dyDescent="0.25">
      <c r="A914" t="s">
        <v>716</v>
      </c>
      <c r="P914" t="str">
        <f t="shared" si="248"/>
        <v xml:space="preserve">  SAPUCA-RS138  </v>
      </c>
      <c r="Q914" t="str">
        <f t="shared" si="248"/>
        <v xml:space="preserve">   -52.8 </v>
      </c>
      <c r="R914" t="str">
        <f t="shared" si="257"/>
        <v xml:space="preserve">     0.0 </v>
      </c>
      <c r="S914" t="str">
        <f t="shared" si="249"/>
        <v xml:space="preserve">     0.0 </v>
      </c>
      <c r="T914" t="str">
        <f t="shared" si="250"/>
        <v xml:space="preserve">    17.7 </v>
      </c>
      <c r="U914" t="str">
        <f t="shared" si="254"/>
        <v xml:space="preserve">         0.0 </v>
      </c>
      <c r="V914" t="str">
        <f t="shared" si="258"/>
        <v xml:space="preserve">     0.0 </v>
      </c>
      <c r="W914" t="str">
        <f t="shared" si="251"/>
        <v xml:space="preserve">     0.0 </v>
      </c>
      <c r="X914" t="str">
        <f t="shared" si="255"/>
        <v xml:space="preserve">       </v>
      </c>
      <c r="Y914" t="str">
        <f t="shared" si="255"/>
        <v xml:space="preserve">              </v>
      </c>
      <c r="Z914" t="str">
        <f t="shared" si="255"/>
        <v xml:space="preserve">    </v>
      </c>
      <c r="AA914" t="str">
        <f t="shared" si="259"/>
        <v xml:space="preserve">         </v>
      </c>
      <c r="AB914" t="str">
        <f t="shared" si="252"/>
        <v xml:space="preserve">         </v>
      </c>
      <c r="AC914" t="str">
        <f t="shared" si="253"/>
        <v xml:space="preserve">    </v>
      </c>
      <c r="AD914" t="str">
        <f t="shared" si="254"/>
        <v/>
      </c>
      <c r="AE914" t="str">
        <f t="shared" si="260"/>
        <v/>
      </c>
      <c r="AF914" t="str">
        <f t="shared" si="256"/>
        <v/>
      </c>
      <c r="AG914" t="str">
        <f t="shared" si="256"/>
        <v/>
      </c>
      <c r="AH914" t="str">
        <f t="shared" si="261"/>
        <v/>
      </c>
      <c r="AI914" t="str">
        <f t="shared" si="246"/>
        <v/>
      </c>
      <c r="AJ914" t="str">
        <f t="shared" si="247"/>
        <v/>
      </c>
    </row>
    <row r="915" spans="1:36" x14ac:dyDescent="0.25">
      <c r="A915" t="s">
        <v>717</v>
      </c>
      <c r="P915" t="str">
        <f t="shared" si="248"/>
        <v xml:space="preserve">              DE</v>
      </c>
      <c r="Q915" t="str">
        <f t="shared" si="248"/>
        <v xml:space="preserve">ESLIGADO </v>
      </c>
      <c r="R915" t="str">
        <f t="shared" si="257"/>
        <v xml:space="preserve">   108.0 </v>
      </c>
      <c r="S915" t="str">
        <f t="shared" si="249"/>
        <v xml:space="preserve">   158.0 </v>
      </c>
      <c r="T915" t="str">
        <f t="shared" si="250"/>
        <v xml:space="preserve">   158.0 </v>
      </c>
      <c r="U915" t="str">
        <f t="shared" si="254"/>
        <v xml:space="preserve">             </v>
      </c>
      <c r="V915" t="str">
        <f t="shared" si="258"/>
        <v xml:space="preserve">         </v>
      </c>
      <c r="W915" t="str">
        <f t="shared" si="251"/>
        <v xml:space="preserve">         </v>
      </c>
      <c r="X915" t="str">
        <f t="shared" si="255"/>
        <v xml:space="preserve">  9199 </v>
      </c>
      <c r="Y915" t="str">
        <f t="shared" si="255"/>
        <v xml:space="preserve"> STIHL--RS138 </v>
      </c>
      <c r="Z915" t="str">
        <f t="shared" si="255"/>
        <v xml:space="preserve">  1 </v>
      </c>
      <c r="AA915" t="str">
        <f t="shared" si="259"/>
        <v xml:space="preserve">     0.0 </v>
      </c>
      <c r="AB915" t="str">
        <f t="shared" si="252"/>
        <v xml:space="preserve">     0.0 </v>
      </c>
      <c r="AC915" t="str">
        <f t="shared" si="253"/>
        <v xml:space="preserve">     0.0 </v>
      </c>
      <c r="AD915" t="str">
        <f t="shared" si="254"/>
        <v xml:space="preserve">        </v>
      </c>
      <c r="AE915" t="str">
        <f t="shared" si="260"/>
        <v xml:space="preserve">       </v>
      </c>
      <c r="AF915" t="str">
        <f t="shared" si="256"/>
        <v xml:space="preserve">     </v>
      </c>
      <c r="AG915" t="str">
        <f t="shared" si="256"/>
        <v xml:space="preserve">     0.00 </v>
      </c>
      <c r="AH915" t="str">
        <f t="shared" si="261"/>
        <v xml:space="preserve">     0.00 </v>
      </c>
      <c r="AI915" t="str">
        <f t="shared" si="246"/>
        <v xml:space="preserve">       </v>
      </c>
      <c r="AJ915" t="str">
        <f t="shared" si="247"/>
        <v xml:space="preserve">      </v>
      </c>
    </row>
    <row r="916" spans="1:36" x14ac:dyDescent="0.25">
      <c r="A916" t="s">
        <v>718</v>
      </c>
      <c r="P916" t="str">
        <f t="shared" si="248"/>
        <v xml:space="preserve">                </v>
      </c>
      <c r="Q916" t="str">
        <f t="shared" si="248"/>
        <v xml:space="preserve">         </v>
      </c>
      <c r="R916" t="str">
        <f t="shared" si="257"/>
        <v xml:space="preserve">   108.0 </v>
      </c>
      <c r="S916" t="str">
        <f t="shared" si="249"/>
        <v xml:space="preserve">   158.0 </v>
      </c>
      <c r="T916" t="str">
        <f t="shared" si="250"/>
        <v xml:space="preserve">   158.0 </v>
      </c>
      <c r="U916" t="str">
        <f t="shared" si="254"/>
        <v xml:space="preserve">       43.3% </v>
      </c>
      <c r="V916" t="str">
        <f t="shared" si="258"/>
        <v xml:space="preserve">         </v>
      </c>
      <c r="W916" t="str">
        <f t="shared" si="251"/>
        <v xml:space="preserve">         </v>
      </c>
      <c r="X916" t="str">
        <f t="shared" si="255"/>
        <v xml:space="preserve">  9305 </v>
      </c>
      <c r="Y916" t="str">
        <f t="shared" si="255"/>
        <v xml:space="preserve"> CACHO3-RS138 </v>
      </c>
      <c r="Z916" t="str">
        <f t="shared" si="255"/>
        <v xml:space="preserve">  1 </v>
      </c>
      <c r="AA916" t="str">
        <f t="shared" si="259"/>
        <v xml:space="preserve">   -45.2 </v>
      </c>
      <c r="AB916" t="str">
        <f t="shared" si="252"/>
        <v xml:space="preserve">   -14.0 </v>
      </c>
      <c r="AC916" t="str">
        <f t="shared" si="253"/>
        <v xml:space="preserve">    46.7 </v>
      </c>
      <c r="AD916" t="str">
        <f t="shared" si="254"/>
        <v xml:space="preserve">        </v>
      </c>
      <c r="AE916" t="str">
        <f t="shared" si="260"/>
        <v xml:space="preserve">       </v>
      </c>
      <c r="AF916" t="str">
        <f t="shared" si="256"/>
        <v xml:space="preserve">     </v>
      </c>
      <c r="AG916" t="str">
        <f t="shared" si="256"/>
        <v xml:space="preserve">     0.19 </v>
      </c>
      <c r="AH916" t="str">
        <f t="shared" si="261"/>
        <v xml:space="preserve">    -0.25 </v>
      </c>
      <c r="AI916" t="str">
        <f t="shared" si="246"/>
        <v xml:space="preserve">       </v>
      </c>
      <c r="AJ916" t="str">
        <f t="shared" si="247"/>
        <v xml:space="preserve">      </v>
      </c>
    </row>
    <row r="917" spans="1:36" x14ac:dyDescent="0.25">
      <c r="A917" t="s">
        <v>14</v>
      </c>
      <c r="P917" t="str">
        <f t="shared" si="248"/>
        <v xml:space="preserve">  ..............</v>
      </c>
      <c r="Q917" t="str">
        <f t="shared" si="248"/>
        <v>.........</v>
      </c>
      <c r="R917" t="str">
        <f t="shared" si="257"/>
        <v>.........</v>
      </c>
      <c r="S917" t="str">
        <f t="shared" si="249"/>
        <v>.........</v>
      </c>
      <c r="T917" t="str">
        <f t="shared" si="250"/>
        <v>.........</v>
      </c>
      <c r="U917" t="str">
        <f t="shared" si="254"/>
        <v>.............</v>
      </c>
      <c r="V917" t="str">
        <f t="shared" si="258"/>
        <v>.........</v>
      </c>
      <c r="W917" t="str">
        <f t="shared" si="251"/>
        <v>.........</v>
      </c>
      <c r="X917" t="str">
        <f t="shared" si="255"/>
        <v>.......</v>
      </c>
      <c r="Y917" t="str">
        <f t="shared" si="255"/>
        <v>..............</v>
      </c>
      <c r="Z917" t="str">
        <f t="shared" si="255"/>
        <v>....</v>
      </c>
      <c r="AA917" t="str">
        <f t="shared" si="259"/>
        <v>.........</v>
      </c>
      <c r="AB917" t="str">
        <f t="shared" si="252"/>
        <v>.........</v>
      </c>
      <c r="AC917" t="str">
        <f t="shared" si="253"/>
        <v>.........</v>
      </c>
      <c r="AD917" t="str">
        <f t="shared" si="254"/>
        <v>........</v>
      </c>
      <c r="AE917" t="str">
        <f t="shared" si="260"/>
        <v>.......</v>
      </c>
      <c r="AF917" t="str">
        <f t="shared" si="256"/>
        <v>.....</v>
      </c>
      <c r="AG917" t="str">
        <f t="shared" si="256"/>
        <v>..........</v>
      </c>
      <c r="AH917" t="str">
        <f t="shared" si="261"/>
        <v>..........</v>
      </c>
      <c r="AI917" t="str">
        <f t="shared" si="246"/>
        <v>.......</v>
      </c>
      <c r="AJ917" t="str">
        <f t="shared" si="247"/>
        <v>.......</v>
      </c>
    </row>
    <row r="918" spans="1:36" x14ac:dyDescent="0.25">
      <c r="A918" t="s">
        <v>719</v>
      </c>
      <c r="P918" t="str">
        <f t="shared" si="248"/>
        <v xml:space="preserve">   3001  138  0 </v>
      </c>
      <c r="Q918" t="str">
        <f t="shared" si="248"/>
        <v xml:space="preserve">   1.009 </v>
      </c>
      <c r="R918" t="str">
        <f t="shared" si="257"/>
        <v xml:space="preserve">     5.6 </v>
      </c>
      <c r="S918" t="str">
        <f t="shared" si="249"/>
        <v xml:space="preserve">     0.0 </v>
      </c>
      <c r="T918" t="str">
        <f t="shared" si="250"/>
        <v xml:space="preserve">    63.1 </v>
      </c>
      <c r="U918" t="str">
        <f t="shared" si="254"/>
        <v xml:space="preserve">         0.0 </v>
      </c>
      <c r="V918" t="str">
        <f t="shared" si="258"/>
        <v xml:space="preserve">     7.3 </v>
      </c>
      <c r="W918" t="str">
        <f t="shared" si="251"/>
        <v xml:space="preserve">     0.0</v>
      </c>
      <c r="X918" t="str">
        <f t="shared" si="255"/>
        <v/>
      </c>
      <c r="Y918" t="str">
        <f t="shared" si="255"/>
        <v/>
      </c>
      <c r="Z918" t="str">
        <f t="shared" si="255"/>
        <v/>
      </c>
      <c r="AA918" t="str">
        <f t="shared" si="259"/>
        <v/>
      </c>
      <c r="AB918" t="str">
        <f t="shared" si="252"/>
        <v/>
      </c>
      <c r="AC918" t="str">
        <f t="shared" si="253"/>
        <v/>
      </c>
      <c r="AD918" t="str">
        <f t="shared" si="254"/>
        <v/>
      </c>
      <c r="AE918" t="str">
        <f t="shared" si="260"/>
        <v/>
      </c>
      <c r="AF918" t="str">
        <f t="shared" si="256"/>
        <v/>
      </c>
      <c r="AG918" t="str">
        <f t="shared" si="256"/>
        <v/>
      </c>
      <c r="AH918" t="str">
        <f t="shared" si="261"/>
        <v/>
      </c>
      <c r="AI918" t="str">
        <f t="shared" si="246"/>
        <v/>
      </c>
      <c r="AJ918" t="str">
        <f t="shared" si="247"/>
        <v/>
      </c>
    </row>
    <row r="919" spans="1:36" x14ac:dyDescent="0.25">
      <c r="A919" t="s">
        <v>720</v>
      </c>
      <c r="P919" t="str">
        <f t="shared" si="248"/>
        <v xml:space="preserve">  SLEOPO-RS138  </v>
      </c>
      <c r="Q919" t="str">
        <f t="shared" si="248"/>
        <v xml:space="preserve">   -53.8 </v>
      </c>
      <c r="R919" t="str">
        <f t="shared" si="257"/>
        <v xml:space="preserve">     0.0 </v>
      </c>
      <c r="S919" t="str">
        <f t="shared" si="249"/>
        <v xml:space="preserve">     0.0 </v>
      </c>
      <c r="T919" t="str">
        <f t="shared" si="250"/>
        <v xml:space="preserve">    23.0 </v>
      </c>
      <c r="U919" t="str">
        <f t="shared" si="254"/>
        <v xml:space="preserve">         0.0 </v>
      </c>
      <c r="V919" t="str">
        <f t="shared" si="258"/>
        <v xml:space="preserve">     0.0 </v>
      </c>
      <c r="W919" t="str">
        <f t="shared" si="251"/>
        <v xml:space="preserve">     0.0 </v>
      </c>
      <c r="X919" t="str">
        <f t="shared" si="255"/>
        <v xml:space="preserve">       </v>
      </c>
      <c r="Y919" t="str">
        <f t="shared" si="255"/>
        <v xml:space="preserve">              </v>
      </c>
      <c r="Z919" t="str">
        <f t="shared" si="255"/>
        <v xml:space="preserve">    </v>
      </c>
      <c r="AA919" t="str">
        <f t="shared" si="259"/>
        <v xml:space="preserve">         </v>
      </c>
      <c r="AB919" t="str">
        <f t="shared" si="252"/>
        <v xml:space="preserve">         </v>
      </c>
      <c r="AC919" t="str">
        <f t="shared" si="253"/>
        <v xml:space="preserve">    </v>
      </c>
      <c r="AD919" t="str">
        <f t="shared" si="254"/>
        <v/>
      </c>
      <c r="AE919" t="str">
        <f t="shared" si="260"/>
        <v/>
      </c>
      <c r="AF919" t="str">
        <f t="shared" si="256"/>
        <v/>
      </c>
      <c r="AG919" t="str">
        <f t="shared" si="256"/>
        <v/>
      </c>
      <c r="AH919" t="str">
        <f t="shared" si="261"/>
        <v/>
      </c>
      <c r="AI919" t="str">
        <f t="shared" ref="AI919:AI982" si="262">MID($A919,AG$8+AG$9+AH$9-2,AI$9)</f>
        <v/>
      </c>
      <c r="AJ919" t="str">
        <f t="shared" ref="AJ919:AJ982" si="263">MID($A919,AG$8+AG$9+AH$9+AI$9-3,AJ$9)</f>
        <v/>
      </c>
    </row>
    <row r="920" spans="1:36" x14ac:dyDescent="0.25">
      <c r="A920" t="s">
        <v>721</v>
      </c>
      <c r="P920" t="str">
        <f t="shared" si="248"/>
        <v xml:space="preserve">                </v>
      </c>
      <c r="Q920" t="str">
        <f t="shared" si="248"/>
        <v xml:space="preserve">         </v>
      </c>
      <c r="R920" t="str">
        <f t="shared" si="257"/>
        <v xml:space="preserve">   108.0 </v>
      </c>
      <c r="S920" t="str">
        <f t="shared" si="249"/>
        <v xml:space="preserve">   158.0 </v>
      </c>
      <c r="T920" t="str">
        <f t="shared" si="250"/>
        <v xml:space="preserve">   158.0 </v>
      </c>
      <c r="U920" t="str">
        <f t="shared" si="254"/>
        <v xml:space="preserve">        9.4% </v>
      </c>
      <c r="V920" t="str">
        <f t="shared" si="258"/>
        <v xml:space="preserve">         </v>
      </c>
      <c r="W920" t="str">
        <f t="shared" si="251"/>
        <v xml:space="preserve">         </v>
      </c>
      <c r="X920" t="str">
        <f t="shared" si="255"/>
        <v xml:space="preserve">  9199 </v>
      </c>
      <c r="Y920" t="str">
        <f t="shared" si="255"/>
        <v xml:space="preserve"> STIHL--RS138 </v>
      </c>
      <c r="Z920" t="str">
        <f t="shared" si="255"/>
        <v xml:space="preserve">  1 </v>
      </c>
      <c r="AA920" t="str">
        <f t="shared" si="259"/>
        <v xml:space="preserve">     9.5 </v>
      </c>
      <c r="AB920" t="str">
        <f t="shared" si="252"/>
        <v xml:space="preserve">     3.8 </v>
      </c>
      <c r="AC920" t="str">
        <f t="shared" si="253"/>
        <v xml:space="preserve">    10.2 </v>
      </c>
      <c r="AD920" t="str">
        <f t="shared" si="254"/>
        <v xml:space="preserve">        </v>
      </c>
      <c r="AE920" t="str">
        <f t="shared" si="260"/>
        <v xml:space="preserve">       </v>
      </c>
      <c r="AF920" t="str">
        <f t="shared" si="256"/>
        <v xml:space="preserve">     </v>
      </c>
      <c r="AG920" t="str">
        <f t="shared" si="256"/>
        <v xml:space="preserve">     0.00 </v>
      </c>
      <c r="AH920" t="str">
        <f t="shared" si="261"/>
        <v xml:space="preserve">    -0.18 </v>
      </c>
      <c r="AI920" t="str">
        <f t="shared" si="262"/>
        <v xml:space="preserve">       </v>
      </c>
      <c r="AJ920" t="str">
        <f t="shared" si="263"/>
        <v xml:space="preserve">      </v>
      </c>
    </row>
    <row r="921" spans="1:36" x14ac:dyDescent="0.25">
      <c r="A921" t="s">
        <v>722</v>
      </c>
      <c r="P921" t="str">
        <f t="shared" si="248"/>
        <v xml:space="preserve">                </v>
      </c>
      <c r="Q921" t="str">
        <f t="shared" si="248"/>
        <v xml:space="preserve">         </v>
      </c>
      <c r="R921" t="str">
        <f t="shared" si="257"/>
        <v xml:space="preserve">   167.0 </v>
      </c>
      <c r="S921" t="str">
        <f t="shared" si="249"/>
        <v xml:space="preserve">   203.0 </v>
      </c>
      <c r="T921" t="str">
        <f t="shared" si="250"/>
        <v xml:space="preserve">   203.0 </v>
      </c>
      <c r="U921" t="str">
        <f t="shared" si="254"/>
        <v xml:space="preserve">       41.4% </v>
      </c>
      <c r="V921" t="str">
        <f t="shared" si="258"/>
        <v xml:space="preserve">         </v>
      </c>
      <c r="W921" t="str">
        <f t="shared" si="251"/>
        <v xml:space="preserve">         </v>
      </c>
      <c r="X921" t="str">
        <f t="shared" si="255"/>
        <v xml:space="preserve">  9200 </v>
      </c>
      <c r="Y921" t="str">
        <f t="shared" si="255"/>
        <v xml:space="preserve"> SLEOP2-RS138 </v>
      </c>
      <c r="Z921" t="str">
        <f t="shared" si="255"/>
        <v xml:space="preserve">  1 </v>
      </c>
      <c r="AA921" t="str">
        <f t="shared" si="259"/>
        <v xml:space="preserve">   -67.0 </v>
      </c>
      <c r="AB921" t="str">
        <f t="shared" si="252"/>
        <v xml:space="preserve">   -19.5 </v>
      </c>
      <c r="AC921" t="str">
        <f t="shared" si="253"/>
        <v xml:space="preserve">    69.2 </v>
      </c>
      <c r="AD921" t="str">
        <f t="shared" si="254"/>
        <v xml:space="preserve">        </v>
      </c>
      <c r="AE921" t="str">
        <f t="shared" si="260"/>
        <v xml:space="preserve">       </v>
      </c>
      <c r="AF921" t="str">
        <f t="shared" si="256"/>
        <v xml:space="preserve">     </v>
      </c>
      <c r="AG921" t="str">
        <f t="shared" si="256"/>
        <v xml:space="preserve">     0.10 </v>
      </c>
      <c r="AH921" t="str">
        <f t="shared" si="261"/>
        <v xml:space="preserve">     0.13 </v>
      </c>
      <c r="AI921" t="str">
        <f t="shared" si="262"/>
        <v xml:space="preserve">       </v>
      </c>
      <c r="AJ921" t="str">
        <f t="shared" si="263"/>
        <v xml:space="preserve">      </v>
      </c>
    </row>
    <row r="922" spans="1:36" x14ac:dyDescent="0.25">
      <c r="A922" t="s">
        <v>14</v>
      </c>
      <c r="P922" t="str">
        <f t="shared" si="248"/>
        <v xml:space="preserve">  ..............</v>
      </c>
      <c r="Q922" t="str">
        <f t="shared" si="248"/>
        <v>.........</v>
      </c>
      <c r="R922" t="str">
        <f t="shared" si="257"/>
        <v>.........</v>
      </c>
      <c r="S922" t="str">
        <f t="shared" si="249"/>
        <v>.........</v>
      </c>
      <c r="T922" t="str">
        <f t="shared" si="250"/>
        <v>.........</v>
      </c>
      <c r="U922" t="str">
        <f t="shared" si="254"/>
        <v>.............</v>
      </c>
      <c r="V922" t="str">
        <f t="shared" si="258"/>
        <v>.........</v>
      </c>
      <c r="W922" t="str">
        <f t="shared" si="251"/>
        <v>.........</v>
      </c>
      <c r="X922" t="str">
        <f t="shared" si="255"/>
        <v>.......</v>
      </c>
      <c r="Y922" t="str">
        <f t="shared" si="255"/>
        <v>..............</v>
      </c>
      <c r="Z922" t="str">
        <f t="shared" si="255"/>
        <v>....</v>
      </c>
      <c r="AA922" t="str">
        <f t="shared" si="259"/>
        <v>.........</v>
      </c>
      <c r="AB922" t="str">
        <f t="shared" si="252"/>
        <v>.........</v>
      </c>
      <c r="AC922" t="str">
        <f t="shared" si="253"/>
        <v>.........</v>
      </c>
      <c r="AD922" t="str">
        <f t="shared" si="254"/>
        <v>........</v>
      </c>
      <c r="AE922" t="str">
        <f t="shared" si="260"/>
        <v>.......</v>
      </c>
      <c r="AF922" t="str">
        <f t="shared" si="256"/>
        <v>.....</v>
      </c>
      <c r="AG922" t="str">
        <f t="shared" si="256"/>
        <v>..........</v>
      </c>
      <c r="AH922" t="str">
        <f t="shared" si="261"/>
        <v>..........</v>
      </c>
      <c r="AI922" t="str">
        <f t="shared" si="262"/>
        <v>.......</v>
      </c>
      <c r="AJ922" t="str">
        <f t="shared" si="263"/>
        <v>.......</v>
      </c>
    </row>
    <row r="923" spans="1:36" x14ac:dyDescent="0.25">
      <c r="A923" t="s">
        <v>723</v>
      </c>
      <c r="P923" t="str">
        <f t="shared" ref="P923:Q986" si="264">MID($A923,P$8,P$9)</f>
        <v xml:space="preserve">   9182   69  0 </v>
      </c>
      <c r="Q923" t="str">
        <f t="shared" si="264"/>
        <v xml:space="preserve">   1.006 </v>
      </c>
      <c r="R923" t="str">
        <f t="shared" si="257"/>
        <v xml:space="preserve">     0.0 </v>
      </c>
      <c r="S923" t="str">
        <f t="shared" ref="S923:S986" si="265">MID($A923,Q$8+Q$9+R$9-2,S$9)</f>
        <v xml:space="preserve">     0.0 </v>
      </c>
      <c r="T923" t="str">
        <f t="shared" ref="T923:T986" si="266">MID($A923,Q$8+Q$9+R$9+S$9-3,T$9)</f>
        <v xml:space="preserve">     0.0 </v>
      </c>
      <c r="U923" t="str">
        <f t="shared" si="254"/>
        <v xml:space="preserve">         0.0 </v>
      </c>
      <c r="V923" t="str">
        <f t="shared" si="258"/>
        <v xml:space="preserve">     0.0 </v>
      </c>
      <c r="W923" t="str">
        <f t="shared" ref="W923:W986" si="267">MID($A923,U$8+U$9+V$9-2,W$9)</f>
        <v xml:space="preserve">     0.0</v>
      </c>
      <c r="X923" t="str">
        <f t="shared" si="255"/>
        <v/>
      </c>
      <c r="Y923" t="str">
        <f t="shared" si="255"/>
        <v/>
      </c>
      <c r="Z923" t="str">
        <f t="shared" si="255"/>
        <v/>
      </c>
      <c r="AA923" t="str">
        <f t="shared" si="259"/>
        <v/>
      </c>
      <c r="AB923" t="str">
        <f t="shared" ref="AB923:AB986" si="268">MID($A923,Z$8+Z$9+AA$9-2,AB$9)</f>
        <v/>
      </c>
      <c r="AC923" t="str">
        <f t="shared" ref="AC923:AC986" si="269">MID($A923,Z$8+Z$9+AA$9+AB$9-3,AC$9)</f>
        <v/>
      </c>
      <c r="AD923" t="str">
        <f t="shared" si="254"/>
        <v/>
      </c>
      <c r="AE923" t="str">
        <f t="shared" si="260"/>
        <v/>
      </c>
      <c r="AF923" t="str">
        <f t="shared" si="256"/>
        <v/>
      </c>
      <c r="AG923" t="str">
        <f t="shared" si="256"/>
        <v/>
      </c>
      <c r="AH923" t="str">
        <f t="shared" si="261"/>
        <v/>
      </c>
      <c r="AI923" t="str">
        <f t="shared" si="262"/>
        <v/>
      </c>
      <c r="AJ923" t="str">
        <f t="shared" si="263"/>
        <v/>
      </c>
    </row>
    <row r="924" spans="1:36" x14ac:dyDescent="0.25">
      <c r="A924" t="s">
        <v>724</v>
      </c>
      <c r="P924" t="str">
        <f t="shared" si="264"/>
        <v xml:space="preserve">  XANGRI-RS069  </v>
      </c>
      <c r="Q924" t="str">
        <f t="shared" si="264"/>
        <v xml:space="preserve">   -49.9 </v>
      </c>
      <c r="R924" t="str">
        <f t="shared" si="257"/>
        <v xml:space="preserve">     0.0 </v>
      </c>
      <c r="S924" t="str">
        <f t="shared" si="265"/>
        <v xml:space="preserve">     0.0 </v>
      </c>
      <c r="T924" t="str">
        <f t="shared" si="266"/>
        <v xml:space="preserve">     0.0 </v>
      </c>
      <c r="U924" t="str">
        <f t="shared" ref="U924:AD987" si="270">MID($A924,U$8,U$9)</f>
        <v xml:space="preserve">         0.0 </v>
      </c>
      <c r="V924" t="str">
        <f t="shared" si="258"/>
        <v xml:space="preserve">     0.0 </v>
      </c>
      <c r="W924" t="str">
        <f t="shared" si="267"/>
        <v xml:space="preserve">     0.0 </v>
      </c>
      <c r="X924" t="str">
        <f t="shared" ref="X924:Z987" si="271">MID($A924,X$8,X$9)</f>
        <v xml:space="preserve">       </v>
      </c>
      <c r="Y924" t="str">
        <f t="shared" si="271"/>
        <v xml:space="preserve">              </v>
      </c>
      <c r="Z924" t="str">
        <f t="shared" si="271"/>
        <v xml:space="preserve">    </v>
      </c>
      <c r="AA924" t="str">
        <f t="shared" si="259"/>
        <v xml:space="preserve">         </v>
      </c>
      <c r="AB924" t="str">
        <f t="shared" si="268"/>
        <v xml:space="preserve">         </v>
      </c>
      <c r="AC924" t="str">
        <f t="shared" si="269"/>
        <v xml:space="preserve">    </v>
      </c>
      <c r="AD924" t="str">
        <f t="shared" si="270"/>
        <v/>
      </c>
      <c r="AE924" t="str">
        <f t="shared" si="260"/>
        <v/>
      </c>
      <c r="AF924" t="str">
        <f t="shared" si="256"/>
        <v/>
      </c>
      <c r="AG924" t="str">
        <f t="shared" si="256"/>
        <v/>
      </c>
      <c r="AH924" t="str">
        <f t="shared" si="261"/>
        <v/>
      </c>
      <c r="AI924" t="str">
        <f t="shared" si="262"/>
        <v/>
      </c>
      <c r="AJ924" t="str">
        <f t="shared" si="263"/>
        <v/>
      </c>
    </row>
    <row r="925" spans="1:36" x14ac:dyDescent="0.25">
      <c r="A925" t="s">
        <v>725</v>
      </c>
      <c r="P925" t="str">
        <f t="shared" si="264"/>
        <v xml:space="preserve">                </v>
      </c>
      <c r="Q925" t="str">
        <f t="shared" si="264"/>
        <v xml:space="preserve">         </v>
      </c>
      <c r="R925" t="str">
        <f t="shared" si="257"/>
        <v xml:space="preserve">    40.0 </v>
      </c>
      <c r="S925" t="str">
        <f t="shared" si="265"/>
        <v xml:space="preserve">    40.0 </v>
      </c>
      <c r="T925" t="str">
        <f t="shared" si="266"/>
        <v xml:space="preserve">    40.0 </v>
      </c>
      <c r="U925" t="str">
        <f t="shared" si="270"/>
        <v xml:space="preserve">       20.8% </v>
      </c>
      <c r="V925" t="str">
        <f t="shared" si="258"/>
        <v xml:space="preserve">         </v>
      </c>
      <c r="W925" t="str">
        <f t="shared" si="267"/>
        <v xml:space="preserve">         </v>
      </c>
      <c r="X925" t="str">
        <f t="shared" si="271"/>
        <v xml:space="preserve">  1331 </v>
      </c>
      <c r="Y925" t="str">
        <f t="shared" si="271"/>
        <v xml:space="preserve"> ATLAN2-RS069 </v>
      </c>
      <c r="Z925" t="str">
        <f t="shared" si="271"/>
        <v xml:space="preserve">  1 </v>
      </c>
      <c r="AA925" t="str">
        <f t="shared" si="259"/>
        <v xml:space="preserve">     8.3 </v>
      </c>
      <c r="AB925" t="str">
        <f t="shared" si="268"/>
        <v xml:space="preserve">    -1.3 </v>
      </c>
      <c r="AC925" t="str">
        <f t="shared" si="269"/>
        <v xml:space="preserve">     8.3 </v>
      </c>
      <c r="AD925" t="str">
        <f t="shared" si="270"/>
        <v xml:space="preserve">        </v>
      </c>
      <c r="AE925" t="str">
        <f t="shared" si="260"/>
        <v xml:space="preserve">       </v>
      </c>
      <c r="AF925" t="str">
        <f t="shared" ref="AF925:AG988" si="272">MID($A925,AF$8,AF$9)</f>
        <v xml:space="preserve">     </v>
      </c>
      <c r="AG925" t="str">
        <f t="shared" si="272"/>
        <v xml:space="preserve">     0.00 </v>
      </c>
      <c r="AH925" t="str">
        <f t="shared" si="261"/>
        <v xml:space="preserve">     0.01 </v>
      </c>
      <c r="AI925" t="str">
        <f t="shared" si="262"/>
        <v xml:space="preserve">       </v>
      </c>
      <c r="AJ925" t="str">
        <f t="shared" si="263"/>
        <v xml:space="preserve">      </v>
      </c>
    </row>
    <row r="926" spans="1:36" x14ac:dyDescent="0.25">
      <c r="A926" t="s">
        <v>726</v>
      </c>
      <c r="P926" t="str">
        <f t="shared" si="264"/>
        <v xml:space="preserve">                </v>
      </c>
      <c r="Q926" t="str">
        <f t="shared" si="264"/>
        <v xml:space="preserve">         </v>
      </c>
      <c r="R926" t="str">
        <f t="shared" si="257"/>
        <v xml:space="preserve">    33.0 </v>
      </c>
      <c r="S926" t="str">
        <f t="shared" si="265"/>
        <v xml:space="preserve">    33.0 </v>
      </c>
      <c r="T926" t="str">
        <f t="shared" si="266"/>
        <v xml:space="preserve">    33.0 </v>
      </c>
      <c r="U926" t="str">
        <f t="shared" si="270"/>
        <v xml:space="preserve">       25.2% </v>
      </c>
      <c r="V926" t="str">
        <f t="shared" si="258"/>
        <v xml:space="preserve">         </v>
      </c>
      <c r="W926" t="str">
        <f t="shared" si="267"/>
        <v xml:space="preserve">         </v>
      </c>
      <c r="X926" t="str">
        <f t="shared" si="271"/>
        <v xml:space="preserve"> 10111 </v>
      </c>
      <c r="Y926" t="str">
        <f t="shared" si="271"/>
        <v xml:space="preserve"> XANGRI-RS034 </v>
      </c>
      <c r="Z926" t="str">
        <f t="shared" si="271"/>
        <v xml:space="preserve">  1 </v>
      </c>
      <c r="AA926" t="str">
        <f t="shared" si="259"/>
        <v xml:space="preserve">    -8.3 </v>
      </c>
      <c r="AB926" t="str">
        <f t="shared" si="268"/>
        <v xml:space="preserve">     1.3 </v>
      </c>
      <c r="AC926" t="str">
        <f t="shared" si="269"/>
        <v xml:space="preserve">     8.3 </v>
      </c>
      <c r="AD926" t="str">
        <f t="shared" si="270"/>
        <v xml:space="preserve"> 1.000C </v>
      </c>
      <c r="AE926" t="str">
        <f t="shared" si="260"/>
        <v xml:space="preserve">       </v>
      </c>
      <c r="AF926" t="str">
        <f t="shared" si="272"/>
        <v xml:space="preserve">     </v>
      </c>
      <c r="AG926" t="str">
        <f t="shared" si="272"/>
        <v xml:space="preserve">     0.01 </v>
      </c>
      <c r="AH926" t="str">
        <f t="shared" si="261"/>
        <v xml:space="preserve">     0.27 </v>
      </c>
      <c r="AI926" t="str">
        <f t="shared" si="262"/>
        <v xml:space="preserve">       </v>
      </c>
      <c r="AJ926" t="str">
        <f t="shared" si="263"/>
        <v xml:space="preserve">      </v>
      </c>
    </row>
    <row r="927" spans="1:36" x14ac:dyDescent="0.25">
      <c r="A927" t="s">
        <v>14</v>
      </c>
      <c r="P927" t="str">
        <f t="shared" si="264"/>
        <v xml:space="preserve">  ..............</v>
      </c>
      <c r="Q927" t="str">
        <f t="shared" si="264"/>
        <v>.........</v>
      </c>
      <c r="R927" t="str">
        <f t="shared" si="257"/>
        <v>.........</v>
      </c>
      <c r="S927" t="str">
        <f t="shared" si="265"/>
        <v>.........</v>
      </c>
      <c r="T927" t="str">
        <f t="shared" si="266"/>
        <v>.........</v>
      </c>
      <c r="U927" t="str">
        <f t="shared" si="270"/>
        <v>.............</v>
      </c>
      <c r="V927" t="str">
        <f t="shared" si="258"/>
        <v>.........</v>
      </c>
      <c r="W927" t="str">
        <f t="shared" si="267"/>
        <v>.........</v>
      </c>
      <c r="X927" t="str">
        <f t="shared" si="271"/>
        <v>.......</v>
      </c>
      <c r="Y927" t="str">
        <f t="shared" si="271"/>
        <v>..............</v>
      </c>
      <c r="Z927" t="str">
        <f t="shared" si="271"/>
        <v>....</v>
      </c>
      <c r="AA927" t="str">
        <f t="shared" si="259"/>
        <v>.........</v>
      </c>
      <c r="AB927" t="str">
        <f t="shared" si="268"/>
        <v>.........</v>
      </c>
      <c r="AC927" t="str">
        <f t="shared" si="269"/>
        <v>.........</v>
      </c>
      <c r="AD927" t="str">
        <f t="shared" si="270"/>
        <v>........</v>
      </c>
      <c r="AE927" t="str">
        <f t="shared" si="260"/>
        <v>.......</v>
      </c>
      <c r="AF927" t="str">
        <f t="shared" si="272"/>
        <v>.....</v>
      </c>
      <c r="AG927" t="str">
        <f t="shared" si="272"/>
        <v>..........</v>
      </c>
      <c r="AH927" t="str">
        <f t="shared" si="261"/>
        <v>..........</v>
      </c>
      <c r="AI927" t="str">
        <f t="shared" si="262"/>
        <v>.......</v>
      </c>
      <c r="AJ927" t="str">
        <f t="shared" si="263"/>
        <v>.......</v>
      </c>
    </row>
    <row r="928" spans="1:36" x14ac:dyDescent="0.25">
      <c r="A928" t="s">
        <v>727</v>
      </c>
      <c r="P928" t="str">
        <f t="shared" si="264"/>
        <v xml:space="preserve">   9183   35  1 </v>
      </c>
      <c r="Q928" t="str">
        <f t="shared" si="264"/>
        <v xml:space="preserve">   1.003 </v>
      </c>
      <c r="R928" t="str">
        <f t="shared" si="257"/>
        <v xml:space="preserve">     8.3 </v>
      </c>
      <c r="S928" t="str">
        <f t="shared" si="265"/>
        <v xml:space="preserve">     0.0 </v>
      </c>
      <c r="T928" t="str">
        <f t="shared" si="266"/>
        <v xml:space="preserve">     0.0 </v>
      </c>
      <c r="U928" t="str">
        <f t="shared" si="270"/>
        <v xml:space="preserve">         0.0 </v>
      </c>
      <c r="V928" t="str">
        <f t="shared" si="258"/>
        <v xml:space="preserve">     0.0 </v>
      </c>
      <c r="W928" t="str">
        <f t="shared" si="267"/>
        <v xml:space="preserve">     0.0</v>
      </c>
      <c r="X928" t="str">
        <f t="shared" si="271"/>
        <v/>
      </c>
      <c r="Y928" t="str">
        <f t="shared" si="271"/>
        <v/>
      </c>
      <c r="Z928" t="str">
        <f t="shared" si="271"/>
        <v/>
      </c>
      <c r="AA928" t="str">
        <f t="shared" si="259"/>
        <v/>
      </c>
      <c r="AB928" t="str">
        <f t="shared" si="268"/>
        <v/>
      </c>
      <c r="AC928" t="str">
        <f t="shared" si="269"/>
        <v/>
      </c>
      <c r="AD928" t="str">
        <f t="shared" si="270"/>
        <v/>
      </c>
      <c r="AE928" t="str">
        <f t="shared" si="260"/>
        <v/>
      </c>
      <c r="AF928" t="str">
        <f t="shared" si="272"/>
        <v/>
      </c>
      <c r="AG928" t="str">
        <f t="shared" si="272"/>
        <v/>
      </c>
      <c r="AH928" t="str">
        <f t="shared" si="261"/>
        <v/>
      </c>
      <c r="AI928" t="str">
        <f t="shared" si="262"/>
        <v/>
      </c>
      <c r="AJ928" t="str">
        <f t="shared" si="263"/>
        <v/>
      </c>
    </row>
    <row r="929" spans="1:36" x14ac:dyDescent="0.25">
      <c r="A929" t="s">
        <v>728</v>
      </c>
      <c r="P929" t="str">
        <f t="shared" si="264"/>
        <v xml:space="preserve">  XANGRIEOL034  </v>
      </c>
      <c r="Q929" t="str">
        <f t="shared" si="264"/>
        <v xml:space="preserve">   -46.8 </v>
      </c>
      <c r="R929" t="str">
        <f t="shared" si="257"/>
        <v xml:space="preserve">    -1.1 </v>
      </c>
      <c r="S929" t="str">
        <f t="shared" si="265"/>
        <v xml:space="preserve">     0.0 </v>
      </c>
      <c r="T929" t="str">
        <f t="shared" si="266"/>
        <v xml:space="preserve">     0.0 </v>
      </c>
      <c r="U929" t="str">
        <f t="shared" si="270"/>
        <v xml:space="preserve">         0.0 </v>
      </c>
      <c r="V929" t="str">
        <f t="shared" si="258"/>
        <v xml:space="preserve">     0.0 </v>
      </c>
      <c r="W929" t="str">
        <f t="shared" si="267"/>
        <v xml:space="preserve">     0.0 </v>
      </c>
      <c r="X929" t="str">
        <f t="shared" si="271"/>
        <v xml:space="preserve">       </v>
      </c>
      <c r="Y929" t="str">
        <f t="shared" si="271"/>
        <v xml:space="preserve">              </v>
      </c>
      <c r="Z929" t="str">
        <f t="shared" si="271"/>
        <v xml:space="preserve">    </v>
      </c>
      <c r="AA929" t="str">
        <f t="shared" si="259"/>
        <v xml:space="preserve">         </v>
      </c>
      <c r="AB929" t="str">
        <f t="shared" si="268"/>
        <v xml:space="preserve">         </v>
      </c>
      <c r="AC929" t="str">
        <f t="shared" si="269"/>
        <v xml:space="preserve">    </v>
      </c>
      <c r="AD929" t="str">
        <f t="shared" si="270"/>
        <v/>
      </c>
      <c r="AE929" t="str">
        <f t="shared" si="260"/>
        <v/>
      </c>
      <c r="AF929" t="str">
        <f t="shared" si="272"/>
        <v/>
      </c>
      <c r="AG929" t="str">
        <f t="shared" si="272"/>
        <v/>
      </c>
      <c r="AH929" t="str">
        <f t="shared" si="261"/>
        <v/>
      </c>
      <c r="AI929" t="str">
        <f t="shared" si="262"/>
        <v/>
      </c>
      <c r="AJ929" t="str">
        <f t="shared" si="263"/>
        <v/>
      </c>
    </row>
    <row r="930" spans="1:36" x14ac:dyDescent="0.25">
      <c r="A930" t="s">
        <v>729</v>
      </c>
      <c r="P930" t="str">
        <f t="shared" si="264"/>
        <v xml:space="preserve">                </v>
      </c>
      <c r="Q930" t="str">
        <f t="shared" si="264"/>
        <v xml:space="preserve">         </v>
      </c>
      <c r="R930" t="str">
        <f t="shared" si="257"/>
        <v xml:space="preserve">  9999.0 </v>
      </c>
      <c r="S930" t="str">
        <f t="shared" si="265"/>
        <v xml:space="preserve">  9999.0 </v>
      </c>
      <c r="T930" t="str">
        <f t="shared" si="266"/>
        <v xml:space="preserve">  9999.0 </v>
      </c>
      <c r="U930" t="str">
        <f t="shared" si="270"/>
        <v xml:space="preserve">        0.0% </v>
      </c>
      <c r="V930" t="str">
        <f t="shared" si="258"/>
        <v xml:space="preserve">         </v>
      </c>
      <c r="W930" t="str">
        <f t="shared" si="267"/>
        <v xml:space="preserve">         </v>
      </c>
      <c r="X930" t="str">
        <f t="shared" si="271"/>
        <v xml:space="preserve"> 10111 </v>
      </c>
      <c r="Y930" t="str">
        <f t="shared" si="271"/>
        <v xml:space="preserve"> XANGRI-RS034 </v>
      </c>
      <c r="Z930" t="str">
        <f t="shared" si="271"/>
        <v xml:space="preserve">  1 </v>
      </c>
      <c r="AA930" t="str">
        <f t="shared" si="259"/>
        <v xml:space="preserve">     8.3 </v>
      </c>
      <c r="AB930" t="str">
        <f t="shared" si="268"/>
        <v xml:space="preserve">    -1.1 </v>
      </c>
      <c r="AC930" t="str">
        <f t="shared" si="269"/>
        <v xml:space="preserve">     8.3 </v>
      </c>
      <c r="AD930" t="str">
        <f t="shared" si="270"/>
        <v xml:space="preserve">        </v>
      </c>
      <c r="AE930" t="str">
        <f t="shared" si="260"/>
        <v xml:space="preserve">       </v>
      </c>
      <c r="AF930" t="str">
        <f t="shared" si="272"/>
        <v xml:space="preserve">     </v>
      </c>
      <c r="AG930" t="str">
        <f t="shared" si="272"/>
        <v xml:space="preserve">     0.02 </v>
      </c>
      <c r="AH930" t="str">
        <f t="shared" si="261"/>
        <v xml:space="preserve">    -0.11 </v>
      </c>
      <c r="AI930" t="str">
        <f t="shared" si="262"/>
        <v xml:space="preserve">       </v>
      </c>
      <c r="AJ930" t="str">
        <f t="shared" si="263"/>
        <v xml:space="preserve">      </v>
      </c>
    </row>
    <row r="931" spans="1:36" x14ac:dyDescent="0.25">
      <c r="A931" t="s">
        <v>14</v>
      </c>
      <c r="P931" t="str">
        <f t="shared" si="264"/>
        <v xml:space="preserve">  ..............</v>
      </c>
      <c r="Q931" t="str">
        <f t="shared" si="264"/>
        <v>.........</v>
      </c>
      <c r="R931" t="str">
        <f t="shared" si="257"/>
        <v>.........</v>
      </c>
      <c r="S931" t="str">
        <f t="shared" si="265"/>
        <v>.........</v>
      </c>
      <c r="T931" t="str">
        <f t="shared" si="266"/>
        <v>.........</v>
      </c>
      <c r="U931" t="str">
        <f t="shared" si="270"/>
        <v>.............</v>
      </c>
      <c r="V931" t="str">
        <f t="shared" si="258"/>
        <v>.........</v>
      </c>
      <c r="W931" t="str">
        <f t="shared" si="267"/>
        <v>.........</v>
      </c>
      <c r="X931" t="str">
        <f t="shared" si="271"/>
        <v>.......</v>
      </c>
      <c r="Y931" t="str">
        <f t="shared" si="271"/>
        <v>..............</v>
      </c>
      <c r="Z931" t="str">
        <f t="shared" si="271"/>
        <v>....</v>
      </c>
      <c r="AA931" t="str">
        <f t="shared" si="259"/>
        <v>.........</v>
      </c>
      <c r="AB931" t="str">
        <f t="shared" si="268"/>
        <v>.........</v>
      </c>
      <c r="AC931" t="str">
        <f t="shared" si="269"/>
        <v>.........</v>
      </c>
      <c r="AD931" t="str">
        <f t="shared" si="270"/>
        <v>........</v>
      </c>
      <c r="AE931" t="str">
        <f t="shared" si="260"/>
        <v>.......</v>
      </c>
      <c r="AF931" t="str">
        <f t="shared" si="272"/>
        <v>.....</v>
      </c>
      <c r="AG931" t="str">
        <f t="shared" si="272"/>
        <v>..........</v>
      </c>
      <c r="AH931" t="str">
        <f t="shared" si="261"/>
        <v>..........</v>
      </c>
      <c r="AI931" t="str">
        <f t="shared" si="262"/>
        <v>.......</v>
      </c>
      <c r="AJ931" t="str">
        <f t="shared" si="263"/>
        <v>.......</v>
      </c>
    </row>
    <row r="932" spans="1:36" x14ac:dyDescent="0.25">
      <c r="A932" t="s">
        <v>730</v>
      </c>
      <c r="P932" t="str">
        <f t="shared" si="264"/>
        <v xml:space="preserve">   9195   69  0 </v>
      </c>
      <c r="Q932" t="str">
        <f t="shared" si="264"/>
        <v xml:space="preserve">   1.036 </v>
      </c>
      <c r="R932" t="str">
        <f t="shared" si="257"/>
        <v xml:space="preserve">     5.8 </v>
      </c>
      <c r="S932" t="str">
        <f t="shared" si="265"/>
        <v xml:space="preserve">     0.0 </v>
      </c>
      <c r="T932" t="str">
        <f t="shared" si="266"/>
        <v xml:space="preserve">     9.2 </v>
      </c>
      <c r="U932" t="str">
        <f t="shared" si="270"/>
        <v xml:space="preserve">         0.0 </v>
      </c>
      <c r="V932" t="str">
        <f t="shared" si="258"/>
        <v xml:space="preserve">     0.0 </v>
      </c>
      <c r="W932" t="str">
        <f t="shared" si="267"/>
        <v xml:space="preserve">     0.0</v>
      </c>
      <c r="X932" t="str">
        <f t="shared" si="271"/>
        <v/>
      </c>
      <c r="Y932" t="str">
        <f t="shared" si="271"/>
        <v/>
      </c>
      <c r="Z932" t="str">
        <f t="shared" si="271"/>
        <v/>
      </c>
      <c r="AA932" t="str">
        <f t="shared" si="259"/>
        <v/>
      </c>
      <c r="AB932" t="str">
        <f t="shared" si="268"/>
        <v/>
      </c>
      <c r="AC932" t="str">
        <f t="shared" si="269"/>
        <v/>
      </c>
      <c r="AD932" t="str">
        <f t="shared" si="270"/>
        <v/>
      </c>
      <c r="AE932" t="str">
        <f t="shared" si="260"/>
        <v/>
      </c>
      <c r="AF932" t="str">
        <f t="shared" si="272"/>
        <v/>
      </c>
      <c r="AG932" t="str">
        <f t="shared" si="272"/>
        <v/>
      </c>
      <c r="AH932" t="str">
        <f t="shared" si="261"/>
        <v/>
      </c>
      <c r="AI932" t="str">
        <f t="shared" si="262"/>
        <v/>
      </c>
      <c r="AJ932" t="str">
        <f t="shared" si="263"/>
        <v/>
      </c>
    </row>
    <row r="933" spans="1:36" x14ac:dyDescent="0.25">
      <c r="A933" t="s">
        <v>731</v>
      </c>
      <c r="P933" t="str">
        <f t="shared" si="264"/>
        <v xml:space="preserve">  CERIL3-RS069  </v>
      </c>
      <c r="Q933" t="str">
        <f t="shared" si="264"/>
        <v xml:space="preserve">   -47.8 </v>
      </c>
      <c r="R933" t="str">
        <f t="shared" si="257"/>
        <v xml:space="preserve">     0.1 </v>
      </c>
      <c r="S933" t="str">
        <f t="shared" si="265"/>
        <v xml:space="preserve">     0.0 </v>
      </c>
      <c r="T933" t="str">
        <f t="shared" si="266"/>
        <v xml:space="preserve">     2.4 </v>
      </c>
      <c r="U933" t="str">
        <f t="shared" si="270"/>
        <v xml:space="preserve">         0.0 </v>
      </c>
      <c r="V933" t="str">
        <f t="shared" si="258"/>
        <v xml:space="preserve">     0.0 </v>
      </c>
      <c r="W933" t="str">
        <f t="shared" si="267"/>
        <v xml:space="preserve">     0.0 </v>
      </c>
      <c r="X933" t="str">
        <f t="shared" si="271"/>
        <v xml:space="preserve">       </v>
      </c>
      <c r="Y933" t="str">
        <f t="shared" si="271"/>
        <v xml:space="preserve">              </v>
      </c>
      <c r="Z933" t="str">
        <f t="shared" si="271"/>
        <v xml:space="preserve">    </v>
      </c>
      <c r="AA933" t="str">
        <f t="shared" si="259"/>
        <v xml:space="preserve">         </v>
      </c>
      <c r="AB933" t="str">
        <f t="shared" si="268"/>
        <v xml:space="preserve">         </v>
      </c>
      <c r="AC933" t="str">
        <f t="shared" si="269"/>
        <v xml:space="preserve">    </v>
      </c>
      <c r="AD933" t="str">
        <f t="shared" si="270"/>
        <v/>
      </c>
      <c r="AE933" t="str">
        <f t="shared" si="260"/>
        <v/>
      </c>
      <c r="AF933" t="str">
        <f t="shared" si="272"/>
        <v/>
      </c>
      <c r="AG933" t="str">
        <f t="shared" si="272"/>
        <v/>
      </c>
      <c r="AH933" t="str">
        <f t="shared" si="261"/>
        <v/>
      </c>
      <c r="AI933" t="str">
        <f t="shared" si="262"/>
        <v/>
      </c>
      <c r="AJ933" t="str">
        <f t="shared" si="263"/>
        <v/>
      </c>
    </row>
    <row r="934" spans="1:36" x14ac:dyDescent="0.25">
      <c r="A934" t="s">
        <v>732</v>
      </c>
      <c r="P934" t="str">
        <f t="shared" si="264"/>
        <v xml:space="preserve">                </v>
      </c>
      <c r="Q934" t="str">
        <f t="shared" si="264"/>
        <v xml:space="preserve">         </v>
      </c>
      <c r="R934" t="str">
        <f t="shared" si="257"/>
        <v xml:space="preserve">  9999.0 </v>
      </c>
      <c r="S934" t="str">
        <f t="shared" si="265"/>
        <v xml:space="preserve">  9999.0 </v>
      </c>
      <c r="T934" t="str">
        <f t="shared" si="266"/>
        <v xml:space="preserve">  9999.0 </v>
      </c>
      <c r="U934" t="str">
        <f t="shared" si="270"/>
        <v xml:space="preserve">        0.0% </v>
      </c>
      <c r="V934" t="str">
        <f t="shared" si="258"/>
        <v xml:space="preserve">         </v>
      </c>
      <c r="W934" t="str">
        <f t="shared" si="267"/>
        <v xml:space="preserve">         </v>
      </c>
      <c r="X934" t="str">
        <f t="shared" si="271"/>
        <v xml:space="preserve">  1322 </v>
      </c>
      <c r="Y934" t="str">
        <f t="shared" si="271"/>
        <v xml:space="preserve"> IJUI2--RS069 </v>
      </c>
      <c r="Z934" t="str">
        <f t="shared" si="271"/>
        <v xml:space="preserve">  1 </v>
      </c>
      <c r="AA934" t="str">
        <f t="shared" si="259"/>
        <v xml:space="preserve">    -3.4 </v>
      </c>
      <c r="AB934" t="str">
        <f t="shared" si="268"/>
        <v xml:space="preserve">    -2.3 </v>
      </c>
      <c r="AC934" t="str">
        <f t="shared" si="269"/>
        <v xml:space="preserve">     4.0 </v>
      </c>
      <c r="AD934" t="str">
        <f t="shared" si="270"/>
        <v xml:space="preserve">        </v>
      </c>
      <c r="AE934" t="str">
        <f t="shared" si="260"/>
        <v xml:space="preserve">       </v>
      </c>
      <c r="AF934" t="str">
        <f t="shared" si="272"/>
        <v xml:space="preserve">     </v>
      </c>
      <c r="AG934" t="str">
        <f t="shared" si="272"/>
        <v xml:space="preserve">     0.00 </v>
      </c>
      <c r="AH934" t="str">
        <f t="shared" si="261"/>
        <v xml:space="preserve">     0.00 </v>
      </c>
      <c r="AI934" t="str">
        <f t="shared" si="262"/>
        <v xml:space="preserve">       </v>
      </c>
      <c r="AJ934" t="str">
        <f t="shared" si="263"/>
        <v xml:space="preserve">      </v>
      </c>
    </row>
    <row r="935" spans="1:36" x14ac:dyDescent="0.25">
      <c r="A935" t="s">
        <v>14</v>
      </c>
      <c r="P935" t="str">
        <f t="shared" si="264"/>
        <v xml:space="preserve">  ..............</v>
      </c>
      <c r="Q935" t="str">
        <f t="shared" si="264"/>
        <v>.........</v>
      </c>
      <c r="R935" t="str">
        <f t="shared" si="257"/>
        <v>.........</v>
      </c>
      <c r="S935" t="str">
        <f t="shared" si="265"/>
        <v>.........</v>
      </c>
      <c r="T935" t="str">
        <f t="shared" si="266"/>
        <v>.........</v>
      </c>
      <c r="U935" t="str">
        <f t="shared" si="270"/>
        <v>.............</v>
      </c>
      <c r="V935" t="str">
        <f t="shared" si="258"/>
        <v>.........</v>
      </c>
      <c r="W935" t="str">
        <f t="shared" si="267"/>
        <v>.........</v>
      </c>
      <c r="X935" t="str">
        <f t="shared" si="271"/>
        <v>.......</v>
      </c>
      <c r="Y935" t="str">
        <f t="shared" si="271"/>
        <v>..............</v>
      </c>
      <c r="Z935" t="str">
        <f t="shared" si="271"/>
        <v>....</v>
      </c>
      <c r="AA935" t="str">
        <f t="shared" si="259"/>
        <v>.........</v>
      </c>
      <c r="AB935" t="str">
        <f t="shared" si="268"/>
        <v>.........</v>
      </c>
      <c r="AC935" t="str">
        <f t="shared" si="269"/>
        <v>.........</v>
      </c>
      <c r="AD935" t="str">
        <f t="shared" si="270"/>
        <v>........</v>
      </c>
      <c r="AE935" t="str">
        <f t="shared" si="260"/>
        <v>.......</v>
      </c>
      <c r="AF935" t="str">
        <f t="shared" si="272"/>
        <v>.....</v>
      </c>
      <c r="AG935" t="str">
        <f t="shared" si="272"/>
        <v>..........</v>
      </c>
      <c r="AH935" t="str">
        <f t="shared" si="261"/>
        <v>..........</v>
      </c>
      <c r="AI935" t="str">
        <f t="shared" si="262"/>
        <v>.......</v>
      </c>
      <c r="AJ935" t="str">
        <f t="shared" si="263"/>
        <v>.......</v>
      </c>
    </row>
    <row r="936" spans="1:36" x14ac:dyDescent="0.25">
      <c r="A936" t="s">
        <v>733</v>
      </c>
      <c r="P936" t="str">
        <f t="shared" si="264"/>
        <v xml:space="preserve">   9199  138  0 </v>
      </c>
      <c r="Q936" t="str">
        <f t="shared" si="264"/>
        <v xml:space="preserve">   1.008 </v>
      </c>
      <c r="R936" t="str">
        <f t="shared" si="257"/>
        <v xml:space="preserve">     0.0 </v>
      </c>
      <c r="S936" t="str">
        <f t="shared" si="265"/>
        <v xml:space="preserve">     0.0 </v>
      </c>
      <c r="T936" t="str">
        <f t="shared" si="266"/>
        <v xml:space="preserve">     9.5 </v>
      </c>
      <c r="U936" t="str">
        <f t="shared" si="270"/>
        <v xml:space="preserve">         0.0 </v>
      </c>
      <c r="V936" t="str">
        <f t="shared" si="258"/>
        <v xml:space="preserve">     0.0 </v>
      </c>
      <c r="W936" t="str">
        <f t="shared" si="267"/>
        <v xml:space="preserve">     0.0</v>
      </c>
      <c r="X936" t="str">
        <f t="shared" si="271"/>
        <v/>
      </c>
      <c r="Y936" t="str">
        <f t="shared" si="271"/>
        <v/>
      </c>
      <c r="Z936" t="str">
        <f t="shared" si="271"/>
        <v/>
      </c>
      <c r="AA936" t="str">
        <f t="shared" si="259"/>
        <v/>
      </c>
      <c r="AB936" t="str">
        <f t="shared" si="268"/>
        <v/>
      </c>
      <c r="AC936" t="str">
        <f t="shared" si="269"/>
        <v/>
      </c>
      <c r="AD936" t="str">
        <f t="shared" si="270"/>
        <v/>
      </c>
      <c r="AE936" t="str">
        <f t="shared" si="260"/>
        <v/>
      </c>
      <c r="AF936" t="str">
        <f t="shared" si="272"/>
        <v/>
      </c>
      <c r="AG936" t="str">
        <f t="shared" si="272"/>
        <v/>
      </c>
      <c r="AH936" t="str">
        <f t="shared" si="261"/>
        <v/>
      </c>
      <c r="AI936" t="str">
        <f t="shared" si="262"/>
        <v/>
      </c>
      <c r="AJ936" t="str">
        <f t="shared" si="263"/>
        <v/>
      </c>
    </row>
    <row r="937" spans="1:36" x14ac:dyDescent="0.25">
      <c r="A937" t="s">
        <v>734</v>
      </c>
      <c r="P937" t="str">
        <f t="shared" si="264"/>
        <v xml:space="preserve">  STIHL--RS138  </v>
      </c>
      <c r="Q937" t="str">
        <f t="shared" si="264"/>
        <v xml:space="preserve">   -53.8 </v>
      </c>
      <c r="R937" t="str">
        <f t="shared" si="257"/>
        <v xml:space="preserve">     0.0 </v>
      </c>
      <c r="S937" t="str">
        <f t="shared" si="265"/>
        <v xml:space="preserve">     0.0 </v>
      </c>
      <c r="T937" t="str">
        <f t="shared" si="266"/>
        <v xml:space="preserve">     4.0 </v>
      </c>
      <c r="U937" t="str">
        <f t="shared" si="270"/>
        <v xml:space="preserve">         0.0 </v>
      </c>
      <c r="V937" t="str">
        <f t="shared" si="258"/>
        <v xml:space="preserve">     0.0 </v>
      </c>
      <c r="W937" t="str">
        <f t="shared" si="267"/>
        <v xml:space="preserve">     0.0 </v>
      </c>
      <c r="X937" t="str">
        <f t="shared" si="271"/>
        <v xml:space="preserve">       </v>
      </c>
      <c r="Y937" t="str">
        <f t="shared" si="271"/>
        <v xml:space="preserve">              </v>
      </c>
      <c r="Z937" t="str">
        <f t="shared" si="271"/>
        <v xml:space="preserve">    </v>
      </c>
      <c r="AA937" t="str">
        <f t="shared" si="259"/>
        <v xml:space="preserve">         </v>
      </c>
      <c r="AB937" t="str">
        <f t="shared" si="268"/>
        <v xml:space="preserve">         </v>
      </c>
      <c r="AC937" t="str">
        <f t="shared" si="269"/>
        <v xml:space="preserve">    </v>
      </c>
      <c r="AD937" t="str">
        <f t="shared" si="270"/>
        <v/>
      </c>
      <c r="AE937" t="str">
        <f t="shared" si="260"/>
        <v/>
      </c>
      <c r="AF937" t="str">
        <f t="shared" si="272"/>
        <v/>
      </c>
      <c r="AG937" t="str">
        <f t="shared" si="272"/>
        <v/>
      </c>
      <c r="AH937" t="str">
        <f t="shared" si="261"/>
        <v/>
      </c>
      <c r="AI937" t="str">
        <f t="shared" si="262"/>
        <v/>
      </c>
      <c r="AJ937" t="str">
        <f t="shared" si="263"/>
        <v/>
      </c>
    </row>
    <row r="938" spans="1:36" x14ac:dyDescent="0.25">
      <c r="A938" t="s">
        <v>735</v>
      </c>
      <c r="P938" t="str">
        <f t="shared" si="264"/>
        <v xml:space="preserve">              DE</v>
      </c>
      <c r="Q938" t="str">
        <f t="shared" si="264"/>
        <v xml:space="preserve">ESLIGADO </v>
      </c>
      <c r="R938" t="str">
        <f t="shared" si="257"/>
        <v xml:space="preserve">   108.0 </v>
      </c>
      <c r="S938" t="str">
        <f t="shared" si="265"/>
        <v xml:space="preserve">   158.0 </v>
      </c>
      <c r="T938" t="str">
        <f t="shared" si="266"/>
        <v xml:space="preserve">   158.0 </v>
      </c>
      <c r="U938" t="str">
        <f t="shared" si="270"/>
        <v xml:space="preserve">             </v>
      </c>
      <c r="V938" t="str">
        <f t="shared" si="258"/>
        <v xml:space="preserve">         </v>
      </c>
      <c r="W938" t="str">
        <f t="shared" si="267"/>
        <v xml:space="preserve">         </v>
      </c>
      <c r="X938" t="str">
        <f t="shared" si="271"/>
        <v xml:space="preserve">  3000 </v>
      </c>
      <c r="Y938" t="str">
        <f t="shared" si="271"/>
        <v xml:space="preserve"> SAPUCA-RS138 </v>
      </c>
      <c r="Z938" t="str">
        <f t="shared" si="271"/>
        <v xml:space="preserve">  1 </v>
      </c>
      <c r="AA938" t="str">
        <f t="shared" si="259"/>
        <v xml:space="preserve">     0.0 </v>
      </c>
      <c r="AB938" t="str">
        <f t="shared" si="268"/>
        <v xml:space="preserve">     0.0 </v>
      </c>
      <c r="AC938" t="str">
        <f t="shared" si="269"/>
        <v xml:space="preserve">     0.0 </v>
      </c>
      <c r="AD938" t="str">
        <f t="shared" si="270"/>
        <v xml:space="preserve">        </v>
      </c>
      <c r="AE938" t="str">
        <f t="shared" si="260"/>
        <v xml:space="preserve">       </v>
      </c>
      <c r="AF938" t="str">
        <f t="shared" si="272"/>
        <v xml:space="preserve">     </v>
      </c>
      <c r="AG938" t="str">
        <f t="shared" si="272"/>
        <v xml:space="preserve">     0.00 </v>
      </c>
      <c r="AH938" t="str">
        <f t="shared" si="261"/>
        <v xml:space="preserve">     0.00 </v>
      </c>
      <c r="AI938" t="str">
        <f t="shared" si="262"/>
        <v xml:space="preserve">       </v>
      </c>
      <c r="AJ938" t="str">
        <f t="shared" si="263"/>
        <v xml:space="preserve">      </v>
      </c>
    </row>
    <row r="939" spans="1:36" x14ac:dyDescent="0.25">
      <c r="A939" t="s">
        <v>736</v>
      </c>
      <c r="P939" t="str">
        <f t="shared" si="264"/>
        <v xml:space="preserve">                </v>
      </c>
      <c r="Q939" t="str">
        <f t="shared" si="264"/>
        <v xml:space="preserve">         </v>
      </c>
      <c r="R939" t="str">
        <f t="shared" si="257"/>
        <v xml:space="preserve">   108.0 </v>
      </c>
      <c r="S939" t="str">
        <f t="shared" si="265"/>
        <v xml:space="preserve">   158.0 </v>
      </c>
      <c r="T939" t="str">
        <f t="shared" si="266"/>
        <v xml:space="preserve">   158.0 </v>
      </c>
      <c r="U939" t="str">
        <f t="shared" si="270"/>
        <v xml:space="preserve">        9.5% </v>
      </c>
      <c r="V939" t="str">
        <f t="shared" si="258"/>
        <v xml:space="preserve">         </v>
      </c>
      <c r="W939" t="str">
        <f t="shared" si="267"/>
        <v xml:space="preserve">         </v>
      </c>
      <c r="X939" t="str">
        <f t="shared" si="271"/>
        <v xml:space="preserve">  3001 </v>
      </c>
      <c r="Y939" t="str">
        <f t="shared" si="271"/>
        <v xml:space="preserve"> SLEOPO-RS138 </v>
      </c>
      <c r="Z939" t="str">
        <f t="shared" si="271"/>
        <v xml:space="preserve">  1 </v>
      </c>
      <c r="AA939" t="str">
        <f t="shared" si="259"/>
        <v xml:space="preserve">    -9.5 </v>
      </c>
      <c r="AB939" t="str">
        <f t="shared" si="268"/>
        <v xml:space="preserve">    -4.0 </v>
      </c>
      <c r="AC939" t="str">
        <f t="shared" si="269"/>
        <v xml:space="preserve">    10.2 </v>
      </c>
      <c r="AD939" t="str">
        <f t="shared" si="270"/>
        <v xml:space="preserve">        </v>
      </c>
      <c r="AE939" t="str">
        <f t="shared" si="260"/>
        <v xml:space="preserve">       </v>
      </c>
      <c r="AF939" t="str">
        <f t="shared" si="272"/>
        <v xml:space="preserve">     </v>
      </c>
      <c r="AG939" t="str">
        <f t="shared" si="272"/>
        <v xml:space="preserve">     0.00 </v>
      </c>
      <c r="AH939" t="str">
        <f t="shared" si="261"/>
        <v xml:space="preserve">    -0.18 </v>
      </c>
      <c r="AI939" t="str">
        <f t="shared" si="262"/>
        <v xml:space="preserve">       </v>
      </c>
      <c r="AJ939" t="str">
        <f t="shared" si="263"/>
        <v xml:space="preserve">      </v>
      </c>
    </row>
    <row r="940" spans="1:36" x14ac:dyDescent="0.25">
      <c r="A940" t="s">
        <v>14</v>
      </c>
      <c r="P940" t="str">
        <f t="shared" si="264"/>
        <v xml:space="preserve">  ..............</v>
      </c>
      <c r="Q940" t="str">
        <f t="shared" si="264"/>
        <v>.........</v>
      </c>
      <c r="R940" t="str">
        <f t="shared" si="257"/>
        <v>.........</v>
      </c>
      <c r="S940" t="str">
        <f t="shared" si="265"/>
        <v>.........</v>
      </c>
      <c r="T940" t="str">
        <f t="shared" si="266"/>
        <v>.........</v>
      </c>
      <c r="U940" t="str">
        <f t="shared" si="270"/>
        <v>.............</v>
      </c>
      <c r="V940" t="str">
        <f t="shared" si="258"/>
        <v>.........</v>
      </c>
      <c r="W940" t="str">
        <f t="shared" si="267"/>
        <v>.........</v>
      </c>
      <c r="X940" t="str">
        <f t="shared" si="271"/>
        <v>.......</v>
      </c>
      <c r="Y940" t="str">
        <f t="shared" si="271"/>
        <v>..............</v>
      </c>
      <c r="Z940" t="str">
        <f t="shared" si="271"/>
        <v>....</v>
      </c>
      <c r="AA940" t="str">
        <f t="shared" si="259"/>
        <v>.........</v>
      </c>
      <c r="AB940" t="str">
        <f t="shared" si="268"/>
        <v>.........</v>
      </c>
      <c r="AC940" t="str">
        <f t="shared" si="269"/>
        <v>.........</v>
      </c>
      <c r="AD940" t="str">
        <f t="shared" si="270"/>
        <v>........</v>
      </c>
      <c r="AE940" t="str">
        <f t="shared" si="260"/>
        <v>.......</v>
      </c>
      <c r="AF940" t="str">
        <f t="shared" si="272"/>
        <v>.....</v>
      </c>
      <c r="AG940" t="str">
        <f t="shared" si="272"/>
        <v>..........</v>
      </c>
      <c r="AH940" t="str">
        <f t="shared" si="261"/>
        <v>..........</v>
      </c>
      <c r="AI940" t="str">
        <f t="shared" si="262"/>
        <v>.......</v>
      </c>
      <c r="AJ940" t="str">
        <f t="shared" si="263"/>
        <v>.......</v>
      </c>
    </row>
    <row r="941" spans="1:36" x14ac:dyDescent="0.25">
      <c r="A941" t="s">
        <v>737</v>
      </c>
      <c r="P941" t="str">
        <f t="shared" si="264"/>
        <v xml:space="preserve">   9200  138  0 </v>
      </c>
      <c r="Q941" t="str">
        <f t="shared" si="264"/>
        <v xml:space="preserve">   1.011 </v>
      </c>
      <c r="R941" t="str">
        <f t="shared" si="257"/>
        <v xml:space="preserve">     0.0 </v>
      </c>
      <c r="S941" t="str">
        <f t="shared" si="265"/>
        <v xml:space="preserve">     0.0 </v>
      </c>
      <c r="T941" t="str">
        <f t="shared" si="266"/>
        <v xml:space="preserve">     0.0 </v>
      </c>
      <c r="U941" t="str">
        <f t="shared" si="270"/>
        <v xml:space="preserve">         0.0 </v>
      </c>
      <c r="V941" t="str">
        <f t="shared" si="258"/>
        <v xml:space="preserve">     0.0 </v>
      </c>
      <c r="W941" t="str">
        <f t="shared" si="267"/>
        <v xml:space="preserve">     0.0</v>
      </c>
      <c r="X941" t="str">
        <f t="shared" si="271"/>
        <v/>
      </c>
      <c r="Y941" t="str">
        <f t="shared" si="271"/>
        <v/>
      </c>
      <c r="Z941" t="str">
        <f t="shared" si="271"/>
        <v/>
      </c>
      <c r="AA941" t="str">
        <f t="shared" si="259"/>
        <v/>
      </c>
      <c r="AB941" t="str">
        <f t="shared" si="268"/>
        <v/>
      </c>
      <c r="AC941" t="str">
        <f t="shared" si="269"/>
        <v/>
      </c>
      <c r="AD941" t="str">
        <f t="shared" si="270"/>
        <v/>
      </c>
      <c r="AE941" t="str">
        <f t="shared" si="260"/>
        <v/>
      </c>
      <c r="AF941" t="str">
        <f t="shared" si="272"/>
        <v/>
      </c>
      <c r="AG941" t="str">
        <f t="shared" si="272"/>
        <v/>
      </c>
      <c r="AH941" t="str">
        <f t="shared" si="261"/>
        <v/>
      </c>
      <c r="AI941" t="str">
        <f t="shared" si="262"/>
        <v/>
      </c>
      <c r="AJ941" t="str">
        <f t="shared" si="263"/>
        <v/>
      </c>
    </row>
    <row r="942" spans="1:36" x14ac:dyDescent="0.25">
      <c r="A942" t="s">
        <v>738</v>
      </c>
      <c r="P942" t="str">
        <f t="shared" si="264"/>
        <v xml:space="preserve">  SLEOP2-RS138  </v>
      </c>
      <c r="Q942" t="str">
        <f t="shared" si="264"/>
        <v xml:space="preserve">   -53.5 </v>
      </c>
      <c r="R942" t="str">
        <f t="shared" si="257"/>
        <v xml:space="preserve">     0.0 </v>
      </c>
      <c r="S942" t="str">
        <f t="shared" si="265"/>
        <v xml:space="preserve">     0.0 </v>
      </c>
      <c r="T942" t="str">
        <f t="shared" si="266"/>
        <v xml:space="preserve">     0.0 </v>
      </c>
      <c r="U942" t="str">
        <f t="shared" si="270"/>
        <v xml:space="preserve">         0.0 </v>
      </c>
      <c r="V942" t="str">
        <f t="shared" si="258"/>
        <v xml:space="preserve">     0.0 </v>
      </c>
      <c r="W942" t="str">
        <f t="shared" si="267"/>
        <v xml:space="preserve">     0.0 </v>
      </c>
      <c r="X942" t="str">
        <f t="shared" si="271"/>
        <v xml:space="preserve">       </v>
      </c>
      <c r="Y942" t="str">
        <f t="shared" si="271"/>
        <v xml:space="preserve">              </v>
      </c>
      <c r="Z942" t="str">
        <f t="shared" si="271"/>
        <v xml:space="preserve">    </v>
      </c>
      <c r="AA942" t="str">
        <f t="shared" si="259"/>
        <v xml:space="preserve">         </v>
      </c>
      <c r="AB942" t="str">
        <f t="shared" si="268"/>
        <v xml:space="preserve">         </v>
      </c>
      <c r="AC942" t="str">
        <f t="shared" si="269"/>
        <v xml:space="preserve">    </v>
      </c>
      <c r="AD942" t="str">
        <f t="shared" si="270"/>
        <v/>
      </c>
      <c r="AE942" t="str">
        <f t="shared" si="260"/>
        <v/>
      </c>
      <c r="AF942" t="str">
        <f t="shared" si="272"/>
        <v/>
      </c>
      <c r="AG942" t="str">
        <f t="shared" si="272"/>
        <v/>
      </c>
      <c r="AH942" t="str">
        <f t="shared" si="261"/>
        <v/>
      </c>
      <c r="AI942" t="str">
        <f t="shared" si="262"/>
        <v/>
      </c>
      <c r="AJ942" t="str">
        <f t="shared" si="263"/>
        <v/>
      </c>
    </row>
    <row r="943" spans="1:36" x14ac:dyDescent="0.25">
      <c r="A943" t="s">
        <v>739</v>
      </c>
      <c r="P943" t="str">
        <f t="shared" si="264"/>
        <v xml:space="preserve">                </v>
      </c>
      <c r="Q943" t="str">
        <f t="shared" si="264"/>
        <v xml:space="preserve">         </v>
      </c>
      <c r="R943" t="str">
        <f t="shared" si="257"/>
        <v xml:space="preserve">   167.0 </v>
      </c>
      <c r="S943" t="str">
        <f t="shared" si="265"/>
        <v xml:space="preserve">   203.0 </v>
      </c>
      <c r="T943" t="str">
        <f t="shared" si="266"/>
        <v xml:space="preserve">   203.0 </v>
      </c>
      <c r="U943" t="str">
        <f t="shared" si="270"/>
        <v xml:space="preserve">       41.4% </v>
      </c>
      <c r="V943" t="str">
        <f t="shared" si="258"/>
        <v xml:space="preserve">         </v>
      </c>
      <c r="W943" t="str">
        <f t="shared" si="267"/>
        <v xml:space="preserve">         </v>
      </c>
      <c r="X943" t="str">
        <f t="shared" si="271"/>
        <v xml:space="preserve">  2090 </v>
      </c>
      <c r="Y943" t="str">
        <f t="shared" si="271"/>
        <v xml:space="preserve"> SCHARL-RS138 </v>
      </c>
      <c r="Z943" t="str">
        <f t="shared" si="271"/>
        <v xml:space="preserve">  1 </v>
      </c>
      <c r="AA943" t="str">
        <f t="shared" si="259"/>
        <v xml:space="preserve">   -67.1 </v>
      </c>
      <c r="AB943" t="str">
        <f t="shared" si="268"/>
        <v xml:space="preserve">   -19.6 </v>
      </c>
      <c r="AC943" t="str">
        <f t="shared" si="269"/>
        <v xml:space="preserve">    69.1 </v>
      </c>
      <c r="AD943" t="str">
        <f t="shared" si="270"/>
        <v xml:space="preserve">        </v>
      </c>
      <c r="AE943" t="str">
        <f t="shared" si="260"/>
        <v xml:space="preserve">       </v>
      </c>
      <c r="AF943" t="str">
        <f t="shared" si="272"/>
        <v xml:space="preserve">     </v>
      </c>
      <c r="AG943" t="str">
        <f t="shared" si="272"/>
        <v xml:space="preserve">     0.29 </v>
      </c>
      <c r="AH943" t="str">
        <f t="shared" si="261"/>
        <v xml:space="preserve">     0.40 </v>
      </c>
      <c r="AI943" t="str">
        <f t="shared" si="262"/>
        <v xml:space="preserve">       </v>
      </c>
      <c r="AJ943" t="str">
        <f t="shared" si="263"/>
        <v xml:space="preserve">      </v>
      </c>
    </row>
    <row r="944" spans="1:36" x14ac:dyDescent="0.25">
      <c r="A944" t="s">
        <v>740</v>
      </c>
      <c r="P944" t="str">
        <f t="shared" si="264"/>
        <v xml:space="preserve">                </v>
      </c>
      <c r="Q944" t="str">
        <f t="shared" si="264"/>
        <v xml:space="preserve">         </v>
      </c>
      <c r="R944" t="str">
        <f t="shared" si="257"/>
        <v xml:space="preserve">   167.0 </v>
      </c>
      <c r="S944" t="str">
        <f t="shared" si="265"/>
        <v xml:space="preserve">   203.0 </v>
      </c>
      <c r="T944" t="str">
        <f t="shared" si="266"/>
        <v xml:space="preserve">   203.0 </v>
      </c>
      <c r="U944" t="str">
        <f t="shared" si="270"/>
        <v xml:space="preserve">       41.4% </v>
      </c>
      <c r="V944" t="str">
        <f t="shared" si="258"/>
        <v xml:space="preserve">         </v>
      </c>
      <c r="W944" t="str">
        <f t="shared" si="267"/>
        <v xml:space="preserve">         </v>
      </c>
      <c r="X944" t="str">
        <f t="shared" si="271"/>
        <v xml:space="preserve">  3001 </v>
      </c>
      <c r="Y944" t="str">
        <f t="shared" si="271"/>
        <v xml:space="preserve"> SLEOPO-RS138 </v>
      </c>
      <c r="Z944" t="str">
        <f t="shared" si="271"/>
        <v xml:space="preserve">  1 </v>
      </c>
      <c r="AA944" t="str">
        <f t="shared" si="259"/>
        <v xml:space="preserve">    67.1 </v>
      </c>
      <c r="AB944" t="str">
        <f t="shared" si="268"/>
        <v xml:space="preserve">    19.6 </v>
      </c>
      <c r="AC944" t="str">
        <f t="shared" si="269"/>
        <v xml:space="preserve">    69.1 </v>
      </c>
      <c r="AD944" t="str">
        <f t="shared" si="270"/>
        <v xml:space="preserve">        </v>
      </c>
      <c r="AE944" t="str">
        <f t="shared" si="260"/>
        <v xml:space="preserve">       </v>
      </c>
      <c r="AF944" t="str">
        <f t="shared" si="272"/>
        <v xml:space="preserve">     </v>
      </c>
      <c r="AG944" t="str">
        <f t="shared" si="272"/>
        <v xml:space="preserve">     0.10 </v>
      </c>
      <c r="AH944" t="str">
        <f t="shared" si="261"/>
        <v xml:space="preserve">     0.13 </v>
      </c>
      <c r="AI944" t="str">
        <f t="shared" si="262"/>
        <v xml:space="preserve">       </v>
      </c>
      <c r="AJ944" t="str">
        <f t="shared" si="263"/>
        <v xml:space="preserve">      </v>
      </c>
    </row>
    <row r="945" spans="1:36" x14ac:dyDescent="0.25">
      <c r="A945" t="s">
        <v>14</v>
      </c>
      <c r="P945" t="str">
        <f t="shared" si="264"/>
        <v xml:space="preserve">  ..............</v>
      </c>
      <c r="Q945" t="str">
        <f t="shared" si="264"/>
        <v>.........</v>
      </c>
      <c r="R945" t="str">
        <f t="shared" si="257"/>
        <v>.........</v>
      </c>
      <c r="S945" t="str">
        <f t="shared" si="265"/>
        <v>.........</v>
      </c>
      <c r="T945" t="str">
        <f t="shared" si="266"/>
        <v>.........</v>
      </c>
      <c r="U945" t="str">
        <f t="shared" si="270"/>
        <v>.............</v>
      </c>
      <c r="V945" t="str">
        <f t="shared" si="258"/>
        <v>.........</v>
      </c>
      <c r="W945" t="str">
        <f t="shared" si="267"/>
        <v>.........</v>
      </c>
      <c r="X945" t="str">
        <f t="shared" si="271"/>
        <v>.......</v>
      </c>
      <c r="Y945" t="str">
        <f t="shared" si="271"/>
        <v>..............</v>
      </c>
      <c r="Z945" t="str">
        <f t="shared" si="271"/>
        <v>....</v>
      </c>
      <c r="AA945" t="str">
        <f t="shared" si="259"/>
        <v>.........</v>
      </c>
      <c r="AB945" t="str">
        <f t="shared" si="268"/>
        <v>.........</v>
      </c>
      <c r="AC945" t="str">
        <f t="shared" si="269"/>
        <v>.........</v>
      </c>
      <c r="AD945" t="str">
        <f t="shared" si="270"/>
        <v>........</v>
      </c>
      <c r="AE945" t="str">
        <f t="shared" si="260"/>
        <v>.......</v>
      </c>
      <c r="AF945" t="str">
        <f t="shared" si="272"/>
        <v>.....</v>
      </c>
      <c r="AG945" t="str">
        <f t="shared" si="272"/>
        <v>..........</v>
      </c>
      <c r="AH945" t="str">
        <f t="shared" si="261"/>
        <v>..........</v>
      </c>
      <c r="AI945" t="str">
        <f t="shared" si="262"/>
        <v>.......</v>
      </c>
      <c r="AJ945" t="str">
        <f t="shared" si="263"/>
        <v>.......</v>
      </c>
    </row>
    <row r="946" spans="1:36" x14ac:dyDescent="0.25">
      <c r="A946" t="s">
        <v>741</v>
      </c>
      <c r="P946" t="str">
        <f t="shared" si="264"/>
        <v xml:space="preserve">   9201   23  0 </v>
      </c>
      <c r="Q946" t="str">
        <f t="shared" si="264"/>
        <v xml:space="preserve">   1.074 </v>
      </c>
      <c r="R946" t="str">
        <f t="shared" si="257"/>
        <v xml:space="preserve">     3.9 </v>
      </c>
      <c r="S946" t="str">
        <f t="shared" si="265"/>
        <v xml:space="preserve">     0.0 </v>
      </c>
      <c r="T946" t="str">
        <f t="shared" si="266"/>
        <v xml:space="preserve">    28.2 </v>
      </c>
      <c r="U946" t="str">
        <f t="shared" si="270"/>
        <v xml:space="preserve">         0.0 </v>
      </c>
      <c r="V946" t="str">
        <f t="shared" si="258"/>
        <v xml:space="preserve">     0.0 </v>
      </c>
      <c r="W946" t="str">
        <f t="shared" si="267"/>
        <v xml:space="preserve">     0.0</v>
      </c>
      <c r="X946" t="str">
        <f t="shared" si="271"/>
        <v/>
      </c>
      <c r="Y946" t="str">
        <f t="shared" si="271"/>
        <v/>
      </c>
      <c r="Z946" t="str">
        <f t="shared" si="271"/>
        <v/>
      </c>
      <c r="AA946" t="str">
        <f t="shared" si="259"/>
        <v/>
      </c>
      <c r="AB946" t="str">
        <f t="shared" si="268"/>
        <v/>
      </c>
      <c r="AC946" t="str">
        <f t="shared" si="269"/>
        <v/>
      </c>
      <c r="AD946" t="str">
        <f t="shared" si="270"/>
        <v/>
      </c>
      <c r="AE946" t="str">
        <f t="shared" si="260"/>
        <v/>
      </c>
      <c r="AF946" t="str">
        <f t="shared" si="272"/>
        <v/>
      </c>
      <c r="AG946" t="str">
        <f t="shared" si="272"/>
        <v/>
      </c>
      <c r="AH946" t="str">
        <f t="shared" si="261"/>
        <v/>
      </c>
      <c r="AI946" t="str">
        <f t="shared" si="262"/>
        <v/>
      </c>
      <c r="AJ946" t="str">
        <f t="shared" si="263"/>
        <v/>
      </c>
    </row>
    <row r="947" spans="1:36" x14ac:dyDescent="0.25">
      <c r="A947" t="s">
        <v>742</v>
      </c>
      <c r="P947" t="str">
        <f t="shared" si="264"/>
        <v xml:space="preserve">  CBOM-A-RS023  </v>
      </c>
      <c r="Q947" t="str">
        <f t="shared" si="264"/>
        <v xml:space="preserve">   -55.1 </v>
      </c>
      <c r="R947" t="str">
        <f t="shared" si="257"/>
        <v xml:space="preserve">     0.0 </v>
      </c>
      <c r="S947" t="str">
        <f t="shared" si="265"/>
        <v xml:space="preserve">     0.0 </v>
      </c>
      <c r="T947" t="str">
        <f t="shared" si="266"/>
        <v xml:space="preserve">    10.8 </v>
      </c>
      <c r="U947" t="str">
        <f t="shared" si="270"/>
        <v xml:space="preserve">         0.0 </v>
      </c>
      <c r="V947" t="str">
        <f t="shared" si="258"/>
        <v xml:space="preserve">     0.0 </v>
      </c>
      <c r="W947" t="str">
        <f t="shared" si="267"/>
        <v xml:space="preserve">     0.0 </v>
      </c>
      <c r="X947" t="str">
        <f t="shared" si="271"/>
        <v xml:space="preserve">       </v>
      </c>
      <c r="Y947" t="str">
        <f t="shared" si="271"/>
        <v xml:space="preserve">              </v>
      </c>
      <c r="Z947" t="str">
        <f t="shared" si="271"/>
        <v xml:space="preserve">    </v>
      </c>
      <c r="AA947" t="str">
        <f t="shared" si="259"/>
        <v xml:space="preserve">         </v>
      </c>
      <c r="AB947" t="str">
        <f t="shared" si="268"/>
        <v xml:space="preserve">         </v>
      </c>
      <c r="AC947" t="str">
        <f t="shared" si="269"/>
        <v xml:space="preserve">    </v>
      </c>
      <c r="AD947" t="str">
        <f t="shared" si="270"/>
        <v/>
      </c>
      <c r="AE947" t="str">
        <f t="shared" si="260"/>
        <v/>
      </c>
      <c r="AF947" t="str">
        <f t="shared" si="272"/>
        <v/>
      </c>
      <c r="AG947" t="str">
        <f t="shared" si="272"/>
        <v/>
      </c>
      <c r="AH947" t="str">
        <f t="shared" si="261"/>
        <v/>
      </c>
      <c r="AI947" t="str">
        <f t="shared" si="262"/>
        <v/>
      </c>
      <c r="AJ947" t="str">
        <f t="shared" si="263"/>
        <v/>
      </c>
    </row>
    <row r="948" spans="1:36" x14ac:dyDescent="0.25">
      <c r="A948" t="s">
        <v>743</v>
      </c>
      <c r="P948" t="str">
        <f t="shared" si="264"/>
        <v xml:space="preserve">                </v>
      </c>
      <c r="Q948" t="str">
        <f t="shared" si="264"/>
        <v xml:space="preserve">         </v>
      </c>
      <c r="R948" t="str">
        <f t="shared" si="257"/>
        <v xml:space="preserve">    75.0 </v>
      </c>
      <c r="S948" t="str">
        <f t="shared" si="265"/>
        <v xml:space="preserve">    90.0 </v>
      </c>
      <c r="T948" t="str">
        <f t="shared" si="266"/>
        <v xml:space="preserve">    90.0 </v>
      </c>
      <c r="U948" t="str">
        <f t="shared" si="270"/>
        <v xml:space="preserve">       33.0% </v>
      </c>
      <c r="V948" t="str">
        <f t="shared" si="258"/>
        <v xml:space="preserve">         </v>
      </c>
      <c r="W948" t="str">
        <f t="shared" si="267"/>
        <v xml:space="preserve">         </v>
      </c>
      <c r="X948" t="str">
        <f t="shared" si="271"/>
        <v xml:space="preserve"> 41235 </v>
      </c>
      <c r="Y948" t="str">
        <f t="shared" si="271"/>
        <v xml:space="preserve"> CBOM-3-RS000 </v>
      </c>
      <c r="Z948" t="str">
        <f t="shared" si="271"/>
        <v xml:space="preserve">  3 </v>
      </c>
      <c r="AA948" t="str">
        <f t="shared" si="259"/>
        <v xml:space="preserve">   -24.3 </v>
      </c>
      <c r="AB948" t="str">
        <f t="shared" si="268"/>
        <v xml:space="preserve">   -10.8 </v>
      </c>
      <c r="AC948" t="str">
        <f t="shared" si="269"/>
        <v xml:space="preserve">    24.8 </v>
      </c>
      <c r="AD948" t="str">
        <f t="shared" si="270"/>
        <v xml:space="preserve"> 1.000F </v>
      </c>
      <c r="AE948" t="str">
        <f t="shared" si="260"/>
        <v xml:space="preserve">       </v>
      </c>
      <c r="AF948" t="str">
        <f t="shared" si="272"/>
        <v xml:space="preserve"> 002 </v>
      </c>
      <c r="AG948" t="str">
        <f t="shared" si="272"/>
        <v xml:space="preserve">     0.00 </v>
      </c>
      <c r="AH948" t="str">
        <f t="shared" si="261"/>
        <v xml:space="preserve">    -0.04 </v>
      </c>
      <c r="AI948" t="str">
        <f t="shared" si="262"/>
        <v xml:space="preserve">       </v>
      </c>
      <c r="AJ948" t="str">
        <f t="shared" si="263"/>
        <v xml:space="preserve">      </v>
      </c>
    </row>
    <row r="949" spans="1:36" x14ac:dyDescent="0.25">
      <c r="A949" t="s">
        <v>14</v>
      </c>
      <c r="P949" t="str">
        <f t="shared" si="264"/>
        <v xml:space="preserve">  ..............</v>
      </c>
      <c r="Q949" t="str">
        <f t="shared" si="264"/>
        <v>.........</v>
      </c>
      <c r="R949" t="str">
        <f t="shared" si="257"/>
        <v>.........</v>
      </c>
      <c r="S949" t="str">
        <f t="shared" si="265"/>
        <v>.........</v>
      </c>
      <c r="T949" t="str">
        <f t="shared" si="266"/>
        <v>.........</v>
      </c>
      <c r="U949" t="str">
        <f t="shared" si="270"/>
        <v>.............</v>
      </c>
      <c r="V949" t="str">
        <f t="shared" si="258"/>
        <v>.........</v>
      </c>
      <c r="W949" t="str">
        <f t="shared" si="267"/>
        <v>.........</v>
      </c>
      <c r="X949" t="str">
        <f t="shared" si="271"/>
        <v>.......</v>
      </c>
      <c r="Y949" t="str">
        <f t="shared" si="271"/>
        <v>..............</v>
      </c>
      <c r="Z949" t="str">
        <f t="shared" si="271"/>
        <v>....</v>
      </c>
      <c r="AA949" t="str">
        <f t="shared" si="259"/>
        <v>.........</v>
      </c>
      <c r="AB949" t="str">
        <f t="shared" si="268"/>
        <v>.........</v>
      </c>
      <c r="AC949" t="str">
        <f t="shared" si="269"/>
        <v>.........</v>
      </c>
      <c r="AD949" t="str">
        <f t="shared" si="270"/>
        <v>........</v>
      </c>
      <c r="AE949" t="str">
        <f t="shared" si="260"/>
        <v>.......</v>
      </c>
      <c r="AF949" t="str">
        <f t="shared" si="272"/>
        <v>.....</v>
      </c>
      <c r="AG949" t="str">
        <f t="shared" si="272"/>
        <v>..........</v>
      </c>
      <c r="AH949" t="str">
        <f t="shared" si="261"/>
        <v>..........</v>
      </c>
      <c r="AI949" t="str">
        <f t="shared" si="262"/>
        <v>.......</v>
      </c>
      <c r="AJ949" t="str">
        <f t="shared" si="263"/>
        <v>.......</v>
      </c>
    </row>
    <row r="950" spans="1:36" x14ac:dyDescent="0.25">
      <c r="A950" t="s">
        <v>744</v>
      </c>
      <c r="P950" t="str">
        <f t="shared" si="264"/>
        <v xml:space="preserve">   9205   23  0 </v>
      </c>
      <c r="Q950" t="str">
        <f t="shared" si="264"/>
        <v xml:space="preserve">   1.018 </v>
      </c>
      <c r="R950" t="str">
        <f t="shared" si="257"/>
        <v xml:space="preserve">     0.5 </v>
      </c>
      <c r="S950" t="str">
        <f t="shared" si="265"/>
        <v xml:space="preserve">     0.0 </v>
      </c>
      <c r="T950" t="str">
        <f t="shared" si="266"/>
        <v xml:space="preserve">     5.3 </v>
      </c>
      <c r="U950" t="str">
        <f t="shared" si="270"/>
        <v xml:space="preserve">         0.0 </v>
      </c>
      <c r="V950" t="str">
        <f t="shared" si="258"/>
        <v xml:space="preserve">     3.7 </v>
      </c>
      <c r="W950" t="str">
        <f t="shared" si="267"/>
        <v xml:space="preserve">     0.0</v>
      </c>
      <c r="X950" t="str">
        <f t="shared" si="271"/>
        <v/>
      </c>
      <c r="Y950" t="str">
        <f t="shared" si="271"/>
        <v/>
      </c>
      <c r="Z950" t="str">
        <f t="shared" si="271"/>
        <v/>
      </c>
      <c r="AA950" t="str">
        <f t="shared" si="259"/>
        <v/>
      </c>
      <c r="AB950" t="str">
        <f t="shared" si="268"/>
        <v/>
      </c>
      <c r="AC950" t="str">
        <f t="shared" si="269"/>
        <v/>
      </c>
      <c r="AD950" t="str">
        <f t="shared" si="270"/>
        <v/>
      </c>
      <c r="AE950" t="str">
        <f t="shared" si="260"/>
        <v/>
      </c>
      <c r="AF950" t="str">
        <f t="shared" si="272"/>
        <v/>
      </c>
      <c r="AG950" t="str">
        <f t="shared" si="272"/>
        <v/>
      </c>
      <c r="AH950" t="str">
        <f t="shared" si="261"/>
        <v/>
      </c>
      <c r="AI950" t="str">
        <f t="shared" si="262"/>
        <v/>
      </c>
      <c r="AJ950" t="str">
        <f t="shared" si="263"/>
        <v/>
      </c>
    </row>
    <row r="951" spans="1:36" x14ac:dyDescent="0.25">
      <c r="A951" t="s">
        <v>745</v>
      </c>
      <c r="P951" t="str">
        <f t="shared" si="264"/>
        <v xml:space="preserve">  MACAMB-RS023  </v>
      </c>
      <c r="Q951" t="str">
        <f t="shared" si="264"/>
        <v xml:space="preserve">   -48.8 </v>
      </c>
      <c r="R951" t="str">
        <f t="shared" si="257"/>
        <v xml:space="preserve">     0.0 </v>
      </c>
      <c r="S951" t="str">
        <f t="shared" si="265"/>
        <v xml:space="preserve">     0.0 </v>
      </c>
      <c r="T951" t="str">
        <f t="shared" si="266"/>
        <v xml:space="preserve">     0.8 </v>
      </c>
      <c r="U951" t="str">
        <f t="shared" si="270"/>
        <v xml:space="preserve">         0.0 </v>
      </c>
      <c r="V951" t="str">
        <f t="shared" si="258"/>
        <v xml:space="preserve">     0.0 </v>
      </c>
      <c r="W951" t="str">
        <f t="shared" si="267"/>
        <v xml:space="preserve">     0.0 </v>
      </c>
      <c r="X951" t="str">
        <f t="shared" si="271"/>
        <v xml:space="preserve">       </v>
      </c>
      <c r="Y951" t="str">
        <f t="shared" si="271"/>
        <v xml:space="preserve">              </v>
      </c>
      <c r="Z951" t="str">
        <f t="shared" si="271"/>
        <v xml:space="preserve">    </v>
      </c>
      <c r="AA951" t="str">
        <f t="shared" si="259"/>
        <v xml:space="preserve">         </v>
      </c>
      <c r="AB951" t="str">
        <f t="shared" si="268"/>
        <v xml:space="preserve">         </v>
      </c>
      <c r="AC951" t="str">
        <f t="shared" si="269"/>
        <v xml:space="preserve">    </v>
      </c>
      <c r="AD951" t="str">
        <f t="shared" si="270"/>
        <v/>
      </c>
      <c r="AE951" t="str">
        <f t="shared" si="260"/>
        <v/>
      </c>
      <c r="AF951" t="str">
        <f t="shared" si="272"/>
        <v/>
      </c>
      <c r="AG951" t="str">
        <f t="shared" si="272"/>
        <v/>
      </c>
      <c r="AH951" t="str">
        <f t="shared" si="261"/>
        <v/>
      </c>
      <c r="AI951" t="str">
        <f t="shared" si="262"/>
        <v/>
      </c>
      <c r="AJ951" t="str">
        <f t="shared" si="263"/>
        <v/>
      </c>
    </row>
    <row r="952" spans="1:36" x14ac:dyDescent="0.25">
      <c r="A952" t="s">
        <v>746</v>
      </c>
      <c r="P952" t="str">
        <f t="shared" si="264"/>
        <v xml:space="preserve">                </v>
      </c>
      <c r="Q952" t="str">
        <f t="shared" si="264"/>
        <v xml:space="preserve">         </v>
      </c>
      <c r="R952" t="str">
        <f t="shared" si="257"/>
        <v xml:space="preserve">    25.0 </v>
      </c>
      <c r="S952" t="str">
        <f t="shared" si="265"/>
        <v xml:space="preserve">    37.0 </v>
      </c>
      <c r="T952" t="str">
        <f t="shared" si="266"/>
        <v xml:space="preserve">    37.0 </v>
      </c>
      <c r="U952" t="str">
        <f t="shared" si="270"/>
        <v xml:space="preserve">       10.8% </v>
      </c>
      <c r="V952" t="str">
        <f t="shared" si="258"/>
        <v xml:space="preserve">         </v>
      </c>
      <c r="W952" t="str">
        <f t="shared" si="267"/>
        <v xml:space="preserve">         </v>
      </c>
      <c r="X952" t="str">
        <f t="shared" si="271"/>
        <v xml:space="preserve">  1235 </v>
      </c>
      <c r="Y952" t="str">
        <f t="shared" si="271"/>
        <v xml:space="preserve"> MACAMB-RS069 </v>
      </c>
      <c r="Z952" t="str">
        <f t="shared" si="271"/>
        <v xml:space="preserve">  2 </v>
      </c>
      <c r="AA952" t="str">
        <f t="shared" si="259"/>
        <v xml:space="preserve">    -2.4 </v>
      </c>
      <c r="AB952" t="str">
        <f t="shared" si="268"/>
        <v xml:space="preserve">     1.4 </v>
      </c>
      <c r="AC952" t="str">
        <f t="shared" si="269"/>
        <v xml:space="preserve">     2.7 </v>
      </c>
      <c r="AD952" t="str">
        <f t="shared" si="270"/>
        <v xml:space="preserve">        </v>
      </c>
      <c r="AE952" t="str">
        <f t="shared" si="260"/>
        <v xml:space="preserve">       </v>
      </c>
      <c r="AF952" t="str">
        <f t="shared" si="272"/>
        <v xml:space="preserve">     </v>
      </c>
      <c r="AG952" t="str">
        <f t="shared" si="272"/>
        <v xml:space="preserve">     0.00 </v>
      </c>
      <c r="AH952" t="str">
        <f t="shared" si="261"/>
        <v xml:space="preserve">     0.03 </v>
      </c>
      <c r="AI952" t="str">
        <f t="shared" si="262"/>
        <v xml:space="preserve">       </v>
      </c>
      <c r="AJ952" t="str">
        <f t="shared" si="263"/>
        <v xml:space="preserve">      </v>
      </c>
    </row>
    <row r="953" spans="1:36" x14ac:dyDescent="0.25">
      <c r="A953" t="s">
        <v>747</v>
      </c>
      <c r="P953" t="str">
        <f t="shared" si="264"/>
        <v xml:space="preserve">                </v>
      </c>
      <c r="Q953" t="str">
        <f t="shared" si="264"/>
        <v xml:space="preserve">         </v>
      </c>
      <c r="R953" t="str">
        <f t="shared" si="257"/>
        <v xml:space="preserve">    25.0 </v>
      </c>
      <c r="S953" t="str">
        <f t="shared" si="265"/>
        <v xml:space="preserve">    25.0 </v>
      </c>
      <c r="T953" t="str">
        <f t="shared" si="266"/>
        <v xml:space="preserve">    25.0 </v>
      </c>
      <c r="U953" t="str">
        <f t="shared" si="270"/>
        <v xml:space="preserve">       11.3% </v>
      </c>
      <c r="V953" t="str">
        <f t="shared" si="258"/>
        <v xml:space="preserve">         </v>
      </c>
      <c r="W953" t="str">
        <f t="shared" si="267"/>
        <v xml:space="preserve">         </v>
      </c>
      <c r="X953" t="str">
        <f t="shared" si="271"/>
        <v xml:space="preserve">  1235 </v>
      </c>
      <c r="Y953" t="str">
        <f t="shared" si="271"/>
        <v xml:space="preserve"> MACAMB-RS069 </v>
      </c>
      <c r="Z953" t="str">
        <f t="shared" si="271"/>
        <v xml:space="preserve">  8 </v>
      </c>
      <c r="AA953" t="str">
        <f t="shared" si="259"/>
        <v xml:space="preserve">    -2.4 </v>
      </c>
      <c r="AB953" t="str">
        <f t="shared" si="268"/>
        <v xml:space="preserve">     1.5 </v>
      </c>
      <c r="AC953" t="str">
        <f t="shared" si="269"/>
        <v xml:space="preserve">     2.8 </v>
      </c>
      <c r="AD953" t="str">
        <f t="shared" si="270"/>
        <v xml:space="preserve">        </v>
      </c>
      <c r="AE953" t="str">
        <f t="shared" si="260"/>
        <v xml:space="preserve">       </v>
      </c>
      <c r="AF953" t="str">
        <f t="shared" si="272"/>
        <v xml:space="preserve">     </v>
      </c>
      <c r="AG953" t="str">
        <f t="shared" si="272"/>
        <v xml:space="preserve">     0.00 </v>
      </c>
      <c r="AH953" t="str">
        <f t="shared" si="261"/>
        <v xml:space="preserve">     0.03 </v>
      </c>
      <c r="AI953" t="str">
        <f t="shared" si="262"/>
        <v xml:space="preserve">       </v>
      </c>
      <c r="AJ953" t="str">
        <f t="shared" si="263"/>
        <v xml:space="preserve">      </v>
      </c>
    </row>
    <row r="954" spans="1:36" x14ac:dyDescent="0.25">
      <c r="A954" t="s">
        <v>14</v>
      </c>
      <c r="P954" t="str">
        <f t="shared" si="264"/>
        <v xml:space="preserve">  ..............</v>
      </c>
      <c r="Q954" t="str">
        <f t="shared" si="264"/>
        <v>.........</v>
      </c>
      <c r="R954" t="str">
        <f t="shared" si="257"/>
        <v>.........</v>
      </c>
      <c r="S954" t="str">
        <f t="shared" si="265"/>
        <v>.........</v>
      </c>
      <c r="T954" t="str">
        <f t="shared" si="266"/>
        <v>.........</v>
      </c>
      <c r="U954" t="str">
        <f t="shared" si="270"/>
        <v>.............</v>
      </c>
      <c r="V954" t="str">
        <f t="shared" si="258"/>
        <v>.........</v>
      </c>
      <c r="W954" t="str">
        <f t="shared" si="267"/>
        <v>.........</v>
      </c>
      <c r="X954" t="str">
        <f t="shared" si="271"/>
        <v>.......</v>
      </c>
      <c r="Y954" t="str">
        <f t="shared" si="271"/>
        <v>..............</v>
      </c>
      <c r="Z954" t="str">
        <f t="shared" si="271"/>
        <v>....</v>
      </c>
      <c r="AA954" t="str">
        <f t="shared" si="259"/>
        <v>.........</v>
      </c>
      <c r="AB954" t="str">
        <f t="shared" si="268"/>
        <v>.........</v>
      </c>
      <c r="AC954" t="str">
        <f t="shared" si="269"/>
        <v>.........</v>
      </c>
      <c r="AD954" t="str">
        <f t="shared" si="270"/>
        <v>........</v>
      </c>
      <c r="AE954" t="str">
        <f t="shared" si="260"/>
        <v>.......</v>
      </c>
      <c r="AF954" t="str">
        <f t="shared" si="272"/>
        <v>.....</v>
      </c>
      <c r="AG954" t="str">
        <f t="shared" si="272"/>
        <v>..........</v>
      </c>
      <c r="AH954" t="str">
        <f t="shared" si="261"/>
        <v>..........</v>
      </c>
      <c r="AI954" t="str">
        <f t="shared" si="262"/>
        <v>.......</v>
      </c>
      <c r="AJ954" t="str">
        <f t="shared" si="263"/>
        <v>.......</v>
      </c>
    </row>
    <row r="955" spans="1:36" x14ac:dyDescent="0.25">
      <c r="A955" t="s">
        <v>748</v>
      </c>
      <c r="P955" t="str">
        <f t="shared" si="264"/>
        <v xml:space="preserve">   9206   23  0 </v>
      </c>
      <c r="Q955" t="str">
        <f t="shared" si="264"/>
        <v xml:space="preserve">   1.010 </v>
      </c>
      <c r="R955" t="str">
        <f t="shared" si="257"/>
        <v xml:space="preserve">     3.1 </v>
      </c>
      <c r="S955" t="str">
        <f t="shared" si="265"/>
        <v xml:space="preserve">     0.0 </v>
      </c>
      <c r="T955" t="str">
        <f t="shared" si="266"/>
        <v xml:space="preserve">    15.0 </v>
      </c>
      <c r="U955" t="str">
        <f t="shared" si="270"/>
        <v xml:space="preserve">         0.0 </v>
      </c>
      <c r="V955" t="str">
        <f t="shared" si="258"/>
        <v xml:space="preserve">     3.7 </v>
      </c>
      <c r="W955" t="str">
        <f t="shared" si="267"/>
        <v xml:space="preserve">     0.0</v>
      </c>
      <c r="X955" t="str">
        <f t="shared" si="271"/>
        <v/>
      </c>
      <c r="Y955" t="str">
        <f t="shared" si="271"/>
        <v/>
      </c>
      <c r="Z955" t="str">
        <f t="shared" si="271"/>
        <v/>
      </c>
      <c r="AA955" t="str">
        <f t="shared" si="259"/>
        <v/>
      </c>
      <c r="AB955" t="str">
        <f t="shared" si="268"/>
        <v/>
      </c>
      <c r="AC955" t="str">
        <f t="shared" si="269"/>
        <v/>
      </c>
      <c r="AD955" t="str">
        <f t="shared" si="270"/>
        <v/>
      </c>
      <c r="AE955" t="str">
        <f t="shared" si="260"/>
        <v/>
      </c>
      <c r="AF955" t="str">
        <f t="shared" si="272"/>
        <v/>
      </c>
      <c r="AG955" t="str">
        <f t="shared" si="272"/>
        <v/>
      </c>
      <c r="AH955" t="str">
        <f t="shared" si="261"/>
        <v/>
      </c>
      <c r="AI955" t="str">
        <f t="shared" si="262"/>
        <v/>
      </c>
      <c r="AJ955" t="str">
        <f t="shared" si="263"/>
        <v/>
      </c>
    </row>
    <row r="956" spans="1:36" x14ac:dyDescent="0.25">
      <c r="A956" t="s">
        <v>749</v>
      </c>
      <c r="P956" t="str">
        <f t="shared" si="264"/>
        <v xml:space="preserve">  SBORJA-RS023  </v>
      </c>
      <c r="Q956" t="str">
        <f t="shared" si="264"/>
        <v xml:space="preserve">   -49.2 </v>
      </c>
      <c r="R956" t="str">
        <f t="shared" si="257"/>
        <v xml:space="preserve">     0.0 </v>
      </c>
      <c r="S956" t="str">
        <f t="shared" si="265"/>
        <v xml:space="preserve">     0.0 </v>
      </c>
      <c r="T956" t="str">
        <f t="shared" si="266"/>
        <v xml:space="preserve">     3.2 </v>
      </c>
      <c r="U956" t="str">
        <f t="shared" si="270"/>
        <v xml:space="preserve">         0.0 </v>
      </c>
      <c r="V956" t="str">
        <f t="shared" si="258"/>
        <v xml:space="preserve">     0.0 </v>
      </c>
      <c r="W956" t="str">
        <f t="shared" si="267"/>
        <v xml:space="preserve">     0.0 </v>
      </c>
      <c r="X956" t="str">
        <f t="shared" si="271"/>
        <v xml:space="preserve">       </v>
      </c>
      <c r="Y956" t="str">
        <f t="shared" si="271"/>
        <v xml:space="preserve">              </v>
      </c>
      <c r="Z956" t="str">
        <f t="shared" si="271"/>
        <v xml:space="preserve">    </v>
      </c>
      <c r="AA956" t="str">
        <f t="shared" si="259"/>
        <v xml:space="preserve">         </v>
      </c>
      <c r="AB956" t="str">
        <f t="shared" si="268"/>
        <v xml:space="preserve">         </v>
      </c>
      <c r="AC956" t="str">
        <f t="shared" si="269"/>
        <v xml:space="preserve">    </v>
      </c>
      <c r="AD956" t="str">
        <f t="shared" si="270"/>
        <v/>
      </c>
      <c r="AE956" t="str">
        <f t="shared" si="260"/>
        <v/>
      </c>
      <c r="AF956" t="str">
        <f t="shared" si="272"/>
        <v/>
      </c>
      <c r="AG956" t="str">
        <f t="shared" si="272"/>
        <v/>
      </c>
      <c r="AH956" t="str">
        <f t="shared" si="261"/>
        <v/>
      </c>
      <c r="AI956" t="str">
        <f t="shared" si="262"/>
        <v/>
      </c>
      <c r="AJ956" t="str">
        <f t="shared" si="263"/>
        <v/>
      </c>
    </row>
    <row r="957" spans="1:36" x14ac:dyDescent="0.25">
      <c r="A957" t="s">
        <v>750</v>
      </c>
      <c r="P957" t="str">
        <f t="shared" si="264"/>
        <v xml:space="preserve">                </v>
      </c>
      <c r="Q957" t="str">
        <f t="shared" si="264"/>
        <v xml:space="preserve">         </v>
      </c>
      <c r="R957" t="str">
        <f t="shared" si="257"/>
        <v xml:space="preserve">    25.0 </v>
      </c>
      <c r="S957" t="str">
        <f t="shared" si="265"/>
        <v xml:space="preserve">    37.0 </v>
      </c>
      <c r="T957" t="str">
        <f t="shared" si="266"/>
        <v xml:space="preserve">    37.0 </v>
      </c>
      <c r="U957" t="str">
        <f t="shared" si="270"/>
        <v xml:space="preserve">       23.1% </v>
      </c>
      <c r="V957" t="str">
        <f t="shared" si="258"/>
        <v xml:space="preserve">         </v>
      </c>
      <c r="W957" t="str">
        <f t="shared" si="267"/>
        <v xml:space="preserve">         </v>
      </c>
      <c r="X957" t="str">
        <f t="shared" si="271"/>
        <v xml:space="preserve">  1253 </v>
      </c>
      <c r="Y957" t="str">
        <f t="shared" si="271"/>
        <v xml:space="preserve"> SBORJ2-RS069 </v>
      </c>
      <c r="Z957" t="str">
        <f t="shared" si="271"/>
        <v xml:space="preserve">  2 </v>
      </c>
      <c r="AA957" t="str">
        <f t="shared" si="259"/>
        <v xml:space="preserve">    -5.8 </v>
      </c>
      <c r="AB957" t="str">
        <f t="shared" si="268"/>
        <v xml:space="preserve">     0.2 </v>
      </c>
      <c r="AC957" t="str">
        <f t="shared" si="269"/>
        <v xml:space="preserve">     5.8 </v>
      </c>
      <c r="AD957" t="str">
        <f t="shared" si="270"/>
        <v xml:space="preserve">        </v>
      </c>
      <c r="AE957" t="str">
        <f t="shared" si="260"/>
        <v xml:space="preserve">       </v>
      </c>
      <c r="AF957" t="str">
        <f t="shared" si="272"/>
        <v xml:space="preserve">     </v>
      </c>
      <c r="AG957" t="str">
        <f t="shared" si="272"/>
        <v xml:space="preserve">     0.00 </v>
      </c>
      <c r="AH957" t="str">
        <f t="shared" si="261"/>
        <v xml:space="preserve">     0.13 </v>
      </c>
      <c r="AI957" t="str">
        <f t="shared" si="262"/>
        <v xml:space="preserve">       </v>
      </c>
      <c r="AJ957" t="str">
        <f t="shared" si="263"/>
        <v xml:space="preserve">      </v>
      </c>
    </row>
    <row r="958" spans="1:36" x14ac:dyDescent="0.25">
      <c r="A958" t="s">
        <v>751</v>
      </c>
      <c r="P958" t="str">
        <f t="shared" si="264"/>
        <v xml:space="preserve">                </v>
      </c>
      <c r="Q958" t="str">
        <f t="shared" si="264"/>
        <v xml:space="preserve">         </v>
      </c>
      <c r="R958" t="str">
        <f t="shared" si="257"/>
        <v xml:space="preserve">    25.0 </v>
      </c>
      <c r="S958" t="str">
        <f t="shared" si="265"/>
        <v xml:space="preserve">    37.0 </v>
      </c>
      <c r="T958" t="str">
        <f t="shared" si="266"/>
        <v xml:space="preserve">    37.0 </v>
      </c>
      <c r="U958" t="str">
        <f t="shared" si="270"/>
        <v xml:space="preserve">       24.0% </v>
      </c>
      <c r="V958" t="str">
        <f t="shared" si="258"/>
        <v xml:space="preserve">         </v>
      </c>
      <c r="W958" t="str">
        <f t="shared" si="267"/>
        <v xml:space="preserve">         </v>
      </c>
      <c r="X958" t="str">
        <f t="shared" si="271"/>
        <v xml:space="preserve">  1253 </v>
      </c>
      <c r="Y958" t="str">
        <f t="shared" si="271"/>
        <v xml:space="preserve"> SBORJ2-RS069 </v>
      </c>
      <c r="Z958" t="str">
        <f t="shared" si="271"/>
        <v xml:space="preserve">  5 </v>
      </c>
      <c r="AA958" t="str">
        <f t="shared" si="259"/>
        <v xml:space="preserve">    -6.1 </v>
      </c>
      <c r="AB958" t="str">
        <f t="shared" si="268"/>
        <v xml:space="preserve">     0.2 </v>
      </c>
      <c r="AC958" t="str">
        <f t="shared" si="269"/>
        <v xml:space="preserve">     6.0 </v>
      </c>
      <c r="AD958" t="str">
        <f t="shared" si="270"/>
        <v xml:space="preserve">        </v>
      </c>
      <c r="AE958" t="str">
        <f t="shared" si="260"/>
        <v xml:space="preserve">       </v>
      </c>
      <c r="AF958" t="str">
        <f t="shared" si="272"/>
        <v xml:space="preserve">     </v>
      </c>
      <c r="AG958" t="str">
        <f t="shared" si="272"/>
        <v xml:space="preserve">     0.00 </v>
      </c>
      <c r="AH958" t="str">
        <f t="shared" si="261"/>
        <v xml:space="preserve">     0.14 </v>
      </c>
      <c r="AI958" t="str">
        <f t="shared" si="262"/>
        <v xml:space="preserve">       </v>
      </c>
      <c r="AJ958" t="str">
        <f t="shared" si="263"/>
        <v xml:space="preserve">      </v>
      </c>
    </row>
    <row r="959" spans="1:36" x14ac:dyDescent="0.25">
      <c r="A959" t="s">
        <v>14</v>
      </c>
      <c r="P959" t="str">
        <f t="shared" si="264"/>
        <v xml:space="preserve">  ..............</v>
      </c>
      <c r="Q959" t="str">
        <f t="shared" si="264"/>
        <v>.........</v>
      </c>
      <c r="R959" t="str">
        <f t="shared" si="257"/>
        <v>.........</v>
      </c>
      <c r="S959" t="str">
        <f t="shared" si="265"/>
        <v>.........</v>
      </c>
      <c r="T959" t="str">
        <f t="shared" si="266"/>
        <v>.........</v>
      </c>
      <c r="U959" t="str">
        <f t="shared" si="270"/>
        <v>.............</v>
      </c>
      <c r="V959" t="str">
        <f t="shared" si="258"/>
        <v>.........</v>
      </c>
      <c r="W959" t="str">
        <f t="shared" si="267"/>
        <v>.........</v>
      </c>
      <c r="X959" t="str">
        <f t="shared" si="271"/>
        <v>.......</v>
      </c>
      <c r="Y959" t="str">
        <f t="shared" si="271"/>
        <v>..............</v>
      </c>
      <c r="Z959" t="str">
        <f t="shared" si="271"/>
        <v>....</v>
      </c>
      <c r="AA959" t="str">
        <f t="shared" si="259"/>
        <v>.........</v>
      </c>
      <c r="AB959" t="str">
        <f t="shared" si="268"/>
        <v>.........</v>
      </c>
      <c r="AC959" t="str">
        <f t="shared" si="269"/>
        <v>.........</v>
      </c>
      <c r="AD959" t="str">
        <f t="shared" si="270"/>
        <v>........</v>
      </c>
      <c r="AE959" t="str">
        <f t="shared" si="260"/>
        <v>.......</v>
      </c>
      <c r="AF959" t="str">
        <f t="shared" si="272"/>
        <v>.....</v>
      </c>
      <c r="AG959" t="str">
        <f t="shared" si="272"/>
        <v>..........</v>
      </c>
      <c r="AH959" t="str">
        <f t="shared" si="261"/>
        <v>..........</v>
      </c>
      <c r="AI959" t="str">
        <f t="shared" si="262"/>
        <v>.......</v>
      </c>
      <c r="AJ959" t="str">
        <f t="shared" si="263"/>
        <v>.......</v>
      </c>
    </row>
    <row r="960" spans="1:36" x14ac:dyDescent="0.25">
      <c r="A960" t="s">
        <v>752</v>
      </c>
      <c r="P960" t="str">
        <f t="shared" si="264"/>
        <v xml:space="preserve">   9207   23  0 </v>
      </c>
      <c r="Q960" t="str">
        <f t="shared" si="264"/>
        <v xml:space="preserve">   1.063 </v>
      </c>
      <c r="R960" t="str">
        <f t="shared" si="257"/>
        <v xml:space="preserve">     2.1 </v>
      </c>
      <c r="S960" t="str">
        <f t="shared" si="265"/>
        <v xml:space="preserve">     0.0 </v>
      </c>
      <c r="T960" t="str">
        <f t="shared" si="266"/>
        <v xml:space="preserve">    16.0 </v>
      </c>
      <c r="U960" t="str">
        <f t="shared" si="270"/>
        <v xml:space="preserve">         0.0 </v>
      </c>
      <c r="V960" t="str">
        <f t="shared" si="258"/>
        <v xml:space="preserve">     8.1 </v>
      </c>
      <c r="W960" t="str">
        <f t="shared" si="267"/>
        <v xml:space="preserve">     0.0</v>
      </c>
      <c r="X960" t="str">
        <f t="shared" si="271"/>
        <v/>
      </c>
      <c r="Y960" t="str">
        <f t="shared" si="271"/>
        <v/>
      </c>
      <c r="Z960" t="str">
        <f t="shared" si="271"/>
        <v/>
      </c>
      <c r="AA960" t="str">
        <f t="shared" si="259"/>
        <v/>
      </c>
      <c r="AB960" t="str">
        <f t="shared" si="268"/>
        <v/>
      </c>
      <c r="AC960" t="str">
        <f t="shared" si="269"/>
        <v/>
      </c>
      <c r="AD960" t="str">
        <f t="shared" si="270"/>
        <v/>
      </c>
      <c r="AE960" t="str">
        <f t="shared" si="260"/>
        <v/>
      </c>
      <c r="AF960" t="str">
        <f t="shared" si="272"/>
        <v/>
      </c>
      <c r="AG960" t="str">
        <f t="shared" si="272"/>
        <v/>
      </c>
      <c r="AH960" t="str">
        <f t="shared" si="261"/>
        <v/>
      </c>
      <c r="AI960" t="str">
        <f t="shared" si="262"/>
        <v/>
      </c>
      <c r="AJ960" t="str">
        <f t="shared" si="263"/>
        <v/>
      </c>
    </row>
    <row r="961" spans="1:36" x14ac:dyDescent="0.25">
      <c r="A961" t="s">
        <v>753</v>
      </c>
      <c r="P961" t="str">
        <f t="shared" si="264"/>
        <v xml:space="preserve">  CIPA-A-RS023  </v>
      </c>
      <c r="Q961" t="str">
        <f t="shared" si="264"/>
        <v xml:space="preserve">   -53.3 </v>
      </c>
      <c r="R961" t="str">
        <f t="shared" si="257"/>
        <v xml:space="preserve">     0.0 </v>
      </c>
      <c r="S961" t="str">
        <f t="shared" si="265"/>
        <v xml:space="preserve">     0.0 </v>
      </c>
      <c r="T961" t="str">
        <f t="shared" si="266"/>
        <v xml:space="preserve">     5.9 </v>
      </c>
      <c r="U961" t="str">
        <f t="shared" si="270"/>
        <v xml:space="preserve">         0.0 </v>
      </c>
      <c r="V961" t="str">
        <f t="shared" si="258"/>
        <v xml:space="preserve">     0.0 </v>
      </c>
      <c r="W961" t="str">
        <f t="shared" si="267"/>
        <v xml:space="preserve">     0.0 </v>
      </c>
      <c r="X961" t="str">
        <f t="shared" si="271"/>
        <v xml:space="preserve">       </v>
      </c>
      <c r="Y961" t="str">
        <f t="shared" si="271"/>
        <v xml:space="preserve">              </v>
      </c>
      <c r="Z961" t="str">
        <f t="shared" si="271"/>
        <v xml:space="preserve">    </v>
      </c>
      <c r="AA961" t="str">
        <f t="shared" si="259"/>
        <v xml:space="preserve">         </v>
      </c>
      <c r="AB961" t="str">
        <f t="shared" si="268"/>
        <v xml:space="preserve">         </v>
      </c>
      <c r="AC961" t="str">
        <f t="shared" si="269"/>
        <v xml:space="preserve">    </v>
      </c>
      <c r="AD961" t="str">
        <f t="shared" si="270"/>
        <v/>
      </c>
      <c r="AE961" t="str">
        <f t="shared" si="260"/>
        <v/>
      </c>
      <c r="AF961" t="str">
        <f t="shared" si="272"/>
        <v/>
      </c>
      <c r="AG961" t="str">
        <f t="shared" si="272"/>
        <v/>
      </c>
      <c r="AH961" t="str">
        <f t="shared" si="261"/>
        <v/>
      </c>
      <c r="AI961" t="str">
        <f t="shared" si="262"/>
        <v/>
      </c>
      <c r="AJ961" t="str">
        <f t="shared" si="263"/>
        <v/>
      </c>
    </row>
    <row r="962" spans="1:36" x14ac:dyDescent="0.25">
      <c r="A962" t="s">
        <v>754</v>
      </c>
      <c r="P962" t="str">
        <f t="shared" si="264"/>
        <v xml:space="preserve">                </v>
      </c>
      <c r="Q962" t="str">
        <f t="shared" si="264"/>
        <v xml:space="preserve">         </v>
      </c>
      <c r="R962" t="str">
        <f t="shared" si="257"/>
        <v xml:space="preserve">    75.0 </v>
      </c>
      <c r="S962" t="str">
        <f t="shared" si="265"/>
        <v xml:space="preserve">    90.0 </v>
      </c>
      <c r="T962" t="str">
        <f t="shared" si="266"/>
        <v xml:space="preserve">    90.0 </v>
      </c>
      <c r="U962" t="str">
        <f t="shared" si="270"/>
        <v xml:space="preserve">       17.7% </v>
      </c>
      <c r="V962" t="str">
        <f t="shared" si="258"/>
        <v xml:space="preserve">         </v>
      </c>
      <c r="W962" t="str">
        <f t="shared" si="267"/>
        <v xml:space="preserve">         </v>
      </c>
      <c r="X962" t="str">
        <f t="shared" si="271"/>
        <v xml:space="preserve"> 41249 </v>
      </c>
      <c r="Y962" t="str">
        <f t="shared" si="271"/>
        <v xml:space="preserve"> CIND-1-RS000 </v>
      </c>
      <c r="Z962" t="str">
        <f t="shared" si="271"/>
        <v xml:space="preserve">  1 </v>
      </c>
      <c r="AA962" t="str">
        <f t="shared" si="259"/>
        <v xml:space="preserve">   -13.9 </v>
      </c>
      <c r="AB962" t="str">
        <f t="shared" si="268"/>
        <v xml:space="preserve">     2.2 </v>
      </c>
      <c r="AC962" t="str">
        <f t="shared" si="269"/>
        <v xml:space="preserve">    13.2 </v>
      </c>
      <c r="AD962" t="str">
        <f t="shared" si="270"/>
        <v xml:space="preserve"> 1.000F </v>
      </c>
      <c r="AE962" t="str">
        <f t="shared" si="260"/>
        <v xml:space="preserve">       </v>
      </c>
      <c r="AF962" t="str">
        <f t="shared" si="272"/>
        <v xml:space="preserve"> 002 </v>
      </c>
      <c r="AG962" t="str">
        <f t="shared" si="272"/>
        <v xml:space="preserve">     0.00 </v>
      </c>
      <c r="AH962" t="str">
        <f t="shared" si="261"/>
        <v xml:space="preserve">    -0.01 </v>
      </c>
      <c r="AI962" t="str">
        <f t="shared" si="262"/>
        <v xml:space="preserve">       </v>
      </c>
      <c r="AJ962" t="str">
        <f t="shared" si="263"/>
        <v xml:space="preserve">      </v>
      </c>
    </row>
    <row r="963" spans="1:36" x14ac:dyDescent="0.25">
      <c r="A963" t="s">
        <v>14</v>
      </c>
      <c r="P963" t="str">
        <f t="shared" si="264"/>
        <v xml:space="preserve">  ..............</v>
      </c>
      <c r="Q963" t="str">
        <f t="shared" si="264"/>
        <v>.........</v>
      </c>
      <c r="R963" t="str">
        <f t="shared" si="257"/>
        <v>.........</v>
      </c>
      <c r="S963" t="str">
        <f t="shared" si="265"/>
        <v>.........</v>
      </c>
      <c r="T963" t="str">
        <f t="shared" si="266"/>
        <v>.........</v>
      </c>
      <c r="U963" t="str">
        <f t="shared" si="270"/>
        <v>.............</v>
      </c>
      <c r="V963" t="str">
        <f t="shared" si="258"/>
        <v>.........</v>
      </c>
      <c r="W963" t="str">
        <f t="shared" si="267"/>
        <v>.........</v>
      </c>
      <c r="X963" t="str">
        <f t="shared" si="271"/>
        <v>.......</v>
      </c>
      <c r="Y963" t="str">
        <f t="shared" si="271"/>
        <v>..............</v>
      </c>
      <c r="Z963" t="str">
        <f t="shared" si="271"/>
        <v>....</v>
      </c>
      <c r="AA963" t="str">
        <f t="shared" si="259"/>
        <v>.........</v>
      </c>
      <c r="AB963" t="str">
        <f t="shared" si="268"/>
        <v>.........</v>
      </c>
      <c r="AC963" t="str">
        <f t="shared" si="269"/>
        <v>.........</v>
      </c>
      <c r="AD963" t="str">
        <f t="shared" si="270"/>
        <v>........</v>
      </c>
      <c r="AE963" t="str">
        <f t="shared" si="260"/>
        <v>.......</v>
      </c>
      <c r="AF963" t="str">
        <f t="shared" si="272"/>
        <v>.....</v>
      </c>
      <c r="AG963" t="str">
        <f t="shared" si="272"/>
        <v>..........</v>
      </c>
      <c r="AH963" t="str">
        <f t="shared" si="261"/>
        <v>..........</v>
      </c>
      <c r="AI963" t="str">
        <f t="shared" si="262"/>
        <v>.......</v>
      </c>
      <c r="AJ963" t="str">
        <f t="shared" si="263"/>
        <v>.......</v>
      </c>
    </row>
    <row r="964" spans="1:36" x14ac:dyDescent="0.25">
      <c r="A964" t="s">
        <v>755</v>
      </c>
      <c r="P964" t="str">
        <f t="shared" si="264"/>
        <v xml:space="preserve">   9208   23  0 </v>
      </c>
      <c r="Q964" t="str">
        <f t="shared" si="264"/>
        <v xml:space="preserve">   1.097 </v>
      </c>
      <c r="R964" t="str">
        <f t="shared" si="257"/>
        <v xml:space="preserve">     1.7 </v>
      </c>
      <c r="S964" t="str">
        <f t="shared" si="265"/>
        <v xml:space="preserve">     0.0 </v>
      </c>
      <c r="T964" t="str">
        <f t="shared" si="266"/>
        <v xml:space="preserve">     6.7 </v>
      </c>
      <c r="U964" t="str">
        <f t="shared" si="270"/>
        <v xml:space="preserve">         0.0 </v>
      </c>
      <c r="V964" t="str">
        <f t="shared" si="258"/>
        <v xml:space="preserve">     0.0 </v>
      </c>
      <c r="W964" t="str">
        <f t="shared" si="267"/>
        <v xml:space="preserve">     0.0</v>
      </c>
      <c r="X964" t="str">
        <f t="shared" si="271"/>
        <v/>
      </c>
      <c r="Y964" t="str">
        <f t="shared" si="271"/>
        <v/>
      </c>
      <c r="Z964" t="str">
        <f t="shared" si="271"/>
        <v/>
      </c>
      <c r="AA964" t="str">
        <f t="shared" si="259"/>
        <v/>
      </c>
      <c r="AB964" t="str">
        <f t="shared" si="268"/>
        <v/>
      </c>
      <c r="AC964" t="str">
        <f t="shared" si="269"/>
        <v/>
      </c>
      <c r="AD964" t="str">
        <f t="shared" si="270"/>
        <v/>
      </c>
      <c r="AE964" t="str">
        <f t="shared" si="260"/>
        <v/>
      </c>
      <c r="AF964" t="str">
        <f t="shared" si="272"/>
        <v/>
      </c>
      <c r="AG964" t="str">
        <f t="shared" si="272"/>
        <v/>
      </c>
      <c r="AH964" t="str">
        <f t="shared" si="261"/>
        <v/>
      </c>
      <c r="AI964" t="str">
        <f t="shared" si="262"/>
        <v/>
      </c>
      <c r="AJ964" t="str">
        <f t="shared" si="263"/>
        <v/>
      </c>
    </row>
    <row r="965" spans="1:36" x14ac:dyDescent="0.25">
      <c r="A965" t="s">
        <v>756</v>
      </c>
      <c r="P965" t="str">
        <f t="shared" si="264"/>
        <v xml:space="preserve">  SVICEN-RS023  </v>
      </c>
      <c r="Q965" t="str">
        <f t="shared" si="264"/>
        <v xml:space="preserve">   -53.2 </v>
      </c>
      <c r="R965" t="str">
        <f t="shared" si="257"/>
        <v xml:space="preserve">     0.0 </v>
      </c>
      <c r="S965" t="str">
        <f t="shared" si="265"/>
        <v xml:space="preserve">     0.0 </v>
      </c>
      <c r="T965" t="str">
        <f t="shared" si="266"/>
        <v xml:space="preserve">     2.1 </v>
      </c>
      <c r="U965" t="str">
        <f t="shared" si="270"/>
        <v xml:space="preserve">         0.0 </v>
      </c>
      <c r="V965" t="str">
        <f t="shared" si="258"/>
        <v xml:space="preserve">     0.0 </v>
      </c>
      <c r="W965" t="str">
        <f t="shared" si="267"/>
        <v xml:space="preserve">     0.0 </v>
      </c>
      <c r="X965" t="str">
        <f t="shared" si="271"/>
        <v xml:space="preserve">       </v>
      </c>
      <c r="Y965" t="str">
        <f t="shared" si="271"/>
        <v xml:space="preserve">              </v>
      </c>
      <c r="Z965" t="str">
        <f t="shared" si="271"/>
        <v xml:space="preserve">    </v>
      </c>
      <c r="AA965" t="str">
        <f t="shared" si="259"/>
        <v xml:space="preserve">         </v>
      </c>
      <c r="AB965" t="str">
        <f t="shared" si="268"/>
        <v xml:space="preserve">         </v>
      </c>
      <c r="AC965" t="str">
        <f t="shared" si="269"/>
        <v xml:space="preserve">    </v>
      </c>
      <c r="AD965" t="str">
        <f t="shared" si="270"/>
        <v/>
      </c>
      <c r="AE965" t="str">
        <f t="shared" si="260"/>
        <v/>
      </c>
      <c r="AF965" t="str">
        <f t="shared" si="272"/>
        <v/>
      </c>
      <c r="AG965" t="str">
        <f t="shared" si="272"/>
        <v/>
      </c>
      <c r="AH965" t="str">
        <f t="shared" si="261"/>
        <v/>
      </c>
      <c r="AI965" t="str">
        <f t="shared" si="262"/>
        <v/>
      </c>
      <c r="AJ965" t="str">
        <f t="shared" si="263"/>
        <v/>
      </c>
    </row>
    <row r="966" spans="1:36" x14ac:dyDescent="0.25">
      <c r="A966" t="s">
        <v>757</v>
      </c>
      <c r="P966" t="str">
        <f t="shared" si="264"/>
        <v xml:space="preserve">                </v>
      </c>
      <c r="Q966" t="str">
        <f t="shared" si="264"/>
        <v xml:space="preserve">         </v>
      </c>
      <c r="R966" t="str">
        <f t="shared" si="257"/>
        <v xml:space="preserve">    25.0 </v>
      </c>
      <c r="S966" t="str">
        <f t="shared" si="265"/>
        <v xml:space="preserve">    30.0 </v>
      </c>
      <c r="T966" t="str">
        <f t="shared" si="266"/>
        <v xml:space="preserve">    30.0 </v>
      </c>
      <c r="U966" t="str">
        <f t="shared" si="270"/>
        <v xml:space="preserve">       19.8% </v>
      </c>
      <c r="V966" t="str">
        <f t="shared" si="258"/>
        <v xml:space="preserve">         </v>
      </c>
      <c r="W966" t="str">
        <f t="shared" si="267"/>
        <v xml:space="preserve">         </v>
      </c>
      <c r="X966" t="str">
        <f t="shared" si="271"/>
        <v xml:space="preserve">  1289 </v>
      </c>
      <c r="Y966" t="str">
        <f t="shared" si="271"/>
        <v xml:space="preserve"> SVICEN-RS069 </v>
      </c>
      <c r="Z966" t="str">
        <f t="shared" si="271"/>
        <v xml:space="preserve">  3 </v>
      </c>
      <c r="AA966" t="str">
        <f t="shared" si="259"/>
        <v xml:space="preserve">    -5.0 </v>
      </c>
      <c r="AB966" t="str">
        <f t="shared" si="268"/>
        <v xml:space="preserve">    -2.1 </v>
      </c>
      <c r="AC966" t="str">
        <f t="shared" si="269"/>
        <v xml:space="preserve">     4.9 </v>
      </c>
      <c r="AD966" t="str">
        <f t="shared" si="270"/>
        <v xml:space="preserve">        </v>
      </c>
      <c r="AE966" t="str">
        <f t="shared" si="260"/>
        <v xml:space="preserve">       </v>
      </c>
      <c r="AF966" t="str">
        <f t="shared" si="272"/>
        <v xml:space="preserve">     </v>
      </c>
      <c r="AG966" t="str">
        <f t="shared" si="272"/>
        <v xml:space="preserve">     0.01 </v>
      </c>
      <c r="AH966" t="str">
        <f t="shared" si="261"/>
        <v xml:space="preserve">     0.09 </v>
      </c>
      <c r="AI966" t="str">
        <f t="shared" si="262"/>
        <v xml:space="preserve">       </v>
      </c>
      <c r="AJ966" t="str">
        <f t="shared" si="263"/>
        <v xml:space="preserve">      </v>
      </c>
    </row>
    <row r="967" spans="1:36" x14ac:dyDescent="0.25">
      <c r="A967" t="s">
        <v>14</v>
      </c>
      <c r="P967" t="str">
        <f t="shared" si="264"/>
        <v xml:space="preserve">  ..............</v>
      </c>
      <c r="Q967" t="str">
        <f t="shared" si="264"/>
        <v>.........</v>
      </c>
      <c r="R967" t="str">
        <f t="shared" si="257"/>
        <v>.........</v>
      </c>
      <c r="S967" t="str">
        <f t="shared" si="265"/>
        <v>.........</v>
      </c>
      <c r="T967" t="str">
        <f t="shared" si="266"/>
        <v>.........</v>
      </c>
      <c r="U967" t="str">
        <f t="shared" si="270"/>
        <v>.............</v>
      </c>
      <c r="V967" t="str">
        <f t="shared" si="258"/>
        <v>.........</v>
      </c>
      <c r="W967" t="str">
        <f t="shared" si="267"/>
        <v>.........</v>
      </c>
      <c r="X967" t="str">
        <f t="shared" si="271"/>
        <v>.......</v>
      </c>
      <c r="Y967" t="str">
        <f t="shared" si="271"/>
        <v>..............</v>
      </c>
      <c r="Z967" t="str">
        <f t="shared" si="271"/>
        <v>....</v>
      </c>
      <c r="AA967" t="str">
        <f t="shared" si="259"/>
        <v>.........</v>
      </c>
      <c r="AB967" t="str">
        <f t="shared" si="268"/>
        <v>.........</v>
      </c>
      <c r="AC967" t="str">
        <f t="shared" si="269"/>
        <v>.........</v>
      </c>
      <c r="AD967" t="str">
        <f t="shared" si="270"/>
        <v>........</v>
      </c>
      <c r="AE967" t="str">
        <f t="shared" si="260"/>
        <v>.......</v>
      </c>
      <c r="AF967" t="str">
        <f t="shared" si="272"/>
        <v>.....</v>
      </c>
      <c r="AG967" t="str">
        <f t="shared" si="272"/>
        <v>..........</v>
      </c>
      <c r="AH967" t="str">
        <f t="shared" si="261"/>
        <v>..........</v>
      </c>
      <c r="AI967" t="str">
        <f t="shared" si="262"/>
        <v>.......</v>
      </c>
      <c r="AJ967" t="str">
        <f t="shared" si="263"/>
        <v>.......</v>
      </c>
    </row>
    <row r="968" spans="1:36" x14ac:dyDescent="0.25">
      <c r="A968" t="s">
        <v>758</v>
      </c>
      <c r="P968" t="str">
        <f t="shared" si="264"/>
        <v xml:space="preserve">   9209   23  0 </v>
      </c>
      <c r="Q968" t="str">
        <f t="shared" si="264"/>
        <v xml:space="preserve">   1.052 </v>
      </c>
      <c r="R968" t="str">
        <f t="shared" si="257"/>
        <v xml:space="preserve">     1.9 </v>
      </c>
      <c r="S968" t="str">
        <f t="shared" si="265"/>
        <v xml:space="preserve">     0.0 </v>
      </c>
      <c r="T968" t="str">
        <f t="shared" si="266"/>
        <v xml:space="preserve">    17.8 </v>
      </c>
      <c r="U968" t="str">
        <f t="shared" si="270"/>
        <v xml:space="preserve">         0.0 </v>
      </c>
      <c r="V968" t="str">
        <f t="shared" si="258"/>
        <v xml:space="preserve">     0.0 </v>
      </c>
      <c r="W968" t="str">
        <f t="shared" si="267"/>
        <v xml:space="preserve">     0.0</v>
      </c>
      <c r="X968" t="str">
        <f t="shared" si="271"/>
        <v/>
      </c>
      <c r="Y968" t="str">
        <f t="shared" si="271"/>
        <v/>
      </c>
      <c r="Z968" t="str">
        <f t="shared" si="271"/>
        <v/>
      </c>
      <c r="AA968" t="str">
        <f t="shared" si="259"/>
        <v/>
      </c>
      <c r="AB968" t="str">
        <f t="shared" si="268"/>
        <v/>
      </c>
      <c r="AC968" t="str">
        <f t="shared" si="269"/>
        <v/>
      </c>
      <c r="AD968" t="str">
        <f t="shared" si="270"/>
        <v/>
      </c>
      <c r="AE968" t="str">
        <f t="shared" si="260"/>
        <v/>
      </c>
      <c r="AF968" t="str">
        <f t="shared" si="272"/>
        <v/>
      </c>
      <c r="AG968" t="str">
        <f t="shared" si="272"/>
        <v/>
      </c>
      <c r="AH968" t="str">
        <f t="shared" si="261"/>
        <v/>
      </c>
      <c r="AI968" t="str">
        <f t="shared" si="262"/>
        <v/>
      </c>
      <c r="AJ968" t="str">
        <f t="shared" si="263"/>
        <v/>
      </c>
    </row>
    <row r="969" spans="1:36" x14ac:dyDescent="0.25">
      <c r="A969" t="s">
        <v>759</v>
      </c>
      <c r="P969" t="str">
        <f t="shared" si="264"/>
        <v xml:space="preserve">  SCHARL-RS023  </v>
      </c>
      <c r="Q969" t="str">
        <f t="shared" si="264"/>
        <v xml:space="preserve">   -53.3 </v>
      </c>
      <c r="R969" t="str">
        <f t="shared" si="257"/>
        <v xml:space="preserve">     0.0 </v>
      </c>
      <c r="S969" t="str">
        <f t="shared" si="265"/>
        <v xml:space="preserve">     0.0 </v>
      </c>
      <c r="T969" t="str">
        <f t="shared" si="266"/>
        <v xml:space="preserve">     5.3 </v>
      </c>
      <c r="U969" t="str">
        <f t="shared" si="270"/>
        <v xml:space="preserve">         0.0 </v>
      </c>
      <c r="V969" t="str">
        <f t="shared" si="258"/>
        <v xml:space="preserve">     0.0 </v>
      </c>
      <c r="W969" t="str">
        <f t="shared" si="267"/>
        <v xml:space="preserve">     0.0 </v>
      </c>
      <c r="X969" t="str">
        <f t="shared" si="271"/>
        <v xml:space="preserve">       </v>
      </c>
      <c r="Y969" t="str">
        <f t="shared" si="271"/>
        <v xml:space="preserve">              </v>
      </c>
      <c r="Z969" t="str">
        <f t="shared" si="271"/>
        <v xml:space="preserve">    </v>
      </c>
      <c r="AA969" t="str">
        <f t="shared" si="259"/>
        <v xml:space="preserve">         </v>
      </c>
      <c r="AB969" t="str">
        <f t="shared" si="268"/>
        <v xml:space="preserve">         </v>
      </c>
      <c r="AC969" t="str">
        <f t="shared" si="269"/>
        <v xml:space="preserve">    </v>
      </c>
      <c r="AD969" t="str">
        <f t="shared" si="270"/>
        <v/>
      </c>
      <c r="AE969" t="str">
        <f t="shared" si="260"/>
        <v/>
      </c>
      <c r="AF969" t="str">
        <f t="shared" si="272"/>
        <v/>
      </c>
      <c r="AG969" t="str">
        <f t="shared" si="272"/>
        <v/>
      </c>
      <c r="AH969" t="str">
        <f t="shared" si="261"/>
        <v/>
      </c>
      <c r="AI969" t="str">
        <f t="shared" si="262"/>
        <v/>
      </c>
      <c r="AJ969" t="str">
        <f t="shared" si="263"/>
        <v/>
      </c>
    </row>
    <row r="970" spans="1:36" x14ac:dyDescent="0.25">
      <c r="A970" t="s">
        <v>760</v>
      </c>
      <c r="P970" t="str">
        <f t="shared" si="264"/>
        <v xml:space="preserve">                </v>
      </c>
      <c r="Q970" t="str">
        <f t="shared" si="264"/>
        <v xml:space="preserve">         </v>
      </c>
      <c r="R970" t="str">
        <f t="shared" si="257"/>
        <v xml:space="preserve">    75.0 </v>
      </c>
      <c r="S970" t="str">
        <f t="shared" si="265"/>
        <v xml:space="preserve">    90.0 </v>
      </c>
      <c r="T970" t="str">
        <f t="shared" si="266"/>
        <v xml:space="preserve">    90.0 </v>
      </c>
      <c r="U970" t="str">
        <f t="shared" si="270"/>
        <v xml:space="preserve">       21.3% </v>
      </c>
      <c r="V970" t="str">
        <f t="shared" si="258"/>
        <v xml:space="preserve">         </v>
      </c>
      <c r="W970" t="str">
        <f t="shared" si="267"/>
        <v xml:space="preserve">         </v>
      </c>
      <c r="X970" t="str">
        <f t="shared" si="271"/>
        <v xml:space="preserve"> 41363 </v>
      </c>
      <c r="Y970" t="str">
        <f t="shared" si="271"/>
        <v xml:space="preserve"> SCH--5-RS000 </v>
      </c>
      <c r="Z970" t="str">
        <f t="shared" si="271"/>
        <v xml:space="preserve">  5 </v>
      </c>
      <c r="AA970" t="str">
        <f t="shared" si="259"/>
        <v xml:space="preserve">   -15.9 </v>
      </c>
      <c r="AB970" t="str">
        <f t="shared" si="268"/>
        <v xml:space="preserve">    -5.3 </v>
      </c>
      <c r="AC970" t="str">
        <f t="shared" si="269"/>
        <v xml:space="preserve">    15.9 </v>
      </c>
      <c r="AD970" t="str">
        <f t="shared" si="270"/>
        <v xml:space="preserve"> 1.000F </v>
      </c>
      <c r="AE970" t="str">
        <f t="shared" si="260"/>
        <v xml:space="preserve">       </v>
      </c>
      <c r="AF970" t="str">
        <f t="shared" si="272"/>
        <v xml:space="preserve"> 002 </v>
      </c>
      <c r="AG970" t="str">
        <f t="shared" si="272"/>
        <v xml:space="preserve">     0.00 </v>
      </c>
      <c r="AH970" t="str">
        <f t="shared" si="261"/>
        <v xml:space="preserve">    -0.02 </v>
      </c>
      <c r="AI970" t="str">
        <f t="shared" si="262"/>
        <v xml:space="preserve">       </v>
      </c>
      <c r="AJ970" t="str">
        <f t="shared" si="263"/>
        <v xml:space="preserve">      </v>
      </c>
    </row>
    <row r="971" spans="1:36" x14ac:dyDescent="0.25">
      <c r="A971" t="s">
        <v>14</v>
      </c>
      <c r="P971" t="str">
        <f t="shared" si="264"/>
        <v xml:space="preserve">  ..............</v>
      </c>
      <c r="Q971" t="str">
        <f t="shared" si="264"/>
        <v>.........</v>
      </c>
      <c r="R971" t="str">
        <f t="shared" si="257"/>
        <v>.........</v>
      </c>
      <c r="S971" t="str">
        <f t="shared" si="265"/>
        <v>.........</v>
      </c>
      <c r="T971" t="str">
        <f t="shared" si="266"/>
        <v>.........</v>
      </c>
      <c r="U971" t="str">
        <f t="shared" si="270"/>
        <v>.............</v>
      </c>
      <c r="V971" t="str">
        <f t="shared" si="258"/>
        <v>.........</v>
      </c>
      <c r="W971" t="str">
        <f t="shared" si="267"/>
        <v>.........</v>
      </c>
      <c r="X971" t="str">
        <f t="shared" si="271"/>
        <v>.......</v>
      </c>
      <c r="Y971" t="str">
        <f t="shared" si="271"/>
        <v>..............</v>
      </c>
      <c r="Z971" t="str">
        <f t="shared" si="271"/>
        <v>....</v>
      </c>
      <c r="AA971" t="str">
        <f t="shared" si="259"/>
        <v>.........</v>
      </c>
      <c r="AB971" t="str">
        <f t="shared" si="268"/>
        <v>.........</v>
      </c>
      <c r="AC971" t="str">
        <f t="shared" si="269"/>
        <v>.........</v>
      </c>
      <c r="AD971" t="str">
        <f t="shared" si="270"/>
        <v>........</v>
      </c>
      <c r="AE971" t="str">
        <f t="shared" si="260"/>
        <v>.......</v>
      </c>
      <c r="AF971" t="str">
        <f t="shared" si="272"/>
        <v>.....</v>
      </c>
      <c r="AG971" t="str">
        <f t="shared" si="272"/>
        <v>..........</v>
      </c>
      <c r="AH971" t="str">
        <f t="shared" si="261"/>
        <v>..........</v>
      </c>
      <c r="AI971" t="str">
        <f t="shared" si="262"/>
        <v>.......</v>
      </c>
      <c r="AJ971" t="str">
        <f t="shared" si="263"/>
        <v>.......</v>
      </c>
    </row>
    <row r="972" spans="1:36" x14ac:dyDescent="0.25">
      <c r="A972" t="s">
        <v>761</v>
      </c>
      <c r="P972" t="str">
        <f t="shared" si="264"/>
        <v xml:space="preserve">   9210   14  0 </v>
      </c>
      <c r="Q972" t="str">
        <f t="shared" si="264"/>
        <v xml:space="preserve">   1.097 </v>
      </c>
      <c r="R972" t="str">
        <f t="shared" ref="R972:R1035" si="273">MID($A972,Q$8+Q$9-1,R$9)</f>
        <v xml:space="preserve">     1.6 </v>
      </c>
      <c r="S972" t="str">
        <f t="shared" si="265"/>
        <v xml:space="preserve">     0.0 </v>
      </c>
      <c r="T972" t="str">
        <f t="shared" si="266"/>
        <v xml:space="preserve">     9.7 </v>
      </c>
      <c r="U972" t="str">
        <f t="shared" si="270"/>
        <v xml:space="preserve">         0.0 </v>
      </c>
      <c r="V972" t="str">
        <f t="shared" ref="V972:V1035" si="274">MID($A972,U$8+U$9-1,V$9)</f>
        <v xml:space="preserve">     0.0 </v>
      </c>
      <c r="W972" t="str">
        <f t="shared" si="267"/>
        <v xml:space="preserve">     0.0</v>
      </c>
      <c r="X972" t="str">
        <f t="shared" si="271"/>
        <v/>
      </c>
      <c r="Y972" t="str">
        <f t="shared" si="271"/>
        <v/>
      </c>
      <c r="Z972" t="str">
        <f t="shared" si="271"/>
        <v/>
      </c>
      <c r="AA972" t="str">
        <f t="shared" ref="AA972:AA1035" si="275">MID($A972,Z$8+Z$9-1,AA$9)</f>
        <v/>
      </c>
      <c r="AB972" t="str">
        <f t="shared" si="268"/>
        <v/>
      </c>
      <c r="AC972" t="str">
        <f t="shared" si="269"/>
        <v/>
      </c>
      <c r="AD972" t="str">
        <f t="shared" si="270"/>
        <v/>
      </c>
      <c r="AE972" t="str">
        <f t="shared" ref="AE972:AE1035" si="276">MID($A972,AD$8+AD$9-1,AE$9)</f>
        <v/>
      </c>
      <c r="AF972" t="str">
        <f t="shared" si="272"/>
        <v/>
      </c>
      <c r="AG972" t="str">
        <f t="shared" si="272"/>
        <v/>
      </c>
      <c r="AH972" t="str">
        <f t="shared" ref="AH972:AH1035" si="277">MID($A972,AG$8+AG$9-1,AH$9)</f>
        <v/>
      </c>
      <c r="AI972" t="str">
        <f t="shared" si="262"/>
        <v/>
      </c>
      <c r="AJ972" t="str">
        <f t="shared" si="263"/>
        <v/>
      </c>
    </row>
    <row r="973" spans="1:36" x14ac:dyDescent="0.25">
      <c r="A973" t="s">
        <v>762</v>
      </c>
      <c r="P973" t="str">
        <f t="shared" si="264"/>
        <v xml:space="preserve">  VAIT34-RS013  </v>
      </c>
      <c r="Q973" t="str">
        <f t="shared" si="264"/>
        <v xml:space="preserve">   -56.2 </v>
      </c>
      <c r="R973" t="str">
        <f t="shared" si="273"/>
        <v xml:space="preserve">     0.0 </v>
      </c>
      <c r="S973" t="str">
        <f t="shared" si="265"/>
        <v xml:space="preserve">     0.0 </v>
      </c>
      <c r="T973" t="str">
        <f t="shared" si="266"/>
        <v xml:space="preserve">     3.2 </v>
      </c>
      <c r="U973" t="str">
        <f t="shared" si="270"/>
        <v xml:space="preserve">         0.0 </v>
      </c>
      <c r="V973" t="str">
        <f t="shared" si="274"/>
        <v xml:space="preserve">     0.0 </v>
      </c>
      <c r="W973" t="str">
        <f t="shared" si="267"/>
        <v xml:space="preserve">     0.0 </v>
      </c>
      <c r="X973" t="str">
        <f t="shared" si="271"/>
        <v xml:space="preserve">       </v>
      </c>
      <c r="Y973" t="str">
        <f t="shared" si="271"/>
        <v xml:space="preserve">              </v>
      </c>
      <c r="Z973" t="str">
        <f t="shared" si="271"/>
        <v xml:space="preserve">    </v>
      </c>
      <c r="AA973" t="str">
        <f t="shared" si="275"/>
        <v xml:space="preserve">         </v>
      </c>
      <c r="AB973" t="str">
        <f t="shared" si="268"/>
        <v xml:space="preserve">         </v>
      </c>
      <c r="AC973" t="str">
        <f t="shared" si="269"/>
        <v xml:space="preserve">    </v>
      </c>
      <c r="AD973" t="str">
        <f t="shared" si="270"/>
        <v/>
      </c>
      <c r="AE973" t="str">
        <f t="shared" si="276"/>
        <v/>
      </c>
      <c r="AF973" t="str">
        <f t="shared" si="272"/>
        <v/>
      </c>
      <c r="AG973" t="str">
        <f t="shared" si="272"/>
        <v/>
      </c>
      <c r="AH973" t="str">
        <f t="shared" si="277"/>
        <v/>
      </c>
      <c r="AI973" t="str">
        <f t="shared" si="262"/>
        <v/>
      </c>
      <c r="AJ973" t="str">
        <f t="shared" si="263"/>
        <v/>
      </c>
    </row>
    <row r="974" spans="1:36" x14ac:dyDescent="0.25">
      <c r="A974" t="s">
        <v>763</v>
      </c>
      <c r="P974" t="str">
        <f t="shared" si="264"/>
        <v xml:space="preserve">                </v>
      </c>
      <c r="Q974" t="str">
        <f t="shared" si="264"/>
        <v xml:space="preserve">         </v>
      </c>
      <c r="R974" t="str">
        <f t="shared" si="273"/>
        <v xml:space="preserve">    25.0 </v>
      </c>
      <c r="S974" t="str">
        <f t="shared" si="265"/>
        <v xml:space="preserve">    30.0 </v>
      </c>
      <c r="T974" t="str">
        <f t="shared" si="266"/>
        <v xml:space="preserve">    30.0 </v>
      </c>
      <c r="U974" t="str">
        <f t="shared" si="270"/>
        <v xml:space="preserve">       31.8% </v>
      </c>
      <c r="V974" t="str">
        <f t="shared" si="274"/>
        <v xml:space="preserve">         </v>
      </c>
      <c r="W974" t="str">
        <f t="shared" si="267"/>
        <v xml:space="preserve">         </v>
      </c>
      <c r="X974" t="str">
        <f t="shared" si="271"/>
        <v xml:space="preserve">  1298 </v>
      </c>
      <c r="Y974" t="str">
        <f t="shared" si="271"/>
        <v xml:space="preserve"> VENAIR-RS069 </v>
      </c>
      <c r="Z974" t="str">
        <f t="shared" si="271"/>
        <v xml:space="preserve">  1 </v>
      </c>
      <c r="AA974" t="str">
        <f t="shared" si="275"/>
        <v xml:space="preserve">    -8.1 </v>
      </c>
      <c r="AB974" t="str">
        <f t="shared" si="268"/>
        <v xml:space="preserve">    -3.2 </v>
      </c>
      <c r="AC974" t="str">
        <f t="shared" si="269"/>
        <v xml:space="preserve">     7.9 </v>
      </c>
      <c r="AD974" t="str">
        <f t="shared" si="270"/>
        <v xml:space="preserve">        </v>
      </c>
      <c r="AE974" t="str">
        <f t="shared" si="276"/>
        <v xml:space="preserve">       </v>
      </c>
      <c r="AF974" t="str">
        <f t="shared" si="272"/>
        <v xml:space="preserve">     </v>
      </c>
      <c r="AG974" t="str">
        <f t="shared" si="272"/>
        <v xml:space="preserve">     0.01 </v>
      </c>
      <c r="AH974" t="str">
        <f t="shared" si="277"/>
        <v xml:space="preserve">     0.23 </v>
      </c>
      <c r="AI974" t="str">
        <f t="shared" si="262"/>
        <v xml:space="preserve">       </v>
      </c>
      <c r="AJ974" t="str">
        <f t="shared" si="263"/>
        <v xml:space="preserve">      </v>
      </c>
    </row>
    <row r="975" spans="1:36" x14ac:dyDescent="0.25">
      <c r="A975" t="s">
        <v>14</v>
      </c>
      <c r="P975" t="str">
        <f t="shared" si="264"/>
        <v xml:space="preserve">  ..............</v>
      </c>
      <c r="Q975" t="str">
        <f t="shared" si="264"/>
        <v>.........</v>
      </c>
      <c r="R975" t="str">
        <f t="shared" si="273"/>
        <v>.........</v>
      </c>
      <c r="S975" t="str">
        <f t="shared" si="265"/>
        <v>.........</v>
      </c>
      <c r="T975" t="str">
        <f t="shared" si="266"/>
        <v>.........</v>
      </c>
      <c r="U975" t="str">
        <f t="shared" si="270"/>
        <v>.............</v>
      </c>
      <c r="V975" t="str">
        <f t="shared" si="274"/>
        <v>.........</v>
      </c>
      <c r="W975" t="str">
        <f t="shared" si="267"/>
        <v>.........</v>
      </c>
      <c r="X975" t="str">
        <f t="shared" si="271"/>
        <v>.......</v>
      </c>
      <c r="Y975" t="str">
        <f t="shared" si="271"/>
        <v>..............</v>
      </c>
      <c r="Z975" t="str">
        <f t="shared" si="271"/>
        <v>....</v>
      </c>
      <c r="AA975" t="str">
        <f t="shared" si="275"/>
        <v>.........</v>
      </c>
      <c r="AB975" t="str">
        <f t="shared" si="268"/>
        <v>.........</v>
      </c>
      <c r="AC975" t="str">
        <f t="shared" si="269"/>
        <v>.........</v>
      </c>
      <c r="AD975" t="str">
        <f t="shared" si="270"/>
        <v>........</v>
      </c>
      <c r="AE975" t="str">
        <f t="shared" si="276"/>
        <v>.......</v>
      </c>
      <c r="AF975" t="str">
        <f t="shared" si="272"/>
        <v>.....</v>
      </c>
      <c r="AG975" t="str">
        <f t="shared" si="272"/>
        <v>..........</v>
      </c>
      <c r="AH975" t="str">
        <f t="shared" si="277"/>
        <v>..........</v>
      </c>
      <c r="AI975" t="str">
        <f t="shared" si="262"/>
        <v>.......</v>
      </c>
      <c r="AJ975" t="str">
        <f t="shared" si="263"/>
        <v>.......</v>
      </c>
    </row>
    <row r="976" spans="1:36" x14ac:dyDescent="0.25">
      <c r="A976" t="s">
        <v>764</v>
      </c>
      <c r="P976" t="str">
        <f t="shared" si="264"/>
        <v xml:space="preserve">   9211   14  0 </v>
      </c>
      <c r="Q976" t="str">
        <f t="shared" si="264"/>
        <v xml:space="preserve">   1.111 </v>
      </c>
      <c r="R976" t="str">
        <f t="shared" si="273"/>
        <v xml:space="preserve">     2.8 </v>
      </c>
      <c r="S976" t="str">
        <f t="shared" si="265"/>
        <v xml:space="preserve">     0.0 </v>
      </c>
      <c r="T976" t="str">
        <f t="shared" si="266"/>
        <v xml:space="preserve">    14.6 </v>
      </c>
      <c r="U976" t="str">
        <f t="shared" si="270"/>
        <v xml:space="preserve">         0.0 </v>
      </c>
      <c r="V976" t="str">
        <f t="shared" si="274"/>
        <v xml:space="preserve">     0.0 </v>
      </c>
      <c r="W976" t="str">
        <f t="shared" si="267"/>
        <v xml:space="preserve">     0.0</v>
      </c>
      <c r="X976" t="str">
        <f t="shared" si="271"/>
        <v/>
      </c>
      <c r="Y976" t="str">
        <f t="shared" si="271"/>
        <v/>
      </c>
      <c r="Z976" t="str">
        <f t="shared" si="271"/>
        <v/>
      </c>
      <c r="AA976" t="str">
        <f t="shared" si="275"/>
        <v/>
      </c>
      <c r="AB976" t="str">
        <f t="shared" si="268"/>
        <v/>
      </c>
      <c r="AC976" t="str">
        <f t="shared" si="269"/>
        <v/>
      </c>
      <c r="AD976" t="str">
        <f t="shared" si="270"/>
        <v/>
      </c>
      <c r="AE976" t="str">
        <f t="shared" si="276"/>
        <v/>
      </c>
      <c r="AF976" t="str">
        <f t="shared" si="272"/>
        <v/>
      </c>
      <c r="AG976" t="str">
        <f t="shared" si="272"/>
        <v/>
      </c>
      <c r="AH976" t="str">
        <f t="shared" si="277"/>
        <v/>
      </c>
      <c r="AI976" t="str">
        <f t="shared" si="262"/>
        <v/>
      </c>
      <c r="AJ976" t="str">
        <f t="shared" si="263"/>
        <v/>
      </c>
    </row>
    <row r="977" spans="1:36" x14ac:dyDescent="0.25">
      <c r="A977" t="s">
        <v>765</v>
      </c>
      <c r="P977" t="str">
        <f t="shared" si="264"/>
        <v xml:space="preserve">  VAIRT5-RS013  </v>
      </c>
      <c r="Q977" t="str">
        <f t="shared" si="264"/>
        <v xml:space="preserve">   -56.7 </v>
      </c>
      <c r="R977" t="str">
        <f t="shared" si="273"/>
        <v xml:space="preserve">     0.0 </v>
      </c>
      <c r="S977" t="str">
        <f t="shared" si="265"/>
        <v xml:space="preserve">     0.0 </v>
      </c>
      <c r="T977" t="str">
        <f t="shared" si="266"/>
        <v xml:space="preserve">     4.9 </v>
      </c>
      <c r="U977" t="str">
        <f t="shared" si="270"/>
        <v xml:space="preserve">         0.0 </v>
      </c>
      <c r="V977" t="str">
        <f t="shared" si="274"/>
        <v xml:space="preserve">     0.0 </v>
      </c>
      <c r="W977" t="str">
        <f t="shared" si="267"/>
        <v xml:space="preserve">     0.0 </v>
      </c>
      <c r="X977" t="str">
        <f t="shared" si="271"/>
        <v xml:space="preserve">       </v>
      </c>
      <c r="Y977" t="str">
        <f t="shared" si="271"/>
        <v xml:space="preserve">              </v>
      </c>
      <c r="Z977" t="str">
        <f t="shared" si="271"/>
        <v xml:space="preserve">    </v>
      </c>
      <c r="AA977" t="str">
        <f t="shared" si="275"/>
        <v xml:space="preserve">         </v>
      </c>
      <c r="AB977" t="str">
        <f t="shared" si="268"/>
        <v xml:space="preserve">         </v>
      </c>
      <c r="AC977" t="str">
        <f t="shared" si="269"/>
        <v xml:space="preserve">    </v>
      </c>
      <c r="AD977" t="str">
        <f t="shared" si="270"/>
        <v/>
      </c>
      <c r="AE977" t="str">
        <f t="shared" si="276"/>
        <v/>
      </c>
      <c r="AF977" t="str">
        <f t="shared" si="272"/>
        <v/>
      </c>
      <c r="AG977" t="str">
        <f t="shared" si="272"/>
        <v/>
      </c>
      <c r="AH977" t="str">
        <f t="shared" si="277"/>
        <v/>
      </c>
      <c r="AI977" t="str">
        <f t="shared" si="262"/>
        <v/>
      </c>
      <c r="AJ977" t="str">
        <f t="shared" si="263"/>
        <v/>
      </c>
    </row>
    <row r="978" spans="1:36" x14ac:dyDescent="0.25">
      <c r="A978" t="s">
        <v>766</v>
      </c>
      <c r="P978" t="str">
        <f t="shared" si="264"/>
        <v xml:space="preserve">                </v>
      </c>
      <c r="Q978" t="str">
        <f t="shared" si="264"/>
        <v xml:space="preserve">         </v>
      </c>
      <c r="R978" t="str">
        <f t="shared" si="273"/>
        <v xml:space="preserve">    25.0 </v>
      </c>
      <c r="S978" t="str">
        <f t="shared" si="265"/>
        <v xml:space="preserve">    37.0 </v>
      </c>
      <c r="T978" t="str">
        <f t="shared" si="266"/>
        <v xml:space="preserve">    37.0 </v>
      </c>
      <c r="U978" t="str">
        <f t="shared" si="270"/>
        <v xml:space="preserve">       46.0% </v>
      </c>
      <c r="V978" t="str">
        <f t="shared" si="274"/>
        <v xml:space="preserve">         </v>
      </c>
      <c r="W978" t="str">
        <f t="shared" si="267"/>
        <v xml:space="preserve">         </v>
      </c>
      <c r="X978" t="str">
        <f t="shared" si="271"/>
        <v xml:space="preserve">  1298 </v>
      </c>
      <c r="Y978" t="str">
        <f t="shared" si="271"/>
        <v xml:space="preserve"> VENAIR-RS069 </v>
      </c>
      <c r="Z978" t="str">
        <f t="shared" si="271"/>
        <v xml:space="preserve">  1 </v>
      </c>
      <c r="AA978" t="str">
        <f t="shared" si="275"/>
        <v xml:space="preserve">   -11.8 </v>
      </c>
      <c r="AB978" t="str">
        <f t="shared" si="268"/>
        <v xml:space="preserve">    -4.9 </v>
      </c>
      <c r="AC978" t="str">
        <f t="shared" si="269"/>
        <v xml:space="preserve">    11.5 </v>
      </c>
      <c r="AD978" t="str">
        <f t="shared" si="270"/>
        <v xml:space="preserve">        </v>
      </c>
      <c r="AE978" t="str">
        <f t="shared" si="276"/>
        <v xml:space="preserve">       </v>
      </c>
      <c r="AF978" t="str">
        <f t="shared" si="272"/>
        <v xml:space="preserve">     </v>
      </c>
      <c r="AG978" t="str">
        <f t="shared" si="272"/>
        <v xml:space="preserve">     0.02 </v>
      </c>
      <c r="AH978" t="str">
        <f t="shared" si="277"/>
        <v xml:space="preserve">     0.49 </v>
      </c>
      <c r="AI978" t="str">
        <f t="shared" si="262"/>
        <v xml:space="preserve">       </v>
      </c>
      <c r="AJ978" t="str">
        <f t="shared" si="263"/>
        <v xml:space="preserve">      </v>
      </c>
    </row>
    <row r="979" spans="1:36" x14ac:dyDescent="0.25">
      <c r="A979" t="s">
        <v>14</v>
      </c>
      <c r="P979" t="str">
        <f t="shared" si="264"/>
        <v xml:space="preserve">  ..............</v>
      </c>
      <c r="Q979" t="str">
        <f t="shared" si="264"/>
        <v>.........</v>
      </c>
      <c r="R979" t="str">
        <f t="shared" si="273"/>
        <v>.........</v>
      </c>
      <c r="S979" t="str">
        <f t="shared" si="265"/>
        <v>.........</v>
      </c>
      <c r="T979" t="str">
        <f t="shared" si="266"/>
        <v>.........</v>
      </c>
      <c r="U979" t="str">
        <f t="shared" si="270"/>
        <v>.............</v>
      </c>
      <c r="V979" t="str">
        <f t="shared" si="274"/>
        <v>.........</v>
      </c>
      <c r="W979" t="str">
        <f t="shared" si="267"/>
        <v>.........</v>
      </c>
      <c r="X979" t="str">
        <f t="shared" si="271"/>
        <v>.......</v>
      </c>
      <c r="Y979" t="str">
        <f t="shared" si="271"/>
        <v>..............</v>
      </c>
      <c r="Z979" t="str">
        <f t="shared" si="271"/>
        <v>....</v>
      </c>
      <c r="AA979" t="str">
        <f t="shared" si="275"/>
        <v>.........</v>
      </c>
      <c r="AB979" t="str">
        <f t="shared" si="268"/>
        <v>.........</v>
      </c>
      <c r="AC979" t="str">
        <f t="shared" si="269"/>
        <v>.........</v>
      </c>
      <c r="AD979" t="str">
        <f t="shared" si="270"/>
        <v>........</v>
      </c>
      <c r="AE979" t="str">
        <f t="shared" si="276"/>
        <v>.......</v>
      </c>
      <c r="AF979" t="str">
        <f t="shared" si="272"/>
        <v>.....</v>
      </c>
      <c r="AG979" t="str">
        <f t="shared" si="272"/>
        <v>..........</v>
      </c>
      <c r="AH979" t="str">
        <f t="shared" si="277"/>
        <v>..........</v>
      </c>
      <c r="AI979" t="str">
        <f t="shared" si="262"/>
        <v>.......</v>
      </c>
      <c r="AJ979" t="str">
        <f t="shared" si="263"/>
        <v>.......</v>
      </c>
    </row>
    <row r="980" spans="1:36" x14ac:dyDescent="0.25">
      <c r="A980" t="s">
        <v>767</v>
      </c>
      <c r="P980" t="str">
        <f t="shared" si="264"/>
        <v xml:space="preserve">   9214  138  0 </v>
      </c>
      <c r="Q980" t="str">
        <f t="shared" si="264"/>
        <v xml:space="preserve">   1.015 </v>
      </c>
      <c r="R980" t="str">
        <f t="shared" si="273"/>
        <v xml:space="preserve">     3.8 </v>
      </c>
      <c r="S980" t="str">
        <f t="shared" si="265"/>
        <v xml:space="preserve">     0.0 </v>
      </c>
      <c r="T980" t="str">
        <f t="shared" si="266"/>
        <v xml:space="preserve">    47.9 </v>
      </c>
      <c r="U980" t="str">
        <f t="shared" si="270"/>
        <v xml:space="preserve">         0.0 </v>
      </c>
      <c r="V980" t="str">
        <f t="shared" si="274"/>
        <v xml:space="preserve">     3.7 </v>
      </c>
      <c r="W980" t="str">
        <f t="shared" si="267"/>
        <v xml:space="preserve">     0.0</v>
      </c>
      <c r="X980" t="str">
        <f t="shared" si="271"/>
        <v/>
      </c>
      <c r="Y980" t="str">
        <f t="shared" si="271"/>
        <v/>
      </c>
      <c r="Z980" t="str">
        <f t="shared" si="271"/>
        <v/>
      </c>
      <c r="AA980" t="str">
        <f t="shared" si="275"/>
        <v/>
      </c>
      <c r="AB980" t="str">
        <f t="shared" si="268"/>
        <v/>
      </c>
      <c r="AC980" t="str">
        <f t="shared" si="269"/>
        <v/>
      </c>
      <c r="AD980" t="str">
        <f t="shared" si="270"/>
        <v/>
      </c>
      <c r="AE980" t="str">
        <f t="shared" si="276"/>
        <v/>
      </c>
      <c r="AF980" t="str">
        <f t="shared" si="272"/>
        <v/>
      </c>
      <c r="AG980" t="str">
        <f t="shared" si="272"/>
        <v/>
      </c>
      <c r="AH980" t="str">
        <f t="shared" si="277"/>
        <v/>
      </c>
      <c r="AI980" t="str">
        <f t="shared" si="262"/>
        <v/>
      </c>
      <c r="AJ980" t="str">
        <f t="shared" si="263"/>
        <v/>
      </c>
    </row>
    <row r="981" spans="1:36" x14ac:dyDescent="0.25">
      <c r="A981" t="s">
        <v>768</v>
      </c>
      <c r="P981" t="str">
        <f t="shared" si="264"/>
        <v xml:space="preserve">  CANOA3-RS138  </v>
      </c>
      <c r="Q981" t="str">
        <f t="shared" si="264"/>
        <v xml:space="preserve">   -52.5 </v>
      </c>
      <c r="R981" t="str">
        <f t="shared" si="273"/>
        <v xml:space="preserve">     0.0 </v>
      </c>
      <c r="S981" t="str">
        <f t="shared" si="265"/>
        <v xml:space="preserve">     0.0 </v>
      </c>
      <c r="T981" t="str">
        <f t="shared" si="266"/>
        <v xml:space="preserve">    26.4 </v>
      </c>
      <c r="U981" t="str">
        <f t="shared" si="270"/>
        <v xml:space="preserve">         0.0 </v>
      </c>
      <c r="V981" t="str">
        <f t="shared" si="274"/>
        <v xml:space="preserve">     0.0 </v>
      </c>
      <c r="W981" t="str">
        <f t="shared" si="267"/>
        <v xml:space="preserve">     0.0 </v>
      </c>
      <c r="X981" t="str">
        <f t="shared" si="271"/>
        <v xml:space="preserve">       </v>
      </c>
      <c r="Y981" t="str">
        <f t="shared" si="271"/>
        <v xml:space="preserve">              </v>
      </c>
      <c r="Z981" t="str">
        <f t="shared" si="271"/>
        <v xml:space="preserve">    </v>
      </c>
      <c r="AA981" t="str">
        <f t="shared" si="275"/>
        <v xml:space="preserve">         </v>
      </c>
      <c r="AB981" t="str">
        <f t="shared" si="268"/>
        <v xml:space="preserve">         </v>
      </c>
      <c r="AC981" t="str">
        <f t="shared" si="269"/>
        <v xml:space="preserve">    </v>
      </c>
      <c r="AD981" t="str">
        <f t="shared" si="270"/>
        <v/>
      </c>
      <c r="AE981" t="str">
        <f t="shared" si="276"/>
        <v/>
      </c>
      <c r="AF981" t="str">
        <f t="shared" si="272"/>
        <v/>
      </c>
      <c r="AG981" t="str">
        <f t="shared" si="272"/>
        <v/>
      </c>
      <c r="AH981" t="str">
        <f t="shared" si="277"/>
        <v/>
      </c>
      <c r="AI981" t="str">
        <f t="shared" si="262"/>
        <v/>
      </c>
      <c r="AJ981" t="str">
        <f t="shared" si="263"/>
        <v/>
      </c>
    </row>
    <row r="982" spans="1:36" x14ac:dyDescent="0.25">
      <c r="A982" t="s">
        <v>769</v>
      </c>
      <c r="P982" t="str">
        <f t="shared" si="264"/>
        <v xml:space="preserve">                </v>
      </c>
      <c r="Q982" t="str">
        <f t="shared" si="264"/>
        <v xml:space="preserve">         </v>
      </c>
      <c r="R982" t="str">
        <f t="shared" si="273"/>
        <v xml:space="preserve">   143.0 </v>
      </c>
      <c r="S982" t="str">
        <f t="shared" si="265"/>
        <v xml:space="preserve">   167.0 </v>
      </c>
      <c r="T982" t="str">
        <f t="shared" si="266"/>
        <v xml:space="preserve">   167.0 </v>
      </c>
      <c r="U982" t="str">
        <f t="shared" si="270"/>
        <v xml:space="preserve">       34.2% </v>
      </c>
      <c r="V982" t="str">
        <f t="shared" si="274"/>
        <v xml:space="preserve">         </v>
      </c>
      <c r="W982" t="str">
        <f t="shared" si="267"/>
        <v xml:space="preserve">         </v>
      </c>
      <c r="X982" t="str">
        <f t="shared" si="271"/>
        <v xml:space="preserve">  1257 </v>
      </c>
      <c r="Y982" t="str">
        <f t="shared" si="271"/>
        <v xml:space="preserve"> CINPAL-RS138 </v>
      </c>
      <c r="Z982" t="str">
        <f t="shared" si="271"/>
        <v xml:space="preserve">  1 </v>
      </c>
      <c r="AA982" t="str">
        <f t="shared" si="275"/>
        <v xml:space="preserve">   -44.1 </v>
      </c>
      <c r="AB982" t="str">
        <f t="shared" si="268"/>
        <v xml:space="preserve">   -22.7 </v>
      </c>
      <c r="AC982" t="str">
        <f t="shared" si="269"/>
        <v xml:space="preserve">    48.9 </v>
      </c>
      <c r="AD982" t="str">
        <f t="shared" si="270"/>
        <v xml:space="preserve">        </v>
      </c>
      <c r="AE982" t="str">
        <f t="shared" si="276"/>
        <v xml:space="preserve">       </v>
      </c>
      <c r="AF982" t="str">
        <f t="shared" si="272"/>
        <v xml:space="preserve">     </v>
      </c>
      <c r="AG982" t="str">
        <f t="shared" si="272"/>
        <v xml:space="preserve">     0.07 </v>
      </c>
      <c r="AH982" t="str">
        <f t="shared" si="277"/>
        <v xml:space="preserve">    -0.04 </v>
      </c>
      <c r="AI982" t="str">
        <f t="shared" si="262"/>
        <v xml:space="preserve">       </v>
      </c>
      <c r="AJ982" t="str">
        <f t="shared" si="263"/>
        <v xml:space="preserve">      </v>
      </c>
    </row>
    <row r="983" spans="1:36" x14ac:dyDescent="0.25">
      <c r="A983" t="s">
        <v>770</v>
      </c>
      <c r="P983" t="str">
        <f t="shared" si="264"/>
        <v xml:space="preserve">              DE</v>
      </c>
      <c r="Q983" t="str">
        <f t="shared" si="264"/>
        <v xml:space="preserve">ESLIGADO </v>
      </c>
      <c r="R983" t="str">
        <f t="shared" si="273"/>
        <v xml:space="preserve">   108.0 </v>
      </c>
      <c r="S983" t="str">
        <f t="shared" si="265"/>
        <v xml:space="preserve">   108.0 </v>
      </c>
      <c r="T983" t="str">
        <f t="shared" si="266"/>
        <v xml:space="preserve">   108.0 </v>
      </c>
      <c r="U983" t="str">
        <f t="shared" si="270"/>
        <v xml:space="preserve">             </v>
      </c>
      <c r="V983" t="str">
        <f t="shared" si="274"/>
        <v xml:space="preserve">         </v>
      </c>
      <c r="W983" t="str">
        <f t="shared" si="267"/>
        <v xml:space="preserve">         </v>
      </c>
      <c r="X983" t="str">
        <f t="shared" si="271"/>
        <v xml:space="preserve">  9305 </v>
      </c>
      <c r="Y983" t="str">
        <f t="shared" si="271"/>
        <v xml:space="preserve"> CACHO3-RS138 </v>
      </c>
      <c r="Z983" t="str">
        <f t="shared" si="271"/>
        <v xml:space="preserve">  1 </v>
      </c>
      <c r="AA983" t="str">
        <f t="shared" si="275"/>
        <v xml:space="preserve">     0.0 </v>
      </c>
      <c r="AB983" t="str">
        <f t="shared" si="268"/>
        <v xml:space="preserve">     0.0 </v>
      </c>
      <c r="AC983" t="str">
        <f t="shared" si="269"/>
        <v xml:space="preserve">     0.0 </v>
      </c>
      <c r="AD983" t="str">
        <f t="shared" si="270"/>
        <v xml:space="preserve">        </v>
      </c>
      <c r="AE983" t="str">
        <f t="shared" si="276"/>
        <v xml:space="preserve">       </v>
      </c>
      <c r="AF983" t="str">
        <f t="shared" si="272"/>
        <v xml:space="preserve">     </v>
      </c>
      <c r="AG983" t="str">
        <f t="shared" si="272"/>
        <v xml:space="preserve">     0.00 </v>
      </c>
      <c r="AH983" t="str">
        <f t="shared" si="277"/>
        <v xml:space="preserve">     0.00 </v>
      </c>
      <c r="AI983" t="str">
        <f t="shared" ref="AI983:AI1046" si="278">MID($A983,AG$8+AG$9+AH$9-2,AI$9)</f>
        <v xml:space="preserve">       </v>
      </c>
      <c r="AJ983" t="str">
        <f t="shared" ref="AJ983:AJ1046" si="279">MID($A983,AG$8+AG$9+AH$9+AI$9-3,AJ$9)</f>
        <v xml:space="preserve">      </v>
      </c>
    </row>
    <row r="984" spans="1:36" x14ac:dyDescent="0.25">
      <c r="A984" t="s">
        <v>14</v>
      </c>
      <c r="P984" t="str">
        <f t="shared" si="264"/>
        <v xml:space="preserve">  ..............</v>
      </c>
      <c r="Q984" t="str">
        <f t="shared" si="264"/>
        <v>.........</v>
      </c>
      <c r="R984" t="str">
        <f t="shared" si="273"/>
        <v>.........</v>
      </c>
      <c r="S984" t="str">
        <f t="shared" si="265"/>
        <v>.........</v>
      </c>
      <c r="T984" t="str">
        <f t="shared" si="266"/>
        <v>.........</v>
      </c>
      <c r="U984" t="str">
        <f t="shared" si="270"/>
        <v>.............</v>
      </c>
      <c r="V984" t="str">
        <f t="shared" si="274"/>
        <v>.........</v>
      </c>
      <c r="W984" t="str">
        <f t="shared" si="267"/>
        <v>.........</v>
      </c>
      <c r="X984" t="str">
        <f t="shared" si="271"/>
        <v>.......</v>
      </c>
      <c r="Y984" t="str">
        <f t="shared" si="271"/>
        <v>..............</v>
      </c>
      <c r="Z984" t="str">
        <f t="shared" si="271"/>
        <v>....</v>
      </c>
      <c r="AA984" t="str">
        <f t="shared" si="275"/>
        <v>.........</v>
      </c>
      <c r="AB984" t="str">
        <f t="shared" si="268"/>
        <v>.........</v>
      </c>
      <c r="AC984" t="str">
        <f t="shared" si="269"/>
        <v>.........</v>
      </c>
      <c r="AD984" t="str">
        <f t="shared" si="270"/>
        <v>........</v>
      </c>
      <c r="AE984" t="str">
        <f t="shared" si="276"/>
        <v>.......</v>
      </c>
      <c r="AF984" t="str">
        <f t="shared" si="272"/>
        <v>.....</v>
      </c>
      <c r="AG984" t="str">
        <f t="shared" si="272"/>
        <v>..........</v>
      </c>
      <c r="AH984" t="str">
        <f t="shared" si="277"/>
        <v>..........</v>
      </c>
      <c r="AI984" t="str">
        <f t="shared" si="278"/>
        <v>.......</v>
      </c>
      <c r="AJ984" t="str">
        <f t="shared" si="279"/>
        <v>.......</v>
      </c>
    </row>
    <row r="985" spans="1:36" x14ac:dyDescent="0.25">
      <c r="A985" t="s">
        <v>771</v>
      </c>
      <c r="P985" t="str">
        <f t="shared" si="264"/>
        <v xml:space="preserve">   9215  138  0 </v>
      </c>
      <c r="Q985" t="str">
        <f t="shared" si="264"/>
        <v xml:space="preserve">   1.015 </v>
      </c>
      <c r="R985" t="str">
        <f t="shared" si="273"/>
        <v xml:space="preserve">     4.7 </v>
      </c>
      <c r="S985" t="str">
        <f t="shared" si="265"/>
        <v xml:space="preserve">     0.0 </v>
      </c>
      <c r="T985" t="str">
        <f t="shared" si="266"/>
        <v xml:space="preserve">    46.6 </v>
      </c>
      <c r="U985" t="str">
        <f t="shared" si="270"/>
        <v xml:space="preserve">         0.0 </v>
      </c>
      <c r="V985" t="str">
        <f t="shared" si="274"/>
        <v xml:space="preserve">     5.6 </v>
      </c>
      <c r="W985" t="str">
        <f t="shared" si="267"/>
        <v xml:space="preserve">     0.0</v>
      </c>
      <c r="X985" t="str">
        <f t="shared" si="271"/>
        <v/>
      </c>
      <c r="Y985" t="str">
        <f t="shared" si="271"/>
        <v/>
      </c>
      <c r="Z985" t="str">
        <f t="shared" si="271"/>
        <v/>
      </c>
      <c r="AA985" t="str">
        <f t="shared" si="275"/>
        <v/>
      </c>
      <c r="AB985" t="str">
        <f t="shared" si="268"/>
        <v/>
      </c>
      <c r="AC985" t="str">
        <f t="shared" si="269"/>
        <v/>
      </c>
      <c r="AD985" t="str">
        <f t="shared" si="270"/>
        <v/>
      </c>
      <c r="AE985" t="str">
        <f t="shared" si="276"/>
        <v/>
      </c>
      <c r="AF985" t="str">
        <f t="shared" si="272"/>
        <v/>
      </c>
      <c r="AG985" t="str">
        <f t="shared" si="272"/>
        <v/>
      </c>
      <c r="AH985" t="str">
        <f t="shared" si="277"/>
        <v/>
      </c>
      <c r="AI985" t="str">
        <f t="shared" si="278"/>
        <v/>
      </c>
      <c r="AJ985" t="str">
        <f t="shared" si="279"/>
        <v/>
      </c>
    </row>
    <row r="986" spans="1:36" x14ac:dyDescent="0.25">
      <c r="A986" t="s">
        <v>772</v>
      </c>
      <c r="P986" t="str">
        <f t="shared" si="264"/>
        <v xml:space="preserve">  NHAMB2-RS138  </v>
      </c>
      <c r="Q986" t="str">
        <f t="shared" si="264"/>
        <v xml:space="preserve">   -53.2 </v>
      </c>
      <c r="R986" t="str">
        <f t="shared" si="273"/>
        <v xml:space="preserve">     0.0 </v>
      </c>
      <c r="S986" t="str">
        <f t="shared" si="265"/>
        <v xml:space="preserve">     0.0 </v>
      </c>
      <c r="T986" t="str">
        <f t="shared" si="266"/>
        <v xml:space="preserve">    16.3 </v>
      </c>
      <c r="U986" t="str">
        <f t="shared" si="270"/>
        <v xml:space="preserve">         0.0 </v>
      </c>
      <c r="V986" t="str">
        <f t="shared" si="274"/>
        <v xml:space="preserve">     0.0 </v>
      </c>
      <c r="W986" t="str">
        <f t="shared" si="267"/>
        <v xml:space="preserve">     0.0 </v>
      </c>
      <c r="X986" t="str">
        <f t="shared" si="271"/>
        <v xml:space="preserve">       </v>
      </c>
      <c r="Y986" t="str">
        <f t="shared" si="271"/>
        <v xml:space="preserve">              </v>
      </c>
      <c r="Z986" t="str">
        <f t="shared" si="271"/>
        <v xml:space="preserve">    </v>
      </c>
      <c r="AA986" t="str">
        <f t="shared" si="275"/>
        <v xml:space="preserve">         </v>
      </c>
      <c r="AB986" t="str">
        <f t="shared" si="268"/>
        <v xml:space="preserve">         </v>
      </c>
      <c r="AC986" t="str">
        <f t="shared" si="269"/>
        <v xml:space="preserve">    </v>
      </c>
      <c r="AD986" t="str">
        <f t="shared" si="270"/>
        <v/>
      </c>
      <c r="AE986" t="str">
        <f t="shared" si="276"/>
        <v/>
      </c>
      <c r="AF986" t="str">
        <f t="shared" si="272"/>
        <v/>
      </c>
      <c r="AG986" t="str">
        <f t="shared" si="272"/>
        <v/>
      </c>
      <c r="AH986" t="str">
        <f t="shared" si="277"/>
        <v/>
      </c>
      <c r="AI986" t="str">
        <f t="shared" si="278"/>
        <v/>
      </c>
      <c r="AJ986" t="str">
        <f t="shared" si="279"/>
        <v/>
      </c>
    </row>
    <row r="987" spans="1:36" x14ac:dyDescent="0.25">
      <c r="A987" t="s">
        <v>773</v>
      </c>
      <c r="P987" t="str">
        <f t="shared" ref="P987:Q1050" si="280">MID($A987,P$8,P$9)</f>
        <v xml:space="preserve">                </v>
      </c>
      <c r="Q987" t="str">
        <f t="shared" si="280"/>
        <v xml:space="preserve">         </v>
      </c>
      <c r="R987" t="str">
        <f t="shared" si="273"/>
        <v xml:space="preserve">   167.0 </v>
      </c>
      <c r="S987" t="str">
        <f t="shared" ref="S987:S1050" si="281">MID($A987,Q$8+Q$9+R$9-2,S$9)</f>
        <v xml:space="preserve">   203.0 </v>
      </c>
      <c r="T987" t="str">
        <f t="shared" ref="T987:T1050" si="282">MID($A987,Q$8+Q$9+R$9+S$9-3,T$9)</f>
        <v xml:space="preserve">   203.0 </v>
      </c>
      <c r="U987" t="str">
        <f t="shared" si="270"/>
        <v xml:space="preserve">       25.5% </v>
      </c>
      <c r="V987" t="str">
        <f t="shared" si="274"/>
        <v xml:space="preserve">         </v>
      </c>
      <c r="W987" t="str">
        <f t="shared" ref="W987:W1050" si="283">MID($A987,U$8+U$9+V$9-2,W$9)</f>
        <v xml:space="preserve">         </v>
      </c>
      <c r="X987" t="str">
        <f t="shared" si="271"/>
        <v xml:space="preserve">  2090 </v>
      </c>
      <c r="Y987" t="str">
        <f t="shared" si="271"/>
        <v xml:space="preserve"> SCHARL-RS138 </v>
      </c>
      <c r="Z987" t="str">
        <f t="shared" si="271"/>
        <v xml:space="preserve">  1 </v>
      </c>
      <c r="AA987" t="str">
        <f t="shared" si="275"/>
        <v xml:space="preserve">   -41.9 </v>
      </c>
      <c r="AB987" t="str">
        <f t="shared" ref="AB987:AB1050" si="284">MID($A987,Z$8+Z$9+AA$9-2,AB$9)</f>
        <v xml:space="preserve">   -10.7 </v>
      </c>
      <c r="AC987" t="str">
        <f t="shared" ref="AC987:AC1050" si="285">MID($A987,Z$8+Z$9+AA$9+AB$9-3,AC$9)</f>
        <v xml:space="preserve">    42.6 </v>
      </c>
      <c r="AD987" t="str">
        <f t="shared" si="270"/>
        <v xml:space="preserve">        </v>
      </c>
      <c r="AE987" t="str">
        <f t="shared" si="276"/>
        <v xml:space="preserve">       </v>
      </c>
      <c r="AF987" t="str">
        <f t="shared" si="272"/>
        <v xml:space="preserve">     </v>
      </c>
      <c r="AG987" t="str">
        <f t="shared" si="272"/>
        <v xml:space="preserve">     0.10 </v>
      </c>
      <c r="AH987" t="str">
        <f t="shared" si="277"/>
        <v xml:space="preserve">    -0.18 </v>
      </c>
      <c r="AI987" t="str">
        <f t="shared" si="278"/>
        <v xml:space="preserve">       </v>
      </c>
      <c r="AJ987" t="str">
        <f t="shared" si="279"/>
        <v xml:space="preserve">      </v>
      </c>
    </row>
    <row r="988" spans="1:36" x14ac:dyDescent="0.25">
      <c r="A988" t="s">
        <v>14</v>
      </c>
      <c r="P988" t="str">
        <f t="shared" si="280"/>
        <v xml:space="preserve">  ..............</v>
      </c>
      <c r="Q988" t="str">
        <f t="shared" si="280"/>
        <v>.........</v>
      </c>
      <c r="R988" t="str">
        <f t="shared" si="273"/>
        <v>.........</v>
      </c>
      <c r="S988" t="str">
        <f t="shared" si="281"/>
        <v>.........</v>
      </c>
      <c r="T988" t="str">
        <f t="shared" si="282"/>
        <v>.........</v>
      </c>
      <c r="U988" t="str">
        <f t="shared" ref="U988:AD1051" si="286">MID($A988,U$8,U$9)</f>
        <v>.............</v>
      </c>
      <c r="V988" t="str">
        <f t="shared" si="274"/>
        <v>.........</v>
      </c>
      <c r="W988" t="str">
        <f t="shared" si="283"/>
        <v>.........</v>
      </c>
      <c r="X988" t="str">
        <f t="shared" ref="X988:Z1051" si="287">MID($A988,X$8,X$9)</f>
        <v>.......</v>
      </c>
      <c r="Y988" t="str">
        <f t="shared" si="287"/>
        <v>..............</v>
      </c>
      <c r="Z988" t="str">
        <f t="shared" si="287"/>
        <v>....</v>
      </c>
      <c r="AA988" t="str">
        <f t="shared" si="275"/>
        <v>.........</v>
      </c>
      <c r="AB988" t="str">
        <f t="shared" si="284"/>
        <v>.........</v>
      </c>
      <c r="AC988" t="str">
        <f t="shared" si="285"/>
        <v>.........</v>
      </c>
      <c r="AD988" t="str">
        <f t="shared" si="286"/>
        <v>........</v>
      </c>
      <c r="AE988" t="str">
        <f t="shared" si="276"/>
        <v>.......</v>
      </c>
      <c r="AF988" t="str">
        <f t="shared" si="272"/>
        <v>.....</v>
      </c>
      <c r="AG988" t="str">
        <f t="shared" si="272"/>
        <v>..........</v>
      </c>
      <c r="AH988" t="str">
        <f t="shared" si="277"/>
        <v>..........</v>
      </c>
      <c r="AI988" t="str">
        <f t="shared" si="278"/>
        <v>.......</v>
      </c>
      <c r="AJ988" t="str">
        <f t="shared" si="279"/>
        <v>.......</v>
      </c>
    </row>
    <row r="989" spans="1:36" x14ac:dyDescent="0.25">
      <c r="A989" t="s">
        <v>774</v>
      </c>
      <c r="P989" t="str">
        <f t="shared" si="280"/>
        <v xml:space="preserve">   9216   23  0 </v>
      </c>
      <c r="Q989" t="str">
        <f t="shared" si="280"/>
        <v xml:space="preserve">   1.083 </v>
      </c>
      <c r="R989" t="str">
        <f t="shared" si="273"/>
        <v xml:space="preserve">     3.0 </v>
      </c>
      <c r="S989" t="str">
        <f t="shared" si="281"/>
        <v xml:space="preserve">     0.0 </v>
      </c>
      <c r="T989" t="str">
        <f t="shared" si="282"/>
        <v xml:space="preserve">    24.9 </v>
      </c>
      <c r="U989" t="str">
        <f t="shared" si="286"/>
        <v xml:space="preserve">         0.0 </v>
      </c>
      <c r="V989" t="str">
        <f t="shared" si="274"/>
        <v xml:space="preserve">     8.4 </v>
      </c>
      <c r="W989" t="str">
        <f t="shared" si="283"/>
        <v xml:space="preserve">     0.0</v>
      </c>
      <c r="X989" t="str">
        <f t="shared" si="287"/>
        <v/>
      </c>
      <c r="Y989" t="str">
        <f t="shared" si="287"/>
        <v/>
      </c>
      <c r="Z989" t="str">
        <f t="shared" si="287"/>
        <v/>
      </c>
      <c r="AA989" t="str">
        <f t="shared" si="275"/>
        <v/>
      </c>
      <c r="AB989" t="str">
        <f t="shared" si="284"/>
        <v/>
      </c>
      <c r="AC989" t="str">
        <f t="shared" si="285"/>
        <v/>
      </c>
      <c r="AD989" t="str">
        <f t="shared" si="286"/>
        <v/>
      </c>
      <c r="AE989" t="str">
        <f t="shared" si="276"/>
        <v/>
      </c>
      <c r="AF989" t="str">
        <f t="shared" ref="AF989:AG1052" si="288">MID($A989,AF$8,AF$9)</f>
        <v/>
      </c>
      <c r="AG989" t="str">
        <f t="shared" si="288"/>
        <v/>
      </c>
      <c r="AH989" t="str">
        <f t="shared" si="277"/>
        <v/>
      </c>
      <c r="AI989" t="str">
        <f t="shared" si="278"/>
        <v/>
      </c>
      <c r="AJ989" t="str">
        <f t="shared" si="279"/>
        <v/>
      </c>
    </row>
    <row r="990" spans="1:36" x14ac:dyDescent="0.25">
      <c r="A990" t="s">
        <v>775</v>
      </c>
      <c r="P990" t="str">
        <f t="shared" si="280"/>
        <v xml:space="preserve">  CBOM-B-RS023  </v>
      </c>
      <c r="Q990" t="str">
        <f t="shared" si="280"/>
        <v xml:space="preserve">   -54.8 </v>
      </c>
      <c r="R990" t="str">
        <f t="shared" si="273"/>
        <v xml:space="preserve">     0.0 </v>
      </c>
      <c r="S990" t="str">
        <f t="shared" si="281"/>
        <v xml:space="preserve">     0.0 </v>
      </c>
      <c r="T990" t="str">
        <f t="shared" si="282"/>
        <v xml:space="preserve">    10.3 </v>
      </c>
      <c r="U990" t="str">
        <f t="shared" si="286"/>
        <v xml:space="preserve">         0.0 </v>
      </c>
      <c r="V990" t="str">
        <f t="shared" si="274"/>
        <v xml:space="preserve">     0.0 </v>
      </c>
      <c r="W990" t="str">
        <f t="shared" si="283"/>
        <v xml:space="preserve">     0.0 </v>
      </c>
      <c r="X990" t="str">
        <f t="shared" si="287"/>
        <v xml:space="preserve">       </v>
      </c>
      <c r="Y990" t="str">
        <f t="shared" si="287"/>
        <v xml:space="preserve">              </v>
      </c>
      <c r="Z990" t="str">
        <f t="shared" si="287"/>
        <v xml:space="preserve">    </v>
      </c>
      <c r="AA990" t="str">
        <f t="shared" si="275"/>
        <v xml:space="preserve">         </v>
      </c>
      <c r="AB990" t="str">
        <f t="shared" si="284"/>
        <v xml:space="preserve">         </v>
      </c>
      <c r="AC990" t="str">
        <f t="shared" si="285"/>
        <v xml:space="preserve">    </v>
      </c>
      <c r="AD990" t="str">
        <f t="shared" si="286"/>
        <v/>
      </c>
      <c r="AE990" t="str">
        <f t="shared" si="276"/>
        <v/>
      </c>
      <c r="AF990" t="str">
        <f t="shared" si="288"/>
        <v/>
      </c>
      <c r="AG990" t="str">
        <f t="shared" si="288"/>
        <v/>
      </c>
      <c r="AH990" t="str">
        <f t="shared" si="277"/>
        <v/>
      </c>
      <c r="AI990" t="str">
        <f t="shared" si="278"/>
        <v/>
      </c>
      <c r="AJ990" t="str">
        <f t="shared" si="279"/>
        <v/>
      </c>
    </row>
    <row r="991" spans="1:36" x14ac:dyDescent="0.25">
      <c r="A991" t="s">
        <v>776</v>
      </c>
      <c r="P991" t="str">
        <f t="shared" si="280"/>
        <v xml:space="preserve">                </v>
      </c>
      <c r="Q991" t="str">
        <f t="shared" si="280"/>
        <v xml:space="preserve">         </v>
      </c>
      <c r="R991" t="str">
        <f t="shared" si="273"/>
        <v xml:space="preserve">    75.0 </v>
      </c>
      <c r="S991" t="str">
        <f t="shared" si="281"/>
        <v xml:space="preserve">    90.0 </v>
      </c>
      <c r="T991" t="str">
        <f t="shared" si="282"/>
        <v xml:space="preserve">    90.0 </v>
      </c>
      <c r="U991" t="str">
        <f t="shared" si="286"/>
        <v xml:space="preserve">       27.1% </v>
      </c>
      <c r="V991" t="str">
        <f t="shared" si="274"/>
        <v xml:space="preserve">         </v>
      </c>
      <c r="W991" t="str">
        <f t="shared" si="283"/>
        <v xml:space="preserve">         </v>
      </c>
      <c r="X991" t="str">
        <f t="shared" si="287"/>
        <v xml:space="preserve"> 41236 </v>
      </c>
      <c r="Y991" t="str">
        <f t="shared" si="287"/>
        <v xml:space="preserve"> CBOM-6-RS000 </v>
      </c>
      <c r="Z991" t="str">
        <f t="shared" si="287"/>
        <v xml:space="preserve">  6 </v>
      </c>
      <c r="AA991" t="str">
        <f t="shared" si="275"/>
        <v xml:space="preserve">   -21.9 </v>
      </c>
      <c r="AB991" t="str">
        <f t="shared" si="284"/>
        <v xml:space="preserve">    -1.9 </v>
      </c>
      <c r="AC991" t="str">
        <f t="shared" si="285"/>
        <v xml:space="preserve">    20.3 </v>
      </c>
      <c r="AD991" t="str">
        <f t="shared" si="286"/>
        <v xml:space="preserve"> 1.000F </v>
      </c>
      <c r="AE991" t="str">
        <f t="shared" si="276"/>
        <v xml:space="preserve">       </v>
      </c>
      <c r="AF991" t="str">
        <f t="shared" si="288"/>
        <v xml:space="preserve"> 002 </v>
      </c>
      <c r="AG991" t="str">
        <f t="shared" si="288"/>
        <v xml:space="preserve">     0.00 </v>
      </c>
      <c r="AH991" t="str">
        <f t="shared" si="277"/>
        <v xml:space="preserve">    -0.03 </v>
      </c>
      <c r="AI991" t="str">
        <f t="shared" si="278"/>
        <v xml:space="preserve">       </v>
      </c>
      <c r="AJ991" t="str">
        <f t="shared" si="279"/>
        <v xml:space="preserve">      </v>
      </c>
    </row>
    <row r="992" spans="1:36" x14ac:dyDescent="0.25">
      <c r="A992" t="s">
        <v>14</v>
      </c>
      <c r="P992" t="str">
        <f t="shared" si="280"/>
        <v xml:space="preserve">  ..............</v>
      </c>
      <c r="Q992" t="str">
        <f t="shared" si="280"/>
        <v>.........</v>
      </c>
      <c r="R992" t="str">
        <f t="shared" si="273"/>
        <v>.........</v>
      </c>
      <c r="S992" t="str">
        <f t="shared" si="281"/>
        <v>.........</v>
      </c>
      <c r="T992" t="str">
        <f t="shared" si="282"/>
        <v>.........</v>
      </c>
      <c r="U992" t="str">
        <f t="shared" si="286"/>
        <v>.............</v>
      </c>
      <c r="V992" t="str">
        <f t="shared" si="274"/>
        <v>.........</v>
      </c>
      <c r="W992" t="str">
        <f t="shared" si="283"/>
        <v>.........</v>
      </c>
      <c r="X992" t="str">
        <f t="shared" si="287"/>
        <v>.......</v>
      </c>
      <c r="Y992" t="str">
        <f t="shared" si="287"/>
        <v>..............</v>
      </c>
      <c r="Z992" t="str">
        <f t="shared" si="287"/>
        <v>....</v>
      </c>
      <c r="AA992" t="str">
        <f t="shared" si="275"/>
        <v>.........</v>
      </c>
      <c r="AB992" t="str">
        <f t="shared" si="284"/>
        <v>.........</v>
      </c>
      <c r="AC992" t="str">
        <f t="shared" si="285"/>
        <v>.........</v>
      </c>
      <c r="AD992" t="str">
        <f t="shared" si="286"/>
        <v>........</v>
      </c>
      <c r="AE992" t="str">
        <f t="shared" si="276"/>
        <v>.......</v>
      </c>
      <c r="AF992" t="str">
        <f t="shared" si="288"/>
        <v>.....</v>
      </c>
      <c r="AG992" t="str">
        <f t="shared" si="288"/>
        <v>..........</v>
      </c>
      <c r="AH992" t="str">
        <f t="shared" si="277"/>
        <v>..........</v>
      </c>
      <c r="AI992" t="str">
        <f t="shared" si="278"/>
        <v>.......</v>
      </c>
      <c r="AJ992" t="str">
        <f t="shared" si="279"/>
        <v>.......</v>
      </c>
    </row>
    <row r="993" spans="1:36" x14ac:dyDescent="0.25">
      <c r="A993" t="s">
        <v>777</v>
      </c>
      <c r="P993" t="str">
        <f t="shared" si="280"/>
        <v xml:space="preserve">   9217   23  0 </v>
      </c>
      <c r="Q993" t="str">
        <f t="shared" si="280"/>
        <v xml:space="preserve">   1.093 </v>
      </c>
      <c r="R993" t="str">
        <f t="shared" si="273"/>
        <v xml:space="preserve">     3.2 </v>
      </c>
      <c r="S993" t="str">
        <f t="shared" si="281"/>
        <v xml:space="preserve">     0.0 </v>
      </c>
      <c r="T993" t="str">
        <f t="shared" si="282"/>
        <v xml:space="preserve">    26.6 </v>
      </c>
      <c r="U993" t="str">
        <f t="shared" si="286"/>
        <v xml:space="preserve">         0.0 </v>
      </c>
      <c r="V993" t="str">
        <f t="shared" si="274"/>
        <v xml:space="preserve">     8.6 </v>
      </c>
      <c r="W993" t="str">
        <f t="shared" si="283"/>
        <v xml:space="preserve">     0.0</v>
      </c>
      <c r="X993" t="str">
        <f t="shared" si="287"/>
        <v/>
      </c>
      <c r="Y993" t="str">
        <f t="shared" si="287"/>
        <v/>
      </c>
      <c r="Z993" t="str">
        <f t="shared" si="287"/>
        <v/>
      </c>
      <c r="AA993" t="str">
        <f t="shared" si="275"/>
        <v/>
      </c>
      <c r="AB993" t="str">
        <f t="shared" si="284"/>
        <v/>
      </c>
      <c r="AC993" t="str">
        <f t="shared" si="285"/>
        <v/>
      </c>
      <c r="AD993" t="str">
        <f t="shared" si="286"/>
        <v/>
      </c>
      <c r="AE993" t="str">
        <f t="shared" si="276"/>
        <v/>
      </c>
      <c r="AF993" t="str">
        <f t="shared" si="288"/>
        <v/>
      </c>
      <c r="AG993" t="str">
        <f t="shared" si="288"/>
        <v/>
      </c>
      <c r="AH993" t="str">
        <f t="shared" si="277"/>
        <v/>
      </c>
      <c r="AI993" t="str">
        <f t="shared" si="278"/>
        <v/>
      </c>
      <c r="AJ993" t="str">
        <f t="shared" si="279"/>
        <v/>
      </c>
    </row>
    <row r="994" spans="1:36" x14ac:dyDescent="0.25">
      <c r="A994" t="s">
        <v>778</v>
      </c>
      <c r="P994" t="str">
        <f t="shared" si="280"/>
        <v xml:space="preserve">  CIPA-B-RS023  </v>
      </c>
      <c r="Q994" t="str">
        <f t="shared" si="280"/>
        <v xml:space="preserve">   -54.8 </v>
      </c>
      <c r="R994" t="str">
        <f t="shared" si="273"/>
        <v xml:space="preserve">     0.0 </v>
      </c>
      <c r="S994" t="str">
        <f t="shared" si="281"/>
        <v xml:space="preserve">     0.0 </v>
      </c>
      <c r="T994" t="str">
        <f t="shared" si="282"/>
        <v xml:space="preserve">    11.0 </v>
      </c>
      <c r="U994" t="str">
        <f t="shared" si="286"/>
        <v xml:space="preserve">         0.0 </v>
      </c>
      <c r="V994" t="str">
        <f t="shared" si="274"/>
        <v xml:space="preserve">     0.0 </v>
      </c>
      <c r="W994" t="str">
        <f t="shared" si="283"/>
        <v xml:space="preserve">     0.0 </v>
      </c>
      <c r="X994" t="str">
        <f t="shared" si="287"/>
        <v xml:space="preserve">       </v>
      </c>
      <c r="Y994" t="str">
        <f t="shared" si="287"/>
        <v xml:space="preserve">              </v>
      </c>
      <c r="Z994" t="str">
        <f t="shared" si="287"/>
        <v xml:space="preserve">    </v>
      </c>
      <c r="AA994" t="str">
        <f t="shared" si="275"/>
        <v xml:space="preserve">         </v>
      </c>
      <c r="AB994" t="str">
        <f t="shared" si="284"/>
        <v xml:space="preserve">         </v>
      </c>
      <c r="AC994" t="str">
        <f t="shared" si="285"/>
        <v xml:space="preserve">    </v>
      </c>
      <c r="AD994" t="str">
        <f t="shared" si="286"/>
        <v/>
      </c>
      <c r="AE994" t="str">
        <f t="shared" si="276"/>
        <v/>
      </c>
      <c r="AF994" t="str">
        <f t="shared" si="288"/>
        <v/>
      </c>
      <c r="AG994" t="str">
        <f t="shared" si="288"/>
        <v/>
      </c>
      <c r="AH994" t="str">
        <f t="shared" si="277"/>
        <v/>
      </c>
      <c r="AI994" t="str">
        <f t="shared" si="278"/>
        <v/>
      </c>
      <c r="AJ994" t="str">
        <f t="shared" si="279"/>
        <v/>
      </c>
    </row>
    <row r="995" spans="1:36" x14ac:dyDescent="0.25">
      <c r="A995" t="s">
        <v>779</v>
      </c>
      <c r="P995" t="str">
        <f t="shared" si="280"/>
        <v xml:space="preserve">                </v>
      </c>
      <c r="Q995" t="str">
        <f t="shared" si="280"/>
        <v xml:space="preserve">         </v>
      </c>
      <c r="R995" t="str">
        <f t="shared" si="273"/>
        <v xml:space="preserve">    75.0 </v>
      </c>
      <c r="S995" t="str">
        <f t="shared" si="281"/>
        <v xml:space="preserve">    90.0 </v>
      </c>
      <c r="T995" t="str">
        <f t="shared" si="282"/>
        <v xml:space="preserve">    90.0 </v>
      </c>
      <c r="U995" t="str">
        <f t="shared" si="286"/>
        <v xml:space="preserve">       28.7% </v>
      </c>
      <c r="V995" t="str">
        <f t="shared" si="274"/>
        <v xml:space="preserve">         </v>
      </c>
      <c r="W995" t="str">
        <f t="shared" si="283"/>
        <v xml:space="preserve">         </v>
      </c>
      <c r="X995" t="str">
        <f t="shared" si="287"/>
        <v xml:space="preserve"> 41251 </v>
      </c>
      <c r="Y995" t="str">
        <f t="shared" si="287"/>
        <v xml:space="preserve"> CIND-2-RS000 </v>
      </c>
      <c r="Z995" t="str">
        <f t="shared" si="287"/>
        <v xml:space="preserve">  2 </v>
      </c>
      <c r="AA995" t="str">
        <f t="shared" si="275"/>
        <v xml:space="preserve">   -23.4 </v>
      </c>
      <c r="AB995" t="str">
        <f t="shared" si="284"/>
        <v xml:space="preserve">    -2.4 </v>
      </c>
      <c r="AC995" t="str">
        <f t="shared" si="285"/>
        <v xml:space="preserve">    21.5 </v>
      </c>
      <c r="AD995" t="str">
        <f t="shared" si="286"/>
        <v xml:space="preserve"> 1.000F </v>
      </c>
      <c r="AE995" t="str">
        <f t="shared" si="276"/>
        <v xml:space="preserve">       </v>
      </c>
      <c r="AF995" t="str">
        <f t="shared" si="288"/>
        <v xml:space="preserve"> 002 </v>
      </c>
      <c r="AG995" t="str">
        <f t="shared" si="288"/>
        <v xml:space="preserve">     0.00 </v>
      </c>
      <c r="AH995" t="str">
        <f t="shared" si="277"/>
        <v xml:space="preserve">    -0.03 </v>
      </c>
      <c r="AI995" t="str">
        <f t="shared" si="278"/>
        <v xml:space="preserve">       </v>
      </c>
      <c r="AJ995" t="str">
        <f t="shared" si="279"/>
        <v xml:space="preserve">      </v>
      </c>
    </row>
    <row r="996" spans="1:36" x14ac:dyDescent="0.25">
      <c r="A996" t="s">
        <v>14</v>
      </c>
      <c r="P996" t="str">
        <f t="shared" si="280"/>
        <v xml:space="preserve">  ..............</v>
      </c>
      <c r="Q996" t="str">
        <f t="shared" si="280"/>
        <v>.........</v>
      </c>
      <c r="R996" t="str">
        <f t="shared" si="273"/>
        <v>.........</v>
      </c>
      <c r="S996" t="str">
        <f t="shared" si="281"/>
        <v>.........</v>
      </c>
      <c r="T996" t="str">
        <f t="shared" si="282"/>
        <v>.........</v>
      </c>
      <c r="U996" t="str">
        <f t="shared" si="286"/>
        <v>.............</v>
      </c>
      <c r="V996" t="str">
        <f t="shared" si="274"/>
        <v>.........</v>
      </c>
      <c r="W996" t="str">
        <f t="shared" si="283"/>
        <v>.........</v>
      </c>
      <c r="X996" t="str">
        <f t="shared" si="287"/>
        <v>.......</v>
      </c>
      <c r="Y996" t="str">
        <f t="shared" si="287"/>
        <v>..............</v>
      </c>
      <c r="Z996" t="str">
        <f t="shared" si="287"/>
        <v>....</v>
      </c>
      <c r="AA996" t="str">
        <f t="shared" si="275"/>
        <v>.........</v>
      </c>
      <c r="AB996" t="str">
        <f t="shared" si="284"/>
        <v>.........</v>
      </c>
      <c r="AC996" t="str">
        <f t="shared" si="285"/>
        <v>.........</v>
      </c>
      <c r="AD996" t="str">
        <f t="shared" si="286"/>
        <v>........</v>
      </c>
      <c r="AE996" t="str">
        <f t="shared" si="276"/>
        <v>.......</v>
      </c>
      <c r="AF996" t="str">
        <f t="shared" si="288"/>
        <v>.....</v>
      </c>
      <c r="AG996" t="str">
        <f t="shared" si="288"/>
        <v>..........</v>
      </c>
      <c r="AH996" t="str">
        <f t="shared" si="277"/>
        <v>..........</v>
      </c>
      <c r="AI996" t="str">
        <f t="shared" si="278"/>
        <v>.......</v>
      </c>
      <c r="AJ996" t="str">
        <f t="shared" si="279"/>
        <v>.......</v>
      </c>
    </row>
    <row r="997" spans="1:36" x14ac:dyDescent="0.25">
      <c r="A997" t="s">
        <v>780</v>
      </c>
      <c r="P997" t="str">
        <f t="shared" si="280"/>
        <v xml:space="preserve">   9218  992  1 </v>
      </c>
      <c r="Q997" t="str">
        <f t="shared" si="280"/>
        <v xml:space="preserve">   0.989 </v>
      </c>
      <c r="R997" t="str">
        <f t="shared" si="273"/>
        <v xml:space="preserve">    35.0 </v>
      </c>
      <c r="S997" t="str">
        <f t="shared" si="281"/>
        <v xml:space="preserve">     0.0 </v>
      </c>
      <c r="T997" t="str">
        <f t="shared" si="282"/>
        <v xml:space="preserve">     0.0 </v>
      </c>
      <c r="U997" t="str">
        <f t="shared" si="286"/>
        <v xml:space="preserve">         0.0 </v>
      </c>
      <c r="V997" t="str">
        <f t="shared" si="274"/>
        <v xml:space="preserve">     0.0 </v>
      </c>
      <c r="W997" t="str">
        <f t="shared" si="283"/>
        <v xml:space="preserve">     0.0</v>
      </c>
      <c r="X997" t="str">
        <f t="shared" si="287"/>
        <v/>
      </c>
      <c r="Y997" t="str">
        <f t="shared" si="287"/>
        <v/>
      </c>
      <c r="Z997" t="str">
        <f t="shared" si="287"/>
        <v/>
      </c>
      <c r="AA997" t="str">
        <f t="shared" si="275"/>
        <v/>
      </c>
      <c r="AB997" t="str">
        <f t="shared" si="284"/>
        <v/>
      </c>
      <c r="AC997" t="str">
        <f t="shared" si="285"/>
        <v/>
      </c>
      <c r="AD997" t="str">
        <f t="shared" si="286"/>
        <v/>
      </c>
      <c r="AE997" t="str">
        <f t="shared" si="276"/>
        <v/>
      </c>
      <c r="AF997" t="str">
        <f t="shared" si="288"/>
        <v/>
      </c>
      <c r="AG997" t="str">
        <f t="shared" si="288"/>
        <v/>
      </c>
      <c r="AH997" t="str">
        <f t="shared" si="277"/>
        <v/>
      </c>
      <c r="AI997" t="str">
        <f t="shared" si="278"/>
        <v/>
      </c>
      <c r="AJ997" t="str">
        <f t="shared" si="279"/>
        <v/>
      </c>
    </row>
    <row r="998" spans="1:36" x14ac:dyDescent="0.25">
      <c r="A998" t="s">
        <v>781</v>
      </c>
      <c r="P998" t="str">
        <f t="shared" si="280"/>
        <v xml:space="preserve">  PSJOAOUHE001  </v>
      </c>
      <c r="Q998" t="str">
        <f t="shared" si="280"/>
        <v xml:space="preserve">   -36.1 </v>
      </c>
      <c r="R998" t="str">
        <f t="shared" si="273"/>
        <v xml:space="preserve">     2.5 </v>
      </c>
      <c r="S998" t="str">
        <f t="shared" si="281"/>
        <v xml:space="preserve">     0.0 </v>
      </c>
      <c r="T998" t="str">
        <f t="shared" si="282"/>
        <v xml:space="preserve">     0.0 </v>
      </c>
      <c r="U998" t="str">
        <f t="shared" si="286"/>
        <v xml:space="preserve">         0.0 </v>
      </c>
      <c r="V998" t="str">
        <f t="shared" si="274"/>
        <v xml:space="preserve">     0.0 </v>
      </c>
      <c r="W998" t="str">
        <f t="shared" si="283"/>
        <v xml:space="preserve">     0.0 </v>
      </c>
      <c r="X998" t="str">
        <f t="shared" si="287"/>
        <v xml:space="preserve">       </v>
      </c>
      <c r="Y998" t="str">
        <f t="shared" si="287"/>
        <v xml:space="preserve">              </v>
      </c>
      <c r="Z998" t="str">
        <f t="shared" si="287"/>
        <v xml:space="preserve">    </v>
      </c>
      <c r="AA998" t="str">
        <f t="shared" si="275"/>
        <v xml:space="preserve">         </v>
      </c>
      <c r="AB998" t="str">
        <f t="shared" si="284"/>
        <v xml:space="preserve">         </v>
      </c>
      <c r="AC998" t="str">
        <f t="shared" si="285"/>
        <v xml:space="preserve">    </v>
      </c>
      <c r="AD998" t="str">
        <f t="shared" si="286"/>
        <v/>
      </c>
      <c r="AE998" t="str">
        <f t="shared" si="276"/>
        <v/>
      </c>
      <c r="AF998" t="str">
        <f t="shared" si="288"/>
        <v/>
      </c>
      <c r="AG998" t="str">
        <f t="shared" si="288"/>
        <v/>
      </c>
      <c r="AH998" t="str">
        <f t="shared" si="277"/>
        <v/>
      </c>
      <c r="AI998" t="str">
        <f t="shared" si="278"/>
        <v/>
      </c>
      <c r="AJ998" t="str">
        <f t="shared" si="279"/>
        <v/>
      </c>
    </row>
    <row r="999" spans="1:36" x14ac:dyDescent="0.25">
      <c r="A999" t="s">
        <v>782</v>
      </c>
      <c r="P999" t="str">
        <f t="shared" si="280"/>
        <v xml:space="preserve">                </v>
      </c>
      <c r="Q999" t="str">
        <f t="shared" si="280"/>
        <v xml:space="preserve">         </v>
      </c>
      <c r="R999" t="str">
        <f t="shared" si="273"/>
        <v xml:space="preserve">   160.0 </v>
      </c>
      <c r="S999" t="str">
        <f t="shared" si="281"/>
        <v xml:space="preserve">   160.0 </v>
      </c>
      <c r="T999" t="str">
        <f t="shared" si="282"/>
        <v xml:space="preserve">   160.0 </v>
      </c>
      <c r="U999" t="str">
        <f t="shared" si="286"/>
        <v xml:space="preserve">       22.2% </v>
      </c>
      <c r="V999" t="str">
        <f t="shared" si="274"/>
        <v xml:space="preserve">         </v>
      </c>
      <c r="W999" t="str">
        <f t="shared" si="283"/>
        <v xml:space="preserve">         </v>
      </c>
      <c r="X999" t="str">
        <f t="shared" si="287"/>
        <v xml:space="preserve">  9219 </v>
      </c>
      <c r="Y999" t="str">
        <f t="shared" si="287"/>
        <v xml:space="preserve"> PSJOAO-RS069 </v>
      </c>
      <c r="Z999" t="str">
        <f t="shared" si="287"/>
        <v xml:space="preserve">  1 </v>
      </c>
      <c r="AA999" t="str">
        <f t="shared" si="275"/>
        <v xml:space="preserve">    35.0 </v>
      </c>
      <c r="AB999" t="str">
        <f t="shared" si="284"/>
        <v xml:space="preserve">     2.5 </v>
      </c>
      <c r="AC999" t="str">
        <f t="shared" si="285"/>
        <v xml:space="preserve">    35.5 </v>
      </c>
      <c r="AD999" t="str">
        <f t="shared" si="286"/>
        <v xml:space="preserve">        </v>
      </c>
      <c r="AE999" t="str">
        <f t="shared" si="276"/>
        <v xml:space="preserve">       </v>
      </c>
      <c r="AF999" t="str">
        <f t="shared" si="288"/>
        <v xml:space="preserve">     </v>
      </c>
      <c r="AG999" t="str">
        <f t="shared" si="288"/>
        <v xml:space="preserve">     0.00 </v>
      </c>
      <c r="AH999" t="str">
        <f t="shared" si="277"/>
        <v xml:space="preserve">     3.45 </v>
      </c>
      <c r="AI999" t="str">
        <f t="shared" si="278"/>
        <v xml:space="preserve">       </v>
      </c>
      <c r="AJ999" t="str">
        <f t="shared" si="279"/>
        <v xml:space="preserve">      </v>
      </c>
    </row>
    <row r="1000" spans="1:36" x14ac:dyDescent="0.25">
      <c r="A1000" t="s">
        <v>14</v>
      </c>
      <c r="P1000" t="str">
        <f t="shared" si="280"/>
        <v xml:space="preserve">  ..............</v>
      </c>
      <c r="Q1000" t="str">
        <f t="shared" si="280"/>
        <v>.........</v>
      </c>
      <c r="R1000" t="str">
        <f t="shared" si="273"/>
        <v>.........</v>
      </c>
      <c r="S1000" t="str">
        <f t="shared" si="281"/>
        <v>.........</v>
      </c>
      <c r="T1000" t="str">
        <f t="shared" si="282"/>
        <v>.........</v>
      </c>
      <c r="U1000" t="str">
        <f t="shared" si="286"/>
        <v>.............</v>
      </c>
      <c r="V1000" t="str">
        <f t="shared" si="274"/>
        <v>.........</v>
      </c>
      <c r="W1000" t="str">
        <f t="shared" si="283"/>
        <v>.........</v>
      </c>
      <c r="X1000" t="str">
        <f t="shared" si="287"/>
        <v>.......</v>
      </c>
      <c r="Y1000" t="str">
        <f t="shared" si="287"/>
        <v>..............</v>
      </c>
      <c r="Z1000" t="str">
        <f t="shared" si="287"/>
        <v>....</v>
      </c>
      <c r="AA1000" t="str">
        <f t="shared" si="275"/>
        <v>.........</v>
      </c>
      <c r="AB1000" t="str">
        <f t="shared" si="284"/>
        <v>.........</v>
      </c>
      <c r="AC1000" t="str">
        <f t="shared" si="285"/>
        <v>.........</v>
      </c>
      <c r="AD1000" t="str">
        <f t="shared" si="286"/>
        <v>........</v>
      </c>
      <c r="AE1000" t="str">
        <f t="shared" si="276"/>
        <v>.......</v>
      </c>
      <c r="AF1000" t="str">
        <f t="shared" si="288"/>
        <v>.....</v>
      </c>
      <c r="AG1000" t="str">
        <f t="shared" si="288"/>
        <v>..........</v>
      </c>
      <c r="AH1000" t="str">
        <f t="shared" si="277"/>
        <v>..........</v>
      </c>
      <c r="AI1000" t="str">
        <f t="shared" si="278"/>
        <v>.......</v>
      </c>
      <c r="AJ1000" t="str">
        <f t="shared" si="279"/>
        <v>.......</v>
      </c>
    </row>
    <row r="1001" spans="1:36" x14ac:dyDescent="0.25">
      <c r="A1001" t="s">
        <v>783</v>
      </c>
      <c r="P1001" t="str">
        <f t="shared" si="280"/>
        <v xml:space="preserve">   9219   69  0 </v>
      </c>
      <c r="Q1001" t="str">
        <f t="shared" si="280"/>
        <v xml:space="preserve">   1.012 </v>
      </c>
      <c r="R1001" t="str">
        <f t="shared" si="273"/>
        <v xml:space="preserve">     0.0 </v>
      </c>
      <c r="S1001" t="str">
        <f t="shared" si="281"/>
        <v xml:space="preserve">     0.0 </v>
      </c>
      <c r="T1001" t="str">
        <f t="shared" si="282"/>
        <v xml:space="preserve">     0.0 </v>
      </c>
      <c r="U1001" t="str">
        <f t="shared" si="286"/>
        <v xml:space="preserve">         0.0 </v>
      </c>
      <c r="V1001" t="str">
        <f t="shared" si="274"/>
        <v xml:space="preserve">     0.0 </v>
      </c>
      <c r="W1001" t="str">
        <f t="shared" si="283"/>
        <v xml:space="preserve">     0.0</v>
      </c>
      <c r="X1001" t="str">
        <f t="shared" si="287"/>
        <v/>
      </c>
      <c r="Y1001" t="str">
        <f t="shared" si="287"/>
        <v/>
      </c>
      <c r="Z1001" t="str">
        <f t="shared" si="287"/>
        <v/>
      </c>
      <c r="AA1001" t="str">
        <f t="shared" si="275"/>
        <v/>
      </c>
      <c r="AB1001" t="str">
        <f t="shared" si="284"/>
        <v/>
      </c>
      <c r="AC1001" t="str">
        <f t="shared" si="285"/>
        <v/>
      </c>
      <c r="AD1001" t="str">
        <f t="shared" si="286"/>
        <v/>
      </c>
      <c r="AE1001" t="str">
        <f t="shared" si="276"/>
        <v/>
      </c>
      <c r="AF1001" t="str">
        <f t="shared" si="288"/>
        <v/>
      </c>
      <c r="AG1001" t="str">
        <f t="shared" si="288"/>
        <v/>
      </c>
      <c r="AH1001" t="str">
        <f t="shared" si="277"/>
        <v/>
      </c>
      <c r="AI1001" t="str">
        <f t="shared" si="278"/>
        <v/>
      </c>
      <c r="AJ1001" t="str">
        <f t="shared" si="279"/>
        <v/>
      </c>
    </row>
    <row r="1002" spans="1:36" x14ac:dyDescent="0.25">
      <c r="A1002" t="s">
        <v>784</v>
      </c>
      <c r="P1002" t="str">
        <f t="shared" si="280"/>
        <v xml:space="preserve">  PSJOAO-RS069  </v>
      </c>
      <c r="Q1002" t="str">
        <f t="shared" si="280"/>
        <v xml:space="preserve">   -41.8 </v>
      </c>
      <c r="R1002" t="str">
        <f t="shared" si="273"/>
        <v xml:space="preserve">     0.0 </v>
      </c>
      <c r="S1002" t="str">
        <f t="shared" si="281"/>
        <v xml:space="preserve">     0.0 </v>
      </c>
      <c r="T1002" t="str">
        <f t="shared" si="282"/>
        <v xml:space="preserve">     0.0 </v>
      </c>
      <c r="U1002" t="str">
        <f t="shared" si="286"/>
        <v xml:space="preserve">         0.0 </v>
      </c>
      <c r="V1002" t="str">
        <f t="shared" si="274"/>
        <v xml:space="preserve">     0.0 </v>
      </c>
      <c r="W1002" t="str">
        <f t="shared" si="283"/>
        <v xml:space="preserve">     0.0 </v>
      </c>
      <c r="X1002" t="str">
        <f t="shared" si="287"/>
        <v xml:space="preserve">       </v>
      </c>
      <c r="Y1002" t="str">
        <f t="shared" si="287"/>
        <v xml:space="preserve">              </v>
      </c>
      <c r="Z1002" t="str">
        <f t="shared" si="287"/>
        <v xml:space="preserve">    </v>
      </c>
      <c r="AA1002" t="str">
        <f t="shared" si="275"/>
        <v xml:space="preserve">         </v>
      </c>
      <c r="AB1002" t="str">
        <f t="shared" si="284"/>
        <v xml:space="preserve">         </v>
      </c>
      <c r="AC1002" t="str">
        <f t="shared" si="285"/>
        <v xml:space="preserve">    </v>
      </c>
      <c r="AD1002" t="str">
        <f t="shared" si="286"/>
        <v/>
      </c>
      <c r="AE1002" t="str">
        <f t="shared" si="276"/>
        <v/>
      </c>
      <c r="AF1002" t="str">
        <f t="shared" si="288"/>
        <v/>
      </c>
      <c r="AG1002" t="str">
        <f t="shared" si="288"/>
        <v/>
      </c>
      <c r="AH1002" t="str">
        <f t="shared" si="277"/>
        <v/>
      </c>
      <c r="AI1002" t="str">
        <f t="shared" si="278"/>
        <v/>
      </c>
      <c r="AJ1002" t="str">
        <f t="shared" si="279"/>
        <v/>
      </c>
    </row>
    <row r="1003" spans="1:36" x14ac:dyDescent="0.25">
      <c r="A1003" t="s">
        <v>785</v>
      </c>
      <c r="P1003" t="str">
        <f t="shared" si="280"/>
        <v xml:space="preserve">                </v>
      </c>
      <c r="Q1003" t="str">
        <f t="shared" si="280"/>
        <v xml:space="preserve">         </v>
      </c>
      <c r="R1003" t="str">
        <f t="shared" si="273"/>
        <v xml:space="preserve">    87.0 </v>
      </c>
      <c r="S1003" t="str">
        <f t="shared" si="281"/>
        <v xml:space="preserve">    87.0 </v>
      </c>
      <c r="T1003" t="str">
        <f t="shared" si="282"/>
        <v xml:space="preserve">    87.0 </v>
      </c>
      <c r="U1003" t="str">
        <f t="shared" si="286"/>
        <v xml:space="preserve">       17.0% </v>
      </c>
      <c r="V1003" t="str">
        <f t="shared" si="274"/>
        <v xml:space="preserve">         </v>
      </c>
      <c r="W1003" t="str">
        <f t="shared" si="283"/>
        <v xml:space="preserve">         </v>
      </c>
      <c r="X1003" t="str">
        <f t="shared" si="287"/>
        <v xml:space="preserve">  2079 </v>
      </c>
      <c r="Y1003" t="str">
        <f t="shared" si="287"/>
        <v xml:space="preserve"> MISSOE-RS069 </v>
      </c>
      <c r="Z1003" t="str">
        <f t="shared" si="287"/>
        <v xml:space="preserve">  1 </v>
      </c>
      <c r="AA1003" t="str">
        <f t="shared" si="275"/>
        <v xml:space="preserve">    14.9 </v>
      </c>
      <c r="AB1003" t="str">
        <f t="shared" si="284"/>
        <v xml:space="preserve">    -1.8 </v>
      </c>
      <c r="AC1003" t="str">
        <f t="shared" si="285"/>
        <v xml:space="preserve">    14.8 </v>
      </c>
      <c r="AD1003" t="str">
        <f t="shared" si="286"/>
        <v xml:space="preserve">        </v>
      </c>
      <c r="AE1003" t="str">
        <f t="shared" si="276"/>
        <v xml:space="preserve">       </v>
      </c>
      <c r="AF1003" t="str">
        <f t="shared" si="288"/>
        <v xml:space="preserve">     </v>
      </c>
      <c r="AG1003" t="str">
        <f t="shared" si="288"/>
        <v xml:space="preserve">     0.18 </v>
      </c>
      <c r="AH1003" t="str">
        <f t="shared" si="277"/>
        <v xml:space="preserve">     0.10 </v>
      </c>
      <c r="AI1003" t="str">
        <f t="shared" si="278"/>
        <v xml:space="preserve">       </v>
      </c>
      <c r="AJ1003" t="str">
        <f t="shared" si="279"/>
        <v xml:space="preserve">      </v>
      </c>
    </row>
    <row r="1004" spans="1:36" x14ac:dyDescent="0.25">
      <c r="A1004" t="s">
        <v>786</v>
      </c>
      <c r="P1004" t="str">
        <f t="shared" si="280"/>
        <v xml:space="preserve">                </v>
      </c>
      <c r="Q1004" t="str">
        <f t="shared" si="280"/>
        <v xml:space="preserve">         </v>
      </c>
      <c r="R1004" t="str">
        <f t="shared" si="273"/>
        <v xml:space="preserve">    87.0 </v>
      </c>
      <c r="S1004" t="str">
        <f t="shared" si="281"/>
        <v xml:space="preserve">    87.0 </v>
      </c>
      <c r="T1004" t="str">
        <f t="shared" si="282"/>
        <v xml:space="preserve">    87.0 </v>
      </c>
      <c r="U1004" t="str">
        <f t="shared" si="286"/>
        <v xml:space="preserve">       17.0% </v>
      </c>
      <c r="V1004" t="str">
        <f t="shared" si="274"/>
        <v xml:space="preserve">         </v>
      </c>
      <c r="W1004" t="str">
        <f t="shared" si="283"/>
        <v xml:space="preserve">         </v>
      </c>
      <c r="X1004" t="str">
        <f t="shared" si="287"/>
        <v xml:space="preserve">  2079 </v>
      </c>
      <c r="Y1004" t="str">
        <f t="shared" si="287"/>
        <v xml:space="preserve"> MISSOE-RS069 </v>
      </c>
      <c r="Z1004" t="str">
        <f t="shared" si="287"/>
        <v xml:space="preserve">  2 </v>
      </c>
      <c r="AA1004" t="str">
        <f t="shared" si="275"/>
        <v xml:space="preserve">    14.9 </v>
      </c>
      <c r="AB1004" t="str">
        <f t="shared" si="284"/>
        <v xml:space="preserve">    -1.8 </v>
      </c>
      <c r="AC1004" t="str">
        <f t="shared" si="285"/>
        <v xml:space="preserve">    14.8 </v>
      </c>
      <c r="AD1004" t="str">
        <f t="shared" si="286"/>
        <v xml:space="preserve">        </v>
      </c>
      <c r="AE1004" t="str">
        <f t="shared" si="276"/>
        <v xml:space="preserve">       </v>
      </c>
      <c r="AF1004" t="str">
        <f t="shared" si="288"/>
        <v xml:space="preserve">     </v>
      </c>
      <c r="AG1004" t="str">
        <f t="shared" si="288"/>
        <v xml:space="preserve">     0.18 </v>
      </c>
      <c r="AH1004" t="str">
        <f t="shared" si="277"/>
        <v xml:space="preserve">     0.10 </v>
      </c>
      <c r="AI1004" t="str">
        <f t="shared" si="278"/>
        <v xml:space="preserve">       </v>
      </c>
      <c r="AJ1004" t="str">
        <f t="shared" si="279"/>
        <v xml:space="preserve">      </v>
      </c>
    </row>
    <row r="1005" spans="1:36" x14ac:dyDescent="0.25">
      <c r="A1005" t="s">
        <v>787</v>
      </c>
      <c r="P1005" t="str">
        <f t="shared" si="280"/>
        <v xml:space="preserve">                </v>
      </c>
      <c r="Q1005" t="str">
        <f t="shared" si="280"/>
        <v xml:space="preserve">         </v>
      </c>
      <c r="R1005" t="str">
        <f t="shared" si="273"/>
        <v xml:space="preserve">   160.0 </v>
      </c>
      <c r="S1005" t="str">
        <f t="shared" si="281"/>
        <v xml:space="preserve">   160.0 </v>
      </c>
      <c r="T1005" t="str">
        <f t="shared" si="282"/>
        <v xml:space="preserve">   160.0 </v>
      </c>
      <c r="U1005" t="str">
        <f t="shared" si="286"/>
        <v xml:space="preserve">       21.6% </v>
      </c>
      <c r="V1005" t="str">
        <f t="shared" si="274"/>
        <v xml:space="preserve">         </v>
      </c>
      <c r="W1005" t="str">
        <f t="shared" si="283"/>
        <v xml:space="preserve">         </v>
      </c>
      <c r="X1005" t="str">
        <f t="shared" si="287"/>
        <v xml:space="preserve">  9218 </v>
      </c>
      <c r="Y1005" t="str">
        <f t="shared" si="287"/>
        <v xml:space="preserve"> PSJOAOUHE001 </v>
      </c>
      <c r="Z1005" t="str">
        <f t="shared" si="287"/>
        <v xml:space="preserve">  1 </v>
      </c>
      <c r="AA1005" t="str">
        <f t="shared" si="275"/>
        <v xml:space="preserve">   -35.0 </v>
      </c>
      <c r="AB1005" t="str">
        <f t="shared" si="284"/>
        <v xml:space="preserve">     0.9 </v>
      </c>
      <c r="AC1005" t="str">
        <f t="shared" si="285"/>
        <v xml:space="preserve">    34.6 </v>
      </c>
      <c r="AD1005" t="str">
        <f t="shared" si="286"/>
        <v xml:space="preserve"> 1.025F </v>
      </c>
      <c r="AE1005" t="str">
        <f t="shared" si="276"/>
        <v xml:space="preserve">       </v>
      </c>
      <c r="AF1005" t="str">
        <f t="shared" si="288"/>
        <v xml:space="preserve">     </v>
      </c>
      <c r="AG1005" t="str">
        <f t="shared" si="288"/>
        <v xml:space="preserve">     0.00 </v>
      </c>
      <c r="AH1005" t="str">
        <f t="shared" si="277"/>
        <v xml:space="preserve">     3.45 </v>
      </c>
      <c r="AI1005" t="str">
        <f t="shared" si="278"/>
        <v xml:space="preserve">       </v>
      </c>
      <c r="AJ1005" t="str">
        <f t="shared" si="279"/>
        <v xml:space="preserve">      </v>
      </c>
    </row>
    <row r="1006" spans="1:36" x14ac:dyDescent="0.25">
      <c r="A1006" t="s">
        <v>788</v>
      </c>
      <c r="P1006" t="str">
        <f t="shared" si="280"/>
        <v xml:space="preserve">                </v>
      </c>
      <c r="Q1006" t="str">
        <f t="shared" si="280"/>
        <v xml:space="preserve">         </v>
      </c>
      <c r="R1006" t="str">
        <f t="shared" si="273"/>
        <v xml:space="preserve">  9999.0 </v>
      </c>
      <c r="S1006" t="str">
        <f t="shared" si="281"/>
        <v xml:space="preserve">  9999.0 </v>
      </c>
      <c r="T1006" t="str">
        <f t="shared" si="282"/>
        <v xml:space="preserve">  9999.0 </v>
      </c>
      <c r="U1006" t="str">
        <f t="shared" si="286"/>
        <v xml:space="preserve">        0.0% </v>
      </c>
      <c r="V1006" t="str">
        <f t="shared" si="274"/>
        <v xml:space="preserve">         </v>
      </c>
      <c r="W1006" t="str">
        <f t="shared" si="283"/>
        <v xml:space="preserve">         </v>
      </c>
      <c r="X1006" t="str">
        <f t="shared" si="287"/>
        <v xml:space="preserve">  9917 </v>
      </c>
      <c r="Y1006" t="str">
        <f t="shared" si="287"/>
        <v xml:space="preserve"> ROQGON-RS069 </v>
      </c>
      <c r="Z1006" t="str">
        <f t="shared" si="287"/>
        <v xml:space="preserve">  1 </v>
      </c>
      <c r="AA1006" t="str">
        <f t="shared" si="275"/>
        <v xml:space="preserve">     5.2 </v>
      </c>
      <c r="AB1006" t="str">
        <f t="shared" si="284"/>
        <v xml:space="preserve">     2.6 </v>
      </c>
      <c r="AC1006" t="str">
        <f t="shared" si="285"/>
        <v xml:space="preserve">     5.7 </v>
      </c>
      <c r="AD1006" t="str">
        <f t="shared" si="286"/>
        <v xml:space="preserve">        </v>
      </c>
      <c r="AE1006" t="str">
        <f t="shared" si="276"/>
        <v xml:space="preserve">       </v>
      </c>
      <c r="AF1006" t="str">
        <f t="shared" si="288"/>
        <v xml:space="preserve">     </v>
      </c>
      <c r="AG1006" t="str">
        <f t="shared" si="288"/>
        <v xml:space="preserve">     0.00 </v>
      </c>
      <c r="AH1006" t="str">
        <f t="shared" si="277"/>
        <v xml:space="preserve">     0.00 </v>
      </c>
      <c r="AI1006" t="str">
        <f t="shared" si="278"/>
        <v xml:space="preserve">       </v>
      </c>
      <c r="AJ1006" t="str">
        <f t="shared" si="279"/>
        <v xml:space="preserve">      </v>
      </c>
    </row>
    <row r="1007" spans="1:36" x14ac:dyDescent="0.25">
      <c r="A1007" t="s">
        <v>14</v>
      </c>
      <c r="P1007" t="str">
        <f t="shared" si="280"/>
        <v xml:space="preserve">  ..............</v>
      </c>
      <c r="Q1007" t="str">
        <f t="shared" si="280"/>
        <v>.........</v>
      </c>
      <c r="R1007" t="str">
        <f t="shared" si="273"/>
        <v>.........</v>
      </c>
      <c r="S1007" t="str">
        <f t="shared" si="281"/>
        <v>.........</v>
      </c>
      <c r="T1007" t="str">
        <f t="shared" si="282"/>
        <v>.........</v>
      </c>
      <c r="U1007" t="str">
        <f t="shared" si="286"/>
        <v>.............</v>
      </c>
      <c r="V1007" t="str">
        <f t="shared" si="274"/>
        <v>.........</v>
      </c>
      <c r="W1007" t="str">
        <f t="shared" si="283"/>
        <v>.........</v>
      </c>
      <c r="X1007" t="str">
        <f t="shared" si="287"/>
        <v>.......</v>
      </c>
      <c r="Y1007" t="str">
        <f t="shared" si="287"/>
        <v>..............</v>
      </c>
      <c r="Z1007" t="str">
        <f t="shared" si="287"/>
        <v>....</v>
      </c>
      <c r="AA1007" t="str">
        <f t="shared" si="275"/>
        <v>.........</v>
      </c>
      <c r="AB1007" t="str">
        <f t="shared" si="284"/>
        <v>.........</v>
      </c>
      <c r="AC1007" t="str">
        <f t="shared" si="285"/>
        <v>.........</v>
      </c>
      <c r="AD1007" t="str">
        <f t="shared" si="286"/>
        <v>........</v>
      </c>
      <c r="AE1007" t="str">
        <f t="shared" si="276"/>
        <v>.......</v>
      </c>
      <c r="AF1007" t="str">
        <f t="shared" si="288"/>
        <v>.....</v>
      </c>
      <c r="AG1007" t="str">
        <f t="shared" si="288"/>
        <v>..........</v>
      </c>
      <c r="AH1007" t="str">
        <f t="shared" si="277"/>
        <v>..........</v>
      </c>
      <c r="AI1007" t="str">
        <f t="shared" si="278"/>
        <v>.......</v>
      </c>
      <c r="AJ1007" t="str">
        <f t="shared" si="279"/>
        <v>.......</v>
      </c>
    </row>
    <row r="1008" spans="1:36" x14ac:dyDescent="0.25">
      <c r="A1008" t="s">
        <v>789</v>
      </c>
      <c r="P1008" t="str">
        <f t="shared" si="280"/>
        <v xml:space="preserve">   9220  992  1 </v>
      </c>
      <c r="Q1008" t="str">
        <f t="shared" si="280"/>
        <v xml:space="preserve">   1.001 </v>
      </c>
      <c r="R1008" t="str">
        <f t="shared" si="273"/>
        <v xml:space="preserve">    23.0 </v>
      </c>
      <c r="S1008" t="str">
        <f t="shared" si="281"/>
        <v xml:space="preserve">     0.0 </v>
      </c>
      <c r="T1008" t="str">
        <f t="shared" si="282"/>
        <v xml:space="preserve">     0.0 </v>
      </c>
      <c r="U1008" t="str">
        <f t="shared" si="286"/>
        <v xml:space="preserve">         0.0 </v>
      </c>
      <c r="V1008" t="str">
        <f t="shared" si="274"/>
        <v xml:space="preserve">     0.0 </v>
      </c>
      <c r="W1008" t="str">
        <f t="shared" si="283"/>
        <v xml:space="preserve">     0.0</v>
      </c>
      <c r="X1008" t="str">
        <f t="shared" si="287"/>
        <v/>
      </c>
      <c r="Y1008" t="str">
        <f t="shared" si="287"/>
        <v/>
      </c>
      <c r="Z1008" t="str">
        <f t="shared" si="287"/>
        <v/>
      </c>
      <c r="AA1008" t="str">
        <f t="shared" si="275"/>
        <v/>
      </c>
      <c r="AB1008" t="str">
        <f t="shared" si="284"/>
        <v/>
      </c>
      <c r="AC1008" t="str">
        <f t="shared" si="285"/>
        <v/>
      </c>
      <c r="AD1008" t="str">
        <f t="shared" si="286"/>
        <v/>
      </c>
      <c r="AE1008" t="str">
        <f t="shared" si="276"/>
        <v/>
      </c>
      <c r="AF1008" t="str">
        <f t="shared" si="288"/>
        <v/>
      </c>
      <c r="AG1008" t="str">
        <f t="shared" si="288"/>
        <v/>
      </c>
      <c r="AH1008" t="str">
        <f t="shared" si="277"/>
        <v/>
      </c>
      <c r="AI1008" t="str">
        <f t="shared" si="278"/>
        <v/>
      </c>
      <c r="AJ1008" t="str">
        <f t="shared" si="279"/>
        <v/>
      </c>
    </row>
    <row r="1009" spans="1:36" x14ac:dyDescent="0.25">
      <c r="A1009" t="s">
        <v>790</v>
      </c>
      <c r="P1009" t="str">
        <f t="shared" si="280"/>
        <v xml:space="preserve">  SJOSE-UHE001  </v>
      </c>
      <c r="Q1009" t="str">
        <f t="shared" si="280"/>
        <v xml:space="preserve">   -40.0 </v>
      </c>
      <c r="R1009" t="str">
        <f t="shared" si="273"/>
        <v xml:space="preserve">     8.5 </v>
      </c>
      <c r="S1009" t="str">
        <f t="shared" si="281"/>
        <v xml:space="preserve">     0.0 </v>
      </c>
      <c r="T1009" t="str">
        <f t="shared" si="282"/>
        <v xml:space="preserve">     0.0 </v>
      </c>
      <c r="U1009" t="str">
        <f t="shared" si="286"/>
        <v xml:space="preserve">         0.0 </v>
      </c>
      <c r="V1009" t="str">
        <f t="shared" si="274"/>
        <v xml:space="preserve">     0.0 </v>
      </c>
      <c r="W1009" t="str">
        <f t="shared" si="283"/>
        <v xml:space="preserve">     0.0 </v>
      </c>
      <c r="X1009" t="str">
        <f t="shared" si="287"/>
        <v xml:space="preserve">       </v>
      </c>
      <c r="Y1009" t="str">
        <f t="shared" si="287"/>
        <v xml:space="preserve">              </v>
      </c>
      <c r="Z1009" t="str">
        <f t="shared" si="287"/>
        <v xml:space="preserve">    </v>
      </c>
      <c r="AA1009" t="str">
        <f t="shared" si="275"/>
        <v xml:space="preserve">         </v>
      </c>
      <c r="AB1009" t="str">
        <f t="shared" si="284"/>
        <v xml:space="preserve">         </v>
      </c>
      <c r="AC1009" t="str">
        <f t="shared" si="285"/>
        <v xml:space="preserve">    </v>
      </c>
      <c r="AD1009" t="str">
        <f t="shared" si="286"/>
        <v/>
      </c>
      <c r="AE1009" t="str">
        <f t="shared" si="276"/>
        <v/>
      </c>
      <c r="AF1009" t="str">
        <f t="shared" si="288"/>
        <v/>
      </c>
      <c r="AG1009" t="str">
        <f t="shared" si="288"/>
        <v/>
      </c>
      <c r="AH1009" t="str">
        <f t="shared" si="277"/>
        <v/>
      </c>
      <c r="AI1009" t="str">
        <f t="shared" si="278"/>
        <v/>
      </c>
      <c r="AJ1009" t="str">
        <f t="shared" si="279"/>
        <v/>
      </c>
    </row>
    <row r="1010" spans="1:36" x14ac:dyDescent="0.25">
      <c r="A1010" t="s">
        <v>791</v>
      </c>
      <c r="P1010" t="str">
        <f t="shared" si="280"/>
        <v xml:space="preserve">                </v>
      </c>
      <c r="Q1010" t="str">
        <f t="shared" si="280"/>
        <v xml:space="preserve">         </v>
      </c>
      <c r="R1010" t="str">
        <f t="shared" si="273"/>
        <v xml:space="preserve">   134.0 </v>
      </c>
      <c r="S1010" t="str">
        <f t="shared" si="281"/>
        <v xml:space="preserve">   134.0 </v>
      </c>
      <c r="T1010" t="str">
        <f t="shared" si="282"/>
        <v xml:space="preserve">   134.0 </v>
      </c>
      <c r="U1010" t="str">
        <f t="shared" si="286"/>
        <v xml:space="preserve">       18.3% </v>
      </c>
      <c r="V1010" t="str">
        <f t="shared" si="274"/>
        <v xml:space="preserve">         </v>
      </c>
      <c r="W1010" t="str">
        <f t="shared" si="283"/>
        <v xml:space="preserve">         </v>
      </c>
      <c r="X1010" t="str">
        <f t="shared" si="287"/>
        <v xml:space="preserve">  9221 </v>
      </c>
      <c r="Y1010" t="str">
        <f t="shared" si="287"/>
        <v xml:space="preserve"> SJOSE--RS069 </v>
      </c>
      <c r="Z1010" t="str">
        <f t="shared" si="287"/>
        <v xml:space="preserve">  1 </v>
      </c>
      <c r="AA1010" t="str">
        <f t="shared" si="275"/>
        <v xml:space="preserve">    23.0 </v>
      </c>
      <c r="AB1010" t="str">
        <f t="shared" si="284"/>
        <v xml:space="preserve">     8.5 </v>
      </c>
      <c r="AC1010" t="str">
        <f t="shared" si="285"/>
        <v xml:space="preserve">    24.5 </v>
      </c>
      <c r="AD1010" t="str">
        <f t="shared" si="286"/>
        <v xml:space="preserve">        </v>
      </c>
      <c r="AE1010" t="str">
        <f t="shared" si="276"/>
        <v xml:space="preserve">       </v>
      </c>
      <c r="AF1010" t="str">
        <f t="shared" si="288"/>
        <v xml:space="preserve">     </v>
      </c>
      <c r="AG1010" t="str">
        <f t="shared" si="288"/>
        <v xml:space="preserve">     0.00 </v>
      </c>
      <c r="AH1010" t="str">
        <f t="shared" si="277"/>
        <v xml:space="preserve">     2.60 </v>
      </c>
      <c r="AI1010" t="str">
        <f t="shared" si="278"/>
        <v xml:space="preserve">       </v>
      </c>
      <c r="AJ1010" t="str">
        <f t="shared" si="279"/>
        <v xml:space="preserve">      </v>
      </c>
    </row>
    <row r="1011" spans="1:36" x14ac:dyDescent="0.25">
      <c r="A1011" t="s">
        <v>14</v>
      </c>
      <c r="P1011" t="str">
        <f t="shared" si="280"/>
        <v xml:space="preserve">  ..............</v>
      </c>
      <c r="Q1011" t="str">
        <f t="shared" si="280"/>
        <v>.........</v>
      </c>
      <c r="R1011" t="str">
        <f t="shared" si="273"/>
        <v>.........</v>
      </c>
      <c r="S1011" t="str">
        <f t="shared" si="281"/>
        <v>.........</v>
      </c>
      <c r="T1011" t="str">
        <f t="shared" si="282"/>
        <v>.........</v>
      </c>
      <c r="U1011" t="str">
        <f t="shared" si="286"/>
        <v>.............</v>
      </c>
      <c r="V1011" t="str">
        <f t="shared" si="274"/>
        <v>.........</v>
      </c>
      <c r="W1011" t="str">
        <f t="shared" si="283"/>
        <v>.........</v>
      </c>
      <c r="X1011" t="str">
        <f t="shared" si="287"/>
        <v>.......</v>
      </c>
      <c r="Y1011" t="str">
        <f t="shared" si="287"/>
        <v>..............</v>
      </c>
      <c r="Z1011" t="str">
        <f t="shared" si="287"/>
        <v>....</v>
      </c>
      <c r="AA1011" t="str">
        <f t="shared" si="275"/>
        <v>.........</v>
      </c>
      <c r="AB1011" t="str">
        <f t="shared" si="284"/>
        <v>.........</v>
      </c>
      <c r="AC1011" t="str">
        <f t="shared" si="285"/>
        <v>.........</v>
      </c>
      <c r="AD1011" t="str">
        <f t="shared" si="286"/>
        <v>........</v>
      </c>
      <c r="AE1011" t="str">
        <f t="shared" si="276"/>
        <v>.......</v>
      </c>
      <c r="AF1011" t="str">
        <f t="shared" si="288"/>
        <v>.....</v>
      </c>
      <c r="AG1011" t="str">
        <f t="shared" si="288"/>
        <v>..........</v>
      </c>
      <c r="AH1011" t="str">
        <f t="shared" si="277"/>
        <v>..........</v>
      </c>
      <c r="AI1011" t="str">
        <f t="shared" si="278"/>
        <v>.......</v>
      </c>
      <c r="AJ1011" t="str">
        <f t="shared" si="279"/>
        <v>.......</v>
      </c>
    </row>
    <row r="1012" spans="1:36" x14ac:dyDescent="0.25">
      <c r="A1012" t="s">
        <v>792</v>
      </c>
      <c r="P1012" t="str">
        <f t="shared" si="280"/>
        <v xml:space="preserve">   9221   69  0 </v>
      </c>
      <c r="Q1012" t="str">
        <f t="shared" si="280"/>
        <v xml:space="preserve">   1.018 </v>
      </c>
      <c r="R1012" t="str">
        <f t="shared" si="273"/>
        <v xml:space="preserve">     0.0 </v>
      </c>
      <c r="S1012" t="str">
        <f t="shared" si="281"/>
        <v xml:space="preserve">     0.0 </v>
      </c>
      <c r="T1012" t="str">
        <f t="shared" si="282"/>
        <v xml:space="preserve">     0.0 </v>
      </c>
      <c r="U1012" t="str">
        <f t="shared" si="286"/>
        <v xml:space="preserve">         0.0 </v>
      </c>
      <c r="V1012" t="str">
        <f t="shared" si="274"/>
        <v xml:space="preserve">     0.0 </v>
      </c>
      <c r="W1012" t="str">
        <f t="shared" si="283"/>
        <v xml:space="preserve">     0.0</v>
      </c>
      <c r="X1012" t="str">
        <f t="shared" si="287"/>
        <v/>
      </c>
      <c r="Y1012" t="str">
        <f t="shared" si="287"/>
        <v/>
      </c>
      <c r="Z1012" t="str">
        <f t="shared" si="287"/>
        <v/>
      </c>
      <c r="AA1012" t="str">
        <f t="shared" si="275"/>
        <v/>
      </c>
      <c r="AB1012" t="str">
        <f t="shared" si="284"/>
        <v/>
      </c>
      <c r="AC1012" t="str">
        <f t="shared" si="285"/>
        <v/>
      </c>
      <c r="AD1012" t="str">
        <f t="shared" si="286"/>
        <v/>
      </c>
      <c r="AE1012" t="str">
        <f t="shared" si="276"/>
        <v/>
      </c>
      <c r="AF1012" t="str">
        <f t="shared" si="288"/>
        <v/>
      </c>
      <c r="AG1012" t="str">
        <f t="shared" si="288"/>
        <v/>
      </c>
      <c r="AH1012" t="str">
        <f t="shared" si="277"/>
        <v/>
      </c>
      <c r="AI1012" t="str">
        <f t="shared" si="278"/>
        <v/>
      </c>
      <c r="AJ1012" t="str">
        <f t="shared" si="279"/>
        <v/>
      </c>
    </row>
    <row r="1013" spans="1:36" x14ac:dyDescent="0.25">
      <c r="A1013" t="s">
        <v>793</v>
      </c>
      <c r="P1013" t="str">
        <f t="shared" si="280"/>
        <v xml:space="preserve">  SJOSE--RS069  </v>
      </c>
      <c r="Q1013" t="str">
        <f t="shared" si="280"/>
        <v xml:space="preserve">   -45.8 </v>
      </c>
      <c r="R1013" t="str">
        <f t="shared" si="273"/>
        <v xml:space="preserve">     0.0 </v>
      </c>
      <c r="S1013" t="str">
        <f t="shared" si="281"/>
        <v xml:space="preserve">     0.0 </v>
      </c>
      <c r="T1013" t="str">
        <f t="shared" si="282"/>
        <v xml:space="preserve">     0.0 </v>
      </c>
      <c r="U1013" t="str">
        <f t="shared" si="286"/>
        <v xml:space="preserve">         0.0 </v>
      </c>
      <c r="V1013" t="str">
        <f t="shared" si="274"/>
        <v xml:space="preserve">     0.0 </v>
      </c>
      <c r="W1013" t="str">
        <f t="shared" si="283"/>
        <v xml:space="preserve">     0.0 </v>
      </c>
      <c r="X1013" t="str">
        <f t="shared" si="287"/>
        <v xml:space="preserve">       </v>
      </c>
      <c r="Y1013" t="str">
        <f t="shared" si="287"/>
        <v xml:space="preserve">              </v>
      </c>
      <c r="Z1013" t="str">
        <f t="shared" si="287"/>
        <v xml:space="preserve">    </v>
      </c>
      <c r="AA1013" t="str">
        <f t="shared" si="275"/>
        <v xml:space="preserve">         </v>
      </c>
      <c r="AB1013" t="str">
        <f t="shared" si="284"/>
        <v xml:space="preserve">         </v>
      </c>
      <c r="AC1013" t="str">
        <f t="shared" si="285"/>
        <v xml:space="preserve">    </v>
      </c>
      <c r="AD1013" t="str">
        <f t="shared" si="286"/>
        <v/>
      </c>
      <c r="AE1013" t="str">
        <f t="shared" si="276"/>
        <v/>
      </c>
      <c r="AF1013" t="str">
        <f t="shared" si="288"/>
        <v/>
      </c>
      <c r="AG1013" t="str">
        <f t="shared" si="288"/>
        <v/>
      </c>
      <c r="AH1013" t="str">
        <f t="shared" si="277"/>
        <v/>
      </c>
      <c r="AI1013" t="str">
        <f t="shared" si="278"/>
        <v/>
      </c>
      <c r="AJ1013" t="str">
        <f t="shared" si="279"/>
        <v/>
      </c>
    </row>
    <row r="1014" spans="1:36" x14ac:dyDescent="0.25">
      <c r="A1014" t="s">
        <v>794</v>
      </c>
      <c r="P1014" t="str">
        <f t="shared" si="280"/>
        <v xml:space="preserve">                </v>
      </c>
      <c r="Q1014" t="str">
        <f t="shared" si="280"/>
        <v xml:space="preserve">         </v>
      </c>
      <c r="R1014" t="str">
        <f t="shared" si="273"/>
        <v xml:space="preserve">   134.0 </v>
      </c>
      <c r="S1014" t="str">
        <f t="shared" si="281"/>
        <v xml:space="preserve">   134.0 </v>
      </c>
      <c r="T1014" t="str">
        <f t="shared" si="282"/>
        <v xml:space="preserve">   134.0 </v>
      </c>
      <c r="U1014" t="str">
        <f t="shared" si="286"/>
        <v xml:space="preserve">       17.4% </v>
      </c>
      <c r="V1014" t="str">
        <f t="shared" si="274"/>
        <v xml:space="preserve">         </v>
      </c>
      <c r="W1014" t="str">
        <f t="shared" si="283"/>
        <v xml:space="preserve">         </v>
      </c>
      <c r="X1014" t="str">
        <f t="shared" si="287"/>
        <v xml:space="preserve">  9220 </v>
      </c>
      <c r="Y1014" t="str">
        <f t="shared" si="287"/>
        <v xml:space="preserve"> SJOSE-UHE001 </v>
      </c>
      <c r="Z1014" t="str">
        <f t="shared" si="287"/>
        <v xml:space="preserve">  1 </v>
      </c>
      <c r="AA1014" t="str">
        <f t="shared" si="275"/>
        <v xml:space="preserve">   -23.0 </v>
      </c>
      <c r="AB1014" t="str">
        <f t="shared" si="284"/>
        <v xml:space="preserve">    -5.9 </v>
      </c>
      <c r="AC1014" t="str">
        <f t="shared" si="285"/>
        <v xml:space="preserve">    23.3 </v>
      </c>
      <c r="AD1014" t="str">
        <f t="shared" si="286"/>
        <v xml:space="preserve"> 1.050F </v>
      </c>
      <c r="AE1014" t="str">
        <f t="shared" si="276"/>
        <v xml:space="preserve">       </v>
      </c>
      <c r="AF1014" t="str">
        <f t="shared" si="288"/>
        <v xml:space="preserve">     </v>
      </c>
      <c r="AG1014" t="str">
        <f t="shared" si="288"/>
        <v xml:space="preserve">     0.00 </v>
      </c>
      <c r="AH1014" t="str">
        <f t="shared" si="277"/>
        <v xml:space="preserve">     2.60 </v>
      </c>
      <c r="AI1014" t="str">
        <f t="shared" si="278"/>
        <v xml:space="preserve">       </v>
      </c>
      <c r="AJ1014" t="str">
        <f t="shared" si="279"/>
        <v xml:space="preserve">      </v>
      </c>
    </row>
    <row r="1015" spans="1:36" x14ac:dyDescent="0.25">
      <c r="A1015" t="s">
        <v>795</v>
      </c>
      <c r="P1015" t="str">
        <f t="shared" si="280"/>
        <v xml:space="preserve">                </v>
      </c>
      <c r="Q1015" t="str">
        <f t="shared" si="280"/>
        <v xml:space="preserve">         </v>
      </c>
      <c r="R1015" t="str">
        <f t="shared" si="273"/>
        <v xml:space="preserve">    82.0 </v>
      </c>
      <c r="S1015" t="str">
        <f t="shared" si="281"/>
        <v xml:space="preserve">    82.0 </v>
      </c>
      <c r="T1015" t="str">
        <f t="shared" si="282"/>
        <v xml:space="preserve">    82.0 </v>
      </c>
      <c r="U1015" t="str">
        <f t="shared" si="286"/>
        <v xml:space="preserve">       28.4% </v>
      </c>
      <c r="V1015" t="str">
        <f t="shared" si="274"/>
        <v xml:space="preserve">         </v>
      </c>
      <c r="W1015" t="str">
        <f t="shared" si="283"/>
        <v xml:space="preserve">         </v>
      </c>
      <c r="X1015" t="str">
        <f t="shared" si="287"/>
        <v xml:space="preserve">  9261 </v>
      </c>
      <c r="Y1015" t="str">
        <f t="shared" si="287"/>
        <v xml:space="preserve"> CLARGO-RS069 </v>
      </c>
      <c r="Z1015" t="str">
        <f t="shared" si="287"/>
        <v xml:space="preserve">  1 </v>
      </c>
      <c r="AA1015" t="str">
        <f t="shared" si="275"/>
        <v xml:space="preserve">    23.0 </v>
      </c>
      <c r="AB1015" t="str">
        <f t="shared" si="284"/>
        <v xml:space="preserve">     5.9 </v>
      </c>
      <c r="AC1015" t="str">
        <f t="shared" si="285"/>
        <v xml:space="preserve">    23.3 </v>
      </c>
      <c r="AD1015" t="str">
        <f t="shared" si="286"/>
        <v xml:space="preserve">        </v>
      </c>
      <c r="AE1015" t="str">
        <f t="shared" si="276"/>
        <v xml:space="preserve">       </v>
      </c>
      <c r="AF1015" t="str">
        <f t="shared" si="288"/>
        <v xml:space="preserve">     </v>
      </c>
      <c r="AG1015" t="str">
        <f t="shared" si="288"/>
        <v xml:space="preserve">     0.17 </v>
      </c>
      <c r="AH1015" t="str">
        <f t="shared" si="277"/>
        <v xml:space="preserve">     0.46 </v>
      </c>
      <c r="AI1015" t="str">
        <f t="shared" si="278"/>
        <v xml:space="preserve">       </v>
      </c>
      <c r="AJ1015" t="str">
        <f t="shared" si="279"/>
        <v xml:space="preserve">      </v>
      </c>
    </row>
    <row r="1016" spans="1:36" x14ac:dyDescent="0.25">
      <c r="A1016" t="s">
        <v>14</v>
      </c>
      <c r="P1016" t="str">
        <f t="shared" si="280"/>
        <v xml:space="preserve">  ..............</v>
      </c>
      <c r="Q1016" t="str">
        <f t="shared" si="280"/>
        <v>.........</v>
      </c>
      <c r="R1016" t="str">
        <f t="shared" si="273"/>
        <v>.........</v>
      </c>
      <c r="S1016" t="str">
        <f t="shared" si="281"/>
        <v>.........</v>
      </c>
      <c r="T1016" t="str">
        <f t="shared" si="282"/>
        <v>.........</v>
      </c>
      <c r="U1016" t="str">
        <f t="shared" si="286"/>
        <v>.............</v>
      </c>
      <c r="V1016" t="str">
        <f t="shared" si="274"/>
        <v>.........</v>
      </c>
      <c r="W1016" t="str">
        <f t="shared" si="283"/>
        <v>.........</v>
      </c>
      <c r="X1016" t="str">
        <f t="shared" si="287"/>
        <v>.......</v>
      </c>
      <c r="Y1016" t="str">
        <f t="shared" si="287"/>
        <v>..............</v>
      </c>
      <c r="Z1016" t="str">
        <f t="shared" si="287"/>
        <v>....</v>
      </c>
      <c r="AA1016" t="str">
        <f t="shared" si="275"/>
        <v>.........</v>
      </c>
      <c r="AB1016" t="str">
        <f t="shared" si="284"/>
        <v>.........</v>
      </c>
      <c r="AC1016" t="str">
        <f t="shared" si="285"/>
        <v>.........</v>
      </c>
      <c r="AD1016" t="str">
        <f t="shared" si="286"/>
        <v>........</v>
      </c>
      <c r="AE1016" t="str">
        <f t="shared" si="276"/>
        <v>.......</v>
      </c>
      <c r="AF1016" t="str">
        <f t="shared" si="288"/>
        <v>.....</v>
      </c>
      <c r="AG1016" t="str">
        <f t="shared" si="288"/>
        <v>..........</v>
      </c>
      <c r="AH1016" t="str">
        <f t="shared" si="277"/>
        <v>..........</v>
      </c>
      <c r="AI1016" t="str">
        <f t="shared" si="278"/>
        <v>.......</v>
      </c>
      <c r="AJ1016" t="str">
        <f t="shared" si="279"/>
        <v>.......</v>
      </c>
    </row>
    <row r="1017" spans="1:36" x14ac:dyDescent="0.25">
      <c r="A1017" t="s">
        <v>796</v>
      </c>
      <c r="P1017" t="str">
        <f t="shared" si="280"/>
        <v xml:space="preserve">   9222  992  1 </v>
      </c>
      <c r="Q1017" t="str">
        <f t="shared" si="280"/>
        <v xml:space="preserve">   1.018 </v>
      </c>
      <c r="R1017" t="str">
        <f t="shared" si="273"/>
        <v xml:space="preserve">     4.0 </v>
      </c>
      <c r="S1017" t="str">
        <f t="shared" si="281"/>
        <v xml:space="preserve">     0.0 </v>
      </c>
      <c r="T1017" t="str">
        <f t="shared" si="282"/>
        <v xml:space="preserve">     0.0 </v>
      </c>
      <c r="U1017" t="str">
        <f t="shared" si="286"/>
        <v xml:space="preserve">         0.0 </v>
      </c>
      <c r="V1017" t="str">
        <f t="shared" si="274"/>
        <v xml:space="preserve">     0.0 </v>
      </c>
      <c r="W1017" t="str">
        <f t="shared" si="283"/>
        <v xml:space="preserve">     0.0</v>
      </c>
      <c r="X1017" t="str">
        <f t="shared" si="287"/>
        <v/>
      </c>
      <c r="Y1017" t="str">
        <f t="shared" si="287"/>
        <v/>
      </c>
      <c r="Z1017" t="str">
        <f t="shared" si="287"/>
        <v/>
      </c>
      <c r="AA1017" t="str">
        <f t="shared" si="275"/>
        <v/>
      </c>
      <c r="AB1017" t="str">
        <f t="shared" si="284"/>
        <v/>
      </c>
      <c r="AC1017" t="str">
        <f t="shared" si="285"/>
        <v/>
      </c>
      <c r="AD1017" t="str">
        <f t="shared" si="286"/>
        <v/>
      </c>
      <c r="AE1017" t="str">
        <f t="shared" si="276"/>
        <v/>
      </c>
      <c r="AF1017" t="str">
        <f t="shared" si="288"/>
        <v/>
      </c>
      <c r="AG1017" t="str">
        <f t="shared" si="288"/>
        <v/>
      </c>
      <c r="AH1017" t="str">
        <f t="shared" si="277"/>
        <v/>
      </c>
      <c r="AI1017" t="str">
        <f t="shared" si="278"/>
        <v/>
      </c>
      <c r="AJ1017" t="str">
        <f t="shared" si="279"/>
        <v/>
      </c>
    </row>
    <row r="1018" spans="1:36" x14ac:dyDescent="0.25">
      <c r="A1018" t="s">
        <v>797</v>
      </c>
      <c r="P1018" t="str">
        <f t="shared" si="280"/>
        <v xml:space="preserve">  KOTZIAPCH006  </v>
      </c>
      <c r="Q1018" t="str">
        <f t="shared" si="280"/>
        <v xml:space="preserve">   -45.7 </v>
      </c>
      <c r="R1018" t="str">
        <f t="shared" si="273"/>
        <v xml:space="preserve">    -1.2 </v>
      </c>
      <c r="S1018" t="str">
        <f t="shared" si="281"/>
        <v xml:space="preserve">     0.0 </v>
      </c>
      <c r="T1018" t="str">
        <f t="shared" si="282"/>
        <v xml:space="preserve">     0.0 </v>
      </c>
      <c r="U1018" t="str">
        <f t="shared" si="286"/>
        <v xml:space="preserve">         0.0 </v>
      </c>
      <c r="V1018" t="str">
        <f t="shared" si="274"/>
        <v xml:space="preserve">     0.0 </v>
      </c>
      <c r="W1018" t="str">
        <f t="shared" si="283"/>
        <v xml:space="preserve">     0.0 </v>
      </c>
      <c r="X1018" t="str">
        <f t="shared" si="287"/>
        <v xml:space="preserve">       </v>
      </c>
      <c r="Y1018" t="str">
        <f t="shared" si="287"/>
        <v xml:space="preserve">              </v>
      </c>
      <c r="Z1018" t="str">
        <f t="shared" si="287"/>
        <v xml:space="preserve">    </v>
      </c>
      <c r="AA1018" t="str">
        <f t="shared" si="275"/>
        <v xml:space="preserve">         </v>
      </c>
      <c r="AB1018" t="str">
        <f t="shared" si="284"/>
        <v xml:space="preserve">         </v>
      </c>
      <c r="AC1018" t="str">
        <f t="shared" si="285"/>
        <v xml:space="preserve">    </v>
      </c>
      <c r="AD1018" t="str">
        <f t="shared" si="286"/>
        <v/>
      </c>
      <c r="AE1018" t="str">
        <f t="shared" si="276"/>
        <v/>
      </c>
      <c r="AF1018" t="str">
        <f t="shared" si="288"/>
        <v/>
      </c>
      <c r="AG1018" t="str">
        <f t="shared" si="288"/>
        <v/>
      </c>
      <c r="AH1018" t="str">
        <f t="shared" si="277"/>
        <v/>
      </c>
      <c r="AI1018" t="str">
        <f t="shared" si="278"/>
        <v/>
      </c>
      <c r="AJ1018" t="str">
        <f t="shared" si="279"/>
        <v/>
      </c>
    </row>
    <row r="1019" spans="1:36" x14ac:dyDescent="0.25">
      <c r="A1019" t="s">
        <v>798</v>
      </c>
      <c r="P1019" t="str">
        <f t="shared" si="280"/>
        <v xml:space="preserve">                </v>
      </c>
      <c r="Q1019" t="str">
        <f t="shared" si="280"/>
        <v xml:space="preserve">         </v>
      </c>
      <c r="R1019" t="str">
        <f t="shared" si="273"/>
        <v xml:space="preserve">    15.0 </v>
      </c>
      <c r="S1019" t="str">
        <f t="shared" si="281"/>
        <v xml:space="preserve">    15.0 </v>
      </c>
      <c r="T1019" t="str">
        <f t="shared" si="282"/>
        <v xml:space="preserve">    15.0 </v>
      </c>
      <c r="U1019" t="str">
        <f t="shared" si="286"/>
        <v xml:space="preserve">       27.3% </v>
      </c>
      <c r="V1019" t="str">
        <f t="shared" si="274"/>
        <v xml:space="preserve">         </v>
      </c>
      <c r="W1019" t="str">
        <f t="shared" si="283"/>
        <v xml:space="preserve">         </v>
      </c>
      <c r="X1019" t="str">
        <f t="shared" si="287"/>
        <v xml:space="preserve">  9223 </v>
      </c>
      <c r="Y1019" t="str">
        <f t="shared" si="287"/>
        <v xml:space="preserve"> KOTZIA-RS138 </v>
      </c>
      <c r="Z1019" t="str">
        <f t="shared" si="287"/>
        <v xml:space="preserve">  1 </v>
      </c>
      <c r="AA1019" t="str">
        <f t="shared" si="275"/>
        <v xml:space="preserve">     4.0 </v>
      </c>
      <c r="AB1019" t="str">
        <f t="shared" si="284"/>
        <v xml:space="preserve">    -1.2 </v>
      </c>
      <c r="AC1019" t="str">
        <f t="shared" si="285"/>
        <v xml:space="preserve">     4.1 </v>
      </c>
      <c r="AD1019" t="str">
        <f t="shared" si="286"/>
        <v xml:space="preserve"> 1.000F </v>
      </c>
      <c r="AE1019" t="str">
        <f t="shared" si="276"/>
        <v xml:space="preserve">       </v>
      </c>
      <c r="AF1019" t="str">
        <f t="shared" si="288"/>
        <v xml:space="preserve">     </v>
      </c>
      <c r="AG1019" t="str">
        <f t="shared" si="288"/>
        <v xml:space="preserve">     0.00 </v>
      </c>
      <c r="AH1019" t="str">
        <f t="shared" si="277"/>
        <v xml:space="preserve">     0.09 </v>
      </c>
      <c r="AI1019" t="str">
        <f t="shared" si="278"/>
        <v xml:space="preserve">       </v>
      </c>
      <c r="AJ1019" t="str">
        <f t="shared" si="279"/>
        <v xml:space="preserve">      </v>
      </c>
    </row>
    <row r="1020" spans="1:36" x14ac:dyDescent="0.25">
      <c r="A1020" t="s">
        <v>14</v>
      </c>
      <c r="P1020" t="str">
        <f t="shared" si="280"/>
        <v xml:space="preserve">  ..............</v>
      </c>
      <c r="Q1020" t="str">
        <f t="shared" si="280"/>
        <v>.........</v>
      </c>
      <c r="R1020" t="str">
        <f t="shared" si="273"/>
        <v>.........</v>
      </c>
      <c r="S1020" t="str">
        <f t="shared" si="281"/>
        <v>.........</v>
      </c>
      <c r="T1020" t="str">
        <f t="shared" si="282"/>
        <v>.........</v>
      </c>
      <c r="U1020" t="str">
        <f t="shared" si="286"/>
        <v>.............</v>
      </c>
      <c r="V1020" t="str">
        <f t="shared" si="274"/>
        <v>.........</v>
      </c>
      <c r="W1020" t="str">
        <f t="shared" si="283"/>
        <v>.........</v>
      </c>
      <c r="X1020" t="str">
        <f t="shared" si="287"/>
        <v>.......</v>
      </c>
      <c r="Y1020" t="str">
        <f t="shared" si="287"/>
        <v>..............</v>
      </c>
      <c r="Z1020" t="str">
        <f t="shared" si="287"/>
        <v>....</v>
      </c>
      <c r="AA1020" t="str">
        <f t="shared" si="275"/>
        <v>.........</v>
      </c>
      <c r="AB1020" t="str">
        <f t="shared" si="284"/>
        <v>.........</v>
      </c>
      <c r="AC1020" t="str">
        <f t="shared" si="285"/>
        <v>.........</v>
      </c>
      <c r="AD1020" t="str">
        <f t="shared" si="286"/>
        <v>........</v>
      </c>
      <c r="AE1020" t="str">
        <f t="shared" si="276"/>
        <v>.......</v>
      </c>
      <c r="AF1020" t="str">
        <f t="shared" si="288"/>
        <v>.....</v>
      </c>
      <c r="AG1020" t="str">
        <f t="shared" si="288"/>
        <v>..........</v>
      </c>
      <c r="AH1020" t="str">
        <f t="shared" si="277"/>
        <v>..........</v>
      </c>
      <c r="AI1020" t="str">
        <f t="shared" si="278"/>
        <v>.......</v>
      </c>
      <c r="AJ1020" t="str">
        <f t="shared" si="279"/>
        <v>.......</v>
      </c>
    </row>
    <row r="1021" spans="1:36" x14ac:dyDescent="0.25">
      <c r="A1021" t="s">
        <v>799</v>
      </c>
      <c r="P1021" t="str">
        <f t="shared" si="280"/>
        <v xml:space="preserve">   9223  138  0 </v>
      </c>
      <c r="Q1021" t="str">
        <f t="shared" si="280"/>
        <v xml:space="preserve">   1.024 </v>
      </c>
      <c r="R1021" t="str">
        <f t="shared" si="273"/>
        <v xml:space="preserve">     0.0 </v>
      </c>
      <c r="S1021" t="str">
        <f t="shared" si="281"/>
        <v xml:space="preserve">     0.0 </v>
      </c>
      <c r="T1021" t="str">
        <f t="shared" si="282"/>
        <v xml:space="preserve">     0.0 </v>
      </c>
      <c r="U1021" t="str">
        <f t="shared" si="286"/>
        <v xml:space="preserve">         0.0 </v>
      </c>
      <c r="V1021" t="str">
        <f t="shared" si="274"/>
        <v xml:space="preserve">     0.0 </v>
      </c>
      <c r="W1021" t="str">
        <f t="shared" si="283"/>
        <v xml:space="preserve">     0.0</v>
      </c>
      <c r="X1021" t="str">
        <f t="shared" si="287"/>
        <v/>
      </c>
      <c r="Y1021" t="str">
        <f t="shared" si="287"/>
        <v/>
      </c>
      <c r="Z1021" t="str">
        <f t="shared" si="287"/>
        <v/>
      </c>
      <c r="AA1021" t="str">
        <f t="shared" si="275"/>
        <v/>
      </c>
      <c r="AB1021" t="str">
        <f t="shared" si="284"/>
        <v/>
      </c>
      <c r="AC1021" t="str">
        <f t="shared" si="285"/>
        <v/>
      </c>
      <c r="AD1021" t="str">
        <f t="shared" si="286"/>
        <v/>
      </c>
      <c r="AE1021" t="str">
        <f t="shared" si="276"/>
        <v/>
      </c>
      <c r="AF1021" t="str">
        <f t="shared" si="288"/>
        <v/>
      </c>
      <c r="AG1021" t="str">
        <f t="shared" si="288"/>
        <v/>
      </c>
      <c r="AH1021" t="str">
        <f t="shared" si="277"/>
        <v/>
      </c>
      <c r="AI1021" t="str">
        <f t="shared" si="278"/>
        <v/>
      </c>
      <c r="AJ1021" t="str">
        <f t="shared" si="279"/>
        <v/>
      </c>
    </row>
    <row r="1022" spans="1:36" x14ac:dyDescent="0.25">
      <c r="A1022" t="s">
        <v>800</v>
      </c>
      <c r="P1022" t="str">
        <f t="shared" si="280"/>
        <v xml:space="preserve">  KOTZIA-RS138  </v>
      </c>
      <c r="Q1022" t="str">
        <f t="shared" si="280"/>
        <v xml:space="preserve">   -46.9 </v>
      </c>
      <c r="R1022" t="str">
        <f t="shared" si="273"/>
        <v xml:space="preserve">     0.0 </v>
      </c>
      <c r="S1022" t="str">
        <f t="shared" si="281"/>
        <v xml:space="preserve">     0.0 </v>
      </c>
      <c r="T1022" t="str">
        <f t="shared" si="282"/>
        <v xml:space="preserve">     0.0 </v>
      </c>
      <c r="U1022" t="str">
        <f t="shared" si="286"/>
        <v xml:space="preserve">         0.0 </v>
      </c>
      <c r="V1022" t="str">
        <f t="shared" si="274"/>
        <v xml:space="preserve">     0.0 </v>
      </c>
      <c r="W1022" t="str">
        <f t="shared" si="283"/>
        <v xml:space="preserve">     0.0 </v>
      </c>
      <c r="X1022" t="str">
        <f t="shared" si="287"/>
        <v xml:space="preserve">       </v>
      </c>
      <c r="Y1022" t="str">
        <f t="shared" si="287"/>
        <v xml:space="preserve">              </v>
      </c>
      <c r="Z1022" t="str">
        <f t="shared" si="287"/>
        <v xml:space="preserve">    </v>
      </c>
      <c r="AA1022" t="str">
        <f t="shared" si="275"/>
        <v xml:space="preserve">         </v>
      </c>
      <c r="AB1022" t="str">
        <f t="shared" si="284"/>
        <v xml:space="preserve">         </v>
      </c>
      <c r="AC1022" t="str">
        <f t="shared" si="285"/>
        <v xml:space="preserve">    </v>
      </c>
      <c r="AD1022" t="str">
        <f t="shared" si="286"/>
        <v/>
      </c>
      <c r="AE1022" t="str">
        <f t="shared" si="276"/>
        <v/>
      </c>
      <c r="AF1022" t="str">
        <f t="shared" si="288"/>
        <v/>
      </c>
      <c r="AG1022" t="str">
        <f t="shared" si="288"/>
        <v/>
      </c>
      <c r="AH1022" t="str">
        <f t="shared" si="277"/>
        <v/>
      </c>
      <c r="AI1022" t="str">
        <f t="shared" si="278"/>
        <v/>
      </c>
      <c r="AJ1022" t="str">
        <f t="shared" si="279"/>
        <v/>
      </c>
    </row>
    <row r="1023" spans="1:36" x14ac:dyDescent="0.25">
      <c r="A1023" t="s">
        <v>801</v>
      </c>
      <c r="P1023" t="str">
        <f t="shared" si="280"/>
        <v xml:space="preserve">                </v>
      </c>
      <c r="Q1023" t="str">
        <f t="shared" si="280"/>
        <v xml:space="preserve">         </v>
      </c>
      <c r="R1023" t="str">
        <f t="shared" si="273"/>
        <v xml:space="preserve">    91.0 </v>
      </c>
      <c r="S1023" t="str">
        <f t="shared" si="281"/>
        <v xml:space="preserve">    91.0 </v>
      </c>
      <c r="T1023" t="str">
        <f t="shared" si="282"/>
        <v xml:space="preserve">    91.0 </v>
      </c>
      <c r="U1023" t="str">
        <f t="shared" si="286"/>
        <v xml:space="preserve">       10.1% </v>
      </c>
      <c r="V1023" t="str">
        <f t="shared" si="274"/>
        <v xml:space="preserve">         </v>
      </c>
      <c r="W1023" t="str">
        <f t="shared" si="283"/>
        <v xml:space="preserve">         </v>
      </c>
      <c r="X1023" t="str">
        <f t="shared" si="287"/>
        <v xml:space="preserve">  1216 </v>
      </c>
      <c r="Y1023" t="str">
        <f t="shared" si="287"/>
        <v xml:space="preserve"> JACUI--RS138 </v>
      </c>
      <c r="Z1023" t="str">
        <f t="shared" si="287"/>
        <v xml:space="preserve">  1 </v>
      </c>
      <c r="AA1023" t="str">
        <f t="shared" si="275"/>
        <v xml:space="preserve">     9.1 </v>
      </c>
      <c r="AB1023" t="str">
        <f t="shared" si="284"/>
        <v xml:space="preserve">    -2.3 </v>
      </c>
      <c r="AC1023" t="str">
        <f t="shared" si="285"/>
        <v xml:space="preserve">     9.2 </v>
      </c>
      <c r="AD1023" t="str">
        <f t="shared" si="286"/>
        <v xml:space="preserve">        </v>
      </c>
      <c r="AE1023" t="str">
        <f t="shared" si="276"/>
        <v xml:space="preserve">       </v>
      </c>
      <c r="AF1023" t="str">
        <f t="shared" si="288"/>
        <v xml:space="preserve">     </v>
      </c>
      <c r="AG1023" t="str">
        <f t="shared" si="288"/>
        <v xml:space="preserve">     0.02 </v>
      </c>
      <c r="AH1023" t="str">
        <f t="shared" si="277"/>
        <v xml:space="preserve">    -0.66 </v>
      </c>
      <c r="AI1023" t="str">
        <f t="shared" si="278"/>
        <v xml:space="preserve">       </v>
      </c>
      <c r="AJ1023" t="str">
        <f t="shared" si="279"/>
        <v xml:space="preserve">      </v>
      </c>
    </row>
    <row r="1024" spans="1:36" x14ac:dyDescent="0.25">
      <c r="A1024" t="s">
        <v>802</v>
      </c>
      <c r="P1024" t="str">
        <f t="shared" si="280"/>
        <v xml:space="preserve">                </v>
      </c>
      <c r="Q1024" t="str">
        <f t="shared" si="280"/>
        <v xml:space="preserve">         </v>
      </c>
      <c r="R1024" t="str">
        <f t="shared" si="273"/>
        <v xml:space="preserve">    15.0 </v>
      </c>
      <c r="S1024" t="str">
        <f t="shared" si="281"/>
        <v xml:space="preserve">    15.0 </v>
      </c>
      <c r="T1024" t="str">
        <f t="shared" si="282"/>
        <v xml:space="preserve">    15.0 </v>
      </c>
      <c r="U1024" t="str">
        <f t="shared" si="286"/>
        <v xml:space="preserve">       27.3% </v>
      </c>
      <c r="V1024" t="str">
        <f t="shared" si="274"/>
        <v xml:space="preserve">         </v>
      </c>
      <c r="W1024" t="str">
        <f t="shared" si="283"/>
        <v xml:space="preserve">         </v>
      </c>
      <c r="X1024" t="str">
        <f t="shared" si="287"/>
        <v xml:space="preserve">  9222 </v>
      </c>
      <c r="Y1024" t="str">
        <f t="shared" si="287"/>
        <v xml:space="preserve"> KOTZIAPCH006 </v>
      </c>
      <c r="Z1024" t="str">
        <f t="shared" si="287"/>
        <v xml:space="preserve">  1 </v>
      </c>
      <c r="AA1024" t="str">
        <f t="shared" si="275"/>
        <v xml:space="preserve">    -4.0 </v>
      </c>
      <c r="AB1024" t="str">
        <f t="shared" si="284"/>
        <v xml:space="preserve">     1.3 </v>
      </c>
      <c r="AC1024" t="str">
        <f t="shared" si="285"/>
        <v xml:space="preserve">     4.1 </v>
      </c>
      <c r="AD1024" t="str">
        <f t="shared" si="286"/>
        <v xml:space="preserve">        </v>
      </c>
      <c r="AE1024" t="str">
        <f t="shared" si="276"/>
        <v xml:space="preserve">       </v>
      </c>
      <c r="AF1024" t="str">
        <f t="shared" si="288"/>
        <v xml:space="preserve">     </v>
      </c>
      <c r="AG1024" t="str">
        <f t="shared" si="288"/>
        <v xml:space="preserve">     0.00 </v>
      </c>
      <c r="AH1024" t="str">
        <f t="shared" si="277"/>
        <v xml:space="preserve">     0.09 </v>
      </c>
      <c r="AI1024" t="str">
        <f t="shared" si="278"/>
        <v xml:space="preserve">       </v>
      </c>
      <c r="AJ1024" t="str">
        <f t="shared" si="279"/>
        <v xml:space="preserve">      </v>
      </c>
    </row>
    <row r="1025" spans="1:36" x14ac:dyDescent="0.25">
      <c r="A1025" t="s">
        <v>803</v>
      </c>
      <c r="P1025" t="str">
        <f t="shared" si="280"/>
        <v xml:space="preserve">                </v>
      </c>
      <c r="Q1025" t="str">
        <f t="shared" si="280"/>
        <v xml:space="preserve">         </v>
      </c>
      <c r="R1025" t="str">
        <f t="shared" si="273"/>
        <v xml:space="preserve">    91.0 </v>
      </c>
      <c r="S1025" t="str">
        <f t="shared" si="281"/>
        <v xml:space="preserve">    91.0 </v>
      </c>
      <c r="T1025" t="str">
        <f t="shared" si="282"/>
        <v xml:space="preserve">    91.0 </v>
      </c>
      <c r="U1025" t="str">
        <f t="shared" si="286"/>
        <v xml:space="preserve">        5.6% </v>
      </c>
      <c r="V1025" t="str">
        <f t="shared" si="274"/>
        <v xml:space="preserve">         </v>
      </c>
      <c r="W1025" t="str">
        <f t="shared" si="283"/>
        <v xml:space="preserve">         </v>
      </c>
      <c r="X1025" t="str">
        <f t="shared" si="287"/>
        <v xml:space="preserve">  9225 </v>
      </c>
      <c r="Y1025" t="str">
        <f t="shared" si="287"/>
        <v xml:space="preserve"> DREHER-RS138 </v>
      </c>
      <c r="Z1025" t="str">
        <f t="shared" si="287"/>
        <v xml:space="preserve">  1 </v>
      </c>
      <c r="AA1025" t="str">
        <f t="shared" si="275"/>
        <v xml:space="preserve">    -5.1 </v>
      </c>
      <c r="AB1025" t="str">
        <f t="shared" si="284"/>
        <v xml:space="preserve">     1.0 </v>
      </c>
      <c r="AC1025" t="str">
        <f t="shared" si="285"/>
        <v xml:space="preserve">     5.1 </v>
      </c>
      <c r="AD1025" t="str">
        <f t="shared" si="286"/>
        <v xml:space="preserve">        </v>
      </c>
      <c r="AE1025" t="str">
        <f t="shared" si="276"/>
        <v xml:space="preserve">       </v>
      </c>
      <c r="AF1025" t="str">
        <f t="shared" si="288"/>
        <v xml:space="preserve">     </v>
      </c>
      <c r="AG1025" t="str">
        <f t="shared" si="288"/>
        <v xml:space="preserve">     0.00 </v>
      </c>
      <c r="AH1025" t="str">
        <f t="shared" si="277"/>
        <v xml:space="preserve">    -0.32 </v>
      </c>
      <c r="AI1025" t="str">
        <f t="shared" si="278"/>
        <v xml:space="preserve">       </v>
      </c>
      <c r="AJ1025" t="str">
        <f t="shared" si="279"/>
        <v xml:space="preserve">      </v>
      </c>
    </row>
    <row r="1026" spans="1:36" x14ac:dyDescent="0.25">
      <c r="A1026" t="s">
        <v>14</v>
      </c>
      <c r="P1026" t="str">
        <f t="shared" si="280"/>
        <v xml:space="preserve">  ..............</v>
      </c>
      <c r="Q1026" t="str">
        <f t="shared" si="280"/>
        <v>.........</v>
      </c>
      <c r="R1026" t="str">
        <f t="shared" si="273"/>
        <v>.........</v>
      </c>
      <c r="S1026" t="str">
        <f t="shared" si="281"/>
        <v>.........</v>
      </c>
      <c r="T1026" t="str">
        <f t="shared" si="282"/>
        <v>.........</v>
      </c>
      <c r="U1026" t="str">
        <f t="shared" si="286"/>
        <v>.............</v>
      </c>
      <c r="V1026" t="str">
        <f t="shared" si="274"/>
        <v>.........</v>
      </c>
      <c r="W1026" t="str">
        <f t="shared" si="283"/>
        <v>.........</v>
      </c>
      <c r="X1026" t="str">
        <f t="shared" si="287"/>
        <v>.......</v>
      </c>
      <c r="Y1026" t="str">
        <f t="shared" si="287"/>
        <v>..............</v>
      </c>
      <c r="Z1026" t="str">
        <f t="shared" si="287"/>
        <v>....</v>
      </c>
      <c r="AA1026" t="str">
        <f t="shared" si="275"/>
        <v>.........</v>
      </c>
      <c r="AB1026" t="str">
        <f t="shared" si="284"/>
        <v>.........</v>
      </c>
      <c r="AC1026" t="str">
        <f t="shared" si="285"/>
        <v>.........</v>
      </c>
      <c r="AD1026" t="str">
        <f t="shared" si="286"/>
        <v>........</v>
      </c>
      <c r="AE1026" t="str">
        <f t="shared" si="276"/>
        <v>.......</v>
      </c>
      <c r="AF1026" t="str">
        <f t="shared" si="288"/>
        <v>.....</v>
      </c>
      <c r="AG1026" t="str">
        <f t="shared" si="288"/>
        <v>..........</v>
      </c>
      <c r="AH1026" t="str">
        <f t="shared" si="277"/>
        <v>..........</v>
      </c>
      <c r="AI1026" t="str">
        <f t="shared" si="278"/>
        <v>.......</v>
      </c>
      <c r="AJ1026" t="str">
        <f t="shared" si="279"/>
        <v>.......</v>
      </c>
    </row>
    <row r="1027" spans="1:36" x14ac:dyDescent="0.25">
      <c r="A1027" t="s">
        <v>804</v>
      </c>
      <c r="P1027" t="str">
        <f t="shared" si="280"/>
        <v xml:space="preserve">   9224  992  1 </v>
      </c>
      <c r="Q1027" t="str">
        <f t="shared" si="280"/>
        <v xml:space="preserve">   1.020 </v>
      </c>
      <c r="R1027" t="str">
        <f t="shared" si="273"/>
        <v xml:space="preserve">     5.1 </v>
      </c>
      <c r="S1027" t="str">
        <f t="shared" si="281"/>
        <v xml:space="preserve">     0.0 </v>
      </c>
      <c r="T1027" t="str">
        <f t="shared" si="282"/>
        <v xml:space="preserve">     0.0 </v>
      </c>
      <c r="U1027" t="str">
        <f t="shared" si="286"/>
        <v xml:space="preserve">         0.0 </v>
      </c>
      <c r="V1027" t="str">
        <f t="shared" si="274"/>
        <v xml:space="preserve">     0.0 </v>
      </c>
      <c r="W1027" t="str">
        <f t="shared" si="283"/>
        <v xml:space="preserve">     0.0</v>
      </c>
      <c r="X1027" t="str">
        <f t="shared" si="287"/>
        <v/>
      </c>
      <c r="Y1027" t="str">
        <f t="shared" si="287"/>
        <v/>
      </c>
      <c r="Z1027" t="str">
        <f t="shared" si="287"/>
        <v/>
      </c>
      <c r="AA1027" t="str">
        <f t="shared" si="275"/>
        <v/>
      </c>
      <c r="AB1027" t="str">
        <f t="shared" si="284"/>
        <v/>
      </c>
      <c r="AC1027" t="str">
        <f t="shared" si="285"/>
        <v/>
      </c>
      <c r="AD1027" t="str">
        <f t="shared" si="286"/>
        <v/>
      </c>
      <c r="AE1027" t="str">
        <f t="shared" si="276"/>
        <v/>
      </c>
      <c r="AF1027" t="str">
        <f t="shared" si="288"/>
        <v/>
      </c>
      <c r="AG1027" t="str">
        <f t="shared" si="288"/>
        <v/>
      </c>
      <c r="AH1027" t="str">
        <f t="shared" si="277"/>
        <v/>
      </c>
      <c r="AI1027" t="str">
        <f t="shared" si="278"/>
        <v/>
      </c>
      <c r="AJ1027" t="str">
        <f t="shared" si="279"/>
        <v/>
      </c>
    </row>
    <row r="1028" spans="1:36" x14ac:dyDescent="0.25">
      <c r="A1028" t="s">
        <v>805</v>
      </c>
      <c r="P1028" t="str">
        <f t="shared" si="280"/>
        <v xml:space="preserve">  DREHERPCH006  </v>
      </c>
      <c r="Q1028" t="str">
        <f t="shared" si="280"/>
        <v xml:space="preserve">   -45.9 </v>
      </c>
      <c r="R1028" t="str">
        <f t="shared" si="273"/>
        <v xml:space="preserve">    -1.3 </v>
      </c>
      <c r="S1028" t="str">
        <f t="shared" si="281"/>
        <v xml:space="preserve">     0.0 </v>
      </c>
      <c r="T1028" t="str">
        <f t="shared" si="282"/>
        <v xml:space="preserve">     0.0 </v>
      </c>
      <c r="U1028" t="str">
        <f t="shared" si="286"/>
        <v xml:space="preserve">         0.0 </v>
      </c>
      <c r="V1028" t="str">
        <f t="shared" si="274"/>
        <v xml:space="preserve">     0.0 </v>
      </c>
      <c r="W1028" t="str">
        <f t="shared" si="283"/>
        <v xml:space="preserve">     0.0 </v>
      </c>
      <c r="X1028" t="str">
        <f t="shared" si="287"/>
        <v xml:space="preserve">       </v>
      </c>
      <c r="Y1028" t="str">
        <f t="shared" si="287"/>
        <v xml:space="preserve">              </v>
      </c>
      <c r="Z1028" t="str">
        <f t="shared" si="287"/>
        <v xml:space="preserve">    </v>
      </c>
      <c r="AA1028" t="str">
        <f t="shared" si="275"/>
        <v xml:space="preserve">         </v>
      </c>
      <c r="AB1028" t="str">
        <f t="shared" si="284"/>
        <v xml:space="preserve">         </v>
      </c>
      <c r="AC1028" t="str">
        <f t="shared" si="285"/>
        <v xml:space="preserve">    </v>
      </c>
      <c r="AD1028" t="str">
        <f t="shared" si="286"/>
        <v/>
      </c>
      <c r="AE1028" t="str">
        <f t="shared" si="276"/>
        <v/>
      </c>
      <c r="AF1028" t="str">
        <f t="shared" si="288"/>
        <v/>
      </c>
      <c r="AG1028" t="str">
        <f t="shared" si="288"/>
        <v/>
      </c>
      <c r="AH1028" t="str">
        <f t="shared" si="277"/>
        <v/>
      </c>
      <c r="AI1028" t="str">
        <f t="shared" si="278"/>
        <v/>
      </c>
      <c r="AJ1028" t="str">
        <f t="shared" si="279"/>
        <v/>
      </c>
    </row>
    <row r="1029" spans="1:36" x14ac:dyDescent="0.25">
      <c r="A1029" t="s">
        <v>806</v>
      </c>
      <c r="P1029" t="str">
        <f t="shared" si="280"/>
        <v xml:space="preserve">                </v>
      </c>
      <c r="Q1029" t="str">
        <f t="shared" si="280"/>
        <v xml:space="preserve">         </v>
      </c>
      <c r="R1029" t="str">
        <f t="shared" si="273"/>
        <v xml:space="preserve">    23.0 </v>
      </c>
      <c r="S1029" t="str">
        <f t="shared" si="281"/>
        <v xml:space="preserve">    23.0 </v>
      </c>
      <c r="T1029" t="str">
        <f t="shared" si="282"/>
        <v xml:space="preserve">    23.0 </v>
      </c>
      <c r="U1029" t="str">
        <f t="shared" si="286"/>
        <v xml:space="preserve">       22.4% </v>
      </c>
      <c r="V1029" t="str">
        <f t="shared" si="274"/>
        <v xml:space="preserve">         </v>
      </c>
      <c r="W1029" t="str">
        <f t="shared" si="283"/>
        <v xml:space="preserve">         </v>
      </c>
      <c r="X1029" t="str">
        <f t="shared" si="287"/>
        <v xml:space="preserve">  9225 </v>
      </c>
      <c r="Y1029" t="str">
        <f t="shared" si="287"/>
        <v xml:space="preserve"> DREHER-RS138 </v>
      </c>
      <c r="Z1029" t="str">
        <f t="shared" si="287"/>
        <v xml:space="preserve">  1 </v>
      </c>
      <c r="AA1029" t="str">
        <f t="shared" si="275"/>
        <v xml:space="preserve">     5.1 </v>
      </c>
      <c r="AB1029" t="str">
        <f t="shared" si="284"/>
        <v xml:space="preserve">    -1.3 </v>
      </c>
      <c r="AC1029" t="str">
        <f t="shared" si="285"/>
        <v xml:space="preserve">     5.1 </v>
      </c>
      <c r="AD1029" t="str">
        <f t="shared" si="286"/>
        <v xml:space="preserve"> 1.000F </v>
      </c>
      <c r="AE1029" t="str">
        <f t="shared" si="276"/>
        <v xml:space="preserve">       </v>
      </c>
      <c r="AF1029" t="str">
        <f t="shared" si="288"/>
        <v xml:space="preserve">     </v>
      </c>
      <c r="AG1029" t="str">
        <f t="shared" si="288"/>
        <v xml:space="preserve">     0.00 </v>
      </c>
      <c r="AH1029" t="str">
        <f t="shared" si="277"/>
        <v xml:space="preserve">     0.09 </v>
      </c>
      <c r="AI1029" t="str">
        <f t="shared" si="278"/>
        <v xml:space="preserve">       </v>
      </c>
      <c r="AJ1029" t="str">
        <f t="shared" si="279"/>
        <v xml:space="preserve">      </v>
      </c>
    </row>
    <row r="1030" spans="1:36" x14ac:dyDescent="0.25">
      <c r="A1030" t="s">
        <v>14</v>
      </c>
      <c r="P1030" t="str">
        <f t="shared" si="280"/>
        <v xml:space="preserve">  ..............</v>
      </c>
      <c r="Q1030" t="str">
        <f t="shared" si="280"/>
        <v>.........</v>
      </c>
      <c r="R1030" t="str">
        <f t="shared" si="273"/>
        <v>.........</v>
      </c>
      <c r="S1030" t="str">
        <f t="shared" si="281"/>
        <v>.........</v>
      </c>
      <c r="T1030" t="str">
        <f t="shared" si="282"/>
        <v>.........</v>
      </c>
      <c r="U1030" t="str">
        <f t="shared" si="286"/>
        <v>.............</v>
      </c>
      <c r="V1030" t="str">
        <f t="shared" si="274"/>
        <v>.........</v>
      </c>
      <c r="W1030" t="str">
        <f t="shared" si="283"/>
        <v>.........</v>
      </c>
      <c r="X1030" t="str">
        <f t="shared" si="287"/>
        <v>.......</v>
      </c>
      <c r="Y1030" t="str">
        <f t="shared" si="287"/>
        <v>..............</v>
      </c>
      <c r="Z1030" t="str">
        <f t="shared" si="287"/>
        <v>....</v>
      </c>
      <c r="AA1030" t="str">
        <f t="shared" si="275"/>
        <v>.........</v>
      </c>
      <c r="AB1030" t="str">
        <f t="shared" si="284"/>
        <v>.........</v>
      </c>
      <c r="AC1030" t="str">
        <f t="shared" si="285"/>
        <v>.........</v>
      </c>
      <c r="AD1030" t="str">
        <f t="shared" si="286"/>
        <v>........</v>
      </c>
      <c r="AE1030" t="str">
        <f t="shared" si="276"/>
        <v>.......</v>
      </c>
      <c r="AF1030" t="str">
        <f t="shared" si="288"/>
        <v>.....</v>
      </c>
      <c r="AG1030" t="str">
        <f t="shared" si="288"/>
        <v>..........</v>
      </c>
      <c r="AH1030" t="str">
        <f t="shared" si="277"/>
        <v>..........</v>
      </c>
      <c r="AI1030" t="str">
        <f t="shared" si="278"/>
        <v>.......</v>
      </c>
      <c r="AJ1030" t="str">
        <f t="shared" si="279"/>
        <v>.......</v>
      </c>
    </row>
    <row r="1031" spans="1:36" x14ac:dyDescent="0.25">
      <c r="A1031" t="s">
        <v>807</v>
      </c>
      <c r="P1031" t="str">
        <f t="shared" si="280"/>
        <v xml:space="preserve">   9225  138  0 </v>
      </c>
      <c r="Q1031" t="str">
        <f t="shared" si="280"/>
        <v xml:space="preserve">   1.024 </v>
      </c>
      <c r="R1031" t="str">
        <f t="shared" si="273"/>
        <v xml:space="preserve">     0.0 </v>
      </c>
      <c r="S1031" t="str">
        <f t="shared" si="281"/>
        <v xml:space="preserve">     0.0 </v>
      </c>
      <c r="T1031" t="str">
        <f t="shared" si="282"/>
        <v xml:space="preserve">     0.0 </v>
      </c>
      <c r="U1031" t="str">
        <f t="shared" si="286"/>
        <v xml:space="preserve">         0.0 </v>
      </c>
      <c r="V1031" t="str">
        <f t="shared" si="274"/>
        <v xml:space="preserve">     0.0 </v>
      </c>
      <c r="W1031" t="str">
        <f t="shared" si="283"/>
        <v xml:space="preserve">     0.0</v>
      </c>
      <c r="X1031" t="str">
        <f t="shared" si="287"/>
        <v/>
      </c>
      <c r="Y1031" t="str">
        <f t="shared" si="287"/>
        <v/>
      </c>
      <c r="Z1031" t="str">
        <f t="shared" si="287"/>
        <v/>
      </c>
      <c r="AA1031" t="str">
        <f t="shared" si="275"/>
        <v/>
      </c>
      <c r="AB1031" t="str">
        <f t="shared" si="284"/>
        <v/>
      </c>
      <c r="AC1031" t="str">
        <f t="shared" si="285"/>
        <v/>
      </c>
      <c r="AD1031" t="str">
        <f t="shared" si="286"/>
        <v/>
      </c>
      <c r="AE1031" t="str">
        <f t="shared" si="276"/>
        <v/>
      </c>
      <c r="AF1031" t="str">
        <f t="shared" si="288"/>
        <v/>
      </c>
      <c r="AG1031" t="str">
        <f t="shared" si="288"/>
        <v/>
      </c>
      <c r="AH1031" t="str">
        <f t="shared" si="277"/>
        <v/>
      </c>
      <c r="AI1031" t="str">
        <f t="shared" si="278"/>
        <v/>
      </c>
      <c r="AJ1031" t="str">
        <f t="shared" si="279"/>
        <v/>
      </c>
    </row>
    <row r="1032" spans="1:36" x14ac:dyDescent="0.25">
      <c r="A1032" t="s">
        <v>808</v>
      </c>
      <c r="P1032" t="str">
        <f t="shared" si="280"/>
        <v xml:space="preserve">  DREHER-RS138  </v>
      </c>
      <c r="Q1032" t="str">
        <f t="shared" si="280"/>
        <v xml:space="preserve">   -46.8 </v>
      </c>
      <c r="R1032" t="str">
        <f t="shared" si="273"/>
        <v xml:space="preserve">     0.0 </v>
      </c>
      <c r="S1032" t="str">
        <f t="shared" si="281"/>
        <v xml:space="preserve">     0.0 </v>
      </c>
      <c r="T1032" t="str">
        <f t="shared" si="282"/>
        <v xml:space="preserve">     0.0 </v>
      </c>
      <c r="U1032" t="str">
        <f t="shared" si="286"/>
        <v xml:space="preserve">         0.0 </v>
      </c>
      <c r="V1032" t="str">
        <f t="shared" si="274"/>
        <v xml:space="preserve">     0.0 </v>
      </c>
      <c r="W1032" t="str">
        <f t="shared" si="283"/>
        <v xml:space="preserve">     0.0 </v>
      </c>
      <c r="X1032" t="str">
        <f t="shared" si="287"/>
        <v xml:space="preserve">       </v>
      </c>
      <c r="Y1032" t="str">
        <f t="shared" si="287"/>
        <v xml:space="preserve">              </v>
      </c>
      <c r="Z1032" t="str">
        <f t="shared" si="287"/>
        <v xml:space="preserve">    </v>
      </c>
      <c r="AA1032" t="str">
        <f t="shared" si="275"/>
        <v xml:space="preserve">         </v>
      </c>
      <c r="AB1032" t="str">
        <f t="shared" si="284"/>
        <v xml:space="preserve">         </v>
      </c>
      <c r="AC1032" t="str">
        <f t="shared" si="285"/>
        <v xml:space="preserve">    </v>
      </c>
      <c r="AD1032" t="str">
        <f t="shared" si="286"/>
        <v/>
      </c>
      <c r="AE1032" t="str">
        <f t="shared" si="276"/>
        <v/>
      </c>
      <c r="AF1032" t="str">
        <f t="shared" si="288"/>
        <v/>
      </c>
      <c r="AG1032" t="str">
        <f t="shared" si="288"/>
        <v/>
      </c>
      <c r="AH1032" t="str">
        <f t="shared" si="277"/>
        <v/>
      </c>
      <c r="AI1032" t="str">
        <f t="shared" si="278"/>
        <v/>
      </c>
      <c r="AJ1032" t="str">
        <f t="shared" si="279"/>
        <v/>
      </c>
    </row>
    <row r="1033" spans="1:36" x14ac:dyDescent="0.25">
      <c r="A1033" t="s">
        <v>809</v>
      </c>
      <c r="P1033" t="str">
        <f t="shared" si="280"/>
        <v xml:space="preserve">                </v>
      </c>
      <c r="Q1033" t="str">
        <f t="shared" si="280"/>
        <v xml:space="preserve">         </v>
      </c>
      <c r="R1033" t="str">
        <f t="shared" si="273"/>
        <v xml:space="preserve">    91.0 </v>
      </c>
      <c r="S1033" t="str">
        <f t="shared" si="281"/>
        <v xml:space="preserve">    91.0 </v>
      </c>
      <c r="T1033" t="str">
        <f t="shared" si="282"/>
        <v xml:space="preserve">    91.0 </v>
      </c>
      <c r="U1033" t="str">
        <f t="shared" si="286"/>
        <v xml:space="preserve">        5.7% </v>
      </c>
      <c r="V1033" t="str">
        <f t="shared" si="274"/>
        <v xml:space="preserve">         </v>
      </c>
      <c r="W1033" t="str">
        <f t="shared" si="283"/>
        <v xml:space="preserve">         </v>
      </c>
      <c r="X1033" t="str">
        <f t="shared" si="287"/>
        <v xml:space="preserve">  9223 </v>
      </c>
      <c r="Y1033" t="str">
        <f t="shared" si="287"/>
        <v xml:space="preserve"> KOTZIA-RS138 </v>
      </c>
      <c r="Z1033" t="str">
        <f t="shared" si="287"/>
        <v xml:space="preserve">  1 </v>
      </c>
      <c r="AA1033" t="str">
        <f t="shared" si="275"/>
        <v xml:space="preserve">     5.1 </v>
      </c>
      <c r="AB1033" t="str">
        <f t="shared" si="284"/>
        <v xml:space="preserve">    -1.3 </v>
      </c>
      <c r="AC1033" t="str">
        <f t="shared" si="285"/>
        <v xml:space="preserve">     5.1 </v>
      </c>
      <c r="AD1033" t="str">
        <f t="shared" si="286"/>
        <v xml:space="preserve">        </v>
      </c>
      <c r="AE1033" t="str">
        <f t="shared" si="276"/>
        <v xml:space="preserve">       </v>
      </c>
      <c r="AF1033" t="str">
        <f t="shared" si="288"/>
        <v xml:space="preserve">     </v>
      </c>
      <c r="AG1033" t="str">
        <f t="shared" si="288"/>
        <v xml:space="preserve">     0.00 </v>
      </c>
      <c r="AH1033" t="str">
        <f t="shared" si="277"/>
        <v xml:space="preserve">    -0.32 </v>
      </c>
      <c r="AI1033" t="str">
        <f t="shared" si="278"/>
        <v xml:space="preserve">       </v>
      </c>
      <c r="AJ1033" t="str">
        <f t="shared" si="279"/>
        <v xml:space="preserve">      </v>
      </c>
    </row>
    <row r="1034" spans="1:36" x14ac:dyDescent="0.25">
      <c r="A1034" t="s">
        <v>810</v>
      </c>
      <c r="P1034" t="str">
        <f t="shared" si="280"/>
        <v xml:space="preserve">                </v>
      </c>
      <c r="Q1034" t="str">
        <f t="shared" si="280"/>
        <v xml:space="preserve">         </v>
      </c>
      <c r="R1034" t="str">
        <f t="shared" si="273"/>
        <v xml:space="preserve">    23.0 </v>
      </c>
      <c r="S1034" t="str">
        <f t="shared" si="281"/>
        <v xml:space="preserve">    23.0 </v>
      </c>
      <c r="T1034" t="str">
        <f t="shared" si="282"/>
        <v xml:space="preserve">    23.0 </v>
      </c>
      <c r="U1034" t="str">
        <f t="shared" si="286"/>
        <v xml:space="preserve">       22.4% </v>
      </c>
      <c r="V1034" t="str">
        <f t="shared" si="274"/>
        <v xml:space="preserve">         </v>
      </c>
      <c r="W1034" t="str">
        <f t="shared" si="283"/>
        <v xml:space="preserve">         </v>
      </c>
      <c r="X1034" t="str">
        <f t="shared" si="287"/>
        <v xml:space="preserve">  9224 </v>
      </c>
      <c r="Y1034" t="str">
        <f t="shared" si="287"/>
        <v xml:space="preserve"> DREHERPCH006 </v>
      </c>
      <c r="Z1034" t="str">
        <f t="shared" si="287"/>
        <v xml:space="preserve">  1 </v>
      </c>
      <c r="AA1034" t="str">
        <f t="shared" si="275"/>
        <v xml:space="preserve">    -5.1 </v>
      </c>
      <c r="AB1034" t="str">
        <f t="shared" si="284"/>
        <v xml:space="preserve">     1.3 </v>
      </c>
      <c r="AC1034" t="str">
        <f t="shared" si="285"/>
        <v xml:space="preserve">     5.1 </v>
      </c>
      <c r="AD1034" t="str">
        <f t="shared" si="286"/>
        <v xml:space="preserve">        </v>
      </c>
      <c r="AE1034" t="str">
        <f t="shared" si="276"/>
        <v xml:space="preserve">       </v>
      </c>
      <c r="AF1034" t="str">
        <f t="shared" si="288"/>
        <v xml:space="preserve">     </v>
      </c>
      <c r="AG1034" t="str">
        <f t="shared" si="288"/>
        <v xml:space="preserve">     0.00 </v>
      </c>
      <c r="AH1034" t="str">
        <f t="shared" si="277"/>
        <v xml:space="preserve">     0.09 </v>
      </c>
      <c r="AI1034" t="str">
        <f t="shared" si="278"/>
        <v xml:space="preserve">       </v>
      </c>
      <c r="AJ1034" t="str">
        <f t="shared" si="279"/>
        <v xml:space="preserve">      </v>
      </c>
    </row>
    <row r="1035" spans="1:36" x14ac:dyDescent="0.25">
      <c r="A1035" t="s">
        <v>14</v>
      </c>
      <c r="P1035" t="str">
        <f t="shared" si="280"/>
        <v xml:space="preserve">  ..............</v>
      </c>
      <c r="Q1035" t="str">
        <f t="shared" si="280"/>
        <v>.........</v>
      </c>
      <c r="R1035" t="str">
        <f t="shared" si="273"/>
        <v>.........</v>
      </c>
      <c r="S1035" t="str">
        <f t="shared" si="281"/>
        <v>.........</v>
      </c>
      <c r="T1035" t="str">
        <f t="shared" si="282"/>
        <v>.........</v>
      </c>
      <c r="U1035" t="str">
        <f t="shared" si="286"/>
        <v>.............</v>
      </c>
      <c r="V1035" t="str">
        <f t="shared" si="274"/>
        <v>.........</v>
      </c>
      <c r="W1035" t="str">
        <f t="shared" si="283"/>
        <v>.........</v>
      </c>
      <c r="X1035" t="str">
        <f t="shared" si="287"/>
        <v>.......</v>
      </c>
      <c r="Y1035" t="str">
        <f t="shared" si="287"/>
        <v>..............</v>
      </c>
      <c r="Z1035" t="str">
        <f t="shared" si="287"/>
        <v>....</v>
      </c>
      <c r="AA1035" t="str">
        <f t="shared" si="275"/>
        <v>.........</v>
      </c>
      <c r="AB1035" t="str">
        <f t="shared" si="284"/>
        <v>.........</v>
      </c>
      <c r="AC1035" t="str">
        <f t="shared" si="285"/>
        <v>.........</v>
      </c>
      <c r="AD1035" t="str">
        <f t="shared" si="286"/>
        <v>........</v>
      </c>
      <c r="AE1035" t="str">
        <f t="shared" si="276"/>
        <v>.......</v>
      </c>
      <c r="AF1035" t="str">
        <f t="shared" si="288"/>
        <v>.....</v>
      </c>
      <c r="AG1035" t="str">
        <f t="shared" si="288"/>
        <v>..........</v>
      </c>
      <c r="AH1035" t="str">
        <f t="shared" si="277"/>
        <v>..........</v>
      </c>
      <c r="AI1035" t="str">
        <f t="shared" si="278"/>
        <v>.......</v>
      </c>
      <c r="AJ1035" t="str">
        <f t="shared" si="279"/>
        <v>.......</v>
      </c>
    </row>
    <row r="1036" spans="1:36" x14ac:dyDescent="0.25">
      <c r="A1036" t="s">
        <v>811</v>
      </c>
      <c r="P1036" t="str">
        <f t="shared" si="280"/>
        <v xml:space="preserve">_x000C_CEPEL - CENTRO </v>
      </c>
      <c r="Q1036" t="str">
        <f t="shared" si="280"/>
        <v xml:space="preserve"> DE PESQU</v>
      </c>
      <c r="R1036" t="str">
        <f t="shared" ref="R1036:R1099" si="289">MID($A1036,Q$8+Q$9-1,R$9)</f>
        <v xml:space="preserve">UISAS DE </v>
      </c>
      <c r="S1036" t="str">
        <f t="shared" si="281"/>
        <v xml:space="preserve"> ENERGIA </v>
      </c>
      <c r="T1036" t="str">
        <f t="shared" si="282"/>
        <v xml:space="preserve"> ELETRICA</v>
      </c>
      <c r="U1036" t="str">
        <f t="shared" si="286"/>
        <v xml:space="preserve">A - PROGRAMA </v>
      </c>
      <c r="V1036" t="str">
        <f t="shared" ref="V1036:V1099" si="290">MID($A1036,U$8+U$9-1,V$9)</f>
        <v xml:space="preserve"> DE ANALI</v>
      </c>
      <c r="W1036" t="str">
        <f t="shared" si="283"/>
        <v>ISE DE RE</v>
      </c>
      <c r="X1036" t="str">
        <f t="shared" si="287"/>
        <v xml:space="preserve">EDES - </v>
      </c>
      <c r="Y1036" t="str">
        <f t="shared" si="287"/>
        <v xml:space="preserve"> V11.06.02    </v>
      </c>
      <c r="Z1036" t="str">
        <f t="shared" si="287"/>
        <v xml:space="preserve">    </v>
      </c>
      <c r="AA1036" t="str">
        <f t="shared" ref="AA1036:AA1099" si="291">MID($A1036,Z$8+Z$9-1,AA$9)</f>
        <v xml:space="preserve">         </v>
      </c>
      <c r="AB1036" t="str">
        <f t="shared" si="284"/>
        <v xml:space="preserve">         </v>
      </c>
      <c r="AC1036" t="str">
        <f t="shared" si="285"/>
        <v xml:space="preserve">         </v>
      </c>
      <c r="AD1036" t="str">
        <f t="shared" si="286"/>
        <v xml:space="preserve">   PAG. </v>
      </c>
      <c r="AE1036" t="str">
        <f t="shared" ref="AE1036:AE1099" si="292">MID($A1036,AD$8+AD$9-1,AE$9)</f>
        <v xml:space="preserve">   7</v>
      </c>
      <c r="AF1036" t="str">
        <f t="shared" si="288"/>
        <v/>
      </c>
      <c r="AG1036" t="str">
        <f t="shared" si="288"/>
        <v/>
      </c>
      <c r="AH1036" t="str">
        <f t="shared" ref="AH1036:AH1099" si="293">MID($A1036,AG$8+AG$9-1,AH$9)</f>
        <v/>
      </c>
      <c r="AI1036" t="str">
        <f t="shared" si="278"/>
        <v/>
      </c>
      <c r="AJ1036" t="str">
        <f t="shared" si="279"/>
        <v/>
      </c>
    </row>
    <row r="1037" spans="1:36" x14ac:dyDescent="0.25">
      <c r="P1037" t="str">
        <f t="shared" si="280"/>
        <v/>
      </c>
      <c r="Q1037" t="str">
        <f t="shared" si="280"/>
        <v/>
      </c>
      <c r="R1037" t="str">
        <f t="shared" si="289"/>
        <v/>
      </c>
      <c r="S1037" t="str">
        <f t="shared" si="281"/>
        <v/>
      </c>
      <c r="T1037" t="str">
        <f t="shared" si="282"/>
        <v/>
      </c>
      <c r="U1037" t="str">
        <f t="shared" si="286"/>
        <v/>
      </c>
      <c r="V1037" t="str">
        <f t="shared" si="290"/>
        <v/>
      </c>
      <c r="W1037" t="str">
        <f t="shared" si="283"/>
        <v/>
      </c>
      <c r="X1037" t="str">
        <f t="shared" si="287"/>
        <v/>
      </c>
      <c r="Y1037" t="str">
        <f t="shared" si="287"/>
        <v/>
      </c>
      <c r="Z1037" t="str">
        <f t="shared" si="287"/>
        <v/>
      </c>
      <c r="AA1037" t="str">
        <f t="shared" si="291"/>
        <v/>
      </c>
      <c r="AB1037" t="str">
        <f t="shared" si="284"/>
        <v/>
      </c>
      <c r="AC1037" t="str">
        <f t="shared" si="285"/>
        <v/>
      </c>
      <c r="AD1037" t="str">
        <f t="shared" si="286"/>
        <v/>
      </c>
      <c r="AE1037" t="str">
        <f t="shared" si="292"/>
        <v/>
      </c>
      <c r="AF1037" t="str">
        <f t="shared" si="288"/>
        <v/>
      </c>
      <c r="AG1037" t="str">
        <f t="shared" si="288"/>
        <v/>
      </c>
      <c r="AH1037" t="str">
        <f t="shared" si="293"/>
        <v/>
      </c>
      <c r="AI1037" t="str">
        <f t="shared" si="278"/>
        <v/>
      </c>
      <c r="AJ1037" t="str">
        <f t="shared" si="279"/>
        <v/>
      </c>
    </row>
    <row r="1038" spans="1:36" x14ac:dyDescent="0.25">
      <c r="A1038" t="s">
        <v>1</v>
      </c>
      <c r="P1038" t="str">
        <f t="shared" si="280"/>
        <v xml:space="preserve"> PARPEL 23-27 * </v>
      </c>
      <c r="Q1038" t="str">
        <f t="shared" si="280"/>
        <v xml:space="preserve"> MG-GODF </v>
      </c>
      <c r="R1038" t="str">
        <f t="shared" si="289"/>
        <v xml:space="preserve"> * I27M *</v>
      </c>
      <c r="S1038" t="str">
        <f t="shared" si="281"/>
        <v>* NEexp *</v>
      </c>
      <c r="T1038" t="str">
        <f t="shared" si="282"/>
        <v>* NESE 88</v>
      </c>
      <c r="U1038" t="str">
        <f t="shared" si="286"/>
        <v>800 UFVMG 90%</v>
      </c>
      <c r="V1038" t="str">
        <f t="shared" si="290"/>
        <v>% * UFVAl</v>
      </c>
      <c r="W1038" t="str">
        <f t="shared" si="283"/>
        <v>lves120MW</v>
      </c>
      <c r="X1038" t="str">
        <f t="shared" si="287"/>
        <v xml:space="preserve">W     </v>
      </c>
      <c r="Y1038" t="str">
        <f t="shared" si="287"/>
        <v/>
      </c>
      <c r="Z1038" t="str">
        <f t="shared" si="287"/>
        <v/>
      </c>
      <c r="AA1038" t="str">
        <f t="shared" si="291"/>
        <v/>
      </c>
      <c r="AB1038" t="str">
        <f t="shared" si="284"/>
        <v/>
      </c>
      <c r="AC1038" t="str">
        <f t="shared" si="285"/>
        <v/>
      </c>
      <c r="AD1038" t="str">
        <f t="shared" si="286"/>
        <v/>
      </c>
      <c r="AE1038" t="str">
        <f t="shared" si="292"/>
        <v/>
      </c>
      <c r="AF1038" t="str">
        <f t="shared" si="288"/>
        <v/>
      </c>
      <c r="AG1038" t="str">
        <f t="shared" si="288"/>
        <v/>
      </c>
      <c r="AH1038" t="str">
        <f t="shared" si="293"/>
        <v/>
      </c>
      <c r="AI1038" t="str">
        <f t="shared" si="278"/>
        <v/>
      </c>
      <c r="AJ1038" t="str">
        <f t="shared" si="279"/>
        <v/>
      </c>
    </row>
    <row r="1039" spans="1:36" x14ac:dyDescent="0.25">
      <c r="A1039" t="s">
        <v>2</v>
      </c>
      <c r="P1039" t="str">
        <f t="shared" si="280"/>
        <v xml:space="preserve"> RELATORIO COMPL</v>
      </c>
      <c r="Q1039" t="str">
        <f t="shared" si="280"/>
        <v>LETO DO S</v>
      </c>
      <c r="R1039" t="str">
        <f t="shared" si="289"/>
        <v>SISTEMA *</v>
      </c>
      <c r="S1039" t="str">
        <f t="shared" si="281"/>
        <v xml:space="preserve">* AREA   </v>
      </c>
      <c r="T1039" t="str">
        <f t="shared" si="282"/>
        <v xml:space="preserve"> 3 * RS -</v>
      </c>
      <c r="U1039" t="str">
        <f t="shared" si="286"/>
        <v xml:space="preserve">- DIT/DIST   </v>
      </c>
      <c r="V1039" t="str">
        <f t="shared" si="290"/>
        <v xml:space="preserve">         </v>
      </c>
      <c r="W1039" t="str">
        <f t="shared" si="283"/>
        <v xml:space="preserve">         </v>
      </c>
      <c r="X1039" t="str">
        <f t="shared" si="287"/>
        <v xml:space="preserve">     </v>
      </c>
      <c r="Y1039" t="str">
        <f t="shared" si="287"/>
        <v/>
      </c>
      <c r="Z1039" t="str">
        <f t="shared" si="287"/>
        <v/>
      </c>
      <c r="AA1039" t="str">
        <f t="shared" si="291"/>
        <v/>
      </c>
      <c r="AB1039" t="str">
        <f t="shared" si="284"/>
        <v/>
      </c>
      <c r="AC1039" t="str">
        <f t="shared" si="285"/>
        <v/>
      </c>
      <c r="AD1039" t="str">
        <f t="shared" si="286"/>
        <v/>
      </c>
      <c r="AE1039" t="str">
        <f t="shared" si="292"/>
        <v/>
      </c>
      <c r="AF1039" t="str">
        <f t="shared" si="288"/>
        <v/>
      </c>
      <c r="AG1039" t="str">
        <f t="shared" si="288"/>
        <v/>
      </c>
      <c r="AH1039" t="str">
        <f t="shared" si="293"/>
        <v/>
      </c>
      <c r="AI1039" t="str">
        <f t="shared" si="278"/>
        <v/>
      </c>
      <c r="AJ1039" t="str">
        <f t="shared" si="279"/>
        <v/>
      </c>
    </row>
    <row r="1040" spans="1:36" x14ac:dyDescent="0.25">
      <c r="P1040" t="str">
        <f t="shared" si="280"/>
        <v/>
      </c>
      <c r="Q1040" t="str">
        <f t="shared" si="280"/>
        <v/>
      </c>
      <c r="R1040" t="str">
        <f t="shared" si="289"/>
        <v/>
      </c>
      <c r="S1040" t="str">
        <f t="shared" si="281"/>
        <v/>
      </c>
      <c r="T1040" t="str">
        <f t="shared" si="282"/>
        <v/>
      </c>
      <c r="U1040" t="str">
        <f t="shared" si="286"/>
        <v/>
      </c>
      <c r="V1040" t="str">
        <f t="shared" si="290"/>
        <v/>
      </c>
      <c r="W1040" t="str">
        <f t="shared" si="283"/>
        <v/>
      </c>
      <c r="X1040" t="str">
        <f t="shared" si="287"/>
        <v/>
      </c>
      <c r="Y1040" t="str">
        <f t="shared" si="287"/>
        <v/>
      </c>
      <c r="Z1040" t="str">
        <f t="shared" si="287"/>
        <v/>
      </c>
      <c r="AA1040" t="str">
        <f t="shared" si="291"/>
        <v/>
      </c>
      <c r="AB1040" t="str">
        <f t="shared" si="284"/>
        <v/>
      </c>
      <c r="AC1040" t="str">
        <f t="shared" si="285"/>
        <v/>
      </c>
      <c r="AD1040" t="str">
        <f t="shared" si="286"/>
        <v/>
      </c>
      <c r="AE1040" t="str">
        <f t="shared" si="292"/>
        <v/>
      </c>
      <c r="AF1040" t="str">
        <f t="shared" si="288"/>
        <v/>
      </c>
      <c r="AG1040" t="str">
        <f t="shared" si="288"/>
        <v/>
      </c>
      <c r="AH1040" t="str">
        <f t="shared" si="293"/>
        <v/>
      </c>
      <c r="AI1040" t="str">
        <f t="shared" si="278"/>
        <v/>
      </c>
      <c r="AJ1040" t="str">
        <f t="shared" si="279"/>
        <v/>
      </c>
    </row>
    <row r="1041" spans="1:36" x14ac:dyDescent="0.25">
      <c r="A1041" t="s">
        <v>3</v>
      </c>
      <c r="P1041" t="str">
        <f t="shared" si="280"/>
        <v xml:space="preserve"> X--------------</v>
      </c>
      <c r="Q1041" t="str">
        <f t="shared" si="280"/>
        <v xml:space="preserve">-------- </v>
      </c>
      <c r="R1041" t="str">
        <f t="shared" si="289"/>
        <v xml:space="preserve"> D A D O </v>
      </c>
      <c r="S1041" t="str">
        <f t="shared" si="281"/>
        <v xml:space="preserve"> S  -  B </v>
      </c>
      <c r="T1041" t="str">
        <f t="shared" si="282"/>
        <v xml:space="preserve"> A R R A </v>
      </c>
      <c r="U1041" t="str">
        <f t="shared" si="286"/>
        <v xml:space="preserve"> ------------</v>
      </c>
      <c r="V1041" t="str">
        <f t="shared" si="290"/>
        <v>---------</v>
      </c>
      <c r="W1041" t="str">
        <f t="shared" si="283"/>
        <v>--------X</v>
      </c>
      <c r="X1041" t="str">
        <f t="shared" si="287"/>
        <v>X------</v>
      </c>
      <c r="Y1041" t="str">
        <f t="shared" si="287"/>
        <v>-------- F L U</v>
      </c>
      <c r="Z1041" t="str">
        <f t="shared" si="287"/>
        <v xml:space="preserve">U X </v>
      </c>
      <c r="AA1041" t="str">
        <f t="shared" si="291"/>
        <v xml:space="preserve"> O S  -  </v>
      </c>
      <c r="AB1041" t="str">
        <f t="shared" si="284"/>
        <v xml:space="preserve"> C I R C </v>
      </c>
      <c r="AC1041" t="str">
        <f t="shared" si="285"/>
        <v xml:space="preserve"> U I T O </v>
      </c>
      <c r="AD1041" t="str">
        <f t="shared" si="286"/>
        <v xml:space="preserve"> S -----</v>
      </c>
      <c r="AE1041" t="str">
        <f t="shared" si="292"/>
        <v>-------</v>
      </c>
      <c r="AF1041" t="str">
        <f t="shared" si="288"/>
        <v>----X</v>
      </c>
      <c r="AG1041" t="str">
        <f t="shared" si="288"/>
        <v>X--------X</v>
      </c>
      <c r="AH1041" t="str">
        <f t="shared" si="293"/>
        <v>X--------X</v>
      </c>
      <c r="AI1041" t="str">
        <f t="shared" si="278"/>
        <v>X------</v>
      </c>
      <c r="AJ1041" t="str">
        <f t="shared" si="279"/>
        <v>------X</v>
      </c>
    </row>
    <row r="1042" spans="1:36" x14ac:dyDescent="0.25">
      <c r="A1042" t="s">
        <v>4</v>
      </c>
      <c r="P1042" t="str">
        <f t="shared" si="280"/>
        <v xml:space="preserve">  DA BARRA      </v>
      </c>
      <c r="Q1042" t="str">
        <f t="shared" si="280"/>
        <v xml:space="preserve">  TENSAO </v>
      </c>
      <c r="R1042" t="str">
        <f t="shared" si="289"/>
        <v xml:space="preserve"> GERACAO </v>
      </c>
      <c r="S1042" t="str">
        <f t="shared" si="281"/>
        <v xml:space="preserve"> INJ EQV </v>
      </c>
      <c r="T1042" t="str">
        <f t="shared" si="282"/>
        <v xml:space="preserve">  CARGA  </v>
      </c>
      <c r="U1042" t="str">
        <f t="shared" si="286"/>
        <v xml:space="preserve">  ELO CC  SHU</v>
      </c>
      <c r="V1042" t="str">
        <f t="shared" si="290"/>
        <v>UNT    MO</v>
      </c>
      <c r="W1042" t="str">
        <f t="shared" si="283"/>
        <v xml:space="preserve">OTOR     </v>
      </c>
      <c r="X1042" t="str">
        <f t="shared" si="287"/>
        <v xml:space="preserve">       </v>
      </c>
      <c r="Y1042" t="str">
        <f t="shared" si="287"/>
        <v xml:space="preserve">              </v>
      </c>
      <c r="Z1042" t="str">
        <f t="shared" si="287"/>
        <v xml:space="preserve">    </v>
      </c>
      <c r="AA1042" t="str">
        <f t="shared" si="291"/>
        <v xml:space="preserve">         </v>
      </c>
      <c r="AB1042" t="str">
        <f t="shared" si="284"/>
        <v xml:space="preserve">         </v>
      </c>
      <c r="AC1042" t="str">
        <f t="shared" si="285"/>
        <v xml:space="preserve">         </v>
      </c>
      <c r="AD1042" t="str">
        <f t="shared" si="286"/>
        <v xml:space="preserve">        </v>
      </c>
      <c r="AE1042" t="str">
        <f t="shared" si="292"/>
        <v xml:space="preserve">       </v>
      </c>
      <c r="AF1042" t="str">
        <f t="shared" si="288"/>
        <v xml:space="preserve">     </v>
      </c>
      <c r="AG1042" t="str">
        <f t="shared" si="288"/>
        <v xml:space="preserve">          </v>
      </c>
      <c r="AH1042" t="str">
        <f t="shared" si="293"/>
        <v xml:space="preserve">          </v>
      </c>
      <c r="AI1042" t="str">
        <f t="shared" si="278"/>
        <v xml:space="preserve">       </v>
      </c>
      <c r="AJ1042" t="str">
        <f t="shared" si="279"/>
        <v xml:space="preserve">   </v>
      </c>
    </row>
    <row r="1043" spans="1:36" x14ac:dyDescent="0.25">
      <c r="A1043" t="s">
        <v>5</v>
      </c>
      <c r="P1043" t="str">
        <f t="shared" si="280"/>
        <v xml:space="preserve">  NUM.  KV TIPO </v>
      </c>
      <c r="Q1043" t="str">
        <f t="shared" si="280"/>
        <v xml:space="preserve">   MOD/  </v>
      </c>
      <c r="R1043" t="str">
        <f t="shared" si="289"/>
        <v xml:space="preserve">    MW/  </v>
      </c>
      <c r="S1043" t="str">
        <f t="shared" si="281"/>
        <v xml:space="preserve">    MW/  </v>
      </c>
      <c r="T1043" t="str">
        <f t="shared" si="282"/>
        <v xml:space="preserve">    MW/  </v>
      </c>
      <c r="U1043" t="str">
        <f t="shared" si="286"/>
        <v xml:space="preserve">    MW/   Mva</v>
      </c>
      <c r="V1043" t="str">
        <f t="shared" si="290"/>
        <v>ar/     M</v>
      </c>
      <c r="W1043" t="str">
        <f t="shared" si="283"/>
        <v xml:space="preserve">MW/      </v>
      </c>
      <c r="X1043" t="str">
        <f t="shared" si="287"/>
        <v xml:space="preserve">       </v>
      </c>
      <c r="Y1043" t="str">
        <f t="shared" si="287"/>
        <v xml:space="preserve">              </v>
      </c>
      <c r="Z1043" t="str">
        <f t="shared" si="287"/>
        <v xml:space="preserve">    </v>
      </c>
      <c r="AA1043" t="str">
        <f t="shared" si="291"/>
        <v xml:space="preserve">         </v>
      </c>
      <c r="AB1043" t="str">
        <f t="shared" si="284"/>
        <v xml:space="preserve">         </v>
      </c>
      <c r="AC1043" t="str">
        <f t="shared" si="285"/>
        <v xml:space="preserve">         </v>
      </c>
      <c r="AD1043" t="str">
        <f t="shared" si="286"/>
        <v xml:space="preserve">        </v>
      </c>
      <c r="AE1043" t="str">
        <f t="shared" si="292"/>
        <v xml:space="preserve">       </v>
      </c>
      <c r="AF1043" t="str">
        <f t="shared" si="288"/>
        <v xml:space="preserve">    P</v>
      </c>
      <c r="AG1043" t="str">
        <f t="shared" si="288"/>
        <v xml:space="preserve">P E R D A </v>
      </c>
      <c r="AH1043" t="str">
        <f t="shared" si="293"/>
        <v xml:space="preserve"> S       T</v>
      </c>
      <c r="AI1043" t="str">
        <f t="shared" si="278"/>
        <v xml:space="preserve">TENSAO </v>
      </c>
      <c r="AJ1043" t="str">
        <f t="shared" si="279"/>
        <v xml:space="preserve">   </v>
      </c>
    </row>
    <row r="1044" spans="1:36" x14ac:dyDescent="0.25">
      <c r="A1044" t="s">
        <v>6</v>
      </c>
      <c r="P1044" t="str">
        <f t="shared" si="280"/>
        <v xml:space="preserve">       NOME     </v>
      </c>
      <c r="Q1044" t="str">
        <f t="shared" si="280"/>
        <v xml:space="preserve">   ANG   </v>
      </c>
      <c r="R1044" t="str">
        <f t="shared" si="289"/>
        <v xml:space="preserve">   Mvar  </v>
      </c>
      <c r="S1044" t="str">
        <f t="shared" si="281"/>
        <v xml:space="preserve">   Mvar  </v>
      </c>
      <c r="T1044" t="str">
        <f t="shared" si="282"/>
        <v xml:space="preserve">   Mvar  </v>
      </c>
      <c r="U1044" t="str">
        <f t="shared" si="286"/>
        <v xml:space="preserve">   Mvar   EQU</v>
      </c>
      <c r="V1044" t="str">
        <f t="shared" si="290"/>
        <v>UIV    Mv</v>
      </c>
      <c r="W1044" t="str">
        <f t="shared" si="283"/>
        <v>var  PARA</v>
      </c>
      <c r="X1044" t="str">
        <f t="shared" si="287"/>
        <v>A BARRA</v>
      </c>
      <c r="Y1044" t="str">
        <f t="shared" si="287"/>
        <v xml:space="preserve">A             </v>
      </c>
      <c r="Z1044" t="str">
        <f t="shared" si="287"/>
        <v xml:space="preserve">    </v>
      </c>
      <c r="AA1044" t="str">
        <f t="shared" si="291"/>
        <v xml:space="preserve">      FLU</v>
      </c>
      <c r="AB1044" t="str">
        <f t="shared" si="284"/>
        <v xml:space="preserve">UXOS     </v>
      </c>
      <c r="AC1044" t="str">
        <f t="shared" si="285"/>
        <v xml:space="preserve">         </v>
      </c>
      <c r="AD1044" t="str">
        <f t="shared" si="286"/>
        <v xml:space="preserve">        </v>
      </c>
      <c r="AE1044" t="str">
        <f t="shared" si="292"/>
        <v xml:space="preserve">       </v>
      </c>
      <c r="AF1044" t="str">
        <f t="shared" si="288"/>
        <v xml:space="preserve">  ATI</v>
      </c>
      <c r="AG1044" t="str">
        <f t="shared" si="288"/>
        <v>IVA   REAT</v>
      </c>
      <c r="AH1044" t="str">
        <f t="shared" si="293"/>
        <v>TIVA  CIR.</v>
      </c>
      <c r="AI1044" t="str">
        <f t="shared" si="278"/>
        <v>. ABERT</v>
      </c>
      <c r="AJ1044" t="str">
        <f t="shared" si="279"/>
        <v xml:space="preserve">TO </v>
      </c>
    </row>
    <row r="1045" spans="1:36" x14ac:dyDescent="0.25">
      <c r="A1045" t="s">
        <v>7</v>
      </c>
      <c r="P1045" t="str">
        <f t="shared" si="280"/>
        <v xml:space="preserve">                </v>
      </c>
      <c r="Q1045" t="str">
        <f t="shared" si="280"/>
        <v xml:space="preserve">         </v>
      </c>
      <c r="R1045" t="str">
        <f t="shared" si="289"/>
        <v xml:space="preserve"> MVA_NOM </v>
      </c>
      <c r="S1045" t="str">
        <f t="shared" si="281"/>
        <v xml:space="preserve"> MVA_EMR </v>
      </c>
      <c r="T1045" t="str">
        <f t="shared" si="282"/>
        <v xml:space="preserve"> MVA_EQP </v>
      </c>
      <c r="U1045" t="str">
        <f t="shared" si="286"/>
        <v xml:space="preserve">   FLUXO %   </v>
      </c>
      <c r="V1045" t="str">
        <f t="shared" si="290"/>
        <v xml:space="preserve"> SHUNT L </v>
      </c>
      <c r="W1045" t="str">
        <f t="shared" si="283"/>
        <v xml:space="preserve">         </v>
      </c>
      <c r="X1045" t="str">
        <f t="shared" si="287"/>
        <v xml:space="preserve"> NUM.  </v>
      </c>
      <c r="Y1045" t="str">
        <f t="shared" si="287"/>
        <v xml:space="preserve">     NOME     </v>
      </c>
      <c r="Z1045" t="str">
        <f t="shared" si="287"/>
        <v xml:space="preserve"> NC </v>
      </c>
      <c r="AA1045" t="str">
        <f t="shared" si="291"/>
        <v xml:space="preserve">    MW   </v>
      </c>
      <c r="AB1045" t="str">
        <f t="shared" si="284"/>
        <v xml:space="preserve">   Mvar  </v>
      </c>
      <c r="AC1045" t="str">
        <f t="shared" si="285"/>
        <v xml:space="preserve"> MVA/V_d </v>
      </c>
      <c r="AD1045" t="str">
        <f t="shared" si="286"/>
        <v xml:space="preserve">   TAP  </v>
      </c>
      <c r="AE1045" t="str">
        <f t="shared" si="292"/>
        <v xml:space="preserve"> DEFAS </v>
      </c>
      <c r="AF1045" t="str">
        <f t="shared" si="288"/>
        <v xml:space="preserve"> TIE </v>
      </c>
      <c r="AG1045" t="str">
        <f t="shared" si="288"/>
        <v xml:space="preserve">    MW    </v>
      </c>
      <c r="AH1045" t="str">
        <f t="shared" si="293"/>
        <v xml:space="preserve">   Mvar   </v>
      </c>
      <c r="AI1045" t="str">
        <f t="shared" si="278"/>
        <v xml:space="preserve">  MOD  </v>
      </c>
      <c r="AJ1045" t="str">
        <f t="shared" si="279"/>
        <v xml:space="preserve">  ANG  </v>
      </c>
    </row>
    <row r="1046" spans="1:36" x14ac:dyDescent="0.25">
      <c r="A1046" t="s">
        <v>8</v>
      </c>
      <c r="P1046" t="str">
        <f t="shared" si="280"/>
        <v xml:space="preserve"> X-------------X</v>
      </c>
      <c r="Q1046" t="str">
        <f t="shared" si="280"/>
        <v>X-------X</v>
      </c>
      <c r="R1046" t="str">
        <f t="shared" si="289"/>
        <v>X-------X</v>
      </c>
      <c r="S1046" t="str">
        <f t="shared" si="281"/>
        <v>X-------X</v>
      </c>
      <c r="T1046" t="str">
        <f t="shared" si="282"/>
        <v>X-------X</v>
      </c>
      <c r="U1046" t="str">
        <f t="shared" si="286"/>
        <v>X-----------X</v>
      </c>
      <c r="V1046" t="str">
        <f t="shared" si="290"/>
        <v>X-------X</v>
      </c>
      <c r="W1046" t="str">
        <f t="shared" si="283"/>
        <v>X-------X</v>
      </c>
      <c r="X1046" t="str">
        <f t="shared" si="287"/>
        <v>X-----X</v>
      </c>
      <c r="Y1046" t="str">
        <f t="shared" si="287"/>
        <v>X------------X</v>
      </c>
      <c r="Z1046" t="str">
        <f t="shared" si="287"/>
        <v>X--X</v>
      </c>
      <c r="AA1046" t="str">
        <f t="shared" si="291"/>
        <v>X-------X</v>
      </c>
      <c r="AB1046" t="str">
        <f t="shared" si="284"/>
        <v>X-------X</v>
      </c>
      <c r="AC1046" t="str">
        <f t="shared" si="285"/>
        <v>X-------X</v>
      </c>
      <c r="AD1046" t="str">
        <f t="shared" si="286"/>
        <v>X------X</v>
      </c>
      <c r="AE1046" t="str">
        <f t="shared" si="292"/>
        <v>X-----X</v>
      </c>
      <c r="AF1046" t="str">
        <f t="shared" si="288"/>
        <v>X---X</v>
      </c>
      <c r="AG1046" t="str">
        <f t="shared" si="288"/>
        <v>X--------X</v>
      </c>
      <c r="AH1046" t="str">
        <f t="shared" si="293"/>
        <v>X--------X</v>
      </c>
      <c r="AI1046" t="str">
        <f t="shared" si="278"/>
        <v>X-----X</v>
      </c>
      <c r="AJ1046" t="str">
        <f t="shared" si="279"/>
        <v>X-----X</v>
      </c>
    </row>
    <row r="1047" spans="1:36" x14ac:dyDescent="0.25">
      <c r="P1047" t="str">
        <f t="shared" si="280"/>
        <v/>
      </c>
      <c r="Q1047" t="str">
        <f t="shared" si="280"/>
        <v/>
      </c>
      <c r="R1047" t="str">
        <f t="shared" si="289"/>
        <v/>
      </c>
      <c r="S1047" t="str">
        <f t="shared" si="281"/>
        <v/>
      </c>
      <c r="T1047" t="str">
        <f t="shared" si="282"/>
        <v/>
      </c>
      <c r="U1047" t="str">
        <f t="shared" si="286"/>
        <v/>
      </c>
      <c r="V1047" t="str">
        <f t="shared" si="290"/>
        <v/>
      </c>
      <c r="W1047" t="str">
        <f t="shared" si="283"/>
        <v/>
      </c>
      <c r="X1047" t="str">
        <f t="shared" si="287"/>
        <v/>
      </c>
      <c r="Y1047" t="str">
        <f t="shared" si="287"/>
        <v/>
      </c>
      <c r="Z1047" t="str">
        <f t="shared" si="287"/>
        <v/>
      </c>
      <c r="AA1047" t="str">
        <f t="shared" si="291"/>
        <v/>
      </c>
      <c r="AB1047" t="str">
        <f t="shared" si="284"/>
        <v/>
      </c>
      <c r="AC1047" t="str">
        <f t="shared" si="285"/>
        <v/>
      </c>
      <c r="AD1047" t="str">
        <f t="shared" si="286"/>
        <v/>
      </c>
      <c r="AE1047" t="str">
        <f t="shared" si="292"/>
        <v/>
      </c>
      <c r="AF1047" t="str">
        <f t="shared" si="288"/>
        <v/>
      </c>
      <c r="AG1047" t="str">
        <f t="shared" si="288"/>
        <v/>
      </c>
      <c r="AH1047" t="str">
        <f t="shared" si="293"/>
        <v/>
      </c>
      <c r="AI1047" t="str">
        <f t="shared" ref="AI1047:AI1110" si="294">MID($A1047,AG$8+AG$9+AH$9-2,AI$9)</f>
        <v/>
      </c>
      <c r="AJ1047" t="str">
        <f t="shared" ref="AJ1047:AJ1110" si="295">MID($A1047,AG$8+AG$9+AH$9+AI$9-3,AJ$9)</f>
        <v/>
      </c>
    </row>
    <row r="1048" spans="1:36" x14ac:dyDescent="0.25">
      <c r="A1048" t="s">
        <v>812</v>
      </c>
      <c r="P1048" t="str">
        <f t="shared" si="280"/>
        <v xml:space="preserve">   9226   69  0 </v>
      </c>
      <c r="Q1048" t="str">
        <f t="shared" si="280"/>
        <v xml:space="preserve">   1.014 </v>
      </c>
      <c r="R1048" t="str">
        <f t="shared" si="289"/>
        <v xml:space="preserve">     0.0 </v>
      </c>
      <c r="S1048" t="str">
        <f t="shared" si="281"/>
        <v xml:space="preserve">     0.0 </v>
      </c>
      <c r="T1048" t="str">
        <f t="shared" si="282"/>
        <v xml:space="preserve">     9.5 </v>
      </c>
      <c r="U1048" t="str">
        <f t="shared" si="286"/>
        <v xml:space="preserve">         0.0 </v>
      </c>
      <c r="V1048" t="str">
        <f t="shared" si="290"/>
        <v xml:space="preserve">     0.0 </v>
      </c>
      <c r="W1048" t="str">
        <f t="shared" si="283"/>
        <v xml:space="preserve">     0.0</v>
      </c>
      <c r="X1048" t="str">
        <f t="shared" si="287"/>
        <v/>
      </c>
      <c r="Y1048" t="str">
        <f t="shared" si="287"/>
        <v/>
      </c>
      <c r="Z1048" t="str">
        <f t="shared" si="287"/>
        <v/>
      </c>
      <c r="AA1048" t="str">
        <f t="shared" si="291"/>
        <v/>
      </c>
      <c r="AB1048" t="str">
        <f t="shared" si="284"/>
        <v/>
      </c>
      <c r="AC1048" t="str">
        <f t="shared" si="285"/>
        <v/>
      </c>
      <c r="AD1048" t="str">
        <f t="shared" si="286"/>
        <v/>
      </c>
      <c r="AE1048" t="str">
        <f t="shared" si="292"/>
        <v/>
      </c>
      <c r="AF1048" t="str">
        <f t="shared" si="288"/>
        <v/>
      </c>
      <c r="AG1048" t="str">
        <f t="shared" si="288"/>
        <v/>
      </c>
      <c r="AH1048" t="str">
        <f t="shared" si="293"/>
        <v/>
      </c>
      <c r="AI1048" t="str">
        <f t="shared" si="294"/>
        <v/>
      </c>
      <c r="AJ1048" t="str">
        <f t="shared" si="295"/>
        <v/>
      </c>
    </row>
    <row r="1049" spans="1:36" x14ac:dyDescent="0.25">
      <c r="A1049" t="s">
        <v>813</v>
      </c>
      <c r="P1049" t="str">
        <f t="shared" si="280"/>
        <v xml:space="preserve">  GKNPAL-RS069  </v>
      </c>
      <c r="Q1049" t="str">
        <f t="shared" si="280"/>
        <v xml:space="preserve">   -54.7 </v>
      </c>
      <c r="R1049" t="str">
        <f t="shared" si="289"/>
        <v xml:space="preserve">     0.0 </v>
      </c>
      <c r="S1049" t="str">
        <f t="shared" si="281"/>
        <v xml:space="preserve">     0.0 </v>
      </c>
      <c r="T1049" t="str">
        <f t="shared" si="282"/>
        <v xml:space="preserve">     4.0 </v>
      </c>
      <c r="U1049" t="str">
        <f t="shared" si="286"/>
        <v xml:space="preserve">         0.0 </v>
      </c>
      <c r="V1049" t="str">
        <f t="shared" si="290"/>
        <v xml:space="preserve">     0.0 </v>
      </c>
      <c r="W1049" t="str">
        <f t="shared" si="283"/>
        <v xml:space="preserve">     0.0 </v>
      </c>
      <c r="X1049" t="str">
        <f t="shared" si="287"/>
        <v xml:space="preserve">       </v>
      </c>
      <c r="Y1049" t="str">
        <f t="shared" si="287"/>
        <v xml:space="preserve">              </v>
      </c>
      <c r="Z1049" t="str">
        <f t="shared" si="287"/>
        <v xml:space="preserve">    </v>
      </c>
      <c r="AA1049" t="str">
        <f t="shared" si="291"/>
        <v xml:space="preserve">         </v>
      </c>
      <c r="AB1049" t="str">
        <f t="shared" si="284"/>
        <v xml:space="preserve">         </v>
      </c>
      <c r="AC1049" t="str">
        <f t="shared" si="285"/>
        <v xml:space="preserve">    </v>
      </c>
      <c r="AD1049" t="str">
        <f t="shared" si="286"/>
        <v/>
      </c>
      <c r="AE1049" t="str">
        <f t="shared" si="292"/>
        <v/>
      </c>
      <c r="AF1049" t="str">
        <f t="shared" si="288"/>
        <v/>
      </c>
      <c r="AG1049" t="str">
        <f t="shared" si="288"/>
        <v/>
      </c>
      <c r="AH1049" t="str">
        <f t="shared" si="293"/>
        <v/>
      </c>
      <c r="AI1049" t="str">
        <f t="shared" si="294"/>
        <v/>
      </c>
      <c r="AJ1049" t="str">
        <f t="shared" si="295"/>
        <v/>
      </c>
    </row>
    <row r="1050" spans="1:36" x14ac:dyDescent="0.25">
      <c r="A1050" t="s">
        <v>814</v>
      </c>
      <c r="P1050" t="str">
        <f t="shared" si="280"/>
        <v xml:space="preserve">                </v>
      </c>
      <c r="Q1050" t="str">
        <f t="shared" si="280"/>
        <v xml:space="preserve">         </v>
      </c>
      <c r="R1050" t="str">
        <f t="shared" si="289"/>
        <v xml:space="preserve">    80.0 </v>
      </c>
      <c r="S1050" t="str">
        <f t="shared" si="281"/>
        <v xml:space="preserve">    95.0 </v>
      </c>
      <c r="T1050" t="str">
        <f t="shared" si="282"/>
        <v xml:space="preserve">    95.0 </v>
      </c>
      <c r="U1050" t="str">
        <f t="shared" si="286"/>
        <v xml:space="preserve">       62.8% </v>
      </c>
      <c r="V1050" t="str">
        <f t="shared" si="290"/>
        <v xml:space="preserve">         </v>
      </c>
      <c r="W1050" t="str">
        <f t="shared" si="283"/>
        <v xml:space="preserve">         </v>
      </c>
      <c r="X1050" t="str">
        <f t="shared" si="287"/>
        <v xml:space="preserve">  1271 </v>
      </c>
      <c r="Y1050" t="str">
        <f t="shared" si="287"/>
        <v xml:space="preserve"> PALGR8-RS069 </v>
      </c>
      <c r="Z1050" t="str">
        <f t="shared" si="287"/>
        <v xml:space="preserve">  1 </v>
      </c>
      <c r="AA1050" t="str">
        <f t="shared" si="291"/>
        <v xml:space="preserve">   -50.4 </v>
      </c>
      <c r="AB1050" t="str">
        <f t="shared" si="284"/>
        <v xml:space="preserve">    -7.5 </v>
      </c>
      <c r="AC1050" t="str">
        <f t="shared" si="285"/>
        <v xml:space="preserve">    50.2 </v>
      </c>
      <c r="AD1050" t="str">
        <f t="shared" si="286"/>
        <v xml:space="preserve">        </v>
      </c>
      <c r="AE1050" t="str">
        <f t="shared" si="292"/>
        <v xml:space="preserve">       </v>
      </c>
      <c r="AF1050" t="str">
        <f t="shared" si="288"/>
        <v xml:space="preserve">     </v>
      </c>
      <c r="AG1050" t="str">
        <f t="shared" si="288"/>
        <v xml:space="preserve">     0.04 </v>
      </c>
      <c r="AH1050" t="str">
        <f t="shared" si="293"/>
        <v xml:space="preserve">     0.13 </v>
      </c>
      <c r="AI1050" t="str">
        <f t="shared" si="294"/>
        <v xml:space="preserve">       </v>
      </c>
      <c r="AJ1050" t="str">
        <f t="shared" si="295"/>
        <v xml:space="preserve">      </v>
      </c>
    </row>
    <row r="1051" spans="1:36" x14ac:dyDescent="0.25">
      <c r="A1051" t="s">
        <v>815</v>
      </c>
      <c r="P1051" t="str">
        <f t="shared" ref="P1051:Q1114" si="296">MID($A1051,P$8,P$9)</f>
        <v xml:space="preserve">                </v>
      </c>
      <c r="Q1051" t="str">
        <f t="shared" si="296"/>
        <v xml:space="preserve">         </v>
      </c>
      <c r="R1051" t="str">
        <f t="shared" si="289"/>
        <v xml:space="preserve">    84.0 </v>
      </c>
      <c r="S1051" t="str">
        <f t="shared" ref="S1051:S1114" si="297">MID($A1051,Q$8+Q$9+R$9-2,S$9)</f>
        <v xml:space="preserve">   101.0 </v>
      </c>
      <c r="T1051" t="str">
        <f t="shared" ref="T1051:T1114" si="298">MID($A1051,Q$8+Q$9+R$9+S$9-3,T$9)</f>
        <v xml:space="preserve">   101.0 </v>
      </c>
      <c r="U1051" t="str">
        <f t="shared" si="286"/>
        <v xml:space="preserve">       48.2% </v>
      </c>
      <c r="V1051" t="str">
        <f t="shared" si="290"/>
        <v xml:space="preserve">         </v>
      </c>
      <c r="W1051" t="str">
        <f t="shared" ref="W1051:W1114" si="299">MID($A1051,U$8+U$9+V$9-2,W$9)</f>
        <v xml:space="preserve">         </v>
      </c>
      <c r="X1051" t="str">
        <f t="shared" si="287"/>
        <v xml:space="preserve">  9256 </v>
      </c>
      <c r="Y1051" t="str">
        <f t="shared" si="287"/>
        <v xml:space="preserve"> PALE20-RS069 </v>
      </c>
      <c r="Z1051" t="str">
        <f t="shared" si="287"/>
        <v xml:space="preserve">  1 </v>
      </c>
      <c r="AA1051" t="str">
        <f t="shared" si="291"/>
        <v xml:space="preserve">    40.9 </v>
      </c>
      <c r="AB1051" t="str">
        <f t="shared" ref="AB1051:AB1114" si="300">MID($A1051,Z$8+Z$9+AA$9-2,AB$9)</f>
        <v xml:space="preserve">     3.5 </v>
      </c>
      <c r="AC1051" t="str">
        <f t="shared" ref="AC1051:AC1114" si="301">MID($A1051,Z$8+Z$9+AA$9+AB$9-3,AC$9)</f>
        <v xml:space="preserve">    40.5 </v>
      </c>
      <c r="AD1051" t="str">
        <f t="shared" si="286"/>
        <v xml:space="preserve">        </v>
      </c>
      <c r="AE1051" t="str">
        <f t="shared" si="292"/>
        <v xml:space="preserve">       </v>
      </c>
      <c r="AF1051" t="str">
        <f t="shared" si="288"/>
        <v xml:space="preserve">     </v>
      </c>
      <c r="AG1051" t="str">
        <f t="shared" si="288"/>
        <v xml:space="preserve">     0.07 </v>
      </c>
      <c r="AH1051" t="str">
        <f t="shared" si="293"/>
        <v xml:space="preserve">     0.21 </v>
      </c>
      <c r="AI1051" t="str">
        <f t="shared" si="294"/>
        <v xml:space="preserve">       </v>
      </c>
      <c r="AJ1051" t="str">
        <f t="shared" si="295"/>
        <v xml:space="preserve">      </v>
      </c>
    </row>
    <row r="1052" spans="1:36" x14ac:dyDescent="0.25">
      <c r="A1052" t="s">
        <v>14</v>
      </c>
      <c r="P1052" t="str">
        <f t="shared" si="296"/>
        <v xml:space="preserve">  ..............</v>
      </c>
      <c r="Q1052" t="str">
        <f t="shared" si="296"/>
        <v>.........</v>
      </c>
      <c r="R1052" t="str">
        <f t="shared" si="289"/>
        <v>.........</v>
      </c>
      <c r="S1052" t="str">
        <f t="shared" si="297"/>
        <v>.........</v>
      </c>
      <c r="T1052" t="str">
        <f t="shared" si="298"/>
        <v>.........</v>
      </c>
      <c r="U1052" t="str">
        <f t="shared" ref="U1052:AD1115" si="302">MID($A1052,U$8,U$9)</f>
        <v>.............</v>
      </c>
      <c r="V1052" t="str">
        <f t="shared" si="290"/>
        <v>.........</v>
      </c>
      <c r="W1052" t="str">
        <f t="shared" si="299"/>
        <v>.........</v>
      </c>
      <c r="X1052" t="str">
        <f t="shared" ref="X1052:Z1115" si="303">MID($A1052,X$8,X$9)</f>
        <v>.......</v>
      </c>
      <c r="Y1052" t="str">
        <f t="shared" si="303"/>
        <v>..............</v>
      </c>
      <c r="Z1052" t="str">
        <f t="shared" si="303"/>
        <v>....</v>
      </c>
      <c r="AA1052" t="str">
        <f t="shared" si="291"/>
        <v>.........</v>
      </c>
      <c r="AB1052" t="str">
        <f t="shared" si="300"/>
        <v>.........</v>
      </c>
      <c r="AC1052" t="str">
        <f t="shared" si="301"/>
        <v>.........</v>
      </c>
      <c r="AD1052" t="str">
        <f t="shared" si="302"/>
        <v>........</v>
      </c>
      <c r="AE1052" t="str">
        <f t="shared" si="292"/>
        <v>.......</v>
      </c>
      <c r="AF1052" t="str">
        <f t="shared" si="288"/>
        <v>.....</v>
      </c>
      <c r="AG1052" t="str">
        <f t="shared" si="288"/>
        <v>..........</v>
      </c>
      <c r="AH1052" t="str">
        <f t="shared" si="293"/>
        <v>..........</v>
      </c>
      <c r="AI1052" t="str">
        <f t="shared" si="294"/>
        <v>.......</v>
      </c>
      <c r="AJ1052" t="str">
        <f t="shared" si="295"/>
        <v>.......</v>
      </c>
    </row>
    <row r="1053" spans="1:36" x14ac:dyDescent="0.25">
      <c r="A1053" t="s">
        <v>816</v>
      </c>
      <c r="P1053" t="str">
        <f t="shared" si="296"/>
        <v xml:space="preserve">   9227   69  0 </v>
      </c>
      <c r="Q1053" t="str">
        <f t="shared" si="296"/>
        <v xml:space="preserve">   1.000 </v>
      </c>
      <c r="R1053" t="str">
        <f t="shared" si="289"/>
        <v xml:space="preserve">     0.0 </v>
      </c>
      <c r="S1053" t="str">
        <f t="shared" si="297"/>
        <v xml:space="preserve">     0.0 </v>
      </c>
      <c r="T1053" t="str">
        <f t="shared" si="298"/>
        <v xml:space="preserve">     8.3 </v>
      </c>
      <c r="U1053" t="str">
        <f t="shared" si="302"/>
        <v xml:space="preserve">         0.0 </v>
      </c>
      <c r="V1053" t="str">
        <f t="shared" si="290"/>
        <v xml:space="preserve">     0.0 </v>
      </c>
      <c r="W1053" t="str">
        <f t="shared" si="299"/>
        <v xml:space="preserve">     0.0</v>
      </c>
      <c r="X1053" t="str">
        <f t="shared" si="303"/>
        <v/>
      </c>
      <c r="Y1053" t="str">
        <f t="shared" si="303"/>
        <v/>
      </c>
      <c r="Z1053" t="str">
        <f t="shared" si="303"/>
        <v/>
      </c>
      <c r="AA1053" t="str">
        <f t="shared" si="291"/>
        <v/>
      </c>
      <c r="AB1053" t="str">
        <f t="shared" si="300"/>
        <v/>
      </c>
      <c r="AC1053" t="str">
        <f t="shared" si="301"/>
        <v/>
      </c>
      <c r="AD1053" t="str">
        <f t="shared" si="302"/>
        <v/>
      </c>
      <c r="AE1053" t="str">
        <f t="shared" si="292"/>
        <v/>
      </c>
      <c r="AF1053" t="str">
        <f t="shared" ref="AF1053:AG1116" si="304">MID($A1053,AF$8,AF$9)</f>
        <v/>
      </c>
      <c r="AG1053" t="str">
        <f t="shared" si="304"/>
        <v/>
      </c>
      <c r="AH1053" t="str">
        <f t="shared" si="293"/>
        <v/>
      </c>
      <c r="AI1053" t="str">
        <f t="shared" si="294"/>
        <v/>
      </c>
      <c r="AJ1053" t="str">
        <f t="shared" si="295"/>
        <v/>
      </c>
    </row>
    <row r="1054" spans="1:36" x14ac:dyDescent="0.25">
      <c r="A1054" t="s">
        <v>817</v>
      </c>
      <c r="P1054" t="str">
        <f t="shared" si="296"/>
        <v xml:space="preserve">  BRPALE-RS069  </v>
      </c>
      <c r="Q1054" t="str">
        <f t="shared" si="296"/>
        <v xml:space="preserve">   -57.3 </v>
      </c>
      <c r="R1054" t="str">
        <f t="shared" si="289"/>
        <v xml:space="preserve">     0.0 </v>
      </c>
      <c r="S1054" t="str">
        <f t="shared" si="297"/>
        <v xml:space="preserve">     0.0 </v>
      </c>
      <c r="T1054" t="str">
        <f t="shared" si="298"/>
        <v xml:space="preserve">     2.7 </v>
      </c>
      <c r="U1054" t="str">
        <f t="shared" si="302"/>
        <v xml:space="preserve">         0.0 </v>
      </c>
      <c r="V1054" t="str">
        <f t="shared" si="290"/>
        <v xml:space="preserve">     0.0 </v>
      </c>
      <c r="W1054" t="str">
        <f t="shared" si="299"/>
        <v xml:space="preserve">     0.0 </v>
      </c>
      <c r="X1054" t="str">
        <f t="shared" si="303"/>
        <v xml:space="preserve">       </v>
      </c>
      <c r="Y1054" t="str">
        <f t="shared" si="303"/>
        <v xml:space="preserve">              </v>
      </c>
      <c r="Z1054" t="str">
        <f t="shared" si="303"/>
        <v xml:space="preserve">    </v>
      </c>
      <c r="AA1054" t="str">
        <f t="shared" si="291"/>
        <v xml:space="preserve">         </v>
      </c>
      <c r="AB1054" t="str">
        <f t="shared" si="300"/>
        <v xml:space="preserve">         </v>
      </c>
      <c r="AC1054" t="str">
        <f t="shared" si="301"/>
        <v xml:space="preserve">    </v>
      </c>
      <c r="AD1054" t="str">
        <f t="shared" si="302"/>
        <v/>
      </c>
      <c r="AE1054" t="str">
        <f t="shared" si="292"/>
        <v/>
      </c>
      <c r="AF1054" t="str">
        <f t="shared" si="304"/>
        <v/>
      </c>
      <c r="AG1054" t="str">
        <f t="shared" si="304"/>
        <v/>
      </c>
      <c r="AH1054" t="str">
        <f t="shared" si="293"/>
        <v/>
      </c>
      <c r="AI1054" t="str">
        <f t="shared" si="294"/>
        <v/>
      </c>
      <c r="AJ1054" t="str">
        <f t="shared" si="295"/>
        <v/>
      </c>
    </row>
    <row r="1055" spans="1:36" x14ac:dyDescent="0.25">
      <c r="A1055" t="s">
        <v>818</v>
      </c>
      <c r="P1055" t="str">
        <f t="shared" si="296"/>
        <v xml:space="preserve">                </v>
      </c>
      <c r="Q1055" t="str">
        <f t="shared" si="296"/>
        <v xml:space="preserve">         </v>
      </c>
      <c r="R1055" t="str">
        <f t="shared" si="289"/>
        <v xml:space="preserve">    69.0 </v>
      </c>
      <c r="S1055" t="str">
        <f t="shared" si="297"/>
        <v xml:space="preserve">    88.0 </v>
      </c>
      <c r="T1055" t="str">
        <f t="shared" si="298"/>
        <v xml:space="preserve">    88.0 </v>
      </c>
      <c r="U1055" t="str">
        <f t="shared" si="302"/>
        <v xml:space="preserve">       12.7% </v>
      </c>
      <c r="V1055" t="str">
        <f t="shared" si="290"/>
        <v xml:space="preserve">         </v>
      </c>
      <c r="W1055" t="str">
        <f t="shared" si="299"/>
        <v xml:space="preserve">         </v>
      </c>
      <c r="X1055" t="str">
        <f t="shared" si="303"/>
        <v xml:space="preserve">  9553 </v>
      </c>
      <c r="Y1055" t="str">
        <f t="shared" si="303"/>
        <v xml:space="preserve"> BRPALETAP069 </v>
      </c>
      <c r="Z1055" t="str">
        <f t="shared" si="303"/>
        <v xml:space="preserve">  1 </v>
      </c>
      <c r="AA1055" t="str">
        <f t="shared" si="291"/>
        <v xml:space="preserve">    -8.3 </v>
      </c>
      <c r="AB1055" t="str">
        <f t="shared" si="300"/>
        <v xml:space="preserve">    -2.7 </v>
      </c>
      <c r="AC1055" t="str">
        <f t="shared" si="301"/>
        <v xml:space="preserve">     8.7 </v>
      </c>
      <c r="AD1055" t="str">
        <f t="shared" si="302"/>
        <v xml:space="preserve">        </v>
      </c>
      <c r="AE1055" t="str">
        <f t="shared" si="292"/>
        <v xml:space="preserve">       </v>
      </c>
      <c r="AF1055" t="str">
        <f t="shared" si="304"/>
        <v xml:space="preserve">     </v>
      </c>
      <c r="AG1055" t="str">
        <f t="shared" si="304"/>
        <v xml:space="preserve">     0.01 </v>
      </c>
      <c r="AH1055" t="str">
        <f t="shared" si="293"/>
        <v xml:space="preserve">    -0.00 </v>
      </c>
      <c r="AI1055" t="str">
        <f t="shared" si="294"/>
        <v xml:space="preserve">       </v>
      </c>
      <c r="AJ1055" t="str">
        <f t="shared" si="295"/>
        <v xml:space="preserve">      </v>
      </c>
    </row>
    <row r="1056" spans="1:36" x14ac:dyDescent="0.25">
      <c r="A1056" t="s">
        <v>14</v>
      </c>
      <c r="P1056" t="str">
        <f t="shared" si="296"/>
        <v xml:space="preserve">  ..............</v>
      </c>
      <c r="Q1056" t="str">
        <f t="shared" si="296"/>
        <v>.........</v>
      </c>
      <c r="R1056" t="str">
        <f t="shared" si="289"/>
        <v>.........</v>
      </c>
      <c r="S1056" t="str">
        <f t="shared" si="297"/>
        <v>.........</v>
      </c>
      <c r="T1056" t="str">
        <f t="shared" si="298"/>
        <v>.........</v>
      </c>
      <c r="U1056" t="str">
        <f t="shared" si="302"/>
        <v>.............</v>
      </c>
      <c r="V1056" t="str">
        <f t="shared" si="290"/>
        <v>.........</v>
      </c>
      <c r="W1056" t="str">
        <f t="shared" si="299"/>
        <v>.........</v>
      </c>
      <c r="X1056" t="str">
        <f t="shared" si="303"/>
        <v>.......</v>
      </c>
      <c r="Y1056" t="str">
        <f t="shared" si="303"/>
        <v>..............</v>
      </c>
      <c r="Z1056" t="str">
        <f t="shared" si="303"/>
        <v>....</v>
      </c>
      <c r="AA1056" t="str">
        <f t="shared" si="291"/>
        <v>.........</v>
      </c>
      <c r="AB1056" t="str">
        <f t="shared" si="300"/>
        <v>.........</v>
      </c>
      <c r="AC1056" t="str">
        <f t="shared" si="301"/>
        <v>.........</v>
      </c>
      <c r="AD1056" t="str">
        <f t="shared" si="302"/>
        <v>........</v>
      </c>
      <c r="AE1056" t="str">
        <f t="shared" si="292"/>
        <v>.......</v>
      </c>
      <c r="AF1056" t="str">
        <f t="shared" si="304"/>
        <v>.....</v>
      </c>
      <c r="AG1056" t="str">
        <f t="shared" si="304"/>
        <v>..........</v>
      </c>
      <c r="AH1056" t="str">
        <f t="shared" si="293"/>
        <v>..........</v>
      </c>
      <c r="AI1056" t="str">
        <f t="shared" si="294"/>
        <v>.......</v>
      </c>
      <c r="AJ1056" t="str">
        <f t="shared" si="295"/>
        <v>.......</v>
      </c>
    </row>
    <row r="1057" spans="1:36" x14ac:dyDescent="0.25">
      <c r="A1057" t="s">
        <v>819</v>
      </c>
      <c r="P1057" t="str">
        <f t="shared" si="296"/>
        <v xml:space="preserve">   9228   69  0 </v>
      </c>
      <c r="Q1057" t="str">
        <f t="shared" si="296"/>
        <v xml:space="preserve">   1.001 </v>
      </c>
      <c r="R1057" t="str">
        <f t="shared" si="289"/>
        <v xml:space="preserve">     0.0 </v>
      </c>
      <c r="S1057" t="str">
        <f t="shared" si="297"/>
        <v xml:space="preserve">     0.0 </v>
      </c>
      <c r="T1057" t="str">
        <f t="shared" si="298"/>
        <v xml:space="preserve">     2.5 </v>
      </c>
      <c r="U1057" t="str">
        <f t="shared" si="302"/>
        <v xml:space="preserve">         0.0 </v>
      </c>
      <c r="V1057" t="str">
        <f t="shared" si="290"/>
        <v xml:space="preserve">     0.0 </v>
      </c>
      <c r="W1057" t="str">
        <f t="shared" si="299"/>
        <v xml:space="preserve">     0.0</v>
      </c>
      <c r="X1057" t="str">
        <f t="shared" si="303"/>
        <v/>
      </c>
      <c r="Y1057" t="str">
        <f t="shared" si="303"/>
        <v/>
      </c>
      <c r="Z1057" t="str">
        <f t="shared" si="303"/>
        <v/>
      </c>
      <c r="AA1057" t="str">
        <f t="shared" si="291"/>
        <v/>
      </c>
      <c r="AB1057" t="str">
        <f t="shared" si="300"/>
        <v/>
      </c>
      <c r="AC1057" t="str">
        <f t="shared" si="301"/>
        <v/>
      </c>
      <c r="AD1057" t="str">
        <f t="shared" si="302"/>
        <v/>
      </c>
      <c r="AE1057" t="str">
        <f t="shared" si="292"/>
        <v/>
      </c>
      <c r="AF1057" t="str">
        <f t="shared" si="304"/>
        <v/>
      </c>
      <c r="AG1057" t="str">
        <f t="shared" si="304"/>
        <v/>
      </c>
      <c r="AH1057" t="str">
        <f t="shared" si="293"/>
        <v/>
      </c>
      <c r="AI1057" t="str">
        <f t="shared" si="294"/>
        <v/>
      </c>
      <c r="AJ1057" t="str">
        <f t="shared" si="295"/>
        <v/>
      </c>
    </row>
    <row r="1058" spans="1:36" x14ac:dyDescent="0.25">
      <c r="A1058" t="s">
        <v>820</v>
      </c>
      <c r="P1058" t="str">
        <f t="shared" si="296"/>
        <v xml:space="preserve">  LATPAL-RS069  </v>
      </c>
      <c r="Q1058" t="str">
        <f t="shared" si="296"/>
        <v xml:space="preserve">   -57.2 </v>
      </c>
      <c r="R1058" t="str">
        <f t="shared" si="289"/>
        <v xml:space="preserve">     0.0 </v>
      </c>
      <c r="S1058" t="str">
        <f t="shared" si="297"/>
        <v xml:space="preserve">     0.0 </v>
      </c>
      <c r="T1058" t="str">
        <f t="shared" si="298"/>
        <v xml:space="preserve">     1.1 </v>
      </c>
      <c r="U1058" t="str">
        <f t="shared" si="302"/>
        <v xml:space="preserve">         0.0 </v>
      </c>
      <c r="V1058" t="str">
        <f t="shared" si="290"/>
        <v xml:space="preserve">     0.0 </v>
      </c>
      <c r="W1058" t="str">
        <f t="shared" si="299"/>
        <v xml:space="preserve">     0.0 </v>
      </c>
      <c r="X1058" t="str">
        <f t="shared" si="303"/>
        <v xml:space="preserve">       </v>
      </c>
      <c r="Y1058" t="str">
        <f t="shared" si="303"/>
        <v xml:space="preserve">              </v>
      </c>
      <c r="Z1058" t="str">
        <f t="shared" si="303"/>
        <v xml:space="preserve">    </v>
      </c>
      <c r="AA1058" t="str">
        <f t="shared" si="291"/>
        <v xml:space="preserve">         </v>
      </c>
      <c r="AB1058" t="str">
        <f t="shared" si="300"/>
        <v xml:space="preserve">         </v>
      </c>
      <c r="AC1058" t="str">
        <f t="shared" si="301"/>
        <v xml:space="preserve">    </v>
      </c>
      <c r="AD1058" t="str">
        <f t="shared" si="302"/>
        <v/>
      </c>
      <c r="AE1058" t="str">
        <f t="shared" si="292"/>
        <v/>
      </c>
      <c r="AF1058" t="str">
        <f t="shared" si="304"/>
        <v/>
      </c>
      <c r="AG1058" t="str">
        <f t="shared" si="304"/>
        <v/>
      </c>
      <c r="AH1058" t="str">
        <f t="shared" si="293"/>
        <v/>
      </c>
      <c r="AI1058" t="str">
        <f t="shared" si="294"/>
        <v/>
      </c>
      <c r="AJ1058" t="str">
        <f t="shared" si="295"/>
        <v/>
      </c>
    </row>
    <row r="1059" spans="1:36" x14ac:dyDescent="0.25">
      <c r="A1059" t="s">
        <v>821</v>
      </c>
      <c r="P1059" t="str">
        <f t="shared" si="296"/>
        <v xml:space="preserve">                </v>
      </c>
      <c r="Q1059" t="str">
        <f t="shared" si="296"/>
        <v xml:space="preserve">         </v>
      </c>
      <c r="R1059" t="str">
        <f t="shared" si="289"/>
        <v xml:space="preserve">    67.0 </v>
      </c>
      <c r="S1059" t="str">
        <f t="shared" si="297"/>
        <v xml:space="preserve">    81.0 </v>
      </c>
      <c r="T1059" t="str">
        <f t="shared" si="298"/>
        <v xml:space="preserve">    81.0 </v>
      </c>
      <c r="U1059" t="str">
        <f t="shared" si="302"/>
        <v xml:space="preserve">        4.1% </v>
      </c>
      <c r="V1059" t="str">
        <f t="shared" si="290"/>
        <v xml:space="preserve">         </v>
      </c>
      <c r="W1059" t="str">
        <f t="shared" si="299"/>
        <v xml:space="preserve">         </v>
      </c>
      <c r="X1059" t="str">
        <f t="shared" si="303"/>
        <v xml:space="preserve">  9553 </v>
      </c>
      <c r="Y1059" t="str">
        <f t="shared" si="303"/>
        <v xml:space="preserve"> BRPALETAP069 </v>
      </c>
      <c r="Z1059" t="str">
        <f t="shared" si="303"/>
        <v xml:space="preserve">  1 </v>
      </c>
      <c r="AA1059" t="str">
        <f t="shared" si="291"/>
        <v xml:space="preserve">    -2.5 </v>
      </c>
      <c r="AB1059" t="str">
        <f t="shared" si="300"/>
        <v xml:space="preserve">    -1.1 </v>
      </c>
      <c r="AC1059" t="str">
        <f t="shared" si="301"/>
        <v xml:space="preserve">     2.7 </v>
      </c>
      <c r="AD1059" t="str">
        <f t="shared" si="302"/>
        <v xml:space="preserve">        </v>
      </c>
      <c r="AE1059" t="str">
        <f t="shared" si="292"/>
        <v xml:space="preserve">       </v>
      </c>
      <c r="AF1059" t="str">
        <f t="shared" si="304"/>
        <v xml:space="preserve">     </v>
      </c>
      <c r="AG1059" t="str">
        <f t="shared" si="304"/>
        <v xml:space="preserve">     0.00 </v>
      </c>
      <c r="AH1059" t="str">
        <f t="shared" si="293"/>
        <v xml:space="preserve">    -0.00 </v>
      </c>
      <c r="AI1059" t="str">
        <f t="shared" si="294"/>
        <v xml:space="preserve">       </v>
      </c>
      <c r="AJ1059" t="str">
        <f t="shared" si="295"/>
        <v xml:space="preserve">      </v>
      </c>
    </row>
    <row r="1060" spans="1:36" x14ac:dyDescent="0.25">
      <c r="A1060" t="s">
        <v>14</v>
      </c>
      <c r="P1060" t="str">
        <f t="shared" si="296"/>
        <v xml:space="preserve">  ..............</v>
      </c>
      <c r="Q1060" t="str">
        <f t="shared" si="296"/>
        <v>.........</v>
      </c>
      <c r="R1060" t="str">
        <f t="shared" si="289"/>
        <v>.........</v>
      </c>
      <c r="S1060" t="str">
        <f t="shared" si="297"/>
        <v>.........</v>
      </c>
      <c r="T1060" t="str">
        <f t="shared" si="298"/>
        <v>.........</v>
      </c>
      <c r="U1060" t="str">
        <f t="shared" si="302"/>
        <v>.............</v>
      </c>
      <c r="V1060" t="str">
        <f t="shared" si="290"/>
        <v>.........</v>
      </c>
      <c r="W1060" t="str">
        <f t="shared" si="299"/>
        <v>.........</v>
      </c>
      <c r="X1060" t="str">
        <f t="shared" si="303"/>
        <v>.......</v>
      </c>
      <c r="Y1060" t="str">
        <f t="shared" si="303"/>
        <v>..............</v>
      </c>
      <c r="Z1060" t="str">
        <f t="shared" si="303"/>
        <v>....</v>
      </c>
      <c r="AA1060" t="str">
        <f t="shared" si="291"/>
        <v>.........</v>
      </c>
      <c r="AB1060" t="str">
        <f t="shared" si="300"/>
        <v>.........</v>
      </c>
      <c r="AC1060" t="str">
        <f t="shared" si="301"/>
        <v>.........</v>
      </c>
      <c r="AD1060" t="str">
        <f t="shared" si="302"/>
        <v>........</v>
      </c>
      <c r="AE1060" t="str">
        <f t="shared" si="292"/>
        <v>.......</v>
      </c>
      <c r="AF1060" t="str">
        <f t="shared" si="304"/>
        <v>.....</v>
      </c>
      <c r="AG1060" t="str">
        <f t="shared" si="304"/>
        <v>..........</v>
      </c>
      <c r="AH1060" t="str">
        <f t="shared" si="293"/>
        <v>..........</v>
      </c>
      <c r="AI1060" t="str">
        <f t="shared" si="294"/>
        <v>.......</v>
      </c>
      <c r="AJ1060" t="str">
        <f t="shared" si="295"/>
        <v>.......</v>
      </c>
    </row>
    <row r="1061" spans="1:36" x14ac:dyDescent="0.25">
      <c r="A1061" t="s">
        <v>822</v>
      </c>
      <c r="P1061" t="str">
        <f t="shared" si="296"/>
        <v xml:space="preserve">   9229   69  0 </v>
      </c>
      <c r="Q1061" t="str">
        <f t="shared" si="296"/>
        <v xml:space="preserve">   1.012 </v>
      </c>
      <c r="R1061" t="str">
        <f t="shared" si="289"/>
        <v xml:space="preserve">     0.0 </v>
      </c>
      <c r="S1061" t="str">
        <f t="shared" si="297"/>
        <v xml:space="preserve">     0.0 </v>
      </c>
      <c r="T1061" t="str">
        <f t="shared" si="298"/>
        <v xml:space="preserve">     3.0 </v>
      </c>
      <c r="U1061" t="str">
        <f t="shared" si="302"/>
        <v xml:space="preserve">         0.0 </v>
      </c>
      <c r="V1061" t="str">
        <f t="shared" si="290"/>
        <v xml:space="preserve">     0.0 </v>
      </c>
      <c r="W1061" t="str">
        <f t="shared" si="299"/>
        <v xml:space="preserve">     0.0</v>
      </c>
      <c r="X1061" t="str">
        <f t="shared" si="303"/>
        <v/>
      </c>
      <c r="Y1061" t="str">
        <f t="shared" si="303"/>
        <v/>
      </c>
      <c r="Z1061" t="str">
        <f t="shared" si="303"/>
        <v/>
      </c>
      <c r="AA1061" t="str">
        <f t="shared" si="291"/>
        <v/>
      </c>
      <c r="AB1061" t="str">
        <f t="shared" si="300"/>
        <v/>
      </c>
      <c r="AC1061" t="str">
        <f t="shared" si="301"/>
        <v/>
      </c>
      <c r="AD1061" t="str">
        <f t="shared" si="302"/>
        <v/>
      </c>
      <c r="AE1061" t="str">
        <f t="shared" si="292"/>
        <v/>
      </c>
      <c r="AF1061" t="str">
        <f t="shared" si="304"/>
        <v/>
      </c>
      <c r="AG1061" t="str">
        <f t="shared" si="304"/>
        <v/>
      </c>
      <c r="AH1061" t="str">
        <f t="shared" si="293"/>
        <v/>
      </c>
      <c r="AI1061" t="str">
        <f t="shared" si="294"/>
        <v/>
      </c>
      <c r="AJ1061" t="str">
        <f t="shared" si="295"/>
        <v/>
      </c>
    </row>
    <row r="1062" spans="1:36" x14ac:dyDescent="0.25">
      <c r="A1062" t="s">
        <v>823</v>
      </c>
      <c r="P1062" t="str">
        <f t="shared" si="296"/>
        <v xml:space="preserve">  MNAPA--RS069  </v>
      </c>
      <c r="Q1062" t="str">
        <f t="shared" si="296"/>
        <v xml:space="preserve">   -54.9 </v>
      </c>
      <c r="R1062" t="str">
        <f t="shared" si="289"/>
        <v xml:space="preserve">     0.0 </v>
      </c>
      <c r="S1062" t="str">
        <f t="shared" si="297"/>
        <v xml:space="preserve">     0.0 </v>
      </c>
      <c r="T1062" t="str">
        <f t="shared" si="298"/>
        <v xml:space="preserve">     1.3 </v>
      </c>
      <c r="U1062" t="str">
        <f t="shared" si="302"/>
        <v xml:space="preserve">         0.0 </v>
      </c>
      <c r="V1062" t="str">
        <f t="shared" si="290"/>
        <v xml:space="preserve">     0.0 </v>
      </c>
      <c r="W1062" t="str">
        <f t="shared" si="299"/>
        <v xml:space="preserve">     0.0 </v>
      </c>
      <c r="X1062" t="str">
        <f t="shared" si="303"/>
        <v xml:space="preserve">       </v>
      </c>
      <c r="Y1062" t="str">
        <f t="shared" si="303"/>
        <v xml:space="preserve">              </v>
      </c>
      <c r="Z1062" t="str">
        <f t="shared" si="303"/>
        <v xml:space="preserve">    </v>
      </c>
      <c r="AA1062" t="str">
        <f t="shared" si="291"/>
        <v xml:space="preserve">         </v>
      </c>
      <c r="AB1062" t="str">
        <f t="shared" si="300"/>
        <v xml:space="preserve">         </v>
      </c>
      <c r="AC1062" t="str">
        <f t="shared" si="301"/>
        <v xml:space="preserve">    </v>
      </c>
      <c r="AD1062" t="str">
        <f t="shared" si="302"/>
        <v/>
      </c>
      <c r="AE1062" t="str">
        <f t="shared" si="292"/>
        <v/>
      </c>
      <c r="AF1062" t="str">
        <f t="shared" si="304"/>
        <v/>
      </c>
      <c r="AG1062" t="str">
        <f t="shared" si="304"/>
        <v/>
      </c>
      <c r="AH1062" t="str">
        <f t="shared" si="293"/>
        <v/>
      </c>
      <c r="AI1062" t="str">
        <f t="shared" si="294"/>
        <v/>
      </c>
      <c r="AJ1062" t="str">
        <f t="shared" si="295"/>
        <v/>
      </c>
    </row>
    <row r="1063" spans="1:36" x14ac:dyDescent="0.25">
      <c r="A1063" t="s">
        <v>824</v>
      </c>
      <c r="P1063" t="str">
        <f t="shared" si="296"/>
        <v xml:space="preserve">                </v>
      </c>
      <c r="Q1063" t="str">
        <f t="shared" si="296"/>
        <v xml:space="preserve">         </v>
      </c>
      <c r="R1063" t="str">
        <f t="shared" si="289"/>
        <v xml:space="preserve">    54.0 </v>
      </c>
      <c r="S1063" t="str">
        <f t="shared" si="297"/>
        <v xml:space="preserve">    79.0 </v>
      </c>
      <c r="T1063" t="str">
        <f t="shared" si="298"/>
        <v xml:space="preserve">    79.0 </v>
      </c>
      <c r="U1063" t="str">
        <f t="shared" si="302"/>
        <v xml:space="preserve">        6.0% </v>
      </c>
      <c r="V1063" t="str">
        <f t="shared" si="290"/>
        <v xml:space="preserve">         </v>
      </c>
      <c r="W1063" t="str">
        <f t="shared" si="299"/>
        <v xml:space="preserve">         </v>
      </c>
      <c r="X1063" t="str">
        <f t="shared" si="303"/>
        <v xml:space="preserve">  9555 </v>
      </c>
      <c r="Y1063" t="str">
        <f t="shared" si="303"/>
        <v xml:space="preserve"> MNAPALTAP069 </v>
      </c>
      <c r="Z1063" t="str">
        <f t="shared" si="303"/>
        <v xml:space="preserve">  1 </v>
      </c>
      <c r="AA1063" t="str">
        <f t="shared" si="291"/>
        <v xml:space="preserve">    -3.0 </v>
      </c>
      <c r="AB1063" t="str">
        <f t="shared" si="300"/>
        <v xml:space="preserve">    -1.3 </v>
      </c>
      <c r="AC1063" t="str">
        <f t="shared" si="301"/>
        <v xml:space="preserve">     3.2 </v>
      </c>
      <c r="AD1063" t="str">
        <f t="shared" si="302"/>
        <v xml:space="preserve">        </v>
      </c>
      <c r="AE1063" t="str">
        <f t="shared" si="292"/>
        <v xml:space="preserve">       </v>
      </c>
      <c r="AF1063" t="str">
        <f t="shared" si="304"/>
        <v xml:space="preserve">     </v>
      </c>
      <c r="AG1063" t="str">
        <f t="shared" si="304"/>
        <v xml:space="preserve">     0.00 </v>
      </c>
      <c r="AH1063" t="str">
        <f t="shared" si="293"/>
        <v xml:space="preserve">    -0.01 </v>
      </c>
      <c r="AI1063" t="str">
        <f t="shared" si="294"/>
        <v xml:space="preserve">       </v>
      </c>
      <c r="AJ1063" t="str">
        <f t="shared" si="295"/>
        <v xml:space="preserve">      </v>
      </c>
    </row>
    <row r="1064" spans="1:36" x14ac:dyDescent="0.25">
      <c r="A1064" t="s">
        <v>14</v>
      </c>
      <c r="P1064" t="str">
        <f t="shared" si="296"/>
        <v xml:space="preserve">  ..............</v>
      </c>
      <c r="Q1064" t="str">
        <f t="shared" si="296"/>
        <v>.........</v>
      </c>
      <c r="R1064" t="str">
        <f t="shared" si="289"/>
        <v>.........</v>
      </c>
      <c r="S1064" t="str">
        <f t="shared" si="297"/>
        <v>.........</v>
      </c>
      <c r="T1064" t="str">
        <f t="shared" si="298"/>
        <v>.........</v>
      </c>
      <c r="U1064" t="str">
        <f t="shared" si="302"/>
        <v>.............</v>
      </c>
      <c r="V1064" t="str">
        <f t="shared" si="290"/>
        <v>.........</v>
      </c>
      <c r="W1064" t="str">
        <f t="shared" si="299"/>
        <v>.........</v>
      </c>
      <c r="X1064" t="str">
        <f t="shared" si="303"/>
        <v>.......</v>
      </c>
      <c r="Y1064" t="str">
        <f t="shared" si="303"/>
        <v>..............</v>
      </c>
      <c r="Z1064" t="str">
        <f t="shared" si="303"/>
        <v>....</v>
      </c>
      <c r="AA1064" t="str">
        <f t="shared" si="291"/>
        <v>.........</v>
      </c>
      <c r="AB1064" t="str">
        <f t="shared" si="300"/>
        <v>.........</v>
      </c>
      <c r="AC1064" t="str">
        <f t="shared" si="301"/>
        <v>.........</v>
      </c>
      <c r="AD1064" t="str">
        <f t="shared" si="302"/>
        <v>........</v>
      </c>
      <c r="AE1064" t="str">
        <f t="shared" si="292"/>
        <v>.......</v>
      </c>
      <c r="AF1064" t="str">
        <f t="shared" si="304"/>
        <v>.....</v>
      </c>
      <c r="AG1064" t="str">
        <f t="shared" si="304"/>
        <v>..........</v>
      </c>
      <c r="AH1064" t="str">
        <f t="shared" si="293"/>
        <v>..........</v>
      </c>
      <c r="AI1064" t="str">
        <f t="shared" si="294"/>
        <v>.......</v>
      </c>
      <c r="AJ1064" t="str">
        <f t="shared" si="295"/>
        <v>.......</v>
      </c>
    </row>
    <row r="1065" spans="1:36" x14ac:dyDescent="0.25">
      <c r="A1065" t="s">
        <v>825</v>
      </c>
      <c r="P1065" t="str">
        <f t="shared" si="296"/>
        <v xml:space="preserve">   9230   69  0 </v>
      </c>
      <c r="Q1065" t="str">
        <f t="shared" si="296"/>
        <v xml:space="preserve">   1.012 </v>
      </c>
      <c r="R1065" t="str">
        <f t="shared" si="289"/>
        <v xml:space="preserve">     0.0 </v>
      </c>
      <c r="S1065" t="str">
        <f t="shared" si="297"/>
        <v xml:space="preserve">     0.0 </v>
      </c>
      <c r="T1065" t="str">
        <f t="shared" si="298"/>
        <v xml:space="preserve">     0.0 </v>
      </c>
      <c r="U1065" t="str">
        <f t="shared" si="302"/>
        <v xml:space="preserve">         0.0 </v>
      </c>
      <c r="V1065" t="str">
        <f t="shared" si="290"/>
        <v xml:space="preserve">     0.0 </v>
      </c>
      <c r="W1065" t="str">
        <f t="shared" si="299"/>
        <v xml:space="preserve">     0.0</v>
      </c>
      <c r="X1065" t="str">
        <f t="shared" si="303"/>
        <v/>
      </c>
      <c r="Y1065" t="str">
        <f t="shared" si="303"/>
        <v/>
      </c>
      <c r="Z1065" t="str">
        <f t="shared" si="303"/>
        <v/>
      </c>
      <c r="AA1065" t="str">
        <f t="shared" si="291"/>
        <v/>
      </c>
      <c r="AB1065" t="str">
        <f t="shared" si="300"/>
        <v/>
      </c>
      <c r="AC1065" t="str">
        <f t="shared" si="301"/>
        <v/>
      </c>
      <c r="AD1065" t="str">
        <f t="shared" si="302"/>
        <v/>
      </c>
      <c r="AE1065" t="str">
        <f t="shared" si="292"/>
        <v/>
      </c>
      <c r="AF1065" t="str">
        <f t="shared" si="304"/>
        <v/>
      </c>
      <c r="AG1065" t="str">
        <f t="shared" si="304"/>
        <v/>
      </c>
      <c r="AH1065" t="str">
        <f t="shared" si="293"/>
        <v/>
      </c>
      <c r="AI1065" t="str">
        <f t="shared" si="294"/>
        <v/>
      </c>
      <c r="AJ1065" t="str">
        <f t="shared" si="295"/>
        <v/>
      </c>
    </row>
    <row r="1066" spans="1:36" x14ac:dyDescent="0.25">
      <c r="A1066" t="s">
        <v>826</v>
      </c>
      <c r="P1066" t="str">
        <f t="shared" si="296"/>
        <v xml:space="preserve">  GERPGR-RS069  </v>
      </c>
      <c r="Q1066" t="str">
        <f t="shared" si="296"/>
        <v xml:space="preserve">   -54.8 </v>
      </c>
      <c r="R1066" t="str">
        <f t="shared" si="289"/>
        <v xml:space="preserve">     0.0 </v>
      </c>
      <c r="S1066" t="str">
        <f t="shared" si="297"/>
        <v xml:space="preserve">     0.0 </v>
      </c>
      <c r="T1066" t="str">
        <f t="shared" si="298"/>
        <v xml:space="preserve">     0.0 </v>
      </c>
      <c r="U1066" t="str">
        <f t="shared" si="302"/>
        <v xml:space="preserve">         0.0 </v>
      </c>
      <c r="V1066" t="str">
        <f t="shared" si="290"/>
        <v xml:space="preserve">     0.0 </v>
      </c>
      <c r="W1066" t="str">
        <f t="shared" si="299"/>
        <v xml:space="preserve">     0.0 </v>
      </c>
      <c r="X1066" t="str">
        <f t="shared" si="303"/>
        <v xml:space="preserve">       </v>
      </c>
      <c r="Y1066" t="str">
        <f t="shared" si="303"/>
        <v xml:space="preserve">              </v>
      </c>
      <c r="Z1066" t="str">
        <f t="shared" si="303"/>
        <v xml:space="preserve">    </v>
      </c>
      <c r="AA1066" t="str">
        <f t="shared" si="291"/>
        <v xml:space="preserve">         </v>
      </c>
      <c r="AB1066" t="str">
        <f t="shared" si="300"/>
        <v xml:space="preserve">         </v>
      </c>
      <c r="AC1066" t="str">
        <f t="shared" si="301"/>
        <v xml:space="preserve">    </v>
      </c>
      <c r="AD1066" t="str">
        <f t="shared" si="302"/>
        <v/>
      </c>
      <c r="AE1066" t="str">
        <f t="shared" si="292"/>
        <v/>
      </c>
      <c r="AF1066" t="str">
        <f t="shared" si="304"/>
        <v/>
      </c>
      <c r="AG1066" t="str">
        <f t="shared" si="304"/>
        <v/>
      </c>
      <c r="AH1066" t="str">
        <f t="shared" si="293"/>
        <v/>
      </c>
      <c r="AI1066" t="str">
        <f t="shared" si="294"/>
        <v/>
      </c>
      <c r="AJ1066" t="str">
        <f t="shared" si="295"/>
        <v/>
      </c>
    </row>
    <row r="1067" spans="1:36" x14ac:dyDescent="0.25">
      <c r="A1067" t="s">
        <v>827</v>
      </c>
      <c r="P1067" t="str">
        <f t="shared" si="296"/>
        <v xml:space="preserve">                </v>
      </c>
      <c r="Q1067" t="str">
        <f t="shared" si="296"/>
        <v xml:space="preserve">         </v>
      </c>
      <c r="R1067" t="str">
        <f t="shared" si="289"/>
        <v xml:space="preserve">    54.0 </v>
      </c>
      <c r="S1067" t="str">
        <f t="shared" si="297"/>
        <v xml:space="preserve">    79.0 </v>
      </c>
      <c r="T1067" t="str">
        <f t="shared" si="298"/>
        <v xml:space="preserve">    79.0 </v>
      </c>
      <c r="U1067" t="str">
        <f t="shared" si="302"/>
        <v xml:space="preserve">        0.0% </v>
      </c>
      <c r="V1067" t="str">
        <f t="shared" si="290"/>
        <v xml:space="preserve">         </v>
      </c>
      <c r="W1067" t="str">
        <f t="shared" si="299"/>
        <v xml:space="preserve">         </v>
      </c>
      <c r="X1067" t="str">
        <f t="shared" si="303"/>
        <v xml:space="preserve">  9555 </v>
      </c>
      <c r="Y1067" t="str">
        <f t="shared" si="303"/>
        <v xml:space="preserve"> MNAPALTAP069 </v>
      </c>
      <c r="Z1067" t="str">
        <f t="shared" si="303"/>
        <v xml:space="preserve">  1 </v>
      </c>
      <c r="AA1067" t="str">
        <f t="shared" si="291"/>
        <v xml:space="preserve">    -0.0 </v>
      </c>
      <c r="AB1067" t="str">
        <f t="shared" si="300"/>
        <v xml:space="preserve">    -0.0 </v>
      </c>
      <c r="AC1067" t="str">
        <f t="shared" si="301"/>
        <v xml:space="preserve">     0.0 </v>
      </c>
      <c r="AD1067" t="str">
        <f t="shared" si="302"/>
        <v xml:space="preserve">        </v>
      </c>
      <c r="AE1067" t="str">
        <f t="shared" si="292"/>
        <v xml:space="preserve">       </v>
      </c>
      <c r="AF1067" t="str">
        <f t="shared" si="304"/>
        <v xml:space="preserve">     </v>
      </c>
      <c r="AG1067" t="str">
        <f t="shared" si="304"/>
        <v xml:space="preserve">     0.00 </v>
      </c>
      <c r="AH1067" t="str">
        <f t="shared" si="293"/>
        <v xml:space="preserve">    -0.01 </v>
      </c>
      <c r="AI1067" t="str">
        <f t="shared" si="294"/>
        <v xml:space="preserve">       </v>
      </c>
      <c r="AJ1067" t="str">
        <f t="shared" si="295"/>
        <v xml:space="preserve">      </v>
      </c>
    </row>
    <row r="1068" spans="1:36" x14ac:dyDescent="0.25">
      <c r="A1068" t="s">
        <v>14</v>
      </c>
      <c r="P1068" t="str">
        <f t="shared" si="296"/>
        <v xml:space="preserve">  ..............</v>
      </c>
      <c r="Q1068" t="str">
        <f t="shared" si="296"/>
        <v>.........</v>
      </c>
      <c r="R1068" t="str">
        <f t="shared" si="289"/>
        <v>.........</v>
      </c>
      <c r="S1068" t="str">
        <f t="shared" si="297"/>
        <v>.........</v>
      </c>
      <c r="T1068" t="str">
        <f t="shared" si="298"/>
        <v>.........</v>
      </c>
      <c r="U1068" t="str">
        <f t="shared" si="302"/>
        <v>.............</v>
      </c>
      <c r="V1068" t="str">
        <f t="shared" si="290"/>
        <v>.........</v>
      </c>
      <c r="W1068" t="str">
        <f t="shared" si="299"/>
        <v>.........</v>
      </c>
      <c r="X1068" t="str">
        <f t="shared" si="303"/>
        <v>.......</v>
      </c>
      <c r="Y1068" t="str">
        <f t="shared" si="303"/>
        <v>..............</v>
      </c>
      <c r="Z1068" t="str">
        <f t="shared" si="303"/>
        <v>....</v>
      </c>
      <c r="AA1068" t="str">
        <f t="shared" si="291"/>
        <v>.........</v>
      </c>
      <c r="AB1068" t="str">
        <f t="shared" si="300"/>
        <v>.........</v>
      </c>
      <c r="AC1068" t="str">
        <f t="shared" si="301"/>
        <v>.........</v>
      </c>
      <c r="AD1068" t="str">
        <f t="shared" si="302"/>
        <v>........</v>
      </c>
      <c r="AE1068" t="str">
        <f t="shared" si="292"/>
        <v>.......</v>
      </c>
      <c r="AF1068" t="str">
        <f t="shared" si="304"/>
        <v>.....</v>
      </c>
      <c r="AG1068" t="str">
        <f t="shared" si="304"/>
        <v>..........</v>
      </c>
      <c r="AH1068" t="str">
        <f t="shared" si="293"/>
        <v>..........</v>
      </c>
      <c r="AI1068" t="str">
        <f t="shared" si="294"/>
        <v>.......</v>
      </c>
      <c r="AJ1068" t="str">
        <f t="shared" si="295"/>
        <v>.......</v>
      </c>
    </row>
    <row r="1069" spans="1:36" x14ac:dyDescent="0.25">
      <c r="A1069" t="s">
        <v>828</v>
      </c>
      <c r="P1069" t="str">
        <f t="shared" si="296"/>
        <v xml:space="preserve">   9231   69  0 </v>
      </c>
      <c r="Q1069" t="str">
        <f t="shared" si="296"/>
        <v xml:space="preserve">   1.013 </v>
      </c>
      <c r="R1069" t="str">
        <f t="shared" si="289"/>
        <v xml:space="preserve">     0.0 </v>
      </c>
      <c r="S1069" t="str">
        <f t="shared" si="297"/>
        <v xml:space="preserve">     0.0 </v>
      </c>
      <c r="T1069" t="str">
        <f t="shared" si="298"/>
        <v xml:space="preserve">     4.4 </v>
      </c>
      <c r="U1069" t="str">
        <f t="shared" si="302"/>
        <v xml:space="preserve">         0.0 </v>
      </c>
      <c r="V1069" t="str">
        <f t="shared" si="290"/>
        <v xml:space="preserve">     0.0 </v>
      </c>
      <c r="W1069" t="str">
        <f t="shared" si="299"/>
        <v xml:space="preserve">     0.0</v>
      </c>
      <c r="X1069" t="str">
        <f t="shared" si="303"/>
        <v/>
      </c>
      <c r="Y1069" t="str">
        <f t="shared" si="303"/>
        <v/>
      </c>
      <c r="Z1069" t="str">
        <f t="shared" si="303"/>
        <v/>
      </c>
      <c r="AA1069" t="str">
        <f t="shared" si="291"/>
        <v/>
      </c>
      <c r="AB1069" t="str">
        <f t="shared" si="300"/>
        <v/>
      </c>
      <c r="AC1069" t="str">
        <f t="shared" si="301"/>
        <v/>
      </c>
      <c r="AD1069" t="str">
        <f t="shared" si="302"/>
        <v/>
      </c>
      <c r="AE1069" t="str">
        <f t="shared" si="292"/>
        <v/>
      </c>
      <c r="AF1069" t="str">
        <f t="shared" si="304"/>
        <v/>
      </c>
      <c r="AG1069" t="str">
        <f t="shared" si="304"/>
        <v/>
      </c>
      <c r="AH1069" t="str">
        <f t="shared" si="293"/>
        <v/>
      </c>
      <c r="AI1069" t="str">
        <f t="shared" si="294"/>
        <v/>
      </c>
      <c r="AJ1069" t="str">
        <f t="shared" si="295"/>
        <v/>
      </c>
    </row>
    <row r="1070" spans="1:36" x14ac:dyDescent="0.25">
      <c r="A1070" t="s">
        <v>829</v>
      </c>
      <c r="P1070" t="str">
        <f t="shared" si="296"/>
        <v xml:space="preserve">  FRPPGR-RS069  </v>
      </c>
      <c r="Q1070" t="str">
        <f t="shared" si="296"/>
        <v xml:space="preserve">   -54.8 </v>
      </c>
      <c r="R1070" t="str">
        <f t="shared" si="289"/>
        <v xml:space="preserve">     0.0 </v>
      </c>
      <c r="S1070" t="str">
        <f t="shared" si="297"/>
        <v xml:space="preserve">     0.0 </v>
      </c>
      <c r="T1070" t="str">
        <f t="shared" si="298"/>
        <v xml:space="preserve">     1.9 </v>
      </c>
      <c r="U1070" t="str">
        <f t="shared" si="302"/>
        <v xml:space="preserve">         0.0 </v>
      </c>
      <c r="V1070" t="str">
        <f t="shared" si="290"/>
        <v xml:space="preserve">     0.0 </v>
      </c>
      <c r="W1070" t="str">
        <f t="shared" si="299"/>
        <v xml:space="preserve">     0.0 </v>
      </c>
      <c r="X1070" t="str">
        <f t="shared" si="303"/>
        <v xml:space="preserve">       </v>
      </c>
      <c r="Y1070" t="str">
        <f t="shared" si="303"/>
        <v xml:space="preserve">              </v>
      </c>
      <c r="Z1070" t="str">
        <f t="shared" si="303"/>
        <v xml:space="preserve">    </v>
      </c>
      <c r="AA1070" t="str">
        <f t="shared" si="291"/>
        <v xml:space="preserve">         </v>
      </c>
      <c r="AB1070" t="str">
        <f t="shared" si="300"/>
        <v xml:space="preserve">         </v>
      </c>
      <c r="AC1070" t="str">
        <f t="shared" si="301"/>
        <v xml:space="preserve">    </v>
      </c>
      <c r="AD1070" t="str">
        <f t="shared" si="302"/>
        <v/>
      </c>
      <c r="AE1070" t="str">
        <f t="shared" si="292"/>
        <v/>
      </c>
      <c r="AF1070" t="str">
        <f t="shared" si="304"/>
        <v/>
      </c>
      <c r="AG1070" t="str">
        <f t="shared" si="304"/>
        <v/>
      </c>
      <c r="AH1070" t="str">
        <f t="shared" si="293"/>
        <v/>
      </c>
      <c r="AI1070" t="str">
        <f t="shared" si="294"/>
        <v/>
      </c>
      <c r="AJ1070" t="str">
        <f t="shared" si="295"/>
        <v/>
      </c>
    </row>
    <row r="1071" spans="1:36" x14ac:dyDescent="0.25">
      <c r="A1071" t="s">
        <v>830</v>
      </c>
      <c r="P1071" t="str">
        <f t="shared" si="296"/>
        <v xml:space="preserve">                </v>
      </c>
      <c r="Q1071" t="str">
        <f t="shared" si="296"/>
        <v xml:space="preserve">         </v>
      </c>
      <c r="R1071" t="str">
        <f t="shared" si="289"/>
        <v xml:space="preserve">    54.0 </v>
      </c>
      <c r="S1071" t="str">
        <f t="shared" si="297"/>
        <v xml:space="preserve">    79.0 </v>
      </c>
      <c r="T1071" t="str">
        <f t="shared" si="298"/>
        <v xml:space="preserve">    79.0 </v>
      </c>
      <c r="U1071" t="str">
        <f t="shared" si="302"/>
        <v xml:space="preserve">        8.8% </v>
      </c>
      <c r="V1071" t="str">
        <f t="shared" si="290"/>
        <v xml:space="preserve">         </v>
      </c>
      <c r="W1071" t="str">
        <f t="shared" si="299"/>
        <v xml:space="preserve">         </v>
      </c>
      <c r="X1071" t="str">
        <f t="shared" si="303"/>
        <v xml:space="preserve">  9556 </v>
      </c>
      <c r="Y1071" t="str">
        <f t="shared" si="303"/>
        <v xml:space="preserve"> FRPPALTAP069 </v>
      </c>
      <c r="Z1071" t="str">
        <f t="shared" si="303"/>
        <v xml:space="preserve">  1 </v>
      </c>
      <c r="AA1071" t="str">
        <f t="shared" si="291"/>
        <v xml:space="preserve">    -4.4 </v>
      </c>
      <c r="AB1071" t="str">
        <f t="shared" si="300"/>
        <v xml:space="preserve">    -1.9 </v>
      </c>
      <c r="AC1071" t="str">
        <f t="shared" si="301"/>
        <v xml:space="preserve">     4.7 </v>
      </c>
      <c r="AD1071" t="str">
        <f t="shared" si="302"/>
        <v xml:space="preserve">        </v>
      </c>
      <c r="AE1071" t="str">
        <f t="shared" si="292"/>
        <v xml:space="preserve">       </v>
      </c>
      <c r="AF1071" t="str">
        <f t="shared" si="304"/>
        <v xml:space="preserve">     </v>
      </c>
      <c r="AG1071" t="str">
        <f t="shared" si="304"/>
        <v xml:space="preserve">     0.00 </v>
      </c>
      <c r="AH1071" t="str">
        <f t="shared" si="293"/>
        <v xml:space="preserve">    -0.00 </v>
      </c>
      <c r="AI1071" t="str">
        <f t="shared" si="294"/>
        <v xml:space="preserve">       </v>
      </c>
      <c r="AJ1071" t="str">
        <f t="shared" si="295"/>
        <v xml:space="preserve">      </v>
      </c>
    </row>
    <row r="1072" spans="1:36" x14ac:dyDescent="0.25">
      <c r="A1072" t="s">
        <v>14</v>
      </c>
      <c r="P1072" t="str">
        <f t="shared" si="296"/>
        <v xml:space="preserve">  ..............</v>
      </c>
      <c r="Q1072" t="str">
        <f t="shared" si="296"/>
        <v>.........</v>
      </c>
      <c r="R1072" t="str">
        <f t="shared" si="289"/>
        <v>.........</v>
      </c>
      <c r="S1072" t="str">
        <f t="shared" si="297"/>
        <v>.........</v>
      </c>
      <c r="T1072" t="str">
        <f t="shared" si="298"/>
        <v>.........</v>
      </c>
      <c r="U1072" t="str">
        <f t="shared" si="302"/>
        <v>.............</v>
      </c>
      <c r="V1072" t="str">
        <f t="shared" si="290"/>
        <v>.........</v>
      </c>
      <c r="W1072" t="str">
        <f t="shared" si="299"/>
        <v>.........</v>
      </c>
      <c r="X1072" t="str">
        <f t="shared" si="303"/>
        <v>.......</v>
      </c>
      <c r="Y1072" t="str">
        <f t="shared" si="303"/>
        <v>..............</v>
      </c>
      <c r="Z1072" t="str">
        <f t="shared" si="303"/>
        <v>....</v>
      </c>
      <c r="AA1072" t="str">
        <f t="shared" si="291"/>
        <v>.........</v>
      </c>
      <c r="AB1072" t="str">
        <f t="shared" si="300"/>
        <v>.........</v>
      </c>
      <c r="AC1072" t="str">
        <f t="shared" si="301"/>
        <v>.........</v>
      </c>
      <c r="AD1072" t="str">
        <f t="shared" si="302"/>
        <v>........</v>
      </c>
      <c r="AE1072" t="str">
        <f t="shared" si="292"/>
        <v>.......</v>
      </c>
      <c r="AF1072" t="str">
        <f t="shared" si="304"/>
        <v>.....</v>
      </c>
      <c r="AG1072" t="str">
        <f t="shared" si="304"/>
        <v>..........</v>
      </c>
      <c r="AH1072" t="str">
        <f t="shared" si="293"/>
        <v>..........</v>
      </c>
      <c r="AI1072" t="str">
        <f t="shared" si="294"/>
        <v>.......</v>
      </c>
      <c r="AJ1072" t="str">
        <f t="shared" si="295"/>
        <v>.......</v>
      </c>
    </row>
    <row r="1073" spans="1:36" x14ac:dyDescent="0.25">
      <c r="A1073" t="s">
        <v>831</v>
      </c>
      <c r="P1073" t="str">
        <f t="shared" si="296"/>
        <v xml:space="preserve">   9232   69  0 </v>
      </c>
      <c r="Q1073" t="str">
        <f t="shared" si="296"/>
        <v xml:space="preserve">   1.014 </v>
      </c>
      <c r="R1073" t="str">
        <f t="shared" si="289"/>
        <v xml:space="preserve">     1.3 </v>
      </c>
      <c r="S1073" t="str">
        <f t="shared" si="297"/>
        <v xml:space="preserve">     0.0 </v>
      </c>
      <c r="T1073" t="str">
        <f t="shared" si="298"/>
        <v xml:space="preserve">    23.3 </v>
      </c>
      <c r="U1073" t="str">
        <f t="shared" si="302"/>
        <v xml:space="preserve">         0.0 </v>
      </c>
      <c r="V1073" t="str">
        <f t="shared" si="290"/>
        <v xml:space="preserve">     7.4 </v>
      </c>
      <c r="W1073" t="str">
        <f t="shared" si="299"/>
        <v xml:space="preserve">     0.0</v>
      </c>
      <c r="X1073" t="str">
        <f t="shared" si="303"/>
        <v/>
      </c>
      <c r="Y1073" t="str">
        <f t="shared" si="303"/>
        <v/>
      </c>
      <c r="Z1073" t="str">
        <f t="shared" si="303"/>
        <v/>
      </c>
      <c r="AA1073" t="str">
        <f t="shared" si="291"/>
        <v/>
      </c>
      <c r="AB1073" t="str">
        <f t="shared" si="300"/>
        <v/>
      </c>
      <c r="AC1073" t="str">
        <f t="shared" si="301"/>
        <v/>
      </c>
      <c r="AD1073" t="str">
        <f t="shared" si="302"/>
        <v/>
      </c>
      <c r="AE1073" t="str">
        <f t="shared" si="292"/>
        <v/>
      </c>
      <c r="AF1073" t="str">
        <f t="shared" si="304"/>
        <v/>
      </c>
      <c r="AG1073" t="str">
        <f t="shared" si="304"/>
        <v/>
      </c>
      <c r="AH1073" t="str">
        <f t="shared" si="293"/>
        <v/>
      </c>
      <c r="AI1073" t="str">
        <f t="shared" si="294"/>
        <v/>
      </c>
      <c r="AJ1073" t="str">
        <f t="shared" si="295"/>
        <v/>
      </c>
    </row>
    <row r="1074" spans="1:36" x14ac:dyDescent="0.25">
      <c r="A1074" t="s">
        <v>832</v>
      </c>
      <c r="P1074" t="str">
        <f t="shared" si="296"/>
        <v xml:space="preserve">  ALVORA-RS069  </v>
      </c>
      <c r="Q1074" t="str">
        <f t="shared" si="296"/>
        <v xml:space="preserve">   -56.5 </v>
      </c>
      <c r="R1074" t="str">
        <f t="shared" si="289"/>
        <v xml:space="preserve">     0.0 </v>
      </c>
      <c r="S1074" t="str">
        <f t="shared" si="297"/>
        <v xml:space="preserve">     0.0 </v>
      </c>
      <c r="T1074" t="str">
        <f t="shared" si="298"/>
        <v xml:space="preserve">     7.2 </v>
      </c>
      <c r="U1074" t="str">
        <f t="shared" si="302"/>
        <v xml:space="preserve">         0.0 </v>
      </c>
      <c r="V1074" t="str">
        <f t="shared" si="290"/>
        <v xml:space="preserve">     0.0 </v>
      </c>
      <c r="W1074" t="str">
        <f t="shared" si="299"/>
        <v xml:space="preserve">     0.0 </v>
      </c>
      <c r="X1074" t="str">
        <f t="shared" si="303"/>
        <v xml:space="preserve">       </v>
      </c>
      <c r="Y1074" t="str">
        <f t="shared" si="303"/>
        <v xml:space="preserve">              </v>
      </c>
      <c r="Z1074" t="str">
        <f t="shared" si="303"/>
        <v xml:space="preserve">    </v>
      </c>
      <c r="AA1074" t="str">
        <f t="shared" si="291"/>
        <v xml:space="preserve">         </v>
      </c>
      <c r="AB1074" t="str">
        <f t="shared" si="300"/>
        <v xml:space="preserve">         </v>
      </c>
      <c r="AC1074" t="str">
        <f t="shared" si="301"/>
        <v xml:space="preserve">    </v>
      </c>
      <c r="AD1074" t="str">
        <f t="shared" si="302"/>
        <v/>
      </c>
      <c r="AE1074" t="str">
        <f t="shared" si="292"/>
        <v/>
      </c>
      <c r="AF1074" t="str">
        <f t="shared" si="304"/>
        <v/>
      </c>
      <c r="AG1074" t="str">
        <f t="shared" si="304"/>
        <v/>
      </c>
      <c r="AH1074" t="str">
        <f t="shared" si="293"/>
        <v/>
      </c>
      <c r="AI1074" t="str">
        <f t="shared" si="294"/>
        <v/>
      </c>
      <c r="AJ1074" t="str">
        <f t="shared" si="295"/>
        <v/>
      </c>
    </row>
    <row r="1075" spans="1:36" x14ac:dyDescent="0.25">
      <c r="A1075" t="s">
        <v>833</v>
      </c>
      <c r="P1075" t="str">
        <f t="shared" si="296"/>
        <v xml:space="preserve">                </v>
      </c>
      <c r="Q1075" t="str">
        <f t="shared" si="296"/>
        <v xml:space="preserve">         </v>
      </c>
      <c r="R1075" t="str">
        <f t="shared" si="289"/>
        <v xml:space="preserve">    54.0 </v>
      </c>
      <c r="S1075" t="str">
        <f t="shared" si="297"/>
        <v xml:space="preserve">    79.0 </v>
      </c>
      <c r="T1075" t="str">
        <f t="shared" si="298"/>
        <v xml:space="preserve">    79.0 </v>
      </c>
      <c r="U1075" t="str">
        <f t="shared" si="302"/>
        <v xml:space="preserve">       40.2% </v>
      </c>
      <c r="V1075" t="str">
        <f t="shared" si="290"/>
        <v xml:space="preserve">         </v>
      </c>
      <c r="W1075" t="str">
        <f t="shared" si="299"/>
        <v xml:space="preserve">         </v>
      </c>
      <c r="X1075" t="str">
        <f t="shared" si="303"/>
        <v xml:space="preserve">  1209 </v>
      </c>
      <c r="Y1075" t="str">
        <f t="shared" si="303"/>
        <v xml:space="preserve"> GRAVA2-RS069 </v>
      </c>
      <c r="Z1075" t="str">
        <f t="shared" si="303"/>
        <v xml:space="preserve">  1 </v>
      </c>
      <c r="AA1075" t="str">
        <f t="shared" si="291"/>
        <v xml:space="preserve">   -22.0 </v>
      </c>
      <c r="AB1075" t="str">
        <f t="shared" si="300"/>
        <v xml:space="preserve">     0.3 </v>
      </c>
      <c r="AC1075" t="str">
        <f t="shared" si="301"/>
        <v xml:space="preserve">    21.7 </v>
      </c>
      <c r="AD1075" t="str">
        <f t="shared" si="302"/>
        <v xml:space="preserve">        </v>
      </c>
      <c r="AE1075" t="str">
        <f t="shared" si="292"/>
        <v xml:space="preserve">       </v>
      </c>
      <c r="AF1075" t="str">
        <f t="shared" si="304"/>
        <v xml:space="preserve">     </v>
      </c>
      <c r="AG1075" t="str">
        <f t="shared" si="304"/>
        <v xml:space="preserve">     0.22 </v>
      </c>
      <c r="AH1075" t="str">
        <f t="shared" si="293"/>
        <v xml:space="preserve">     0.63 </v>
      </c>
      <c r="AI1075" t="str">
        <f t="shared" si="294"/>
        <v xml:space="preserve">       </v>
      </c>
      <c r="AJ1075" t="str">
        <f t="shared" si="295"/>
        <v xml:space="preserve">      </v>
      </c>
    </row>
    <row r="1076" spans="1:36" x14ac:dyDescent="0.25">
      <c r="A1076" t="s">
        <v>834</v>
      </c>
      <c r="P1076" t="str">
        <f t="shared" si="296"/>
        <v xml:space="preserve">              DE</v>
      </c>
      <c r="Q1076" t="str">
        <f t="shared" si="296"/>
        <v xml:space="preserve">ESLIGADO </v>
      </c>
      <c r="R1076" t="str">
        <f t="shared" si="289"/>
        <v xml:space="preserve">    54.0 </v>
      </c>
      <c r="S1076" t="str">
        <f t="shared" si="297"/>
        <v xml:space="preserve">    79.0 </v>
      </c>
      <c r="T1076" t="str">
        <f t="shared" si="298"/>
        <v xml:space="preserve">    79.0 </v>
      </c>
      <c r="U1076" t="str">
        <f t="shared" si="302"/>
        <v xml:space="preserve">             </v>
      </c>
      <c r="V1076" t="str">
        <f t="shared" si="290"/>
        <v xml:space="preserve">         </v>
      </c>
      <c r="W1076" t="str">
        <f t="shared" si="299"/>
        <v xml:space="preserve">         </v>
      </c>
      <c r="X1076" t="str">
        <f t="shared" si="303"/>
        <v xml:space="preserve">  9264 </v>
      </c>
      <c r="Y1076" t="str">
        <f t="shared" si="303"/>
        <v xml:space="preserve"> VIAMA3-RS069 </v>
      </c>
      <c r="Z1076" t="str">
        <f t="shared" si="303"/>
        <v xml:space="preserve">  1 </v>
      </c>
      <c r="AA1076" t="str">
        <f t="shared" si="291"/>
        <v xml:space="preserve">     0.0 </v>
      </c>
      <c r="AB1076" t="str">
        <f t="shared" si="300"/>
        <v xml:space="preserve">    -0.1 </v>
      </c>
      <c r="AC1076" t="str">
        <f t="shared" si="301"/>
        <v xml:space="preserve">     0.1 </v>
      </c>
      <c r="AD1076" t="str">
        <f t="shared" si="302"/>
        <v xml:space="preserve">        </v>
      </c>
      <c r="AE1076" t="str">
        <f t="shared" si="292"/>
        <v xml:space="preserve">       </v>
      </c>
      <c r="AF1076" t="str">
        <f t="shared" si="304"/>
        <v xml:space="preserve">     </v>
      </c>
      <c r="AG1076" t="str">
        <f t="shared" si="304"/>
        <v xml:space="preserve">     0.00 </v>
      </c>
      <c r="AH1076" t="str">
        <f t="shared" si="293"/>
        <v xml:space="preserve">    -0.06 </v>
      </c>
      <c r="AI1076" t="str">
        <f t="shared" si="294"/>
        <v xml:space="preserve"> 1.014 </v>
      </c>
      <c r="AJ1076" t="str">
        <f t="shared" si="295"/>
        <v xml:space="preserve"> -56.5</v>
      </c>
    </row>
    <row r="1077" spans="1:36" x14ac:dyDescent="0.25">
      <c r="A1077" t="s">
        <v>14</v>
      </c>
      <c r="P1077" t="str">
        <f t="shared" si="296"/>
        <v xml:space="preserve">  ..............</v>
      </c>
      <c r="Q1077" t="str">
        <f t="shared" si="296"/>
        <v>.........</v>
      </c>
      <c r="R1077" t="str">
        <f t="shared" si="289"/>
        <v>.........</v>
      </c>
      <c r="S1077" t="str">
        <f t="shared" si="297"/>
        <v>.........</v>
      </c>
      <c r="T1077" t="str">
        <f t="shared" si="298"/>
        <v>.........</v>
      </c>
      <c r="U1077" t="str">
        <f t="shared" si="302"/>
        <v>.............</v>
      </c>
      <c r="V1077" t="str">
        <f t="shared" si="290"/>
        <v>.........</v>
      </c>
      <c r="W1077" t="str">
        <f t="shared" si="299"/>
        <v>.........</v>
      </c>
      <c r="X1077" t="str">
        <f t="shared" si="303"/>
        <v>.......</v>
      </c>
      <c r="Y1077" t="str">
        <f t="shared" si="303"/>
        <v>..............</v>
      </c>
      <c r="Z1077" t="str">
        <f t="shared" si="303"/>
        <v>....</v>
      </c>
      <c r="AA1077" t="str">
        <f t="shared" si="291"/>
        <v>.........</v>
      </c>
      <c r="AB1077" t="str">
        <f t="shared" si="300"/>
        <v>.........</v>
      </c>
      <c r="AC1077" t="str">
        <f t="shared" si="301"/>
        <v>.........</v>
      </c>
      <c r="AD1077" t="str">
        <f t="shared" si="302"/>
        <v>........</v>
      </c>
      <c r="AE1077" t="str">
        <f t="shared" si="292"/>
        <v>.......</v>
      </c>
      <c r="AF1077" t="str">
        <f t="shared" si="304"/>
        <v>.....</v>
      </c>
      <c r="AG1077" t="str">
        <f t="shared" si="304"/>
        <v>..........</v>
      </c>
      <c r="AH1077" t="str">
        <f t="shared" si="293"/>
        <v>..........</v>
      </c>
      <c r="AI1077" t="str">
        <f t="shared" si="294"/>
        <v>.......</v>
      </c>
      <c r="AJ1077" t="str">
        <f t="shared" si="295"/>
        <v>.......</v>
      </c>
    </row>
    <row r="1078" spans="1:36" x14ac:dyDescent="0.25">
      <c r="A1078" t="s">
        <v>835</v>
      </c>
      <c r="P1078" t="str">
        <f t="shared" si="296"/>
        <v xml:space="preserve">   9233   69  0 </v>
      </c>
      <c r="Q1078" t="str">
        <f t="shared" si="296"/>
        <v xml:space="preserve">   1.007 </v>
      </c>
      <c r="R1078" t="str">
        <f t="shared" si="289"/>
        <v xml:space="preserve">     3.0 </v>
      </c>
      <c r="S1078" t="str">
        <f t="shared" si="297"/>
        <v xml:space="preserve">     0.0 </v>
      </c>
      <c r="T1078" t="str">
        <f t="shared" si="298"/>
        <v xml:space="preserve">    55.2 </v>
      </c>
      <c r="U1078" t="str">
        <f t="shared" si="302"/>
        <v xml:space="preserve">         0.0 </v>
      </c>
      <c r="V1078" t="str">
        <f t="shared" si="290"/>
        <v xml:space="preserve">     7.3 </v>
      </c>
      <c r="W1078" t="str">
        <f t="shared" si="299"/>
        <v xml:space="preserve">     0.0</v>
      </c>
      <c r="X1078" t="str">
        <f t="shared" si="303"/>
        <v/>
      </c>
      <c r="Y1078" t="str">
        <f t="shared" si="303"/>
        <v/>
      </c>
      <c r="Z1078" t="str">
        <f t="shared" si="303"/>
        <v/>
      </c>
      <c r="AA1078" t="str">
        <f t="shared" si="291"/>
        <v/>
      </c>
      <c r="AB1078" t="str">
        <f t="shared" si="300"/>
        <v/>
      </c>
      <c r="AC1078" t="str">
        <f t="shared" si="301"/>
        <v/>
      </c>
      <c r="AD1078" t="str">
        <f t="shared" si="302"/>
        <v/>
      </c>
      <c r="AE1078" t="str">
        <f t="shared" si="292"/>
        <v/>
      </c>
      <c r="AF1078" t="str">
        <f t="shared" si="304"/>
        <v/>
      </c>
      <c r="AG1078" t="str">
        <f t="shared" si="304"/>
        <v/>
      </c>
      <c r="AH1078" t="str">
        <f t="shared" si="293"/>
        <v/>
      </c>
      <c r="AI1078" t="str">
        <f t="shared" si="294"/>
        <v/>
      </c>
      <c r="AJ1078" t="str">
        <f t="shared" si="295"/>
        <v/>
      </c>
    </row>
    <row r="1079" spans="1:36" x14ac:dyDescent="0.25">
      <c r="A1079" t="s">
        <v>836</v>
      </c>
      <c r="P1079" t="str">
        <f t="shared" si="296"/>
        <v xml:space="preserve">  VIAMA1-RS069  </v>
      </c>
      <c r="Q1079" t="str">
        <f t="shared" si="296"/>
        <v xml:space="preserve">   -56.2 </v>
      </c>
      <c r="R1079" t="str">
        <f t="shared" si="289"/>
        <v xml:space="preserve">     0.0 </v>
      </c>
      <c r="S1079" t="str">
        <f t="shared" si="297"/>
        <v xml:space="preserve">     0.0 </v>
      </c>
      <c r="T1079" t="str">
        <f t="shared" si="298"/>
        <v xml:space="preserve">    17.6 </v>
      </c>
      <c r="U1079" t="str">
        <f t="shared" si="302"/>
        <v xml:space="preserve">         0.0 </v>
      </c>
      <c r="V1079" t="str">
        <f t="shared" si="290"/>
        <v xml:space="preserve">     0.0 </v>
      </c>
      <c r="W1079" t="str">
        <f t="shared" si="299"/>
        <v xml:space="preserve">     0.0 </v>
      </c>
      <c r="X1079" t="str">
        <f t="shared" si="303"/>
        <v xml:space="preserve">       </v>
      </c>
      <c r="Y1079" t="str">
        <f t="shared" si="303"/>
        <v xml:space="preserve">              </v>
      </c>
      <c r="Z1079" t="str">
        <f t="shared" si="303"/>
        <v xml:space="preserve">    </v>
      </c>
      <c r="AA1079" t="str">
        <f t="shared" si="291"/>
        <v xml:space="preserve">         </v>
      </c>
      <c r="AB1079" t="str">
        <f t="shared" si="300"/>
        <v xml:space="preserve">         </v>
      </c>
      <c r="AC1079" t="str">
        <f t="shared" si="301"/>
        <v xml:space="preserve">    </v>
      </c>
      <c r="AD1079" t="str">
        <f t="shared" si="302"/>
        <v/>
      </c>
      <c r="AE1079" t="str">
        <f t="shared" si="292"/>
        <v/>
      </c>
      <c r="AF1079" t="str">
        <f t="shared" si="304"/>
        <v/>
      </c>
      <c r="AG1079" t="str">
        <f t="shared" si="304"/>
        <v/>
      </c>
      <c r="AH1079" t="str">
        <f t="shared" si="293"/>
        <v/>
      </c>
      <c r="AI1079" t="str">
        <f t="shared" si="294"/>
        <v/>
      </c>
      <c r="AJ1079" t="str">
        <f t="shared" si="295"/>
        <v/>
      </c>
    </row>
    <row r="1080" spans="1:36" x14ac:dyDescent="0.25">
      <c r="A1080" t="s">
        <v>837</v>
      </c>
      <c r="P1080" t="str">
        <f t="shared" si="296"/>
        <v xml:space="preserve">                </v>
      </c>
      <c r="Q1080" t="str">
        <f t="shared" si="296"/>
        <v xml:space="preserve">         </v>
      </c>
      <c r="R1080" t="str">
        <f t="shared" si="289"/>
        <v xml:space="preserve">    54.0 </v>
      </c>
      <c r="S1080" t="str">
        <f t="shared" si="297"/>
        <v xml:space="preserve">    79.0 </v>
      </c>
      <c r="T1080" t="str">
        <f t="shared" si="298"/>
        <v xml:space="preserve">    79.0 </v>
      </c>
      <c r="U1080" t="str">
        <f t="shared" si="302"/>
        <v xml:space="preserve">       97.8% </v>
      </c>
      <c r="V1080" t="str">
        <f t="shared" si="290"/>
        <v xml:space="preserve">         </v>
      </c>
      <c r="W1080" t="str">
        <f t="shared" si="299"/>
        <v xml:space="preserve">         </v>
      </c>
      <c r="X1080" t="str">
        <f t="shared" si="303"/>
        <v xml:space="preserve">  9264 </v>
      </c>
      <c r="Y1080" t="str">
        <f t="shared" si="303"/>
        <v xml:space="preserve"> VIAMA3-RS069 </v>
      </c>
      <c r="Z1080" t="str">
        <f t="shared" si="303"/>
        <v xml:space="preserve">  1 </v>
      </c>
      <c r="AA1080" t="str">
        <f t="shared" si="291"/>
        <v xml:space="preserve">   -52.2 </v>
      </c>
      <c r="AB1080" t="str">
        <f t="shared" si="300"/>
        <v xml:space="preserve">   -10.3 </v>
      </c>
      <c r="AC1080" t="str">
        <f t="shared" si="301"/>
        <v xml:space="preserve">    52.8 </v>
      </c>
      <c r="AD1080" t="str">
        <f t="shared" si="302"/>
        <v xml:space="preserve">        </v>
      </c>
      <c r="AE1080" t="str">
        <f t="shared" si="292"/>
        <v xml:space="preserve">       </v>
      </c>
      <c r="AF1080" t="str">
        <f t="shared" si="304"/>
        <v xml:space="preserve">     </v>
      </c>
      <c r="AG1080" t="str">
        <f t="shared" si="304"/>
        <v xml:space="preserve">     0.32 </v>
      </c>
      <c r="AH1080" t="str">
        <f t="shared" si="293"/>
        <v xml:space="preserve">     1.26 </v>
      </c>
      <c r="AI1080" t="str">
        <f t="shared" si="294"/>
        <v xml:space="preserve">       </v>
      </c>
      <c r="AJ1080" t="str">
        <f t="shared" si="295"/>
        <v xml:space="preserve">      </v>
      </c>
    </row>
    <row r="1081" spans="1:36" x14ac:dyDescent="0.25">
      <c r="A1081" t="s">
        <v>838</v>
      </c>
      <c r="P1081" t="str">
        <f t="shared" si="296"/>
        <v xml:space="preserve">              DE</v>
      </c>
      <c r="Q1081" t="str">
        <f t="shared" si="296"/>
        <v xml:space="preserve">ESLIGADO </v>
      </c>
      <c r="R1081" t="str">
        <f t="shared" si="289"/>
        <v xml:space="preserve">    54.0 </v>
      </c>
      <c r="S1081" t="str">
        <f t="shared" si="297"/>
        <v xml:space="preserve">    79.0 </v>
      </c>
      <c r="T1081" t="str">
        <f t="shared" si="298"/>
        <v xml:space="preserve">    79.0 </v>
      </c>
      <c r="U1081" t="str">
        <f t="shared" si="302"/>
        <v xml:space="preserve">             </v>
      </c>
      <c r="V1081" t="str">
        <f t="shared" si="290"/>
        <v xml:space="preserve">         </v>
      </c>
      <c r="W1081" t="str">
        <f t="shared" si="299"/>
        <v xml:space="preserve">         </v>
      </c>
      <c r="X1081" t="str">
        <f t="shared" si="303"/>
        <v xml:space="preserve">  9552 </v>
      </c>
      <c r="Y1081" t="str">
        <f t="shared" si="303"/>
        <v xml:space="preserve"> ACLARATAP069 </v>
      </c>
      <c r="Z1081" t="str">
        <f t="shared" si="303"/>
        <v xml:space="preserve">  1 </v>
      </c>
      <c r="AA1081" t="str">
        <f t="shared" si="291"/>
        <v xml:space="preserve">     0.0 </v>
      </c>
      <c r="AB1081" t="str">
        <f t="shared" si="300"/>
        <v xml:space="preserve">     0.0 </v>
      </c>
      <c r="AC1081" t="str">
        <f t="shared" si="301"/>
        <v xml:space="preserve">     0.0 </v>
      </c>
      <c r="AD1081" t="str">
        <f t="shared" si="302"/>
        <v xml:space="preserve">        </v>
      </c>
      <c r="AE1081" t="str">
        <f t="shared" si="292"/>
        <v xml:space="preserve">       </v>
      </c>
      <c r="AF1081" t="str">
        <f t="shared" si="304"/>
        <v xml:space="preserve">     </v>
      </c>
      <c r="AG1081" t="str">
        <f t="shared" si="304"/>
        <v xml:space="preserve">     0.00 </v>
      </c>
      <c r="AH1081" t="str">
        <f t="shared" si="293"/>
        <v xml:space="preserve">     0.00 </v>
      </c>
      <c r="AI1081" t="str">
        <f t="shared" si="294"/>
        <v xml:space="preserve">       </v>
      </c>
      <c r="AJ1081" t="str">
        <f t="shared" si="295"/>
        <v xml:space="preserve">      </v>
      </c>
    </row>
    <row r="1082" spans="1:36" x14ac:dyDescent="0.25">
      <c r="A1082" t="s">
        <v>14</v>
      </c>
      <c r="P1082" t="str">
        <f t="shared" si="296"/>
        <v xml:space="preserve">  ..............</v>
      </c>
      <c r="Q1082" t="str">
        <f t="shared" si="296"/>
        <v>.........</v>
      </c>
      <c r="R1082" t="str">
        <f t="shared" si="289"/>
        <v>.........</v>
      </c>
      <c r="S1082" t="str">
        <f t="shared" si="297"/>
        <v>.........</v>
      </c>
      <c r="T1082" t="str">
        <f t="shared" si="298"/>
        <v>.........</v>
      </c>
      <c r="U1082" t="str">
        <f t="shared" si="302"/>
        <v>.............</v>
      </c>
      <c r="V1082" t="str">
        <f t="shared" si="290"/>
        <v>.........</v>
      </c>
      <c r="W1082" t="str">
        <f t="shared" si="299"/>
        <v>.........</v>
      </c>
      <c r="X1082" t="str">
        <f t="shared" si="303"/>
        <v>.......</v>
      </c>
      <c r="Y1082" t="str">
        <f t="shared" si="303"/>
        <v>..............</v>
      </c>
      <c r="Z1082" t="str">
        <f t="shared" si="303"/>
        <v>....</v>
      </c>
      <c r="AA1082" t="str">
        <f t="shared" si="291"/>
        <v>.........</v>
      </c>
      <c r="AB1082" t="str">
        <f t="shared" si="300"/>
        <v>.........</v>
      </c>
      <c r="AC1082" t="str">
        <f t="shared" si="301"/>
        <v>.........</v>
      </c>
      <c r="AD1082" t="str">
        <f t="shared" si="302"/>
        <v>........</v>
      </c>
      <c r="AE1082" t="str">
        <f t="shared" si="292"/>
        <v>.......</v>
      </c>
      <c r="AF1082" t="str">
        <f t="shared" si="304"/>
        <v>.....</v>
      </c>
      <c r="AG1082" t="str">
        <f t="shared" si="304"/>
        <v>..........</v>
      </c>
      <c r="AH1082" t="str">
        <f t="shared" si="293"/>
        <v>..........</v>
      </c>
      <c r="AI1082" t="str">
        <f t="shared" si="294"/>
        <v>.......</v>
      </c>
      <c r="AJ1082" t="str">
        <f t="shared" si="295"/>
        <v>.......</v>
      </c>
    </row>
    <row r="1083" spans="1:36" x14ac:dyDescent="0.25">
      <c r="A1083" t="s">
        <v>839</v>
      </c>
      <c r="P1083" t="str">
        <f t="shared" si="296"/>
        <v xml:space="preserve">   9234   69  0 </v>
      </c>
      <c r="Q1083" t="str">
        <f t="shared" si="296"/>
        <v xml:space="preserve">   1.012 </v>
      </c>
      <c r="R1083" t="str">
        <f t="shared" si="289"/>
        <v xml:space="preserve">     1.0 </v>
      </c>
      <c r="S1083" t="str">
        <f t="shared" si="297"/>
        <v xml:space="preserve">     0.0 </v>
      </c>
      <c r="T1083" t="str">
        <f t="shared" si="298"/>
        <v xml:space="preserve">    25.1 </v>
      </c>
      <c r="U1083" t="str">
        <f t="shared" si="302"/>
        <v xml:space="preserve">         0.0 </v>
      </c>
      <c r="V1083" t="str">
        <f t="shared" si="290"/>
        <v xml:space="preserve">     3.7 </v>
      </c>
      <c r="W1083" t="str">
        <f t="shared" si="299"/>
        <v xml:space="preserve">     0.0</v>
      </c>
      <c r="X1083" t="str">
        <f t="shared" si="303"/>
        <v/>
      </c>
      <c r="Y1083" t="str">
        <f t="shared" si="303"/>
        <v/>
      </c>
      <c r="Z1083" t="str">
        <f t="shared" si="303"/>
        <v/>
      </c>
      <c r="AA1083" t="str">
        <f t="shared" si="291"/>
        <v/>
      </c>
      <c r="AB1083" t="str">
        <f t="shared" si="300"/>
        <v/>
      </c>
      <c r="AC1083" t="str">
        <f t="shared" si="301"/>
        <v/>
      </c>
      <c r="AD1083" t="str">
        <f t="shared" si="302"/>
        <v/>
      </c>
      <c r="AE1083" t="str">
        <f t="shared" si="292"/>
        <v/>
      </c>
      <c r="AF1083" t="str">
        <f t="shared" si="304"/>
        <v/>
      </c>
      <c r="AG1083" t="str">
        <f t="shared" si="304"/>
        <v/>
      </c>
      <c r="AH1083" t="str">
        <f t="shared" si="293"/>
        <v/>
      </c>
      <c r="AI1083" t="str">
        <f t="shared" si="294"/>
        <v/>
      </c>
      <c r="AJ1083" t="str">
        <f t="shared" si="295"/>
        <v/>
      </c>
    </row>
    <row r="1084" spans="1:36" x14ac:dyDescent="0.25">
      <c r="A1084" t="s">
        <v>840</v>
      </c>
      <c r="P1084" t="str">
        <f t="shared" si="296"/>
        <v xml:space="preserve">  PALE1A-RS069  </v>
      </c>
      <c r="Q1084" t="str">
        <f t="shared" si="296"/>
        <v xml:space="preserve">   -54.5 </v>
      </c>
      <c r="R1084" t="str">
        <f t="shared" si="289"/>
        <v xml:space="preserve">     0.0 </v>
      </c>
      <c r="S1084" t="str">
        <f t="shared" si="297"/>
        <v xml:space="preserve">     0.0 </v>
      </c>
      <c r="T1084" t="str">
        <f t="shared" si="298"/>
        <v xml:space="preserve">     8.1 </v>
      </c>
      <c r="U1084" t="str">
        <f t="shared" si="302"/>
        <v xml:space="preserve">         0.0 </v>
      </c>
      <c r="V1084" t="str">
        <f t="shared" si="290"/>
        <v xml:space="preserve">     0.0 </v>
      </c>
      <c r="W1084" t="str">
        <f t="shared" si="299"/>
        <v xml:space="preserve">     0.0 </v>
      </c>
      <c r="X1084" t="str">
        <f t="shared" si="303"/>
        <v xml:space="preserve">       </v>
      </c>
      <c r="Y1084" t="str">
        <f t="shared" si="303"/>
        <v xml:space="preserve">              </v>
      </c>
      <c r="Z1084" t="str">
        <f t="shared" si="303"/>
        <v xml:space="preserve">    </v>
      </c>
      <c r="AA1084" t="str">
        <f t="shared" si="291"/>
        <v xml:space="preserve">         </v>
      </c>
      <c r="AB1084" t="str">
        <f t="shared" si="300"/>
        <v xml:space="preserve">         </v>
      </c>
      <c r="AC1084" t="str">
        <f t="shared" si="301"/>
        <v xml:space="preserve">    </v>
      </c>
      <c r="AD1084" t="str">
        <f t="shared" si="302"/>
        <v/>
      </c>
      <c r="AE1084" t="str">
        <f t="shared" si="292"/>
        <v/>
      </c>
      <c r="AF1084" t="str">
        <f t="shared" si="304"/>
        <v/>
      </c>
      <c r="AG1084" t="str">
        <f t="shared" si="304"/>
        <v/>
      </c>
      <c r="AH1084" t="str">
        <f t="shared" si="293"/>
        <v/>
      </c>
      <c r="AI1084" t="str">
        <f t="shared" si="294"/>
        <v/>
      </c>
      <c r="AJ1084" t="str">
        <f t="shared" si="295"/>
        <v/>
      </c>
    </row>
    <row r="1085" spans="1:36" x14ac:dyDescent="0.25">
      <c r="A1085" t="s">
        <v>841</v>
      </c>
      <c r="P1085" t="str">
        <f t="shared" si="296"/>
        <v xml:space="preserve">                </v>
      </c>
      <c r="Q1085" t="str">
        <f t="shared" si="296"/>
        <v xml:space="preserve">         </v>
      </c>
      <c r="R1085" t="str">
        <f t="shared" si="289"/>
        <v xml:space="preserve">    90.0 </v>
      </c>
      <c r="S1085" t="str">
        <f t="shared" si="297"/>
        <v xml:space="preserve">    90.0 </v>
      </c>
      <c r="T1085" t="str">
        <f t="shared" si="298"/>
        <v xml:space="preserve">    90.0 </v>
      </c>
      <c r="U1085" t="str">
        <f t="shared" si="302"/>
        <v xml:space="preserve">       26.9% </v>
      </c>
      <c r="V1085" t="str">
        <f t="shared" si="290"/>
        <v xml:space="preserve">         </v>
      </c>
      <c r="W1085" t="str">
        <f t="shared" si="299"/>
        <v xml:space="preserve">         </v>
      </c>
      <c r="X1085" t="str">
        <f t="shared" si="303"/>
        <v xml:space="preserve">  9962 </v>
      </c>
      <c r="Y1085" t="str">
        <f t="shared" si="303"/>
        <v xml:space="preserve"> PALEG1-RS069 </v>
      </c>
      <c r="Z1085" t="str">
        <f t="shared" si="303"/>
        <v xml:space="preserve">  1 </v>
      </c>
      <c r="AA1085" t="str">
        <f t="shared" si="291"/>
        <v xml:space="preserve">   -24.1 </v>
      </c>
      <c r="AB1085" t="str">
        <f t="shared" si="300"/>
        <v xml:space="preserve">    -4.4 </v>
      </c>
      <c r="AC1085" t="str">
        <f t="shared" si="301"/>
        <v xml:space="preserve">    24.2 </v>
      </c>
      <c r="AD1085" t="str">
        <f t="shared" si="302"/>
        <v xml:space="preserve">        </v>
      </c>
      <c r="AE1085" t="str">
        <f t="shared" si="292"/>
        <v xml:space="preserve">       </v>
      </c>
      <c r="AF1085" t="str">
        <f t="shared" si="304"/>
        <v xml:space="preserve">     </v>
      </c>
      <c r="AG1085" t="str">
        <f t="shared" si="304"/>
        <v xml:space="preserve">     0.00 </v>
      </c>
      <c r="AH1085" t="str">
        <f t="shared" si="293"/>
        <v xml:space="preserve">     0.00 </v>
      </c>
      <c r="AI1085" t="str">
        <f t="shared" si="294"/>
        <v xml:space="preserve">       </v>
      </c>
      <c r="AJ1085" t="str">
        <f t="shared" si="295"/>
        <v xml:space="preserve">      </v>
      </c>
    </row>
    <row r="1086" spans="1:36" x14ac:dyDescent="0.25">
      <c r="A1086" t="s">
        <v>14</v>
      </c>
      <c r="P1086" t="str">
        <f t="shared" si="296"/>
        <v xml:space="preserve">  ..............</v>
      </c>
      <c r="Q1086" t="str">
        <f t="shared" si="296"/>
        <v>.........</v>
      </c>
      <c r="R1086" t="str">
        <f t="shared" si="289"/>
        <v>.........</v>
      </c>
      <c r="S1086" t="str">
        <f t="shared" si="297"/>
        <v>.........</v>
      </c>
      <c r="T1086" t="str">
        <f t="shared" si="298"/>
        <v>.........</v>
      </c>
      <c r="U1086" t="str">
        <f t="shared" si="302"/>
        <v>.............</v>
      </c>
      <c r="V1086" t="str">
        <f t="shared" si="290"/>
        <v>.........</v>
      </c>
      <c r="W1086" t="str">
        <f t="shared" si="299"/>
        <v>.........</v>
      </c>
      <c r="X1086" t="str">
        <f t="shared" si="303"/>
        <v>.......</v>
      </c>
      <c r="Y1086" t="str">
        <f t="shared" si="303"/>
        <v>..............</v>
      </c>
      <c r="Z1086" t="str">
        <f t="shared" si="303"/>
        <v>....</v>
      </c>
      <c r="AA1086" t="str">
        <f t="shared" si="291"/>
        <v>.........</v>
      </c>
      <c r="AB1086" t="str">
        <f t="shared" si="300"/>
        <v>.........</v>
      </c>
      <c r="AC1086" t="str">
        <f t="shared" si="301"/>
        <v>.........</v>
      </c>
      <c r="AD1086" t="str">
        <f t="shared" si="302"/>
        <v>........</v>
      </c>
      <c r="AE1086" t="str">
        <f t="shared" si="292"/>
        <v>.......</v>
      </c>
      <c r="AF1086" t="str">
        <f t="shared" si="304"/>
        <v>.....</v>
      </c>
      <c r="AG1086" t="str">
        <f t="shared" si="304"/>
        <v>..........</v>
      </c>
      <c r="AH1086" t="str">
        <f t="shared" si="293"/>
        <v>..........</v>
      </c>
      <c r="AI1086" t="str">
        <f t="shared" si="294"/>
        <v>.......</v>
      </c>
      <c r="AJ1086" t="str">
        <f t="shared" si="295"/>
        <v>.......</v>
      </c>
    </row>
    <row r="1087" spans="1:36" x14ac:dyDescent="0.25">
      <c r="A1087" t="s">
        <v>842</v>
      </c>
      <c r="P1087" t="str">
        <f t="shared" si="296"/>
        <v xml:space="preserve">   9235   69  0 </v>
      </c>
      <c r="Q1087" t="str">
        <f t="shared" si="296"/>
        <v xml:space="preserve">   1.012 </v>
      </c>
      <c r="R1087" t="str">
        <f t="shared" si="289"/>
        <v xml:space="preserve">     0.4 </v>
      </c>
      <c r="S1087" t="str">
        <f t="shared" si="297"/>
        <v xml:space="preserve">     0.0 </v>
      </c>
      <c r="T1087" t="str">
        <f t="shared" si="298"/>
        <v xml:space="preserve">    25.5 </v>
      </c>
      <c r="U1087" t="str">
        <f t="shared" si="302"/>
        <v xml:space="preserve">         0.0 </v>
      </c>
      <c r="V1087" t="str">
        <f t="shared" si="290"/>
        <v xml:space="preserve">     7.4 </v>
      </c>
      <c r="W1087" t="str">
        <f t="shared" si="299"/>
        <v xml:space="preserve">     0.0</v>
      </c>
      <c r="X1087" t="str">
        <f t="shared" si="303"/>
        <v/>
      </c>
      <c r="Y1087" t="str">
        <f t="shared" si="303"/>
        <v/>
      </c>
      <c r="Z1087" t="str">
        <f t="shared" si="303"/>
        <v/>
      </c>
      <c r="AA1087" t="str">
        <f t="shared" si="291"/>
        <v/>
      </c>
      <c r="AB1087" t="str">
        <f t="shared" si="300"/>
        <v/>
      </c>
      <c r="AC1087" t="str">
        <f t="shared" si="301"/>
        <v/>
      </c>
      <c r="AD1087" t="str">
        <f t="shared" si="302"/>
        <v/>
      </c>
      <c r="AE1087" t="str">
        <f t="shared" si="292"/>
        <v/>
      </c>
      <c r="AF1087" t="str">
        <f t="shared" si="304"/>
        <v/>
      </c>
      <c r="AG1087" t="str">
        <f t="shared" si="304"/>
        <v/>
      </c>
      <c r="AH1087" t="str">
        <f t="shared" si="293"/>
        <v/>
      </c>
      <c r="AI1087" t="str">
        <f t="shared" si="294"/>
        <v/>
      </c>
      <c r="AJ1087" t="str">
        <f t="shared" si="295"/>
        <v/>
      </c>
    </row>
    <row r="1088" spans="1:36" x14ac:dyDescent="0.25">
      <c r="A1088" t="s">
        <v>843</v>
      </c>
      <c r="P1088" t="str">
        <f t="shared" si="296"/>
        <v xml:space="preserve">  PALE1B-RS069  </v>
      </c>
      <c r="Q1088" t="str">
        <f t="shared" si="296"/>
        <v xml:space="preserve">   -54.5 </v>
      </c>
      <c r="R1088" t="str">
        <f t="shared" si="289"/>
        <v xml:space="preserve">     0.0 </v>
      </c>
      <c r="S1088" t="str">
        <f t="shared" si="297"/>
        <v xml:space="preserve">     0.0 </v>
      </c>
      <c r="T1088" t="str">
        <f t="shared" si="298"/>
        <v xml:space="preserve">     7.2 </v>
      </c>
      <c r="U1088" t="str">
        <f t="shared" si="302"/>
        <v xml:space="preserve">         0.0 </v>
      </c>
      <c r="V1088" t="str">
        <f t="shared" si="290"/>
        <v xml:space="preserve">     0.0 </v>
      </c>
      <c r="W1088" t="str">
        <f t="shared" si="299"/>
        <v xml:space="preserve">     0.0 </v>
      </c>
      <c r="X1088" t="str">
        <f t="shared" si="303"/>
        <v xml:space="preserve">       </v>
      </c>
      <c r="Y1088" t="str">
        <f t="shared" si="303"/>
        <v xml:space="preserve">              </v>
      </c>
      <c r="Z1088" t="str">
        <f t="shared" si="303"/>
        <v xml:space="preserve">    </v>
      </c>
      <c r="AA1088" t="str">
        <f t="shared" si="291"/>
        <v xml:space="preserve">         </v>
      </c>
      <c r="AB1088" t="str">
        <f t="shared" si="300"/>
        <v xml:space="preserve">         </v>
      </c>
      <c r="AC1088" t="str">
        <f t="shared" si="301"/>
        <v xml:space="preserve">    </v>
      </c>
      <c r="AD1088" t="str">
        <f t="shared" si="302"/>
        <v/>
      </c>
      <c r="AE1088" t="str">
        <f t="shared" si="292"/>
        <v/>
      </c>
      <c r="AF1088" t="str">
        <f t="shared" si="304"/>
        <v/>
      </c>
      <c r="AG1088" t="str">
        <f t="shared" si="304"/>
        <v/>
      </c>
      <c r="AH1088" t="str">
        <f t="shared" si="293"/>
        <v/>
      </c>
      <c r="AI1088" t="str">
        <f t="shared" si="294"/>
        <v/>
      </c>
      <c r="AJ1088" t="str">
        <f t="shared" si="295"/>
        <v/>
      </c>
    </row>
    <row r="1089" spans="1:36" x14ac:dyDescent="0.25">
      <c r="A1089" t="s">
        <v>844</v>
      </c>
      <c r="P1089" t="str">
        <f t="shared" si="296"/>
        <v xml:space="preserve">                </v>
      </c>
      <c r="Q1089" t="str">
        <f t="shared" si="296"/>
        <v xml:space="preserve">         </v>
      </c>
      <c r="R1089" t="str">
        <f t="shared" si="289"/>
        <v xml:space="preserve">    90.0 </v>
      </c>
      <c r="S1089" t="str">
        <f t="shared" si="297"/>
        <v xml:space="preserve">    90.0 </v>
      </c>
      <c r="T1089" t="str">
        <f t="shared" si="298"/>
        <v xml:space="preserve">    90.0 </v>
      </c>
      <c r="U1089" t="str">
        <f t="shared" si="302"/>
        <v xml:space="preserve">       27.6% </v>
      </c>
      <c r="V1089" t="str">
        <f t="shared" si="290"/>
        <v xml:space="preserve">         </v>
      </c>
      <c r="W1089" t="str">
        <f t="shared" si="299"/>
        <v xml:space="preserve">         </v>
      </c>
      <c r="X1089" t="str">
        <f t="shared" si="303"/>
        <v xml:space="preserve">  9962 </v>
      </c>
      <c r="Y1089" t="str">
        <f t="shared" si="303"/>
        <v xml:space="preserve"> PALEG1-RS069 </v>
      </c>
      <c r="Z1089" t="str">
        <f t="shared" si="303"/>
        <v xml:space="preserve">  1 </v>
      </c>
      <c r="AA1089" t="str">
        <f t="shared" si="291"/>
        <v xml:space="preserve">   -25.1 </v>
      </c>
      <c r="AB1089" t="str">
        <f t="shared" si="300"/>
        <v xml:space="preserve">     0.2 </v>
      </c>
      <c r="AC1089" t="str">
        <f t="shared" si="301"/>
        <v xml:space="preserve">    24.8 </v>
      </c>
      <c r="AD1089" t="str">
        <f t="shared" si="302"/>
        <v xml:space="preserve">        </v>
      </c>
      <c r="AE1089" t="str">
        <f t="shared" si="292"/>
        <v xml:space="preserve">       </v>
      </c>
      <c r="AF1089" t="str">
        <f t="shared" si="304"/>
        <v xml:space="preserve">     </v>
      </c>
      <c r="AG1089" t="str">
        <f t="shared" si="304"/>
        <v xml:space="preserve">     0.00 </v>
      </c>
      <c r="AH1089" t="str">
        <f t="shared" si="293"/>
        <v xml:space="preserve">     0.00 </v>
      </c>
      <c r="AI1089" t="str">
        <f t="shared" si="294"/>
        <v xml:space="preserve">       </v>
      </c>
      <c r="AJ1089" t="str">
        <f t="shared" si="295"/>
        <v xml:space="preserve">      </v>
      </c>
    </row>
    <row r="1090" spans="1:36" x14ac:dyDescent="0.25">
      <c r="A1090" t="s">
        <v>14</v>
      </c>
      <c r="P1090" t="str">
        <f t="shared" si="296"/>
        <v xml:space="preserve">  ..............</v>
      </c>
      <c r="Q1090" t="str">
        <f t="shared" si="296"/>
        <v>.........</v>
      </c>
      <c r="R1090" t="str">
        <f t="shared" si="289"/>
        <v>.........</v>
      </c>
      <c r="S1090" t="str">
        <f t="shared" si="297"/>
        <v>.........</v>
      </c>
      <c r="T1090" t="str">
        <f t="shared" si="298"/>
        <v>.........</v>
      </c>
      <c r="U1090" t="str">
        <f t="shared" si="302"/>
        <v>.............</v>
      </c>
      <c r="V1090" t="str">
        <f t="shared" si="290"/>
        <v>.........</v>
      </c>
      <c r="W1090" t="str">
        <f t="shared" si="299"/>
        <v>.........</v>
      </c>
      <c r="X1090" t="str">
        <f t="shared" si="303"/>
        <v>.......</v>
      </c>
      <c r="Y1090" t="str">
        <f t="shared" si="303"/>
        <v>..............</v>
      </c>
      <c r="Z1090" t="str">
        <f t="shared" si="303"/>
        <v>....</v>
      </c>
      <c r="AA1090" t="str">
        <f t="shared" si="291"/>
        <v>.........</v>
      </c>
      <c r="AB1090" t="str">
        <f t="shared" si="300"/>
        <v>.........</v>
      </c>
      <c r="AC1090" t="str">
        <f t="shared" si="301"/>
        <v>.........</v>
      </c>
      <c r="AD1090" t="str">
        <f t="shared" si="302"/>
        <v>........</v>
      </c>
      <c r="AE1090" t="str">
        <f t="shared" si="292"/>
        <v>.......</v>
      </c>
      <c r="AF1090" t="str">
        <f t="shared" si="304"/>
        <v>.....</v>
      </c>
      <c r="AG1090" t="str">
        <f t="shared" si="304"/>
        <v>..........</v>
      </c>
      <c r="AH1090" t="str">
        <f t="shared" si="293"/>
        <v>..........</v>
      </c>
      <c r="AI1090" t="str">
        <f t="shared" si="294"/>
        <v>.......</v>
      </c>
      <c r="AJ1090" t="str">
        <f t="shared" si="295"/>
        <v>.......</v>
      </c>
    </row>
    <row r="1091" spans="1:36" x14ac:dyDescent="0.25">
      <c r="A1091" t="s">
        <v>845</v>
      </c>
      <c r="P1091" t="str">
        <f t="shared" si="296"/>
        <v xml:space="preserve">   9236   69  0 </v>
      </c>
      <c r="Q1091" t="str">
        <f t="shared" si="296"/>
        <v xml:space="preserve">   1.012 </v>
      </c>
      <c r="R1091" t="str">
        <f t="shared" si="289"/>
        <v xml:space="preserve">     1.3 </v>
      </c>
      <c r="S1091" t="str">
        <f t="shared" si="297"/>
        <v xml:space="preserve">     0.0 </v>
      </c>
      <c r="T1091" t="str">
        <f t="shared" si="298"/>
        <v xml:space="preserve">    40.4 </v>
      </c>
      <c r="U1091" t="str">
        <f t="shared" si="302"/>
        <v xml:space="preserve">         0.0 </v>
      </c>
      <c r="V1091" t="str">
        <f t="shared" si="290"/>
        <v xml:space="preserve">     3.7 </v>
      </c>
      <c r="W1091" t="str">
        <f t="shared" si="299"/>
        <v xml:space="preserve">     0.0</v>
      </c>
      <c r="X1091" t="str">
        <f t="shared" si="303"/>
        <v/>
      </c>
      <c r="Y1091" t="str">
        <f t="shared" si="303"/>
        <v/>
      </c>
      <c r="Z1091" t="str">
        <f t="shared" si="303"/>
        <v/>
      </c>
      <c r="AA1091" t="str">
        <f t="shared" si="291"/>
        <v/>
      </c>
      <c r="AB1091" t="str">
        <f t="shared" si="300"/>
        <v/>
      </c>
      <c r="AC1091" t="str">
        <f t="shared" si="301"/>
        <v/>
      </c>
      <c r="AD1091" t="str">
        <f t="shared" si="302"/>
        <v/>
      </c>
      <c r="AE1091" t="str">
        <f t="shared" si="292"/>
        <v/>
      </c>
      <c r="AF1091" t="str">
        <f t="shared" si="304"/>
        <v/>
      </c>
      <c r="AG1091" t="str">
        <f t="shared" si="304"/>
        <v/>
      </c>
      <c r="AH1091" t="str">
        <f t="shared" si="293"/>
        <v/>
      </c>
      <c r="AI1091" t="str">
        <f t="shared" si="294"/>
        <v/>
      </c>
      <c r="AJ1091" t="str">
        <f t="shared" si="295"/>
        <v/>
      </c>
    </row>
    <row r="1092" spans="1:36" x14ac:dyDescent="0.25">
      <c r="A1092" t="s">
        <v>846</v>
      </c>
      <c r="P1092" t="str">
        <f t="shared" si="296"/>
        <v xml:space="preserve">  PALEG2-RS069  </v>
      </c>
      <c r="Q1092" t="str">
        <f t="shared" si="296"/>
        <v xml:space="preserve">   -54.9 </v>
      </c>
      <c r="R1092" t="str">
        <f t="shared" si="289"/>
        <v xml:space="preserve">     0.0 </v>
      </c>
      <c r="S1092" t="str">
        <f t="shared" si="297"/>
        <v xml:space="preserve">     0.0 </v>
      </c>
      <c r="T1092" t="str">
        <f t="shared" si="298"/>
        <v xml:space="preserve">     9.2 </v>
      </c>
      <c r="U1092" t="str">
        <f t="shared" si="302"/>
        <v xml:space="preserve">         0.0 </v>
      </c>
      <c r="V1092" t="str">
        <f t="shared" si="290"/>
        <v xml:space="preserve">     0.0 </v>
      </c>
      <c r="W1092" t="str">
        <f t="shared" si="299"/>
        <v xml:space="preserve">     0.0 </v>
      </c>
      <c r="X1092" t="str">
        <f t="shared" si="303"/>
        <v xml:space="preserve">       </v>
      </c>
      <c r="Y1092" t="str">
        <f t="shared" si="303"/>
        <v xml:space="preserve">              </v>
      </c>
      <c r="Z1092" t="str">
        <f t="shared" si="303"/>
        <v xml:space="preserve">    </v>
      </c>
      <c r="AA1092" t="str">
        <f t="shared" si="291"/>
        <v xml:space="preserve">         </v>
      </c>
      <c r="AB1092" t="str">
        <f t="shared" si="300"/>
        <v xml:space="preserve">         </v>
      </c>
      <c r="AC1092" t="str">
        <f t="shared" si="301"/>
        <v xml:space="preserve">    </v>
      </c>
      <c r="AD1092" t="str">
        <f t="shared" si="302"/>
        <v/>
      </c>
      <c r="AE1092" t="str">
        <f t="shared" si="292"/>
        <v/>
      </c>
      <c r="AF1092" t="str">
        <f t="shared" si="304"/>
        <v/>
      </c>
      <c r="AG1092" t="str">
        <f t="shared" si="304"/>
        <v/>
      </c>
      <c r="AH1092" t="str">
        <f t="shared" si="293"/>
        <v/>
      </c>
      <c r="AI1092" t="str">
        <f t="shared" si="294"/>
        <v/>
      </c>
      <c r="AJ1092" t="str">
        <f t="shared" si="295"/>
        <v/>
      </c>
    </row>
    <row r="1093" spans="1:36" x14ac:dyDescent="0.25">
      <c r="A1093" t="s">
        <v>847</v>
      </c>
      <c r="P1093" t="str">
        <f t="shared" si="296"/>
        <v xml:space="preserve">                </v>
      </c>
      <c r="Q1093" t="str">
        <f t="shared" si="296"/>
        <v xml:space="preserve">         </v>
      </c>
      <c r="R1093" t="str">
        <f t="shared" si="289"/>
        <v xml:space="preserve">    54.0 </v>
      </c>
      <c r="S1093" t="str">
        <f t="shared" si="297"/>
        <v xml:space="preserve">    79.0 </v>
      </c>
      <c r="T1093" t="str">
        <f t="shared" si="298"/>
        <v xml:space="preserve">    79.0 </v>
      </c>
      <c r="U1093" t="str">
        <f t="shared" si="302"/>
        <v xml:space="preserve">       29.0% </v>
      </c>
      <c r="V1093" t="str">
        <f t="shared" si="290"/>
        <v xml:space="preserve">         </v>
      </c>
      <c r="W1093" t="str">
        <f t="shared" si="299"/>
        <v xml:space="preserve">         </v>
      </c>
      <c r="X1093" t="str">
        <f t="shared" si="303"/>
        <v xml:space="preserve">  1266 </v>
      </c>
      <c r="Y1093" t="str">
        <f t="shared" si="303"/>
        <v xml:space="preserve"> PALGR9-RS069 </v>
      </c>
      <c r="Z1093" t="str">
        <f t="shared" si="303"/>
        <v xml:space="preserve">  1 </v>
      </c>
      <c r="AA1093" t="str">
        <f t="shared" si="291"/>
        <v xml:space="preserve">   -14.7 </v>
      </c>
      <c r="AB1093" t="str">
        <f t="shared" si="300"/>
        <v xml:space="preserve">    -5.8 </v>
      </c>
      <c r="AC1093" t="str">
        <f t="shared" si="301"/>
        <v xml:space="preserve">    15.7 </v>
      </c>
      <c r="AD1093" t="str">
        <f t="shared" si="302"/>
        <v xml:space="preserve">        </v>
      </c>
      <c r="AE1093" t="str">
        <f t="shared" si="292"/>
        <v xml:space="preserve">       </v>
      </c>
      <c r="AF1093" t="str">
        <f t="shared" si="304"/>
        <v xml:space="preserve">     </v>
      </c>
      <c r="AG1093" t="str">
        <f t="shared" si="304"/>
        <v xml:space="preserve">     0.03 </v>
      </c>
      <c r="AH1093" t="str">
        <f t="shared" si="293"/>
        <v xml:space="preserve">     0.02 </v>
      </c>
      <c r="AI1093" t="str">
        <f t="shared" si="294"/>
        <v xml:space="preserve">       </v>
      </c>
      <c r="AJ1093" t="str">
        <f t="shared" si="295"/>
        <v xml:space="preserve">      </v>
      </c>
    </row>
    <row r="1094" spans="1:36" x14ac:dyDescent="0.25">
      <c r="A1094" t="s">
        <v>848</v>
      </c>
      <c r="P1094" t="str">
        <f t="shared" si="296"/>
        <v xml:space="preserve">                </v>
      </c>
      <c r="Q1094" t="str">
        <f t="shared" si="296"/>
        <v xml:space="preserve">         </v>
      </c>
      <c r="R1094" t="str">
        <f t="shared" si="289"/>
        <v xml:space="preserve">    52.0 </v>
      </c>
      <c r="S1094" t="str">
        <f t="shared" si="297"/>
        <v xml:space="preserve">    76.0 </v>
      </c>
      <c r="T1094" t="str">
        <f t="shared" si="298"/>
        <v xml:space="preserve">    76.0 </v>
      </c>
      <c r="U1094" t="str">
        <f t="shared" si="302"/>
        <v xml:space="preserve">       25.0% </v>
      </c>
      <c r="V1094" t="str">
        <f t="shared" si="290"/>
        <v xml:space="preserve">         </v>
      </c>
      <c r="W1094" t="str">
        <f t="shared" si="299"/>
        <v xml:space="preserve">         </v>
      </c>
      <c r="X1094" t="str">
        <f t="shared" si="303"/>
        <v xml:space="preserve">  9554 </v>
      </c>
      <c r="Y1094" t="str">
        <f t="shared" si="303"/>
        <v xml:space="preserve"> GERPALTAP069 </v>
      </c>
      <c r="Z1094" t="str">
        <f t="shared" si="303"/>
        <v xml:space="preserve">  1 </v>
      </c>
      <c r="AA1094" t="str">
        <f t="shared" si="291"/>
        <v xml:space="preserve">   -12.2 </v>
      </c>
      <c r="AB1094" t="str">
        <f t="shared" si="300"/>
        <v xml:space="preserve">     4.9 </v>
      </c>
      <c r="AC1094" t="str">
        <f t="shared" si="301"/>
        <v xml:space="preserve">    13.0 </v>
      </c>
      <c r="AD1094" t="str">
        <f t="shared" si="302"/>
        <v xml:space="preserve">        </v>
      </c>
      <c r="AE1094" t="str">
        <f t="shared" si="292"/>
        <v xml:space="preserve">       </v>
      </c>
      <c r="AF1094" t="str">
        <f t="shared" si="304"/>
        <v xml:space="preserve">     </v>
      </c>
      <c r="AG1094" t="str">
        <f t="shared" si="304"/>
        <v xml:space="preserve">     0.00 </v>
      </c>
      <c r="AH1094" t="str">
        <f t="shared" si="293"/>
        <v xml:space="preserve">    -0.00 </v>
      </c>
      <c r="AI1094" t="str">
        <f t="shared" si="294"/>
        <v xml:space="preserve">       </v>
      </c>
      <c r="AJ1094" t="str">
        <f t="shared" si="295"/>
        <v xml:space="preserve">      </v>
      </c>
    </row>
    <row r="1095" spans="1:36" x14ac:dyDescent="0.25">
      <c r="A1095" t="s">
        <v>849</v>
      </c>
      <c r="P1095" t="str">
        <f t="shared" si="296"/>
        <v xml:space="preserve">                </v>
      </c>
      <c r="Q1095" t="str">
        <f t="shared" si="296"/>
        <v xml:space="preserve">         </v>
      </c>
      <c r="R1095" t="str">
        <f t="shared" si="289"/>
        <v xml:space="preserve">    52.0 </v>
      </c>
      <c r="S1095" t="str">
        <f t="shared" si="297"/>
        <v xml:space="preserve">    76.0 </v>
      </c>
      <c r="T1095" t="str">
        <f t="shared" si="298"/>
        <v xml:space="preserve">    76.0 </v>
      </c>
      <c r="U1095" t="str">
        <f t="shared" si="302"/>
        <v xml:space="preserve">       24.7% </v>
      </c>
      <c r="V1095" t="str">
        <f t="shared" si="290"/>
        <v xml:space="preserve">         </v>
      </c>
      <c r="W1095" t="str">
        <f t="shared" si="299"/>
        <v xml:space="preserve">         </v>
      </c>
      <c r="X1095" t="str">
        <f t="shared" si="303"/>
        <v xml:space="preserve">  9556 </v>
      </c>
      <c r="Y1095" t="str">
        <f t="shared" si="303"/>
        <v xml:space="preserve"> FRPPALTAP069 </v>
      </c>
      <c r="Z1095" t="str">
        <f t="shared" si="303"/>
        <v xml:space="preserve">  1 </v>
      </c>
      <c r="AA1095" t="str">
        <f t="shared" si="291"/>
        <v xml:space="preserve">   -12.2 </v>
      </c>
      <c r="AB1095" t="str">
        <f t="shared" si="300"/>
        <v xml:space="preserve">    -4.6 </v>
      </c>
      <c r="AC1095" t="str">
        <f t="shared" si="301"/>
        <v xml:space="preserve">    12.9 </v>
      </c>
      <c r="AD1095" t="str">
        <f t="shared" si="302"/>
        <v xml:space="preserve">        </v>
      </c>
      <c r="AE1095" t="str">
        <f t="shared" si="292"/>
        <v xml:space="preserve">       </v>
      </c>
      <c r="AF1095" t="str">
        <f t="shared" si="304"/>
        <v xml:space="preserve">     </v>
      </c>
      <c r="AG1095" t="str">
        <f t="shared" si="304"/>
        <v xml:space="preserve">     0.01 </v>
      </c>
      <c r="AH1095" t="str">
        <f t="shared" si="293"/>
        <v xml:space="preserve">    -0.00 </v>
      </c>
      <c r="AI1095" t="str">
        <f t="shared" si="294"/>
        <v xml:space="preserve">       </v>
      </c>
      <c r="AJ1095" t="str">
        <f t="shared" si="295"/>
        <v xml:space="preserve">      </v>
      </c>
    </row>
    <row r="1096" spans="1:36" x14ac:dyDescent="0.25">
      <c r="A1096" t="s">
        <v>14</v>
      </c>
      <c r="P1096" t="str">
        <f t="shared" si="296"/>
        <v xml:space="preserve">  ..............</v>
      </c>
      <c r="Q1096" t="str">
        <f t="shared" si="296"/>
        <v>.........</v>
      </c>
      <c r="R1096" t="str">
        <f t="shared" si="289"/>
        <v>.........</v>
      </c>
      <c r="S1096" t="str">
        <f t="shared" si="297"/>
        <v>.........</v>
      </c>
      <c r="T1096" t="str">
        <f t="shared" si="298"/>
        <v>.........</v>
      </c>
      <c r="U1096" t="str">
        <f t="shared" si="302"/>
        <v>.............</v>
      </c>
      <c r="V1096" t="str">
        <f t="shared" si="290"/>
        <v>.........</v>
      </c>
      <c r="W1096" t="str">
        <f t="shared" si="299"/>
        <v>.........</v>
      </c>
      <c r="X1096" t="str">
        <f t="shared" si="303"/>
        <v>.......</v>
      </c>
      <c r="Y1096" t="str">
        <f t="shared" si="303"/>
        <v>..............</v>
      </c>
      <c r="Z1096" t="str">
        <f t="shared" si="303"/>
        <v>....</v>
      </c>
      <c r="AA1096" t="str">
        <f t="shared" si="291"/>
        <v>.........</v>
      </c>
      <c r="AB1096" t="str">
        <f t="shared" si="300"/>
        <v>.........</v>
      </c>
      <c r="AC1096" t="str">
        <f t="shared" si="301"/>
        <v>.........</v>
      </c>
      <c r="AD1096" t="str">
        <f t="shared" si="302"/>
        <v>........</v>
      </c>
      <c r="AE1096" t="str">
        <f t="shared" si="292"/>
        <v>.......</v>
      </c>
      <c r="AF1096" t="str">
        <f t="shared" si="304"/>
        <v>.....</v>
      </c>
      <c r="AG1096" t="str">
        <f t="shared" si="304"/>
        <v>..........</v>
      </c>
      <c r="AH1096" t="str">
        <f t="shared" si="293"/>
        <v>..........</v>
      </c>
      <c r="AI1096" t="str">
        <f t="shared" si="294"/>
        <v>.......</v>
      </c>
      <c r="AJ1096" t="str">
        <f t="shared" si="295"/>
        <v>.......</v>
      </c>
    </row>
    <row r="1097" spans="1:36" x14ac:dyDescent="0.25">
      <c r="A1097" t="s">
        <v>850</v>
      </c>
      <c r="P1097" t="str">
        <f t="shared" si="296"/>
        <v xml:space="preserve">   9237   69  0 </v>
      </c>
      <c r="Q1097" t="str">
        <f t="shared" si="296"/>
        <v xml:space="preserve">   1.013 </v>
      </c>
      <c r="R1097" t="str">
        <f t="shared" si="289"/>
        <v xml:space="preserve">     0.7 </v>
      </c>
      <c r="S1097" t="str">
        <f t="shared" si="297"/>
        <v xml:space="preserve">     0.0 </v>
      </c>
      <c r="T1097" t="str">
        <f t="shared" si="298"/>
        <v xml:space="preserve">    16.9 </v>
      </c>
      <c r="U1097" t="str">
        <f t="shared" si="302"/>
        <v xml:space="preserve">         0.0 </v>
      </c>
      <c r="V1097" t="str">
        <f t="shared" si="290"/>
        <v xml:space="preserve">     0.0 </v>
      </c>
      <c r="W1097" t="str">
        <f t="shared" si="299"/>
        <v xml:space="preserve">     0.0</v>
      </c>
      <c r="X1097" t="str">
        <f t="shared" si="303"/>
        <v/>
      </c>
      <c r="Y1097" t="str">
        <f t="shared" si="303"/>
        <v/>
      </c>
      <c r="Z1097" t="str">
        <f t="shared" si="303"/>
        <v/>
      </c>
      <c r="AA1097" t="str">
        <f t="shared" si="291"/>
        <v/>
      </c>
      <c r="AB1097" t="str">
        <f t="shared" si="300"/>
        <v/>
      </c>
      <c r="AC1097" t="str">
        <f t="shared" si="301"/>
        <v/>
      </c>
      <c r="AD1097" t="str">
        <f t="shared" si="302"/>
        <v/>
      </c>
      <c r="AE1097" t="str">
        <f t="shared" si="292"/>
        <v/>
      </c>
      <c r="AF1097" t="str">
        <f t="shared" si="304"/>
        <v/>
      </c>
      <c r="AG1097" t="str">
        <f t="shared" si="304"/>
        <v/>
      </c>
      <c r="AH1097" t="str">
        <f t="shared" si="293"/>
        <v/>
      </c>
      <c r="AI1097" t="str">
        <f t="shared" si="294"/>
        <v/>
      </c>
      <c r="AJ1097" t="str">
        <f t="shared" si="295"/>
        <v/>
      </c>
    </row>
    <row r="1098" spans="1:36" x14ac:dyDescent="0.25">
      <c r="A1098" t="s">
        <v>851</v>
      </c>
      <c r="P1098" t="str">
        <f t="shared" si="296"/>
        <v xml:space="preserve">  PALE17-RS069  </v>
      </c>
      <c r="Q1098" t="str">
        <f t="shared" si="296"/>
        <v xml:space="preserve">   -54.7 </v>
      </c>
      <c r="R1098" t="str">
        <f t="shared" si="289"/>
        <v xml:space="preserve">     0.0 </v>
      </c>
      <c r="S1098" t="str">
        <f t="shared" si="297"/>
        <v xml:space="preserve">     0.0 </v>
      </c>
      <c r="T1098" t="str">
        <f t="shared" si="298"/>
        <v xml:space="preserve">     5.5 </v>
      </c>
      <c r="U1098" t="str">
        <f t="shared" si="302"/>
        <v xml:space="preserve">         0.0 </v>
      </c>
      <c r="V1098" t="str">
        <f t="shared" si="290"/>
        <v xml:space="preserve">     0.0 </v>
      </c>
      <c r="W1098" t="str">
        <f t="shared" si="299"/>
        <v xml:space="preserve">     0.0 </v>
      </c>
      <c r="X1098" t="str">
        <f t="shared" si="303"/>
        <v xml:space="preserve">       </v>
      </c>
      <c r="Y1098" t="str">
        <f t="shared" si="303"/>
        <v xml:space="preserve">              </v>
      </c>
      <c r="Z1098" t="str">
        <f t="shared" si="303"/>
        <v xml:space="preserve">    </v>
      </c>
      <c r="AA1098" t="str">
        <f t="shared" si="291"/>
        <v xml:space="preserve">         </v>
      </c>
      <c r="AB1098" t="str">
        <f t="shared" si="300"/>
        <v xml:space="preserve">         </v>
      </c>
      <c r="AC1098" t="str">
        <f t="shared" si="301"/>
        <v xml:space="preserve">    </v>
      </c>
      <c r="AD1098" t="str">
        <f t="shared" si="302"/>
        <v/>
      </c>
      <c r="AE1098" t="str">
        <f t="shared" si="292"/>
        <v/>
      </c>
      <c r="AF1098" t="str">
        <f t="shared" si="304"/>
        <v/>
      </c>
      <c r="AG1098" t="str">
        <f t="shared" si="304"/>
        <v/>
      </c>
      <c r="AH1098" t="str">
        <f t="shared" si="293"/>
        <v/>
      </c>
      <c r="AI1098" t="str">
        <f t="shared" si="294"/>
        <v/>
      </c>
      <c r="AJ1098" t="str">
        <f t="shared" si="295"/>
        <v/>
      </c>
    </row>
    <row r="1099" spans="1:36" x14ac:dyDescent="0.25">
      <c r="A1099" t="s">
        <v>852</v>
      </c>
      <c r="P1099" t="str">
        <f t="shared" si="296"/>
        <v xml:space="preserve">                </v>
      </c>
      <c r="Q1099" t="str">
        <f t="shared" si="296"/>
        <v xml:space="preserve">         </v>
      </c>
      <c r="R1099" t="str">
        <f t="shared" si="289"/>
        <v xml:space="preserve">    99.0 </v>
      </c>
      <c r="S1099" t="str">
        <f t="shared" si="297"/>
        <v xml:space="preserve">   120.0 </v>
      </c>
      <c r="T1099" t="str">
        <f t="shared" si="298"/>
        <v xml:space="preserve">   100.0 </v>
      </c>
      <c r="U1099" t="str">
        <f t="shared" si="302"/>
        <v xml:space="preserve">       17.1% </v>
      </c>
      <c r="V1099" t="str">
        <f t="shared" si="290"/>
        <v xml:space="preserve">         </v>
      </c>
      <c r="W1099" t="str">
        <f t="shared" si="299"/>
        <v xml:space="preserve">         </v>
      </c>
      <c r="X1099" t="str">
        <f t="shared" si="303"/>
        <v xml:space="preserve">  1271 </v>
      </c>
      <c r="Y1099" t="str">
        <f t="shared" si="303"/>
        <v xml:space="preserve"> PALGR8-RS069 </v>
      </c>
      <c r="Z1099" t="str">
        <f t="shared" si="303"/>
        <v xml:space="preserve">  1 </v>
      </c>
      <c r="AA1099" t="str">
        <f t="shared" si="291"/>
        <v xml:space="preserve">   -16.2 </v>
      </c>
      <c r="AB1099" t="str">
        <f t="shared" si="300"/>
        <v xml:space="preserve">    -5.5 </v>
      </c>
      <c r="AC1099" t="str">
        <f t="shared" si="301"/>
        <v xml:space="preserve">    16.9 </v>
      </c>
      <c r="AD1099" t="str">
        <f t="shared" si="302"/>
        <v xml:space="preserve">        </v>
      </c>
      <c r="AE1099" t="str">
        <f t="shared" si="292"/>
        <v xml:space="preserve">       </v>
      </c>
      <c r="AF1099" t="str">
        <f t="shared" si="304"/>
        <v xml:space="preserve">     </v>
      </c>
      <c r="AG1099" t="str">
        <f t="shared" si="304"/>
        <v xml:space="preserve">     0.02 </v>
      </c>
      <c r="AH1099" t="str">
        <f t="shared" si="293"/>
        <v xml:space="preserve">     0.04 </v>
      </c>
      <c r="AI1099" t="str">
        <f t="shared" si="294"/>
        <v xml:space="preserve">       </v>
      </c>
      <c r="AJ1099" t="str">
        <f t="shared" si="295"/>
        <v xml:space="preserve">      </v>
      </c>
    </row>
    <row r="1100" spans="1:36" x14ac:dyDescent="0.25">
      <c r="A1100" t="s">
        <v>14</v>
      </c>
      <c r="P1100" t="str">
        <f t="shared" si="296"/>
        <v xml:space="preserve">  ..............</v>
      </c>
      <c r="Q1100" t="str">
        <f t="shared" si="296"/>
        <v>.........</v>
      </c>
      <c r="R1100" t="str">
        <f t="shared" ref="R1100:R1163" si="305">MID($A1100,Q$8+Q$9-1,R$9)</f>
        <v>.........</v>
      </c>
      <c r="S1100" t="str">
        <f t="shared" si="297"/>
        <v>.........</v>
      </c>
      <c r="T1100" t="str">
        <f t="shared" si="298"/>
        <v>.........</v>
      </c>
      <c r="U1100" t="str">
        <f t="shared" si="302"/>
        <v>.............</v>
      </c>
      <c r="V1100" t="str">
        <f t="shared" ref="V1100:V1163" si="306">MID($A1100,U$8+U$9-1,V$9)</f>
        <v>.........</v>
      </c>
      <c r="W1100" t="str">
        <f t="shared" si="299"/>
        <v>.........</v>
      </c>
      <c r="X1100" t="str">
        <f t="shared" si="303"/>
        <v>.......</v>
      </c>
      <c r="Y1100" t="str">
        <f t="shared" si="303"/>
        <v>..............</v>
      </c>
      <c r="Z1100" t="str">
        <f t="shared" si="303"/>
        <v>....</v>
      </c>
      <c r="AA1100" t="str">
        <f t="shared" ref="AA1100:AA1163" si="307">MID($A1100,Z$8+Z$9-1,AA$9)</f>
        <v>.........</v>
      </c>
      <c r="AB1100" t="str">
        <f t="shared" si="300"/>
        <v>.........</v>
      </c>
      <c r="AC1100" t="str">
        <f t="shared" si="301"/>
        <v>.........</v>
      </c>
      <c r="AD1100" t="str">
        <f t="shared" si="302"/>
        <v>........</v>
      </c>
      <c r="AE1100" t="str">
        <f t="shared" ref="AE1100:AE1163" si="308">MID($A1100,AD$8+AD$9-1,AE$9)</f>
        <v>.......</v>
      </c>
      <c r="AF1100" t="str">
        <f t="shared" si="304"/>
        <v>.....</v>
      </c>
      <c r="AG1100" t="str">
        <f t="shared" si="304"/>
        <v>..........</v>
      </c>
      <c r="AH1100" t="str">
        <f t="shared" ref="AH1100:AH1163" si="309">MID($A1100,AG$8+AG$9-1,AH$9)</f>
        <v>..........</v>
      </c>
      <c r="AI1100" t="str">
        <f t="shared" si="294"/>
        <v>.......</v>
      </c>
      <c r="AJ1100" t="str">
        <f t="shared" si="295"/>
        <v>.......</v>
      </c>
    </row>
    <row r="1101" spans="1:36" x14ac:dyDescent="0.25">
      <c r="A1101" t="s">
        <v>853</v>
      </c>
      <c r="P1101" t="str">
        <f t="shared" si="296"/>
        <v xml:space="preserve">   9238   69  0 </v>
      </c>
      <c r="Q1101" t="str">
        <f t="shared" si="296"/>
        <v xml:space="preserve">   1.020 </v>
      </c>
      <c r="R1101" t="str">
        <f t="shared" si="305"/>
        <v xml:space="preserve">     1.0 </v>
      </c>
      <c r="S1101" t="str">
        <f t="shared" si="297"/>
        <v xml:space="preserve">     0.0 </v>
      </c>
      <c r="T1101" t="str">
        <f t="shared" si="298"/>
        <v xml:space="preserve">    47.7 </v>
      </c>
      <c r="U1101" t="str">
        <f t="shared" si="302"/>
        <v xml:space="preserve">         0.0 </v>
      </c>
      <c r="V1101" t="str">
        <f t="shared" si="306"/>
        <v xml:space="preserve">    22.5 </v>
      </c>
      <c r="W1101" t="str">
        <f t="shared" si="299"/>
        <v xml:space="preserve">     0.0</v>
      </c>
      <c r="X1101" t="str">
        <f t="shared" si="303"/>
        <v/>
      </c>
      <c r="Y1101" t="str">
        <f t="shared" si="303"/>
        <v/>
      </c>
      <c r="Z1101" t="str">
        <f t="shared" si="303"/>
        <v/>
      </c>
      <c r="AA1101" t="str">
        <f t="shared" si="307"/>
        <v/>
      </c>
      <c r="AB1101" t="str">
        <f t="shared" si="300"/>
        <v/>
      </c>
      <c r="AC1101" t="str">
        <f t="shared" si="301"/>
        <v/>
      </c>
      <c r="AD1101" t="str">
        <f t="shared" si="302"/>
        <v/>
      </c>
      <c r="AE1101" t="str">
        <f t="shared" si="308"/>
        <v/>
      </c>
      <c r="AF1101" t="str">
        <f t="shared" si="304"/>
        <v/>
      </c>
      <c r="AG1101" t="str">
        <f t="shared" si="304"/>
        <v/>
      </c>
      <c r="AH1101" t="str">
        <f t="shared" si="309"/>
        <v/>
      </c>
      <c r="AI1101" t="str">
        <f t="shared" si="294"/>
        <v/>
      </c>
      <c r="AJ1101" t="str">
        <f t="shared" si="295"/>
        <v/>
      </c>
    </row>
    <row r="1102" spans="1:36" x14ac:dyDescent="0.25">
      <c r="A1102" t="s">
        <v>854</v>
      </c>
      <c r="P1102" t="str">
        <f t="shared" si="296"/>
        <v xml:space="preserve">  PALEG7-RS069  </v>
      </c>
      <c r="Q1102" t="str">
        <f t="shared" si="296"/>
        <v xml:space="preserve">   -55.6 </v>
      </c>
      <c r="R1102" t="str">
        <f t="shared" si="305"/>
        <v xml:space="preserve">     0.0 </v>
      </c>
      <c r="S1102" t="str">
        <f t="shared" si="297"/>
        <v xml:space="preserve">     0.0 </v>
      </c>
      <c r="T1102" t="str">
        <f t="shared" si="298"/>
        <v xml:space="preserve">    13.4 </v>
      </c>
      <c r="U1102" t="str">
        <f t="shared" si="302"/>
        <v xml:space="preserve">         0.0 </v>
      </c>
      <c r="V1102" t="str">
        <f t="shared" si="306"/>
        <v xml:space="preserve">     0.0 </v>
      </c>
      <c r="W1102" t="str">
        <f t="shared" si="299"/>
        <v xml:space="preserve">     0.0 </v>
      </c>
      <c r="X1102" t="str">
        <f t="shared" si="303"/>
        <v xml:space="preserve">       </v>
      </c>
      <c r="Y1102" t="str">
        <f t="shared" si="303"/>
        <v xml:space="preserve">              </v>
      </c>
      <c r="Z1102" t="str">
        <f t="shared" si="303"/>
        <v xml:space="preserve">    </v>
      </c>
      <c r="AA1102" t="str">
        <f t="shared" si="307"/>
        <v xml:space="preserve">         </v>
      </c>
      <c r="AB1102" t="str">
        <f t="shared" si="300"/>
        <v xml:space="preserve">         </v>
      </c>
      <c r="AC1102" t="str">
        <f t="shared" si="301"/>
        <v xml:space="preserve">    </v>
      </c>
      <c r="AD1102" t="str">
        <f t="shared" si="302"/>
        <v/>
      </c>
      <c r="AE1102" t="str">
        <f t="shared" si="308"/>
        <v/>
      </c>
      <c r="AF1102" t="str">
        <f t="shared" si="304"/>
        <v/>
      </c>
      <c r="AG1102" t="str">
        <f t="shared" si="304"/>
        <v/>
      </c>
      <c r="AH1102" t="str">
        <f t="shared" si="309"/>
        <v/>
      </c>
      <c r="AI1102" t="str">
        <f t="shared" si="294"/>
        <v/>
      </c>
      <c r="AJ1102" t="str">
        <f t="shared" si="295"/>
        <v/>
      </c>
    </row>
    <row r="1103" spans="1:36" x14ac:dyDescent="0.25">
      <c r="A1103" t="s">
        <v>855</v>
      </c>
      <c r="P1103" t="str">
        <f t="shared" si="296"/>
        <v xml:space="preserve">                </v>
      </c>
      <c r="Q1103" t="str">
        <f t="shared" si="296"/>
        <v xml:space="preserve">         </v>
      </c>
      <c r="R1103" t="str">
        <f t="shared" si="305"/>
        <v xml:space="preserve">    90.0 </v>
      </c>
      <c r="S1103" t="str">
        <f t="shared" si="297"/>
        <v xml:space="preserve">    90.0 </v>
      </c>
      <c r="T1103" t="str">
        <f t="shared" si="298"/>
        <v xml:space="preserve">    90.0 </v>
      </c>
      <c r="U1103" t="str">
        <f t="shared" si="302"/>
        <v xml:space="preserve">       25.9% </v>
      </c>
      <c r="V1103" t="str">
        <f t="shared" si="306"/>
        <v xml:space="preserve">         </v>
      </c>
      <c r="W1103" t="str">
        <f t="shared" si="299"/>
        <v xml:space="preserve">         </v>
      </c>
      <c r="X1103" t="str">
        <f t="shared" si="303"/>
        <v xml:space="preserve">  1266 </v>
      </c>
      <c r="Y1103" t="str">
        <f t="shared" si="303"/>
        <v xml:space="preserve"> PALGR9-RS069 </v>
      </c>
      <c r="Z1103" t="str">
        <f t="shared" si="303"/>
        <v xml:space="preserve">  1 </v>
      </c>
      <c r="AA1103" t="str">
        <f t="shared" si="307"/>
        <v xml:space="preserve">   -23.4 </v>
      </c>
      <c r="AB1103" t="str">
        <f t="shared" si="300"/>
        <v xml:space="preserve">     4.5 </v>
      </c>
      <c r="AC1103" t="str">
        <f t="shared" si="301"/>
        <v xml:space="preserve">    23.3 </v>
      </c>
      <c r="AD1103" t="str">
        <f t="shared" si="302"/>
        <v xml:space="preserve">        </v>
      </c>
      <c r="AE1103" t="str">
        <f t="shared" si="308"/>
        <v xml:space="preserve">       </v>
      </c>
      <c r="AF1103" t="str">
        <f t="shared" si="304"/>
        <v xml:space="preserve">     </v>
      </c>
      <c r="AG1103" t="str">
        <f t="shared" si="304"/>
        <v xml:space="preserve">     0.06 </v>
      </c>
      <c r="AH1103" t="str">
        <f t="shared" si="309"/>
        <v xml:space="preserve">    -6.68 </v>
      </c>
      <c r="AI1103" t="str">
        <f t="shared" si="294"/>
        <v xml:space="preserve">       </v>
      </c>
      <c r="AJ1103" t="str">
        <f t="shared" si="295"/>
        <v xml:space="preserve">      </v>
      </c>
    </row>
    <row r="1104" spans="1:36" x14ac:dyDescent="0.25">
      <c r="A1104" t="s">
        <v>856</v>
      </c>
      <c r="P1104" t="str">
        <f t="shared" si="296"/>
        <v xml:space="preserve">                </v>
      </c>
      <c r="Q1104" t="str">
        <f t="shared" si="296"/>
        <v xml:space="preserve">         </v>
      </c>
      <c r="R1104" t="str">
        <f t="shared" si="305"/>
        <v xml:space="preserve">    90.0 </v>
      </c>
      <c r="S1104" t="str">
        <f t="shared" si="297"/>
        <v xml:space="preserve">    90.0 </v>
      </c>
      <c r="T1104" t="str">
        <f t="shared" si="298"/>
        <v xml:space="preserve">    90.0 </v>
      </c>
      <c r="U1104" t="str">
        <f t="shared" si="302"/>
        <v xml:space="preserve">       25.9% </v>
      </c>
      <c r="V1104" t="str">
        <f t="shared" si="306"/>
        <v xml:space="preserve">         </v>
      </c>
      <c r="W1104" t="str">
        <f t="shared" si="299"/>
        <v xml:space="preserve">         </v>
      </c>
      <c r="X1104" t="str">
        <f t="shared" si="303"/>
        <v xml:space="preserve">  1266 </v>
      </c>
      <c r="Y1104" t="str">
        <f t="shared" si="303"/>
        <v xml:space="preserve"> PALGR9-RS069 </v>
      </c>
      <c r="Z1104" t="str">
        <f t="shared" si="303"/>
        <v xml:space="preserve">  2 </v>
      </c>
      <c r="AA1104" t="str">
        <f t="shared" si="307"/>
        <v xml:space="preserve">   -23.4 </v>
      </c>
      <c r="AB1104" t="str">
        <f t="shared" si="300"/>
        <v xml:space="preserve">     4.5 </v>
      </c>
      <c r="AC1104" t="str">
        <f t="shared" si="301"/>
        <v xml:space="preserve">    23.3 </v>
      </c>
      <c r="AD1104" t="str">
        <f t="shared" si="302"/>
        <v xml:space="preserve">        </v>
      </c>
      <c r="AE1104" t="str">
        <f t="shared" si="308"/>
        <v xml:space="preserve">       </v>
      </c>
      <c r="AF1104" t="str">
        <f t="shared" si="304"/>
        <v xml:space="preserve">     </v>
      </c>
      <c r="AG1104" t="str">
        <f t="shared" si="304"/>
        <v xml:space="preserve">     0.06 </v>
      </c>
      <c r="AH1104" t="str">
        <f t="shared" si="309"/>
        <v xml:space="preserve">    -6.68 </v>
      </c>
      <c r="AI1104" t="str">
        <f t="shared" si="294"/>
        <v xml:space="preserve">       </v>
      </c>
      <c r="AJ1104" t="str">
        <f t="shared" si="295"/>
        <v xml:space="preserve">      </v>
      </c>
    </row>
    <row r="1105" spans="1:36" x14ac:dyDescent="0.25">
      <c r="A1105" t="s">
        <v>14</v>
      </c>
      <c r="P1105" t="str">
        <f t="shared" si="296"/>
        <v xml:space="preserve">  ..............</v>
      </c>
      <c r="Q1105" t="str">
        <f t="shared" si="296"/>
        <v>.........</v>
      </c>
      <c r="R1105" t="str">
        <f t="shared" si="305"/>
        <v>.........</v>
      </c>
      <c r="S1105" t="str">
        <f t="shared" si="297"/>
        <v>.........</v>
      </c>
      <c r="T1105" t="str">
        <f t="shared" si="298"/>
        <v>.........</v>
      </c>
      <c r="U1105" t="str">
        <f t="shared" si="302"/>
        <v>.............</v>
      </c>
      <c r="V1105" t="str">
        <f t="shared" si="306"/>
        <v>.........</v>
      </c>
      <c r="W1105" t="str">
        <f t="shared" si="299"/>
        <v>.........</v>
      </c>
      <c r="X1105" t="str">
        <f t="shared" si="303"/>
        <v>.......</v>
      </c>
      <c r="Y1105" t="str">
        <f t="shared" si="303"/>
        <v>..............</v>
      </c>
      <c r="Z1105" t="str">
        <f t="shared" si="303"/>
        <v>....</v>
      </c>
      <c r="AA1105" t="str">
        <f t="shared" si="307"/>
        <v>.........</v>
      </c>
      <c r="AB1105" t="str">
        <f t="shared" si="300"/>
        <v>.........</v>
      </c>
      <c r="AC1105" t="str">
        <f t="shared" si="301"/>
        <v>.........</v>
      </c>
      <c r="AD1105" t="str">
        <f t="shared" si="302"/>
        <v>........</v>
      </c>
      <c r="AE1105" t="str">
        <f t="shared" si="308"/>
        <v>.......</v>
      </c>
      <c r="AF1105" t="str">
        <f t="shared" si="304"/>
        <v>.....</v>
      </c>
      <c r="AG1105" t="str">
        <f t="shared" si="304"/>
        <v>..........</v>
      </c>
      <c r="AH1105" t="str">
        <f t="shared" si="309"/>
        <v>..........</v>
      </c>
      <c r="AI1105" t="str">
        <f t="shared" si="294"/>
        <v>.......</v>
      </c>
      <c r="AJ1105" t="str">
        <f t="shared" si="295"/>
        <v>.......</v>
      </c>
    </row>
    <row r="1106" spans="1:36" x14ac:dyDescent="0.25">
      <c r="A1106" t="s">
        <v>857</v>
      </c>
      <c r="P1106" t="str">
        <f t="shared" si="296"/>
        <v xml:space="preserve">   9241   23  0 </v>
      </c>
      <c r="Q1106" t="str">
        <f t="shared" si="296"/>
        <v xml:space="preserve">   1.051 </v>
      </c>
      <c r="R1106" t="str">
        <f t="shared" si="305"/>
        <v xml:space="preserve">     1.1 </v>
      </c>
      <c r="S1106" t="str">
        <f t="shared" si="297"/>
        <v xml:space="preserve">     0.0 </v>
      </c>
      <c r="T1106" t="str">
        <f t="shared" si="298"/>
        <v xml:space="preserve">    13.9 </v>
      </c>
      <c r="U1106" t="str">
        <f t="shared" si="302"/>
        <v xml:space="preserve">         0.0 </v>
      </c>
      <c r="V1106" t="str">
        <f t="shared" si="306"/>
        <v xml:space="preserve">     4.0 </v>
      </c>
      <c r="W1106" t="str">
        <f t="shared" si="299"/>
        <v xml:space="preserve">     0.0</v>
      </c>
      <c r="X1106" t="str">
        <f t="shared" si="303"/>
        <v/>
      </c>
      <c r="Y1106" t="str">
        <f t="shared" si="303"/>
        <v/>
      </c>
      <c r="Z1106" t="str">
        <f t="shared" si="303"/>
        <v/>
      </c>
      <c r="AA1106" t="str">
        <f t="shared" si="307"/>
        <v/>
      </c>
      <c r="AB1106" t="str">
        <f t="shared" si="300"/>
        <v/>
      </c>
      <c r="AC1106" t="str">
        <f t="shared" si="301"/>
        <v/>
      </c>
      <c r="AD1106" t="str">
        <f t="shared" si="302"/>
        <v/>
      </c>
      <c r="AE1106" t="str">
        <f t="shared" si="308"/>
        <v/>
      </c>
      <c r="AF1106" t="str">
        <f t="shared" si="304"/>
        <v/>
      </c>
      <c r="AG1106" t="str">
        <f t="shared" si="304"/>
        <v/>
      </c>
      <c r="AH1106" t="str">
        <f t="shared" si="309"/>
        <v/>
      </c>
      <c r="AI1106" t="str">
        <f t="shared" si="294"/>
        <v/>
      </c>
      <c r="AJ1106" t="str">
        <f t="shared" si="295"/>
        <v/>
      </c>
    </row>
    <row r="1107" spans="1:36" x14ac:dyDescent="0.25">
      <c r="A1107" t="s">
        <v>858</v>
      </c>
      <c r="P1107" t="str">
        <f t="shared" si="296"/>
        <v xml:space="preserve">  ELDORA-RS023  </v>
      </c>
      <c r="Q1107" t="str">
        <f t="shared" si="296"/>
        <v xml:space="preserve">   -53.4 </v>
      </c>
      <c r="R1107" t="str">
        <f t="shared" si="305"/>
        <v xml:space="preserve">     0.0 </v>
      </c>
      <c r="S1107" t="str">
        <f t="shared" si="297"/>
        <v xml:space="preserve">     0.0 </v>
      </c>
      <c r="T1107" t="str">
        <f t="shared" si="298"/>
        <v xml:space="preserve">     4.7 </v>
      </c>
      <c r="U1107" t="str">
        <f t="shared" si="302"/>
        <v xml:space="preserve">         0.0 </v>
      </c>
      <c r="V1107" t="str">
        <f t="shared" si="306"/>
        <v xml:space="preserve">     0.0 </v>
      </c>
      <c r="W1107" t="str">
        <f t="shared" si="299"/>
        <v xml:space="preserve">     0.0 </v>
      </c>
      <c r="X1107" t="str">
        <f t="shared" si="303"/>
        <v xml:space="preserve">       </v>
      </c>
      <c r="Y1107" t="str">
        <f t="shared" si="303"/>
        <v xml:space="preserve">              </v>
      </c>
      <c r="Z1107" t="str">
        <f t="shared" si="303"/>
        <v xml:space="preserve">    </v>
      </c>
      <c r="AA1107" t="str">
        <f t="shared" si="307"/>
        <v xml:space="preserve">         </v>
      </c>
      <c r="AB1107" t="str">
        <f t="shared" si="300"/>
        <v xml:space="preserve">         </v>
      </c>
      <c r="AC1107" t="str">
        <f t="shared" si="301"/>
        <v xml:space="preserve">    </v>
      </c>
      <c r="AD1107" t="str">
        <f t="shared" si="302"/>
        <v/>
      </c>
      <c r="AE1107" t="str">
        <f t="shared" si="308"/>
        <v/>
      </c>
      <c r="AF1107" t="str">
        <f t="shared" si="304"/>
        <v/>
      </c>
      <c r="AG1107" t="str">
        <f t="shared" si="304"/>
        <v/>
      </c>
      <c r="AH1107" t="str">
        <f t="shared" si="309"/>
        <v/>
      </c>
      <c r="AI1107" t="str">
        <f t="shared" si="294"/>
        <v/>
      </c>
      <c r="AJ1107" t="str">
        <f t="shared" si="295"/>
        <v/>
      </c>
    </row>
    <row r="1108" spans="1:36" x14ac:dyDescent="0.25">
      <c r="A1108" t="s">
        <v>859</v>
      </c>
      <c r="P1108" t="str">
        <f t="shared" si="296"/>
        <v xml:space="preserve">                </v>
      </c>
      <c r="Q1108" t="str">
        <f t="shared" si="296"/>
        <v xml:space="preserve">         </v>
      </c>
      <c r="R1108" t="str">
        <f t="shared" si="305"/>
        <v xml:space="preserve">    75.0 </v>
      </c>
      <c r="S1108" t="str">
        <f t="shared" si="297"/>
        <v xml:space="preserve">    90.0 </v>
      </c>
      <c r="T1108" t="str">
        <f t="shared" si="298"/>
        <v xml:space="preserve">    90.0 </v>
      </c>
      <c r="U1108" t="str">
        <f t="shared" si="302"/>
        <v xml:space="preserve">       16.3% </v>
      </c>
      <c r="V1108" t="str">
        <f t="shared" si="306"/>
        <v xml:space="preserve">         </v>
      </c>
      <c r="W1108" t="str">
        <f t="shared" si="299"/>
        <v xml:space="preserve">         </v>
      </c>
      <c r="X1108" t="str">
        <f t="shared" si="303"/>
        <v xml:space="preserve"> 41257 </v>
      </c>
      <c r="Y1108" t="str">
        <f t="shared" si="303"/>
        <v xml:space="preserve"> ELDO-1-RS000 </v>
      </c>
      <c r="Z1108" t="str">
        <f t="shared" si="303"/>
        <v xml:space="preserve">  1 </v>
      </c>
      <c r="AA1108" t="str">
        <f t="shared" si="307"/>
        <v xml:space="preserve">   -12.8 </v>
      </c>
      <c r="AB1108" t="str">
        <f t="shared" si="300"/>
        <v xml:space="preserve">    -0.7 </v>
      </c>
      <c r="AC1108" t="str">
        <f t="shared" si="301"/>
        <v xml:space="preserve">    12.2 </v>
      </c>
      <c r="AD1108" t="str">
        <f t="shared" si="302"/>
        <v xml:space="preserve"> 1.000F </v>
      </c>
      <c r="AE1108" t="str">
        <f t="shared" si="308"/>
        <v xml:space="preserve">       </v>
      </c>
      <c r="AF1108" t="str">
        <f t="shared" si="304"/>
        <v xml:space="preserve"> 002 </v>
      </c>
      <c r="AG1108" t="str">
        <f t="shared" si="304"/>
        <v xml:space="preserve">     0.00 </v>
      </c>
      <c r="AH1108" t="str">
        <f t="shared" si="309"/>
        <v xml:space="preserve">    -0.01 </v>
      </c>
      <c r="AI1108" t="str">
        <f t="shared" si="294"/>
        <v xml:space="preserve">       </v>
      </c>
      <c r="AJ1108" t="str">
        <f t="shared" si="295"/>
        <v xml:space="preserve">      </v>
      </c>
    </row>
    <row r="1109" spans="1:36" x14ac:dyDescent="0.25">
      <c r="A1109" t="s">
        <v>14</v>
      </c>
      <c r="P1109" t="str">
        <f t="shared" si="296"/>
        <v xml:space="preserve">  ..............</v>
      </c>
      <c r="Q1109" t="str">
        <f t="shared" si="296"/>
        <v>.........</v>
      </c>
      <c r="R1109" t="str">
        <f t="shared" si="305"/>
        <v>.........</v>
      </c>
      <c r="S1109" t="str">
        <f t="shared" si="297"/>
        <v>.........</v>
      </c>
      <c r="T1109" t="str">
        <f t="shared" si="298"/>
        <v>.........</v>
      </c>
      <c r="U1109" t="str">
        <f t="shared" si="302"/>
        <v>.............</v>
      </c>
      <c r="V1109" t="str">
        <f t="shared" si="306"/>
        <v>.........</v>
      </c>
      <c r="W1109" t="str">
        <f t="shared" si="299"/>
        <v>.........</v>
      </c>
      <c r="X1109" t="str">
        <f t="shared" si="303"/>
        <v>.......</v>
      </c>
      <c r="Y1109" t="str">
        <f t="shared" si="303"/>
        <v>..............</v>
      </c>
      <c r="Z1109" t="str">
        <f t="shared" si="303"/>
        <v>....</v>
      </c>
      <c r="AA1109" t="str">
        <f t="shared" si="307"/>
        <v>.........</v>
      </c>
      <c r="AB1109" t="str">
        <f t="shared" si="300"/>
        <v>.........</v>
      </c>
      <c r="AC1109" t="str">
        <f t="shared" si="301"/>
        <v>.........</v>
      </c>
      <c r="AD1109" t="str">
        <f t="shared" si="302"/>
        <v>........</v>
      </c>
      <c r="AE1109" t="str">
        <f t="shared" si="308"/>
        <v>.......</v>
      </c>
      <c r="AF1109" t="str">
        <f t="shared" si="304"/>
        <v>.....</v>
      </c>
      <c r="AG1109" t="str">
        <f t="shared" si="304"/>
        <v>..........</v>
      </c>
      <c r="AH1109" t="str">
        <f t="shared" si="309"/>
        <v>..........</v>
      </c>
      <c r="AI1109" t="str">
        <f t="shared" si="294"/>
        <v>.......</v>
      </c>
      <c r="AJ1109" t="str">
        <f t="shared" si="295"/>
        <v>.......</v>
      </c>
    </row>
    <row r="1110" spans="1:36" x14ac:dyDescent="0.25">
      <c r="A1110" t="s">
        <v>860</v>
      </c>
      <c r="P1110" t="str">
        <f t="shared" si="296"/>
        <v xml:space="preserve">   9242   69  0 </v>
      </c>
      <c r="Q1110" t="str">
        <f t="shared" si="296"/>
        <v xml:space="preserve">   1.011 </v>
      </c>
      <c r="R1110" t="str">
        <f t="shared" si="305"/>
        <v xml:space="preserve">     3.4 </v>
      </c>
      <c r="S1110" t="str">
        <f t="shared" si="297"/>
        <v xml:space="preserve">     0.0 </v>
      </c>
      <c r="T1110" t="str">
        <f t="shared" si="298"/>
        <v xml:space="preserve">    22.8 </v>
      </c>
      <c r="U1110" t="str">
        <f t="shared" si="302"/>
        <v xml:space="preserve">         0.0 </v>
      </c>
      <c r="V1110" t="str">
        <f t="shared" si="306"/>
        <v xml:space="preserve">     0.0 </v>
      </c>
      <c r="W1110" t="str">
        <f t="shared" si="299"/>
        <v xml:space="preserve">     0.0</v>
      </c>
      <c r="X1110" t="str">
        <f t="shared" si="303"/>
        <v/>
      </c>
      <c r="Y1110" t="str">
        <f t="shared" si="303"/>
        <v/>
      </c>
      <c r="Z1110" t="str">
        <f t="shared" si="303"/>
        <v/>
      </c>
      <c r="AA1110" t="str">
        <f t="shared" si="307"/>
        <v/>
      </c>
      <c r="AB1110" t="str">
        <f t="shared" si="300"/>
        <v/>
      </c>
      <c r="AC1110" t="str">
        <f t="shared" si="301"/>
        <v/>
      </c>
      <c r="AD1110" t="str">
        <f t="shared" si="302"/>
        <v/>
      </c>
      <c r="AE1110" t="str">
        <f t="shared" si="308"/>
        <v/>
      </c>
      <c r="AF1110" t="str">
        <f t="shared" si="304"/>
        <v/>
      </c>
      <c r="AG1110" t="str">
        <f t="shared" si="304"/>
        <v/>
      </c>
      <c r="AH1110" t="str">
        <f t="shared" si="309"/>
        <v/>
      </c>
      <c r="AI1110" t="str">
        <f t="shared" si="294"/>
        <v/>
      </c>
      <c r="AJ1110" t="str">
        <f t="shared" si="295"/>
        <v/>
      </c>
    </row>
    <row r="1111" spans="1:36" x14ac:dyDescent="0.25">
      <c r="A1111" t="s">
        <v>861</v>
      </c>
      <c r="P1111" t="str">
        <f t="shared" si="296"/>
        <v xml:space="preserve">  PMEDIC-RS069  </v>
      </c>
      <c r="Q1111" t="str">
        <f t="shared" si="296"/>
        <v xml:space="preserve">   -53.5 </v>
      </c>
      <c r="R1111" t="str">
        <f t="shared" si="305"/>
        <v xml:space="preserve">     0.0 </v>
      </c>
      <c r="S1111" t="str">
        <f t="shared" si="297"/>
        <v xml:space="preserve">     0.0 </v>
      </c>
      <c r="T1111" t="str">
        <f t="shared" si="298"/>
        <v xml:space="preserve">     9.7 </v>
      </c>
      <c r="U1111" t="str">
        <f t="shared" si="302"/>
        <v xml:space="preserve">         0.0 </v>
      </c>
      <c r="V1111" t="str">
        <f t="shared" si="306"/>
        <v xml:space="preserve">     0.0 </v>
      </c>
      <c r="W1111" t="str">
        <f t="shared" si="299"/>
        <v xml:space="preserve">     0.0 </v>
      </c>
      <c r="X1111" t="str">
        <f t="shared" si="303"/>
        <v xml:space="preserve">       </v>
      </c>
      <c r="Y1111" t="str">
        <f t="shared" si="303"/>
        <v xml:space="preserve">              </v>
      </c>
      <c r="Z1111" t="str">
        <f t="shared" si="303"/>
        <v xml:space="preserve">    </v>
      </c>
      <c r="AA1111" t="str">
        <f t="shared" si="307"/>
        <v xml:space="preserve">         </v>
      </c>
      <c r="AB1111" t="str">
        <f t="shared" si="300"/>
        <v xml:space="preserve">         </v>
      </c>
      <c r="AC1111" t="str">
        <f t="shared" si="301"/>
        <v xml:space="preserve">    </v>
      </c>
      <c r="AD1111" t="str">
        <f t="shared" si="302"/>
        <v/>
      </c>
      <c r="AE1111" t="str">
        <f t="shared" si="308"/>
        <v/>
      </c>
      <c r="AF1111" t="str">
        <f t="shared" si="304"/>
        <v/>
      </c>
      <c r="AG1111" t="str">
        <f t="shared" si="304"/>
        <v/>
      </c>
      <c r="AH1111" t="str">
        <f t="shared" si="309"/>
        <v/>
      </c>
      <c r="AI1111" t="str">
        <f t="shared" ref="AI1111:AI1174" si="310">MID($A1111,AG$8+AG$9+AH$9-2,AI$9)</f>
        <v/>
      </c>
      <c r="AJ1111" t="str">
        <f t="shared" ref="AJ1111:AJ1174" si="311">MID($A1111,AG$8+AG$9+AH$9+AI$9-3,AJ$9)</f>
        <v/>
      </c>
    </row>
    <row r="1112" spans="1:36" x14ac:dyDescent="0.25">
      <c r="A1112" t="s">
        <v>862</v>
      </c>
      <c r="P1112" t="str">
        <f t="shared" si="296"/>
        <v xml:space="preserve">                </v>
      </c>
      <c r="Q1112" t="str">
        <f t="shared" si="296"/>
        <v xml:space="preserve">         </v>
      </c>
      <c r="R1112" t="str">
        <f t="shared" si="305"/>
        <v xml:space="preserve">    42.0 </v>
      </c>
      <c r="S1112" t="str">
        <f t="shared" si="297"/>
        <v xml:space="preserve">    42.0 </v>
      </c>
      <c r="T1112" t="str">
        <f t="shared" si="298"/>
        <v xml:space="preserve">    42.0 </v>
      </c>
      <c r="U1112" t="str">
        <f t="shared" si="302"/>
        <v xml:space="preserve">       51.1% </v>
      </c>
      <c r="V1112" t="str">
        <f t="shared" si="306"/>
        <v xml:space="preserve">         </v>
      </c>
      <c r="W1112" t="str">
        <f t="shared" si="299"/>
        <v xml:space="preserve">         </v>
      </c>
      <c r="X1112" t="str">
        <f t="shared" si="303"/>
        <v xml:space="preserve">  1238 </v>
      </c>
      <c r="Y1112" t="str">
        <f t="shared" si="303"/>
        <v xml:space="preserve"> PMEDIC-RS138 </v>
      </c>
      <c r="Z1112" t="str">
        <f t="shared" si="303"/>
        <v xml:space="preserve">  9 </v>
      </c>
      <c r="AA1112" t="str">
        <f t="shared" si="307"/>
        <v xml:space="preserve">   -19.4 </v>
      </c>
      <c r="AB1112" t="str">
        <f t="shared" si="300"/>
        <v xml:space="preserve">    -9.7 </v>
      </c>
      <c r="AC1112" t="str">
        <f t="shared" si="301"/>
        <v xml:space="preserve">    21.5 </v>
      </c>
      <c r="AD1112" t="str">
        <f t="shared" si="302"/>
        <v xml:space="preserve">        </v>
      </c>
      <c r="AE1112" t="str">
        <f t="shared" si="308"/>
        <v xml:space="preserve">       </v>
      </c>
      <c r="AF1112" t="str">
        <f t="shared" si="304"/>
        <v xml:space="preserve"> 004 </v>
      </c>
      <c r="AG1112" t="str">
        <f t="shared" si="304"/>
        <v xml:space="preserve">     0.08 </v>
      </c>
      <c r="AH1112" t="str">
        <f t="shared" si="309"/>
        <v xml:space="preserve">     1.56 </v>
      </c>
      <c r="AI1112" t="str">
        <f t="shared" si="310"/>
        <v xml:space="preserve">       </v>
      </c>
      <c r="AJ1112" t="str">
        <f t="shared" si="311"/>
        <v xml:space="preserve">      </v>
      </c>
    </row>
    <row r="1113" spans="1:36" x14ac:dyDescent="0.25">
      <c r="A1113" t="s">
        <v>14</v>
      </c>
      <c r="P1113" t="str">
        <f t="shared" si="296"/>
        <v xml:space="preserve">  ..............</v>
      </c>
      <c r="Q1113" t="str">
        <f t="shared" si="296"/>
        <v>.........</v>
      </c>
      <c r="R1113" t="str">
        <f t="shared" si="305"/>
        <v>.........</v>
      </c>
      <c r="S1113" t="str">
        <f t="shared" si="297"/>
        <v>.........</v>
      </c>
      <c r="T1113" t="str">
        <f t="shared" si="298"/>
        <v>.........</v>
      </c>
      <c r="U1113" t="str">
        <f t="shared" si="302"/>
        <v>.............</v>
      </c>
      <c r="V1113" t="str">
        <f t="shared" si="306"/>
        <v>.........</v>
      </c>
      <c r="W1113" t="str">
        <f t="shared" si="299"/>
        <v>.........</v>
      </c>
      <c r="X1113" t="str">
        <f t="shared" si="303"/>
        <v>.......</v>
      </c>
      <c r="Y1113" t="str">
        <f t="shared" si="303"/>
        <v>..............</v>
      </c>
      <c r="Z1113" t="str">
        <f t="shared" si="303"/>
        <v>....</v>
      </c>
      <c r="AA1113" t="str">
        <f t="shared" si="307"/>
        <v>.........</v>
      </c>
      <c r="AB1113" t="str">
        <f t="shared" si="300"/>
        <v>.........</v>
      </c>
      <c r="AC1113" t="str">
        <f t="shared" si="301"/>
        <v>.........</v>
      </c>
      <c r="AD1113" t="str">
        <f t="shared" si="302"/>
        <v>........</v>
      </c>
      <c r="AE1113" t="str">
        <f t="shared" si="308"/>
        <v>.......</v>
      </c>
      <c r="AF1113" t="str">
        <f t="shared" si="304"/>
        <v>.....</v>
      </c>
      <c r="AG1113" t="str">
        <f t="shared" si="304"/>
        <v>..........</v>
      </c>
      <c r="AH1113" t="str">
        <f t="shared" si="309"/>
        <v>..........</v>
      </c>
      <c r="AI1113" t="str">
        <f t="shared" si="310"/>
        <v>.......</v>
      </c>
      <c r="AJ1113" t="str">
        <f t="shared" si="311"/>
        <v>.......</v>
      </c>
    </row>
    <row r="1114" spans="1:36" x14ac:dyDescent="0.25">
      <c r="A1114" t="s">
        <v>863</v>
      </c>
      <c r="P1114" t="str">
        <f t="shared" si="296"/>
        <v xml:space="preserve">   9243   14  0 </v>
      </c>
      <c r="Q1114" t="str">
        <f t="shared" si="296"/>
        <v xml:space="preserve">   1.051 </v>
      </c>
      <c r="R1114" t="str">
        <f t="shared" si="305"/>
        <v xml:space="preserve">     0.0 </v>
      </c>
      <c r="S1114" t="str">
        <f t="shared" si="297"/>
        <v xml:space="preserve">     0.0 </v>
      </c>
      <c r="T1114" t="str">
        <f t="shared" si="298"/>
        <v xml:space="preserve">    14.9 </v>
      </c>
      <c r="U1114" t="str">
        <f t="shared" si="302"/>
        <v xml:space="preserve">         0.0 </v>
      </c>
      <c r="V1114" t="str">
        <f t="shared" si="306"/>
        <v xml:space="preserve">     0.0 </v>
      </c>
      <c r="W1114" t="str">
        <f t="shared" si="299"/>
        <v xml:space="preserve">     0.0</v>
      </c>
      <c r="X1114" t="str">
        <f t="shared" si="303"/>
        <v/>
      </c>
      <c r="Y1114" t="str">
        <f t="shared" si="303"/>
        <v/>
      </c>
      <c r="Z1114" t="str">
        <f t="shared" si="303"/>
        <v/>
      </c>
      <c r="AA1114" t="str">
        <f t="shared" si="307"/>
        <v/>
      </c>
      <c r="AB1114" t="str">
        <f t="shared" si="300"/>
        <v/>
      </c>
      <c r="AC1114" t="str">
        <f t="shared" si="301"/>
        <v/>
      </c>
      <c r="AD1114" t="str">
        <f t="shared" si="302"/>
        <v/>
      </c>
      <c r="AE1114" t="str">
        <f t="shared" si="308"/>
        <v/>
      </c>
      <c r="AF1114" t="str">
        <f t="shared" si="304"/>
        <v/>
      </c>
      <c r="AG1114" t="str">
        <f t="shared" si="304"/>
        <v/>
      </c>
      <c r="AH1114" t="str">
        <f t="shared" si="309"/>
        <v/>
      </c>
      <c r="AI1114" t="str">
        <f t="shared" si="310"/>
        <v/>
      </c>
      <c r="AJ1114" t="str">
        <f t="shared" si="311"/>
        <v/>
      </c>
    </row>
    <row r="1115" spans="1:36" x14ac:dyDescent="0.25">
      <c r="A1115" t="s">
        <v>864</v>
      </c>
      <c r="P1115" t="str">
        <f t="shared" ref="P1115:Q1178" si="312">MID($A1115,P$8,P$9)</f>
        <v xml:space="preserve">  PALE4A-RS013  </v>
      </c>
      <c r="Q1115" t="str">
        <f t="shared" si="312"/>
        <v xml:space="preserve">   -54.5 </v>
      </c>
      <c r="R1115" t="str">
        <f t="shared" si="305"/>
        <v xml:space="preserve">     0.0 </v>
      </c>
      <c r="S1115" t="str">
        <f t="shared" ref="S1115:S1178" si="313">MID($A1115,Q$8+Q$9+R$9-2,S$9)</f>
        <v xml:space="preserve">     0.0 </v>
      </c>
      <c r="T1115" t="str">
        <f t="shared" ref="T1115:T1178" si="314">MID($A1115,Q$8+Q$9+R$9+S$9-3,T$9)</f>
        <v xml:space="preserve">     3.9 </v>
      </c>
      <c r="U1115" t="str">
        <f t="shared" si="302"/>
        <v xml:space="preserve">         0.0 </v>
      </c>
      <c r="V1115" t="str">
        <f t="shared" si="306"/>
        <v xml:space="preserve">     0.0 </v>
      </c>
      <c r="W1115" t="str">
        <f t="shared" ref="W1115:W1178" si="315">MID($A1115,U$8+U$9+V$9-2,W$9)</f>
        <v xml:space="preserve">     0.0 </v>
      </c>
      <c r="X1115" t="str">
        <f t="shared" si="303"/>
        <v xml:space="preserve">       </v>
      </c>
      <c r="Y1115" t="str">
        <f t="shared" si="303"/>
        <v xml:space="preserve">              </v>
      </c>
      <c r="Z1115" t="str">
        <f t="shared" si="303"/>
        <v xml:space="preserve">    </v>
      </c>
      <c r="AA1115" t="str">
        <f t="shared" si="307"/>
        <v xml:space="preserve">         </v>
      </c>
      <c r="AB1115" t="str">
        <f t="shared" ref="AB1115:AB1178" si="316">MID($A1115,Z$8+Z$9+AA$9-2,AB$9)</f>
        <v xml:space="preserve">         </v>
      </c>
      <c r="AC1115" t="str">
        <f t="shared" ref="AC1115:AC1178" si="317">MID($A1115,Z$8+Z$9+AA$9+AB$9-3,AC$9)</f>
        <v xml:space="preserve">    </v>
      </c>
      <c r="AD1115" t="str">
        <f t="shared" si="302"/>
        <v/>
      </c>
      <c r="AE1115" t="str">
        <f t="shared" si="308"/>
        <v/>
      </c>
      <c r="AF1115" t="str">
        <f t="shared" si="304"/>
        <v/>
      </c>
      <c r="AG1115" t="str">
        <f t="shared" si="304"/>
        <v/>
      </c>
      <c r="AH1115" t="str">
        <f t="shared" si="309"/>
        <v/>
      </c>
      <c r="AI1115" t="str">
        <f t="shared" si="310"/>
        <v/>
      </c>
      <c r="AJ1115" t="str">
        <f t="shared" si="311"/>
        <v/>
      </c>
    </row>
    <row r="1116" spans="1:36" x14ac:dyDescent="0.25">
      <c r="A1116" t="s">
        <v>865</v>
      </c>
      <c r="P1116" t="str">
        <f t="shared" si="312"/>
        <v xml:space="preserve">                </v>
      </c>
      <c r="Q1116" t="str">
        <f t="shared" si="312"/>
        <v xml:space="preserve">         </v>
      </c>
      <c r="R1116" t="str">
        <f t="shared" si="305"/>
        <v xml:space="preserve">    75.0 </v>
      </c>
      <c r="S1116" t="str">
        <f t="shared" si="313"/>
        <v xml:space="preserve">    90.0 </v>
      </c>
      <c r="T1116" t="str">
        <f t="shared" si="314"/>
        <v xml:space="preserve">    90.0 </v>
      </c>
      <c r="U1116" t="str">
        <f t="shared" ref="U1116:AD1179" si="318">MID($A1116,U$8,U$9)</f>
        <v xml:space="preserve">       19.5% </v>
      </c>
      <c r="V1116" t="str">
        <f t="shared" si="306"/>
        <v xml:space="preserve">         </v>
      </c>
      <c r="W1116" t="str">
        <f t="shared" si="315"/>
        <v xml:space="preserve">         </v>
      </c>
      <c r="X1116" t="str">
        <f t="shared" ref="X1116:Z1179" si="319">MID($A1116,X$8,X$9)</f>
        <v xml:space="preserve"> 41315 </v>
      </c>
      <c r="Y1116" t="str">
        <f t="shared" si="319"/>
        <v xml:space="preserve"> PAL4-A-RS000 </v>
      </c>
      <c r="Z1116" t="str">
        <f t="shared" si="319"/>
        <v xml:space="preserve">  1 </v>
      </c>
      <c r="AA1116" t="str">
        <f t="shared" si="307"/>
        <v xml:space="preserve">   -14.9 </v>
      </c>
      <c r="AB1116" t="str">
        <f t="shared" si="316"/>
        <v xml:space="preserve">    -3.9 </v>
      </c>
      <c r="AC1116" t="str">
        <f t="shared" si="317"/>
        <v xml:space="preserve">    14.7 </v>
      </c>
      <c r="AD1116" t="str">
        <f t="shared" si="318"/>
        <v xml:space="preserve"> 1.000F </v>
      </c>
      <c r="AE1116" t="str">
        <f t="shared" si="308"/>
        <v xml:space="preserve">       </v>
      </c>
      <c r="AF1116" t="str">
        <f t="shared" si="304"/>
        <v xml:space="preserve"> 002 </v>
      </c>
      <c r="AG1116" t="str">
        <f t="shared" si="304"/>
        <v xml:space="preserve">     0.00 </v>
      </c>
      <c r="AH1116" t="str">
        <f t="shared" si="309"/>
        <v xml:space="preserve">    -0.01 </v>
      </c>
      <c r="AI1116" t="str">
        <f t="shared" si="310"/>
        <v xml:space="preserve">       </v>
      </c>
      <c r="AJ1116" t="str">
        <f t="shared" si="311"/>
        <v xml:space="preserve">      </v>
      </c>
    </row>
    <row r="1117" spans="1:36" x14ac:dyDescent="0.25">
      <c r="A1117" t="s">
        <v>14</v>
      </c>
      <c r="P1117" t="str">
        <f t="shared" si="312"/>
        <v xml:space="preserve">  ..............</v>
      </c>
      <c r="Q1117" t="str">
        <f t="shared" si="312"/>
        <v>.........</v>
      </c>
      <c r="R1117" t="str">
        <f t="shared" si="305"/>
        <v>.........</v>
      </c>
      <c r="S1117" t="str">
        <f t="shared" si="313"/>
        <v>.........</v>
      </c>
      <c r="T1117" t="str">
        <f t="shared" si="314"/>
        <v>.........</v>
      </c>
      <c r="U1117" t="str">
        <f t="shared" si="318"/>
        <v>.............</v>
      </c>
      <c r="V1117" t="str">
        <f t="shared" si="306"/>
        <v>.........</v>
      </c>
      <c r="W1117" t="str">
        <f t="shared" si="315"/>
        <v>.........</v>
      </c>
      <c r="X1117" t="str">
        <f t="shared" si="319"/>
        <v>.......</v>
      </c>
      <c r="Y1117" t="str">
        <f t="shared" si="319"/>
        <v>..............</v>
      </c>
      <c r="Z1117" t="str">
        <f t="shared" si="319"/>
        <v>....</v>
      </c>
      <c r="AA1117" t="str">
        <f t="shared" si="307"/>
        <v>.........</v>
      </c>
      <c r="AB1117" t="str">
        <f t="shared" si="316"/>
        <v>.........</v>
      </c>
      <c r="AC1117" t="str">
        <f t="shared" si="317"/>
        <v>.........</v>
      </c>
      <c r="AD1117" t="str">
        <f t="shared" si="318"/>
        <v>........</v>
      </c>
      <c r="AE1117" t="str">
        <f t="shared" si="308"/>
        <v>.......</v>
      </c>
      <c r="AF1117" t="str">
        <f t="shared" ref="AF1117:AG1180" si="320">MID($A1117,AF$8,AF$9)</f>
        <v>.....</v>
      </c>
      <c r="AG1117" t="str">
        <f t="shared" si="320"/>
        <v>..........</v>
      </c>
      <c r="AH1117" t="str">
        <f t="shared" si="309"/>
        <v>..........</v>
      </c>
      <c r="AI1117" t="str">
        <f t="shared" si="310"/>
        <v>.......</v>
      </c>
      <c r="AJ1117" t="str">
        <f t="shared" si="311"/>
        <v>.......</v>
      </c>
    </row>
    <row r="1118" spans="1:36" x14ac:dyDescent="0.25">
      <c r="A1118" t="s">
        <v>866</v>
      </c>
      <c r="P1118" t="str">
        <f t="shared" si="312"/>
        <v xml:space="preserve">   9244   14  0 </v>
      </c>
      <c r="Q1118" t="str">
        <f t="shared" si="312"/>
        <v xml:space="preserve">   1.058 </v>
      </c>
      <c r="R1118" t="str">
        <f t="shared" si="305"/>
        <v xml:space="preserve">     0.8 </v>
      </c>
      <c r="S1118" t="str">
        <f t="shared" si="313"/>
        <v xml:space="preserve">     0.0 </v>
      </c>
      <c r="T1118" t="str">
        <f t="shared" si="314"/>
        <v xml:space="preserve">    13.1 </v>
      </c>
      <c r="U1118" t="str">
        <f t="shared" si="318"/>
        <v xml:space="preserve">         0.0 </v>
      </c>
      <c r="V1118" t="str">
        <f t="shared" si="306"/>
        <v xml:space="preserve">     8.1 </v>
      </c>
      <c r="W1118" t="str">
        <f t="shared" si="315"/>
        <v xml:space="preserve">     0.0</v>
      </c>
      <c r="X1118" t="str">
        <f t="shared" si="319"/>
        <v/>
      </c>
      <c r="Y1118" t="str">
        <f t="shared" si="319"/>
        <v/>
      </c>
      <c r="Z1118" t="str">
        <f t="shared" si="319"/>
        <v/>
      </c>
      <c r="AA1118" t="str">
        <f t="shared" si="307"/>
        <v/>
      </c>
      <c r="AB1118" t="str">
        <f t="shared" si="316"/>
        <v/>
      </c>
      <c r="AC1118" t="str">
        <f t="shared" si="317"/>
        <v/>
      </c>
      <c r="AD1118" t="str">
        <f t="shared" si="318"/>
        <v/>
      </c>
      <c r="AE1118" t="str">
        <f t="shared" si="308"/>
        <v/>
      </c>
      <c r="AF1118" t="str">
        <f t="shared" si="320"/>
        <v/>
      </c>
      <c r="AG1118" t="str">
        <f t="shared" si="320"/>
        <v/>
      </c>
      <c r="AH1118" t="str">
        <f t="shared" si="309"/>
        <v/>
      </c>
      <c r="AI1118" t="str">
        <f t="shared" si="310"/>
        <v/>
      </c>
      <c r="AJ1118" t="str">
        <f t="shared" si="311"/>
        <v/>
      </c>
    </row>
    <row r="1119" spans="1:36" x14ac:dyDescent="0.25">
      <c r="A1119" t="s">
        <v>867</v>
      </c>
      <c r="P1119" t="str">
        <f t="shared" si="312"/>
        <v xml:space="preserve">  PALEG6-RS013  </v>
      </c>
      <c r="Q1119" t="str">
        <f t="shared" si="312"/>
        <v xml:space="preserve">   -54.0 </v>
      </c>
      <c r="R1119" t="str">
        <f t="shared" si="305"/>
        <v xml:space="preserve">     0.0 </v>
      </c>
      <c r="S1119" t="str">
        <f t="shared" si="313"/>
        <v xml:space="preserve">     0.0 </v>
      </c>
      <c r="T1119" t="str">
        <f t="shared" si="314"/>
        <v xml:space="preserve">     3.7 </v>
      </c>
      <c r="U1119" t="str">
        <f t="shared" si="318"/>
        <v xml:space="preserve">         0.0 </v>
      </c>
      <c r="V1119" t="str">
        <f t="shared" si="306"/>
        <v xml:space="preserve">     0.0 </v>
      </c>
      <c r="W1119" t="str">
        <f t="shared" si="315"/>
        <v xml:space="preserve">     0.0 </v>
      </c>
      <c r="X1119" t="str">
        <f t="shared" si="319"/>
        <v xml:space="preserve">       </v>
      </c>
      <c r="Y1119" t="str">
        <f t="shared" si="319"/>
        <v xml:space="preserve">              </v>
      </c>
      <c r="Z1119" t="str">
        <f t="shared" si="319"/>
        <v xml:space="preserve">    </v>
      </c>
      <c r="AA1119" t="str">
        <f t="shared" si="307"/>
        <v xml:space="preserve">         </v>
      </c>
      <c r="AB1119" t="str">
        <f t="shared" si="316"/>
        <v xml:space="preserve">         </v>
      </c>
      <c r="AC1119" t="str">
        <f t="shared" si="317"/>
        <v xml:space="preserve">    </v>
      </c>
      <c r="AD1119" t="str">
        <f t="shared" si="318"/>
        <v/>
      </c>
      <c r="AE1119" t="str">
        <f t="shared" si="308"/>
        <v/>
      </c>
      <c r="AF1119" t="str">
        <f t="shared" si="320"/>
        <v/>
      </c>
      <c r="AG1119" t="str">
        <f t="shared" si="320"/>
        <v/>
      </c>
      <c r="AH1119" t="str">
        <f t="shared" si="309"/>
        <v/>
      </c>
      <c r="AI1119" t="str">
        <f t="shared" si="310"/>
        <v/>
      </c>
      <c r="AJ1119" t="str">
        <f t="shared" si="311"/>
        <v/>
      </c>
    </row>
    <row r="1120" spans="1:36" x14ac:dyDescent="0.25">
      <c r="A1120" t="s">
        <v>868</v>
      </c>
      <c r="P1120" t="str">
        <f t="shared" si="312"/>
        <v xml:space="preserve">                </v>
      </c>
      <c r="Q1120" t="str">
        <f t="shared" si="312"/>
        <v xml:space="preserve">         </v>
      </c>
      <c r="R1120" t="str">
        <f t="shared" si="305"/>
        <v xml:space="preserve">    75.0 </v>
      </c>
      <c r="S1120" t="str">
        <f t="shared" si="313"/>
        <v xml:space="preserve">    90.0 </v>
      </c>
      <c r="T1120" t="str">
        <f t="shared" si="314"/>
        <v xml:space="preserve">    90.0 </v>
      </c>
      <c r="U1120" t="str">
        <f t="shared" si="318"/>
        <v xml:space="preserve">       16.4% </v>
      </c>
      <c r="V1120" t="str">
        <f t="shared" si="306"/>
        <v xml:space="preserve">         </v>
      </c>
      <c r="W1120" t="str">
        <f t="shared" si="315"/>
        <v xml:space="preserve">         </v>
      </c>
      <c r="X1120" t="str">
        <f t="shared" si="319"/>
        <v xml:space="preserve"> 41318 </v>
      </c>
      <c r="Y1120" t="str">
        <f t="shared" si="319"/>
        <v xml:space="preserve"> PAL6-6-RS000 </v>
      </c>
      <c r="Z1120" t="str">
        <f t="shared" si="319"/>
        <v xml:space="preserve">  6 </v>
      </c>
      <c r="AA1120" t="str">
        <f t="shared" si="307"/>
        <v xml:space="preserve">   -12.3 </v>
      </c>
      <c r="AB1120" t="str">
        <f t="shared" si="316"/>
        <v xml:space="preserve">     4.4 </v>
      </c>
      <c r="AC1120" t="str">
        <f t="shared" si="317"/>
        <v xml:space="preserve">    12.3 </v>
      </c>
      <c r="AD1120" t="str">
        <f t="shared" si="318"/>
        <v xml:space="preserve"> 1.000F </v>
      </c>
      <c r="AE1120" t="str">
        <f t="shared" si="308"/>
        <v xml:space="preserve">       </v>
      </c>
      <c r="AF1120" t="str">
        <f t="shared" si="320"/>
        <v xml:space="preserve"> 002 </v>
      </c>
      <c r="AG1120" t="str">
        <f t="shared" si="320"/>
        <v xml:space="preserve">     0.00 </v>
      </c>
      <c r="AH1120" t="str">
        <f t="shared" si="309"/>
        <v xml:space="preserve">    -0.01 </v>
      </c>
      <c r="AI1120" t="str">
        <f t="shared" si="310"/>
        <v xml:space="preserve">       </v>
      </c>
      <c r="AJ1120" t="str">
        <f t="shared" si="311"/>
        <v xml:space="preserve">      </v>
      </c>
    </row>
    <row r="1121" spans="1:36" x14ac:dyDescent="0.25">
      <c r="A1121" t="s">
        <v>14</v>
      </c>
      <c r="P1121" t="str">
        <f t="shared" si="312"/>
        <v xml:space="preserve">  ..............</v>
      </c>
      <c r="Q1121" t="str">
        <f t="shared" si="312"/>
        <v>.........</v>
      </c>
      <c r="R1121" t="str">
        <f t="shared" si="305"/>
        <v>.........</v>
      </c>
      <c r="S1121" t="str">
        <f t="shared" si="313"/>
        <v>.........</v>
      </c>
      <c r="T1121" t="str">
        <f t="shared" si="314"/>
        <v>.........</v>
      </c>
      <c r="U1121" t="str">
        <f t="shared" si="318"/>
        <v>.............</v>
      </c>
      <c r="V1121" t="str">
        <f t="shared" si="306"/>
        <v>.........</v>
      </c>
      <c r="W1121" t="str">
        <f t="shared" si="315"/>
        <v>.........</v>
      </c>
      <c r="X1121" t="str">
        <f t="shared" si="319"/>
        <v>.......</v>
      </c>
      <c r="Y1121" t="str">
        <f t="shared" si="319"/>
        <v>..............</v>
      </c>
      <c r="Z1121" t="str">
        <f t="shared" si="319"/>
        <v>....</v>
      </c>
      <c r="AA1121" t="str">
        <f t="shared" si="307"/>
        <v>.........</v>
      </c>
      <c r="AB1121" t="str">
        <f t="shared" si="316"/>
        <v>.........</v>
      </c>
      <c r="AC1121" t="str">
        <f t="shared" si="317"/>
        <v>.........</v>
      </c>
      <c r="AD1121" t="str">
        <f t="shared" si="318"/>
        <v>........</v>
      </c>
      <c r="AE1121" t="str">
        <f t="shared" si="308"/>
        <v>.......</v>
      </c>
      <c r="AF1121" t="str">
        <f t="shared" si="320"/>
        <v>.....</v>
      </c>
      <c r="AG1121" t="str">
        <f t="shared" si="320"/>
        <v>..........</v>
      </c>
      <c r="AH1121" t="str">
        <f t="shared" si="309"/>
        <v>..........</v>
      </c>
      <c r="AI1121" t="str">
        <f t="shared" si="310"/>
        <v>.......</v>
      </c>
      <c r="AJ1121" t="str">
        <f t="shared" si="311"/>
        <v>.......</v>
      </c>
    </row>
    <row r="1122" spans="1:36" x14ac:dyDescent="0.25">
      <c r="A1122" t="s">
        <v>869</v>
      </c>
      <c r="P1122" t="str">
        <f t="shared" si="312"/>
        <v xml:space="preserve">   9245   14  0 </v>
      </c>
      <c r="Q1122" t="str">
        <f t="shared" si="312"/>
        <v xml:space="preserve">   1.040 </v>
      </c>
      <c r="R1122" t="str">
        <f t="shared" si="305"/>
        <v xml:space="preserve">     0.1 </v>
      </c>
      <c r="S1122" t="str">
        <f t="shared" si="313"/>
        <v xml:space="preserve">     0.0 </v>
      </c>
      <c r="T1122" t="str">
        <f t="shared" si="314"/>
        <v xml:space="preserve">    10.3 </v>
      </c>
      <c r="U1122" t="str">
        <f t="shared" si="318"/>
        <v xml:space="preserve">         0.0 </v>
      </c>
      <c r="V1122" t="str">
        <f t="shared" si="306"/>
        <v xml:space="preserve">     3.9 </v>
      </c>
      <c r="W1122" t="str">
        <f t="shared" si="315"/>
        <v xml:space="preserve">     0.0</v>
      </c>
      <c r="X1122" t="str">
        <f t="shared" si="319"/>
        <v/>
      </c>
      <c r="Y1122" t="str">
        <f t="shared" si="319"/>
        <v/>
      </c>
      <c r="Z1122" t="str">
        <f t="shared" si="319"/>
        <v/>
      </c>
      <c r="AA1122" t="str">
        <f t="shared" si="307"/>
        <v/>
      </c>
      <c r="AB1122" t="str">
        <f t="shared" si="316"/>
        <v/>
      </c>
      <c r="AC1122" t="str">
        <f t="shared" si="317"/>
        <v/>
      </c>
      <c r="AD1122" t="str">
        <f t="shared" si="318"/>
        <v/>
      </c>
      <c r="AE1122" t="str">
        <f t="shared" si="308"/>
        <v/>
      </c>
      <c r="AF1122" t="str">
        <f t="shared" si="320"/>
        <v/>
      </c>
      <c r="AG1122" t="str">
        <f t="shared" si="320"/>
        <v/>
      </c>
      <c r="AH1122" t="str">
        <f t="shared" si="309"/>
        <v/>
      </c>
      <c r="AI1122" t="str">
        <f t="shared" si="310"/>
        <v/>
      </c>
      <c r="AJ1122" t="str">
        <f t="shared" si="311"/>
        <v/>
      </c>
    </row>
    <row r="1123" spans="1:36" x14ac:dyDescent="0.25">
      <c r="A1123" t="s">
        <v>870</v>
      </c>
      <c r="P1123" t="str">
        <f t="shared" si="312"/>
        <v xml:space="preserve">  PALE10-RS013  </v>
      </c>
      <c r="Q1123" t="str">
        <f t="shared" si="312"/>
        <v xml:space="preserve">   -53.2 </v>
      </c>
      <c r="R1123" t="str">
        <f t="shared" si="305"/>
        <v xml:space="preserve">     0.0 </v>
      </c>
      <c r="S1123" t="str">
        <f t="shared" si="313"/>
        <v xml:space="preserve">     0.0 </v>
      </c>
      <c r="T1123" t="str">
        <f t="shared" si="314"/>
        <v xml:space="preserve">     2.9 </v>
      </c>
      <c r="U1123" t="str">
        <f t="shared" si="318"/>
        <v xml:space="preserve">         0.0 </v>
      </c>
      <c r="V1123" t="str">
        <f t="shared" si="306"/>
        <v xml:space="preserve">     0.0 </v>
      </c>
      <c r="W1123" t="str">
        <f t="shared" si="315"/>
        <v xml:space="preserve">     0.0 </v>
      </c>
      <c r="X1123" t="str">
        <f t="shared" si="319"/>
        <v xml:space="preserve">       </v>
      </c>
      <c r="Y1123" t="str">
        <f t="shared" si="319"/>
        <v xml:space="preserve">              </v>
      </c>
      <c r="Z1123" t="str">
        <f t="shared" si="319"/>
        <v xml:space="preserve">    </v>
      </c>
      <c r="AA1123" t="str">
        <f t="shared" si="307"/>
        <v xml:space="preserve">         </v>
      </c>
      <c r="AB1123" t="str">
        <f t="shared" si="316"/>
        <v xml:space="preserve">         </v>
      </c>
      <c r="AC1123" t="str">
        <f t="shared" si="317"/>
        <v xml:space="preserve">    </v>
      </c>
      <c r="AD1123" t="str">
        <f t="shared" si="318"/>
        <v/>
      </c>
      <c r="AE1123" t="str">
        <f t="shared" si="308"/>
        <v/>
      </c>
      <c r="AF1123" t="str">
        <f t="shared" si="320"/>
        <v/>
      </c>
      <c r="AG1123" t="str">
        <f t="shared" si="320"/>
        <v/>
      </c>
      <c r="AH1123" t="str">
        <f t="shared" si="309"/>
        <v/>
      </c>
      <c r="AI1123" t="str">
        <f t="shared" si="310"/>
        <v/>
      </c>
      <c r="AJ1123" t="str">
        <f t="shared" si="311"/>
        <v/>
      </c>
    </row>
    <row r="1124" spans="1:36" x14ac:dyDescent="0.25">
      <c r="A1124" t="s">
        <v>871</v>
      </c>
      <c r="P1124" t="str">
        <f t="shared" si="312"/>
        <v xml:space="preserve">                </v>
      </c>
      <c r="Q1124" t="str">
        <f t="shared" si="312"/>
        <v xml:space="preserve">         </v>
      </c>
      <c r="R1124" t="str">
        <f t="shared" si="305"/>
        <v xml:space="preserve">    50.0 </v>
      </c>
      <c r="S1124" t="str">
        <f t="shared" si="313"/>
        <v xml:space="preserve">    75.0 </v>
      </c>
      <c r="T1124" t="str">
        <f t="shared" si="314"/>
        <v xml:space="preserve">    75.0 </v>
      </c>
      <c r="U1124" t="str">
        <f t="shared" si="318"/>
        <v xml:space="preserve">       19.7% </v>
      </c>
      <c r="V1124" t="str">
        <f t="shared" si="306"/>
        <v xml:space="preserve">         </v>
      </c>
      <c r="W1124" t="str">
        <f t="shared" si="315"/>
        <v xml:space="preserve">         </v>
      </c>
      <c r="X1124" t="str">
        <f t="shared" si="319"/>
        <v xml:space="preserve"> 41309 </v>
      </c>
      <c r="Y1124" t="str">
        <f t="shared" si="319"/>
        <v xml:space="preserve"> PA10-3-RS000 </v>
      </c>
      <c r="Z1124" t="str">
        <f t="shared" si="319"/>
        <v xml:space="preserve">  3 </v>
      </c>
      <c r="AA1124" t="str">
        <f t="shared" si="307"/>
        <v xml:space="preserve">   -10.2 </v>
      </c>
      <c r="AB1124" t="str">
        <f t="shared" si="316"/>
        <v xml:space="preserve">     1.0 </v>
      </c>
      <c r="AC1124" t="str">
        <f t="shared" si="317"/>
        <v xml:space="preserve">     9.9 </v>
      </c>
      <c r="AD1124" t="str">
        <f t="shared" si="318"/>
        <v xml:space="preserve"> 1.000F </v>
      </c>
      <c r="AE1124" t="str">
        <f t="shared" si="308"/>
        <v xml:space="preserve">       </v>
      </c>
      <c r="AF1124" t="str">
        <f t="shared" si="320"/>
        <v xml:space="preserve"> 002 </v>
      </c>
      <c r="AG1124" t="str">
        <f t="shared" si="320"/>
        <v xml:space="preserve">     0.00 </v>
      </c>
      <c r="AH1124" t="str">
        <f t="shared" si="309"/>
        <v xml:space="preserve">    -0.02 </v>
      </c>
      <c r="AI1124" t="str">
        <f t="shared" si="310"/>
        <v xml:space="preserve">       </v>
      </c>
      <c r="AJ1124" t="str">
        <f t="shared" si="311"/>
        <v xml:space="preserve">      </v>
      </c>
    </row>
    <row r="1125" spans="1:36" x14ac:dyDescent="0.25">
      <c r="A1125" t="s">
        <v>14</v>
      </c>
      <c r="P1125" t="str">
        <f t="shared" si="312"/>
        <v xml:space="preserve">  ..............</v>
      </c>
      <c r="Q1125" t="str">
        <f t="shared" si="312"/>
        <v>.........</v>
      </c>
      <c r="R1125" t="str">
        <f t="shared" si="305"/>
        <v>.........</v>
      </c>
      <c r="S1125" t="str">
        <f t="shared" si="313"/>
        <v>.........</v>
      </c>
      <c r="T1125" t="str">
        <f t="shared" si="314"/>
        <v>.........</v>
      </c>
      <c r="U1125" t="str">
        <f t="shared" si="318"/>
        <v>.............</v>
      </c>
      <c r="V1125" t="str">
        <f t="shared" si="306"/>
        <v>.........</v>
      </c>
      <c r="W1125" t="str">
        <f t="shared" si="315"/>
        <v>.........</v>
      </c>
      <c r="X1125" t="str">
        <f t="shared" si="319"/>
        <v>.......</v>
      </c>
      <c r="Y1125" t="str">
        <f t="shared" si="319"/>
        <v>..............</v>
      </c>
      <c r="Z1125" t="str">
        <f t="shared" si="319"/>
        <v>....</v>
      </c>
      <c r="AA1125" t="str">
        <f t="shared" si="307"/>
        <v>.........</v>
      </c>
      <c r="AB1125" t="str">
        <f t="shared" si="316"/>
        <v>.........</v>
      </c>
      <c r="AC1125" t="str">
        <f t="shared" si="317"/>
        <v>.........</v>
      </c>
      <c r="AD1125" t="str">
        <f t="shared" si="318"/>
        <v>........</v>
      </c>
      <c r="AE1125" t="str">
        <f t="shared" si="308"/>
        <v>.......</v>
      </c>
      <c r="AF1125" t="str">
        <f t="shared" si="320"/>
        <v>.....</v>
      </c>
      <c r="AG1125" t="str">
        <f t="shared" si="320"/>
        <v>..........</v>
      </c>
      <c r="AH1125" t="str">
        <f t="shared" si="309"/>
        <v>..........</v>
      </c>
      <c r="AI1125" t="str">
        <f t="shared" si="310"/>
        <v>.......</v>
      </c>
      <c r="AJ1125" t="str">
        <f t="shared" si="311"/>
        <v>.......</v>
      </c>
    </row>
    <row r="1126" spans="1:36" x14ac:dyDescent="0.25">
      <c r="A1126" t="s">
        <v>872</v>
      </c>
      <c r="P1126" t="str">
        <f t="shared" si="312"/>
        <v xml:space="preserve">   9247   69  0 </v>
      </c>
      <c r="Q1126" t="str">
        <f t="shared" si="312"/>
        <v xml:space="preserve">   1.016 </v>
      </c>
      <c r="R1126" t="str">
        <f t="shared" si="305"/>
        <v xml:space="preserve">     3.1 </v>
      </c>
      <c r="S1126" t="str">
        <f t="shared" si="313"/>
        <v xml:space="preserve">     0.0 </v>
      </c>
      <c r="T1126" t="str">
        <f t="shared" si="314"/>
        <v xml:space="preserve">    66.0 </v>
      </c>
      <c r="U1126" t="str">
        <f t="shared" si="318"/>
        <v xml:space="preserve">         0.0 </v>
      </c>
      <c r="V1126" t="str">
        <f t="shared" si="306"/>
        <v xml:space="preserve">    14.9 </v>
      </c>
      <c r="W1126" t="str">
        <f t="shared" si="315"/>
        <v xml:space="preserve">     0.0</v>
      </c>
      <c r="X1126" t="str">
        <f t="shared" si="319"/>
        <v/>
      </c>
      <c r="Y1126" t="str">
        <f t="shared" si="319"/>
        <v/>
      </c>
      <c r="Z1126" t="str">
        <f t="shared" si="319"/>
        <v/>
      </c>
      <c r="AA1126" t="str">
        <f t="shared" si="307"/>
        <v/>
      </c>
      <c r="AB1126" t="str">
        <f t="shared" si="316"/>
        <v/>
      </c>
      <c r="AC1126" t="str">
        <f t="shared" si="317"/>
        <v/>
      </c>
      <c r="AD1126" t="str">
        <f t="shared" si="318"/>
        <v/>
      </c>
      <c r="AE1126" t="str">
        <f t="shared" si="308"/>
        <v/>
      </c>
      <c r="AF1126" t="str">
        <f t="shared" si="320"/>
        <v/>
      </c>
      <c r="AG1126" t="str">
        <f t="shared" si="320"/>
        <v/>
      </c>
      <c r="AH1126" t="str">
        <f t="shared" si="309"/>
        <v/>
      </c>
      <c r="AI1126" t="str">
        <f t="shared" si="310"/>
        <v/>
      </c>
      <c r="AJ1126" t="str">
        <f t="shared" si="311"/>
        <v/>
      </c>
    </row>
    <row r="1127" spans="1:36" x14ac:dyDescent="0.25">
      <c r="A1127" t="s">
        <v>873</v>
      </c>
      <c r="P1127" t="str">
        <f t="shared" si="312"/>
        <v xml:space="preserve">  PAL12--RS069  </v>
      </c>
      <c r="Q1127" t="str">
        <f t="shared" si="312"/>
        <v xml:space="preserve">   -54.9 </v>
      </c>
      <c r="R1127" t="str">
        <f t="shared" si="305"/>
        <v xml:space="preserve">     0.0 </v>
      </c>
      <c r="S1127" t="str">
        <f t="shared" si="313"/>
        <v xml:space="preserve">     0.0 </v>
      </c>
      <c r="T1127" t="str">
        <f t="shared" si="314"/>
        <v xml:space="preserve">    19.6 </v>
      </c>
      <c r="U1127" t="str">
        <f t="shared" si="318"/>
        <v xml:space="preserve">         0.0 </v>
      </c>
      <c r="V1127" t="str">
        <f t="shared" si="306"/>
        <v xml:space="preserve">     0.0 </v>
      </c>
      <c r="W1127" t="str">
        <f t="shared" si="315"/>
        <v xml:space="preserve">     0.0 </v>
      </c>
      <c r="X1127" t="str">
        <f t="shared" si="319"/>
        <v xml:space="preserve">       </v>
      </c>
      <c r="Y1127" t="str">
        <f t="shared" si="319"/>
        <v xml:space="preserve">              </v>
      </c>
      <c r="Z1127" t="str">
        <f t="shared" si="319"/>
        <v xml:space="preserve">    </v>
      </c>
      <c r="AA1127" t="str">
        <f t="shared" si="307"/>
        <v xml:space="preserve">         </v>
      </c>
      <c r="AB1127" t="str">
        <f t="shared" si="316"/>
        <v xml:space="preserve">         </v>
      </c>
      <c r="AC1127" t="str">
        <f t="shared" si="317"/>
        <v xml:space="preserve">    </v>
      </c>
      <c r="AD1127" t="str">
        <f t="shared" si="318"/>
        <v/>
      </c>
      <c r="AE1127" t="str">
        <f t="shared" si="308"/>
        <v/>
      </c>
      <c r="AF1127" t="str">
        <f t="shared" si="320"/>
        <v/>
      </c>
      <c r="AG1127" t="str">
        <f t="shared" si="320"/>
        <v/>
      </c>
      <c r="AH1127" t="str">
        <f t="shared" si="309"/>
        <v/>
      </c>
      <c r="AI1127" t="str">
        <f t="shared" si="310"/>
        <v/>
      </c>
      <c r="AJ1127" t="str">
        <f t="shared" si="311"/>
        <v/>
      </c>
    </row>
    <row r="1128" spans="1:36" x14ac:dyDescent="0.25">
      <c r="A1128" t="s">
        <v>874</v>
      </c>
      <c r="P1128" t="str">
        <f t="shared" si="312"/>
        <v xml:space="preserve">                </v>
      </c>
      <c r="Q1128" t="str">
        <f t="shared" si="312"/>
        <v xml:space="preserve">         </v>
      </c>
      <c r="R1128" t="str">
        <f t="shared" si="305"/>
        <v xml:space="preserve">    84.0 </v>
      </c>
      <c r="S1128" t="str">
        <f t="shared" si="313"/>
        <v xml:space="preserve">   101.0 </v>
      </c>
      <c r="T1128" t="str">
        <f t="shared" si="314"/>
        <v xml:space="preserve">   101.0 </v>
      </c>
      <c r="U1128" t="str">
        <f t="shared" si="318"/>
        <v xml:space="preserve">       73.9% </v>
      </c>
      <c r="V1128" t="str">
        <f t="shared" si="306"/>
        <v xml:space="preserve">         </v>
      </c>
      <c r="W1128" t="str">
        <f t="shared" si="315"/>
        <v xml:space="preserve">         </v>
      </c>
      <c r="X1128" t="str">
        <f t="shared" si="319"/>
        <v xml:space="preserve"> 10007 </v>
      </c>
      <c r="Y1128" t="str">
        <f t="shared" si="319"/>
        <v xml:space="preserve"> JBOTAN-RS069 </v>
      </c>
      <c r="Z1128" t="str">
        <f t="shared" si="319"/>
        <v xml:space="preserve">  1 </v>
      </c>
      <c r="AA1128" t="str">
        <f t="shared" si="307"/>
        <v xml:space="preserve">   -62.9 </v>
      </c>
      <c r="AB1128" t="str">
        <f t="shared" si="316"/>
        <v xml:space="preserve">    -4.7 </v>
      </c>
      <c r="AC1128" t="str">
        <f t="shared" si="317"/>
        <v xml:space="preserve">    62.1 </v>
      </c>
      <c r="AD1128" t="str">
        <f t="shared" si="318"/>
        <v xml:space="preserve">        </v>
      </c>
      <c r="AE1128" t="str">
        <f t="shared" si="308"/>
        <v xml:space="preserve">       </v>
      </c>
      <c r="AF1128" t="str">
        <f t="shared" si="320"/>
        <v xml:space="preserve">     </v>
      </c>
      <c r="AG1128" t="str">
        <f t="shared" si="320"/>
        <v xml:space="preserve">     0.00 </v>
      </c>
      <c r="AH1128" t="str">
        <f t="shared" si="309"/>
        <v xml:space="preserve">     0.01 </v>
      </c>
      <c r="AI1128" t="str">
        <f t="shared" si="310"/>
        <v xml:space="preserve">       </v>
      </c>
      <c r="AJ1128" t="str">
        <f t="shared" si="311"/>
        <v xml:space="preserve">      </v>
      </c>
    </row>
    <row r="1129" spans="1:36" x14ac:dyDescent="0.25">
      <c r="A1129" t="s">
        <v>14</v>
      </c>
      <c r="P1129" t="str">
        <f t="shared" si="312"/>
        <v xml:space="preserve">  ..............</v>
      </c>
      <c r="Q1129" t="str">
        <f t="shared" si="312"/>
        <v>.........</v>
      </c>
      <c r="R1129" t="str">
        <f t="shared" si="305"/>
        <v>.........</v>
      </c>
      <c r="S1129" t="str">
        <f t="shared" si="313"/>
        <v>.........</v>
      </c>
      <c r="T1129" t="str">
        <f t="shared" si="314"/>
        <v>.........</v>
      </c>
      <c r="U1129" t="str">
        <f t="shared" si="318"/>
        <v>.............</v>
      </c>
      <c r="V1129" t="str">
        <f t="shared" si="306"/>
        <v>.........</v>
      </c>
      <c r="W1129" t="str">
        <f t="shared" si="315"/>
        <v>.........</v>
      </c>
      <c r="X1129" t="str">
        <f t="shared" si="319"/>
        <v>.......</v>
      </c>
      <c r="Y1129" t="str">
        <f t="shared" si="319"/>
        <v>..............</v>
      </c>
      <c r="Z1129" t="str">
        <f t="shared" si="319"/>
        <v>....</v>
      </c>
      <c r="AA1129" t="str">
        <f t="shared" si="307"/>
        <v>.........</v>
      </c>
      <c r="AB1129" t="str">
        <f t="shared" si="316"/>
        <v>.........</v>
      </c>
      <c r="AC1129" t="str">
        <f t="shared" si="317"/>
        <v>.........</v>
      </c>
      <c r="AD1129" t="str">
        <f t="shared" si="318"/>
        <v>........</v>
      </c>
      <c r="AE1129" t="str">
        <f t="shared" si="308"/>
        <v>.......</v>
      </c>
      <c r="AF1129" t="str">
        <f t="shared" si="320"/>
        <v>.....</v>
      </c>
      <c r="AG1129" t="str">
        <f t="shared" si="320"/>
        <v>..........</v>
      </c>
      <c r="AH1129" t="str">
        <f t="shared" si="309"/>
        <v>..........</v>
      </c>
      <c r="AI1129" t="str">
        <f t="shared" si="310"/>
        <v>.......</v>
      </c>
      <c r="AJ1129" t="str">
        <f t="shared" si="311"/>
        <v>.......</v>
      </c>
    </row>
    <row r="1130" spans="1:36" x14ac:dyDescent="0.25">
      <c r="A1130" t="s">
        <v>875</v>
      </c>
      <c r="P1130" t="str">
        <f t="shared" si="312"/>
        <v xml:space="preserve">   9248   69  0 </v>
      </c>
      <c r="Q1130" t="str">
        <f t="shared" si="312"/>
        <v xml:space="preserve">   1.016 </v>
      </c>
      <c r="R1130" t="str">
        <f t="shared" si="305"/>
        <v xml:space="preserve">     0.0 </v>
      </c>
      <c r="S1130" t="str">
        <f t="shared" si="313"/>
        <v xml:space="preserve">     0.0 </v>
      </c>
      <c r="T1130" t="str">
        <f t="shared" si="314"/>
        <v xml:space="preserve">     0.0 </v>
      </c>
      <c r="U1130" t="str">
        <f t="shared" si="318"/>
        <v xml:space="preserve">         0.0 </v>
      </c>
      <c r="V1130" t="str">
        <f t="shared" si="306"/>
        <v xml:space="preserve">     0.0 </v>
      </c>
      <c r="W1130" t="str">
        <f t="shared" si="315"/>
        <v xml:space="preserve">     0.0</v>
      </c>
      <c r="X1130" t="str">
        <f t="shared" si="319"/>
        <v/>
      </c>
      <c r="Y1130" t="str">
        <f t="shared" si="319"/>
        <v/>
      </c>
      <c r="Z1130" t="str">
        <f t="shared" si="319"/>
        <v/>
      </c>
      <c r="AA1130" t="str">
        <f t="shared" si="307"/>
        <v/>
      </c>
      <c r="AB1130" t="str">
        <f t="shared" si="316"/>
        <v/>
      </c>
      <c r="AC1130" t="str">
        <f t="shared" si="317"/>
        <v/>
      </c>
      <c r="AD1130" t="str">
        <f t="shared" si="318"/>
        <v/>
      </c>
      <c r="AE1130" t="str">
        <f t="shared" si="308"/>
        <v/>
      </c>
      <c r="AF1130" t="str">
        <f t="shared" si="320"/>
        <v/>
      </c>
      <c r="AG1130" t="str">
        <f t="shared" si="320"/>
        <v/>
      </c>
      <c r="AH1130" t="str">
        <f t="shared" si="309"/>
        <v/>
      </c>
      <c r="AI1130" t="str">
        <f t="shared" si="310"/>
        <v/>
      </c>
      <c r="AJ1130" t="str">
        <f t="shared" si="311"/>
        <v/>
      </c>
    </row>
    <row r="1131" spans="1:36" x14ac:dyDescent="0.25">
      <c r="A1131" t="s">
        <v>876</v>
      </c>
      <c r="P1131" t="str">
        <f t="shared" si="312"/>
        <v xml:space="preserve">  P12-2Y-RS069  </v>
      </c>
      <c r="Q1131" t="str">
        <f t="shared" si="312"/>
        <v xml:space="preserve">   -54.9 </v>
      </c>
      <c r="R1131" t="str">
        <f t="shared" si="305"/>
        <v xml:space="preserve">     0.0 </v>
      </c>
      <c r="S1131" t="str">
        <f t="shared" si="313"/>
        <v xml:space="preserve">     0.0 </v>
      </c>
      <c r="T1131" t="str">
        <f t="shared" si="314"/>
        <v xml:space="preserve">     0.0 </v>
      </c>
      <c r="U1131" t="str">
        <f t="shared" si="318"/>
        <v xml:space="preserve">         0.0 </v>
      </c>
      <c r="V1131" t="str">
        <f t="shared" si="306"/>
        <v xml:space="preserve">     0.0 </v>
      </c>
      <c r="W1131" t="str">
        <f t="shared" si="315"/>
        <v xml:space="preserve">     0.0 </v>
      </c>
      <c r="X1131" t="str">
        <f t="shared" si="319"/>
        <v xml:space="preserve">       </v>
      </c>
      <c r="Y1131" t="str">
        <f t="shared" si="319"/>
        <v xml:space="preserve">              </v>
      </c>
      <c r="Z1131" t="str">
        <f t="shared" si="319"/>
        <v xml:space="preserve">    </v>
      </c>
      <c r="AA1131" t="str">
        <f t="shared" si="307"/>
        <v xml:space="preserve">         </v>
      </c>
      <c r="AB1131" t="str">
        <f t="shared" si="316"/>
        <v xml:space="preserve">         </v>
      </c>
      <c r="AC1131" t="str">
        <f t="shared" si="317"/>
        <v xml:space="preserve">    </v>
      </c>
      <c r="AD1131" t="str">
        <f t="shared" si="318"/>
        <v/>
      </c>
      <c r="AE1131" t="str">
        <f t="shared" si="308"/>
        <v/>
      </c>
      <c r="AF1131" t="str">
        <f t="shared" si="320"/>
        <v/>
      </c>
      <c r="AG1131" t="str">
        <f t="shared" si="320"/>
        <v/>
      </c>
      <c r="AH1131" t="str">
        <f t="shared" si="309"/>
        <v/>
      </c>
      <c r="AI1131" t="str">
        <f t="shared" si="310"/>
        <v/>
      </c>
      <c r="AJ1131" t="str">
        <f t="shared" si="311"/>
        <v/>
      </c>
    </row>
    <row r="1132" spans="1:36" x14ac:dyDescent="0.25">
      <c r="A1132" t="s">
        <v>877</v>
      </c>
      <c r="P1132" t="str">
        <f t="shared" si="312"/>
        <v xml:space="preserve">                </v>
      </c>
      <c r="Q1132" t="str">
        <f t="shared" si="312"/>
        <v xml:space="preserve">         </v>
      </c>
      <c r="R1132" t="str">
        <f t="shared" si="305"/>
        <v xml:space="preserve">    52.0 </v>
      </c>
      <c r="S1132" t="str">
        <f t="shared" si="313"/>
        <v xml:space="preserve">    76.0 </v>
      </c>
      <c r="T1132" t="str">
        <f t="shared" si="314"/>
        <v xml:space="preserve">    76.0 </v>
      </c>
      <c r="U1132" t="str">
        <f t="shared" si="318"/>
        <v xml:space="preserve">       20.4% </v>
      </c>
      <c r="V1132" t="str">
        <f t="shared" si="306"/>
        <v xml:space="preserve">         </v>
      </c>
      <c r="W1132" t="str">
        <f t="shared" si="315"/>
        <v xml:space="preserve">         </v>
      </c>
      <c r="X1132" t="str">
        <f t="shared" si="319"/>
        <v xml:space="preserve">  1269 </v>
      </c>
      <c r="Y1132" t="str">
        <f t="shared" si="319"/>
        <v xml:space="preserve"> PALG10-RS069 </v>
      </c>
      <c r="Z1132" t="str">
        <f t="shared" si="319"/>
        <v xml:space="preserve">  1 </v>
      </c>
      <c r="AA1132" t="str">
        <f t="shared" si="307"/>
        <v xml:space="preserve">    10.8 </v>
      </c>
      <c r="AB1132" t="str">
        <f t="shared" si="316"/>
        <v xml:space="preserve">    -0.0 </v>
      </c>
      <c r="AC1132" t="str">
        <f t="shared" si="317"/>
        <v xml:space="preserve">    10.6 </v>
      </c>
      <c r="AD1132" t="str">
        <f t="shared" si="318"/>
        <v xml:space="preserve">        </v>
      </c>
      <c r="AE1132" t="str">
        <f t="shared" si="308"/>
        <v xml:space="preserve">       </v>
      </c>
      <c r="AF1132" t="str">
        <f t="shared" si="320"/>
        <v xml:space="preserve">     </v>
      </c>
      <c r="AG1132" t="str">
        <f t="shared" si="320"/>
        <v xml:space="preserve">     0.01 </v>
      </c>
      <c r="AH1132" t="str">
        <f t="shared" si="309"/>
        <v xml:space="preserve">    -0.15 </v>
      </c>
      <c r="AI1132" t="str">
        <f t="shared" si="310"/>
        <v xml:space="preserve">       </v>
      </c>
      <c r="AJ1132" t="str">
        <f t="shared" si="311"/>
        <v xml:space="preserve">      </v>
      </c>
    </row>
    <row r="1133" spans="1:36" x14ac:dyDescent="0.25">
      <c r="A1133" t="s">
        <v>878</v>
      </c>
      <c r="P1133" t="str">
        <f t="shared" si="312"/>
        <v xml:space="preserve">                </v>
      </c>
      <c r="Q1133" t="str">
        <f t="shared" si="312"/>
        <v xml:space="preserve">         </v>
      </c>
      <c r="R1133" t="str">
        <f t="shared" si="305"/>
        <v xml:space="preserve">    84.0 </v>
      </c>
      <c r="S1133" t="str">
        <f t="shared" si="313"/>
        <v xml:space="preserve">   101.0 </v>
      </c>
      <c r="T1133" t="str">
        <f t="shared" si="314"/>
        <v xml:space="preserve">   101.0 </v>
      </c>
      <c r="U1133" t="str">
        <f t="shared" si="318"/>
        <v xml:space="preserve">       12.7% </v>
      </c>
      <c r="V1133" t="str">
        <f t="shared" si="306"/>
        <v xml:space="preserve">         </v>
      </c>
      <c r="W1133" t="str">
        <f t="shared" si="315"/>
        <v xml:space="preserve">         </v>
      </c>
      <c r="X1133" t="str">
        <f t="shared" si="319"/>
        <v xml:space="preserve"> 10007 </v>
      </c>
      <c r="Y1133" t="str">
        <f t="shared" si="319"/>
        <v xml:space="preserve"> JBOTAN-RS069 </v>
      </c>
      <c r="Z1133" t="str">
        <f t="shared" si="319"/>
        <v xml:space="preserve">  1 </v>
      </c>
      <c r="AA1133" t="str">
        <f t="shared" si="307"/>
        <v xml:space="preserve">   -10.8 </v>
      </c>
      <c r="AB1133" t="str">
        <f t="shared" si="316"/>
        <v xml:space="preserve">     0.0 </v>
      </c>
      <c r="AC1133" t="str">
        <f t="shared" si="317"/>
        <v xml:space="preserve">    10.6 </v>
      </c>
      <c r="AD1133" t="str">
        <f t="shared" si="318"/>
        <v xml:space="preserve">        </v>
      </c>
      <c r="AE1133" t="str">
        <f t="shared" si="308"/>
        <v xml:space="preserve">       </v>
      </c>
      <c r="AF1133" t="str">
        <f t="shared" si="320"/>
        <v xml:space="preserve">     </v>
      </c>
      <c r="AG1133" t="str">
        <f t="shared" si="320"/>
        <v xml:space="preserve">     0.01 </v>
      </c>
      <c r="AH1133" t="str">
        <f t="shared" si="309"/>
        <v xml:space="preserve">    -0.07 </v>
      </c>
      <c r="AI1133" t="str">
        <f t="shared" si="310"/>
        <v xml:space="preserve">       </v>
      </c>
      <c r="AJ1133" t="str">
        <f t="shared" si="311"/>
        <v xml:space="preserve">      </v>
      </c>
    </row>
    <row r="1134" spans="1:36" x14ac:dyDescent="0.25">
      <c r="A1134" t="s">
        <v>14</v>
      </c>
      <c r="P1134" t="str">
        <f t="shared" si="312"/>
        <v xml:space="preserve">  ..............</v>
      </c>
      <c r="Q1134" t="str">
        <f t="shared" si="312"/>
        <v>.........</v>
      </c>
      <c r="R1134" t="str">
        <f t="shared" si="305"/>
        <v>.........</v>
      </c>
      <c r="S1134" t="str">
        <f t="shared" si="313"/>
        <v>.........</v>
      </c>
      <c r="T1134" t="str">
        <f t="shared" si="314"/>
        <v>.........</v>
      </c>
      <c r="U1134" t="str">
        <f t="shared" si="318"/>
        <v>.............</v>
      </c>
      <c r="V1134" t="str">
        <f t="shared" si="306"/>
        <v>.........</v>
      </c>
      <c r="W1134" t="str">
        <f t="shared" si="315"/>
        <v>.........</v>
      </c>
      <c r="X1134" t="str">
        <f t="shared" si="319"/>
        <v>.......</v>
      </c>
      <c r="Y1134" t="str">
        <f t="shared" si="319"/>
        <v>..............</v>
      </c>
      <c r="Z1134" t="str">
        <f t="shared" si="319"/>
        <v>....</v>
      </c>
      <c r="AA1134" t="str">
        <f t="shared" si="307"/>
        <v>.........</v>
      </c>
      <c r="AB1134" t="str">
        <f t="shared" si="316"/>
        <v>.........</v>
      </c>
      <c r="AC1134" t="str">
        <f t="shared" si="317"/>
        <v>.........</v>
      </c>
      <c r="AD1134" t="str">
        <f t="shared" si="318"/>
        <v>........</v>
      </c>
      <c r="AE1134" t="str">
        <f t="shared" si="308"/>
        <v>.......</v>
      </c>
      <c r="AF1134" t="str">
        <f t="shared" si="320"/>
        <v>.....</v>
      </c>
      <c r="AG1134" t="str">
        <f t="shared" si="320"/>
        <v>..........</v>
      </c>
      <c r="AH1134" t="str">
        <f t="shared" si="309"/>
        <v>..........</v>
      </c>
      <c r="AI1134" t="str">
        <f t="shared" si="310"/>
        <v>.......</v>
      </c>
      <c r="AJ1134" t="str">
        <f t="shared" si="311"/>
        <v>.......</v>
      </c>
    </row>
    <row r="1135" spans="1:36" x14ac:dyDescent="0.25">
      <c r="A1135" t="s">
        <v>879</v>
      </c>
      <c r="P1135" t="str">
        <f t="shared" si="312"/>
        <v xml:space="preserve">   9249   69  0 </v>
      </c>
      <c r="Q1135" t="str">
        <f t="shared" si="312"/>
        <v xml:space="preserve">   1.016 </v>
      </c>
      <c r="R1135" t="str">
        <f t="shared" si="305"/>
        <v xml:space="preserve">     0.0 </v>
      </c>
      <c r="S1135" t="str">
        <f t="shared" si="313"/>
        <v xml:space="preserve">     0.0 </v>
      </c>
      <c r="T1135" t="str">
        <f t="shared" si="314"/>
        <v xml:space="preserve">     0.0 </v>
      </c>
      <c r="U1135" t="str">
        <f t="shared" si="318"/>
        <v xml:space="preserve">         0.0 </v>
      </c>
      <c r="V1135" t="str">
        <f t="shared" si="306"/>
        <v xml:space="preserve">     0.0 </v>
      </c>
      <c r="W1135" t="str">
        <f t="shared" si="315"/>
        <v xml:space="preserve">     0.0</v>
      </c>
      <c r="X1135" t="str">
        <f t="shared" si="319"/>
        <v/>
      </c>
      <c r="Y1135" t="str">
        <f t="shared" si="319"/>
        <v/>
      </c>
      <c r="Z1135" t="str">
        <f t="shared" si="319"/>
        <v/>
      </c>
      <c r="AA1135" t="str">
        <f t="shared" si="307"/>
        <v/>
      </c>
      <c r="AB1135" t="str">
        <f t="shared" si="316"/>
        <v/>
      </c>
      <c r="AC1135" t="str">
        <f t="shared" si="317"/>
        <v/>
      </c>
      <c r="AD1135" t="str">
        <f t="shared" si="318"/>
        <v/>
      </c>
      <c r="AE1135" t="str">
        <f t="shared" si="308"/>
        <v/>
      </c>
      <c r="AF1135" t="str">
        <f t="shared" si="320"/>
        <v/>
      </c>
      <c r="AG1135" t="str">
        <f t="shared" si="320"/>
        <v/>
      </c>
      <c r="AH1135" t="str">
        <f t="shared" si="309"/>
        <v/>
      </c>
      <c r="AI1135" t="str">
        <f t="shared" si="310"/>
        <v/>
      </c>
      <c r="AJ1135" t="str">
        <f t="shared" si="311"/>
        <v/>
      </c>
    </row>
    <row r="1136" spans="1:36" x14ac:dyDescent="0.25">
      <c r="A1136" t="s">
        <v>880</v>
      </c>
      <c r="P1136" t="str">
        <f t="shared" si="312"/>
        <v xml:space="preserve">  P12-1Y-RS069  </v>
      </c>
      <c r="Q1136" t="str">
        <f t="shared" si="312"/>
        <v xml:space="preserve">   -54.8 </v>
      </c>
      <c r="R1136" t="str">
        <f t="shared" si="305"/>
        <v xml:space="preserve">     0.0 </v>
      </c>
      <c r="S1136" t="str">
        <f t="shared" si="313"/>
        <v xml:space="preserve">     0.0 </v>
      </c>
      <c r="T1136" t="str">
        <f t="shared" si="314"/>
        <v xml:space="preserve">     0.0 </v>
      </c>
      <c r="U1136" t="str">
        <f t="shared" si="318"/>
        <v xml:space="preserve">         0.0 </v>
      </c>
      <c r="V1136" t="str">
        <f t="shared" si="306"/>
        <v xml:space="preserve">     0.0 </v>
      </c>
      <c r="W1136" t="str">
        <f t="shared" si="315"/>
        <v xml:space="preserve">     0.0 </v>
      </c>
      <c r="X1136" t="str">
        <f t="shared" si="319"/>
        <v xml:space="preserve">       </v>
      </c>
      <c r="Y1136" t="str">
        <f t="shared" si="319"/>
        <v xml:space="preserve">              </v>
      </c>
      <c r="Z1136" t="str">
        <f t="shared" si="319"/>
        <v xml:space="preserve">    </v>
      </c>
      <c r="AA1136" t="str">
        <f t="shared" si="307"/>
        <v xml:space="preserve">         </v>
      </c>
      <c r="AB1136" t="str">
        <f t="shared" si="316"/>
        <v xml:space="preserve">         </v>
      </c>
      <c r="AC1136" t="str">
        <f t="shared" si="317"/>
        <v xml:space="preserve">    </v>
      </c>
      <c r="AD1136" t="str">
        <f t="shared" si="318"/>
        <v/>
      </c>
      <c r="AE1136" t="str">
        <f t="shared" si="308"/>
        <v/>
      </c>
      <c r="AF1136" t="str">
        <f t="shared" si="320"/>
        <v/>
      </c>
      <c r="AG1136" t="str">
        <f t="shared" si="320"/>
        <v/>
      </c>
      <c r="AH1136" t="str">
        <f t="shared" si="309"/>
        <v/>
      </c>
      <c r="AI1136" t="str">
        <f t="shared" si="310"/>
        <v/>
      </c>
      <c r="AJ1136" t="str">
        <f t="shared" si="311"/>
        <v/>
      </c>
    </row>
    <row r="1137" spans="1:36" x14ac:dyDescent="0.25">
      <c r="A1137" t="s">
        <v>881</v>
      </c>
      <c r="P1137" t="str">
        <f t="shared" si="312"/>
        <v xml:space="preserve">                </v>
      </c>
      <c r="Q1137" t="str">
        <f t="shared" si="312"/>
        <v xml:space="preserve">         </v>
      </c>
      <c r="R1137" t="str">
        <f t="shared" si="305"/>
        <v xml:space="preserve">    54.0 </v>
      </c>
      <c r="S1137" t="str">
        <f t="shared" si="313"/>
        <v xml:space="preserve">    79.0 </v>
      </c>
      <c r="T1137" t="str">
        <f t="shared" si="314"/>
        <v xml:space="preserve">    79.0 </v>
      </c>
      <c r="U1137" t="str">
        <f t="shared" si="318"/>
        <v xml:space="preserve">       18.5% </v>
      </c>
      <c r="V1137" t="str">
        <f t="shared" si="306"/>
        <v xml:space="preserve">         </v>
      </c>
      <c r="W1137" t="str">
        <f t="shared" si="315"/>
        <v xml:space="preserve">         </v>
      </c>
      <c r="X1137" t="str">
        <f t="shared" si="319"/>
        <v xml:space="preserve">  1262 </v>
      </c>
      <c r="Y1137" t="str">
        <f t="shared" si="319"/>
        <v xml:space="preserve"> PALGR6-RS069 </v>
      </c>
      <c r="Z1137" t="str">
        <f t="shared" si="319"/>
        <v xml:space="preserve">  1 </v>
      </c>
      <c r="AA1137" t="str">
        <f t="shared" si="307"/>
        <v xml:space="preserve">    -9.9 </v>
      </c>
      <c r="AB1137" t="str">
        <f t="shared" si="316"/>
        <v xml:space="preserve">     2.1 </v>
      </c>
      <c r="AC1137" t="str">
        <f t="shared" si="317"/>
        <v xml:space="preserve">    10.0 </v>
      </c>
      <c r="AD1137" t="str">
        <f t="shared" si="318"/>
        <v xml:space="preserve">        </v>
      </c>
      <c r="AE1137" t="str">
        <f t="shared" si="308"/>
        <v xml:space="preserve">       </v>
      </c>
      <c r="AF1137" t="str">
        <f t="shared" si="320"/>
        <v xml:space="preserve">     </v>
      </c>
      <c r="AG1137" t="str">
        <f t="shared" si="320"/>
        <v xml:space="preserve">     0.01 </v>
      </c>
      <c r="AH1137" t="str">
        <f t="shared" si="309"/>
        <v xml:space="preserve">    -0.14 </v>
      </c>
      <c r="AI1137" t="str">
        <f t="shared" si="310"/>
        <v xml:space="preserve">       </v>
      </c>
      <c r="AJ1137" t="str">
        <f t="shared" si="311"/>
        <v xml:space="preserve">      </v>
      </c>
    </row>
    <row r="1138" spans="1:36" x14ac:dyDescent="0.25">
      <c r="A1138" t="s">
        <v>882</v>
      </c>
      <c r="P1138" t="str">
        <f t="shared" si="312"/>
        <v xml:space="preserve">                </v>
      </c>
      <c r="Q1138" t="str">
        <f t="shared" si="312"/>
        <v xml:space="preserve">         </v>
      </c>
      <c r="R1138" t="str">
        <f t="shared" si="305"/>
        <v xml:space="preserve">    84.0 </v>
      </c>
      <c r="S1138" t="str">
        <f t="shared" si="313"/>
        <v xml:space="preserve">   101.0 </v>
      </c>
      <c r="T1138" t="str">
        <f t="shared" si="314"/>
        <v xml:space="preserve">   101.0 </v>
      </c>
      <c r="U1138" t="str">
        <f t="shared" si="318"/>
        <v xml:space="preserve">       11.9% </v>
      </c>
      <c r="V1138" t="str">
        <f t="shared" si="306"/>
        <v xml:space="preserve">         </v>
      </c>
      <c r="W1138" t="str">
        <f t="shared" si="315"/>
        <v xml:space="preserve">         </v>
      </c>
      <c r="X1138" t="str">
        <f t="shared" si="319"/>
        <v xml:space="preserve"> 10007 </v>
      </c>
      <c r="Y1138" t="str">
        <f t="shared" si="319"/>
        <v xml:space="preserve"> JBOTAN-RS069 </v>
      </c>
      <c r="Z1138" t="str">
        <f t="shared" si="319"/>
        <v xml:space="preserve">  1 </v>
      </c>
      <c r="AA1138" t="str">
        <f t="shared" si="307"/>
        <v xml:space="preserve">     9.9 </v>
      </c>
      <c r="AB1138" t="str">
        <f t="shared" si="316"/>
        <v xml:space="preserve">    -2.1 </v>
      </c>
      <c r="AC1138" t="str">
        <f t="shared" si="317"/>
        <v xml:space="preserve">    10.0 </v>
      </c>
      <c r="AD1138" t="str">
        <f t="shared" si="318"/>
        <v xml:space="preserve">        </v>
      </c>
      <c r="AE1138" t="str">
        <f t="shared" si="308"/>
        <v xml:space="preserve">       </v>
      </c>
      <c r="AF1138" t="str">
        <f t="shared" si="320"/>
        <v xml:space="preserve">     </v>
      </c>
      <c r="AG1138" t="str">
        <f t="shared" si="320"/>
        <v xml:space="preserve">     0.00 </v>
      </c>
      <c r="AH1138" t="str">
        <f t="shared" si="309"/>
        <v xml:space="preserve">    -0.07 </v>
      </c>
      <c r="AI1138" t="str">
        <f t="shared" si="310"/>
        <v xml:space="preserve">       </v>
      </c>
      <c r="AJ1138" t="str">
        <f t="shared" si="311"/>
        <v xml:space="preserve">      </v>
      </c>
    </row>
    <row r="1139" spans="1:36" x14ac:dyDescent="0.25">
      <c r="A1139" t="s">
        <v>14</v>
      </c>
      <c r="P1139" t="str">
        <f t="shared" si="312"/>
        <v xml:space="preserve">  ..............</v>
      </c>
      <c r="Q1139" t="str">
        <f t="shared" si="312"/>
        <v>.........</v>
      </c>
      <c r="R1139" t="str">
        <f t="shared" si="305"/>
        <v>.........</v>
      </c>
      <c r="S1139" t="str">
        <f t="shared" si="313"/>
        <v>.........</v>
      </c>
      <c r="T1139" t="str">
        <f t="shared" si="314"/>
        <v>.........</v>
      </c>
      <c r="U1139" t="str">
        <f t="shared" si="318"/>
        <v>.............</v>
      </c>
      <c r="V1139" t="str">
        <f t="shared" si="306"/>
        <v>.........</v>
      </c>
      <c r="W1139" t="str">
        <f t="shared" si="315"/>
        <v>.........</v>
      </c>
      <c r="X1139" t="str">
        <f t="shared" si="319"/>
        <v>.......</v>
      </c>
      <c r="Y1139" t="str">
        <f t="shared" si="319"/>
        <v>..............</v>
      </c>
      <c r="Z1139" t="str">
        <f t="shared" si="319"/>
        <v>....</v>
      </c>
      <c r="AA1139" t="str">
        <f t="shared" si="307"/>
        <v>.........</v>
      </c>
      <c r="AB1139" t="str">
        <f t="shared" si="316"/>
        <v>.........</v>
      </c>
      <c r="AC1139" t="str">
        <f t="shared" si="317"/>
        <v>.........</v>
      </c>
      <c r="AD1139" t="str">
        <f t="shared" si="318"/>
        <v>........</v>
      </c>
      <c r="AE1139" t="str">
        <f t="shared" si="308"/>
        <v>.......</v>
      </c>
      <c r="AF1139" t="str">
        <f t="shared" si="320"/>
        <v>.....</v>
      </c>
      <c r="AG1139" t="str">
        <f t="shared" si="320"/>
        <v>..........</v>
      </c>
      <c r="AH1139" t="str">
        <f t="shared" si="309"/>
        <v>..........</v>
      </c>
      <c r="AI1139" t="str">
        <f t="shared" si="310"/>
        <v>.......</v>
      </c>
      <c r="AJ1139" t="str">
        <f t="shared" si="311"/>
        <v>.......</v>
      </c>
    </row>
    <row r="1140" spans="1:36" x14ac:dyDescent="0.25">
      <c r="A1140" t="s">
        <v>883</v>
      </c>
      <c r="P1140" t="str">
        <f t="shared" si="312"/>
        <v xml:space="preserve">   9250   23  0 </v>
      </c>
      <c r="Q1140" t="str">
        <f t="shared" si="312"/>
        <v xml:space="preserve">   1.061 </v>
      </c>
      <c r="R1140" t="str">
        <f t="shared" si="305"/>
        <v xml:space="preserve">     5.4 </v>
      </c>
      <c r="S1140" t="str">
        <f t="shared" si="313"/>
        <v xml:space="preserve">     0.0 </v>
      </c>
      <c r="T1140" t="str">
        <f t="shared" si="314"/>
        <v xml:space="preserve">    29.8 </v>
      </c>
      <c r="U1140" t="str">
        <f t="shared" si="318"/>
        <v xml:space="preserve">         0.0 </v>
      </c>
      <c r="V1140" t="str">
        <f t="shared" si="306"/>
        <v xml:space="preserve">     4.1 </v>
      </c>
      <c r="W1140" t="str">
        <f t="shared" si="315"/>
        <v xml:space="preserve">     0.0</v>
      </c>
      <c r="X1140" t="str">
        <f t="shared" si="319"/>
        <v/>
      </c>
      <c r="Y1140" t="str">
        <f t="shared" si="319"/>
        <v/>
      </c>
      <c r="Z1140" t="str">
        <f t="shared" si="319"/>
        <v/>
      </c>
      <c r="AA1140" t="str">
        <f t="shared" si="307"/>
        <v/>
      </c>
      <c r="AB1140" t="str">
        <f t="shared" si="316"/>
        <v/>
      </c>
      <c r="AC1140" t="str">
        <f t="shared" si="317"/>
        <v/>
      </c>
      <c r="AD1140" t="str">
        <f t="shared" si="318"/>
        <v/>
      </c>
      <c r="AE1140" t="str">
        <f t="shared" si="308"/>
        <v/>
      </c>
      <c r="AF1140" t="str">
        <f t="shared" si="320"/>
        <v/>
      </c>
      <c r="AG1140" t="str">
        <f t="shared" si="320"/>
        <v/>
      </c>
      <c r="AH1140" t="str">
        <f t="shared" si="309"/>
        <v/>
      </c>
      <c r="AI1140" t="str">
        <f t="shared" si="310"/>
        <v/>
      </c>
      <c r="AJ1140" t="str">
        <f t="shared" si="311"/>
        <v/>
      </c>
    </row>
    <row r="1141" spans="1:36" x14ac:dyDescent="0.25">
      <c r="A1141" t="s">
        <v>884</v>
      </c>
      <c r="P1141" t="str">
        <f t="shared" si="312"/>
        <v xml:space="preserve">  SAPATR-RS023  </v>
      </c>
      <c r="Q1141" t="str">
        <f t="shared" si="312"/>
        <v xml:space="preserve">   -58.7 </v>
      </c>
      <c r="R1141" t="str">
        <f t="shared" si="305"/>
        <v xml:space="preserve">     0.0 </v>
      </c>
      <c r="S1141" t="str">
        <f t="shared" si="313"/>
        <v xml:space="preserve">     0.0 </v>
      </c>
      <c r="T1141" t="str">
        <f t="shared" si="314"/>
        <v xml:space="preserve">    14.5 </v>
      </c>
      <c r="U1141" t="str">
        <f t="shared" si="318"/>
        <v xml:space="preserve">         0.0 </v>
      </c>
      <c r="V1141" t="str">
        <f t="shared" si="306"/>
        <v xml:space="preserve">     0.0 </v>
      </c>
      <c r="W1141" t="str">
        <f t="shared" si="315"/>
        <v xml:space="preserve">     0.0 </v>
      </c>
      <c r="X1141" t="str">
        <f t="shared" si="319"/>
        <v xml:space="preserve">       </v>
      </c>
      <c r="Y1141" t="str">
        <f t="shared" si="319"/>
        <v xml:space="preserve">              </v>
      </c>
      <c r="Z1141" t="str">
        <f t="shared" si="319"/>
        <v xml:space="preserve">    </v>
      </c>
      <c r="AA1141" t="str">
        <f t="shared" si="307"/>
        <v xml:space="preserve">         </v>
      </c>
      <c r="AB1141" t="str">
        <f t="shared" si="316"/>
        <v xml:space="preserve">         </v>
      </c>
      <c r="AC1141" t="str">
        <f t="shared" si="317"/>
        <v xml:space="preserve">    </v>
      </c>
      <c r="AD1141" t="str">
        <f t="shared" si="318"/>
        <v/>
      </c>
      <c r="AE1141" t="str">
        <f t="shared" si="308"/>
        <v/>
      </c>
      <c r="AF1141" t="str">
        <f t="shared" si="320"/>
        <v/>
      </c>
      <c r="AG1141" t="str">
        <f t="shared" si="320"/>
        <v/>
      </c>
      <c r="AH1141" t="str">
        <f t="shared" si="309"/>
        <v/>
      </c>
      <c r="AI1141" t="str">
        <f t="shared" si="310"/>
        <v/>
      </c>
      <c r="AJ1141" t="str">
        <f t="shared" si="311"/>
        <v/>
      </c>
    </row>
    <row r="1142" spans="1:36" x14ac:dyDescent="0.25">
      <c r="A1142" t="s">
        <v>885</v>
      </c>
      <c r="P1142" t="str">
        <f t="shared" si="312"/>
        <v xml:space="preserve">                </v>
      </c>
      <c r="Q1142" t="str">
        <f t="shared" si="312"/>
        <v xml:space="preserve">         </v>
      </c>
      <c r="R1142" t="str">
        <f t="shared" si="305"/>
        <v xml:space="preserve">    25.0 </v>
      </c>
      <c r="S1142" t="str">
        <f t="shared" si="313"/>
        <v xml:space="preserve">    25.0 </v>
      </c>
      <c r="T1142" t="str">
        <f t="shared" si="314"/>
        <v xml:space="preserve">    25.0 </v>
      </c>
      <c r="U1142" t="str">
        <f t="shared" si="318"/>
        <v xml:space="preserve"> SUP  100.1% </v>
      </c>
      <c r="V1142" t="str">
        <f t="shared" si="306"/>
        <v xml:space="preserve">         </v>
      </c>
      <c r="W1142" t="str">
        <f t="shared" si="315"/>
        <v xml:space="preserve">         </v>
      </c>
      <c r="X1142" t="str">
        <f t="shared" si="319"/>
        <v xml:space="preserve">  2055 </v>
      </c>
      <c r="Y1142" t="str">
        <f t="shared" si="319"/>
        <v xml:space="preserve"> SAPATR-RS138 </v>
      </c>
      <c r="Z1142" t="str">
        <f t="shared" si="319"/>
        <v xml:space="preserve">  1 </v>
      </c>
      <c r="AA1142" t="str">
        <f t="shared" si="307"/>
        <v xml:space="preserve">   -24.4 </v>
      </c>
      <c r="AB1142" t="str">
        <f t="shared" si="316"/>
        <v xml:space="preserve">   -10.4 </v>
      </c>
      <c r="AC1142" t="str">
        <f t="shared" si="317"/>
        <v xml:space="preserve">    25.0 </v>
      </c>
      <c r="AD1142" t="str">
        <f t="shared" si="318"/>
        <v xml:space="preserve">        </v>
      </c>
      <c r="AE1142" t="str">
        <f t="shared" si="308"/>
        <v xml:space="preserve">       </v>
      </c>
      <c r="AF1142" t="str">
        <f t="shared" si="320"/>
        <v xml:space="preserve">     </v>
      </c>
      <c r="AG1142" t="str">
        <f t="shared" si="320"/>
        <v xml:space="preserve">     0.00 </v>
      </c>
      <c r="AH1142" t="str">
        <f t="shared" si="309"/>
        <v xml:space="preserve">     2.50 </v>
      </c>
      <c r="AI1142" t="str">
        <f t="shared" si="310"/>
        <v xml:space="preserve">       </v>
      </c>
      <c r="AJ1142" t="str">
        <f t="shared" si="311"/>
        <v xml:space="preserve">      </v>
      </c>
    </row>
    <row r="1143" spans="1:36" x14ac:dyDescent="0.25">
      <c r="A1143" t="s">
        <v>14</v>
      </c>
      <c r="P1143" t="str">
        <f t="shared" si="312"/>
        <v xml:space="preserve">  ..............</v>
      </c>
      <c r="Q1143" t="str">
        <f t="shared" si="312"/>
        <v>.........</v>
      </c>
      <c r="R1143" t="str">
        <f t="shared" si="305"/>
        <v>.........</v>
      </c>
      <c r="S1143" t="str">
        <f t="shared" si="313"/>
        <v>.........</v>
      </c>
      <c r="T1143" t="str">
        <f t="shared" si="314"/>
        <v>.........</v>
      </c>
      <c r="U1143" t="str">
        <f t="shared" si="318"/>
        <v>.............</v>
      </c>
      <c r="V1143" t="str">
        <f t="shared" si="306"/>
        <v>.........</v>
      </c>
      <c r="W1143" t="str">
        <f t="shared" si="315"/>
        <v>.........</v>
      </c>
      <c r="X1143" t="str">
        <f t="shared" si="319"/>
        <v>.......</v>
      </c>
      <c r="Y1143" t="str">
        <f t="shared" si="319"/>
        <v>..............</v>
      </c>
      <c r="Z1143" t="str">
        <f t="shared" si="319"/>
        <v>....</v>
      </c>
      <c r="AA1143" t="str">
        <f t="shared" si="307"/>
        <v>.........</v>
      </c>
      <c r="AB1143" t="str">
        <f t="shared" si="316"/>
        <v>.........</v>
      </c>
      <c r="AC1143" t="str">
        <f t="shared" si="317"/>
        <v>.........</v>
      </c>
      <c r="AD1143" t="str">
        <f t="shared" si="318"/>
        <v>........</v>
      </c>
      <c r="AE1143" t="str">
        <f t="shared" si="308"/>
        <v>.......</v>
      </c>
      <c r="AF1143" t="str">
        <f t="shared" si="320"/>
        <v>.....</v>
      </c>
      <c r="AG1143" t="str">
        <f t="shared" si="320"/>
        <v>..........</v>
      </c>
      <c r="AH1143" t="str">
        <f t="shared" si="309"/>
        <v>..........</v>
      </c>
      <c r="AI1143" t="str">
        <f t="shared" si="310"/>
        <v>.......</v>
      </c>
      <c r="AJ1143" t="str">
        <f t="shared" si="311"/>
        <v>.......</v>
      </c>
    </row>
    <row r="1144" spans="1:36" x14ac:dyDescent="0.25">
      <c r="A1144" t="s">
        <v>886</v>
      </c>
      <c r="P1144" t="str">
        <f t="shared" si="312"/>
        <v xml:space="preserve">   9251   14  0 </v>
      </c>
      <c r="Q1144" t="str">
        <f t="shared" si="312"/>
        <v xml:space="preserve">   1.078 </v>
      </c>
      <c r="R1144" t="str">
        <f t="shared" si="305"/>
        <v xml:space="preserve">     0.1 </v>
      </c>
      <c r="S1144" t="str">
        <f t="shared" si="313"/>
        <v xml:space="preserve">     0.0 </v>
      </c>
      <c r="T1144" t="str">
        <f t="shared" si="314"/>
        <v xml:space="preserve">    23.8 </v>
      </c>
      <c r="U1144" t="str">
        <f t="shared" si="318"/>
        <v xml:space="preserve">         0.0 </v>
      </c>
      <c r="V1144" t="str">
        <f t="shared" si="306"/>
        <v xml:space="preserve">     0.0 </v>
      </c>
      <c r="W1144" t="str">
        <f t="shared" si="315"/>
        <v xml:space="preserve">     0.0</v>
      </c>
      <c r="X1144" t="str">
        <f t="shared" si="319"/>
        <v/>
      </c>
      <c r="Y1144" t="str">
        <f t="shared" si="319"/>
        <v/>
      </c>
      <c r="Z1144" t="str">
        <f t="shared" si="319"/>
        <v/>
      </c>
      <c r="AA1144" t="str">
        <f t="shared" si="307"/>
        <v/>
      </c>
      <c r="AB1144" t="str">
        <f t="shared" si="316"/>
        <v/>
      </c>
      <c r="AC1144" t="str">
        <f t="shared" si="317"/>
        <v/>
      </c>
      <c r="AD1144" t="str">
        <f t="shared" si="318"/>
        <v/>
      </c>
      <c r="AE1144" t="str">
        <f t="shared" si="308"/>
        <v/>
      </c>
      <c r="AF1144" t="str">
        <f t="shared" si="320"/>
        <v/>
      </c>
      <c r="AG1144" t="str">
        <f t="shared" si="320"/>
        <v/>
      </c>
      <c r="AH1144" t="str">
        <f t="shared" si="309"/>
        <v/>
      </c>
      <c r="AI1144" t="str">
        <f t="shared" si="310"/>
        <v/>
      </c>
      <c r="AJ1144" t="str">
        <f t="shared" si="311"/>
        <v/>
      </c>
    </row>
    <row r="1145" spans="1:36" x14ac:dyDescent="0.25">
      <c r="A1145" t="s">
        <v>887</v>
      </c>
      <c r="P1145" t="str">
        <f t="shared" si="312"/>
        <v xml:space="preserve">  PALE4B-RS013  </v>
      </c>
      <c r="Q1145" t="str">
        <f t="shared" si="312"/>
        <v xml:space="preserve">   -56.0 </v>
      </c>
      <c r="R1145" t="str">
        <f t="shared" si="305"/>
        <v xml:space="preserve">     0.0 </v>
      </c>
      <c r="S1145" t="str">
        <f t="shared" si="313"/>
        <v xml:space="preserve">     0.0 </v>
      </c>
      <c r="T1145" t="str">
        <f t="shared" si="314"/>
        <v xml:space="preserve">     6.1 </v>
      </c>
      <c r="U1145" t="str">
        <f t="shared" si="318"/>
        <v xml:space="preserve">         0.0 </v>
      </c>
      <c r="V1145" t="str">
        <f t="shared" si="306"/>
        <v xml:space="preserve">     0.0 </v>
      </c>
      <c r="W1145" t="str">
        <f t="shared" si="315"/>
        <v xml:space="preserve">     0.0 </v>
      </c>
      <c r="X1145" t="str">
        <f t="shared" si="319"/>
        <v xml:space="preserve">       </v>
      </c>
      <c r="Y1145" t="str">
        <f t="shared" si="319"/>
        <v xml:space="preserve">              </v>
      </c>
      <c r="Z1145" t="str">
        <f t="shared" si="319"/>
        <v xml:space="preserve">    </v>
      </c>
      <c r="AA1145" t="str">
        <f t="shared" si="307"/>
        <v xml:space="preserve">         </v>
      </c>
      <c r="AB1145" t="str">
        <f t="shared" si="316"/>
        <v xml:space="preserve">         </v>
      </c>
      <c r="AC1145" t="str">
        <f t="shared" si="317"/>
        <v xml:space="preserve">    </v>
      </c>
      <c r="AD1145" t="str">
        <f t="shared" si="318"/>
        <v/>
      </c>
      <c r="AE1145" t="str">
        <f t="shared" si="308"/>
        <v/>
      </c>
      <c r="AF1145" t="str">
        <f t="shared" si="320"/>
        <v/>
      </c>
      <c r="AG1145" t="str">
        <f t="shared" si="320"/>
        <v/>
      </c>
      <c r="AH1145" t="str">
        <f t="shared" si="309"/>
        <v/>
      </c>
      <c r="AI1145" t="str">
        <f t="shared" si="310"/>
        <v/>
      </c>
      <c r="AJ1145" t="str">
        <f t="shared" si="311"/>
        <v/>
      </c>
    </row>
    <row r="1146" spans="1:36" x14ac:dyDescent="0.25">
      <c r="A1146" t="s">
        <v>888</v>
      </c>
      <c r="P1146" t="str">
        <f t="shared" si="312"/>
        <v xml:space="preserve">                </v>
      </c>
      <c r="Q1146" t="str">
        <f t="shared" si="312"/>
        <v xml:space="preserve">         </v>
      </c>
      <c r="R1146" t="str">
        <f t="shared" si="305"/>
        <v xml:space="preserve">    75.0 </v>
      </c>
      <c r="S1146" t="str">
        <f t="shared" si="313"/>
        <v xml:space="preserve">    90.0 </v>
      </c>
      <c r="T1146" t="str">
        <f t="shared" si="314"/>
        <v xml:space="preserve">    90.0 </v>
      </c>
      <c r="U1146" t="str">
        <f t="shared" si="318"/>
        <v xml:space="preserve">       30.3% </v>
      </c>
      <c r="V1146" t="str">
        <f t="shared" si="306"/>
        <v xml:space="preserve">         </v>
      </c>
      <c r="W1146" t="str">
        <f t="shared" si="315"/>
        <v xml:space="preserve">         </v>
      </c>
      <c r="X1146" t="str">
        <f t="shared" si="319"/>
        <v xml:space="preserve"> 41316 </v>
      </c>
      <c r="Y1146" t="str">
        <f t="shared" si="319"/>
        <v xml:space="preserve"> PAL4-B-RS000 </v>
      </c>
      <c r="Z1146" t="str">
        <f t="shared" si="319"/>
        <v xml:space="preserve">  2 </v>
      </c>
      <c r="AA1146" t="str">
        <f t="shared" si="307"/>
        <v xml:space="preserve">   -23.7 </v>
      </c>
      <c r="AB1146" t="str">
        <f t="shared" si="316"/>
        <v xml:space="preserve">    -6.1 </v>
      </c>
      <c r="AC1146" t="str">
        <f t="shared" si="317"/>
        <v xml:space="preserve">    22.7 </v>
      </c>
      <c r="AD1146" t="str">
        <f t="shared" si="318"/>
        <v xml:space="preserve"> 1.000F </v>
      </c>
      <c r="AE1146" t="str">
        <f t="shared" si="308"/>
        <v xml:space="preserve">       </v>
      </c>
      <c r="AF1146" t="str">
        <f t="shared" si="320"/>
        <v xml:space="preserve"> 002 </v>
      </c>
      <c r="AG1146" t="str">
        <f t="shared" si="320"/>
        <v xml:space="preserve">     0.00 </v>
      </c>
      <c r="AH1146" t="str">
        <f t="shared" si="309"/>
        <v xml:space="preserve">    -0.03 </v>
      </c>
      <c r="AI1146" t="str">
        <f t="shared" si="310"/>
        <v xml:space="preserve">       </v>
      </c>
      <c r="AJ1146" t="str">
        <f t="shared" si="311"/>
        <v xml:space="preserve">      </v>
      </c>
    </row>
    <row r="1147" spans="1:36" x14ac:dyDescent="0.25">
      <c r="A1147" t="s">
        <v>14</v>
      </c>
      <c r="P1147" t="str">
        <f t="shared" si="312"/>
        <v xml:space="preserve">  ..............</v>
      </c>
      <c r="Q1147" t="str">
        <f t="shared" si="312"/>
        <v>.........</v>
      </c>
      <c r="R1147" t="str">
        <f t="shared" si="305"/>
        <v>.........</v>
      </c>
      <c r="S1147" t="str">
        <f t="shared" si="313"/>
        <v>.........</v>
      </c>
      <c r="T1147" t="str">
        <f t="shared" si="314"/>
        <v>.........</v>
      </c>
      <c r="U1147" t="str">
        <f t="shared" si="318"/>
        <v>.............</v>
      </c>
      <c r="V1147" t="str">
        <f t="shared" si="306"/>
        <v>.........</v>
      </c>
      <c r="W1147" t="str">
        <f t="shared" si="315"/>
        <v>.........</v>
      </c>
      <c r="X1147" t="str">
        <f t="shared" si="319"/>
        <v>.......</v>
      </c>
      <c r="Y1147" t="str">
        <f t="shared" si="319"/>
        <v>..............</v>
      </c>
      <c r="Z1147" t="str">
        <f t="shared" si="319"/>
        <v>....</v>
      </c>
      <c r="AA1147" t="str">
        <f t="shared" si="307"/>
        <v>.........</v>
      </c>
      <c r="AB1147" t="str">
        <f t="shared" si="316"/>
        <v>.........</v>
      </c>
      <c r="AC1147" t="str">
        <f t="shared" si="317"/>
        <v>.........</v>
      </c>
      <c r="AD1147" t="str">
        <f t="shared" si="318"/>
        <v>........</v>
      </c>
      <c r="AE1147" t="str">
        <f t="shared" si="308"/>
        <v>.......</v>
      </c>
      <c r="AF1147" t="str">
        <f t="shared" si="320"/>
        <v>.....</v>
      </c>
      <c r="AG1147" t="str">
        <f t="shared" si="320"/>
        <v>..........</v>
      </c>
      <c r="AH1147" t="str">
        <f t="shared" si="309"/>
        <v>..........</v>
      </c>
      <c r="AI1147" t="str">
        <f t="shared" si="310"/>
        <v>.......</v>
      </c>
      <c r="AJ1147" t="str">
        <f t="shared" si="311"/>
        <v>.......</v>
      </c>
    </row>
    <row r="1148" spans="1:36" x14ac:dyDescent="0.25">
      <c r="A1148" t="s">
        <v>889</v>
      </c>
      <c r="P1148" t="str">
        <f t="shared" si="312"/>
        <v xml:space="preserve">   9252   14  0 </v>
      </c>
      <c r="Q1148" t="str">
        <f t="shared" si="312"/>
        <v xml:space="preserve">   1.080 </v>
      </c>
      <c r="R1148" t="str">
        <f t="shared" si="305"/>
        <v xml:space="preserve">     0.5 </v>
      </c>
      <c r="S1148" t="str">
        <f t="shared" si="313"/>
        <v xml:space="preserve">     0.0 </v>
      </c>
      <c r="T1148" t="str">
        <f t="shared" si="314"/>
        <v xml:space="preserve">    22.1 </v>
      </c>
      <c r="U1148" t="str">
        <f t="shared" si="318"/>
        <v xml:space="preserve">         0.0 </v>
      </c>
      <c r="V1148" t="str">
        <f t="shared" si="306"/>
        <v xml:space="preserve">    18.2 </v>
      </c>
      <c r="W1148" t="str">
        <f t="shared" si="315"/>
        <v xml:space="preserve">     0.0</v>
      </c>
      <c r="X1148" t="str">
        <f t="shared" si="319"/>
        <v/>
      </c>
      <c r="Y1148" t="str">
        <f t="shared" si="319"/>
        <v/>
      </c>
      <c r="Z1148" t="str">
        <f t="shared" si="319"/>
        <v/>
      </c>
      <c r="AA1148" t="str">
        <f t="shared" si="307"/>
        <v/>
      </c>
      <c r="AB1148" t="str">
        <f t="shared" si="316"/>
        <v/>
      </c>
      <c r="AC1148" t="str">
        <f t="shared" si="317"/>
        <v/>
      </c>
      <c r="AD1148" t="str">
        <f t="shared" si="318"/>
        <v/>
      </c>
      <c r="AE1148" t="str">
        <f t="shared" si="308"/>
        <v/>
      </c>
      <c r="AF1148" t="str">
        <f t="shared" si="320"/>
        <v/>
      </c>
      <c r="AG1148" t="str">
        <f t="shared" si="320"/>
        <v/>
      </c>
      <c r="AH1148" t="str">
        <f t="shared" si="309"/>
        <v/>
      </c>
      <c r="AI1148" t="str">
        <f t="shared" si="310"/>
        <v/>
      </c>
      <c r="AJ1148" t="str">
        <f t="shared" si="311"/>
        <v/>
      </c>
    </row>
    <row r="1149" spans="1:36" x14ac:dyDescent="0.25">
      <c r="A1149" t="s">
        <v>890</v>
      </c>
      <c r="P1149" t="str">
        <f t="shared" si="312"/>
        <v xml:space="preserve">  PALE4C-RS013  </v>
      </c>
      <c r="Q1149" t="str">
        <f t="shared" si="312"/>
        <v xml:space="preserve">   -56.0 </v>
      </c>
      <c r="R1149" t="str">
        <f t="shared" si="305"/>
        <v xml:space="preserve">     0.0 </v>
      </c>
      <c r="S1149" t="str">
        <f t="shared" si="313"/>
        <v xml:space="preserve">     0.0 </v>
      </c>
      <c r="T1149" t="str">
        <f t="shared" si="314"/>
        <v xml:space="preserve">     4.3 </v>
      </c>
      <c r="U1149" t="str">
        <f t="shared" si="318"/>
        <v xml:space="preserve">         0.0 </v>
      </c>
      <c r="V1149" t="str">
        <f t="shared" si="306"/>
        <v xml:space="preserve">     0.0 </v>
      </c>
      <c r="W1149" t="str">
        <f t="shared" si="315"/>
        <v xml:space="preserve">     0.0 </v>
      </c>
      <c r="X1149" t="str">
        <f t="shared" si="319"/>
        <v xml:space="preserve">       </v>
      </c>
      <c r="Y1149" t="str">
        <f t="shared" si="319"/>
        <v xml:space="preserve">              </v>
      </c>
      <c r="Z1149" t="str">
        <f t="shared" si="319"/>
        <v xml:space="preserve">    </v>
      </c>
      <c r="AA1149" t="str">
        <f t="shared" si="307"/>
        <v xml:space="preserve">         </v>
      </c>
      <c r="AB1149" t="str">
        <f t="shared" si="316"/>
        <v xml:space="preserve">         </v>
      </c>
      <c r="AC1149" t="str">
        <f t="shared" si="317"/>
        <v xml:space="preserve">    </v>
      </c>
      <c r="AD1149" t="str">
        <f t="shared" si="318"/>
        <v/>
      </c>
      <c r="AE1149" t="str">
        <f t="shared" si="308"/>
        <v/>
      </c>
      <c r="AF1149" t="str">
        <f t="shared" si="320"/>
        <v/>
      </c>
      <c r="AG1149" t="str">
        <f t="shared" si="320"/>
        <v/>
      </c>
      <c r="AH1149" t="str">
        <f t="shared" si="309"/>
        <v/>
      </c>
      <c r="AI1149" t="str">
        <f t="shared" si="310"/>
        <v/>
      </c>
      <c r="AJ1149" t="str">
        <f t="shared" si="311"/>
        <v/>
      </c>
    </row>
    <row r="1150" spans="1:36" x14ac:dyDescent="0.25">
      <c r="A1150" t="s">
        <v>891</v>
      </c>
      <c r="P1150" t="str">
        <f t="shared" si="312"/>
        <v xml:space="preserve">                </v>
      </c>
      <c r="Q1150" t="str">
        <f t="shared" si="312"/>
        <v xml:space="preserve">         </v>
      </c>
      <c r="R1150" t="str">
        <f t="shared" si="305"/>
        <v xml:space="preserve">    75.0 </v>
      </c>
      <c r="S1150" t="str">
        <f t="shared" si="313"/>
        <v xml:space="preserve">    90.0 </v>
      </c>
      <c r="T1150" t="str">
        <f t="shared" si="314"/>
        <v xml:space="preserve">    90.0 </v>
      </c>
      <c r="U1150" t="str">
        <f t="shared" si="318"/>
        <v xml:space="preserve">       31.7% </v>
      </c>
      <c r="V1150" t="str">
        <f t="shared" si="306"/>
        <v xml:space="preserve">         </v>
      </c>
      <c r="W1150" t="str">
        <f t="shared" si="315"/>
        <v xml:space="preserve">         </v>
      </c>
      <c r="X1150" t="str">
        <f t="shared" si="319"/>
        <v xml:space="preserve"> 41317 </v>
      </c>
      <c r="Y1150" t="str">
        <f t="shared" si="319"/>
        <v xml:space="preserve"> PAL4-C-RS000 </v>
      </c>
      <c r="Z1150" t="str">
        <f t="shared" si="319"/>
        <v xml:space="preserve">  3 </v>
      </c>
      <c r="AA1150" t="str">
        <f t="shared" si="307"/>
        <v xml:space="preserve">   -21.6 </v>
      </c>
      <c r="AB1150" t="str">
        <f t="shared" si="316"/>
        <v xml:space="preserve">    13.9 </v>
      </c>
      <c r="AC1150" t="str">
        <f t="shared" si="317"/>
        <v xml:space="preserve">    23.8 </v>
      </c>
      <c r="AD1150" t="str">
        <f t="shared" si="318"/>
        <v xml:space="preserve"> 1.000F </v>
      </c>
      <c r="AE1150" t="str">
        <f t="shared" si="308"/>
        <v xml:space="preserve">       </v>
      </c>
      <c r="AF1150" t="str">
        <f t="shared" si="320"/>
        <v xml:space="preserve"> 002 </v>
      </c>
      <c r="AG1150" t="str">
        <f t="shared" si="320"/>
        <v xml:space="preserve">     0.00 </v>
      </c>
      <c r="AH1150" t="str">
        <f t="shared" si="309"/>
        <v xml:space="preserve">    -0.04 </v>
      </c>
      <c r="AI1150" t="str">
        <f t="shared" si="310"/>
        <v xml:space="preserve">       </v>
      </c>
      <c r="AJ1150" t="str">
        <f t="shared" si="311"/>
        <v xml:space="preserve">      </v>
      </c>
    </row>
    <row r="1151" spans="1:36" x14ac:dyDescent="0.25">
      <c r="A1151" t="s">
        <v>14</v>
      </c>
      <c r="P1151" t="str">
        <f t="shared" si="312"/>
        <v xml:space="preserve">  ..............</v>
      </c>
      <c r="Q1151" t="str">
        <f t="shared" si="312"/>
        <v>.........</v>
      </c>
      <c r="R1151" t="str">
        <f t="shared" si="305"/>
        <v>.........</v>
      </c>
      <c r="S1151" t="str">
        <f t="shared" si="313"/>
        <v>.........</v>
      </c>
      <c r="T1151" t="str">
        <f t="shared" si="314"/>
        <v>.........</v>
      </c>
      <c r="U1151" t="str">
        <f t="shared" si="318"/>
        <v>.............</v>
      </c>
      <c r="V1151" t="str">
        <f t="shared" si="306"/>
        <v>.........</v>
      </c>
      <c r="W1151" t="str">
        <f t="shared" si="315"/>
        <v>.........</v>
      </c>
      <c r="X1151" t="str">
        <f t="shared" si="319"/>
        <v>.......</v>
      </c>
      <c r="Y1151" t="str">
        <f t="shared" si="319"/>
        <v>..............</v>
      </c>
      <c r="Z1151" t="str">
        <f t="shared" si="319"/>
        <v>....</v>
      </c>
      <c r="AA1151" t="str">
        <f t="shared" si="307"/>
        <v>.........</v>
      </c>
      <c r="AB1151" t="str">
        <f t="shared" si="316"/>
        <v>.........</v>
      </c>
      <c r="AC1151" t="str">
        <f t="shared" si="317"/>
        <v>.........</v>
      </c>
      <c r="AD1151" t="str">
        <f t="shared" si="318"/>
        <v>........</v>
      </c>
      <c r="AE1151" t="str">
        <f t="shared" si="308"/>
        <v>.......</v>
      </c>
      <c r="AF1151" t="str">
        <f t="shared" si="320"/>
        <v>.....</v>
      </c>
      <c r="AG1151" t="str">
        <f t="shared" si="320"/>
        <v>..........</v>
      </c>
      <c r="AH1151" t="str">
        <f t="shared" si="309"/>
        <v>..........</v>
      </c>
      <c r="AI1151" t="str">
        <f t="shared" si="310"/>
        <v>.......</v>
      </c>
      <c r="AJ1151" t="str">
        <f t="shared" si="311"/>
        <v>.......</v>
      </c>
    </row>
    <row r="1152" spans="1:36" x14ac:dyDescent="0.25">
      <c r="A1152" t="s">
        <v>892</v>
      </c>
      <c r="P1152" t="str">
        <f t="shared" si="312"/>
        <v xml:space="preserve">   9253   14  0 </v>
      </c>
      <c r="Q1152" t="str">
        <f t="shared" si="312"/>
        <v xml:space="preserve">   1.105 </v>
      </c>
      <c r="R1152" t="str">
        <f t="shared" si="305"/>
        <v xml:space="preserve">     0.4 </v>
      </c>
      <c r="S1152" t="str">
        <f t="shared" si="313"/>
        <v xml:space="preserve">     0.0 </v>
      </c>
      <c r="T1152" t="str">
        <f t="shared" si="314"/>
        <v xml:space="preserve">    26.4 </v>
      </c>
      <c r="U1152" t="str">
        <f t="shared" si="318"/>
        <v xml:space="preserve">         0.0 </v>
      </c>
      <c r="V1152" t="str">
        <f t="shared" si="306"/>
        <v xml:space="preserve">     8.8 </v>
      </c>
      <c r="W1152" t="str">
        <f t="shared" si="315"/>
        <v xml:space="preserve">     0.0</v>
      </c>
      <c r="X1152" t="str">
        <f t="shared" si="319"/>
        <v/>
      </c>
      <c r="Y1152" t="str">
        <f t="shared" si="319"/>
        <v/>
      </c>
      <c r="Z1152" t="str">
        <f t="shared" si="319"/>
        <v/>
      </c>
      <c r="AA1152" t="str">
        <f t="shared" si="307"/>
        <v/>
      </c>
      <c r="AB1152" t="str">
        <f t="shared" si="316"/>
        <v/>
      </c>
      <c r="AC1152" t="str">
        <f t="shared" si="317"/>
        <v/>
      </c>
      <c r="AD1152" t="str">
        <f t="shared" si="318"/>
        <v/>
      </c>
      <c r="AE1152" t="str">
        <f t="shared" si="308"/>
        <v/>
      </c>
      <c r="AF1152" t="str">
        <f t="shared" si="320"/>
        <v/>
      </c>
      <c r="AG1152" t="str">
        <f t="shared" si="320"/>
        <v/>
      </c>
      <c r="AH1152" t="str">
        <f t="shared" si="309"/>
        <v/>
      </c>
      <c r="AI1152" t="str">
        <f t="shared" si="310"/>
        <v/>
      </c>
      <c r="AJ1152" t="str">
        <f t="shared" si="311"/>
        <v/>
      </c>
    </row>
    <row r="1153" spans="1:36" x14ac:dyDescent="0.25">
      <c r="A1153" t="s">
        <v>893</v>
      </c>
      <c r="P1153" t="str">
        <f t="shared" si="312"/>
        <v xml:space="preserve">  PALE4D-RS013  </v>
      </c>
      <c r="Q1153" t="str">
        <f t="shared" si="312"/>
        <v xml:space="preserve">   -56.4 </v>
      </c>
      <c r="R1153" t="str">
        <f t="shared" si="305"/>
        <v xml:space="preserve">     0.0 </v>
      </c>
      <c r="S1153" t="str">
        <f t="shared" si="313"/>
        <v xml:space="preserve">     0.0 </v>
      </c>
      <c r="T1153" t="str">
        <f t="shared" si="314"/>
        <v xml:space="preserve">     4.1 </v>
      </c>
      <c r="U1153" t="str">
        <f t="shared" si="318"/>
        <v xml:space="preserve">         0.0 </v>
      </c>
      <c r="V1153" t="str">
        <f t="shared" si="306"/>
        <v xml:space="preserve">     0.0 </v>
      </c>
      <c r="W1153" t="str">
        <f t="shared" si="315"/>
        <v xml:space="preserve">     0.0 </v>
      </c>
      <c r="X1153" t="str">
        <f t="shared" si="319"/>
        <v xml:space="preserve">       </v>
      </c>
      <c r="Y1153" t="str">
        <f t="shared" si="319"/>
        <v xml:space="preserve">              </v>
      </c>
      <c r="Z1153" t="str">
        <f t="shared" si="319"/>
        <v xml:space="preserve">    </v>
      </c>
      <c r="AA1153" t="str">
        <f t="shared" si="307"/>
        <v xml:space="preserve">         </v>
      </c>
      <c r="AB1153" t="str">
        <f t="shared" si="316"/>
        <v xml:space="preserve">         </v>
      </c>
      <c r="AC1153" t="str">
        <f t="shared" si="317"/>
        <v xml:space="preserve">    </v>
      </c>
      <c r="AD1153" t="str">
        <f t="shared" si="318"/>
        <v/>
      </c>
      <c r="AE1153" t="str">
        <f t="shared" si="308"/>
        <v/>
      </c>
      <c r="AF1153" t="str">
        <f t="shared" si="320"/>
        <v/>
      </c>
      <c r="AG1153" t="str">
        <f t="shared" si="320"/>
        <v/>
      </c>
      <c r="AH1153" t="str">
        <f t="shared" si="309"/>
        <v/>
      </c>
      <c r="AI1153" t="str">
        <f t="shared" si="310"/>
        <v/>
      </c>
      <c r="AJ1153" t="str">
        <f t="shared" si="311"/>
        <v/>
      </c>
    </row>
    <row r="1154" spans="1:36" x14ac:dyDescent="0.25">
      <c r="A1154" t="s">
        <v>894</v>
      </c>
      <c r="P1154" t="str">
        <f t="shared" si="312"/>
        <v xml:space="preserve">                </v>
      </c>
      <c r="Q1154" t="str">
        <f t="shared" si="312"/>
        <v xml:space="preserve">         </v>
      </c>
      <c r="R1154" t="str">
        <f t="shared" si="305"/>
        <v xml:space="preserve">    75.0 </v>
      </c>
      <c r="S1154" t="str">
        <f t="shared" si="313"/>
        <v xml:space="preserve">    90.0 </v>
      </c>
      <c r="T1154" t="str">
        <f t="shared" si="314"/>
        <v xml:space="preserve">    90.0 </v>
      </c>
      <c r="U1154" t="str">
        <f t="shared" si="318"/>
        <v xml:space="preserve">       31.9% </v>
      </c>
      <c r="V1154" t="str">
        <f t="shared" si="306"/>
        <v xml:space="preserve">         </v>
      </c>
      <c r="W1154" t="str">
        <f t="shared" si="315"/>
        <v xml:space="preserve">         </v>
      </c>
      <c r="X1154" t="str">
        <f t="shared" si="319"/>
        <v xml:space="preserve"> 41321 </v>
      </c>
      <c r="Y1154" t="str">
        <f t="shared" si="319"/>
        <v xml:space="preserve"> PAL4-D-RS000 </v>
      </c>
      <c r="Z1154" t="str">
        <f t="shared" si="319"/>
        <v xml:space="preserve">  4 </v>
      </c>
      <c r="AA1154" t="str">
        <f t="shared" si="307"/>
        <v xml:space="preserve">   -26.0 </v>
      </c>
      <c r="AB1154" t="str">
        <f t="shared" si="316"/>
        <v xml:space="preserve">     4.7 </v>
      </c>
      <c r="AC1154" t="str">
        <f t="shared" si="317"/>
        <v xml:space="preserve">    23.9 </v>
      </c>
      <c r="AD1154" t="str">
        <f t="shared" si="318"/>
        <v xml:space="preserve"> 1.000F </v>
      </c>
      <c r="AE1154" t="str">
        <f t="shared" si="308"/>
        <v xml:space="preserve">       </v>
      </c>
      <c r="AF1154" t="str">
        <f t="shared" si="320"/>
        <v xml:space="preserve"> 002 </v>
      </c>
      <c r="AG1154" t="str">
        <f t="shared" si="320"/>
        <v xml:space="preserve">     0.00 </v>
      </c>
      <c r="AH1154" t="str">
        <f t="shared" si="309"/>
        <v xml:space="preserve">    -0.04 </v>
      </c>
      <c r="AI1154" t="str">
        <f t="shared" si="310"/>
        <v xml:space="preserve">       </v>
      </c>
      <c r="AJ1154" t="str">
        <f t="shared" si="311"/>
        <v xml:space="preserve">      </v>
      </c>
    </row>
    <row r="1155" spans="1:36" x14ac:dyDescent="0.25">
      <c r="A1155" t="s">
        <v>14</v>
      </c>
      <c r="P1155" t="str">
        <f t="shared" si="312"/>
        <v xml:space="preserve">  ..............</v>
      </c>
      <c r="Q1155" t="str">
        <f t="shared" si="312"/>
        <v>.........</v>
      </c>
      <c r="R1155" t="str">
        <f t="shared" si="305"/>
        <v>.........</v>
      </c>
      <c r="S1155" t="str">
        <f t="shared" si="313"/>
        <v>.........</v>
      </c>
      <c r="T1155" t="str">
        <f t="shared" si="314"/>
        <v>.........</v>
      </c>
      <c r="U1155" t="str">
        <f t="shared" si="318"/>
        <v>.............</v>
      </c>
      <c r="V1155" t="str">
        <f t="shared" si="306"/>
        <v>.........</v>
      </c>
      <c r="W1155" t="str">
        <f t="shared" si="315"/>
        <v>.........</v>
      </c>
      <c r="X1155" t="str">
        <f t="shared" si="319"/>
        <v>.......</v>
      </c>
      <c r="Y1155" t="str">
        <f t="shared" si="319"/>
        <v>..............</v>
      </c>
      <c r="Z1155" t="str">
        <f t="shared" si="319"/>
        <v>....</v>
      </c>
      <c r="AA1155" t="str">
        <f t="shared" si="307"/>
        <v>.........</v>
      </c>
      <c r="AB1155" t="str">
        <f t="shared" si="316"/>
        <v>.........</v>
      </c>
      <c r="AC1155" t="str">
        <f t="shared" si="317"/>
        <v>.........</v>
      </c>
      <c r="AD1155" t="str">
        <f t="shared" si="318"/>
        <v>........</v>
      </c>
      <c r="AE1155" t="str">
        <f t="shared" si="308"/>
        <v>.......</v>
      </c>
      <c r="AF1155" t="str">
        <f t="shared" si="320"/>
        <v>.....</v>
      </c>
      <c r="AG1155" t="str">
        <f t="shared" si="320"/>
        <v>..........</v>
      </c>
      <c r="AH1155" t="str">
        <f t="shared" si="309"/>
        <v>..........</v>
      </c>
      <c r="AI1155" t="str">
        <f t="shared" si="310"/>
        <v>.......</v>
      </c>
      <c r="AJ1155" t="str">
        <f t="shared" si="311"/>
        <v>.......</v>
      </c>
    </row>
    <row r="1156" spans="1:36" x14ac:dyDescent="0.25">
      <c r="A1156" t="s">
        <v>895</v>
      </c>
      <c r="P1156" t="str">
        <f t="shared" si="312"/>
        <v xml:space="preserve">   9254   14  0 </v>
      </c>
      <c r="Q1156" t="str">
        <f t="shared" si="312"/>
        <v xml:space="preserve">   1.085 </v>
      </c>
      <c r="R1156" t="str">
        <f t="shared" si="305"/>
        <v xml:space="preserve">     0.2 </v>
      </c>
      <c r="S1156" t="str">
        <f t="shared" si="313"/>
        <v xml:space="preserve">     0.0 </v>
      </c>
      <c r="T1156" t="str">
        <f t="shared" si="314"/>
        <v xml:space="preserve">    21.3 </v>
      </c>
      <c r="U1156" t="str">
        <f t="shared" si="318"/>
        <v xml:space="preserve">         0.0 </v>
      </c>
      <c r="V1156" t="str">
        <f t="shared" si="306"/>
        <v xml:space="preserve">     8.5 </v>
      </c>
      <c r="W1156" t="str">
        <f t="shared" si="315"/>
        <v xml:space="preserve">     0.0</v>
      </c>
      <c r="X1156" t="str">
        <f t="shared" si="319"/>
        <v/>
      </c>
      <c r="Y1156" t="str">
        <f t="shared" si="319"/>
        <v/>
      </c>
      <c r="Z1156" t="str">
        <f t="shared" si="319"/>
        <v/>
      </c>
      <c r="AA1156" t="str">
        <f t="shared" si="307"/>
        <v/>
      </c>
      <c r="AB1156" t="str">
        <f t="shared" si="316"/>
        <v/>
      </c>
      <c r="AC1156" t="str">
        <f t="shared" si="317"/>
        <v/>
      </c>
      <c r="AD1156" t="str">
        <f t="shared" si="318"/>
        <v/>
      </c>
      <c r="AE1156" t="str">
        <f t="shared" si="308"/>
        <v/>
      </c>
      <c r="AF1156" t="str">
        <f t="shared" si="320"/>
        <v/>
      </c>
      <c r="AG1156" t="str">
        <f t="shared" si="320"/>
        <v/>
      </c>
      <c r="AH1156" t="str">
        <f t="shared" si="309"/>
        <v/>
      </c>
      <c r="AI1156" t="str">
        <f t="shared" si="310"/>
        <v/>
      </c>
      <c r="AJ1156" t="str">
        <f t="shared" si="311"/>
        <v/>
      </c>
    </row>
    <row r="1157" spans="1:36" x14ac:dyDescent="0.25">
      <c r="A1157" t="s">
        <v>896</v>
      </c>
      <c r="P1157" t="str">
        <f t="shared" si="312"/>
        <v xml:space="preserve">  PALE4E-RS013  </v>
      </c>
      <c r="Q1157" t="str">
        <f t="shared" si="312"/>
        <v xml:space="preserve">   -55.7 </v>
      </c>
      <c r="R1157" t="str">
        <f t="shared" si="305"/>
        <v xml:space="preserve">     0.0 </v>
      </c>
      <c r="S1157" t="str">
        <f t="shared" si="313"/>
        <v xml:space="preserve">     0.0 </v>
      </c>
      <c r="T1157" t="str">
        <f t="shared" si="314"/>
        <v xml:space="preserve">     4.8 </v>
      </c>
      <c r="U1157" t="str">
        <f t="shared" si="318"/>
        <v xml:space="preserve">         0.0 </v>
      </c>
      <c r="V1157" t="str">
        <f t="shared" si="306"/>
        <v xml:space="preserve">     0.0 </v>
      </c>
      <c r="W1157" t="str">
        <f t="shared" si="315"/>
        <v xml:space="preserve">     0.0 </v>
      </c>
      <c r="X1157" t="str">
        <f t="shared" si="319"/>
        <v xml:space="preserve">       </v>
      </c>
      <c r="Y1157" t="str">
        <f t="shared" si="319"/>
        <v xml:space="preserve">              </v>
      </c>
      <c r="Z1157" t="str">
        <f t="shared" si="319"/>
        <v xml:space="preserve">    </v>
      </c>
      <c r="AA1157" t="str">
        <f t="shared" si="307"/>
        <v xml:space="preserve">         </v>
      </c>
      <c r="AB1157" t="str">
        <f t="shared" si="316"/>
        <v xml:space="preserve">         </v>
      </c>
      <c r="AC1157" t="str">
        <f t="shared" si="317"/>
        <v xml:space="preserve">    </v>
      </c>
      <c r="AD1157" t="str">
        <f t="shared" si="318"/>
        <v/>
      </c>
      <c r="AE1157" t="str">
        <f t="shared" si="308"/>
        <v/>
      </c>
      <c r="AF1157" t="str">
        <f t="shared" si="320"/>
        <v/>
      </c>
      <c r="AG1157" t="str">
        <f t="shared" si="320"/>
        <v/>
      </c>
      <c r="AH1157" t="str">
        <f t="shared" si="309"/>
        <v/>
      </c>
      <c r="AI1157" t="str">
        <f t="shared" si="310"/>
        <v/>
      </c>
      <c r="AJ1157" t="str">
        <f t="shared" si="311"/>
        <v/>
      </c>
    </row>
    <row r="1158" spans="1:36" x14ac:dyDescent="0.25">
      <c r="A1158" t="s">
        <v>897</v>
      </c>
      <c r="P1158" t="str">
        <f t="shared" si="312"/>
        <v xml:space="preserve">                </v>
      </c>
      <c r="Q1158" t="str">
        <f t="shared" si="312"/>
        <v xml:space="preserve">         </v>
      </c>
      <c r="R1158" t="str">
        <f t="shared" si="305"/>
        <v xml:space="preserve">    75.0 </v>
      </c>
      <c r="S1158" t="str">
        <f t="shared" si="313"/>
        <v xml:space="preserve">    90.0 </v>
      </c>
      <c r="T1158" t="str">
        <f t="shared" si="314"/>
        <v xml:space="preserve">    90.0 </v>
      </c>
      <c r="U1158" t="str">
        <f t="shared" si="318"/>
        <v xml:space="preserve">       26.3% </v>
      </c>
      <c r="V1158" t="str">
        <f t="shared" si="306"/>
        <v xml:space="preserve">         </v>
      </c>
      <c r="W1158" t="str">
        <f t="shared" si="315"/>
        <v xml:space="preserve">         </v>
      </c>
      <c r="X1158" t="str">
        <f t="shared" si="319"/>
        <v xml:space="preserve"> 41322 </v>
      </c>
      <c r="Y1158" t="str">
        <f t="shared" si="319"/>
        <v xml:space="preserve"> PAL4-E-RS000 </v>
      </c>
      <c r="Z1158" t="str">
        <f t="shared" si="319"/>
        <v xml:space="preserve">  6 </v>
      </c>
      <c r="AA1158" t="str">
        <f t="shared" si="307"/>
        <v xml:space="preserve">   -21.1 </v>
      </c>
      <c r="AB1158" t="str">
        <f t="shared" si="316"/>
        <v xml:space="preserve">     3.7 </v>
      </c>
      <c r="AC1158" t="str">
        <f t="shared" si="317"/>
        <v xml:space="preserve">    19.7 </v>
      </c>
      <c r="AD1158" t="str">
        <f t="shared" si="318"/>
        <v xml:space="preserve"> 1.000F </v>
      </c>
      <c r="AE1158" t="str">
        <f t="shared" si="308"/>
        <v xml:space="preserve">       </v>
      </c>
      <c r="AF1158" t="str">
        <f t="shared" si="320"/>
        <v xml:space="preserve"> 002 </v>
      </c>
      <c r="AG1158" t="str">
        <f t="shared" si="320"/>
        <v xml:space="preserve">     0.00 </v>
      </c>
      <c r="AH1158" t="str">
        <f t="shared" si="309"/>
        <v xml:space="preserve">    -0.03 </v>
      </c>
      <c r="AI1158" t="str">
        <f t="shared" si="310"/>
        <v xml:space="preserve">       </v>
      </c>
      <c r="AJ1158" t="str">
        <f t="shared" si="311"/>
        <v xml:space="preserve">      </v>
      </c>
    </row>
    <row r="1159" spans="1:36" x14ac:dyDescent="0.25">
      <c r="A1159" t="s">
        <v>14</v>
      </c>
      <c r="P1159" t="str">
        <f t="shared" si="312"/>
        <v xml:space="preserve">  ..............</v>
      </c>
      <c r="Q1159" t="str">
        <f t="shared" si="312"/>
        <v>.........</v>
      </c>
      <c r="R1159" t="str">
        <f t="shared" si="305"/>
        <v>.........</v>
      </c>
      <c r="S1159" t="str">
        <f t="shared" si="313"/>
        <v>.........</v>
      </c>
      <c r="T1159" t="str">
        <f t="shared" si="314"/>
        <v>.........</v>
      </c>
      <c r="U1159" t="str">
        <f t="shared" si="318"/>
        <v>.............</v>
      </c>
      <c r="V1159" t="str">
        <f t="shared" si="306"/>
        <v>.........</v>
      </c>
      <c r="W1159" t="str">
        <f t="shared" si="315"/>
        <v>.........</v>
      </c>
      <c r="X1159" t="str">
        <f t="shared" si="319"/>
        <v>.......</v>
      </c>
      <c r="Y1159" t="str">
        <f t="shared" si="319"/>
        <v>..............</v>
      </c>
      <c r="Z1159" t="str">
        <f t="shared" si="319"/>
        <v>....</v>
      </c>
      <c r="AA1159" t="str">
        <f t="shared" si="307"/>
        <v>.........</v>
      </c>
      <c r="AB1159" t="str">
        <f t="shared" si="316"/>
        <v>.........</v>
      </c>
      <c r="AC1159" t="str">
        <f t="shared" si="317"/>
        <v>.........</v>
      </c>
      <c r="AD1159" t="str">
        <f t="shared" si="318"/>
        <v>........</v>
      </c>
      <c r="AE1159" t="str">
        <f t="shared" si="308"/>
        <v>.......</v>
      </c>
      <c r="AF1159" t="str">
        <f t="shared" si="320"/>
        <v>.....</v>
      </c>
      <c r="AG1159" t="str">
        <f t="shared" si="320"/>
        <v>..........</v>
      </c>
      <c r="AH1159" t="str">
        <f t="shared" si="309"/>
        <v>..........</v>
      </c>
      <c r="AI1159" t="str">
        <f t="shared" si="310"/>
        <v>.......</v>
      </c>
      <c r="AJ1159" t="str">
        <f t="shared" si="311"/>
        <v>.......</v>
      </c>
    </row>
    <row r="1160" spans="1:36" x14ac:dyDescent="0.25">
      <c r="A1160" t="s">
        <v>898</v>
      </c>
      <c r="P1160" t="str">
        <f t="shared" si="312"/>
        <v xml:space="preserve">   9255   69  0 </v>
      </c>
      <c r="Q1160" t="str">
        <f t="shared" si="312"/>
        <v xml:space="preserve">   1.012 </v>
      </c>
      <c r="R1160" t="str">
        <f t="shared" si="305"/>
        <v xml:space="preserve">     0.6 </v>
      </c>
      <c r="S1160" t="str">
        <f t="shared" si="313"/>
        <v xml:space="preserve">     0.0 </v>
      </c>
      <c r="T1160" t="str">
        <f t="shared" si="314"/>
        <v xml:space="preserve">    21.2 </v>
      </c>
      <c r="U1160" t="str">
        <f t="shared" si="318"/>
        <v xml:space="preserve">         0.0 </v>
      </c>
      <c r="V1160" t="str">
        <f t="shared" si="306"/>
        <v xml:space="preserve">     7.4 </v>
      </c>
      <c r="W1160" t="str">
        <f t="shared" si="315"/>
        <v xml:space="preserve">     0.0</v>
      </c>
      <c r="X1160" t="str">
        <f t="shared" si="319"/>
        <v/>
      </c>
      <c r="Y1160" t="str">
        <f t="shared" si="319"/>
        <v/>
      </c>
      <c r="Z1160" t="str">
        <f t="shared" si="319"/>
        <v/>
      </c>
      <c r="AA1160" t="str">
        <f t="shared" si="307"/>
        <v/>
      </c>
      <c r="AB1160" t="str">
        <f t="shared" si="316"/>
        <v/>
      </c>
      <c r="AC1160" t="str">
        <f t="shared" si="317"/>
        <v/>
      </c>
      <c r="AD1160" t="str">
        <f t="shared" si="318"/>
        <v/>
      </c>
      <c r="AE1160" t="str">
        <f t="shared" si="308"/>
        <v/>
      </c>
      <c r="AF1160" t="str">
        <f t="shared" si="320"/>
        <v/>
      </c>
      <c r="AG1160" t="str">
        <f t="shared" si="320"/>
        <v/>
      </c>
      <c r="AH1160" t="str">
        <f t="shared" si="309"/>
        <v/>
      </c>
      <c r="AI1160" t="str">
        <f t="shared" si="310"/>
        <v/>
      </c>
      <c r="AJ1160" t="str">
        <f t="shared" si="311"/>
        <v/>
      </c>
    </row>
    <row r="1161" spans="1:36" x14ac:dyDescent="0.25">
      <c r="A1161" t="s">
        <v>899</v>
      </c>
      <c r="P1161" t="str">
        <f t="shared" si="312"/>
        <v xml:space="preserve">  FLORES-RS069  </v>
      </c>
      <c r="Q1161" t="str">
        <f t="shared" si="312"/>
        <v xml:space="preserve">   -54.6 </v>
      </c>
      <c r="R1161" t="str">
        <f t="shared" si="305"/>
        <v xml:space="preserve">     0.0 </v>
      </c>
      <c r="S1161" t="str">
        <f t="shared" si="313"/>
        <v xml:space="preserve">     0.0 </v>
      </c>
      <c r="T1161" t="str">
        <f t="shared" si="314"/>
        <v xml:space="preserve">     5.1 </v>
      </c>
      <c r="U1161" t="str">
        <f t="shared" si="318"/>
        <v xml:space="preserve">         0.0 </v>
      </c>
      <c r="V1161" t="str">
        <f t="shared" si="306"/>
        <v xml:space="preserve">     0.0 </v>
      </c>
      <c r="W1161" t="str">
        <f t="shared" si="315"/>
        <v xml:space="preserve">     0.0 </v>
      </c>
      <c r="X1161" t="str">
        <f t="shared" si="319"/>
        <v xml:space="preserve">       </v>
      </c>
      <c r="Y1161" t="str">
        <f t="shared" si="319"/>
        <v xml:space="preserve">              </v>
      </c>
      <c r="Z1161" t="str">
        <f t="shared" si="319"/>
        <v xml:space="preserve">    </v>
      </c>
      <c r="AA1161" t="str">
        <f t="shared" si="307"/>
        <v xml:space="preserve">         </v>
      </c>
      <c r="AB1161" t="str">
        <f t="shared" si="316"/>
        <v xml:space="preserve">         </v>
      </c>
      <c r="AC1161" t="str">
        <f t="shared" si="317"/>
        <v xml:space="preserve">    </v>
      </c>
      <c r="AD1161" t="str">
        <f t="shared" si="318"/>
        <v/>
      </c>
      <c r="AE1161" t="str">
        <f t="shared" si="308"/>
        <v/>
      </c>
      <c r="AF1161" t="str">
        <f t="shared" si="320"/>
        <v/>
      </c>
      <c r="AG1161" t="str">
        <f t="shared" si="320"/>
        <v/>
      </c>
      <c r="AH1161" t="str">
        <f t="shared" si="309"/>
        <v/>
      </c>
      <c r="AI1161" t="str">
        <f t="shared" si="310"/>
        <v/>
      </c>
      <c r="AJ1161" t="str">
        <f t="shared" si="311"/>
        <v/>
      </c>
    </row>
    <row r="1162" spans="1:36" x14ac:dyDescent="0.25">
      <c r="A1162" t="s">
        <v>900</v>
      </c>
      <c r="P1162" t="str">
        <f t="shared" si="312"/>
        <v xml:space="preserve">                </v>
      </c>
      <c r="Q1162" t="str">
        <f t="shared" si="312"/>
        <v xml:space="preserve">         </v>
      </c>
      <c r="R1162" t="str">
        <f t="shared" si="305"/>
        <v xml:space="preserve">   100.0 </v>
      </c>
      <c r="S1162" t="str">
        <f t="shared" si="313"/>
        <v xml:space="preserve">   100.0 </v>
      </c>
      <c r="T1162" t="str">
        <f t="shared" si="314"/>
        <v xml:space="preserve">   100.0 </v>
      </c>
      <c r="U1162" t="str">
        <f t="shared" si="318"/>
        <v xml:space="preserve">       20.5% </v>
      </c>
      <c r="V1162" t="str">
        <f t="shared" si="306"/>
        <v xml:space="preserve">         </v>
      </c>
      <c r="W1162" t="str">
        <f t="shared" si="315"/>
        <v xml:space="preserve">         </v>
      </c>
      <c r="X1162" t="str">
        <f t="shared" si="319"/>
        <v xml:space="preserve">  9962 </v>
      </c>
      <c r="Y1162" t="str">
        <f t="shared" si="319"/>
        <v xml:space="preserve"> PALEG1-RS069 </v>
      </c>
      <c r="Z1162" t="str">
        <f t="shared" si="319"/>
        <v xml:space="preserve">  1 </v>
      </c>
      <c r="AA1162" t="str">
        <f t="shared" si="307"/>
        <v xml:space="preserve">   -20.6 </v>
      </c>
      <c r="AB1162" t="str">
        <f t="shared" si="316"/>
        <v xml:space="preserve">     2.3 </v>
      </c>
      <c r="AC1162" t="str">
        <f t="shared" si="317"/>
        <v xml:space="preserve">    20.5 </v>
      </c>
      <c r="AD1162" t="str">
        <f t="shared" si="318"/>
        <v xml:space="preserve">        </v>
      </c>
      <c r="AE1162" t="str">
        <f t="shared" si="308"/>
        <v xml:space="preserve">       </v>
      </c>
      <c r="AF1162" t="str">
        <f t="shared" si="320"/>
        <v xml:space="preserve">     </v>
      </c>
      <c r="AG1162" t="str">
        <f t="shared" si="320"/>
        <v xml:space="preserve">     0.01 </v>
      </c>
      <c r="AH1162" t="str">
        <f t="shared" si="309"/>
        <v xml:space="preserve">    -1.30 </v>
      </c>
      <c r="AI1162" t="str">
        <f t="shared" si="310"/>
        <v xml:space="preserve">       </v>
      </c>
      <c r="AJ1162" t="str">
        <f t="shared" si="311"/>
        <v xml:space="preserve">      </v>
      </c>
    </row>
    <row r="1163" spans="1:36" x14ac:dyDescent="0.25">
      <c r="A1163" t="s">
        <v>14</v>
      </c>
      <c r="P1163" t="str">
        <f t="shared" si="312"/>
        <v xml:space="preserve">  ..............</v>
      </c>
      <c r="Q1163" t="str">
        <f t="shared" si="312"/>
        <v>.........</v>
      </c>
      <c r="R1163" t="str">
        <f t="shared" si="305"/>
        <v>.........</v>
      </c>
      <c r="S1163" t="str">
        <f t="shared" si="313"/>
        <v>.........</v>
      </c>
      <c r="T1163" t="str">
        <f t="shared" si="314"/>
        <v>.........</v>
      </c>
      <c r="U1163" t="str">
        <f t="shared" si="318"/>
        <v>.............</v>
      </c>
      <c r="V1163" t="str">
        <f t="shared" si="306"/>
        <v>.........</v>
      </c>
      <c r="W1163" t="str">
        <f t="shared" si="315"/>
        <v>.........</v>
      </c>
      <c r="X1163" t="str">
        <f t="shared" si="319"/>
        <v>.......</v>
      </c>
      <c r="Y1163" t="str">
        <f t="shared" si="319"/>
        <v>..............</v>
      </c>
      <c r="Z1163" t="str">
        <f t="shared" si="319"/>
        <v>....</v>
      </c>
      <c r="AA1163" t="str">
        <f t="shared" si="307"/>
        <v>.........</v>
      </c>
      <c r="AB1163" t="str">
        <f t="shared" si="316"/>
        <v>.........</v>
      </c>
      <c r="AC1163" t="str">
        <f t="shared" si="317"/>
        <v>.........</v>
      </c>
      <c r="AD1163" t="str">
        <f t="shared" si="318"/>
        <v>........</v>
      </c>
      <c r="AE1163" t="str">
        <f t="shared" si="308"/>
        <v>.......</v>
      </c>
      <c r="AF1163" t="str">
        <f t="shared" si="320"/>
        <v>.....</v>
      </c>
      <c r="AG1163" t="str">
        <f t="shared" si="320"/>
        <v>..........</v>
      </c>
      <c r="AH1163" t="str">
        <f t="shared" si="309"/>
        <v>..........</v>
      </c>
      <c r="AI1163" t="str">
        <f t="shared" si="310"/>
        <v>.......</v>
      </c>
      <c r="AJ1163" t="str">
        <f t="shared" si="311"/>
        <v>.......</v>
      </c>
    </row>
    <row r="1164" spans="1:36" x14ac:dyDescent="0.25">
      <c r="A1164" t="s">
        <v>901</v>
      </c>
      <c r="P1164" t="str">
        <f t="shared" si="312"/>
        <v xml:space="preserve">   9256   69  0 </v>
      </c>
      <c r="Q1164" t="str">
        <f t="shared" si="312"/>
        <v xml:space="preserve">   1.012 </v>
      </c>
      <c r="R1164" t="str">
        <f t="shared" ref="R1164:R1227" si="321">MID($A1164,Q$8+Q$9-1,R$9)</f>
        <v xml:space="preserve">     0.8 </v>
      </c>
      <c r="S1164" t="str">
        <f t="shared" si="313"/>
        <v xml:space="preserve">     0.0 </v>
      </c>
      <c r="T1164" t="str">
        <f t="shared" si="314"/>
        <v xml:space="preserve">    36.1 </v>
      </c>
      <c r="U1164" t="str">
        <f t="shared" si="318"/>
        <v xml:space="preserve">         0.0 </v>
      </c>
      <c r="V1164" t="str">
        <f t="shared" ref="V1164:V1227" si="322">MID($A1164,U$8+U$9-1,V$9)</f>
        <v xml:space="preserve">     7.4 </v>
      </c>
      <c r="W1164" t="str">
        <f t="shared" si="315"/>
        <v xml:space="preserve">     0.0</v>
      </c>
      <c r="X1164" t="str">
        <f t="shared" si="319"/>
        <v/>
      </c>
      <c r="Y1164" t="str">
        <f t="shared" si="319"/>
        <v/>
      </c>
      <c r="Z1164" t="str">
        <f t="shared" si="319"/>
        <v/>
      </c>
      <c r="AA1164" t="str">
        <f t="shared" ref="AA1164:AA1227" si="323">MID($A1164,Z$8+Z$9-1,AA$9)</f>
        <v/>
      </c>
      <c r="AB1164" t="str">
        <f t="shared" si="316"/>
        <v/>
      </c>
      <c r="AC1164" t="str">
        <f t="shared" si="317"/>
        <v/>
      </c>
      <c r="AD1164" t="str">
        <f t="shared" si="318"/>
        <v/>
      </c>
      <c r="AE1164" t="str">
        <f t="shared" ref="AE1164:AE1227" si="324">MID($A1164,AD$8+AD$9-1,AE$9)</f>
        <v/>
      </c>
      <c r="AF1164" t="str">
        <f t="shared" si="320"/>
        <v/>
      </c>
      <c r="AG1164" t="str">
        <f t="shared" si="320"/>
        <v/>
      </c>
      <c r="AH1164" t="str">
        <f t="shared" ref="AH1164:AH1227" si="325">MID($A1164,AG$8+AG$9-1,AH$9)</f>
        <v/>
      </c>
      <c r="AI1164" t="str">
        <f t="shared" si="310"/>
        <v/>
      </c>
      <c r="AJ1164" t="str">
        <f t="shared" si="311"/>
        <v/>
      </c>
    </row>
    <row r="1165" spans="1:36" x14ac:dyDescent="0.25">
      <c r="A1165" t="s">
        <v>902</v>
      </c>
      <c r="P1165" t="str">
        <f t="shared" si="312"/>
        <v xml:space="preserve">  PALE20-RS069  </v>
      </c>
      <c r="Q1165" t="str">
        <f t="shared" si="312"/>
        <v xml:space="preserve">   -55.0 </v>
      </c>
      <c r="R1165" t="str">
        <f t="shared" si="321"/>
        <v xml:space="preserve">     0.0 </v>
      </c>
      <c r="S1165" t="str">
        <f t="shared" si="313"/>
        <v xml:space="preserve">     0.0 </v>
      </c>
      <c r="T1165" t="str">
        <f t="shared" si="314"/>
        <v xml:space="preserve">     8.5 </v>
      </c>
      <c r="U1165" t="str">
        <f t="shared" si="318"/>
        <v xml:space="preserve">         0.0 </v>
      </c>
      <c r="V1165" t="str">
        <f t="shared" si="322"/>
        <v xml:space="preserve">     0.0 </v>
      </c>
      <c r="W1165" t="str">
        <f t="shared" si="315"/>
        <v xml:space="preserve">     0.0 </v>
      </c>
      <c r="X1165" t="str">
        <f t="shared" si="319"/>
        <v xml:space="preserve">       </v>
      </c>
      <c r="Y1165" t="str">
        <f t="shared" si="319"/>
        <v xml:space="preserve">              </v>
      </c>
      <c r="Z1165" t="str">
        <f t="shared" si="319"/>
        <v xml:space="preserve">    </v>
      </c>
      <c r="AA1165" t="str">
        <f t="shared" si="323"/>
        <v xml:space="preserve">         </v>
      </c>
      <c r="AB1165" t="str">
        <f t="shared" si="316"/>
        <v xml:space="preserve">         </v>
      </c>
      <c r="AC1165" t="str">
        <f t="shared" si="317"/>
        <v xml:space="preserve">    </v>
      </c>
      <c r="AD1165" t="str">
        <f t="shared" si="318"/>
        <v/>
      </c>
      <c r="AE1165" t="str">
        <f t="shared" si="324"/>
        <v/>
      </c>
      <c r="AF1165" t="str">
        <f t="shared" si="320"/>
        <v/>
      </c>
      <c r="AG1165" t="str">
        <f t="shared" si="320"/>
        <v/>
      </c>
      <c r="AH1165" t="str">
        <f t="shared" si="325"/>
        <v/>
      </c>
      <c r="AI1165" t="str">
        <f t="shared" si="310"/>
        <v/>
      </c>
      <c r="AJ1165" t="str">
        <f t="shared" si="311"/>
        <v/>
      </c>
    </row>
    <row r="1166" spans="1:36" x14ac:dyDescent="0.25">
      <c r="A1166" t="s">
        <v>903</v>
      </c>
      <c r="P1166" t="str">
        <f t="shared" si="312"/>
        <v xml:space="preserve">                </v>
      </c>
      <c r="Q1166" t="str">
        <f t="shared" si="312"/>
        <v xml:space="preserve">         </v>
      </c>
      <c r="R1166" t="str">
        <f t="shared" si="321"/>
        <v xml:space="preserve">    84.0 </v>
      </c>
      <c r="S1166" t="str">
        <f t="shared" si="313"/>
        <v xml:space="preserve">   101.0 </v>
      </c>
      <c r="T1166" t="str">
        <f t="shared" si="314"/>
        <v xml:space="preserve">   101.0 </v>
      </c>
      <c r="U1166" t="str">
        <f t="shared" si="318"/>
        <v xml:space="preserve">       48.2% </v>
      </c>
      <c r="V1166" t="str">
        <f t="shared" si="322"/>
        <v xml:space="preserve">         </v>
      </c>
      <c r="W1166" t="str">
        <f t="shared" si="315"/>
        <v xml:space="preserve">         </v>
      </c>
      <c r="X1166" t="str">
        <f t="shared" si="319"/>
        <v xml:space="preserve">  9226 </v>
      </c>
      <c r="Y1166" t="str">
        <f t="shared" si="319"/>
        <v xml:space="preserve"> GKNPAL-RS069 </v>
      </c>
      <c r="Z1166" t="str">
        <f t="shared" si="319"/>
        <v xml:space="preserve">  1 </v>
      </c>
      <c r="AA1166" t="str">
        <f t="shared" si="323"/>
        <v xml:space="preserve">   -40.8 </v>
      </c>
      <c r="AB1166" t="str">
        <f t="shared" si="316"/>
        <v xml:space="preserve">    -3.3 </v>
      </c>
      <c r="AC1166" t="str">
        <f t="shared" si="317"/>
        <v xml:space="preserve">    40.5 </v>
      </c>
      <c r="AD1166" t="str">
        <f t="shared" si="318"/>
        <v xml:space="preserve">        </v>
      </c>
      <c r="AE1166" t="str">
        <f t="shared" si="324"/>
        <v xml:space="preserve">       </v>
      </c>
      <c r="AF1166" t="str">
        <f t="shared" si="320"/>
        <v xml:space="preserve">     </v>
      </c>
      <c r="AG1166" t="str">
        <f t="shared" si="320"/>
        <v xml:space="preserve">     0.07 </v>
      </c>
      <c r="AH1166" t="str">
        <f t="shared" si="325"/>
        <v xml:space="preserve">     0.21 </v>
      </c>
      <c r="AI1166" t="str">
        <f t="shared" si="310"/>
        <v xml:space="preserve">       </v>
      </c>
      <c r="AJ1166" t="str">
        <f t="shared" si="311"/>
        <v xml:space="preserve">      </v>
      </c>
    </row>
    <row r="1167" spans="1:36" x14ac:dyDescent="0.25">
      <c r="A1167" t="s">
        <v>904</v>
      </c>
      <c r="P1167" t="str">
        <f t="shared" si="312"/>
        <v xml:space="preserve">                </v>
      </c>
      <c r="Q1167" t="str">
        <f t="shared" si="312"/>
        <v xml:space="preserve">         </v>
      </c>
      <c r="R1167" t="str">
        <f t="shared" si="321"/>
        <v xml:space="preserve">    80.0 </v>
      </c>
      <c r="S1167" t="str">
        <f t="shared" si="313"/>
        <v xml:space="preserve">    95.0 </v>
      </c>
      <c r="T1167" t="str">
        <f t="shared" si="314"/>
        <v xml:space="preserve">    95.0 </v>
      </c>
      <c r="U1167" t="str">
        <f t="shared" si="318"/>
        <v xml:space="preserve">        7.3% </v>
      </c>
      <c r="V1167" t="str">
        <f t="shared" si="322"/>
        <v xml:space="preserve">         </v>
      </c>
      <c r="W1167" t="str">
        <f t="shared" si="315"/>
        <v xml:space="preserve">         </v>
      </c>
      <c r="X1167" t="str">
        <f t="shared" si="319"/>
        <v xml:space="preserve"> 10240 </v>
      </c>
      <c r="Y1167" t="str">
        <f t="shared" si="319"/>
        <v xml:space="preserve"> FRAPOR-RS069 </v>
      </c>
      <c r="Z1167" t="str">
        <f t="shared" si="319"/>
        <v xml:space="preserve">  1 </v>
      </c>
      <c r="AA1167" t="str">
        <f t="shared" si="323"/>
        <v xml:space="preserve">     5.5 </v>
      </c>
      <c r="AB1167" t="str">
        <f t="shared" si="316"/>
        <v xml:space="preserve">     2.1 </v>
      </c>
      <c r="AC1167" t="str">
        <f t="shared" si="317"/>
        <v xml:space="preserve">     5.8 </v>
      </c>
      <c r="AD1167" t="str">
        <f t="shared" si="318"/>
        <v xml:space="preserve">        </v>
      </c>
      <c r="AE1167" t="str">
        <f t="shared" si="324"/>
        <v xml:space="preserve">       </v>
      </c>
      <c r="AF1167" t="str">
        <f t="shared" si="320"/>
        <v xml:space="preserve">     </v>
      </c>
      <c r="AG1167" t="str">
        <f t="shared" si="320"/>
        <v xml:space="preserve">     0.00 </v>
      </c>
      <c r="AH1167" t="str">
        <f t="shared" si="325"/>
        <v xml:space="preserve">    -0.05 </v>
      </c>
      <c r="AI1167" t="str">
        <f t="shared" si="310"/>
        <v xml:space="preserve">       </v>
      </c>
      <c r="AJ1167" t="str">
        <f t="shared" si="311"/>
        <v xml:space="preserve">      </v>
      </c>
    </row>
    <row r="1168" spans="1:36" x14ac:dyDescent="0.25">
      <c r="A1168" t="s">
        <v>14</v>
      </c>
      <c r="P1168" t="str">
        <f t="shared" si="312"/>
        <v xml:space="preserve">  ..............</v>
      </c>
      <c r="Q1168" t="str">
        <f t="shared" si="312"/>
        <v>.........</v>
      </c>
      <c r="R1168" t="str">
        <f t="shared" si="321"/>
        <v>.........</v>
      </c>
      <c r="S1168" t="str">
        <f t="shared" si="313"/>
        <v>.........</v>
      </c>
      <c r="T1168" t="str">
        <f t="shared" si="314"/>
        <v>.........</v>
      </c>
      <c r="U1168" t="str">
        <f t="shared" si="318"/>
        <v>.............</v>
      </c>
      <c r="V1168" t="str">
        <f t="shared" si="322"/>
        <v>.........</v>
      </c>
      <c r="W1168" t="str">
        <f t="shared" si="315"/>
        <v>.........</v>
      </c>
      <c r="X1168" t="str">
        <f t="shared" si="319"/>
        <v>.......</v>
      </c>
      <c r="Y1168" t="str">
        <f t="shared" si="319"/>
        <v>..............</v>
      </c>
      <c r="Z1168" t="str">
        <f t="shared" si="319"/>
        <v>....</v>
      </c>
      <c r="AA1168" t="str">
        <f t="shared" si="323"/>
        <v>.........</v>
      </c>
      <c r="AB1168" t="str">
        <f t="shared" si="316"/>
        <v>.........</v>
      </c>
      <c r="AC1168" t="str">
        <f t="shared" si="317"/>
        <v>.........</v>
      </c>
      <c r="AD1168" t="str">
        <f t="shared" si="318"/>
        <v>........</v>
      </c>
      <c r="AE1168" t="str">
        <f t="shared" si="324"/>
        <v>.......</v>
      </c>
      <c r="AF1168" t="str">
        <f t="shared" si="320"/>
        <v>.....</v>
      </c>
      <c r="AG1168" t="str">
        <f t="shared" si="320"/>
        <v>..........</v>
      </c>
      <c r="AH1168" t="str">
        <f t="shared" si="325"/>
        <v>..........</v>
      </c>
      <c r="AI1168" t="str">
        <f t="shared" si="310"/>
        <v>.......</v>
      </c>
      <c r="AJ1168" t="str">
        <f t="shared" si="311"/>
        <v>.......</v>
      </c>
    </row>
    <row r="1169" spans="1:36" x14ac:dyDescent="0.25">
      <c r="A1169" t="s">
        <v>905</v>
      </c>
      <c r="P1169" t="str">
        <f t="shared" si="312"/>
        <v xml:space="preserve">   9257   69  0 </v>
      </c>
      <c r="Q1169" t="str">
        <f t="shared" si="312"/>
        <v xml:space="preserve">   1.009 </v>
      </c>
      <c r="R1169" t="str">
        <f t="shared" si="321"/>
        <v xml:space="preserve">     1.0 </v>
      </c>
      <c r="S1169" t="str">
        <f t="shared" si="313"/>
        <v xml:space="preserve">     0.0 </v>
      </c>
      <c r="T1169" t="str">
        <f t="shared" si="314"/>
        <v xml:space="preserve">    29.3 </v>
      </c>
      <c r="U1169" t="str">
        <f t="shared" si="318"/>
        <v xml:space="preserve">         0.0 </v>
      </c>
      <c r="V1169" t="str">
        <f t="shared" si="322"/>
        <v xml:space="preserve">     7.3 </v>
      </c>
      <c r="W1169" t="str">
        <f t="shared" si="315"/>
        <v xml:space="preserve">     0.0</v>
      </c>
      <c r="X1169" t="str">
        <f t="shared" si="319"/>
        <v/>
      </c>
      <c r="Y1169" t="str">
        <f t="shared" si="319"/>
        <v/>
      </c>
      <c r="Z1169" t="str">
        <f t="shared" si="319"/>
        <v/>
      </c>
      <c r="AA1169" t="str">
        <f t="shared" si="323"/>
        <v/>
      </c>
      <c r="AB1169" t="str">
        <f t="shared" si="316"/>
        <v/>
      </c>
      <c r="AC1169" t="str">
        <f t="shared" si="317"/>
        <v/>
      </c>
      <c r="AD1169" t="str">
        <f t="shared" si="318"/>
        <v/>
      </c>
      <c r="AE1169" t="str">
        <f t="shared" si="324"/>
        <v/>
      </c>
      <c r="AF1169" t="str">
        <f t="shared" si="320"/>
        <v/>
      </c>
      <c r="AG1169" t="str">
        <f t="shared" si="320"/>
        <v/>
      </c>
      <c r="AH1169" t="str">
        <f t="shared" si="325"/>
        <v/>
      </c>
      <c r="AI1169" t="str">
        <f t="shared" si="310"/>
        <v/>
      </c>
      <c r="AJ1169" t="str">
        <f t="shared" si="311"/>
        <v/>
      </c>
    </row>
    <row r="1170" spans="1:36" x14ac:dyDescent="0.25">
      <c r="A1170" t="s">
        <v>906</v>
      </c>
      <c r="P1170" t="str">
        <f t="shared" si="312"/>
        <v xml:space="preserve">  MENDEU-RS069  </v>
      </c>
      <c r="Q1170" t="str">
        <f t="shared" si="312"/>
        <v xml:space="preserve">   -55.9 </v>
      </c>
      <c r="R1170" t="str">
        <f t="shared" si="321"/>
        <v xml:space="preserve">     0.0 </v>
      </c>
      <c r="S1170" t="str">
        <f t="shared" si="313"/>
        <v xml:space="preserve">     0.0 </v>
      </c>
      <c r="T1170" t="str">
        <f t="shared" si="314"/>
        <v xml:space="preserve">    10.7 </v>
      </c>
      <c r="U1170" t="str">
        <f t="shared" si="318"/>
        <v xml:space="preserve">         0.0 </v>
      </c>
      <c r="V1170" t="str">
        <f t="shared" si="322"/>
        <v xml:space="preserve">     0.0 </v>
      </c>
      <c r="W1170" t="str">
        <f t="shared" si="315"/>
        <v xml:space="preserve">     0.0 </v>
      </c>
      <c r="X1170" t="str">
        <f t="shared" si="319"/>
        <v xml:space="preserve">       </v>
      </c>
      <c r="Y1170" t="str">
        <f t="shared" si="319"/>
        <v xml:space="preserve">              </v>
      </c>
      <c r="Z1170" t="str">
        <f t="shared" si="319"/>
        <v xml:space="preserve">    </v>
      </c>
      <c r="AA1170" t="str">
        <f t="shared" si="323"/>
        <v xml:space="preserve">         </v>
      </c>
      <c r="AB1170" t="str">
        <f t="shared" si="316"/>
        <v xml:space="preserve">         </v>
      </c>
      <c r="AC1170" t="str">
        <f t="shared" si="317"/>
        <v xml:space="preserve">    </v>
      </c>
      <c r="AD1170" t="str">
        <f t="shared" si="318"/>
        <v/>
      </c>
      <c r="AE1170" t="str">
        <f t="shared" si="324"/>
        <v/>
      </c>
      <c r="AF1170" t="str">
        <f t="shared" si="320"/>
        <v/>
      </c>
      <c r="AG1170" t="str">
        <f t="shared" si="320"/>
        <v/>
      </c>
      <c r="AH1170" t="str">
        <f t="shared" si="325"/>
        <v/>
      </c>
      <c r="AI1170" t="str">
        <f t="shared" si="310"/>
        <v/>
      </c>
      <c r="AJ1170" t="str">
        <f t="shared" si="311"/>
        <v/>
      </c>
    </row>
    <row r="1171" spans="1:36" x14ac:dyDescent="0.25">
      <c r="A1171" t="s">
        <v>907</v>
      </c>
      <c r="P1171" t="str">
        <f t="shared" si="312"/>
        <v xml:space="preserve">                </v>
      </c>
      <c r="Q1171" t="str">
        <f t="shared" si="312"/>
        <v xml:space="preserve">         </v>
      </c>
      <c r="R1171" t="str">
        <f t="shared" si="321"/>
        <v xml:space="preserve">    80.0 </v>
      </c>
      <c r="S1171" t="str">
        <f t="shared" si="313"/>
        <v xml:space="preserve">    95.0 </v>
      </c>
      <c r="T1171" t="str">
        <f t="shared" si="314"/>
        <v xml:space="preserve">    95.0 </v>
      </c>
      <c r="U1171" t="str">
        <f t="shared" si="318"/>
        <v xml:space="preserve">       35.3% </v>
      </c>
      <c r="V1171" t="str">
        <f t="shared" si="322"/>
        <v xml:space="preserve">         </v>
      </c>
      <c r="W1171" t="str">
        <f t="shared" si="315"/>
        <v xml:space="preserve">         </v>
      </c>
      <c r="X1171" t="str">
        <f t="shared" si="319"/>
        <v xml:space="preserve"> 10024 </v>
      </c>
      <c r="Y1171" t="str">
        <f t="shared" si="319"/>
        <v xml:space="preserve"> HOSCLI-RS069 </v>
      </c>
      <c r="Z1171" t="str">
        <f t="shared" si="319"/>
        <v xml:space="preserve">  1 </v>
      </c>
      <c r="AA1171" t="str">
        <f t="shared" si="323"/>
        <v xml:space="preserve">   -28.3 </v>
      </c>
      <c r="AB1171" t="str">
        <f t="shared" si="316"/>
        <v xml:space="preserve">    -3.4 </v>
      </c>
      <c r="AC1171" t="str">
        <f t="shared" si="317"/>
        <v xml:space="preserve">    28.2 </v>
      </c>
      <c r="AD1171" t="str">
        <f t="shared" si="318"/>
        <v xml:space="preserve">        </v>
      </c>
      <c r="AE1171" t="str">
        <f t="shared" si="324"/>
        <v xml:space="preserve">       </v>
      </c>
      <c r="AF1171" t="str">
        <f t="shared" si="320"/>
        <v xml:space="preserve">     </v>
      </c>
      <c r="AG1171" t="str">
        <f t="shared" si="320"/>
        <v xml:space="preserve">     0.09 </v>
      </c>
      <c r="AH1171" t="str">
        <f t="shared" si="325"/>
        <v xml:space="preserve">    -1.68 </v>
      </c>
      <c r="AI1171" t="str">
        <f t="shared" si="310"/>
        <v xml:space="preserve">       </v>
      </c>
      <c r="AJ1171" t="str">
        <f t="shared" si="311"/>
        <v xml:space="preserve">      </v>
      </c>
    </row>
    <row r="1172" spans="1:36" x14ac:dyDescent="0.25">
      <c r="A1172" t="s">
        <v>14</v>
      </c>
      <c r="P1172" t="str">
        <f t="shared" si="312"/>
        <v xml:space="preserve">  ..............</v>
      </c>
      <c r="Q1172" t="str">
        <f t="shared" si="312"/>
        <v>.........</v>
      </c>
      <c r="R1172" t="str">
        <f t="shared" si="321"/>
        <v>.........</v>
      </c>
      <c r="S1172" t="str">
        <f t="shared" si="313"/>
        <v>.........</v>
      </c>
      <c r="T1172" t="str">
        <f t="shared" si="314"/>
        <v>.........</v>
      </c>
      <c r="U1172" t="str">
        <f t="shared" si="318"/>
        <v>.............</v>
      </c>
      <c r="V1172" t="str">
        <f t="shared" si="322"/>
        <v>.........</v>
      </c>
      <c r="W1172" t="str">
        <f t="shared" si="315"/>
        <v>.........</v>
      </c>
      <c r="X1172" t="str">
        <f t="shared" si="319"/>
        <v>.......</v>
      </c>
      <c r="Y1172" t="str">
        <f t="shared" si="319"/>
        <v>..............</v>
      </c>
      <c r="Z1172" t="str">
        <f t="shared" si="319"/>
        <v>....</v>
      </c>
      <c r="AA1172" t="str">
        <f t="shared" si="323"/>
        <v>.........</v>
      </c>
      <c r="AB1172" t="str">
        <f t="shared" si="316"/>
        <v>.........</v>
      </c>
      <c r="AC1172" t="str">
        <f t="shared" si="317"/>
        <v>.........</v>
      </c>
      <c r="AD1172" t="str">
        <f t="shared" si="318"/>
        <v>........</v>
      </c>
      <c r="AE1172" t="str">
        <f t="shared" si="324"/>
        <v>.......</v>
      </c>
      <c r="AF1172" t="str">
        <f t="shared" si="320"/>
        <v>.....</v>
      </c>
      <c r="AG1172" t="str">
        <f t="shared" si="320"/>
        <v>..........</v>
      </c>
      <c r="AH1172" t="str">
        <f t="shared" si="325"/>
        <v>..........</v>
      </c>
      <c r="AI1172" t="str">
        <f t="shared" si="310"/>
        <v>.......</v>
      </c>
      <c r="AJ1172" t="str">
        <f t="shared" si="311"/>
        <v>.......</v>
      </c>
    </row>
    <row r="1173" spans="1:36" x14ac:dyDescent="0.25">
      <c r="A1173" t="s">
        <v>908</v>
      </c>
      <c r="P1173" t="str">
        <f t="shared" si="312"/>
        <v xml:space="preserve">   9258   69  0 </v>
      </c>
      <c r="Q1173" t="str">
        <f t="shared" si="312"/>
        <v xml:space="preserve">   1.018 </v>
      </c>
      <c r="R1173" t="str">
        <f t="shared" si="321"/>
        <v xml:space="preserve">     1.1 </v>
      </c>
      <c r="S1173" t="str">
        <f t="shared" si="313"/>
        <v xml:space="preserve">     0.0 </v>
      </c>
      <c r="T1173" t="str">
        <f t="shared" si="314"/>
        <v xml:space="preserve">    24.2 </v>
      </c>
      <c r="U1173" t="str">
        <f t="shared" si="318"/>
        <v xml:space="preserve">         0.0 </v>
      </c>
      <c r="V1173" t="str">
        <f t="shared" si="322"/>
        <v xml:space="preserve">     7.5 </v>
      </c>
      <c r="W1173" t="str">
        <f t="shared" si="315"/>
        <v xml:space="preserve">     0.0</v>
      </c>
      <c r="X1173" t="str">
        <f t="shared" si="319"/>
        <v/>
      </c>
      <c r="Y1173" t="str">
        <f t="shared" si="319"/>
        <v/>
      </c>
      <c r="Z1173" t="str">
        <f t="shared" si="319"/>
        <v/>
      </c>
      <c r="AA1173" t="str">
        <f t="shared" si="323"/>
        <v/>
      </c>
      <c r="AB1173" t="str">
        <f t="shared" si="316"/>
        <v/>
      </c>
      <c r="AC1173" t="str">
        <f t="shared" si="317"/>
        <v/>
      </c>
      <c r="AD1173" t="str">
        <f t="shared" si="318"/>
        <v/>
      </c>
      <c r="AE1173" t="str">
        <f t="shared" si="324"/>
        <v/>
      </c>
      <c r="AF1173" t="str">
        <f t="shared" si="320"/>
        <v/>
      </c>
      <c r="AG1173" t="str">
        <f t="shared" si="320"/>
        <v/>
      </c>
      <c r="AH1173" t="str">
        <f t="shared" si="325"/>
        <v/>
      </c>
      <c r="AI1173" t="str">
        <f t="shared" si="310"/>
        <v/>
      </c>
      <c r="AJ1173" t="str">
        <f t="shared" si="311"/>
        <v/>
      </c>
    </row>
    <row r="1174" spans="1:36" x14ac:dyDescent="0.25">
      <c r="A1174" t="s">
        <v>909</v>
      </c>
      <c r="P1174" t="str">
        <f t="shared" si="312"/>
        <v xml:space="preserve">  ALVOR2-RS069  </v>
      </c>
      <c r="Q1174" t="str">
        <f t="shared" si="312"/>
        <v xml:space="preserve">   -55.5 </v>
      </c>
      <c r="R1174" t="str">
        <f t="shared" si="321"/>
        <v xml:space="preserve">     0.0 </v>
      </c>
      <c r="S1174" t="str">
        <f t="shared" si="313"/>
        <v xml:space="preserve">     0.0 </v>
      </c>
      <c r="T1174" t="str">
        <f t="shared" si="314"/>
        <v xml:space="preserve">     6.4 </v>
      </c>
      <c r="U1174" t="str">
        <f t="shared" si="318"/>
        <v xml:space="preserve">         0.0 </v>
      </c>
      <c r="V1174" t="str">
        <f t="shared" si="322"/>
        <v xml:space="preserve">     0.0 </v>
      </c>
      <c r="W1174" t="str">
        <f t="shared" si="315"/>
        <v xml:space="preserve">     0.0 </v>
      </c>
      <c r="X1174" t="str">
        <f t="shared" si="319"/>
        <v xml:space="preserve">       </v>
      </c>
      <c r="Y1174" t="str">
        <f t="shared" si="319"/>
        <v xml:space="preserve">              </v>
      </c>
      <c r="Z1174" t="str">
        <f t="shared" si="319"/>
        <v xml:space="preserve">    </v>
      </c>
      <c r="AA1174" t="str">
        <f t="shared" si="323"/>
        <v xml:space="preserve">         </v>
      </c>
      <c r="AB1174" t="str">
        <f t="shared" si="316"/>
        <v xml:space="preserve">         </v>
      </c>
      <c r="AC1174" t="str">
        <f t="shared" si="317"/>
        <v xml:space="preserve">    </v>
      </c>
      <c r="AD1174" t="str">
        <f t="shared" si="318"/>
        <v/>
      </c>
      <c r="AE1174" t="str">
        <f t="shared" si="324"/>
        <v/>
      </c>
      <c r="AF1174" t="str">
        <f t="shared" si="320"/>
        <v/>
      </c>
      <c r="AG1174" t="str">
        <f t="shared" si="320"/>
        <v/>
      </c>
      <c r="AH1174" t="str">
        <f t="shared" si="325"/>
        <v/>
      </c>
      <c r="AI1174" t="str">
        <f t="shared" si="310"/>
        <v/>
      </c>
      <c r="AJ1174" t="str">
        <f t="shared" si="311"/>
        <v/>
      </c>
    </row>
    <row r="1175" spans="1:36" x14ac:dyDescent="0.25">
      <c r="A1175" t="s">
        <v>910</v>
      </c>
      <c r="P1175" t="str">
        <f t="shared" si="312"/>
        <v xml:space="preserve">                </v>
      </c>
      <c r="Q1175" t="str">
        <f t="shared" si="312"/>
        <v xml:space="preserve">         </v>
      </c>
      <c r="R1175" t="str">
        <f t="shared" si="321"/>
        <v xml:space="preserve">    54.0 </v>
      </c>
      <c r="S1175" t="str">
        <f t="shared" si="313"/>
        <v xml:space="preserve">    79.0 </v>
      </c>
      <c r="T1175" t="str">
        <f t="shared" si="314"/>
        <v xml:space="preserve">    79.0 </v>
      </c>
      <c r="U1175" t="str">
        <f t="shared" si="318"/>
        <v xml:space="preserve">       21.4% </v>
      </c>
      <c r="V1175" t="str">
        <f t="shared" si="322"/>
        <v xml:space="preserve">         </v>
      </c>
      <c r="W1175" t="str">
        <f t="shared" si="315"/>
        <v xml:space="preserve">         </v>
      </c>
      <c r="X1175" t="str">
        <f t="shared" si="319"/>
        <v xml:space="preserve">  1209 </v>
      </c>
      <c r="Y1175" t="str">
        <f t="shared" si="319"/>
        <v xml:space="preserve"> GRAVA2-RS069 </v>
      </c>
      <c r="Z1175" t="str">
        <f t="shared" si="319"/>
        <v xml:space="preserve">  1 </v>
      </c>
      <c r="AA1175" t="str">
        <f t="shared" si="323"/>
        <v xml:space="preserve">   -11.7 </v>
      </c>
      <c r="AB1175" t="str">
        <f t="shared" si="316"/>
        <v xml:space="preserve">    -0.9 </v>
      </c>
      <c r="AC1175" t="str">
        <f t="shared" si="317"/>
        <v xml:space="preserve">    11.6 </v>
      </c>
      <c r="AD1175" t="str">
        <f t="shared" si="318"/>
        <v xml:space="preserve">        </v>
      </c>
      <c r="AE1175" t="str">
        <f t="shared" si="324"/>
        <v xml:space="preserve">       </v>
      </c>
      <c r="AF1175" t="str">
        <f t="shared" si="320"/>
        <v xml:space="preserve">     </v>
      </c>
      <c r="AG1175" t="str">
        <f t="shared" si="320"/>
        <v xml:space="preserve">     0.06 </v>
      </c>
      <c r="AH1175" t="str">
        <f t="shared" si="325"/>
        <v xml:space="preserve">    -0.49 </v>
      </c>
      <c r="AI1175" t="str">
        <f t="shared" ref="AI1175:AI1238" si="326">MID($A1175,AG$8+AG$9+AH$9-2,AI$9)</f>
        <v xml:space="preserve">       </v>
      </c>
      <c r="AJ1175" t="str">
        <f t="shared" ref="AJ1175:AJ1238" si="327">MID($A1175,AG$8+AG$9+AH$9+AI$9-3,AJ$9)</f>
        <v xml:space="preserve">      </v>
      </c>
    </row>
    <row r="1176" spans="1:36" x14ac:dyDescent="0.25">
      <c r="A1176" t="s">
        <v>911</v>
      </c>
      <c r="P1176" t="str">
        <f t="shared" si="312"/>
        <v xml:space="preserve">                </v>
      </c>
      <c r="Q1176" t="str">
        <f t="shared" si="312"/>
        <v xml:space="preserve">         </v>
      </c>
      <c r="R1176" t="str">
        <f t="shared" si="321"/>
        <v xml:space="preserve">    54.0 </v>
      </c>
      <c r="S1176" t="str">
        <f t="shared" si="313"/>
        <v xml:space="preserve">    79.0 </v>
      </c>
      <c r="T1176" t="str">
        <f t="shared" si="314"/>
        <v xml:space="preserve">    79.0 </v>
      </c>
      <c r="U1176" t="str">
        <f t="shared" si="318"/>
        <v xml:space="preserve">       21.0% </v>
      </c>
      <c r="V1176" t="str">
        <f t="shared" si="322"/>
        <v xml:space="preserve">         </v>
      </c>
      <c r="W1176" t="str">
        <f t="shared" si="315"/>
        <v xml:space="preserve">         </v>
      </c>
      <c r="X1176" t="str">
        <f t="shared" si="319"/>
        <v xml:space="preserve">  9264 </v>
      </c>
      <c r="Y1176" t="str">
        <f t="shared" si="319"/>
        <v xml:space="preserve"> VIAMA3-RS069 </v>
      </c>
      <c r="Z1176" t="str">
        <f t="shared" si="319"/>
        <v xml:space="preserve">  1 </v>
      </c>
      <c r="AA1176" t="str">
        <f t="shared" si="323"/>
        <v xml:space="preserve">   -11.4 </v>
      </c>
      <c r="AB1176" t="str">
        <f t="shared" si="316"/>
        <v xml:space="preserve">     2.0 </v>
      </c>
      <c r="AC1176" t="str">
        <f t="shared" si="317"/>
        <v xml:space="preserve">    11.3 </v>
      </c>
      <c r="AD1176" t="str">
        <f t="shared" si="318"/>
        <v xml:space="preserve">        </v>
      </c>
      <c r="AE1176" t="str">
        <f t="shared" si="324"/>
        <v xml:space="preserve">       </v>
      </c>
      <c r="AF1176" t="str">
        <f t="shared" si="320"/>
        <v xml:space="preserve">     </v>
      </c>
      <c r="AG1176" t="str">
        <f t="shared" si="320"/>
        <v xml:space="preserve">     0.03 </v>
      </c>
      <c r="AH1176" t="str">
        <f t="shared" si="325"/>
        <v xml:space="preserve">    -0.24 </v>
      </c>
      <c r="AI1176" t="str">
        <f t="shared" si="326"/>
        <v xml:space="preserve">       </v>
      </c>
      <c r="AJ1176" t="str">
        <f t="shared" si="327"/>
        <v xml:space="preserve">      </v>
      </c>
    </row>
    <row r="1177" spans="1:36" x14ac:dyDescent="0.25">
      <c r="A1177" t="s">
        <v>14</v>
      </c>
      <c r="P1177" t="str">
        <f t="shared" si="312"/>
        <v xml:space="preserve">  ..............</v>
      </c>
      <c r="Q1177" t="str">
        <f t="shared" si="312"/>
        <v>.........</v>
      </c>
      <c r="R1177" t="str">
        <f t="shared" si="321"/>
        <v>.........</v>
      </c>
      <c r="S1177" t="str">
        <f t="shared" si="313"/>
        <v>.........</v>
      </c>
      <c r="T1177" t="str">
        <f t="shared" si="314"/>
        <v>.........</v>
      </c>
      <c r="U1177" t="str">
        <f t="shared" si="318"/>
        <v>.............</v>
      </c>
      <c r="V1177" t="str">
        <f t="shared" si="322"/>
        <v>.........</v>
      </c>
      <c r="W1177" t="str">
        <f t="shared" si="315"/>
        <v>.........</v>
      </c>
      <c r="X1177" t="str">
        <f t="shared" si="319"/>
        <v>.......</v>
      </c>
      <c r="Y1177" t="str">
        <f t="shared" si="319"/>
        <v>..............</v>
      </c>
      <c r="Z1177" t="str">
        <f t="shared" si="319"/>
        <v>....</v>
      </c>
      <c r="AA1177" t="str">
        <f t="shared" si="323"/>
        <v>.........</v>
      </c>
      <c r="AB1177" t="str">
        <f t="shared" si="316"/>
        <v>.........</v>
      </c>
      <c r="AC1177" t="str">
        <f t="shared" si="317"/>
        <v>.........</v>
      </c>
      <c r="AD1177" t="str">
        <f t="shared" si="318"/>
        <v>........</v>
      </c>
      <c r="AE1177" t="str">
        <f t="shared" si="324"/>
        <v>.......</v>
      </c>
      <c r="AF1177" t="str">
        <f t="shared" si="320"/>
        <v>.....</v>
      </c>
      <c r="AG1177" t="str">
        <f t="shared" si="320"/>
        <v>..........</v>
      </c>
      <c r="AH1177" t="str">
        <f t="shared" si="325"/>
        <v>..........</v>
      </c>
      <c r="AI1177" t="str">
        <f t="shared" si="326"/>
        <v>.......</v>
      </c>
      <c r="AJ1177" t="str">
        <f t="shared" si="327"/>
        <v>.......</v>
      </c>
    </row>
    <row r="1178" spans="1:36" x14ac:dyDescent="0.25">
      <c r="A1178" t="s">
        <v>912</v>
      </c>
      <c r="P1178" t="str">
        <f t="shared" si="312"/>
        <v xml:space="preserve">   9260   14  0 </v>
      </c>
      <c r="Q1178" t="str">
        <f t="shared" si="312"/>
        <v xml:space="preserve">   1.099 </v>
      </c>
      <c r="R1178" t="str">
        <f t="shared" si="321"/>
        <v xml:space="preserve">     0.8 </v>
      </c>
      <c r="S1178" t="str">
        <f t="shared" si="313"/>
        <v xml:space="preserve">     0.0 </v>
      </c>
      <c r="T1178" t="str">
        <f t="shared" si="314"/>
        <v xml:space="preserve">    30.4 </v>
      </c>
      <c r="U1178" t="str">
        <f t="shared" si="318"/>
        <v xml:space="preserve">         0.0 </v>
      </c>
      <c r="V1178" t="str">
        <f t="shared" si="322"/>
        <v xml:space="preserve">     4.3 </v>
      </c>
      <c r="W1178" t="str">
        <f t="shared" si="315"/>
        <v xml:space="preserve">     0.0</v>
      </c>
      <c r="X1178" t="str">
        <f t="shared" si="319"/>
        <v/>
      </c>
      <c r="Y1178" t="str">
        <f t="shared" si="319"/>
        <v/>
      </c>
      <c r="Z1178" t="str">
        <f t="shared" si="319"/>
        <v/>
      </c>
      <c r="AA1178" t="str">
        <f t="shared" si="323"/>
        <v/>
      </c>
      <c r="AB1178" t="str">
        <f t="shared" si="316"/>
        <v/>
      </c>
      <c r="AC1178" t="str">
        <f t="shared" si="317"/>
        <v/>
      </c>
      <c r="AD1178" t="str">
        <f t="shared" si="318"/>
        <v/>
      </c>
      <c r="AE1178" t="str">
        <f t="shared" si="324"/>
        <v/>
      </c>
      <c r="AF1178" t="str">
        <f t="shared" si="320"/>
        <v/>
      </c>
      <c r="AG1178" t="str">
        <f t="shared" si="320"/>
        <v/>
      </c>
      <c r="AH1178" t="str">
        <f t="shared" si="325"/>
        <v/>
      </c>
      <c r="AI1178" t="str">
        <f t="shared" si="326"/>
        <v/>
      </c>
      <c r="AJ1178" t="str">
        <f t="shared" si="327"/>
        <v/>
      </c>
    </row>
    <row r="1179" spans="1:36" x14ac:dyDescent="0.25">
      <c r="A1179" t="s">
        <v>913</v>
      </c>
      <c r="P1179" t="str">
        <f t="shared" ref="P1179:Q1242" si="328">MID($A1179,P$8,P$9)</f>
        <v xml:space="preserve">  PAL13B-RS013  </v>
      </c>
      <c r="Q1179" t="str">
        <f t="shared" si="328"/>
        <v xml:space="preserve">   -57.0 </v>
      </c>
      <c r="R1179" t="str">
        <f t="shared" si="321"/>
        <v xml:space="preserve">     0.0 </v>
      </c>
      <c r="S1179" t="str">
        <f t="shared" ref="S1179:S1242" si="329">MID($A1179,Q$8+Q$9+R$9-2,S$9)</f>
        <v xml:space="preserve">     0.0 </v>
      </c>
      <c r="T1179" t="str">
        <f t="shared" ref="T1179:T1242" si="330">MID($A1179,Q$8+Q$9+R$9+S$9-3,T$9)</f>
        <v xml:space="preserve">    10.0 </v>
      </c>
      <c r="U1179" t="str">
        <f t="shared" si="318"/>
        <v xml:space="preserve">         0.0 </v>
      </c>
      <c r="V1179" t="str">
        <f t="shared" si="322"/>
        <v xml:space="preserve">     0.0 </v>
      </c>
      <c r="W1179" t="str">
        <f t="shared" ref="W1179:W1242" si="331">MID($A1179,U$8+U$9+V$9-2,W$9)</f>
        <v xml:space="preserve">     0.0 </v>
      </c>
      <c r="X1179" t="str">
        <f t="shared" si="319"/>
        <v xml:space="preserve">       </v>
      </c>
      <c r="Y1179" t="str">
        <f t="shared" si="319"/>
        <v xml:space="preserve">              </v>
      </c>
      <c r="Z1179" t="str">
        <f t="shared" si="319"/>
        <v xml:space="preserve">    </v>
      </c>
      <c r="AA1179" t="str">
        <f t="shared" si="323"/>
        <v xml:space="preserve">         </v>
      </c>
      <c r="AB1179" t="str">
        <f t="shared" ref="AB1179:AB1242" si="332">MID($A1179,Z$8+Z$9+AA$9-2,AB$9)</f>
        <v xml:space="preserve">         </v>
      </c>
      <c r="AC1179" t="str">
        <f t="shared" ref="AC1179:AC1242" si="333">MID($A1179,Z$8+Z$9+AA$9+AB$9-3,AC$9)</f>
        <v xml:space="preserve">    </v>
      </c>
      <c r="AD1179" t="str">
        <f t="shared" si="318"/>
        <v/>
      </c>
      <c r="AE1179" t="str">
        <f t="shared" si="324"/>
        <v/>
      </c>
      <c r="AF1179" t="str">
        <f t="shared" si="320"/>
        <v/>
      </c>
      <c r="AG1179" t="str">
        <f t="shared" si="320"/>
        <v/>
      </c>
      <c r="AH1179" t="str">
        <f t="shared" si="325"/>
        <v/>
      </c>
      <c r="AI1179" t="str">
        <f t="shared" si="326"/>
        <v/>
      </c>
      <c r="AJ1179" t="str">
        <f t="shared" si="327"/>
        <v/>
      </c>
    </row>
    <row r="1180" spans="1:36" x14ac:dyDescent="0.25">
      <c r="A1180" t="s">
        <v>914</v>
      </c>
      <c r="P1180" t="str">
        <f t="shared" si="328"/>
        <v xml:space="preserve">                </v>
      </c>
      <c r="Q1180" t="str">
        <f t="shared" si="328"/>
        <v xml:space="preserve">         </v>
      </c>
      <c r="R1180" t="str">
        <f t="shared" si="321"/>
        <v xml:space="preserve">    75.0 </v>
      </c>
      <c r="S1180" t="str">
        <f t="shared" si="329"/>
        <v xml:space="preserve">    90.0 </v>
      </c>
      <c r="T1180" t="str">
        <f t="shared" si="330"/>
        <v xml:space="preserve">    90.0 </v>
      </c>
      <c r="U1180" t="str">
        <f t="shared" ref="U1180:AD1243" si="334">MID($A1180,U$8,U$9)</f>
        <v xml:space="preserve">       36.6% </v>
      </c>
      <c r="V1180" t="str">
        <f t="shared" si="322"/>
        <v xml:space="preserve">         </v>
      </c>
      <c r="W1180" t="str">
        <f t="shared" si="331"/>
        <v xml:space="preserve">         </v>
      </c>
      <c r="X1180" t="str">
        <f t="shared" ref="X1180:Z1243" si="335">MID($A1180,X$8,X$9)</f>
        <v xml:space="preserve"> 41314 </v>
      </c>
      <c r="Y1180" t="str">
        <f t="shared" si="335"/>
        <v xml:space="preserve"> PA13-2-RS000 </v>
      </c>
      <c r="Z1180" t="str">
        <f t="shared" si="335"/>
        <v xml:space="preserve">  2 </v>
      </c>
      <c r="AA1180" t="str">
        <f t="shared" si="323"/>
        <v xml:space="preserve">   -29.6 </v>
      </c>
      <c r="AB1180" t="str">
        <f t="shared" si="332"/>
        <v xml:space="preserve">    -5.7 </v>
      </c>
      <c r="AC1180" t="str">
        <f t="shared" si="333"/>
        <v xml:space="preserve">    27.4 </v>
      </c>
      <c r="AD1180" t="str">
        <f t="shared" si="334"/>
        <v xml:space="preserve"> 1.000F </v>
      </c>
      <c r="AE1180" t="str">
        <f t="shared" si="324"/>
        <v xml:space="preserve">       </v>
      </c>
      <c r="AF1180" t="str">
        <f t="shared" si="320"/>
        <v xml:space="preserve"> 002 </v>
      </c>
      <c r="AG1180" t="str">
        <f t="shared" si="320"/>
        <v xml:space="preserve">     0.00 </v>
      </c>
      <c r="AH1180" t="str">
        <f t="shared" si="325"/>
        <v xml:space="preserve">    -0.05 </v>
      </c>
      <c r="AI1180" t="str">
        <f t="shared" si="326"/>
        <v xml:space="preserve">       </v>
      </c>
      <c r="AJ1180" t="str">
        <f t="shared" si="327"/>
        <v xml:space="preserve">      </v>
      </c>
    </row>
    <row r="1181" spans="1:36" x14ac:dyDescent="0.25">
      <c r="A1181" t="s">
        <v>14</v>
      </c>
      <c r="P1181" t="str">
        <f t="shared" si="328"/>
        <v xml:space="preserve">  ..............</v>
      </c>
      <c r="Q1181" t="str">
        <f t="shared" si="328"/>
        <v>.........</v>
      </c>
      <c r="R1181" t="str">
        <f t="shared" si="321"/>
        <v>.........</v>
      </c>
      <c r="S1181" t="str">
        <f t="shared" si="329"/>
        <v>.........</v>
      </c>
      <c r="T1181" t="str">
        <f t="shared" si="330"/>
        <v>.........</v>
      </c>
      <c r="U1181" t="str">
        <f t="shared" si="334"/>
        <v>.............</v>
      </c>
      <c r="V1181" t="str">
        <f t="shared" si="322"/>
        <v>.........</v>
      </c>
      <c r="W1181" t="str">
        <f t="shared" si="331"/>
        <v>.........</v>
      </c>
      <c r="X1181" t="str">
        <f t="shared" si="335"/>
        <v>.......</v>
      </c>
      <c r="Y1181" t="str">
        <f t="shared" si="335"/>
        <v>..............</v>
      </c>
      <c r="Z1181" t="str">
        <f t="shared" si="335"/>
        <v>....</v>
      </c>
      <c r="AA1181" t="str">
        <f t="shared" si="323"/>
        <v>.........</v>
      </c>
      <c r="AB1181" t="str">
        <f t="shared" si="332"/>
        <v>.........</v>
      </c>
      <c r="AC1181" t="str">
        <f t="shared" si="333"/>
        <v>.........</v>
      </c>
      <c r="AD1181" t="str">
        <f t="shared" si="334"/>
        <v>........</v>
      </c>
      <c r="AE1181" t="str">
        <f t="shared" si="324"/>
        <v>.......</v>
      </c>
      <c r="AF1181" t="str">
        <f t="shared" ref="AF1181:AG1244" si="336">MID($A1181,AF$8,AF$9)</f>
        <v>.....</v>
      </c>
      <c r="AG1181" t="str">
        <f t="shared" si="336"/>
        <v>..........</v>
      </c>
      <c r="AH1181" t="str">
        <f t="shared" si="325"/>
        <v>..........</v>
      </c>
      <c r="AI1181" t="str">
        <f t="shared" si="326"/>
        <v>.......</v>
      </c>
      <c r="AJ1181" t="str">
        <f t="shared" si="327"/>
        <v>.......</v>
      </c>
    </row>
    <row r="1182" spans="1:36" x14ac:dyDescent="0.25">
      <c r="A1182" t="s">
        <v>915</v>
      </c>
      <c r="P1182" t="str">
        <f t="shared" si="328"/>
        <v xml:space="preserve">   9261   69  0 </v>
      </c>
      <c r="Q1182" t="str">
        <f t="shared" si="328"/>
        <v xml:space="preserve">   1.004 </v>
      </c>
      <c r="R1182" t="str">
        <f t="shared" si="321"/>
        <v xml:space="preserve">     5.0 </v>
      </c>
      <c r="S1182" t="str">
        <f t="shared" si="329"/>
        <v xml:space="preserve">     0.0 </v>
      </c>
      <c r="T1182" t="str">
        <f t="shared" si="330"/>
        <v xml:space="preserve">    25.3 </v>
      </c>
      <c r="U1182" t="str">
        <f t="shared" si="334"/>
        <v xml:space="preserve">         0.0 </v>
      </c>
      <c r="V1182" t="str">
        <f t="shared" si="322"/>
        <v xml:space="preserve">     0.0 </v>
      </c>
      <c r="W1182" t="str">
        <f t="shared" si="331"/>
        <v xml:space="preserve">     0.0</v>
      </c>
      <c r="X1182" t="str">
        <f t="shared" si="335"/>
        <v/>
      </c>
      <c r="Y1182" t="str">
        <f t="shared" si="335"/>
        <v/>
      </c>
      <c r="Z1182" t="str">
        <f t="shared" si="335"/>
        <v/>
      </c>
      <c r="AA1182" t="str">
        <f t="shared" si="323"/>
        <v/>
      </c>
      <c r="AB1182" t="str">
        <f t="shared" si="332"/>
        <v/>
      </c>
      <c r="AC1182" t="str">
        <f t="shared" si="333"/>
        <v/>
      </c>
      <c r="AD1182" t="str">
        <f t="shared" si="334"/>
        <v/>
      </c>
      <c r="AE1182" t="str">
        <f t="shared" si="324"/>
        <v/>
      </c>
      <c r="AF1182" t="str">
        <f t="shared" si="336"/>
        <v/>
      </c>
      <c r="AG1182" t="str">
        <f t="shared" si="336"/>
        <v/>
      </c>
      <c r="AH1182" t="str">
        <f t="shared" si="325"/>
        <v/>
      </c>
      <c r="AI1182" t="str">
        <f t="shared" si="326"/>
        <v/>
      </c>
      <c r="AJ1182" t="str">
        <f t="shared" si="327"/>
        <v/>
      </c>
    </row>
    <row r="1183" spans="1:36" x14ac:dyDescent="0.25">
      <c r="A1183" t="s">
        <v>916</v>
      </c>
      <c r="P1183" t="str">
        <f t="shared" si="328"/>
        <v xml:space="preserve">  CLARGO-RS069  </v>
      </c>
      <c r="Q1183" t="str">
        <f t="shared" si="328"/>
        <v xml:space="preserve">   -47.4 </v>
      </c>
      <c r="R1183" t="str">
        <f t="shared" si="321"/>
        <v xml:space="preserve">     0.0 </v>
      </c>
      <c r="S1183" t="str">
        <f t="shared" si="329"/>
        <v xml:space="preserve">     0.0 </v>
      </c>
      <c r="T1183" t="str">
        <f t="shared" si="330"/>
        <v xml:space="preserve">     8.0 </v>
      </c>
      <c r="U1183" t="str">
        <f t="shared" si="334"/>
        <v xml:space="preserve">         0.0 </v>
      </c>
      <c r="V1183" t="str">
        <f t="shared" si="322"/>
        <v xml:space="preserve">     0.0 </v>
      </c>
      <c r="W1183" t="str">
        <f t="shared" si="331"/>
        <v xml:space="preserve">     0.0 </v>
      </c>
      <c r="X1183" t="str">
        <f t="shared" si="335"/>
        <v xml:space="preserve">       </v>
      </c>
      <c r="Y1183" t="str">
        <f t="shared" si="335"/>
        <v xml:space="preserve">              </v>
      </c>
      <c r="Z1183" t="str">
        <f t="shared" si="335"/>
        <v xml:space="preserve">    </v>
      </c>
      <c r="AA1183" t="str">
        <f t="shared" si="323"/>
        <v xml:space="preserve">         </v>
      </c>
      <c r="AB1183" t="str">
        <f t="shared" si="332"/>
        <v xml:space="preserve">         </v>
      </c>
      <c r="AC1183" t="str">
        <f t="shared" si="333"/>
        <v xml:space="preserve">    </v>
      </c>
      <c r="AD1183" t="str">
        <f t="shared" si="334"/>
        <v/>
      </c>
      <c r="AE1183" t="str">
        <f t="shared" si="324"/>
        <v/>
      </c>
      <c r="AF1183" t="str">
        <f t="shared" si="336"/>
        <v/>
      </c>
      <c r="AG1183" t="str">
        <f t="shared" si="336"/>
        <v/>
      </c>
      <c r="AH1183" t="str">
        <f t="shared" si="325"/>
        <v/>
      </c>
      <c r="AI1183" t="str">
        <f t="shared" si="326"/>
        <v/>
      </c>
      <c r="AJ1183" t="str">
        <f t="shared" si="327"/>
        <v/>
      </c>
    </row>
    <row r="1184" spans="1:36" x14ac:dyDescent="0.25">
      <c r="A1184" t="s">
        <v>917</v>
      </c>
      <c r="P1184" t="str">
        <f t="shared" si="328"/>
        <v xml:space="preserve">                </v>
      </c>
      <c r="Q1184" t="str">
        <f t="shared" si="328"/>
        <v xml:space="preserve">         </v>
      </c>
      <c r="R1184" t="str">
        <f t="shared" si="321"/>
        <v xml:space="preserve">    48.0 </v>
      </c>
      <c r="S1184" t="str">
        <f t="shared" si="329"/>
        <v xml:space="preserve">    71.0 </v>
      </c>
      <c r="T1184" t="str">
        <f t="shared" si="330"/>
        <v xml:space="preserve">    71.0 </v>
      </c>
      <c r="U1184" t="str">
        <f t="shared" si="334"/>
        <v xml:space="preserve">        7.5% </v>
      </c>
      <c r="V1184" t="str">
        <f t="shared" si="322"/>
        <v xml:space="preserve">         </v>
      </c>
      <c r="W1184" t="str">
        <f t="shared" si="331"/>
        <v xml:space="preserve">         </v>
      </c>
      <c r="X1184" t="str">
        <f t="shared" si="335"/>
        <v xml:space="preserve">  1282 </v>
      </c>
      <c r="Y1184" t="str">
        <f t="shared" si="335"/>
        <v xml:space="preserve"> SROSA--RS069 </v>
      </c>
      <c r="Z1184" t="str">
        <f t="shared" si="335"/>
        <v xml:space="preserve">  1 </v>
      </c>
      <c r="AA1184" t="str">
        <f t="shared" si="323"/>
        <v xml:space="preserve">     2.5 </v>
      </c>
      <c r="AB1184" t="str">
        <f t="shared" si="332"/>
        <v xml:space="preserve">    -2.6 </v>
      </c>
      <c r="AC1184" t="str">
        <f t="shared" si="333"/>
        <v xml:space="preserve">     3.6 </v>
      </c>
      <c r="AD1184" t="str">
        <f t="shared" si="334"/>
        <v xml:space="preserve">        </v>
      </c>
      <c r="AE1184" t="str">
        <f t="shared" si="324"/>
        <v xml:space="preserve">       </v>
      </c>
      <c r="AF1184" t="str">
        <f t="shared" si="336"/>
        <v xml:space="preserve">     </v>
      </c>
      <c r="AG1184" t="str">
        <f t="shared" si="336"/>
        <v xml:space="preserve">     0.02 </v>
      </c>
      <c r="AH1184" t="str">
        <f t="shared" si="325"/>
        <v xml:space="preserve">    -0.64 </v>
      </c>
      <c r="AI1184" t="str">
        <f t="shared" si="326"/>
        <v xml:space="preserve">       </v>
      </c>
      <c r="AJ1184" t="str">
        <f t="shared" si="327"/>
        <v xml:space="preserve">      </v>
      </c>
    </row>
    <row r="1185" spans="1:36" x14ac:dyDescent="0.25">
      <c r="A1185" t="s">
        <v>918</v>
      </c>
      <c r="P1185" t="str">
        <f t="shared" si="328"/>
        <v xml:space="preserve">                </v>
      </c>
      <c r="Q1185" t="str">
        <f t="shared" si="328"/>
        <v xml:space="preserve">         </v>
      </c>
      <c r="R1185" t="str">
        <f t="shared" si="321"/>
        <v xml:space="preserve">    82.0 </v>
      </c>
      <c r="S1185" t="str">
        <f t="shared" si="329"/>
        <v xml:space="preserve">    82.0 </v>
      </c>
      <c r="T1185" t="str">
        <f t="shared" si="330"/>
        <v xml:space="preserve">    82.0 </v>
      </c>
      <c r="U1185" t="str">
        <f t="shared" si="334"/>
        <v xml:space="preserve">       28.5% </v>
      </c>
      <c r="V1185" t="str">
        <f t="shared" si="322"/>
        <v xml:space="preserve">         </v>
      </c>
      <c r="W1185" t="str">
        <f t="shared" si="331"/>
        <v xml:space="preserve">         </v>
      </c>
      <c r="X1185" t="str">
        <f t="shared" si="335"/>
        <v xml:space="preserve">  9221 </v>
      </c>
      <c r="Y1185" t="str">
        <f t="shared" si="335"/>
        <v xml:space="preserve"> SJOSE--RS069 </v>
      </c>
      <c r="Z1185" t="str">
        <f t="shared" si="335"/>
        <v xml:space="preserve">  1 </v>
      </c>
      <c r="AA1185" t="str">
        <f t="shared" si="323"/>
        <v xml:space="preserve">   -22.8 </v>
      </c>
      <c r="AB1185" t="str">
        <f t="shared" si="332"/>
        <v xml:space="preserve">    -5.4 </v>
      </c>
      <c r="AC1185" t="str">
        <f t="shared" si="333"/>
        <v xml:space="preserve">    23.4 </v>
      </c>
      <c r="AD1185" t="str">
        <f t="shared" si="334"/>
        <v xml:space="preserve">        </v>
      </c>
      <c r="AE1185" t="str">
        <f t="shared" si="324"/>
        <v xml:space="preserve">       </v>
      </c>
      <c r="AF1185" t="str">
        <f t="shared" si="336"/>
        <v xml:space="preserve">     </v>
      </c>
      <c r="AG1185" t="str">
        <f t="shared" si="336"/>
        <v xml:space="preserve">     0.17 </v>
      </c>
      <c r="AH1185" t="str">
        <f t="shared" si="325"/>
        <v xml:space="preserve">     0.46 </v>
      </c>
      <c r="AI1185" t="str">
        <f t="shared" si="326"/>
        <v xml:space="preserve">       </v>
      </c>
      <c r="AJ1185" t="str">
        <f t="shared" si="327"/>
        <v xml:space="preserve">      </v>
      </c>
    </row>
    <row r="1186" spans="1:36" x14ac:dyDescent="0.25">
      <c r="A1186" t="s">
        <v>14</v>
      </c>
      <c r="P1186" t="str">
        <f t="shared" si="328"/>
        <v xml:space="preserve">  ..............</v>
      </c>
      <c r="Q1186" t="str">
        <f t="shared" si="328"/>
        <v>.........</v>
      </c>
      <c r="R1186" t="str">
        <f t="shared" si="321"/>
        <v>.........</v>
      </c>
      <c r="S1186" t="str">
        <f t="shared" si="329"/>
        <v>.........</v>
      </c>
      <c r="T1186" t="str">
        <f t="shared" si="330"/>
        <v>.........</v>
      </c>
      <c r="U1186" t="str">
        <f t="shared" si="334"/>
        <v>.............</v>
      </c>
      <c r="V1186" t="str">
        <f t="shared" si="322"/>
        <v>.........</v>
      </c>
      <c r="W1186" t="str">
        <f t="shared" si="331"/>
        <v>.........</v>
      </c>
      <c r="X1186" t="str">
        <f t="shared" si="335"/>
        <v>.......</v>
      </c>
      <c r="Y1186" t="str">
        <f t="shared" si="335"/>
        <v>..............</v>
      </c>
      <c r="Z1186" t="str">
        <f t="shared" si="335"/>
        <v>....</v>
      </c>
      <c r="AA1186" t="str">
        <f t="shared" si="323"/>
        <v>.........</v>
      </c>
      <c r="AB1186" t="str">
        <f t="shared" si="332"/>
        <v>.........</v>
      </c>
      <c r="AC1186" t="str">
        <f t="shared" si="333"/>
        <v>.........</v>
      </c>
      <c r="AD1186" t="str">
        <f t="shared" si="334"/>
        <v>........</v>
      </c>
      <c r="AE1186" t="str">
        <f t="shared" si="324"/>
        <v>.......</v>
      </c>
      <c r="AF1186" t="str">
        <f t="shared" si="336"/>
        <v>.....</v>
      </c>
      <c r="AG1186" t="str">
        <f t="shared" si="336"/>
        <v>..........</v>
      </c>
      <c r="AH1186" t="str">
        <f t="shared" si="325"/>
        <v>..........</v>
      </c>
      <c r="AI1186" t="str">
        <f t="shared" si="326"/>
        <v>.......</v>
      </c>
      <c r="AJ1186" t="str">
        <f t="shared" si="327"/>
        <v>.......</v>
      </c>
    </row>
    <row r="1187" spans="1:36" x14ac:dyDescent="0.25">
      <c r="A1187" t="s">
        <v>919</v>
      </c>
      <c r="P1187" t="str">
        <f t="shared" si="328"/>
        <v xml:space="preserve">   9264   69  0 </v>
      </c>
      <c r="Q1187" t="str">
        <f t="shared" si="328"/>
        <v xml:space="preserve">   1.018 </v>
      </c>
      <c r="R1187" t="str">
        <f t="shared" si="321"/>
        <v xml:space="preserve">     0.0 </v>
      </c>
      <c r="S1187" t="str">
        <f t="shared" si="329"/>
        <v xml:space="preserve">     0.0 </v>
      </c>
      <c r="T1187" t="str">
        <f t="shared" si="330"/>
        <v xml:space="preserve">     0.0 </v>
      </c>
      <c r="U1187" t="str">
        <f t="shared" si="334"/>
        <v xml:space="preserve">         0.0 </v>
      </c>
      <c r="V1187" t="str">
        <f t="shared" si="322"/>
        <v xml:space="preserve">     0.0 </v>
      </c>
      <c r="W1187" t="str">
        <f t="shared" si="331"/>
        <v xml:space="preserve">     0.0</v>
      </c>
      <c r="X1187" t="str">
        <f t="shared" si="335"/>
        <v/>
      </c>
      <c r="Y1187" t="str">
        <f t="shared" si="335"/>
        <v/>
      </c>
      <c r="Z1187" t="str">
        <f t="shared" si="335"/>
        <v/>
      </c>
      <c r="AA1187" t="str">
        <f t="shared" si="323"/>
        <v/>
      </c>
      <c r="AB1187" t="str">
        <f t="shared" si="332"/>
        <v/>
      </c>
      <c r="AC1187" t="str">
        <f t="shared" si="333"/>
        <v/>
      </c>
      <c r="AD1187" t="str">
        <f t="shared" si="334"/>
        <v/>
      </c>
      <c r="AE1187" t="str">
        <f t="shared" si="324"/>
        <v/>
      </c>
      <c r="AF1187" t="str">
        <f t="shared" si="336"/>
        <v/>
      </c>
      <c r="AG1187" t="str">
        <f t="shared" si="336"/>
        <v/>
      </c>
      <c r="AH1187" t="str">
        <f t="shared" si="325"/>
        <v/>
      </c>
      <c r="AI1187" t="str">
        <f t="shared" si="326"/>
        <v/>
      </c>
      <c r="AJ1187" t="str">
        <f t="shared" si="327"/>
        <v/>
      </c>
    </row>
    <row r="1188" spans="1:36" x14ac:dyDescent="0.25">
      <c r="A1188" t="s">
        <v>920</v>
      </c>
      <c r="P1188" t="str">
        <f t="shared" si="328"/>
        <v xml:space="preserve">  VIAMA3-RS069  </v>
      </c>
      <c r="Q1188" t="str">
        <f t="shared" si="328"/>
        <v xml:space="preserve">   -54.8 </v>
      </c>
      <c r="R1188" t="str">
        <f t="shared" si="321"/>
        <v xml:space="preserve">     0.0 </v>
      </c>
      <c r="S1188" t="str">
        <f t="shared" si="329"/>
        <v xml:space="preserve">     0.0 </v>
      </c>
      <c r="T1188" t="str">
        <f t="shared" si="330"/>
        <v xml:space="preserve">     0.0 </v>
      </c>
      <c r="U1188" t="str">
        <f t="shared" si="334"/>
        <v xml:space="preserve">         0.0 </v>
      </c>
      <c r="V1188" t="str">
        <f t="shared" si="322"/>
        <v xml:space="preserve">     0.0 </v>
      </c>
      <c r="W1188" t="str">
        <f t="shared" si="331"/>
        <v xml:space="preserve">     0.0 </v>
      </c>
      <c r="X1188" t="str">
        <f t="shared" si="335"/>
        <v xml:space="preserve">       </v>
      </c>
      <c r="Y1188" t="str">
        <f t="shared" si="335"/>
        <v xml:space="preserve">              </v>
      </c>
      <c r="Z1188" t="str">
        <f t="shared" si="335"/>
        <v xml:space="preserve">    </v>
      </c>
      <c r="AA1188" t="str">
        <f t="shared" si="323"/>
        <v xml:space="preserve">         </v>
      </c>
      <c r="AB1188" t="str">
        <f t="shared" si="332"/>
        <v xml:space="preserve">         </v>
      </c>
      <c r="AC1188" t="str">
        <f t="shared" si="333"/>
        <v xml:space="preserve">    </v>
      </c>
      <c r="AD1188" t="str">
        <f t="shared" si="334"/>
        <v/>
      </c>
      <c r="AE1188" t="str">
        <f t="shared" si="324"/>
        <v/>
      </c>
      <c r="AF1188" t="str">
        <f t="shared" si="336"/>
        <v/>
      </c>
      <c r="AG1188" t="str">
        <f t="shared" si="336"/>
        <v/>
      </c>
      <c r="AH1188" t="str">
        <f t="shared" si="325"/>
        <v/>
      </c>
      <c r="AI1188" t="str">
        <f t="shared" si="326"/>
        <v/>
      </c>
      <c r="AJ1188" t="str">
        <f t="shared" si="327"/>
        <v/>
      </c>
    </row>
    <row r="1189" spans="1:36" x14ac:dyDescent="0.25">
      <c r="A1189" t="s">
        <v>921</v>
      </c>
      <c r="P1189" t="str">
        <f t="shared" si="328"/>
        <v xml:space="preserve">              DE</v>
      </c>
      <c r="Q1189" t="str">
        <f t="shared" si="328"/>
        <v xml:space="preserve">ESLIGADO </v>
      </c>
      <c r="R1189" t="str">
        <f t="shared" si="321"/>
        <v xml:space="preserve">    54.0 </v>
      </c>
      <c r="S1189" t="str">
        <f t="shared" si="329"/>
        <v xml:space="preserve">    79.0 </v>
      </c>
      <c r="T1189" t="str">
        <f t="shared" si="330"/>
        <v xml:space="preserve">    79.0 </v>
      </c>
      <c r="U1189" t="str">
        <f t="shared" si="334"/>
        <v xml:space="preserve">             </v>
      </c>
      <c r="V1189" t="str">
        <f t="shared" si="322"/>
        <v xml:space="preserve">         </v>
      </c>
      <c r="W1189" t="str">
        <f t="shared" si="331"/>
        <v xml:space="preserve">         </v>
      </c>
      <c r="X1189" t="str">
        <f t="shared" si="335"/>
        <v xml:space="preserve">  9232 </v>
      </c>
      <c r="Y1189" t="str">
        <f t="shared" si="335"/>
        <v xml:space="preserve"> ALVORA-RS069 </v>
      </c>
      <c r="Z1189" t="str">
        <f t="shared" si="335"/>
        <v xml:space="preserve">  1 </v>
      </c>
      <c r="AA1189" t="str">
        <f t="shared" si="323"/>
        <v xml:space="preserve">     0.0 </v>
      </c>
      <c r="AB1189" t="str">
        <f t="shared" si="332"/>
        <v xml:space="preserve">     0.0 </v>
      </c>
      <c r="AC1189" t="str">
        <f t="shared" si="333"/>
        <v xml:space="preserve">     0.0 </v>
      </c>
      <c r="AD1189" t="str">
        <f t="shared" si="334"/>
        <v xml:space="preserve">        </v>
      </c>
      <c r="AE1189" t="str">
        <f t="shared" si="324"/>
        <v xml:space="preserve">       </v>
      </c>
      <c r="AF1189" t="str">
        <f t="shared" si="336"/>
        <v xml:space="preserve">     </v>
      </c>
      <c r="AG1189" t="str">
        <f t="shared" si="336"/>
        <v xml:space="preserve">     0.00 </v>
      </c>
      <c r="AH1189" t="str">
        <f t="shared" si="325"/>
        <v xml:space="preserve">     0.00 </v>
      </c>
      <c r="AI1189" t="str">
        <f t="shared" si="326"/>
        <v xml:space="preserve">       </v>
      </c>
      <c r="AJ1189" t="str">
        <f t="shared" si="327"/>
        <v xml:space="preserve">      </v>
      </c>
    </row>
    <row r="1190" spans="1:36" x14ac:dyDescent="0.25">
      <c r="A1190" t="s">
        <v>922</v>
      </c>
      <c r="P1190" t="str">
        <f t="shared" si="328"/>
        <v xml:space="preserve">                </v>
      </c>
      <c r="Q1190" t="str">
        <f t="shared" si="328"/>
        <v xml:space="preserve">         </v>
      </c>
      <c r="R1190" t="str">
        <f t="shared" si="321"/>
        <v xml:space="preserve">    54.0 </v>
      </c>
      <c r="S1190" t="str">
        <f t="shared" si="329"/>
        <v xml:space="preserve">    79.0 </v>
      </c>
      <c r="T1190" t="str">
        <f t="shared" si="330"/>
        <v xml:space="preserve">    79.0 </v>
      </c>
      <c r="U1190" t="str">
        <f t="shared" si="334"/>
        <v xml:space="preserve">       97.8% </v>
      </c>
      <c r="V1190" t="str">
        <f t="shared" si="322"/>
        <v xml:space="preserve">         </v>
      </c>
      <c r="W1190" t="str">
        <f t="shared" si="331"/>
        <v xml:space="preserve">         </v>
      </c>
      <c r="X1190" t="str">
        <f t="shared" si="335"/>
        <v xml:space="preserve">  9233 </v>
      </c>
      <c r="Y1190" t="str">
        <f t="shared" si="335"/>
        <v xml:space="preserve"> VIAMA1-RS069 </v>
      </c>
      <c r="Z1190" t="str">
        <f t="shared" si="335"/>
        <v xml:space="preserve">  1 </v>
      </c>
      <c r="AA1190" t="str">
        <f t="shared" si="323"/>
        <v xml:space="preserve">    52.5 </v>
      </c>
      <c r="AB1190" t="str">
        <f t="shared" si="332"/>
        <v xml:space="preserve">    11.6 </v>
      </c>
      <c r="AC1190" t="str">
        <f t="shared" si="333"/>
        <v xml:space="preserve">    52.8 </v>
      </c>
      <c r="AD1190" t="str">
        <f t="shared" si="334"/>
        <v xml:space="preserve">        </v>
      </c>
      <c r="AE1190" t="str">
        <f t="shared" si="324"/>
        <v xml:space="preserve">       </v>
      </c>
      <c r="AF1190" t="str">
        <f t="shared" si="336"/>
        <v xml:space="preserve">     </v>
      </c>
      <c r="AG1190" t="str">
        <f t="shared" si="336"/>
        <v xml:space="preserve">     0.32 </v>
      </c>
      <c r="AH1190" t="str">
        <f t="shared" si="325"/>
        <v xml:space="preserve">     1.26 </v>
      </c>
      <c r="AI1190" t="str">
        <f t="shared" si="326"/>
        <v xml:space="preserve">       </v>
      </c>
      <c r="AJ1190" t="str">
        <f t="shared" si="327"/>
        <v xml:space="preserve">      </v>
      </c>
    </row>
    <row r="1191" spans="1:36" x14ac:dyDescent="0.25">
      <c r="A1191" t="s">
        <v>923</v>
      </c>
      <c r="P1191" t="str">
        <f t="shared" si="328"/>
        <v xml:space="preserve">                </v>
      </c>
      <c r="Q1191" t="str">
        <f t="shared" si="328"/>
        <v xml:space="preserve">         </v>
      </c>
      <c r="R1191" t="str">
        <f t="shared" si="321"/>
        <v xml:space="preserve">    54.0 </v>
      </c>
      <c r="S1191" t="str">
        <f t="shared" si="329"/>
        <v xml:space="preserve">    79.0 </v>
      </c>
      <c r="T1191" t="str">
        <f t="shared" si="330"/>
        <v xml:space="preserve">    79.0 </v>
      </c>
      <c r="U1191" t="str">
        <f t="shared" si="334"/>
        <v xml:space="preserve">       21.1% </v>
      </c>
      <c r="V1191" t="str">
        <f t="shared" si="322"/>
        <v xml:space="preserve">         </v>
      </c>
      <c r="W1191" t="str">
        <f t="shared" si="331"/>
        <v xml:space="preserve">         </v>
      </c>
      <c r="X1191" t="str">
        <f t="shared" si="335"/>
        <v xml:space="preserve">  9258 </v>
      </c>
      <c r="Y1191" t="str">
        <f t="shared" si="335"/>
        <v xml:space="preserve"> ALVOR2-RS069 </v>
      </c>
      <c r="Z1191" t="str">
        <f t="shared" si="335"/>
        <v xml:space="preserve">  1 </v>
      </c>
      <c r="AA1191" t="str">
        <f t="shared" si="323"/>
        <v xml:space="preserve">    11.4 </v>
      </c>
      <c r="AB1191" t="str">
        <f t="shared" si="332"/>
        <v xml:space="preserve">    -2.2 </v>
      </c>
      <c r="AC1191" t="str">
        <f t="shared" si="333"/>
        <v xml:space="preserve">    11.4 </v>
      </c>
      <c r="AD1191" t="str">
        <f t="shared" si="334"/>
        <v xml:space="preserve">        </v>
      </c>
      <c r="AE1191" t="str">
        <f t="shared" si="324"/>
        <v xml:space="preserve">       </v>
      </c>
      <c r="AF1191" t="str">
        <f t="shared" si="336"/>
        <v xml:space="preserve">     </v>
      </c>
      <c r="AG1191" t="str">
        <f t="shared" si="336"/>
        <v xml:space="preserve">     0.03 </v>
      </c>
      <c r="AH1191" t="str">
        <f t="shared" si="325"/>
        <v xml:space="preserve">    -0.24 </v>
      </c>
      <c r="AI1191" t="str">
        <f t="shared" si="326"/>
        <v xml:space="preserve">       </v>
      </c>
      <c r="AJ1191" t="str">
        <f t="shared" si="327"/>
        <v xml:space="preserve">      </v>
      </c>
    </row>
    <row r="1192" spans="1:36" x14ac:dyDescent="0.25">
      <c r="A1192" t="s">
        <v>924</v>
      </c>
      <c r="P1192" t="str">
        <f t="shared" si="328"/>
        <v xml:space="preserve">                </v>
      </c>
      <c r="Q1192" t="str">
        <f t="shared" si="328"/>
        <v xml:space="preserve">         </v>
      </c>
      <c r="R1192" t="str">
        <f t="shared" si="321"/>
        <v xml:space="preserve">    54.0 </v>
      </c>
      <c r="S1192" t="str">
        <f t="shared" si="329"/>
        <v xml:space="preserve">    79.0 </v>
      </c>
      <c r="T1192" t="str">
        <f t="shared" si="330"/>
        <v xml:space="preserve">    79.0 </v>
      </c>
      <c r="U1192" t="str">
        <f t="shared" si="334"/>
        <v xml:space="preserve">       30.7% </v>
      </c>
      <c r="V1192" t="str">
        <f t="shared" si="322"/>
        <v xml:space="preserve">         </v>
      </c>
      <c r="W1192" t="str">
        <f t="shared" si="331"/>
        <v xml:space="preserve">         </v>
      </c>
      <c r="X1192" t="str">
        <f t="shared" si="335"/>
        <v xml:space="preserve">  9269 </v>
      </c>
      <c r="Y1192" t="str">
        <f t="shared" si="335"/>
        <v xml:space="preserve"> PALE16-RS069 </v>
      </c>
      <c r="Z1192" t="str">
        <f t="shared" si="335"/>
        <v xml:space="preserve">  1 </v>
      </c>
      <c r="AA1192" t="str">
        <f t="shared" si="323"/>
        <v xml:space="preserve">    16.1 </v>
      </c>
      <c r="AB1192" t="str">
        <f t="shared" si="332"/>
        <v xml:space="preserve">     5.2 </v>
      </c>
      <c r="AC1192" t="str">
        <f t="shared" si="333"/>
        <v xml:space="preserve">    16.6 </v>
      </c>
      <c r="AD1192" t="str">
        <f t="shared" si="334"/>
        <v xml:space="preserve">        </v>
      </c>
      <c r="AE1192" t="str">
        <f t="shared" si="324"/>
        <v xml:space="preserve">       </v>
      </c>
      <c r="AF1192" t="str">
        <f t="shared" si="336"/>
        <v xml:space="preserve">     </v>
      </c>
      <c r="AG1192" t="str">
        <f t="shared" si="336"/>
        <v xml:space="preserve">     0.06 </v>
      </c>
      <c r="AH1192" t="str">
        <f t="shared" si="325"/>
        <v xml:space="preserve">    -0.09 </v>
      </c>
      <c r="AI1192" t="str">
        <f t="shared" si="326"/>
        <v xml:space="preserve">       </v>
      </c>
      <c r="AJ1192" t="str">
        <f t="shared" si="327"/>
        <v xml:space="preserve">      </v>
      </c>
    </row>
    <row r="1193" spans="1:36" x14ac:dyDescent="0.25">
      <c r="A1193" t="s">
        <v>925</v>
      </c>
      <c r="P1193" t="str">
        <f t="shared" si="328"/>
        <v xml:space="preserve">                </v>
      </c>
      <c r="Q1193" t="str">
        <f t="shared" si="328"/>
        <v xml:space="preserve">         </v>
      </c>
      <c r="R1193" t="str">
        <f t="shared" si="321"/>
        <v xml:space="preserve">    54.0 </v>
      </c>
      <c r="S1193" t="str">
        <f t="shared" si="329"/>
        <v xml:space="preserve">    79.0 </v>
      </c>
      <c r="T1193" t="str">
        <f t="shared" si="330"/>
        <v xml:space="preserve">    79.0 </v>
      </c>
      <c r="U1193" t="str">
        <f t="shared" si="334"/>
        <v xml:space="preserve">       49.5% </v>
      </c>
      <c r="V1193" t="str">
        <f t="shared" si="322"/>
        <v xml:space="preserve">         </v>
      </c>
      <c r="W1193" t="str">
        <f t="shared" si="331"/>
        <v xml:space="preserve">         </v>
      </c>
      <c r="X1193" t="str">
        <f t="shared" si="335"/>
        <v xml:space="preserve">  9270 </v>
      </c>
      <c r="Y1193" t="str">
        <f t="shared" si="335"/>
        <v xml:space="preserve"> VIAMO2-RS069 </v>
      </c>
      <c r="Z1193" t="str">
        <f t="shared" si="335"/>
        <v xml:space="preserve">  1 </v>
      </c>
      <c r="AA1193" t="str">
        <f t="shared" si="323"/>
        <v xml:space="preserve">    26.7 </v>
      </c>
      <c r="AB1193" t="str">
        <f t="shared" si="332"/>
        <v xml:space="preserve">     5.4 </v>
      </c>
      <c r="AC1193" t="str">
        <f t="shared" si="333"/>
        <v xml:space="preserve">    26.7 </v>
      </c>
      <c r="AD1193" t="str">
        <f t="shared" si="334"/>
        <v xml:space="preserve">        </v>
      </c>
      <c r="AE1193" t="str">
        <f t="shared" si="324"/>
        <v xml:space="preserve">       </v>
      </c>
      <c r="AF1193" t="str">
        <f t="shared" si="336"/>
        <v xml:space="preserve">     </v>
      </c>
      <c r="AG1193" t="str">
        <f t="shared" si="336"/>
        <v xml:space="preserve">     0.06 </v>
      </c>
      <c r="AH1193" t="str">
        <f t="shared" si="325"/>
        <v xml:space="preserve">     0.20 </v>
      </c>
      <c r="AI1193" t="str">
        <f t="shared" si="326"/>
        <v xml:space="preserve">       </v>
      </c>
      <c r="AJ1193" t="str">
        <f t="shared" si="327"/>
        <v xml:space="preserve">      </v>
      </c>
    </row>
    <row r="1194" spans="1:36" x14ac:dyDescent="0.25">
      <c r="A1194" t="s">
        <v>926</v>
      </c>
      <c r="P1194" t="str">
        <f t="shared" si="328"/>
        <v xml:space="preserve">                </v>
      </c>
      <c r="Q1194" t="str">
        <f t="shared" si="328"/>
        <v xml:space="preserve">         </v>
      </c>
      <c r="R1194" t="str">
        <f t="shared" si="321"/>
        <v xml:space="preserve">    54.0 </v>
      </c>
      <c r="S1194" t="str">
        <f t="shared" si="329"/>
        <v xml:space="preserve">    79.0 </v>
      </c>
      <c r="T1194" t="str">
        <f t="shared" si="330"/>
        <v xml:space="preserve">    79.0 </v>
      </c>
      <c r="U1194" t="str">
        <f t="shared" si="334"/>
        <v xml:space="preserve">       29.7% </v>
      </c>
      <c r="V1194" t="str">
        <f t="shared" si="322"/>
        <v xml:space="preserve">         </v>
      </c>
      <c r="W1194" t="str">
        <f t="shared" si="331"/>
        <v xml:space="preserve">         </v>
      </c>
      <c r="X1194" t="str">
        <f t="shared" si="335"/>
        <v xml:space="preserve">  9552 </v>
      </c>
      <c r="Y1194" t="str">
        <f t="shared" si="335"/>
        <v xml:space="preserve"> ACLARATAP069 </v>
      </c>
      <c r="Z1194" t="str">
        <f t="shared" si="335"/>
        <v xml:space="preserve">  1 </v>
      </c>
      <c r="AA1194" t="str">
        <f t="shared" si="323"/>
        <v xml:space="preserve">    16.2 </v>
      </c>
      <c r="AB1194" t="str">
        <f t="shared" si="332"/>
        <v xml:space="preserve">     1.9 </v>
      </c>
      <c r="AC1194" t="str">
        <f t="shared" si="333"/>
        <v xml:space="preserve">    16.0 </v>
      </c>
      <c r="AD1194" t="str">
        <f t="shared" si="334"/>
        <v xml:space="preserve">        </v>
      </c>
      <c r="AE1194" t="str">
        <f t="shared" si="324"/>
        <v xml:space="preserve">       </v>
      </c>
      <c r="AF1194" t="str">
        <f t="shared" si="336"/>
        <v xml:space="preserve">     </v>
      </c>
      <c r="AG1194" t="str">
        <f t="shared" si="336"/>
        <v xml:space="preserve">     0.02 </v>
      </c>
      <c r="AH1194" t="str">
        <f t="shared" si="325"/>
        <v xml:space="preserve">    -0.04 </v>
      </c>
      <c r="AI1194" t="str">
        <f t="shared" si="326"/>
        <v xml:space="preserve">       </v>
      </c>
      <c r="AJ1194" t="str">
        <f t="shared" si="327"/>
        <v xml:space="preserve">      </v>
      </c>
    </row>
    <row r="1195" spans="1:36" x14ac:dyDescent="0.25">
      <c r="A1195" t="s">
        <v>927</v>
      </c>
      <c r="P1195" t="str">
        <f t="shared" si="328"/>
        <v xml:space="preserve">                </v>
      </c>
      <c r="Q1195" t="str">
        <f t="shared" si="328"/>
        <v xml:space="preserve">         </v>
      </c>
      <c r="R1195" t="str">
        <f t="shared" si="321"/>
        <v xml:space="preserve">    83.0 </v>
      </c>
      <c r="S1195" t="str">
        <f t="shared" si="329"/>
        <v xml:space="preserve">   100.0 </v>
      </c>
      <c r="T1195" t="str">
        <f t="shared" si="330"/>
        <v xml:space="preserve">   100.0 </v>
      </c>
      <c r="U1195" t="str">
        <f t="shared" si="334"/>
        <v xml:space="preserve">       49.3% </v>
      </c>
      <c r="V1195" t="str">
        <f t="shared" si="322"/>
        <v xml:space="preserve">         </v>
      </c>
      <c r="W1195" t="str">
        <f t="shared" si="331"/>
        <v xml:space="preserve">         </v>
      </c>
      <c r="X1195" t="str">
        <f t="shared" si="335"/>
        <v xml:space="preserve"> 41404 </v>
      </c>
      <c r="Y1195" t="str">
        <f t="shared" si="335"/>
        <v xml:space="preserve"> VIA3-1-RS000 </v>
      </c>
      <c r="Z1195" t="str">
        <f t="shared" si="335"/>
        <v xml:space="preserve">  1 </v>
      </c>
      <c r="AA1195" t="str">
        <f t="shared" si="323"/>
        <v xml:space="preserve">   -41.0 </v>
      </c>
      <c r="AB1195" t="str">
        <f t="shared" si="332"/>
        <v xml:space="preserve">    -7.3 </v>
      </c>
      <c r="AC1195" t="str">
        <f t="shared" si="333"/>
        <v xml:space="preserve">    40.9 </v>
      </c>
      <c r="AD1195" t="str">
        <f t="shared" si="334"/>
        <v xml:space="preserve"> 1.000F </v>
      </c>
      <c r="AE1195" t="str">
        <f t="shared" si="324"/>
        <v xml:space="preserve">       </v>
      </c>
      <c r="AF1195" t="str">
        <f t="shared" si="336"/>
        <v xml:space="preserve"> 002 </v>
      </c>
      <c r="AG1195" t="str">
        <f t="shared" si="336"/>
        <v xml:space="preserve">     0.03 </v>
      </c>
      <c r="AH1195" t="str">
        <f t="shared" si="325"/>
        <v xml:space="preserve">    -0.16 </v>
      </c>
      <c r="AI1195" t="str">
        <f t="shared" si="326"/>
        <v xml:space="preserve">       </v>
      </c>
      <c r="AJ1195" t="str">
        <f t="shared" si="327"/>
        <v xml:space="preserve">      </v>
      </c>
    </row>
    <row r="1196" spans="1:36" x14ac:dyDescent="0.25">
      <c r="A1196" t="s">
        <v>928</v>
      </c>
      <c r="P1196" t="str">
        <f t="shared" si="328"/>
        <v xml:space="preserve">                </v>
      </c>
      <c r="Q1196" t="str">
        <f t="shared" si="328"/>
        <v xml:space="preserve">         </v>
      </c>
      <c r="R1196" t="str">
        <f t="shared" si="321"/>
        <v xml:space="preserve">    83.0 </v>
      </c>
      <c r="S1196" t="str">
        <f t="shared" si="329"/>
        <v xml:space="preserve">   100.0 </v>
      </c>
      <c r="T1196" t="str">
        <f t="shared" si="330"/>
        <v xml:space="preserve">   100.0 </v>
      </c>
      <c r="U1196" t="str">
        <f t="shared" si="334"/>
        <v xml:space="preserve">       49.0% </v>
      </c>
      <c r="V1196" t="str">
        <f t="shared" si="322"/>
        <v xml:space="preserve">         </v>
      </c>
      <c r="W1196" t="str">
        <f t="shared" si="331"/>
        <v xml:space="preserve">         </v>
      </c>
      <c r="X1196" t="str">
        <f t="shared" si="335"/>
        <v xml:space="preserve"> 41405 </v>
      </c>
      <c r="Y1196" t="str">
        <f t="shared" si="335"/>
        <v xml:space="preserve"> VIA3-2-RS000 </v>
      </c>
      <c r="Z1196" t="str">
        <f t="shared" si="335"/>
        <v xml:space="preserve">  2 </v>
      </c>
      <c r="AA1196" t="str">
        <f t="shared" si="323"/>
        <v xml:space="preserve">   -40.7 </v>
      </c>
      <c r="AB1196" t="str">
        <f t="shared" si="332"/>
        <v xml:space="preserve">    -7.2 </v>
      </c>
      <c r="AC1196" t="str">
        <f t="shared" si="333"/>
        <v xml:space="preserve">    40.6 </v>
      </c>
      <c r="AD1196" t="str">
        <f t="shared" si="334"/>
        <v xml:space="preserve"> 1.000F </v>
      </c>
      <c r="AE1196" t="str">
        <f t="shared" si="324"/>
        <v xml:space="preserve">       </v>
      </c>
      <c r="AF1196" t="str">
        <f t="shared" si="336"/>
        <v xml:space="preserve"> 002 </v>
      </c>
      <c r="AG1196" t="str">
        <f t="shared" si="336"/>
        <v xml:space="preserve">     0.03 </v>
      </c>
      <c r="AH1196" t="str">
        <f t="shared" si="325"/>
        <v xml:space="preserve">    -0.15 </v>
      </c>
      <c r="AI1196" t="str">
        <f t="shared" si="326"/>
        <v xml:space="preserve">       </v>
      </c>
      <c r="AJ1196" t="str">
        <f t="shared" si="327"/>
        <v xml:space="preserve">      </v>
      </c>
    </row>
    <row r="1197" spans="1:36" x14ac:dyDescent="0.25">
      <c r="A1197" t="s">
        <v>929</v>
      </c>
      <c r="P1197" t="str">
        <f t="shared" si="328"/>
        <v xml:space="preserve">                </v>
      </c>
      <c r="Q1197" t="str">
        <f t="shared" si="328"/>
        <v xml:space="preserve">         </v>
      </c>
      <c r="R1197" t="str">
        <f t="shared" si="321"/>
        <v xml:space="preserve">    83.0 </v>
      </c>
      <c r="S1197" t="str">
        <f t="shared" si="329"/>
        <v xml:space="preserve">   100.0 </v>
      </c>
      <c r="T1197" t="str">
        <f t="shared" si="330"/>
        <v xml:space="preserve">   100.0 </v>
      </c>
      <c r="U1197" t="str">
        <f t="shared" si="334"/>
        <v xml:space="preserve">       49.4% </v>
      </c>
      <c r="V1197" t="str">
        <f t="shared" si="322"/>
        <v xml:space="preserve">         </v>
      </c>
      <c r="W1197" t="str">
        <f t="shared" si="331"/>
        <v xml:space="preserve">         </v>
      </c>
      <c r="X1197" t="str">
        <f t="shared" si="335"/>
        <v xml:space="preserve"> 41406 </v>
      </c>
      <c r="Y1197" t="str">
        <f t="shared" si="335"/>
        <v xml:space="preserve"> VIA3-3-RS000 </v>
      </c>
      <c r="Z1197" t="str">
        <f t="shared" si="335"/>
        <v xml:space="preserve">  3 </v>
      </c>
      <c r="AA1197" t="str">
        <f t="shared" si="323"/>
        <v xml:space="preserve">   -41.1 </v>
      </c>
      <c r="AB1197" t="str">
        <f t="shared" si="332"/>
        <v xml:space="preserve">    -7.3 </v>
      </c>
      <c r="AC1197" t="str">
        <f t="shared" si="333"/>
        <v xml:space="preserve">    41.0 </v>
      </c>
      <c r="AD1197" t="str">
        <f t="shared" si="334"/>
        <v xml:space="preserve"> 1.000F </v>
      </c>
      <c r="AE1197" t="str">
        <f t="shared" si="324"/>
        <v xml:space="preserve">       </v>
      </c>
      <c r="AF1197" t="str">
        <f t="shared" si="336"/>
        <v xml:space="preserve"> 002 </v>
      </c>
      <c r="AG1197" t="str">
        <f t="shared" si="336"/>
        <v xml:space="preserve">     0.03 </v>
      </c>
      <c r="AH1197" t="str">
        <f t="shared" si="325"/>
        <v xml:space="preserve">    -0.16 </v>
      </c>
      <c r="AI1197" t="str">
        <f t="shared" si="326"/>
        <v xml:space="preserve">       </v>
      </c>
      <c r="AJ1197" t="str">
        <f t="shared" si="327"/>
        <v xml:space="preserve">      </v>
      </c>
    </row>
    <row r="1198" spans="1:36" x14ac:dyDescent="0.25">
      <c r="A1198" t="s">
        <v>14</v>
      </c>
      <c r="P1198" t="str">
        <f t="shared" si="328"/>
        <v xml:space="preserve">  ..............</v>
      </c>
      <c r="Q1198" t="str">
        <f t="shared" si="328"/>
        <v>.........</v>
      </c>
      <c r="R1198" t="str">
        <f t="shared" si="321"/>
        <v>.........</v>
      </c>
      <c r="S1198" t="str">
        <f t="shared" si="329"/>
        <v>.........</v>
      </c>
      <c r="T1198" t="str">
        <f t="shared" si="330"/>
        <v>.........</v>
      </c>
      <c r="U1198" t="str">
        <f t="shared" si="334"/>
        <v>.............</v>
      </c>
      <c r="V1198" t="str">
        <f t="shared" si="322"/>
        <v>.........</v>
      </c>
      <c r="W1198" t="str">
        <f t="shared" si="331"/>
        <v>.........</v>
      </c>
      <c r="X1198" t="str">
        <f t="shared" si="335"/>
        <v>.......</v>
      </c>
      <c r="Y1198" t="str">
        <f t="shared" si="335"/>
        <v>..............</v>
      </c>
      <c r="Z1198" t="str">
        <f t="shared" si="335"/>
        <v>....</v>
      </c>
      <c r="AA1198" t="str">
        <f t="shared" si="323"/>
        <v>.........</v>
      </c>
      <c r="AB1198" t="str">
        <f t="shared" si="332"/>
        <v>.........</v>
      </c>
      <c r="AC1198" t="str">
        <f t="shared" si="333"/>
        <v>.........</v>
      </c>
      <c r="AD1198" t="str">
        <f t="shared" si="334"/>
        <v>........</v>
      </c>
      <c r="AE1198" t="str">
        <f t="shared" si="324"/>
        <v>.......</v>
      </c>
      <c r="AF1198" t="str">
        <f t="shared" si="336"/>
        <v>.....</v>
      </c>
      <c r="AG1198" t="str">
        <f t="shared" si="336"/>
        <v>..........</v>
      </c>
      <c r="AH1198" t="str">
        <f t="shared" si="325"/>
        <v>..........</v>
      </c>
      <c r="AI1198" t="str">
        <f t="shared" si="326"/>
        <v>.......</v>
      </c>
      <c r="AJ1198" t="str">
        <f t="shared" si="327"/>
        <v>.......</v>
      </c>
    </row>
    <row r="1199" spans="1:36" x14ac:dyDescent="0.25">
      <c r="A1199" t="s">
        <v>930</v>
      </c>
      <c r="P1199" t="str">
        <f t="shared" si="328"/>
        <v xml:space="preserve">   9266   69  0 </v>
      </c>
      <c r="Q1199" t="str">
        <f t="shared" si="328"/>
        <v xml:space="preserve">   1.009 </v>
      </c>
      <c r="R1199" t="str">
        <f t="shared" si="321"/>
        <v xml:space="preserve">     2.0 </v>
      </c>
      <c r="S1199" t="str">
        <f t="shared" si="329"/>
        <v xml:space="preserve">     0.0 </v>
      </c>
      <c r="T1199" t="str">
        <f t="shared" si="330"/>
        <v xml:space="preserve">    45.8 </v>
      </c>
      <c r="U1199" t="str">
        <f t="shared" si="334"/>
        <v xml:space="preserve">         0.0 </v>
      </c>
      <c r="V1199" t="str">
        <f t="shared" si="322"/>
        <v xml:space="preserve">    11.0 </v>
      </c>
      <c r="W1199" t="str">
        <f t="shared" si="331"/>
        <v xml:space="preserve">     0.0</v>
      </c>
      <c r="X1199" t="str">
        <f t="shared" si="335"/>
        <v/>
      </c>
      <c r="Y1199" t="str">
        <f t="shared" si="335"/>
        <v/>
      </c>
      <c r="Z1199" t="str">
        <f t="shared" si="335"/>
        <v/>
      </c>
      <c r="AA1199" t="str">
        <f t="shared" si="323"/>
        <v/>
      </c>
      <c r="AB1199" t="str">
        <f t="shared" si="332"/>
        <v/>
      </c>
      <c r="AC1199" t="str">
        <f t="shared" si="333"/>
        <v/>
      </c>
      <c r="AD1199" t="str">
        <f t="shared" si="334"/>
        <v/>
      </c>
      <c r="AE1199" t="str">
        <f t="shared" si="324"/>
        <v/>
      </c>
      <c r="AF1199" t="str">
        <f t="shared" si="336"/>
        <v/>
      </c>
      <c r="AG1199" t="str">
        <f t="shared" si="336"/>
        <v/>
      </c>
      <c r="AH1199" t="str">
        <f t="shared" si="325"/>
        <v/>
      </c>
      <c r="AI1199" t="str">
        <f t="shared" si="326"/>
        <v/>
      </c>
      <c r="AJ1199" t="str">
        <f t="shared" si="327"/>
        <v/>
      </c>
    </row>
    <row r="1200" spans="1:36" x14ac:dyDescent="0.25">
      <c r="A1200" t="s">
        <v>931</v>
      </c>
      <c r="P1200" t="str">
        <f t="shared" si="328"/>
        <v xml:space="preserve">  PALEG3-RS069  </v>
      </c>
      <c r="Q1200" t="str">
        <f t="shared" si="328"/>
        <v xml:space="preserve">   -55.8 </v>
      </c>
      <c r="R1200" t="str">
        <f t="shared" si="321"/>
        <v xml:space="preserve">     0.0 </v>
      </c>
      <c r="S1200" t="str">
        <f t="shared" si="329"/>
        <v xml:space="preserve">     0.0 </v>
      </c>
      <c r="T1200" t="str">
        <f t="shared" si="330"/>
        <v xml:space="preserve">    14.5 </v>
      </c>
      <c r="U1200" t="str">
        <f t="shared" si="334"/>
        <v xml:space="preserve">         0.0 </v>
      </c>
      <c r="V1200" t="str">
        <f t="shared" si="322"/>
        <v xml:space="preserve">     0.0 </v>
      </c>
      <c r="W1200" t="str">
        <f t="shared" si="331"/>
        <v xml:space="preserve">     0.0 </v>
      </c>
      <c r="X1200" t="str">
        <f t="shared" si="335"/>
        <v xml:space="preserve">       </v>
      </c>
      <c r="Y1200" t="str">
        <f t="shared" si="335"/>
        <v xml:space="preserve">              </v>
      </c>
      <c r="Z1200" t="str">
        <f t="shared" si="335"/>
        <v xml:space="preserve">    </v>
      </c>
      <c r="AA1200" t="str">
        <f t="shared" si="323"/>
        <v xml:space="preserve">         </v>
      </c>
      <c r="AB1200" t="str">
        <f t="shared" si="332"/>
        <v xml:space="preserve">         </v>
      </c>
      <c r="AC1200" t="str">
        <f t="shared" si="333"/>
        <v xml:space="preserve">    </v>
      </c>
      <c r="AD1200" t="str">
        <f t="shared" si="334"/>
        <v/>
      </c>
      <c r="AE1200" t="str">
        <f t="shared" si="324"/>
        <v/>
      </c>
      <c r="AF1200" t="str">
        <f t="shared" si="336"/>
        <v/>
      </c>
      <c r="AG1200" t="str">
        <f t="shared" si="336"/>
        <v/>
      </c>
      <c r="AH1200" t="str">
        <f t="shared" si="325"/>
        <v/>
      </c>
      <c r="AI1200" t="str">
        <f t="shared" si="326"/>
        <v/>
      </c>
      <c r="AJ1200" t="str">
        <f t="shared" si="327"/>
        <v/>
      </c>
    </row>
    <row r="1201" spans="1:36" x14ac:dyDescent="0.25">
      <c r="A1201" t="s">
        <v>932</v>
      </c>
      <c r="P1201" t="str">
        <f t="shared" si="328"/>
        <v xml:space="preserve">                </v>
      </c>
      <c r="Q1201" t="str">
        <f t="shared" si="328"/>
        <v xml:space="preserve">         </v>
      </c>
      <c r="R1201" t="str">
        <f t="shared" si="321"/>
        <v xml:space="preserve">    80.0 </v>
      </c>
      <c r="S1201" t="str">
        <f t="shared" si="329"/>
        <v xml:space="preserve">    95.0 </v>
      </c>
      <c r="T1201" t="str">
        <f t="shared" si="330"/>
        <v xml:space="preserve">    95.0 </v>
      </c>
      <c r="U1201" t="str">
        <f t="shared" si="334"/>
        <v xml:space="preserve">       54.4% </v>
      </c>
      <c r="V1201" t="str">
        <f t="shared" si="322"/>
        <v xml:space="preserve">         </v>
      </c>
      <c r="W1201" t="str">
        <f t="shared" si="331"/>
        <v xml:space="preserve">         </v>
      </c>
      <c r="X1201" t="str">
        <f t="shared" si="335"/>
        <v xml:space="preserve">  1269 </v>
      </c>
      <c r="Y1201" t="str">
        <f t="shared" si="335"/>
        <v xml:space="preserve"> PALG10-RS069 </v>
      </c>
      <c r="Z1201" t="str">
        <f t="shared" si="335"/>
        <v xml:space="preserve">  1 </v>
      </c>
      <c r="AA1201" t="str">
        <f t="shared" si="323"/>
        <v xml:space="preserve">   -43.8 </v>
      </c>
      <c r="AB1201" t="str">
        <f t="shared" si="332"/>
        <v xml:space="preserve">    -3.5 </v>
      </c>
      <c r="AC1201" t="str">
        <f t="shared" si="333"/>
        <v xml:space="preserve">    43.5 </v>
      </c>
      <c r="AD1201" t="str">
        <f t="shared" si="334"/>
        <v xml:space="preserve">        </v>
      </c>
      <c r="AE1201" t="str">
        <f t="shared" si="324"/>
        <v xml:space="preserve">       </v>
      </c>
      <c r="AF1201" t="str">
        <f t="shared" si="336"/>
        <v xml:space="preserve">     </v>
      </c>
      <c r="AG1201" t="str">
        <f t="shared" si="336"/>
        <v xml:space="preserve">     0.18 </v>
      </c>
      <c r="AH1201" t="str">
        <f t="shared" si="325"/>
        <v xml:space="preserve">     0.46 </v>
      </c>
      <c r="AI1201" t="str">
        <f t="shared" si="326"/>
        <v xml:space="preserve">       </v>
      </c>
      <c r="AJ1201" t="str">
        <f t="shared" si="327"/>
        <v xml:space="preserve">      </v>
      </c>
    </row>
    <row r="1202" spans="1:36" x14ac:dyDescent="0.25">
      <c r="A1202" t="s">
        <v>14</v>
      </c>
      <c r="P1202" t="str">
        <f t="shared" si="328"/>
        <v xml:space="preserve">  ..............</v>
      </c>
      <c r="Q1202" t="str">
        <f t="shared" si="328"/>
        <v>.........</v>
      </c>
      <c r="R1202" t="str">
        <f t="shared" si="321"/>
        <v>.........</v>
      </c>
      <c r="S1202" t="str">
        <f t="shared" si="329"/>
        <v>.........</v>
      </c>
      <c r="T1202" t="str">
        <f t="shared" si="330"/>
        <v>.........</v>
      </c>
      <c r="U1202" t="str">
        <f t="shared" si="334"/>
        <v>.............</v>
      </c>
      <c r="V1202" t="str">
        <f t="shared" si="322"/>
        <v>.........</v>
      </c>
      <c r="W1202" t="str">
        <f t="shared" si="331"/>
        <v>.........</v>
      </c>
      <c r="X1202" t="str">
        <f t="shared" si="335"/>
        <v>.......</v>
      </c>
      <c r="Y1202" t="str">
        <f t="shared" si="335"/>
        <v>..............</v>
      </c>
      <c r="Z1202" t="str">
        <f t="shared" si="335"/>
        <v>....</v>
      </c>
      <c r="AA1202" t="str">
        <f t="shared" si="323"/>
        <v>.........</v>
      </c>
      <c r="AB1202" t="str">
        <f t="shared" si="332"/>
        <v>.........</v>
      </c>
      <c r="AC1202" t="str">
        <f t="shared" si="333"/>
        <v>.........</v>
      </c>
      <c r="AD1202" t="str">
        <f t="shared" si="334"/>
        <v>........</v>
      </c>
      <c r="AE1202" t="str">
        <f t="shared" si="324"/>
        <v>.......</v>
      </c>
      <c r="AF1202" t="str">
        <f t="shared" si="336"/>
        <v>.....</v>
      </c>
      <c r="AG1202" t="str">
        <f t="shared" si="336"/>
        <v>..........</v>
      </c>
      <c r="AH1202" t="str">
        <f t="shared" si="325"/>
        <v>..........</v>
      </c>
      <c r="AI1202" t="str">
        <f t="shared" si="326"/>
        <v>.......</v>
      </c>
      <c r="AJ1202" t="str">
        <f t="shared" si="327"/>
        <v>.......</v>
      </c>
    </row>
    <row r="1203" spans="1:36" x14ac:dyDescent="0.25">
      <c r="A1203" t="s">
        <v>933</v>
      </c>
      <c r="P1203" t="str">
        <f t="shared" si="328"/>
        <v xml:space="preserve">_x000C_CEPEL - CENTRO </v>
      </c>
      <c r="Q1203" t="str">
        <f t="shared" si="328"/>
        <v xml:space="preserve"> DE PESQU</v>
      </c>
      <c r="R1203" t="str">
        <f t="shared" si="321"/>
        <v xml:space="preserve">UISAS DE </v>
      </c>
      <c r="S1203" t="str">
        <f t="shared" si="329"/>
        <v xml:space="preserve"> ENERGIA </v>
      </c>
      <c r="T1203" t="str">
        <f t="shared" si="330"/>
        <v xml:space="preserve"> ELETRICA</v>
      </c>
      <c r="U1203" t="str">
        <f t="shared" si="334"/>
        <v xml:space="preserve">A - PROGRAMA </v>
      </c>
      <c r="V1203" t="str">
        <f t="shared" si="322"/>
        <v xml:space="preserve"> DE ANALI</v>
      </c>
      <c r="W1203" t="str">
        <f t="shared" si="331"/>
        <v>ISE DE RE</v>
      </c>
      <c r="X1203" t="str">
        <f t="shared" si="335"/>
        <v xml:space="preserve">EDES - </v>
      </c>
      <c r="Y1203" t="str">
        <f t="shared" si="335"/>
        <v xml:space="preserve"> V11.06.02    </v>
      </c>
      <c r="Z1203" t="str">
        <f t="shared" si="335"/>
        <v xml:space="preserve">    </v>
      </c>
      <c r="AA1203" t="str">
        <f t="shared" si="323"/>
        <v xml:space="preserve">         </v>
      </c>
      <c r="AB1203" t="str">
        <f t="shared" si="332"/>
        <v xml:space="preserve">         </v>
      </c>
      <c r="AC1203" t="str">
        <f t="shared" si="333"/>
        <v xml:space="preserve">         </v>
      </c>
      <c r="AD1203" t="str">
        <f t="shared" si="334"/>
        <v xml:space="preserve">   PAG. </v>
      </c>
      <c r="AE1203" t="str">
        <f t="shared" si="324"/>
        <v xml:space="preserve">   8</v>
      </c>
      <c r="AF1203" t="str">
        <f t="shared" si="336"/>
        <v/>
      </c>
      <c r="AG1203" t="str">
        <f t="shared" si="336"/>
        <v/>
      </c>
      <c r="AH1203" t="str">
        <f t="shared" si="325"/>
        <v/>
      </c>
      <c r="AI1203" t="str">
        <f t="shared" si="326"/>
        <v/>
      </c>
      <c r="AJ1203" t="str">
        <f t="shared" si="327"/>
        <v/>
      </c>
    </row>
    <row r="1204" spans="1:36" x14ac:dyDescent="0.25">
      <c r="P1204" t="str">
        <f t="shared" si="328"/>
        <v/>
      </c>
      <c r="Q1204" t="str">
        <f t="shared" si="328"/>
        <v/>
      </c>
      <c r="R1204" t="str">
        <f t="shared" si="321"/>
        <v/>
      </c>
      <c r="S1204" t="str">
        <f t="shared" si="329"/>
        <v/>
      </c>
      <c r="T1204" t="str">
        <f t="shared" si="330"/>
        <v/>
      </c>
      <c r="U1204" t="str">
        <f t="shared" si="334"/>
        <v/>
      </c>
      <c r="V1204" t="str">
        <f t="shared" si="322"/>
        <v/>
      </c>
      <c r="W1204" t="str">
        <f t="shared" si="331"/>
        <v/>
      </c>
      <c r="X1204" t="str">
        <f t="shared" si="335"/>
        <v/>
      </c>
      <c r="Y1204" t="str">
        <f t="shared" si="335"/>
        <v/>
      </c>
      <c r="Z1204" t="str">
        <f t="shared" si="335"/>
        <v/>
      </c>
      <c r="AA1204" t="str">
        <f t="shared" si="323"/>
        <v/>
      </c>
      <c r="AB1204" t="str">
        <f t="shared" si="332"/>
        <v/>
      </c>
      <c r="AC1204" t="str">
        <f t="shared" si="333"/>
        <v/>
      </c>
      <c r="AD1204" t="str">
        <f t="shared" si="334"/>
        <v/>
      </c>
      <c r="AE1204" t="str">
        <f t="shared" si="324"/>
        <v/>
      </c>
      <c r="AF1204" t="str">
        <f t="shared" si="336"/>
        <v/>
      </c>
      <c r="AG1204" t="str">
        <f t="shared" si="336"/>
        <v/>
      </c>
      <c r="AH1204" t="str">
        <f t="shared" si="325"/>
        <v/>
      </c>
      <c r="AI1204" t="str">
        <f t="shared" si="326"/>
        <v/>
      </c>
      <c r="AJ1204" t="str">
        <f t="shared" si="327"/>
        <v/>
      </c>
    </row>
    <row r="1205" spans="1:36" x14ac:dyDescent="0.25">
      <c r="A1205" t="s">
        <v>1</v>
      </c>
      <c r="P1205" t="str">
        <f t="shared" si="328"/>
        <v xml:space="preserve"> PARPEL 23-27 * </v>
      </c>
      <c r="Q1205" t="str">
        <f t="shared" si="328"/>
        <v xml:space="preserve"> MG-GODF </v>
      </c>
      <c r="R1205" t="str">
        <f t="shared" si="321"/>
        <v xml:space="preserve"> * I27M *</v>
      </c>
      <c r="S1205" t="str">
        <f t="shared" si="329"/>
        <v>* NEexp *</v>
      </c>
      <c r="T1205" t="str">
        <f t="shared" si="330"/>
        <v>* NESE 88</v>
      </c>
      <c r="U1205" t="str">
        <f t="shared" si="334"/>
        <v>800 UFVMG 90%</v>
      </c>
      <c r="V1205" t="str">
        <f t="shared" si="322"/>
        <v>% * UFVAl</v>
      </c>
      <c r="W1205" t="str">
        <f t="shared" si="331"/>
        <v>lves120MW</v>
      </c>
      <c r="X1205" t="str">
        <f t="shared" si="335"/>
        <v xml:space="preserve">W     </v>
      </c>
      <c r="Y1205" t="str">
        <f t="shared" si="335"/>
        <v/>
      </c>
      <c r="Z1205" t="str">
        <f t="shared" si="335"/>
        <v/>
      </c>
      <c r="AA1205" t="str">
        <f t="shared" si="323"/>
        <v/>
      </c>
      <c r="AB1205" t="str">
        <f t="shared" si="332"/>
        <v/>
      </c>
      <c r="AC1205" t="str">
        <f t="shared" si="333"/>
        <v/>
      </c>
      <c r="AD1205" t="str">
        <f t="shared" si="334"/>
        <v/>
      </c>
      <c r="AE1205" t="str">
        <f t="shared" si="324"/>
        <v/>
      </c>
      <c r="AF1205" t="str">
        <f t="shared" si="336"/>
        <v/>
      </c>
      <c r="AG1205" t="str">
        <f t="shared" si="336"/>
        <v/>
      </c>
      <c r="AH1205" t="str">
        <f t="shared" si="325"/>
        <v/>
      </c>
      <c r="AI1205" t="str">
        <f t="shared" si="326"/>
        <v/>
      </c>
      <c r="AJ1205" t="str">
        <f t="shared" si="327"/>
        <v/>
      </c>
    </row>
    <row r="1206" spans="1:36" x14ac:dyDescent="0.25">
      <c r="A1206" t="s">
        <v>2</v>
      </c>
      <c r="P1206" t="str">
        <f t="shared" si="328"/>
        <v xml:space="preserve"> RELATORIO COMPL</v>
      </c>
      <c r="Q1206" t="str">
        <f t="shared" si="328"/>
        <v>LETO DO S</v>
      </c>
      <c r="R1206" t="str">
        <f t="shared" si="321"/>
        <v>SISTEMA *</v>
      </c>
      <c r="S1206" t="str">
        <f t="shared" si="329"/>
        <v xml:space="preserve">* AREA   </v>
      </c>
      <c r="T1206" t="str">
        <f t="shared" si="330"/>
        <v xml:space="preserve"> 3 * RS -</v>
      </c>
      <c r="U1206" t="str">
        <f t="shared" si="334"/>
        <v xml:space="preserve">- DIT/DIST   </v>
      </c>
      <c r="V1206" t="str">
        <f t="shared" si="322"/>
        <v xml:space="preserve">         </v>
      </c>
      <c r="W1206" t="str">
        <f t="shared" si="331"/>
        <v xml:space="preserve">         </v>
      </c>
      <c r="X1206" t="str">
        <f t="shared" si="335"/>
        <v xml:space="preserve">     </v>
      </c>
      <c r="Y1206" t="str">
        <f t="shared" si="335"/>
        <v/>
      </c>
      <c r="Z1206" t="str">
        <f t="shared" si="335"/>
        <v/>
      </c>
      <c r="AA1206" t="str">
        <f t="shared" si="323"/>
        <v/>
      </c>
      <c r="AB1206" t="str">
        <f t="shared" si="332"/>
        <v/>
      </c>
      <c r="AC1206" t="str">
        <f t="shared" si="333"/>
        <v/>
      </c>
      <c r="AD1206" t="str">
        <f t="shared" si="334"/>
        <v/>
      </c>
      <c r="AE1206" t="str">
        <f t="shared" si="324"/>
        <v/>
      </c>
      <c r="AF1206" t="str">
        <f t="shared" si="336"/>
        <v/>
      </c>
      <c r="AG1206" t="str">
        <f t="shared" si="336"/>
        <v/>
      </c>
      <c r="AH1206" t="str">
        <f t="shared" si="325"/>
        <v/>
      </c>
      <c r="AI1206" t="str">
        <f t="shared" si="326"/>
        <v/>
      </c>
      <c r="AJ1206" t="str">
        <f t="shared" si="327"/>
        <v/>
      </c>
    </row>
    <row r="1207" spans="1:36" x14ac:dyDescent="0.25">
      <c r="P1207" t="str">
        <f t="shared" si="328"/>
        <v/>
      </c>
      <c r="Q1207" t="str">
        <f t="shared" si="328"/>
        <v/>
      </c>
      <c r="R1207" t="str">
        <f t="shared" si="321"/>
        <v/>
      </c>
      <c r="S1207" t="str">
        <f t="shared" si="329"/>
        <v/>
      </c>
      <c r="T1207" t="str">
        <f t="shared" si="330"/>
        <v/>
      </c>
      <c r="U1207" t="str">
        <f t="shared" si="334"/>
        <v/>
      </c>
      <c r="V1207" t="str">
        <f t="shared" si="322"/>
        <v/>
      </c>
      <c r="W1207" t="str">
        <f t="shared" si="331"/>
        <v/>
      </c>
      <c r="X1207" t="str">
        <f t="shared" si="335"/>
        <v/>
      </c>
      <c r="Y1207" t="str">
        <f t="shared" si="335"/>
        <v/>
      </c>
      <c r="Z1207" t="str">
        <f t="shared" si="335"/>
        <v/>
      </c>
      <c r="AA1207" t="str">
        <f t="shared" si="323"/>
        <v/>
      </c>
      <c r="AB1207" t="str">
        <f t="shared" si="332"/>
        <v/>
      </c>
      <c r="AC1207" t="str">
        <f t="shared" si="333"/>
        <v/>
      </c>
      <c r="AD1207" t="str">
        <f t="shared" si="334"/>
        <v/>
      </c>
      <c r="AE1207" t="str">
        <f t="shared" si="324"/>
        <v/>
      </c>
      <c r="AF1207" t="str">
        <f t="shared" si="336"/>
        <v/>
      </c>
      <c r="AG1207" t="str">
        <f t="shared" si="336"/>
        <v/>
      </c>
      <c r="AH1207" t="str">
        <f t="shared" si="325"/>
        <v/>
      </c>
      <c r="AI1207" t="str">
        <f t="shared" si="326"/>
        <v/>
      </c>
      <c r="AJ1207" t="str">
        <f t="shared" si="327"/>
        <v/>
      </c>
    </row>
    <row r="1208" spans="1:36" x14ac:dyDescent="0.25">
      <c r="A1208" t="s">
        <v>3</v>
      </c>
      <c r="P1208" t="str">
        <f t="shared" si="328"/>
        <v xml:space="preserve"> X--------------</v>
      </c>
      <c r="Q1208" t="str">
        <f t="shared" si="328"/>
        <v xml:space="preserve">-------- </v>
      </c>
      <c r="R1208" t="str">
        <f t="shared" si="321"/>
        <v xml:space="preserve"> D A D O </v>
      </c>
      <c r="S1208" t="str">
        <f t="shared" si="329"/>
        <v xml:space="preserve"> S  -  B </v>
      </c>
      <c r="T1208" t="str">
        <f t="shared" si="330"/>
        <v xml:space="preserve"> A R R A </v>
      </c>
      <c r="U1208" t="str">
        <f t="shared" si="334"/>
        <v xml:space="preserve"> ------------</v>
      </c>
      <c r="V1208" t="str">
        <f t="shared" si="322"/>
        <v>---------</v>
      </c>
      <c r="W1208" t="str">
        <f t="shared" si="331"/>
        <v>--------X</v>
      </c>
      <c r="X1208" t="str">
        <f t="shared" si="335"/>
        <v>X------</v>
      </c>
      <c r="Y1208" t="str">
        <f t="shared" si="335"/>
        <v>-------- F L U</v>
      </c>
      <c r="Z1208" t="str">
        <f t="shared" si="335"/>
        <v xml:space="preserve">U X </v>
      </c>
      <c r="AA1208" t="str">
        <f t="shared" si="323"/>
        <v xml:space="preserve"> O S  -  </v>
      </c>
      <c r="AB1208" t="str">
        <f t="shared" si="332"/>
        <v xml:space="preserve"> C I R C </v>
      </c>
      <c r="AC1208" t="str">
        <f t="shared" si="333"/>
        <v xml:space="preserve"> U I T O </v>
      </c>
      <c r="AD1208" t="str">
        <f t="shared" si="334"/>
        <v xml:space="preserve"> S -----</v>
      </c>
      <c r="AE1208" t="str">
        <f t="shared" si="324"/>
        <v>-------</v>
      </c>
      <c r="AF1208" t="str">
        <f t="shared" si="336"/>
        <v>----X</v>
      </c>
      <c r="AG1208" t="str">
        <f t="shared" si="336"/>
        <v>X--------X</v>
      </c>
      <c r="AH1208" t="str">
        <f t="shared" si="325"/>
        <v>X--------X</v>
      </c>
      <c r="AI1208" t="str">
        <f t="shared" si="326"/>
        <v>X------</v>
      </c>
      <c r="AJ1208" t="str">
        <f t="shared" si="327"/>
        <v>------X</v>
      </c>
    </row>
    <row r="1209" spans="1:36" x14ac:dyDescent="0.25">
      <c r="A1209" t="s">
        <v>4</v>
      </c>
      <c r="P1209" t="str">
        <f t="shared" si="328"/>
        <v xml:space="preserve">  DA BARRA      </v>
      </c>
      <c r="Q1209" t="str">
        <f t="shared" si="328"/>
        <v xml:space="preserve">  TENSAO </v>
      </c>
      <c r="R1209" t="str">
        <f t="shared" si="321"/>
        <v xml:space="preserve"> GERACAO </v>
      </c>
      <c r="S1209" t="str">
        <f t="shared" si="329"/>
        <v xml:space="preserve"> INJ EQV </v>
      </c>
      <c r="T1209" t="str">
        <f t="shared" si="330"/>
        <v xml:space="preserve">  CARGA  </v>
      </c>
      <c r="U1209" t="str">
        <f t="shared" si="334"/>
        <v xml:space="preserve">  ELO CC  SHU</v>
      </c>
      <c r="V1209" t="str">
        <f t="shared" si="322"/>
        <v>UNT    MO</v>
      </c>
      <c r="W1209" t="str">
        <f t="shared" si="331"/>
        <v xml:space="preserve">OTOR     </v>
      </c>
      <c r="X1209" t="str">
        <f t="shared" si="335"/>
        <v xml:space="preserve">       </v>
      </c>
      <c r="Y1209" t="str">
        <f t="shared" si="335"/>
        <v xml:space="preserve">              </v>
      </c>
      <c r="Z1209" t="str">
        <f t="shared" si="335"/>
        <v xml:space="preserve">    </v>
      </c>
      <c r="AA1209" t="str">
        <f t="shared" si="323"/>
        <v xml:space="preserve">         </v>
      </c>
      <c r="AB1209" t="str">
        <f t="shared" si="332"/>
        <v xml:space="preserve">         </v>
      </c>
      <c r="AC1209" t="str">
        <f t="shared" si="333"/>
        <v xml:space="preserve">         </v>
      </c>
      <c r="AD1209" t="str">
        <f t="shared" si="334"/>
        <v xml:space="preserve">        </v>
      </c>
      <c r="AE1209" t="str">
        <f t="shared" si="324"/>
        <v xml:space="preserve">       </v>
      </c>
      <c r="AF1209" t="str">
        <f t="shared" si="336"/>
        <v xml:space="preserve">     </v>
      </c>
      <c r="AG1209" t="str">
        <f t="shared" si="336"/>
        <v xml:space="preserve">          </v>
      </c>
      <c r="AH1209" t="str">
        <f t="shared" si="325"/>
        <v xml:space="preserve">          </v>
      </c>
      <c r="AI1209" t="str">
        <f t="shared" si="326"/>
        <v xml:space="preserve">       </v>
      </c>
      <c r="AJ1209" t="str">
        <f t="shared" si="327"/>
        <v xml:space="preserve">   </v>
      </c>
    </row>
    <row r="1210" spans="1:36" x14ac:dyDescent="0.25">
      <c r="A1210" t="s">
        <v>5</v>
      </c>
      <c r="P1210" t="str">
        <f t="shared" si="328"/>
        <v xml:space="preserve">  NUM.  KV TIPO </v>
      </c>
      <c r="Q1210" t="str">
        <f t="shared" si="328"/>
        <v xml:space="preserve">   MOD/  </v>
      </c>
      <c r="R1210" t="str">
        <f t="shared" si="321"/>
        <v xml:space="preserve">    MW/  </v>
      </c>
      <c r="S1210" t="str">
        <f t="shared" si="329"/>
        <v xml:space="preserve">    MW/  </v>
      </c>
      <c r="T1210" t="str">
        <f t="shared" si="330"/>
        <v xml:space="preserve">    MW/  </v>
      </c>
      <c r="U1210" t="str">
        <f t="shared" si="334"/>
        <v xml:space="preserve">    MW/   Mva</v>
      </c>
      <c r="V1210" t="str">
        <f t="shared" si="322"/>
        <v>ar/     M</v>
      </c>
      <c r="W1210" t="str">
        <f t="shared" si="331"/>
        <v xml:space="preserve">MW/      </v>
      </c>
      <c r="X1210" t="str">
        <f t="shared" si="335"/>
        <v xml:space="preserve">       </v>
      </c>
      <c r="Y1210" t="str">
        <f t="shared" si="335"/>
        <v xml:space="preserve">              </v>
      </c>
      <c r="Z1210" t="str">
        <f t="shared" si="335"/>
        <v xml:space="preserve">    </v>
      </c>
      <c r="AA1210" t="str">
        <f t="shared" si="323"/>
        <v xml:space="preserve">         </v>
      </c>
      <c r="AB1210" t="str">
        <f t="shared" si="332"/>
        <v xml:space="preserve">         </v>
      </c>
      <c r="AC1210" t="str">
        <f t="shared" si="333"/>
        <v xml:space="preserve">         </v>
      </c>
      <c r="AD1210" t="str">
        <f t="shared" si="334"/>
        <v xml:space="preserve">        </v>
      </c>
      <c r="AE1210" t="str">
        <f t="shared" si="324"/>
        <v xml:space="preserve">       </v>
      </c>
      <c r="AF1210" t="str">
        <f t="shared" si="336"/>
        <v xml:space="preserve">    P</v>
      </c>
      <c r="AG1210" t="str">
        <f t="shared" si="336"/>
        <v xml:space="preserve">P E R D A </v>
      </c>
      <c r="AH1210" t="str">
        <f t="shared" si="325"/>
        <v xml:space="preserve"> S       T</v>
      </c>
      <c r="AI1210" t="str">
        <f t="shared" si="326"/>
        <v xml:space="preserve">TENSAO </v>
      </c>
      <c r="AJ1210" t="str">
        <f t="shared" si="327"/>
        <v xml:space="preserve">   </v>
      </c>
    </row>
    <row r="1211" spans="1:36" x14ac:dyDescent="0.25">
      <c r="A1211" t="s">
        <v>6</v>
      </c>
      <c r="P1211" t="str">
        <f t="shared" si="328"/>
        <v xml:space="preserve">       NOME     </v>
      </c>
      <c r="Q1211" t="str">
        <f t="shared" si="328"/>
        <v xml:space="preserve">   ANG   </v>
      </c>
      <c r="R1211" t="str">
        <f t="shared" si="321"/>
        <v xml:space="preserve">   Mvar  </v>
      </c>
      <c r="S1211" t="str">
        <f t="shared" si="329"/>
        <v xml:space="preserve">   Mvar  </v>
      </c>
      <c r="T1211" t="str">
        <f t="shared" si="330"/>
        <v xml:space="preserve">   Mvar  </v>
      </c>
      <c r="U1211" t="str">
        <f t="shared" si="334"/>
        <v xml:space="preserve">   Mvar   EQU</v>
      </c>
      <c r="V1211" t="str">
        <f t="shared" si="322"/>
        <v>UIV    Mv</v>
      </c>
      <c r="W1211" t="str">
        <f t="shared" si="331"/>
        <v>var  PARA</v>
      </c>
      <c r="X1211" t="str">
        <f t="shared" si="335"/>
        <v>A BARRA</v>
      </c>
      <c r="Y1211" t="str">
        <f t="shared" si="335"/>
        <v xml:space="preserve">A             </v>
      </c>
      <c r="Z1211" t="str">
        <f t="shared" si="335"/>
        <v xml:space="preserve">    </v>
      </c>
      <c r="AA1211" t="str">
        <f t="shared" si="323"/>
        <v xml:space="preserve">      FLU</v>
      </c>
      <c r="AB1211" t="str">
        <f t="shared" si="332"/>
        <v xml:space="preserve">UXOS     </v>
      </c>
      <c r="AC1211" t="str">
        <f t="shared" si="333"/>
        <v xml:space="preserve">         </v>
      </c>
      <c r="AD1211" t="str">
        <f t="shared" si="334"/>
        <v xml:space="preserve">        </v>
      </c>
      <c r="AE1211" t="str">
        <f t="shared" si="324"/>
        <v xml:space="preserve">       </v>
      </c>
      <c r="AF1211" t="str">
        <f t="shared" si="336"/>
        <v xml:space="preserve">  ATI</v>
      </c>
      <c r="AG1211" t="str">
        <f t="shared" si="336"/>
        <v>IVA   REAT</v>
      </c>
      <c r="AH1211" t="str">
        <f t="shared" si="325"/>
        <v>TIVA  CIR.</v>
      </c>
      <c r="AI1211" t="str">
        <f t="shared" si="326"/>
        <v>. ABERT</v>
      </c>
      <c r="AJ1211" t="str">
        <f t="shared" si="327"/>
        <v xml:space="preserve">TO </v>
      </c>
    </row>
    <row r="1212" spans="1:36" x14ac:dyDescent="0.25">
      <c r="A1212" t="s">
        <v>7</v>
      </c>
      <c r="P1212" t="str">
        <f t="shared" si="328"/>
        <v xml:space="preserve">                </v>
      </c>
      <c r="Q1212" t="str">
        <f t="shared" si="328"/>
        <v xml:space="preserve">         </v>
      </c>
      <c r="R1212" t="str">
        <f t="shared" si="321"/>
        <v xml:space="preserve"> MVA_NOM </v>
      </c>
      <c r="S1212" t="str">
        <f t="shared" si="329"/>
        <v xml:space="preserve"> MVA_EMR </v>
      </c>
      <c r="T1212" t="str">
        <f t="shared" si="330"/>
        <v xml:space="preserve"> MVA_EQP </v>
      </c>
      <c r="U1212" t="str">
        <f t="shared" si="334"/>
        <v xml:space="preserve">   FLUXO %   </v>
      </c>
      <c r="V1212" t="str">
        <f t="shared" si="322"/>
        <v xml:space="preserve"> SHUNT L </v>
      </c>
      <c r="W1212" t="str">
        <f t="shared" si="331"/>
        <v xml:space="preserve">         </v>
      </c>
      <c r="X1212" t="str">
        <f t="shared" si="335"/>
        <v xml:space="preserve"> NUM.  </v>
      </c>
      <c r="Y1212" t="str">
        <f t="shared" si="335"/>
        <v xml:space="preserve">     NOME     </v>
      </c>
      <c r="Z1212" t="str">
        <f t="shared" si="335"/>
        <v xml:space="preserve"> NC </v>
      </c>
      <c r="AA1212" t="str">
        <f t="shared" si="323"/>
        <v xml:space="preserve">    MW   </v>
      </c>
      <c r="AB1212" t="str">
        <f t="shared" si="332"/>
        <v xml:space="preserve">   Mvar  </v>
      </c>
      <c r="AC1212" t="str">
        <f t="shared" si="333"/>
        <v xml:space="preserve"> MVA/V_d </v>
      </c>
      <c r="AD1212" t="str">
        <f t="shared" si="334"/>
        <v xml:space="preserve">   TAP  </v>
      </c>
      <c r="AE1212" t="str">
        <f t="shared" si="324"/>
        <v xml:space="preserve"> DEFAS </v>
      </c>
      <c r="AF1212" t="str">
        <f t="shared" si="336"/>
        <v xml:space="preserve"> TIE </v>
      </c>
      <c r="AG1212" t="str">
        <f t="shared" si="336"/>
        <v xml:space="preserve">    MW    </v>
      </c>
      <c r="AH1212" t="str">
        <f t="shared" si="325"/>
        <v xml:space="preserve">   Mvar   </v>
      </c>
      <c r="AI1212" t="str">
        <f t="shared" si="326"/>
        <v xml:space="preserve">  MOD  </v>
      </c>
      <c r="AJ1212" t="str">
        <f t="shared" si="327"/>
        <v xml:space="preserve">  ANG  </v>
      </c>
    </row>
    <row r="1213" spans="1:36" x14ac:dyDescent="0.25">
      <c r="A1213" t="s">
        <v>8</v>
      </c>
      <c r="P1213" t="str">
        <f t="shared" si="328"/>
        <v xml:space="preserve"> X-------------X</v>
      </c>
      <c r="Q1213" t="str">
        <f t="shared" si="328"/>
        <v>X-------X</v>
      </c>
      <c r="R1213" t="str">
        <f t="shared" si="321"/>
        <v>X-------X</v>
      </c>
      <c r="S1213" t="str">
        <f t="shared" si="329"/>
        <v>X-------X</v>
      </c>
      <c r="T1213" t="str">
        <f t="shared" si="330"/>
        <v>X-------X</v>
      </c>
      <c r="U1213" t="str">
        <f t="shared" si="334"/>
        <v>X-----------X</v>
      </c>
      <c r="V1213" t="str">
        <f t="shared" si="322"/>
        <v>X-------X</v>
      </c>
      <c r="W1213" t="str">
        <f t="shared" si="331"/>
        <v>X-------X</v>
      </c>
      <c r="X1213" t="str">
        <f t="shared" si="335"/>
        <v>X-----X</v>
      </c>
      <c r="Y1213" t="str">
        <f t="shared" si="335"/>
        <v>X------------X</v>
      </c>
      <c r="Z1213" t="str">
        <f t="shared" si="335"/>
        <v>X--X</v>
      </c>
      <c r="AA1213" t="str">
        <f t="shared" si="323"/>
        <v>X-------X</v>
      </c>
      <c r="AB1213" t="str">
        <f t="shared" si="332"/>
        <v>X-------X</v>
      </c>
      <c r="AC1213" t="str">
        <f t="shared" si="333"/>
        <v>X-------X</v>
      </c>
      <c r="AD1213" t="str">
        <f t="shared" si="334"/>
        <v>X------X</v>
      </c>
      <c r="AE1213" t="str">
        <f t="shared" si="324"/>
        <v>X-----X</v>
      </c>
      <c r="AF1213" t="str">
        <f t="shared" si="336"/>
        <v>X---X</v>
      </c>
      <c r="AG1213" t="str">
        <f t="shared" si="336"/>
        <v>X--------X</v>
      </c>
      <c r="AH1213" t="str">
        <f t="shared" si="325"/>
        <v>X--------X</v>
      </c>
      <c r="AI1213" t="str">
        <f t="shared" si="326"/>
        <v>X-----X</v>
      </c>
      <c r="AJ1213" t="str">
        <f t="shared" si="327"/>
        <v>X-----X</v>
      </c>
    </row>
    <row r="1214" spans="1:36" x14ac:dyDescent="0.25">
      <c r="P1214" t="str">
        <f t="shared" si="328"/>
        <v/>
      </c>
      <c r="Q1214" t="str">
        <f t="shared" si="328"/>
        <v/>
      </c>
      <c r="R1214" t="str">
        <f t="shared" si="321"/>
        <v/>
      </c>
      <c r="S1214" t="str">
        <f t="shared" si="329"/>
        <v/>
      </c>
      <c r="T1214" t="str">
        <f t="shared" si="330"/>
        <v/>
      </c>
      <c r="U1214" t="str">
        <f t="shared" si="334"/>
        <v/>
      </c>
      <c r="V1214" t="str">
        <f t="shared" si="322"/>
        <v/>
      </c>
      <c r="W1214" t="str">
        <f t="shared" si="331"/>
        <v/>
      </c>
      <c r="X1214" t="str">
        <f t="shared" si="335"/>
        <v/>
      </c>
      <c r="Y1214" t="str">
        <f t="shared" si="335"/>
        <v/>
      </c>
      <c r="Z1214" t="str">
        <f t="shared" si="335"/>
        <v/>
      </c>
      <c r="AA1214" t="str">
        <f t="shared" si="323"/>
        <v/>
      </c>
      <c r="AB1214" t="str">
        <f t="shared" si="332"/>
        <v/>
      </c>
      <c r="AC1214" t="str">
        <f t="shared" si="333"/>
        <v/>
      </c>
      <c r="AD1214" t="str">
        <f t="shared" si="334"/>
        <v/>
      </c>
      <c r="AE1214" t="str">
        <f t="shared" si="324"/>
        <v/>
      </c>
      <c r="AF1214" t="str">
        <f t="shared" si="336"/>
        <v/>
      </c>
      <c r="AG1214" t="str">
        <f t="shared" si="336"/>
        <v/>
      </c>
      <c r="AH1214" t="str">
        <f t="shared" si="325"/>
        <v/>
      </c>
      <c r="AI1214" t="str">
        <f t="shared" si="326"/>
        <v/>
      </c>
      <c r="AJ1214" t="str">
        <f t="shared" si="327"/>
        <v/>
      </c>
    </row>
    <row r="1215" spans="1:36" x14ac:dyDescent="0.25">
      <c r="A1215" t="s">
        <v>934</v>
      </c>
      <c r="P1215" t="str">
        <f t="shared" si="328"/>
        <v xml:space="preserve">   9267   69  0 </v>
      </c>
      <c r="Q1215" t="str">
        <f t="shared" si="328"/>
        <v xml:space="preserve">   1.016 </v>
      </c>
      <c r="R1215" t="str">
        <f t="shared" si="321"/>
        <v xml:space="preserve">     0.4 </v>
      </c>
      <c r="S1215" t="str">
        <f t="shared" si="329"/>
        <v xml:space="preserve">     0.0 </v>
      </c>
      <c r="T1215" t="str">
        <f t="shared" si="330"/>
        <v xml:space="preserve">    38.6 </v>
      </c>
      <c r="U1215" t="str">
        <f t="shared" si="334"/>
        <v xml:space="preserve">         0.0 </v>
      </c>
      <c r="V1215" t="str">
        <f t="shared" si="322"/>
        <v xml:space="preserve">    14.9 </v>
      </c>
      <c r="W1215" t="str">
        <f t="shared" si="331"/>
        <v xml:space="preserve">     0.0</v>
      </c>
      <c r="X1215" t="str">
        <f t="shared" si="335"/>
        <v/>
      </c>
      <c r="Y1215" t="str">
        <f t="shared" si="335"/>
        <v/>
      </c>
      <c r="Z1215" t="str">
        <f t="shared" si="335"/>
        <v/>
      </c>
      <c r="AA1215" t="str">
        <f t="shared" si="323"/>
        <v/>
      </c>
      <c r="AB1215" t="str">
        <f t="shared" si="332"/>
        <v/>
      </c>
      <c r="AC1215" t="str">
        <f t="shared" si="333"/>
        <v/>
      </c>
      <c r="AD1215" t="str">
        <f t="shared" si="334"/>
        <v/>
      </c>
      <c r="AE1215" t="str">
        <f t="shared" si="324"/>
        <v/>
      </c>
      <c r="AF1215" t="str">
        <f t="shared" si="336"/>
        <v/>
      </c>
      <c r="AG1215" t="str">
        <f t="shared" si="336"/>
        <v/>
      </c>
      <c r="AH1215" t="str">
        <f t="shared" si="325"/>
        <v/>
      </c>
      <c r="AI1215" t="str">
        <f t="shared" si="326"/>
        <v/>
      </c>
      <c r="AJ1215" t="str">
        <f t="shared" si="327"/>
        <v/>
      </c>
    </row>
    <row r="1216" spans="1:36" x14ac:dyDescent="0.25">
      <c r="A1216" t="s">
        <v>935</v>
      </c>
      <c r="P1216" t="str">
        <f t="shared" si="328"/>
        <v xml:space="preserve">  PALEG5-RS069  </v>
      </c>
      <c r="Q1216" t="str">
        <f t="shared" si="328"/>
        <v xml:space="preserve">   -55.2 </v>
      </c>
      <c r="R1216" t="str">
        <f t="shared" si="321"/>
        <v xml:space="preserve">     0.0 </v>
      </c>
      <c r="S1216" t="str">
        <f t="shared" si="329"/>
        <v xml:space="preserve">     0.0 </v>
      </c>
      <c r="T1216" t="str">
        <f t="shared" si="330"/>
        <v xml:space="preserve">     9.9 </v>
      </c>
      <c r="U1216" t="str">
        <f t="shared" si="334"/>
        <v xml:space="preserve">         0.0 </v>
      </c>
      <c r="V1216" t="str">
        <f t="shared" si="322"/>
        <v xml:space="preserve">     0.0 </v>
      </c>
      <c r="W1216" t="str">
        <f t="shared" si="331"/>
        <v xml:space="preserve">     0.0 </v>
      </c>
      <c r="X1216" t="str">
        <f t="shared" si="335"/>
        <v xml:space="preserve">       </v>
      </c>
      <c r="Y1216" t="str">
        <f t="shared" si="335"/>
        <v xml:space="preserve">              </v>
      </c>
      <c r="Z1216" t="str">
        <f t="shared" si="335"/>
        <v xml:space="preserve">    </v>
      </c>
      <c r="AA1216" t="str">
        <f t="shared" si="323"/>
        <v xml:space="preserve">         </v>
      </c>
      <c r="AB1216" t="str">
        <f t="shared" si="332"/>
        <v xml:space="preserve">         </v>
      </c>
      <c r="AC1216" t="str">
        <f t="shared" si="333"/>
        <v xml:space="preserve">    </v>
      </c>
      <c r="AD1216" t="str">
        <f t="shared" si="334"/>
        <v/>
      </c>
      <c r="AE1216" t="str">
        <f t="shared" si="324"/>
        <v/>
      </c>
      <c r="AF1216" t="str">
        <f t="shared" si="336"/>
        <v/>
      </c>
      <c r="AG1216" t="str">
        <f t="shared" si="336"/>
        <v/>
      </c>
      <c r="AH1216" t="str">
        <f t="shared" si="325"/>
        <v/>
      </c>
      <c r="AI1216" t="str">
        <f t="shared" si="326"/>
        <v/>
      </c>
      <c r="AJ1216" t="str">
        <f t="shared" si="327"/>
        <v/>
      </c>
    </row>
    <row r="1217" spans="1:36" x14ac:dyDescent="0.25">
      <c r="A1217" t="s">
        <v>936</v>
      </c>
      <c r="P1217" t="str">
        <f t="shared" si="328"/>
        <v xml:space="preserve">                </v>
      </c>
      <c r="Q1217" t="str">
        <f t="shared" si="328"/>
        <v xml:space="preserve">         </v>
      </c>
      <c r="R1217" t="str">
        <f t="shared" si="321"/>
        <v xml:space="preserve">   100.0 </v>
      </c>
      <c r="S1217" t="str">
        <f t="shared" si="329"/>
        <v xml:space="preserve">   100.0 </v>
      </c>
      <c r="T1217" t="str">
        <f t="shared" si="330"/>
        <v xml:space="preserve">   100.0 </v>
      </c>
      <c r="U1217" t="str">
        <f t="shared" si="334"/>
        <v xml:space="preserve">       37.9% </v>
      </c>
      <c r="V1217" t="str">
        <f t="shared" si="322"/>
        <v xml:space="preserve">         </v>
      </c>
      <c r="W1217" t="str">
        <f t="shared" si="331"/>
        <v xml:space="preserve">         </v>
      </c>
      <c r="X1217" t="str">
        <f t="shared" si="335"/>
        <v xml:space="preserve"> 10007 </v>
      </c>
      <c r="Y1217" t="str">
        <f t="shared" si="335"/>
        <v xml:space="preserve"> JBOTAN-RS069 </v>
      </c>
      <c r="Z1217" t="str">
        <f t="shared" si="335"/>
        <v xml:space="preserve">  1 </v>
      </c>
      <c r="AA1217" t="str">
        <f t="shared" si="323"/>
        <v xml:space="preserve">   -38.2 </v>
      </c>
      <c r="AB1217" t="str">
        <f t="shared" si="332"/>
        <v xml:space="preserve">     5.0 </v>
      </c>
      <c r="AC1217" t="str">
        <f t="shared" si="333"/>
        <v xml:space="preserve">    37.9 </v>
      </c>
      <c r="AD1217" t="str">
        <f t="shared" si="334"/>
        <v xml:space="preserve">        </v>
      </c>
      <c r="AE1217" t="str">
        <f t="shared" si="324"/>
        <v xml:space="preserve">       </v>
      </c>
      <c r="AF1217" t="str">
        <f t="shared" si="336"/>
        <v xml:space="preserve">     </v>
      </c>
      <c r="AG1217" t="str">
        <f t="shared" si="336"/>
        <v xml:space="preserve">     0.04 </v>
      </c>
      <c r="AH1217" t="str">
        <f t="shared" si="325"/>
        <v xml:space="preserve">    -2.09 </v>
      </c>
      <c r="AI1217" t="str">
        <f t="shared" si="326"/>
        <v xml:space="preserve">       </v>
      </c>
      <c r="AJ1217" t="str">
        <f t="shared" si="327"/>
        <v xml:space="preserve">      </v>
      </c>
    </row>
    <row r="1218" spans="1:36" x14ac:dyDescent="0.25">
      <c r="A1218" t="s">
        <v>14</v>
      </c>
      <c r="P1218" t="str">
        <f t="shared" si="328"/>
        <v xml:space="preserve">  ..............</v>
      </c>
      <c r="Q1218" t="str">
        <f t="shared" si="328"/>
        <v>.........</v>
      </c>
      <c r="R1218" t="str">
        <f t="shared" si="321"/>
        <v>.........</v>
      </c>
      <c r="S1218" t="str">
        <f t="shared" si="329"/>
        <v>.........</v>
      </c>
      <c r="T1218" t="str">
        <f t="shared" si="330"/>
        <v>.........</v>
      </c>
      <c r="U1218" t="str">
        <f t="shared" si="334"/>
        <v>.............</v>
      </c>
      <c r="V1218" t="str">
        <f t="shared" si="322"/>
        <v>.........</v>
      </c>
      <c r="W1218" t="str">
        <f t="shared" si="331"/>
        <v>.........</v>
      </c>
      <c r="X1218" t="str">
        <f t="shared" si="335"/>
        <v>.......</v>
      </c>
      <c r="Y1218" t="str">
        <f t="shared" si="335"/>
        <v>..............</v>
      </c>
      <c r="Z1218" t="str">
        <f t="shared" si="335"/>
        <v>....</v>
      </c>
      <c r="AA1218" t="str">
        <f t="shared" si="323"/>
        <v>.........</v>
      </c>
      <c r="AB1218" t="str">
        <f t="shared" si="332"/>
        <v>.........</v>
      </c>
      <c r="AC1218" t="str">
        <f t="shared" si="333"/>
        <v>.........</v>
      </c>
      <c r="AD1218" t="str">
        <f t="shared" si="334"/>
        <v>........</v>
      </c>
      <c r="AE1218" t="str">
        <f t="shared" si="324"/>
        <v>.......</v>
      </c>
      <c r="AF1218" t="str">
        <f t="shared" si="336"/>
        <v>.....</v>
      </c>
      <c r="AG1218" t="str">
        <f t="shared" si="336"/>
        <v>..........</v>
      </c>
      <c r="AH1218" t="str">
        <f t="shared" si="325"/>
        <v>..........</v>
      </c>
      <c r="AI1218" t="str">
        <f t="shared" si="326"/>
        <v>.......</v>
      </c>
      <c r="AJ1218" t="str">
        <f t="shared" si="327"/>
        <v>.......</v>
      </c>
    </row>
    <row r="1219" spans="1:36" x14ac:dyDescent="0.25">
      <c r="A1219" t="s">
        <v>937</v>
      </c>
      <c r="P1219" t="str">
        <f t="shared" si="328"/>
        <v xml:space="preserve">   9268   69  0 </v>
      </c>
      <c r="Q1219" t="str">
        <f t="shared" si="328"/>
        <v xml:space="preserve">   1.010 </v>
      </c>
      <c r="R1219" t="str">
        <f t="shared" si="321"/>
        <v xml:space="preserve">     2.9 </v>
      </c>
      <c r="S1219" t="str">
        <f t="shared" si="329"/>
        <v xml:space="preserve">     0.0 </v>
      </c>
      <c r="T1219" t="str">
        <f t="shared" si="330"/>
        <v xml:space="preserve">    40.7 </v>
      </c>
      <c r="U1219" t="str">
        <f t="shared" si="334"/>
        <v xml:space="preserve">         0.0 </v>
      </c>
      <c r="V1219" t="str">
        <f t="shared" si="322"/>
        <v xml:space="preserve">    14.7 </v>
      </c>
      <c r="W1219" t="str">
        <f t="shared" si="331"/>
        <v xml:space="preserve">     0.0</v>
      </c>
      <c r="X1219" t="str">
        <f t="shared" si="335"/>
        <v/>
      </c>
      <c r="Y1219" t="str">
        <f t="shared" si="335"/>
        <v/>
      </c>
      <c r="Z1219" t="str">
        <f t="shared" si="335"/>
        <v/>
      </c>
      <c r="AA1219" t="str">
        <f t="shared" si="323"/>
        <v/>
      </c>
      <c r="AB1219" t="str">
        <f t="shared" si="332"/>
        <v/>
      </c>
      <c r="AC1219" t="str">
        <f t="shared" si="333"/>
        <v/>
      </c>
      <c r="AD1219" t="str">
        <f t="shared" si="334"/>
        <v/>
      </c>
      <c r="AE1219" t="str">
        <f t="shared" si="324"/>
        <v/>
      </c>
      <c r="AF1219" t="str">
        <f t="shared" si="336"/>
        <v/>
      </c>
      <c r="AG1219" t="str">
        <f t="shared" si="336"/>
        <v/>
      </c>
      <c r="AH1219" t="str">
        <f t="shared" si="325"/>
        <v/>
      </c>
      <c r="AI1219" t="str">
        <f t="shared" si="326"/>
        <v/>
      </c>
      <c r="AJ1219" t="str">
        <f t="shared" si="327"/>
        <v/>
      </c>
    </row>
    <row r="1220" spans="1:36" x14ac:dyDescent="0.25">
      <c r="A1220" t="s">
        <v>938</v>
      </c>
      <c r="P1220" t="str">
        <f t="shared" si="328"/>
        <v xml:space="preserve">  PALE14-RS069  </v>
      </c>
      <c r="Q1220" t="str">
        <f t="shared" si="328"/>
        <v xml:space="preserve">   -55.9 </v>
      </c>
      <c r="R1220" t="str">
        <f t="shared" si="321"/>
        <v xml:space="preserve">     0.0 </v>
      </c>
      <c r="S1220" t="str">
        <f t="shared" si="329"/>
        <v xml:space="preserve">     0.0 </v>
      </c>
      <c r="T1220" t="str">
        <f t="shared" si="330"/>
        <v xml:space="preserve">    12.4 </v>
      </c>
      <c r="U1220" t="str">
        <f t="shared" si="334"/>
        <v xml:space="preserve">         0.0 </v>
      </c>
      <c r="V1220" t="str">
        <f t="shared" si="322"/>
        <v xml:space="preserve">     0.0 </v>
      </c>
      <c r="W1220" t="str">
        <f t="shared" si="331"/>
        <v xml:space="preserve">     0.0 </v>
      </c>
      <c r="X1220" t="str">
        <f t="shared" si="335"/>
        <v xml:space="preserve">       </v>
      </c>
      <c r="Y1220" t="str">
        <f t="shared" si="335"/>
        <v xml:space="preserve">              </v>
      </c>
      <c r="Z1220" t="str">
        <f t="shared" si="335"/>
        <v xml:space="preserve">    </v>
      </c>
      <c r="AA1220" t="str">
        <f t="shared" si="323"/>
        <v xml:space="preserve">         </v>
      </c>
      <c r="AB1220" t="str">
        <f t="shared" si="332"/>
        <v xml:space="preserve">         </v>
      </c>
      <c r="AC1220" t="str">
        <f t="shared" si="333"/>
        <v xml:space="preserve">    </v>
      </c>
      <c r="AD1220" t="str">
        <f t="shared" si="334"/>
        <v/>
      </c>
      <c r="AE1220" t="str">
        <f t="shared" si="324"/>
        <v/>
      </c>
      <c r="AF1220" t="str">
        <f t="shared" si="336"/>
        <v/>
      </c>
      <c r="AG1220" t="str">
        <f t="shared" si="336"/>
        <v/>
      </c>
      <c r="AH1220" t="str">
        <f t="shared" si="325"/>
        <v/>
      </c>
      <c r="AI1220" t="str">
        <f t="shared" si="326"/>
        <v/>
      </c>
      <c r="AJ1220" t="str">
        <f t="shared" si="327"/>
        <v/>
      </c>
    </row>
    <row r="1221" spans="1:36" x14ac:dyDescent="0.25">
      <c r="A1221" t="s">
        <v>939</v>
      </c>
      <c r="P1221" t="str">
        <f t="shared" si="328"/>
        <v xml:space="preserve">                </v>
      </c>
      <c r="Q1221" t="str">
        <f t="shared" si="328"/>
        <v xml:space="preserve">         </v>
      </c>
      <c r="R1221" t="str">
        <f t="shared" si="321"/>
        <v xml:space="preserve">    54.0 </v>
      </c>
      <c r="S1221" t="str">
        <f t="shared" si="329"/>
        <v xml:space="preserve">    79.0 </v>
      </c>
      <c r="T1221" t="str">
        <f t="shared" si="330"/>
        <v xml:space="preserve">    79.0 </v>
      </c>
      <c r="U1221" t="str">
        <f t="shared" si="334"/>
        <v xml:space="preserve">       69.4% </v>
      </c>
      <c r="V1221" t="str">
        <f t="shared" si="322"/>
        <v xml:space="preserve">         </v>
      </c>
      <c r="W1221" t="str">
        <f t="shared" si="331"/>
        <v xml:space="preserve">         </v>
      </c>
      <c r="X1221" t="str">
        <f t="shared" si="335"/>
        <v xml:space="preserve">  9303 </v>
      </c>
      <c r="Y1221" t="str">
        <f t="shared" si="335"/>
        <v xml:space="preserve"> RESTIN-RS069 </v>
      </c>
      <c r="Z1221" t="str">
        <f t="shared" si="335"/>
        <v xml:space="preserve">  1 </v>
      </c>
      <c r="AA1221" t="str">
        <f t="shared" si="323"/>
        <v xml:space="preserve">   -37.8 </v>
      </c>
      <c r="AB1221" t="str">
        <f t="shared" si="332"/>
        <v xml:space="preserve">     2.3 </v>
      </c>
      <c r="AC1221" t="str">
        <f t="shared" si="333"/>
        <v xml:space="preserve">    37.5 </v>
      </c>
      <c r="AD1221" t="str">
        <f t="shared" si="334"/>
        <v xml:space="preserve">        </v>
      </c>
      <c r="AE1221" t="str">
        <f t="shared" si="324"/>
        <v xml:space="preserve">       </v>
      </c>
      <c r="AF1221" t="str">
        <f t="shared" si="336"/>
        <v xml:space="preserve">     </v>
      </c>
      <c r="AG1221" t="str">
        <f t="shared" si="336"/>
        <v xml:space="preserve">     0.18 </v>
      </c>
      <c r="AH1221" t="str">
        <f t="shared" si="325"/>
        <v xml:space="preserve">     0.53 </v>
      </c>
      <c r="AI1221" t="str">
        <f t="shared" si="326"/>
        <v xml:space="preserve">       </v>
      </c>
      <c r="AJ1221" t="str">
        <f t="shared" si="327"/>
        <v xml:space="preserve">      </v>
      </c>
    </row>
    <row r="1222" spans="1:36" x14ac:dyDescent="0.25">
      <c r="A1222" t="s">
        <v>14</v>
      </c>
      <c r="P1222" t="str">
        <f t="shared" si="328"/>
        <v xml:space="preserve">  ..............</v>
      </c>
      <c r="Q1222" t="str">
        <f t="shared" si="328"/>
        <v>.........</v>
      </c>
      <c r="R1222" t="str">
        <f t="shared" si="321"/>
        <v>.........</v>
      </c>
      <c r="S1222" t="str">
        <f t="shared" si="329"/>
        <v>.........</v>
      </c>
      <c r="T1222" t="str">
        <f t="shared" si="330"/>
        <v>.........</v>
      </c>
      <c r="U1222" t="str">
        <f t="shared" si="334"/>
        <v>.............</v>
      </c>
      <c r="V1222" t="str">
        <f t="shared" si="322"/>
        <v>.........</v>
      </c>
      <c r="W1222" t="str">
        <f t="shared" si="331"/>
        <v>.........</v>
      </c>
      <c r="X1222" t="str">
        <f t="shared" si="335"/>
        <v>.......</v>
      </c>
      <c r="Y1222" t="str">
        <f t="shared" si="335"/>
        <v>..............</v>
      </c>
      <c r="Z1222" t="str">
        <f t="shared" si="335"/>
        <v>....</v>
      </c>
      <c r="AA1222" t="str">
        <f t="shared" si="323"/>
        <v>.........</v>
      </c>
      <c r="AB1222" t="str">
        <f t="shared" si="332"/>
        <v>.........</v>
      </c>
      <c r="AC1222" t="str">
        <f t="shared" si="333"/>
        <v>.........</v>
      </c>
      <c r="AD1222" t="str">
        <f t="shared" si="334"/>
        <v>........</v>
      </c>
      <c r="AE1222" t="str">
        <f t="shared" si="324"/>
        <v>.......</v>
      </c>
      <c r="AF1222" t="str">
        <f t="shared" si="336"/>
        <v>.....</v>
      </c>
      <c r="AG1222" t="str">
        <f t="shared" si="336"/>
        <v>..........</v>
      </c>
      <c r="AH1222" t="str">
        <f t="shared" si="325"/>
        <v>..........</v>
      </c>
      <c r="AI1222" t="str">
        <f t="shared" si="326"/>
        <v>.......</v>
      </c>
      <c r="AJ1222" t="str">
        <f t="shared" si="327"/>
        <v>.......</v>
      </c>
    </row>
    <row r="1223" spans="1:36" x14ac:dyDescent="0.25">
      <c r="A1223" t="s">
        <v>940</v>
      </c>
      <c r="P1223" t="str">
        <f t="shared" si="328"/>
        <v xml:space="preserve">   9269   69  0 </v>
      </c>
      <c r="Q1223" t="str">
        <f t="shared" si="328"/>
        <v xml:space="preserve">   1.011 </v>
      </c>
      <c r="R1223" t="str">
        <f t="shared" si="321"/>
        <v xml:space="preserve">     1.0 </v>
      </c>
      <c r="S1223" t="str">
        <f t="shared" si="329"/>
        <v xml:space="preserve">     0.0 </v>
      </c>
      <c r="T1223" t="str">
        <f t="shared" si="330"/>
        <v xml:space="preserve">    34.1 </v>
      </c>
      <c r="U1223" t="str">
        <f t="shared" si="334"/>
        <v xml:space="preserve">         0.0 </v>
      </c>
      <c r="V1223" t="str">
        <f t="shared" si="322"/>
        <v xml:space="preserve">     7.4 </v>
      </c>
      <c r="W1223" t="str">
        <f t="shared" si="331"/>
        <v xml:space="preserve">     0.0</v>
      </c>
      <c r="X1223" t="str">
        <f t="shared" si="335"/>
        <v/>
      </c>
      <c r="Y1223" t="str">
        <f t="shared" si="335"/>
        <v/>
      </c>
      <c r="Z1223" t="str">
        <f t="shared" si="335"/>
        <v/>
      </c>
      <c r="AA1223" t="str">
        <f t="shared" si="323"/>
        <v/>
      </c>
      <c r="AB1223" t="str">
        <f t="shared" si="332"/>
        <v/>
      </c>
      <c r="AC1223" t="str">
        <f t="shared" si="333"/>
        <v/>
      </c>
      <c r="AD1223" t="str">
        <f t="shared" si="334"/>
        <v/>
      </c>
      <c r="AE1223" t="str">
        <f t="shared" si="324"/>
        <v/>
      </c>
      <c r="AF1223" t="str">
        <f t="shared" si="336"/>
        <v/>
      </c>
      <c r="AG1223" t="str">
        <f t="shared" si="336"/>
        <v/>
      </c>
      <c r="AH1223" t="str">
        <f t="shared" si="325"/>
        <v/>
      </c>
      <c r="AI1223" t="str">
        <f t="shared" si="326"/>
        <v/>
      </c>
      <c r="AJ1223" t="str">
        <f t="shared" si="327"/>
        <v/>
      </c>
    </row>
    <row r="1224" spans="1:36" x14ac:dyDescent="0.25">
      <c r="A1224" t="s">
        <v>941</v>
      </c>
      <c r="P1224" t="str">
        <f t="shared" si="328"/>
        <v xml:space="preserve">  PALE16-RS069  </v>
      </c>
      <c r="Q1224" t="str">
        <f t="shared" si="328"/>
        <v xml:space="preserve">   -55.5 </v>
      </c>
      <c r="R1224" t="str">
        <f t="shared" si="321"/>
        <v xml:space="preserve">     0.0 </v>
      </c>
      <c r="S1224" t="str">
        <f t="shared" si="329"/>
        <v xml:space="preserve">     0.0 </v>
      </c>
      <c r="T1224" t="str">
        <f t="shared" si="330"/>
        <v xml:space="preserve">    13.8 </v>
      </c>
      <c r="U1224" t="str">
        <f t="shared" si="334"/>
        <v xml:space="preserve">         0.0 </v>
      </c>
      <c r="V1224" t="str">
        <f t="shared" si="322"/>
        <v xml:space="preserve">     0.0 </v>
      </c>
      <c r="W1224" t="str">
        <f t="shared" si="331"/>
        <v xml:space="preserve">     0.0 </v>
      </c>
      <c r="X1224" t="str">
        <f t="shared" si="335"/>
        <v xml:space="preserve">       </v>
      </c>
      <c r="Y1224" t="str">
        <f t="shared" si="335"/>
        <v xml:space="preserve">              </v>
      </c>
      <c r="Z1224" t="str">
        <f t="shared" si="335"/>
        <v xml:space="preserve">    </v>
      </c>
      <c r="AA1224" t="str">
        <f t="shared" si="323"/>
        <v xml:space="preserve">         </v>
      </c>
      <c r="AB1224" t="str">
        <f t="shared" si="332"/>
        <v xml:space="preserve">         </v>
      </c>
      <c r="AC1224" t="str">
        <f t="shared" si="333"/>
        <v xml:space="preserve">    </v>
      </c>
      <c r="AD1224" t="str">
        <f t="shared" si="334"/>
        <v/>
      </c>
      <c r="AE1224" t="str">
        <f t="shared" si="324"/>
        <v/>
      </c>
      <c r="AF1224" t="str">
        <f t="shared" si="336"/>
        <v/>
      </c>
      <c r="AG1224" t="str">
        <f t="shared" si="336"/>
        <v/>
      </c>
      <c r="AH1224" t="str">
        <f t="shared" si="325"/>
        <v/>
      </c>
      <c r="AI1224" t="str">
        <f t="shared" si="326"/>
        <v/>
      </c>
      <c r="AJ1224" t="str">
        <f t="shared" si="327"/>
        <v/>
      </c>
    </row>
    <row r="1225" spans="1:36" x14ac:dyDescent="0.25">
      <c r="A1225" t="s">
        <v>942</v>
      </c>
      <c r="P1225" t="str">
        <f t="shared" si="328"/>
        <v xml:space="preserve">                </v>
      </c>
      <c r="Q1225" t="str">
        <f t="shared" si="328"/>
        <v xml:space="preserve">         </v>
      </c>
      <c r="R1225" t="str">
        <f t="shared" si="321"/>
        <v xml:space="preserve">    54.0 </v>
      </c>
      <c r="S1225" t="str">
        <f t="shared" si="329"/>
        <v xml:space="preserve">    79.0 </v>
      </c>
      <c r="T1225" t="str">
        <f t="shared" si="330"/>
        <v xml:space="preserve">    79.0 </v>
      </c>
      <c r="U1225" t="str">
        <f t="shared" si="334"/>
        <v xml:space="preserve">       30.9% </v>
      </c>
      <c r="V1225" t="str">
        <f t="shared" si="322"/>
        <v xml:space="preserve">         </v>
      </c>
      <c r="W1225" t="str">
        <f t="shared" si="331"/>
        <v xml:space="preserve">         </v>
      </c>
      <c r="X1225" t="str">
        <f t="shared" si="335"/>
        <v xml:space="preserve">  9264 </v>
      </c>
      <c r="Y1225" t="str">
        <f t="shared" si="335"/>
        <v xml:space="preserve"> VIAMA3-RS069 </v>
      </c>
      <c r="Z1225" t="str">
        <f t="shared" si="335"/>
        <v xml:space="preserve">  1 </v>
      </c>
      <c r="AA1225" t="str">
        <f t="shared" si="323"/>
        <v xml:space="preserve">   -16.0 </v>
      </c>
      <c r="AB1225" t="str">
        <f t="shared" si="332"/>
        <v xml:space="preserve">    -5.3 </v>
      </c>
      <c r="AC1225" t="str">
        <f t="shared" si="333"/>
        <v xml:space="preserve">    16.7 </v>
      </c>
      <c r="AD1225" t="str">
        <f t="shared" si="334"/>
        <v xml:space="preserve">        </v>
      </c>
      <c r="AE1225" t="str">
        <f t="shared" si="324"/>
        <v xml:space="preserve">       </v>
      </c>
      <c r="AF1225" t="str">
        <f t="shared" si="336"/>
        <v xml:space="preserve">     </v>
      </c>
      <c r="AG1225" t="str">
        <f t="shared" si="336"/>
        <v xml:space="preserve">     0.06 </v>
      </c>
      <c r="AH1225" t="str">
        <f t="shared" si="325"/>
        <v xml:space="preserve">    -0.09 </v>
      </c>
      <c r="AI1225" t="str">
        <f t="shared" si="326"/>
        <v xml:space="preserve">       </v>
      </c>
      <c r="AJ1225" t="str">
        <f t="shared" si="327"/>
        <v xml:space="preserve">      </v>
      </c>
    </row>
    <row r="1226" spans="1:36" x14ac:dyDescent="0.25">
      <c r="A1226" t="s">
        <v>943</v>
      </c>
      <c r="P1226" t="str">
        <f t="shared" si="328"/>
        <v xml:space="preserve">                </v>
      </c>
      <c r="Q1226" t="str">
        <f t="shared" si="328"/>
        <v xml:space="preserve">         </v>
      </c>
      <c r="R1226" t="str">
        <f t="shared" si="321"/>
        <v xml:space="preserve">    84.0 </v>
      </c>
      <c r="S1226" t="str">
        <f t="shared" si="329"/>
        <v xml:space="preserve">   101.0 </v>
      </c>
      <c r="T1226" t="str">
        <f t="shared" si="330"/>
        <v xml:space="preserve">   101.0 </v>
      </c>
      <c r="U1226" t="str">
        <f t="shared" si="334"/>
        <v xml:space="preserve">       20.2% </v>
      </c>
      <c r="V1226" t="str">
        <f t="shared" si="322"/>
        <v xml:space="preserve">         </v>
      </c>
      <c r="W1226" t="str">
        <f t="shared" si="331"/>
        <v xml:space="preserve">         </v>
      </c>
      <c r="X1226" t="str">
        <f t="shared" si="335"/>
        <v xml:space="preserve">  9967 </v>
      </c>
      <c r="Y1226" t="str">
        <f t="shared" si="335"/>
        <v xml:space="preserve"> PA16-2TAP069 </v>
      </c>
      <c r="Z1226" t="str">
        <f t="shared" si="335"/>
        <v xml:space="preserve">  1 </v>
      </c>
      <c r="AA1226" t="str">
        <f t="shared" si="323"/>
        <v xml:space="preserve">   -17.1 </v>
      </c>
      <c r="AB1226" t="str">
        <f t="shared" si="332"/>
        <v xml:space="preserve">    -1.2 </v>
      </c>
      <c r="AC1226" t="str">
        <f t="shared" si="333"/>
        <v xml:space="preserve">    16.9 </v>
      </c>
      <c r="AD1226" t="str">
        <f t="shared" si="334"/>
        <v xml:space="preserve">        </v>
      </c>
      <c r="AE1226" t="str">
        <f t="shared" si="324"/>
        <v xml:space="preserve">       </v>
      </c>
      <c r="AF1226" t="str">
        <f t="shared" si="336"/>
        <v xml:space="preserve">     </v>
      </c>
      <c r="AG1226" t="str">
        <f t="shared" si="336"/>
        <v xml:space="preserve">     0.03 </v>
      </c>
      <c r="AH1226" t="str">
        <f t="shared" si="325"/>
        <v xml:space="preserve">     0.06 </v>
      </c>
      <c r="AI1226" t="str">
        <f t="shared" si="326"/>
        <v xml:space="preserve">       </v>
      </c>
      <c r="AJ1226" t="str">
        <f t="shared" si="327"/>
        <v xml:space="preserve">      </v>
      </c>
    </row>
    <row r="1227" spans="1:36" x14ac:dyDescent="0.25">
      <c r="A1227" t="s">
        <v>14</v>
      </c>
      <c r="P1227" t="str">
        <f t="shared" si="328"/>
        <v xml:space="preserve">  ..............</v>
      </c>
      <c r="Q1227" t="str">
        <f t="shared" si="328"/>
        <v>.........</v>
      </c>
      <c r="R1227" t="str">
        <f t="shared" si="321"/>
        <v>.........</v>
      </c>
      <c r="S1227" t="str">
        <f t="shared" si="329"/>
        <v>.........</v>
      </c>
      <c r="T1227" t="str">
        <f t="shared" si="330"/>
        <v>.........</v>
      </c>
      <c r="U1227" t="str">
        <f t="shared" si="334"/>
        <v>.............</v>
      </c>
      <c r="V1227" t="str">
        <f t="shared" si="322"/>
        <v>.........</v>
      </c>
      <c r="W1227" t="str">
        <f t="shared" si="331"/>
        <v>.........</v>
      </c>
      <c r="X1227" t="str">
        <f t="shared" si="335"/>
        <v>.......</v>
      </c>
      <c r="Y1227" t="str">
        <f t="shared" si="335"/>
        <v>..............</v>
      </c>
      <c r="Z1227" t="str">
        <f t="shared" si="335"/>
        <v>....</v>
      </c>
      <c r="AA1227" t="str">
        <f t="shared" si="323"/>
        <v>.........</v>
      </c>
      <c r="AB1227" t="str">
        <f t="shared" si="332"/>
        <v>.........</v>
      </c>
      <c r="AC1227" t="str">
        <f t="shared" si="333"/>
        <v>.........</v>
      </c>
      <c r="AD1227" t="str">
        <f t="shared" si="334"/>
        <v>........</v>
      </c>
      <c r="AE1227" t="str">
        <f t="shared" si="324"/>
        <v>.......</v>
      </c>
      <c r="AF1227" t="str">
        <f t="shared" si="336"/>
        <v>.....</v>
      </c>
      <c r="AG1227" t="str">
        <f t="shared" si="336"/>
        <v>..........</v>
      </c>
      <c r="AH1227" t="str">
        <f t="shared" si="325"/>
        <v>..........</v>
      </c>
      <c r="AI1227" t="str">
        <f t="shared" si="326"/>
        <v>.......</v>
      </c>
      <c r="AJ1227" t="str">
        <f t="shared" si="327"/>
        <v>.......</v>
      </c>
    </row>
    <row r="1228" spans="1:36" x14ac:dyDescent="0.25">
      <c r="A1228" t="s">
        <v>944</v>
      </c>
      <c r="P1228" t="str">
        <f t="shared" si="328"/>
        <v xml:space="preserve">   9270   69  0 </v>
      </c>
      <c r="Q1228" t="str">
        <f t="shared" si="328"/>
        <v xml:space="preserve">   1.014 </v>
      </c>
      <c r="R1228" t="str">
        <f t="shared" ref="R1228:R1291" si="337">MID($A1228,Q$8+Q$9-1,R$9)</f>
        <v xml:space="preserve">     1.9 </v>
      </c>
      <c r="S1228" t="str">
        <f t="shared" si="329"/>
        <v xml:space="preserve">     0.0 </v>
      </c>
      <c r="T1228" t="str">
        <f t="shared" si="330"/>
        <v xml:space="preserve">    28.5 </v>
      </c>
      <c r="U1228" t="str">
        <f t="shared" si="334"/>
        <v xml:space="preserve">         0.0 </v>
      </c>
      <c r="V1228" t="str">
        <f t="shared" ref="V1228:V1291" si="338">MID($A1228,U$8+U$9-1,V$9)</f>
        <v xml:space="preserve">     7.4 </v>
      </c>
      <c r="W1228" t="str">
        <f t="shared" si="331"/>
        <v xml:space="preserve">     0.0</v>
      </c>
      <c r="X1228" t="str">
        <f t="shared" si="335"/>
        <v/>
      </c>
      <c r="Y1228" t="str">
        <f t="shared" si="335"/>
        <v/>
      </c>
      <c r="Z1228" t="str">
        <f t="shared" si="335"/>
        <v/>
      </c>
      <c r="AA1228" t="str">
        <f t="shared" ref="AA1228:AA1291" si="339">MID($A1228,Z$8+Z$9-1,AA$9)</f>
        <v/>
      </c>
      <c r="AB1228" t="str">
        <f t="shared" si="332"/>
        <v/>
      </c>
      <c r="AC1228" t="str">
        <f t="shared" si="333"/>
        <v/>
      </c>
      <c r="AD1228" t="str">
        <f t="shared" si="334"/>
        <v/>
      </c>
      <c r="AE1228" t="str">
        <f t="shared" ref="AE1228:AE1291" si="340">MID($A1228,AD$8+AD$9-1,AE$9)</f>
        <v/>
      </c>
      <c r="AF1228" t="str">
        <f t="shared" si="336"/>
        <v/>
      </c>
      <c r="AG1228" t="str">
        <f t="shared" si="336"/>
        <v/>
      </c>
      <c r="AH1228" t="str">
        <f t="shared" ref="AH1228:AH1291" si="341">MID($A1228,AG$8+AG$9-1,AH$9)</f>
        <v/>
      </c>
      <c r="AI1228" t="str">
        <f t="shared" si="326"/>
        <v/>
      </c>
      <c r="AJ1228" t="str">
        <f t="shared" si="327"/>
        <v/>
      </c>
    </row>
    <row r="1229" spans="1:36" x14ac:dyDescent="0.25">
      <c r="A1229" t="s">
        <v>945</v>
      </c>
      <c r="P1229" t="str">
        <f t="shared" si="328"/>
        <v xml:space="preserve">  VIAMO2-RS069  </v>
      </c>
      <c r="Q1229" t="str">
        <f t="shared" si="328"/>
        <v xml:space="preserve">   -55.3 </v>
      </c>
      <c r="R1229" t="str">
        <f t="shared" si="337"/>
        <v xml:space="preserve">     0.0 </v>
      </c>
      <c r="S1229" t="str">
        <f t="shared" si="329"/>
        <v xml:space="preserve">     0.0 </v>
      </c>
      <c r="T1229" t="str">
        <f t="shared" si="330"/>
        <v xml:space="preserve">    12.7 </v>
      </c>
      <c r="U1229" t="str">
        <f t="shared" si="334"/>
        <v xml:space="preserve">         0.0 </v>
      </c>
      <c r="V1229" t="str">
        <f t="shared" si="338"/>
        <v xml:space="preserve">     0.0 </v>
      </c>
      <c r="W1229" t="str">
        <f t="shared" si="331"/>
        <v xml:space="preserve">     0.0 </v>
      </c>
      <c r="X1229" t="str">
        <f t="shared" si="335"/>
        <v xml:space="preserve">       </v>
      </c>
      <c r="Y1229" t="str">
        <f t="shared" si="335"/>
        <v xml:space="preserve">              </v>
      </c>
      <c r="Z1229" t="str">
        <f t="shared" si="335"/>
        <v xml:space="preserve">    </v>
      </c>
      <c r="AA1229" t="str">
        <f t="shared" si="339"/>
        <v xml:space="preserve">         </v>
      </c>
      <c r="AB1229" t="str">
        <f t="shared" si="332"/>
        <v xml:space="preserve">         </v>
      </c>
      <c r="AC1229" t="str">
        <f t="shared" si="333"/>
        <v xml:space="preserve">    </v>
      </c>
      <c r="AD1229" t="str">
        <f t="shared" si="334"/>
        <v/>
      </c>
      <c r="AE1229" t="str">
        <f t="shared" si="340"/>
        <v/>
      </c>
      <c r="AF1229" t="str">
        <f t="shared" si="336"/>
        <v/>
      </c>
      <c r="AG1229" t="str">
        <f t="shared" si="336"/>
        <v/>
      </c>
      <c r="AH1229" t="str">
        <f t="shared" si="341"/>
        <v/>
      </c>
      <c r="AI1229" t="str">
        <f t="shared" si="326"/>
        <v/>
      </c>
      <c r="AJ1229" t="str">
        <f t="shared" si="327"/>
        <v/>
      </c>
    </row>
    <row r="1230" spans="1:36" x14ac:dyDescent="0.25">
      <c r="A1230" t="s">
        <v>946</v>
      </c>
      <c r="P1230" t="str">
        <f t="shared" si="328"/>
        <v xml:space="preserve">              DE</v>
      </c>
      <c r="Q1230" t="str">
        <f t="shared" si="328"/>
        <v xml:space="preserve">ESLIGADO </v>
      </c>
      <c r="R1230" t="str">
        <f t="shared" si="337"/>
        <v xml:space="preserve">    54.0 </v>
      </c>
      <c r="S1230" t="str">
        <f t="shared" si="329"/>
        <v xml:space="preserve">    79.0 </v>
      </c>
      <c r="T1230" t="str">
        <f t="shared" si="330"/>
        <v xml:space="preserve">    79.0 </v>
      </c>
      <c r="U1230" t="str">
        <f t="shared" si="334"/>
        <v xml:space="preserve">             </v>
      </c>
      <c r="V1230" t="str">
        <f t="shared" si="338"/>
        <v xml:space="preserve">         </v>
      </c>
      <c r="W1230" t="str">
        <f t="shared" si="331"/>
        <v xml:space="preserve">         </v>
      </c>
      <c r="X1230" t="str">
        <f t="shared" si="335"/>
        <v xml:space="preserve">  1262 </v>
      </c>
      <c r="Y1230" t="str">
        <f t="shared" si="335"/>
        <v xml:space="preserve"> PALGR6-RS069 </v>
      </c>
      <c r="Z1230" t="str">
        <f t="shared" si="335"/>
        <v xml:space="preserve">  1 </v>
      </c>
      <c r="AA1230" t="str">
        <f t="shared" si="339"/>
        <v xml:space="preserve">     0.0 </v>
      </c>
      <c r="AB1230" t="str">
        <f t="shared" si="332"/>
        <v xml:space="preserve">    -0.1 </v>
      </c>
      <c r="AC1230" t="str">
        <f t="shared" si="333"/>
        <v xml:space="preserve">     0.1 </v>
      </c>
      <c r="AD1230" t="str">
        <f t="shared" si="334"/>
        <v xml:space="preserve">        </v>
      </c>
      <c r="AE1230" t="str">
        <f t="shared" si="340"/>
        <v xml:space="preserve">       </v>
      </c>
      <c r="AF1230" t="str">
        <f t="shared" si="336"/>
        <v xml:space="preserve">     </v>
      </c>
      <c r="AG1230" t="str">
        <f t="shared" si="336"/>
        <v xml:space="preserve">     0.00 </v>
      </c>
      <c r="AH1230" t="str">
        <f t="shared" si="341"/>
        <v xml:space="preserve">    -0.09 </v>
      </c>
      <c r="AI1230" t="str">
        <f t="shared" si="326"/>
        <v xml:space="preserve"> 1.014 </v>
      </c>
      <c r="AJ1230" t="str">
        <f t="shared" si="327"/>
        <v xml:space="preserve"> -55.3</v>
      </c>
    </row>
    <row r="1231" spans="1:36" x14ac:dyDescent="0.25">
      <c r="A1231" t="s">
        <v>947</v>
      </c>
      <c r="P1231" t="str">
        <f t="shared" si="328"/>
        <v xml:space="preserve">                </v>
      </c>
      <c r="Q1231" t="str">
        <f t="shared" si="328"/>
        <v xml:space="preserve">         </v>
      </c>
      <c r="R1231" t="str">
        <f t="shared" si="337"/>
        <v xml:space="preserve">    54.0 </v>
      </c>
      <c r="S1231" t="str">
        <f t="shared" si="329"/>
        <v xml:space="preserve">    79.0 </v>
      </c>
      <c r="T1231" t="str">
        <f t="shared" si="330"/>
        <v xml:space="preserve">    79.0 </v>
      </c>
      <c r="U1231" t="str">
        <f t="shared" si="334"/>
        <v xml:space="preserve">       49.5% </v>
      </c>
      <c r="V1231" t="str">
        <f t="shared" si="338"/>
        <v xml:space="preserve">         </v>
      </c>
      <c r="W1231" t="str">
        <f t="shared" si="331"/>
        <v xml:space="preserve">         </v>
      </c>
      <c r="X1231" t="str">
        <f t="shared" si="335"/>
        <v xml:space="preserve">  9264 </v>
      </c>
      <c r="Y1231" t="str">
        <f t="shared" si="335"/>
        <v xml:space="preserve"> VIAMA3-RS069 </v>
      </c>
      <c r="Z1231" t="str">
        <f t="shared" si="335"/>
        <v xml:space="preserve">  1 </v>
      </c>
      <c r="AA1231" t="str">
        <f t="shared" si="339"/>
        <v xml:space="preserve">   -26.6 </v>
      </c>
      <c r="AB1231" t="str">
        <f t="shared" si="332"/>
        <v xml:space="preserve">    -5.2 </v>
      </c>
      <c r="AC1231" t="str">
        <f t="shared" si="333"/>
        <v xml:space="preserve">    26.7 </v>
      </c>
      <c r="AD1231" t="str">
        <f t="shared" si="334"/>
        <v xml:space="preserve">        </v>
      </c>
      <c r="AE1231" t="str">
        <f t="shared" si="340"/>
        <v xml:space="preserve">       </v>
      </c>
      <c r="AF1231" t="str">
        <f t="shared" si="336"/>
        <v xml:space="preserve">     </v>
      </c>
      <c r="AG1231" t="str">
        <f t="shared" si="336"/>
        <v xml:space="preserve">     0.06 </v>
      </c>
      <c r="AH1231" t="str">
        <f t="shared" si="341"/>
        <v xml:space="preserve">     0.20 </v>
      </c>
      <c r="AI1231" t="str">
        <f t="shared" si="326"/>
        <v xml:space="preserve">       </v>
      </c>
      <c r="AJ1231" t="str">
        <f t="shared" si="327"/>
        <v xml:space="preserve">      </v>
      </c>
    </row>
    <row r="1232" spans="1:36" x14ac:dyDescent="0.25">
      <c r="A1232" t="s">
        <v>14</v>
      </c>
      <c r="P1232" t="str">
        <f t="shared" si="328"/>
        <v xml:space="preserve">  ..............</v>
      </c>
      <c r="Q1232" t="str">
        <f t="shared" si="328"/>
        <v>.........</v>
      </c>
      <c r="R1232" t="str">
        <f t="shared" si="337"/>
        <v>.........</v>
      </c>
      <c r="S1232" t="str">
        <f t="shared" si="329"/>
        <v>.........</v>
      </c>
      <c r="T1232" t="str">
        <f t="shared" si="330"/>
        <v>.........</v>
      </c>
      <c r="U1232" t="str">
        <f t="shared" si="334"/>
        <v>.............</v>
      </c>
      <c r="V1232" t="str">
        <f t="shared" si="338"/>
        <v>.........</v>
      </c>
      <c r="W1232" t="str">
        <f t="shared" si="331"/>
        <v>.........</v>
      </c>
      <c r="X1232" t="str">
        <f t="shared" si="335"/>
        <v>.......</v>
      </c>
      <c r="Y1232" t="str">
        <f t="shared" si="335"/>
        <v>..............</v>
      </c>
      <c r="Z1232" t="str">
        <f t="shared" si="335"/>
        <v>....</v>
      </c>
      <c r="AA1232" t="str">
        <f t="shared" si="339"/>
        <v>.........</v>
      </c>
      <c r="AB1232" t="str">
        <f t="shared" si="332"/>
        <v>.........</v>
      </c>
      <c r="AC1232" t="str">
        <f t="shared" si="333"/>
        <v>.........</v>
      </c>
      <c r="AD1232" t="str">
        <f t="shared" si="334"/>
        <v>........</v>
      </c>
      <c r="AE1232" t="str">
        <f t="shared" si="340"/>
        <v>.......</v>
      </c>
      <c r="AF1232" t="str">
        <f t="shared" si="336"/>
        <v>.....</v>
      </c>
      <c r="AG1232" t="str">
        <f t="shared" si="336"/>
        <v>..........</v>
      </c>
      <c r="AH1232" t="str">
        <f t="shared" si="341"/>
        <v>..........</v>
      </c>
      <c r="AI1232" t="str">
        <f t="shared" si="326"/>
        <v>.......</v>
      </c>
      <c r="AJ1232" t="str">
        <f t="shared" si="327"/>
        <v>.......</v>
      </c>
    </row>
    <row r="1233" spans="1:36" x14ac:dyDescent="0.25">
      <c r="A1233" t="s">
        <v>948</v>
      </c>
      <c r="P1233" t="str">
        <f t="shared" si="328"/>
        <v xml:space="preserve">   9271   69  0 </v>
      </c>
      <c r="Q1233" t="str">
        <f t="shared" si="328"/>
        <v xml:space="preserve">   1.004 </v>
      </c>
      <c r="R1233" t="str">
        <f t="shared" si="337"/>
        <v xml:space="preserve">     2.6 </v>
      </c>
      <c r="S1233" t="str">
        <f t="shared" si="329"/>
        <v xml:space="preserve">     0.0 </v>
      </c>
      <c r="T1233" t="str">
        <f t="shared" si="330"/>
        <v xml:space="preserve">    28.9 </v>
      </c>
      <c r="U1233" t="str">
        <f t="shared" si="334"/>
        <v xml:space="preserve">         0.0 </v>
      </c>
      <c r="V1233" t="str">
        <f t="shared" si="338"/>
        <v xml:space="preserve">     7.3 </v>
      </c>
      <c r="W1233" t="str">
        <f t="shared" si="331"/>
        <v xml:space="preserve">     0.0</v>
      </c>
      <c r="X1233" t="str">
        <f t="shared" si="335"/>
        <v/>
      </c>
      <c r="Y1233" t="str">
        <f t="shared" si="335"/>
        <v/>
      </c>
      <c r="Z1233" t="str">
        <f t="shared" si="335"/>
        <v/>
      </c>
      <c r="AA1233" t="str">
        <f t="shared" si="339"/>
        <v/>
      </c>
      <c r="AB1233" t="str">
        <f t="shared" si="332"/>
        <v/>
      </c>
      <c r="AC1233" t="str">
        <f t="shared" si="333"/>
        <v/>
      </c>
      <c r="AD1233" t="str">
        <f t="shared" si="334"/>
        <v/>
      </c>
      <c r="AE1233" t="str">
        <f t="shared" si="340"/>
        <v/>
      </c>
      <c r="AF1233" t="str">
        <f t="shared" si="336"/>
        <v/>
      </c>
      <c r="AG1233" t="str">
        <f t="shared" si="336"/>
        <v/>
      </c>
      <c r="AH1233" t="str">
        <f t="shared" si="341"/>
        <v/>
      </c>
      <c r="AI1233" t="str">
        <f t="shared" si="326"/>
        <v/>
      </c>
      <c r="AJ1233" t="str">
        <f t="shared" si="327"/>
        <v/>
      </c>
    </row>
    <row r="1234" spans="1:36" x14ac:dyDescent="0.25">
      <c r="A1234" t="s">
        <v>949</v>
      </c>
      <c r="P1234" t="str">
        <f t="shared" si="328"/>
        <v xml:space="preserve">  PALE15-RS069  </v>
      </c>
      <c r="Q1234" t="str">
        <f t="shared" si="328"/>
        <v xml:space="preserve">   -56.6 </v>
      </c>
      <c r="R1234" t="str">
        <f t="shared" si="337"/>
        <v xml:space="preserve">     0.0 </v>
      </c>
      <c r="S1234" t="str">
        <f t="shared" si="329"/>
        <v xml:space="preserve">     0.0 </v>
      </c>
      <c r="T1234" t="str">
        <f t="shared" si="330"/>
        <v xml:space="preserve">     8.7 </v>
      </c>
      <c r="U1234" t="str">
        <f t="shared" si="334"/>
        <v xml:space="preserve">         0.0 </v>
      </c>
      <c r="V1234" t="str">
        <f t="shared" si="338"/>
        <v xml:space="preserve">     0.0 </v>
      </c>
      <c r="W1234" t="str">
        <f t="shared" si="331"/>
        <v xml:space="preserve">     0.0 </v>
      </c>
      <c r="X1234" t="str">
        <f t="shared" si="335"/>
        <v xml:space="preserve">       </v>
      </c>
      <c r="Y1234" t="str">
        <f t="shared" si="335"/>
        <v xml:space="preserve">              </v>
      </c>
      <c r="Z1234" t="str">
        <f t="shared" si="335"/>
        <v xml:space="preserve">    </v>
      </c>
      <c r="AA1234" t="str">
        <f t="shared" si="339"/>
        <v xml:space="preserve">         </v>
      </c>
      <c r="AB1234" t="str">
        <f t="shared" si="332"/>
        <v xml:space="preserve">         </v>
      </c>
      <c r="AC1234" t="str">
        <f t="shared" si="333"/>
        <v xml:space="preserve">    </v>
      </c>
      <c r="AD1234" t="str">
        <f t="shared" si="334"/>
        <v/>
      </c>
      <c r="AE1234" t="str">
        <f t="shared" si="340"/>
        <v/>
      </c>
      <c r="AF1234" t="str">
        <f t="shared" si="336"/>
        <v/>
      </c>
      <c r="AG1234" t="str">
        <f t="shared" si="336"/>
        <v/>
      </c>
      <c r="AH1234" t="str">
        <f t="shared" si="341"/>
        <v/>
      </c>
      <c r="AI1234" t="str">
        <f t="shared" si="326"/>
        <v/>
      </c>
      <c r="AJ1234" t="str">
        <f t="shared" si="327"/>
        <v/>
      </c>
    </row>
    <row r="1235" spans="1:36" x14ac:dyDescent="0.25">
      <c r="A1235" t="s">
        <v>950</v>
      </c>
      <c r="P1235" t="str">
        <f t="shared" si="328"/>
        <v xml:space="preserve">                </v>
      </c>
      <c r="Q1235" t="str">
        <f t="shared" si="328"/>
        <v xml:space="preserve">         </v>
      </c>
      <c r="R1235" t="str">
        <f t="shared" si="337"/>
        <v xml:space="preserve">    84.0 </v>
      </c>
      <c r="S1235" t="str">
        <f t="shared" si="329"/>
        <v xml:space="preserve">   101.0 </v>
      </c>
      <c r="T1235" t="str">
        <f t="shared" si="330"/>
        <v xml:space="preserve">   101.0 </v>
      </c>
      <c r="U1235" t="str">
        <f t="shared" si="334"/>
        <v xml:space="preserve">       31.2% </v>
      </c>
      <c r="V1235" t="str">
        <f t="shared" si="338"/>
        <v xml:space="preserve">         </v>
      </c>
      <c r="W1235" t="str">
        <f t="shared" si="331"/>
        <v xml:space="preserve">         </v>
      </c>
      <c r="X1235" t="str">
        <f t="shared" si="335"/>
        <v xml:space="preserve">  9272 </v>
      </c>
      <c r="Y1235" t="str">
        <f t="shared" si="335"/>
        <v xml:space="preserve"> PALE15TAP069 </v>
      </c>
      <c r="Z1235" t="str">
        <f t="shared" si="335"/>
        <v xml:space="preserve">  1 </v>
      </c>
      <c r="AA1235" t="str">
        <f t="shared" si="339"/>
        <v xml:space="preserve">   -26.3 </v>
      </c>
      <c r="AB1235" t="str">
        <f t="shared" si="332"/>
        <v xml:space="preserve">    -1.4 </v>
      </c>
      <c r="AC1235" t="str">
        <f t="shared" si="333"/>
        <v xml:space="preserve">    26.2 </v>
      </c>
      <c r="AD1235" t="str">
        <f t="shared" si="334"/>
        <v xml:space="preserve">        </v>
      </c>
      <c r="AE1235" t="str">
        <f t="shared" si="340"/>
        <v xml:space="preserve">       </v>
      </c>
      <c r="AF1235" t="str">
        <f t="shared" si="336"/>
        <v xml:space="preserve">     </v>
      </c>
      <c r="AG1235" t="str">
        <f t="shared" si="336"/>
        <v xml:space="preserve">     0.14 </v>
      </c>
      <c r="AH1235" t="str">
        <f t="shared" si="341"/>
        <v xml:space="preserve">     0.34 </v>
      </c>
      <c r="AI1235" t="str">
        <f t="shared" si="326"/>
        <v xml:space="preserve">       </v>
      </c>
      <c r="AJ1235" t="str">
        <f t="shared" si="327"/>
        <v xml:space="preserve">      </v>
      </c>
    </row>
    <row r="1236" spans="1:36" x14ac:dyDescent="0.25">
      <c r="A1236" t="s">
        <v>14</v>
      </c>
      <c r="P1236" t="str">
        <f t="shared" si="328"/>
        <v xml:space="preserve">  ..............</v>
      </c>
      <c r="Q1236" t="str">
        <f t="shared" si="328"/>
        <v>.........</v>
      </c>
      <c r="R1236" t="str">
        <f t="shared" si="337"/>
        <v>.........</v>
      </c>
      <c r="S1236" t="str">
        <f t="shared" si="329"/>
        <v>.........</v>
      </c>
      <c r="T1236" t="str">
        <f t="shared" si="330"/>
        <v>.........</v>
      </c>
      <c r="U1236" t="str">
        <f t="shared" si="334"/>
        <v>.............</v>
      </c>
      <c r="V1236" t="str">
        <f t="shared" si="338"/>
        <v>.........</v>
      </c>
      <c r="W1236" t="str">
        <f t="shared" si="331"/>
        <v>.........</v>
      </c>
      <c r="X1236" t="str">
        <f t="shared" si="335"/>
        <v>.......</v>
      </c>
      <c r="Y1236" t="str">
        <f t="shared" si="335"/>
        <v>..............</v>
      </c>
      <c r="Z1236" t="str">
        <f t="shared" si="335"/>
        <v>....</v>
      </c>
      <c r="AA1236" t="str">
        <f t="shared" si="339"/>
        <v>.........</v>
      </c>
      <c r="AB1236" t="str">
        <f t="shared" si="332"/>
        <v>.........</v>
      </c>
      <c r="AC1236" t="str">
        <f t="shared" si="333"/>
        <v>.........</v>
      </c>
      <c r="AD1236" t="str">
        <f t="shared" si="334"/>
        <v>........</v>
      </c>
      <c r="AE1236" t="str">
        <f t="shared" si="340"/>
        <v>.......</v>
      </c>
      <c r="AF1236" t="str">
        <f t="shared" si="336"/>
        <v>.....</v>
      </c>
      <c r="AG1236" t="str">
        <f t="shared" si="336"/>
        <v>..........</v>
      </c>
      <c r="AH1236" t="str">
        <f t="shared" si="341"/>
        <v>..........</v>
      </c>
      <c r="AI1236" t="str">
        <f t="shared" si="326"/>
        <v>.......</v>
      </c>
      <c r="AJ1236" t="str">
        <f t="shared" si="327"/>
        <v>.......</v>
      </c>
    </row>
    <row r="1237" spans="1:36" x14ac:dyDescent="0.25">
      <c r="A1237" t="s">
        <v>951</v>
      </c>
      <c r="P1237" t="str">
        <f t="shared" si="328"/>
        <v xml:space="preserve">   9272   69  0 </v>
      </c>
      <c r="Q1237" t="str">
        <f t="shared" si="328"/>
        <v xml:space="preserve">   1.010 </v>
      </c>
      <c r="R1237" t="str">
        <f t="shared" si="337"/>
        <v xml:space="preserve">     0.0 </v>
      </c>
      <c r="S1237" t="str">
        <f t="shared" si="329"/>
        <v xml:space="preserve">     0.0 </v>
      </c>
      <c r="T1237" t="str">
        <f t="shared" si="330"/>
        <v xml:space="preserve">     0.0 </v>
      </c>
      <c r="U1237" t="str">
        <f t="shared" si="334"/>
        <v xml:space="preserve">         0.0 </v>
      </c>
      <c r="V1237" t="str">
        <f t="shared" si="338"/>
        <v xml:space="preserve">     0.0 </v>
      </c>
      <c r="W1237" t="str">
        <f t="shared" si="331"/>
        <v xml:space="preserve">     0.0</v>
      </c>
      <c r="X1237" t="str">
        <f t="shared" si="335"/>
        <v/>
      </c>
      <c r="Y1237" t="str">
        <f t="shared" si="335"/>
        <v/>
      </c>
      <c r="Z1237" t="str">
        <f t="shared" si="335"/>
        <v/>
      </c>
      <c r="AA1237" t="str">
        <f t="shared" si="339"/>
        <v/>
      </c>
      <c r="AB1237" t="str">
        <f t="shared" si="332"/>
        <v/>
      </c>
      <c r="AC1237" t="str">
        <f t="shared" si="333"/>
        <v/>
      </c>
      <c r="AD1237" t="str">
        <f t="shared" si="334"/>
        <v/>
      </c>
      <c r="AE1237" t="str">
        <f t="shared" si="340"/>
        <v/>
      </c>
      <c r="AF1237" t="str">
        <f t="shared" si="336"/>
        <v/>
      </c>
      <c r="AG1237" t="str">
        <f t="shared" si="336"/>
        <v/>
      </c>
      <c r="AH1237" t="str">
        <f t="shared" si="341"/>
        <v/>
      </c>
      <c r="AI1237" t="str">
        <f t="shared" si="326"/>
        <v/>
      </c>
      <c r="AJ1237" t="str">
        <f t="shared" si="327"/>
        <v/>
      </c>
    </row>
    <row r="1238" spans="1:36" x14ac:dyDescent="0.25">
      <c r="A1238" t="s">
        <v>952</v>
      </c>
      <c r="P1238" t="str">
        <f t="shared" si="328"/>
        <v xml:space="preserve">  PALE15TAP069  </v>
      </c>
      <c r="Q1238" t="str">
        <f t="shared" si="328"/>
        <v xml:space="preserve">   -55.6 </v>
      </c>
      <c r="R1238" t="str">
        <f t="shared" si="337"/>
        <v xml:space="preserve">     0.0 </v>
      </c>
      <c r="S1238" t="str">
        <f t="shared" si="329"/>
        <v xml:space="preserve">     0.0 </v>
      </c>
      <c r="T1238" t="str">
        <f t="shared" si="330"/>
        <v xml:space="preserve">     0.0 </v>
      </c>
      <c r="U1238" t="str">
        <f t="shared" si="334"/>
        <v xml:space="preserve">         0.0 </v>
      </c>
      <c r="V1238" t="str">
        <f t="shared" si="338"/>
        <v xml:space="preserve">     0.0 </v>
      </c>
      <c r="W1238" t="str">
        <f t="shared" si="331"/>
        <v xml:space="preserve">     0.0 </v>
      </c>
      <c r="X1238" t="str">
        <f t="shared" si="335"/>
        <v xml:space="preserve">       </v>
      </c>
      <c r="Y1238" t="str">
        <f t="shared" si="335"/>
        <v xml:space="preserve">              </v>
      </c>
      <c r="Z1238" t="str">
        <f t="shared" si="335"/>
        <v xml:space="preserve">    </v>
      </c>
      <c r="AA1238" t="str">
        <f t="shared" si="339"/>
        <v xml:space="preserve">         </v>
      </c>
      <c r="AB1238" t="str">
        <f t="shared" si="332"/>
        <v xml:space="preserve">         </v>
      </c>
      <c r="AC1238" t="str">
        <f t="shared" si="333"/>
        <v xml:space="preserve">    </v>
      </c>
      <c r="AD1238" t="str">
        <f t="shared" si="334"/>
        <v/>
      </c>
      <c r="AE1238" t="str">
        <f t="shared" si="340"/>
        <v/>
      </c>
      <c r="AF1238" t="str">
        <f t="shared" si="336"/>
        <v/>
      </c>
      <c r="AG1238" t="str">
        <f t="shared" si="336"/>
        <v/>
      </c>
      <c r="AH1238" t="str">
        <f t="shared" si="341"/>
        <v/>
      </c>
      <c r="AI1238" t="str">
        <f t="shared" si="326"/>
        <v/>
      </c>
      <c r="AJ1238" t="str">
        <f t="shared" si="327"/>
        <v/>
      </c>
    </row>
    <row r="1239" spans="1:36" x14ac:dyDescent="0.25">
      <c r="A1239" t="s">
        <v>953</v>
      </c>
      <c r="P1239" t="str">
        <f t="shared" si="328"/>
        <v xml:space="preserve">                </v>
      </c>
      <c r="Q1239" t="str">
        <f t="shared" si="328"/>
        <v xml:space="preserve">         </v>
      </c>
      <c r="R1239" t="str">
        <f t="shared" si="337"/>
        <v xml:space="preserve">    84.0 </v>
      </c>
      <c r="S1239" t="str">
        <f t="shared" si="329"/>
        <v xml:space="preserve">   101.0 </v>
      </c>
      <c r="T1239" t="str">
        <f t="shared" si="330"/>
        <v xml:space="preserve">   101.0 </v>
      </c>
      <c r="U1239" t="str">
        <f t="shared" si="334"/>
        <v xml:space="preserve">       31.2% </v>
      </c>
      <c r="V1239" t="str">
        <f t="shared" si="338"/>
        <v xml:space="preserve">         </v>
      </c>
      <c r="W1239" t="str">
        <f t="shared" si="331"/>
        <v xml:space="preserve">         </v>
      </c>
      <c r="X1239" t="str">
        <f t="shared" si="335"/>
        <v xml:space="preserve">  9271 </v>
      </c>
      <c r="Y1239" t="str">
        <f t="shared" si="335"/>
        <v xml:space="preserve"> PALE15-RS069 </v>
      </c>
      <c r="Z1239" t="str">
        <f t="shared" si="335"/>
        <v xml:space="preserve">  1 </v>
      </c>
      <c r="AA1239" t="str">
        <f t="shared" si="339"/>
        <v xml:space="preserve">    26.4 </v>
      </c>
      <c r="AB1239" t="str">
        <f t="shared" si="332"/>
        <v xml:space="preserve">     1.8 </v>
      </c>
      <c r="AC1239" t="str">
        <f t="shared" si="333"/>
        <v xml:space="preserve">    26.2 </v>
      </c>
      <c r="AD1239" t="str">
        <f t="shared" si="334"/>
        <v xml:space="preserve">        </v>
      </c>
      <c r="AE1239" t="str">
        <f t="shared" si="340"/>
        <v xml:space="preserve">       </v>
      </c>
      <c r="AF1239" t="str">
        <f t="shared" si="336"/>
        <v xml:space="preserve">     </v>
      </c>
      <c r="AG1239" t="str">
        <f t="shared" si="336"/>
        <v xml:space="preserve">     0.14 </v>
      </c>
      <c r="AH1239" t="str">
        <f t="shared" si="341"/>
        <v xml:space="preserve">     0.34 </v>
      </c>
      <c r="AI1239" t="str">
        <f t="shared" ref="AI1239:AI1302" si="342">MID($A1239,AG$8+AG$9+AH$9-2,AI$9)</f>
        <v xml:space="preserve">       </v>
      </c>
      <c r="AJ1239" t="str">
        <f t="shared" ref="AJ1239:AJ1302" si="343">MID($A1239,AG$8+AG$9+AH$9+AI$9-3,AJ$9)</f>
        <v xml:space="preserve">      </v>
      </c>
    </row>
    <row r="1240" spans="1:36" x14ac:dyDescent="0.25">
      <c r="A1240" t="s">
        <v>954</v>
      </c>
      <c r="P1240" t="str">
        <f t="shared" si="328"/>
        <v xml:space="preserve">                </v>
      </c>
      <c r="Q1240" t="str">
        <f t="shared" si="328"/>
        <v xml:space="preserve">         </v>
      </c>
      <c r="R1240" t="str">
        <f t="shared" si="337"/>
        <v xml:space="preserve">    54.0 </v>
      </c>
      <c r="S1240" t="str">
        <f t="shared" si="329"/>
        <v xml:space="preserve">    79.0 </v>
      </c>
      <c r="T1240" t="str">
        <f t="shared" si="330"/>
        <v xml:space="preserve">    79.0 </v>
      </c>
      <c r="U1240" t="str">
        <f t="shared" si="334"/>
        <v xml:space="preserve">       48.6% </v>
      </c>
      <c r="V1240" t="str">
        <f t="shared" si="338"/>
        <v xml:space="preserve">         </v>
      </c>
      <c r="W1240" t="str">
        <f t="shared" si="331"/>
        <v xml:space="preserve">         </v>
      </c>
      <c r="X1240" t="str">
        <f t="shared" si="335"/>
        <v xml:space="preserve">  9303 </v>
      </c>
      <c r="Y1240" t="str">
        <f t="shared" si="335"/>
        <v xml:space="preserve"> RESTIN-RS069 </v>
      </c>
      <c r="Z1240" t="str">
        <f t="shared" si="335"/>
        <v xml:space="preserve">  1 </v>
      </c>
      <c r="AA1240" t="str">
        <f t="shared" si="339"/>
        <v xml:space="preserve">   -26.4 </v>
      </c>
      <c r="AB1240" t="str">
        <f t="shared" si="332"/>
        <v xml:space="preserve">    -1.8 </v>
      </c>
      <c r="AC1240" t="str">
        <f t="shared" si="333"/>
        <v xml:space="preserve">    26.2 </v>
      </c>
      <c r="AD1240" t="str">
        <f t="shared" si="334"/>
        <v xml:space="preserve">        </v>
      </c>
      <c r="AE1240" t="str">
        <f t="shared" si="340"/>
        <v xml:space="preserve">       </v>
      </c>
      <c r="AF1240" t="str">
        <f t="shared" si="336"/>
        <v xml:space="preserve">     </v>
      </c>
      <c r="AG1240" t="str">
        <f t="shared" si="336"/>
        <v xml:space="preserve">     0.09 </v>
      </c>
      <c r="AH1240" t="str">
        <f t="shared" si="341"/>
        <v xml:space="preserve">     0.22 </v>
      </c>
      <c r="AI1240" t="str">
        <f t="shared" si="342"/>
        <v xml:space="preserve">       </v>
      </c>
      <c r="AJ1240" t="str">
        <f t="shared" si="343"/>
        <v xml:space="preserve">      </v>
      </c>
    </row>
    <row r="1241" spans="1:36" x14ac:dyDescent="0.25">
      <c r="A1241" t="s">
        <v>14</v>
      </c>
      <c r="P1241" t="str">
        <f t="shared" si="328"/>
        <v xml:space="preserve">  ..............</v>
      </c>
      <c r="Q1241" t="str">
        <f t="shared" si="328"/>
        <v>.........</v>
      </c>
      <c r="R1241" t="str">
        <f t="shared" si="337"/>
        <v>.........</v>
      </c>
      <c r="S1241" t="str">
        <f t="shared" si="329"/>
        <v>.........</v>
      </c>
      <c r="T1241" t="str">
        <f t="shared" si="330"/>
        <v>.........</v>
      </c>
      <c r="U1241" t="str">
        <f t="shared" si="334"/>
        <v>.............</v>
      </c>
      <c r="V1241" t="str">
        <f t="shared" si="338"/>
        <v>.........</v>
      </c>
      <c r="W1241" t="str">
        <f t="shared" si="331"/>
        <v>.........</v>
      </c>
      <c r="X1241" t="str">
        <f t="shared" si="335"/>
        <v>.......</v>
      </c>
      <c r="Y1241" t="str">
        <f t="shared" si="335"/>
        <v>..............</v>
      </c>
      <c r="Z1241" t="str">
        <f t="shared" si="335"/>
        <v>....</v>
      </c>
      <c r="AA1241" t="str">
        <f t="shared" si="339"/>
        <v>.........</v>
      </c>
      <c r="AB1241" t="str">
        <f t="shared" si="332"/>
        <v>.........</v>
      </c>
      <c r="AC1241" t="str">
        <f t="shared" si="333"/>
        <v>.........</v>
      </c>
      <c r="AD1241" t="str">
        <f t="shared" si="334"/>
        <v>........</v>
      </c>
      <c r="AE1241" t="str">
        <f t="shared" si="340"/>
        <v>.......</v>
      </c>
      <c r="AF1241" t="str">
        <f t="shared" si="336"/>
        <v>.....</v>
      </c>
      <c r="AG1241" t="str">
        <f t="shared" si="336"/>
        <v>..........</v>
      </c>
      <c r="AH1241" t="str">
        <f t="shared" si="341"/>
        <v>..........</v>
      </c>
      <c r="AI1241" t="str">
        <f t="shared" si="342"/>
        <v>.......</v>
      </c>
      <c r="AJ1241" t="str">
        <f t="shared" si="343"/>
        <v>.......</v>
      </c>
    </row>
    <row r="1242" spans="1:36" x14ac:dyDescent="0.25">
      <c r="A1242" t="s">
        <v>955</v>
      </c>
      <c r="P1242" t="str">
        <f t="shared" si="328"/>
        <v xml:space="preserve">   9273   69  0 </v>
      </c>
      <c r="Q1242" t="str">
        <f t="shared" si="328"/>
        <v xml:space="preserve">   1.017 </v>
      </c>
      <c r="R1242" t="str">
        <f t="shared" si="337"/>
        <v xml:space="preserve">     0.0 </v>
      </c>
      <c r="S1242" t="str">
        <f t="shared" si="329"/>
        <v xml:space="preserve">     0.0 </v>
      </c>
      <c r="T1242" t="str">
        <f t="shared" si="330"/>
        <v xml:space="preserve">     0.0 </v>
      </c>
      <c r="U1242" t="str">
        <f t="shared" si="334"/>
        <v xml:space="preserve">         0.0 </v>
      </c>
      <c r="V1242" t="str">
        <f t="shared" si="338"/>
        <v xml:space="preserve">     0.0 </v>
      </c>
      <c r="W1242" t="str">
        <f t="shared" si="331"/>
        <v xml:space="preserve">     0.0</v>
      </c>
      <c r="X1242" t="str">
        <f t="shared" si="335"/>
        <v/>
      </c>
      <c r="Y1242" t="str">
        <f t="shared" si="335"/>
        <v/>
      </c>
      <c r="Z1242" t="str">
        <f t="shared" si="335"/>
        <v/>
      </c>
      <c r="AA1242" t="str">
        <f t="shared" si="339"/>
        <v/>
      </c>
      <c r="AB1242" t="str">
        <f t="shared" si="332"/>
        <v/>
      </c>
      <c r="AC1242" t="str">
        <f t="shared" si="333"/>
        <v/>
      </c>
      <c r="AD1242" t="str">
        <f t="shared" si="334"/>
        <v/>
      </c>
      <c r="AE1242" t="str">
        <f t="shared" si="340"/>
        <v/>
      </c>
      <c r="AF1242" t="str">
        <f t="shared" si="336"/>
        <v/>
      </c>
      <c r="AG1242" t="str">
        <f t="shared" si="336"/>
        <v/>
      </c>
      <c r="AH1242" t="str">
        <f t="shared" si="341"/>
        <v/>
      </c>
      <c r="AI1242" t="str">
        <f t="shared" si="342"/>
        <v/>
      </c>
      <c r="AJ1242" t="str">
        <f t="shared" si="343"/>
        <v/>
      </c>
    </row>
    <row r="1243" spans="1:36" x14ac:dyDescent="0.25">
      <c r="A1243" t="s">
        <v>956</v>
      </c>
      <c r="P1243" t="str">
        <f t="shared" ref="P1243:Q1306" si="344">MID($A1243,P$8,P$9)</f>
        <v xml:space="preserve">  VONPA1TAP069  </v>
      </c>
      <c r="Q1243" t="str">
        <f t="shared" si="344"/>
        <v xml:space="preserve">   -54.5 </v>
      </c>
      <c r="R1243" t="str">
        <f t="shared" si="337"/>
        <v xml:space="preserve">     0.0 </v>
      </c>
      <c r="S1243" t="str">
        <f t="shared" ref="S1243:S1306" si="345">MID($A1243,Q$8+Q$9+R$9-2,S$9)</f>
        <v xml:space="preserve">     0.0 </v>
      </c>
      <c r="T1243" t="str">
        <f t="shared" ref="T1243:T1306" si="346">MID($A1243,Q$8+Q$9+R$9+S$9-3,T$9)</f>
        <v xml:space="preserve">     0.0 </v>
      </c>
      <c r="U1243" t="str">
        <f t="shared" si="334"/>
        <v xml:space="preserve">         0.0 </v>
      </c>
      <c r="V1243" t="str">
        <f t="shared" si="338"/>
        <v xml:space="preserve">     0.0 </v>
      </c>
      <c r="W1243" t="str">
        <f t="shared" ref="W1243:W1306" si="347">MID($A1243,U$8+U$9+V$9-2,W$9)</f>
        <v xml:space="preserve">     0.0 </v>
      </c>
      <c r="X1243" t="str">
        <f t="shared" si="335"/>
        <v xml:space="preserve">       </v>
      </c>
      <c r="Y1243" t="str">
        <f t="shared" si="335"/>
        <v xml:space="preserve">              </v>
      </c>
      <c r="Z1243" t="str">
        <f t="shared" si="335"/>
        <v xml:space="preserve">    </v>
      </c>
      <c r="AA1243" t="str">
        <f t="shared" si="339"/>
        <v xml:space="preserve">         </v>
      </c>
      <c r="AB1243" t="str">
        <f t="shared" ref="AB1243:AB1306" si="348">MID($A1243,Z$8+Z$9+AA$9-2,AB$9)</f>
        <v xml:space="preserve">         </v>
      </c>
      <c r="AC1243" t="str">
        <f t="shared" ref="AC1243:AC1306" si="349">MID($A1243,Z$8+Z$9+AA$9+AB$9-3,AC$9)</f>
        <v xml:space="preserve">    </v>
      </c>
      <c r="AD1243" t="str">
        <f t="shared" si="334"/>
        <v/>
      </c>
      <c r="AE1243" t="str">
        <f t="shared" si="340"/>
        <v/>
      </c>
      <c r="AF1243" t="str">
        <f t="shared" si="336"/>
        <v/>
      </c>
      <c r="AG1243" t="str">
        <f t="shared" si="336"/>
        <v/>
      </c>
      <c r="AH1243" t="str">
        <f t="shared" si="341"/>
        <v/>
      </c>
      <c r="AI1243" t="str">
        <f t="shared" si="342"/>
        <v/>
      </c>
      <c r="AJ1243" t="str">
        <f t="shared" si="343"/>
        <v/>
      </c>
    </row>
    <row r="1244" spans="1:36" x14ac:dyDescent="0.25">
      <c r="A1244" t="s">
        <v>957</v>
      </c>
      <c r="P1244" t="str">
        <f t="shared" si="344"/>
        <v xml:space="preserve">                </v>
      </c>
      <c r="Q1244" t="str">
        <f t="shared" si="344"/>
        <v xml:space="preserve">         </v>
      </c>
      <c r="R1244" t="str">
        <f t="shared" si="337"/>
        <v xml:space="preserve">    48.0 </v>
      </c>
      <c r="S1244" t="str">
        <f t="shared" si="345"/>
        <v xml:space="preserve">    71.0 </v>
      </c>
      <c r="T1244" t="str">
        <f t="shared" si="346"/>
        <v xml:space="preserve">    71.0 </v>
      </c>
      <c r="U1244" t="str">
        <f t="shared" ref="U1244:AD1307" si="350">MID($A1244,U$8,U$9)</f>
        <v xml:space="preserve">       16.3% </v>
      </c>
      <c r="V1244" t="str">
        <f t="shared" si="338"/>
        <v xml:space="preserve">         </v>
      </c>
      <c r="W1244" t="str">
        <f t="shared" si="347"/>
        <v xml:space="preserve">         </v>
      </c>
      <c r="X1244" t="str">
        <f t="shared" ref="X1244:Z1307" si="351">MID($A1244,X$8,X$9)</f>
        <v xml:space="preserve">  1209 </v>
      </c>
      <c r="Y1244" t="str">
        <f t="shared" si="351"/>
        <v xml:space="preserve"> GRAVA2-RS069 </v>
      </c>
      <c r="Z1244" t="str">
        <f t="shared" si="351"/>
        <v xml:space="preserve">  1 </v>
      </c>
      <c r="AA1244" t="str">
        <f t="shared" si="339"/>
        <v xml:space="preserve">    -6.3 </v>
      </c>
      <c r="AB1244" t="str">
        <f t="shared" si="348"/>
        <v xml:space="preserve">    -4.8 </v>
      </c>
      <c r="AC1244" t="str">
        <f t="shared" si="349"/>
        <v xml:space="preserve">     7.8 </v>
      </c>
      <c r="AD1244" t="str">
        <f t="shared" si="350"/>
        <v xml:space="preserve">        </v>
      </c>
      <c r="AE1244" t="str">
        <f t="shared" si="340"/>
        <v xml:space="preserve">       </v>
      </c>
      <c r="AF1244" t="str">
        <f t="shared" si="336"/>
        <v xml:space="preserve">     </v>
      </c>
      <c r="AG1244" t="str">
        <f t="shared" si="336"/>
        <v xml:space="preserve">     0.02 </v>
      </c>
      <c r="AH1244" t="str">
        <f t="shared" si="341"/>
        <v xml:space="preserve">    -0.13 </v>
      </c>
      <c r="AI1244" t="str">
        <f t="shared" si="342"/>
        <v xml:space="preserve">       </v>
      </c>
      <c r="AJ1244" t="str">
        <f t="shared" si="343"/>
        <v xml:space="preserve">      </v>
      </c>
    </row>
    <row r="1245" spans="1:36" x14ac:dyDescent="0.25">
      <c r="A1245" t="s">
        <v>958</v>
      </c>
      <c r="P1245" t="str">
        <f t="shared" si="344"/>
        <v xml:space="preserve">                </v>
      </c>
      <c r="Q1245" t="str">
        <f t="shared" si="344"/>
        <v xml:space="preserve">         </v>
      </c>
      <c r="R1245" t="str">
        <f t="shared" si="337"/>
        <v xml:space="preserve">    48.0 </v>
      </c>
      <c r="S1245" t="str">
        <f t="shared" si="345"/>
        <v xml:space="preserve">    71.0 </v>
      </c>
      <c r="T1245" t="str">
        <f t="shared" si="346"/>
        <v xml:space="preserve">    71.0 </v>
      </c>
      <c r="U1245" t="str">
        <f t="shared" si="350"/>
        <v xml:space="preserve">        6.0% </v>
      </c>
      <c r="V1245" t="str">
        <f t="shared" si="338"/>
        <v xml:space="preserve">         </v>
      </c>
      <c r="W1245" t="str">
        <f t="shared" si="347"/>
        <v xml:space="preserve">         </v>
      </c>
      <c r="X1245" t="str">
        <f t="shared" si="351"/>
        <v xml:space="preserve">  1271 </v>
      </c>
      <c r="Y1245" t="str">
        <f t="shared" si="351"/>
        <v xml:space="preserve"> PALGR8-RS069 </v>
      </c>
      <c r="Z1245" t="str">
        <f t="shared" si="351"/>
        <v xml:space="preserve">  1 </v>
      </c>
      <c r="AA1245" t="str">
        <f t="shared" si="339"/>
        <v xml:space="preserve">     1.1 </v>
      </c>
      <c r="AB1245" t="str">
        <f t="shared" si="348"/>
        <v xml:space="preserve">     2.7 </v>
      </c>
      <c r="AC1245" t="str">
        <f t="shared" si="349"/>
        <v xml:space="preserve">     2.9 </v>
      </c>
      <c r="AD1245" t="str">
        <f t="shared" si="350"/>
        <v xml:space="preserve">        </v>
      </c>
      <c r="AE1245" t="str">
        <f t="shared" si="340"/>
        <v xml:space="preserve">       </v>
      </c>
      <c r="AF1245" t="str">
        <f t="shared" ref="AF1245:AG1308" si="352">MID($A1245,AF$8,AF$9)</f>
        <v xml:space="preserve">     </v>
      </c>
      <c r="AG1245" t="str">
        <f t="shared" si="352"/>
        <v xml:space="preserve">     0.00 </v>
      </c>
      <c r="AH1245" t="str">
        <f t="shared" si="341"/>
        <v xml:space="preserve">    -0.10 </v>
      </c>
      <c r="AI1245" t="str">
        <f t="shared" si="342"/>
        <v xml:space="preserve">       </v>
      </c>
      <c r="AJ1245" t="str">
        <f t="shared" si="343"/>
        <v xml:space="preserve">      </v>
      </c>
    </row>
    <row r="1246" spans="1:36" x14ac:dyDescent="0.25">
      <c r="A1246" t="s">
        <v>959</v>
      </c>
      <c r="P1246" t="str">
        <f t="shared" si="344"/>
        <v xml:space="preserve">                </v>
      </c>
      <c r="Q1246" t="str">
        <f t="shared" si="344"/>
        <v xml:space="preserve">         </v>
      </c>
      <c r="R1246" t="str">
        <f t="shared" si="337"/>
        <v xml:space="preserve">    75.0 </v>
      </c>
      <c r="S1246" t="str">
        <f t="shared" si="345"/>
        <v xml:space="preserve">    90.0 </v>
      </c>
      <c r="T1246" t="str">
        <f t="shared" si="346"/>
        <v xml:space="preserve">    90.0 </v>
      </c>
      <c r="U1246" t="str">
        <f t="shared" si="350"/>
        <v xml:space="preserve">        7.4% </v>
      </c>
      <c r="V1246" t="str">
        <f t="shared" si="338"/>
        <v xml:space="preserve">         </v>
      </c>
      <c r="W1246" t="str">
        <f t="shared" si="347"/>
        <v xml:space="preserve">         </v>
      </c>
      <c r="X1246" t="str">
        <f t="shared" si="351"/>
        <v xml:space="preserve">  9274 </v>
      </c>
      <c r="Y1246" t="str">
        <f t="shared" si="351"/>
        <v xml:space="preserve"> VONPA1-RS069 </v>
      </c>
      <c r="Z1246" t="str">
        <f t="shared" si="351"/>
        <v xml:space="preserve">  1 </v>
      </c>
      <c r="AA1246" t="str">
        <f t="shared" si="339"/>
        <v xml:space="preserve">     5.2 </v>
      </c>
      <c r="AB1246" t="str">
        <f t="shared" si="348"/>
        <v xml:space="preserve">     2.2 </v>
      </c>
      <c r="AC1246" t="str">
        <f t="shared" si="349"/>
        <v xml:space="preserve">     5.5 </v>
      </c>
      <c r="AD1246" t="str">
        <f t="shared" si="350"/>
        <v xml:space="preserve">        </v>
      </c>
      <c r="AE1246" t="str">
        <f t="shared" si="340"/>
        <v xml:space="preserve">       </v>
      </c>
      <c r="AF1246" t="str">
        <f t="shared" si="352"/>
        <v xml:space="preserve">     </v>
      </c>
      <c r="AG1246" t="str">
        <f t="shared" si="352"/>
        <v xml:space="preserve">     0.00 </v>
      </c>
      <c r="AH1246" t="str">
        <f t="shared" si="341"/>
        <v xml:space="preserve">    -0.04 </v>
      </c>
      <c r="AI1246" t="str">
        <f t="shared" si="342"/>
        <v xml:space="preserve">       </v>
      </c>
      <c r="AJ1246" t="str">
        <f t="shared" si="343"/>
        <v xml:space="preserve">      </v>
      </c>
    </row>
    <row r="1247" spans="1:36" x14ac:dyDescent="0.25">
      <c r="A1247" t="s">
        <v>14</v>
      </c>
      <c r="P1247" t="str">
        <f t="shared" si="344"/>
        <v xml:space="preserve">  ..............</v>
      </c>
      <c r="Q1247" t="str">
        <f t="shared" si="344"/>
        <v>.........</v>
      </c>
      <c r="R1247" t="str">
        <f t="shared" si="337"/>
        <v>.........</v>
      </c>
      <c r="S1247" t="str">
        <f t="shared" si="345"/>
        <v>.........</v>
      </c>
      <c r="T1247" t="str">
        <f t="shared" si="346"/>
        <v>.........</v>
      </c>
      <c r="U1247" t="str">
        <f t="shared" si="350"/>
        <v>.............</v>
      </c>
      <c r="V1247" t="str">
        <f t="shared" si="338"/>
        <v>.........</v>
      </c>
      <c r="W1247" t="str">
        <f t="shared" si="347"/>
        <v>.........</v>
      </c>
      <c r="X1247" t="str">
        <f t="shared" si="351"/>
        <v>.......</v>
      </c>
      <c r="Y1247" t="str">
        <f t="shared" si="351"/>
        <v>..............</v>
      </c>
      <c r="Z1247" t="str">
        <f t="shared" si="351"/>
        <v>....</v>
      </c>
      <c r="AA1247" t="str">
        <f t="shared" si="339"/>
        <v>.........</v>
      </c>
      <c r="AB1247" t="str">
        <f t="shared" si="348"/>
        <v>.........</v>
      </c>
      <c r="AC1247" t="str">
        <f t="shared" si="349"/>
        <v>.........</v>
      </c>
      <c r="AD1247" t="str">
        <f t="shared" si="350"/>
        <v>........</v>
      </c>
      <c r="AE1247" t="str">
        <f t="shared" si="340"/>
        <v>.......</v>
      </c>
      <c r="AF1247" t="str">
        <f t="shared" si="352"/>
        <v>.....</v>
      </c>
      <c r="AG1247" t="str">
        <f t="shared" si="352"/>
        <v>..........</v>
      </c>
      <c r="AH1247" t="str">
        <f t="shared" si="341"/>
        <v>..........</v>
      </c>
      <c r="AI1247" t="str">
        <f t="shared" si="342"/>
        <v>.......</v>
      </c>
      <c r="AJ1247" t="str">
        <f t="shared" si="343"/>
        <v>.......</v>
      </c>
    </row>
    <row r="1248" spans="1:36" x14ac:dyDescent="0.25">
      <c r="A1248" t="s">
        <v>960</v>
      </c>
      <c r="P1248" t="str">
        <f t="shared" si="344"/>
        <v xml:space="preserve">   9274   69  0 </v>
      </c>
      <c r="Q1248" t="str">
        <f t="shared" si="344"/>
        <v xml:space="preserve">   1.017 </v>
      </c>
      <c r="R1248" t="str">
        <f t="shared" si="337"/>
        <v xml:space="preserve">     0.0 </v>
      </c>
      <c r="S1248" t="str">
        <f t="shared" si="345"/>
        <v xml:space="preserve">     0.0 </v>
      </c>
      <c r="T1248" t="str">
        <f t="shared" si="346"/>
        <v xml:space="preserve">     5.2 </v>
      </c>
      <c r="U1248" t="str">
        <f t="shared" si="350"/>
        <v xml:space="preserve">         0.0 </v>
      </c>
      <c r="V1248" t="str">
        <f t="shared" si="338"/>
        <v xml:space="preserve">     0.0 </v>
      </c>
      <c r="W1248" t="str">
        <f t="shared" si="347"/>
        <v xml:space="preserve">     0.0</v>
      </c>
      <c r="X1248" t="str">
        <f t="shared" si="351"/>
        <v/>
      </c>
      <c r="Y1248" t="str">
        <f t="shared" si="351"/>
        <v/>
      </c>
      <c r="Z1248" t="str">
        <f t="shared" si="351"/>
        <v/>
      </c>
      <c r="AA1248" t="str">
        <f t="shared" si="339"/>
        <v/>
      </c>
      <c r="AB1248" t="str">
        <f t="shared" si="348"/>
        <v/>
      </c>
      <c r="AC1248" t="str">
        <f t="shared" si="349"/>
        <v/>
      </c>
      <c r="AD1248" t="str">
        <f t="shared" si="350"/>
        <v/>
      </c>
      <c r="AE1248" t="str">
        <f t="shared" si="340"/>
        <v/>
      </c>
      <c r="AF1248" t="str">
        <f t="shared" si="352"/>
        <v/>
      </c>
      <c r="AG1248" t="str">
        <f t="shared" si="352"/>
        <v/>
      </c>
      <c r="AH1248" t="str">
        <f t="shared" si="341"/>
        <v/>
      </c>
      <c r="AI1248" t="str">
        <f t="shared" si="342"/>
        <v/>
      </c>
      <c r="AJ1248" t="str">
        <f t="shared" si="343"/>
        <v/>
      </c>
    </row>
    <row r="1249" spans="1:36" x14ac:dyDescent="0.25">
      <c r="A1249" t="s">
        <v>961</v>
      </c>
      <c r="P1249" t="str">
        <f t="shared" si="344"/>
        <v xml:space="preserve">  VONPA1-RS069  </v>
      </c>
      <c r="Q1249" t="str">
        <f t="shared" si="344"/>
        <v xml:space="preserve">   -54.5 </v>
      </c>
      <c r="R1249" t="str">
        <f t="shared" si="337"/>
        <v xml:space="preserve">     0.0 </v>
      </c>
      <c r="S1249" t="str">
        <f t="shared" si="345"/>
        <v xml:space="preserve">     0.0 </v>
      </c>
      <c r="T1249" t="str">
        <f t="shared" si="346"/>
        <v xml:space="preserve">     2.2 </v>
      </c>
      <c r="U1249" t="str">
        <f t="shared" si="350"/>
        <v xml:space="preserve">         0.0 </v>
      </c>
      <c r="V1249" t="str">
        <f t="shared" si="338"/>
        <v xml:space="preserve">     0.0 </v>
      </c>
      <c r="W1249" t="str">
        <f t="shared" si="347"/>
        <v xml:space="preserve">     0.0 </v>
      </c>
      <c r="X1249" t="str">
        <f t="shared" si="351"/>
        <v xml:space="preserve">       </v>
      </c>
      <c r="Y1249" t="str">
        <f t="shared" si="351"/>
        <v xml:space="preserve">              </v>
      </c>
      <c r="Z1249" t="str">
        <f t="shared" si="351"/>
        <v xml:space="preserve">    </v>
      </c>
      <c r="AA1249" t="str">
        <f t="shared" si="339"/>
        <v xml:space="preserve">         </v>
      </c>
      <c r="AB1249" t="str">
        <f t="shared" si="348"/>
        <v xml:space="preserve">         </v>
      </c>
      <c r="AC1249" t="str">
        <f t="shared" si="349"/>
        <v xml:space="preserve">    </v>
      </c>
      <c r="AD1249" t="str">
        <f t="shared" si="350"/>
        <v/>
      </c>
      <c r="AE1249" t="str">
        <f t="shared" si="340"/>
        <v/>
      </c>
      <c r="AF1249" t="str">
        <f t="shared" si="352"/>
        <v/>
      </c>
      <c r="AG1249" t="str">
        <f t="shared" si="352"/>
        <v/>
      </c>
      <c r="AH1249" t="str">
        <f t="shared" si="341"/>
        <v/>
      </c>
      <c r="AI1249" t="str">
        <f t="shared" si="342"/>
        <v/>
      </c>
      <c r="AJ1249" t="str">
        <f t="shared" si="343"/>
        <v/>
      </c>
    </row>
    <row r="1250" spans="1:36" x14ac:dyDescent="0.25">
      <c r="A1250" t="s">
        <v>962</v>
      </c>
      <c r="P1250" t="str">
        <f t="shared" si="344"/>
        <v xml:space="preserve">                </v>
      </c>
      <c r="Q1250" t="str">
        <f t="shared" si="344"/>
        <v xml:space="preserve">         </v>
      </c>
      <c r="R1250" t="str">
        <f t="shared" si="337"/>
        <v xml:space="preserve">    75.0 </v>
      </c>
      <c r="S1250" t="str">
        <f t="shared" si="345"/>
        <v xml:space="preserve">    90.0 </v>
      </c>
      <c r="T1250" t="str">
        <f t="shared" si="346"/>
        <v xml:space="preserve">    90.0 </v>
      </c>
      <c r="U1250" t="str">
        <f t="shared" si="350"/>
        <v xml:space="preserve">        7.4% </v>
      </c>
      <c r="V1250" t="str">
        <f t="shared" si="338"/>
        <v xml:space="preserve">         </v>
      </c>
      <c r="W1250" t="str">
        <f t="shared" si="347"/>
        <v xml:space="preserve">         </v>
      </c>
      <c r="X1250" t="str">
        <f t="shared" si="351"/>
        <v xml:space="preserve">  9273 </v>
      </c>
      <c r="Y1250" t="str">
        <f t="shared" si="351"/>
        <v xml:space="preserve"> VONPA1TAP069 </v>
      </c>
      <c r="Z1250" t="str">
        <f t="shared" si="351"/>
        <v xml:space="preserve">  1 </v>
      </c>
      <c r="AA1250" t="str">
        <f t="shared" si="339"/>
        <v xml:space="preserve">    -5.2 </v>
      </c>
      <c r="AB1250" t="str">
        <f t="shared" si="348"/>
        <v xml:space="preserve">    -2.2 </v>
      </c>
      <c r="AC1250" t="str">
        <f t="shared" si="349"/>
        <v xml:space="preserve">     5.6 </v>
      </c>
      <c r="AD1250" t="str">
        <f t="shared" si="350"/>
        <v xml:space="preserve">        </v>
      </c>
      <c r="AE1250" t="str">
        <f t="shared" si="340"/>
        <v xml:space="preserve">       </v>
      </c>
      <c r="AF1250" t="str">
        <f t="shared" si="352"/>
        <v xml:space="preserve">     </v>
      </c>
      <c r="AG1250" t="str">
        <f t="shared" si="352"/>
        <v xml:space="preserve">     0.00 </v>
      </c>
      <c r="AH1250" t="str">
        <f t="shared" si="341"/>
        <v xml:space="preserve">    -0.04 </v>
      </c>
      <c r="AI1250" t="str">
        <f t="shared" si="342"/>
        <v xml:space="preserve">       </v>
      </c>
      <c r="AJ1250" t="str">
        <f t="shared" si="343"/>
        <v xml:space="preserve">      </v>
      </c>
    </row>
    <row r="1251" spans="1:36" x14ac:dyDescent="0.25">
      <c r="A1251" t="s">
        <v>14</v>
      </c>
      <c r="P1251" t="str">
        <f t="shared" si="344"/>
        <v xml:space="preserve">  ..............</v>
      </c>
      <c r="Q1251" t="str">
        <f t="shared" si="344"/>
        <v>.........</v>
      </c>
      <c r="R1251" t="str">
        <f t="shared" si="337"/>
        <v>.........</v>
      </c>
      <c r="S1251" t="str">
        <f t="shared" si="345"/>
        <v>.........</v>
      </c>
      <c r="T1251" t="str">
        <f t="shared" si="346"/>
        <v>.........</v>
      </c>
      <c r="U1251" t="str">
        <f t="shared" si="350"/>
        <v>.............</v>
      </c>
      <c r="V1251" t="str">
        <f t="shared" si="338"/>
        <v>.........</v>
      </c>
      <c r="W1251" t="str">
        <f t="shared" si="347"/>
        <v>.........</v>
      </c>
      <c r="X1251" t="str">
        <f t="shared" si="351"/>
        <v>.......</v>
      </c>
      <c r="Y1251" t="str">
        <f t="shared" si="351"/>
        <v>..............</v>
      </c>
      <c r="Z1251" t="str">
        <f t="shared" si="351"/>
        <v>....</v>
      </c>
      <c r="AA1251" t="str">
        <f t="shared" si="339"/>
        <v>.........</v>
      </c>
      <c r="AB1251" t="str">
        <f t="shared" si="348"/>
        <v>.........</v>
      </c>
      <c r="AC1251" t="str">
        <f t="shared" si="349"/>
        <v>.........</v>
      </c>
      <c r="AD1251" t="str">
        <f t="shared" si="350"/>
        <v>........</v>
      </c>
      <c r="AE1251" t="str">
        <f t="shared" si="340"/>
        <v>.......</v>
      </c>
      <c r="AF1251" t="str">
        <f t="shared" si="352"/>
        <v>.....</v>
      </c>
      <c r="AG1251" t="str">
        <f t="shared" si="352"/>
        <v>..........</v>
      </c>
      <c r="AH1251" t="str">
        <f t="shared" si="341"/>
        <v>..........</v>
      </c>
      <c r="AI1251" t="str">
        <f t="shared" si="342"/>
        <v>.......</v>
      </c>
      <c r="AJ1251" t="str">
        <f t="shared" si="343"/>
        <v>.......</v>
      </c>
    </row>
    <row r="1252" spans="1:36" x14ac:dyDescent="0.25">
      <c r="A1252" t="s">
        <v>963</v>
      </c>
      <c r="P1252" t="str">
        <f t="shared" si="344"/>
        <v xml:space="preserve">   9275   69  0 </v>
      </c>
      <c r="Q1252" t="str">
        <f t="shared" si="344"/>
        <v xml:space="preserve">   1.002 </v>
      </c>
      <c r="R1252" t="str">
        <f t="shared" si="337"/>
        <v xml:space="preserve">     0.4 </v>
      </c>
      <c r="S1252" t="str">
        <f t="shared" si="345"/>
        <v xml:space="preserve">     0.0 </v>
      </c>
      <c r="T1252" t="str">
        <f t="shared" si="346"/>
        <v xml:space="preserve">     5.6 </v>
      </c>
      <c r="U1252" t="str">
        <f t="shared" si="350"/>
        <v xml:space="preserve">         0.0 </v>
      </c>
      <c r="V1252" t="str">
        <f t="shared" si="338"/>
        <v xml:space="preserve">     3.6 </v>
      </c>
      <c r="W1252" t="str">
        <f t="shared" si="347"/>
        <v xml:space="preserve">     0.0</v>
      </c>
      <c r="X1252" t="str">
        <f t="shared" si="351"/>
        <v/>
      </c>
      <c r="Y1252" t="str">
        <f t="shared" si="351"/>
        <v/>
      </c>
      <c r="Z1252" t="str">
        <f t="shared" si="351"/>
        <v/>
      </c>
      <c r="AA1252" t="str">
        <f t="shared" si="339"/>
        <v/>
      </c>
      <c r="AB1252" t="str">
        <f t="shared" si="348"/>
        <v/>
      </c>
      <c r="AC1252" t="str">
        <f t="shared" si="349"/>
        <v/>
      </c>
      <c r="AD1252" t="str">
        <f t="shared" si="350"/>
        <v/>
      </c>
      <c r="AE1252" t="str">
        <f t="shared" si="340"/>
        <v/>
      </c>
      <c r="AF1252" t="str">
        <f t="shared" si="352"/>
        <v/>
      </c>
      <c r="AG1252" t="str">
        <f t="shared" si="352"/>
        <v/>
      </c>
      <c r="AH1252" t="str">
        <f t="shared" si="341"/>
        <v/>
      </c>
      <c r="AI1252" t="str">
        <f t="shared" si="342"/>
        <v/>
      </c>
      <c r="AJ1252" t="str">
        <f t="shared" si="343"/>
        <v/>
      </c>
    </row>
    <row r="1253" spans="1:36" x14ac:dyDescent="0.25">
      <c r="A1253" t="s">
        <v>964</v>
      </c>
      <c r="P1253" t="str">
        <f t="shared" si="344"/>
        <v xml:space="preserve">  AGUCLA-RS069  </v>
      </c>
      <c r="Q1253" t="str">
        <f t="shared" si="344"/>
        <v xml:space="preserve">   -57.2 </v>
      </c>
      <c r="R1253" t="str">
        <f t="shared" si="337"/>
        <v xml:space="preserve">     0.0 </v>
      </c>
      <c r="S1253" t="str">
        <f t="shared" si="345"/>
        <v xml:space="preserve">     0.0 </v>
      </c>
      <c r="T1253" t="str">
        <f t="shared" si="346"/>
        <v xml:space="preserve">     1.6 </v>
      </c>
      <c r="U1253" t="str">
        <f t="shared" si="350"/>
        <v xml:space="preserve">         0.0 </v>
      </c>
      <c r="V1253" t="str">
        <f t="shared" si="338"/>
        <v xml:space="preserve">     0.0 </v>
      </c>
      <c r="W1253" t="str">
        <f t="shared" si="347"/>
        <v xml:space="preserve">     0.0 </v>
      </c>
      <c r="X1253" t="str">
        <f t="shared" si="351"/>
        <v xml:space="preserve">       </v>
      </c>
      <c r="Y1253" t="str">
        <f t="shared" si="351"/>
        <v xml:space="preserve">              </v>
      </c>
      <c r="Z1253" t="str">
        <f t="shared" si="351"/>
        <v xml:space="preserve">    </v>
      </c>
      <c r="AA1253" t="str">
        <f t="shared" si="339"/>
        <v xml:space="preserve">         </v>
      </c>
      <c r="AB1253" t="str">
        <f t="shared" si="348"/>
        <v xml:space="preserve">         </v>
      </c>
      <c r="AC1253" t="str">
        <f t="shared" si="349"/>
        <v xml:space="preserve">    </v>
      </c>
      <c r="AD1253" t="str">
        <f t="shared" si="350"/>
        <v/>
      </c>
      <c r="AE1253" t="str">
        <f t="shared" si="340"/>
        <v/>
      </c>
      <c r="AF1253" t="str">
        <f t="shared" si="352"/>
        <v/>
      </c>
      <c r="AG1253" t="str">
        <f t="shared" si="352"/>
        <v/>
      </c>
      <c r="AH1253" t="str">
        <f t="shared" si="341"/>
        <v/>
      </c>
      <c r="AI1253" t="str">
        <f t="shared" si="342"/>
        <v/>
      </c>
      <c r="AJ1253" t="str">
        <f t="shared" si="343"/>
        <v/>
      </c>
    </row>
    <row r="1254" spans="1:36" x14ac:dyDescent="0.25">
      <c r="A1254" t="s">
        <v>965</v>
      </c>
      <c r="P1254" t="str">
        <f t="shared" si="344"/>
        <v xml:space="preserve">                </v>
      </c>
      <c r="Q1254" t="str">
        <f t="shared" si="344"/>
        <v xml:space="preserve">         </v>
      </c>
      <c r="R1254" t="str">
        <f t="shared" si="337"/>
        <v xml:space="preserve">    84.0 </v>
      </c>
      <c r="S1254" t="str">
        <f t="shared" si="345"/>
        <v xml:space="preserve">   101.0 </v>
      </c>
      <c r="T1254" t="str">
        <f t="shared" si="346"/>
        <v xml:space="preserve">   101.0 </v>
      </c>
      <c r="U1254" t="str">
        <f t="shared" si="350"/>
        <v xml:space="preserve">       19.1% </v>
      </c>
      <c r="V1254" t="str">
        <f t="shared" si="338"/>
        <v xml:space="preserve">         </v>
      </c>
      <c r="W1254" t="str">
        <f t="shared" si="347"/>
        <v xml:space="preserve">         </v>
      </c>
      <c r="X1254" t="str">
        <f t="shared" si="351"/>
        <v xml:space="preserve">  9552 </v>
      </c>
      <c r="Y1254" t="str">
        <f t="shared" si="351"/>
        <v xml:space="preserve"> ACLARATAP069 </v>
      </c>
      <c r="Z1254" t="str">
        <f t="shared" si="351"/>
        <v xml:space="preserve">  1 </v>
      </c>
      <c r="AA1254" t="str">
        <f t="shared" si="339"/>
        <v xml:space="preserve">   -16.0 </v>
      </c>
      <c r="AB1254" t="str">
        <f t="shared" si="348"/>
        <v xml:space="preserve">    -1.8 </v>
      </c>
      <c r="AC1254" t="str">
        <f t="shared" si="349"/>
        <v xml:space="preserve">    16.1 </v>
      </c>
      <c r="AD1254" t="str">
        <f t="shared" si="350"/>
        <v xml:space="preserve">        </v>
      </c>
      <c r="AE1254" t="str">
        <f t="shared" si="340"/>
        <v xml:space="preserve">       </v>
      </c>
      <c r="AF1254" t="str">
        <f t="shared" si="352"/>
        <v xml:space="preserve">     </v>
      </c>
      <c r="AG1254" t="str">
        <f t="shared" si="352"/>
        <v xml:space="preserve">     0.16 </v>
      </c>
      <c r="AH1254" t="str">
        <f t="shared" si="341"/>
        <v xml:space="preserve">     0.25 </v>
      </c>
      <c r="AI1254" t="str">
        <f t="shared" si="342"/>
        <v xml:space="preserve">       </v>
      </c>
      <c r="AJ1254" t="str">
        <f t="shared" si="343"/>
        <v xml:space="preserve">      </v>
      </c>
    </row>
    <row r="1255" spans="1:36" x14ac:dyDescent="0.25">
      <c r="A1255" t="s">
        <v>966</v>
      </c>
      <c r="P1255" t="str">
        <f t="shared" si="344"/>
        <v xml:space="preserve">                </v>
      </c>
      <c r="Q1255" t="str">
        <f t="shared" si="344"/>
        <v xml:space="preserve">         </v>
      </c>
      <c r="R1255" t="str">
        <f t="shared" si="337"/>
        <v xml:space="preserve">    69.0 </v>
      </c>
      <c r="S1255" t="str">
        <f t="shared" si="345"/>
        <v xml:space="preserve">    88.0 </v>
      </c>
      <c r="T1255" t="str">
        <f t="shared" si="346"/>
        <v xml:space="preserve">    88.0 </v>
      </c>
      <c r="U1255" t="str">
        <f t="shared" si="350"/>
        <v xml:space="preserve">       16.6% </v>
      </c>
      <c r="V1255" t="str">
        <f t="shared" si="338"/>
        <v xml:space="preserve">         </v>
      </c>
      <c r="W1255" t="str">
        <f t="shared" si="347"/>
        <v xml:space="preserve">         </v>
      </c>
      <c r="X1255" t="str">
        <f t="shared" si="351"/>
        <v xml:space="preserve">  9553 </v>
      </c>
      <c r="Y1255" t="str">
        <f t="shared" si="351"/>
        <v xml:space="preserve"> BRPALETAP069 </v>
      </c>
      <c r="Z1255" t="str">
        <f t="shared" si="351"/>
        <v xml:space="preserve">  1 </v>
      </c>
      <c r="AA1255" t="str">
        <f t="shared" si="339"/>
        <v xml:space="preserve">    10.8 </v>
      </c>
      <c r="AB1255" t="str">
        <f t="shared" si="348"/>
        <v xml:space="preserve">     3.8 </v>
      </c>
      <c r="AC1255" t="str">
        <f t="shared" si="349"/>
        <v xml:space="preserve">    11.4 </v>
      </c>
      <c r="AD1255" t="str">
        <f t="shared" si="350"/>
        <v xml:space="preserve">        </v>
      </c>
      <c r="AE1255" t="str">
        <f t="shared" si="340"/>
        <v xml:space="preserve">       </v>
      </c>
      <c r="AF1255" t="str">
        <f t="shared" si="352"/>
        <v xml:space="preserve">     </v>
      </c>
      <c r="AG1255" t="str">
        <f t="shared" si="352"/>
        <v xml:space="preserve">     0.01 </v>
      </c>
      <c r="AH1255" t="str">
        <f t="shared" si="341"/>
        <v xml:space="preserve">     0.00 </v>
      </c>
      <c r="AI1255" t="str">
        <f t="shared" si="342"/>
        <v xml:space="preserve">       </v>
      </c>
      <c r="AJ1255" t="str">
        <f t="shared" si="343"/>
        <v xml:space="preserve">      </v>
      </c>
    </row>
    <row r="1256" spans="1:36" x14ac:dyDescent="0.25">
      <c r="A1256" t="s">
        <v>14</v>
      </c>
      <c r="P1256" t="str">
        <f t="shared" si="344"/>
        <v xml:space="preserve">  ..............</v>
      </c>
      <c r="Q1256" t="str">
        <f t="shared" si="344"/>
        <v>.........</v>
      </c>
      <c r="R1256" t="str">
        <f t="shared" si="337"/>
        <v>.........</v>
      </c>
      <c r="S1256" t="str">
        <f t="shared" si="345"/>
        <v>.........</v>
      </c>
      <c r="T1256" t="str">
        <f t="shared" si="346"/>
        <v>.........</v>
      </c>
      <c r="U1256" t="str">
        <f t="shared" si="350"/>
        <v>.............</v>
      </c>
      <c r="V1256" t="str">
        <f t="shared" si="338"/>
        <v>.........</v>
      </c>
      <c r="W1256" t="str">
        <f t="shared" si="347"/>
        <v>.........</v>
      </c>
      <c r="X1256" t="str">
        <f t="shared" si="351"/>
        <v>.......</v>
      </c>
      <c r="Y1256" t="str">
        <f t="shared" si="351"/>
        <v>..............</v>
      </c>
      <c r="Z1256" t="str">
        <f t="shared" si="351"/>
        <v>....</v>
      </c>
      <c r="AA1256" t="str">
        <f t="shared" si="339"/>
        <v>.........</v>
      </c>
      <c r="AB1256" t="str">
        <f t="shared" si="348"/>
        <v>.........</v>
      </c>
      <c r="AC1256" t="str">
        <f t="shared" si="349"/>
        <v>.........</v>
      </c>
      <c r="AD1256" t="str">
        <f t="shared" si="350"/>
        <v>........</v>
      </c>
      <c r="AE1256" t="str">
        <f t="shared" si="340"/>
        <v>.......</v>
      </c>
      <c r="AF1256" t="str">
        <f t="shared" si="352"/>
        <v>.....</v>
      </c>
      <c r="AG1256" t="str">
        <f t="shared" si="352"/>
        <v>..........</v>
      </c>
      <c r="AH1256" t="str">
        <f t="shared" si="341"/>
        <v>..........</v>
      </c>
      <c r="AI1256" t="str">
        <f t="shared" si="342"/>
        <v>.......</v>
      </c>
      <c r="AJ1256" t="str">
        <f t="shared" si="343"/>
        <v>.......</v>
      </c>
    </row>
    <row r="1257" spans="1:36" x14ac:dyDescent="0.25">
      <c r="A1257" t="s">
        <v>967</v>
      </c>
      <c r="P1257" t="str">
        <f t="shared" si="344"/>
        <v xml:space="preserve">   9276   69  0 </v>
      </c>
      <c r="Q1257" t="str">
        <f t="shared" si="344"/>
        <v xml:space="preserve">   1.014 </v>
      </c>
      <c r="R1257" t="str">
        <f t="shared" si="337"/>
        <v xml:space="preserve">     1.9 </v>
      </c>
      <c r="S1257" t="str">
        <f t="shared" si="345"/>
        <v xml:space="preserve">     0.0 </v>
      </c>
      <c r="T1257" t="str">
        <f t="shared" si="346"/>
        <v xml:space="preserve">    23.3 </v>
      </c>
      <c r="U1257" t="str">
        <f t="shared" si="350"/>
        <v xml:space="preserve">         0.0 </v>
      </c>
      <c r="V1257" t="str">
        <f t="shared" si="338"/>
        <v xml:space="preserve">     7.4 </v>
      </c>
      <c r="W1257" t="str">
        <f t="shared" si="347"/>
        <v xml:space="preserve">     0.0</v>
      </c>
      <c r="X1257" t="str">
        <f t="shared" si="351"/>
        <v/>
      </c>
      <c r="Y1257" t="str">
        <f t="shared" si="351"/>
        <v/>
      </c>
      <c r="Z1257" t="str">
        <f t="shared" si="351"/>
        <v/>
      </c>
      <c r="AA1257" t="str">
        <f t="shared" si="339"/>
        <v/>
      </c>
      <c r="AB1257" t="str">
        <f t="shared" si="348"/>
        <v/>
      </c>
      <c r="AC1257" t="str">
        <f t="shared" si="349"/>
        <v/>
      </c>
      <c r="AD1257" t="str">
        <f t="shared" si="350"/>
        <v/>
      </c>
      <c r="AE1257" t="str">
        <f t="shared" si="340"/>
        <v/>
      </c>
      <c r="AF1257" t="str">
        <f t="shared" si="352"/>
        <v/>
      </c>
      <c r="AG1257" t="str">
        <f t="shared" si="352"/>
        <v/>
      </c>
      <c r="AH1257" t="str">
        <f t="shared" si="341"/>
        <v/>
      </c>
      <c r="AI1257" t="str">
        <f t="shared" si="342"/>
        <v/>
      </c>
      <c r="AJ1257" t="str">
        <f t="shared" si="343"/>
        <v/>
      </c>
    </row>
    <row r="1258" spans="1:36" x14ac:dyDescent="0.25">
      <c r="A1258" t="s">
        <v>968</v>
      </c>
      <c r="P1258" t="str">
        <f t="shared" si="344"/>
        <v xml:space="preserve">  RINCAO-RS069  </v>
      </c>
      <c r="Q1258" t="str">
        <f t="shared" si="344"/>
        <v xml:space="preserve">   -55.0 </v>
      </c>
      <c r="R1258" t="str">
        <f t="shared" si="337"/>
        <v xml:space="preserve">     0.0 </v>
      </c>
      <c r="S1258" t="str">
        <f t="shared" si="345"/>
        <v xml:space="preserve">     0.0 </v>
      </c>
      <c r="T1258" t="str">
        <f t="shared" si="346"/>
        <v xml:space="preserve">    10.1 </v>
      </c>
      <c r="U1258" t="str">
        <f t="shared" si="350"/>
        <v xml:space="preserve">         0.0 </v>
      </c>
      <c r="V1258" t="str">
        <f t="shared" si="338"/>
        <v xml:space="preserve">     0.0 </v>
      </c>
      <c r="W1258" t="str">
        <f t="shared" si="347"/>
        <v xml:space="preserve">     0.0 </v>
      </c>
      <c r="X1258" t="str">
        <f t="shared" si="351"/>
        <v xml:space="preserve">       </v>
      </c>
      <c r="Y1258" t="str">
        <f t="shared" si="351"/>
        <v xml:space="preserve">              </v>
      </c>
      <c r="Z1258" t="str">
        <f t="shared" si="351"/>
        <v xml:space="preserve">    </v>
      </c>
      <c r="AA1258" t="str">
        <f t="shared" si="339"/>
        <v xml:space="preserve">         </v>
      </c>
      <c r="AB1258" t="str">
        <f t="shared" si="348"/>
        <v xml:space="preserve">         </v>
      </c>
      <c r="AC1258" t="str">
        <f t="shared" si="349"/>
        <v xml:space="preserve">    </v>
      </c>
      <c r="AD1258" t="str">
        <f t="shared" si="350"/>
        <v/>
      </c>
      <c r="AE1258" t="str">
        <f t="shared" si="340"/>
        <v/>
      </c>
      <c r="AF1258" t="str">
        <f t="shared" si="352"/>
        <v/>
      </c>
      <c r="AG1258" t="str">
        <f t="shared" si="352"/>
        <v/>
      </c>
      <c r="AH1258" t="str">
        <f t="shared" si="341"/>
        <v/>
      </c>
      <c r="AI1258" t="str">
        <f t="shared" si="342"/>
        <v/>
      </c>
      <c r="AJ1258" t="str">
        <f t="shared" si="343"/>
        <v/>
      </c>
    </row>
    <row r="1259" spans="1:36" x14ac:dyDescent="0.25">
      <c r="A1259" t="s">
        <v>969</v>
      </c>
      <c r="P1259" t="str">
        <f t="shared" si="344"/>
        <v xml:space="preserve">                </v>
      </c>
      <c r="Q1259" t="str">
        <f t="shared" si="344"/>
        <v xml:space="preserve">         </v>
      </c>
      <c r="R1259" t="str">
        <f t="shared" si="337"/>
        <v xml:space="preserve">    54.0 </v>
      </c>
      <c r="S1259" t="str">
        <f t="shared" si="345"/>
        <v xml:space="preserve">    79.0 </v>
      </c>
      <c r="T1259" t="str">
        <f t="shared" si="346"/>
        <v xml:space="preserve">    79.0 </v>
      </c>
      <c r="U1259" t="str">
        <f t="shared" si="350"/>
        <v xml:space="preserve">       14.1% </v>
      </c>
      <c r="V1259" t="str">
        <f t="shared" si="338"/>
        <v xml:space="preserve">         </v>
      </c>
      <c r="W1259" t="str">
        <f t="shared" si="347"/>
        <v xml:space="preserve">         </v>
      </c>
      <c r="X1259" t="str">
        <f t="shared" si="351"/>
        <v xml:space="preserve">  9303 </v>
      </c>
      <c r="Y1259" t="str">
        <f t="shared" si="351"/>
        <v xml:space="preserve"> RESTIN-RS069 </v>
      </c>
      <c r="Z1259" t="str">
        <f t="shared" si="351"/>
        <v xml:space="preserve">  1 </v>
      </c>
      <c r="AA1259" t="str">
        <f t="shared" si="339"/>
        <v xml:space="preserve">    -7.5 </v>
      </c>
      <c r="AB1259" t="str">
        <f t="shared" si="348"/>
        <v xml:space="preserve">    -1.9 </v>
      </c>
      <c r="AC1259" t="str">
        <f t="shared" si="349"/>
        <v xml:space="preserve">     7.6 </v>
      </c>
      <c r="AD1259" t="str">
        <f t="shared" si="350"/>
        <v xml:space="preserve">        </v>
      </c>
      <c r="AE1259" t="str">
        <f t="shared" si="340"/>
        <v xml:space="preserve">       </v>
      </c>
      <c r="AF1259" t="str">
        <f t="shared" si="352"/>
        <v xml:space="preserve">     </v>
      </c>
      <c r="AG1259" t="str">
        <f t="shared" si="352"/>
        <v xml:space="preserve">     0.00 </v>
      </c>
      <c r="AH1259" t="str">
        <f t="shared" si="341"/>
        <v xml:space="preserve">    -0.02 </v>
      </c>
      <c r="AI1259" t="str">
        <f t="shared" si="342"/>
        <v xml:space="preserve">       </v>
      </c>
      <c r="AJ1259" t="str">
        <f t="shared" si="343"/>
        <v xml:space="preserve">      </v>
      </c>
    </row>
    <row r="1260" spans="1:36" x14ac:dyDescent="0.25">
      <c r="A1260" t="s">
        <v>970</v>
      </c>
      <c r="P1260" t="str">
        <f t="shared" si="344"/>
        <v xml:space="preserve">                </v>
      </c>
      <c r="Q1260" t="str">
        <f t="shared" si="344"/>
        <v xml:space="preserve">         </v>
      </c>
      <c r="R1260" t="str">
        <f t="shared" si="337"/>
        <v xml:space="preserve">    54.0 </v>
      </c>
      <c r="S1260" t="str">
        <f t="shared" si="345"/>
        <v xml:space="preserve">    79.0 </v>
      </c>
      <c r="T1260" t="str">
        <f t="shared" si="346"/>
        <v xml:space="preserve">    79.0 </v>
      </c>
      <c r="U1260" t="str">
        <f t="shared" si="350"/>
        <v xml:space="preserve">       25.5% </v>
      </c>
      <c r="V1260" t="str">
        <f t="shared" si="338"/>
        <v xml:space="preserve">         </v>
      </c>
      <c r="W1260" t="str">
        <f t="shared" si="347"/>
        <v xml:space="preserve">         </v>
      </c>
      <c r="X1260" t="str">
        <f t="shared" si="351"/>
        <v xml:space="preserve">  9392 </v>
      </c>
      <c r="Y1260" t="str">
        <f t="shared" si="351"/>
        <v xml:space="preserve"> ENT874-RS069 </v>
      </c>
      <c r="Z1260" t="str">
        <f t="shared" si="351"/>
        <v xml:space="preserve">  1 </v>
      </c>
      <c r="AA1260" t="str">
        <f t="shared" si="339"/>
        <v xml:space="preserve">   -13.9 </v>
      </c>
      <c r="AB1260" t="str">
        <f t="shared" si="348"/>
        <v xml:space="preserve">    -0.8 </v>
      </c>
      <c r="AC1260" t="str">
        <f t="shared" si="349"/>
        <v xml:space="preserve">    13.7 </v>
      </c>
      <c r="AD1260" t="str">
        <f t="shared" si="350"/>
        <v xml:space="preserve">        </v>
      </c>
      <c r="AE1260" t="str">
        <f t="shared" si="340"/>
        <v xml:space="preserve">       </v>
      </c>
      <c r="AF1260" t="str">
        <f t="shared" si="352"/>
        <v xml:space="preserve">     </v>
      </c>
      <c r="AG1260" t="str">
        <f t="shared" si="352"/>
        <v xml:space="preserve">     0.02 </v>
      </c>
      <c r="AH1260" t="str">
        <f t="shared" si="341"/>
        <v xml:space="preserve">     0.00 </v>
      </c>
      <c r="AI1260" t="str">
        <f t="shared" si="342"/>
        <v xml:space="preserve">       </v>
      </c>
      <c r="AJ1260" t="str">
        <f t="shared" si="343"/>
        <v xml:space="preserve">      </v>
      </c>
    </row>
    <row r="1261" spans="1:36" x14ac:dyDescent="0.25">
      <c r="A1261" t="s">
        <v>14</v>
      </c>
      <c r="P1261" t="str">
        <f t="shared" si="344"/>
        <v xml:space="preserve">  ..............</v>
      </c>
      <c r="Q1261" t="str">
        <f t="shared" si="344"/>
        <v>.........</v>
      </c>
      <c r="R1261" t="str">
        <f t="shared" si="337"/>
        <v>.........</v>
      </c>
      <c r="S1261" t="str">
        <f t="shared" si="345"/>
        <v>.........</v>
      </c>
      <c r="T1261" t="str">
        <f t="shared" si="346"/>
        <v>.........</v>
      </c>
      <c r="U1261" t="str">
        <f t="shared" si="350"/>
        <v>.............</v>
      </c>
      <c r="V1261" t="str">
        <f t="shared" si="338"/>
        <v>.........</v>
      </c>
      <c r="W1261" t="str">
        <f t="shared" si="347"/>
        <v>.........</v>
      </c>
      <c r="X1261" t="str">
        <f t="shared" si="351"/>
        <v>.......</v>
      </c>
      <c r="Y1261" t="str">
        <f t="shared" si="351"/>
        <v>..............</v>
      </c>
      <c r="Z1261" t="str">
        <f t="shared" si="351"/>
        <v>....</v>
      </c>
      <c r="AA1261" t="str">
        <f t="shared" si="339"/>
        <v>.........</v>
      </c>
      <c r="AB1261" t="str">
        <f t="shared" si="348"/>
        <v>.........</v>
      </c>
      <c r="AC1261" t="str">
        <f t="shared" si="349"/>
        <v>.........</v>
      </c>
      <c r="AD1261" t="str">
        <f t="shared" si="350"/>
        <v>........</v>
      </c>
      <c r="AE1261" t="str">
        <f t="shared" si="340"/>
        <v>.......</v>
      </c>
      <c r="AF1261" t="str">
        <f t="shared" si="352"/>
        <v>.....</v>
      </c>
      <c r="AG1261" t="str">
        <f t="shared" si="352"/>
        <v>..........</v>
      </c>
      <c r="AH1261" t="str">
        <f t="shared" si="341"/>
        <v>..........</v>
      </c>
      <c r="AI1261" t="str">
        <f t="shared" si="342"/>
        <v>.......</v>
      </c>
      <c r="AJ1261" t="str">
        <f t="shared" si="343"/>
        <v>.......</v>
      </c>
    </row>
    <row r="1262" spans="1:36" x14ac:dyDescent="0.25">
      <c r="A1262" t="s">
        <v>971</v>
      </c>
      <c r="P1262" t="str">
        <f t="shared" si="344"/>
        <v xml:space="preserve">   9277   69  0 </v>
      </c>
      <c r="Q1262" t="str">
        <f t="shared" si="344"/>
        <v xml:space="preserve">   1.013 </v>
      </c>
      <c r="R1262" t="str">
        <f t="shared" si="337"/>
        <v xml:space="preserve">     0.0 </v>
      </c>
      <c r="S1262" t="str">
        <f t="shared" si="345"/>
        <v xml:space="preserve">     0.0 </v>
      </c>
      <c r="T1262" t="str">
        <f t="shared" si="346"/>
        <v xml:space="preserve">     4.1 </v>
      </c>
      <c r="U1262" t="str">
        <f t="shared" si="350"/>
        <v xml:space="preserve">         0.0 </v>
      </c>
      <c r="V1262" t="str">
        <f t="shared" si="338"/>
        <v xml:space="preserve">     0.0 </v>
      </c>
      <c r="W1262" t="str">
        <f t="shared" si="347"/>
        <v xml:space="preserve">     0.0</v>
      </c>
      <c r="X1262" t="str">
        <f t="shared" si="351"/>
        <v/>
      </c>
      <c r="Y1262" t="str">
        <f t="shared" si="351"/>
        <v/>
      </c>
      <c r="Z1262" t="str">
        <f t="shared" si="351"/>
        <v/>
      </c>
      <c r="AA1262" t="str">
        <f t="shared" si="339"/>
        <v/>
      </c>
      <c r="AB1262" t="str">
        <f t="shared" si="348"/>
        <v/>
      </c>
      <c r="AC1262" t="str">
        <f t="shared" si="349"/>
        <v/>
      </c>
      <c r="AD1262" t="str">
        <f t="shared" si="350"/>
        <v/>
      </c>
      <c r="AE1262" t="str">
        <f t="shared" si="340"/>
        <v/>
      </c>
      <c r="AF1262" t="str">
        <f t="shared" si="352"/>
        <v/>
      </c>
      <c r="AG1262" t="str">
        <f t="shared" si="352"/>
        <v/>
      </c>
      <c r="AH1262" t="str">
        <f t="shared" si="341"/>
        <v/>
      </c>
      <c r="AI1262" t="str">
        <f t="shared" si="342"/>
        <v/>
      </c>
      <c r="AJ1262" t="str">
        <f t="shared" si="343"/>
        <v/>
      </c>
    </row>
    <row r="1263" spans="1:36" x14ac:dyDescent="0.25">
      <c r="A1263" t="s">
        <v>972</v>
      </c>
      <c r="P1263" t="str">
        <f t="shared" si="344"/>
        <v xml:space="preserve">  ZAFFAR-RS069  </v>
      </c>
      <c r="Q1263" t="str">
        <f t="shared" si="344"/>
        <v xml:space="preserve">   -54.5 </v>
      </c>
      <c r="R1263" t="str">
        <f t="shared" si="337"/>
        <v xml:space="preserve">     0.0 </v>
      </c>
      <c r="S1263" t="str">
        <f t="shared" si="345"/>
        <v xml:space="preserve">     0.0 </v>
      </c>
      <c r="T1263" t="str">
        <f t="shared" si="346"/>
        <v xml:space="preserve">     1.7 </v>
      </c>
      <c r="U1263" t="str">
        <f t="shared" si="350"/>
        <v xml:space="preserve">         0.0 </v>
      </c>
      <c r="V1263" t="str">
        <f t="shared" si="338"/>
        <v xml:space="preserve">     0.0 </v>
      </c>
      <c r="W1263" t="str">
        <f t="shared" si="347"/>
        <v xml:space="preserve">     0.0 </v>
      </c>
      <c r="X1263" t="str">
        <f t="shared" si="351"/>
        <v xml:space="preserve">       </v>
      </c>
      <c r="Y1263" t="str">
        <f t="shared" si="351"/>
        <v xml:space="preserve">              </v>
      </c>
      <c r="Z1263" t="str">
        <f t="shared" si="351"/>
        <v xml:space="preserve">    </v>
      </c>
      <c r="AA1263" t="str">
        <f t="shared" si="339"/>
        <v xml:space="preserve">         </v>
      </c>
      <c r="AB1263" t="str">
        <f t="shared" si="348"/>
        <v xml:space="preserve">         </v>
      </c>
      <c r="AC1263" t="str">
        <f t="shared" si="349"/>
        <v xml:space="preserve">    </v>
      </c>
      <c r="AD1263" t="str">
        <f t="shared" si="350"/>
        <v/>
      </c>
      <c r="AE1263" t="str">
        <f t="shared" si="340"/>
        <v/>
      </c>
      <c r="AF1263" t="str">
        <f t="shared" si="352"/>
        <v/>
      </c>
      <c r="AG1263" t="str">
        <f t="shared" si="352"/>
        <v/>
      </c>
      <c r="AH1263" t="str">
        <f t="shared" si="341"/>
        <v/>
      </c>
      <c r="AI1263" t="str">
        <f t="shared" si="342"/>
        <v/>
      </c>
      <c r="AJ1263" t="str">
        <f t="shared" si="343"/>
        <v/>
      </c>
    </row>
    <row r="1264" spans="1:36" x14ac:dyDescent="0.25">
      <c r="A1264" t="s">
        <v>973</v>
      </c>
      <c r="P1264" t="str">
        <f t="shared" si="344"/>
        <v xml:space="preserve">                </v>
      </c>
      <c r="Q1264" t="str">
        <f t="shared" si="344"/>
        <v xml:space="preserve">         </v>
      </c>
      <c r="R1264" t="str">
        <f t="shared" si="337"/>
        <v xml:space="preserve">    84.0 </v>
      </c>
      <c r="S1264" t="str">
        <f t="shared" si="345"/>
        <v xml:space="preserve">   101.0 </v>
      </c>
      <c r="T1264" t="str">
        <f t="shared" si="346"/>
        <v xml:space="preserve">   101.0 </v>
      </c>
      <c r="U1264" t="str">
        <f t="shared" si="350"/>
        <v xml:space="preserve">        5.6% </v>
      </c>
      <c r="V1264" t="str">
        <f t="shared" si="338"/>
        <v xml:space="preserve">         </v>
      </c>
      <c r="W1264" t="str">
        <f t="shared" si="347"/>
        <v xml:space="preserve">         </v>
      </c>
      <c r="X1264" t="str">
        <f t="shared" si="351"/>
        <v xml:space="preserve">  9962 </v>
      </c>
      <c r="Y1264" t="str">
        <f t="shared" si="351"/>
        <v xml:space="preserve"> PALEG1-RS069 </v>
      </c>
      <c r="Z1264" t="str">
        <f t="shared" si="351"/>
        <v xml:space="preserve">  1 </v>
      </c>
      <c r="AA1264" t="str">
        <f t="shared" si="339"/>
        <v xml:space="preserve">    -2.3 </v>
      </c>
      <c r="AB1264" t="str">
        <f t="shared" si="348"/>
        <v xml:space="preserve">     4.2 </v>
      </c>
      <c r="AC1264" t="str">
        <f t="shared" si="349"/>
        <v xml:space="preserve">     4.7 </v>
      </c>
      <c r="AD1264" t="str">
        <f t="shared" si="350"/>
        <v xml:space="preserve">        </v>
      </c>
      <c r="AE1264" t="str">
        <f t="shared" si="340"/>
        <v xml:space="preserve">       </v>
      </c>
      <c r="AF1264" t="str">
        <f t="shared" si="352"/>
        <v xml:space="preserve">     </v>
      </c>
      <c r="AG1264" t="str">
        <f t="shared" si="352"/>
        <v xml:space="preserve">     0.00 </v>
      </c>
      <c r="AH1264" t="str">
        <f t="shared" si="341"/>
        <v xml:space="preserve">    -0.40 </v>
      </c>
      <c r="AI1264" t="str">
        <f t="shared" si="342"/>
        <v xml:space="preserve">       </v>
      </c>
      <c r="AJ1264" t="str">
        <f t="shared" si="343"/>
        <v xml:space="preserve">      </v>
      </c>
    </row>
    <row r="1265" spans="1:36" x14ac:dyDescent="0.25">
      <c r="A1265" t="s">
        <v>974</v>
      </c>
      <c r="P1265" t="str">
        <f t="shared" si="344"/>
        <v xml:space="preserve">                </v>
      </c>
      <c r="Q1265" t="str">
        <f t="shared" si="344"/>
        <v xml:space="preserve">         </v>
      </c>
      <c r="R1265" t="str">
        <f t="shared" si="337"/>
        <v xml:space="preserve">    80.0 </v>
      </c>
      <c r="S1265" t="str">
        <f t="shared" si="345"/>
        <v xml:space="preserve">    95.0 </v>
      </c>
      <c r="T1265" t="str">
        <f t="shared" si="346"/>
        <v xml:space="preserve">    95.0 </v>
      </c>
      <c r="U1265" t="str">
        <f t="shared" si="350"/>
        <v xml:space="preserve">        7.6% </v>
      </c>
      <c r="V1265" t="str">
        <f t="shared" si="338"/>
        <v xml:space="preserve">         </v>
      </c>
      <c r="W1265" t="str">
        <f t="shared" si="347"/>
        <v xml:space="preserve">         </v>
      </c>
      <c r="X1265" t="str">
        <f t="shared" si="351"/>
        <v xml:space="preserve"> 10054 </v>
      </c>
      <c r="Y1265" t="str">
        <f t="shared" si="351"/>
        <v xml:space="preserve"> HOCONC-RS069 </v>
      </c>
      <c r="Z1265" t="str">
        <f t="shared" si="351"/>
        <v xml:space="preserve">  1 </v>
      </c>
      <c r="AA1265" t="str">
        <f t="shared" si="339"/>
        <v xml:space="preserve">    -1.8 </v>
      </c>
      <c r="AB1265" t="str">
        <f t="shared" si="348"/>
        <v xml:space="preserve">    -5.9 </v>
      </c>
      <c r="AC1265" t="str">
        <f t="shared" si="349"/>
        <v xml:space="preserve">     6.1 </v>
      </c>
      <c r="AD1265" t="str">
        <f t="shared" si="350"/>
        <v xml:space="preserve">        </v>
      </c>
      <c r="AE1265" t="str">
        <f t="shared" si="340"/>
        <v xml:space="preserve">       </v>
      </c>
      <c r="AF1265" t="str">
        <f t="shared" si="352"/>
        <v xml:space="preserve">     </v>
      </c>
      <c r="AG1265" t="str">
        <f t="shared" si="352"/>
        <v xml:space="preserve">     0.00 </v>
      </c>
      <c r="AH1265" t="str">
        <f t="shared" si="341"/>
        <v xml:space="preserve">    -0.01 </v>
      </c>
      <c r="AI1265" t="str">
        <f t="shared" si="342"/>
        <v xml:space="preserve">       </v>
      </c>
      <c r="AJ1265" t="str">
        <f t="shared" si="343"/>
        <v xml:space="preserve">      </v>
      </c>
    </row>
    <row r="1266" spans="1:36" x14ac:dyDescent="0.25">
      <c r="A1266" t="s">
        <v>14</v>
      </c>
      <c r="P1266" t="str">
        <f t="shared" si="344"/>
        <v xml:space="preserve">  ..............</v>
      </c>
      <c r="Q1266" t="str">
        <f t="shared" si="344"/>
        <v>.........</v>
      </c>
      <c r="R1266" t="str">
        <f t="shared" si="337"/>
        <v>.........</v>
      </c>
      <c r="S1266" t="str">
        <f t="shared" si="345"/>
        <v>.........</v>
      </c>
      <c r="T1266" t="str">
        <f t="shared" si="346"/>
        <v>.........</v>
      </c>
      <c r="U1266" t="str">
        <f t="shared" si="350"/>
        <v>.............</v>
      </c>
      <c r="V1266" t="str">
        <f t="shared" si="338"/>
        <v>.........</v>
      </c>
      <c r="W1266" t="str">
        <f t="shared" si="347"/>
        <v>.........</v>
      </c>
      <c r="X1266" t="str">
        <f t="shared" si="351"/>
        <v>.......</v>
      </c>
      <c r="Y1266" t="str">
        <f t="shared" si="351"/>
        <v>..............</v>
      </c>
      <c r="Z1266" t="str">
        <f t="shared" si="351"/>
        <v>....</v>
      </c>
      <c r="AA1266" t="str">
        <f t="shared" si="339"/>
        <v>.........</v>
      </c>
      <c r="AB1266" t="str">
        <f t="shared" si="348"/>
        <v>.........</v>
      </c>
      <c r="AC1266" t="str">
        <f t="shared" si="349"/>
        <v>.........</v>
      </c>
      <c r="AD1266" t="str">
        <f t="shared" si="350"/>
        <v>........</v>
      </c>
      <c r="AE1266" t="str">
        <f t="shared" si="340"/>
        <v>.......</v>
      </c>
      <c r="AF1266" t="str">
        <f t="shared" si="352"/>
        <v>.....</v>
      </c>
      <c r="AG1266" t="str">
        <f t="shared" si="352"/>
        <v>..........</v>
      </c>
      <c r="AH1266" t="str">
        <f t="shared" si="341"/>
        <v>..........</v>
      </c>
      <c r="AI1266" t="str">
        <f t="shared" si="342"/>
        <v>.......</v>
      </c>
      <c r="AJ1266" t="str">
        <f t="shared" si="343"/>
        <v>.......</v>
      </c>
    </row>
    <row r="1267" spans="1:36" x14ac:dyDescent="0.25">
      <c r="A1267" t="s">
        <v>975</v>
      </c>
      <c r="P1267" t="str">
        <f t="shared" si="344"/>
        <v xml:space="preserve">   9279   14  0 </v>
      </c>
      <c r="Q1267" t="str">
        <f t="shared" si="344"/>
        <v xml:space="preserve">   1.066 </v>
      </c>
      <c r="R1267" t="str">
        <f t="shared" si="337"/>
        <v xml:space="preserve">     2.3 </v>
      </c>
      <c r="S1267" t="str">
        <f t="shared" si="345"/>
        <v xml:space="preserve">     0.0 </v>
      </c>
      <c r="T1267" t="str">
        <f t="shared" si="346"/>
        <v xml:space="preserve">    24.2 </v>
      </c>
      <c r="U1267" t="str">
        <f t="shared" si="350"/>
        <v xml:space="preserve">         0.0 </v>
      </c>
      <c r="V1267" t="str">
        <f t="shared" si="338"/>
        <v xml:space="preserve">     4.1 </v>
      </c>
      <c r="W1267" t="str">
        <f t="shared" si="347"/>
        <v xml:space="preserve">     0.0</v>
      </c>
      <c r="X1267" t="str">
        <f t="shared" si="351"/>
        <v/>
      </c>
      <c r="Y1267" t="str">
        <f t="shared" si="351"/>
        <v/>
      </c>
      <c r="Z1267" t="str">
        <f t="shared" si="351"/>
        <v/>
      </c>
      <c r="AA1267" t="str">
        <f t="shared" si="339"/>
        <v/>
      </c>
      <c r="AB1267" t="str">
        <f t="shared" si="348"/>
        <v/>
      </c>
      <c r="AC1267" t="str">
        <f t="shared" si="349"/>
        <v/>
      </c>
      <c r="AD1267" t="str">
        <f t="shared" si="350"/>
        <v/>
      </c>
      <c r="AE1267" t="str">
        <f t="shared" si="340"/>
        <v/>
      </c>
      <c r="AF1267" t="str">
        <f t="shared" si="352"/>
        <v/>
      </c>
      <c r="AG1267" t="str">
        <f t="shared" si="352"/>
        <v/>
      </c>
      <c r="AH1267" t="str">
        <f t="shared" si="341"/>
        <v/>
      </c>
      <c r="AI1267" t="str">
        <f t="shared" si="342"/>
        <v/>
      </c>
      <c r="AJ1267" t="str">
        <f t="shared" si="343"/>
        <v/>
      </c>
    </row>
    <row r="1268" spans="1:36" x14ac:dyDescent="0.25">
      <c r="A1268" t="s">
        <v>976</v>
      </c>
      <c r="P1268" t="str">
        <f t="shared" si="344"/>
        <v xml:space="preserve">  CAX5-A-RS013  </v>
      </c>
      <c r="Q1268" t="str">
        <f t="shared" si="344"/>
        <v xml:space="preserve">   -50.8 </v>
      </c>
      <c r="R1268" t="str">
        <f t="shared" si="337"/>
        <v xml:space="preserve">     0.0 </v>
      </c>
      <c r="S1268" t="str">
        <f t="shared" si="345"/>
        <v xml:space="preserve">     0.0 </v>
      </c>
      <c r="T1268" t="str">
        <f t="shared" si="346"/>
        <v xml:space="preserve">     7.1 </v>
      </c>
      <c r="U1268" t="str">
        <f t="shared" si="350"/>
        <v xml:space="preserve">         0.0 </v>
      </c>
      <c r="V1268" t="str">
        <f t="shared" si="338"/>
        <v xml:space="preserve">     0.0 </v>
      </c>
      <c r="W1268" t="str">
        <f t="shared" si="347"/>
        <v xml:space="preserve">     0.0 </v>
      </c>
      <c r="X1268" t="str">
        <f t="shared" si="351"/>
        <v xml:space="preserve">       </v>
      </c>
      <c r="Y1268" t="str">
        <f t="shared" si="351"/>
        <v xml:space="preserve">              </v>
      </c>
      <c r="Z1268" t="str">
        <f t="shared" si="351"/>
        <v xml:space="preserve">    </v>
      </c>
      <c r="AA1268" t="str">
        <f t="shared" si="339"/>
        <v xml:space="preserve">         </v>
      </c>
      <c r="AB1268" t="str">
        <f t="shared" si="348"/>
        <v xml:space="preserve">         </v>
      </c>
      <c r="AC1268" t="str">
        <f t="shared" si="349"/>
        <v xml:space="preserve">    </v>
      </c>
      <c r="AD1268" t="str">
        <f t="shared" si="350"/>
        <v/>
      </c>
      <c r="AE1268" t="str">
        <f t="shared" si="340"/>
        <v/>
      </c>
      <c r="AF1268" t="str">
        <f t="shared" si="352"/>
        <v/>
      </c>
      <c r="AG1268" t="str">
        <f t="shared" si="352"/>
        <v/>
      </c>
      <c r="AH1268" t="str">
        <f t="shared" si="341"/>
        <v/>
      </c>
      <c r="AI1268" t="str">
        <f t="shared" si="342"/>
        <v/>
      </c>
      <c r="AJ1268" t="str">
        <f t="shared" si="343"/>
        <v/>
      </c>
    </row>
    <row r="1269" spans="1:36" x14ac:dyDescent="0.25">
      <c r="A1269" t="s">
        <v>977</v>
      </c>
      <c r="P1269" t="str">
        <f t="shared" si="344"/>
        <v xml:space="preserve">                </v>
      </c>
      <c r="Q1269" t="str">
        <f t="shared" si="344"/>
        <v xml:space="preserve">         </v>
      </c>
      <c r="R1269" t="str">
        <f t="shared" si="337"/>
        <v xml:space="preserve">    50.0 </v>
      </c>
      <c r="S1269" t="str">
        <f t="shared" si="345"/>
        <v xml:space="preserve">    75.0 </v>
      </c>
      <c r="T1269" t="str">
        <f t="shared" si="346"/>
        <v xml:space="preserve">    75.0 </v>
      </c>
      <c r="U1269" t="str">
        <f t="shared" si="350"/>
        <v xml:space="preserve">       41.5% </v>
      </c>
      <c r="V1269" t="str">
        <f t="shared" si="338"/>
        <v xml:space="preserve">         </v>
      </c>
      <c r="W1269" t="str">
        <f t="shared" si="347"/>
        <v xml:space="preserve">         </v>
      </c>
      <c r="X1269" t="str">
        <f t="shared" si="351"/>
        <v xml:space="preserve"> 41226 </v>
      </c>
      <c r="Y1269" t="str">
        <f t="shared" si="351"/>
        <v xml:space="preserve"> CAX5-1-RS000 </v>
      </c>
      <c r="Z1269" t="str">
        <f t="shared" si="351"/>
        <v xml:space="preserve">  1 </v>
      </c>
      <c r="AA1269" t="str">
        <f t="shared" si="339"/>
        <v xml:space="preserve">   -21.9 </v>
      </c>
      <c r="AB1269" t="str">
        <f t="shared" si="348"/>
        <v xml:space="preserve">    -3.0 </v>
      </c>
      <c r="AC1269" t="str">
        <f t="shared" si="349"/>
        <v xml:space="preserve">    20.7 </v>
      </c>
      <c r="AD1269" t="str">
        <f t="shared" si="350"/>
        <v xml:space="preserve"> 1.000F </v>
      </c>
      <c r="AE1269" t="str">
        <f t="shared" si="340"/>
        <v xml:space="preserve">       </v>
      </c>
      <c r="AF1269" t="str">
        <f t="shared" si="352"/>
        <v xml:space="preserve"> 002 </v>
      </c>
      <c r="AG1269" t="str">
        <f t="shared" si="352"/>
        <v xml:space="preserve">     0.01 </v>
      </c>
      <c r="AH1269" t="str">
        <f t="shared" si="341"/>
        <v xml:space="preserve">    -0.09 </v>
      </c>
      <c r="AI1269" t="str">
        <f t="shared" si="342"/>
        <v xml:space="preserve">       </v>
      </c>
      <c r="AJ1269" t="str">
        <f t="shared" si="343"/>
        <v xml:space="preserve">      </v>
      </c>
    </row>
    <row r="1270" spans="1:36" x14ac:dyDescent="0.25">
      <c r="A1270" t="s">
        <v>14</v>
      </c>
      <c r="P1270" t="str">
        <f t="shared" si="344"/>
        <v xml:space="preserve">  ..............</v>
      </c>
      <c r="Q1270" t="str">
        <f t="shared" si="344"/>
        <v>.........</v>
      </c>
      <c r="R1270" t="str">
        <f t="shared" si="337"/>
        <v>.........</v>
      </c>
      <c r="S1270" t="str">
        <f t="shared" si="345"/>
        <v>.........</v>
      </c>
      <c r="T1270" t="str">
        <f t="shared" si="346"/>
        <v>.........</v>
      </c>
      <c r="U1270" t="str">
        <f t="shared" si="350"/>
        <v>.............</v>
      </c>
      <c r="V1270" t="str">
        <f t="shared" si="338"/>
        <v>.........</v>
      </c>
      <c r="W1270" t="str">
        <f t="shared" si="347"/>
        <v>.........</v>
      </c>
      <c r="X1270" t="str">
        <f t="shared" si="351"/>
        <v>.......</v>
      </c>
      <c r="Y1270" t="str">
        <f t="shared" si="351"/>
        <v>..............</v>
      </c>
      <c r="Z1270" t="str">
        <f t="shared" si="351"/>
        <v>....</v>
      </c>
      <c r="AA1270" t="str">
        <f t="shared" si="339"/>
        <v>.........</v>
      </c>
      <c r="AB1270" t="str">
        <f t="shared" si="348"/>
        <v>.........</v>
      </c>
      <c r="AC1270" t="str">
        <f t="shared" si="349"/>
        <v>.........</v>
      </c>
      <c r="AD1270" t="str">
        <f t="shared" si="350"/>
        <v>........</v>
      </c>
      <c r="AE1270" t="str">
        <f t="shared" si="340"/>
        <v>.......</v>
      </c>
      <c r="AF1270" t="str">
        <f t="shared" si="352"/>
        <v>.....</v>
      </c>
      <c r="AG1270" t="str">
        <f t="shared" si="352"/>
        <v>..........</v>
      </c>
      <c r="AH1270" t="str">
        <f t="shared" si="341"/>
        <v>..........</v>
      </c>
      <c r="AI1270" t="str">
        <f t="shared" si="342"/>
        <v>.......</v>
      </c>
      <c r="AJ1270" t="str">
        <f t="shared" si="343"/>
        <v>.......</v>
      </c>
    </row>
    <row r="1271" spans="1:36" x14ac:dyDescent="0.25">
      <c r="A1271" t="s">
        <v>978</v>
      </c>
      <c r="P1271" t="str">
        <f t="shared" si="344"/>
        <v xml:space="preserve">   9281   14  0 </v>
      </c>
      <c r="Q1271" t="str">
        <f t="shared" si="344"/>
        <v xml:space="preserve">   1.103 </v>
      </c>
      <c r="R1271" t="str">
        <f t="shared" si="337"/>
        <v xml:space="preserve">     2.1 </v>
      </c>
      <c r="S1271" t="str">
        <f t="shared" si="345"/>
        <v xml:space="preserve">     0.0 </v>
      </c>
      <c r="T1271" t="str">
        <f t="shared" si="346"/>
        <v xml:space="preserve">    30.5 </v>
      </c>
      <c r="U1271" t="str">
        <f t="shared" si="350"/>
        <v xml:space="preserve">         0.0 </v>
      </c>
      <c r="V1271" t="str">
        <f t="shared" si="338"/>
        <v xml:space="preserve">     8.8 </v>
      </c>
      <c r="W1271" t="str">
        <f t="shared" si="347"/>
        <v xml:space="preserve">     0.0</v>
      </c>
      <c r="X1271" t="str">
        <f t="shared" si="351"/>
        <v/>
      </c>
      <c r="Y1271" t="str">
        <f t="shared" si="351"/>
        <v/>
      </c>
      <c r="Z1271" t="str">
        <f t="shared" si="351"/>
        <v/>
      </c>
      <c r="AA1271" t="str">
        <f t="shared" si="339"/>
        <v/>
      </c>
      <c r="AB1271" t="str">
        <f t="shared" si="348"/>
        <v/>
      </c>
      <c r="AC1271" t="str">
        <f t="shared" si="349"/>
        <v/>
      </c>
      <c r="AD1271" t="str">
        <f t="shared" si="350"/>
        <v/>
      </c>
      <c r="AE1271" t="str">
        <f t="shared" si="340"/>
        <v/>
      </c>
      <c r="AF1271" t="str">
        <f t="shared" si="352"/>
        <v/>
      </c>
      <c r="AG1271" t="str">
        <f t="shared" si="352"/>
        <v/>
      </c>
      <c r="AH1271" t="str">
        <f t="shared" si="341"/>
        <v/>
      </c>
      <c r="AI1271" t="str">
        <f t="shared" si="342"/>
        <v/>
      </c>
      <c r="AJ1271" t="str">
        <f t="shared" si="343"/>
        <v/>
      </c>
    </row>
    <row r="1272" spans="1:36" x14ac:dyDescent="0.25">
      <c r="A1272" t="s">
        <v>979</v>
      </c>
      <c r="P1272" t="str">
        <f t="shared" si="344"/>
        <v xml:space="preserve">  CAXIA2-RS013  </v>
      </c>
      <c r="Q1272" t="str">
        <f t="shared" si="344"/>
        <v xml:space="preserve">   -54.0 </v>
      </c>
      <c r="R1272" t="str">
        <f t="shared" si="337"/>
        <v xml:space="preserve">     0.0 </v>
      </c>
      <c r="S1272" t="str">
        <f t="shared" si="345"/>
        <v xml:space="preserve">     0.0 </v>
      </c>
      <c r="T1272" t="str">
        <f t="shared" si="346"/>
        <v xml:space="preserve">     4.3 </v>
      </c>
      <c r="U1272" t="str">
        <f t="shared" si="350"/>
        <v xml:space="preserve">         0.0 </v>
      </c>
      <c r="V1272" t="str">
        <f t="shared" si="338"/>
        <v xml:space="preserve">     0.0 </v>
      </c>
      <c r="W1272" t="str">
        <f t="shared" si="347"/>
        <v xml:space="preserve">     0.0 </v>
      </c>
      <c r="X1272" t="str">
        <f t="shared" si="351"/>
        <v xml:space="preserve">       </v>
      </c>
      <c r="Y1272" t="str">
        <f t="shared" si="351"/>
        <v xml:space="preserve">              </v>
      </c>
      <c r="Z1272" t="str">
        <f t="shared" si="351"/>
        <v xml:space="preserve">    </v>
      </c>
      <c r="AA1272" t="str">
        <f t="shared" si="339"/>
        <v xml:space="preserve">         </v>
      </c>
      <c r="AB1272" t="str">
        <f t="shared" si="348"/>
        <v xml:space="preserve">         </v>
      </c>
      <c r="AC1272" t="str">
        <f t="shared" si="349"/>
        <v xml:space="preserve">    </v>
      </c>
      <c r="AD1272" t="str">
        <f t="shared" si="350"/>
        <v/>
      </c>
      <c r="AE1272" t="str">
        <f t="shared" si="340"/>
        <v/>
      </c>
      <c r="AF1272" t="str">
        <f t="shared" si="352"/>
        <v/>
      </c>
      <c r="AG1272" t="str">
        <f t="shared" si="352"/>
        <v/>
      </c>
      <c r="AH1272" t="str">
        <f t="shared" si="341"/>
        <v/>
      </c>
      <c r="AI1272" t="str">
        <f t="shared" si="342"/>
        <v/>
      </c>
      <c r="AJ1272" t="str">
        <f t="shared" si="343"/>
        <v/>
      </c>
    </row>
    <row r="1273" spans="1:36" x14ac:dyDescent="0.25">
      <c r="A1273" t="s">
        <v>980</v>
      </c>
      <c r="P1273" t="str">
        <f t="shared" si="344"/>
        <v xml:space="preserve">                </v>
      </c>
      <c r="Q1273" t="str">
        <f t="shared" si="344"/>
        <v xml:space="preserve">         </v>
      </c>
      <c r="R1273" t="str">
        <f t="shared" si="337"/>
        <v xml:space="preserve">    42.0 </v>
      </c>
      <c r="S1273" t="str">
        <f t="shared" si="345"/>
        <v xml:space="preserve">    63.0 </v>
      </c>
      <c r="T1273" t="str">
        <f t="shared" si="346"/>
        <v xml:space="preserve">    63.0 </v>
      </c>
      <c r="U1273" t="str">
        <f t="shared" si="350"/>
        <v xml:space="preserve">       62.0% </v>
      </c>
      <c r="V1273" t="str">
        <f t="shared" si="338"/>
        <v xml:space="preserve">         </v>
      </c>
      <c r="W1273" t="str">
        <f t="shared" si="347"/>
        <v xml:space="preserve">         </v>
      </c>
      <c r="X1273" t="str">
        <f t="shared" si="351"/>
        <v xml:space="preserve">  1201 </v>
      </c>
      <c r="Y1273" t="str">
        <f t="shared" si="351"/>
        <v xml:space="preserve"> CAXIA2-RS069 </v>
      </c>
      <c r="Z1273" t="str">
        <f t="shared" si="351"/>
        <v xml:space="preserve">  2 </v>
      </c>
      <c r="AA1273" t="str">
        <f t="shared" si="339"/>
        <v xml:space="preserve">   -28.4 </v>
      </c>
      <c r="AB1273" t="str">
        <f t="shared" si="348"/>
        <v xml:space="preserve">     4.5 </v>
      </c>
      <c r="AC1273" t="str">
        <f t="shared" si="349"/>
        <v xml:space="preserve">    26.1 </v>
      </c>
      <c r="AD1273" t="str">
        <f t="shared" si="350"/>
        <v xml:space="preserve">        </v>
      </c>
      <c r="AE1273" t="str">
        <f t="shared" si="340"/>
        <v xml:space="preserve">       </v>
      </c>
      <c r="AF1273" t="str">
        <f t="shared" si="352"/>
        <v xml:space="preserve">     </v>
      </c>
      <c r="AG1273" t="str">
        <f t="shared" si="352"/>
        <v xml:space="preserve">     0.05 </v>
      </c>
      <c r="AH1273" t="str">
        <f t="shared" si="341"/>
        <v xml:space="preserve">     1.76 </v>
      </c>
      <c r="AI1273" t="str">
        <f t="shared" si="342"/>
        <v xml:space="preserve">       </v>
      </c>
      <c r="AJ1273" t="str">
        <f t="shared" si="343"/>
        <v xml:space="preserve">      </v>
      </c>
    </row>
    <row r="1274" spans="1:36" x14ac:dyDescent="0.25">
      <c r="A1274" t="s">
        <v>14</v>
      </c>
      <c r="P1274" t="str">
        <f t="shared" si="344"/>
        <v xml:space="preserve">  ..............</v>
      </c>
      <c r="Q1274" t="str">
        <f t="shared" si="344"/>
        <v>.........</v>
      </c>
      <c r="R1274" t="str">
        <f t="shared" si="337"/>
        <v>.........</v>
      </c>
      <c r="S1274" t="str">
        <f t="shared" si="345"/>
        <v>.........</v>
      </c>
      <c r="T1274" t="str">
        <f t="shared" si="346"/>
        <v>.........</v>
      </c>
      <c r="U1274" t="str">
        <f t="shared" si="350"/>
        <v>.............</v>
      </c>
      <c r="V1274" t="str">
        <f t="shared" si="338"/>
        <v>.........</v>
      </c>
      <c r="W1274" t="str">
        <f t="shared" si="347"/>
        <v>.........</v>
      </c>
      <c r="X1274" t="str">
        <f t="shared" si="351"/>
        <v>.......</v>
      </c>
      <c r="Y1274" t="str">
        <f t="shared" si="351"/>
        <v>..............</v>
      </c>
      <c r="Z1274" t="str">
        <f t="shared" si="351"/>
        <v>....</v>
      </c>
      <c r="AA1274" t="str">
        <f t="shared" si="339"/>
        <v>.........</v>
      </c>
      <c r="AB1274" t="str">
        <f t="shared" si="348"/>
        <v>.........</v>
      </c>
      <c r="AC1274" t="str">
        <f t="shared" si="349"/>
        <v>.........</v>
      </c>
      <c r="AD1274" t="str">
        <f t="shared" si="350"/>
        <v>........</v>
      </c>
      <c r="AE1274" t="str">
        <f t="shared" si="340"/>
        <v>.......</v>
      </c>
      <c r="AF1274" t="str">
        <f t="shared" si="352"/>
        <v>.....</v>
      </c>
      <c r="AG1274" t="str">
        <f t="shared" si="352"/>
        <v>..........</v>
      </c>
      <c r="AH1274" t="str">
        <f t="shared" si="341"/>
        <v>..........</v>
      </c>
      <c r="AI1274" t="str">
        <f t="shared" si="342"/>
        <v>.......</v>
      </c>
      <c r="AJ1274" t="str">
        <f t="shared" si="343"/>
        <v>.......</v>
      </c>
    </row>
    <row r="1275" spans="1:36" x14ac:dyDescent="0.25">
      <c r="A1275" t="s">
        <v>981</v>
      </c>
      <c r="P1275" t="str">
        <f t="shared" si="344"/>
        <v xml:space="preserve">   9282   14  0 </v>
      </c>
      <c r="Q1275" t="str">
        <f t="shared" si="344"/>
        <v xml:space="preserve">   1.060 </v>
      </c>
      <c r="R1275" t="str">
        <f t="shared" si="337"/>
        <v xml:space="preserve">     3.5 </v>
      </c>
      <c r="S1275" t="str">
        <f t="shared" si="345"/>
        <v xml:space="preserve">     0.0 </v>
      </c>
      <c r="T1275" t="str">
        <f t="shared" si="346"/>
        <v xml:space="preserve">    24.8 </v>
      </c>
      <c r="U1275" t="str">
        <f t="shared" si="350"/>
        <v xml:space="preserve">         0.0 </v>
      </c>
      <c r="V1275" t="str">
        <f t="shared" si="338"/>
        <v xml:space="preserve">     4.0 </v>
      </c>
      <c r="W1275" t="str">
        <f t="shared" si="347"/>
        <v xml:space="preserve">     0.0</v>
      </c>
      <c r="X1275" t="str">
        <f t="shared" si="351"/>
        <v/>
      </c>
      <c r="Y1275" t="str">
        <f t="shared" si="351"/>
        <v/>
      </c>
      <c r="Z1275" t="str">
        <f t="shared" si="351"/>
        <v/>
      </c>
      <c r="AA1275" t="str">
        <f t="shared" si="339"/>
        <v/>
      </c>
      <c r="AB1275" t="str">
        <f t="shared" si="348"/>
        <v/>
      </c>
      <c r="AC1275" t="str">
        <f t="shared" si="349"/>
        <v/>
      </c>
      <c r="AD1275" t="str">
        <f t="shared" si="350"/>
        <v/>
      </c>
      <c r="AE1275" t="str">
        <f t="shared" si="340"/>
        <v/>
      </c>
      <c r="AF1275" t="str">
        <f t="shared" si="352"/>
        <v/>
      </c>
      <c r="AG1275" t="str">
        <f t="shared" si="352"/>
        <v/>
      </c>
      <c r="AH1275" t="str">
        <f t="shared" si="341"/>
        <v/>
      </c>
      <c r="AI1275" t="str">
        <f t="shared" si="342"/>
        <v/>
      </c>
      <c r="AJ1275" t="str">
        <f t="shared" si="343"/>
        <v/>
      </c>
    </row>
    <row r="1276" spans="1:36" x14ac:dyDescent="0.25">
      <c r="A1276" t="s">
        <v>982</v>
      </c>
      <c r="P1276" t="str">
        <f t="shared" si="344"/>
        <v xml:space="preserve">  CAX5-B-RS013  </v>
      </c>
      <c r="Q1276" t="str">
        <f t="shared" si="344"/>
        <v xml:space="preserve">   -50.7 </v>
      </c>
      <c r="R1276" t="str">
        <f t="shared" si="337"/>
        <v xml:space="preserve">     0.0 </v>
      </c>
      <c r="S1276" t="str">
        <f t="shared" si="345"/>
        <v xml:space="preserve">     0.0 </v>
      </c>
      <c r="T1276" t="str">
        <f t="shared" si="346"/>
        <v xml:space="preserve">    10.7 </v>
      </c>
      <c r="U1276" t="str">
        <f t="shared" si="350"/>
        <v xml:space="preserve">         0.0 </v>
      </c>
      <c r="V1276" t="str">
        <f t="shared" si="338"/>
        <v xml:space="preserve">     0.0 </v>
      </c>
      <c r="W1276" t="str">
        <f t="shared" si="347"/>
        <v xml:space="preserve">     0.0 </v>
      </c>
      <c r="X1276" t="str">
        <f t="shared" si="351"/>
        <v xml:space="preserve">       </v>
      </c>
      <c r="Y1276" t="str">
        <f t="shared" si="351"/>
        <v xml:space="preserve">              </v>
      </c>
      <c r="Z1276" t="str">
        <f t="shared" si="351"/>
        <v xml:space="preserve">    </v>
      </c>
      <c r="AA1276" t="str">
        <f t="shared" si="339"/>
        <v xml:space="preserve">         </v>
      </c>
      <c r="AB1276" t="str">
        <f t="shared" si="348"/>
        <v xml:space="preserve">         </v>
      </c>
      <c r="AC1276" t="str">
        <f t="shared" si="349"/>
        <v xml:space="preserve">    </v>
      </c>
      <c r="AD1276" t="str">
        <f t="shared" si="350"/>
        <v/>
      </c>
      <c r="AE1276" t="str">
        <f t="shared" si="340"/>
        <v/>
      </c>
      <c r="AF1276" t="str">
        <f t="shared" si="352"/>
        <v/>
      </c>
      <c r="AG1276" t="str">
        <f t="shared" si="352"/>
        <v/>
      </c>
      <c r="AH1276" t="str">
        <f t="shared" si="341"/>
        <v/>
      </c>
      <c r="AI1276" t="str">
        <f t="shared" si="342"/>
        <v/>
      </c>
      <c r="AJ1276" t="str">
        <f t="shared" si="343"/>
        <v/>
      </c>
    </row>
    <row r="1277" spans="1:36" x14ac:dyDescent="0.25">
      <c r="A1277" t="s">
        <v>983</v>
      </c>
      <c r="P1277" t="str">
        <f t="shared" si="344"/>
        <v xml:space="preserve">                </v>
      </c>
      <c r="Q1277" t="str">
        <f t="shared" si="344"/>
        <v xml:space="preserve">         </v>
      </c>
      <c r="R1277" t="str">
        <f t="shared" si="337"/>
        <v xml:space="preserve">    50.0 </v>
      </c>
      <c r="S1277" t="str">
        <f t="shared" si="345"/>
        <v xml:space="preserve">    50.0 </v>
      </c>
      <c r="T1277" t="str">
        <f t="shared" si="346"/>
        <v xml:space="preserve">    50.0 </v>
      </c>
      <c r="U1277" t="str">
        <f t="shared" si="350"/>
        <v xml:space="preserve">       42.1% </v>
      </c>
      <c r="V1277" t="str">
        <f t="shared" si="338"/>
        <v xml:space="preserve">         </v>
      </c>
      <c r="W1277" t="str">
        <f t="shared" si="347"/>
        <v xml:space="preserve">         </v>
      </c>
      <c r="X1277" t="str">
        <f t="shared" si="351"/>
        <v xml:space="preserve"> 41227 </v>
      </c>
      <c r="Y1277" t="str">
        <f t="shared" si="351"/>
        <v xml:space="preserve"> CAX5-2-RS000 </v>
      </c>
      <c r="Z1277" t="str">
        <f t="shared" si="351"/>
        <v xml:space="preserve">  2 </v>
      </c>
      <c r="AA1277" t="str">
        <f t="shared" si="339"/>
        <v xml:space="preserve">   -21.3 </v>
      </c>
      <c r="AB1277" t="str">
        <f t="shared" si="348"/>
        <v xml:space="preserve">    -6.7 </v>
      </c>
      <c r="AC1277" t="str">
        <f t="shared" si="349"/>
        <v xml:space="preserve">    21.0 </v>
      </c>
      <c r="AD1277" t="str">
        <f t="shared" si="350"/>
        <v xml:space="preserve"> 1.000F </v>
      </c>
      <c r="AE1277" t="str">
        <f t="shared" si="340"/>
        <v xml:space="preserve">       </v>
      </c>
      <c r="AF1277" t="str">
        <f t="shared" si="352"/>
        <v xml:space="preserve"> 002 </v>
      </c>
      <c r="AG1277" t="str">
        <f t="shared" si="352"/>
        <v xml:space="preserve">     0.01 </v>
      </c>
      <c r="AH1277" t="str">
        <f t="shared" si="341"/>
        <v xml:space="preserve">    -0.07 </v>
      </c>
      <c r="AI1277" t="str">
        <f t="shared" si="342"/>
        <v xml:space="preserve">       </v>
      </c>
      <c r="AJ1277" t="str">
        <f t="shared" si="343"/>
        <v xml:space="preserve">      </v>
      </c>
    </row>
    <row r="1278" spans="1:36" x14ac:dyDescent="0.25">
      <c r="A1278" t="s">
        <v>14</v>
      </c>
      <c r="P1278" t="str">
        <f t="shared" si="344"/>
        <v xml:space="preserve">  ..............</v>
      </c>
      <c r="Q1278" t="str">
        <f t="shared" si="344"/>
        <v>.........</v>
      </c>
      <c r="R1278" t="str">
        <f t="shared" si="337"/>
        <v>.........</v>
      </c>
      <c r="S1278" t="str">
        <f t="shared" si="345"/>
        <v>.........</v>
      </c>
      <c r="T1278" t="str">
        <f t="shared" si="346"/>
        <v>.........</v>
      </c>
      <c r="U1278" t="str">
        <f t="shared" si="350"/>
        <v>.............</v>
      </c>
      <c r="V1278" t="str">
        <f t="shared" si="338"/>
        <v>.........</v>
      </c>
      <c r="W1278" t="str">
        <f t="shared" si="347"/>
        <v>.........</v>
      </c>
      <c r="X1278" t="str">
        <f t="shared" si="351"/>
        <v>.......</v>
      </c>
      <c r="Y1278" t="str">
        <f t="shared" si="351"/>
        <v>..............</v>
      </c>
      <c r="Z1278" t="str">
        <f t="shared" si="351"/>
        <v>....</v>
      </c>
      <c r="AA1278" t="str">
        <f t="shared" si="339"/>
        <v>.........</v>
      </c>
      <c r="AB1278" t="str">
        <f t="shared" si="348"/>
        <v>.........</v>
      </c>
      <c r="AC1278" t="str">
        <f t="shared" si="349"/>
        <v>.........</v>
      </c>
      <c r="AD1278" t="str">
        <f t="shared" si="350"/>
        <v>........</v>
      </c>
      <c r="AE1278" t="str">
        <f t="shared" si="340"/>
        <v>.......</v>
      </c>
      <c r="AF1278" t="str">
        <f t="shared" si="352"/>
        <v>.....</v>
      </c>
      <c r="AG1278" t="str">
        <f t="shared" si="352"/>
        <v>..........</v>
      </c>
      <c r="AH1278" t="str">
        <f t="shared" si="341"/>
        <v>..........</v>
      </c>
      <c r="AI1278" t="str">
        <f t="shared" si="342"/>
        <v>.......</v>
      </c>
      <c r="AJ1278" t="str">
        <f t="shared" si="343"/>
        <v>.......</v>
      </c>
    </row>
    <row r="1279" spans="1:36" x14ac:dyDescent="0.25">
      <c r="A1279" t="s">
        <v>984</v>
      </c>
      <c r="P1279" t="str">
        <f t="shared" si="344"/>
        <v xml:space="preserve">   9284   23  0 </v>
      </c>
      <c r="Q1279" t="str">
        <f t="shared" si="344"/>
        <v xml:space="preserve">   1.046 </v>
      </c>
      <c r="R1279" t="str">
        <f t="shared" si="337"/>
        <v xml:space="preserve">     3.1 </v>
      </c>
      <c r="S1279" t="str">
        <f t="shared" si="345"/>
        <v xml:space="preserve">     0.0 </v>
      </c>
      <c r="T1279" t="str">
        <f t="shared" si="346"/>
        <v xml:space="preserve">     9.4 </v>
      </c>
      <c r="U1279" t="str">
        <f t="shared" si="350"/>
        <v xml:space="preserve">         0.0 </v>
      </c>
      <c r="V1279" t="str">
        <f t="shared" si="338"/>
        <v xml:space="preserve">     7.9 </v>
      </c>
      <c r="W1279" t="str">
        <f t="shared" si="347"/>
        <v xml:space="preserve">     0.0</v>
      </c>
      <c r="X1279" t="str">
        <f t="shared" si="351"/>
        <v/>
      </c>
      <c r="Y1279" t="str">
        <f t="shared" si="351"/>
        <v/>
      </c>
      <c r="Z1279" t="str">
        <f t="shared" si="351"/>
        <v/>
      </c>
      <c r="AA1279" t="str">
        <f t="shared" si="339"/>
        <v/>
      </c>
      <c r="AB1279" t="str">
        <f t="shared" si="348"/>
        <v/>
      </c>
      <c r="AC1279" t="str">
        <f t="shared" si="349"/>
        <v/>
      </c>
      <c r="AD1279" t="str">
        <f t="shared" si="350"/>
        <v/>
      </c>
      <c r="AE1279" t="str">
        <f t="shared" si="340"/>
        <v/>
      </c>
      <c r="AF1279" t="str">
        <f t="shared" si="352"/>
        <v/>
      </c>
      <c r="AG1279" t="str">
        <f t="shared" si="352"/>
        <v/>
      </c>
      <c r="AH1279" t="str">
        <f t="shared" si="341"/>
        <v/>
      </c>
      <c r="AI1279" t="str">
        <f t="shared" si="342"/>
        <v/>
      </c>
      <c r="AJ1279" t="str">
        <f t="shared" si="343"/>
        <v/>
      </c>
    </row>
    <row r="1280" spans="1:36" x14ac:dyDescent="0.25">
      <c r="A1280" t="s">
        <v>985</v>
      </c>
      <c r="P1280" t="str">
        <f t="shared" si="344"/>
        <v xml:space="preserve">  GRARGE-RS023  </v>
      </c>
      <c r="Q1280" t="str">
        <f t="shared" si="344"/>
        <v xml:space="preserve">   -51.7 </v>
      </c>
      <c r="R1280" t="str">
        <f t="shared" si="337"/>
        <v xml:space="preserve">     0.0 </v>
      </c>
      <c r="S1280" t="str">
        <f t="shared" si="345"/>
        <v xml:space="preserve">     0.0 </v>
      </c>
      <c r="T1280" t="str">
        <f t="shared" si="346"/>
        <v xml:space="preserve">     3.7 </v>
      </c>
      <c r="U1280" t="str">
        <f t="shared" si="350"/>
        <v xml:space="preserve">         0.0 </v>
      </c>
      <c r="V1280" t="str">
        <f t="shared" si="338"/>
        <v xml:space="preserve">     0.0 </v>
      </c>
      <c r="W1280" t="str">
        <f t="shared" si="347"/>
        <v xml:space="preserve">     0.0 </v>
      </c>
      <c r="X1280" t="str">
        <f t="shared" si="351"/>
        <v xml:space="preserve">       </v>
      </c>
      <c r="Y1280" t="str">
        <f t="shared" si="351"/>
        <v xml:space="preserve">              </v>
      </c>
      <c r="Z1280" t="str">
        <f t="shared" si="351"/>
        <v xml:space="preserve">    </v>
      </c>
      <c r="AA1280" t="str">
        <f t="shared" si="339"/>
        <v xml:space="preserve">         </v>
      </c>
      <c r="AB1280" t="str">
        <f t="shared" si="348"/>
        <v xml:space="preserve">         </v>
      </c>
      <c r="AC1280" t="str">
        <f t="shared" si="349"/>
        <v xml:space="preserve">    </v>
      </c>
      <c r="AD1280" t="str">
        <f t="shared" si="350"/>
        <v/>
      </c>
      <c r="AE1280" t="str">
        <f t="shared" si="340"/>
        <v/>
      </c>
      <c r="AF1280" t="str">
        <f t="shared" si="352"/>
        <v/>
      </c>
      <c r="AG1280" t="str">
        <f t="shared" si="352"/>
        <v/>
      </c>
      <c r="AH1280" t="str">
        <f t="shared" si="341"/>
        <v/>
      </c>
      <c r="AI1280" t="str">
        <f t="shared" si="342"/>
        <v/>
      </c>
      <c r="AJ1280" t="str">
        <f t="shared" si="343"/>
        <v/>
      </c>
    </row>
    <row r="1281" spans="1:36" x14ac:dyDescent="0.25">
      <c r="A1281" t="s">
        <v>986</v>
      </c>
      <c r="P1281" t="str">
        <f t="shared" si="344"/>
        <v xml:space="preserve">                </v>
      </c>
      <c r="Q1281" t="str">
        <f t="shared" si="344"/>
        <v xml:space="preserve">         </v>
      </c>
      <c r="R1281" t="str">
        <f t="shared" si="337"/>
        <v xml:space="preserve">    75.0 </v>
      </c>
      <c r="S1281" t="str">
        <f t="shared" si="345"/>
        <v xml:space="preserve">    90.0 </v>
      </c>
      <c r="T1281" t="str">
        <f t="shared" si="346"/>
        <v xml:space="preserve">    90.0 </v>
      </c>
      <c r="U1281" t="str">
        <f t="shared" si="350"/>
        <v xml:space="preserve">        9.6% </v>
      </c>
      <c r="V1281" t="str">
        <f t="shared" si="338"/>
        <v xml:space="preserve">         </v>
      </c>
      <c r="W1281" t="str">
        <f t="shared" si="347"/>
        <v xml:space="preserve">         </v>
      </c>
      <c r="X1281" t="str">
        <f t="shared" si="351"/>
        <v xml:space="preserve"> 41270 </v>
      </c>
      <c r="Y1281" t="str">
        <f t="shared" si="351"/>
        <v xml:space="preserve"> GRA--3-RS000 </v>
      </c>
      <c r="Z1281" t="str">
        <f t="shared" si="351"/>
        <v xml:space="preserve">  3 </v>
      </c>
      <c r="AA1281" t="str">
        <f t="shared" si="339"/>
        <v xml:space="preserve">    -6.3 </v>
      </c>
      <c r="AB1281" t="str">
        <f t="shared" si="348"/>
        <v xml:space="preserve">     4.2 </v>
      </c>
      <c r="AC1281" t="str">
        <f t="shared" si="349"/>
        <v xml:space="preserve">     7.2 </v>
      </c>
      <c r="AD1281" t="str">
        <f t="shared" si="350"/>
        <v xml:space="preserve"> 1.000F </v>
      </c>
      <c r="AE1281" t="str">
        <f t="shared" si="340"/>
        <v xml:space="preserve">       </v>
      </c>
      <c r="AF1281" t="str">
        <f t="shared" si="352"/>
        <v xml:space="preserve"> 002 </v>
      </c>
      <c r="AG1281" t="str">
        <f t="shared" si="352"/>
        <v xml:space="preserve">     0.00 </v>
      </c>
      <c r="AH1281" t="str">
        <f t="shared" si="341"/>
        <v xml:space="preserve">    -0.00 </v>
      </c>
      <c r="AI1281" t="str">
        <f t="shared" si="342"/>
        <v xml:space="preserve">       </v>
      </c>
      <c r="AJ1281" t="str">
        <f t="shared" si="343"/>
        <v xml:space="preserve">      </v>
      </c>
    </row>
    <row r="1282" spans="1:36" x14ac:dyDescent="0.25">
      <c r="A1282" t="s">
        <v>14</v>
      </c>
      <c r="P1282" t="str">
        <f t="shared" si="344"/>
        <v xml:space="preserve">  ..............</v>
      </c>
      <c r="Q1282" t="str">
        <f t="shared" si="344"/>
        <v>.........</v>
      </c>
      <c r="R1282" t="str">
        <f t="shared" si="337"/>
        <v>.........</v>
      </c>
      <c r="S1282" t="str">
        <f t="shared" si="345"/>
        <v>.........</v>
      </c>
      <c r="T1282" t="str">
        <f t="shared" si="346"/>
        <v>.........</v>
      </c>
      <c r="U1282" t="str">
        <f t="shared" si="350"/>
        <v>.............</v>
      </c>
      <c r="V1282" t="str">
        <f t="shared" si="338"/>
        <v>.........</v>
      </c>
      <c r="W1282" t="str">
        <f t="shared" si="347"/>
        <v>.........</v>
      </c>
      <c r="X1282" t="str">
        <f t="shared" si="351"/>
        <v>.......</v>
      </c>
      <c r="Y1282" t="str">
        <f t="shared" si="351"/>
        <v>..............</v>
      </c>
      <c r="Z1282" t="str">
        <f t="shared" si="351"/>
        <v>....</v>
      </c>
      <c r="AA1282" t="str">
        <f t="shared" si="339"/>
        <v>.........</v>
      </c>
      <c r="AB1282" t="str">
        <f t="shared" si="348"/>
        <v>.........</v>
      </c>
      <c r="AC1282" t="str">
        <f t="shared" si="349"/>
        <v>.........</v>
      </c>
      <c r="AD1282" t="str">
        <f t="shared" si="350"/>
        <v>........</v>
      </c>
      <c r="AE1282" t="str">
        <f t="shared" si="340"/>
        <v>.......</v>
      </c>
      <c r="AF1282" t="str">
        <f t="shared" si="352"/>
        <v>.....</v>
      </c>
      <c r="AG1282" t="str">
        <f t="shared" si="352"/>
        <v>..........</v>
      </c>
      <c r="AH1282" t="str">
        <f t="shared" si="341"/>
        <v>..........</v>
      </c>
      <c r="AI1282" t="str">
        <f t="shared" si="342"/>
        <v>.......</v>
      </c>
      <c r="AJ1282" t="str">
        <f t="shared" si="343"/>
        <v>.......</v>
      </c>
    </row>
    <row r="1283" spans="1:36" x14ac:dyDescent="0.25">
      <c r="A1283" t="s">
        <v>987</v>
      </c>
      <c r="P1283" t="str">
        <f t="shared" si="344"/>
        <v xml:space="preserve">   9285   23  0 </v>
      </c>
      <c r="Q1283" t="str">
        <f t="shared" si="344"/>
        <v xml:space="preserve">   1.123 </v>
      </c>
      <c r="R1283" t="str">
        <f t="shared" si="337"/>
        <v xml:space="preserve">     6.6 </v>
      </c>
      <c r="S1283" t="str">
        <f t="shared" si="345"/>
        <v xml:space="preserve">     0.0 </v>
      </c>
      <c r="T1283" t="str">
        <f t="shared" si="346"/>
        <v xml:space="preserve">    25.0 </v>
      </c>
      <c r="U1283" t="str">
        <f t="shared" si="350"/>
        <v xml:space="preserve">         0.0 </v>
      </c>
      <c r="V1283" t="str">
        <f t="shared" si="338"/>
        <v xml:space="preserve">     0.0 </v>
      </c>
      <c r="W1283" t="str">
        <f t="shared" si="347"/>
        <v xml:space="preserve">     0.0</v>
      </c>
      <c r="X1283" t="str">
        <f t="shared" si="351"/>
        <v/>
      </c>
      <c r="Y1283" t="str">
        <f t="shared" si="351"/>
        <v/>
      </c>
      <c r="Z1283" t="str">
        <f t="shared" si="351"/>
        <v/>
      </c>
      <c r="AA1283" t="str">
        <f t="shared" si="339"/>
        <v/>
      </c>
      <c r="AB1283" t="str">
        <f t="shared" si="348"/>
        <v/>
      </c>
      <c r="AC1283" t="str">
        <f t="shared" si="349"/>
        <v/>
      </c>
      <c r="AD1283" t="str">
        <f t="shared" si="350"/>
        <v/>
      </c>
      <c r="AE1283" t="str">
        <f t="shared" si="340"/>
        <v/>
      </c>
      <c r="AF1283" t="str">
        <f t="shared" si="352"/>
        <v/>
      </c>
      <c r="AG1283" t="str">
        <f t="shared" si="352"/>
        <v/>
      </c>
      <c r="AH1283" t="str">
        <f t="shared" si="341"/>
        <v/>
      </c>
      <c r="AI1283" t="str">
        <f t="shared" si="342"/>
        <v/>
      </c>
      <c r="AJ1283" t="str">
        <f t="shared" si="343"/>
        <v/>
      </c>
    </row>
    <row r="1284" spans="1:36" x14ac:dyDescent="0.25">
      <c r="A1284" t="s">
        <v>988</v>
      </c>
      <c r="P1284" t="str">
        <f t="shared" si="344"/>
        <v xml:space="preserve">  SANGEL-RS023  </v>
      </c>
      <c r="Q1284" t="str">
        <f t="shared" si="344"/>
        <v xml:space="preserve">   -47.0 </v>
      </c>
      <c r="R1284" t="str">
        <f t="shared" si="337"/>
        <v xml:space="preserve">     0.0 </v>
      </c>
      <c r="S1284" t="str">
        <f t="shared" si="345"/>
        <v xml:space="preserve">     0.0 </v>
      </c>
      <c r="T1284" t="str">
        <f t="shared" si="346"/>
        <v xml:space="preserve">     9.2 </v>
      </c>
      <c r="U1284" t="str">
        <f t="shared" si="350"/>
        <v xml:space="preserve">         0.0 </v>
      </c>
      <c r="V1284" t="str">
        <f t="shared" si="338"/>
        <v xml:space="preserve">     0.0 </v>
      </c>
      <c r="W1284" t="str">
        <f t="shared" si="347"/>
        <v xml:space="preserve">     0.0 </v>
      </c>
      <c r="X1284" t="str">
        <f t="shared" si="351"/>
        <v xml:space="preserve">       </v>
      </c>
      <c r="Y1284" t="str">
        <f t="shared" si="351"/>
        <v xml:space="preserve">              </v>
      </c>
      <c r="Z1284" t="str">
        <f t="shared" si="351"/>
        <v xml:space="preserve">    </v>
      </c>
      <c r="AA1284" t="str">
        <f t="shared" si="339"/>
        <v xml:space="preserve">         </v>
      </c>
      <c r="AB1284" t="str">
        <f t="shared" si="348"/>
        <v xml:space="preserve">         </v>
      </c>
      <c r="AC1284" t="str">
        <f t="shared" si="349"/>
        <v xml:space="preserve">    </v>
      </c>
      <c r="AD1284" t="str">
        <f t="shared" si="350"/>
        <v/>
      </c>
      <c r="AE1284" t="str">
        <f t="shared" si="340"/>
        <v/>
      </c>
      <c r="AF1284" t="str">
        <f t="shared" si="352"/>
        <v/>
      </c>
      <c r="AG1284" t="str">
        <f t="shared" si="352"/>
        <v/>
      </c>
      <c r="AH1284" t="str">
        <f t="shared" si="341"/>
        <v/>
      </c>
      <c r="AI1284" t="str">
        <f t="shared" si="342"/>
        <v/>
      </c>
      <c r="AJ1284" t="str">
        <f t="shared" si="343"/>
        <v/>
      </c>
    </row>
    <row r="1285" spans="1:36" x14ac:dyDescent="0.25">
      <c r="A1285" t="s">
        <v>989</v>
      </c>
      <c r="P1285" t="str">
        <f t="shared" si="344"/>
        <v xml:space="preserve">                </v>
      </c>
      <c r="Q1285" t="str">
        <f t="shared" si="344"/>
        <v xml:space="preserve">         </v>
      </c>
      <c r="R1285" t="str">
        <f t="shared" si="337"/>
        <v xml:space="preserve">    25.0 </v>
      </c>
      <c r="S1285" t="str">
        <f t="shared" si="345"/>
        <v xml:space="preserve">    37.0 </v>
      </c>
      <c r="T1285" t="str">
        <f t="shared" si="346"/>
        <v xml:space="preserve">    37.0 </v>
      </c>
      <c r="U1285" t="str">
        <f t="shared" si="350"/>
        <v xml:space="preserve">       34.6% </v>
      </c>
      <c r="V1285" t="str">
        <f t="shared" si="338"/>
        <v xml:space="preserve">         </v>
      </c>
      <c r="W1285" t="str">
        <f t="shared" si="347"/>
        <v xml:space="preserve">         </v>
      </c>
      <c r="X1285" t="str">
        <f t="shared" si="351"/>
        <v xml:space="preserve">  1251 </v>
      </c>
      <c r="Y1285" t="str">
        <f t="shared" si="351"/>
        <v xml:space="preserve"> SANGEL-RS069 </v>
      </c>
      <c r="Z1285" t="str">
        <f t="shared" si="351"/>
        <v xml:space="preserve">  3 </v>
      </c>
      <c r="AA1285" t="str">
        <f t="shared" si="339"/>
        <v xml:space="preserve">    -8.4 </v>
      </c>
      <c r="AB1285" t="str">
        <f t="shared" si="348"/>
        <v xml:space="preserve">    -4.9 </v>
      </c>
      <c r="AC1285" t="str">
        <f t="shared" si="349"/>
        <v xml:space="preserve">     8.6 </v>
      </c>
      <c r="AD1285" t="str">
        <f t="shared" si="350"/>
        <v xml:space="preserve">        </v>
      </c>
      <c r="AE1285" t="str">
        <f t="shared" si="340"/>
        <v xml:space="preserve">       </v>
      </c>
      <c r="AF1285" t="str">
        <f t="shared" si="352"/>
        <v xml:space="preserve">     </v>
      </c>
      <c r="AG1285" t="str">
        <f t="shared" si="352"/>
        <v xml:space="preserve">     0.03 </v>
      </c>
      <c r="AH1285" t="str">
        <f t="shared" si="341"/>
        <v xml:space="preserve">     0.28 </v>
      </c>
      <c r="AI1285" t="str">
        <f t="shared" si="342"/>
        <v xml:space="preserve">       </v>
      </c>
      <c r="AJ1285" t="str">
        <f t="shared" si="343"/>
        <v xml:space="preserve">      </v>
      </c>
    </row>
    <row r="1286" spans="1:36" x14ac:dyDescent="0.25">
      <c r="A1286" t="s">
        <v>990</v>
      </c>
      <c r="P1286" t="str">
        <f t="shared" si="344"/>
        <v xml:space="preserve">                </v>
      </c>
      <c r="Q1286" t="str">
        <f t="shared" si="344"/>
        <v xml:space="preserve">         </v>
      </c>
      <c r="R1286" t="str">
        <f t="shared" si="337"/>
        <v xml:space="preserve">    25.0 </v>
      </c>
      <c r="S1286" t="str">
        <f t="shared" si="345"/>
        <v xml:space="preserve">    30.0 </v>
      </c>
      <c r="T1286" t="str">
        <f t="shared" si="346"/>
        <v xml:space="preserve">    30.0 </v>
      </c>
      <c r="U1286" t="str">
        <f t="shared" si="350"/>
        <v xml:space="preserve">       34.5% </v>
      </c>
      <c r="V1286" t="str">
        <f t="shared" si="338"/>
        <v xml:space="preserve">         </v>
      </c>
      <c r="W1286" t="str">
        <f t="shared" si="347"/>
        <v xml:space="preserve">         </v>
      </c>
      <c r="X1286" t="str">
        <f t="shared" si="351"/>
        <v xml:space="preserve">  1251 </v>
      </c>
      <c r="Y1286" t="str">
        <f t="shared" si="351"/>
        <v xml:space="preserve"> SANGEL-RS069 </v>
      </c>
      <c r="Z1286" t="str">
        <f t="shared" si="351"/>
        <v xml:space="preserve">  4 </v>
      </c>
      <c r="AA1286" t="str">
        <f t="shared" si="339"/>
        <v xml:space="preserve">    -8.0 </v>
      </c>
      <c r="AB1286" t="str">
        <f t="shared" si="348"/>
        <v xml:space="preserve">    -5.4 </v>
      </c>
      <c r="AC1286" t="str">
        <f t="shared" si="349"/>
        <v xml:space="preserve">     8.6 </v>
      </c>
      <c r="AD1286" t="str">
        <f t="shared" si="350"/>
        <v xml:space="preserve">        </v>
      </c>
      <c r="AE1286" t="str">
        <f t="shared" si="340"/>
        <v xml:space="preserve">       </v>
      </c>
      <c r="AF1286" t="str">
        <f t="shared" si="352"/>
        <v xml:space="preserve">     </v>
      </c>
      <c r="AG1286" t="str">
        <f t="shared" si="352"/>
        <v xml:space="preserve">     0.02 </v>
      </c>
      <c r="AH1286" t="str">
        <f t="shared" si="341"/>
        <v xml:space="preserve">     0.28 </v>
      </c>
      <c r="AI1286" t="str">
        <f t="shared" si="342"/>
        <v xml:space="preserve">       </v>
      </c>
      <c r="AJ1286" t="str">
        <f t="shared" si="343"/>
        <v xml:space="preserve">      </v>
      </c>
    </row>
    <row r="1287" spans="1:36" x14ac:dyDescent="0.25">
      <c r="A1287" t="s">
        <v>991</v>
      </c>
      <c r="P1287" t="str">
        <f t="shared" si="344"/>
        <v xml:space="preserve">                </v>
      </c>
      <c r="Q1287" t="str">
        <f t="shared" si="344"/>
        <v xml:space="preserve">         </v>
      </c>
      <c r="R1287" t="str">
        <f t="shared" si="337"/>
        <v xml:space="preserve">  9999.0 </v>
      </c>
      <c r="S1287" t="str">
        <f t="shared" si="345"/>
        <v xml:space="preserve">  9999.0 </v>
      </c>
      <c r="T1287" t="str">
        <f t="shared" si="346"/>
        <v xml:space="preserve">  9999.0 </v>
      </c>
      <c r="U1287" t="str">
        <f t="shared" si="350"/>
        <v xml:space="preserve">        0.0% </v>
      </c>
      <c r="V1287" t="str">
        <f t="shared" si="338"/>
        <v xml:space="preserve">         </v>
      </c>
      <c r="W1287" t="str">
        <f t="shared" si="347"/>
        <v xml:space="preserve">         </v>
      </c>
      <c r="X1287" t="str">
        <f t="shared" si="351"/>
        <v xml:space="preserve"> 10206 </v>
      </c>
      <c r="Y1287" t="str">
        <f t="shared" si="351"/>
        <v xml:space="preserve"> CERMIS-RS023 </v>
      </c>
      <c r="Z1287" t="str">
        <f t="shared" si="351"/>
        <v xml:space="preserve">  1 </v>
      </c>
      <c r="AA1287" t="str">
        <f t="shared" si="339"/>
        <v xml:space="preserve">    -2.0 </v>
      </c>
      <c r="AB1287" t="str">
        <f t="shared" si="348"/>
        <v xml:space="preserve">     1.1 </v>
      </c>
      <c r="AC1287" t="str">
        <f t="shared" si="349"/>
        <v xml:space="preserve">     2.0 </v>
      </c>
      <c r="AD1287" t="str">
        <f t="shared" si="350"/>
        <v xml:space="preserve">        </v>
      </c>
      <c r="AE1287" t="str">
        <f t="shared" si="340"/>
        <v xml:space="preserve">       </v>
      </c>
      <c r="AF1287" t="str">
        <f t="shared" si="352"/>
        <v xml:space="preserve">     </v>
      </c>
      <c r="AG1287" t="str">
        <f t="shared" si="352"/>
        <v xml:space="preserve">     0.00 </v>
      </c>
      <c r="AH1287" t="str">
        <f t="shared" si="341"/>
        <v xml:space="preserve">     0.00 </v>
      </c>
      <c r="AI1287" t="str">
        <f t="shared" si="342"/>
        <v xml:space="preserve">       </v>
      </c>
      <c r="AJ1287" t="str">
        <f t="shared" si="343"/>
        <v xml:space="preserve">      </v>
      </c>
    </row>
    <row r="1288" spans="1:36" x14ac:dyDescent="0.25">
      <c r="A1288" t="s">
        <v>14</v>
      </c>
      <c r="P1288" t="str">
        <f t="shared" si="344"/>
        <v xml:space="preserve">  ..............</v>
      </c>
      <c r="Q1288" t="str">
        <f t="shared" si="344"/>
        <v>.........</v>
      </c>
      <c r="R1288" t="str">
        <f t="shared" si="337"/>
        <v>.........</v>
      </c>
      <c r="S1288" t="str">
        <f t="shared" si="345"/>
        <v>.........</v>
      </c>
      <c r="T1288" t="str">
        <f t="shared" si="346"/>
        <v>.........</v>
      </c>
      <c r="U1288" t="str">
        <f t="shared" si="350"/>
        <v>.............</v>
      </c>
      <c r="V1288" t="str">
        <f t="shared" si="338"/>
        <v>.........</v>
      </c>
      <c r="W1288" t="str">
        <f t="shared" si="347"/>
        <v>.........</v>
      </c>
      <c r="X1288" t="str">
        <f t="shared" si="351"/>
        <v>.......</v>
      </c>
      <c r="Y1288" t="str">
        <f t="shared" si="351"/>
        <v>..............</v>
      </c>
      <c r="Z1288" t="str">
        <f t="shared" si="351"/>
        <v>....</v>
      </c>
      <c r="AA1288" t="str">
        <f t="shared" si="339"/>
        <v>.........</v>
      </c>
      <c r="AB1288" t="str">
        <f t="shared" si="348"/>
        <v>.........</v>
      </c>
      <c r="AC1288" t="str">
        <f t="shared" si="349"/>
        <v>.........</v>
      </c>
      <c r="AD1288" t="str">
        <f t="shared" si="350"/>
        <v>........</v>
      </c>
      <c r="AE1288" t="str">
        <f t="shared" si="340"/>
        <v>.......</v>
      </c>
      <c r="AF1288" t="str">
        <f t="shared" si="352"/>
        <v>.....</v>
      </c>
      <c r="AG1288" t="str">
        <f t="shared" si="352"/>
        <v>..........</v>
      </c>
      <c r="AH1288" t="str">
        <f t="shared" si="341"/>
        <v>..........</v>
      </c>
      <c r="AI1288" t="str">
        <f t="shared" si="342"/>
        <v>.......</v>
      </c>
      <c r="AJ1288" t="str">
        <f t="shared" si="343"/>
        <v>.......</v>
      </c>
    </row>
    <row r="1289" spans="1:36" x14ac:dyDescent="0.25">
      <c r="A1289" t="s">
        <v>992</v>
      </c>
      <c r="P1289" t="str">
        <f t="shared" si="344"/>
        <v xml:space="preserve">   9290   69  0 </v>
      </c>
      <c r="Q1289" t="str">
        <f t="shared" si="344"/>
        <v xml:space="preserve">   1.014 </v>
      </c>
      <c r="R1289" t="str">
        <f t="shared" si="337"/>
        <v xml:space="preserve">     0.0 </v>
      </c>
      <c r="S1289" t="str">
        <f t="shared" si="345"/>
        <v xml:space="preserve">     0.0 </v>
      </c>
      <c r="T1289" t="str">
        <f t="shared" si="346"/>
        <v xml:space="preserve">    13.0 </v>
      </c>
      <c r="U1289" t="str">
        <f t="shared" si="350"/>
        <v xml:space="preserve">         0.0 </v>
      </c>
      <c r="V1289" t="str">
        <f t="shared" si="338"/>
        <v xml:space="preserve">     0.0 </v>
      </c>
      <c r="W1289" t="str">
        <f t="shared" si="347"/>
        <v xml:space="preserve">     0.0</v>
      </c>
      <c r="X1289" t="str">
        <f t="shared" si="351"/>
        <v/>
      </c>
      <c r="Y1289" t="str">
        <f t="shared" si="351"/>
        <v/>
      </c>
      <c r="Z1289" t="str">
        <f t="shared" si="351"/>
        <v/>
      </c>
      <c r="AA1289" t="str">
        <f t="shared" si="339"/>
        <v/>
      </c>
      <c r="AB1289" t="str">
        <f t="shared" si="348"/>
        <v/>
      </c>
      <c r="AC1289" t="str">
        <f t="shared" si="349"/>
        <v/>
      </c>
      <c r="AD1289" t="str">
        <f t="shared" si="350"/>
        <v/>
      </c>
      <c r="AE1289" t="str">
        <f t="shared" si="340"/>
        <v/>
      </c>
      <c r="AF1289" t="str">
        <f t="shared" si="352"/>
        <v/>
      </c>
      <c r="AG1289" t="str">
        <f t="shared" si="352"/>
        <v/>
      </c>
      <c r="AH1289" t="str">
        <f t="shared" si="341"/>
        <v/>
      </c>
      <c r="AI1289" t="str">
        <f t="shared" si="342"/>
        <v/>
      </c>
      <c r="AJ1289" t="str">
        <f t="shared" si="343"/>
        <v/>
      </c>
    </row>
    <row r="1290" spans="1:36" x14ac:dyDescent="0.25">
      <c r="A1290" t="s">
        <v>993</v>
      </c>
      <c r="P1290" t="str">
        <f t="shared" si="344"/>
        <v xml:space="preserve">  PUCPAL-RS069  </v>
      </c>
      <c r="Q1290" t="str">
        <f t="shared" si="344"/>
        <v xml:space="preserve">   -55.0 </v>
      </c>
      <c r="R1290" t="str">
        <f t="shared" si="337"/>
        <v xml:space="preserve">     0.0 </v>
      </c>
      <c r="S1290" t="str">
        <f t="shared" si="345"/>
        <v xml:space="preserve">     0.0 </v>
      </c>
      <c r="T1290" t="str">
        <f t="shared" si="346"/>
        <v xml:space="preserve">     5.5 </v>
      </c>
      <c r="U1290" t="str">
        <f t="shared" si="350"/>
        <v xml:space="preserve">         0.0 </v>
      </c>
      <c r="V1290" t="str">
        <f t="shared" si="338"/>
        <v xml:space="preserve">     0.0 </v>
      </c>
      <c r="W1290" t="str">
        <f t="shared" si="347"/>
        <v xml:space="preserve">     0.0 </v>
      </c>
      <c r="X1290" t="str">
        <f t="shared" si="351"/>
        <v xml:space="preserve">       </v>
      </c>
      <c r="Y1290" t="str">
        <f t="shared" si="351"/>
        <v xml:space="preserve">              </v>
      </c>
      <c r="Z1290" t="str">
        <f t="shared" si="351"/>
        <v xml:space="preserve">    </v>
      </c>
      <c r="AA1290" t="str">
        <f t="shared" si="339"/>
        <v xml:space="preserve">         </v>
      </c>
      <c r="AB1290" t="str">
        <f t="shared" si="348"/>
        <v xml:space="preserve">         </v>
      </c>
      <c r="AC1290" t="str">
        <f t="shared" si="349"/>
        <v xml:space="preserve">    </v>
      </c>
      <c r="AD1290" t="str">
        <f t="shared" si="350"/>
        <v/>
      </c>
      <c r="AE1290" t="str">
        <f t="shared" si="340"/>
        <v/>
      </c>
      <c r="AF1290" t="str">
        <f t="shared" si="352"/>
        <v/>
      </c>
      <c r="AG1290" t="str">
        <f t="shared" si="352"/>
        <v/>
      </c>
      <c r="AH1290" t="str">
        <f t="shared" si="341"/>
        <v/>
      </c>
      <c r="AI1290" t="str">
        <f t="shared" si="342"/>
        <v/>
      </c>
      <c r="AJ1290" t="str">
        <f t="shared" si="343"/>
        <v/>
      </c>
    </row>
    <row r="1291" spans="1:36" x14ac:dyDescent="0.25">
      <c r="A1291" t="s">
        <v>994</v>
      </c>
      <c r="P1291" t="str">
        <f t="shared" si="344"/>
        <v xml:space="preserve">                </v>
      </c>
      <c r="Q1291" t="str">
        <f t="shared" si="344"/>
        <v xml:space="preserve">         </v>
      </c>
      <c r="R1291" t="str">
        <f t="shared" si="337"/>
        <v xml:space="preserve">    54.0 </v>
      </c>
      <c r="S1291" t="str">
        <f t="shared" si="345"/>
        <v xml:space="preserve">    79.0 </v>
      </c>
      <c r="T1291" t="str">
        <f t="shared" si="346"/>
        <v xml:space="preserve">    79.0 </v>
      </c>
      <c r="U1291" t="str">
        <f t="shared" si="350"/>
        <v xml:space="preserve">       33.7% </v>
      </c>
      <c r="V1291" t="str">
        <f t="shared" si="338"/>
        <v xml:space="preserve">         </v>
      </c>
      <c r="W1291" t="str">
        <f t="shared" si="347"/>
        <v xml:space="preserve">         </v>
      </c>
      <c r="X1291" t="str">
        <f t="shared" si="351"/>
        <v xml:space="preserve">  1262 </v>
      </c>
      <c r="Y1291" t="str">
        <f t="shared" si="351"/>
        <v xml:space="preserve"> PALGR6-RS069 </v>
      </c>
      <c r="Z1291" t="str">
        <f t="shared" si="351"/>
        <v xml:space="preserve">  1 </v>
      </c>
      <c r="AA1291" t="str">
        <f t="shared" si="339"/>
        <v xml:space="preserve">   -18.4 </v>
      </c>
      <c r="AB1291" t="str">
        <f t="shared" si="348"/>
        <v xml:space="preserve">    -0.6 </v>
      </c>
      <c r="AC1291" t="str">
        <f t="shared" si="349"/>
        <v xml:space="preserve">    18.2 </v>
      </c>
      <c r="AD1291" t="str">
        <f t="shared" si="350"/>
        <v xml:space="preserve">        </v>
      </c>
      <c r="AE1291" t="str">
        <f t="shared" si="340"/>
        <v xml:space="preserve">       </v>
      </c>
      <c r="AF1291" t="str">
        <f t="shared" si="352"/>
        <v xml:space="preserve">     </v>
      </c>
      <c r="AG1291" t="str">
        <f t="shared" si="352"/>
        <v xml:space="preserve">     0.04 </v>
      </c>
      <c r="AH1291" t="str">
        <f t="shared" si="341"/>
        <v xml:space="preserve">    -0.06 </v>
      </c>
      <c r="AI1291" t="str">
        <f t="shared" si="342"/>
        <v xml:space="preserve">       </v>
      </c>
      <c r="AJ1291" t="str">
        <f t="shared" si="343"/>
        <v xml:space="preserve">      </v>
      </c>
    </row>
    <row r="1292" spans="1:36" x14ac:dyDescent="0.25">
      <c r="A1292" t="s">
        <v>995</v>
      </c>
      <c r="P1292" t="str">
        <f t="shared" si="344"/>
        <v xml:space="preserve">                </v>
      </c>
      <c r="Q1292" t="str">
        <f t="shared" si="344"/>
        <v xml:space="preserve">         </v>
      </c>
      <c r="R1292" t="str">
        <f t="shared" ref="R1292:R1355" si="353">MID($A1292,Q$8+Q$9-1,R$9)</f>
        <v xml:space="preserve">    54.0 </v>
      </c>
      <c r="S1292" t="str">
        <f t="shared" si="345"/>
        <v xml:space="preserve">    79.0 </v>
      </c>
      <c r="T1292" t="str">
        <f t="shared" si="346"/>
        <v xml:space="preserve">    79.0 </v>
      </c>
      <c r="U1292" t="str">
        <f t="shared" si="350"/>
        <v xml:space="preserve">       13.4% </v>
      </c>
      <c r="V1292" t="str">
        <f t="shared" ref="V1292:V1355" si="354">MID($A1292,U$8+U$9-1,V$9)</f>
        <v xml:space="preserve">         </v>
      </c>
      <c r="W1292" t="str">
        <f t="shared" si="347"/>
        <v xml:space="preserve">         </v>
      </c>
      <c r="X1292" t="str">
        <f t="shared" si="351"/>
        <v xml:space="preserve">  1269 </v>
      </c>
      <c r="Y1292" t="str">
        <f t="shared" si="351"/>
        <v xml:space="preserve"> PALG10-RS069 </v>
      </c>
      <c r="Z1292" t="str">
        <f t="shared" si="351"/>
        <v xml:space="preserve">  1 </v>
      </c>
      <c r="AA1292" t="str">
        <f t="shared" ref="AA1292:AA1355" si="355">MID($A1292,Z$8+Z$9-1,AA$9)</f>
        <v xml:space="preserve">     5.4 </v>
      </c>
      <c r="AB1292" t="str">
        <f t="shared" si="348"/>
        <v xml:space="preserve">    -4.9 </v>
      </c>
      <c r="AC1292" t="str">
        <f t="shared" si="349"/>
        <v xml:space="preserve">     7.2 </v>
      </c>
      <c r="AD1292" t="str">
        <f t="shared" si="350"/>
        <v xml:space="preserve">        </v>
      </c>
      <c r="AE1292" t="str">
        <f t="shared" ref="AE1292:AE1355" si="356">MID($A1292,AD$8+AD$9-1,AE$9)</f>
        <v xml:space="preserve">       </v>
      </c>
      <c r="AF1292" t="str">
        <f t="shared" si="352"/>
        <v xml:space="preserve">     </v>
      </c>
      <c r="AG1292" t="str">
        <f t="shared" si="352"/>
        <v xml:space="preserve">     0.00 </v>
      </c>
      <c r="AH1292" t="str">
        <f t="shared" ref="AH1292:AH1355" si="357">MID($A1292,AG$8+AG$9-1,AH$9)</f>
        <v xml:space="preserve">    -0.14 </v>
      </c>
      <c r="AI1292" t="str">
        <f t="shared" si="342"/>
        <v xml:space="preserve">       </v>
      </c>
      <c r="AJ1292" t="str">
        <f t="shared" si="343"/>
        <v xml:space="preserve">      </v>
      </c>
    </row>
    <row r="1293" spans="1:36" x14ac:dyDescent="0.25">
      <c r="A1293" t="s">
        <v>14</v>
      </c>
      <c r="P1293" t="str">
        <f t="shared" si="344"/>
        <v xml:space="preserve">  ..............</v>
      </c>
      <c r="Q1293" t="str">
        <f t="shared" si="344"/>
        <v>.........</v>
      </c>
      <c r="R1293" t="str">
        <f t="shared" si="353"/>
        <v>.........</v>
      </c>
      <c r="S1293" t="str">
        <f t="shared" si="345"/>
        <v>.........</v>
      </c>
      <c r="T1293" t="str">
        <f t="shared" si="346"/>
        <v>.........</v>
      </c>
      <c r="U1293" t="str">
        <f t="shared" si="350"/>
        <v>.............</v>
      </c>
      <c r="V1293" t="str">
        <f t="shared" si="354"/>
        <v>.........</v>
      </c>
      <c r="W1293" t="str">
        <f t="shared" si="347"/>
        <v>.........</v>
      </c>
      <c r="X1293" t="str">
        <f t="shared" si="351"/>
        <v>.......</v>
      </c>
      <c r="Y1293" t="str">
        <f t="shared" si="351"/>
        <v>..............</v>
      </c>
      <c r="Z1293" t="str">
        <f t="shared" si="351"/>
        <v>....</v>
      </c>
      <c r="AA1293" t="str">
        <f t="shared" si="355"/>
        <v>.........</v>
      </c>
      <c r="AB1293" t="str">
        <f t="shared" si="348"/>
        <v>.........</v>
      </c>
      <c r="AC1293" t="str">
        <f t="shared" si="349"/>
        <v>.........</v>
      </c>
      <c r="AD1293" t="str">
        <f t="shared" si="350"/>
        <v>........</v>
      </c>
      <c r="AE1293" t="str">
        <f t="shared" si="356"/>
        <v>.......</v>
      </c>
      <c r="AF1293" t="str">
        <f t="shared" si="352"/>
        <v>.....</v>
      </c>
      <c r="AG1293" t="str">
        <f t="shared" si="352"/>
        <v>..........</v>
      </c>
      <c r="AH1293" t="str">
        <f t="shared" si="357"/>
        <v>..........</v>
      </c>
      <c r="AI1293" t="str">
        <f t="shared" si="342"/>
        <v>.......</v>
      </c>
      <c r="AJ1293" t="str">
        <f t="shared" si="343"/>
        <v>.......</v>
      </c>
    </row>
    <row r="1294" spans="1:36" x14ac:dyDescent="0.25">
      <c r="A1294" t="s">
        <v>996</v>
      </c>
      <c r="P1294" t="str">
        <f t="shared" si="344"/>
        <v xml:space="preserve">   9292   69  0 </v>
      </c>
      <c r="Q1294" t="str">
        <f t="shared" si="344"/>
        <v xml:space="preserve">   0.987 </v>
      </c>
      <c r="R1294" t="str">
        <f t="shared" si="353"/>
        <v xml:space="preserve">    19.0 </v>
      </c>
      <c r="S1294" t="str">
        <f t="shared" si="345"/>
        <v xml:space="preserve">     0.0 </v>
      </c>
      <c r="T1294" t="str">
        <f t="shared" si="346"/>
        <v xml:space="preserve">    21.4 </v>
      </c>
      <c r="U1294" t="str">
        <f t="shared" si="350"/>
        <v xml:space="preserve">         0.0 </v>
      </c>
      <c r="V1294" t="str">
        <f t="shared" si="354"/>
        <v xml:space="preserve">     0.0 </v>
      </c>
      <c r="W1294" t="str">
        <f t="shared" si="347"/>
        <v xml:space="preserve">     0.0</v>
      </c>
      <c r="X1294" t="str">
        <f t="shared" si="351"/>
        <v/>
      </c>
      <c r="Y1294" t="str">
        <f t="shared" si="351"/>
        <v/>
      </c>
      <c r="Z1294" t="str">
        <f t="shared" si="351"/>
        <v/>
      </c>
      <c r="AA1294" t="str">
        <f t="shared" si="355"/>
        <v/>
      </c>
      <c r="AB1294" t="str">
        <f t="shared" si="348"/>
        <v/>
      </c>
      <c r="AC1294" t="str">
        <f t="shared" si="349"/>
        <v/>
      </c>
      <c r="AD1294" t="str">
        <f t="shared" si="350"/>
        <v/>
      </c>
      <c r="AE1294" t="str">
        <f t="shared" si="356"/>
        <v/>
      </c>
      <c r="AF1294" t="str">
        <f t="shared" si="352"/>
        <v/>
      </c>
      <c r="AG1294" t="str">
        <f t="shared" si="352"/>
        <v/>
      </c>
      <c r="AH1294" t="str">
        <f t="shared" si="357"/>
        <v/>
      </c>
      <c r="AI1294" t="str">
        <f t="shared" si="342"/>
        <v/>
      </c>
      <c r="AJ1294" t="str">
        <f t="shared" si="343"/>
        <v/>
      </c>
    </row>
    <row r="1295" spans="1:36" x14ac:dyDescent="0.25">
      <c r="A1295" t="s">
        <v>997</v>
      </c>
      <c r="P1295" t="str">
        <f t="shared" si="344"/>
        <v xml:space="preserve">  SMARCO-RS069  </v>
      </c>
      <c r="Q1295" t="str">
        <f t="shared" si="344"/>
        <v xml:space="preserve">   -52.3 </v>
      </c>
      <c r="R1295" t="str">
        <f t="shared" si="353"/>
        <v xml:space="preserve">     0.0 </v>
      </c>
      <c r="S1295" t="str">
        <f t="shared" si="345"/>
        <v xml:space="preserve">     0.0 </v>
      </c>
      <c r="T1295" t="str">
        <f t="shared" si="346"/>
        <v xml:space="preserve">    12.0 </v>
      </c>
      <c r="U1295" t="str">
        <f t="shared" si="350"/>
        <v xml:space="preserve">         0.0 </v>
      </c>
      <c r="V1295" t="str">
        <f t="shared" si="354"/>
        <v xml:space="preserve">     0.0 </v>
      </c>
      <c r="W1295" t="str">
        <f t="shared" si="347"/>
        <v xml:space="preserve">     0.0 </v>
      </c>
      <c r="X1295" t="str">
        <f t="shared" si="351"/>
        <v xml:space="preserve">       </v>
      </c>
      <c r="Y1295" t="str">
        <f t="shared" si="351"/>
        <v xml:space="preserve">              </v>
      </c>
      <c r="Z1295" t="str">
        <f t="shared" si="351"/>
        <v xml:space="preserve">    </v>
      </c>
      <c r="AA1295" t="str">
        <f t="shared" si="355"/>
        <v xml:space="preserve">         </v>
      </c>
      <c r="AB1295" t="str">
        <f t="shared" si="348"/>
        <v xml:space="preserve">         </v>
      </c>
      <c r="AC1295" t="str">
        <f t="shared" si="349"/>
        <v xml:space="preserve">    </v>
      </c>
      <c r="AD1295" t="str">
        <f t="shared" si="350"/>
        <v/>
      </c>
      <c r="AE1295" t="str">
        <f t="shared" si="356"/>
        <v/>
      </c>
      <c r="AF1295" t="str">
        <f t="shared" si="352"/>
        <v/>
      </c>
      <c r="AG1295" t="str">
        <f t="shared" si="352"/>
        <v/>
      </c>
      <c r="AH1295" t="str">
        <f t="shared" si="357"/>
        <v/>
      </c>
      <c r="AI1295" t="str">
        <f t="shared" si="342"/>
        <v/>
      </c>
      <c r="AJ1295" t="str">
        <f t="shared" si="343"/>
        <v/>
      </c>
    </row>
    <row r="1296" spans="1:36" x14ac:dyDescent="0.25">
      <c r="A1296" t="s">
        <v>998</v>
      </c>
      <c r="P1296" t="str">
        <f t="shared" si="344"/>
        <v xml:space="preserve">                </v>
      </c>
      <c r="Q1296" t="str">
        <f t="shared" si="344"/>
        <v xml:space="preserve">         </v>
      </c>
      <c r="R1296" t="str">
        <f t="shared" si="353"/>
        <v xml:space="preserve">    52.0 </v>
      </c>
      <c r="S1296" t="str">
        <f t="shared" si="345"/>
        <v xml:space="preserve">    66.0 </v>
      </c>
      <c r="T1296" t="str">
        <f t="shared" si="346"/>
        <v xml:space="preserve">    66.0 </v>
      </c>
      <c r="U1296" t="str">
        <f t="shared" si="350"/>
        <v xml:space="preserve">       23.9% </v>
      </c>
      <c r="V1296" t="str">
        <f t="shared" si="354"/>
        <v xml:space="preserve">         </v>
      </c>
      <c r="W1296" t="str">
        <f t="shared" si="347"/>
        <v xml:space="preserve">         </v>
      </c>
      <c r="X1296" t="str">
        <f t="shared" si="351"/>
        <v xml:space="preserve">  9293 </v>
      </c>
      <c r="Y1296" t="str">
        <f t="shared" si="351"/>
        <v xml:space="preserve"> POTOMETAP069 </v>
      </c>
      <c r="Z1296" t="str">
        <f t="shared" si="351"/>
        <v xml:space="preserve">  1 </v>
      </c>
      <c r="AA1296" t="str">
        <f t="shared" si="355"/>
        <v xml:space="preserve">    -2.4 </v>
      </c>
      <c r="AB1296" t="str">
        <f t="shared" si="348"/>
        <v xml:space="preserve">   -12.0 </v>
      </c>
      <c r="AC1296" t="str">
        <f t="shared" si="349"/>
        <v xml:space="preserve">    12.4 </v>
      </c>
      <c r="AD1296" t="str">
        <f t="shared" si="350"/>
        <v xml:space="preserve">        </v>
      </c>
      <c r="AE1296" t="str">
        <f t="shared" si="356"/>
        <v xml:space="preserve">       </v>
      </c>
      <c r="AF1296" t="str">
        <f t="shared" si="352"/>
        <v xml:space="preserve">     </v>
      </c>
      <c r="AG1296" t="str">
        <f t="shared" si="352"/>
        <v xml:space="preserve">     0.10 </v>
      </c>
      <c r="AH1296" t="str">
        <f t="shared" si="357"/>
        <v xml:space="preserve">    -0.07 </v>
      </c>
      <c r="AI1296" t="str">
        <f t="shared" si="342"/>
        <v xml:space="preserve">       </v>
      </c>
      <c r="AJ1296" t="str">
        <f t="shared" si="343"/>
        <v xml:space="preserve">      </v>
      </c>
    </row>
    <row r="1297" spans="1:36" x14ac:dyDescent="0.25">
      <c r="A1297" t="s">
        <v>14</v>
      </c>
      <c r="P1297" t="str">
        <f t="shared" si="344"/>
        <v xml:space="preserve">  ..............</v>
      </c>
      <c r="Q1297" t="str">
        <f t="shared" si="344"/>
        <v>.........</v>
      </c>
      <c r="R1297" t="str">
        <f t="shared" si="353"/>
        <v>.........</v>
      </c>
      <c r="S1297" t="str">
        <f t="shared" si="345"/>
        <v>.........</v>
      </c>
      <c r="T1297" t="str">
        <f t="shared" si="346"/>
        <v>.........</v>
      </c>
      <c r="U1297" t="str">
        <f t="shared" si="350"/>
        <v>.............</v>
      </c>
      <c r="V1297" t="str">
        <f t="shared" si="354"/>
        <v>.........</v>
      </c>
      <c r="W1297" t="str">
        <f t="shared" si="347"/>
        <v>.........</v>
      </c>
      <c r="X1297" t="str">
        <f t="shared" si="351"/>
        <v>.......</v>
      </c>
      <c r="Y1297" t="str">
        <f t="shared" si="351"/>
        <v>..............</v>
      </c>
      <c r="Z1297" t="str">
        <f t="shared" si="351"/>
        <v>....</v>
      </c>
      <c r="AA1297" t="str">
        <f t="shared" si="355"/>
        <v>.........</v>
      </c>
      <c r="AB1297" t="str">
        <f t="shared" si="348"/>
        <v>.........</v>
      </c>
      <c r="AC1297" t="str">
        <f t="shared" si="349"/>
        <v>.........</v>
      </c>
      <c r="AD1297" t="str">
        <f t="shared" si="350"/>
        <v>........</v>
      </c>
      <c r="AE1297" t="str">
        <f t="shared" si="356"/>
        <v>.......</v>
      </c>
      <c r="AF1297" t="str">
        <f t="shared" si="352"/>
        <v>.....</v>
      </c>
      <c r="AG1297" t="str">
        <f t="shared" si="352"/>
        <v>..........</v>
      </c>
      <c r="AH1297" t="str">
        <f t="shared" si="357"/>
        <v>..........</v>
      </c>
      <c r="AI1297" t="str">
        <f t="shared" si="342"/>
        <v>.......</v>
      </c>
      <c r="AJ1297" t="str">
        <f t="shared" si="343"/>
        <v>.......</v>
      </c>
    </row>
    <row r="1298" spans="1:36" x14ac:dyDescent="0.25">
      <c r="A1298" t="s">
        <v>999</v>
      </c>
      <c r="P1298" t="str">
        <f t="shared" si="344"/>
        <v xml:space="preserve">   9293   69  0 </v>
      </c>
      <c r="Q1298" t="str">
        <f t="shared" si="344"/>
        <v xml:space="preserve">   1.006 </v>
      </c>
      <c r="R1298" t="str">
        <f t="shared" si="353"/>
        <v xml:space="preserve">     0.0 </v>
      </c>
      <c r="S1298" t="str">
        <f t="shared" si="345"/>
        <v xml:space="preserve">     0.0 </v>
      </c>
      <c r="T1298" t="str">
        <f t="shared" si="346"/>
        <v xml:space="preserve">     0.0 </v>
      </c>
      <c r="U1298" t="str">
        <f t="shared" si="350"/>
        <v xml:space="preserve">         0.0 </v>
      </c>
      <c r="V1298" t="str">
        <f t="shared" si="354"/>
        <v xml:space="preserve">     0.0 </v>
      </c>
      <c r="W1298" t="str">
        <f t="shared" si="347"/>
        <v xml:space="preserve">     0.0</v>
      </c>
      <c r="X1298" t="str">
        <f t="shared" si="351"/>
        <v/>
      </c>
      <c r="Y1298" t="str">
        <f t="shared" si="351"/>
        <v/>
      </c>
      <c r="Z1298" t="str">
        <f t="shared" si="351"/>
        <v/>
      </c>
      <c r="AA1298" t="str">
        <f t="shared" si="355"/>
        <v/>
      </c>
      <c r="AB1298" t="str">
        <f t="shared" si="348"/>
        <v/>
      </c>
      <c r="AC1298" t="str">
        <f t="shared" si="349"/>
        <v/>
      </c>
      <c r="AD1298" t="str">
        <f t="shared" si="350"/>
        <v/>
      </c>
      <c r="AE1298" t="str">
        <f t="shared" si="356"/>
        <v/>
      </c>
      <c r="AF1298" t="str">
        <f t="shared" si="352"/>
        <v/>
      </c>
      <c r="AG1298" t="str">
        <f t="shared" si="352"/>
        <v/>
      </c>
      <c r="AH1298" t="str">
        <f t="shared" si="357"/>
        <v/>
      </c>
      <c r="AI1298" t="str">
        <f t="shared" si="342"/>
        <v/>
      </c>
      <c r="AJ1298" t="str">
        <f t="shared" si="343"/>
        <v/>
      </c>
    </row>
    <row r="1299" spans="1:36" x14ac:dyDescent="0.25">
      <c r="A1299" t="s">
        <v>1000</v>
      </c>
      <c r="P1299" t="str">
        <f t="shared" si="344"/>
        <v xml:space="preserve">  POTOMETAP069  </v>
      </c>
      <c r="Q1299" t="str">
        <f t="shared" si="344"/>
        <v xml:space="preserve">   -52.6 </v>
      </c>
      <c r="R1299" t="str">
        <f t="shared" si="353"/>
        <v xml:space="preserve">     0.0 </v>
      </c>
      <c r="S1299" t="str">
        <f t="shared" si="345"/>
        <v xml:space="preserve">     0.0 </v>
      </c>
      <c r="T1299" t="str">
        <f t="shared" si="346"/>
        <v xml:space="preserve">     0.0 </v>
      </c>
      <c r="U1299" t="str">
        <f t="shared" si="350"/>
        <v xml:space="preserve">         0.0 </v>
      </c>
      <c r="V1299" t="str">
        <f t="shared" si="354"/>
        <v xml:space="preserve">     0.0 </v>
      </c>
      <c r="W1299" t="str">
        <f t="shared" si="347"/>
        <v xml:space="preserve">     0.0 </v>
      </c>
      <c r="X1299" t="str">
        <f t="shared" si="351"/>
        <v xml:space="preserve">       </v>
      </c>
      <c r="Y1299" t="str">
        <f t="shared" si="351"/>
        <v xml:space="preserve">              </v>
      </c>
      <c r="Z1299" t="str">
        <f t="shared" si="351"/>
        <v xml:space="preserve">    </v>
      </c>
      <c r="AA1299" t="str">
        <f t="shared" si="355"/>
        <v xml:space="preserve">         </v>
      </c>
      <c r="AB1299" t="str">
        <f t="shared" si="348"/>
        <v xml:space="preserve">         </v>
      </c>
      <c r="AC1299" t="str">
        <f t="shared" si="349"/>
        <v xml:space="preserve">    </v>
      </c>
      <c r="AD1299" t="str">
        <f t="shared" si="350"/>
        <v/>
      </c>
      <c r="AE1299" t="str">
        <f t="shared" si="356"/>
        <v/>
      </c>
      <c r="AF1299" t="str">
        <f t="shared" si="352"/>
        <v/>
      </c>
      <c r="AG1299" t="str">
        <f t="shared" si="352"/>
        <v/>
      </c>
      <c r="AH1299" t="str">
        <f t="shared" si="357"/>
        <v/>
      </c>
      <c r="AI1299" t="str">
        <f t="shared" si="342"/>
        <v/>
      </c>
      <c r="AJ1299" t="str">
        <f t="shared" si="343"/>
        <v/>
      </c>
    </row>
    <row r="1300" spans="1:36" x14ac:dyDescent="0.25">
      <c r="A1300" t="s">
        <v>1001</v>
      </c>
      <c r="P1300" t="str">
        <f t="shared" si="344"/>
        <v xml:space="preserve">                </v>
      </c>
      <c r="Q1300" t="str">
        <f t="shared" si="344"/>
        <v xml:space="preserve">         </v>
      </c>
      <c r="R1300" t="str">
        <f t="shared" si="353"/>
        <v xml:space="preserve">    54.0 </v>
      </c>
      <c r="S1300" t="str">
        <f t="shared" si="345"/>
        <v xml:space="preserve">    79.0 </v>
      </c>
      <c r="T1300" t="str">
        <f t="shared" si="346"/>
        <v xml:space="preserve">    79.0 </v>
      </c>
      <c r="U1300" t="str">
        <f t="shared" si="350"/>
        <v xml:space="preserve">       43.3% </v>
      </c>
      <c r="V1300" t="str">
        <f t="shared" si="354"/>
        <v xml:space="preserve">         </v>
      </c>
      <c r="W1300" t="str">
        <f t="shared" si="347"/>
        <v xml:space="preserve">         </v>
      </c>
      <c r="X1300" t="str">
        <f t="shared" si="351"/>
        <v xml:space="preserve">  1389 </v>
      </c>
      <c r="Y1300" t="str">
        <f t="shared" si="351"/>
        <v xml:space="preserve"> CAXIA4-RS069 </v>
      </c>
      <c r="Z1300" t="str">
        <f t="shared" si="351"/>
        <v xml:space="preserve">  1 </v>
      </c>
      <c r="AA1300" t="str">
        <f t="shared" si="355"/>
        <v xml:space="preserve">   -15.7 </v>
      </c>
      <c r="AB1300" t="str">
        <f t="shared" si="348"/>
        <v xml:space="preserve">   -17.5 </v>
      </c>
      <c r="AC1300" t="str">
        <f t="shared" si="349"/>
        <v xml:space="preserve">    23.4 </v>
      </c>
      <c r="AD1300" t="str">
        <f t="shared" si="350"/>
        <v xml:space="preserve">        </v>
      </c>
      <c r="AE1300" t="str">
        <f t="shared" si="356"/>
        <v xml:space="preserve">       </v>
      </c>
      <c r="AF1300" t="str">
        <f t="shared" si="352"/>
        <v xml:space="preserve">     </v>
      </c>
      <c r="AG1300" t="str">
        <f t="shared" si="352"/>
        <v xml:space="preserve">     0.02 </v>
      </c>
      <c r="AH1300" t="str">
        <f t="shared" si="357"/>
        <v xml:space="preserve">     0.06 </v>
      </c>
      <c r="AI1300" t="str">
        <f t="shared" si="342"/>
        <v xml:space="preserve">       </v>
      </c>
      <c r="AJ1300" t="str">
        <f t="shared" si="343"/>
        <v xml:space="preserve">      </v>
      </c>
    </row>
    <row r="1301" spans="1:36" x14ac:dyDescent="0.25">
      <c r="A1301" t="s">
        <v>1002</v>
      </c>
      <c r="P1301" t="str">
        <f t="shared" si="344"/>
        <v xml:space="preserve">                </v>
      </c>
      <c r="Q1301" t="str">
        <f t="shared" si="344"/>
        <v xml:space="preserve">         </v>
      </c>
      <c r="R1301" t="str">
        <f t="shared" si="353"/>
        <v xml:space="preserve">    52.0 </v>
      </c>
      <c r="S1301" t="str">
        <f t="shared" si="345"/>
        <v xml:space="preserve">    66.0 </v>
      </c>
      <c r="T1301" t="str">
        <f t="shared" si="346"/>
        <v xml:space="preserve">    66.0 </v>
      </c>
      <c r="U1301" t="str">
        <f t="shared" si="350"/>
        <v xml:space="preserve">       23.3% </v>
      </c>
      <c r="V1301" t="str">
        <f t="shared" si="354"/>
        <v xml:space="preserve">         </v>
      </c>
      <c r="W1301" t="str">
        <f t="shared" si="347"/>
        <v xml:space="preserve">         </v>
      </c>
      <c r="X1301" t="str">
        <f t="shared" si="351"/>
        <v xml:space="preserve">  9292 </v>
      </c>
      <c r="Y1301" t="str">
        <f t="shared" si="351"/>
        <v xml:space="preserve"> SMARCO-RS069 </v>
      </c>
      <c r="Z1301" t="str">
        <f t="shared" si="351"/>
        <v xml:space="preserve">  1 </v>
      </c>
      <c r="AA1301" t="str">
        <f t="shared" si="355"/>
        <v xml:space="preserve">     2.5 </v>
      </c>
      <c r="AB1301" t="str">
        <f t="shared" si="348"/>
        <v xml:space="preserve">    11.9 </v>
      </c>
      <c r="AC1301" t="str">
        <f t="shared" si="349"/>
        <v xml:space="preserve">    12.1 </v>
      </c>
      <c r="AD1301" t="str">
        <f t="shared" si="350"/>
        <v xml:space="preserve">        </v>
      </c>
      <c r="AE1301" t="str">
        <f t="shared" si="356"/>
        <v xml:space="preserve">       </v>
      </c>
      <c r="AF1301" t="str">
        <f t="shared" si="352"/>
        <v xml:space="preserve">     </v>
      </c>
      <c r="AG1301" t="str">
        <f t="shared" si="352"/>
        <v xml:space="preserve">     0.10 </v>
      </c>
      <c r="AH1301" t="str">
        <f t="shared" si="357"/>
        <v xml:space="preserve">    -0.07 </v>
      </c>
      <c r="AI1301" t="str">
        <f t="shared" si="342"/>
        <v xml:space="preserve">       </v>
      </c>
      <c r="AJ1301" t="str">
        <f t="shared" si="343"/>
        <v xml:space="preserve">      </v>
      </c>
    </row>
    <row r="1302" spans="1:36" x14ac:dyDescent="0.25">
      <c r="A1302" t="s">
        <v>1003</v>
      </c>
      <c r="P1302" t="str">
        <f t="shared" si="344"/>
        <v xml:space="preserve">                </v>
      </c>
      <c r="Q1302" t="str">
        <f t="shared" si="344"/>
        <v xml:space="preserve">         </v>
      </c>
      <c r="R1302" t="str">
        <f t="shared" si="353"/>
        <v xml:space="preserve">    54.0 </v>
      </c>
      <c r="S1302" t="str">
        <f t="shared" si="345"/>
        <v xml:space="preserve">    79.0 </v>
      </c>
      <c r="T1302" t="str">
        <f t="shared" si="346"/>
        <v xml:space="preserve">    79.0 </v>
      </c>
      <c r="U1302" t="str">
        <f t="shared" si="350"/>
        <v xml:space="preserve">       26.4% </v>
      </c>
      <c r="V1302" t="str">
        <f t="shared" si="354"/>
        <v xml:space="preserve">         </v>
      </c>
      <c r="W1302" t="str">
        <f t="shared" si="347"/>
        <v xml:space="preserve">         </v>
      </c>
      <c r="X1302" t="str">
        <f t="shared" si="351"/>
        <v xml:space="preserve">  9294 </v>
      </c>
      <c r="Y1302" t="str">
        <f t="shared" si="351"/>
        <v xml:space="preserve"> POTOME-RS069 </v>
      </c>
      <c r="Z1302" t="str">
        <f t="shared" si="351"/>
        <v xml:space="preserve">  1 </v>
      </c>
      <c r="AA1302" t="str">
        <f t="shared" si="355"/>
        <v xml:space="preserve">    13.2 </v>
      </c>
      <c r="AB1302" t="str">
        <f t="shared" si="348"/>
        <v xml:space="preserve">     5.6 </v>
      </c>
      <c r="AC1302" t="str">
        <f t="shared" si="349"/>
        <v xml:space="preserve">    14.3 </v>
      </c>
      <c r="AD1302" t="str">
        <f t="shared" si="350"/>
        <v xml:space="preserve">        </v>
      </c>
      <c r="AE1302" t="str">
        <f t="shared" si="356"/>
        <v xml:space="preserve">       </v>
      </c>
      <c r="AF1302" t="str">
        <f t="shared" si="352"/>
        <v xml:space="preserve">     </v>
      </c>
      <c r="AG1302" t="str">
        <f t="shared" si="352"/>
        <v xml:space="preserve">     0.00 </v>
      </c>
      <c r="AH1302" t="str">
        <f t="shared" si="357"/>
        <v xml:space="preserve">    -0.01 </v>
      </c>
      <c r="AI1302" t="str">
        <f t="shared" si="342"/>
        <v xml:space="preserve">       </v>
      </c>
      <c r="AJ1302" t="str">
        <f t="shared" si="343"/>
        <v xml:space="preserve">      </v>
      </c>
    </row>
    <row r="1303" spans="1:36" x14ac:dyDescent="0.25">
      <c r="A1303" t="s">
        <v>14</v>
      </c>
      <c r="P1303" t="str">
        <f t="shared" si="344"/>
        <v xml:space="preserve">  ..............</v>
      </c>
      <c r="Q1303" t="str">
        <f t="shared" si="344"/>
        <v>.........</v>
      </c>
      <c r="R1303" t="str">
        <f t="shared" si="353"/>
        <v>.........</v>
      </c>
      <c r="S1303" t="str">
        <f t="shared" si="345"/>
        <v>.........</v>
      </c>
      <c r="T1303" t="str">
        <f t="shared" si="346"/>
        <v>.........</v>
      </c>
      <c r="U1303" t="str">
        <f t="shared" si="350"/>
        <v>.............</v>
      </c>
      <c r="V1303" t="str">
        <f t="shared" si="354"/>
        <v>.........</v>
      </c>
      <c r="W1303" t="str">
        <f t="shared" si="347"/>
        <v>.........</v>
      </c>
      <c r="X1303" t="str">
        <f t="shared" si="351"/>
        <v>.......</v>
      </c>
      <c r="Y1303" t="str">
        <f t="shared" si="351"/>
        <v>..............</v>
      </c>
      <c r="Z1303" t="str">
        <f t="shared" si="351"/>
        <v>....</v>
      </c>
      <c r="AA1303" t="str">
        <f t="shared" si="355"/>
        <v>.........</v>
      </c>
      <c r="AB1303" t="str">
        <f t="shared" si="348"/>
        <v>.........</v>
      </c>
      <c r="AC1303" t="str">
        <f t="shared" si="349"/>
        <v>.........</v>
      </c>
      <c r="AD1303" t="str">
        <f t="shared" si="350"/>
        <v>........</v>
      </c>
      <c r="AE1303" t="str">
        <f t="shared" si="356"/>
        <v>.......</v>
      </c>
      <c r="AF1303" t="str">
        <f t="shared" si="352"/>
        <v>.....</v>
      </c>
      <c r="AG1303" t="str">
        <f t="shared" si="352"/>
        <v>..........</v>
      </c>
      <c r="AH1303" t="str">
        <f t="shared" si="357"/>
        <v>..........</v>
      </c>
      <c r="AI1303" t="str">
        <f t="shared" ref="AI1303:AI1366" si="358">MID($A1303,AG$8+AG$9+AH$9-2,AI$9)</f>
        <v>.......</v>
      </c>
      <c r="AJ1303" t="str">
        <f t="shared" ref="AJ1303:AJ1366" si="359">MID($A1303,AG$8+AG$9+AH$9+AI$9-3,AJ$9)</f>
        <v>.......</v>
      </c>
    </row>
    <row r="1304" spans="1:36" x14ac:dyDescent="0.25">
      <c r="A1304" t="s">
        <v>1004</v>
      </c>
      <c r="P1304" t="str">
        <f t="shared" si="344"/>
        <v xml:space="preserve">   9294   69  0 </v>
      </c>
      <c r="Q1304" t="str">
        <f t="shared" si="344"/>
        <v xml:space="preserve">   1.006 </v>
      </c>
      <c r="R1304" t="str">
        <f t="shared" si="353"/>
        <v xml:space="preserve">     0.0 </v>
      </c>
      <c r="S1304" t="str">
        <f t="shared" si="345"/>
        <v xml:space="preserve">     0.0 </v>
      </c>
      <c r="T1304" t="str">
        <f t="shared" si="346"/>
        <v xml:space="preserve">    13.2 </v>
      </c>
      <c r="U1304" t="str">
        <f t="shared" si="350"/>
        <v xml:space="preserve">         0.0 </v>
      </c>
      <c r="V1304" t="str">
        <f t="shared" si="354"/>
        <v xml:space="preserve">     0.0 </v>
      </c>
      <c r="W1304" t="str">
        <f t="shared" si="347"/>
        <v xml:space="preserve">     0.0</v>
      </c>
      <c r="X1304" t="str">
        <f t="shared" si="351"/>
        <v/>
      </c>
      <c r="Y1304" t="str">
        <f t="shared" si="351"/>
        <v/>
      </c>
      <c r="Z1304" t="str">
        <f t="shared" si="351"/>
        <v/>
      </c>
      <c r="AA1304" t="str">
        <f t="shared" si="355"/>
        <v/>
      </c>
      <c r="AB1304" t="str">
        <f t="shared" si="348"/>
        <v/>
      </c>
      <c r="AC1304" t="str">
        <f t="shared" si="349"/>
        <v/>
      </c>
      <c r="AD1304" t="str">
        <f t="shared" si="350"/>
        <v/>
      </c>
      <c r="AE1304" t="str">
        <f t="shared" si="356"/>
        <v/>
      </c>
      <c r="AF1304" t="str">
        <f t="shared" si="352"/>
        <v/>
      </c>
      <c r="AG1304" t="str">
        <f t="shared" si="352"/>
        <v/>
      </c>
      <c r="AH1304" t="str">
        <f t="shared" si="357"/>
        <v/>
      </c>
      <c r="AI1304" t="str">
        <f t="shared" si="358"/>
        <v/>
      </c>
      <c r="AJ1304" t="str">
        <f t="shared" si="359"/>
        <v/>
      </c>
    </row>
    <row r="1305" spans="1:36" x14ac:dyDescent="0.25">
      <c r="A1305" t="s">
        <v>1005</v>
      </c>
      <c r="P1305" t="str">
        <f t="shared" si="344"/>
        <v xml:space="preserve">  POTOME-RS069  </v>
      </c>
      <c r="Q1305" t="str">
        <f t="shared" si="344"/>
        <v xml:space="preserve">   -52.6 </v>
      </c>
      <c r="R1305" t="str">
        <f t="shared" si="353"/>
        <v xml:space="preserve">     0.0 </v>
      </c>
      <c r="S1305" t="str">
        <f t="shared" si="345"/>
        <v xml:space="preserve">     0.0 </v>
      </c>
      <c r="T1305" t="str">
        <f t="shared" si="346"/>
        <v xml:space="preserve">     5.6 </v>
      </c>
      <c r="U1305" t="str">
        <f t="shared" si="350"/>
        <v xml:space="preserve">         0.0 </v>
      </c>
      <c r="V1305" t="str">
        <f t="shared" si="354"/>
        <v xml:space="preserve">     0.0 </v>
      </c>
      <c r="W1305" t="str">
        <f t="shared" si="347"/>
        <v xml:space="preserve">     0.0 </v>
      </c>
      <c r="X1305" t="str">
        <f t="shared" si="351"/>
        <v xml:space="preserve">       </v>
      </c>
      <c r="Y1305" t="str">
        <f t="shared" si="351"/>
        <v xml:space="preserve">              </v>
      </c>
      <c r="Z1305" t="str">
        <f t="shared" si="351"/>
        <v xml:space="preserve">    </v>
      </c>
      <c r="AA1305" t="str">
        <f t="shared" si="355"/>
        <v xml:space="preserve">         </v>
      </c>
      <c r="AB1305" t="str">
        <f t="shared" si="348"/>
        <v xml:space="preserve">         </v>
      </c>
      <c r="AC1305" t="str">
        <f t="shared" si="349"/>
        <v xml:space="preserve">    </v>
      </c>
      <c r="AD1305" t="str">
        <f t="shared" si="350"/>
        <v/>
      </c>
      <c r="AE1305" t="str">
        <f t="shared" si="356"/>
        <v/>
      </c>
      <c r="AF1305" t="str">
        <f t="shared" si="352"/>
        <v/>
      </c>
      <c r="AG1305" t="str">
        <f t="shared" si="352"/>
        <v/>
      </c>
      <c r="AH1305" t="str">
        <f t="shared" si="357"/>
        <v/>
      </c>
      <c r="AI1305" t="str">
        <f t="shared" si="358"/>
        <v/>
      </c>
      <c r="AJ1305" t="str">
        <f t="shared" si="359"/>
        <v/>
      </c>
    </row>
    <row r="1306" spans="1:36" x14ac:dyDescent="0.25">
      <c r="A1306" t="s">
        <v>1006</v>
      </c>
      <c r="P1306" t="str">
        <f t="shared" si="344"/>
        <v xml:space="preserve">                </v>
      </c>
      <c r="Q1306" t="str">
        <f t="shared" si="344"/>
        <v xml:space="preserve">         </v>
      </c>
      <c r="R1306" t="str">
        <f t="shared" si="353"/>
        <v xml:space="preserve">    54.0 </v>
      </c>
      <c r="S1306" t="str">
        <f t="shared" si="345"/>
        <v xml:space="preserve">    79.0 </v>
      </c>
      <c r="T1306" t="str">
        <f t="shared" si="346"/>
        <v xml:space="preserve">    79.0 </v>
      </c>
      <c r="U1306" t="str">
        <f t="shared" si="350"/>
        <v xml:space="preserve">       26.4% </v>
      </c>
      <c r="V1306" t="str">
        <f t="shared" si="354"/>
        <v xml:space="preserve">         </v>
      </c>
      <c r="W1306" t="str">
        <f t="shared" si="347"/>
        <v xml:space="preserve">         </v>
      </c>
      <c r="X1306" t="str">
        <f t="shared" si="351"/>
        <v xml:space="preserve">  9293 </v>
      </c>
      <c r="Y1306" t="str">
        <f t="shared" si="351"/>
        <v xml:space="preserve"> POTOMETAP069 </v>
      </c>
      <c r="Z1306" t="str">
        <f t="shared" si="351"/>
        <v xml:space="preserve">  1 </v>
      </c>
      <c r="AA1306" t="str">
        <f t="shared" si="355"/>
        <v xml:space="preserve">   -13.2 </v>
      </c>
      <c r="AB1306" t="str">
        <f t="shared" si="348"/>
        <v xml:space="preserve">    -5.6 </v>
      </c>
      <c r="AC1306" t="str">
        <f t="shared" si="349"/>
        <v xml:space="preserve">    14.3 </v>
      </c>
      <c r="AD1306" t="str">
        <f t="shared" si="350"/>
        <v xml:space="preserve">        </v>
      </c>
      <c r="AE1306" t="str">
        <f t="shared" si="356"/>
        <v xml:space="preserve">       </v>
      </c>
      <c r="AF1306" t="str">
        <f t="shared" si="352"/>
        <v xml:space="preserve">     </v>
      </c>
      <c r="AG1306" t="str">
        <f t="shared" si="352"/>
        <v xml:space="preserve">     0.00 </v>
      </c>
      <c r="AH1306" t="str">
        <f t="shared" si="357"/>
        <v xml:space="preserve">    -0.01 </v>
      </c>
      <c r="AI1306" t="str">
        <f t="shared" si="358"/>
        <v xml:space="preserve">       </v>
      </c>
      <c r="AJ1306" t="str">
        <f t="shared" si="359"/>
        <v xml:space="preserve">      </v>
      </c>
    </row>
    <row r="1307" spans="1:36" x14ac:dyDescent="0.25">
      <c r="A1307" t="s">
        <v>14</v>
      </c>
      <c r="P1307" t="str">
        <f t="shared" ref="P1307:Q1370" si="360">MID($A1307,P$8,P$9)</f>
        <v xml:space="preserve">  ..............</v>
      </c>
      <c r="Q1307" t="str">
        <f t="shared" si="360"/>
        <v>.........</v>
      </c>
      <c r="R1307" t="str">
        <f t="shared" si="353"/>
        <v>.........</v>
      </c>
      <c r="S1307" t="str">
        <f t="shared" ref="S1307:S1370" si="361">MID($A1307,Q$8+Q$9+R$9-2,S$9)</f>
        <v>.........</v>
      </c>
      <c r="T1307" t="str">
        <f t="shared" ref="T1307:T1370" si="362">MID($A1307,Q$8+Q$9+R$9+S$9-3,T$9)</f>
        <v>.........</v>
      </c>
      <c r="U1307" t="str">
        <f t="shared" si="350"/>
        <v>.............</v>
      </c>
      <c r="V1307" t="str">
        <f t="shared" si="354"/>
        <v>.........</v>
      </c>
      <c r="W1307" t="str">
        <f t="shared" ref="W1307:W1370" si="363">MID($A1307,U$8+U$9+V$9-2,W$9)</f>
        <v>.........</v>
      </c>
      <c r="X1307" t="str">
        <f t="shared" si="351"/>
        <v>.......</v>
      </c>
      <c r="Y1307" t="str">
        <f t="shared" si="351"/>
        <v>..............</v>
      </c>
      <c r="Z1307" t="str">
        <f t="shared" si="351"/>
        <v>....</v>
      </c>
      <c r="AA1307" t="str">
        <f t="shared" si="355"/>
        <v>.........</v>
      </c>
      <c r="AB1307" t="str">
        <f t="shared" ref="AB1307:AB1370" si="364">MID($A1307,Z$8+Z$9+AA$9-2,AB$9)</f>
        <v>.........</v>
      </c>
      <c r="AC1307" t="str">
        <f t="shared" ref="AC1307:AC1370" si="365">MID($A1307,Z$8+Z$9+AA$9+AB$9-3,AC$9)</f>
        <v>.........</v>
      </c>
      <c r="AD1307" t="str">
        <f t="shared" si="350"/>
        <v>........</v>
      </c>
      <c r="AE1307" t="str">
        <f t="shared" si="356"/>
        <v>.......</v>
      </c>
      <c r="AF1307" t="str">
        <f t="shared" si="352"/>
        <v>.....</v>
      </c>
      <c r="AG1307" t="str">
        <f t="shared" si="352"/>
        <v>..........</v>
      </c>
      <c r="AH1307" t="str">
        <f t="shared" si="357"/>
        <v>..........</v>
      </c>
      <c r="AI1307" t="str">
        <f t="shared" si="358"/>
        <v>.......</v>
      </c>
      <c r="AJ1307" t="str">
        <f t="shared" si="359"/>
        <v>.......</v>
      </c>
    </row>
    <row r="1308" spans="1:36" x14ac:dyDescent="0.25">
      <c r="A1308" t="s">
        <v>1007</v>
      </c>
      <c r="P1308" t="str">
        <f t="shared" si="360"/>
        <v xml:space="preserve">   9295   69  0 </v>
      </c>
      <c r="Q1308" t="str">
        <f t="shared" si="360"/>
        <v xml:space="preserve">   1.011 </v>
      </c>
      <c r="R1308" t="str">
        <f t="shared" si="353"/>
        <v xml:space="preserve">     0.0 </v>
      </c>
      <c r="S1308" t="str">
        <f t="shared" si="361"/>
        <v xml:space="preserve">     0.0 </v>
      </c>
      <c r="T1308" t="str">
        <f t="shared" si="362"/>
        <v xml:space="preserve">     0.0 </v>
      </c>
      <c r="U1308" t="str">
        <f t="shared" ref="U1308:AD1371" si="366">MID($A1308,U$8,U$9)</f>
        <v xml:space="preserve">         0.0 </v>
      </c>
      <c r="V1308" t="str">
        <f t="shared" si="354"/>
        <v xml:space="preserve">     0.0 </v>
      </c>
      <c r="W1308" t="str">
        <f t="shared" si="363"/>
        <v xml:space="preserve">     0.0</v>
      </c>
      <c r="X1308" t="str">
        <f t="shared" ref="X1308:Z1371" si="367">MID($A1308,X$8,X$9)</f>
        <v/>
      </c>
      <c r="Y1308" t="str">
        <f t="shared" si="367"/>
        <v/>
      </c>
      <c r="Z1308" t="str">
        <f t="shared" si="367"/>
        <v/>
      </c>
      <c r="AA1308" t="str">
        <f t="shared" si="355"/>
        <v/>
      </c>
      <c r="AB1308" t="str">
        <f t="shared" si="364"/>
        <v/>
      </c>
      <c r="AC1308" t="str">
        <f t="shared" si="365"/>
        <v/>
      </c>
      <c r="AD1308" t="str">
        <f t="shared" si="366"/>
        <v/>
      </c>
      <c r="AE1308" t="str">
        <f t="shared" si="356"/>
        <v/>
      </c>
      <c r="AF1308" t="str">
        <f t="shared" si="352"/>
        <v/>
      </c>
      <c r="AG1308" t="str">
        <f t="shared" si="352"/>
        <v/>
      </c>
      <c r="AH1308" t="str">
        <f t="shared" si="357"/>
        <v/>
      </c>
      <c r="AI1308" t="str">
        <f t="shared" si="358"/>
        <v/>
      </c>
      <c r="AJ1308" t="str">
        <f t="shared" si="359"/>
        <v/>
      </c>
    </row>
    <row r="1309" spans="1:36" x14ac:dyDescent="0.25">
      <c r="A1309" t="s">
        <v>1008</v>
      </c>
      <c r="P1309" t="str">
        <f t="shared" si="360"/>
        <v xml:space="preserve">  EBERLETAP069  </v>
      </c>
      <c r="Q1309" t="str">
        <f t="shared" si="360"/>
        <v xml:space="preserve">   -50.5 </v>
      </c>
      <c r="R1309" t="str">
        <f t="shared" si="353"/>
        <v xml:space="preserve">     0.0 </v>
      </c>
      <c r="S1309" t="str">
        <f t="shared" si="361"/>
        <v xml:space="preserve">     0.0 </v>
      </c>
      <c r="T1309" t="str">
        <f t="shared" si="362"/>
        <v xml:space="preserve">     0.0 </v>
      </c>
      <c r="U1309" t="str">
        <f t="shared" si="366"/>
        <v xml:space="preserve">         0.0 </v>
      </c>
      <c r="V1309" t="str">
        <f t="shared" si="354"/>
        <v xml:space="preserve">     0.0 </v>
      </c>
      <c r="W1309" t="str">
        <f t="shared" si="363"/>
        <v xml:space="preserve">     0.0 </v>
      </c>
      <c r="X1309" t="str">
        <f t="shared" si="367"/>
        <v xml:space="preserve">       </v>
      </c>
      <c r="Y1309" t="str">
        <f t="shared" si="367"/>
        <v xml:space="preserve">              </v>
      </c>
      <c r="Z1309" t="str">
        <f t="shared" si="367"/>
        <v xml:space="preserve">    </v>
      </c>
      <c r="AA1309" t="str">
        <f t="shared" si="355"/>
        <v xml:space="preserve">         </v>
      </c>
      <c r="AB1309" t="str">
        <f t="shared" si="364"/>
        <v xml:space="preserve">         </v>
      </c>
      <c r="AC1309" t="str">
        <f t="shared" si="365"/>
        <v xml:space="preserve">    </v>
      </c>
      <c r="AD1309" t="str">
        <f t="shared" si="366"/>
        <v/>
      </c>
      <c r="AE1309" t="str">
        <f t="shared" si="356"/>
        <v/>
      </c>
      <c r="AF1309" t="str">
        <f t="shared" ref="AF1309:AG1372" si="368">MID($A1309,AF$8,AF$9)</f>
        <v/>
      </c>
      <c r="AG1309" t="str">
        <f t="shared" si="368"/>
        <v/>
      </c>
      <c r="AH1309" t="str">
        <f t="shared" si="357"/>
        <v/>
      </c>
      <c r="AI1309" t="str">
        <f t="shared" si="358"/>
        <v/>
      </c>
      <c r="AJ1309" t="str">
        <f t="shared" si="359"/>
        <v/>
      </c>
    </row>
    <row r="1310" spans="1:36" x14ac:dyDescent="0.25">
      <c r="A1310" t="s">
        <v>1009</v>
      </c>
      <c r="P1310" t="str">
        <f t="shared" si="360"/>
        <v xml:space="preserve">              DE</v>
      </c>
      <c r="Q1310" t="str">
        <f t="shared" si="360"/>
        <v xml:space="preserve">ESLIGADO </v>
      </c>
      <c r="R1310" t="str">
        <f t="shared" si="353"/>
        <v xml:space="preserve">    80.0 </v>
      </c>
      <c r="S1310" t="str">
        <f t="shared" si="361"/>
        <v xml:space="preserve">    95.0 </v>
      </c>
      <c r="T1310" t="str">
        <f t="shared" si="362"/>
        <v xml:space="preserve">    95.0 </v>
      </c>
      <c r="U1310" t="str">
        <f t="shared" si="366"/>
        <v xml:space="preserve">             </v>
      </c>
      <c r="V1310" t="str">
        <f t="shared" si="354"/>
        <v xml:space="preserve">         </v>
      </c>
      <c r="W1310" t="str">
        <f t="shared" si="363"/>
        <v xml:space="preserve">         </v>
      </c>
      <c r="X1310" t="str">
        <f t="shared" si="367"/>
        <v xml:space="preserve">  1388 </v>
      </c>
      <c r="Y1310" t="str">
        <f t="shared" si="367"/>
        <v xml:space="preserve"> CAXIA3-RS069 </v>
      </c>
      <c r="Z1310" t="str">
        <f t="shared" si="367"/>
        <v xml:space="preserve">  1 </v>
      </c>
      <c r="AA1310" t="str">
        <f t="shared" si="355"/>
        <v xml:space="preserve">     0.0 </v>
      </c>
      <c r="AB1310" t="str">
        <f t="shared" si="364"/>
        <v xml:space="preserve">     0.0 </v>
      </c>
      <c r="AC1310" t="str">
        <f t="shared" si="365"/>
        <v xml:space="preserve">     0.0 </v>
      </c>
      <c r="AD1310" t="str">
        <f t="shared" si="366"/>
        <v xml:space="preserve">        </v>
      </c>
      <c r="AE1310" t="str">
        <f t="shared" si="356"/>
        <v xml:space="preserve">       </v>
      </c>
      <c r="AF1310" t="str">
        <f t="shared" si="368"/>
        <v xml:space="preserve">     </v>
      </c>
      <c r="AG1310" t="str">
        <f t="shared" si="368"/>
        <v xml:space="preserve">     0.00 </v>
      </c>
      <c r="AH1310" t="str">
        <f t="shared" si="357"/>
        <v xml:space="preserve">     0.00 </v>
      </c>
      <c r="AI1310" t="str">
        <f t="shared" si="358"/>
        <v xml:space="preserve">       </v>
      </c>
      <c r="AJ1310" t="str">
        <f t="shared" si="359"/>
        <v xml:space="preserve">      </v>
      </c>
    </row>
    <row r="1311" spans="1:36" x14ac:dyDescent="0.25">
      <c r="A1311" t="s">
        <v>1010</v>
      </c>
      <c r="P1311" t="str">
        <f t="shared" si="360"/>
        <v xml:space="preserve">                </v>
      </c>
      <c r="Q1311" t="str">
        <f t="shared" si="360"/>
        <v xml:space="preserve">         </v>
      </c>
      <c r="R1311" t="str">
        <f t="shared" si="353"/>
        <v xml:space="preserve">    54.0 </v>
      </c>
      <c r="S1311" t="str">
        <f t="shared" si="361"/>
        <v xml:space="preserve">    79.0 </v>
      </c>
      <c r="T1311" t="str">
        <f t="shared" si="362"/>
        <v xml:space="preserve">    79.0 </v>
      </c>
      <c r="U1311" t="str">
        <f t="shared" si="366"/>
        <v xml:space="preserve">        0.0% </v>
      </c>
      <c r="V1311" t="str">
        <f t="shared" si="354"/>
        <v xml:space="preserve">         </v>
      </c>
      <c r="W1311" t="str">
        <f t="shared" si="363"/>
        <v xml:space="preserve">         </v>
      </c>
      <c r="X1311" t="str">
        <f t="shared" si="367"/>
        <v xml:space="preserve">  9296 </v>
      </c>
      <c r="Y1311" t="str">
        <f t="shared" si="367"/>
        <v xml:space="preserve"> EBERLE-RS069 </v>
      </c>
      <c r="Z1311" t="str">
        <f t="shared" si="367"/>
        <v xml:space="preserve">  1 </v>
      </c>
      <c r="AA1311" t="str">
        <f t="shared" si="355"/>
        <v xml:space="preserve">     0.0 </v>
      </c>
      <c r="AB1311" t="str">
        <f t="shared" si="364"/>
        <v xml:space="preserve">    -0.0 </v>
      </c>
      <c r="AC1311" t="str">
        <f t="shared" si="365"/>
        <v xml:space="preserve">     0.0 </v>
      </c>
      <c r="AD1311" t="str">
        <f t="shared" si="366"/>
        <v xml:space="preserve">        </v>
      </c>
      <c r="AE1311" t="str">
        <f t="shared" si="356"/>
        <v xml:space="preserve">       </v>
      </c>
      <c r="AF1311" t="str">
        <f t="shared" si="368"/>
        <v xml:space="preserve">     </v>
      </c>
      <c r="AG1311" t="str">
        <f t="shared" si="368"/>
        <v xml:space="preserve">     0.00 </v>
      </c>
      <c r="AH1311" t="str">
        <f t="shared" si="357"/>
        <v xml:space="preserve">    -0.01 </v>
      </c>
      <c r="AI1311" t="str">
        <f t="shared" si="358"/>
        <v xml:space="preserve">       </v>
      </c>
      <c r="AJ1311" t="str">
        <f t="shared" si="359"/>
        <v xml:space="preserve">      </v>
      </c>
    </row>
    <row r="1312" spans="1:36" x14ac:dyDescent="0.25">
      <c r="A1312" t="s">
        <v>1011</v>
      </c>
      <c r="P1312" t="str">
        <f t="shared" si="360"/>
        <v xml:space="preserve">                </v>
      </c>
      <c r="Q1312" t="str">
        <f t="shared" si="360"/>
        <v xml:space="preserve">         </v>
      </c>
      <c r="R1312" t="str">
        <f t="shared" si="353"/>
        <v xml:space="preserve">    80.0 </v>
      </c>
      <c r="S1312" t="str">
        <f t="shared" si="361"/>
        <v xml:space="preserve">    95.0 </v>
      </c>
      <c r="T1312" t="str">
        <f t="shared" si="362"/>
        <v xml:space="preserve">    95.0 </v>
      </c>
      <c r="U1312" t="str">
        <f t="shared" si="366"/>
        <v xml:space="preserve">        0.0% </v>
      </c>
      <c r="V1312" t="str">
        <f t="shared" si="354"/>
        <v xml:space="preserve">         </v>
      </c>
      <c r="W1312" t="str">
        <f t="shared" si="363"/>
        <v xml:space="preserve">         </v>
      </c>
      <c r="X1312" t="str">
        <f t="shared" si="367"/>
        <v xml:space="preserve">  9297 </v>
      </c>
      <c r="Y1312" t="str">
        <f t="shared" si="367"/>
        <v xml:space="preserve"> RANDONTAP069 </v>
      </c>
      <c r="Z1312" t="str">
        <f t="shared" si="367"/>
        <v xml:space="preserve">  1 </v>
      </c>
      <c r="AA1312" t="str">
        <f t="shared" si="355"/>
        <v xml:space="preserve">    -0.0 </v>
      </c>
      <c r="AB1312" t="str">
        <f t="shared" si="364"/>
        <v xml:space="preserve">     0.0 </v>
      </c>
      <c r="AC1312" t="str">
        <f t="shared" si="365"/>
        <v xml:space="preserve">     0.0 </v>
      </c>
      <c r="AD1312" t="str">
        <f t="shared" si="366"/>
        <v xml:space="preserve">        </v>
      </c>
      <c r="AE1312" t="str">
        <f t="shared" si="356"/>
        <v xml:space="preserve">       </v>
      </c>
      <c r="AF1312" t="str">
        <f t="shared" si="368"/>
        <v xml:space="preserve">     </v>
      </c>
      <c r="AG1312" t="str">
        <f t="shared" si="368"/>
        <v xml:space="preserve">     0.00 </v>
      </c>
      <c r="AH1312" t="str">
        <f t="shared" si="357"/>
        <v xml:space="preserve">    -0.06 </v>
      </c>
      <c r="AI1312" t="str">
        <f t="shared" si="358"/>
        <v xml:space="preserve">       </v>
      </c>
      <c r="AJ1312" t="str">
        <f t="shared" si="359"/>
        <v xml:space="preserve">      </v>
      </c>
    </row>
    <row r="1313" spans="1:36" x14ac:dyDescent="0.25">
      <c r="A1313" t="s">
        <v>14</v>
      </c>
      <c r="P1313" t="str">
        <f t="shared" si="360"/>
        <v xml:space="preserve">  ..............</v>
      </c>
      <c r="Q1313" t="str">
        <f t="shared" si="360"/>
        <v>.........</v>
      </c>
      <c r="R1313" t="str">
        <f t="shared" si="353"/>
        <v>.........</v>
      </c>
      <c r="S1313" t="str">
        <f t="shared" si="361"/>
        <v>.........</v>
      </c>
      <c r="T1313" t="str">
        <f t="shared" si="362"/>
        <v>.........</v>
      </c>
      <c r="U1313" t="str">
        <f t="shared" si="366"/>
        <v>.............</v>
      </c>
      <c r="V1313" t="str">
        <f t="shared" si="354"/>
        <v>.........</v>
      </c>
      <c r="W1313" t="str">
        <f t="shared" si="363"/>
        <v>.........</v>
      </c>
      <c r="X1313" t="str">
        <f t="shared" si="367"/>
        <v>.......</v>
      </c>
      <c r="Y1313" t="str">
        <f t="shared" si="367"/>
        <v>..............</v>
      </c>
      <c r="Z1313" t="str">
        <f t="shared" si="367"/>
        <v>....</v>
      </c>
      <c r="AA1313" t="str">
        <f t="shared" si="355"/>
        <v>.........</v>
      </c>
      <c r="AB1313" t="str">
        <f t="shared" si="364"/>
        <v>.........</v>
      </c>
      <c r="AC1313" t="str">
        <f t="shared" si="365"/>
        <v>.........</v>
      </c>
      <c r="AD1313" t="str">
        <f t="shared" si="366"/>
        <v>........</v>
      </c>
      <c r="AE1313" t="str">
        <f t="shared" si="356"/>
        <v>.......</v>
      </c>
      <c r="AF1313" t="str">
        <f t="shared" si="368"/>
        <v>.....</v>
      </c>
      <c r="AG1313" t="str">
        <f t="shared" si="368"/>
        <v>..........</v>
      </c>
      <c r="AH1313" t="str">
        <f t="shared" si="357"/>
        <v>..........</v>
      </c>
      <c r="AI1313" t="str">
        <f t="shared" si="358"/>
        <v>.......</v>
      </c>
      <c r="AJ1313" t="str">
        <f t="shared" si="359"/>
        <v>.......</v>
      </c>
    </row>
    <row r="1314" spans="1:36" x14ac:dyDescent="0.25">
      <c r="A1314" t="s">
        <v>1012</v>
      </c>
      <c r="P1314" t="str">
        <f t="shared" si="360"/>
        <v xml:space="preserve">   9296   69  0 </v>
      </c>
      <c r="Q1314" t="str">
        <f t="shared" si="360"/>
        <v xml:space="preserve">   1.011 </v>
      </c>
      <c r="R1314" t="str">
        <f t="shared" si="353"/>
        <v xml:space="preserve">     0.0 </v>
      </c>
      <c r="S1314" t="str">
        <f t="shared" si="361"/>
        <v xml:space="preserve">     0.0 </v>
      </c>
      <c r="T1314" t="str">
        <f t="shared" si="362"/>
        <v xml:space="preserve">     0.0 </v>
      </c>
      <c r="U1314" t="str">
        <f t="shared" si="366"/>
        <v xml:space="preserve">         0.0 </v>
      </c>
      <c r="V1314" t="str">
        <f t="shared" si="354"/>
        <v xml:space="preserve">     0.0 </v>
      </c>
      <c r="W1314" t="str">
        <f t="shared" si="363"/>
        <v xml:space="preserve">     0.0</v>
      </c>
      <c r="X1314" t="str">
        <f t="shared" si="367"/>
        <v/>
      </c>
      <c r="Y1314" t="str">
        <f t="shared" si="367"/>
        <v/>
      </c>
      <c r="Z1314" t="str">
        <f t="shared" si="367"/>
        <v/>
      </c>
      <c r="AA1314" t="str">
        <f t="shared" si="355"/>
        <v/>
      </c>
      <c r="AB1314" t="str">
        <f t="shared" si="364"/>
        <v/>
      </c>
      <c r="AC1314" t="str">
        <f t="shared" si="365"/>
        <v/>
      </c>
      <c r="AD1314" t="str">
        <f t="shared" si="366"/>
        <v/>
      </c>
      <c r="AE1314" t="str">
        <f t="shared" si="356"/>
        <v/>
      </c>
      <c r="AF1314" t="str">
        <f t="shared" si="368"/>
        <v/>
      </c>
      <c r="AG1314" t="str">
        <f t="shared" si="368"/>
        <v/>
      </c>
      <c r="AH1314" t="str">
        <f t="shared" si="357"/>
        <v/>
      </c>
      <c r="AI1314" t="str">
        <f t="shared" si="358"/>
        <v/>
      </c>
      <c r="AJ1314" t="str">
        <f t="shared" si="359"/>
        <v/>
      </c>
    </row>
    <row r="1315" spans="1:36" x14ac:dyDescent="0.25">
      <c r="A1315" t="s">
        <v>1013</v>
      </c>
      <c r="P1315" t="str">
        <f t="shared" si="360"/>
        <v xml:space="preserve">  EBERLE-RS069  </v>
      </c>
      <c r="Q1315" t="str">
        <f t="shared" si="360"/>
        <v xml:space="preserve">   -50.5 </v>
      </c>
      <c r="R1315" t="str">
        <f t="shared" si="353"/>
        <v xml:space="preserve">     0.0 </v>
      </c>
      <c r="S1315" t="str">
        <f t="shared" si="361"/>
        <v xml:space="preserve">     0.0 </v>
      </c>
      <c r="T1315" t="str">
        <f t="shared" si="362"/>
        <v xml:space="preserve">     0.0 </v>
      </c>
      <c r="U1315" t="str">
        <f t="shared" si="366"/>
        <v xml:space="preserve">         0.0 </v>
      </c>
      <c r="V1315" t="str">
        <f t="shared" si="354"/>
        <v xml:space="preserve">     0.0 </v>
      </c>
      <c r="W1315" t="str">
        <f t="shared" si="363"/>
        <v xml:space="preserve">     0.0 </v>
      </c>
      <c r="X1315" t="str">
        <f t="shared" si="367"/>
        <v xml:space="preserve">       </v>
      </c>
      <c r="Y1315" t="str">
        <f t="shared" si="367"/>
        <v xml:space="preserve">              </v>
      </c>
      <c r="Z1315" t="str">
        <f t="shared" si="367"/>
        <v xml:space="preserve">    </v>
      </c>
      <c r="AA1315" t="str">
        <f t="shared" si="355"/>
        <v xml:space="preserve">         </v>
      </c>
      <c r="AB1315" t="str">
        <f t="shared" si="364"/>
        <v xml:space="preserve">         </v>
      </c>
      <c r="AC1315" t="str">
        <f t="shared" si="365"/>
        <v xml:space="preserve">    </v>
      </c>
      <c r="AD1315" t="str">
        <f t="shared" si="366"/>
        <v/>
      </c>
      <c r="AE1315" t="str">
        <f t="shared" si="356"/>
        <v/>
      </c>
      <c r="AF1315" t="str">
        <f t="shared" si="368"/>
        <v/>
      </c>
      <c r="AG1315" t="str">
        <f t="shared" si="368"/>
        <v/>
      </c>
      <c r="AH1315" t="str">
        <f t="shared" si="357"/>
        <v/>
      </c>
      <c r="AI1315" t="str">
        <f t="shared" si="358"/>
        <v/>
      </c>
      <c r="AJ1315" t="str">
        <f t="shared" si="359"/>
        <v/>
      </c>
    </row>
    <row r="1316" spans="1:36" x14ac:dyDescent="0.25">
      <c r="A1316" t="s">
        <v>1014</v>
      </c>
      <c r="P1316" t="str">
        <f t="shared" si="360"/>
        <v xml:space="preserve">                </v>
      </c>
      <c r="Q1316" t="str">
        <f t="shared" si="360"/>
        <v xml:space="preserve">         </v>
      </c>
      <c r="R1316" t="str">
        <f t="shared" si="353"/>
        <v xml:space="preserve">    54.0 </v>
      </c>
      <c r="S1316" t="str">
        <f t="shared" si="361"/>
        <v xml:space="preserve">    79.0 </v>
      </c>
      <c r="T1316" t="str">
        <f t="shared" si="362"/>
        <v xml:space="preserve">    79.0 </v>
      </c>
      <c r="U1316" t="str">
        <f t="shared" si="366"/>
        <v xml:space="preserve">        0.0% </v>
      </c>
      <c r="V1316" t="str">
        <f t="shared" si="354"/>
        <v xml:space="preserve">         </v>
      </c>
      <c r="W1316" t="str">
        <f t="shared" si="363"/>
        <v xml:space="preserve">         </v>
      </c>
      <c r="X1316" t="str">
        <f t="shared" si="367"/>
        <v xml:space="preserve">  9295 </v>
      </c>
      <c r="Y1316" t="str">
        <f t="shared" si="367"/>
        <v xml:space="preserve"> EBERLETAP069 </v>
      </c>
      <c r="Z1316" t="str">
        <f t="shared" si="367"/>
        <v xml:space="preserve">  1 </v>
      </c>
      <c r="AA1316" t="str">
        <f t="shared" si="355"/>
        <v xml:space="preserve">     0.0 </v>
      </c>
      <c r="AB1316" t="str">
        <f t="shared" si="364"/>
        <v xml:space="preserve">     0.0 </v>
      </c>
      <c r="AC1316" t="str">
        <f t="shared" si="365"/>
        <v xml:space="preserve">     0.0 </v>
      </c>
      <c r="AD1316" t="str">
        <f t="shared" si="366"/>
        <v xml:space="preserve">        </v>
      </c>
      <c r="AE1316" t="str">
        <f t="shared" si="356"/>
        <v xml:space="preserve">       </v>
      </c>
      <c r="AF1316" t="str">
        <f t="shared" si="368"/>
        <v xml:space="preserve">     </v>
      </c>
      <c r="AG1316" t="str">
        <f t="shared" si="368"/>
        <v xml:space="preserve">     0.00 </v>
      </c>
      <c r="AH1316" t="str">
        <f t="shared" si="357"/>
        <v xml:space="preserve">    -0.01 </v>
      </c>
      <c r="AI1316" t="str">
        <f t="shared" si="358"/>
        <v xml:space="preserve">       </v>
      </c>
      <c r="AJ1316" t="str">
        <f t="shared" si="359"/>
        <v xml:space="preserve">      </v>
      </c>
    </row>
    <row r="1317" spans="1:36" x14ac:dyDescent="0.25">
      <c r="A1317" t="s">
        <v>14</v>
      </c>
      <c r="P1317" t="str">
        <f t="shared" si="360"/>
        <v xml:space="preserve">  ..............</v>
      </c>
      <c r="Q1317" t="str">
        <f t="shared" si="360"/>
        <v>.........</v>
      </c>
      <c r="R1317" t="str">
        <f t="shared" si="353"/>
        <v>.........</v>
      </c>
      <c r="S1317" t="str">
        <f t="shared" si="361"/>
        <v>.........</v>
      </c>
      <c r="T1317" t="str">
        <f t="shared" si="362"/>
        <v>.........</v>
      </c>
      <c r="U1317" t="str">
        <f t="shared" si="366"/>
        <v>.............</v>
      </c>
      <c r="V1317" t="str">
        <f t="shared" si="354"/>
        <v>.........</v>
      </c>
      <c r="W1317" t="str">
        <f t="shared" si="363"/>
        <v>.........</v>
      </c>
      <c r="X1317" t="str">
        <f t="shared" si="367"/>
        <v>.......</v>
      </c>
      <c r="Y1317" t="str">
        <f t="shared" si="367"/>
        <v>..............</v>
      </c>
      <c r="Z1317" t="str">
        <f t="shared" si="367"/>
        <v>....</v>
      </c>
      <c r="AA1317" t="str">
        <f t="shared" si="355"/>
        <v>.........</v>
      </c>
      <c r="AB1317" t="str">
        <f t="shared" si="364"/>
        <v>.........</v>
      </c>
      <c r="AC1317" t="str">
        <f t="shared" si="365"/>
        <v>.........</v>
      </c>
      <c r="AD1317" t="str">
        <f t="shared" si="366"/>
        <v>........</v>
      </c>
      <c r="AE1317" t="str">
        <f t="shared" si="356"/>
        <v>.......</v>
      </c>
      <c r="AF1317" t="str">
        <f t="shared" si="368"/>
        <v>.....</v>
      </c>
      <c r="AG1317" t="str">
        <f t="shared" si="368"/>
        <v>..........</v>
      </c>
      <c r="AH1317" t="str">
        <f t="shared" si="357"/>
        <v>..........</v>
      </c>
      <c r="AI1317" t="str">
        <f t="shared" si="358"/>
        <v>.......</v>
      </c>
      <c r="AJ1317" t="str">
        <f t="shared" si="359"/>
        <v>.......</v>
      </c>
    </row>
    <row r="1318" spans="1:36" x14ac:dyDescent="0.25">
      <c r="A1318" t="s">
        <v>1015</v>
      </c>
      <c r="P1318" t="str">
        <f t="shared" si="360"/>
        <v xml:space="preserve">   9297   69  0 </v>
      </c>
      <c r="Q1318" t="str">
        <f t="shared" si="360"/>
        <v xml:space="preserve">   1.011 </v>
      </c>
      <c r="R1318" t="str">
        <f t="shared" si="353"/>
        <v xml:space="preserve">     0.0 </v>
      </c>
      <c r="S1318" t="str">
        <f t="shared" si="361"/>
        <v xml:space="preserve">     0.0 </v>
      </c>
      <c r="T1318" t="str">
        <f t="shared" si="362"/>
        <v xml:space="preserve">     0.0 </v>
      </c>
      <c r="U1318" t="str">
        <f t="shared" si="366"/>
        <v xml:space="preserve">         0.0 </v>
      </c>
      <c r="V1318" t="str">
        <f t="shared" si="354"/>
        <v xml:space="preserve">     0.0 </v>
      </c>
      <c r="W1318" t="str">
        <f t="shared" si="363"/>
        <v xml:space="preserve">     0.0</v>
      </c>
      <c r="X1318" t="str">
        <f t="shared" si="367"/>
        <v/>
      </c>
      <c r="Y1318" t="str">
        <f t="shared" si="367"/>
        <v/>
      </c>
      <c r="Z1318" t="str">
        <f t="shared" si="367"/>
        <v/>
      </c>
      <c r="AA1318" t="str">
        <f t="shared" si="355"/>
        <v/>
      </c>
      <c r="AB1318" t="str">
        <f t="shared" si="364"/>
        <v/>
      </c>
      <c r="AC1318" t="str">
        <f t="shared" si="365"/>
        <v/>
      </c>
      <c r="AD1318" t="str">
        <f t="shared" si="366"/>
        <v/>
      </c>
      <c r="AE1318" t="str">
        <f t="shared" si="356"/>
        <v/>
      </c>
      <c r="AF1318" t="str">
        <f t="shared" si="368"/>
        <v/>
      </c>
      <c r="AG1318" t="str">
        <f t="shared" si="368"/>
        <v/>
      </c>
      <c r="AH1318" t="str">
        <f t="shared" si="357"/>
        <v/>
      </c>
      <c r="AI1318" t="str">
        <f t="shared" si="358"/>
        <v/>
      </c>
      <c r="AJ1318" t="str">
        <f t="shared" si="359"/>
        <v/>
      </c>
    </row>
    <row r="1319" spans="1:36" x14ac:dyDescent="0.25">
      <c r="A1319" t="s">
        <v>1016</v>
      </c>
      <c r="P1319" t="str">
        <f t="shared" si="360"/>
        <v xml:space="preserve">  RANDONTAP069  </v>
      </c>
      <c r="Q1319" t="str">
        <f t="shared" si="360"/>
        <v xml:space="preserve">   -50.5 </v>
      </c>
      <c r="R1319" t="str">
        <f t="shared" si="353"/>
        <v xml:space="preserve">     0.0 </v>
      </c>
      <c r="S1319" t="str">
        <f t="shared" si="361"/>
        <v xml:space="preserve">     0.0 </v>
      </c>
      <c r="T1319" t="str">
        <f t="shared" si="362"/>
        <v xml:space="preserve">     0.0 </v>
      </c>
      <c r="U1319" t="str">
        <f t="shared" si="366"/>
        <v xml:space="preserve">         0.0 </v>
      </c>
      <c r="V1319" t="str">
        <f t="shared" si="354"/>
        <v xml:space="preserve">     0.0 </v>
      </c>
      <c r="W1319" t="str">
        <f t="shared" si="363"/>
        <v xml:space="preserve">     0.0 </v>
      </c>
      <c r="X1319" t="str">
        <f t="shared" si="367"/>
        <v xml:space="preserve">       </v>
      </c>
      <c r="Y1319" t="str">
        <f t="shared" si="367"/>
        <v xml:space="preserve">              </v>
      </c>
      <c r="Z1319" t="str">
        <f t="shared" si="367"/>
        <v xml:space="preserve">    </v>
      </c>
      <c r="AA1319" t="str">
        <f t="shared" si="355"/>
        <v xml:space="preserve">         </v>
      </c>
      <c r="AB1319" t="str">
        <f t="shared" si="364"/>
        <v xml:space="preserve">         </v>
      </c>
      <c r="AC1319" t="str">
        <f t="shared" si="365"/>
        <v xml:space="preserve">    </v>
      </c>
      <c r="AD1319" t="str">
        <f t="shared" si="366"/>
        <v/>
      </c>
      <c r="AE1319" t="str">
        <f t="shared" si="356"/>
        <v/>
      </c>
      <c r="AF1319" t="str">
        <f t="shared" si="368"/>
        <v/>
      </c>
      <c r="AG1319" t="str">
        <f t="shared" si="368"/>
        <v/>
      </c>
      <c r="AH1319" t="str">
        <f t="shared" si="357"/>
        <v/>
      </c>
      <c r="AI1319" t="str">
        <f t="shared" si="358"/>
        <v/>
      </c>
      <c r="AJ1319" t="str">
        <f t="shared" si="359"/>
        <v/>
      </c>
    </row>
    <row r="1320" spans="1:36" x14ac:dyDescent="0.25">
      <c r="A1320" t="s">
        <v>1017</v>
      </c>
      <c r="P1320" t="str">
        <f t="shared" si="360"/>
        <v xml:space="preserve">                </v>
      </c>
      <c r="Q1320" t="str">
        <f t="shared" si="360"/>
        <v xml:space="preserve">         </v>
      </c>
      <c r="R1320" t="str">
        <f t="shared" si="353"/>
        <v xml:space="preserve">    94.0 </v>
      </c>
      <c r="S1320" t="str">
        <f t="shared" si="361"/>
        <v xml:space="preserve">   108.0 </v>
      </c>
      <c r="T1320" t="str">
        <f t="shared" si="362"/>
        <v xml:space="preserve">   108.0 </v>
      </c>
      <c r="U1320" t="str">
        <f t="shared" si="366"/>
        <v xml:space="preserve">        9.7% </v>
      </c>
      <c r="V1320" t="str">
        <f t="shared" si="354"/>
        <v xml:space="preserve">         </v>
      </c>
      <c r="W1320" t="str">
        <f t="shared" si="363"/>
        <v xml:space="preserve">         </v>
      </c>
      <c r="X1320" t="str">
        <f t="shared" si="367"/>
        <v xml:space="preserve">  1201 </v>
      </c>
      <c r="Y1320" t="str">
        <f t="shared" si="367"/>
        <v xml:space="preserve"> CAXIA2-RS069 </v>
      </c>
      <c r="Z1320" t="str">
        <f t="shared" si="367"/>
        <v xml:space="preserve">  1 </v>
      </c>
      <c r="AA1320" t="str">
        <f t="shared" si="355"/>
        <v xml:space="preserve">    -8.5 </v>
      </c>
      <c r="AB1320" t="str">
        <f t="shared" si="364"/>
        <v xml:space="preserve">    -3.5 </v>
      </c>
      <c r="AC1320" t="str">
        <f t="shared" si="365"/>
        <v xml:space="preserve">     9.1 </v>
      </c>
      <c r="AD1320" t="str">
        <f t="shared" si="366"/>
        <v xml:space="preserve">        </v>
      </c>
      <c r="AE1320" t="str">
        <f t="shared" si="356"/>
        <v xml:space="preserve">       </v>
      </c>
      <c r="AF1320" t="str">
        <f t="shared" si="368"/>
        <v xml:space="preserve">     </v>
      </c>
      <c r="AG1320" t="str">
        <f t="shared" si="368"/>
        <v xml:space="preserve">     0.00 </v>
      </c>
      <c r="AH1320" t="str">
        <f t="shared" si="357"/>
        <v xml:space="preserve">    -0.00 </v>
      </c>
      <c r="AI1320" t="str">
        <f t="shared" si="358"/>
        <v xml:space="preserve">       </v>
      </c>
      <c r="AJ1320" t="str">
        <f t="shared" si="359"/>
        <v xml:space="preserve">      </v>
      </c>
    </row>
    <row r="1321" spans="1:36" x14ac:dyDescent="0.25">
      <c r="A1321" t="s">
        <v>1018</v>
      </c>
      <c r="P1321" t="str">
        <f t="shared" si="360"/>
        <v xml:space="preserve">                </v>
      </c>
      <c r="Q1321" t="str">
        <f t="shared" si="360"/>
        <v xml:space="preserve">         </v>
      </c>
      <c r="R1321" t="str">
        <f t="shared" si="353"/>
        <v xml:space="preserve">    80.0 </v>
      </c>
      <c r="S1321" t="str">
        <f t="shared" si="361"/>
        <v xml:space="preserve">    95.0 </v>
      </c>
      <c r="T1321" t="str">
        <f t="shared" si="362"/>
        <v xml:space="preserve">    95.0 </v>
      </c>
      <c r="U1321" t="str">
        <f t="shared" si="366"/>
        <v xml:space="preserve">        0.1% </v>
      </c>
      <c r="V1321" t="str">
        <f t="shared" si="354"/>
        <v xml:space="preserve">         </v>
      </c>
      <c r="W1321" t="str">
        <f t="shared" si="363"/>
        <v xml:space="preserve">         </v>
      </c>
      <c r="X1321" t="str">
        <f t="shared" si="367"/>
        <v xml:space="preserve">  9295 </v>
      </c>
      <c r="Y1321" t="str">
        <f t="shared" si="367"/>
        <v xml:space="preserve"> EBERLETAP069 </v>
      </c>
      <c r="Z1321" t="str">
        <f t="shared" si="367"/>
        <v xml:space="preserve">  1 </v>
      </c>
      <c r="AA1321" t="str">
        <f t="shared" si="355"/>
        <v xml:space="preserve">     0.0 </v>
      </c>
      <c r="AB1321" t="str">
        <f t="shared" si="364"/>
        <v xml:space="preserve">    -0.1 </v>
      </c>
      <c r="AC1321" t="str">
        <f t="shared" si="365"/>
        <v xml:space="preserve">     0.1 </v>
      </c>
      <c r="AD1321" t="str">
        <f t="shared" si="366"/>
        <v xml:space="preserve">        </v>
      </c>
      <c r="AE1321" t="str">
        <f t="shared" si="356"/>
        <v xml:space="preserve">       </v>
      </c>
      <c r="AF1321" t="str">
        <f t="shared" si="368"/>
        <v xml:space="preserve">     </v>
      </c>
      <c r="AG1321" t="str">
        <f t="shared" si="368"/>
        <v xml:space="preserve">     0.00 </v>
      </c>
      <c r="AH1321" t="str">
        <f t="shared" si="357"/>
        <v xml:space="preserve">    -0.06 </v>
      </c>
      <c r="AI1321" t="str">
        <f t="shared" si="358"/>
        <v xml:space="preserve">       </v>
      </c>
      <c r="AJ1321" t="str">
        <f t="shared" si="359"/>
        <v xml:space="preserve">      </v>
      </c>
    </row>
    <row r="1322" spans="1:36" x14ac:dyDescent="0.25">
      <c r="A1322" t="s">
        <v>1019</v>
      </c>
      <c r="P1322" t="str">
        <f t="shared" si="360"/>
        <v xml:space="preserve">                </v>
      </c>
      <c r="Q1322" t="str">
        <f t="shared" si="360"/>
        <v xml:space="preserve">         </v>
      </c>
      <c r="R1322" t="str">
        <f t="shared" si="353"/>
        <v xml:space="preserve">    54.0 </v>
      </c>
      <c r="S1322" t="str">
        <f t="shared" si="361"/>
        <v xml:space="preserve">    79.0 </v>
      </c>
      <c r="T1322" t="str">
        <f t="shared" si="362"/>
        <v xml:space="preserve">    79.0 </v>
      </c>
      <c r="U1322" t="str">
        <f t="shared" si="366"/>
        <v xml:space="preserve">       16.9% </v>
      </c>
      <c r="V1322" t="str">
        <f t="shared" si="354"/>
        <v xml:space="preserve">         </v>
      </c>
      <c r="W1322" t="str">
        <f t="shared" si="363"/>
        <v xml:space="preserve">         </v>
      </c>
      <c r="X1322" t="str">
        <f t="shared" si="367"/>
        <v xml:space="preserve">  9298 </v>
      </c>
      <c r="Y1322" t="str">
        <f t="shared" si="367"/>
        <v xml:space="preserve"> RANDON-RS069 </v>
      </c>
      <c r="Z1322" t="str">
        <f t="shared" si="367"/>
        <v xml:space="preserve">  1 </v>
      </c>
      <c r="AA1322" t="str">
        <f t="shared" si="355"/>
        <v xml:space="preserve">     8.5 </v>
      </c>
      <c r="AB1322" t="str">
        <f t="shared" si="364"/>
        <v xml:space="preserve">     3.6 </v>
      </c>
      <c r="AC1322" t="str">
        <f t="shared" si="365"/>
        <v xml:space="preserve">     9.1 </v>
      </c>
      <c r="AD1322" t="str">
        <f t="shared" si="366"/>
        <v xml:space="preserve">        </v>
      </c>
      <c r="AE1322" t="str">
        <f t="shared" si="356"/>
        <v xml:space="preserve">       </v>
      </c>
      <c r="AF1322" t="str">
        <f t="shared" si="368"/>
        <v xml:space="preserve">     </v>
      </c>
      <c r="AG1322" t="str">
        <f t="shared" si="368"/>
        <v xml:space="preserve">     0.00 </v>
      </c>
      <c r="AH1322" t="str">
        <f t="shared" si="357"/>
        <v xml:space="preserve">    -0.01 </v>
      </c>
      <c r="AI1322" t="str">
        <f t="shared" si="358"/>
        <v xml:space="preserve">       </v>
      </c>
      <c r="AJ1322" t="str">
        <f t="shared" si="359"/>
        <v xml:space="preserve">      </v>
      </c>
    </row>
    <row r="1323" spans="1:36" x14ac:dyDescent="0.25">
      <c r="A1323" t="s">
        <v>14</v>
      </c>
      <c r="P1323" t="str">
        <f t="shared" si="360"/>
        <v xml:space="preserve">  ..............</v>
      </c>
      <c r="Q1323" t="str">
        <f t="shared" si="360"/>
        <v>.........</v>
      </c>
      <c r="R1323" t="str">
        <f t="shared" si="353"/>
        <v>.........</v>
      </c>
      <c r="S1323" t="str">
        <f t="shared" si="361"/>
        <v>.........</v>
      </c>
      <c r="T1323" t="str">
        <f t="shared" si="362"/>
        <v>.........</v>
      </c>
      <c r="U1323" t="str">
        <f t="shared" si="366"/>
        <v>.............</v>
      </c>
      <c r="V1323" t="str">
        <f t="shared" si="354"/>
        <v>.........</v>
      </c>
      <c r="W1323" t="str">
        <f t="shared" si="363"/>
        <v>.........</v>
      </c>
      <c r="X1323" t="str">
        <f t="shared" si="367"/>
        <v>.......</v>
      </c>
      <c r="Y1323" t="str">
        <f t="shared" si="367"/>
        <v>..............</v>
      </c>
      <c r="Z1323" t="str">
        <f t="shared" si="367"/>
        <v>....</v>
      </c>
      <c r="AA1323" t="str">
        <f t="shared" si="355"/>
        <v>.........</v>
      </c>
      <c r="AB1323" t="str">
        <f t="shared" si="364"/>
        <v>.........</v>
      </c>
      <c r="AC1323" t="str">
        <f t="shared" si="365"/>
        <v>.........</v>
      </c>
      <c r="AD1323" t="str">
        <f t="shared" si="366"/>
        <v>........</v>
      </c>
      <c r="AE1323" t="str">
        <f t="shared" si="356"/>
        <v>.......</v>
      </c>
      <c r="AF1323" t="str">
        <f t="shared" si="368"/>
        <v>.....</v>
      </c>
      <c r="AG1323" t="str">
        <f t="shared" si="368"/>
        <v>..........</v>
      </c>
      <c r="AH1323" t="str">
        <f t="shared" si="357"/>
        <v>..........</v>
      </c>
      <c r="AI1323" t="str">
        <f t="shared" si="358"/>
        <v>.......</v>
      </c>
      <c r="AJ1323" t="str">
        <f t="shared" si="359"/>
        <v>.......</v>
      </c>
    </row>
    <row r="1324" spans="1:36" x14ac:dyDescent="0.25">
      <c r="A1324" t="s">
        <v>1020</v>
      </c>
      <c r="P1324" t="str">
        <f t="shared" si="360"/>
        <v xml:space="preserve">   9298   69  0 </v>
      </c>
      <c r="Q1324" t="str">
        <f t="shared" si="360"/>
        <v xml:space="preserve">   1.011 </v>
      </c>
      <c r="R1324" t="str">
        <f t="shared" si="353"/>
        <v xml:space="preserve">     0.0 </v>
      </c>
      <c r="S1324" t="str">
        <f t="shared" si="361"/>
        <v xml:space="preserve">     0.0 </v>
      </c>
      <c r="T1324" t="str">
        <f t="shared" si="362"/>
        <v xml:space="preserve">     8.5 </v>
      </c>
      <c r="U1324" t="str">
        <f t="shared" si="366"/>
        <v xml:space="preserve">         0.0 </v>
      </c>
      <c r="V1324" t="str">
        <f t="shared" si="354"/>
        <v xml:space="preserve">     0.0 </v>
      </c>
      <c r="W1324" t="str">
        <f t="shared" si="363"/>
        <v xml:space="preserve">     0.0</v>
      </c>
      <c r="X1324" t="str">
        <f t="shared" si="367"/>
        <v/>
      </c>
      <c r="Y1324" t="str">
        <f t="shared" si="367"/>
        <v/>
      </c>
      <c r="Z1324" t="str">
        <f t="shared" si="367"/>
        <v/>
      </c>
      <c r="AA1324" t="str">
        <f t="shared" si="355"/>
        <v/>
      </c>
      <c r="AB1324" t="str">
        <f t="shared" si="364"/>
        <v/>
      </c>
      <c r="AC1324" t="str">
        <f t="shared" si="365"/>
        <v/>
      </c>
      <c r="AD1324" t="str">
        <f t="shared" si="366"/>
        <v/>
      </c>
      <c r="AE1324" t="str">
        <f t="shared" si="356"/>
        <v/>
      </c>
      <c r="AF1324" t="str">
        <f t="shared" si="368"/>
        <v/>
      </c>
      <c r="AG1324" t="str">
        <f t="shared" si="368"/>
        <v/>
      </c>
      <c r="AH1324" t="str">
        <f t="shared" si="357"/>
        <v/>
      </c>
      <c r="AI1324" t="str">
        <f t="shared" si="358"/>
        <v/>
      </c>
      <c r="AJ1324" t="str">
        <f t="shared" si="359"/>
        <v/>
      </c>
    </row>
    <row r="1325" spans="1:36" x14ac:dyDescent="0.25">
      <c r="A1325" t="s">
        <v>1021</v>
      </c>
      <c r="P1325" t="str">
        <f t="shared" si="360"/>
        <v xml:space="preserve">  RANDON-RS069  </v>
      </c>
      <c r="Q1325" t="str">
        <f t="shared" si="360"/>
        <v xml:space="preserve">   -50.5 </v>
      </c>
      <c r="R1325" t="str">
        <f t="shared" si="353"/>
        <v xml:space="preserve">     0.0 </v>
      </c>
      <c r="S1325" t="str">
        <f t="shared" si="361"/>
        <v xml:space="preserve">     0.0 </v>
      </c>
      <c r="T1325" t="str">
        <f t="shared" si="362"/>
        <v xml:space="preserve">     3.6 </v>
      </c>
      <c r="U1325" t="str">
        <f t="shared" si="366"/>
        <v xml:space="preserve">         0.0 </v>
      </c>
      <c r="V1325" t="str">
        <f t="shared" si="354"/>
        <v xml:space="preserve">     0.0 </v>
      </c>
      <c r="W1325" t="str">
        <f t="shared" si="363"/>
        <v xml:space="preserve">     0.0 </v>
      </c>
      <c r="X1325" t="str">
        <f t="shared" si="367"/>
        <v xml:space="preserve">       </v>
      </c>
      <c r="Y1325" t="str">
        <f t="shared" si="367"/>
        <v xml:space="preserve">              </v>
      </c>
      <c r="Z1325" t="str">
        <f t="shared" si="367"/>
        <v xml:space="preserve">    </v>
      </c>
      <c r="AA1325" t="str">
        <f t="shared" si="355"/>
        <v xml:space="preserve">         </v>
      </c>
      <c r="AB1325" t="str">
        <f t="shared" si="364"/>
        <v xml:space="preserve">         </v>
      </c>
      <c r="AC1325" t="str">
        <f t="shared" si="365"/>
        <v xml:space="preserve">    </v>
      </c>
      <c r="AD1325" t="str">
        <f t="shared" si="366"/>
        <v/>
      </c>
      <c r="AE1325" t="str">
        <f t="shared" si="356"/>
        <v/>
      </c>
      <c r="AF1325" t="str">
        <f t="shared" si="368"/>
        <v/>
      </c>
      <c r="AG1325" t="str">
        <f t="shared" si="368"/>
        <v/>
      </c>
      <c r="AH1325" t="str">
        <f t="shared" si="357"/>
        <v/>
      </c>
      <c r="AI1325" t="str">
        <f t="shared" si="358"/>
        <v/>
      </c>
      <c r="AJ1325" t="str">
        <f t="shared" si="359"/>
        <v/>
      </c>
    </row>
    <row r="1326" spans="1:36" x14ac:dyDescent="0.25">
      <c r="A1326" t="s">
        <v>1022</v>
      </c>
      <c r="P1326" t="str">
        <f t="shared" si="360"/>
        <v xml:space="preserve">                </v>
      </c>
      <c r="Q1326" t="str">
        <f t="shared" si="360"/>
        <v xml:space="preserve">         </v>
      </c>
      <c r="R1326" t="str">
        <f t="shared" si="353"/>
        <v xml:space="preserve">    54.0 </v>
      </c>
      <c r="S1326" t="str">
        <f t="shared" si="361"/>
        <v xml:space="preserve">    79.0 </v>
      </c>
      <c r="T1326" t="str">
        <f t="shared" si="362"/>
        <v xml:space="preserve">    79.0 </v>
      </c>
      <c r="U1326" t="str">
        <f t="shared" si="366"/>
        <v xml:space="preserve">       16.9% </v>
      </c>
      <c r="V1326" t="str">
        <f t="shared" si="354"/>
        <v xml:space="preserve">         </v>
      </c>
      <c r="W1326" t="str">
        <f t="shared" si="363"/>
        <v xml:space="preserve">         </v>
      </c>
      <c r="X1326" t="str">
        <f t="shared" si="367"/>
        <v xml:space="preserve">  9297 </v>
      </c>
      <c r="Y1326" t="str">
        <f t="shared" si="367"/>
        <v xml:space="preserve"> RANDONTAP069 </v>
      </c>
      <c r="Z1326" t="str">
        <f t="shared" si="367"/>
        <v xml:space="preserve">  1 </v>
      </c>
      <c r="AA1326" t="str">
        <f t="shared" si="355"/>
        <v xml:space="preserve">    -8.5 </v>
      </c>
      <c r="AB1326" t="str">
        <f t="shared" si="364"/>
        <v xml:space="preserve">    -3.6 </v>
      </c>
      <c r="AC1326" t="str">
        <f t="shared" si="365"/>
        <v xml:space="preserve">     9.1 </v>
      </c>
      <c r="AD1326" t="str">
        <f t="shared" si="366"/>
        <v xml:space="preserve">        </v>
      </c>
      <c r="AE1326" t="str">
        <f t="shared" si="356"/>
        <v xml:space="preserve">       </v>
      </c>
      <c r="AF1326" t="str">
        <f t="shared" si="368"/>
        <v xml:space="preserve">     </v>
      </c>
      <c r="AG1326" t="str">
        <f t="shared" si="368"/>
        <v xml:space="preserve">     0.00 </v>
      </c>
      <c r="AH1326" t="str">
        <f t="shared" si="357"/>
        <v xml:space="preserve">    -0.01 </v>
      </c>
      <c r="AI1326" t="str">
        <f t="shared" si="358"/>
        <v xml:space="preserve">       </v>
      </c>
      <c r="AJ1326" t="str">
        <f t="shared" si="359"/>
        <v xml:space="preserve">      </v>
      </c>
    </row>
    <row r="1327" spans="1:36" x14ac:dyDescent="0.25">
      <c r="A1327" t="s">
        <v>14</v>
      </c>
      <c r="P1327" t="str">
        <f t="shared" si="360"/>
        <v xml:space="preserve">  ..............</v>
      </c>
      <c r="Q1327" t="str">
        <f t="shared" si="360"/>
        <v>.........</v>
      </c>
      <c r="R1327" t="str">
        <f t="shared" si="353"/>
        <v>.........</v>
      </c>
      <c r="S1327" t="str">
        <f t="shared" si="361"/>
        <v>.........</v>
      </c>
      <c r="T1327" t="str">
        <f t="shared" si="362"/>
        <v>.........</v>
      </c>
      <c r="U1327" t="str">
        <f t="shared" si="366"/>
        <v>.............</v>
      </c>
      <c r="V1327" t="str">
        <f t="shared" si="354"/>
        <v>.........</v>
      </c>
      <c r="W1327" t="str">
        <f t="shared" si="363"/>
        <v>.........</v>
      </c>
      <c r="X1327" t="str">
        <f t="shared" si="367"/>
        <v>.......</v>
      </c>
      <c r="Y1327" t="str">
        <f t="shared" si="367"/>
        <v>..............</v>
      </c>
      <c r="Z1327" t="str">
        <f t="shared" si="367"/>
        <v>....</v>
      </c>
      <c r="AA1327" t="str">
        <f t="shared" si="355"/>
        <v>.........</v>
      </c>
      <c r="AB1327" t="str">
        <f t="shared" si="364"/>
        <v>.........</v>
      </c>
      <c r="AC1327" t="str">
        <f t="shared" si="365"/>
        <v>.........</v>
      </c>
      <c r="AD1327" t="str">
        <f t="shared" si="366"/>
        <v>........</v>
      </c>
      <c r="AE1327" t="str">
        <f t="shared" si="356"/>
        <v>.......</v>
      </c>
      <c r="AF1327" t="str">
        <f t="shared" si="368"/>
        <v>.....</v>
      </c>
      <c r="AG1327" t="str">
        <f t="shared" si="368"/>
        <v>..........</v>
      </c>
      <c r="AH1327" t="str">
        <f t="shared" si="357"/>
        <v>..........</v>
      </c>
      <c r="AI1327" t="str">
        <f t="shared" si="358"/>
        <v>.......</v>
      </c>
      <c r="AJ1327" t="str">
        <f t="shared" si="359"/>
        <v>.......</v>
      </c>
    </row>
    <row r="1328" spans="1:36" x14ac:dyDescent="0.25">
      <c r="A1328" t="s">
        <v>1023</v>
      </c>
      <c r="P1328" t="str">
        <f t="shared" si="360"/>
        <v xml:space="preserve">   9299   69  0 </v>
      </c>
      <c r="Q1328" t="str">
        <f t="shared" si="360"/>
        <v xml:space="preserve">   0.989 </v>
      </c>
      <c r="R1328" t="str">
        <f t="shared" si="353"/>
        <v xml:space="preserve">     4.3 </v>
      </c>
      <c r="S1328" t="str">
        <f t="shared" si="361"/>
        <v xml:space="preserve">     0.0 </v>
      </c>
      <c r="T1328" t="str">
        <f t="shared" si="362"/>
        <v xml:space="preserve">    27.6 </v>
      </c>
      <c r="U1328" t="str">
        <f t="shared" si="366"/>
        <v xml:space="preserve">         0.0 </v>
      </c>
      <c r="V1328" t="str">
        <f t="shared" si="354"/>
        <v xml:space="preserve">     3.5 </v>
      </c>
      <c r="W1328" t="str">
        <f t="shared" si="363"/>
        <v xml:space="preserve">     0.0</v>
      </c>
      <c r="X1328" t="str">
        <f t="shared" si="367"/>
        <v/>
      </c>
      <c r="Y1328" t="str">
        <f t="shared" si="367"/>
        <v/>
      </c>
      <c r="Z1328" t="str">
        <f t="shared" si="367"/>
        <v/>
      </c>
      <c r="AA1328" t="str">
        <f t="shared" si="355"/>
        <v/>
      </c>
      <c r="AB1328" t="str">
        <f t="shared" si="364"/>
        <v/>
      </c>
      <c r="AC1328" t="str">
        <f t="shared" si="365"/>
        <v/>
      </c>
      <c r="AD1328" t="str">
        <f t="shared" si="366"/>
        <v/>
      </c>
      <c r="AE1328" t="str">
        <f t="shared" si="356"/>
        <v/>
      </c>
      <c r="AF1328" t="str">
        <f t="shared" si="368"/>
        <v/>
      </c>
      <c r="AG1328" t="str">
        <f t="shared" si="368"/>
        <v/>
      </c>
      <c r="AH1328" t="str">
        <f t="shared" si="357"/>
        <v/>
      </c>
      <c r="AI1328" t="str">
        <f t="shared" si="358"/>
        <v/>
      </c>
      <c r="AJ1328" t="str">
        <f t="shared" si="359"/>
        <v/>
      </c>
    </row>
    <row r="1329" spans="1:36" x14ac:dyDescent="0.25">
      <c r="A1329" t="s">
        <v>1024</v>
      </c>
      <c r="P1329" t="str">
        <f t="shared" si="360"/>
        <v xml:space="preserve">  FCUNHA-RS069  </v>
      </c>
      <c r="Q1329" t="str">
        <f t="shared" si="360"/>
        <v xml:space="preserve">   -52.1 </v>
      </c>
      <c r="R1329" t="str">
        <f t="shared" si="353"/>
        <v xml:space="preserve">     0.0 </v>
      </c>
      <c r="S1329" t="str">
        <f t="shared" si="361"/>
        <v xml:space="preserve">     0.0 </v>
      </c>
      <c r="T1329" t="str">
        <f t="shared" si="362"/>
        <v xml:space="preserve">    13.0 </v>
      </c>
      <c r="U1329" t="str">
        <f t="shared" si="366"/>
        <v xml:space="preserve">         0.0 </v>
      </c>
      <c r="V1329" t="str">
        <f t="shared" si="354"/>
        <v xml:space="preserve">     0.0 </v>
      </c>
      <c r="W1329" t="str">
        <f t="shared" si="363"/>
        <v xml:space="preserve">     0.0 </v>
      </c>
      <c r="X1329" t="str">
        <f t="shared" si="367"/>
        <v xml:space="preserve">       </v>
      </c>
      <c r="Y1329" t="str">
        <f t="shared" si="367"/>
        <v xml:space="preserve">              </v>
      </c>
      <c r="Z1329" t="str">
        <f t="shared" si="367"/>
        <v xml:space="preserve">    </v>
      </c>
      <c r="AA1329" t="str">
        <f t="shared" si="355"/>
        <v xml:space="preserve">         </v>
      </c>
      <c r="AB1329" t="str">
        <f t="shared" si="364"/>
        <v xml:space="preserve">         </v>
      </c>
      <c r="AC1329" t="str">
        <f t="shared" si="365"/>
        <v xml:space="preserve">    </v>
      </c>
      <c r="AD1329" t="str">
        <f t="shared" si="366"/>
        <v/>
      </c>
      <c r="AE1329" t="str">
        <f t="shared" si="356"/>
        <v/>
      </c>
      <c r="AF1329" t="str">
        <f t="shared" si="368"/>
        <v/>
      </c>
      <c r="AG1329" t="str">
        <f t="shared" si="368"/>
        <v/>
      </c>
      <c r="AH1329" t="str">
        <f t="shared" si="357"/>
        <v/>
      </c>
      <c r="AI1329" t="str">
        <f t="shared" si="358"/>
        <v/>
      </c>
      <c r="AJ1329" t="str">
        <f t="shared" si="359"/>
        <v/>
      </c>
    </row>
    <row r="1330" spans="1:36" x14ac:dyDescent="0.25">
      <c r="A1330" t="s">
        <v>1025</v>
      </c>
      <c r="P1330" t="str">
        <f t="shared" si="360"/>
        <v xml:space="preserve">                </v>
      </c>
      <c r="Q1330" t="str">
        <f t="shared" si="360"/>
        <v xml:space="preserve">         </v>
      </c>
      <c r="R1330" t="str">
        <f t="shared" si="353"/>
        <v xml:space="preserve">    84.0 </v>
      </c>
      <c r="S1330" t="str">
        <f t="shared" si="361"/>
        <v xml:space="preserve">   101.0 </v>
      </c>
      <c r="T1330" t="str">
        <f t="shared" si="362"/>
        <v xml:space="preserve">   101.0 </v>
      </c>
      <c r="U1330" t="str">
        <f t="shared" si="366"/>
        <v xml:space="preserve">       30.3% </v>
      </c>
      <c r="V1330" t="str">
        <f t="shared" si="354"/>
        <v xml:space="preserve">         </v>
      </c>
      <c r="W1330" t="str">
        <f t="shared" si="363"/>
        <v xml:space="preserve">         </v>
      </c>
      <c r="X1330" t="str">
        <f t="shared" si="367"/>
        <v xml:space="preserve">  1201 </v>
      </c>
      <c r="Y1330" t="str">
        <f t="shared" si="367"/>
        <v xml:space="preserve"> CAXIA2-RS069 </v>
      </c>
      <c r="Z1330" t="str">
        <f t="shared" si="367"/>
        <v xml:space="preserve">  1 </v>
      </c>
      <c r="AA1330" t="str">
        <f t="shared" si="355"/>
        <v xml:space="preserve">   -23.3 </v>
      </c>
      <c r="AB1330" t="str">
        <f t="shared" si="364"/>
        <v xml:space="preserve">    -9.5 </v>
      </c>
      <c r="AC1330" t="str">
        <f t="shared" si="365"/>
        <v xml:space="preserve">    25.4 </v>
      </c>
      <c r="AD1330" t="str">
        <f t="shared" si="366"/>
        <v xml:space="preserve">        </v>
      </c>
      <c r="AE1330" t="str">
        <f t="shared" si="356"/>
        <v xml:space="preserve">       </v>
      </c>
      <c r="AF1330" t="str">
        <f t="shared" si="368"/>
        <v xml:space="preserve">     </v>
      </c>
      <c r="AG1330" t="str">
        <f t="shared" si="368"/>
        <v xml:space="preserve">     0.25 </v>
      </c>
      <c r="AH1330" t="str">
        <f t="shared" si="357"/>
        <v xml:space="preserve">     0.70 </v>
      </c>
      <c r="AI1330" t="str">
        <f t="shared" si="358"/>
        <v xml:space="preserve">       </v>
      </c>
      <c r="AJ1330" t="str">
        <f t="shared" si="359"/>
        <v xml:space="preserve">      </v>
      </c>
    </row>
    <row r="1331" spans="1:36" x14ac:dyDescent="0.25">
      <c r="A1331" t="s">
        <v>14</v>
      </c>
      <c r="P1331" t="str">
        <f t="shared" si="360"/>
        <v xml:space="preserve">  ..............</v>
      </c>
      <c r="Q1331" t="str">
        <f t="shared" si="360"/>
        <v>.........</v>
      </c>
      <c r="R1331" t="str">
        <f t="shared" si="353"/>
        <v>.........</v>
      </c>
      <c r="S1331" t="str">
        <f t="shared" si="361"/>
        <v>.........</v>
      </c>
      <c r="T1331" t="str">
        <f t="shared" si="362"/>
        <v>.........</v>
      </c>
      <c r="U1331" t="str">
        <f t="shared" si="366"/>
        <v>.............</v>
      </c>
      <c r="V1331" t="str">
        <f t="shared" si="354"/>
        <v>.........</v>
      </c>
      <c r="W1331" t="str">
        <f t="shared" si="363"/>
        <v>.........</v>
      </c>
      <c r="X1331" t="str">
        <f t="shared" si="367"/>
        <v>.......</v>
      </c>
      <c r="Y1331" t="str">
        <f t="shared" si="367"/>
        <v>..............</v>
      </c>
      <c r="Z1331" t="str">
        <f t="shared" si="367"/>
        <v>....</v>
      </c>
      <c r="AA1331" t="str">
        <f t="shared" si="355"/>
        <v>.........</v>
      </c>
      <c r="AB1331" t="str">
        <f t="shared" si="364"/>
        <v>.........</v>
      </c>
      <c r="AC1331" t="str">
        <f t="shared" si="365"/>
        <v>.........</v>
      </c>
      <c r="AD1331" t="str">
        <f t="shared" si="366"/>
        <v>........</v>
      </c>
      <c r="AE1331" t="str">
        <f t="shared" si="356"/>
        <v>.......</v>
      </c>
      <c r="AF1331" t="str">
        <f t="shared" si="368"/>
        <v>.....</v>
      </c>
      <c r="AG1331" t="str">
        <f t="shared" si="368"/>
        <v>..........</v>
      </c>
      <c r="AH1331" t="str">
        <f t="shared" si="357"/>
        <v>..........</v>
      </c>
      <c r="AI1331" t="str">
        <f t="shared" si="358"/>
        <v>.......</v>
      </c>
      <c r="AJ1331" t="str">
        <f t="shared" si="359"/>
        <v>.......</v>
      </c>
    </row>
    <row r="1332" spans="1:36" x14ac:dyDescent="0.25">
      <c r="A1332" t="s">
        <v>1026</v>
      </c>
      <c r="P1332" t="str">
        <f t="shared" si="360"/>
        <v xml:space="preserve">   9300   14  0 </v>
      </c>
      <c r="Q1332" t="str">
        <f t="shared" si="360"/>
        <v xml:space="preserve">   0.965 </v>
      </c>
      <c r="R1332" t="str">
        <f t="shared" si="353"/>
        <v xml:space="preserve">     0.3 </v>
      </c>
      <c r="S1332" t="str">
        <f t="shared" si="361"/>
        <v xml:space="preserve">     0.0 </v>
      </c>
      <c r="T1332" t="str">
        <f t="shared" si="362"/>
        <v xml:space="preserve">     2.8 </v>
      </c>
      <c r="U1332" t="str">
        <f t="shared" si="366"/>
        <v xml:space="preserve">         0.0 </v>
      </c>
      <c r="V1332" t="str">
        <f t="shared" si="354"/>
        <v xml:space="preserve">     0.0 </v>
      </c>
      <c r="W1332" t="str">
        <f t="shared" si="363"/>
        <v xml:space="preserve">     0.0</v>
      </c>
      <c r="X1332" t="str">
        <f t="shared" si="367"/>
        <v/>
      </c>
      <c r="Y1332" t="str">
        <f t="shared" si="367"/>
        <v/>
      </c>
      <c r="Z1332" t="str">
        <f t="shared" si="367"/>
        <v/>
      </c>
      <c r="AA1332" t="str">
        <f t="shared" si="355"/>
        <v/>
      </c>
      <c r="AB1332" t="str">
        <f t="shared" si="364"/>
        <v/>
      </c>
      <c r="AC1332" t="str">
        <f t="shared" si="365"/>
        <v/>
      </c>
      <c r="AD1332" t="str">
        <f t="shared" si="366"/>
        <v/>
      </c>
      <c r="AE1332" t="str">
        <f t="shared" si="356"/>
        <v/>
      </c>
      <c r="AF1332" t="str">
        <f t="shared" si="368"/>
        <v/>
      </c>
      <c r="AG1332" t="str">
        <f t="shared" si="368"/>
        <v/>
      </c>
      <c r="AH1332" t="str">
        <f t="shared" si="357"/>
        <v/>
      </c>
      <c r="AI1332" t="str">
        <f t="shared" si="358"/>
        <v/>
      </c>
      <c r="AJ1332" t="str">
        <f t="shared" si="359"/>
        <v/>
      </c>
    </row>
    <row r="1333" spans="1:36" x14ac:dyDescent="0.25">
      <c r="A1333" t="s">
        <v>1027</v>
      </c>
      <c r="P1333" t="str">
        <f t="shared" si="360"/>
        <v xml:space="preserve">  PALE6B-RS013  </v>
      </c>
      <c r="Q1333" t="str">
        <f t="shared" si="360"/>
        <v xml:space="preserve">   -55.1 </v>
      </c>
      <c r="R1333" t="str">
        <f t="shared" si="353"/>
        <v xml:space="preserve">     0.0 </v>
      </c>
      <c r="S1333" t="str">
        <f t="shared" si="361"/>
        <v xml:space="preserve">     0.0 </v>
      </c>
      <c r="T1333" t="str">
        <f t="shared" si="362"/>
        <v xml:space="preserve">     1.2 </v>
      </c>
      <c r="U1333" t="str">
        <f t="shared" si="366"/>
        <v xml:space="preserve">         0.0 </v>
      </c>
      <c r="V1333" t="str">
        <f t="shared" si="354"/>
        <v xml:space="preserve">     0.0 </v>
      </c>
      <c r="W1333" t="str">
        <f t="shared" si="363"/>
        <v xml:space="preserve">     0.0 </v>
      </c>
      <c r="X1333" t="str">
        <f t="shared" si="367"/>
        <v xml:space="preserve">       </v>
      </c>
      <c r="Y1333" t="str">
        <f t="shared" si="367"/>
        <v xml:space="preserve">              </v>
      </c>
      <c r="Z1333" t="str">
        <f t="shared" si="367"/>
        <v xml:space="preserve">    </v>
      </c>
      <c r="AA1333" t="str">
        <f t="shared" si="355"/>
        <v xml:space="preserve">         </v>
      </c>
      <c r="AB1333" t="str">
        <f t="shared" si="364"/>
        <v xml:space="preserve">         </v>
      </c>
      <c r="AC1333" t="str">
        <f t="shared" si="365"/>
        <v xml:space="preserve">    </v>
      </c>
      <c r="AD1333" t="str">
        <f t="shared" si="366"/>
        <v/>
      </c>
      <c r="AE1333" t="str">
        <f t="shared" si="356"/>
        <v/>
      </c>
      <c r="AF1333" t="str">
        <f t="shared" si="368"/>
        <v/>
      </c>
      <c r="AG1333" t="str">
        <f t="shared" si="368"/>
        <v/>
      </c>
      <c r="AH1333" t="str">
        <f t="shared" si="357"/>
        <v/>
      </c>
      <c r="AI1333" t="str">
        <f t="shared" si="358"/>
        <v/>
      </c>
      <c r="AJ1333" t="str">
        <f t="shared" si="359"/>
        <v/>
      </c>
    </row>
    <row r="1334" spans="1:36" x14ac:dyDescent="0.25">
      <c r="A1334" t="s">
        <v>1028</v>
      </c>
      <c r="P1334" t="str">
        <f t="shared" si="360"/>
        <v xml:space="preserve">                </v>
      </c>
      <c r="Q1334" t="str">
        <f t="shared" si="360"/>
        <v xml:space="preserve">         </v>
      </c>
      <c r="R1334" t="str">
        <f t="shared" si="353"/>
        <v xml:space="preserve">    31.0 </v>
      </c>
      <c r="S1334" t="str">
        <f t="shared" si="361"/>
        <v xml:space="preserve">    31.0 </v>
      </c>
      <c r="T1334" t="str">
        <f t="shared" si="362"/>
        <v xml:space="preserve">    31.0 </v>
      </c>
      <c r="U1334" t="str">
        <f t="shared" si="366"/>
        <v xml:space="preserve">        9.3% </v>
      </c>
      <c r="V1334" t="str">
        <f t="shared" si="354"/>
        <v xml:space="preserve">         </v>
      </c>
      <c r="W1334" t="str">
        <f t="shared" si="363"/>
        <v xml:space="preserve">         </v>
      </c>
      <c r="X1334" t="str">
        <f t="shared" si="367"/>
        <v xml:space="preserve">  1262 </v>
      </c>
      <c r="Y1334" t="str">
        <f t="shared" si="367"/>
        <v xml:space="preserve"> PALGR6-RS069 </v>
      </c>
      <c r="Z1334" t="str">
        <f t="shared" si="367"/>
        <v xml:space="preserve">  1 </v>
      </c>
      <c r="AA1334" t="str">
        <f t="shared" si="355"/>
        <v xml:space="preserve">    -2.5 </v>
      </c>
      <c r="AB1334" t="str">
        <f t="shared" si="364"/>
        <v xml:space="preserve">    -1.2 </v>
      </c>
      <c r="AC1334" t="str">
        <f t="shared" si="365"/>
        <v xml:space="preserve">     2.9 </v>
      </c>
      <c r="AD1334" t="str">
        <f t="shared" si="366"/>
        <v xml:space="preserve">        </v>
      </c>
      <c r="AE1334" t="str">
        <f t="shared" si="356"/>
        <v xml:space="preserve">       </v>
      </c>
      <c r="AF1334" t="str">
        <f t="shared" si="368"/>
        <v xml:space="preserve">     </v>
      </c>
      <c r="AG1334" t="str">
        <f t="shared" si="368"/>
        <v xml:space="preserve">     0.00 </v>
      </c>
      <c r="AH1334" t="str">
        <f t="shared" si="357"/>
        <v xml:space="preserve">     0.03 </v>
      </c>
      <c r="AI1334" t="str">
        <f t="shared" si="358"/>
        <v xml:space="preserve">       </v>
      </c>
      <c r="AJ1334" t="str">
        <f t="shared" si="359"/>
        <v xml:space="preserve">      </v>
      </c>
    </row>
    <row r="1335" spans="1:36" x14ac:dyDescent="0.25">
      <c r="A1335" t="s">
        <v>14</v>
      </c>
      <c r="P1335" t="str">
        <f t="shared" si="360"/>
        <v xml:space="preserve">  ..............</v>
      </c>
      <c r="Q1335" t="str">
        <f t="shared" si="360"/>
        <v>.........</v>
      </c>
      <c r="R1335" t="str">
        <f t="shared" si="353"/>
        <v>.........</v>
      </c>
      <c r="S1335" t="str">
        <f t="shared" si="361"/>
        <v>.........</v>
      </c>
      <c r="T1335" t="str">
        <f t="shared" si="362"/>
        <v>.........</v>
      </c>
      <c r="U1335" t="str">
        <f t="shared" si="366"/>
        <v>.............</v>
      </c>
      <c r="V1335" t="str">
        <f t="shared" si="354"/>
        <v>.........</v>
      </c>
      <c r="W1335" t="str">
        <f t="shared" si="363"/>
        <v>.........</v>
      </c>
      <c r="X1335" t="str">
        <f t="shared" si="367"/>
        <v>.......</v>
      </c>
      <c r="Y1335" t="str">
        <f t="shared" si="367"/>
        <v>..............</v>
      </c>
      <c r="Z1335" t="str">
        <f t="shared" si="367"/>
        <v>....</v>
      </c>
      <c r="AA1335" t="str">
        <f t="shared" si="355"/>
        <v>.........</v>
      </c>
      <c r="AB1335" t="str">
        <f t="shared" si="364"/>
        <v>.........</v>
      </c>
      <c r="AC1335" t="str">
        <f t="shared" si="365"/>
        <v>.........</v>
      </c>
      <c r="AD1335" t="str">
        <f t="shared" si="366"/>
        <v>........</v>
      </c>
      <c r="AE1335" t="str">
        <f t="shared" si="356"/>
        <v>.......</v>
      </c>
      <c r="AF1335" t="str">
        <f t="shared" si="368"/>
        <v>.....</v>
      </c>
      <c r="AG1335" t="str">
        <f t="shared" si="368"/>
        <v>..........</v>
      </c>
      <c r="AH1335" t="str">
        <f t="shared" si="357"/>
        <v>..........</v>
      </c>
      <c r="AI1335" t="str">
        <f t="shared" si="358"/>
        <v>.......</v>
      </c>
      <c r="AJ1335" t="str">
        <f t="shared" si="359"/>
        <v>.......</v>
      </c>
    </row>
    <row r="1336" spans="1:36" x14ac:dyDescent="0.25">
      <c r="A1336" t="s">
        <v>1029</v>
      </c>
      <c r="P1336" t="str">
        <f t="shared" si="360"/>
        <v xml:space="preserve">   9301   14  0 </v>
      </c>
      <c r="Q1336" t="str">
        <f t="shared" si="360"/>
        <v xml:space="preserve">   1.051 </v>
      </c>
      <c r="R1336" t="str">
        <f t="shared" si="353"/>
        <v xml:space="preserve">     0.4 </v>
      </c>
      <c r="S1336" t="str">
        <f t="shared" si="361"/>
        <v xml:space="preserve">     0.0 </v>
      </c>
      <c r="T1336" t="str">
        <f t="shared" si="362"/>
        <v xml:space="preserve">    17.8 </v>
      </c>
      <c r="U1336" t="str">
        <f t="shared" si="366"/>
        <v xml:space="preserve">         0.0 </v>
      </c>
      <c r="V1336" t="str">
        <f t="shared" si="354"/>
        <v xml:space="preserve">     4.0 </v>
      </c>
      <c r="W1336" t="str">
        <f t="shared" si="363"/>
        <v xml:space="preserve">     0.0</v>
      </c>
      <c r="X1336" t="str">
        <f t="shared" si="367"/>
        <v/>
      </c>
      <c r="Y1336" t="str">
        <f t="shared" si="367"/>
        <v/>
      </c>
      <c r="Z1336" t="str">
        <f t="shared" si="367"/>
        <v/>
      </c>
      <c r="AA1336" t="str">
        <f t="shared" si="355"/>
        <v/>
      </c>
      <c r="AB1336" t="str">
        <f t="shared" si="364"/>
        <v/>
      </c>
      <c r="AC1336" t="str">
        <f t="shared" si="365"/>
        <v/>
      </c>
      <c r="AD1336" t="str">
        <f t="shared" si="366"/>
        <v/>
      </c>
      <c r="AE1336" t="str">
        <f t="shared" si="356"/>
        <v/>
      </c>
      <c r="AF1336" t="str">
        <f t="shared" si="368"/>
        <v/>
      </c>
      <c r="AG1336" t="str">
        <f t="shared" si="368"/>
        <v/>
      </c>
      <c r="AH1336" t="str">
        <f t="shared" si="357"/>
        <v/>
      </c>
      <c r="AI1336" t="str">
        <f t="shared" si="358"/>
        <v/>
      </c>
      <c r="AJ1336" t="str">
        <f t="shared" si="359"/>
        <v/>
      </c>
    </row>
    <row r="1337" spans="1:36" x14ac:dyDescent="0.25">
      <c r="A1337" t="s">
        <v>1030</v>
      </c>
      <c r="P1337" t="str">
        <f t="shared" si="360"/>
        <v xml:space="preserve">  PAL10B-RS013  </v>
      </c>
      <c r="Q1337" t="str">
        <f t="shared" si="360"/>
        <v xml:space="preserve">   -54.2 </v>
      </c>
      <c r="R1337" t="str">
        <f t="shared" si="353"/>
        <v xml:space="preserve">     0.0 </v>
      </c>
      <c r="S1337" t="str">
        <f t="shared" si="361"/>
        <v xml:space="preserve">     0.0 </v>
      </c>
      <c r="T1337" t="str">
        <f t="shared" si="362"/>
        <v xml:space="preserve">     3.9 </v>
      </c>
      <c r="U1337" t="str">
        <f t="shared" si="366"/>
        <v xml:space="preserve">         0.0 </v>
      </c>
      <c r="V1337" t="str">
        <f t="shared" si="354"/>
        <v xml:space="preserve">     0.0 </v>
      </c>
      <c r="W1337" t="str">
        <f t="shared" si="363"/>
        <v xml:space="preserve">     0.0 </v>
      </c>
      <c r="X1337" t="str">
        <f t="shared" si="367"/>
        <v xml:space="preserve">       </v>
      </c>
      <c r="Y1337" t="str">
        <f t="shared" si="367"/>
        <v xml:space="preserve">              </v>
      </c>
      <c r="Z1337" t="str">
        <f t="shared" si="367"/>
        <v xml:space="preserve">    </v>
      </c>
      <c r="AA1337" t="str">
        <f t="shared" si="355"/>
        <v xml:space="preserve">         </v>
      </c>
      <c r="AB1337" t="str">
        <f t="shared" si="364"/>
        <v xml:space="preserve">         </v>
      </c>
      <c r="AC1337" t="str">
        <f t="shared" si="365"/>
        <v xml:space="preserve">    </v>
      </c>
      <c r="AD1337" t="str">
        <f t="shared" si="366"/>
        <v/>
      </c>
      <c r="AE1337" t="str">
        <f t="shared" si="356"/>
        <v/>
      </c>
      <c r="AF1337" t="str">
        <f t="shared" si="368"/>
        <v/>
      </c>
      <c r="AG1337" t="str">
        <f t="shared" si="368"/>
        <v/>
      </c>
      <c r="AH1337" t="str">
        <f t="shared" si="357"/>
        <v/>
      </c>
      <c r="AI1337" t="str">
        <f t="shared" si="358"/>
        <v/>
      </c>
      <c r="AJ1337" t="str">
        <f t="shared" si="359"/>
        <v/>
      </c>
    </row>
    <row r="1338" spans="1:36" x14ac:dyDescent="0.25">
      <c r="A1338" t="s">
        <v>1031</v>
      </c>
      <c r="P1338" t="str">
        <f t="shared" si="360"/>
        <v xml:space="preserve">                </v>
      </c>
      <c r="Q1338" t="str">
        <f t="shared" si="360"/>
        <v xml:space="preserve">         </v>
      </c>
      <c r="R1338" t="str">
        <f t="shared" si="353"/>
        <v xml:space="preserve">    50.0 </v>
      </c>
      <c r="S1338" t="str">
        <f t="shared" si="361"/>
        <v xml:space="preserve">    50.0 </v>
      </c>
      <c r="T1338" t="str">
        <f t="shared" si="362"/>
        <v xml:space="preserve">    50.0 </v>
      </c>
      <c r="U1338" t="str">
        <f t="shared" si="366"/>
        <v xml:space="preserve">       33.1% </v>
      </c>
      <c r="V1338" t="str">
        <f t="shared" si="354"/>
        <v xml:space="preserve">         </v>
      </c>
      <c r="W1338" t="str">
        <f t="shared" si="363"/>
        <v xml:space="preserve">         </v>
      </c>
      <c r="X1338" t="str">
        <f t="shared" si="367"/>
        <v xml:space="preserve"> 41312 </v>
      </c>
      <c r="Y1338" t="str">
        <f t="shared" si="367"/>
        <v xml:space="preserve"> PA10-5-RS000 </v>
      </c>
      <c r="Z1338" t="str">
        <f t="shared" si="367"/>
        <v xml:space="preserve">  5 </v>
      </c>
      <c r="AA1338" t="str">
        <f t="shared" si="355"/>
        <v xml:space="preserve">   -17.4 </v>
      </c>
      <c r="AB1338" t="str">
        <f t="shared" si="364"/>
        <v xml:space="preserve">     0.1 </v>
      </c>
      <c r="AC1338" t="str">
        <f t="shared" si="365"/>
        <v xml:space="preserve">    16.6 </v>
      </c>
      <c r="AD1338" t="str">
        <f t="shared" si="366"/>
        <v xml:space="preserve"> 1.000F </v>
      </c>
      <c r="AE1338" t="str">
        <f t="shared" si="356"/>
        <v xml:space="preserve">       </v>
      </c>
      <c r="AF1338" t="str">
        <f t="shared" si="368"/>
        <v xml:space="preserve"> 002 </v>
      </c>
      <c r="AG1338" t="str">
        <f t="shared" si="368"/>
        <v xml:space="preserve">     0.01 </v>
      </c>
      <c r="AH1338" t="str">
        <f t="shared" si="357"/>
        <v xml:space="preserve">    -0.06 </v>
      </c>
      <c r="AI1338" t="str">
        <f t="shared" si="358"/>
        <v xml:space="preserve">       </v>
      </c>
      <c r="AJ1338" t="str">
        <f t="shared" si="359"/>
        <v xml:space="preserve">      </v>
      </c>
    </row>
    <row r="1339" spans="1:36" x14ac:dyDescent="0.25">
      <c r="A1339" t="s">
        <v>14</v>
      </c>
      <c r="P1339" t="str">
        <f t="shared" si="360"/>
        <v xml:space="preserve">  ..............</v>
      </c>
      <c r="Q1339" t="str">
        <f t="shared" si="360"/>
        <v>.........</v>
      </c>
      <c r="R1339" t="str">
        <f t="shared" si="353"/>
        <v>.........</v>
      </c>
      <c r="S1339" t="str">
        <f t="shared" si="361"/>
        <v>.........</v>
      </c>
      <c r="T1339" t="str">
        <f t="shared" si="362"/>
        <v>.........</v>
      </c>
      <c r="U1339" t="str">
        <f t="shared" si="366"/>
        <v>.............</v>
      </c>
      <c r="V1339" t="str">
        <f t="shared" si="354"/>
        <v>.........</v>
      </c>
      <c r="W1339" t="str">
        <f t="shared" si="363"/>
        <v>.........</v>
      </c>
      <c r="X1339" t="str">
        <f t="shared" si="367"/>
        <v>.......</v>
      </c>
      <c r="Y1339" t="str">
        <f t="shared" si="367"/>
        <v>..............</v>
      </c>
      <c r="Z1339" t="str">
        <f t="shared" si="367"/>
        <v>....</v>
      </c>
      <c r="AA1339" t="str">
        <f t="shared" si="355"/>
        <v>.........</v>
      </c>
      <c r="AB1339" t="str">
        <f t="shared" si="364"/>
        <v>.........</v>
      </c>
      <c r="AC1339" t="str">
        <f t="shared" si="365"/>
        <v>.........</v>
      </c>
      <c r="AD1339" t="str">
        <f t="shared" si="366"/>
        <v>........</v>
      </c>
      <c r="AE1339" t="str">
        <f t="shared" si="356"/>
        <v>.......</v>
      </c>
      <c r="AF1339" t="str">
        <f t="shared" si="368"/>
        <v>.....</v>
      </c>
      <c r="AG1339" t="str">
        <f t="shared" si="368"/>
        <v>..........</v>
      </c>
      <c r="AH1339" t="str">
        <f t="shared" si="357"/>
        <v>..........</v>
      </c>
      <c r="AI1339" t="str">
        <f t="shared" si="358"/>
        <v>.......</v>
      </c>
      <c r="AJ1339" t="str">
        <f t="shared" si="359"/>
        <v>.......</v>
      </c>
    </row>
    <row r="1340" spans="1:36" x14ac:dyDescent="0.25">
      <c r="A1340" t="s">
        <v>1032</v>
      </c>
      <c r="P1340" t="str">
        <f t="shared" si="360"/>
        <v xml:space="preserve">   9303   69  0 </v>
      </c>
      <c r="Q1340" t="str">
        <f t="shared" si="360"/>
        <v xml:space="preserve">   1.014 </v>
      </c>
      <c r="R1340" t="str">
        <f t="shared" si="353"/>
        <v xml:space="preserve">     0.0 </v>
      </c>
      <c r="S1340" t="str">
        <f t="shared" si="361"/>
        <v xml:space="preserve">     0.0 </v>
      </c>
      <c r="T1340" t="str">
        <f t="shared" si="362"/>
        <v xml:space="preserve">     0.0 </v>
      </c>
      <c r="U1340" t="str">
        <f t="shared" si="366"/>
        <v xml:space="preserve">         0.0 </v>
      </c>
      <c r="V1340" t="str">
        <f t="shared" si="354"/>
        <v xml:space="preserve">     0.0 </v>
      </c>
      <c r="W1340" t="str">
        <f t="shared" si="363"/>
        <v xml:space="preserve">     0.0</v>
      </c>
      <c r="X1340" t="str">
        <f t="shared" si="367"/>
        <v/>
      </c>
      <c r="Y1340" t="str">
        <f t="shared" si="367"/>
        <v/>
      </c>
      <c r="Z1340" t="str">
        <f t="shared" si="367"/>
        <v/>
      </c>
      <c r="AA1340" t="str">
        <f t="shared" si="355"/>
        <v/>
      </c>
      <c r="AB1340" t="str">
        <f t="shared" si="364"/>
        <v/>
      </c>
      <c r="AC1340" t="str">
        <f t="shared" si="365"/>
        <v/>
      </c>
      <c r="AD1340" t="str">
        <f t="shared" si="366"/>
        <v/>
      </c>
      <c r="AE1340" t="str">
        <f t="shared" si="356"/>
        <v/>
      </c>
      <c r="AF1340" t="str">
        <f t="shared" si="368"/>
        <v/>
      </c>
      <c r="AG1340" t="str">
        <f t="shared" si="368"/>
        <v/>
      </c>
      <c r="AH1340" t="str">
        <f t="shared" si="357"/>
        <v/>
      </c>
      <c r="AI1340" t="str">
        <f t="shared" si="358"/>
        <v/>
      </c>
      <c r="AJ1340" t="str">
        <f t="shared" si="359"/>
        <v/>
      </c>
    </row>
    <row r="1341" spans="1:36" x14ac:dyDescent="0.25">
      <c r="A1341" t="s">
        <v>1033</v>
      </c>
      <c r="P1341" t="str">
        <f t="shared" si="360"/>
        <v xml:space="preserve">  RESTIN-RS069  </v>
      </c>
      <c r="Q1341" t="str">
        <f t="shared" si="360"/>
        <v xml:space="preserve">   -55.0 </v>
      </c>
      <c r="R1341" t="str">
        <f t="shared" si="353"/>
        <v xml:space="preserve">     0.0 </v>
      </c>
      <c r="S1341" t="str">
        <f t="shared" si="361"/>
        <v xml:space="preserve">     0.0 </v>
      </c>
      <c r="T1341" t="str">
        <f t="shared" si="362"/>
        <v xml:space="preserve">     0.0 </v>
      </c>
      <c r="U1341" t="str">
        <f t="shared" si="366"/>
        <v xml:space="preserve">         0.0 </v>
      </c>
      <c r="V1341" t="str">
        <f t="shared" si="354"/>
        <v xml:space="preserve">     0.0 </v>
      </c>
      <c r="W1341" t="str">
        <f t="shared" si="363"/>
        <v xml:space="preserve">     0.0 </v>
      </c>
      <c r="X1341" t="str">
        <f t="shared" si="367"/>
        <v xml:space="preserve">       </v>
      </c>
      <c r="Y1341" t="str">
        <f t="shared" si="367"/>
        <v xml:space="preserve">              </v>
      </c>
      <c r="Z1341" t="str">
        <f t="shared" si="367"/>
        <v xml:space="preserve">    </v>
      </c>
      <c r="AA1341" t="str">
        <f t="shared" si="355"/>
        <v xml:space="preserve">         </v>
      </c>
      <c r="AB1341" t="str">
        <f t="shared" si="364"/>
        <v xml:space="preserve">         </v>
      </c>
      <c r="AC1341" t="str">
        <f t="shared" si="365"/>
        <v xml:space="preserve">    </v>
      </c>
      <c r="AD1341" t="str">
        <f t="shared" si="366"/>
        <v/>
      </c>
      <c r="AE1341" t="str">
        <f t="shared" si="356"/>
        <v/>
      </c>
      <c r="AF1341" t="str">
        <f t="shared" si="368"/>
        <v/>
      </c>
      <c r="AG1341" t="str">
        <f t="shared" si="368"/>
        <v/>
      </c>
      <c r="AH1341" t="str">
        <f t="shared" si="357"/>
        <v/>
      </c>
      <c r="AI1341" t="str">
        <f t="shared" si="358"/>
        <v/>
      </c>
      <c r="AJ1341" t="str">
        <f t="shared" si="359"/>
        <v/>
      </c>
    </row>
    <row r="1342" spans="1:36" x14ac:dyDescent="0.25">
      <c r="A1342" t="s">
        <v>1034</v>
      </c>
      <c r="P1342" t="str">
        <f t="shared" si="360"/>
        <v xml:space="preserve">                </v>
      </c>
      <c r="Q1342" t="str">
        <f t="shared" si="360"/>
        <v xml:space="preserve">         </v>
      </c>
      <c r="R1342" t="str">
        <f t="shared" si="353"/>
        <v xml:space="preserve">    54.0 </v>
      </c>
      <c r="S1342" t="str">
        <f t="shared" si="361"/>
        <v xml:space="preserve">    79.0 </v>
      </c>
      <c r="T1342" t="str">
        <f t="shared" si="362"/>
        <v xml:space="preserve">    79.0 </v>
      </c>
      <c r="U1342" t="str">
        <f t="shared" si="366"/>
        <v xml:space="preserve">       69.4% </v>
      </c>
      <c r="V1342" t="str">
        <f t="shared" si="354"/>
        <v xml:space="preserve">         </v>
      </c>
      <c r="W1342" t="str">
        <f t="shared" si="363"/>
        <v xml:space="preserve">         </v>
      </c>
      <c r="X1342" t="str">
        <f t="shared" si="367"/>
        <v xml:space="preserve">  9268 </v>
      </c>
      <c r="Y1342" t="str">
        <f t="shared" si="367"/>
        <v xml:space="preserve"> PALE14-RS069 </v>
      </c>
      <c r="Z1342" t="str">
        <f t="shared" si="367"/>
        <v xml:space="preserve">  1 </v>
      </c>
      <c r="AA1342" t="str">
        <f t="shared" si="355"/>
        <v xml:space="preserve">    38.0 </v>
      </c>
      <c r="AB1342" t="str">
        <f t="shared" si="364"/>
        <v xml:space="preserve">    -1.8 </v>
      </c>
      <c r="AC1342" t="str">
        <f t="shared" si="365"/>
        <v xml:space="preserve">    37.5 </v>
      </c>
      <c r="AD1342" t="str">
        <f t="shared" si="366"/>
        <v xml:space="preserve">        </v>
      </c>
      <c r="AE1342" t="str">
        <f t="shared" si="356"/>
        <v xml:space="preserve">       </v>
      </c>
      <c r="AF1342" t="str">
        <f t="shared" si="368"/>
        <v xml:space="preserve">     </v>
      </c>
      <c r="AG1342" t="str">
        <f t="shared" si="368"/>
        <v xml:space="preserve">     0.18 </v>
      </c>
      <c r="AH1342" t="str">
        <f t="shared" si="357"/>
        <v xml:space="preserve">     0.53 </v>
      </c>
      <c r="AI1342" t="str">
        <f t="shared" si="358"/>
        <v xml:space="preserve">       </v>
      </c>
      <c r="AJ1342" t="str">
        <f t="shared" si="359"/>
        <v xml:space="preserve">      </v>
      </c>
    </row>
    <row r="1343" spans="1:36" x14ac:dyDescent="0.25">
      <c r="A1343" t="s">
        <v>1035</v>
      </c>
      <c r="P1343" t="str">
        <f t="shared" si="360"/>
        <v xml:space="preserve">                </v>
      </c>
      <c r="Q1343" t="str">
        <f t="shared" si="360"/>
        <v xml:space="preserve">         </v>
      </c>
      <c r="R1343" t="str">
        <f t="shared" si="353"/>
        <v xml:space="preserve">    54.0 </v>
      </c>
      <c r="S1343" t="str">
        <f t="shared" si="361"/>
        <v xml:space="preserve">    79.0 </v>
      </c>
      <c r="T1343" t="str">
        <f t="shared" si="362"/>
        <v xml:space="preserve">    79.0 </v>
      </c>
      <c r="U1343" t="str">
        <f t="shared" si="366"/>
        <v xml:space="preserve">       48.6% </v>
      </c>
      <c r="V1343" t="str">
        <f t="shared" si="354"/>
        <v xml:space="preserve">         </v>
      </c>
      <c r="W1343" t="str">
        <f t="shared" si="363"/>
        <v xml:space="preserve">         </v>
      </c>
      <c r="X1343" t="str">
        <f t="shared" si="367"/>
        <v xml:space="preserve">  9272 </v>
      </c>
      <c r="Y1343" t="str">
        <f t="shared" si="367"/>
        <v xml:space="preserve"> PALE15TAP069 </v>
      </c>
      <c r="Z1343" t="str">
        <f t="shared" si="367"/>
        <v xml:space="preserve">  1 </v>
      </c>
      <c r="AA1343" t="str">
        <f t="shared" si="355"/>
        <v xml:space="preserve">    26.5 </v>
      </c>
      <c r="AB1343" t="str">
        <f t="shared" si="364"/>
        <v xml:space="preserve">     2.0 </v>
      </c>
      <c r="AC1343" t="str">
        <f t="shared" si="365"/>
        <v xml:space="preserve">    26.2 </v>
      </c>
      <c r="AD1343" t="str">
        <f t="shared" si="366"/>
        <v xml:space="preserve">        </v>
      </c>
      <c r="AE1343" t="str">
        <f t="shared" si="356"/>
        <v xml:space="preserve">       </v>
      </c>
      <c r="AF1343" t="str">
        <f t="shared" si="368"/>
        <v xml:space="preserve">     </v>
      </c>
      <c r="AG1343" t="str">
        <f t="shared" si="368"/>
        <v xml:space="preserve">     0.09 </v>
      </c>
      <c r="AH1343" t="str">
        <f t="shared" si="357"/>
        <v xml:space="preserve">     0.22 </v>
      </c>
      <c r="AI1343" t="str">
        <f t="shared" si="358"/>
        <v xml:space="preserve">       </v>
      </c>
      <c r="AJ1343" t="str">
        <f t="shared" si="359"/>
        <v xml:space="preserve">      </v>
      </c>
    </row>
    <row r="1344" spans="1:36" x14ac:dyDescent="0.25">
      <c r="A1344" t="s">
        <v>1036</v>
      </c>
      <c r="P1344" t="str">
        <f t="shared" si="360"/>
        <v xml:space="preserve">                </v>
      </c>
      <c r="Q1344" t="str">
        <f t="shared" si="360"/>
        <v xml:space="preserve">         </v>
      </c>
      <c r="R1344" t="str">
        <f t="shared" si="353"/>
        <v xml:space="preserve">    54.0 </v>
      </c>
      <c r="S1344" t="str">
        <f t="shared" si="361"/>
        <v xml:space="preserve">    79.0 </v>
      </c>
      <c r="T1344" t="str">
        <f t="shared" si="362"/>
        <v xml:space="preserve">    79.0 </v>
      </c>
      <c r="U1344" t="str">
        <f t="shared" si="366"/>
        <v xml:space="preserve">       14.1% </v>
      </c>
      <c r="V1344" t="str">
        <f t="shared" si="354"/>
        <v xml:space="preserve">         </v>
      </c>
      <c r="W1344" t="str">
        <f t="shared" si="363"/>
        <v xml:space="preserve">         </v>
      </c>
      <c r="X1344" t="str">
        <f t="shared" si="367"/>
        <v xml:space="preserve">  9276 </v>
      </c>
      <c r="Y1344" t="str">
        <f t="shared" si="367"/>
        <v xml:space="preserve"> RINCAO-RS069 </v>
      </c>
      <c r="Z1344" t="str">
        <f t="shared" si="367"/>
        <v xml:space="preserve">  1 </v>
      </c>
      <c r="AA1344" t="str">
        <f t="shared" si="355"/>
        <v xml:space="preserve">     7.5 </v>
      </c>
      <c r="AB1344" t="str">
        <f t="shared" si="364"/>
        <v xml:space="preserve">     1.9 </v>
      </c>
      <c r="AC1344" t="str">
        <f t="shared" si="365"/>
        <v xml:space="preserve">     7.6 </v>
      </c>
      <c r="AD1344" t="str">
        <f t="shared" si="366"/>
        <v xml:space="preserve">        </v>
      </c>
      <c r="AE1344" t="str">
        <f t="shared" si="356"/>
        <v xml:space="preserve">       </v>
      </c>
      <c r="AF1344" t="str">
        <f t="shared" si="368"/>
        <v xml:space="preserve">     </v>
      </c>
      <c r="AG1344" t="str">
        <f t="shared" si="368"/>
        <v xml:space="preserve">     0.00 </v>
      </c>
      <c r="AH1344" t="str">
        <f t="shared" si="357"/>
        <v xml:space="preserve">    -0.02 </v>
      </c>
      <c r="AI1344" t="str">
        <f t="shared" si="358"/>
        <v xml:space="preserve">       </v>
      </c>
      <c r="AJ1344" t="str">
        <f t="shared" si="359"/>
        <v xml:space="preserve">      </v>
      </c>
    </row>
    <row r="1345" spans="1:36" x14ac:dyDescent="0.25">
      <c r="A1345" t="s">
        <v>1037</v>
      </c>
      <c r="P1345" t="str">
        <f t="shared" si="360"/>
        <v xml:space="preserve">                </v>
      </c>
      <c r="Q1345" t="str">
        <f t="shared" si="360"/>
        <v xml:space="preserve">         </v>
      </c>
      <c r="R1345" t="str">
        <f t="shared" si="353"/>
        <v xml:space="preserve">    83.0 </v>
      </c>
      <c r="S1345" t="str">
        <f t="shared" si="361"/>
        <v xml:space="preserve">   100.0 </v>
      </c>
      <c r="T1345" t="str">
        <f t="shared" si="362"/>
        <v xml:space="preserve">   100.0 </v>
      </c>
      <c r="U1345" t="str">
        <f t="shared" si="366"/>
        <v xml:space="preserve">       42.8% </v>
      </c>
      <c r="V1345" t="str">
        <f t="shared" si="354"/>
        <v xml:space="preserve">         </v>
      </c>
      <c r="W1345" t="str">
        <f t="shared" si="363"/>
        <v xml:space="preserve">         </v>
      </c>
      <c r="X1345" t="str">
        <f t="shared" si="367"/>
        <v xml:space="preserve"> 43929 </v>
      </c>
      <c r="Y1345" t="str">
        <f t="shared" si="367"/>
        <v xml:space="preserve"> REST-2-RS000 </v>
      </c>
      <c r="Z1345" t="str">
        <f t="shared" si="367"/>
        <v xml:space="preserve">  2 </v>
      </c>
      <c r="AA1345" t="str">
        <f t="shared" si="355"/>
        <v xml:space="preserve">   -36.0 </v>
      </c>
      <c r="AB1345" t="str">
        <f t="shared" si="364"/>
        <v xml:space="preserve">    -1.0 </v>
      </c>
      <c r="AC1345" t="str">
        <f t="shared" si="365"/>
        <v xml:space="preserve">    35.5 </v>
      </c>
      <c r="AD1345" t="str">
        <f t="shared" si="366"/>
        <v xml:space="preserve"> 1.000F </v>
      </c>
      <c r="AE1345" t="str">
        <f t="shared" si="356"/>
        <v xml:space="preserve">       </v>
      </c>
      <c r="AF1345" t="str">
        <f t="shared" si="368"/>
        <v xml:space="preserve"> 002 </v>
      </c>
      <c r="AG1345" t="str">
        <f t="shared" si="368"/>
        <v xml:space="preserve">     0.02 </v>
      </c>
      <c r="AH1345" t="str">
        <f t="shared" si="357"/>
        <v xml:space="preserve">    -0.12 </v>
      </c>
      <c r="AI1345" t="str">
        <f t="shared" si="358"/>
        <v xml:space="preserve">       </v>
      </c>
      <c r="AJ1345" t="str">
        <f t="shared" si="359"/>
        <v xml:space="preserve">      </v>
      </c>
    </row>
    <row r="1346" spans="1:36" x14ac:dyDescent="0.25">
      <c r="A1346" t="s">
        <v>1038</v>
      </c>
      <c r="P1346" t="str">
        <f t="shared" si="360"/>
        <v xml:space="preserve">                </v>
      </c>
      <c r="Q1346" t="str">
        <f t="shared" si="360"/>
        <v xml:space="preserve">         </v>
      </c>
      <c r="R1346" t="str">
        <f t="shared" si="353"/>
        <v xml:space="preserve">    83.0 </v>
      </c>
      <c r="S1346" t="str">
        <f t="shared" si="361"/>
        <v xml:space="preserve">   100.0 </v>
      </c>
      <c r="T1346" t="str">
        <f t="shared" si="362"/>
        <v xml:space="preserve">   100.0 </v>
      </c>
      <c r="U1346" t="str">
        <f t="shared" si="366"/>
        <v xml:space="preserve">       42.8% </v>
      </c>
      <c r="V1346" t="str">
        <f t="shared" si="354"/>
        <v xml:space="preserve">         </v>
      </c>
      <c r="W1346" t="str">
        <f t="shared" si="363"/>
        <v xml:space="preserve">         </v>
      </c>
      <c r="X1346" t="str">
        <f t="shared" si="367"/>
        <v xml:space="preserve"> 43931 </v>
      </c>
      <c r="Y1346" t="str">
        <f t="shared" si="367"/>
        <v xml:space="preserve"> REST-1-RS000 </v>
      </c>
      <c r="Z1346" t="str">
        <f t="shared" si="367"/>
        <v xml:space="preserve">  1 </v>
      </c>
      <c r="AA1346" t="str">
        <f t="shared" si="355"/>
        <v xml:space="preserve">   -36.0 </v>
      </c>
      <c r="AB1346" t="str">
        <f t="shared" si="364"/>
        <v xml:space="preserve">    -1.1 </v>
      </c>
      <c r="AC1346" t="str">
        <f t="shared" si="365"/>
        <v xml:space="preserve">    35.5 </v>
      </c>
      <c r="AD1346" t="str">
        <f t="shared" si="366"/>
        <v xml:space="preserve"> 1.000F </v>
      </c>
      <c r="AE1346" t="str">
        <f t="shared" si="356"/>
        <v xml:space="preserve">       </v>
      </c>
      <c r="AF1346" t="str">
        <f t="shared" si="368"/>
        <v xml:space="preserve"> 002 </v>
      </c>
      <c r="AG1346" t="str">
        <f t="shared" si="368"/>
        <v xml:space="preserve">     0.02 </v>
      </c>
      <c r="AH1346" t="str">
        <f t="shared" si="357"/>
        <v xml:space="preserve">    -0.12 </v>
      </c>
      <c r="AI1346" t="str">
        <f t="shared" si="358"/>
        <v xml:space="preserve">       </v>
      </c>
      <c r="AJ1346" t="str">
        <f t="shared" si="359"/>
        <v xml:space="preserve">      </v>
      </c>
    </row>
    <row r="1347" spans="1:36" x14ac:dyDescent="0.25">
      <c r="A1347" t="s">
        <v>14</v>
      </c>
      <c r="P1347" t="str">
        <f t="shared" si="360"/>
        <v xml:space="preserve">  ..............</v>
      </c>
      <c r="Q1347" t="str">
        <f t="shared" si="360"/>
        <v>.........</v>
      </c>
      <c r="R1347" t="str">
        <f t="shared" si="353"/>
        <v>.........</v>
      </c>
      <c r="S1347" t="str">
        <f t="shared" si="361"/>
        <v>.........</v>
      </c>
      <c r="T1347" t="str">
        <f t="shared" si="362"/>
        <v>.........</v>
      </c>
      <c r="U1347" t="str">
        <f t="shared" si="366"/>
        <v>.............</v>
      </c>
      <c r="V1347" t="str">
        <f t="shared" si="354"/>
        <v>.........</v>
      </c>
      <c r="W1347" t="str">
        <f t="shared" si="363"/>
        <v>.........</v>
      </c>
      <c r="X1347" t="str">
        <f t="shared" si="367"/>
        <v>.......</v>
      </c>
      <c r="Y1347" t="str">
        <f t="shared" si="367"/>
        <v>..............</v>
      </c>
      <c r="Z1347" t="str">
        <f t="shared" si="367"/>
        <v>....</v>
      </c>
      <c r="AA1347" t="str">
        <f t="shared" si="355"/>
        <v>.........</v>
      </c>
      <c r="AB1347" t="str">
        <f t="shared" si="364"/>
        <v>.........</v>
      </c>
      <c r="AC1347" t="str">
        <f t="shared" si="365"/>
        <v>.........</v>
      </c>
      <c r="AD1347" t="str">
        <f t="shared" si="366"/>
        <v>........</v>
      </c>
      <c r="AE1347" t="str">
        <f t="shared" si="356"/>
        <v>.......</v>
      </c>
      <c r="AF1347" t="str">
        <f t="shared" si="368"/>
        <v>.....</v>
      </c>
      <c r="AG1347" t="str">
        <f t="shared" si="368"/>
        <v>..........</v>
      </c>
      <c r="AH1347" t="str">
        <f t="shared" si="357"/>
        <v>..........</v>
      </c>
      <c r="AI1347" t="str">
        <f t="shared" si="358"/>
        <v>.......</v>
      </c>
      <c r="AJ1347" t="str">
        <f t="shared" si="359"/>
        <v>.......</v>
      </c>
    </row>
    <row r="1348" spans="1:36" x14ac:dyDescent="0.25">
      <c r="A1348" t="s">
        <v>1039</v>
      </c>
      <c r="P1348" t="str">
        <f t="shared" si="360"/>
        <v xml:space="preserve">   9305  138  0 </v>
      </c>
      <c r="Q1348" t="str">
        <f t="shared" si="360"/>
        <v xml:space="preserve">   1.020 </v>
      </c>
      <c r="R1348" t="str">
        <f t="shared" si="353"/>
        <v xml:space="preserve">     0.0 </v>
      </c>
      <c r="S1348" t="str">
        <f t="shared" si="361"/>
        <v xml:space="preserve">     0.0 </v>
      </c>
      <c r="T1348" t="str">
        <f t="shared" si="362"/>
        <v xml:space="preserve">     0.0 </v>
      </c>
      <c r="U1348" t="str">
        <f t="shared" si="366"/>
        <v xml:space="preserve">         0.0 </v>
      </c>
      <c r="V1348" t="str">
        <f t="shared" si="354"/>
        <v xml:space="preserve">     0.0 </v>
      </c>
      <c r="W1348" t="str">
        <f t="shared" si="363"/>
        <v xml:space="preserve">     0.0</v>
      </c>
      <c r="X1348" t="str">
        <f t="shared" si="367"/>
        <v/>
      </c>
      <c r="Y1348" t="str">
        <f t="shared" si="367"/>
        <v/>
      </c>
      <c r="Z1348" t="str">
        <f t="shared" si="367"/>
        <v/>
      </c>
      <c r="AA1348" t="str">
        <f t="shared" si="355"/>
        <v/>
      </c>
      <c r="AB1348" t="str">
        <f t="shared" si="364"/>
        <v/>
      </c>
      <c r="AC1348" t="str">
        <f t="shared" si="365"/>
        <v/>
      </c>
      <c r="AD1348" t="str">
        <f t="shared" si="366"/>
        <v/>
      </c>
      <c r="AE1348" t="str">
        <f t="shared" si="356"/>
        <v/>
      </c>
      <c r="AF1348" t="str">
        <f t="shared" si="368"/>
        <v/>
      </c>
      <c r="AG1348" t="str">
        <f t="shared" si="368"/>
        <v/>
      </c>
      <c r="AH1348" t="str">
        <f t="shared" si="357"/>
        <v/>
      </c>
      <c r="AI1348" t="str">
        <f t="shared" si="358"/>
        <v/>
      </c>
      <c r="AJ1348" t="str">
        <f t="shared" si="359"/>
        <v/>
      </c>
    </row>
    <row r="1349" spans="1:36" x14ac:dyDescent="0.25">
      <c r="A1349" t="s">
        <v>1040</v>
      </c>
      <c r="P1349" t="str">
        <f t="shared" si="360"/>
        <v xml:space="preserve">  CACHO3-RS138  </v>
      </c>
      <c r="Q1349" t="str">
        <f t="shared" si="360"/>
        <v xml:space="preserve">   -52.2 </v>
      </c>
      <c r="R1349" t="str">
        <f t="shared" si="353"/>
        <v xml:space="preserve">     0.0 </v>
      </c>
      <c r="S1349" t="str">
        <f t="shared" si="361"/>
        <v xml:space="preserve">     0.0 </v>
      </c>
      <c r="T1349" t="str">
        <f t="shared" si="362"/>
        <v xml:space="preserve">     0.0 </v>
      </c>
      <c r="U1349" t="str">
        <f t="shared" si="366"/>
        <v xml:space="preserve">         0.0 </v>
      </c>
      <c r="V1349" t="str">
        <f t="shared" si="354"/>
        <v xml:space="preserve">     0.0 </v>
      </c>
      <c r="W1349" t="str">
        <f t="shared" si="363"/>
        <v xml:space="preserve">     0.0 </v>
      </c>
      <c r="X1349" t="str">
        <f t="shared" si="367"/>
        <v xml:space="preserve">       </v>
      </c>
      <c r="Y1349" t="str">
        <f t="shared" si="367"/>
        <v xml:space="preserve">              </v>
      </c>
      <c r="Z1349" t="str">
        <f t="shared" si="367"/>
        <v xml:space="preserve">    </v>
      </c>
      <c r="AA1349" t="str">
        <f t="shared" si="355"/>
        <v xml:space="preserve">         </v>
      </c>
      <c r="AB1349" t="str">
        <f t="shared" si="364"/>
        <v xml:space="preserve">         </v>
      </c>
      <c r="AC1349" t="str">
        <f t="shared" si="365"/>
        <v xml:space="preserve">    </v>
      </c>
      <c r="AD1349" t="str">
        <f t="shared" si="366"/>
        <v/>
      </c>
      <c r="AE1349" t="str">
        <f t="shared" si="356"/>
        <v/>
      </c>
      <c r="AF1349" t="str">
        <f t="shared" si="368"/>
        <v/>
      </c>
      <c r="AG1349" t="str">
        <f t="shared" si="368"/>
        <v/>
      </c>
      <c r="AH1349" t="str">
        <f t="shared" si="357"/>
        <v/>
      </c>
      <c r="AI1349" t="str">
        <f t="shared" si="358"/>
        <v/>
      </c>
      <c r="AJ1349" t="str">
        <f t="shared" si="359"/>
        <v/>
      </c>
    </row>
    <row r="1350" spans="1:36" x14ac:dyDescent="0.25">
      <c r="A1350" t="s">
        <v>1041</v>
      </c>
      <c r="P1350" t="str">
        <f t="shared" si="360"/>
        <v xml:space="preserve">                </v>
      </c>
      <c r="Q1350" t="str">
        <f t="shared" si="360"/>
        <v xml:space="preserve">         </v>
      </c>
      <c r="R1350" t="str">
        <f t="shared" si="353"/>
        <v xml:space="preserve">   108.0 </v>
      </c>
      <c r="S1350" t="str">
        <f t="shared" si="361"/>
        <v xml:space="preserve">   108.0 </v>
      </c>
      <c r="T1350" t="str">
        <f t="shared" si="362"/>
        <v xml:space="preserve">   108.0 </v>
      </c>
      <c r="U1350" t="str">
        <f t="shared" si="366"/>
        <v xml:space="preserve">       36.9% </v>
      </c>
      <c r="V1350" t="str">
        <f t="shared" si="354"/>
        <v xml:space="preserve">         </v>
      </c>
      <c r="W1350" t="str">
        <f t="shared" si="363"/>
        <v xml:space="preserve">         </v>
      </c>
      <c r="X1350" t="str">
        <f t="shared" si="367"/>
        <v xml:space="preserve">  2068 </v>
      </c>
      <c r="Y1350" t="str">
        <f t="shared" si="367"/>
        <v xml:space="preserve"> CACHOE-RS138 </v>
      </c>
      <c r="Z1350" t="str">
        <f t="shared" si="367"/>
        <v xml:space="preserve">  1 </v>
      </c>
      <c r="AA1350" t="str">
        <f t="shared" si="355"/>
        <v xml:space="preserve">    36.1 </v>
      </c>
      <c r="AB1350" t="str">
        <f t="shared" si="364"/>
        <v xml:space="preserve">    18.7 </v>
      </c>
      <c r="AC1350" t="str">
        <f t="shared" si="365"/>
        <v xml:space="preserve">    39.9 </v>
      </c>
      <c r="AD1350" t="str">
        <f t="shared" si="366"/>
        <v xml:space="preserve">        </v>
      </c>
      <c r="AE1350" t="str">
        <f t="shared" si="356"/>
        <v xml:space="preserve">       </v>
      </c>
      <c r="AF1350" t="str">
        <f t="shared" si="368"/>
        <v xml:space="preserve">     </v>
      </c>
      <c r="AG1350" t="str">
        <f t="shared" si="368"/>
        <v xml:space="preserve">     0.05 </v>
      </c>
      <c r="AH1350" t="str">
        <f t="shared" si="357"/>
        <v xml:space="preserve">    -0.10 </v>
      </c>
      <c r="AI1350" t="str">
        <f t="shared" si="358"/>
        <v xml:space="preserve">       </v>
      </c>
      <c r="AJ1350" t="str">
        <f t="shared" si="359"/>
        <v xml:space="preserve">      </v>
      </c>
    </row>
    <row r="1351" spans="1:36" x14ac:dyDescent="0.25">
      <c r="A1351" t="s">
        <v>1042</v>
      </c>
      <c r="P1351" t="str">
        <f t="shared" si="360"/>
        <v xml:space="preserve">                </v>
      </c>
      <c r="Q1351" t="str">
        <f t="shared" si="360"/>
        <v xml:space="preserve">         </v>
      </c>
      <c r="R1351" t="str">
        <f t="shared" si="353"/>
        <v xml:space="preserve">    96.0 </v>
      </c>
      <c r="S1351" t="str">
        <f t="shared" si="361"/>
        <v xml:space="preserve">    96.0 </v>
      </c>
      <c r="T1351" t="str">
        <f t="shared" si="362"/>
        <v xml:space="preserve">    96.0 </v>
      </c>
      <c r="U1351" t="str">
        <f t="shared" si="366"/>
        <v xml:space="preserve">        7.4% </v>
      </c>
      <c r="V1351" t="str">
        <f t="shared" si="354"/>
        <v xml:space="preserve">         </v>
      </c>
      <c r="W1351" t="str">
        <f t="shared" si="363"/>
        <v xml:space="preserve">         </v>
      </c>
      <c r="X1351" t="str">
        <f t="shared" si="367"/>
        <v xml:space="preserve">  2068 </v>
      </c>
      <c r="Y1351" t="str">
        <f t="shared" si="367"/>
        <v xml:space="preserve"> CACHOE-RS138 </v>
      </c>
      <c r="Z1351" t="str">
        <f t="shared" si="367"/>
        <v xml:space="preserve">  2 </v>
      </c>
      <c r="AA1351" t="str">
        <f t="shared" si="355"/>
        <v xml:space="preserve">     6.8 </v>
      </c>
      <c r="AB1351" t="str">
        <f t="shared" si="364"/>
        <v xml:space="preserve">     2.5 </v>
      </c>
      <c r="AC1351" t="str">
        <f t="shared" si="365"/>
        <v xml:space="preserve">     7.1 </v>
      </c>
      <c r="AD1351" t="str">
        <f t="shared" si="366"/>
        <v xml:space="preserve">        </v>
      </c>
      <c r="AE1351" t="str">
        <f t="shared" si="356"/>
        <v xml:space="preserve">       </v>
      </c>
      <c r="AF1351" t="str">
        <f t="shared" si="368"/>
        <v xml:space="preserve">     </v>
      </c>
      <c r="AG1351" t="str">
        <f t="shared" si="368"/>
        <v xml:space="preserve">     0.01 </v>
      </c>
      <c r="AH1351" t="str">
        <f t="shared" si="357"/>
        <v xml:space="preserve">    -1.37 </v>
      </c>
      <c r="AI1351" t="str">
        <f t="shared" si="358"/>
        <v xml:space="preserve">       </v>
      </c>
      <c r="AJ1351" t="str">
        <f t="shared" si="359"/>
        <v xml:space="preserve">      </v>
      </c>
    </row>
    <row r="1352" spans="1:36" x14ac:dyDescent="0.25">
      <c r="A1352" t="s">
        <v>1043</v>
      </c>
      <c r="P1352" t="str">
        <f t="shared" si="360"/>
        <v xml:space="preserve">              DE</v>
      </c>
      <c r="Q1352" t="str">
        <f t="shared" si="360"/>
        <v xml:space="preserve">ESLIGADO </v>
      </c>
      <c r="R1352" t="str">
        <f t="shared" si="353"/>
        <v xml:space="preserve">    96.0 </v>
      </c>
      <c r="S1352" t="str">
        <f t="shared" si="361"/>
        <v xml:space="preserve">    96.0 </v>
      </c>
      <c r="T1352" t="str">
        <f t="shared" si="362"/>
        <v xml:space="preserve">    96.0 </v>
      </c>
      <c r="U1352" t="str">
        <f t="shared" si="366"/>
        <v xml:space="preserve">             </v>
      </c>
      <c r="V1352" t="str">
        <f t="shared" si="354"/>
        <v xml:space="preserve">         </v>
      </c>
      <c r="W1352" t="str">
        <f t="shared" si="363"/>
        <v xml:space="preserve">         </v>
      </c>
      <c r="X1352" t="str">
        <f t="shared" si="367"/>
        <v xml:space="preserve">  2094 </v>
      </c>
      <c r="Y1352" t="str">
        <f t="shared" si="367"/>
        <v xml:space="preserve"> TAQUAR-RS138 </v>
      </c>
      <c r="Z1352" t="str">
        <f t="shared" si="367"/>
        <v xml:space="preserve">  1 </v>
      </c>
      <c r="AA1352" t="str">
        <f t="shared" si="355"/>
        <v xml:space="preserve">     0.0 </v>
      </c>
      <c r="AB1352" t="str">
        <f t="shared" si="364"/>
        <v xml:space="preserve">     0.0 </v>
      </c>
      <c r="AC1352" t="str">
        <f t="shared" si="365"/>
        <v xml:space="preserve">     0.0 </v>
      </c>
      <c r="AD1352" t="str">
        <f t="shared" si="366"/>
        <v xml:space="preserve">        </v>
      </c>
      <c r="AE1352" t="str">
        <f t="shared" si="356"/>
        <v xml:space="preserve">       </v>
      </c>
      <c r="AF1352" t="str">
        <f t="shared" si="368"/>
        <v xml:space="preserve">     </v>
      </c>
      <c r="AG1352" t="str">
        <f t="shared" si="368"/>
        <v xml:space="preserve">     0.00 </v>
      </c>
      <c r="AH1352" t="str">
        <f t="shared" si="357"/>
        <v xml:space="preserve">     0.00 </v>
      </c>
      <c r="AI1352" t="str">
        <f t="shared" si="358"/>
        <v xml:space="preserve">       </v>
      </c>
      <c r="AJ1352" t="str">
        <f t="shared" si="359"/>
        <v xml:space="preserve">      </v>
      </c>
    </row>
    <row r="1353" spans="1:36" x14ac:dyDescent="0.25">
      <c r="A1353" t="s">
        <v>1044</v>
      </c>
      <c r="P1353" t="str">
        <f t="shared" si="360"/>
        <v xml:space="preserve">                </v>
      </c>
      <c r="Q1353" t="str">
        <f t="shared" si="360"/>
        <v xml:space="preserve">         </v>
      </c>
      <c r="R1353" t="str">
        <f t="shared" si="353"/>
        <v xml:space="preserve">   108.0 </v>
      </c>
      <c r="S1353" t="str">
        <f t="shared" si="361"/>
        <v xml:space="preserve">   158.0 </v>
      </c>
      <c r="T1353" t="str">
        <f t="shared" si="362"/>
        <v xml:space="preserve">   158.0 </v>
      </c>
      <c r="U1353" t="str">
        <f t="shared" si="366"/>
        <v xml:space="preserve">       43.0% </v>
      </c>
      <c r="V1353" t="str">
        <f t="shared" si="354"/>
        <v xml:space="preserve">         </v>
      </c>
      <c r="W1353" t="str">
        <f t="shared" si="363"/>
        <v xml:space="preserve">         </v>
      </c>
      <c r="X1353" t="str">
        <f t="shared" si="367"/>
        <v xml:space="preserve">  3000 </v>
      </c>
      <c r="Y1353" t="str">
        <f t="shared" si="367"/>
        <v xml:space="preserve"> SAPUCA-RS138 </v>
      </c>
      <c r="Z1353" t="str">
        <f t="shared" si="367"/>
        <v xml:space="preserve">  1 </v>
      </c>
      <c r="AA1353" t="str">
        <f t="shared" si="355"/>
        <v xml:space="preserve">    45.4 </v>
      </c>
      <c r="AB1353" t="str">
        <f t="shared" si="364"/>
        <v xml:space="preserve">    13.8 </v>
      </c>
      <c r="AC1353" t="str">
        <f t="shared" si="365"/>
        <v xml:space="preserve">    46.5 </v>
      </c>
      <c r="AD1353" t="str">
        <f t="shared" si="366"/>
        <v xml:space="preserve">        </v>
      </c>
      <c r="AE1353" t="str">
        <f t="shared" si="356"/>
        <v xml:space="preserve">       </v>
      </c>
      <c r="AF1353" t="str">
        <f t="shared" si="368"/>
        <v xml:space="preserve">     </v>
      </c>
      <c r="AG1353" t="str">
        <f t="shared" si="368"/>
        <v xml:space="preserve">     0.19 </v>
      </c>
      <c r="AH1353" t="str">
        <f t="shared" si="357"/>
        <v xml:space="preserve">    -0.25 </v>
      </c>
      <c r="AI1353" t="str">
        <f t="shared" si="358"/>
        <v xml:space="preserve">       </v>
      </c>
      <c r="AJ1353" t="str">
        <f t="shared" si="359"/>
        <v xml:space="preserve">      </v>
      </c>
    </row>
    <row r="1354" spans="1:36" x14ac:dyDescent="0.25">
      <c r="A1354" t="s">
        <v>1045</v>
      </c>
      <c r="P1354" t="str">
        <f t="shared" si="360"/>
        <v xml:space="preserve">              DE</v>
      </c>
      <c r="Q1354" t="str">
        <f t="shared" si="360"/>
        <v xml:space="preserve">ESLIGADO </v>
      </c>
      <c r="R1354" t="str">
        <f t="shared" si="353"/>
        <v xml:space="preserve">   108.0 </v>
      </c>
      <c r="S1354" t="str">
        <f t="shared" si="361"/>
        <v xml:space="preserve">   108.0 </v>
      </c>
      <c r="T1354" t="str">
        <f t="shared" si="362"/>
        <v xml:space="preserve">   108.0 </v>
      </c>
      <c r="U1354" t="str">
        <f t="shared" si="366"/>
        <v xml:space="preserve">             </v>
      </c>
      <c r="V1354" t="str">
        <f t="shared" si="354"/>
        <v xml:space="preserve">         </v>
      </c>
      <c r="W1354" t="str">
        <f t="shared" si="363"/>
        <v xml:space="preserve">         </v>
      </c>
      <c r="X1354" t="str">
        <f t="shared" si="367"/>
        <v xml:space="preserve">  9214 </v>
      </c>
      <c r="Y1354" t="str">
        <f t="shared" si="367"/>
        <v xml:space="preserve"> CANOA3-RS138 </v>
      </c>
      <c r="Z1354" t="str">
        <f t="shared" si="367"/>
        <v xml:space="preserve">  1 </v>
      </c>
      <c r="AA1354" t="str">
        <f t="shared" si="355"/>
        <v xml:space="preserve">     0.0 </v>
      </c>
      <c r="AB1354" t="str">
        <f t="shared" si="364"/>
        <v xml:space="preserve">     0.0 </v>
      </c>
      <c r="AC1354" t="str">
        <f t="shared" si="365"/>
        <v xml:space="preserve">     0.0 </v>
      </c>
      <c r="AD1354" t="str">
        <f t="shared" si="366"/>
        <v xml:space="preserve">        </v>
      </c>
      <c r="AE1354" t="str">
        <f t="shared" si="356"/>
        <v xml:space="preserve">       </v>
      </c>
      <c r="AF1354" t="str">
        <f t="shared" si="368"/>
        <v xml:space="preserve">     </v>
      </c>
      <c r="AG1354" t="str">
        <f t="shared" si="368"/>
        <v xml:space="preserve">     0.00 </v>
      </c>
      <c r="AH1354" t="str">
        <f t="shared" si="357"/>
        <v xml:space="preserve">     0.00 </v>
      </c>
      <c r="AI1354" t="str">
        <f t="shared" si="358"/>
        <v xml:space="preserve">       </v>
      </c>
      <c r="AJ1354" t="str">
        <f t="shared" si="359"/>
        <v xml:space="preserve">      </v>
      </c>
    </row>
    <row r="1355" spans="1:36" x14ac:dyDescent="0.25">
      <c r="A1355" t="s">
        <v>1046</v>
      </c>
      <c r="P1355" t="str">
        <f t="shared" si="360"/>
        <v xml:space="preserve">                </v>
      </c>
      <c r="Q1355" t="str">
        <f t="shared" si="360"/>
        <v xml:space="preserve">         </v>
      </c>
      <c r="R1355" t="str">
        <f t="shared" si="353"/>
        <v xml:space="preserve">   167.0 </v>
      </c>
      <c r="S1355" t="str">
        <f t="shared" si="361"/>
        <v xml:space="preserve">   203.0 </v>
      </c>
      <c r="T1355" t="str">
        <f t="shared" si="362"/>
        <v xml:space="preserve">   203.0 </v>
      </c>
      <c r="U1355" t="str">
        <f t="shared" si="366"/>
        <v xml:space="preserve">        6.0% </v>
      </c>
      <c r="V1355" t="str">
        <f t="shared" si="354"/>
        <v xml:space="preserve">         </v>
      </c>
      <c r="W1355" t="str">
        <f t="shared" si="363"/>
        <v xml:space="preserve">         </v>
      </c>
      <c r="X1355" t="str">
        <f t="shared" si="367"/>
        <v xml:space="preserve"> 10321 </v>
      </c>
      <c r="Y1355" t="str">
        <f t="shared" si="367"/>
        <v xml:space="preserve"> ESTEI2-RS138 </v>
      </c>
      <c r="Z1355" t="str">
        <f t="shared" si="367"/>
        <v xml:space="preserve">  1 </v>
      </c>
      <c r="AA1355" t="str">
        <f t="shared" si="355"/>
        <v xml:space="preserve">     9.7 </v>
      </c>
      <c r="AB1355" t="str">
        <f t="shared" si="364"/>
        <v xml:space="preserve">     3.1 </v>
      </c>
      <c r="AC1355" t="str">
        <f t="shared" si="365"/>
        <v xml:space="preserve">     9.9 </v>
      </c>
      <c r="AD1355" t="str">
        <f t="shared" si="366"/>
        <v xml:space="preserve">        </v>
      </c>
      <c r="AE1355" t="str">
        <f t="shared" si="356"/>
        <v xml:space="preserve">       </v>
      </c>
      <c r="AF1355" t="str">
        <f t="shared" si="368"/>
        <v xml:space="preserve">     </v>
      </c>
      <c r="AG1355" t="str">
        <f t="shared" si="368"/>
        <v xml:space="preserve">     0.00 </v>
      </c>
      <c r="AH1355" t="str">
        <f t="shared" si="357"/>
        <v xml:space="preserve">    -0.47 </v>
      </c>
      <c r="AI1355" t="str">
        <f t="shared" si="358"/>
        <v xml:space="preserve">       </v>
      </c>
      <c r="AJ1355" t="str">
        <f t="shared" si="359"/>
        <v xml:space="preserve">      </v>
      </c>
    </row>
    <row r="1356" spans="1:36" x14ac:dyDescent="0.25">
      <c r="A1356" t="s">
        <v>1047</v>
      </c>
      <c r="P1356" t="str">
        <f t="shared" si="360"/>
        <v xml:space="preserve">                </v>
      </c>
      <c r="Q1356" t="str">
        <f t="shared" si="360"/>
        <v xml:space="preserve">         </v>
      </c>
      <c r="R1356" t="str">
        <f t="shared" ref="R1356:R1419" si="369">MID($A1356,Q$8+Q$9-1,R$9)</f>
        <v xml:space="preserve">   167.0 </v>
      </c>
      <c r="S1356" t="str">
        <f t="shared" si="361"/>
        <v xml:space="preserve">   203.0 </v>
      </c>
      <c r="T1356" t="str">
        <f t="shared" si="362"/>
        <v xml:space="preserve">   203.0 </v>
      </c>
      <c r="U1356" t="str">
        <f t="shared" si="366"/>
        <v xml:space="preserve">        6.0% </v>
      </c>
      <c r="V1356" t="str">
        <f t="shared" ref="V1356:V1419" si="370">MID($A1356,U$8+U$9-1,V$9)</f>
        <v xml:space="preserve">         </v>
      </c>
      <c r="W1356" t="str">
        <f t="shared" si="363"/>
        <v xml:space="preserve">         </v>
      </c>
      <c r="X1356" t="str">
        <f t="shared" si="367"/>
        <v xml:space="preserve"> 10321 </v>
      </c>
      <c r="Y1356" t="str">
        <f t="shared" si="367"/>
        <v xml:space="preserve"> ESTEI2-RS138 </v>
      </c>
      <c r="Z1356" t="str">
        <f t="shared" si="367"/>
        <v xml:space="preserve">  2 </v>
      </c>
      <c r="AA1356" t="str">
        <f t="shared" ref="AA1356:AA1419" si="371">MID($A1356,Z$8+Z$9-1,AA$9)</f>
        <v xml:space="preserve">     9.7 </v>
      </c>
      <c r="AB1356" t="str">
        <f t="shared" si="364"/>
        <v xml:space="preserve">     3.1 </v>
      </c>
      <c r="AC1356" t="str">
        <f t="shared" si="365"/>
        <v xml:space="preserve">     9.9 </v>
      </c>
      <c r="AD1356" t="str">
        <f t="shared" si="366"/>
        <v xml:space="preserve">        </v>
      </c>
      <c r="AE1356" t="str">
        <f t="shared" ref="AE1356:AE1419" si="372">MID($A1356,AD$8+AD$9-1,AE$9)</f>
        <v xml:space="preserve">       </v>
      </c>
      <c r="AF1356" t="str">
        <f t="shared" si="368"/>
        <v xml:space="preserve">     </v>
      </c>
      <c r="AG1356" t="str">
        <f t="shared" si="368"/>
        <v xml:space="preserve">     0.00 </v>
      </c>
      <c r="AH1356" t="str">
        <f t="shared" ref="AH1356:AH1419" si="373">MID($A1356,AG$8+AG$9-1,AH$9)</f>
        <v xml:space="preserve">    -0.47 </v>
      </c>
      <c r="AI1356" t="str">
        <f t="shared" si="358"/>
        <v xml:space="preserve">       </v>
      </c>
      <c r="AJ1356" t="str">
        <f t="shared" si="359"/>
        <v xml:space="preserve">      </v>
      </c>
    </row>
    <row r="1357" spans="1:36" x14ac:dyDescent="0.25">
      <c r="A1357" t="s">
        <v>1048</v>
      </c>
      <c r="P1357" t="str">
        <f t="shared" si="360"/>
        <v xml:space="preserve">                </v>
      </c>
      <c r="Q1357" t="str">
        <f t="shared" si="360"/>
        <v xml:space="preserve">         </v>
      </c>
      <c r="R1357" t="str">
        <f t="shared" si="369"/>
        <v xml:space="preserve">   165.0 </v>
      </c>
      <c r="S1357" t="str">
        <f t="shared" si="361"/>
        <v xml:space="preserve">   198.0 </v>
      </c>
      <c r="T1357" t="str">
        <f t="shared" si="362"/>
        <v xml:space="preserve">   198.0 </v>
      </c>
      <c r="U1357" t="str">
        <f t="shared" si="366"/>
        <v xml:space="preserve">       22.8% </v>
      </c>
      <c r="V1357" t="str">
        <f t="shared" si="370"/>
        <v xml:space="preserve">         </v>
      </c>
      <c r="W1357" t="str">
        <f t="shared" si="363"/>
        <v xml:space="preserve">         </v>
      </c>
      <c r="X1357" t="str">
        <f t="shared" si="367"/>
        <v xml:space="preserve"> 43449 </v>
      </c>
      <c r="Y1357" t="str">
        <f t="shared" si="367"/>
        <v xml:space="preserve"> CAC3-1-RS000 </v>
      </c>
      <c r="Z1357" t="str">
        <f t="shared" si="367"/>
        <v xml:space="preserve">  1 </v>
      </c>
      <c r="AA1357" t="str">
        <f t="shared" si="371"/>
        <v xml:space="preserve">   -35.9 </v>
      </c>
      <c r="AB1357" t="str">
        <f t="shared" si="364"/>
        <v xml:space="preserve">   -13.7 </v>
      </c>
      <c r="AC1357" t="str">
        <f t="shared" si="365"/>
        <v xml:space="preserve">    37.7 </v>
      </c>
      <c r="AD1357" t="str">
        <f t="shared" si="366"/>
        <v xml:space="preserve"> 1.000F </v>
      </c>
      <c r="AE1357" t="str">
        <f t="shared" si="372"/>
        <v xml:space="preserve">       </v>
      </c>
      <c r="AF1357" t="str">
        <f t="shared" si="368"/>
        <v xml:space="preserve"> 002 </v>
      </c>
      <c r="AG1357" t="str">
        <f t="shared" si="368"/>
        <v xml:space="preserve">     0.01 </v>
      </c>
      <c r="AH1357" t="str">
        <f t="shared" si="373"/>
        <v xml:space="preserve">    -0.26 </v>
      </c>
      <c r="AI1357" t="str">
        <f t="shared" si="358"/>
        <v xml:space="preserve">       </v>
      </c>
      <c r="AJ1357" t="str">
        <f t="shared" si="359"/>
        <v xml:space="preserve">      </v>
      </c>
    </row>
    <row r="1358" spans="1:36" x14ac:dyDescent="0.25">
      <c r="A1358" t="s">
        <v>1049</v>
      </c>
      <c r="P1358" t="str">
        <f t="shared" si="360"/>
        <v xml:space="preserve">                </v>
      </c>
      <c r="Q1358" t="str">
        <f t="shared" si="360"/>
        <v xml:space="preserve">         </v>
      </c>
      <c r="R1358" t="str">
        <f t="shared" si="369"/>
        <v xml:space="preserve">   165.0 </v>
      </c>
      <c r="S1358" t="str">
        <f t="shared" si="361"/>
        <v xml:space="preserve">   198.0 </v>
      </c>
      <c r="T1358" t="str">
        <f t="shared" si="362"/>
        <v xml:space="preserve">   198.0 </v>
      </c>
      <c r="U1358" t="str">
        <f t="shared" si="366"/>
        <v xml:space="preserve">       22.8% </v>
      </c>
      <c r="V1358" t="str">
        <f t="shared" si="370"/>
        <v xml:space="preserve">         </v>
      </c>
      <c r="W1358" t="str">
        <f t="shared" si="363"/>
        <v xml:space="preserve">         </v>
      </c>
      <c r="X1358" t="str">
        <f t="shared" si="367"/>
        <v xml:space="preserve"> 43450 </v>
      </c>
      <c r="Y1358" t="str">
        <f t="shared" si="367"/>
        <v xml:space="preserve"> CAC3-2-RS000 </v>
      </c>
      <c r="Z1358" t="str">
        <f t="shared" si="367"/>
        <v xml:space="preserve">  2 </v>
      </c>
      <c r="AA1358" t="str">
        <f t="shared" si="371"/>
        <v xml:space="preserve">   -35.9 </v>
      </c>
      <c r="AB1358" t="str">
        <f t="shared" si="364"/>
        <v xml:space="preserve">   -13.7 </v>
      </c>
      <c r="AC1358" t="str">
        <f t="shared" si="365"/>
        <v xml:space="preserve">    37.7 </v>
      </c>
      <c r="AD1358" t="str">
        <f t="shared" si="366"/>
        <v xml:space="preserve"> 1.000F </v>
      </c>
      <c r="AE1358" t="str">
        <f t="shared" si="372"/>
        <v xml:space="preserve">       </v>
      </c>
      <c r="AF1358" t="str">
        <f t="shared" si="368"/>
        <v xml:space="preserve"> 002 </v>
      </c>
      <c r="AG1358" t="str">
        <f t="shared" si="368"/>
        <v xml:space="preserve">     0.01 </v>
      </c>
      <c r="AH1358" t="str">
        <f t="shared" si="373"/>
        <v xml:space="preserve">    -0.26 </v>
      </c>
      <c r="AI1358" t="str">
        <f t="shared" si="358"/>
        <v xml:space="preserve">       </v>
      </c>
      <c r="AJ1358" t="str">
        <f t="shared" si="359"/>
        <v xml:space="preserve">      </v>
      </c>
    </row>
    <row r="1359" spans="1:36" x14ac:dyDescent="0.25">
      <c r="A1359" t="s">
        <v>1050</v>
      </c>
      <c r="P1359" t="str">
        <f t="shared" si="360"/>
        <v xml:space="preserve">                </v>
      </c>
      <c r="Q1359" t="str">
        <f t="shared" si="360"/>
        <v xml:space="preserve">         </v>
      </c>
      <c r="R1359" t="str">
        <f t="shared" si="369"/>
        <v xml:space="preserve">   165.0 </v>
      </c>
      <c r="S1359" t="str">
        <f t="shared" si="361"/>
        <v xml:space="preserve">   198.0 </v>
      </c>
      <c r="T1359" t="str">
        <f t="shared" si="362"/>
        <v xml:space="preserve">   198.0 </v>
      </c>
      <c r="U1359" t="str">
        <f t="shared" si="366"/>
        <v xml:space="preserve">       22.8% </v>
      </c>
      <c r="V1359" t="str">
        <f t="shared" si="370"/>
        <v xml:space="preserve">         </v>
      </c>
      <c r="W1359" t="str">
        <f t="shared" si="363"/>
        <v xml:space="preserve">         </v>
      </c>
      <c r="X1359" t="str">
        <f t="shared" si="367"/>
        <v xml:space="preserve"> 43451 </v>
      </c>
      <c r="Y1359" t="str">
        <f t="shared" si="367"/>
        <v xml:space="preserve"> CAC3-3-RS000 </v>
      </c>
      <c r="Z1359" t="str">
        <f t="shared" si="367"/>
        <v xml:space="preserve">  3 </v>
      </c>
      <c r="AA1359" t="str">
        <f t="shared" si="371"/>
        <v xml:space="preserve">   -35.9 </v>
      </c>
      <c r="AB1359" t="str">
        <f t="shared" si="364"/>
        <v xml:space="preserve">   -13.7 </v>
      </c>
      <c r="AC1359" t="str">
        <f t="shared" si="365"/>
        <v xml:space="preserve">    37.7 </v>
      </c>
      <c r="AD1359" t="str">
        <f t="shared" si="366"/>
        <v xml:space="preserve"> 1.000F </v>
      </c>
      <c r="AE1359" t="str">
        <f t="shared" si="372"/>
        <v xml:space="preserve">       </v>
      </c>
      <c r="AF1359" t="str">
        <f t="shared" si="368"/>
        <v xml:space="preserve"> 002 </v>
      </c>
      <c r="AG1359" t="str">
        <f t="shared" si="368"/>
        <v xml:space="preserve">     0.01 </v>
      </c>
      <c r="AH1359" t="str">
        <f t="shared" si="373"/>
        <v xml:space="preserve">    -0.26 </v>
      </c>
      <c r="AI1359" t="str">
        <f t="shared" si="358"/>
        <v xml:space="preserve">       </v>
      </c>
      <c r="AJ1359" t="str">
        <f t="shared" si="359"/>
        <v xml:space="preserve">      </v>
      </c>
    </row>
    <row r="1360" spans="1:36" x14ac:dyDescent="0.25">
      <c r="A1360" t="s">
        <v>14</v>
      </c>
      <c r="P1360" t="str">
        <f t="shared" si="360"/>
        <v xml:space="preserve">  ..............</v>
      </c>
      <c r="Q1360" t="str">
        <f t="shared" si="360"/>
        <v>.........</v>
      </c>
      <c r="R1360" t="str">
        <f t="shared" si="369"/>
        <v>.........</v>
      </c>
      <c r="S1360" t="str">
        <f t="shared" si="361"/>
        <v>.........</v>
      </c>
      <c r="T1360" t="str">
        <f t="shared" si="362"/>
        <v>.........</v>
      </c>
      <c r="U1360" t="str">
        <f t="shared" si="366"/>
        <v>.............</v>
      </c>
      <c r="V1360" t="str">
        <f t="shared" si="370"/>
        <v>.........</v>
      </c>
      <c r="W1360" t="str">
        <f t="shared" si="363"/>
        <v>.........</v>
      </c>
      <c r="X1360" t="str">
        <f t="shared" si="367"/>
        <v>.......</v>
      </c>
      <c r="Y1360" t="str">
        <f t="shared" si="367"/>
        <v>..............</v>
      </c>
      <c r="Z1360" t="str">
        <f t="shared" si="367"/>
        <v>....</v>
      </c>
      <c r="AA1360" t="str">
        <f t="shared" si="371"/>
        <v>.........</v>
      </c>
      <c r="AB1360" t="str">
        <f t="shared" si="364"/>
        <v>.........</v>
      </c>
      <c r="AC1360" t="str">
        <f t="shared" si="365"/>
        <v>.........</v>
      </c>
      <c r="AD1360" t="str">
        <f t="shared" si="366"/>
        <v>........</v>
      </c>
      <c r="AE1360" t="str">
        <f t="shared" si="372"/>
        <v>.......</v>
      </c>
      <c r="AF1360" t="str">
        <f t="shared" si="368"/>
        <v>.....</v>
      </c>
      <c r="AG1360" t="str">
        <f t="shared" si="368"/>
        <v>..........</v>
      </c>
      <c r="AH1360" t="str">
        <f t="shared" si="373"/>
        <v>..........</v>
      </c>
      <c r="AI1360" t="str">
        <f t="shared" si="358"/>
        <v>.......</v>
      </c>
      <c r="AJ1360" t="str">
        <f t="shared" si="359"/>
        <v>.......</v>
      </c>
    </row>
    <row r="1361" spans="1:36" x14ac:dyDescent="0.25">
      <c r="A1361" t="s">
        <v>1051</v>
      </c>
      <c r="P1361" t="str">
        <f t="shared" si="360"/>
        <v xml:space="preserve">   9306   69  0 </v>
      </c>
      <c r="Q1361" t="str">
        <f t="shared" si="360"/>
        <v xml:space="preserve">   1.015 </v>
      </c>
      <c r="R1361" t="str">
        <f t="shared" si="369"/>
        <v xml:space="preserve">     0.0 </v>
      </c>
      <c r="S1361" t="str">
        <f t="shared" si="361"/>
        <v xml:space="preserve">     0.0 </v>
      </c>
      <c r="T1361" t="str">
        <f t="shared" si="362"/>
        <v xml:space="preserve">     8.6 </v>
      </c>
      <c r="U1361" t="str">
        <f t="shared" si="366"/>
        <v xml:space="preserve">         0.0 </v>
      </c>
      <c r="V1361" t="str">
        <f t="shared" si="370"/>
        <v xml:space="preserve">     0.0 </v>
      </c>
      <c r="W1361" t="str">
        <f t="shared" si="363"/>
        <v xml:space="preserve">     0.0</v>
      </c>
      <c r="X1361" t="str">
        <f t="shared" si="367"/>
        <v/>
      </c>
      <c r="Y1361" t="str">
        <f t="shared" si="367"/>
        <v/>
      </c>
      <c r="Z1361" t="str">
        <f t="shared" si="367"/>
        <v/>
      </c>
      <c r="AA1361" t="str">
        <f t="shared" si="371"/>
        <v/>
      </c>
      <c r="AB1361" t="str">
        <f t="shared" si="364"/>
        <v/>
      </c>
      <c r="AC1361" t="str">
        <f t="shared" si="365"/>
        <v/>
      </c>
      <c r="AD1361" t="str">
        <f t="shared" si="366"/>
        <v/>
      </c>
      <c r="AE1361" t="str">
        <f t="shared" si="372"/>
        <v/>
      </c>
      <c r="AF1361" t="str">
        <f t="shared" si="368"/>
        <v/>
      </c>
      <c r="AG1361" t="str">
        <f t="shared" si="368"/>
        <v/>
      </c>
      <c r="AH1361" t="str">
        <f t="shared" si="373"/>
        <v/>
      </c>
      <c r="AI1361" t="str">
        <f t="shared" si="358"/>
        <v/>
      </c>
      <c r="AJ1361" t="str">
        <f t="shared" si="359"/>
        <v/>
      </c>
    </row>
    <row r="1362" spans="1:36" x14ac:dyDescent="0.25">
      <c r="A1362" t="s">
        <v>1052</v>
      </c>
      <c r="P1362" t="str">
        <f t="shared" si="360"/>
        <v xml:space="preserve">  SHIGUA-RS069  </v>
      </c>
      <c r="Q1362" t="str">
        <f t="shared" si="360"/>
        <v xml:space="preserve">   -54.9 </v>
      </c>
      <c r="R1362" t="str">
        <f t="shared" si="369"/>
        <v xml:space="preserve">     0.0 </v>
      </c>
      <c r="S1362" t="str">
        <f t="shared" si="361"/>
        <v xml:space="preserve">     0.0 </v>
      </c>
      <c r="T1362" t="str">
        <f t="shared" si="362"/>
        <v xml:space="preserve">     3.6 </v>
      </c>
      <c r="U1362" t="str">
        <f t="shared" si="366"/>
        <v xml:space="preserve">         0.0 </v>
      </c>
      <c r="V1362" t="str">
        <f t="shared" si="370"/>
        <v xml:space="preserve">     0.0 </v>
      </c>
      <c r="W1362" t="str">
        <f t="shared" si="363"/>
        <v xml:space="preserve">     0.0 </v>
      </c>
      <c r="X1362" t="str">
        <f t="shared" si="367"/>
        <v xml:space="preserve">       </v>
      </c>
      <c r="Y1362" t="str">
        <f t="shared" si="367"/>
        <v xml:space="preserve">              </v>
      </c>
      <c r="Z1362" t="str">
        <f t="shared" si="367"/>
        <v xml:space="preserve">    </v>
      </c>
      <c r="AA1362" t="str">
        <f t="shared" si="371"/>
        <v xml:space="preserve">         </v>
      </c>
      <c r="AB1362" t="str">
        <f t="shared" si="364"/>
        <v xml:space="preserve">         </v>
      </c>
      <c r="AC1362" t="str">
        <f t="shared" si="365"/>
        <v xml:space="preserve">    </v>
      </c>
      <c r="AD1362" t="str">
        <f t="shared" si="366"/>
        <v/>
      </c>
      <c r="AE1362" t="str">
        <f t="shared" si="372"/>
        <v/>
      </c>
      <c r="AF1362" t="str">
        <f t="shared" si="368"/>
        <v/>
      </c>
      <c r="AG1362" t="str">
        <f t="shared" si="368"/>
        <v/>
      </c>
      <c r="AH1362" t="str">
        <f t="shared" si="373"/>
        <v/>
      </c>
      <c r="AI1362" t="str">
        <f t="shared" si="358"/>
        <v/>
      </c>
      <c r="AJ1362" t="str">
        <f t="shared" si="359"/>
        <v/>
      </c>
    </row>
    <row r="1363" spans="1:36" x14ac:dyDescent="0.25">
      <c r="A1363" t="s">
        <v>1053</v>
      </c>
      <c r="P1363" t="str">
        <f t="shared" si="360"/>
        <v xml:space="preserve">                </v>
      </c>
      <c r="Q1363" t="str">
        <f t="shared" si="360"/>
        <v xml:space="preserve">         </v>
      </c>
      <c r="R1363" t="str">
        <f t="shared" si="369"/>
        <v xml:space="preserve">    50.0 </v>
      </c>
      <c r="S1363" t="str">
        <f t="shared" si="361"/>
        <v xml:space="preserve">    50.0 </v>
      </c>
      <c r="T1363" t="str">
        <f t="shared" si="362"/>
        <v xml:space="preserve">    50.0 </v>
      </c>
      <c r="U1363" t="str">
        <f t="shared" si="366"/>
        <v xml:space="preserve">       18.4% </v>
      </c>
      <c r="V1363" t="str">
        <f t="shared" si="370"/>
        <v xml:space="preserve">         </v>
      </c>
      <c r="W1363" t="str">
        <f t="shared" si="363"/>
        <v xml:space="preserve">         </v>
      </c>
      <c r="X1363" t="str">
        <f t="shared" si="367"/>
        <v xml:space="preserve"> 10007 </v>
      </c>
      <c r="Y1363" t="str">
        <f t="shared" si="367"/>
        <v xml:space="preserve"> JBOTAN-RS069 </v>
      </c>
      <c r="Z1363" t="str">
        <f t="shared" si="367"/>
        <v xml:space="preserve">  1 </v>
      </c>
      <c r="AA1363" t="str">
        <f t="shared" si="371"/>
        <v xml:space="preserve">    -8.6 </v>
      </c>
      <c r="AB1363" t="str">
        <f t="shared" si="364"/>
        <v xml:space="preserve">    -3.6 </v>
      </c>
      <c r="AC1363" t="str">
        <f t="shared" si="365"/>
        <v xml:space="preserve">     9.2 </v>
      </c>
      <c r="AD1363" t="str">
        <f t="shared" si="366"/>
        <v xml:space="preserve">        </v>
      </c>
      <c r="AE1363" t="str">
        <f t="shared" si="372"/>
        <v xml:space="preserve">       </v>
      </c>
      <c r="AF1363" t="str">
        <f t="shared" si="368"/>
        <v xml:space="preserve">     </v>
      </c>
      <c r="AG1363" t="str">
        <f t="shared" si="368"/>
        <v xml:space="preserve">     0.01 </v>
      </c>
      <c r="AH1363" t="str">
        <f t="shared" si="373"/>
        <v xml:space="preserve">    -0.69 </v>
      </c>
      <c r="AI1363" t="str">
        <f t="shared" si="358"/>
        <v xml:space="preserve">       </v>
      </c>
      <c r="AJ1363" t="str">
        <f t="shared" si="359"/>
        <v xml:space="preserve">      </v>
      </c>
    </row>
    <row r="1364" spans="1:36" x14ac:dyDescent="0.25">
      <c r="A1364" t="s">
        <v>14</v>
      </c>
      <c r="P1364" t="str">
        <f t="shared" si="360"/>
        <v xml:space="preserve">  ..............</v>
      </c>
      <c r="Q1364" t="str">
        <f t="shared" si="360"/>
        <v>.........</v>
      </c>
      <c r="R1364" t="str">
        <f t="shared" si="369"/>
        <v>.........</v>
      </c>
      <c r="S1364" t="str">
        <f t="shared" si="361"/>
        <v>.........</v>
      </c>
      <c r="T1364" t="str">
        <f t="shared" si="362"/>
        <v>.........</v>
      </c>
      <c r="U1364" t="str">
        <f t="shared" si="366"/>
        <v>.............</v>
      </c>
      <c r="V1364" t="str">
        <f t="shared" si="370"/>
        <v>.........</v>
      </c>
      <c r="W1364" t="str">
        <f t="shared" si="363"/>
        <v>.........</v>
      </c>
      <c r="X1364" t="str">
        <f t="shared" si="367"/>
        <v>.......</v>
      </c>
      <c r="Y1364" t="str">
        <f t="shared" si="367"/>
        <v>..............</v>
      </c>
      <c r="Z1364" t="str">
        <f t="shared" si="367"/>
        <v>....</v>
      </c>
      <c r="AA1364" t="str">
        <f t="shared" si="371"/>
        <v>.........</v>
      </c>
      <c r="AB1364" t="str">
        <f t="shared" si="364"/>
        <v>.........</v>
      </c>
      <c r="AC1364" t="str">
        <f t="shared" si="365"/>
        <v>.........</v>
      </c>
      <c r="AD1364" t="str">
        <f t="shared" si="366"/>
        <v>........</v>
      </c>
      <c r="AE1364" t="str">
        <f t="shared" si="372"/>
        <v>.......</v>
      </c>
      <c r="AF1364" t="str">
        <f t="shared" si="368"/>
        <v>.....</v>
      </c>
      <c r="AG1364" t="str">
        <f t="shared" si="368"/>
        <v>..........</v>
      </c>
      <c r="AH1364" t="str">
        <f t="shared" si="373"/>
        <v>..........</v>
      </c>
      <c r="AI1364" t="str">
        <f t="shared" si="358"/>
        <v>.......</v>
      </c>
      <c r="AJ1364" t="str">
        <f t="shared" si="359"/>
        <v>.......</v>
      </c>
    </row>
    <row r="1365" spans="1:36" x14ac:dyDescent="0.25">
      <c r="A1365" t="s">
        <v>1054</v>
      </c>
      <c r="P1365" t="str">
        <f t="shared" si="360"/>
        <v xml:space="preserve">   9392   69  0 </v>
      </c>
      <c r="Q1365" t="str">
        <f t="shared" si="360"/>
        <v xml:space="preserve">   1.015 </v>
      </c>
      <c r="R1365" t="str">
        <f t="shared" si="369"/>
        <v xml:space="preserve">     0.0 </v>
      </c>
      <c r="S1365" t="str">
        <f t="shared" si="361"/>
        <v xml:space="preserve">     0.0 </v>
      </c>
      <c r="T1365" t="str">
        <f t="shared" si="362"/>
        <v xml:space="preserve">     0.0 </v>
      </c>
      <c r="U1365" t="str">
        <f t="shared" si="366"/>
        <v xml:space="preserve">         0.0 </v>
      </c>
      <c r="V1365" t="str">
        <f t="shared" si="370"/>
        <v xml:space="preserve">     0.0 </v>
      </c>
      <c r="W1365" t="str">
        <f t="shared" si="363"/>
        <v xml:space="preserve">     0.0</v>
      </c>
      <c r="X1365" t="str">
        <f t="shared" si="367"/>
        <v/>
      </c>
      <c r="Y1365" t="str">
        <f t="shared" si="367"/>
        <v/>
      </c>
      <c r="Z1365" t="str">
        <f t="shared" si="367"/>
        <v/>
      </c>
      <c r="AA1365" t="str">
        <f t="shared" si="371"/>
        <v/>
      </c>
      <c r="AB1365" t="str">
        <f t="shared" si="364"/>
        <v/>
      </c>
      <c r="AC1365" t="str">
        <f t="shared" si="365"/>
        <v/>
      </c>
      <c r="AD1365" t="str">
        <f t="shared" si="366"/>
        <v/>
      </c>
      <c r="AE1365" t="str">
        <f t="shared" si="372"/>
        <v/>
      </c>
      <c r="AF1365" t="str">
        <f t="shared" si="368"/>
        <v/>
      </c>
      <c r="AG1365" t="str">
        <f t="shared" si="368"/>
        <v/>
      </c>
      <c r="AH1365" t="str">
        <f t="shared" si="373"/>
        <v/>
      </c>
      <c r="AI1365" t="str">
        <f t="shared" si="358"/>
        <v/>
      </c>
      <c r="AJ1365" t="str">
        <f t="shared" si="359"/>
        <v/>
      </c>
    </row>
    <row r="1366" spans="1:36" x14ac:dyDescent="0.25">
      <c r="A1366" t="s">
        <v>1055</v>
      </c>
      <c r="P1366" t="str">
        <f t="shared" si="360"/>
        <v xml:space="preserve">  ENT874-RS069  </v>
      </c>
      <c r="Q1366" t="str">
        <f t="shared" si="360"/>
        <v xml:space="preserve">   -54.8 </v>
      </c>
      <c r="R1366" t="str">
        <f t="shared" si="369"/>
        <v xml:space="preserve">     0.0 </v>
      </c>
      <c r="S1366" t="str">
        <f t="shared" si="361"/>
        <v xml:space="preserve">     0.0 </v>
      </c>
      <c r="T1366" t="str">
        <f t="shared" si="362"/>
        <v xml:space="preserve">     0.0 </v>
      </c>
      <c r="U1366" t="str">
        <f t="shared" si="366"/>
        <v xml:space="preserve">         0.0 </v>
      </c>
      <c r="V1366" t="str">
        <f t="shared" si="370"/>
        <v xml:space="preserve">     0.0 </v>
      </c>
      <c r="W1366" t="str">
        <f t="shared" si="363"/>
        <v xml:space="preserve">     0.0 </v>
      </c>
      <c r="X1366" t="str">
        <f t="shared" si="367"/>
        <v xml:space="preserve">       </v>
      </c>
      <c r="Y1366" t="str">
        <f t="shared" si="367"/>
        <v xml:space="preserve">              </v>
      </c>
      <c r="Z1366" t="str">
        <f t="shared" si="367"/>
        <v xml:space="preserve">    </v>
      </c>
      <c r="AA1366" t="str">
        <f t="shared" si="371"/>
        <v xml:space="preserve">         </v>
      </c>
      <c r="AB1366" t="str">
        <f t="shared" si="364"/>
        <v xml:space="preserve">         </v>
      </c>
      <c r="AC1366" t="str">
        <f t="shared" si="365"/>
        <v xml:space="preserve">    </v>
      </c>
      <c r="AD1366" t="str">
        <f t="shared" si="366"/>
        <v/>
      </c>
      <c r="AE1366" t="str">
        <f t="shared" si="372"/>
        <v/>
      </c>
      <c r="AF1366" t="str">
        <f t="shared" si="368"/>
        <v/>
      </c>
      <c r="AG1366" t="str">
        <f t="shared" si="368"/>
        <v/>
      </c>
      <c r="AH1366" t="str">
        <f t="shared" si="373"/>
        <v/>
      </c>
      <c r="AI1366" t="str">
        <f t="shared" si="358"/>
        <v/>
      </c>
      <c r="AJ1366" t="str">
        <f t="shared" si="359"/>
        <v/>
      </c>
    </row>
    <row r="1367" spans="1:36" x14ac:dyDescent="0.25">
      <c r="A1367" t="s">
        <v>1056</v>
      </c>
      <c r="P1367" t="str">
        <f t="shared" si="360"/>
        <v xml:space="preserve">                </v>
      </c>
      <c r="Q1367" t="str">
        <f t="shared" si="360"/>
        <v xml:space="preserve">         </v>
      </c>
      <c r="R1367" t="str">
        <f t="shared" si="369"/>
        <v xml:space="preserve">    99.0 </v>
      </c>
      <c r="S1367" t="str">
        <f t="shared" si="361"/>
        <v xml:space="preserve">   112.0 </v>
      </c>
      <c r="T1367" t="str">
        <f t="shared" si="362"/>
        <v xml:space="preserve">   112.0 </v>
      </c>
      <c r="U1367" t="str">
        <f t="shared" si="366"/>
        <v xml:space="preserve">       13.9% </v>
      </c>
      <c r="V1367" t="str">
        <f t="shared" si="370"/>
        <v xml:space="preserve">         </v>
      </c>
      <c r="W1367" t="str">
        <f t="shared" si="363"/>
        <v xml:space="preserve">         </v>
      </c>
      <c r="X1367" t="str">
        <f t="shared" si="367"/>
        <v xml:space="preserve">  1262 </v>
      </c>
      <c r="Y1367" t="str">
        <f t="shared" si="367"/>
        <v xml:space="preserve"> PALGR6-RS069 </v>
      </c>
      <c r="Z1367" t="str">
        <f t="shared" si="367"/>
        <v xml:space="preserve">  1 </v>
      </c>
      <c r="AA1367" t="str">
        <f t="shared" si="371"/>
        <v xml:space="preserve">   -13.9 </v>
      </c>
      <c r="AB1367" t="str">
        <f t="shared" si="364"/>
        <v xml:space="preserve">    -0.8 </v>
      </c>
      <c r="AC1367" t="str">
        <f t="shared" si="365"/>
        <v xml:space="preserve">    13.7 </v>
      </c>
      <c r="AD1367" t="str">
        <f t="shared" si="366"/>
        <v xml:space="preserve">        </v>
      </c>
      <c r="AE1367" t="str">
        <f t="shared" si="372"/>
        <v xml:space="preserve">       </v>
      </c>
      <c r="AF1367" t="str">
        <f t="shared" si="368"/>
        <v xml:space="preserve">     </v>
      </c>
      <c r="AG1367" t="str">
        <f t="shared" si="368"/>
        <v xml:space="preserve">     0.01 </v>
      </c>
      <c r="AH1367" t="str">
        <f t="shared" si="373"/>
        <v xml:space="preserve">    -0.05 </v>
      </c>
      <c r="AI1367" t="str">
        <f t="shared" ref="AI1367:AI1430" si="374">MID($A1367,AG$8+AG$9+AH$9-2,AI$9)</f>
        <v xml:space="preserve">       </v>
      </c>
      <c r="AJ1367" t="str">
        <f t="shared" ref="AJ1367:AJ1430" si="375">MID($A1367,AG$8+AG$9+AH$9+AI$9-3,AJ$9)</f>
        <v xml:space="preserve">      </v>
      </c>
    </row>
    <row r="1368" spans="1:36" x14ac:dyDescent="0.25">
      <c r="A1368" t="s">
        <v>1057</v>
      </c>
      <c r="P1368" t="str">
        <f t="shared" si="360"/>
        <v xml:space="preserve">                </v>
      </c>
      <c r="Q1368" t="str">
        <f t="shared" si="360"/>
        <v xml:space="preserve">         </v>
      </c>
      <c r="R1368" t="str">
        <f t="shared" si="369"/>
        <v xml:space="preserve">    54.0 </v>
      </c>
      <c r="S1368" t="str">
        <f t="shared" si="361"/>
        <v xml:space="preserve">    79.0 </v>
      </c>
      <c r="T1368" t="str">
        <f t="shared" si="362"/>
        <v xml:space="preserve">    79.0 </v>
      </c>
      <c r="U1368" t="str">
        <f t="shared" si="366"/>
        <v xml:space="preserve">       25.5% </v>
      </c>
      <c r="V1368" t="str">
        <f t="shared" si="370"/>
        <v xml:space="preserve">         </v>
      </c>
      <c r="W1368" t="str">
        <f t="shared" si="363"/>
        <v xml:space="preserve">         </v>
      </c>
      <c r="X1368" t="str">
        <f t="shared" si="367"/>
        <v xml:space="preserve">  9276 </v>
      </c>
      <c r="Y1368" t="str">
        <f t="shared" si="367"/>
        <v xml:space="preserve"> RINCAO-RS069 </v>
      </c>
      <c r="Z1368" t="str">
        <f t="shared" si="367"/>
        <v xml:space="preserve">  1 </v>
      </c>
      <c r="AA1368" t="str">
        <f t="shared" si="371"/>
        <v xml:space="preserve">    13.9 </v>
      </c>
      <c r="AB1368" t="str">
        <f t="shared" si="364"/>
        <v xml:space="preserve">     0.8 </v>
      </c>
      <c r="AC1368" t="str">
        <f t="shared" si="365"/>
        <v xml:space="preserve">    13.7 </v>
      </c>
      <c r="AD1368" t="str">
        <f t="shared" si="366"/>
        <v xml:space="preserve">        </v>
      </c>
      <c r="AE1368" t="str">
        <f t="shared" si="372"/>
        <v xml:space="preserve">       </v>
      </c>
      <c r="AF1368" t="str">
        <f t="shared" si="368"/>
        <v xml:space="preserve">     </v>
      </c>
      <c r="AG1368" t="str">
        <f t="shared" si="368"/>
        <v xml:space="preserve">     0.02 </v>
      </c>
      <c r="AH1368" t="str">
        <f t="shared" si="373"/>
        <v xml:space="preserve">     0.00 </v>
      </c>
      <c r="AI1368" t="str">
        <f t="shared" si="374"/>
        <v xml:space="preserve">       </v>
      </c>
      <c r="AJ1368" t="str">
        <f t="shared" si="375"/>
        <v xml:space="preserve">      </v>
      </c>
    </row>
    <row r="1369" spans="1:36" x14ac:dyDescent="0.25">
      <c r="A1369" t="s">
        <v>14</v>
      </c>
      <c r="P1369" t="str">
        <f t="shared" si="360"/>
        <v xml:space="preserve">  ..............</v>
      </c>
      <c r="Q1369" t="str">
        <f t="shared" si="360"/>
        <v>.........</v>
      </c>
      <c r="R1369" t="str">
        <f t="shared" si="369"/>
        <v>.........</v>
      </c>
      <c r="S1369" t="str">
        <f t="shared" si="361"/>
        <v>.........</v>
      </c>
      <c r="T1369" t="str">
        <f t="shared" si="362"/>
        <v>.........</v>
      </c>
      <c r="U1369" t="str">
        <f t="shared" si="366"/>
        <v>.............</v>
      </c>
      <c r="V1369" t="str">
        <f t="shared" si="370"/>
        <v>.........</v>
      </c>
      <c r="W1369" t="str">
        <f t="shared" si="363"/>
        <v>.........</v>
      </c>
      <c r="X1369" t="str">
        <f t="shared" si="367"/>
        <v>.......</v>
      </c>
      <c r="Y1369" t="str">
        <f t="shared" si="367"/>
        <v>..............</v>
      </c>
      <c r="Z1369" t="str">
        <f t="shared" si="367"/>
        <v>....</v>
      </c>
      <c r="AA1369" t="str">
        <f t="shared" si="371"/>
        <v>.........</v>
      </c>
      <c r="AB1369" t="str">
        <f t="shared" si="364"/>
        <v>.........</v>
      </c>
      <c r="AC1369" t="str">
        <f t="shared" si="365"/>
        <v>.........</v>
      </c>
      <c r="AD1369" t="str">
        <f t="shared" si="366"/>
        <v>........</v>
      </c>
      <c r="AE1369" t="str">
        <f t="shared" si="372"/>
        <v>.......</v>
      </c>
      <c r="AF1369" t="str">
        <f t="shared" si="368"/>
        <v>.....</v>
      </c>
      <c r="AG1369" t="str">
        <f t="shared" si="368"/>
        <v>..........</v>
      </c>
      <c r="AH1369" t="str">
        <f t="shared" si="373"/>
        <v>..........</v>
      </c>
      <c r="AI1369" t="str">
        <f t="shared" si="374"/>
        <v>.......</v>
      </c>
      <c r="AJ1369" t="str">
        <f t="shared" si="375"/>
        <v>.......</v>
      </c>
    </row>
    <row r="1370" spans="1:36" x14ac:dyDescent="0.25">
      <c r="A1370" t="s">
        <v>1058</v>
      </c>
      <c r="P1370" t="str">
        <f t="shared" si="360"/>
        <v xml:space="preserve">_x000C_CEPEL - CENTRO </v>
      </c>
      <c r="Q1370" t="str">
        <f t="shared" si="360"/>
        <v xml:space="preserve"> DE PESQU</v>
      </c>
      <c r="R1370" t="str">
        <f t="shared" si="369"/>
        <v xml:space="preserve">UISAS DE </v>
      </c>
      <c r="S1370" t="str">
        <f t="shared" si="361"/>
        <v xml:space="preserve"> ENERGIA </v>
      </c>
      <c r="T1370" t="str">
        <f t="shared" si="362"/>
        <v xml:space="preserve"> ELETRICA</v>
      </c>
      <c r="U1370" t="str">
        <f t="shared" si="366"/>
        <v xml:space="preserve">A - PROGRAMA </v>
      </c>
      <c r="V1370" t="str">
        <f t="shared" si="370"/>
        <v xml:space="preserve"> DE ANALI</v>
      </c>
      <c r="W1370" t="str">
        <f t="shared" si="363"/>
        <v>ISE DE RE</v>
      </c>
      <c r="X1370" t="str">
        <f t="shared" si="367"/>
        <v xml:space="preserve">EDES - </v>
      </c>
      <c r="Y1370" t="str">
        <f t="shared" si="367"/>
        <v xml:space="preserve"> V11.06.02    </v>
      </c>
      <c r="Z1370" t="str">
        <f t="shared" si="367"/>
        <v xml:space="preserve">    </v>
      </c>
      <c r="AA1370" t="str">
        <f t="shared" si="371"/>
        <v xml:space="preserve">         </v>
      </c>
      <c r="AB1370" t="str">
        <f t="shared" si="364"/>
        <v xml:space="preserve">         </v>
      </c>
      <c r="AC1370" t="str">
        <f t="shared" si="365"/>
        <v xml:space="preserve">         </v>
      </c>
      <c r="AD1370" t="str">
        <f t="shared" si="366"/>
        <v xml:space="preserve">   PAG. </v>
      </c>
      <c r="AE1370" t="str">
        <f t="shared" si="372"/>
        <v xml:space="preserve">   9</v>
      </c>
      <c r="AF1370" t="str">
        <f t="shared" si="368"/>
        <v/>
      </c>
      <c r="AG1370" t="str">
        <f t="shared" si="368"/>
        <v/>
      </c>
      <c r="AH1370" t="str">
        <f t="shared" si="373"/>
        <v/>
      </c>
      <c r="AI1370" t="str">
        <f t="shared" si="374"/>
        <v/>
      </c>
      <c r="AJ1370" t="str">
        <f t="shared" si="375"/>
        <v/>
      </c>
    </row>
    <row r="1371" spans="1:36" x14ac:dyDescent="0.25">
      <c r="P1371" t="str">
        <f t="shared" ref="P1371:Q1434" si="376">MID($A1371,P$8,P$9)</f>
        <v/>
      </c>
      <c r="Q1371" t="str">
        <f t="shared" si="376"/>
        <v/>
      </c>
      <c r="R1371" t="str">
        <f t="shared" si="369"/>
        <v/>
      </c>
      <c r="S1371" t="str">
        <f t="shared" ref="S1371:S1434" si="377">MID($A1371,Q$8+Q$9+R$9-2,S$9)</f>
        <v/>
      </c>
      <c r="T1371" t="str">
        <f t="shared" ref="T1371:T1434" si="378">MID($A1371,Q$8+Q$9+R$9+S$9-3,T$9)</f>
        <v/>
      </c>
      <c r="U1371" t="str">
        <f t="shared" si="366"/>
        <v/>
      </c>
      <c r="V1371" t="str">
        <f t="shared" si="370"/>
        <v/>
      </c>
      <c r="W1371" t="str">
        <f t="shared" ref="W1371:W1434" si="379">MID($A1371,U$8+U$9+V$9-2,W$9)</f>
        <v/>
      </c>
      <c r="X1371" t="str">
        <f t="shared" si="367"/>
        <v/>
      </c>
      <c r="Y1371" t="str">
        <f t="shared" si="367"/>
        <v/>
      </c>
      <c r="Z1371" t="str">
        <f t="shared" si="367"/>
        <v/>
      </c>
      <c r="AA1371" t="str">
        <f t="shared" si="371"/>
        <v/>
      </c>
      <c r="AB1371" t="str">
        <f t="shared" ref="AB1371:AB1434" si="380">MID($A1371,Z$8+Z$9+AA$9-2,AB$9)</f>
        <v/>
      </c>
      <c r="AC1371" t="str">
        <f t="shared" ref="AC1371:AC1434" si="381">MID($A1371,Z$8+Z$9+AA$9+AB$9-3,AC$9)</f>
        <v/>
      </c>
      <c r="AD1371" t="str">
        <f t="shared" si="366"/>
        <v/>
      </c>
      <c r="AE1371" t="str">
        <f t="shared" si="372"/>
        <v/>
      </c>
      <c r="AF1371" t="str">
        <f t="shared" si="368"/>
        <v/>
      </c>
      <c r="AG1371" t="str">
        <f t="shared" si="368"/>
        <v/>
      </c>
      <c r="AH1371" t="str">
        <f t="shared" si="373"/>
        <v/>
      </c>
      <c r="AI1371" t="str">
        <f t="shared" si="374"/>
        <v/>
      </c>
      <c r="AJ1371" t="str">
        <f t="shared" si="375"/>
        <v/>
      </c>
    </row>
    <row r="1372" spans="1:36" x14ac:dyDescent="0.25">
      <c r="A1372" t="s">
        <v>1</v>
      </c>
      <c r="P1372" t="str">
        <f t="shared" si="376"/>
        <v xml:space="preserve"> PARPEL 23-27 * </v>
      </c>
      <c r="Q1372" t="str">
        <f t="shared" si="376"/>
        <v xml:space="preserve"> MG-GODF </v>
      </c>
      <c r="R1372" t="str">
        <f t="shared" si="369"/>
        <v xml:space="preserve"> * I27M *</v>
      </c>
      <c r="S1372" t="str">
        <f t="shared" si="377"/>
        <v>* NEexp *</v>
      </c>
      <c r="T1372" t="str">
        <f t="shared" si="378"/>
        <v>* NESE 88</v>
      </c>
      <c r="U1372" t="str">
        <f t="shared" ref="U1372:AD1435" si="382">MID($A1372,U$8,U$9)</f>
        <v>800 UFVMG 90%</v>
      </c>
      <c r="V1372" t="str">
        <f t="shared" si="370"/>
        <v>% * UFVAl</v>
      </c>
      <c r="W1372" t="str">
        <f t="shared" si="379"/>
        <v>lves120MW</v>
      </c>
      <c r="X1372" t="str">
        <f t="shared" ref="X1372:Z1435" si="383">MID($A1372,X$8,X$9)</f>
        <v xml:space="preserve">W     </v>
      </c>
      <c r="Y1372" t="str">
        <f t="shared" si="383"/>
        <v/>
      </c>
      <c r="Z1372" t="str">
        <f t="shared" si="383"/>
        <v/>
      </c>
      <c r="AA1372" t="str">
        <f t="shared" si="371"/>
        <v/>
      </c>
      <c r="AB1372" t="str">
        <f t="shared" si="380"/>
        <v/>
      </c>
      <c r="AC1372" t="str">
        <f t="shared" si="381"/>
        <v/>
      </c>
      <c r="AD1372" t="str">
        <f t="shared" si="382"/>
        <v/>
      </c>
      <c r="AE1372" t="str">
        <f t="shared" si="372"/>
        <v/>
      </c>
      <c r="AF1372" t="str">
        <f t="shared" si="368"/>
        <v/>
      </c>
      <c r="AG1372" t="str">
        <f t="shared" si="368"/>
        <v/>
      </c>
      <c r="AH1372" t="str">
        <f t="shared" si="373"/>
        <v/>
      </c>
      <c r="AI1372" t="str">
        <f t="shared" si="374"/>
        <v/>
      </c>
      <c r="AJ1372" t="str">
        <f t="shared" si="375"/>
        <v/>
      </c>
    </row>
    <row r="1373" spans="1:36" x14ac:dyDescent="0.25">
      <c r="A1373" t="s">
        <v>2</v>
      </c>
      <c r="P1373" t="str">
        <f t="shared" si="376"/>
        <v xml:space="preserve"> RELATORIO COMPL</v>
      </c>
      <c r="Q1373" t="str">
        <f t="shared" si="376"/>
        <v>LETO DO S</v>
      </c>
      <c r="R1373" t="str">
        <f t="shared" si="369"/>
        <v>SISTEMA *</v>
      </c>
      <c r="S1373" t="str">
        <f t="shared" si="377"/>
        <v xml:space="preserve">* AREA   </v>
      </c>
      <c r="T1373" t="str">
        <f t="shared" si="378"/>
        <v xml:space="preserve"> 3 * RS -</v>
      </c>
      <c r="U1373" t="str">
        <f t="shared" si="382"/>
        <v xml:space="preserve">- DIT/DIST   </v>
      </c>
      <c r="V1373" t="str">
        <f t="shared" si="370"/>
        <v xml:space="preserve">         </v>
      </c>
      <c r="W1373" t="str">
        <f t="shared" si="379"/>
        <v xml:space="preserve">         </v>
      </c>
      <c r="X1373" t="str">
        <f t="shared" si="383"/>
        <v xml:space="preserve">     </v>
      </c>
      <c r="Y1373" t="str">
        <f t="shared" si="383"/>
        <v/>
      </c>
      <c r="Z1373" t="str">
        <f t="shared" si="383"/>
        <v/>
      </c>
      <c r="AA1373" t="str">
        <f t="shared" si="371"/>
        <v/>
      </c>
      <c r="AB1373" t="str">
        <f t="shared" si="380"/>
        <v/>
      </c>
      <c r="AC1373" t="str">
        <f t="shared" si="381"/>
        <v/>
      </c>
      <c r="AD1373" t="str">
        <f t="shared" si="382"/>
        <v/>
      </c>
      <c r="AE1373" t="str">
        <f t="shared" si="372"/>
        <v/>
      </c>
      <c r="AF1373" t="str">
        <f t="shared" ref="AF1373:AG1436" si="384">MID($A1373,AF$8,AF$9)</f>
        <v/>
      </c>
      <c r="AG1373" t="str">
        <f t="shared" si="384"/>
        <v/>
      </c>
      <c r="AH1373" t="str">
        <f t="shared" si="373"/>
        <v/>
      </c>
      <c r="AI1373" t="str">
        <f t="shared" si="374"/>
        <v/>
      </c>
      <c r="AJ1373" t="str">
        <f t="shared" si="375"/>
        <v/>
      </c>
    </row>
    <row r="1374" spans="1:36" x14ac:dyDescent="0.25">
      <c r="P1374" t="str">
        <f t="shared" si="376"/>
        <v/>
      </c>
      <c r="Q1374" t="str">
        <f t="shared" si="376"/>
        <v/>
      </c>
      <c r="R1374" t="str">
        <f t="shared" si="369"/>
        <v/>
      </c>
      <c r="S1374" t="str">
        <f t="shared" si="377"/>
        <v/>
      </c>
      <c r="T1374" t="str">
        <f t="shared" si="378"/>
        <v/>
      </c>
      <c r="U1374" t="str">
        <f t="shared" si="382"/>
        <v/>
      </c>
      <c r="V1374" t="str">
        <f t="shared" si="370"/>
        <v/>
      </c>
      <c r="W1374" t="str">
        <f t="shared" si="379"/>
        <v/>
      </c>
      <c r="X1374" t="str">
        <f t="shared" si="383"/>
        <v/>
      </c>
      <c r="Y1374" t="str">
        <f t="shared" si="383"/>
        <v/>
      </c>
      <c r="Z1374" t="str">
        <f t="shared" si="383"/>
        <v/>
      </c>
      <c r="AA1374" t="str">
        <f t="shared" si="371"/>
        <v/>
      </c>
      <c r="AB1374" t="str">
        <f t="shared" si="380"/>
        <v/>
      </c>
      <c r="AC1374" t="str">
        <f t="shared" si="381"/>
        <v/>
      </c>
      <c r="AD1374" t="str">
        <f t="shared" si="382"/>
        <v/>
      </c>
      <c r="AE1374" t="str">
        <f t="shared" si="372"/>
        <v/>
      </c>
      <c r="AF1374" t="str">
        <f t="shared" si="384"/>
        <v/>
      </c>
      <c r="AG1374" t="str">
        <f t="shared" si="384"/>
        <v/>
      </c>
      <c r="AH1374" t="str">
        <f t="shared" si="373"/>
        <v/>
      </c>
      <c r="AI1374" t="str">
        <f t="shared" si="374"/>
        <v/>
      </c>
      <c r="AJ1374" t="str">
        <f t="shared" si="375"/>
        <v/>
      </c>
    </row>
    <row r="1375" spans="1:36" x14ac:dyDescent="0.25">
      <c r="A1375" t="s">
        <v>3</v>
      </c>
      <c r="P1375" t="str">
        <f t="shared" si="376"/>
        <v xml:space="preserve"> X--------------</v>
      </c>
      <c r="Q1375" t="str">
        <f t="shared" si="376"/>
        <v xml:space="preserve">-------- </v>
      </c>
      <c r="R1375" t="str">
        <f t="shared" si="369"/>
        <v xml:space="preserve"> D A D O </v>
      </c>
      <c r="S1375" t="str">
        <f t="shared" si="377"/>
        <v xml:space="preserve"> S  -  B </v>
      </c>
      <c r="T1375" t="str">
        <f t="shared" si="378"/>
        <v xml:space="preserve"> A R R A </v>
      </c>
      <c r="U1375" t="str">
        <f t="shared" si="382"/>
        <v xml:space="preserve"> ------------</v>
      </c>
      <c r="V1375" t="str">
        <f t="shared" si="370"/>
        <v>---------</v>
      </c>
      <c r="W1375" t="str">
        <f t="shared" si="379"/>
        <v>--------X</v>
      </c>
      <c r="X1375" t="str">
        <f t="shared" si="383"/>
        <v>X------</v>
      </c>
      <c r="Y1375" t="str">
        <f t="shared" si="383"/>
        <v>-------- F L U</v>
      </c>
      <c r="Z1375" t="str">
        <f t="shared" si="383"/>
        <v xml:space="preserve">U X </v>
      </c>
      <c r="AA1375" t="str">
        <f t="shared" si="371"/>
        <v xml:space="preserve"> O S  -  </v>
      </c>
      <c r="AB1375" t="str">
        <f t="shared" si="380"/>
        <v xml:space="preserve"> C I R C </v>
      </c>
      <c r="AC1375" t="str">
        <f t="shared" si="381"/>
        <v xml:space="preserve"> U I T O </v>
      </c>
      <c r="AD1375" t="str">
        <f t="shared" si="382"/>
        <v xml:space="preserve"> S -----</v>
      </c>
      <c r="AE1375" t="str">
        <f t="shared" si="372"/>
        <v>-------</v>
      </c>
      <c r="AF1375" t="str">
        <f t="shared" si="384"/>
        <v>----X</v>
      </c>
      <c r="AG1375" t="str">
        <f t="shared" si="384"/>
        <v>X--------X</v>
      </c>
      <c r="AH1375" t="str">
        <f t="shared" si="373"/>
        <v>X--------X</v>
      </c>
      <c r="AI1375" t="str">
        <f t="shared" si="374"/>
        <v>X------</v>
      </c>
      <c r="AJ1375" t="str">
        <f t="shared" si="375"/>
        <v>------X</v>
      </c>
    </row>
    <row r="1376" spans="1:36" x14ac:dyDescent="0.25">
      <c r="A1376" t="s">
        <v>4</v>
      </c>
      <c r="P1376" t="str">
        <f t="shared" si="376"/>
        <v xml:space="preserve">  DA BARRA      </v>
      </c>
      <c r="Q1376" t="str">
        <f t="shared" si="376"/>
        <v xml:space="preserve">  TENSAO </v>
      </c>
      <c r="R1376" t="str">
        <f t="shared" si="369"/>
        <v xml:space="preserve"> GERACAO </v>
      </c>
      <c r="S1376" t="str">
        <f t="shared" si="377"/>
        <v xml:space="preserve"> INJ EQV </v>
      </c>
      <c r="T1376" t="str">
        <f t="shared" si="378"/>
        <v xml:space="preserve">  CARGA  </v>
      </c>
      <c r="U1376" t="str">
        <f t="shared" si="382"/>
        <v xml:space="preserve">  ELO CC  SHU</v>
      </c>
      <c r="V1376" t="str">
        <f t="shared" si="370"/>
        <v>UNT    MO</v>
      </c>
      <c r="W1376" t="str">
        <f t="shared" si="379"/>
        <v xml:space="preserve">OTOR     </v>
      </c>
      <c r="X1376" t="str">
        <f t="shared" si="383"/>
        <v xml:space="preserve">       </v>
      </c>
      <c r="Y1376" t="str">
        <f t="shared" si="383"/>
        <v xml:space="preserve">              </v>
      </c>
      <c r="Z1376" t="str">
        <f t="shared" si="383"/>
        <v xml:space="preserve">    </v>
      </c>
      <c r="AA1376" t="str">
        <f t="shared" si="371"/>
        <v xml:space="preserve">         </v>
      </c>
      <c r="AB1376" t="str">
        <f t="shared" si="380"/>
        <v xml:space="preserve">         </v>
      </c>
      <c r="AC1376" t="str">
        <f t="shared" si="381"/>
        <v xml:space="preserve">         </v>
      </c>
      <c r="AD1376" t="str">
        <f t="shared" si="382"/>
        <v xml:space="preserve">        </v>
      </c>
      <c r="AE1376" t="str">
        <f t="shared" si="372"/>
        <v xml:space="preserve">       </v>
      </c>
      <c r="AF1376" t="str">
        <f t="shared" si="384"/>
        <v xml:space="preserve">     </v>
      </c>
      <c r="AG1376" t="str">
        <f t="shared" si="384"/>
        <v xml:space="preserve">          </v>
      </c>
      <c r="AH1376" t="str">
        <f t="shared" si="373"/>
        <v xml:space="preserve">          </v>
      </c>
      <c r="AI1376" t="str">
        <f t="shared" si="374"/>
        <v xml:space="preserve">       </v>
      </c>
      <c r="AJ1376" t="str">
        <f t="shared" si="375"/>
        <v xml:space="preserve">   </v>
      </c>
    </row>
    <row r="1377" spans="1:36" x14ac:dyDescent="0.25">
      <c r="A1377" t="s">
        <v>5</v>
      </c>
      <c r="P1377" t="str">
        <f t="shared" si="376"/>
        <v xml:space="preserve">  NUM.  KV TIPO </v>
      </c>
      <c r="Q1377" t="str">
        <f t="shared" si="376"/>
        <v xml:space="preserve">   MOD/  </v>
      </c>
      <c r="R1377" t="str">
        <f t="shared" si="369"/>
        <v xml:space="preserve">    MW/  </v>
      </c>
      <c r="S1377" t="str">
        <f t="shared" si="377"/>
        <v xml:space="preserve">    MW/  </v>
      </c>
      <c r="T1377" t="str">
        <f t="shared" si="378"/>
        <v xml:space="preserve">    MW/  </v>
      </c>
      <c r="U1377" t="str">
        <f t="shared" si="382"/>
        <v xml:space="preserve">    MW/   Mva</v>
      </c>
      <c r="V1377" t="str">
        <f t="shared" si="370"/>
        <v>ar/     M</v>
      </c>
      <c r="W1377" t="str">
        <f t="shared" si="379"/>
        <v xml:space="preserve">MW/      </v>
      </c>
      <c r="X1377" t="str">
        <f t="shared" si="383"/>
        <v xml:space="preserve">       </v>
      </c>
      <c r="Y1377" t="str">
        <f t="shared" si="383"/>
        <v xml:space="preserve">              </v>
      </c>
      <c r="Z1377" t="str">
        <f t="shared" si="383"/>
        <v xml:space="preserve">    </v>
      </c>
      <c r="AA1377" t="str">
        <f t="shared" si="371"/>
        <v xml:space="preserve">         </v>
      </c>
      <c r="AB1377" t="str">
        <f t="shared" si="380"/>
        <v xml:space="preserve">         </v>
      </c>
      <c r="AC1377" t="str">
        <f t="shared" si="381"/>
        <v xml:space="preserve">         </v>
      </c>
      <c r="AD1377" t="str">
        <f t="shared" si="382"/>
        <v xml:space="preserve">        </v>
      </c>
      <c r="AE1377" t="str">
        <f t="shared" si="372"/>
        <v xml:space="preserve">       </v>
      </c>
      <c r="AF1377" t="str">
        <f t="shared" si="384"/>
        <v xml:space="preserve">    P</v>
      </c>
      <c r="AG1377" t="str">
        <f t="shared" si="384"/>
        <v xml:space="preserve">P E R D A </v>
      </c>
      <c r="AH1377" t="str">
        <f t="shared" si="373"/>
        <v xml:space="preserve"> S       T</v>
      </c>
      <c r="AI1377" t="str">
        <f t="shared" si="374"/>
        <v xml:space="preserve">TENSAO </v>
      </c>
      <c r="AJ1377" t="str">
        <f t="shared" si="375"/>
        <v xml:space="preserve">   </v>
      </c>
    </row>
    <row r="1378" spans="1:36" x14ac:dyDescent="0.25">
      <c r="A1378" t="s">
        <v>6</v>
      </c>
      <c r="P1378" t="str">
        <f t="shared" si="376"/>
        <v xml:space="preserve">       NOME     </v>
      </c>
      <c r="Q1378" t="str">
        <f t="shared" si="376"/>
        <v xml:space="preserve">   ANG   </v>
      </c>
      <c r="R1378" t="str">
        <f t="shared" si="369"/>
        <v xml:space="preserve">   Mvar  </v>
      </c>
      <c r="S1378" t="str">
        <f t="shared" si="377"/>
        <v xml:space="preserve">   Mvar  </v>
      </c>
      <c r="T1378" t="str">
        <f t="shared" si="378"/>
        <v xml:space="preserve">   Mvar  </v>
      </c>
      <c r="U1378" t="str">
        <f t="shared" si="382"/>
        <v xml:space="preserve">   Mvar   EQU</v>
      </c>
      <c r="V1378" t="str">
        <f t="shared" si="370"/>
        <v>UIV    Mv</v>
      </c>
      <c r="W1378" t="str">
        <f t="shared" si="379"/>
        <v>var  PARA</v>
      </c>
      <c r="X1378" t="str">
        <f t="shared" si="383"/>
        <v>A BARRA</v>
      </c>
      <c r="Y1378" t="str">
        <f t="shared" si="383"/>
        <v xml:space="preserve">A             </v>
      </c>
      <c r="Z1378" t="str">
        <f t="shared" si="383"/>
        <v xml:space="preserve">    </v>
      </c>
      <c r="AA1378" t="str">
        <f t="shared" si="371"/>
        <v xml:space="preserve">      FLU</v>
      </c>
      <c r="AB1378" t="str">
        <f t="shared" si="380"/>
        <v xml:space="preserve">UXOS     </v>
      </c>
      <c r="AC1378" t="str">
        <f t="shared" si="381"/>
        <v xml:space="preserve">         </v>
      </c>
      <c r="AD1378" t="str">
        <f t="shared" si="382"/>
        <v xml:space="preserve">        </v>
      </c>
      <c r="AE1378" t="str">
        <f t="shared" si="372"/>
        <v xml:space="preserve">       </v>
      </c>
      <c r="AF1378" t="str">
        <f t="shared" si="384"/>
        <v xml:space="preserve">  ATI</v>
      </c>
      <c r="AG1378" t="str">
        <f t="shared" si="384"/>
        <v>IVA   REAT</v>
      </c>
      <c r="AH1378" t="str">
        <f t="shared" si="373"/>
        <v>TIVA  CIR.</v>
      </c>
      <c r="AI1378" t="str">
        <f t="shared" si="374"/>
        <v>. ABERT</v>
      </c>
      <c r="AJ1378" t="str">
        <f t="shared" si="375"/>
        <v xml:space="preserve">TO </v>
      </c>
    </row>
    <row r="1379" spans="1:36" x14ac:dyDescent="0.25">
      <c r="A1379" t="s">
        <v>7</v>
      </c>
      <c r="P1379" t="str">
        <f t="shared" si="376"/>
        <v xml:space="preserve">                </v>
      </c>
      <c r="Q1379" t="str">
        <f t="shared" si="376"/>
        <v xml:space="preserve">         </v>
      </c>
      <c r="R1379" t="str">
        <f t="shared" si="369"/>
        <v xml:space="preserve"> MVA_NOM </v>
      </c>
      <c r="S1379" t="str">
        <f t="shared" si="377"/>
        <v xml:space="preserve"> MVA_EMR </v>
      </c>
      <c r="T1379" t="str">
        <f t="shared" si="378"/>
        <v xml:space="preserve"> MVA_EQP </v>
      </c>
      <c r="U1379" t="str">
        <f t="shared" si="382"/>
        <v xml:space="preserve">   FLUXO %   </v>
      </c>
      <c r="V1379" t="str">
        <f t="shared" si="370"/>
        <v xml:space="preserve"> SHUNT L </v>
      </c>
      <c r="W1379" t="str">
        <f t="shared" si="379"/>
        <v xml:space="preserve">         </v>
      </c>
      <c r="X1379" t="str">
        <f t="shared" si="383"/>
        <v xml:space="preserve"> NUM.  </v>
      </c>
      <c r="Y1379" t="str">
        <f t="shared" si="383"/>
        <v xml:space="preserve">     NOME     </v>
      </c>
      <c r="Z1379" t="str">
        <f t="shared" si="383"/>
        <v xml:space="preserve"> NC </v>
      </c>
      <c r="AA1379" t="str">
        <f t="shared" si="371"/>
        <v xml:space="preserve">    MW   </v>
      </c>
      <c r="AB1379" t="str">
        <f t="shared" si="380"/>
        <v xml:space="preserve">   Mvar  </v>
      </c>
      <c r="AC1379" t="str">
        <f t="shared" si="381"/>
        <v xml:space="preserve"> MVA/V_d </v>
      </c>
      <c r="AD1379" t="str">
        <f t="shared" si="382"/>
        <v xml:space="preserve">   TAP  </v>
      </c>
      <c r="AE1379" t="str">
        <f t="shared" si="372"/>
        <v xml:space="preserve"> DEFAS </v>
      </c>
      <c r="AF1379" t="str">
        <f t="shared" si="384"/>
        <v xml:space="preserve"> TIE </v>
      </c>
      <c r="AG1379" t="str">
        <f t="shared" si="384"/>
        <v xml:space="preserve">    MW    </v>
      </c>
      <c r="AH1379" t="str">
        <f t="shared" si="373"/>
        <v xml:space="preserve">   Mvar   </v>
      </c>
      <c r="AI1379" t="str">
        <f t="shared" si="374"/>
        <v xml:space="preserve">  MOD  </v>
      </c>
      <c r="AJ1379" t="str">
        <f t="shared" si="375"/>
        <v xml:space="preserve">  ANG  </v>
      </c>
    </row>
    <row r="1380" spans="1:36" x14ac:dyDescent="0.25">
      <c r="A1380" t="s">
        <v>8</v>
      </c>
      <c r="P1380" t="str">
        <f t="shared" si="376"/>
        <v xml:space="preserve"> X-------------X</v>
      </c>
      <c r="Q1380" t="str">
        <f t="shared" si="376"/>
        <v>X-------X</v>
      </c>
      <c r="R1380" t="str">
        <f t="shared" si="369"/>
        <v>X-------X</v>
      </c>
      <c r="S1380" t="str">
        <f t="shared" si="377"/>
        <v>X-------X</v>
      </c>
      <c r="T1380" t="str">
        <f t="shared" si="378"/>
        <v>X-------X</v>
      </c>
      <c r="U1380" t="str">
        <f t="shared" si="382"/>
        <v>X-----------X</v>
      </c>
      <c r="V1380" t="str">
        <f t="shared" si="370"/>
        <v>X-------X</v>
      </c>
      <c r="W1380" t="str">
        <f t="shared" si="379"/>
        <v>X-------X</v>
      </c>
      <c r="X1380" t="str">
        <f t="shared" si="383"/>
        <v>X-----X</v>
      </c>
      <c r="Y1380" t="str">
        <f t="shared" si="383"/>
        <v>X------------X</v>
      </c>
      <c r="Z1380" t="str">
        <f t="shared" si="383"/>
        <v>X--X</v>
      </c>
      <c r="AA1380" t="str">
        <f t="shared" si="371"/>
        <v>X-------X</v>
      </c>
      <c r="AB1380" t="str">
        <f t="shared" si="380"/>
        <v>X-------X</v>
      </c>
      <c r="AC1380" t="str">
        <f t="shared" si="381"/>
        <v>X-------X</v>
      </c>
      <c r="AD1380" t="str">
        <f t="shared" si="382"/>
        <v>X------X</v>
      </c>
      <c r="AE1380" t="str">
        <f t="shared" si="372"/>
        <v>X-----X</v>
      </c>
      <c r="AF1380" t="str">
        <f t="shared" si="384"/>
        <v>X---X</v>
      </c>
      <c r="AG1380" t="str">
        <f t="shared" si="384"/>
        <v>X--------X</v>
      </c>
      <c r="AH1380" t="str">
        <f t="shared" si="373"/>
        <v>X--------X</v>
      </c>
      <c r="AI1380" t="str">
        <f t="shared" si="374"/>
        <v>X-----X</v>
      </c>
      <c r="AJ1380" t="str">
        <f t="shared" si="375"/>
        <v>X-----X</v>
      </c>
    </row>
    <row r="1381" spans="1:36" x14ac:dyDescent="0.25">
      <c r="P1381" t="str">
        <f t="shared" si="376"/>
        <v/>
      </c>
      <c r="Q1381" t="str">
        <f t="shared" si="376"/>
        <v/>
      </c>
      <c r="R1381" t="str">
        <f t="shared" si="369"/>
        <v/>
      </c>
      <c r="S1381" t="str">
        <f t="shared" si="377"/>
        <v/>
      </c>
      <c r="T1381" t="str">
        <f t="shared" si="378"/>
        <v/>
      </c>
      <c r="U1381" t="str">
        <f t="shared" si="382"/>
        <v/>
      </c>
      <c r="V1381" t="str">
        <f t="shared" si="370"/>
        <v/>
      </c>
      <c r="W1381" t="str">
        <f t="shared" si="379"/>
        <v/>
      </c>
      <c r="X1381" t="str">
        <f t="shared" si="383"/>
        <v/>
      </c>
      <c r="Y1381" t="str">
        <f t="shared" si="383"/>
        <v/>
      </c>
      <c r="Z1381" t="str">
        <f t="shared" si="383"/>
        <v/>
      </c>
      <c r="AA1381" t="str">
        <f t="shared" si="371"/>
        <v/>
      </c>
      <c r="AB1381" t="str">
        <f t="shared" si="380"/>
        <v/>
      </c>
      <c r="AC1381" t="str">
        <f t="shared" si="381"/>
        <v/>
      </c>
      <c r="AD1381" t="str">
        <f t="shared" si="382"/>
        <v/>
      </c>
      <c r="AE1381" t="str">
        <f t="shared" si="372"/>
        <v/>
      </c>
      <c r="AF1381" t="str">
        <f t="shared" si="384"/>
        <v/>
      </c>
      <c r="AG1381" t="str">
        <f t="shared" si="384"/>
        <v/>
      </c>
      <c r="AH1381" t="str">
        <f t="shared" si="373"/>
        <v/>
      </c>
      <c r="AI1381" t="str">
        <f t="shared" si="374"/>
        <v/>
      </c>
      <c r="AJ1381" t="str">
        <f t="shared" si="375"/>
        <v/>
      </c>
    </row>
    <row r="1382" spans="1:36" x14ac:dyDescent="0.25">
      <c r="A1382" t="s">
        <v>1059</v>
      </c>
      <c r="P1382" t="str">
        <f t="shared" si="376"/>
        <v xml:space="preserve">   9548   69  0 </v>
      </c>
      <c r="Q1382" t="str">
        <f t="shared" si="376"/>
        <v xml:space="preserve">   1.034 </v>
      </c>
      <c r="R1382" t="str">
        <f t="shared" si="369"/>
        <v xml:space="preserve">     0.0 </v>
      </c>
      <c r="S1382" t="str">
        <f t="shared" si="377"/>
        <v xml:space="preserve">     0.0 </v>
      </c>
      <c r="T1382" t="str">
        <f t="shared" si="378"/>
        <v xml:space="preserve">     0.0 </v>
      </c>
      <c r="U1382" t="str">
        <f t="shared" si="382"/>
        <v xml:space="preserve">         0.0 </v>
      </c>
      <c r="V1382" t="str">
        <f t="shared" si="370"/>
        <v xml:space="preserve">     0.0 </v>
      </c>
      <c r="W1382" t="str">
        <f t="shared" si="379"/>
        <v xml:space="preserve">     0.0</v>
      </c>
      <c r="X1382" t="str">
        <f t="shared" si="383"/>
        <v/>
      </c>
      <c r="Y1382" t="str">
        <f t="shared" si="383"/>
        <v/>
      </c>
      <c r="Z1382" t="str">
        <f t="shared" si="383"/>
        <v/>
      </c>
      <c r="AA1382" t="str">
        <f t="shared" si="371"/>
        <v/>
      </c>
      <c r="AB1382" t="str">
        <f t="shared" si="380"/>
        <v/>
      </c>
      <c r="AC1382" t="str">
        <f t="shared" si="381"/>
        <v/>
      </c>
      <c r="AD1382" t="str">
        <f t="shared" si="382"/>
        <v/>
      </c>
      <c r="AE1382" t="str">
        <f t="shared" si="372"/>
        <v/>
      </c>
      <c r="AF1382" t="str">
        <f t="shared" si="384"/>
        <v/>
      </c>
      <c r="AG1382" t="str">
        <f t="shared" si="384"/>
        <v/>
      </c>
      <c r="AH1382" t="str">
        <f t="shared" si="373"/>
        <v/>
      </c>
      <c r="AI1382" t="str">
        <f t="shared" si="374"/>
        <v/>
      </c>
      <c r="AJ1382" t="str">
        <f t="shared" si="375"/>
        <v/>
      </c>
    </row>
    <row r="1383" spans="1:36" x14ac:dyDescent="0.25">
      <c r="A1383" t="s">
        <v>1060</v>
      </c>
      <c r="P1383" t="str">
        <f t="shared" si="376"/>
        <v xml:space="preserve">  NPETR2-RS069  </v>
      </c>
      <c r="Q1383" t="str">
        <f t="shared" si="376"/>
        <v xml:space="preserve">   -51.1 </v>
      </c>
      <c r="R1383" t="str">
        <f t="shared" si="369"/>
        <v xml:space="preserve">     0.0 </v>
      </c>
      <c r="S1383" t="str">
        <f t="shared" si="377"/>
        <v xml:space="preserve">     0.0 </v>
      </c>
      <c r="T1383" t="str">
        <f t="shared" si="378"/>
        <v xml:space="preserve">     0.0 </v>
      </c>
      <c r="U1383" t="str">
        <f t="shared" si="382"/>
        <v xml:space="preserve">         0.0 </v>
      </c>
      <c r="V1383" t="str">
        <f t="shared" si="370"/>
        <v xml:space="preserve">     0.0 </v>
      </c>
      <c r="W1383" t="str">
        <f t="shared" si="379"/>
        <v xml:space="preserve">     0.0 </v>
      </c>
      <c r="X1383" t="str">
        <f t="shared" si="383"/>
        <v xml:space="preserve">       </v>
      </c>
      <c r="Y1383" t="str">
        <f t="shared" si="383"/>
        <v xml:space="preserve">              </v>
      </c>
      <c r="Z1383" t="str">
        <f t="shared" si="383"/>
        <v xml:space="preserve">    </v>
      </c>
      <c r="AA1383" t="str">
        <f t="shared" si="371"/>
        <v xml:space="preserve">         </v>
      </c>
      <c r="AB1383" t="str">
        <f t="shared" si="380"/>
        <v xml:space="preserve">         </v>
      </c>
      <c r="AC1383" t="str">
        <f t="shared" si="381"/>
        <v xml:space="preserve">    </v>
      </c>
      <c r="AD1383" t="str">
        <f t="shared" si="382"/>
        <v/>
      </c>
      <c r="AE1383" t="str">
        <f t="shared" si="372"/>
        <v/>
      </c>
      <c r="AF1383" t="str">
        <f t="shared" si="384"/>
        <v/>
      </c>
      <c r="AG1383" t="str">
        <f t="shared" si="384"/>
        <v/>
      </c>
      <c r="AH1383" t="str">
        <f t="shared" si="373"/>
        <v/>
      </c>
      <c r="AI1383" t="str">
        <f t="shared" si="374"/>
        <v/>
      </c>
      <c r="AJ1383" t="str">
        <f t="shared" si="375"/>
        <v/>
      </c>
    </row>
    <row r="1384" spans="1:36" x14ac:dyDescent="0.25">
      <c r="A1384" t="s">
        <v>1061</v>
      </c>
      <c r="P1384" t="str">
        <f t="shared" si="376"/>
        <v xml:space="preserve">                </v>
      </c>
      <c r="Q1384" t="str">
        <f t="shared" si="376"/>
        <v xml:space="preserve">         </v>
      </c>
      <c r="R1384" t="str">
        <f t="shared" si="369"/>
        <v xml:space="preserve">    84.0 </v>
      </c>
      <c r="S1384" t="str">
        <f t="shared" si="377"/>
        <v xml:space="preserve">   101.0 </v>
      </c>
      <c r="T1384" t="str">
        <f t="shared" si="378"/>
        <v xml:space="preserve">   101.0 </v>
      </c>
      <c r="U1384" t="str">
        <f t="shared" si="382"/>
        <v xml:space="preserve">       25.3% </v>
      </c>
      <c r="V1384" t="str">
        <f t="shared" si="370"/>
        <v xml:space="preserve">         </v>
      </c>
      <c r="W1384" t="str">
        <f t="shared" si="379"/>
        <v xml:space="preserve">         </v>
      </c>
      <c r="X1384" t="str">
        <f t="shared" si="383"/>
        <v xml:space="preserve">  9550 </v>
      </c>
      <c r="Y1384" t="str">
        <f t="shared" si="383"/>
        <v xml:space="preserve"> GRAMAD-RS069 </v>
      </c>
      <c r="Z1384" t="str">
        <f t="shared" si="383"/>
        <v xml:space="preserve">  1 </v>
      </c>
      <c r="AA1384" t="str">
        <f t="shared" si="371"/>
        <v xml:space="preserve">    19.4 </v>
      </c>
      <c r="AB1384" t="str">
        <f t="shared" si="380"/>
        <v xml:space="preserve">    10.3 </v>
      </c>
      <c r="AC1384" t="str">
        <f t="shared" si="381"/>
        <v xml:space="preserve">    21.3 </v>
      </c>
      <c r="AD1384" t="str">
        <f t="shared" si="382"/>
        <v xml:space="preserve">        </v>
      </c>
      <c r="AE1384" t="str">
        <f t="shared" si="372"/>
        <v xml:space="preserve">       </v>
      </c>
      <c r="AF1384" t="str">
        <f t="shared" si="384"/>
        <v xml:space="preserve">     </v>
      </c>
      <c r="AG1384" t="str">
        <f t="shared" si="384"/>
        <v xml:space="preserve">     0.23 </v>
      </c>
      <c r="AH1384" t="str">
        <f t="shared" si="373"/>
        <v xml:space="preserve">     0.49 </v>
      </c>
      <c r="AI1384" t="str">
        <f t="shared" si="374"/>
        <v xml:space="preserve">       </v>
      </c>
      <c r="AJ1384" t="str">
        <f t="shared" si="375"/>
        <v xml:space="preserve">      </v>
      </c>
    </row>
    <row r="1385" spans="1:36" x14ac:dyDescent="0.25">
      <c r="A1385" t="s">
        <v>1062</v>
      </c>
      <c r="P1385" t="str">
        <f t="shared" si="376"/>
        <v xml:space="preserve">                </v>
      </c>
      <c r="Q1385" t="str">
        <f t="shared" si="376"/>
        <v xml:space="preserve">         </v>
      </c>
      <c r="R1385" t="str">
        <f t="shared" si="369"/>
        <v xml:space="preserve">    95.0 </v>
      </c>
      <c r="S1385" t="str">
        <f t="shared" si="377"/>
        <v xml:space="preserve">   108.0 </v>
      </c>
      <c r="T1385" t="str">
        <f t="shared" si="378"/>
        <v xml:space="preserve">   108.0 </v>
      </c>
      <c r="U1385" t="str">
        <f t="shared" si="382"/>
        <v xml:space="preserve">       23.7% </v>
      </c>
      <c r="V1385" t="str">
        <f t="shared" si="370"/>
        <v xml:space="preserve">         </v>
      </c>
      <c r="W1385" t="str">
        <f t="shared" si="379"/>
        <v xml:space="preserve">         </v>
      </c>
      <c r="X1385" t="str">
        <f t="shared" si="383"/>
        <v xml:space="preserve">  9573 </v>
      </c>
      <c r="Y1385" t="str">
        <f t="shared" si="383"/>
        <v xml:space="preserve"> NPETRO-RS069 </v>
      </c>
      <c r="Z1385" t="str">
        <f t="shared" si="383"/>
        <v xml:space="preserve">  1 </v>
      </c>
      <c r="AA1385" t="str">
        <f t="shared" si="371"/>
        <v xml:space="preserve">    22.6 </v>
      </c>
      <c r="AB1385" t="str">
        <f t="shared" si="380"/>
        <v xml:space="preserve">     5.5 </v>
      </c>
      <c r="AC1385" t="str">
        <f t="shared" si="381"/>
        <v xml:space="preserve">    22.5 </v>
      </c>
      <c r="AD1385" t="str">
        <f t="shared" si="382"/>
        <v xml:space="preserve">        </v>
      </c>
      <c r="AE1385" t="str">
        <f t="shared" si="372"/>
        <v xml:space="preserve">       </v>
      </c>
      <c r="AF1385" t="str">
        <f t="shared" si="384"/>
        <v xml:space="preserve">     </v>
      </c>
      <c r="AG1385" t="str">
        <f t="shared" si="384"/>
        <v xml:space="preserve">     0.21 </v>
      </c>
      <c r="AH1385" t="str">
        <f t="shared" si="373"/>
        <v xml:space="preserve">     0.55 </v>
      </c>
      <c r="AI1385" t="str">
        <f t="shared" si="374"/>
        <v xml:space="preserve">       </v>
      </c>
      <c r="AJ1385" t="str">
        <f t="shared" si="375"/>
        <v xml:space="preserve">      </v>
      </c>
    </row>
    <row r="1386" spans="1:36" x14ac:dyDescent="0.25">
      <c r="A1386" t="s">
        <v>1063</v>
      </c>
      <c r="P1386" t="str">
        <f t="shared" si="376"/>
        <v xml:space="preserve">                </v>
      </c>
      <c r="Q1386" t="str">
        <f t="shared" si="376"/>
        <v xml:space="preserve">         </v>
      </c>
      <c r="R1386" t="str">
        <f t="shared" si="369"/>
        <v xml:space="preserve">    83.0 </v>
      </c>
      <c r="S1386" t="str">
        <f t="shared" si="377"/>
        <v xml:space="preserve">   100.0 </v>
      </c>
      <c r="T1386" t="str">
        <f t="shared" si="378"/>
        <v xml:space="preserve">   100.0 </v>
      </c>
      <c r="U1386" t="str">
        <f t="shared" si="382"/>
        <v xml:space="preserve">       26.8% </v>
      </c>
      <c r="V1386" t="str">
        <f t="shared" si="370"/>
        <v xml:space="preserve">         </v>
      </c>
      <c r="W1386" t="str">
        <f t="shared" si="379"/>
        <v xml:space="preserve">         </v>
      </c>
      <c r="X1386" t="str">
        <f t="shared" si="383"/>
        <v xml:space="preserve"> 41305 </v>
      </c>
      <c r="Y1386" t="str">
        <f t="shared" si="383"/>
        <v xml:space="preserve"> NVP--1-RS000 </v>
      </c>
      <c r="Z1386" t="str">
        <f t="shared" si="383"/>
        <v xml:space="preserve">  1 </v>
      </c>
      <c r="AA1386" t="str">
        <f t="shared" si="371"/>
        <v xml:space="preserve">   -21.5 </v>
      </c>
      <c r="AB1386" t="str">
        <f t="shared" si="380"/>
        <v xml:space="preserve">    -8.0 </v>
      </c>
      <c r="AC1386" t="str">
        <f t="shared" si="381"/>
        <v xml:space="preserve">    22.2 </v>
      </c>
      <c r="AD1386" t="str">
        <f t="shared" si="382"/>
        <v xml:space="preserve"> 1.000F </v>
      </c>
      <c r="AE1386" t="str">
        <f t="shared" si="372"/>
        <v xml:space="preserve">       </v>
      </c>
      <c r="AF1386" t="str">
        <f t="shared" si="384"/>
        <v xml:space="preserve"> 002 </v>
      </c>
      <c r="AG1386" t="str">
        <f t="shared" si="384"/>
        <v xml:space="preserve">     0.01 </v>
      </c>
      <c r="AH1386" t="str">
        <f t="shared" si="373"/>
        <v xml:space="preserve">    -0.04 </v>
      </c>
      <c r="AI1386" t="str">
        <f t="shared" si="374"/>
        <v xml:space="preserve">       </v>
      </c>
      <c r="AJ1386" t="str">
        <f t="shared" si="375"/>
        <v xml:space="preserve">      </v>
      </c>
    </row>
    <row r="1387" spans="1:36" x14ac:dyDescent="0.25">
      <c r="A1387" t="s">
        <v>1064</v>
      </c>
      <c r="P1387" t="str">
        <f t="shared" si="376"/>
        <v xml:space="preserve">                </v>
      </c>
      <c r="Q1387" t="str">
        <f t="shared" si="376"/>
        <v xml:space="preserve">         </v>
      </c>
      <c r="R1387" t="str">
        <f t="shared" si="369"/>
        <v xml:space="preserve">    83.0 </v>
      </c>
      <c r="S1387" t="str">
        <f t="shared" si="377"/>
        <v xml:space="preserve">   100.0 </v>
      </c>
      <c r="T1387" t="str">
        <f t="shared" si="378"/>
        <v xml:space="preserve">   100.0 </v>
      </c>
      <c r="U1387" t="str">
        <f t="shared" si="382"/>
        <v xml:space="preserve">       25.6% </v>
      </c>
      <c r="V1387" t="str">
        <f t="shared" si="370"/>
        <v xml:space="preserve">         </v>
      </c>
      <c r="W1387" t="str">
        <f t="shared" si="379"/>
        <v xml:space="preserve">         </v>
      </c>
      <c r="X1387" t="str">
        <f t="shared" si="383"/>
        <v xml:space="preserve"> 41412 </v>
      </c>
      <c r="Y1387" t="str">
        <f t="shared" si="383"/>
        <v xml:space="preserve"> NVP--2-RS000 </v>
      </c>
      <c r="Z1387" t="str">
        <f t="shared" si="383"/>
        <v xml:space="preserve">  2 </v>
      </c>
      <c r="AA1387" t="str">
        <f t="shared" si="371"/>
        <v xml:space="preserve">   -20.5 </v>
      </c>
      <c r="AB1387" t="str">
        <f t="shared" si="380"/>
        <v xml:space="preserve">    -7.8 </v>
      </c>
      <c r="AC1387" t="str">
        <f t="shared" si="381"/>
        <v xml:space="preserve">    21.2 </v>
      </c>
      <c r="AD1387" t="str">
        <f t="shared" si="382"/>
        <v xml:space="preserve"> 1.000F </v>
      </c>
      <c r="AE1387" t="str">
        <f t="shared" si="372"/>
        <v xml:space="preserve">       </v>
      </c>
      <c r="AF1387" t="str">
        <f t="shared" si="384"/>
        <v xml:space="preserve"> 002 </v>
      </c>
      <c r="AG1387" t="str">
        <f t="shared" si="384"/>
        <v xml:space="preserve">     0.01 </v>
      </c>
      <c r="AH1387" t="str">
        <f t="shared" si="373"/>
        <v xml:space="preserve">    -0.06 </v>
      </c>
      <c r="AI1387" t="str">
        <f t="shared" si="374"/>
        <v xml:space="preserve">       </v>
      </c>
      <c r="AJ1387" t="str">
        <f t="shared" si="375"/>
        <v xml:space="preserve">      </v>
      </c>
    </row>
    <row r="1388" spans="1:36" x14ac:dyDescent="0.25">
      <c r="A1388" t="s">
        <v>14</v>
      </c>
      <c r="P1388" t="str">
        <f t="shared" si="376"/>
        <v xml:space="preserve">  ..............</v>
      </c>
      <c r="Q1388" t="str">
        <f t="shared" si="376"/>
        <v>.........</v>
      </c>
      <c r="R1388" t="str">
        <f t="shared" si="369"/>
        <v>.........</v>
      </c>
      <c r="S1388" t="str">
        <f t="shared" si="377"/>
        <v>.........</v>
      </c>
      <c r="T1388" t="str">
        <f t="shared" si="378"/>
        <v>.........</v>
      </c>
      <c r="U1388" t="str">
        <f t="shared" si="382"/>
        <v>.............</v>
      </c>
      <c r="V1388" t="str">
        <f t="shared" si="370"/>
        <v>.........</v>
      </c>
      <c r="W1388" t="str">
        <f t="shared" si="379"/>
        <v>.........</v>
      </c>
      <c r="X1388" t="str">
        <f t="shared" si="383"/>
        <v>.......</v>
      </c>
      <c r="Y1388" t="str">
        <f t="shared" si="383"/>
        <v>..............</v>
      </c>
      <c r="Z1388" t="str">
        <f t="shared" si="383"/>
        <v>....</v>
      </c>
      <c r="AA1388" t="str">
        <f t="shared" si="371"/>
        <v>.........</v>
      </c>
      <c r="AB1388" t="str">
        <f t="shared" si="380"/>
        <v>.........</v>
      </c>
      <c r="AC1388" t="str">
        <f t="shared" si="381"/>
        <v>.........</v>
      </c>
      <c r="AD1388" t="str">
        <f t="shared" si="382"/>
        <v>........</v>
      </c>
      <c r="AE1388" t="str">
        <f t="shared" si="372"/>
        <v>.......</v>
      </c>
      <c r="AF1388" t="str">
        <f t="shared" si="384"/>
        <v>.....</v>
      </c>
      <c r="AG1388" t="str">
        <f t="shared" si="384"/>
        <v>..........</v>
      </c>
      <c r="AH1388" t="str">
        <f t="shared" si="373"/>
        <v>..........</v>
      </c>
      <c r="AI1388" t="str">
        <f t="shared" si="374"/>
        <v>.......</v>
      </c>
      <c r="AJ1388" t="str">
        <f t="shared" si="375"/>
        <v>.......</v>
      </c>
    </row>
    <row r="1389" spans="1:36" x14ac:dyDescent="0.25">
      <c r="A1389" t="s">
        <v>1065</v>
      </c>
      <c r="P1389" t="str">
        <f t="shared" si="376"/>
        <v xml:space="preserve">   9549  138  0 </v>
      </c>
      <c r="Q1389" t="str">
        <f t="shared" si="376"/>
        <v xml:space="preserve">   1.017 </v>
      </c>
      <c r="R1389" t="str">
        <f t="shared" si="369"/>
        <v xml:space="preserve">     2.3 </v>
      </c>
      <c r="S1389" t="str">
        <f t="shared" si="377"/>
        <v xml:space="preserve">     0.0 </v>
      </c>
      <c r="T1389" t="str">
        <f t="shared" si="378"/>
        <v xml:space="preserve">    40.8 </v>
      </c>
      <c r="U1389" t="str">
        <f t="shared" si="382"/>
        <v xml:space="preserve">         0.0 </v>
      </c>
      <c r="V1389" t="str">
        <f t="shared" si="370"/>
        <v xml:space="preserve">     0.0 </v>
      </c>
      <c r="W1389" t="str">
        <f t="shared" si="379"/>
        <v xml:space="preserve">     0.0</v>
      </c>
      <c r="X1389" t="str">
        <f t="shared" si="383"/>
        <v/>
      </c>
      <c r="Y1389" t="str">
        <f t="shared" si="383"/>
        <v/>
      </c>
      <c r="Z1389" t="str">
        <f t="shared" si="383"/>
        <v/>
      </c>
      <c r="AA1389" t="str">
        <f t="shared" si="371"/>
        <v/>
      </c>
      <c r="AB1389" t="str">
        <f t="shared" si="380"/>
        <v/>
      </c>
      <c r="AC1389" t="str">
        <f t="shared" si="381"/>
        <v/>
      </c>
      <c r="AD1389" t="str">
        <f t="shared" si="382"/>
        <v/>
      </c>
      <c r="AE1389" t="str">
        <f t="shared" si="372"/>
        <v/>
      </c>
      <c r="AF1389" t="str">
        <f t="shared" si="384"/>
        <v/>
      </c>
      <c r="AG1389" t="str">
        <f t="shared" si="384"/>
        <v/>
      </c>
      <c r="AH1389" t="str">
        <f t="shared" si="373"/>
        <v/>
      </c>
      <c r="AI1389" t="str">
        <f t="shared" si="374"/>
        <v/>
      </c>
      <c r="AJ1389" t="str">
        <f t="shared" si="375"/>
        <v/>
      </c>
    </row>
    <row r="1390" spans="1:36" x14ac:dyDescent="0.25">
      <c r="A1390" t="s">
        <v>1066</v>
      </c>
      <c r="P1390" t="str">
        <f t="shared" si="376"/>
        <v xml:space="preserve">  PLANAL-RS138  </v>
      </c>
      <c r="Q1390" t="str">
        <f t="shared" si="376"/>
        <v xml:space="preserve">   -42.4 </v>
      </c>
      <c r="R1390" t="str">
        <f t="shared" si="369"/>
        <v xml:space="preserve">     0.0 </v>
      </c>
      <c r="S1390" t="str">
        <f t="shared" si="377"/>
        <v xml:space="preserve">     0.0 </v>
      </c>
      <c r="T1390" t="str">
        <f t="shared" si="378"/>
        <v xml:space="preserve">    21.7 </v>
      </c>
      <c r="U1390" t="str">
        <f t="shared" si="382"/>
        <v xml:space="preserve">         0.0 </v>
      </c>
      <c r="V1390" t="str">
        <f t="shared" si="370"/>
        <v xml:space="preserve">     0.0 </v>
      </c>
      <c r="W1390" t="str">
        <f t="shared" si="379"/>
        <v xml:space="preserve">     0.0 </v>
      </c>
      <c r="X1390" t="str">
        <f t="shared" si="383"/>
        <v xml:space="preserve">       </v>
      </c>
      <c r="Y1390" t="str">
        <f t="shared" si="383"/>
        <v xml:space="preserve">              </v>
      </c>
      <c r="Z1390" t="str">
        <f t="shared" si="383"/>
        <v xml:space="preserve">    </v>
      </c>
      <c r="AA1390" t="str">
        <f t="shared" si="371"/>
        <v xml:space="preserve">         </v>
      </c>
      <c r="AB1390" t="str">
        <f t="shared" si="380"/>
        <v xml:space="preserve">         </v>
      </c>
      <c r="AC1390" t="str">
        <f t="shared" si="381"/>
        <v xml:space="preserve">    </v>
      </c>
      <c r="AD1390" t="str">
        <f t="shared" si="382"/>
        <v/>
      </c>
      <c r="AE1390" t="str">
        <f t="shared" si="372"/>
        <v/>
      </c>
      <c r="AF1390" t="str">
        <f t="shared" si="384"/>
        <v/>
      </c>
      <c r="AG1390" t="str">
        <f t="shared" si="384"/>
        <v/>
      </c>
      <c r="AH1390" t="str">
        <f t="shared" si="373"/>
        <v/>
      </c>
      <c r="AI1390" t="str">
        <f t="shared" si="374"/>
        <v/>
      </c>
      <c r="AJ1390" t="str">
        <f t="shared" si="375"/>
        <v/>
      </c>
    </row>
    <row r="1391" spans="1:36" x14ac:dyDescent="0.25">
      <c r="A1391" t="s">
        <v>1067</v>
      </c>
      <c r="P1391" t="str">
        <f t="shared" si="376"/>
        <v xml:space="preserve">                </v>
      </c>
      <c r="Q1391" t="str">
        <f t="shared" si="376"/>
        <v xml:space="preserve">         </v>
      </c>
      <c r="R1391" t="str">
        <f t="shared" si="369"/>
        <v xml:space="preserve">   167.0 </v>
      </c>
      <c r="S1391" t="str">
        <f t="shared" si="377"/>
        <v xml:space="preserve">   203.0 </v>
      </c>
      <c r="T1391" t="str">
        <f t="shared" si="378"/>
        <v xml:space="preserve">   203.0 </v>
      </c>
      <c r="U1391" t="str">
        <f t="shared" si="382"/>
        <v xml:space="preserve">       28.8% </v>
      </c>
      <c r="V1391" t="str">
        <f t="shared" si="370"/>
        <v xml:space="preserve">         </v>
      </c>
      <c r="W1391" t="str">
        <f t="shared" si="379"/>
        <v xml:space="preserve">         </v>
      </c>
      <c r="X1391" t="str">
        <f t="shared" si="383"/>
        <v xml:space="preserve">  1062 </v>
      </c>
      <c r="Y1391" t="str">
        <f t="shared" si="383"/>
        <v xml:space="preserve"> FCHAPE-RS138 </v>
      </c>
      <c r="Z1391" t="str">
        <f t="shared" si="383"/>
        <v xml:space="preserve">  1 </v>
      </c>
      <c r="AA1391" t="str">
        <f t="shared" si="371"/>
        <v xml:space="preserve">   -44.1 </v>
      </c>
      <c r="AB1391" t="str">
        <f t="shared" si="380"/>
        <v xml:space="preserve">   -21.1 </v>
      </c>
      <c r="AC1391" t="str">
        <f t="shared" si="381"/>
        <v xml:space="preserve">    48.1 </v>
      </c>
      <c r="AD1391" t="str">
        <f t="shared" si="382"/>
        <v xml:space="preserve">        </v>
      </c>
      <c r="AE1391" t="str">
        <f t="shared" si="372"/>
        <v xml:space="preserve">       </v>
      </c>
      <c r="AF1391" t="str">
        <f t="shared" si="384"/>
        <v xml:space="preserve"> 053 </v>
      </c>
      <c r="AG1391" t="str">
        <f t="shared" si="384"/>
        <v xml:space="preserve">     0.39 </v>
      </c>
      <c r="AH1391" t="str">
        <f t="shared" si="373"/>
        <v xml:space="preserve">    -0.15 </v>
      </c>
      <c r="AI1391" t="str">
        <f t="shared" si="374"/>
        <v xml:space="preserve">       </v>
      </c>
      <c r="AJ1391" t="str">
        <f t="shared" si="375"/>
        <v xml:space="preserve">      </v>
      </c>
    </row>
    <row r="1392" spans="1:36" x14ac:dyDescent="0.25">
      <c r="A1392" t="s">
        <v>1068</v>
      </c>
      <c r="P1392" t="str">
        <f t="shared" si="376"/>
        <v xml:space="preserve">                </v>
      </c>
      <c r="Q1392" t="str">
        <f t="shared" si="376"/>
        <v xml:space="preserve">         </v>
      </c>
      <c r="R1392" t="str">
        <f t="shared" si="369"/>
        <v xml:space="preserve">   167.0 </v>
      </c>
      <c r="S1392" t="str">
        <f t="shared" si="377"/>
        <v xml:space="preserve">   203.0 </v>
      </c>
      <c r="T1392" t="str">
        <f t="shared" si="378"/>
        <v xml:space="preserve">   203.0 </v>
      </c>
      <c r="U1392" t="str">
        <f t="shared" si="382"/>
        <v xml:space="preserve">        3.3% </v>
      </c>
      <c r="V1392" t="str">
        <f t="shared" si="370"/>
        <v xml:space="preserve">         </v>
      </c>
      <c r="W1392" t="str">
        <f t="shared" si="379"/>
        <v xml:space="preserve">         </v>
      </c>
      <c r="X1392" t="str">
        <f t="shared" si="383"/>
        <v xml:space="preserve">  1335 </v>
      </c>
      <c r="Y1392" t="str">
        <f t="shared" si="383"/>
        <v xml:space="preserve"> CONSTA-RS138 </v>
      </c>
      <c r="Z1392" t="str">
        <f t="shared" si="383"/>
        <v xml:space="preserve">  1 </v>
      </c>
      <c r="AA1392" t="str">
        <f t="shared" si="371"/>
        <v xml:space="preserve">     5.6 </v>
      </c>
      <c r="AB1392" t="str">
        <f t="shared" si="380"/>
        <v xml:space="preserve">    -0.6 </v>
      </c>
      <c r="AC1392" t="str">
        <f t="shared" si="381"/>
        <v xml:space="preserve">     5.5 </v>
      </c>
      <c r="AD1392" t="str">
        <f t="shared" si="382"/>
        <v xml:space="preserve">        </v>
      </c>
      <c r="AE1392" t="str">
        <f t="shared" si="372"/>
        <v xml:space="preserve">       </v>
      </c>
      <c r="AF1392" t="str">
        <f t="shared" si="384"/>
        <v xml:space="preserve">     </v>
      </c>
      <c r="AG1392" t="str">
        <f t="shared" si="384"/>
        <v xml:space="preserve">     0.01 </v>
      </c>
      <c r="AH1392" t="str">
        <f t="shared" si="373"/>
        <v xml:space="preserve">    -3.46 </v>
      </c>
      <c r="AI1392" t="str">
        <f t="shared" si="374"/>
        <v xml:space="preserve">       </v>
      </c>
      <c r="AJ1392" t="str">
        <f t="shared" si="375"/>
        <v xml:space="preserve">      </v>
      </c>
    </row>
    <row r="1393" spans="1:36" x14ac:dyDescent="0.25">
      <c r="A1393" t="s">
        <v>14</v>
      </c>
      <c r="P1393" t="str">
        <f t="shared" si="376"/>
        <v xml:space="preserve">  ..............</v>
      </c>
      <c r="Q1393" t="str">
        <f t="shared" si="376"/>
        <v>.........</v>
      </c>
      <c r="R1393" t="str">
        <f t="shared" si="369"/>
        <v>.........</v>
      </c>
      <c r="S1393" t="str">
        <f t="shared" si="377"/>
        <v>.........</v>
      </c>
      <c r="T1393" t="str">
        <f t="shared" si="378"/>
        <v>.........</v>
      </c>
      <c r="U1393" t="str">
        <f t="shared" si="382"/>
        <v>.............</v>
      </c>
      <c r="V1393" t="str">
        <f t="shared" si="370"/>
        <v>.........</v>
      </c>
      <c r="W1393" t="str">
        <f t="shared" si="379"/>
        <v>.........</v>
      </c>
      <c r="X1393" t="str">
        <f t="shared" si="383"/>
        <v>.......</v>
      </c>
      <c r="Y1393" t="str">
        <f t="shared" si="383"/>
        <v>..............</v>
      </c>
      <c r="Z1393" t="str">
        <f t="shared" si="383"/>
        <v>....</v>
      </c>
      <c r="AA1393" t="str">
        <f t="shared" si="371"/>
        <v>.........</v>
      </c>
      <c r="AB1393" t="str">
        <f t="shared" si="380"/>
        <v>.........</v>
      </c>
      <c r="AC1393" t="str">
        <f t="shared" si="381"/>
        <v>.........</v>
      </c>
      <c r="AD1393" t="str">
        <f t="shared" si="382"/>
        <v>........</v>
      </c>
      <c r="AE1393" t="str">
        <f t="shared" si="372"/>
        <v>.......</v>
      </c>
      <c r="AF1393" t="str">
        <f t="shared" si="384"/>
        <v>.....</v>
      </c>
      <c r="AG1393" t="str">
        <f t="shared" si="384"/>
        <v>..........</v>
      </c>
      <c r="AH1393" t="str">
        <f t="shared" si="373"/>
        <v>..........</v>
      </c>
      <c r="AI1393" t="str">
        <f t="shared" si="374"/>
        <v>.......</v>
      </c>
      <c r="AJ1393" t="str">
        <f t="shared" si="375"/>
        <v>.......</v>
      </c>
    </row>
    <row r="1394" spans="1:36" x14ac:dyDescent="0.25">
      <c r="A1394" t="s">
        <v>1069</v>
      </c>
      <c r="P1394" t="str">
        <f t="shared" si="376"/>
        <v xml:space="preserve">   9550   69  0 </v>
      </c>
      <c r="Q1394" t="str">
        <f t="shared" si="376"/>
        <v xml:space="preserve">   1.007 </v>
      </c>
      <c r="R1394" t="str">
        <f t="shared" si="369"/>
        <v xml:space="preserve">     2.4 </v>
      </c>
      <c r="S1394" t="str">
        <f t="shared" si="377"/>
        <v xml:space="preserve">     0.0 </v>
      </c>
      <c r="T1394" t="str">
        <f t="shared" si="378"/>
        <v xml:space="preserve">    21.6 </v>
      </c>
      <c r="U1394" t="str">
        <f t="shared" si="382"/>
        <v xml:space="preserve">         0.0 </v>
      </c>
      <c r="V1394" t="str">
        <f t="shared" si="370"/>
        <v xml:space="preserve">     0.0 </v>
      </c>
      <c r="W1394" t="str">
        <f t="shared" si="379"/>
        <v xml:space="preserve">     0.0</v>
      </c>
      <c r="X1394" t="str">
        <f t="shared" si="383"/>
        <v/>
      </c>
      <c r="Y1394" t="str">
        <f t="shared" si="383"/>
        <v/>
      </c>
      <c r="Z1394" t="str">
        <f t="shared" si="383"/>
        <v/>
      </c>
      <c r="AA1394" t="str">
        <f t="shared" si="371"/>
        <v/>
      </c>
      <c r="AB1394" t="str">
        <f t="shared" si="380"/>
        <v/>
      </c>
      <c r="AC1394" t="str">
        <f t="shared" si="381"/>
        <v/>
      </c>
      <c r="AD1394" t="str">
        <f t="shared" si="382"/>
        <v/>
      </c>
      <c r="AE1394" t="str">
        <f t="shared" si="372"/>
        <v/>
      </c>
      <c r="AF1394" t="str">
        <f t="shared" si="384"/>
        <v/>
      </c>
      <c r="AG1394" t="str">
        <f t="shared" si="384"/>
        <v/>
      </c>
      <c r="AH1394" t="str">
        <f t="shared" si="373"/>
        <v/>
      </c>
      <c r="AI1394" t="str">
        <f t="shared" si="374"/>
        <v/>
      </c>
      <c r="AJ1394" t="str">
        <f t="shared" si="375"/>
        <v/>
      </c>
    </row>
    <row r="1395" spans="1:36" x14ac:dyDescent="0.25">
      <c r="A1395" t="s">
        <v>1070</v>
      </c>
      <c r="P1395" t="str">
        <f t="shared" si="376"/>
        <v xml:space="preserve">  GRAMAD-RS069  </v>
      </c>
      <c r="Q1395" t="str">
        <f t="shared" si="376"/>
        <v xml:space="preserve">   -52.6 </v>
      </c>
      <c r="R1395" t="str">
        <f t="shared" si="369"/>
        <v xml:space="preserve">     0.0 </v>
      </c>
      <c r="S1395" t="str">
        <f t="shared" si="377"/>
        <v xml:space="preserve">     0.0 </v>
      </c>
      <c r="T1395" t="str">
        <f t="shared" si="378"/>
        <v xml:space="preserve">     9.8 </v>
      </c>
      <c r="U1395" t="str">
        <f t="shared" si="382"/>
        <v xml:space="preserve">         0.0 </v>
      </c>
      <c r="V1395" t="str">
        <f t="shared" si="370"/>
        <v xml:space="preserve">     0.0 </v>
      </c>
      <c r="W1395" t="str">
        <f t="shared" si="379"/>
        <v xml:space="preserve">     0.0 </v>
      </c>
      <c r="X1395" t="str">
        <f t="shared" si="383"/>
        <v xml:space="preserve">       </v>
      </c>
      <c r="Y1395" t="str">
        <f t="shared" si="383"/>
        <v xml:space="preserve">              </v>
      </c>
      <c r="Z1395" t="str">
        <f t="shared" si="383"/>
        <v xml:space="preserve">    </v>
      </c>
      <c r="AA1395" t="str">
        <f t="shared" si="371"/>
        <v xml:space="preserve">         </v>
      </c>
      <c r="AB1395" t="str">
        <f t="shared" si="380"/>
        <v xml:space="preserve">         </v>
      </c>
      <c r="AC1395" t="str">
        <f t="shared" si="381"/>
        <v xml:space="preserve">    </v>
      </c>
      <c r="AD1395" t="str">
        <f t="shared" si="382"/>
        <v/>
      </c>
      <c r="AE1395" t="str">
        <f t="shared" si="372"/>
        <v/>
      </c>
      <c r="AF1395" t="str">
        <f t="shared" si="384"/>
        <v/>
      </c>
      <c r="AG1395" t="str">
        <f t="shared" si="384"/>
        <v/>
      </c>
      <c r="AH1395" t="str">
        <f t="shared" si="373"/>
        <v/>
      </c>
      <c r="AI1395" t="str">
        <f t="shared" si="374"/>
        <v/>
      </c>
      <c r="AJ1395" t="str">
        <f t="shared" si="375"/>
        <v/>
      </c>
    </row>
    <row r="1396" spans="1:36" x14ac:dyDescent="0.25">
      <c r="A1396" t="s">
        <v>1071</v>
      </c>
      <c r="P1396" t="str">
        <f t="shared" si="376"/>
        <v xml:space="preserve">                </v>
      </c>
      <c r="Q1396" t="str">
        <f t="shared" si="376"/>
        <v xml:space="preserve">         </v>
      </c>
      <c r="R1396" t="str">
        <f t="shared" si="369"/>
        <v xml:space="preserve">    84.0 </v>
      </c>
      <c r="S1396" t="str">
        <f t="shared" si="377"/>
        <v xml:space="preserve">   101.0 </v>
      </c>
      <c r="T1396" t="str">
        <f t="shared" si="378"/>
        <v xml:space="preserve">   101.0 </v>
      </c>
      <c r="U1396" t="str">
        <f t="shared" si="382"/>
        <v xml:space="preserve">       25.5% </v>
      </c>
      <c r="V1396" t="str">
        <f t="shared" si="370"/>
        <v xml:space="preserve">         </v>
      </c>
      <c r="W1396" t="str">
        <f t="shared" si="379"/>
        <v xml:space="preserve">         </v>
      </c>
      <c r="X1396" t="str">
        <f t="shared" si="383"/>
        <v xml:space="preserve">  9548 </v>
      </c>
      <c r="Y1396" t="str">
        <f t="shared" si="383"/>
        <v xml:space="preserve"> NPETR2-RS069 </v>
      </c>
      <c r="Z1396" t="str">
        <f t="shared" si="383"/>
        <v xml:space="preserve">  1 </v>
      </c>
      <c r="AA1396" t="str">
        <f t="shared" si="371"/>
        <v xml:space="preserve">   -19.2 </v>
      </c>
      <c r="AB1396" t="str">
        <f t="shared" si="380"/>
        <v xml:space="preserve">    -9.8 </v>
      </c>
      <c r="AC1396" t="str">
        <f t="shared" si="381"/>
        <v xml:space="preserve">    21.4 </v>
      </c>
      <c r="AD1396" t="str">
        <f t="shared" si="382"/>
        <v xml:space="preserve">        </v>
      </c>
      <c r="AE1396" t="str">
        <f t="shared" si="372"/>
        <v xml:space="preserve">       </v>
      </c>
      <c r="AF1396" t="str">
        <f t="shared" si="384"/>
        <v xml:space="preserve">     </v>
      </c>
      <c r="AG1396" t="str">
        <f t="shared" si="384"/>
        <v xml:space="preserve">     0.23 </v>
      </c>
      <c r="AH1396" t="str">
        <f t="shared" si="373"/>
        <v xml:space="preserve">     0.49 </v>
      </c>
      <c r="AI1396" t="str">
        <f t="shared" si="374"/>
        <v xml:space="preserve">       </v>
      </c>
      <c r="AJ1396" t="str">
        <f t="shared" si="375"/>
        <v xml:space="preserve">      </v>
      </c>
    </row>
    <row r="1397" spans="1:36" x14ac:dyDescent="0.25">
      <c r="A1397" t="s">
        <v>1072</v>
      </c>
      <c r="P1397" t="str">
        <f t="shared" si="376"/>
        <v xml:space="preserve">              DE</v>
      </c>
      <c r="Q1397" t="str">
        <f t="shared" si="376"/>
        <v xml:space="preserve">ESLIGADO </v>
      </c>
      <c r="R1397" t="str">
        <f t="shared" si="369"/>
        <v xml:space="preserve">    84.0 </v>
      </c>
      <c r="S1397" t="str">
        <f t="shared" si="377"/>
        <v xml:space="preserve">   101.0 </v>
      </c>
      <c r="T1397" t="str">
        <f t="shared" si="378"/>
        <v xml:space="preserve">   101.0 </v>
      </c>
      <c r="U1397" t="str">
        <f t="shared" si="382"/>
        <v xml:space="preserve">             </v>
      </c>
      <c r="V1397" t="str">
        <f t="shared" si="370"/>
        <v xml:space="preserve">         </v>
      </c>
      <c r="W1397" t="str">
        <f t="shared" si="379"/>
        <v xml:space="preserve">         </v>
      </c>
      <c r="X1397" t="str">
        <f t="shared" si="383"/>
        <v xml:space="preserve">  9758 </v>
      </c>
      <c r="Y1397" t="str">
        <f t="shared" si="383"/>
        <v xml:space="preserve"> GRAMADTAP069 </v>
      </c>
      <c r="Z1397" t="str">
        <f t="shared" si="383"/>
        <v xml:space="preserve">  1 </v>
      </c>
      <c r="AA1397" t="str">
        <f t="shared" si="371"/>
        <v xml:space="preserve">     0.0 </v>
      </c>
      <c r="AB1397" t="str">
        <f t="shared" si="380"/>
        <v xml:space="preserve">     0.0 </v>
      </c>
      <c r="AC1397" t="str">
        <f t="shared" si="381"/>
        <v xml:space="preserve">     0.0 </v>
      </c>
      <c r="AD1397" t="str">
        <f t="shared" si="382"/>
        <v xml:space="preserve">        </v>
      </c>
      <c r="AE1397" t="str">
        <f t="shared" si="372"/>
        <v xml:space="preserve">       </v>
      </c>
      <c r="AF1397" t="str">
        <f t="shared" si="384"/>
        <v xml:space="preserve">     </v>
      </c>
      <c r="AG1397" t="str">
        <f t="shared" si="384"/>
        <v xml:space="preserve">     0.00 </v>
      </c>
      <c r="AH1397" t="str">
        <f t="shared" si="373"/>
        <v xml:space="preserve">     0.00 </v>
      </c>
      <c r="AI1397" t="str">
        <f t="shared" si="374"/>
        <v xml:space="preserve">       </v>
      </c>
      <c r="AJ1397" t="str">
        <f t="shared" si="375"/>
        <v xml:space="preserve">      </v>
      </c>
    </row>
    <row r="1398" spans="1:36" x14ac:dyDescent="0.25">
      <c r="A1398" t="s">
        <v>14</v>
      </c>
      <c r="P1398" t="str">
        <f t="shared" si="376"/>
        <v xml:space="preserve">  ..............</v>
      </c>
      <c r="Q1398" t="str">
        <f t="shared" si="376"/>
        <v>.........</v>
      </c>
      <c r="R1398" t="str">
        <f t="shared" si="369"/>
        <v>.........</v>
      </c>
      <c r="S1398" t="str">
        <f t="shared" si="377"/>
        <v>.........</v>
      </c>
      <c r="T1398" t="str">
        <f t="shared" si="378"/>
        <v>.........</v>
      </c>
      <c r="U1398" t="str">
        <f t="shared" si="382"/>
        <v>.............</v>
      </c>
      <c r="V1398" t="str">
        <f t="shared" si="370"/>
        <v>.........</v>
      </c>
      <c r="W1398" t="str">
        <f t="shared" si="379"/>
        <v>.........</v>
      </c>
      <c r="X1398" t="str">
        <f t="shared" si="383"/>
        <v>.......</v>
      </c>
      <c r="Y1398" t="str">
        <f t="shared" si="383"/>
        <v>..............</v>
      </c>
      <c r="Z1398" t="str">
        <f t="shared" si="383"/>
        <v>....</v>
      </c>
      <c r="AA1398" t="str">
        <f t="shared" si="371"/>
        <v>.........</v>
      </c>
      <c r="AB1398" t="str">
        <f t="shared" si="380"/>
        <v>.........</v>
      </c>
      <c r="AC1398" t="str">
        <f t="shared" si="381"/>
        <v>.........</v>
      </c>
      <c r="AD1398" t="str">
        <f t="shared" si="382"/>
        <v>........</v>
      </c>
      <c r="AE1398" t="str">
        <f t="shared" si="372"/>
        <v>.......</v>
      </c>
      <c r="AF1398" t="str">
        <f t="shared" si="384"/>
        <v>.....</v>
      </c>
      <c r="AG1398" t="str">
        <f t="shared" si="384"/>
        <v>..........</v>
      </c>
      <c r="AH1398" t="str">
        <f t="shared" si="373"/>
        <v>..........</v>
      </c>
      <c r="AI1398" t="str">
        <f t="shared" si="374"/>
        <v>.......</v>
      </c>
      <c r="AJ1398" t="str">
        <f t="shared" si="375"/>
        <v>.......</v>
      </c>
    </row>
    <row r="1399" spans="1:36" x14ac:dyDescent="0.25">
      <c r="A1399" t="s">
        <v>1073</v>
      </c>
      <c r="P1399" t="str">
        <f t="shared" si="376"/>
        <v xml:space="preserve">   9551   69  0 </v>
      </c>
      <c r="Q1399" t="str">
        <f t="shared" si="376"/>
        <v xml:space="preserve">   1.009 </v>
      </c>
      <c r="R1399" t="str">
        <f t="shared" si="369"/>
        <v xml:space="preserve">     2.7 </v>
      </c>
      <c r="S1399" t="str">
        <f t="shared" si="377"/>
        <v xml:space="preserve">     0.0 </v>
      </c>
      <c r="T1399" t="str">
        <f t="shared" si="378"/>
        <v xml:space="preserve">    26.9 </v>
      </c>
      <c r="U1399" t="str">
        <f t="shared" si="382"/>
        <v xml:space="preserve">         0.0 </v>
      </c>
      <c r="V1399" t="str">
        <f t="shared" si="370"/>
        <v xml:space="preserve">     3.7 </v>
      </c>
      <c r="W1399" t="str">
        <f t="shared" si="379"/>
        <v xml:space="preserve">     0.0</v>
      </c>
      <c r="X1399" t="str">
        <f t="shared" si="383"/>
        <v/>
      </c>
      <c r="Y1399" t="str">
        <f t="shared" si="383"/>
        <v/>
      </c>
      <c r="Z1399" t="str">
        <f t="shared" si="383"/>
        <v/>
      </c>
      <c r="AA1399" t="str">
        <f t="shared" si="371"/>
        <v/>
      </c>
      <c r="AB1399" t="str">
        <f t="shared" si="380"/>
        <v/>
      </c>
      <c r="AC1399" t="str">
        <f t="shared" si="381"/>
        <v/>
      </c>
      <c r="AD1399" t="str">
        <f t="shared" si="382"/>
        <v/>
      </c>
      <c r="AE1399" t="str">
        <f t="shared" si="372"/>
        <v/>
      </c>
      <c r="AF1399" t="str">
        <f t="shared" si="384"/>
        <v/>
      </c>
      <c r="AG1399" t="str">
        <f t="shared" si="384"/>
        <v/>
      </c>
      <c r="AH1399" t="str">
        <f t="shared" si="373"/>
        <v/>
      </c>
      <c r="AI1399" t="str">
        <f t="shared" si="374"/>
        <v/>
      </c>
      <c r="AJ1399" t="str">
        <f t="shared" si="375"/>
        <v/>
      </c>
    </row>
    <row r="1400" spans="1:36" x14ac:dyDescent="0.25">
      <c r="A1400" t="s">
        <v>1074</v>
      </c>
      <c r="P1400" t="str">
        <f t="shared" si="376"/>
        <v xml:space="preserve">  CANELA-RS069  </v>
      </c>
      <c r="Q1400" t="str">
        <f t="shared" si="376"/>
        <v xml:space="preserve">   -56.5 </v>
      </c>
      <c r="R1400" t="str">
        <f t="shared" si="369"/>
        <v xml:space="preserve">     0.0 </v>
      </c>
      <c r="S1400" t="str">
        <f t="shared" si="377"/>
        <v xml:space="preserve">     0.0 </v>
      </c>
      <c r="T1400" t="str">
        <f t="shared" si="378"/>
        <v xml:space="preserve">     8.7 </v>
      </c>
      <c r="U1400" t="str">
        <f t="shared" si="382"/>
        <v xml:space="preserve">         0.0 </v>
      </c>
      <c r="V1400" t="str">
        <f t="shared" si="370"/>
        <v xml:space="preserve">     0.0 </v>
      </c>
      <c r="W1400" t="str">
        <f t="shared" si="379"/>
        <v xml:space="preserve">     0.0 </v>
      </c>
      <c r="X1400" t="str">
        <f t="shared" si="383"/>
        <v xml:space="preserve">       </v>
      </c>
      <c r="Y1400" t="str">
        <f t="shared" si="383"/>
        <v xml:space="preserve">              </v>
      </c>
      <c r="Z1400" t="str">
        <f t="shared" si="383"/>
        <v xml:space="preserve">    </v>
      </c>
      <c r="AA1400" t="str">
        <f t="shared" si="371"/>
        <v xml:space="preserve">         </v>
      </c>
      <c r="AB1400" t="str">
        <f t="shared" si="380"/>
        <v xml:space="preserve">         </v>
      </c>
      <c r="AC1400" t="str">
        <f t="shared" si="381"/>
        <v xml:space="preserve">    </v>
      </c>
      <c r="AD1400" t="str">
        <f t="shared" si="382"/>
        <v/>
      </c>
      <c r="AE1400" t="str">
        <f t="shared" si="372"/>
        <v/>
      </c>
      <c r="AF1400" t="str">
        <f t="shared" si="384"/>
        <v/>
      </c>
      <c r="AG1400" t="str">
        <f t="shared" si="384"/>
        <v/>
      </c>
      <c r="AH1400" t="str">
        <f t="shared" si="373"/>
        <v/>
      </c>
      <c r="AI1400" t="str">
        <f t="shared" si="374"/>
        <v/>
      </c>
      <c r="AJ1400" t="str">
        <f t="shared" si="375"/>
        <v/>
      </c>
    </row>
    <row r="1401" spans="1:36" x14ac:dyDescent="0.25">
      <c r="A1401" t="s">
        <v>1075</v>
      </c>
      <c r="P1401" t="str">
        <f t="shared" si="376"/>
        <v xml:space="preserve">                </v>
      </c>
      <c r="Q1401" t="str">
        <f t="shared" si="376"/>
        <v xml:space="preserve">         </v>
      </c>
      <c r="R1401" t="str">
        <f t="shared" si="369"/>
        <v xml:space="preserve">    41.0 </v>
      </c>
      <c r="S1401" t="str">
        <f t="shared" si="377"/>
        <v xml:space="preserve">    59.0 </v>
      </c>
      <c r="T1401" t="str">
        <f t="shared" si="378"/>
        <v xml:space="preserve">    59.0 </v>
      </c>
      <c r="U1401" t="str">
        <f t="shared" si="382"/>
        <v xml:space="preserve">       59.7% </v>
      </c>
      <c r="V1401" t="str">
        <f t="shared" si="370"/>
        <v xml:space="preserve">         </v>
      </c>
      <c r="W1401" t="str">
        <f t="shared" si="379"/>
        <v xml:space="preserve">         </v>
      </c>
      <c r="X1401" t="str">
        <f t="shared" si="383"/>
        <v xml:space="preserve">  9758 </v>
      </c>
      <c r="Y1401" t="str">
        <f t="shared" si="383"/>
        <v xml:space="preserve"> GRAMADTAP069 </v>
      </c>
      <c r="Z1401" t="str">
        <f t="shared" si="383"/>
        <v xml:space="preserve">  1 </v>
      </c>
      <c r="AA1401" t="str">
        <f t="shared" si="371"/>
        <v xml:space="preserve">   -24.2 </v>
      </c>
      <c r="AB1401" t="str">
        <f t="shared" si="380"/>
        <v xml:space="preserve">    -5.0 </v>
      </c>
      <c r="AC1401" t="str">
        <f t="shared" si="381"/>
        <v xml:space="preserve">    24.5 </v>
      </c>
      <c r="AD1401" t="str">
        <f t="shared" si="382"/>
        <v xml:space="preserve">        </v>
      </c>
      <c r="AE1401" t="str">
        <f t="shared" si="372"/>
        <v xml:space="preserve">       </v>
      </c>
      <c r="AF1401" t="str">
        <f t="shared" si="384"/>
        <v xml:space="preserve">     </v>
      </c>
      <c r="AG1401" t="str">
        <f t="shared" si="384"/>
        <v xml:space="preserve">     0.06 </v>
      </c>
      <c r="AH1401" t="str">
        <f t="shared" si="373"/>
        <v xml:space="preserve">     0.10 </v>
      </c>
      <c r="AI1401" t="str">
        <f t="shared" si="374"/>
        <v xml:space="preserve">       </v>
      </c>
      <c r="AJ1401" t="str">
        <f t="shared" si="375"/>
        <v xml:space="preserve">      </v>
      </c>
    </row>
    <row r="1402" spans="1:36" x14ac:dyDescent="0.25">
      <c r="A1402" t="s">
        <v>14</v>
      </c>
      <c r="P1402" t="str">
        <f t="shared" si="376"/>
        <v xml:space="preserve">  ..............</v>
      </c>
      <c r="Q1402" t="str">
        <f t="shared" si="376"/>
        <v>.........</v>
      </c>
      <c r="R1402" t="str">
        <f t="shared" si="369"/>
        <v>.........</v>
      </c>
      <c r="S1402" t="str">
        <f t="shared" si="377"/>
        <v>.........</v>
      </c>
      <c r="T1402" t="str">
        <f t="shared" si="378"/>
        <v>.........</v>
      </c>
      <c r="U1402" t="str">
        <f t="shared" si="382"/>
        <v>.............</v>
      </c>
      <c r="V1402" t="str">
        <f t="shared" si="370"/>
        <v>.........</v>
      </c>
      <c r="W1402" t="str">
        <f t="shared" si="379"/>
        <v>.........</v>
      </c>
      <c r="X1402" t="str">
        <f t="shared" si="383"/>
        <v>.......</v>
      </c>
      <c r="Y1402" t="str">
        <f t="shared" si="383"/>
        <v>..............</v>
      </c>
      <c r="Z1402" t="str">
        <f t="shared" si="383"/>
        <v>....</v>
      </c>
      <c r="AA1402" t="str">
        <f t="shared" si="371"/>
        <v>.........</v>
      </c>
      <c r="AB1402" t="str">
        <f t="shared" si="380"/>
        <v>.........</v>
      </c>
      <c r="AC1402" t="str">
        <f t="shared" si="381"/>
        <v>.........</v>
      </c>
      <c r="AD1402" t="str">
        <f t="shared" si="382"/>
        <v>........</v>
      </c>
      <c r="AE1402" t="str">
        <f t="shared" si="372"/>
        <v>.......</v>
      </c>
      <c r="AF1402" t="str">
        <f t="shared" si="384"/>
        <v>.....</v>
      </c>
      <c r="AG1402" t="str">
        <f t="shared" si="384"/>
        <v>..........</v>
      </c>
      <c r="AH1402" t="str">
        <f t="shared" si="373"/>
        <v>..........</v>
      </c>
      <c r="AI1402" t="str">
        <f t="shared" si="374"/>
        <v>.......</v>
      </c>
      <c r="AJ1402" t="str">
        <f t="shared" si="375"/>
        <v>.......</v>
      </c>
    </row>
    <row r="1403" spans="1:36" x14ac:dyDescent="0.25">
      <c r="A1403" t="s">
        <v>1076</v>
      </c>
      <c r="P1403" t="str">
        <f t="shared" si="376"/>
        <v xml:space="preserve">   9552   69  0 </v>
      </c>
      <c r="Q1403" t="str">
        <f t="shared" si="376"/>
        <v xml:space="preserve">   1.016 </v>
      </c>
      <c r="R1403" t="str">
        <f t="shared" si="369"/>
        <v xml:space="preserve">     0.0 </v>
      </c>
      <c r="S1403" t="str">
        <f t="shared" si="377"/>
        <v xml:space="preserve">     0.0 </v>
      </c>
      <c r="T1403" t="str">
        <f t="shared" si="378"/>
        <v xml:space="preserve">     0.0 </v>
      </c>
      <c r="U1403" t="str">
        <f t="shared" si="382"/>
        <v xml:space="preserve">         0.0 </v>
      </c>
      <c r="V1403" t="str">
        <f t="shared" si="370"/>
        <v xml:space="preserve">     0.0 </v>
      </c>
      <c r="W1403" t="str">
        <f t="shared" si="379"/>
        <v xml:space="preserve">     0.0</v>
      </c>
      <c r="X1403" t="str">
        <f t="shared" si="383"/>
        <v/>
      </c>
      <c r="Y1403" t="str">
        <f t="shared" si="383"/>
        <v/>
      </c>
      <c r="Z1403" t="str">
        <f t="shared" si="383"/>
        <v/>
      </c>
      <c r="AA1403" t="str">
        <f t="shared" si="371"/>
        <v/>
      </c>
      <c r="AB1403" t="str">
        <f t="shared" si="380"/>
        <v/>
      </c>
      <c r="AC1403" t="str">
        <f t="shared" si="381"/>
        <v/>
      </c>
      <c r="AD1403" t="str">
        <f t="shared" si="382"/>
        <v/>
      </c>
      <c r="AE1403" t="str">
        <f t="shared" si="372"/>
        <v/>
      </c>
      <c r="AF1403" t="str">
        <f t="shared" si="384"/>
        <v/>
      </c>
      <c r="AG1403" t="str">
        <f t="shared" si="384"/>
        <v/>
      </c>
      <c r="AH1403" t="str">
        <f t="shared" si="373"/>
        <v/>
      </c>
      <c r="AI1403" t="str">
        <f t="shared" si="374"/>
        <v/>
      </c>
      <c r="AJ1403" t="str">
        <f t="shared" si="375"/>
        <v/>
      </c>
    </row>
    <row r="1404" spans="1:36" x14ac:dyDescent="0.25">
      <c r="A1404" t="s">
        <v>1077</v>
      </c>
      <c r="P1404" t="str">
        <f t="shared" si="376"/>
        <v xml:space="preserve">  ACLARATAP069  </v>
      </c>
      <c r="Q1404" t="str">
        <f t="shared" si="376"/>
        <v xml:space="preserve">   -55.1 </v>
      </c>
      <c r="R1404" t="str">
        <f t="shared" si="369"/>
        <v xml:space="preserve">     0.0 </v>
      </c>
      <c r="S1404" t="str">
        <f t="shared" si="377"/>
        <v xml:space="preserve">     0.0 </v>
      </c>
      <c r="T1404" t="str">
        <f t="shared" si="378"/>
        <v xml:space="preserve">     0.0 </v>
      </c>
      <c r="U1404" t="str">
        <f t="shared" si="382"/>
        <v xml:space="preserve">         0.0 </v>
      </c>
      <c r="V1404" t="str">
        <f t="shared" si="370"/>
        <v xml:space="preserve">     0.0 </v>
      </c>
      <c r="W1404" t="str">
        <f t="shared" si="379"/>
        <v xml:space="preserve">     0.0 </v>
      </c>
      <c r="X1404" t="str">
        <f t="shared" si="383"/>
        <v xml:space="preserve">       </v>
      </c>
      <c r="Y1404" t="str">
        <f t="shared" si="383"/>
        <v xml:space="preserve">              </v>
      </c>
      <c r="Z1404" t="str">
        <f t="shared" si="383"/>
        <v xml:space="preserve">    </v>
      </c>
      <c r="AA1404" t="str">
        <f t="shared" si="371"/>
        <v xml:space="preserve">         </v>
      </c>
      <c r="AB1404" t="str">
        <f t="shared" si="380"/>
        <v xml:space="preserve">         </v>
      </c>
      <c r="AC1404" t="str">
        <f t="shared" si="381"/>
        <v xml:space="preserve">    </v>
      </c>
      <c r="AD1404" t="str">
        <f t="shared" si="382"/>
        <v/>
      </c>
      <c r="AE1404" t="str">
        <f t="shared" si="372"/>
        <v/>
      </c>
      <c r="AF1404" t="str">
        <f t="shared" si="384"/>
        <v/>
      </c>
      <c r="AG1404" t="str">
        <f t="shared" si="384"/>
        <v/>
      </c>
      <c r="AH1404" t="str">
        <f t="shared" si="373"/>
        <v/>
      </c>
      <c r="AI1404" t="str">
        <f t="shared" si="374"/>
        <v/>
      </c>
      <c r="AJ1404" t="str">
        <f t="shared" si="375"/>
        <v/>
      </c>
    </row>
    <row r="1405" spans="1:36" x14ac:dyDescent="0.25">
      <c r="A1405" t="s">
        <v>1078</v>
      </c>
      <c r="P1405" t="str">
        <f t="shared" si="376"/>
        <v xml:space="preserve">              DE</v>
      </c>
      <c r="Q1405" t="str">
        <f t="shared" si="376"/>
        <v xml:space="preserve">ESLIGADO </v>
      </c>
      <c r="R1405" t="str">
        <f t="shared" si="369"/>
        <v xml:space="preserve">    54.0 </v>
      </c>
      <c r="S1405" t="str">
        <f t="shared" si="377"/>
        <v xml:space="preserve">    79.0 </v>
      </c>
      <c r="T1405" t="str">
        <f t="shared" si="378"/>
        <v xml:space="preserve">    79.0 </v>
      </c>
      <c r="U1405" t="str">
        <f t="shared" si="382"/>
        <v xml:space="preserve">             </v>
      </c>
      <c r="V1405" t="str">
        <f t="shared" si="370"/>
        <v xml:space="preserve">         </v>
      </c>
      <c r="W1405" t="str">
        <f t="shared" si="379"/>
        <v xml:space="preserve">         </v>
      </c>
      <c r="X1405" t="str">
        <f t="shared" si="383"/>
        <v xml:space="preserve">  9233 </v>
      </c>
      <c r="Y1405" t="str">
        <f t="shared" si="383"/>
        <v xml:space="preserve"> VIAMA1-RS069 </v>
      </c>
      <c r="Z1405" t="str">
        <f t="shared" si="383"/>
        <v xml:space="preserve">  1 </v>
      </c>
      <c r="AA1405" t="str">
        <f t="shared" si="371"/>
        <v xml:space="preserve">     0.0 </v>
      </c>
      <c r="AB1405" t="str">
        <f t="shared" si="380"/>
        <v xml:space="preserve">    -0.1 </v>
      </c>
      <c r="AC1405" t="str">
        <f t="shared" si="381"/>
        <v xml:space="preserve">     0.1 </v>
      </c>
      <c r="AD1405" t="str">
        <f t="shared" si="382"/>
        <v xml:space="preserve">        </v>
      </c>
      <c r="AE1405" t="str">
        <f t="shared" si="372"/>
        <v xml:space="preserve">       </v>
      </c>
      <c r="AF1405" t="str">
        <f t="shared" si="384"/>
        <v xml:space="preserve">     </v>
      </c>
      <c r="AG1405" t="str">
        <f t="shared" si="384"/>
        <v xml:space="preserve">     0.00 </v>
      </c>
      <c r="AH1405" t="str">
        <f t="shared" si="373"/>
        <v xml:space="preserve">    -0.07 </v>
      </c>
      <c r="AI1405" t="str">
        <f t="shared" si="374"/>
        <v xml:space="preserve"> 1.016 </v>
      </c>
      <c r="AJ1405" t="str">
        <f t="shared" si="375"/>
        <v xml:space="preserve"> -55.1</v>
      </c>
    </row>
    <row r="1406" spans="1:36" x14ac:dyDescent="0.25">
      <c r="A1406" t="s">
        <v>1079</v>
      </c>
      <c r="P1406" t="str">
        <f t="shared" si="376"/>
        <v xml:space="preserve">                </v>
      </c>
      <c r="Q1406" t="str">
        <f t="shared" si="376"/>
        <v xml:space="preserve">         </v>
      </c>
      <c r="R1406" t="str">
        <f t="shared" si="369"/>
        <v xml:space="preserve">    54.0 </v>
      </c>
      <c r="S1406" t="str">
        <f t="shared" si="377"/>
        <v xml:space="preserve">    79.0 </v>
      </c>
      <c r="T1406" t="str">
        <f t="shared" si="378"/>
        <v xml:space="preserve">    79.0 </v>
      </c>
      <c r="U1406" t="str">
        <f t="shared" si="382"/>
        <v xml:space="preserve">       29.7% </v>
      </c>
      <c r="V1406" t="str">
        <f t="shared" si="370"/>
        <v xml:space="preserve">         </v>
      </c>
      <c r="W1406" t="str">
        <f t="shared" si="379"/>
        <v xml:space="preserve">         </v>
      </c>
      <c r="X1406" t="str">
        <f t="shared" si="383"/>
        <v xml:space="preserve">  9264 </v>
      </c>
      <c r="Y1406" t="str">
        <f t="shared" si="383"/>
        <v xml:space="preserve"> VIAMA3-RS069 </v>
      </c>
      <c r="Z1406" t="str">
        <f t="shared" si="383"/>
        <v xml:space="preserve">  1 </v>
      </c>
      <c r="AA1406" t="str">
        <f t="shared" si="371"/>
        <v xml:space="preserve">   -16.2 </v>
      </c>
      <c r="AB1406" t="str">
        <f t="shared" si="380"/>
        <v xml:space="preserve">    -2.0 </v>
      </c>
      <c r="AC1406" t="str">
        <f t="shared" si="381"/>
        <v xml:space="preserve">    16.0 </v>
      </c>
      <c r="AD1406" t="str">
        <f t="shared" si="382"/>
        <v xml:space="preserve">        </v>
      </c>
      <c r="AE1406" t="str">
        <f t="shared" si="372"/>
        <v xml:space="preserve">       </v>
      </c>
      <c r="AF1406" t="str">
        <f t="shared" si="384"/>
        <v xml:space="preserve">     </v>
      </c>
      <c r="AG1406" t="str">
        <f t="shared" si="384"/>
        <v xml:space="preserve">     0.02 </v>
      </c>
      <c r="AH1406" t="str">
        <f t="shared" si="373"/>
        <v xml:space="preserve">    -0.04 </v>
      </c>
      <c r="AI1406" t="str">
        <f t="shared" si="374"/>
        <v xml:space="preserve">       </v>
      </c>
      <c r="AJ1406" t="str">
        <f t="shared" si="375"/>
        <v xml:space="preserve">      </v>
      </c>
    </row>
    <row r="1407" spans="1:36" x14ac:dyDescent="0.25">
      <c r="A1407" t="s">
        <v>1080</v>
      </c>
      <c r="P1407" t="str">
        <f t="shared" si="376"/>
        <v xml:space="preserve">                </v>
      </c>
      <c r="Q1407" t="str">
        <f t="shared" si="376"/>
        <v xml:space="preserve">         </v>
      </c>
      <c r="R1407" t="str">
        <f t="shared" si="369"/>
        <v xml:space="preserve">    84.0 </v>
      </c>
      <c r="S1407" t="str">
        <f t="shared" si="377"/>
        <v xml:space="preserve">   101.0 </v>
      </c>
      <c r="T1407" t="str">
        <f t="shared" si="378"/>
        <v xml:space="preserve">   101.0 </v>
      </c>
      <c r="U1407" t="str">
        <f t="shared" si="382"/>
        <v xml:space="preserve">       19.1% </v>
      </c>
      <c r="V1407" t="str">
        <f t="shared" si="370"/>
        <v xml:space="preserve">         </v>
      </c>
      <c r="W1407" t="str">
        <f t="shared" si="379"/>
        <v xml:space="preserve">         </v>
      </c>
      <c r="X1407" t="str">
        <f t="shared" si="383"/>
        <v xml:space="preserve">  9275 </v>
      </c>
      <c r="Y1407" t="str">
        <f t="shared" si="383"/>
        <v xml:space="preserve"> AGUCLA-RS069 </v>
      </c>
      <c r="Z1407" t="str">
        <f t="shared" si="383"/>
        <v xml:space="preserve">  1 </v>
      </c>
      <c r="AA1407" t="str">
        <f t="shared" si="371"/>
        <v xml:space="preserve">    16.2 </v>
      </c>
      <c r="AB1407" t="str">
        <f t="shared" si="380"/>
        <v xml:space="preserve">     2.0 </v>
      </c>
      <c r="AC1407" t="str">
        <f t="shared" si="381"/>
        <v xml:space="preserve">    16.0 </v>
      </c>
      <c r="AD1407" t="str">
        <f t="shared" si="382"/>
        <v xml:space="preserve">        </v>
      </c>
      <c r="AE1407" t="str">
        <f t="shared" si="372"/>
        <v xml:space="preserve">       </v>
      </c>
      <c r="AF1407" t="str">
        <f t="shared" si="384"/>
        <v xml:space="preserve">     </v>
      </c>
      <c r="AG1407" t="str">
        <f t="shared" si="384"/>
        <v xml:space="preserve">     0.16 </v>
      </c>
      <c r="AH1407" t="str">
        <f t="shared" si="373"/>
        <v xml:space="preserve">     0.25 </v>
      </c>
      <c r="AI1407" t="str">
        <f t="shared" si="374"/>
        <v xml:space="preserve">       </v>
      </c>
      <c r="AJ1407" t="str">
        <f t="shared" si="375"/>
        <v xml:space="preserve">      </v>
      </c>
    </row>
    <row r="1408" spans="1:36" x14ac:dyDescent="0.25">
      <c r="A1408" t="s">
        <v>14</v>
      </c>
      <c r="P1408" t="str">
        <f t="shared" si="376"/>
        <v xml:space="preserve">  ..............</v>
      </c>
      <c r="Q1408" t="str">
        <f t="shared" si="376"/>
        <v>.........</v>
      </c>
      <c r="R1408" t="str">
        <f t="shared" si="369"/>
        <v>.........</v>
      </c>
      <c r="S1408" t="str">
        <f t="shared" si="377"/>
        <v>.........</v>
      </c>
      <c r="T1408" t="str">
        <f t="shared" si="378"/>
        <v>.........</v>
      </c>
      <c r="U1408" t="str">
        <f t="shared" si="382"/>
        <v>.............</v>
      </c>
      <c r="V1408" t="str">
        <f t="shared" si="370"/>
        <v>.........</v>
      </c>
      <c r="W1408" t="str">
        <f t="shared" si="379"/>
        <v>.........</v>
      </c>
      <c r="X1408" t="str">
        <f t="shared" si="383"/>
        <v>.......</v>
      </c>
      <c r="Y1408" t="str">
        <f t="shared" si="383"/>
        <v>..............</v>
      </c>
      <c r="Z1408" t="str">
        <f t="shared" si="383"/>
        <v>....</v>
      </c>
      <c r="AA1408" t="str">
        <f t="shared" si="371"/>
        <v>.........</v>
      </c>
      <c r="AB1408" t="str">
        <f t="shared" si="380"/>
        <v>.........</v>
      </c>
      <c r="AC1408" t="str">
        <f t="shared" si="381"/>
        <v>.........</v>
      </c>
      <c r="AD1408" t="str">
        <f t="shared" si="382"/>
        <v>........</v>
      </c>
      <c r="AE1408" t="str">
        <f t="shared" si="372"/>
        <v>.......</v>
      </c>
      <c r="AF1408" t="str">
        <f t="shared" si="384"/>
        <v>.....</v>
      </c>
      <c r="AG1408" t="str">
        <f t="shared" si="384"/>
        <v>..........</v>
      </c>
      <c r="AH1408" t="str">
        <f t="shared" si="373"/>
        <v>..........</v>
      </c>
      <c r="AI1408" t="str">
        <f t="shared" si="374"/>
        <v>.......</v>
      </c>
      <c r="AJ1408" t="str">
        <f t="shared" si="375"/>
        <v>.......</v>
      </c>
    </row>
    <row r="1409" spans="1:36" x14ac:dyDescent="0.25">
      <c r="A1409" t="s">
        <v>1081</v>
      </c>
      <c r="P1409" t="str">
        <f t="shared" si="376"/>
        <v xml:space="preserve">   9553   69  0 </v>
      </c>
      <c r="Q1409" t="str">
        <f t="shared" si="376"/>
        <v xml:space="preserve">   1.001 </v>
      </c>
      <c r="R1409" t="str">
        <f t="shared" si="369"/>
        <v xml:space="preserve">     0.0 </v>
      </c>
      <c r="S1409" t="str">
        <f t="shared" si="377"/>
        <v xml:space="preserve">     0.0 </v>
      </c>
      <c r="T1409" t="str">
        <f t="shared" si="378"/>
        <v xml:space="preserve">     0.0 </v>
      </c>
      <c r="U1409" t="str">
        <f t="shared" si="382"/>
        <v xml:space="preserve">         0.0 </v>
      </c>
      <c r="V1409" t="str">
        <f t="shared" si="370"/>
        <v xml:space="preserve">     0.0 </v>
      </c>
      <c r="W1409" t="str">
        <f t="shared" si="379"/>
        <v xml:space="preserve">     0.0</v>
      </c>
      <c r="X1409" t="str">
        <f t="shared" si="383"/>
        <v/>
      </c>
      <c r="Y1409" t="str">
        <f t="shared" si="383"/>
        <v/>
      </c>
      <c r="Z1409" t="str">
        <f t="shared" si="383"/>
        <v/>
      </c>
      <c r="AA1409" t="str">
        <f t="shared" si="371"/>
        <v/>
      </c>
      <c r="AB1409" t="str">
        <f t="shared" si="380"/>
        <v/>
      </c>
      <c r="AC1409" t="str">
        <f t="shared" si="381"/>
        <v/>
      </c>
      <c r="AD1409" t="str">
        <f t="shared" si="382"/>
        <v/>
      </c>
      <c r="AE1409" t="str">
        <f t="shared" si="372"/>
        <v/>
      </c>
      <c r="AF1409" t="str">
        <f t="shared" si="384"/>
        <v/>
      </c>
      <c r="AG1409" t="str">
        <f t="shared" si="384"/>
        <v/>
      </c>
      <c r="AH1409" t="str">
        <f t="shared" si="373"/>
        <v/>
      </c>
      <c r="AI1409" t="str">
        <f t="shared" si="374"/>
        <v/>
      </c>
      <c r="AJ1409" t="str">
        <f t="shared" si="375"/>
        <v/>
      </c>
    </row>
    <row r="1410" spans="1:36" x14ac:dyDescent="0.25">
      <c r="A1410" t="s">
        <v>1082</v>
      </c>
      <c r="P1410" t="str">
        <f t="shared" si="376"/>
        <v xml:space="preserve">  BRPALETAP069  </v>
      </c>
      <c r="Q1410" t="str">
        <f t="shared" si="376"/>
        <v xml:space="preserve">   -57.2 </v>
      </c>
      <c r="R1410" t="str">
        <f t="shared" si="369"/>
        <v xml:space="preserve">     0.0 </v>
      </c>
      <c r="S1410" t="str">
        <f t="shared" si="377"/>
        <v xml:space="preserve">     0.0 </v>
      </c>
      <c r="T1410" t="str">
        <f t="shared" si="378"/>
        <v xml:space="preserve">     0.0 </v>
      </c>
      <c r="U1410" t="str">
        <f t="shared" si="382"/>
        <v xml:space="preserve">         0.0 </v>
      </c>
      <c r="V1410" t="str">
        <f t="shared" si="370"/>
        <v xml:space="preserve">     0.0 </v>
      </c>
      <c r="W1410" t="str">
        <f t="shared" si="379"/>
        <v xml:space="preserve">     0.0 </v>
      </c>
      <c r="X1410" t="str">
        <f t="shared" si="383"/>
        <v xml:space="preserve">       </v>
      </c>
      <c r="Y1410" t="str">
        <f t="shared" si="383"/>
        <v xml:space="preserve">              </v>
      </c>
      <c r="Z1410" t="str">
        <f t="shared" si="383"/>
        <v xml:space="preserve">    </v>
      </c>
      <c r="AA1410" t="str">
        <f t="shared" si="371"/>
        <v xml:space="preserve">         </v>
      </c>
      <c r="AB1410" t="str">
        <f t="shared" si="380"/>
        <v xml:space="preserve">         </v>
      </c>
      <c r="AC1410" t="str">
        <f t="shared" si="381"/>
        <v xml:space="preserve">    </v>
      </c>
      <c r="AD1410" t="str">
        <f t="shared" si="382"/>
        <v/>
      </c>
      <c r="AE1410" t="str">
        <f t="shared" si="372"/>
        <v/>
      </c>
      <c r="AF1410" t="str">
        <f t="shared" si="384"/>
        <v/>
      </c>
      <c r="AG1410" t="str">
        <f t="shared" si="384"/>
        <v/>
      </c>
      <c r="AH1410" t="str">
        <f t="shared" si="373"/>
        <v/>
      </c>
      <c r="AI1410" t="str">
        <f t="shared" si="374"/>
        <v/>
      </c>
      <c r="AJ1410" t="str">
        <f t="shared" si="375"/>
        <v/>
      </c>
    </row>
    <row r="1411" spans="1:36" x14ac:dyDescent="0.25">
      <c r="A1411" t="s">
        <v>1083</v>
      </c>
      <c r="P1411" t="str">
        <f t="shared" si="376"/>
        <v xml:space="preserve">                </v>
      </c>
      <c r="Q1411" t="str">
        <f t="shared" si="376"/>
        <v xml:space="preserve">         </v>
      </c>
      <c r="R1411" t="str">
        <f t="shared" si="369"/>
        <v xml:space="preserve">    69.0 </v>
      </c>
      <c r="S1411" t="str">
        <f t="shared" si="377"/>
        <v xml:space="preserve">    88.0 </v>
      </c>
      <c r="T1411" t="str">
        <f t="shared" si="378"/>
        <v xml:space="preserve">    88.0 </v>
      </c>
      <c r="U1411" t="str">
        <f t="shared" si="382"/>
        <v xml:space="preserve">       12.6% </v>
      </c>
      <c r="V1411" t="str">
        <f t="shared" si="370"/>
        <v xml:space="preserve">         </v>
      </c>
      <c r="W1411" t="str">
        <f t="shared" si="379"/>
        <v xml:space="preserve">         </v>
      </c>
      <c r="X1411" t="str">
        <f t="shared" si="383"/>
        <v xml:space="preserve">  9227 </v>
      </c>
      <c r="Y1411" t="str">
        <f t="shared" si="383"/>
        <v xml:space="preserve"> BRPALE-RS069 </v>
      </c>
      <c r="Z1411" t="str">
        <f t="shared" si="383"/>
        <v xml:space="preserve">  1 </v>
      </c>
      <c r="AA1411" t="str">
        <f t="shared" si="371"/>
        <v xml:space="preserve">     8.3 </v>
      </c>
      <c r="AB1411" t="str">
        <f t="shared" si="380"/>
        <v xml:space="preserve">     2.7 </v>
      </c>
      <c r="AC1411" t="str">
        <f t="shared" si="381"/>
        <v xml:space="preserve">     8.7 </v>
      </c>
      <c r="AD1411" t="str">
        <f t="shared" si="382"/>
        <v xml:space="preserve">        </v>
      </c>
      <c r="AE1411" t="str">
        <f t="shared" si="372"/>
        <v xml:space="preserve">       </v>
      </c>
      <c r="AF1411" t="str">
        <f t="shared" si="384"/>
        <v xml:space="preserve">     </v>
      </c>
      <c r="AG1411" t="str">
        <f t="shared" si="384"/>
        <v xml:space="preserve">     0.01 </v>
      </c>
      <c r="AH1411" t="str">
        <f t="shared" si="373"/>
        <v xml:space="preserve">    -0.00 </v>
      </c>
      <c r="AI1411" t="str">
        <f t="shared" si="374"/>
        <v xml:space="preserve">       </v>
      </c>
      <c r="AJ1411" t="str">
        <f t="shared" si="375"/>
        <v xml:space="preserve">      </v>
      </c>
    </row>
    <row r="1412" spans="1:36" x14ac:dyDescent="0.25">
      <c r="A1412" t="s">
        <v>1084</v>
      </c>
      <c r="P1412" t="str">
        <f t="shared" si="376"/>
        <v xml:space="preserve">                </v>
      </c>
      <c r="Q1412" t="str">
        <f t="shared" si="376"/>
        <v xml:space="preserve">         </v>
      </c>
      <c r="R1412" t="str">
        <f t="shared" si="369"/>
        <v xml:space="preserve">    67.0 </v>
      </c>
      <c r="S1412" t="str">
        <f t="shared" si="377"/>
        <v xml:space="preserve">    81.0 </v>
      </c>
      <c r="T1412" t="str">
        <f t="shared" si="378"/>
        <v xml:space="preserve">    81.0 </v>
      </c>
      <c r="U1412" t="str">
        <f t="shared" si="382"/>
        <v xml:space="preserve">        4.1% </v>
      </c>
      <c r="V1412" t="str">
        <f t="shared" si="370"/>
        <v xml:space="preserve">         </v>
      </c>
      <c r="W1412" t="str">
        <f t="shared" si="379"/>
        <v xml:space="preserve">         </v>
      </c>
      <c r="X1412" t="str">
        <f t="shared" si="383"/>
        <v xml:space="preserve">  9228 </v>
      </c>
      <c r="Y1412" t="str">
        <f t="shared" si="383"/>
        <v xml:space="preserve"> LATPAL-RS069 </v>
      </c>
      <c r="Z1412" t="str">
        <f t="shared" si="383"/>
        <v xml:space="preserve">  1 </v>
      </c>
      <c r="AA1412" t="str">
        <f t="shared" si="371"/>
        <v xml:space="preserve">     2.5 </v>
      </c>
      <c r="AB1412" t="str">
        <f t="shared" si="380"/>
        <v xml:space="preserve">     1.1 </v>
      </c>
      <c r="AC1412" t="str">
        <f t="shared" si="381"/>
        <v xml:space="preserve">     2.7 </v>
      </c>
      <c r="AD1412" t="str">
        <f t="shared" si="382"/>
        <v xml:space="preserve">        </v>
      </c>
      <c r="AE1412" t="str">
        <f t="shared" si="372"/>
        <v xml:space="preserve">       </v>
      </c>
      <c r="AF1412" t="str">
        <f t="shared" si="384"/>
        <v xml:space="preserve">     </v>
      </c>
      <c r="AG1412" t="str">
        <f t="shared" si="384"/>
        <v xml:space="preserve">     0.00 </v>
      </c>
      <c r="AH1412" t="str">
        <f t="shared" si="373"/>
        <v xml:space="preserve">    -0.00 </v>
      </c>
      <c r="AI1412" t="str">
        <f t="shared" si="374"/>
        <v xml:space="preserve">       </v>
      </c>
      <c r="AJ1412" t="str">
        <f t="shared" si="375"/>
        <v xml:space="preserve">      </v>
      </c>
    </row>
    <row r="1413" spans="1:36" x14ac:dyDescent="0.25">
      <c r="A1413" t="s">
        <v>1085</v>
      </c>
      <c r="P1413" t="str">
        <f t="shared" si="376"/>
        <v xml:space="preserve">                </v>
      </c>
      <c r="Q1413" t="str">
        <f t="shared" si="376"/>
        <v xml:space="preserve">         </v>
      </c>
      <c r="R1413" t="str">
        <f t="shared" si="369"/>
        <v xml:space="preserve">    69.0 </v>
      </c>
      <c r="S1413" t="str">
        <f t="shared" si="377"/>
        <v xml:space="preserve">    88.0 </v>
      </c>
      <c r="T1413" t="str">
        <f t="shared" si="378"/>
        <v xml:space="preserve">    88.0 </v>
      </c>
      <c r="U1413" t="str">
        <f t="shared" si="382"/>
        <v xml:space="preserve">       16.6% </v>
      </c>
      <c r="V1413" t="str">
        <f t="shared" si="370"/>
        <v xml:space="preserve">         </v>
      </c>
      <c r="W1413" t="str">
        <f t="shared" si="379"/>
        <v xml:space="preserve">         </v>
      </c>
      <c r="X1413" t="str">
        <f t="shared" si="383"/>
        <v xml:space="preserve">  9275 </v>
      </c>
      <c r="Y1413" t="str">
        <f t="shared" si="383"/>
        <v xml:space="preserve"> AGUCLA-RS069 </v>
      </c>
      <c r="Z1413" t="str">
        <f t="shared" si="383"/>
        <v xml:space="preserve">  1 </v>
      </c>
      <c r="AA1413" t="str">
        <f t="shared" si="371"/>
        <v xml:space="preserve">   -10.8 </v>
      </c>
      <c r="AB1413" t="str">
        <f t="shared" si="380"/>
        <v xml:space="preserve">    -3.8 </v>
      </c>
      <c r="AC1413" t="str">
        <f t="shared" si="381"/>
        <v xml:space="preserve">    11.4 </v>
      </c>
      <c r="AD1413" t="str">
        <f t="shared" si="382"/>
        <v xml:space="preserve">        </v>
      </c>
      <c r="AE1413" t="str">
        <f t="shared" si="372"/>
        <v xml:space="preserve">       </v>
      </c>
      <c r="AF1413" t="str">
        <f t="shared" si="384"/>
        <v xml:space="preserve">     </v>
      </c>
      <c r="AG1413" t="str">
        <f t="shared" si="384"/>
        <v xml:space="preserve">     0.01 </v>
      </c>
      <c r="AH1413" t="str">
        <f t="shared" si="373"/>
        <v xml:space="preserve">     0.00 </v>
      </c>
      <c r="AI1413" t="str">
        <f t="shared" si="374"/>
        <v xml:space="preserve">       </v>
      </c>
      <c r="AJ1413" t="str">
        <f t="shared" si="375"/>
        <v xml:space="preserve">      </v>
      </c>
    </row>
    <row r="1414" spans="1:36" x14ac:dyDescent="0.25">
      <c r="A1414" t="s">
        <v>14</v>
      </c>
      <c r="P1414" t="str">
        <f t="shared" si="376"/>
        <v xml:space="preserve">  ..............</v>
      </c>
      <c r="Q1414" t="str">
        <f t="shared" si="376"/>
        <v>.........</v>
      </c>
      <c r="R1414" t="str">
        <f t="shared" si="369"/>
        <v>.........</v>
      </c>
      <c r="S1414" t="str">
        <f t="shared" si="377"/>
        <v>.........</v>
      </c>
      <c r="T1414" t="str">
        <f t="shared" si="378"/>
        <v>.........</v>
      </c>
      <c r="U1414" t="str">
        <f t="shared" si="382"/>
        <v>.............</v>
      </c>
      <c r="V1414" t="str">
        <f t="shared" si="370"/>
        <v>.........</v>
      </c>
      <c r="W1414" t="str">
        <f t="shared" si="379"/>
        <v>.........</v>
      </c>
      <c r="X1414" t="str">
        <f t="shared" si="383"/>
        <v>.......</v>
      </c>
      <c r="Y1414" t="str">
        <f t="shared" si="383"/>
        <v>..............</v>
      </c>
      <c r="Z1414" t="str">
        <f t="shared" si="383"/>
        <v>....</v>
      </c>
      <c r="AA1414" t="str">
        <f t="shared" si="371"/>
        <v>.........</v>
      </c>
      <c r="AB1414" t="str">
        <f t="shared" si="380"/>
        <v>.........</v>
      </c>
      <c r="AC1414" t="str">
        <f t="shared" si="381"/>
        <v>.........</v>
      </c>
      <c r="AD1414" t="str">
        <f t="shared" si="382"/>
        <v>........</v>
      </c>
      <c r="AE1414" t="str">
        <f t="shared" si="372"/>
        <v>.......</v>
      </c>
      <c r="AF1414" t="str">
        <f t="shared" si="384"/>
        <v>.....</v>
      </c>
      <c r="AG1414" t="str">
        <f t="shared" si="384"/>
        <v>..........</v>
      </c>
      <c r="AH1414" t="str">
        <f t="shared" si="373"/>
        <v>..........</v>
      </c>
      <c r="AI1414" t="str">
        <f t="shared" si="374"/>
        <v>.......</v>
      </c>
      <c r="AJ1414" t="str">
        <f t="shared" si="375"/>
        <v>.......</v>
      </c>
    </row>
    <row r="1415" spans="1:36" x14ac:dyDescent="0.25">
      <c r="A1415" t="s">
        <v>1086</v>
      </c>
      <c r="P1415" t="str">
        <f t="shared" si="376"/>
        <v xml:space="preserve">   9554   69  0 </v>
      </c>
      <c r="Q1415" t="str">
        <f t="shared" si="376"/>
        <v xml:space="preserve">   1.012 </v>
      </c>
      <c r="R1415" t="str">
        <f t="shared" si="369"/>
        <v xml:space="preserve">     0.0 </v>
      </c>
      <c r="S1415" t="str">
        <f t="shared" si="377"/>
        <v xml:space="preserve">     0.0 </v>
      </c>
      <c r="T1415" t="str">
        <f t="shared" si="378"/>
        <v xml:space="preserve">     0.0 </v>
      </c>
      <c r="U1415" t="str">
        <f t="shared" si="382"/>
        <v xml:space="preserve">         0.0 </v>
      </c>
      <c r="V1415" t="str">
        <f t="shared" si="370"/>
        <v xml:space="preserve">     0.0 </v>
      </c>
      <c r="W1415" t="str">
        <f t="shared" si="379"/>
        <v xml:space="preserve">     0.0</v>
      </c>
      <c r="X1415" t="str">
        <f t="shared" si="383"/>
        <v/>
      </c>
      <c r="Y1415" t="str">
        <f t="shared" si="383"/>
        <v/>
      </c>
      <c r="Z1415" t="str">
        <f t="shared" si="383"/>
        <v/>
      </c>
      <c r="AA1415" t="str">
        <f t="shared" si="371"/>
        <v/>
      </c>
      <c r="AB1415" t="str">
        <f t="shared" si="380"/>
        <v/>
      </c>
      <c r="AC1415" t="str">
        <f t="shared" si="381"/>
        <v/>
      </c>
      <c r="AD1415" t="str">
        <f t="shared" si="382"/>
        <v/>
      </c>
      <c r="AE1415" t="str">
        <f t="shared" si="372"/>
        <v/>
      </c>
      <c r="AF1415" t="str">
        <f t="shared" si="384"/>
        <v/>
      </c>
      <c r="AG1415" t="str">
        <f t="shared" si="384"/>
        <v/>
      </c>
      <c r="AH1415" t="str">
        <f t="shared" si="373"/>
        <v/>
      </c>
      <c r="AI1415" t="str">
        <f t="shared" si="374"/>
        <v/>
      </c>
      <c r="AJ1415" t="str">
        <f t="shared" si="375"/>
        <v/>
      </c>
    </row>
    <row r="1416" spans="1:36" x14ac:dyDescent="0.25">
      <c r="A1416" t="s">
        <v>1087</v>
      </c>
      <c r="P1416" t="str">
        <f t="shared" si="376"/>
        <v xml:space="preserve">  GERPALTAP069  </v>
      </c>
      <c r="Q1416" t="str">
        <f t="shared" si="376"/>
        <v xml:space="preserve">   -54.8 </v>
      </c>
      <c r="R1416" t="str">
        <f t="shared" si="369"/>
        <v xml:space="preserve">     0.0 </v>
      </c>
      <c r="S1416" t="str">
        <f t="shared" si="377"/>
        <v xml:space="preserve">     0.0 </v>
      </c>
      <c r="T1416" t="str">
        <f t="shared" si="378"/>
        <v xml:space="preserve">     0.0 </v>
      </c>
      <c r="U1416" t="str">
        <f t="shared" si="382"/>
        <v xml:space="preserve">         0.0 </v>
      </c>
      <c r="V1416" t="str">
        <f t="shared" si="370"/>
        <v xml:space="preserve">     0.0 </v>
      </c>
      <c r="W1416" t="str">
        <f t="shared" si="379"/>
        <v xml:space="preserve">     0.0 </v>
      </c>
      <c r="X1416" t="str">
        <f t="shared" si="383"/>
        <v xml:space="preserve">       </v>
      </c>
      <c r="Y1416" t="str">
        <f t="shared" si="383"/>
        <v xml:space="preserve">              </v>
      </c>
      <c r="Z1416" t="str">
        <f t="shared" si="383"/>
        <v xml:space="preserve">    </v>
      </c>
      <c r="AA1416" t="str">
        <f t="shared" si="371"/>
        <v xml:space="preserve">         </v>
      </c>
      <c r="AB1416" t="str">
        <f t="shared" si="380"/>
        <v xml:space="preserve">         </v>
      </c>
      <c r="AC1416" t="str">
        <f t="shared" si="381"/>
        <v xml:space="preserve">    </v>
      </c>
      <c r="AD1416" t="str">
        <f t="shared" si="382"/>
        <v/>
      </c>
      <c r="AE1416" t="str">
        <f t="shared" si="372"/>
        <v/>
      </c>
      <c r="AF1416" t="str">
        <f t="shared" si="384"/>
        <v/>
      </c>
      <c r="AG1416" t="str">
        <f t="shared" si="384"/>
        <v/>
      </c>
      <c r="AH1416" t="str">
        <f t="shared" si="373"/>
        <v/>
      </c>
      <c r="AI1416" t="str">
        <f t="shared" si="374"/>
        <v/>
      </c>
      <c r="AJ1416" t="str">
        <f t="shared" si="375"/>
        <v/>
      </c>
    </row>
    <row r="1417" spans="1:36" x14ac:dyDescent="0.25">
      <c r="A1417" t="s">
        <v>1088</v>
      </c>
      <c r="P1417" t="str">
        <f t="shared" si="376"/>
        <v xml:space="preserve">                </v>
      </c>
      <c r="Q1417" t="str">
        <f t="shared" si="376"/>
        <v xml:space="preserve">         </v>
      </c>
      <c r="R1417" t="str">
        <f t="shared" si="369"/>
        <v xml:space="preserve">    52.0 </v>
      </c>
      <c r="S1417" t="str">
        <f t="shared" si="377"/>
        <v xml:space="preserve">    76.0 </v>
      </c>
      <c r="T1417" t="str">
        <f t="shared" si="378"/>
        <v xml:space="preserve">    76.0 </v>
      </c>
      <c r="U1417" t="str">
        <f t="shared" si="382"/>
        <v xml:space="preserve">       25.0% </v>
      </c>
      <c r="V1417" t="str">
        <f t="shared" si="370"/>
        <v xml:space="preserve">         </v>
      </c>
      <c r="W1417" t="str">
        <f t="shared" si="379"/>
        <v xml:space="preserve">         </v>
      </c>
      <c r="X1417" t="str">
        <f t="shared" si="383"/>
        <v xml:space="preserve">  9236 </v>
      </c>
      <c r="Y1417" t="str">
        <f t="shared" si="383"/>
        <v xml:space="preserve"> PALEG2-RS069 </v>
      </c>
      <c r="Z1417" t="str">
        <f t="shared" si="383"/>
        <v xml:space="preserve">  1 </v>
      </c>
      <c r="AA1417" t="str">
        <f t="shared" si="371"/>
        <v xml:space="preserve">    12.2 </v>
      </c>
      <c r="AB1417" t="str">
        <f t="shared" si="380"/>
        <v xml:space="preserve">    -4.9 </v>
      </c>
      <c r="AC1417" t="str">
        <f t="shared" si="381"/>
        <v xml:space="preserve">    13.0 </v>
      </c>
      <c r="AD1417" t="str">
        <f t="shared" si="382"/>
        <v xml:space="preserve">        </v>
      </c>
      <c r="AE1417" t="str">
        <f t="shared" si="372"/>
        <v xml:space="preserve">       </v>
      </c>
      <c r="AF1417" t="str">
        <f t="shared" si="384"/>
        <v xml:space="preserve">     </v>
      </c>
      <c r="AG1417" t="str">
        <f t="shared" si="384"/>
        <v xml:space="preserve">     0.00 </v>
      </c>
      <c r="AH1417" t="str">
        <f t="shared" si="373"/>
        <v xml:space="preserve">    -0.00 </v>
      </c>
      <c r="AI1417" t="str">
        <f t="shared" si="374"/>
        <v xml:space="preserve">       </v>
      </c>
      <c r="AJ1417" t="str">
        <f t="shared" si="375"/>
        <v xml:space="preserve">      </v>
      </c>
    </row>
    <row r="1418" spans="1:36" x14ac:dyDescent="0.25">
      <c r="A1418" t="s">
        <v>1089</v>
      </c>
      <c r="P1418" t="str">
        <f t="shared" si="376"/>
        <v xml:space="preserve">                </v>
      </c>
      <c r="Q1418" t="str">
        <f t="shared" si="376"/>
        <v xml:space="preserve">         </v>
      </c>
      <c r="R1418" t="str">
        <f t="shared" si="369"/>
        <v xml:space="preserve">    54.0 </v>
      </c>
      <c r="S1418" t="str">
        <f t="shared" si="377"/>
        <v xml:space="preserve">    79.0 </v>
      </c>
      <c r="T1418" t="str">
        <f t="shared" si="378"/>
        <v xml:space="preserve">    79.0 </v>
      </c>
      <c r="U1418" t="str">
        <f t="shared" si="382"/>
        <v xml:space="preserve">        6.0% </v>
      </c>
      <c r="V1418" t="str">
        <f t="shared" si="370"/>
        <v xml:space="preserve">         </v>
      </c>
      <c r="W1418" t="str">
        <f t="shared" si="379"/>
        <v xml:space="preserve">         </v>
      </c>
      <c r="X1418" t="str">
        <f t="shared" si="383"/>
        <v xml:space="preserve">  9555 </v>
      </c>
      <c r="Y1418" t="str">
        <f t="shared" si="383"/>
        <v xml:space="preserve"> MNAPALTAP069 </v>
      </c>
      <c r="Z1418" t="str">
        <f t="shared" si="383"/>
        <v xml:space="preserve">  1 </v>
      </c>
      <c r="AA1418" t="str">
        <f t="shared" si="371"/>
        <v xml:space="preserve">     3.0 </v>
      </c>
      <c r="AB1418" t="str">
        <f t="shared" si="380"/>
        <v xml:space="preserve">     1.3 </v>
      </c>
      <c r="AC1418" t="str">
        <f t="shared" si="381"/>
        <v xml:space="preserve">     3.2 </v>
      </c>
      <c r="AD1418" t="str">
        <f t="shared" si="382"/>
        <v xml:space="preserve">        </v>
      </c>
      <c r="AE1418" t="str">
        <f t="shared" si="372"/>
        <v xml:space="preserve">       </v>
      </c>
      <c r="AF1418" t="str">
        <f t="shared" si="384"/>
        <v xml:space="preserve">     </v>
      </c>
      <c r="AG1418" t="str">
        <f t="shared" si="384"/>
        <v xml:space="preserve">     0.00 </v>
      </c>
      <c r="AH1418" t="str">
        <f t="shared" si="373"/>
        <v xml:space="preserve">    -0.01 </v>
      </c>
      <c r="AI1418" t="str">
        <f t="shared" si="374"/>
        <v xml:space="preserve">       </v>
      </c>
      <c r="AJ1418" t="str">
        <f t="shared" si="375"/>
        <v xml:space="preserve">      </v>
      </c>
    </row>
    <row r="1419" spans="1:36" x14ac:dyDescent="0.25">
      <c r="A1419" t="s">
        <v>1090</v>
      </c>
      <c r="P1419" t="str">
        <f t="shared" si="376"/>
        <v xml:space="preserve">                </v>
      </c>
      <c r="Q1419" t="str">
        <f t="shared" si="376"/>
        <v xml:space="preserve">         </v>
      </c>
      <c r="R1419" t="str">
        <f t="shared" si="369"/>
        <v xml:space="preserve">    80.0 </v>
      </c>
      <c r="S1419" t="str">
        <f t="shared" si="377"/>
        <v xml:space="preserve">    95.0 </v>
      </c>
      <c r="T1419" t="str">
        <f t="shared" si="378"/>
        <v xml:space="preserve">    95.0 </v>
      </c>
      <c r="U1419" t="str">
        <f t="shared" si="382"/>
        <v xml:space="preserve">       19.3% </v>
      </c>
      <c r="V1419" t="str">
        <f t="shared" si="370"/>
        <v xml:space="preserve">         </v>
      </c>
      <c r="W1419" t="str">
        <f t="shared" si="379"/>
        <v xml:space="preserve">         </v>
      </c>
      <c r="X1419" t="str">
        <f t="shared" si="383"/>
        <v xml:space="preserve">  9962 </v>
      </c>
      <c r="Y1419" t="str">
        <f t="shared" si="383"/>
        <v xml:space="preserve"> PALEG1-RS069 </v>
      </c>
      <c r="Z1419" t="str">
        <f t="shared" si="383"/>
        <v xml:space="preserve">  1 </v>
      </c>
      <c r="AA1419" t="str">
        <f t="shared" si="371"/>
        <v xml:space="preserve">   -15.2 </v>
      </c>
      <c r="AB1419" t="str">
        <f t="shared" si="380"/>
        <v xml:space="preserve">     3.6 </v>
      </c>
      <c r="AC1419" t="str">
        <f t="shared" si="381"/>
        <v xml:space="preserve">    15.4 </v>
      </c>
      <c r="AD1419" t="str">
        <f t="shared" si="382"/>
        <v xml:space="preserve">        </v>
      </c>
      <c r="AE1419" t="str">
        <f t="shared" si="372"/>
        <v xml:space="preserve">       </v>
      </c>
      <c r="AF1419" t="str">
        <f t="shared" si="384"/>
        <v xml:space="preserve">     </v>
      </c>
      <c r="AG1419" t="str">
        <f t="shared" si="384"/>
        <v xml:space="preserve">     0.03 </v>
      </c>
      <c r="AH1419" t="str">
        <f t="shared" si="373"/>
        <v xml:space="preserve">     0.02 </v>
      </c>
      <c r="AI1419" t="str">
        <f t="shared" si="374"/>
        <v xml:space="preserve">       </v>
      </c>
      <c r="AJ1419" t="str">
        <f t="shared" si="375"/>
        <v xml:space="preserve">      </v>
      </c>
    </row>
    <row r="1420" spans="1:36" x14ac:dyDescent="0.25">
      <c r="A1420" t="s">
        <v>14</v>
      </c>
      <c r="P1420" t="str">
        <f t="shared" si="376"/>
        <v xml:space="preserve">  ..............</v>
      </c>
      <c r="Q1420" t="str">
        <f t="shared" si="376"/>
        <v>.........</v>
      </c>
      <c r="R1420" t="str">
        <f t="shared" ref="R1420:R1483" si="385">MID($A1420,Q$8+Q$9-1,R$9)</f>
        <v>.........</v>
      </c>
      <c r="S1420" t="str">
        <f t="shared" si="377"/>
        <v>.........</v>
      </c>
      <c r="T1420" t="str">
        <f t="shared" si="378"/>
        <v>.........</v>
      </c>
      <c r="U1420" t="str">
        <f t="shared" si="382"/>
        <v>.............</v>
      </c>
      <c r="V1420" t="str">
        <f t="shared" ref="V1420:V1483" si="386">MID($A1420,U$8+U$9-1,V$9)</f>
        <v>.........</v>
      </c>
      <c r="W1420" t="str">
        <f t="shared" si="379"/>
        <v>.........</v>
      </c>
      <c r="X1420" t="str">
        <f t="shared" si="383"/>
        <v>.......</v>
      </c>
      <c r="Y1420" t="str">
        <f t="shared" si="383"/>
        <v>..............</v>
      </c>
      <c r="Z1420" t="str">
        <f t="shared" si="383"/>
        <v>....</v>
      </c>
      <c r="AA1420" t="str">
        <f t="shared" ref="AA1420:AA1483" si="387">MID($A1420,Z$8+Z$9-1,AA$9)</f>
        <v>.........</v>
      </c>
      <c r="AB1420" t="str">
        <f t="shared" si="380"/>
        <v>.........</v>
      </c>
      <c r="AC1420" t="str">
        <f t="shared" si="381"/>
        <v>.........</v>
      </c>
      <c r="AD1420" t="str">
        <f t="shared" si="382"/>
        <v>........</v>
      </c>
      <c r="AE1420" t="str">
        <f t="shared" ref="AE1420:AE1483" si="388">MID($A1420,AD$8+AD$9-1,AE$9)</f>
        <v>.......</v>
      </c>
      <c r="AF1420" t="str">
        <f t="shared" si="384"/>
        <v>.....</v>
      </c>
      <c r="AG1420" t="str">
        <f t="shared" si="384"/>
        <v>..........</v>
      </c>
      <c r="AH1420" t="str">
        <f t="shared" ref="AH1420:AH1483" si="389">MID($A1420,AG$8+AG$9-1,AH$9)</f>
        <v>..........</v>
      </c>
      <c r="AI1420" t="str">
        <f t="shared" si="374"/>
        <v>.......</v>
      </c>
      <c r="AJ1420" t="str">
        <f t="shared" si="375"/>
        <v>.......</v>
      </c>
    </row>
    <row r="1421" spans="1:36" x14ac:dyDescent="0.25">
      <c r="A1421" t="s">
        <v>1091</v>
      </c>
      <c r="P1421" t="str">
        <f t="shared" si="376"/>
        <v xml:space="preserve">   9555   69  0 </v>
      </c>
      <c r="Q1421" t="str">
        <f t="shared" si="376"/>
        <v xml:space="preserve">   1.012 </v>
      </c>
      <c r="R1421" t="str">
        <f t="shared" si="385"/>
        <v xml:space="preserve">     0.0 </v>
      </c>
      <c r="S1421" t="str">
        <f t="shared" si="377"/>
        <v xml:space="preserve">     0.0 </v>
      </c>
      <c r="T1421" t="str">
        <f t="shared" si="378"/>
        <v xml:space="preserve">     0.0 </v>
      </c>
      <c r="U1421" t="str">
        <f t="shared" si="382"/>
        <v xml:space="preserve">         0.0 </v>
      </c>
      <c r="V1421" t="str">
        <f t="shared" si="386"/>
        <v xml:space="preserve">     0.0 </v>
      </c>
      <c r="W1421" t="str">
        <f t="shared" si="379"/>
        <v xml:space="preserve">     0.0</v>
      </c>
      <c r="X1421" t="str">
        <f t="shared" si="383"/>
        <v/>
      </c>
      <c r="Y1421" t="str">
        <f t="shared" si="383"/>
        <v/>
      </c>
      <c r="Z1421" t="str">
        <f t="shared" si="383"/>
        <v/>
      </c>
      <c r="AA1421" t="str">
        <f t="shared" si="387"/>
        <v/>
      </c>
      <c r="AB1421" t="str">
        <f t="shared" si="380"/>
        <v/>
      </c>
      <c r="AC1421" t="str">
        <f t="shared" si="381"/>
        <v/>
      </c>
      <c r="AD1421" t="str">
        <f t="shared" si="382"/>
        <v/>
      </c>
      <c r="AE1421" t="str">
        <f t="shared" si="388"/>
        <v/>
      </c>
      <c r="AF1421" t="str">
        <f t="shared" si="384"/>
        <v/>
      </c>
      <c r="AG1421" t="str">
        <f t="shared" si="384"/>
        <v/>
      </c>
      <c r="AH1421" t="str">
        <f t="shared" si="389"/>
        <v/>
      </c>
      <c r="AI1421" t="str">
        <f t="shared" si="374"/>
        <v/>
      </c>
      <c r="AJ1421" t="str">
        <f t="shared" si="375"/>
        <v/>
      </c>
    </row>
    <row r="1422" spans="1:36" x14ac:dyDescent="0.25">
      <c r="A1422" t="s">
        <v>1092</v>
      </c>
      <c r="P1422" t="str">
        <f t="shared" si="376"/>
        <v xml:space="preserve">  MNAPALTAP069  </v>
      </c>
      <c r="Q1422" t="str">
        <f t="shared" si="376"/>
        <v xml:space="preserve">   -54.8 </v>
      </c>
      <c r="R1422" t="str">
        <f t="shared" si="385"/>
        <v xml:space="preserve">     0.0 </v>
      </c>
      <c r="S1422" t="str">
        <f t="shared" si="377"/>
        <v xml:space="preserve">     0.0 </v>
      </c>
      <c r="T1422" t="str">
        <f t="shared" si="378"/>
        <v xml:space="preserve">     0.0 </v>
      </c>
      <c r="U1422" t="str">
        <f t="shared" si="382"/>
        <v xml:space="preserve">         0.0 </v>
      </c>
      <c r="V1422" t="str">
        <f t="shared" si="386"/>
        <v xml:space="preserve">     0.0 </v>
      </c>
      <c r="W1422" t="str">
        <f t="shared" si="379"/>
        <v xml:space="preserve">     0.0 </v>
      </c>
      <c r="X1422" t="str">
        <f t="shared" si="383"/>
        <v xml:space="preserve">       </v>
      </c>
      <c r="Y1422" t="str">
        <f t="shared" si="383"/>
        <v xml:space="preserve">              </v>
      </c>
      <c r="Z1422" t="str">
        <f t="shared" si="383"/>
        <v xml:space="preserve">    </v>
      </c>
      <c r="AA1422" t="str">
        <f t="shared" si="387"/>
        <v xml:space="preserve">         </v>
      </c>
      <c r="AB1422" t="str">
        <f t="shared" si="380"/>
        <v xml:space="preserve">         </v>
      </c>
      <c r="AC1422" t="str">
        <f t="shared" si="381"/>
        <v xml:space="preserve">    </v>
      </c>
      <c r="AD1422" t="str">
        <f t="shared" si="382"/>
        <v/>
      </c>
      <c r="AE1422" t="str">
        <f t="shared" si="388"/>
        <v/>
      </c>
      <c r="AF1422" t="str">
        <f t="shared" si="384"/>
        <v/>
      </c>
      <c r="AG1422" t="str">
        <f t="shared" si="384"/>
        <v/>
      </c>
      <c r="AH1422" t="str">
        <f t="shared" si="389"/>
        <v/>
      </c>
      <c r="AI1422" t="str">
        <f t="shared" si="374"/>
        <v/>
      </c>
      <c r="AJ1422" t="str">
        <f t="shared" si="375"/>
        <v/>
      </c>
    </row>
    <row r="1423" spans="1:36" x14ac:dyDescent="0.25">
      <c r="A1423" t="s">
        <v>1093</v>
      </c>
      <c r="P1423" t="str">
        <f t="shared" si="376"/>
        <v xml:space="preserve">                </v>
      </c>
      <c r="Q1423" t="str">
        <f t="shared" si="376"/>
        <v xml:space="preserve">         </v>
      </c>
      <c r="R1423" t="str">
        <f t="shared" si="385"/>
        <v xml:space="preserve">    54.0 </v>
      </c>
      <c r="S1423" t="str">
        <f t="shared" si="377"/>
        <v xml:space="preserve">    79.0 </v>
      </c>
      <c r="T1423" t="str">
        <f t="shared" si="378"/>
        <v xml:space="preserve">    79.0 </v>
      </c>
      <c r="U1423" t="str">
        <f t="shared" si="382"/>
        <v xml:space="preserve">        6.0% </v>
      </c>
      <c r="V1423" t="str">
        <f t="shared" si="386"/>
        <v xml:space="preserve">         </v>
      </c>
      <c r="W1423" t="str">
        <f t="shared" si="379"/>
        <v xml:space="preserve">         </v>
      </c>
      <c r="X1423" t="str">
        <f t="shared" si="383"/>
        <v xml:space="preserve">  9229 </v>
      </c>
      <c r="Y1423" t="str">
        <f t="shared" si="383"/>
        <v xml:space="preserve"> MNAPA--RS069 </v>
      </c>
      <c r="Z1423" t="str">
        <f t="shared" si="383"/>
        <v xml:space="preserve">  1 </v>
      </c>
      <c r="AA1423" t="str">
        <f t="shared" si="387"/>
        <v xml:space="preserve">     3.0 </v>
      </c>
      <c r="AB1423" t="str">
        <f t="shared" si="380"/>
        <v xml:space="preserve">     1.3 </v>
      </c>
      <c r="AC1423" t="str">
        <f t="shared" si="381"/>
        <v xml:space="preserve">     3.2 </v>
      </c>
      <c r="AD1423" t="str">
        <f t="shared" si="382"/>
        <v xml:space="preserve">        </v>
      </c>
      <c r="AE1423" t="str">
        <f t="shared" si="388"/>
        <v xml:space="preserve">       </v>
      </c>
      <c r="AF1423" t="str">
        <f t="shared" si="384"/>
        <v xml:space="preserve">     </v>
      </c>
      <c r="AG1423" t="str">
        <f t="shared" si="384"/>
        <v xml:space="preserve">     0.00 </v>
      </c>
      <c r="AH1423" t="str">
        <f t="shared" si="389"/>
        <v xml:space="preserve">    -0.01 </v>
      </c>
      <c r="AI1423" t="str">
        <f t="shared" si="374"/>
        <v xml:space="preserve">       </v>
      </c>
      <c r="AJ1423" t="str">
        <f t="shared" si="375"/>
        <v xml:space="preserve">      </v>
      </c>
    </row>
    <row r="1424" spans="1:36" x14ac:dyDescent="0.25">
      <c r="A1424" t="s">
        <v>1094</v>
      </c>
      <c r="P1424" t="str">
        <f t="shared" si="376"/>
        <v xml:space="preserve">                </v>
      </c>
      <c r="Q1424" t="str">
        <f t="shared" si="376"/>
        <v xml:space="preserve">         </v>
      </c>
      <c r="R1424" t="str">
        <f t="shared" si="385"/>
        <v xml:space="preserve">    54.0 </v>
      </c>
      <c r="S1424" t="str">
        <f t="shared" si="377"/>
        <v xml:space="preserve">    79.0 </v>
      </c>
      <c r="T1424" t="str">
        <f t="shared" si="378"/>
        <v xml:space="preserve">    79.0 </v>
      </c>
      <c r="U1424" t="str">
        <f t="shared" si="382"/>
        <v xml:space="preserve">        0.0% </v>
      </c>
      <c r="V1424" t="str">
        <f t="shared" si="386"/>
        <v xml:space="preserve">         </v>
      </c>
      <c r="W1424" t="str">
        <f t="shared" si="379"/>
        <v xml:space="preserve">         </v>
      </c>
      <c r="X1424" t="str">
        <f t="shared" si="383"/>
        <v xml:space="preserve">  9230 </v>
      </c>
      <c r="Y1424" t="str">
        <f t="shared" si="383"/>
        <v xml:space="preserve"> GERPGR-RS069 </v>
      </c>
      <c r="Z1424" t="str">
        <f t="shared" si="383"/>
        <v xml:space="preserve">  1 </v>
      </c>
      <c r="AA1424" t="str">
        <f t="shared" si="387"/>
        <v xml:space="preserve">     0.0 </v>
      </c>
      <c r="AB1424" t="str">
        <f t="shared" si="380"/>
        <v xml:space="preserve">    -0.0 </v>
      </c>
      <c r="AC1424" t="str">
        <f t="shared" si="381"/>
        <v xml:space="preserve">     0.0 </v>
      </c>
      <c r="AD1424" t="str">
        <f t="shared" si="382"/>
        <v xml:space="preserve">        </v>
      </c>
      <c r="AE1424" t="str">
        <f t="shared" si="388"/>
        <v xml:space="preserve">       </v>
      </c>
      <c r="AF1424" t="str">
        <f t="shared" si="384"/>
        <v xml:space="preserve">     </v>
      </c>
      <c r="AG1424" t="str">
        <f t="shared" si="384"/>
        <v xml:space="preserve">     0.00 </v>
      </c>
      <c r="AH1424" t="str">
        <f t="shared" si="389"/>
        <v xml:space="preserve">    -0.01 </v>
      </c>
      <c r="AI1424" t="str">
        <f t="shared" si="374"/>
        <v xml:space="preserve">       </v>
      </c>
      <c r="AJ1424" t="str">
        <f t="shared" si="375"/>
        <v xml:space="preserve">      </v>
      </c>
    </row>
    <row r="1425" spans="1:36" x14ac:dyDescent="0.25">
      <c r="A1425" t="s">
        <v>1095</v>
      </c>
      <c r="P1425" t="str">
        <f t="shared" si="376"/>
        <v xml:space="preserve">                </v>
      </c>
      <c r="Q1425" t="str">
        <f t="shared" si="376"/>
        <v xml:space="preserve">         </v>
      </c>
      <c r="R1425" t="str">
        <f t="shared" si="385"/>
        <v xml:space="preserve">    54.0 </v>
      </c>
      <c r="S1425" t="str">
        <f t="shared" si="377"/>
        <v xml:space="preserve">    79.0 </v>
      </c>
      <c r="T1425" t="str">
        <f t="shared" si="378"/>
        <v xml:space="preserve">    79.0 </v>
      </c>
      <c r="U1425" t="str">
        <f t="shared" si="382"/>
        <v xml:space="preserve">        6.0% </v>
      </c>
      <c r="V1425" t="str">
        <f t="shared" si="386"/>
        <v xml:space="preserve">         </v>
      </c>
      <c r="W1425" t="str">
        <f t="shared" si="379"/>
        <v xml:space="preserve">         </v>
      </c>
      <c r="X1425" t="str">
        <f t="shared" si="383"/>
        <v xml:space="preserve">  9554 </v>
      </c>
      <c r="Y1425" t="str">
        <f t="shared" si="383"/>
        <v xml:space="preserve"> GERPALTAP069 </v>
      </c>
      <c r="Z1425" t="str">
        <f t="shared" si="383"/>
        <v xml:space="preserve">  1 </v>
      </c>
      <c r="AA1425" t="str">
        <f t="shared" si="387"/>
        <v xml:space="preserve">    -3.0 </v>
      </c>
      <c r="AB1425" t="str">
        <f t="shared" si="380"/>
        <v xml:space="preserve">    -1.3 </v>
      </c>
      <c r="AC1425" t="str">
        <f t="shared" si="381"/>
        <v xml:space="preserve">     3.2 </v>
      </c>
      <c r="AD1425" t="str">
        <f t="shared" si="382"/>
        <v xml:space="preserve">        </v>
      </c>
      <c r="AE1425" t="str">
        <f t="shared" si="388"/>
        <v xml:space="preserve">       </v>
      </c>
      <c r="AF1425" t="str">
        <f t="shared" si="384"/>
        <v xml:space="preserve">     </v>
      </c>
      <c r="AG1425" t="str">
        <f t="shared" si="384"/>
        <v xml:space="preserve">     0.00 </v>
      </c>
      <c r="AH1425" t="str">
        <f t="shared" si="389"/>
        <v xml:space="preserve">    -0.01 </v>
      </c>
      <c r="AI1425" t="str">
        <f t="shared" si="374"/>
        <v xml:space="preserve">       </v>
      </c>
      <c r="AJ1425" t="str">
        <f t="shared" si="375"/>
        <v xml:space="preserve">      </v>
      </c>
    </row>
    <row r="1426" spans="1:36" x14ac:dyDescent="0.25">
      <c r="A1426" t="s">
        <v>14</v>
      </c>
      <c r="P1426" t="str">
        <f t="shared" si="376"/>
        <v xml:space="preserve">  ..............</v>
      </c>
      <c r="Q1426" t="str">
        <f t="shared" si="376"/>
        <v>.........</v>
      </c>
      <c r="R1426" t="str">
        <f t="shared" si="385"/>
        <v>.........</v>
      </c>
      <c r="S1426" t="str">
        <f t="shared" si="377"/>
        <v>.........</v>
      </c>
      <c r="T1426" t="str">
        <f t="shared" si="378"/>
        <v>.........</v>
      </c>
      <c r="U1426" t="str">
        <f t="shared" si="382"/>
        <v>.............</v>
      </c>
      <c r="V1426" t="str">
        <f t="shared" si="386"/>
        <v>.........</v>
      </c>
      <c r="W1426" t="str">
        <f t="shared" si="379"/>
        <v>.........</v>
      </c>
      <c r="X1426" t="str">
        <f t="shared" si="383"/>
        <v>.......</v>
      </c>
      <c r="Y1426" t="str">
        <f t="shared" si="383"/>
        <v>..............</v>
      </c>
      <c r="Z1426" t="str">
        <f t="shared" si="383"/>
        <v>....</v>
      </c>
      <c r="AA1426" t="str">
        <f t="shared" si="387"/>
        <v>.........</v>
      </c>
      <c r="AB1426" t="str">
        <f t="shared" si="380"/>
        <v>.........</v>
      </c>
      <c r="AC1426" t="str">
        <f t="shared" si="381"/>
        <v>.........</v>
      </c>
      <c r="AD1426" t="str">
        <f t="shared" si="382"/>
        <v>........</v>
      </c>
      <c r="AE1426" t="str">
        <f t="shared" si="388"/>
        <v>.......</v>
      </c>
      <c r="AF1426" t="str">
        <f t="shared" si="384"/>
        <v>.....</v>
      </c>
      <c r="AG1426" t="str">
        <f t="shared" si="384"/>
        <v>..........</v>
      </c>
      <c r="AH1426" t="str">
        <f t="shared" si="389"/>
        <v>..........</v>
      </c>
      <c r="AI1426" t="str">
        <f t="shared" si="374"/>
        <v>.......</v>
      </c>
      <c r="AJ1426" t="str">
        <f t="shared" si="375"/>
        <v>.......</v>
      </c>
    </row>
    <row r="1427" spans="1:36" x14ac:dyDescent="0.25">
      <c r="A1427" t="s">
        <v>1096</v>
      </c>
      <c r="P1427" t="str">
        <f t="shared" si="376"/>
        <v xml:space="preserve">   9556   69  0 </v>
      </c>
      <c r="Q1427" t="str">
        <f t="shared" si="376"/>
        <v xml:space="preserve">   1.013 </v>
      </c>
      <c r="R1427" t="str">
        <f t="shared" si="385"/>
        <v xml:space="preserve">     0.0 </v>
      </c>
      <c r="S1427" t="str">
        <f t="shared" si="377"/>
        <v xml:space="preserve">     0.0 </v>
      </c>
      <c r="T1427" t="str">
        <f t="shared" si="378"/>
        <v xml:space="preserve">     0.0 </v>
      </c>
      <c r="U1427" t="str">
        <f t="shared" si="382"/>
        <v xml:space="preserve">         0.0 </v>
      </c>
      <c r="V1427" t="str">
        <f t="shared" si="386"/>
        <v xml:space="preserve">     0.0 </v>
      </c>
      <c r="W1427" t="str">
        <f t="shared" si="379"/>
        <v xml:space="preserve">     0.0</v>
      </c>
      <c r="X1427" t="str">
        <f t="shared" si="383"/>
        <v/>
      </c>
      <c r="Y1427" t="str">
        <f t="shared" si="383"/>
        <v/>
      </c>
      <c r="Z1427" t="str">
        <f t="shared" si="383"/>
        <v/>
      </c>
      <c r="AA1427" t="str">
        <f t="shared" si="387"/>
        <v/>
      </c>
      <c r="AB1427" t="str">
        <f t="shared" si="380"/>
        <v/>
      </c>
      <c r="AC1427" t="str">
        <f t="shared" si="381"/>
        <v/>
      </c>
      <c r="AD1427" t="str">
        <f t="shared" si="382"/>
        <v/>
      </c>
      <c r="AE1427" t="str">
        <f t="shared" si="388"/>
        <v/>
      </c>
      <c r="AF1427" t="str">
        <f t="shared" si="384"/>
        <v/>
      </c>
      <c r="AG1427" t="str">
        <f t="shared" si="384"/>
        <v/>
      </c>
      <c r="AH1427" t="str">
        <f t="shared" si="389"/>
        <v/>
      </c>
      <c r="AI1427" t="str">
        <f t="shared" si="374"/>
        <v/>
      </c>
      <c r="AJ1427" t="str">
        <f t="shared" si="375"/>
        <v/>
      </c>
    </row>
    <row r="1428" spans="1:36" x14ac:dyDescent="0.25">
      <c r="A1428" t="s">
        <v>1097</v>
      </c>
      <c r="P1428" t="str">
        <f t="shared" si="376"/>
        <v xml:space="preserve">  FRPPALTAP069  </v>
      </c>
      <c r="Q1428" t="str">
        <f t="shared" si="376"/>
        <v xml:space="preserve">   -54.8 </v>
      </c>
      <c r="R1428" t="str">
        <f t="shared" si="385"/>
        <v xml:space="preserve">     0.0 </v>
      </c>
      <c r="S1428" t="str">
        <f t="shared" si="377"/>
        <v xml:space="preserve">     0.0 </v>
      </c>
      <c r="T1428" t="str">
        <f t="shared" si="378"/>
        <v xml:space="preserve">     0.0 </v>
      </c>
      <c r="U1428" t="str">
        <f t="shared" si="382"/>
        <v xml:space="preserve">         0.0 </v>
      </c>
      <c r="V1428" t="str">
        <f t="shared" si="386"/>
        <v xml:space="preserve">     0.0 </v>
      </c>
      <c r="W1428" t="str">
        <f t="shared" si="379"/>
        <v xml:space="preserve">     0.0 </v>
      </c>
      <c r="X1428" t="str">
        <f t="shared" si="383"/>
        <v xml:space="preserve">       </v>
      </c>
      <c r="Y1428" t="str">
        <f t="shared" si="383"/>
        <v xml:space="preserve">              </v>
      </c>
      <c r="Z1428" t="str">
        <f t="shared" si="383"/>
        <v xml:space="preserve">    </v>
      </c>
      <c r="AA1428" t="str">
        <f t="shared" si="387"/>
        <v xml:space="preserve">         </v>
      </c>
      <c r="AB1428" t="str">
        <f t="shared" si="380"/>
        <v xml:space="preserve">         </v>
      </c>
      <c r="AC1428" t="str">
        <f t="shared" si="381"/>
        <v xml:space="preserve">    </v>
      </c>
      <c r="AD1428" t="str">
        <f t="shared" si="382"/>
        <v/>
      </c>
      <c r="AE1428" t="str">
        <f t="shared" si="388"/>
        <v/>
      </c>
      <c r="AF1428" t="str">
        <f t="shared" si="384"/>
        <v/>
      </c>
      <c r="AG1428" t="str">
        <f t="shared" si="384"/>
        <v/>
      </c>
      <c r="AH1428" t="str">
        <f t="shared" si="389"/>
        <v/>
      </c>
      <c r="AI1428" t="str">
        <f t="shared" si="374"/>
        <v/>
      </c>
      <c r="AJ1428" t="str">
        <f t="shared" si="375"/>
        <v/>
      </c>
    </row>
    <row r="1429" spans="1:36" x14ac:dyDescent="0.25">
      <c r="A1429" t="s">
        <v>1098</v>
      </c>
      <c r="P1429" t="str">
        <f t="shared" si="376"/>
        <v xml:space="preserve">                </v>
      </c>
      <c r="Q1429" t="str">
        <f t="shared" si="376"/>
        <v xml:space="preserve">         </v>
      </c>
      <c r="R1429" t="str">
        <f t="shared" si="385"/>
        <v xml:space="preserve">    52.0 </v>
      </c>
      <c r="S1429" t="str">
        <f t="shared" si="377"/>
        <v xml:space="preserve">    76.0 </v>
      </c>
      <c r="T1429" t="str">
        <f t="shared" si="378"/>
        <v xml:space="preserve">    76.0 </v>
      </c>
      <c r="U1429" t="str">
        <f t="shared" si="382"/>
        <v xml:space="preserve">       33.8% </v>
      </c>
      <c r="V1429" t="str">
        <f t="shared" si="386"/>
        <v xml:space="preserve">         </v>
      </c>
      <c r="W1429" t="str">
        <f t="shared" si="379"/>
        <v xml:space="preserve">         </v>
      </c>
      <c r="X1429" t="str">
        <f t="shared" si="383"/>
        <v xml:space="preserve">  1266 </v>
      </c>
      <c r="Y1429" t="str">
        <f t="shared" si="383"/>
        <v xml:space="preserve"> PALGR9-RS069 </v>
      </c>
      <c r="Z1429" t="str">
        <f t="shared" si="383"/>
        <v xml:space="preserve">  1 </v>
      </c>
      <c r="AA1429" t="str">
        <f t="shared" si="387"/>
        <v xml:space="preserve">   -16.6 </v>
      </c>
      <c r="AB1429" t="str">
        <f t="shared" si="380"/>
        <v xml:space="preserve">    -6.5 </v>
      </c>
      <c r="AC1429" t="str">
        <f t="shared" si="381"/>
        <v xml:space="preserve">    17.6 </v>
      </c>
      <c r="AD1429" t="str">
        <f t="shared" si="382"/>
        <v xml:space="preserve">        </v>
      </c>
      <c r="AE1429" t="str">
        <f t="shared" si="388"/>
        <v xml:space="preserve">       </v>
      </c>
      <c r="AF1429" t="str">
        <f t="shared" si="384"/>
        <v xml:space="preserve">     </v>
      </c>
      <c r="AG1429" t="str">
        <f t="shared" si="384"/>
        <v xml:space="preserve">     0.03 </v>
      </c>
      <c r="AH1429" t="str">
        <f t="shared" si="389"/>
        <v xml:space="preserve">     0.03 </v>
      </c>
      <c r="AI1429" t="str">
        <f t="shared" si="374"/>
        <v xml:space="preserve">       </v>
      </c>
      <c r="AJ1429" t="str">
        <f t="shared" si="375"/>
        <v xml:space="preserve">      </v>
      </c>
    </row>
    <row r="1430" spans="1:36" x14ac:dyDescent="0.25">
      <c r="A1430" t="s">
        <v>1099</v>
      </c>
      <c r="P1430" t="str">
        <f t="shared" si="376"/>
        <v xml:space="preserve">                </v>
      </c>
      <c r="Q1430" t="str">
        <f t="shared" si="376"/>
        <v xml:space="preserve">         </v>
      </c>
      <c r="R1430" t="str">
        <f t="shared" si="385"/>
        <v xml:space="preserve">    54.0 </v>
      </c>
      <c r="S1430" t="str">
        <f t="shared" si="377"/>
        <v xml:space="preserve">    79.0 </v>
      </c>
      <c r="T1430" t="str">
        <f t="shared" si="378"/>
        <v xml:space="preserve">    79.0 </v>
      </c>
      <c r="U1430" t="str">
        <f t="shared" si="382"/>
        <v xml:space="preserve">        8.8% </v>
      </c>
      <c r="V1430" t="str">
        <f t="shared" si="386"/>
        <v xml:space="preserve">         </v>
      </c>
      <c r="W1430" t="str">
        <f t="shared" si="379"/>
        <v xml:space="preserve">         </v>
      </c>
      <c r="X1430" t="str">
        <f t="shared" si="383"/>
        <v xml:space="preserve">  9231 </v>
      </c>
      <c r="Y1430" t="str">
        <f t="shared" si="383"/>
        <v xml:space="preserve"> FRPPGR-RS069 </v>
      </c>
      <c r="Z1430" t="str">
        <f t="shared" si="383"/>
        <v xml:space="preserve">  1 </v>
      </c>
      <c r="AA1430" t="str">
        <f t="shared" si="387"/>
        <v xml:space="preserve">     4.4 </v>
      </c>
      <c r="AB1430" t="str">
        <f t="shared" si="380"/>
        <v xml:space="preserve">     1.9 </v>
      </c>
      <c r="AC1430" t="str">
        <f t="shared" si="381"/>
        <v xml:space="preserve">     4.7 </v>
      </c>
      <c r="AD1430" t="str">
        <f t="shared" si="382"/>
        <v xml:space="preserve">        </v>
      </c>
      <c r="AE1430" t="str">
        <f t="shared" si="388"/>
        <v xml:space="preserve">       </v>
      </c>
      <c r="AF1430" t="str">
        <f t="shared" si="384"/>
        <v xml:space="preserve">     </v>
      </c>
      <c r="AG1430" t="str">
        <f t="shared" si="384"/>
        <v xml:space="preserve">     0.00 </v>
      </c>
      <c r="AH1430" t="str">
        <f t="shared" si="389"/>
        <v xml:space="preserve">    -0.00 </v>
      </c>
      <c r="AI1430" t="str">
        <f t="shared" si="374"/>
        <v xml:space="preserve">       </v>
      </c>
      <c r="AJ1430" t="str">
        <f t="shared" si="375"/>
        <v xml:space="preserve">      </v>
      </c>
    </row>
    <row r="1431" spans="1:36" x14ac:dyDescent="0.25">
      <c r="A1431" t="s">
        <v>1100</v>
      </c>
      <c r="P1431" t="str">
        <f t="shared" si="376"/>
        <v xml:space="preserve">                </v>
      </c>
      <c r="Q1431" t="str">
        <f t="shared" si="376"/>
        <v xml:space="preserve">         </v>
      </c>
      <c r="R1431" t="str">
        <f t="shared" si="385"/>
        <v xml:space="preserve">    52.0 </v>
      </c>
      <c r="S1431" t="str">
        <f t="shared" si="377"/>
        <v xml:space="preserve">    76.0 </v>
      </c>
      <c r="T1431" t="str">
        <f t="shared" si="378"/>
        <v xml:space="preserve">    76.0 </v>
      </c>
      <c r="U1431" t="str">
        <f t="shared" si="382"/>
        <v xml:space="preserve">       24.7% </v>
      </c>
      <c r="V1431" t="str">
        <f t="shared" si="386"/>
        <v xml:space="preserve">         </v>
      </c>
      <c r="W1431" t="str">
        <f t="shared" si="379"/>
        <v xml:space="preserve">         </v>
      </c>
      <c r="X1431" t="str">
        <f t="shared" si="383"/>
        <v xml:space="preserve">  9236 </v>
      </c>
      <c r="Y1431" t="str">
        <f t="shared" si="383"/>
        <v xml:space="preserve"> PALEG2-RS069 </v>
      </c>
      <c r="Z1431" t="str">
        <f t="shared" si="383"/>
        <v xml:space="preserve">  1 </v>
      </c>
      <c r="AA1431" t="str">
        <f t="shared" si="387"/>
        <v xml:space="preserve">    12.2 </v>
      </c>
      <c r="AB1431" t="str">
        <f t="shared" si="380"/>
        <v xml:space="preserve">     4.6 </v>
      </c>
      <c r="AC1431" t="str">
        <f t="shared" si="381"/>
        <v xml:space="preserve">    12.9 </v>
      </c>
      <c r="AD1431" t="str">
        <f t="shared" si="382"/>
        <v xml:space="preserve">        </v>
      </c>
      <c r="AE1431" t="str">
        <f t="shared" si="388"/>
        <v xml:space="preserve">       </v>
      </c>
      <c r="AF1431" t="str">
        <f t="shared" si="384"/>
        <v xml:space="preserve">     </v>
      </c>
      <c r="AG1431" t="str">
        <f t="shared" si="384"/>
        <v xml:space="preserve">     0.01 </v>
      </c>
      <c r="AH1431" t="str">
        <f t="shared" si="389"/>
        <v xml:space="preserve">    -0.00 </v>
      </c>
      <c r="AI1431" t="str">
        <f t="shared" ref="AI1431:AI1494" si="390">MID($A1431,AG$8+AG$9+AH$9-2,AI$9)</f>
        <v xml:space="preserve">       </v>
      </c>
      <c r="AJ1431" t="str">
        <f t="shared" ref="AJ1431:AJ1494" si="391">MID($A1431,AG$8+AG$9+AH$9+AI$9-3,AJ$9)</f>
        <v xml:space="preserve">      </v>
      </c>
    </row>
    <row r="1432" spans="1:36" x14ac:dyDescent="0.25">
      <c r="A1432" t="s">
        <v>14</v>
      </c>
      <c r="P1432" t="str">
        <f t="shared" si="376"/>
        <v xml:space="preserve">  ..............</v>
      </c>
      <c r="Q1432" t="str">
        <f t="shared" si="376"/>
        <v>.........</v>
      </c>
      <c r="R1432" t="str">
        <f t="shared" si="385"/>
        <v>.........</v>
      </c>
      <c r="S1432" t="str">
        <f t="shared" si="377"/>
        <v>.........</v>
      </c>
      <c r="T1432" t="str">
        <f t="shared" si="378"/>
        <v>.........</v>
      </c>
      <c r="U1432" t="str">
        <f t="shared" si="382"/>
        <v>.............</v>
      </c>
      <c r="V1432" t="str">
        <f t="shared" si="386"/>
        <v>.........</v>
      </c>
      <c r="W1432" t="str">
        <f t="shared" si="379"/>
        <v>.........</v>
      </c>
      <c r="X1432" t="str">
        <f t="shared" si="383"/>
        <v>.......</v>
      </c>
      <c r="Y1432" t="str">
        <f t="shared" si="383"/>
        <v>..............</v>
      </c>
      <c r="Z1432" t="str">
        <f t="shared" si="383"/>
        <v>....</v>
      </c>
      <c r="AA1432" t="str">
        <f t="shared" si="387"/>
        <v>.........</v>
      </c>
      <c r="AB1432" t="str">
        <f t="shared" si="380"/>
        <v>.........</v>
      </c>
      <c r="AC1432" t="str">
        <f t="shared" si="381"/>
        <v>.........</v>
      </c>
      <c r="AD1432" t="str">
        <f t="shared" si="382"/>
        <v>........</v>
      </c>
      <c r="AE1432" t="str">
        <f t="shared" si="388"/>
        <v>.......</v>
      </c>
      <c r="AF1432" t="str">
        <f t="shared" si="384"/>
        <v>.....</v>
      </c>
      <c r="AG1432" t="str">
        <f t="shared" si="384"/>
        <v>..........</v>
      </c>
      <c r="AH1432" t="str">
        <f t="shared" si="389"/>
        <v>..........</v>
      </c>
      <c r="AI1432" t="str">
        <f t="shared" si="390"/>
        <v>.......</v>
      </c>
      <c r="AJ1432" t="str">
        <f t="shared" si="391"/>
        <v>.......</v>
      </c>
    </row>
    <row r="1433" spans="1:36" x14ac:dyDescent="0.25">
      <c r="A1433" t="s">
        <v>1101</v>
      </c>
      <c r="P1433" t="str">
        <f t="shared" si="376"/>
        <v xml:space="preserve">   9557   69  0 </v>
      </c>
      <c r="Q1433" t="str">
        <f t="shared" si="376"/>
        <v xml:space="preserve">   1.030 </v>
      </c>
      <c r="R1433" t="str">
        <f t="shared" si="385"/>
        <v xml:space="preserve">     0.0 </v>
      </c>
      <c r="S1433" t="str">
        <f t="shared" si="377"/>
        <v xml:space="preserve">     0.0 </v>
      </c>
      <c r="T1433" t="str">
        <f t="shared" si="378"/>
        <v xml:space="preserve">     0.0 </v>
      </c>
      <c r="U1433" t="str">
        <f t="shared" si="382"/>
        <v xml:space="preserve">         0.0 </v>
      </c>
      <c r="V1433" t="str">
        <f t="shared" si="386"/>
        <v xml:space="preserve">     0.0 </v>
      </c>
      <c r="W1433" t="str">
        <f t="shared" si="379"/>
        <v xml:space="preserve">     0.0</v>
      </c>
      <c r="X1433" t="str">
        <f t="shared" si="383"/>
        <v/>
      </c>
      <c r="Y1433" t="str">
        <f t="shared" si="383"/>
        <v/>
      </c>
      <c r="Z1433" t="str">
        <f t="shared" si="383"/>
        <v/>
      </c>
      <c r="AA1433" t="str">
        <f t="shared" si="387"/>
        <v/>
      </c>
      <c r="AB1433" t="str">
        <f t="shared" si="380"/>
        <v/>
      </c>
      <c r="AC1433" t="str">
        <f t="shared" si="381"/>
        <v/>
      </c>
      <c r="AD1433" t="str">
        <f t="shared" si="382"/>
        <v/>
      </c>
      <c r="AE1433" t="str">
        <f t="shared" si="388"/>
        <v/>
      </c>
      <c r="AF1433" t="str">
        <f t="shared" si="384"/>
        <v/>
      </c>
      <c r="AG1433" t="str">
        <f t="shared" si="384"/>
        <v/>
      </c>
      <c r="AH1433" t="str">
        <f t="shared" si="389"/>
        <v/>
      </c>
      <c r="AI1433" t="str">
        <f t="shared" si="390"/>
        <v/>
      </c>
      <c r="AJ1433" t="str">
        <f t="shared" si="391"/>
        <v/>
      </c>
    </row>
    <row r="1434" spans="1:36" x14ac:dyDescent="0.25">
      <c r="A1434" t="s">
        <v>1102</v>
      </c>
      <c r="P1434" t="str">
        <f t="shared" si="376"/>
        <v xml:space="preserve">  CANAS2-RS069  </v>
      </c>
      <c r="Q1434" t="str">
        <f t="shared" si="376"/>
        <v xml:space="preserve">   -54.9 </v>
      </c>
      <c r="R1434" t="str">
        <f t="shared" si="385"/>
        <v xml:space="preserve">     0.0 </v>
      </c>
      <c r="S1434" t="str">
        <f t="shared" si="377"/>
        <v xml:space="preserve">     0.0 </v>
      </c>
      <c r="T1434" t="str">
        <f t="shared" si="378"/>
        <v xml:space="preserve">     0.0 </v>
      </c>
      <c r="U1434" t="str">
        <f t="shared" si="382"/>
        <v xml:space="preserve">         0.0 </v>
      </c>
      <c r="V1434" t="str">
        <f t="shared" si="386"/>
        <v xml:space="preserve">     0.0 </v>
      </c>
      <c r="W1434" t="str">
        <f t="shared" si="379"/>
        <v xml:space="preserve">     0.0 </v>
      </c>
      <c r="X1434" t="str">
        <f t="shared" si="383"/>
        <v xml:space="preserve">       </v>
      </c>
      <c r="Y1434" t="str">
        <f t="shared" si="383"/>
        <v xml:space="preserve">              </v>
      </c>
      <c r="Z1434" t="str">
        <f t="shared" si="383"/>
        <v xml:space="preserve">    </v>
      </c>
      <c r="AA1434" t="str">
        <f t="shared" si="387"/>
        <v xml:space="preserve">         </v>
      </c>
      <c r="AB1434" t="str">
        <f t="shared" si="380"/>
        <v xml:space="preserve">         </v>
      </c>
      <c r="AC1434" t="str">
        <f t="shared" si="381"/>
        <v xml:space="preserve">    </v>
      </c>
      <c r="AD1434" t="str">
        <f t="shared" si="382"/>
        <v/>
      </c>
      <c r="AE1434" t="str">
        <f t="shared" si="388"/>
        <v/>
      </c>
      <c r="AF1434" t="str">
        <f t="shared" si="384"/>
        <v/>
      </c>
      <c r="AG1434" t="str">
        <f t="shared" si="384"/>
        <v/>
      </c>
      <c r="AH1434" t="str">
        <f t="shared" si="389"/>
        <v/>
      </c>
      <c r="AI1434" t="str">
        <f t="shared" si="390"/>
        <v/>
      </c>
      <c r="AJ1434" t="str">
        <f t="shared" si="391"/>
        <v/>
      </c>
    </row>
    <row r="1435" spans="1:36" x14ac:dyDescent="0.25">
      <c r="A1435" t="s">
        <v>1103</v>
      </c>
      <c r="P1435" t="str">
        <f t="shared" ref="P1435:Q1498" si="392">MID($A1435,P$8,P$9)</f>
        <v xml:space="preserve">                </v>
      </c>
      <c r="Q1435" t="str">
        <f t="shared" si="392"/>
        <v xml:space="preserve">         </v>
      </c>
      <c r="R1435" t="str">
        <f t="shared" si="385"/>
        <v xml:space="preserve">    50.0 </v>
      </c>
      <c r="S1435" t="str">
        <f t="shared" ref="S1435:S1498" si="393">MID($A1435,Q$8+Q$9+R$9-2,S$9)</f>
        <v xml:space="preserve">    50.0 </v>
      </c>
      <c r="T1435" t="str">
        <f t="shared" ref="T1435:T1498" si="394">MID($A1435,Q$8+Q$9+R$9+S$9-3,T$9)</f>
        <v xml:space="preserve">    50.0 </v>
      </c>
      <c r="U1435" t="str">
        <f t="shared" si="382"/>
        <v xml:space="preserve">       48.9% </v>
      </c>
      <c r="V1435" t="str">
        <f t="shared" si="386"/>
        <v xml:space="preserve">         </v>
      </c>
      <c r="W1435" t="str">
        <f t="shared" ref="W1435:W1498" si="395">MID($A1435,U$8+U$9+V$9-2,W$9)</f>
        <v xml:space="preserve">         </v>
      </c>
      <c r="X1435" t="str">
        <f t="shared" si="383"/>
        <v xml:space="preserve">  2065 </v>
      </c>
      <c r="Y1435" t="str">
        <f t="shared" si="383"/>
        <v xml:space="preserve"> CANAS2-RS138 </v>
      </c>
      <c r="Z1435" t="str">
        <f t="shared" si="383"/>
        <v xml:space="preserve">  1 </v>
      </c>
      <c r="AA1435" t="str">
        <f t="shared" si="387"/>
        <v xml:space="preserve">   -24.6 </v>
      </c>
      <c r="AB1435" t="str">
        <f t="shared" ref="AB1435:AB1498" si="396">MID($A1435,Z$8+Z$9+AA$9-2,AB$9)</f>
        <v xml:space="preserve">    -5.6 </v>
      </c>
      <c r="AC1435" t="str">
        <f t="shared" ref="AC1435:AC1498" si="397">MID($A1435,Z$8+Z$9+AA$9+AB$9-3,AC$9)</f>
        <v xml:space="preserve">    24.4 </v>
      </c>
      <c r="AD1435" t="str">
        <f t="shared" si="382"/>
        <v xml:space="preserve">        </v>
      </c>
      <c r="AE1435" t="str">
        <f t="shared" si="388"/>
        <v xml:space="preserve">       </v>
      </c>
      <c r="AF1435" t="str">
        <f t="shared" si="384"/>
        <v xml:space="preserve">     </v>
      </c>
      <c r="AG1435" t="str">
        <f t="shared" si="384"/>
        <v xml:space="preserve">     0.00 </v>
      </c>
      <c r="AH1435" t="str">
        <f t="shared" si="389"/>
        <v xml:space="preserve">     0.69 </v>
      </c>
      <c r="AI1435" t="str">
        <f t="shared" si="390"/>
        <v xml:space="preserve">       </v>
      </c>
      <c r="AJ1435" t="str">
        <f t="shared" si="391"/>
        <v xml:space="preserve">      </v>
      </c>
    </row>
    <row r="1436" spans="1:36" x14ac:dyDescent="0.25">
      <c r="A1436" t="s">
        <v>1104</v>
      </c>
      <c r="P1436" t="str">
        <f t="shared" si="392"/>
        <v xml:space="preserve">                </v>
      </c>
      <c r="Q1436" t="str">
        <f t="shared" si="392"/>
        <v xml:space="preserve">         </v>
      </c>
      <c r="R1436" t="str">
        <f t="shared" si="385"/>
        <v xml:space="preserve">    41.0 </v>
      </c>
      <c r="S1436" t="str">
        <f t="shared" si="393"/>
        <v xml:space="preserve">    59.0 </v>
      </c>
      <c r="T1436" t="str">
        <f t="shared" si="394"/>
        <v xml:space="preserve">    59.0 </v>
      </c>
      <c r="U1436" t="str">
        <f t="shared" ref="U1436:AD1499" si="398">MID($A1436,U$8,U$9)</f>
        <v xml:space="preserve">       59.6% </v>
      </c>
      <c r="V1436" t="str">
        <f t="shared" si="386"/>
        <v xml:space="preserve">         </v>
      </c>
      <c r="W1436" t="str">
        <f t="shared" si="395"/>
        <v xml:space="preserve">         </v>
      </c>
      <c r="X1436" t="str">
        <f t="shared" ref="X1436:Z1499" si="399">MID($A1436,X$8,X$9)</f>
        <v xml:space="preserve">  9758 </v>
      </c>
      <c r="Y1436" t="str">
        <f t="shared" si="399"/>
        <v xml:space="preserve"> GRAMADTAP069 </v>
      </c>
      <c r="Z1436" t="str">
        <f t="shared" si="399"/>
        <v xml:space="preserve">  1 </v>
      </c>
      <c r="AA1436" t="str">
        <f t="shared" si="387"/>
        <v xml:space="preserve">    24.6 </v>
      </c>
      <c r="AB1436" t="str">
        <f t="shared" si="396"/>
        <v xml:space="preserve">     5.6 </v>
      </c>
      <c r="AC1436" t="str">
        <f t="shared" si="397"/>
        <v xml:space="preserve">    24.4 </v>
      </c>
      <c r="AD1436" t="str">
        <f t="shared" si="398"/>
        <v xml:space="preserve">        </v>
      </c>
      <c r="AE1436" t="str">
        <f t="shared" si="388"/>
        <v xml:space="preserve">       </v>
      </c>
      <c r="AF1436" t="str">
        <f t="shared" si="384"/>
        <v xml:space="preserve">     </v>
      </c>
      <c r="AG1436" t="str">
        <f t="shared" si="384"/>
        <v xml:space="preserve">     0.29 </v>
      </c>
      <c r="AH1436" t="str">
        <f t="shared" si="389"/>
        <v xml:space="preserve">     0.46 </v>
      </c>
      <c r="AI1436" t="str">
        <f t="shared" si="390"/>
        <v xml:space="preserve">       </v>
      </c>
      <c r="AJ1436" t="str">
        <f t="shared" si="391"/>
        <v xml:space="preserve">      </v>
      </c>
    </row>
    <row r="1437" spans="1:36" x14ac:dyDescent="0.25">
      <c r="A1437" t="s">
        <v>14</v>
      </c>
      <c r="P1437" t="str">
        <f t="shared" si="392"/>
        <v xml:space="preserve">  ..............</v>
      </c>
      <c r="Q1437" t="str">
        <f t="shared" si="392"/>
        <v>.........</v>
      </c>
      <c r="R1437" t="str">
        <f t="shared" si="385"/>
        <v>.........</v>
      </c>
      <c r="S1437" t="str">
        <f t="shared" si="393"/>
        <v>.........</v>
      </c>
      <c r="T1437" t="str">
        <f t="shared" si="394"/>
        <v>.........</v>
      </c>
      <c r="U1437" t="str">
        <f t="shared" si="398"/>
        <v>.............</v>
      </c>
      <c r="V1437" t="str">
        <f t="shared" si="386"/>
        <v>.........</v>
      </c>
      <c r="W1437" t="str">
        <f t="shared" si="395"/>
        <v>.........</v>
      </c>
      <c r="X1437" t="str">
        <f t="shared" si="399"/>
        <v>.......</v>
      </c>
      <c r="Y1437" t="str">
        <f t="shared" si="399"/>
        <v>..............</v>
      </c>
      <c r="Z1437" t="str">
        <f t="shared" si="399"/>
        <v>....</v>
      </c>
      <c r="AA1437" t="str">
        <f t="shared" si="387"/>
        <v>.........</v>
      </c>
      <c r="AB1437" t="str">
        <f t="shared" si="396"/>
        <v>.........</v>
      </c>
      <c r="AC1437" t="str">
        <f t="shared" si="397"/>
        <v>.........</v>
      </c>
      <c r="AD1437" t="str">
        <f t="shared" si="398"/>
        <v>........</v>
      </c>
      <c r="AE1437" t="str">
        <f t="shared" si="388"/>
        <v>.......</v>
      </c>
      <c r="AF1437" t="str">
        <f t="shared" ref="AF1437:AG1500" si="400">MID($A1437,AF$8,AF$9)</f>
        <v>.....</v>
      </c>
      <c r="AG1437" t="str">
        <f t="shared" si="400"/>
        <v>..........</v>
      </c>
      <c r="AH1437" t="str">
        <f t="shared" si="389"/>
        <v>..........</v>
      </c>
      <c r="AI1437" t="str">
        <f t="shared" si="390"/>
        <v>.......</v>
      </c>
      <c r="AJ1437" t="str">
        <f t="shared" si="391"/>
        <v>.......</v>
      </c>
    </row>
    <row r="1438" spans="1:36" x14ac:dyDescent="0.25">
      <c r="A1438" t="s">
        <v>1105</v>
      </c>
      <c r="P1438" t="str">
        <f t="shared" si="392"/>
        <v xml:space="preserve">   9558   69  0 </v>
      </c>
      <c r="Q1438" t="str">
        <f t="shared" si="392"/>
        <v xml:space="preserve">   1.036 </v>
      </c>
      <c r="R1438" t="str">
        <f t="shared" si="385"/>
        <v xml:space="preserve">     4.0 </v>
      </c>
      <c r="S1438" t="str">
        <f t="shared" si="393"/>
        <v xml:space="preserve">     0.0 </v>
      </c>
      <c r="T1438" t="str">
        <f t="shared" si="394"/>
        <v xml:space="preserve">     6.7 </v>
      </c>
      <c r="U1438" t="str">
        <f t="shared" si="398"/>
        <v xml:space="preserve">         0.0 </v>
      </c>
      <c r="V1438" t="str">
        <f t="shared" si="386"/>
        <v xml:space="preserve">     0.0 </v>
      </c>
      <c r="W1438" t="str">
        <f t="shared" si="395"/>
        <v xml:space="preserve">     0.0</v>
      </c>
      <c r="X1438" t="str">
        <f t="shared" si="399"/>
        <v/>
      </c>
      <c r="Y1438" t="str">
        <f t="shared" si="399"/>
        <v/>
      </c>
      <c r="Z1438" t="str">
        <f t="shared" si="399"/>
        <v/>
      </c>
      <c r="AA1438" t="str">
        <f t="shared" si="387"/>
        <v/>
      </c>
      <c r="AB1438" t="str">
        <f t="shared" si="396"/>
        <v/>
      </c>
      <c r="AC1438" t="str">
        <f t="shared" si="397"/>
        <v/>
      </c>
      <c r="AD1438" t="str">
        <f t="shared" si="398"/>
        <v/>
      </c>
      <c r="AE1438" t="str">
        <f t="shared" si="388"/>
        <v/>
      </c>
      <c r="AF1438" t="str">
        <f t="shared" si="400"/>
        <v/>
      </c>
      <c r="AG1438" t="str">
        <f t="shared" si="400"/>
        <v/>
      </c>
      <c r="AH1438" t="str">
        <f t="shared" si="389"/>
        <v/>
      </c>
      <c r="AI1438" t="str">
        <f t="shared" si="390"/>
        <v/>
      </c>
      <c r="AJ1438" t="str">
        <f t="shared" si="391"/>
        <v/>
      </c>
    </row>
    <row r="1439" spans="1:36" x14ac:dyDescent="0.25">
      <c r="A1439" t="s">
        <v>1106</v>
      </c>
      <c r="P1439" t="str">
        <f t="shared" si="392"/>
        <v xml:space="preserve">  DEMEI2-RS069  </v>
      </c>
      <c r="Q1439" t="str">
        <f t="shared" si="392"/>
        <v xml:space="preserve">   -47.8 </v>
      </c>
      <c r="R1439" t="str">
        <f t="shared" si="385"/>
        <v xml:space="preserve">     0.8 </v>
      </c>
      <c r="S1439" t="str">
        <f t="shared" si="393"/>
        <v xml:space="preserve">     0.0 </v>
      </c>
      <c r="T1439" t="str">
        <f t="shared" si="394"/>
        <v xml:space="preserve">     1.3 </v>
      </c>
      <c r="U1439" t="str">
        <f t="shared" si="398"/>
        <v xml:space="preserve">         0.0 </v>
      </c>
      <c r="V1439" t="str">
        <f t="shared" si="386"/>
        <v xml:space="preserve">     0.0 </v>
      </c>
      <c r="W1439" t="str">
        <f t="shared" si="395"/>
        <v xml:space="preserve">     0.0 </v>
      </c>
      <c r="X1439" t="str">
        <f t="shared" si="399"/>
        <v xml:space="preserve">       </v>
      </c>
      <c r="Y1439" t="str">
        <f t="shared" si="399"/>
        <v xml:space="preserve">              </v>
      </c>
      <c r="Z1439" t="str">
        <f t="shared" si="399"/>
        <v xml:space="preserve">    </v>
      </c>
      <c r="AA1439" t="str">
        <f t="shared" si="387"/>
        <v xml:space="preserve">         </v>
      </c>
      <c r="AB1439" t="str">
        <f t="shared" si="396"/>
        <v xml:space="preserve">         </v>
      </c>
      <c r="AC1439" t="str">
        <f t="shared" si="397"/>
        <v xml:space="preserve">    </v>
      </c>
      <c r="AD1439" t="str">
        <f t="shared" si="398"/>
        <v/>
      </c>
      <c r="AE1439" t="str">
        <f t="shared" si="388"/>
        <v/>
      </c>
      <c r="AF1439" t="str">
        <f t="shared" si="400"/>
        <v/>
      </c>
      <c r="AG1439" t="str">
        <f t="shared" si="400"/>
        <v/>
      </c>
      <c r="AH1439" t="str">
        <f t="shared" si="389"/>
        <v/>
      </c>
      <c r="AI1439" t="str">
        <f t="shared" si="390"/>
        <v/>
      </c>
      <c r="AJ1439" t="str">
        <f t="shared" si="391"/>
        <v/>
      </c>
    </row>
    <row r="1440" spans="1:36" x14ac:dyDescent="0.25">
      <c r="A1440" t="s">
        <v>1107</v>
      </c>
      <c r="P1440" t="str">
        <f t="shared" si="392"/>
        <v xml:space="preserve">                </v>
      </c>
      <c r="Q1440" t="str">
        <f t="shared" si="392"/>
        <v xml:space="preserve">         </v>
      </c>
      <c r="R1440" t="str">
        <f t="shared" si="385"/>
        <v xml:space="preserve">    40.0 </v>
      </c>
      <c r="S1440" t="str">
        <f t="shared" si="393"/>
        <v xml:space="preserve">    65.0 </v>
      </c>
      <c r="T1440" t="str">
        <f t="shared" si="394"/>
        <v xml:space="preserve">    65.0 </v>
      </c>
      <c r="U1440" t="str">
        <f t="shared" si="398"/>
        <v xml:space="preserve">        6.6% </v>
      </c>
      <c r="V1440" t="str">
        <f t="shared" si="386"/>
        <v xml:space="preserve">         </v>
      </c>
      <c r="W1440" t="str">
        <f t="shared" si="395"/>
        <v xml:space="preserve">         </v>
      </c>
      <c r="X1440" t="str">
        <f t="shared" si="399"/>
        <v xml:space="preserve">  1322 </v>
      </c>
      <c r="Y1440" t="str">
        <f t="shared" si="399"/>
        <v xml:space="preserve"> IJUI2--RS069 </v>
      </c>
      <c r="Z1440" t="str">
        <f t="shared" si="399"/>
        <v xml:space="preserve">  1 </v>
      </c>
      <c r="AA1440" t="str">
        <f t="shared" si="387"/>
        <v xml:space="preserve">    -2.7 </v>
      </c>
      <c r="AB1440" t="str">
        <f t="shared" si="396"/>
        <v xml:space="preserve">    -0.5 </v>
      </c>
      <c r="AC1440" t="str">
        <f t="shared" si="397"/>
        <v xml:space="preserve">     2.7 </v>
      </c>
      <c r="AD1440" t="str">
        <f t="shared" si="398"/>
        <v xml:space="preserve">        </v>
      </c>
      <c r="AE1440" t="str">
        <f t="shared" si="388"/>
        <v xml:space="preserve">       </v>
      </c>
      <c r="AF1440" t="str">
        <f t="shared" si="400"/>
        <v xml:space="preserve">     </v>
      </c>
      <c r="AG1440" t="str">
        <f t="shared" si="400"/>
        <v xml:space="preserve">     0.00 </v>
      </c>
      <c r="AH1440" t="str">
        <f t="shared" si="389"/>
        <v xml:space="preserve">    -0.01 </v>
      </c>
      <c r="AI1440" t="str">
        <f t="shared" si="390"/>
        <v xml:space="preserve">       </v>
      </c>
      <c r="AJ1440" t="str">
        <f t="shared" si="391"/>
        <v xml:space="preserve">      </v>
      </c>
    </row>
    <row r="1441" spans="1:36" x14ac:dyDescent="0.25">
      <c r="A1441" t="s">
        <v>14</v>
      </c>
      <c r="P1441" t="str">
        <f t="shared" si="392"/>
        <v xml:space="preserve">  ..............</v>
      </c>
      <c r="Q1441" t="str">
        <f t="shared" si="392"/>
        <v>.........</v>
      </c>
      <c r="R1441" t="str">
        <f t="shared" si="385"/>
        <v>.........</v>
      </c>
      <c r="S1441" t="str">
        <f t="shared" si="393"/>
        <v>.........</v>
      </c>
      <c r="T1441" t="str">
        <f t="shared" si="394"/>
        <v>.........</v>
      </c>
      <c r="U1441" t="str">
        <f t="shared" si="398"/>
        <v>.............</v>
      </c>
      <c r="V1441" t="str">
        <f t="shared" si="386"/>
        <v>.........</v>
      </c>
      <c r="W1441" t="str">
        <f t="shared" si="395"/>
        <v>.........</v>
      </c>
      <c r="X1441" t="str">
        <f t="shared" si="399"/>
        <v>.......</v>
      </c>
      <c r="Y1441" t="str">
        <f t="shared" si="399"/>
        <v>..............</v>
      </c>
      <c r="Z1441" t="str">
        <f t="shared" si="399"/>
        <v>....</v>
      </c>
      <c r="AA1441" t="str">
        <f t="shared" si="387"/>
        <v>.........</v>
      </c>
      <c r="AB1441" t="str">
        <f t="shared" si="396"/>
        <v>.........</v>
      </c>
      <c r="AC1441" t="str">
        <f t="shared" si="397"/>
        <v>.........</v>
      </c>
      <c r="AD1441" t="str">
        <f t="shared" si="398"/>
        <v>........</v>
      </c>
      <c r="AE1441" t="str">
        <f t="shared" si="388"/>
        <v>.......</v>
      </c>
      <c r="AF1441" t="str">
        <f t="shared" si="400"/>
        <v>.....</v>
      </c>
      <c r="AG1441" t="str">
        <f t="shared" si="400"/>
        <v>..........</v>
      </c>
      <c r="AH1441" t="str">
        <f t="shared" si="389"/>
        <v>..........</v>
      </c>
      <c r="AI1441" t="str">
        <f t="shared" si="390"/>
        <v>.......</v>
      </c>
      <c r="AJ1441" t="str">
        <f t="shared" si="391"/>
        <v>.......</v>
      </c>
    </row>
    <row r="1442" spans="1:36" x14ac:dyDescent="0.25">
      <c r="A1442" t="s">
        <v>1108</v>
      </c>
      <c r="P1442" t="str">
        <f t="shared" si="392"/>
        <v xml:space="preserve">   9562   69  0 </v>
      </c>
      <c r="Q1442" t="str">
        <f t="shared" si="392"/>
        <v xml:space="preserve">   1.031 </v>
      </c>
      <c r="R1442" t="str">
        <f t="shared" si="385"/>
        <v xml:space="preserve">     4.5 </v>
      </c>
      <c r="S1442" t="str">
        <f t="shared" si="393"/>
        <v xml:space="preserve">     0.0 </v>
      </c>
      <c r="T1442" t="str">
        <f t="shared" si="394"/>
        <v xml:space="preserve">     7.9 </v>
      </c>
      <c r="U1442" t="str">
        <f t="shared" si="398"/>
        <v xml:space="preserve">         0.0 </v>
      </c>
      <c r="V1442" t="str">
        <f t="shared" si="386"/>
        <v xml:space="preserve">     0.0 </v>
      </c>
      <c r="W1442" t="str">
        <f t="shared" si="395"/>
        <v xml:space="preserve">     0.0</v>
      </c>
      <c r="X1442" t="str">
        <f t="shared" si="399"/>
        <v/>
      </c>
      <c r="Y1442" t="str">
        <f t="shared" si="399"/>
        <v/>
      </c>
      <c r="Z1442" t="str">
        <f t="shared" si="399"/>
        <v/>
      </c>
      <c r="AA1442" t="str">
        <f t="shared" si="387"/>
        <v/>
      </c>
      <c r="AB1442" t="str">
        <f t="shared" si="396"/>
        <v/>
      </c>
      <c r="AC1442" t="str">
        <f t="shared" si="397"/>
        <v/>
      </c>
      <c r="AD1442" t="str">
        <f t="shared" si="398"/>
        <v/>
      </c>
      <c r="AE1442" t="str">
        <f t="shared" si="388"/>
        <v/>
      </c>
      <c r="AF1442" t="str">
        <f t="shared" si="400"/>
        <v/>
      </c>
      <c r="AG1442" t="str">
        <f t="shared" si="400"/>
        <v/>
      </c>
      <c r="AH1442" t="str">
        <f t="shared" si="389"/>
        <v/>
      </c>
      <c r="AI1442" t="str">
        <f t="shared" si="390"/>
        <v/>
      </c>
      <c r="AJ1442" t="str">
        <f t="shared" si="391"/>
        <v/>
      </c>
    </row>
    <row r="1443" spans="1:36" x14ac:dyDescent="0.25">
      <c r="A1443" t="s">
        <v>1109</v>
      </c>
      <c r="P1443" t="str">
        <f t="shared" si="392"/>
        <v xml:space="preserve">  CERILU-RS069  </v>
      </c>
      <c r="Q1443" t="str">
        <f t="shared" si="392"/>
        <v xml:space="preserve">   -48.0 </v>
      </c>
      <c r="R1443" t="str">
        <f t="shared" si="385"/>
        <v xml:space="preserve">     0.0 </v>
      </c>
      <c r="S1443" t="str">
        <f t="shared" si="393"/>
        <v xml:space="preserve">     0.0 </v>
      </c>
      <c r="T1443" t="str">
        <f t="shared" si="394"/>
        <v xml:space="preserve">     2.4 </v>
      </c>
      <c r="U1443" t="str">
        <f t="shared" si="398"/>
        <v xml:space="preserve">         0.0 </v>
      </c>
      <c r="V1443" t="str">
        <f t="shared" si="386"/>
        <v xml:space="preserve">     0.0 </v>
      </c>
      <c r="W1443" t="str">
        <f t="shared" si="395"/>
        <v xml:space="preserve">     0.0 </v>
      </c>
      <c r="X1443" t="str">
        <f t="shared" si="399"/>
        <v xml:space="preserve">       </v>
      </c>
      <c r="Y1443" t="str">
        <f t="shared" si="399"/>
        <v xml:space="preserve">              </v>
      </c>
      <c r="Z1443" t="str">
        <f t="shared" si="399"/>
        <v xml:space="preserve">    </v>
      </c>
      <c r="AA1443" t="str">
        <f t="shared" si="387"/>
        <v xml:space="preserve">         </v>
      </c>
      <c r="AB1443" t="str">
        <f t="shared" si="396"/>
        <v xml:space="preserve">         </v>
      </c>
      <c r="AC1443" t="str">
        <f t="shared" si="397"/>
        <v xml:space="preserve">    </v>
      </c>
      <c r="AD1443" t="str">
        <f t="shared" si="398"/>
        <v/>
      </c>
      <c r="AE1443" t="str">
        <f t="shared" si="388"/>
        <v/>
      </c>
      <c r="AF1443" t="str">
        <f t="shared" si="400"/>
        <v/>
      </c>
      <c r="AG1443" t="str">
        <f t="shared" si="400"/>
        <v/>
      </c>
      <c r="AH1443" t="str">
        <f t="shared" si="389"/>
        <v/>
      </c>
      <c r="AI1443" t="str">
        <f t="shared" si="390"/>
        <v/>
      </c>
      <c r="AJ1443" t="str">
        <f t="shared" si="391"/>
        <v/>
      </c>
    </row>
    <row r="1444" spans="1:36" x14ac:dyDescent="0.25">
      <c r="A1444" t="s">
        <v>1110</v>
      </c>
      <c r="P1444" t="str">
        <f t="shared" si="392"/>
        <v xml:space="preserve">                </v>
      </c>
      <c r="Q1444" t="str">
        <f t="shared" si="392"/>
        <v xml:space="preserve">         </v>
      </c>
      <c r="R1444" t="str">
        <f t="shared" si="385"/>
        <v xml:space="preserve">    39.0 </v>
      </c>
      <c r="S1444" t="str">
        <f t="shared" si="393"/>
        <v xml:space="preserve">    49.0 </v>
      </c>
      <c r="T1444" t="str">
        <f t="shared" si="394"/>
        <v xml:space="preserve">    49.0 </v>
      </c>
      <c r="U1444" t="str">
        <f t="shared" si="398"/>
        <v xml:space="preserve">       10.3% </v>
      </c>
      <c r="V1444" t="str">
        <f t="shared" si="386"/>
        <v xml:space="preserve">         </v>
      </c>
      <c r="W1444" t="str">
        <f t="shared" si="395"/>
        <v xml:space="preserve">         </v>
      </c>
      <c r="X1444" t="str">
        <f t="shared" si="399"/>
        <v xml:space="preserve">  1322 </v>
      </c>
      <c r="Y1444" t="str">
        <f t="shared" si="399"/>
        <v xml:space="preserve"> IJUI2--RS069 </v>
      </c>
      <c r="Z1444" t="str">
        <f t="shared" si="399"/>
        <v xml:space="preserve">  1 </v>
      </c>
      <c r="AA1444" t="str">
        <f t="shared" si="387"/>
        <v xml:space="preserve">    -3.4 </v>
      </c>
      <c r="AB1444" t="str">
        <f t="shared" si="396"/>
        <v xml:space="preserve">    -2.4 </v>
      </c>
      <c r="AC1444" t="str">
        <f t="shared" si="397"/>
        <v xml:space="preserve">     4.0 </v>
      </c>
      <c r="AD1444" t="str">
        <f t="shared" si="398"/>
        <v xml:space="preserve">        </v>
      </c>
      <c r="AE1444" t="str">
        <f t="shared" si="388"/>
        <v xml:space="preserve">       </v>
      </c>
      <c r="AF1444" t="str">
        <f t="shared" si="400"/>
        <v xml:space="preserve">     </v>
      </c>
      <c r="AG1444" t="str">
        <f t="shared" si="400"/>
        <v xml:space="preserve">     0.01 </v>
      </c>
      <c r="AH1444" t="str">
        <f t="shared" si="389"/>
        <v xml:space="preserve">    -0.17 </v>
      </c>
      <c r="AI1444" t="str">
        <f t="shared" si="390"/>
        <v xml:space="preserve">       </v>
      </c>
      <c r="AJ1444" t="str">
        <f t="shared" si="391"/>
        <v xml:space="preserve">      </v>
      </c>
    </row>
    <row r="1445" spans="1:36" x14ac:dyDescent="0.25">
      <c r="A1445" t="s">
        <v>14</v>
      </c>
      <c r="P1445" t="str">
        <f t="shared" si="392"/>
        <v xml:space="preserve">  ..............</v>
      </c>
      <c r="Q1445" t="str">
        <f t="shared" si="392"/>
        <v>.........</v>
      </c>
      <c r="R1445" t="str">
        <f t="shared" si="385"/>
        <v>.........</v>
      </c>
      <c r="S1445" t="str">
        <f t="shared" si="393"/>
        <v>.........</v>
      </c>
      <c r="T1445" t="str">
        <f t="shared" si="394"/>
        <v>.........</v>
      </c>
      <c r="U1445" t="str">
        <f t="shared" si="398"/>
        <v>.............</v>
      </c>
      <c r="V1445" t="str">
        <f t="shared" si="386"/>
        <v>.........</v>
      </c>
      <c r="W1445" t="str">
        <f t="shared" si="395"/>
        <v>.........</v>
      </c>
      <c r="X1445" t="str">
        <f t="shared" si="399"/>
        <v>.......</v>
      </c>
      <c r="Y1445" t="str">
        <f t="shared" si="399"/>
        <v>..............</v>
      </c>
      <c r="Z1445" t="str">
        <f t="shared" si="399"/>
        <v>....</v>
      </c>
      <c r="AA1445" t="str">
        <f t="shared" si="387"/>
        <v>.........</v>
      </c>
      <c r="AB1445" t="str">
        <f t="shared" si="396"/>
        <v>.........</v>
      </c>
      <c r="AC1445" t="str">
        <f t="shared" si="397"/>
        <v>.........</v>
      </c>
      <c r="AD1445" t="str">
        <f t="shared" si="398"/>
        <v>........</v>
      </c>
      <c r="AE1445" t="str">
        <f t="shared" si="388"/>
        <v>.......</v>
      </c>
      <c r="AF1445" t="str">
        <f t="shared" si="400"/>
        <v>.....</v>
      </c>
      <c r="AG1445" t="str">
        <f t="shared" si="400"/>
        <v>..........</v>
      </c>
      <c r="AH1445" t="str">
        <f t="shared" si="389"/>
        <v>..........</v>
      </c>
      <c r="AI1445" t="str">
        <f t="shared" si="390"/>
        <v>.......</v>
      </c>
      <c r="AJ1445" t="str">
        <f t="shared" si="391"/>
        <v>.......</v>
      </c>
    </row>
    <row r="1446" spans="1:36" x14ac:dyDescent="0.25">
      <c r="A1446" t="s">
        <v>1111</v>
      </c>
      <c r="P1446" t="str">
        <f t="shared" si="392"/>
        <v xml:space="preserve">   9570   69  0 </v>
      </c>
      <c r="Q1446" t="str">
        <f t="shared" si="392"/>
        <v xml:space="preserve">   1.012 </v>
      </c>
      <c r="R1446" t="str">
        <f t="shared" si="385"/>
        <v xml:space="preserve">     3.9 </v>
      </c>
      <c r="S1446" t="str">
        <f t="shared" si="393"/>
        <v xml:space="preserve">     0.0 </v>
      </c>
      <c r="T1446" t="str">
        <f t="shared" si="394"/>
        <v xml:space="preserve">    20.2 </v>
      </c>
      <c r="U1446" t="str">
        <f t="shared" si="398"/>
        <v xml:space="preserve">         0.0 </v>
      </c>
      <c r="V1446" t="str">
        <f t="shared" si="386"/>
        <v xml:space="preserve">     0.0 </v>
      </c>
      <c r="W1446" t="str">
        <f t="shared" si="395"/>
        <v xml:space="preserve">     0.0</v>
      </c>
      <c r="X1446" t="str">
        <f t="shared" si="399"/>
        <v/>
      </c>
      <c r="Y1446" t="str">
        <f t="shared" si="399"/>
        <v/>
      </c>
      <c r="Z1446" t="str">
        <f t="shared" si="399"/>
        <v/>
      </c>
      <c r="AA1446" t="str">
        <f t="shared" si="387"/>
        <v/>
      </c>
      <c r="AB1446" t="str">
        <f t="shared" si="396"/>
        <v/>
      </c>
      <c r="AC1446" t="str">
        <f t="shared" si="397"/>
        <v/>
      </c>
      <c r="AD1446" t="str">
        <f t="shared" si="398"/>
        <v/>
      </c>
      <c r="AE1446" t="str">
        <f t="shared" si="388"/>
        <v/>
      </c>
      <c r="AF1446" t="str">
        <f t="shared" si="400"/>
        <v/>
      </c>
      <c r="AG1446" t="str">
        <f t="shared" si="400"/>
        <v/>
      </c>
      <c r="AH1446" t="str">
        <f t="shared" si="389"/>
        <v/>
      </c>
      <c r="AI1446" t="str">
        <f t="shared" si="390"/>
        <v/>
      </c>
      <c r="AJ1446" t="str">
        <f t="shared" si="391"/>
        <v/>
      </c>
    </row>
    <row r="1447" spans="1:36" x14ac:dyDescent="0.25">
      <c r="A1447" t="s">
        <v>1112</v>
      </c>
      <c r="P1447" t="str">
        <f t="shared" si="392"/>
        <v xml:space="preserve">  CAMAQ3-RS069  </v>
      </c>
      <c r="Q1447" t="str">
        <f t="shared" si="392"/>
        <v xml:space="preserve">   -52.1 </v>
      </c>
      <c r="R1447" t="str">
        <f t="shared" si="385"/>
        <v xml:space="preserve">     0.0 </v>
      </c>
      <c r="S1447" t="str">
        <f t="shared" si="393"/>
        <v xml:space="preserve">     0.0 </v>
      </c>
      <c r="T1447" t="str">
        <f t="shared" si="394"/>
        <v xml:space="preserve">     6.9 </v>
      </c>
      <c r="U1447" t="str">
        <f t="shared" si="398"/>
        <v xml:space="preserve">         0.0 </v>
      </c>
      <c r="V1447" t="str">
        <f t="shared" si="386"/>
        <v xml:space="preserve">     0.0 </v>
      </c>
      <c r="W1447" t="str">
        <f t="shared" si="395"/>
        <v xml:space="preserve">     0.0 </v>
      </c>
      <c r="X1447" t="str">
        <f t="shared" si="399"/>
        <v xml:space="preserve">       </v>
      </c>
      <c r="Y1447" t="str">
        <f t="shared" si="399"/>
        <v xml:space="preserve">              </v>
      </c>
      <c r="Z1447" t="str">
        <f t="shared" si="399"/>
        <v xml:space="preserve">    </v>
      </c>
      <c r="AA1447" t="str">
        <f t="shared" si="387"/>
        <v xml:space="preserve">         </v>
      </c>
      <c r="AB1447" t="str">
        <f t="shared" si="396"/>
        <v xml:space="preserve">         </v>
      </c>
      <c r="AC1447" t="str">
        <f t="shared" si="397"/>
        <v xml:space="preserve">    </v>
      </c>
      <c r="AD1447" t="str">
        <f t="shared" si="398"/>
        <v/>
      </c>
      <c r="AE1447" t="str">
        <f t="shared" si="388"/>
        <v/>
      </c>
      <c r="AF1447" t="str">
        <f t="shared" si="400"/>
        <v/>
      </c>
      <c r="AG1447" t="str">
        <f t="shared" si="400"/>
        <v/>
      </c>
      <c r="AH1447" t="str">
        <f t="shared" si="389"/>
        <v/>
      </c>
      <c r="AI1447" t="str">
        <f t="shared" si="390"/>
        <v/>
      </c>
      <c r="AJ1447" t="str">
        <f t="shared" si="391"/>
        <v/>
      </c>
    </row>
    <row r="1448" spans="1:36" x14ac:dyDescent="0.25">
      <c r="A1448" t="s">
        <v>1113</v>
      </c>
      <c r="P1448" t="str">
        <f t="shared" si="392"/>
        <v xml:space="preserve">                </v>
      </c>
      <c r="Q1448" t="str">
        <f t="shared" si="392"/>
        <v xml:space="preserve">         </v>
      </c>
      <c r="R1448" t="str">
        <f t="shared" si="385"/>
        <v xml:space="preserve">    75.0 </v>
      </c>
      <c r="S1448" t="str">
        <f t="shared" si="393"/>
        <v xml:space="preserve">    90.0 </v>
      </c>
      <c r="T1448" t="str">
        <f t="shared" si="394"/>
        <v xml:space="preserve">    90.0 </v>
      </c>
      <c r="U1448" t="str">
        <f t="shared" si="398"/>
        <v xml:space="preserve">       33.4% </v>
      </c>
      <c r="V1448" t="str">
        <f t="shared" si="386"/>
        <v xml:space="preserve">         </v>
      </c>
      <c r="W1448" t="str">
        <f t="shared" si="395"/>
        <v xml:space="preserve">         </v>
      </c>
      <c r="X1448" t="str">
        <f t="shared" si="399"/>
        <v xml:space="preserve">  1195 </v>
      </c>
      <c r="Y1448" t="str">
        <f t="shared" si="399"/>
        <v xml:space="preserve"> CAMAQU-RS069 </v>
      </c>
      <c r="Z1448" t="str">
        <f t="shared" si="399"/>
        <v xml:space="preserve">  1 </v>
      </c>
      <c r="AA1448" t="str">
        <f t="shared" si="387"/>
        <v xml:space="preserve">    25.1 </v>
      </c>
      <c r="AB1448" t="str">
        <f t="shared" si="396"/>
        <v xml:space="preserve">     3.7 </v>
      </c>
      <c r="AC1448" t="str">
        <f t="shared" si="397"/>
        <v xml:space="preserve">    25.1 </v>
      </c>
      <c r="AD1448" t="str">
        <f t="shared" si="398"/>
        <v xml:space="preserve">        </v>
      </c>
      <c r="AE1448" t="str">
        <f t="shared" si="388"/>
        <v xml:space="preserve">       </v>
      </c>
      <c r="AF1448" t="str">
        <f t="shared" si="400"/>
        <v xml:space="preserve">     </v>
      </c>
      <c r="AG1448" t="str">
        <f t="shared" si="400"/>
        <v xml:space="preserve">     0.05 </v>
      </c>
      <c r="AH1448" t="str">
        <f t="shared" si="389"/>
        <v xml:space="preserve">     0.14 </v>
      </c>
      <c r="AI1448" t="str">
        <f t="shared" si="390"/>
        <v xml:space="preserve">       </v>
      </c>
      <c r="AJ1448" t="str">
        <f t="shared" si="391"/>
        <v xml:space="preserve">      </v>
      </c>
    </row>
    <row r="1449" spans="1:36" x14ac:dyDescent="0.25">
      <c r="A1449" t="s">
        <v>1114</v>
      </c>
      <c r="P1449" t="str">
        <f t="shared" si="392"/>
        <v xml:space="preserve">                </v>
      </c>
      <c r="Q1449" t="str">
        <f t="shared" si="392"/>
        <v xml:space="preserve">         </v>
      </c>
      <c r="R1449" t="str">
        <f t="shared" si="385"/>
        <v xml:space="preserve">    83.0 </v>
      </c>
      <c r="S1449" t="str">
        <f t="shared" si="393"/>
        <v xml:space="preserve">   100.0 </v>
      </c>
      <c r="T1449" t="str">
        <f t="shared" si="394"/>
        <v xml:space="preserve">   100.0 </v>
      </c>
      <c r="U1449" t="str">
        <f t="shared" si="398"/>
        <v xml:space="preserve">       25.5% </v>
      </c>
      <c r="V1449" t="str">
        <f t="shared" si="386"/>
        <v xml:space="preserve">         </v>
      </c>
      <c r="W1449" t="str">
        <f t="shared" si="395"/>
        <v xml:space="preserve">         </v>
      </c>
      <c r="X1449" t="str">
        <f t="shared" si="399"/>
        <v xml:space="preserve"> 41219 </v>
      </c>
      <c r="Y1449" t="str">
        <f t="shared" si="399"/>
        <v xml:space="preserve"> CAM3-1-RS000 </v>
      </c>
      <c r="Z1449" t="str">
        <f t="shared" si="399"/>
        <v xml:space="preserve">  1 </v>
      </c>
      <c r="AA1449" t="str">
        <f t="shared" si="387"/>
        <v xml:space="preserve">   -20.7 </v>
      </c>
      <c r="AB1449" t="str">
        <f t="shared" si="396"/>
        <v xml:space="preserve">    -5.3 </v>
      </c>
      <c r="AC1449" t="str">
        <f t="shared" si="397"/>
        <v xml:space="preserve">    21.2 </v>
      </c>
      <c r="AD1449" t="str">
        <f t="shared" si="398"/>
        <v xml:space="preserve"> 1.000F </v>
      </c>
      <c r="AE1449" t="str">
        <f t="shared" si="388"/>
        <v xml:space="preserve">       </v>
      </c>
      <c r="AF1449" t="str">
        <f t="shared" si="400"/>
        <v xml:space="preserve"> 002 </v>
      </c>
      <c r="AG1449" t="str">
        <f t="shared" si="400"/>
        <v xml:space="preserve">     0.01 </v>
      </c>
      <c r="AH1449" t="str">
        <f t="shared" si="389"/>
        <v xml:space="preserve">     0.81 </v>
      </c>
      <c r="AI1449" t="str">
        <f t="shared" si="390"/>
        <v xml:space="preserve">       </v>
      </c>
      <c r="AJ1449" t="str">
        <f t="shared" si="391"/>
        <v xml:space="preserve">      </v>
      </c>
    </row>
    <row r="1450" spans="1:36" x14ac:dyDescent="0.25">
      <c r="A1450" t="s">
        <v>1115</v>
      </c>
      <c r="P1450" t="str">
        <f t="shared" si="392"/>
        <v xml:space="preserve">                </v>
      </c>
      <c r="Q1450" t="str">
        <f t="shared" si="392"/>
        <v xml:space="preserve">         </v>
      </c>
      <c r="R1450" t="str">
        <f t="shared" si="385"/>
        <v xml:space="preserve">    83.0 </v>
      </c>
      <c r="S1450" t="str">
        <f t="shared" si="393"/>
        <v xml:space="preserve">   100.0 </v>
      </c>
      <c r="T1450" t="str">
        <f t="shared" si="394"/>
        <v xml:space="preserve">   100.0 </v>
      </c>
      <c r="U1450" t="str">
        <f t="shared" si="398"/>
        <v xml:space="preserve">       25.4% </v>
      </c>
      <c r="V1450" t="str">
        <f t="shared" si="386"/>
        <v xml:space="preserve">         </v>
      </c>
      <c r="W1450" t="str">
        <f t="shared" si="395"/>
        <v xml:space="preserve">         </v>
      </c>
      <c r="X1450" t="str">
        <f t="shared" si="399"/>
        <v xml:space="preserve"> 41220 </v>
      </c>
      <c r="Y1450" t="str">
        <f t="shared" si="399"/>
        <v xml:space="preserve"> CAM3-2-RS000 </v>
      </c>
      <c r="Z1450" t="str">
        <f t="shared" si="399"/>
        <v xml:space="preserve">  2 </v>
      </c>
      <c r="AA1450" t="str">
        <f t="shared" si="387"/>
        <v xml:space="preserve">   -20.7 </v>
      </c>
      <c r="AB1450" t="str">
        <f t="shared" si="396"/>
        <v xml:space="preserve">    -5.3 </v>
      </c>
      <c r="AC1450" t="str">
        <f t="shared" si="397"/>
        <v xml:space="preserve">    21.1 </v>
      </c>
      <c r="AD1450" t="str">
        <f t="shared" si="398"/>
        <v xml:space="preserve"> 1.000F </v>
      </c>
      <c r="AE1450" t="str">
        <f t="shared" si="388"/>
        <v xml:space="preserve">       </v>
      </c>
      <c r="AF1450" t="str">
        <f t="shared" si="400"/>
        <v xml:space="preserve"> 002 </v>
      </c>
      <c r="AG1450" t="str">
        <f t="shared" si="400"/>
        <v xml:space="preserve">     0.01 </v>
      </c>
      <c r="AH1450" t="str">
        <f t="shared" si="389"/>
        <v xml:space="preserve">     0.80 </v>
      </c>
      <c r="AI1450" t="str">
        <f t="shared" si="390"/>
        <v xml:space="preserve">       </v>
      </c>
      <c r="AJ1450" t="str">
        <f t="shared" si="391"/>
        <v xml:space="preserve">      </v>
      </c>
    </row>
    <row r="1451" spans="1:36" x14ac:dyDescent="0.25">
      <c r="A1451" t="s">
        <v>14</v>
      </c>
      <c r="P1451" t="str">
        <f t="shared" si="392"/>
        <v xml:space="preserve">  ..............</v>
      </c>
      <c r="Q1451" t="str">
        <f t="shared" si="392"/>
        <v>.........</v>
      </c>
      <c r="R1451" t="str">
        <f t="shared" si="385"/>
        <v>.........</v>
      </c>
      <c r="S1451" t="str">
        <f t="shared" si="393"/>
        <v>.........</v>
      </c>
      <c r="T1451" t="str">
        <f t="shared" si="394"/>
        <v>.........</v>
      </c>
      <c r="U1451" t="str">
        <f t="shared" si="398"/>
        <v>.............</v>
      </c>
      <c r="V1451" t="str">
        <f t="shared" si="386"/>
        <v>.........</v>
      </c>
      <c r="W1451" t="str">
        <f t="shared" si="395"/>
        <v>.........</v>
      </c>
      <c r="X1451" t="str">
        <f t="shared" si="399"/>
        <v>.......</v>
      </c>
      <c r="Y1451" t="str">
        <f t="shared" si="399"/>
        <v>..............</v>
      </c>
      <c r="Z1451" t="str">
        <f t="shared" si="399"/>
        <v>....</v>
      </c>
      <c r="AA1451" t="str">
        <f t="shared" si="387"/>
        <v>.........</v>
      </c>
      <c r="AB1451" t="str">
        <f t="shared" si="396"/>
        <v>.........</v>
      </c>
      <c r="AC1451" t="str">
        <f t="shared" si="397"/>
        <v>.........</v>
      </c>
      <c r="AD1451" t="str">
        <f t="shared" si="398"/>
        <v>........</v>
      </c>
      <c r="AE1451" t="str">
        <f t="shared" si="388"/>
        <v>.......</v>
      </c>
      <c r="AF1451" t="str">
        <f t="shared" si="400"/>
        <v>.....</v>
      </c>
      <c r="AG1451" t="str">
        <f t="shared" si="400"/>
        <v>..........</v>
      </c>
      <c r="AH1451" t="str">
        <f t="shared" si="389"/>
        <v>..........</v>
      </c>
      <c r="AI1451" t="str">
        <f t="shared" si="390"/>
        <v>.......</v>
      </c>
      <c r="AJ1451" t="str">
        <f t="shared" si="391"/>
        <v>.......</v>
      </c>
    </row>
    <row r="1452" spans="1:36" x14ac:dyDescent="0.25">
      <c r="A1452" t="s">
        <v>1116</v>
      </c>
      <c r="P1452" t="str">
        <f t="shared" si="392"/>
        <v xml:space="preserve">   9573   69  0 </v>
      </c>
      <c r="Q1452" t="str">
        <f t="shared" si="392"/>
        <v xml:space="preserve">   1.016 </v>
      </c>
      <c r="R1452" t="str">
        <f t="shared" si="385"/>
        <v xml:space="preserve">     4.1 </v>
      </c>
      <c r="S1452" t="str">
        <f t="shared" si="393"/>
        <v xml:space="preserve">     0.0 </v>
      </c>
      <c r="T1452" t="str">
        <f t="shared" si="394"/>
        <v xml:space="preserve">    26.5 </v>
      </c>
      <c r="U1452" t="str">
        <f t="shared" si="398"/>
        <v xml:space="preserve">         0.0 </v>
      </c>
      <c r="V1452" t="str">
        <f t="shared" si="386"/>
        <v xml:space="preserve">     3.7 </v>
      </c>
      <c r="W1452" t="str">
        <f t="shared" si="395"/>
        <v xml:space="preserve">     0.0</v>
      </c>
      <c r="X1452" t="str">
        <f t="shared" si="399"/>
        <v/>
      </c>
      <c r="Y1452" t="str">
        <f t="shared" si="399"/>
        <v/>
      </c>
      <c r="Z1452" t="str">
        <f t="shared" si="399"/>
        <v/>
      </c>
      <c r="AA1452" t="str">
        <f t="shared" si="387"/>
        <v/>
      </c>
      <c r="AB1452" t="str">
        <f t="shared" si="396"/>
        <v/>
      </c>
      <c r="AC1452" t="str">
        <f t="shared" si="397"/>
        <v/>
      </c>
      <c r="AD1452" t="str">
        <f t="shared" si="398"/>
        <v/>
      </c>
      <c r="AE1452" t="str">
        <f t="shared" si="388"/>
        <v/>
      </c>
      <c r="AF1452" t="str">
        <f t="shared" si="400"/>
        <v/>
      </c>
      <c r="AG1452" t="str">
        <f t="shared" si="400"/>
        <v/>
      </c>
      <c r="AH1452" t="str">
        <f t="shared" si="389"/>
        <v/>
      </c>
      <c r="AI1452" t="str">
        <f t="shared" si="390"/>
        <v/>
      </c>
      <c r="AJ1452" t="str">
        <f t="shared" si="391"/>
        <v/>
      </c>
    </row>
    <row r="1453" spans="1:36" x14ac:dyDescent="0.25">
      <c r="A1453" t="s">
        <v>1117</v>
      </c>
      <c r="P1453" t="str">
        <f t="shared" si="392"/>
        <v xml:space="preserve">  NPETRO-RS069  </v>
      </c>
      <c r="Q1453" t="str">
        <f t="shared" si="392"/>
        <v xml:space="preserve">   -52.9 </v>
      </c>
      <c r="R1453" t="str">
        <f t="shared" si="385"/>
        <v xml:space="preserve">     0.0 </v>
      </c>
      <c r="S1453" t="str">
        <f t="shared" si="393"/>
        <v xml:space="preserve">     0.0 </v>
      </c>
      <c r="T1453" t="str">
        <f t="shared" si="394"/>
        <v xml:space="preserve">     8.7 </v>
      </c>
      <c r="U1453" t="str">
        <f t="shared" si="398"/>
        <v xml:space="preserve">         0.0 </v>
      </c>
      <c r="V1453" t="str">
        <f t="shared" si="386"/>
        <v xml:space="preserve">     0.0 </v>
      </c>
      <c r="W1453" t="str">
        <f t="shared" si="395"/>
        <v xml:space="preserve">     0.0 </v>
      </c>
      <c r="X1453" t="str">
        <f t="shared" si="399"/>
        <v xml:space="preserve">       </v>
      </c>
      <c r="Y1453" t="str">
        <f t="shared" si="399"/>
        <v xml:space="preserve">              </v>
      </c>
      <c r="Z1453" t="str">
        <f t="shared" si="399"/>
        <v xml:space="preserve">    </v>
      </c>
      <c r="AA1453" t="str">
        <f t="shared" si="387"/>
        <v xml:space="preserve">         </v>
      </c>
      <c r="AB1453" t="str">
        <f t="shared" si="396"/>
        <v xml:space="preserve">         </v>
      </c>
      <c r="AC1453" t="str">
        <f t="shared" si="397"/>
        <v xml:space="preserve">    </v>
      </c>
      <c r="AD1453" t="str">
        <f t="shared" si="398"/>
        <v/>
      </c>
      <c r="AE1453" t="str">
        <f t="shared" si="388"/>
        <v/>
      </c>
      <c r="AF1453" t="str">
        <f t="shared" si="400"/>
        <v/>
      </c>
      <c r="AG1453" t="str">
        <f t="shared" si="400"/>
        <v/>
      </c>
      <c r="AH1453" t="str">
        <f t="shared" si="389"/>
        <v/>
      </c>
      <c r="AI1453" t="str">
        <f t="shared" si="390"/>
        <v/>
      </c>
      <c r="AJ1453" t="str">
        <f t="shared" si="391"/>
        <v/>
      </c>
    </row>
    <row r="1454" spans="1:36" x14ac:dyDescent="0.25">
      <c r="A1454" t="s">
        <v>1118</v>
      </c>
      <c r="P1454" t="str">
        <f t="shared" si="392"/>
        <v xml:space="preserve">                </v>
      </c>
      <c r="Q1454" t="str">
        <f t="shared" si="392"/>
        <v xml:space="preserve">         </v>
      </c>
      <c r="R1454" t="str">
        <f t="shared" si="385"/>
        <v xml:space="preserve">    95.0 </v>
      </c>
      <c r="S1454" t="str">
        <f t="shared" si="393"/>
        <v xml:space="preserve">   108.0 </v>
      </c>
      <c r="T1454" t="str">
        <f t="shared" si="394"/>
        <v xml:space="preserve">   108.0 </v>
      </c>
      <c r="U1454" t="str">
        <f t="shared" si="398"/>
        <v xml:space="preserve">       23.8% </v>
      </c>
      <c r="V1454" t="str">
        <f t="shared" si="386"/>
        <v xml:space="preserve">         </v>
      </c>
      <c r="W1454" t="str">
        <f t="shared" si="395"/>
        <v xml:space="preserve">         </v>
      </c>
      <c r="X1454" t="str">
        <f t="shared" si="399"/>
        <v xml:space="preserve">  9548 </v>
      </c>
      <c r="Y1454" t="str">
        <f t="shared" si="399"/>
        <v xml:space="preserve"> NPETR2-RS069 </v>
      </c>
      <c r="Z1454" t="str">
        <f t="shared" si="399"/>
        <v xml:space="preserve">  1 </v>
      </c>
      <c r="AA1454" t="str">
        <f t="shared" si="387"/>
        <v xml:space="preserve">   -22.4 </v>
      </c>
      <c r="AB1454" t="str">
        <f t="shared" si="396"/>
        <v xml:space="preserve">    -5.0 </v>
      </c>
      <c r="AC1454" t="str">
        <f t="shared" si="397"/>
        <v xml:space="preserve">    22.6 </v>
      </c>
      <c r="AD1454" t="str">
        <f t="shared" si="398"/>
        <v xml:space="preserve">        </v>
      </c>
      <c r="AE1454" t="str">
        <f t="shared" si="388"/>
        <v xml:space="preserve">       </v>
      </c>
      <c r="AF1454" t="str">
        <f t="shared" si="400"/>
        <v xml:space="preserve">     </v>
      </c>
      <c r="AG1454" t="str">
        <f t="shared" si="400"/>
        <v xml:space="preserve">     0.21 </v>
      </c>
      <c r="AH1454" t="str">
        <f t="shared" si="389"/>
        <v xml:space="preserve">     0.55 </v>
      </c>
      <c r="AI1454" t="str">
        <f t="shared" si="390"/>
        <v xml:space="preserve">       </v>
      </c>
      <c r="AJ1454" t="str">
        <f t="shared" si="391"/>
        <v xml:space="preserve">      </v>
      </c>
    </row>
    <row r="1455" spans="1:36" x14ac:dyDescent="0.25">
      <c r="A1455" t="s">
        <v>1119</v>
      </c>
      <c r="P1455" t="str">
        <f t="shared" si="392"/>
        <v xml:space="preserve">              DE</v>
      </c>
      <c r="Q1455" t="str">
        <f t="shared" si="392"/>
        <v xml:space="preserve">ESLIGADO </v>
      </c>
      <c r="R1455" t="str">
        <f t="shared" si="385"/>
        <v xml:space="preserve">    30.0 </v>
      </c>
      <c r="S1455" t="str">
        <f t="shared" si="393"/>
        <v xml:space="preserve">    43.0 </v>
      </c>
      <c r="T1455" t="str">
        <f t="shared" si="394"/>
        <v xml:space="preserve">    43.0 </v>
      </c>
      <c r="U1455" t="str">
        <f t="shared" si="398"/>
        <v xml:space="preserve">             </v>
      </c>
      <c r="V1455" t="str">
        <f t="shared" si="386"/>
        <v xml:space="preserve">         </v>
      </c>
      <c r="W1455" t="str">
        <f t="shared" si="395"/>
        <v xml:space="preserve">         </v>
      </c>
      <c r="X1455" t="str">
        <f t="shared" si="399"/>
        <v xml:space="preserve">  9714 </v>
      </c>
      <c r="Y1455" t="str">
        <f t="shared" si="399"/>
        <v xml:space="preserve"> FELIZ--RS069 </v>
      </c>
      <c r="Z1455" t="str">
        <f t="shared" si="399"/>
        <v xml:space="preserve">  1 </v>
      </c>
      <c r="AA1455" t="str">
        <f t="shared" si="387"/>
        <v xml:space="preserve">     0.0 </v>
      </c>
      <c r="AB1455" t="str">
        <f t="shared" si="396"/>
        <v xml:space="preserve">     0.0 </v>
      </c>
      <c r="AC1455" t="str">
        <f t="shared" si="397"/>
        <v xml:space="preserve">     0.0 </v>
      </c>
      <c r="AD1455" t="str">
        <f t="shared" si="398"/>
        <v xml:space="preserve">        </v>
      </c>
      <c r="AE1455" t="str">
        <f t="shared" si="388"/>
        <v xml:space="preserve">       </v>
      </c>
      <c r="AF1455" t="str">
        <f t="shared" si="400"/>
        <v xml:space="preserve">     </v>
      </c>
      <c r="AG1455" t="str">
        <f t="shared" si="400"/>
        <v xml:space="preserve">     0.00 </v>
      </c>
      <c r="AH1455" t="str">
        <f t="shared" si="389"/>
        <v xml:space="preserve">     0.00 </v>
      </c>
      <c r="AI1455" t="str">
        <f t="shared" si="390"/>
        <v xml:space="preserve">       </v>
      </c>
      <c r="AJ1455" t="str">
        <f t="shared" si="391"/>
        <v xml:space="preserve">      </v>
      </c>
    </row>
    <row r="1456" spans="1:36" x14ac:dyDescent="0.25">
      <c r="A1456" t="s">
        <v>14</v>
      </c>
      <c r="P1456" t="str">
        <f t="shared" si="392"/>
        <v xml:space="preserve">  ..............</v>
      </c>
      <c r="Q1456" t="str">
        <f t="shared" si="392"/>
        <v>.........</v>
      </c>
      <c r="R1456" t="str">
        <f t="shared" si="385"/>
        <v>.........</v>
      </c>
      <c r="S1456" t="str">
        <f t="shared" si="393"/>
        <v>.........</v>
      </c>
      <c r="T1456" t="str">
        <f t="shared" si="394"/>
        <v>.........</v>
      </c>
      <c r="U1456" t="str">
        <f t="shared" si="398"/>
        <v>.............</v>
      </c>
      <c r="V1456" t="str">
        <f t="shared" si="386"/>
        <v>.........</v>
      </c>
      <c r="W1456" t="str">
        <f t="shared" si="395"/>
        <v>.........</v>
      </c>
      <c r="X1456" t="str">
        <f t="shared" si="399"/>
        <v>.......</v>
      </c>
      <c r="Y1456" t="str">
        <f t="shared" si="399"/>
        <v>..............</v>
      </c>
      <c r="Z1456" t="str">
        <f t="shared" si="399"/>
        <v>....</v>
      </c>
      <c r="AA1456" t="str">
        <f t="shared" si="387"/>
        <v>.........</v>
      </c>
      <c r="AB1456" t="str">
        <f t="shared" si="396"/>
        <v>.........</v>
      </c>
      <c r="AC1456" t="str">
        <f t="shared" si="397"/>
        <v>.........</v>
      </c>
      <c r="AD1456" t="str">
        <f t="shared" si="398"/>
        <v>........</v>
      </c>
      <c r="AE1456" t="str">
        <f t="shared" si="388"/>
        <v>.......</v>
      </c>
      <c r="AF1456" t="str">
        <f t="shared" si="400"/>
        <v>.....</v>
      </c>
      <c r="AG1456" t="str">
        <f t="shared" si="400"/>
        <v>..........</v>
      </c>
      <c r="AH1456" t="str">
        <f t="shared" si="389"/>
        <v>..........</v>
      </c>
      <c r="AI1456" t="str">
        <f t="shared" si="390"/>
        <v>.......</v>
      </c>
      <c r="AJ1456" t="str">
        <f t="shared" si="391"/>
        <v>.......</v>
      </c>
    </row>
    <row r="1457" spans="1:36" x14ac:dyDescent="0.25">
      <c r="A1457" t="s">
        <v>1120</v>
      </c>
      <c r="P1457" t="str">
        <f t="shared" si="392"/>
        <v xml:space="preserve">   9591   69  0 </v>
      </c>
      <c r="Q1457" t="str">
        <f t="shared" si="392"/>
        <v xml:space="preserve">   1.016 </v>
      </c>
      <c r="R1457" t="str">
        <f t="shared" si="385"/>
        <v xml:space="preserve">    13.8 </v>
      </c>
      <c r="S1457" t="str">
        <f t="shared" si="393"/>
        <v xml:space="preserve">     0.0 </v>
      </c>
      <c r="T1457" t="str">
        <f t="shared" si="394"/>
        <v xml:space="preserve">    79.8 </v>
      </c>
      <c r="U1457" t="str">
        <f t="shared" si="398"/>
        <v xml:space="preserve">         0.0 </v>
      </c>
      <c r="V1457" t="str">
        <f t="shared" si="386"/>
        <v xml:space="preserve">     0.0 </v>
      </c>
      <c r="W1457" t="str">
        <f t="shared" si="395"/>
        <v xml:space="preserve">     0.0</v>
      </c>
      <c r="X1457" t="str">
        <f t="shared" si="399"/>
        <v/>
      </c>
      <c r="Y1457" t="str">
        <f t="shared" si="399"/>
        <v/>
      </c>
      <c r="Z1457" t="str">
        <f t="shared" si="399"/>
        <v/>
      </c>
      <c r="AA1457" t="str">
        <f t="shared" si="387"/>
        <v/>
      </c>
      <c r="AB1457" t="str">
        <f t="shared" si="396"/>
        <v/>
      </c>
      <c r="AC1457" t="str">
        <f t="shared" si="397"/>
        <v/>
      </c>
      <c r="AD1457" t="str">
        <f t="shared" si="398"/>
        <v/>
      </c>
      <c r="AE1457" t="str">
        <f t="shared" si="388"/>
        <v/>
      </c>
      <c r="AF1457" t="str">
        <f t="shared" si="400"/>
        <v/>
      </c>
      <c r="AG1457" t="str">
        <f t="shared" si="400"/>
        <v/>
      </c>
      <c r="AH1457" t="str">
        <f t="shared" si="389"/>
        <v/>
      </c>
      <c r="AI1457" t="str">
        <f t="shared" si="390"/>
        <v/>
      </c>
      <c r="AJ1457" t="str">
        <f t="shared" si="391"/>
        <v/>
      </c>
    </row>
    <row r="1458" spans="1:36" x14ac:dyDescent="0.25">
      <c r="A1458" t="s">
        <v>1121</v>
      </c>
      <c r="P1458" t="str">
        <f t="shared" si="392"/>
        <v xml:space="preserve">  CANDE2-RS069  </v>
      </c>
      <c r="Q1458" t="str">
        <f t="shared" si="392"/>
        <v xml:space="preserve">   -52.0 </v>
      </c>
      <c r="R1458" t="str">
        <f t="shared" si="385"/>
        <v xml:space="preserve">     0.0 </v>
      </c>
      <c r="S1458" t="str">
        <f t="shared" si="393"/>
        <v xml:space="preserve">     0.0 </v>
      </c>
      <c r="T1458" t="str">
        <f t="shared" si="394"/>
        <v xml:space="preserve">    32.5 </v>
      </c>
      <c r="U1458" t="str">
        <f t="shared" si="398"/>
        <v xml:space="preserve">         0.0 </v>
      </c>
      <c r="V1458" t="str">
        <f t="shared" si="386"/>
        <v xml:space="preserve">     0.0 </v>
      </c>
      <c r="W1458" t="str">
        <f t="shared" si="395"/>
        <v xml:space="preserve">     0.0 </v>
      </c>
      <c r="X1458" t="str">
        <f t="shared" si="399"/>
        <v xml:space="preserve">       </v>
      </c>
      <c r="Y1458" t="str">
        <f t="shared" si="399"/>
        <v xml:space="preserve">              </v>
      </c>
      <c r="Z1458" t="str">
        <f t="shared" si="399"/>
        <v xml:space="preserve">    </v>
      </c>
      <c r="AA1458" t="str">
        <f t="shared" si="387"/>
        <v xml:space="preserve">         </v>
      </c>
      <c r="AB1458" t="str">
        <f t="shared" si="396"/>
        <v xml:space="preserve">         </v>
      </c>
      <c r="AC1458" t="str">
        <f t="shared" si="397"/>
        <v xml:space="preserve">    </v>
      </c>
      <c r="AD1458" t="str">
        <f t="shared" si="398"/>
        <v/>
      </c>
      <c r="AE1458" t="str">
        <f t="shared" si="388"/>
        <v/>
      </c>
      <c r="AF1458" t="str">
        <f t="shared" si="400"/>
        <v/>
      </c>
      <c r="AG1458" t="str">
        <f t="shared" si="400"/>
        <v/>
      </c>
      <c r="AH1458" t="str">
        <f t="shared" si="389"/>
        <v/>
      </c>
      <c r="AI1458" t="str">
        <f t="shared" si="390"/>
        <v/>
      </c>
      <c r="AJ1458" t="str">
        <f t="shared" si="391"/>
        <v/>
      </c>
    </row>
    <row r="1459" spans="1:36" x14ac:dyDescent="0.25">
      <c r="A1459" t="s">
        <v>1122</v>
      </c>
      <c r="P1459" t="str">
        <f t="shared" si="392"/>
        <v xml:space="preserve">                </v>
      </c>
      <c r="Q1459" t="str">
        <f t="shared" si="392"/>
        <v xml:space="preserve">         </v>
      </c>
      <c r="R1459" t="str">
        <f t="shared" si="385"/>
        <v xml:space="preserve">    83.0 </v>
      </c>
      <c r="S1459" t="str">
        <f t="shared" si="393"/>
        <v xml:space="preserve">   100.0 </v>
      </c>
      <c r="T1459" t="str">
        <f t="shared" si="394"/>
        <v xml:space="preserve">   100.0 </v>
      </c>
      <c r="U1459" t="str">
        <f t="shared" si="398"/>
        <v xml:space="preserve">       43.5% </v>
      </c>
      <c r="V1459" t="str">
        <f t="shared" si="386"/>
        <v xml:space="preserve">         </v>
      </c>
      <c r="W1459" t="str">
        <f t="shared" si="395"/>
        <v xml:space="preserve">         </v>
      </c>
      <c r="X1459" t="str">
        <f t="shared" si="399"/>
        <v xml:space="preserve"> 43847 </v>
      </c>
      <c r="Y1459" t="str">
        <f t="shared" si="399"/>
        <v xml:space="preserve"> CNDE-1-RS000 </v>
      </c>
      <c r="Z1459" t="str">
        <f t="shared" si="399"/>
        <v xml:space="preserve">  1 </v>
      </c>
      <c r="AA1459" t="str">
        <f t="shared" si="387"/>
        <v xml:space="preserve">   -32.9 </v>
      </c>
      <c r="AB1459" t="str">
        <f t="shared" si="396"/>
        <v xml:space="preserve">   -16.2 </v>
      </c>
      <c r="AC1459" t="str">
        <f t="shared" si="397"/>
        <v xml:space="preserve">    36.1 </v>
      </c>
      <c r="AD1459" t="str">
        <f t="shared" si="398"/>
        <v xml:space="preserve"> 1.000F </v>
      </c>
      <c r="AE1459" t="str">
        <f t="shared" si="388"/>
        <v xml:space="preserve">       </v>
      </c>
      <c r="AF1459" t="str">
        <f t="shared" si="400"/>
        <v xml:space="preserve"> 002 </v>
      </c>
      <c r="AG1459" t="str">
        <f t="shared" si="400"/>
        <v xml:space="preserve">     0.02 </v>
      </c>
      <c r="AH1459" t="str">
        <f t="shared" si="389"/>
        <v xml:space="preserve">    -0.12 </v>
      </c>
      <c r="AI1459" t="str">
        <f t="shared" si="390"/>
        <v xml:space="preserve">       </v>
      </c>
      <c r="AJ1459" t="str">
        <f t="shared" si="391"/>
        <v xml:space="preserve">      </v>
      </c>
    </row>
    <row r="1460" spans="1:36" x14ac:dyDescent="0.25">
      <c r="A1460" t="s">
        <v>1123</v>
      </c>
      <c r="P1460" t="str">
        <f t="shared" si="392"/>
        <v xml:space="preserve">                </v>
      </c>
      <c r="Q1460" t="str">
        <f t="shared" si="392"/>
        <v xml:space="preserve">         </v>
      </c>
      <c r="R1460" t="str">
        <f t="shared" si="385"/>
        <v xml:space="preserve">    83.0 </v>
      </c>
      <c r="S1460" t="str">
        <f t="shared" si="393"/>
        <v xml:space="preserve">   100.0 </v>
      </c>
      <c r="T1460" t="str">
        <f t="shared" si="394"/>
        <v xml:space="preserve">   100.0 </v>
      </c>
      <c r="U1460" t="str">
        <f t="shared" si="398"/>
        <v xml:space="preserve">       43.8% </v>
      </c>
      <c r="V1460" t="str">
        <f t="shared" si="386"/>
        <v xml:space="preserve">         </v>
      </c>
      <c r="W1460" t="str">
        <f t="shared" si="395"/>
        <v xml:space="preserve">         </v>
      </c>
      <c r="X1460" t="str">
        <f t="shared" si="399"/>
        <v xml:space="preserve"> 43848 </v>
      </c>
      <c r="Y1460" t="str">
        <f t="shared" si="399"/>
        <v xml:space="preserve"> CNDE-2-RS000 </v>
      </c>
      <c r="Z1460" t="str">
        <f t="shared" si="399"/>
        <v xml:space="preserve">  2 </v>
      </c>
      <c r="AA1460" t="str">
        <f t="shared" si="387"/>
        <v xml:space="preserve">   -33.1 </v>
      </c>
      <c r="AB1460" t="str">
        <f t="shared" si="396"/>
        <v xml:space="preserve">   -16.3 </v>
      </c>
      <c r="AC1460" t="str">
        <f t="shared" si="397"/>
        <v xml:space="preserve">    36.3 </v>
      </c>
      <c r="AD1460" t="str">
        <f t="shared" si="398"/>
        <v xml:space="preserve"> 1.000F </v>
      </c>
      <c r="AE1460" t="str">
        <f t="shared" si="388"/>
        <v xml:space="preserve">       </v>
      </c>
      <c r="AF1460" t="str">
        <f t="shared" si="400"/>
        <v xml:space="preserve"> 002 </v>
      </c>
      <c r="AG1460" t="str">
        <f t="shared" si="400"/>
        <v xml:space="preserve">     0.02 </v>
      </c>
      <c r="AH1460" t="str">
        <f t="shared" si="389"/>
        <v xml:space="preserve">    -0.12 </v>
      </c>
      <c r="AI1460" t="str">
        <f t="shared" si="390"/>
        <v xml:space="preserve">       </v>
      </c>
      <c r="AJ1460" t="str">
        <f t="shared" si="391"/>
        <v xml:space="preserve">      </v>
      </c>
    </row>
    <row r="1461" spans="1:36" x14ac:dyDescent="0.25">
      <c r="A1461" t="s">
        <v>14</v>
      </c>
      <c r="P1461" t="str">
        <f t="shared" si="392"/>
        <v xml:space="preserve">  ..............</v>
      </c>
      <c r="Q1461" t="str">
        <f t="shared" si="392"/>
        <v>.........</v>
      </c>
      <c r="R1461" t="str">
        <f t="shared" si="385"/>
        <v>.........</v>
      </c>
      <c r="S1461" t="str">
        <f t="shared" si="393"/>
        <v>.........</v>
      </c>
      <c r="T1461" t="str">
        <f t="shared" si="394"/>
        <v>.........</v>
      </c>
      <c r="U1461" t="str">
        <f t="shared" si="398"/>
        <v>.............</v>
      </c>
      <c r="V1461" t="str">
        <f t="shared" si="386"/>
        <v>.........</v>
      </c>
      <c r="W1461" t="str">
        <f t="shared" si="395"/>
        <v>.........</v>
      </c>
      <c r="X1461" t="str">
        <f t="shared" si="399"/>
        <v>.......</v>
      </c>
      <c r="Y1461" t="str">
        <f t="shared" si="399"/>
        <v>..............</v>
      </c>
      <c r="Z1461" t="str">
        <f t="shared" si="399"/>
        <v>....</v>
      </c>
      <c r="AA1461" t="str">
        <f t="shared" si="387"/>
        <v>.........</v>
      </c>
      <c r="AB1461" t="str">
        <f t="shared" si="396"/>
        <v>.........</v>
      </c>
      <c r="AC1461" t="str">
        <f t="shared" si="397"/>
        <v>.........</v>
      </c>
      <c r="AD1461" t="str">
        <f t="shared" si="398"/>
        <v>........</v>
      </c>
      <c r="AE1461" t="str">
        <f t="shared" si="388"/>
        <v>.......</v>
      </c>
      <c r="AF1461" t="str">
        <f t="shared" si="400"/>
        <v>.....</v>
      </c>
      <c r="AG1461" t="str">
        <f t="shared" si="400"/>
        <v>..........</v>
      </c>
      <c r="AH1461" t="str">
        <f t="shared" si="389"/>
        <v>..........</v>
      </c>
      <c r="AI1461" t="str">
        <f t="shared" si="390"/>
        <v>.......</v>
      </c>
      <c r="AJ1461" t="str">
        <f t="shared" si="391"/>
        <v>.......</v>
      </c>
    </row>
    <row r="1462" spans="1:36" x14ac:dyDescent="0.25">
      <c r="A1462" t="s">
        <v>1124</v>
      </c>
      <c r="P1462" t="str">
        <f t="shared" si="392"/>
        <v xml:space="preserve">   9592   23  0 </v>
      </c>
      <c r="Q1462" t="str">
        <f t="shared" si="392"/>
        <v xml:space="preserve">   1.050 </v>
      </c>
      <c r="R1462" t="str">
        <f t="shared" si="385"/>
        <v xml:space="preserve">     2.1 </v>
      </c>
      <c r="S1462" t="str">
        <f t="shared" si="393"/>
        <v xml:space="preserve">     0.0 </v>
      </c>
      <c r="T1462" t="str">
        <f t="shared" si="394"/>
        <v xml:space="preserve">    17.9 </v>
      </c>
      <c r="U1462" t="str">
        <f t="shared" si="398"/>
        <v xml:space="preserve">         0.0 </v>
      </c>
      <c r="V1462" t="str">
        <f t="shared" si="386"/>
        <v xml:space="preserve">     0.0 </v>
      </c>
      <c r="W1462" t="str">
        <f t="shared" si="395"/>
        <v xml:space="preserve">     0.0</v>
      </c>
      <c r="X1462" t="str">
        <f t="shared" si="399"/>
        <v/>
      </c>
      <c r="Y1462" t="str">
        <f t="shared" si="399"/>
        <v/>
      </c>
      <c r="Z1462" t="str">
        <f t="shared" si="399"/>
        <v/>
      </c>
      <c r="AA1462" t="str">
        <f t="shared" si="387"/>
        <v/>
      </c>
      <c r="AB1462" t="str">
        <f t="shared" si="396"/>
        <v/>
      </c>
      <c r="AC1462" t="str">
        <f t="shared" si="397"/>
        <v/>
      </c>
      <c r="AD1462" t="str">
        <f t="shared" si="398"/>
        <v/>
      </c>
      <c r="AE1462" t="str">
        <f t="shared" si="388"/>
        <v/>
      </c>
      <c r="AF1462" t="str">
        <f t="shared" si="400"/>
        <v/>
      </c>
      <c r="AG1462" t="str">
        <f t="shared" si="400"/>
        <v/>
      </c>
      <c r="AH1462" t="str">
        <f t="shared" si="389"/>
        <v/>
      </c>
      <c r="AI1462" t="str">
        <f t="shared" si="390"/>
        <v/>
      </c>
      <c r="AJ1462" t="str">
        <f t="shared" si="391"/>
        <v/>
      </c>
    </row>
    <row r="1463" spans="1:36" x14ac:dyDescent="0.25">
      <c r="A1463" t="s">
        <v>1125</v>
      </c>
      <c r="P1463" t="str">
        <f t="shared" si="392"/>
        <v xml:space="preserve">  SCHARB-RS023  </v>
      </c>
      <c r="Q1463" t="str">
        <f t="shared" si="392"/>
        <v xml:space="preserve">   -53.3 </v>
      </c>
      <c r="R1463" t="str">
        <f t="shared" si="385"/>
        <v xml:space="preserve">     0.0 </v>
      </c>
      <c r="S1463" t="str">
        <f t="shared" si="393"/>
        <v xml:space="preserve">     0.0 </v>
      </c>
      <c r="T1463" t="str">
        <f t="shared" si="394"/>
        <v xml:space="preserve">     6.0 </v>
      </c>
      <c r="U1463" t="str">
        <f t="shared" si="398"/>
        <v xml:space="preserve">         0.0 </v>
      </c>
      <c r="V1463" t="str">
        <f t="shared" si="386"/>
        <v xml:space="preserve">     0.0 </v>
      </c>
      <c r="W1463" t="str">
        <f t="shared" si="395"/>
        <v xml:space="preserve">     0.0 </v>
      </c>
      <c r="X1463" t="str">
        <f t="shared" si="399"/>
        <v xml:space="preserve">       </v>
      </c>
      <c r="Y1463" t="str">
        <f t="shared" si="399"/>
        <v xml:space="preserve">              </v>
      </c>
      <c r="Z1463" t="str">
        <f t="shared" si="399"/>
        <v xml:space="preserve">    </v>
      </c>
      <c r="AA1463" t="str">
        <f t="shared" si="387"/>
        <v xml:space="preserve">         </v>
      </c>
      <c r="AB1463" t="str">
        <f t="shared" si="396"/>
        <v xml:space="preserve">         </v>
      </c>
      <c r="AC1463" t="str">
        <f t="shared" si="397"/>
        <v xml:space="preserve">    </v>
      </c>
      <c r="AD1463" t="str">
        <f t="shared" si="398"/>
        <v/>
      </c>
      <c r="AE1463" t="str">
        <f t="shared" si="388"/>
        <v/>
      </c>
      <c r="AF1463" t="str">
        <f t="shared" si="400"/>
        <v/>
      </c>
      <c r="AG1463" t="str">
        <f t="shared" si="400"/>
        <v/>
      </c>
      <c r="AH1463" t="str">
        <f t="shared" si="389"/>
        <v/>
      </c>
      <c r="AI1463" t="str">
        <f t="shared" si="390"/>
        <v/>
      </c>
      <c r="AJ1463" t="str">
        <f t="shared" si="391"/>
        <v/>
      </c>
    </row>
    <row r="1464" spans="1:36" x14ac:dyDescent="0.25">
      <c r="A1464" t="s">
        <v>1126</v>
      </c>
      <c r="P1464" t="str">
        <f t="shared" si="392"/>
        <v xml:space="preserve">                </v>
      </c>
      <c r="Q1464" t="str">
        <f t="shared" si="392"/>
        <v xml:space="preserve">         </v>
      </c>
      <c r="R1464" t="str">
        <f t="shared" si="385"/>
        <v xml:space="preserve">    75.0 </v>
      </c>
      <c r="S1464" t="str">
        <f t="shared" si="393"/>
        <v xml:space="preserve">    90.0 </v>
      </c>
      <c r="T1464" t="str">
        <f t="shared" si="394"/>
        <v xml:space="preserve">    90.0 </v>
      </c>
      <c r="U1464" t="str">
        <f t="shared" si="398"/>
        <v xml:space="preserve">       21.5% </v>
      </c>
      <c r="V1464" t="str">
        <f t="shared" si="386"/>
        <v xml:space="preserve">         </v>
      </c>
      <c r="W1464" t="str">
        <f t="shared" si="395"/>
        <v xml:space="preserve">         </v>
      </c>
      <c r="X1464" t="str">
        <f t="shared" si="399"/>
        <v xml:space="preserve"> 41364 </v>
      </c>
      <c r="Y1464" t="str">
        <f t="shared" si="399"/>
        <v xml:space="preserve"> SCH--4-RS000 </v>
      </c>
      <c r="Z1464" t="str">
        <f t="shared" si="399"/>
        <v xml:space="preserve">  4 </v>
      </c>
      <c r="AA1464" t="str">
        <f t="shared" si="387"/>
        <v xml:space="preserve">   -15.8 </v>
      </c>
      <c r="AB1464" t="str">
        <f t="shared" si="396"/>
        <v xml:space="preserve">    -6.0 </v>
      </c>
      <c r="AC1464" t="str">
        <f t="shared" si="397"/>
        <v xml:space="preserve">    16.1 </v>
      </c>
      <c r="AD1464" t="str">
        <f t="shared" si="398"/>
        <v xml:space="preserve"> 1.000F </v>
      </c>
      <c r="AE1464" t="str">
        <f t="shared" si="388"/>
        <v xml:space="preserve">       </v>
      </c>
      <c r="AF1464" t="str">
        <f t="shared" si="400"/>
        <v xml:space="preserve"> 002 </v>
      </c>
      <c r="AG1464" t="str">
        <f t="shared" si="400"/>
        <v xml:space="preserve">     0.00 </v>
      </c>
      <c r="AH1464" t="str">
        <f t="shared" si="389"/>
        <v xml:space="preserve">    -0.02 </v>
      </c>
      <c r="AI1464" t="str">
        <f t="shared" si="390"/>
        <v xml:space="preserve">       </v>
      </c>
      <c r="AJ1464" t="str">
        <f t="shared" si="391"/>
        <v xml:space="preserve">      </v>
      </c>
    </row>
    <row r="1465" spans="1:36" x14ac:dyDescent="0.25">
      <c r="A1465" t="s">
        <v>14</v>
      </c>
      <c r="P1465" t="str">
        <f t="shared" si="392"/>
        <v xml:space="preserve">  ..............</v>
      </c>
      <c r="Q1465" t="str">
        <f t="shared" si="392"/>
        <v>.........</v>
      </c>
      <c r="R1465" t="str">
        <f t="shared" si="385"/>
        <v>.........</v>
      </c>
      <c r="S1465" t="str">
        <f t="shared" si="393"/>
        <v>.........</v>
      </c>
      <c r="T1465" t="str">
        <f t="shared" si="394"/>
        <v>.........</v>
      </c>
      <c r="U1465" t="str">
        <f t="shared" si="398"/>
        <v>.............</v>
      </c>
      <c r="V1465" t="str">
        <f t="shared" si="386"/>
        <v>.........</v>
      </c>
      <c r="W1465" t="str">
        <f t="shared" si="395"/>
        <v>.........</v>
      </c>
      <c r="X1465" t="str">
        <f t="shared" si="399"/>
        <v>.......</v>
      </c>
      <c r="Y1465" t="str">
        <f t="shared" si="399"/>
        <v>..............</v>
      </c>
      <c r="Z1465" t="str">
        <f t="shared" si="399"/>
        <v>....</v>
      </c>
      <c r="AA1465" t="str">
        <f t="shared" si="387"/>
        <v>.........</v>
      </c>
      <c r="AB1465" t="str">
        <f t="shared" si="396"/>
        <v>.........</v>
      </c>
      <c r="AC1465" t="str">
        <f t="shared" si="397"/>
        <v>.........</v>
      </c>
      <c r="AD1465" t="str">
        <f t="shared" si="398"/>
        <v>........</v>
      </c>
      <c r="AE1465" t="str">
        <f t="shared" si="388"/>
        <v>.......</v>
      </c>
      <c r="AF1465" t="str">
        <f t="shared" si="400"/>
        <v>.....</v>
      </c>
      <c r="AG1465" t="str">
        <f t="shared" si="400"/>
        <v>..........</v>
      </c>
      <c r="AH1465" t="str">
        <f t="shared" si="389"/>
        <v>..........</v>
      </c>
      <c r="AI1465" t="str">
        <f t="shared" si="390"/>
        <v>.......</v>
      </c>
      <c r="AJ1465" t="str">
        <f t="shared" si="391"/>
        <v>.......</v>
      </c>
    </row>
    <row r="1466" spans="1:36" x14ac:dyDescent="0.25">
      <c r="A1466" t="s">
        <v>1127</v>
      </c>
      <c r="P1466" t="str">
        <f t="shared" si="392"/>
        <v xml:space="preserve">   9593   23  0 </v>
      </c>
      <c r="Q1466" t="str">
        <f t="shared" si="392"/>
        <v xml:space="preserve">   1.074 </v>
      </c>
      <c r="R1466" t="str">
        <f t="shared" si="385"/>
        <v xml:space="preserve">     1.9 </v>
      </c>
      <c r="S1466" t="str">
        <f t="shared" si="393"/>
        <v xml:space="preserve">     0.0 </v>
      </c>
      <c r="T1466" t="str">
        <f t="shared" si="394"/>
        <v xml:space="preserve">    19.2 </v>
      </c>
      <c r="U1466" t="str">
        <f t="shared" si="398"/>
        <v xml:space="preserve">         0.0 </v>
      </c>
      <c r="V1466" t="str">
        <f t="shared" si="386"/>
        <v xml:space="preserve">     8.3 </v>
      </c>
      <c r="W1466" t="str">
        <f t="shared" si="395"/>
        <v xml:space="preserve">     0.0</v>
      </c>
      <c r="X1466" t="str">
        <f t="shared" si="399"/>
        <v/>
      </c>
      <c r="Y1466" t="str">
        <f t="shared" si="399"/>
        <v/>
      </c>
      <c r="Z1466" t="str">
        <f t="shared" si="399"/>
        <v/>
      </c>
      <c r="AA1466" t="str">
        <f t="shared" si="387"/>
        <v/>
      </c>
      <c r="AB1466" t="str">
        <f t="shared" si="396"/>
        <v/>
      </c>
      <c r="AC1466" t="str">
        <f t="shared" si="397"/>
        <v/>
      </c>
      <c r="AD1466" t="str">
        <f t="shared" si="398"/>
        <v/>
      </c>
      <c r="AE1466" t="str">
        <f t="shared" si="388"/>
        <v/>
      </c>
      <c r="AF1466" t="str">
        <f t="shared" si="400"/>
        <v/>
      </c>
      <c r="AG1466" t="str">
        <f t="shared" si="400"/>
        <v/>
      </c>
      <c r="AH1466" t="str">
        <f t="shared" si="389"/>
        <v/>
      </c>
      <c r="AI1466" t="str">
        <f t="shared" si="390"/>
        <v/>
      </c>
      <c r="AJ1466" t="str">
        <f t="shared" si="391"/>
        <v/>
      </c>
    </row>
    <row r="1467" spans="1:36" x14ac:dyDescent="0.25">
      <c r="A1467" t="s">
        <v>1128</v>
      </c>
      <c r="P1467" t="str">
        <f t="shared" si="392"/>
        <v xml:space="preserve">  CANO1B-RS023  </v>
      </c>
      <c r="Q1467" t="str">
        <f t="shared" si="392"/>
        <v xml:space="preserve">   -54.6 </v>
      </c>
      <c r="R1467" t="str">
        <f t="shared" si="385"/>
        <v xml:space="preserve">     0.0 </v>
      </c>
      <c r="S1467" t="str">
        <f t="shared" si="393"/>
        <v xml:space="preserve">     0.0 </v>
      </c>
      <c r="T1467" t="str">
        <f t="shared" si="394"/>
        <v xml:space="preserve">     3.1 </v>
      </c>
      <c r="U1467" t="str">
        <f t="shared" si="398"/>
        <v xml:space="preserve">         0.0 </v>
      </c>
      <c r="V1467" t="str">
        <f t="shared" si="386"/>
        <v xml:space="preserve">     0.0 </v>
      </c>
      <c r="W1467" t="str">
        <f t="shared" si="395"/>
        <v xml:space="preserve">     0.0 </v>
      </c>
      <c r="X1467" t="str">
        <f t="shared" si="399"/>
        <v xml:space="preserve">       </v>
      </c>
      <c r="Y1467" t="str">
        <f t="shared" si="399"/>
        <v xml:space="preserve">              </v>
      </c>
      <c r="Z1467" t="str">
        <f t="shared" si="399"/>
        <v xml:space="preserve">    </v>
      </c>
      <c r="AA1467" t="str">
        <f t="shared" si="387"/>
        <v xml:space="preserve">         </v>
      </c>
      <c r="AB1467" t="str">
        <f t="shared" si="396"/>
        <v xml:space="preserve">         </v>
      </c>
      <c r="AC1467" t="str">
        <f t="shared" si="397"/>
        <v xml:space="preserve">    </v>
      </c>
      <c r="AD1467" t="str">
        <f t="shared" si="398"/>
        <v/>
      </c>
      <c r="AE1467" t="str">
        <f t="shared" si="388"/>
        <v/>
      </c>
      <c r="AF1467" t="str">
        <f t="shared" si="400"/>
        <v/>
      </c>
      <c r="AG1467" t="str">
        <f t="shared" si="400"/>
        <v/>
      </c>
      <c r="AH1467" t="str">
        <f t="shared" si="389"/>
        <v/>
      </c>
      <c r="AI1467" t="str">
        <f t="shared" si="390"/>
        <v/>
      </c>
      <c r="AJ1467" t="str">
        <f t="shared" si="391"/>
        <v/>
      </c>
    </row>
    <row r="1468" spans="1:36" x14ac:dyDescent="0.25">
      <c r="A1468" t="s">
        <v>1129</v>
      </c>
      <c r="P1468" t="str">
        <f t="shared" si="392"/>
        <v xml:space="preserve">                </v>
      </c>
      <c r="Q1468" t="str">
        <f t="shared" si="392"/>
        <v xml:space="preserve">         </v>
      </c>
      <c r="R1468" t="str">
        <f t="shared" si="385"/>
        <v xml:space="preserve">    75.0 </v>
      </c>
      <c r="S1468" t="str">
        <f t="shared" si="393"/>
        <v xml:space="preserve">    90.0 </v>
      </c>
      <c r="T1468" t="str">
        <f t="shared" si="394"/>
        <v xml:space="preserve">    90.0 </v>
      </c>
      <c r="U1468" t="str">
        <f t="shared" si="398"/>
        <v xml:space="preserve">       22.4% </v>
      </c>
      <c r="V1468" t="str">
        <f t="shared" si="386"/>
        <v xml:space="preserve">         </v>
      </c>
      <c r="W1468" t="str">
        <f t="shared" si="395"/>
        <v xml:space="preserve">         </v>
      </c>
      <c r="X1468" t="str">
        <f t="shared" si="399"/>
        <v xml:space="preserve"> 41254 </v>
      </c>
      <c r="Y1468" t="str">
        <f t="shared" si="399"/>
        <v xml:space="preserve"> CNA1-2-RS000 </v>
      </c>
      <c r="Z1468" t="str">
        <f t="shared" si="399"/>
        <v xml:space="preserve">  2 </v>
      </c>
      <c r="AA1468" t="str">
        <f t="shared" si="387"/>
        <v xml:space="preserve">   -17.3 </v>
      </c>
      <c r="AB1468" t="str">
        <f t="shared" si="396"/>
        <v xml:space="preserve">     5.2 </v>
      </c>
      <c r="AC1468" t="str">
        <f t="shared" si="397"/>
        <v xml:space="preserve">    16.8 </v>
      </c>
      <c r="AD1468" t="str">
        <f t="shared" si="398"/>
        <v xml:space="preserve"> 1.000F </v>
      </c>
      <c r="AE1468" t="str">
        <f t="shared" si="388"/>
        <v xml:space="preserve">       </v>
      </c>
      <c r="AF1468" t="str">
        <f t="shared" si="400"/>
        <v xml:space="preserve"> 002 </v>
      </c>
      <c r="AG1468" t="str">
        <f t="shared" si="400"/>
        <v xml:space="preserve">     0.00 </v>
      </c>
      <c r="AH1468" t="str">
        <f t="shared" si="389"/>
        <v xml:space="preserve">    -0.02 </v>
      </c>
      <c r="AI1468" t="str">
        <f t="shared" si="390"/>
        <v xml:space="preserve">       </v>
      </c>
      <c r="AJ1468" t="str">
        <f t="shared" si="391"/>
        <v xml:space="preserve">      </v>
      </c>
    </row>
    <row r="1469" spans="1:36" x14ac:dyDescent="0.25">
      <c r="A1469" t="s">
        <v>14</v>
      </c>
      <c r="P1469" t="str">
        <f t="shared" si="392"/>
        <v xml:space="preserve">  ..............</v>
      </c>
      <c r="Q1469" t="str">
        <f t="shared" si="392"/>
        <v>.........</v>
      </c>
      <c r="R1469" t="str">
        <f t="shared" si="385"/>
        <v>.........</v>
      </c>
      <c r="S1469" t="str">
        <f t="shared" si="393"/>
        <v>.........</v>
      </c>
      <c r="T1469" t="str">
        <f t="shared" si="394"/>
        <v>.........</v>
      </c>
      <c r="U1469" t="str">
        <f t="shared" si="398"/>
        <v>.............</v>
      </c>
      <c r="V1469" t="str">
        <f t="shared" si="386"/>
        <v>.........</v>
      </c>
      <c r="W1469" t="str">
        <f t="shared" si="395"/>
        <v>.........</v>
      </c>
      <c r="X1469" t="str">
        <f t="shared" si="399"/>
        <v>.......</v>
      </c>
      <c r="Y1469" t="str">
        <f t="shared" si="399"/>
        <v>..............</v>
      </c>
      <c r="Z1469" t="str">
        <f t="shared" si="399"/>
        <v>....</v>
      </c>
      <c r="AA1469" t="str">
        <f t="shared" si="387"/>
        <v>.........</v>
      </c>
      <c r="AB1469" t="str">
        <f t="shared" si="396"/>
        <v>.........</v>
      </c>
      <c r="AC1469" t="str">
        <f t="shared" si="397"/>
        <v>.........</v>
      </c>
      <c r="AD1469" t="str">
        <f t="shared" si="398"/>
        <v>........</v>
      </c>
      <c r="AE1469" t="str">
        <f t="shared" si="388"/>
        <v>.......</v>
      </c>
      <c r="AF1469" t="str">
        <f t="shared" si="400"/>
        <v>.....</v>
      </c>
      <c r="AG1469" t="str">
        <f t="shared" si="400"/>
        <v>..........</v>
      </c>
      <c r="AH1469" t="str">
        <f t="shared" si="389"/>
        <v>..........</v>
      </c>
      <c r="AI1469" t="str">
        <f t="shared" si="390"/>
        <v>.......</v>
      </c>
      <c r="AJ1469" t="str">
        <f t="shared" si="391"/>
        <v>.......</v>
      </c>
    </row>
    <row r="1470" spans="1:36" x14ac:dyDescent="0.25">
      <c r="A1470" t="s">
        <v>1130</v>
      </c>
      <c r="P1470" t="str">
        <f t="shared" si="392"/>
        <v xml:space="preserve">   9594  138  0 </v>
      </c>
      <c r="Q1470" t="str">
        <f t="shared" si="392"/>
        <v xml:space="preserve">   1.023 </v>
      </c>
      <c r="R1470" t="str">
        <f t="shared" si="385"/>
        <v xml:space="preserve">     2.8 </v>
      </c>
      <c r="S1470" t="str">
        <f t="shared" si="393"/>
        <v xml:space="preserve">     0.0 </v>
      </c>
      <c r="T1470" t="str">
        <f t="shared" si="394"/>
        <v xml:space="preserve">     0.3 </v>
      </c>
      <c r="U1470" t="str">
        <f t="shared" si="398"/>
        <v xml:space="preserve">         0.0 </v>
      </c>
      <c r="V1470" t="str">
        <f t="shared" si="386"/>
        <v xml:space="preserve">     0.0 </v>
      </c>
      <c r="W1470" t="str">
        <f t="shared" si="395"/>
        <v xml:space="preserve">     0.0</v>
      </c>
      <c r="X1470" t="str">
        <f t="shared" si="399"/>
        <v/>
      </c>
      <c r="Y1470" t="str">
        <f t="shared" si="399"/>
        <v/>
      </c>
      <c r="Z1470" t="str">
        <f t="shared" si="399"/>
        <v/>
      </c>
      <c r="AA1470" t="str">
        <f t="shared" si="387"/>
        <v/>
      </c>
      <c r="AB1470" t="str">
        <f t="shared" si="396"/>
        <v/>
      </c>
      <c r="AC1470" t="str">
        <f t="shared" si="397"/>
        <v/>
      </c>
      <c r="AD1470" t="str">
        <f t="shared" si="398"/>
        <v/>
      </c>
      <c r="AE1470" t="str">
        <f t="shared" si="388"/>
        <v/>
      </c>
      <c r="AF1470" t="str">
        <f t="shared" si="400"/>
        <v/>
      </c>
      <c r="AG1470" t="str">
        <f t="shared" si="400"/>
        <v/>
      </c>
      <c r="AH1470" t="str">
        <f t="shared" si="389"/>
        <v/>
      </c>
      <c r="AI1470" t="str">
        <f t="shared" si="390"/>
        <v/>
      </c>
      <c r="AJ1470" t="str">
        <f t="shared" si="391"/>
        <v/>
      </c>
    </row>
    <row r="1471" spans="1:36" x14ac:dyDescent="0.25">
      <c r="A1471" t="s">
        <v>1131</v>
      </c>
      <c r="P1471" t="str">
        <f t="shared" si="392"/>
        <v xml:space="preserve">  LAGEGR-RS138  </v>
      </c>
      <c r="Q1471" t="str">
        <f t="shared" si="392"/>
        <v xml:space="preserve">   -46.9 </v>
      </c>
      <c r="R1471" t="str">
        <f t="shared" si="385"/>
        <v xml:space="preserve">     0.0 </v>
      </c>
      <c r="S1471" t="str">
        <f t="shared" si="393"/>
        <v xml:space="preserve">     0.0 </v>
      </c>
      <c r="T1471" t="str">
        <f t="shared" si="394"/>
        <v xml:space="preserve">     0.3 </v>
      </c>
      <c r="U1471" t="str">
        <f t="shared" si="398"/>
        <v xml:space="preserve">         0.0 </v>
      </c>
      <c r="V1471" t="str">
        <f t="shared" si="386"/>
        <v xml:space="preserve">     0.0 </v>
      </c>
      <c r="W1471" t="str">
        <f t="shared" si="395"/>
        <v xml:space="preserve">     0.0 </v>
      </c>
      <c r="X1471" t="str">
        <f t="shared" si="399"/>
        <v xml:space="preserve">       </v>
      </c>
      <c r="Y1471" t="str">
        <f t="shared" si="399"/>
        <v xml:space="preserve">              </v>
      </c>
      <c r="Z1471" t="str">
        <f t="shared" si="399"/>
        <v xml:space="preserve">    </v>
      </c>
      <c r="AA1471" t="str">
        <f t="shared" si="387"/>
        <v xml:space="preserve">         </v>
      </c>
      <c r="AB1471" t="str">
        <f t="shared" si="396"/>
        <v xml:space="preserve">         </v>
      </c>
      <c r="AC1471" t="str">
        <f t="shared" si="397"/>
        <v xml:space="preserve">    </v>
      </c>
      <c r="AD1471" t="str">
        <f t="shared" si="398"/>
        <v/>
      </c>
      <c r="AE1471" t="str">
        <f t="shared" si="388"/>
        <v/>
      </c>
      <c r="AF1471" t="str">
        <f t="shared" si="400"/>
        <v/>
      </c>
      <c r="AG1471" t="str">
        <f t="shared" si="400"/>
        <v/>
      </c>
      <c r="AH1471" t="str">
        <f t="shared" si="389"/>
        <v/>
      </c>
      <c r="AI1471" t="str">
        <f t="shared" si="390"/>
        <v/>
      </c>
      <c r="AJ1471" t="str">
        <f t="shared" si="391"/>
        <v/>
      </c>
    </row>
    <row r="1472" spans="1:36" x14ac:dyDescent="0.25">
      <c r="A1472" t="s">
        <v>1132</v>
      </c>
      <c r="P1472" t="str">
        <f t="shared" si="392"/>
        <v xml:space="preserve">                </v>
      </c>
      <c r="Q1472" t="str">
        <f t="shared" si="392"/>
        <v xml:space="preserve">         </v>
      </c>
      <c r="R1472" t="str">
        <f t="shared" si="385"/>
        <v xml:space="preserve">   167.0 </v>
      </c>
      <c r="S1472" t="str">
        <f t="shared" si="393"/>
        <v xml:space="preserve">   203.0 </v>
      </c>
      <c r="T1472" t="str">
        <f t="shared" si="394"/>
        <v xml:space="preserve">   203.0 </v>
      </c>
      <c r="U1472" t="str">
        <f t="shared" si="398"/>
        <v xml:space="preserve">        7.2% </v>
      </c>
      <c r="V1472" t="str">
        <f t="shared" si="386"/>
        <v xml:space="preserve">         </v>
      </c>
      <c r="W1472" t="str">
        <f t="shared" si="395"/>
        <v xml:space="preserve">         </v>
      </c>
      <c r="X1472" t="str">
        <f t="shared" si="399"/>
        <v xml:space="preserve">  1328 </v>
      </c>
      <c r="Y1472" t="str">
        <f t="shared" si="399"/>
        <v xml:space="preserve"> VACARI-RS138 </v>
      </c>
      <c r="Z1472" t="str">
        <f t="shared" si="399"/>
        <v xml:space="preserve">  1 </v>
      </c>
      <c r="AA1472" t="str">
        <f t="shared" si="387"/>
        <v xml:space="preserve">    11.5 </v>
      </c>
      <c r="AB1472" t="str">
        <f t="shared" si="396"/>
        <v xml:space="preserve">     4.5 </v>
      </c>
      <c r="AC1472" t="str">
        <f t="shared" si="397"/>
        <v xml:space="preserve">    12.1 </v>
      </c>
      <c r="AD1472" t="str">
        <f t="shared" si="398"/>
        <v xml:space="preserve">        </v>
      </c>
      <c r="AE1472" t="str">
        <f t="shared" si="388"/>
        <v xml:space="preserve">       </v>
      </c>
      <c r="AF1472" t="str">
        <f t="shared" si="400"/>
        <v xml:space="preserve">     </v>
      </c>
      <c r="AG1472" t="str">
        <f t="shared" si="400"/>
        <v xml:space="preserve">     0.09 </v>
      </c>
      <c r="AH1472" t="str">
        <f t="shared" si="389"/>
        <v xml:space="preserve">    -4.27 </v>
      </c>
      <c r="AI1472" t="str">
        <f t="shared" si="390"/>
        <v xml:space="preserve">       </v>
      </c>
      <c r="AJ1472" t="str">
        <f t="shared" si="391"/>
        <v xml:space="preserve">      </v>
      </c>
    </row>
    <row r="1473" spans="1:36" x14ac:dyDescent="0.25">
      <c r="A1473" t="s">
        <v>1133</v>
      </c>
      <c r="P1473" t="str">
        <f t="shared" si="392"/>
        <v xml:space="preserve">                </v>
      </c>
      <c r="Q1473" t="str">
        <f t="shared" si="392"/>
        <v xml:space="preserve">         </v>
      </c>
      <c r="R1473" t="str">
        <f t="shared" si="385"/>
        <v xml:space="preserve">    75.0 </v>
      </c>
      <c r="S1473" t="str">
        <f t="shared" si="393"/>
        <v xml:space="preserve">    90.0 </v>
      </c>
      <c r="T1473" t="str">
        <f t="shared" si="394"/>
        <v xml:space="preserve">    90.0 </v>
      </c>
      <c r="U1473" t="str">
        <f t="shared" si="398"/>
        <v xml:space="preserve">        6.7% </v>
      </c>
      <c r="V1473" t="str">
        <f t="shared" si="386"/>
        <v xml:space="preserve">         </v>
      </c>
      <c r="W1473" t="str">
        <f t="shared" si="395"/>
        <v xml:space="preserve">         </v>
      </c>
      <c r="X1473" t="str">
        <f t="shared" si="399"/>
        <v xml:space="preserve"> 41285 </v>
      </c>
      <c r="Y1473" t="str">
        <f t="shared" si="399"/>
        <v xml:space="preserve"> LGR-1--RS000 </v>
      </c>
      <c r="Z1473" t="str">
        <f t="shared" si="399"/>
        <v xml:space="preserve">  1 </v>
      </c>
      <c r="AA1473" t="str">
        <f t="shared" si="387"/>
        <v xml:space="preserve">    -4.5 </v>
      </c>
      <c r="AB1473" t="str">
        <f t="shared" si="396"/>
        <v xml:space="preserve">    -2.4 </v>
      </c>
      <c r="AC1473" t="str">
        <f t="shared" si="397"/>
        <v xml:space="preserve">     5.0 </v>
      </c>
      <c r="AD1473" t="str">
        <f t="shared" si="398"/>
        <v xml:space="preserve"> 1.000F </v>
      </c>
      <c r="AE1473" t="str">
        <f t="shared" si="388"/>
        <v xml:space="preserve">       </v>
      </c>
      <c r="AF1473" t="str">
        <f t="shared" si="400"/>
        <v xml:space="preserve"> 002 </v>
      </c>
      <c r="AG1473" t="str">
        <f t="shared" si="400"/>
        <v xml:space="preserve">     0.00 </v>
      </c>
      <c r="AH1473" t="str">
        <f t="shared" si="389"/>
        <v xml:space="preserve">    -0.00 </v>
      </c>
      <c r="AI1473" t="str">
        <f t="shared" si="390"/>
        <v xml:space="preserve">       </v>
      </c>
      <c r="AJ1473" t="str">
        <f t="shared" si="391"/>
        <v xml:space="preserve">      </v>
      </c>
    </row>
    <row r="1474" spans="1:36" x14ac:dyDescent="0.25">
      <c r="A1474" t="s">
        <v>1134</v>
      </c>
      <c r="P1474" t="str">
        <f t="shared" si="392"/>
        <v xml:space="preserve">                </v>
      </c>
      <c r="Q1474" t="str">
        <f t="shared" si="392"/>
        <v xml:space="preserve">         </v>
      </c>
      <c r="R1474" t="str">
        <f t="shared" si="385"/>
        <v xml:space="preserve">    75.0 </v>
      </c>
      <c r="S1474" t="str">
        <f t="shared" si="393"/>
        <v xml:space="preserve">    90.0 </v>
      </c>
      <c r="T1474" t="str">
        <f t="shared" si="394"/>
        <v xml:space="preserve">    90.0 </v>
      </c>
      <c r="U1474" t="str">
        <f t="shared" si="398"/>
        <v xml:space="preserve">        6.6% </v>
      </c>
      <c r="V1474" t="str">
        <f t="shared" si="386"/>
        <v xml:space="preserve">         </v>
      </c>
      <c r="W1474" t="str">
        <f t="shared" si="395"/>
        <v xml:space="preserve">         </v>
      </c>
      <c r="X1474" t="str">
        <f t="shared" si="399"/>
        <v xml:space="preserve"> 41286 </v>
      </c>
      <c r="Y1474" t="str">
        <f t="shared" si="399"/>
        <v xml:space="preserve"> LGR-2--RS000 </v>
      </c>
      <c r="Z1474" t="str">
        <f t="shared" si="399"/>
        <v xml:space="preserve">  2 </v>
      </c>
      <c r="AA1474" t="str">
        <f t="shared" si="387"/>
        <v xml:space="preserve">    -4.5 </v>
      </c>
      <c r="AB1474" t="str">
        <f t="shared" si="396"/>
        <v xml:space="preserve">    -2.4 </v>
      </c>
      <c r="AC1474" t="str">
        <f t="shared" si="397"/>
        <v xml:space="preserve">     4.9 </v>
      </c>
      <c r="AD1474" t="str">
        <f t="shared" si="398"/>
        <v xml:space="preserve"> 1.000F </v>
      </c>
      <c r="AE1474" t="str">
        <f t="shared" si="388"/>
        <v xml:space="preserve">       </v>
      </c>
      <c r="AF1474" t="str">
        <f t="shared" si="400"/>
        <v xml:space="preserve"> 002 </v>
      </c>
      <c r="AG1474" t="str">
        <f t="shared" si="400"/>
        <v xml:space="preserve">     0.00 </v>
      </c>
      <c r="AH1474" t="str">
        <f t="shared" si="389"/>
        <v xml:space="preserve">    -0.00 </v>
      </c>
      <c r="AI1474" t="str">
        <f t="shared" si="390"/>
        <v xml:space="preserve">       </v>
      </c>
      <c r="AJ1474" t="str">
        <f t="shared" si="391"/>
        <v xml:space="preserve">      </v>
      </c>
    </row>
    <row r="1475" spans="1:36" x14ac:dyDescent="0.25">
      <c r="A1475" t="s">
        <v>14</v>
      </c>
      <c r="P1475" t="str">
        <f t="shared" si="392"/>
        <v xml:space="preserve">  ..............</v>
      </c>
      <c r="Q1475" t="str">
        <f t="shared" si="392"/>
        <v>.........</v>
      </c>
      <c r="R1475" t="str">
        <f t="shared" si="385"/>
        <v>.........</v>
      </c>
      <c r="S1475" t="str">
        <f t="shared" si="393"/>
        <v>.........</v>
      </c>
      <c r="T1475" t="str">
        <f t="shared" si="394"/>
        <v>.........</v>
      </c>
      <c r="U1475" t="str">
        <f t="shared" si="398"/>
        <v>.............</v>
      </c>
      <c r="V1475" t="str">
        <f t="shared" si="386"/>
        <v>.........</v>
      </c>
      <c r="W1475" t="str">
        <f t="shared" si="395"/>
        <v>.........</v>
      </c>
      <c r="X1475" t="str">
        <f t="shared" si="399"/>
        <v>.......</v>
      </c>
      <c r="Y1475" t="str">
        <f t="shared" si="399"/>
        <v>..............</v>
      </c>
      <c r="Z1475" t="str">
        <f t="shared" si="399"/>
        <v>....</v>
      </c>
      <c r="AA1475" t="str">
        <f t="shared" si="387"/>
        <v>.........</v>
      </c>
      <c r="AB1475" t="str">
        <f t="shared" si="396"/>
        <v>.........</v>
      </c>
      <c r="AC1475" t="str">
        <f t="shared" si="397"/>
        <v>.........</v>
      </c>
      <c r="AD1475" t="str">
        <f t="shared" si="398"/>
        <v>........</v>
      </c>
      <c r="AE1475" t="str">
        <f t="shared" si="388"/>
        <v>.......</v>
      </c>
      <c r="AF1475" t="str">
        <f t="shared" si="400"/>
        <v>.....</v>
      </c>
      <c r="AG1475" t="str">
        <f t="shared" si="400"/>
        <v>..........</v>
      </c>
      <c r="AH1475" t="str">
        <f t="shared" si="389"/>
        <v>..........</v>
      </c>
      <c r="AI1475" t="str">
        <f t="shared" si="390"/>
        <v>.......</v>
      </c>
      <c r="AJ1475" t="str">
        <f t="shared" si="391"/>
        <v>.......</v>
      </c>
    </row>
    <row r="1476" spans="1:36" x14ac:dyDescent="0.25">
      <c r="A1476" t="s">
        <v>1135</v>
      </c>
      <c r="P1476" t="str">
        <f t="shared" si="392"/>
        <v xml:space="preserve">   9651   69  0 </v>
      </c>
      <c r="Q1476" t="str">
        <f t="shared" si="392"/>
        <v xml:space="preserve">   1.006 </v>
      </c>
      <c r="R1476" t="str">
        <f t="shared" si="385"/>
        <v xml:space="preserve">     0.0 </v>
      </c>
      <c r="S1476" t="str">
        <f t="shared" si="393"/>
        <v xml:space="preserve">     0.0 </v>
      </c>
      <c r="T1476" t="str">
        <f t="shared" si="394"/>
        <v xml:space="preserve">     0.0 </v>
      </c>
      <c r="U1476" t="str">
        <f t="shared" si="398"/>
        <v xml:space="preserve">         0.0 </v>
      </c>
      <c r="V1476" t="str">
        <f t="shared" si="386"/>
        <v xml:space="preserve">     0.0 </v>
      </c>
      <c r="W1476" t="str">
        <f t="shared" si="395"/>
        <v xml:space="preserve">     0.0</v>
      </c>
      <c r="X1476" t="str">
        <f t="shared" si="399"/>
        <v/>
      </c>
      <c r="Y1476" t="str">
        <f t="shared" si="399"/>
        <v/>
      </c>
      <c r="Z1476" t="str">
        <f t="shared" si="399"/>
        <v/>
      </c>
      <c r="AA1476" t="str">
        <f t="shared" si="387"/>
        <v/>
      </c>
      <c r="AB1476" t="str">
        <f t="shared" si="396"/>
        <v/>
      </c>
      <c r="AC1476" t="str">
        <f t="shared" si="397"/>
        <v/>
      </c>
      <c r="AD1476" t="str">
        <f t="shared" si="398"/>
        <v/>
      </c>
      <c r="AE1476" t="str">
        <f t="shared" si="388"/>
        <v/>
      </c>
      <c r="AF1476" t="str">
        <f t="shared" si="400"/>
        <v/>
      </c>
      <c r="AG1476" t="str">
        <f t="shared" si="400"/>
        <v/>
      </c>
      <c r="AH1476" t="str">
        <f t="shared" si="389"/>
        <v/>
      </c>
      <c r="AI1476" t="str">
        <f t="shared" si="390"/>
        <v/>
      </c>
      <c r="AJ1476" t="str">
        <f t="shared" si="391"/>
        <v/>
      </c>
    </row>
    <row r="1477" spans="1:36" x14ac:dyDescent="0.25">
      <c r="A1477" t="s">
        <v>1136</v>
      </c>
      <c r="P1477" t="str">
        <f t="shared" si="392"/>
        <v xml:space="preserve">  PANAM2-RS069  </v>
      </c>
      <c r="Q1477" t="str">
        <f t="shared" si="392"/>
        <v xml:space="preserve">   -50.5 </v>
      </c>
      <c r="R1477" t="str">
        <f t="shared" si="385"/>
        <v xml:space="preserve">     0.0 </v>
      </c>
      <c r="S1477" t="str">
        <f t="shared" si="393"/>
        <v xml:space="preserve">     0.0 </v>
      </c>
      <c r="T1477" t="str">
        <f t="shared" si="394"/>
        <v xml:space="preserve">     0.0 </v>
      </c>
      <c r="U1477" t="str">
        <f t="shared" si="398"/>
        <v xml:space="preserve">         0.0 </v>
      </c>
      <c r="V1477" t="str">
        <f t="shared" si="386"/>
        <v xml:space="preserve">     0.0 </v>
      </c>
      <c r="W1477" t="str">
        <f t="shared" si="395"/>
        <v xml:space="preserve">     0.0 </v>
      </c>
      <c r="X1477" t="str">
        <f t="shared" si="399"/>
        <v xml:space="preserve">       </v>
      </c>
      <c r="Y1477" t="str">
        <f t="shared" si="399"/>
        <v xml:space="preserve">              </v>
      </c>
      <c r="Z1477" t="str">
        <f t="shared" si="399"/>
        <v xml:space="preserve">    </v>
      </c>
      <c r="AA1477" t="str">
        <f t="shared" si="387"/>
        <v xml:space="preserve">         </v>
      </c>
      <c r="AB1477" t="str">
        <f t="shared" si="396"/>
        <v xml:space="preserve">         </v>
      </c>
      <c r="AC1477" t="str">
        <f t="shared" si="397"/>
        <v xml:space="preserve">    </v>
      </c>
      <c r="AD1477" t="str">
        <f t="shared" si="398"/>
        <v/>
      </c>
      <c r="AE1477" t="str">
        <f t="shared" si="388"/>
        <v/>
      </c>
      <c r="AF1477" t="str">
        <f t="shared" si="400"/>
        <v/>
      </c>
      <c r="AG1477" t="str">
        <f t="shared" si="400"/>
        <v/>
      </c>
      <c r="AH1477" t="str">
        <f t="shared" si="389"/>
        <v/>
      </c>
      <c r="AI1477" t="str">
        <f t="shared" si="390"/>
        <v/>
      </c>
      <c r="AJ1477" t="str">
        <f t="shared" si="391"/>
        <v/>
      </c>
    </row>
    <row r="1478" spans="1:36" x14ac:dyDescent="0.25">
      <c r="A1478" t="s">
        <v>1137</v>
      </c>
      <c r="P1478" t="str">
        <f t="shared" si="392"/>
        <v xml:space="preserve">                </v>
      </c>
      <c r="Q1478" t="str">
        <f t="shared" si="392"/>
        <v xml:space="preserve">         </v>
      </c>
      <c r="R1478" t="str">
        <f t="shared" si="385"/>
        <v xml:space="preserve">    40.0 </v>
      </c>
      <c r="S1478" t="str">
        <f t="shared" si="393"/>
        <v xml:space="preserve">    65.0 </v>
      </c>
      <c r="T1478" t="str">
        <f t="shared" si="394"/>
        <v xml:space="preserve">    65.0 </v>
      </c>
      <c r="U1478" t="str">
        <f t="shared" si="398"/>
        <v xml:space="preserve">       36.6% </v>
      </c>
      <c r="V1478" t="str">
        <f t="shared" si="386"/>
        <v xml:space="preserve">         </v>
      </c>
      <c r="W1478" t="str">
        <f t="shared" si="395"/>
        <v xml:space="preserve">         </v>
      </c>
      <c r="X1478" t="str">
        <f t="shared" si="399"/>
        <v xml:space="preserve">  1322 </v>
      </c>
      <c r="Y1478" t="str">
        <f t="shared" si="399"/>
        <v xml:space="preserve"> IJUI2--RS069 </v>
      </c>
      <c r="Z1478" t="str">
        <f t="shared" si="399"/>
        <v xml:space="preserve">  1 </v>
      </c>
      <c r="AA1478" t="str">
        <f t="shared" si="387"/>
        <v xml:space="preserve">   -14.6 </v>
      </c>
      <c r="AB1478" t="str">
        <f t="shared" si="396"/>
        <v xml:space="preserve">    -1.9 </v>
      </c>
      <c r="AC1478" t="str">
        <f t="shared" si="397"/>
        <v xml:space="preserve">    14.6 </v>
      </c>
      <c r="AD1478" t="str">
        <f t="shared" si="398"/>
        <v xml:space="preserve">        </v>
      </c>
      <c r="AE1478" t="str">
        <f t="shared" si="388"/>
        <v xml:space="preserve">       </v>
      </c>
      <c r="AF1478" t="str">
        <f t="shared" si="400"/>
        <v xml:space="preserve">     </v>
      </c>
      <c r="AG1478" t="str">
        <f t="shared" si="400"/>
        <v xml:space="preserve">     0.34 </v>
      </c>
      <c r="AH1478" t="str">
        <f t="shared" si="389"/>
        <v xml:space="preserve">     0.05 </v>
      </c>
      <c r="AI1478" t="str">
        <f t="shared" si="390"/>
        <v xml:space="preserve">       </v>
      </c>
      <c r="AJ1478" t="str">
        <f t="shared" si="391"/>
        <v xml:space="preserve">      </v>
      </c>
    </row>
    <row r="1479" spans="1:36" x14ac:dyDescent="0.25">
      <c r="A1479" t="s">
        <v>1138</v>
      </c>
      <c r="P1479" t="str">
        <f t="shared" si="392"/>
        <v xml:space="preserve">                </v>
      </c>
      <c r="Q1479" t="str">
        <f t="shared" si="392"/>
        <v xml:space="preserve">         </v>
      </c>
      <c r="R1479" t="str">
        <f t="shared" si="385"/>
        <v xml:space="preserve">    25.0 </v>
      </c>
      <c r="S1479" t="str">
        <f t="shared" si="393"/>
        <v xml:space="preserve">    25.0 </v>
      </c>
      <c r="T1479" t="str">
        <f t="shared" si="394"/>
        <v xml:space="preserve">    25.0 </v>
      </c>
      <c r="U1479" t="str">
        <f t="shared" si="398"/>
        <v xml:space="preserve">       58.5% </v>
      </c>
      <c r="V1479" t="str">
        <f t="shared" si="386"/>
        <v xml:space="preserve">         </v>
      </c>
      <c r="W1479" t="str">
        <f t="shared" si="395"/>
        <v xml:space="preserve">         </v>
      </c>
      <c r="X1479" t="str">
        <f t="shared" si="399"/>
        <v xml:space="preserve">  9652 </v>
      </c>
      <c r="Y1479" t="str">
        <f t="shared" si="399"/>
        <v xml:space="preserve"> PANAM2-RS013 </v>
      </c>
      <c r="Z1479" t="str">
        <f t="shared" si="399"/>
        <v xml:space="preserve">  1 </v>
      </c>
      <c r="AA1479" t="str">
        <f t="shared" si="387"/>
        <v xml:space="preserve">    14.6 </v>
      </c>
      <c r="AB1479" t="str">
        <f t="shared" si="396"/>
        <v xml:space="preserve">     1.9 </v>
      </c>
      <c r="AC1479" t="str">
        <f t="shared" si="397"/>
        <v xml:space="preserve">    14.6 </v>
      </c>
      <c r="AD1479" t="str">
        <f t="shared" si="398"/>
        <v xml:space="preserve"> 0.969* </v>
      </c>
      <c r="AE1479" t="str">
        <f t="shared" si="388"/>
        <v xml:space="preserve">       </v>
      </c>
      <c r="AF1479" t="str">
        <f t="shared" si="400"/>
        <v xml:space="preserve">     </v>
      </c>
      <c r="AG1479" t="str">
        <f t="shared" si="400"/>
        <v xml:space="preserve">     0.00 </v>
      </c>
      <c r="AH1479" t="str">
        <f t="shared" si="389"/>
        <v xml:space="preserve">     0.57 </v>
      </c>
      <c r="AI1479" t="str">
        <f t="shared" si="390"/>
        <v xml:space="preserve">       </v>
      </c>
      <c r="AJ1479" t="str">
        <f t="shared" si="391"/>
        <v xml:space="preserve">      </v>
      </c>
    </row>
    <row r="1480" spans="1:36" x14ac:dyDescent="0.25">
      <c r="A1480" t="s">
        <v>14</v>
      </c>
      <c r="P1480" t="str">
        <f t="shared" si="392"/>
        <v xml:space="preserve">  ..............</v>
      </c>
      <c r="Q1480" t="str">
        <f t="shared" si="392"/>
        <v>.........</v>
      </c>
      <c r="R1480" t="str">
        <f t="shared" si="385"/>
        <v>.........</v>
      </c>
      <c r="S1480" t="str">
        <f t="shared" si="393"/>
        <v>.........</v>
      </c>
      <c r="T1480" t="str">
        <f t="shared" si="394"/>
        <v>.........</v>
      </c>
      <c r="U1480" t="str">
        <f t="shared" si="398"/>
        <v>.............</v>
      </c>
      <c r="V1480" t="str">
        <f t="shared" si="386"/>
        <v>.........</v>
      </c>
      <c r="W1480" t="str">
        <f t="shared" si="395"/>
        <v>.........</v>
      </c>
      <c r="X1480" t="str">
        <f t="shared" si="399"/>
        <v>.......</v>
      </c>
      <c r="Y1480" t="str">
        <f t="shared" si="399"/>
        <v>..............</v>
      </c>
      <c r="Z1480" t="str">
        <f t="shared" si="399"/>
        <v>....</v>
      </c>
      <c r="AA1480" t="str">
        <f t="shared" si="387"/>
        <v>.........</v>
      </c>
      <c r="AB1480" t="str">
        <f t="shared" si="396"/>
        <v>.........</v>
      </c>
      <c r="AC1480" t="str">
        <f t="shared" si="397"/>
        <v>.........</v>
      </c>
      <c r="AD1480" t="str">
        <f t="shared" si="398"/>
        <v>........</v>
      </c>
      <c r="AE1480" t="str">
        <f t="shared" si="388"/>
        <v>.......</v>
      </c>
      <c r="AF1480" t="str">
        <f t="shared" si="400"/>
        <v>.....</v>
      </c>
      <c r="AG1480" t="str">
        <f t="shared" si="400"/>
        <v>..........</v>
      </c>
      <c r="AH1480" t="str">
        <f t="shared" si="389"/>
        <v>..........</v>
      </c>
      <c r="AI1480" t="str">
        <f t="shared" si="390"/>
        <v>.......</v>
      </c>
      <c r="AJ1480" t="str">
        <f t="shared" si="391"/>
        <v>.......</v>
      </c>
    </row>
    <row r="1481" spans="1:36" x14ac:dyDescent="0.25">
      <c r="A1481" t="s">
        <v>1139</v>
      </c>
      <c r="P1481" t="str">
        <f t="shared" si="392"/>
        <v xml:space="preserve">   9652   14  0 </v>
      </c>
      <c r="Q1481" t="str">
        <f t="shared" si="392"/>
        <v xml:space="preserve">   1.034 </v>
      </c>
      <c r="R1481" t="str">
        <f t="shared" si="385"/>
        <v xml:space="preserve">     0.0 </v>
      </c>
      <c r="S1481" t="str">
        <f t="shared" si="393"/>
        <v xml:space="preserve">     0.0 </v>
      </c>
      <c r="T1481" t="str">
        <f t="shared" si="394"/>
        <v xml:space="preserve">    14.6 </v>
      </c>
      <c r="U1481" t="str">
        <f t="shared" si="398"/>
        <v xml:space="preserve">         0.0 </v>
      </c>
      <c r="V1481" t="str">
        <f t="shared" si="386"/>
        <v xml:space="preserve">     0.0 </v>
      </c>
      <c r="W1481" t="str">
        <f t="shared" si="395"/>
        <v xml:space="preserve">     0.0</v>
      </c>
      <c r="X1481" t="str">
        <f t="shared" si="399"/>
        <v/>
      </c>
      <c r="Y1481" t="str">
        <f t="shared" si="399"/>
        <v/>
      </c>
      <c r="Z1481" t="str">
        <f t="shared" si="399"/>
        <v/>
      </c>
      <c r="AA1481" t="str">
        <f t="shared" si="387"/>
        <v/>
      </c>
      <c r="AB1481" t="str">
        <f t="shared" si="396"/>
        <v/>
      </c>
      <c r="AC1481" t="str">
        <f t="shared" si="397"/>
        <v/>
      </c>
      <c r="AD1481" t="str">
        <f t="shared" si="398"/>
        <v/>
      </c>
      <c r="AE1481" t="str">
        <f t="shared" si="388"/>
        <v/>
      </c>
      <c r="AF1481" t="str">
        <f t="shared" si="400"/>
        <v/>
      </c>
      <c r="AG1481" t="str">
        <f t="shared" si="400"/>
        <v/>
      </c>
      <c r="AH1481" t="str">
        <f t="shared" si="389"/>
        <v/>
      </c>
      <c r="AI1481" t="str">
        <f t="shared" si="390"/>
        <v/>
      </c>
      <c r="AJ1481" t="str">
        <f t="shared" si="391"/>
        <v/>
      </c>
    </row>
    <row r="1482" spans="1:36" x14ac:dyDescent="0.25">
      <c r="A1482" t="s">
        <v>1140</v>
      </c>
      <c r="P1482" t="str">
        <f t="shared" si="392"/>
        <v xml:space="preserve">  PANAM2-RS013  </v>
      </c>
      <c r="Q1482" t="str">
        <f t="shared" si="392"/>
        <v xml:space="preserve">   -52.7 </v>
      </c>
      <c r="R1482" t="str">
        <f t="shared" si="385"/>
        <v xml:space="preserve">     0.0 </v>
      </c>
      <c r="S1482" t="str">
        <f t="shared" si="393"/>
        <v xml:space="preserve">     0.0 </v>
      </c>
      <c r="T1482" t="str">
        <f t="shared" si="394"/>
        <v xml:space="preserve">     1.3 </v>
      </c>
      <c r="U1482" t="str">
        <f t="shared" si="398"/>
        <v xml:space="preserve">         0.0 </v>
      </c>
      <c r="V1482" t="str">
        <f t="shared" si="386"/>
        <v xml:space="preserve">     0.0 </v>
      </c>
      <c r="W1482" t="str">
        <f t="shared" si="395"/>
        <v xml:space="preserve">     0.0 </v>
      </c>
      <c r="X1482" t="str">
        <f t="shared" si="399"/>
        <v xml:space="preserve">       </v>
      </c>
      <c r="Y1482" t="str">
        <f t="shared" si="399"/>
        <v xml:space="preserve">              </v>
      </c>
      <c r="Z1482" t="str">
        <f t="shared" si="399"/>
        <v xml:space="preserve">    </v>
      </c>
      <c r="AA1482" t="str">
        <f t="shared" si="387"/>
        <v xml:space="preserve">         </v>
      </c>
      <c r="AB1482" t="str">
        <f t="shared" si="396"/>
        <v xml:space="preserve">         </v>
      </c>
      <c r="AC1482" t="str">
        <f t="shared" si="397"/>
        <v xml:space="preserve">    </v>
      </c>
      <c r="AD1482" t="str">
        <f t="shared" si="398"/>
        <v/>
      </c>
      <c r="AE1482" t="str">
        <f t="shared" si="388"/>
        <v/>
      </c>
      <c r="AF1482" t="str">
        <f t="shared" si="400"/>
        <v/>
      </c>
      <c r="AG1482" t="str">
        <f t="shared" si="400"/>
        <v/>
      </c>
      <c r="AH1482" t="str">
        <f t="shared" si="389"/>
        <v/>
      </c>
      <c r="AI1482" t="str">
        <f t="shared" si="390"/>
        <v/>
      </c>
      <c r="AJ1482" t="str">
        <f t="shared" si="391"/>
        <v/>
      </c>
    </row>
    <row r="1483" spans="1:36" x14ac:dyDescent="0.25">
      <c r="A1483" t="s">
        <v>1141</v>
      </c>
      <c r="P1483" t="str">
        <f t="shared" si="392"/>
        <v xml:space="preserve">                </v>
      </c>
      <c r="Q1483" t="str">
        <f t="shared" si="392"/>
        <v xml:space="preserve">         </v>
      </c>
      <c r="R1483" t="str">
        <f t="shared" si="385"/>
        <v xml:space="preserve">    25.0 </v>
      </c>
      <c r="S1483" t="str">
        <f t="shared" si="393"/>
        <v xml:space="preserve">    25.0 </v>
      </c>
      <c r="T1483" t="str">
        <f t="shared" si="394"/>
        <v xml:space="preserve">    25.0 </v>
      </c>
      <c r="U1483" t="str">
        <f t="shared" si="398"/>
        <v xml:space="preserve">       56.7% </v>
      </c>
      <c r="V1483" t="str">
        <f t="shared" si="386"/>
        <v xml:space="preserve">         </v>
      </c>
      <c r="W1483" t="str">
        <f t="shared" si="395"/>
        <v xml:space="preserve">         </v>
      </c>
      <c r="X1483" t="str">
        <f t="shared" si="399"/>
        <v xml:space="preserve">  9651 </v>
      </c>
      <c r="Y1483" t="str">
        <f t="shared" si="399"/>
        <v xml:space="preserve"> PANAM2-RS069 </v>
      </c>
      <c r="Z1483" t="str">
        <f t="shared" si="399"/>
        <v xml:space="preserve">  1 </v>
      </c>
      <c r="AA1483" t="str">
        <f t="shared" si="387"/>
        <v xml:space="preserve">   -14.6 </v>
      </c>
      <c r="AB1483" t="str">
        <f t="shared" si="396"/>
        <v xml:space="preserve">    -1.3 </v>
      </c>
      <c r="AC1483" t="str">
        <f t="shared" si="397"/>
        <v xml:space="preserve">    14.2 </v>
      </c>
      <c r="AD1483" t="str">
        <f t="shared" si="398"/>
        <v xml:space="preserve">        </v>
      </c>
      <c r="AE1483" t="str">
        <f t="shared" si="388"/>
        <v xml:space="preserve">       </v>
      </c>
      <c r="AF1483" t="str">
        <f t="shared" si="400"/>
        <v xml:space="preserve">     </v>
      </c>
      <c r="AG1483" t="str">
        <f t="shared" si="400"/>
        <v xml:space="preserve">     0.00 </v>
      </c>
      <c r="AH1483" t="str">
        <f t="shared" si="389"/>
        <v xml:space="preserve">     0.57 </v>
      </c>
      <c r="AI1483" t="str">
        <f t="shared" si="390"/>
        <v xml:space="preserve">       </v>
      </c>
      <c r="AJ1483" t="str">
        <f t="shared" si="391"/>
        <v xml:space="preserve">      </v>
      </c>
    </row>
    <row r="1484" spans="1:36" x14ac:dyDescent="0.25">
      <c r="A1484" t="s">
        <v>14</v>
      </c>
      <c r="P1484" t="str">
        <f t="shared" si="392"/>
        <v xml:space="preserve">  ..............</v>
      </c>
      <c r="Q1484" t="str">
        <f t="shared" si="392"/>
        <v>.........</v>
      </c>
      <c r="R1484" t="str">
        <f t="shared" ref="R1484:R1547" si="401">MID($A1484,Q$8+Q$9-1,R$9)</f>
        <v>.........</v>
      </c>
      <c r="S1484" t="str">
        <f t="shared" si="393"/>
        <v>.........</v>
      </c>
      <c r="T1484" t="str">
        <f t="shared" si="394"/>
        <v>.........</v>
      </c>
      <c r="U1484" t="str">
        <f t="shared" si="398"/>
        <v>.............</v>
      </c>
      <c r="V1484" t="str">
        <f t="shared" ref="V1484:V1547" si="402">MID($A1484,U$8+U$9-1,V$9)</f>
        <v>.........</v>
      </c>
      <c r="W1484" t="str">
        <f t="shared" si="395"/>
        <v>.........</v>
      </c>
      <c r="X1484" t="str">
        <f t="shared" si="399"/>
        <v>.......</v>
      </c>
      <c r="Y1484" t="str">
        <f t="shared" si="399"/>
        <v>..............</v>
      </c>
      <c r="Z1484" t="str">
        <f t="shared" si="399"/>
        <v>....</v>
      </c>
      <c r="AA1484" t="str">
        <f t="shared" ref="AA1484:AA1547" si="403">MID($A1484,Z$8+Z$9-1,AA$9)</f>
        <v>.........</v>
      </c>
      <c r="AB1484" t="str">
        <f t="shared" si="396"/>
        <v>.........</v>
      </c>
      <c r="AC1484" t="str">
        <f t="shared" si="397"/>
        <v>.........</v>
      </c>
      <c r="AD1484" t="str">
        <f t="shared" si="398"/>
        <v>........</v>
      </c>
      <c r="AE1484" t="str">
        <f t="shared" ref="AE1484:AE1547" si="404">MID($A1484,AD$8+AD$9-1,AE$9)</f>
        <v>.......</v>
      </c>
      <c r="AF1484" t="str">
        <f t="shared" si="400"/>
        <v>.....</v>
      </c>
      <c r="AG1484" t="str">
        <f t="shared" si="400"/>
        <v>..........</v>
      </c>
      <c r="AH1484" t="str">
        <f t="shared" ref="AH1484:AH1547" si="405">MID($A1484,AG$8+AG$9-1,AH$9)</f>
        <v>..........</v>
      </c>
      <c r="AI1484" t="str">
        <f t="shared" si="390"/>
        <v>.......</v>
      </c>
      <c r="AJ1484" t="str">
        <f t="shared" si="391"/>
        <v>.......</v>
      </c>
    </row>
    <row r="1485" spans="1:36" x14ac:dyDescent="0.25">
      <c r="A1485" t="s">
        <v>1142</v>
      </c>
      <c r="P1485" t="str">
        <f t="shared" si="392"/>
        <v xml:space="preserve">   9653   14  0 </v>
      </c>
      <c r="Q1485" t="str">
        <f t="shared" si="392"/>
        <v xml:space="preserve">   1.001 </v>
      </c>
      <c r="R1485" t="str">
        <f t="shared" si="401"/>
        <v xml:space="preserve">     0.0 </v>
      </c>
      <c r="S1485" t="str">
        <f t="shared" si="393"/>
        <v xml:space="preserve">     0.0 </v>
      </c>
      <c r="T1485" t="str">
        <f t="shared" si="394"/>
        <v xml:space="preserve">    14.7 </v>
      </c>
      <c r="U1485" t="str">
        <f t="shared" si="398"/>
        <v xml:space="preserve">         0.0 </v>
      </c>
      <c r="V1485" t="str">
        <f t="shared" si="402"/>
        <v xml:space="preserve">     0.0 </v>
      </c>
      <c r="W1485" t="str">
        <f t="shared" si="395"/>
        <v xml:space="preserve">     0.0</v>
      </c>
      <c r="X1485" t="str">
        <f t="shared" si="399"/>
        <v/>
      </c>
      <c r="Y1485" t="str">
        <f t="shared" si="399"/>
        <v/>
      </c>
      <c r="Z1485" t="str">
        <f t="shared" si="399"/>
        <v/>
      </c>
      <c r="AA1485" t="str">
        <f t="shared" si="403"/>
        <v/>
      </c>
      <c r="AB1485" t="str">
        <f t="shared" si="396"/>
        <v/>
      </c>
      <c r="AC1485" t="str">
        <f t="shared" si="397"/>
        <v/>
      </c>
      <c r="AD1485" t="str">
        <f t="shared" si="398"/>
        <v/>
      </c>
      <c r="AE1485" t="str">
        <f t="shared" si="404"/>
        <v/>
      </c>
      <c r="AF1485" t="str">
        <f t="shared" si="400"/>
        <v/>
      </c>
      <c r="AG1485" t="str">
        <f t="shared" si="400"/>
        <v/>
      </c>
      <c r="AH1485" t="str">
        <f t="shared" si="405"/>
        <v/>
      </c>
      <c r="AI1485" t="str">
        <f t="shared" si="390"/>
        <v/>
      </c>
      <c r="AJ1485" t="str">
        <f t="shared" si="391"/>
        <v/>
      </c>
    </row>
    <row r="1486" spans="1:36" x14ac:dyDescent="0.25">
      <c r="A1486" t="s">
        <v>1143</v>
      </c>
      <c r="P1486" t="str">
        <f t="shared" si="392"/>
        <v xml:space="preserve">  HIDPA1-RS013  </v>
      </c>
      <c r="Q1486" t="str">
        <f t="shared" si="392"/>
        <v xml:space="preserve">   -58.3 </v>
      </c>
      <c r="R1486" t="str">
        <f t="shared" si="401"/>
        <v xml:space="preserve">     0.0 </v>
      </c>
      <c r="S1486" t="str">
        <f t="shared" si="393"/>
        <v xml:space="preserve">     0.0 </v>
      </c>
      <c r="T1486" t="str">
        <f t="shared" si="394"/>
        <v xml:space="preserve">     1.3 </v>
      </c>
      <c r="U1486" t="str">
        <f t="shared" si="398"/>
        <v xml:space="preserve">         0.0 </v>
      </c>
      <c r="V1486" t="str">
        <f t="shared" si="402"/>
        <v xml:space="preserve">     0.0 </v>
      </c>
      <c r="W1486" t="str">
        <f t="shared" si="395"/>
        <v xml:space="preserve">     0.0 </v>
      </c>
      <c r="X1486" t="str">
        <f t="shared" si="399"/>
        <v xml:space="preserve">       </v>
      </c>
      <c r="Y1486" t="str">
        <f t="shared" si="399"/>
        <v xml:space="preserve">              </v>
      </c>
      <c r="Z1486" t="str">
        <f t="shared" si="399"/>
        <v xml:space="preserve">    </v>
      </c>
      <c r="AA1486" t="str">
        <f t="shared" si="403"/>
        <v xml:space="preserve">         </v>
      </c>
      <c r="AB1486" t="str">
        <f t="shared" si="396"/>
        <v xml:space="preserve">         </v>
      </c>
      <c r="AC1486" t="str">
        <f t="shared" si="397"/>
        <v xml:space="preserve">    </v>
      </c>
      <c r="AD1486" t="str">
        <f t="shared" si="398"/>
        <v/>
      </c>
      <c r="AE1486" t="str">
        <f t="shared" si="404"/>
        <v/>
      </c>
      <c r="AF1486" t="str">
        <f t="shared" si="400"/>
        <v/>
      </c>
      <c r="AG1486" t="str">
        <f t="shared" si="400"/>
        <v/>
      </c>
      <c r="AH1486" t="str">
        <f t="shared" si="405"/>
        <v/>
      </c>
      <c r="AI1486" t="str">
        <f t="shared" si="390"/>
        <v/>
      </c>
      <c r="AJ1486" t="str">
        <f t="shared" si="391"/>
        <v/>
      </c>
    </row>
    <row r="1487" spans="1:36" x14ac:dyDescent="0.25">
      <c r="A1487" t="s">
        <v>1144</v>
      </c>
      <c r="P1487" t="str">
        <f t="shared" si="392"/>
        <v xml:space="preserve">                </v>
      </c>
      <c r="Q1487" t="str">
        <f t="shared" si="392"/>
        <v xml:space="preserve">         </v>
      </c>
      <c r="R1487" t="str">
        <f t="shared" si="401"/>
        <v xml:space="preserve">  9999.0 </v>
      </c>
      <c r="S1487" t="str">
        <f t="shared" si="393"/>
        <v xml:space="preserve">  9999.0 </v>
      </c>
      <c r="T1487" t="str">
        <f t="shared" si="394"/>
        <v xml:space="preserve">  9999.0 </v>
      </c>
      <c r="U1487" t="str">
        <f t="shared" si="398"/>
        <v xml:space="preserve">        0.0% </v>
      </c>
      <c r="V1487" t="str">
        <f t="shared" si="402"/>
        <v xml:space="preserve">         </v>
      </c>
      <c r="W1487" t="str">
        <f t="shared" si="395"/>
        <v xml:space="preserve">         </v>
      </c>
      <c r="X1487" t="str">
        <f t="shared" si="399"/>
        <v xml:space="preserve">  1333 </v>
      </c>
      <c r="Y1487" t="str">
        <f t="shared" si="399"/>
        <v xml:space="preserve"> PANAMB-RS013 </v>
      </c>
      <c r="Z1487" t="str">
        <f t="shared" si="399"/>
        <v xml:space="preserve">  1 </v>
      </c>
      <c r="AA1487" t="str">
        <f t="shared" si="403"/>
        <v xml:space="preserve">   -14.7 </v>
      </c>
      <c r="AB1487" t="str">
        <f t="shared" si="396"/>
        <v xml:space="preserve">    -1.3 </v>
      </c>
      <c r="AC1487" t="str">
        <f t="shared" si="397"/>
        <v xml:space="preserve">    14.7 </v>
      </c>
      <c r="AD1487" t="str">
        <f t="shared" si="398"/>
        <v xml:space="preserve">        </v>
      </c>
      <c r="AE1487" t="str">
        <f t="shared" si="404"/>
        <v xml:space="preserve">       </v>
      </c>
      <c r="AF1487" t="str">
        <f t="shared" si="400"/>
        <v xml:space="preserve">     </v>
      </c>
      <c r="AG1487" t="str">
        <f t="shared" si="400"/>
        <v xml:space="preserve">     0.00 </v>
      </c>
      <c r="AH1487" t="str">
        <f t="shared" si="405"/>
        <v xml:space="preserve">    -0.01 </v>
      </c>
      <c r="AI1487" t="str">
        <f t="shared" si="390"/>
        <v xml:space="preserve">       </v>
      </c>
      <c r="AJ1487" t="str">
        <f t="shared" si="391"/>
        <v xml:space="preserve">      </v>
      </c>
    </row>
    <row r="1488" spans="1:36" x14ac:dyDescent="0.25">
      <c r="A1488" t="s">
        <v>14</v>
      </c>
      <c r="P1488" t="str">
        <f t="shared" si="392"/>
        <v xml:space="preserve">  ..............</v>
      </c>
      <c r="Q1488" t="str">
        <f t="shared" si="392"/>
        <v>.........</v>
      </c>
      <c r="R1488" t="str">
        <f t="shared" si="401"/>
        <v>.........</v>
      </c>
      <c r="S1488" t="str">
        <f t="shared" si="393"/>
        <v>.........</v>
      </c>
      <c r="T1488" t="str">
        <f t="shared" si="394"/>
        <v>.........</v>
      </c>
      <c r="U1488" t="str">
        <f t="shared" si="398"/>
        <v>.............</v>
      </c>
      <c r="V1488" t="str">
        <f t="shared" si="402"/>
        <v>.........</v>
      </c>
      <c r="W1488" t="str">
        <f t="shared" si="395"/>
        <v>.........</v>
      </c>
      <c r="X1488" t="str">
        <f t="shared" si="399"/>
        <v>.......</v>
      </c>
      <c r="Y1488" t="str">
        <f t="shared" si="399"/>
        <v>..............</v>
      </c>
      <c r="Z1488" t="str">
        <f t="shared" si="399"/>
        <v>....</v>
      </c>
      <c r="AA1488" t="str">
        <f t="shared" si="403"/>
        <v>.........</v>
      </c>
      <c r="AB1488" t="str">
        <f t="shared" si="396"/>
        <v>.........</v>
      </c>
      <c r="AC1488" t="str">
        <f t="shared" si="397"/>
        <v>.........</v>
      </c>
      <c r="AD1488" t="str">
        <f t="shared" si="398"/>
        <v>........</v>
      </c>
      <c r="AE1488" t="str">
        <f t="shared" si="404"/>
        <v>.......</v>
      </c>
      <c r="AF1488" t="str">
        <f t="shared" si="400"/>
        <v>.....</v>
      </c>
      <c r="AG1488" t="str">
        <f t="shared" si="400"/>
        <v>..........</v>
      </c>
      <c r="AH1488" t="str">
        <f t="shared" si="405"/>
        <v>..........</v>
      </c>
      <c r="AI1488" t="str">
        <f t="shared" si="390"/>
        <v>.......</v>
      </c>
      <c r="AJ1488" t="str">
        <f t="shared" si="391"/>
        <v>.......</v>
      </c>
    </row>
    <row r="1489" spans="1:36" x14ac:dyDescent="0.25">
      <c r="A1489" t="s">
        <v>1145</v>
      </c>
      <c r="P1489" t="str">
        <f t="shared" si="392"/>
        <v xml:space="preserve">   9654   14  0 </v>
      </c>
      <c r="Q1489" t="str">
        <f t="shared" si="392"/>
        <v xml:space="preserve">   1.001 </v>
      </c>
      <c r="R1489" t="str">
        <f t="shared" si="401"/>
        <v xml:space="preserve">     1.8 </v>
      </c>
      <c r="S1489" t="str">
        <f t="shared" si="393"/>
        <v xml:space="preserve">     0.0 </v>
      </c>
      <c r="T1489" t="str">
        <f t="shared" si="394"/>
        <v xml:space="preserve">     6.2 </v>
      </c>
      <c r="U1489" t="str">
        <f t="shared" si="398"/>
        <v xml:space="preserve">         0.0 </v>
      </c>
      <c r="V1489" t="str">
        <f t="shared" si="402"/>
        <v xml:space="preserve">     0.0 </v>
      </c>
      <c r="W1489" t="str">
        <f t="shared" si="395"/>
        <v xml:space="preserve">     0.0</v>
      </c>
      <c r="X1489" t="str">
        <f t="shared" si="399"/>
        <v/>
      </c>
      <c r="Y1489" t="str">
        <f t="shared" si="399"/>
        <v/>
      </c>
      <c r="Z1489" t="str">
        <f t="shared" si="399"/>
        <v/>
      </c>
      <c r="AA1489" t="str">
        <f t="shared" si="403"/>
        <v/>
      </c>
      <c r="AB1489" t="str">
        <f t="shared" si="396"/>
        <v/>
      </c>
      <c r="AC1489" t="str">
        <f t="shared" si="397"/>
        <v/>
      </c>
      <c r="AD1489" t="str">
        <f t="shared" si="398"/>
        <v/>
      </c>
      <c r="AE1489" t="str">
        <f t="shared" si="404"/>
        <v/>
      </c>
      <c r="AF1489" t="str">
        <f t="shared" si="400"/>
        <v/>
      </c>
      <c r="AG1489" t="str">
        <f t="shared" si="400"/>
        <v/>
      </c>
      <c r="AH1489" t="str">
        <f t="shared" si="405"/>
        <v/>
      </c>
      <c r="AI1489" t="str">
        <f t="shared" si="390"/>
        <v/>
      </c>
      <c r="AJ1489" t="str">
        <f t="shared" si="391"/>
        <v/>
      </c>
    </row>
    <row r="1490" spans="1:36" x14ac:dyDescent="0.25">
      <c r="A1490" t="s">
        <v>1146</v>
      </c>
      <c r="P1490" t="str">
        <f t="shared" si="392"/>
        <v xml:space="preserve">  COPRE1-RS013  </v>
      </c>
      <c r="Q1490" t="str">
        <f t="shared" si="392"/>
        <v xml:space="preserve">   -58.3 </v>
      </c>
      <c r="R1490" t="str">
        <f t="shared" si="401"/>
        <v xml:space="preserve">     0.0 </v>
      </c>
      <c r="S1490" t="str">
        <f t="shared" si="393"/>
        <v xml:space="preserve">     0.0 </v>
      </c>
      <c r="T1490" t="str">
        <f t="shared" si="394"/>
        <v xml:space="preserve">     1.7 </v>
      </c>
      <c r="U1490" t="str">
        <f t="shared" si="398"/>
        <v xml:space="preserve">         0.0 </v>
      </c>
      <c r="V1490" t="str">
        <f t="shared" si="402"/>
        <v xml:space="preserve">     0.0 </v>
      </c>
      <c r="W1490" t="str">
        <f t="shared" si="395"/>
        <v xml:space="preserve">     0.0 </v>
      </c>
      <c r="X1490" t="str">
        <f t="shared" si="399"/>
        <v xml:space="preserve">       </v>
      </c>
      <c r="Y1490" t="str">
        <f t="shared" si="399"/>
        <v xml:space="preserve">              </v>
      </c>
      <c r="Z1490" t="str">
        <f t="shared" si="399"/>
        <v xml:space="preserve">    </v>
      </c>
      <c r="AA1490" t="str">
        <f t="shared" si="403"/>
        <v xml:space="preserve">         </v>
      </c>
      <c r="AB1490" t="str">
        <f t="shared" si="396"/>
        <v xml:space="preserve">         </v>
      </c>
      <c r="AC1490" t="str">
        <f t="shared" si="397"/>
        <v xml:space="preserve">    </v>
      </c>
      <c r="AD1490" t="str">
        <f t="shared" si="398"/>
        <v/>
      </c>
      <c r="AE1490" t="str">
        <f t="shared" si="404"/>
        <v/>
      </c>
      <c r="AF1490" t="str">
        <f t="shared" si="400"/>
        <v/>
      </c>
      <c r="AG1490" t="str">
        <f t="shared" si="400"/>
        <v/>
      </c>
      <c r="AH1490" t="str">
        <f t="shared" si="405"/>
        <v/>
      </c>
      <c r="AI1490" t="str">
        <f t="shared" si="390"/>
        <v/>
      </c>
      <c r="AJ1490" t="str">
        <f t="shared" si="391"/>
        <v/>
      </c>
    </row>
    <row r="1491" spans="1:36" x14ac:dyDescent="0.25">
      <c r="A1491" t="s">
        <v>1147</v>
      </c>
      <c r="P1491" t="str">
        <f t="shared" si="392"/>
        <v xml:space="preserve">                </v>
      </c>
      <c r="Q1491" t="str">
        <f t="shared" si="392"/>
        <v xml:space="preserve">         </v>
      </c>
      <c r="R1491" t="str">
        <f t="shared" si="401"/>
        <v xml:space="preserve">  9999.0 </v>
      </c>
      <c r="S1491" t="str">
        <f t="shared" si="393"/>
        <v xml:space="preserve">  9999.0 </v>
      </c>
      <c r="T1491" t="str">
        <f t="shared" si="394"/>
        <v xml:space="preserve">  9999.0 </v>
      </c>
      <c r="U1491" t="str">
        <f t="shared" si="398"/>
        <v xml:space="preserve">        0.0% </v>
      </c>
      <c r="V1491" t="str">
        <f t="shared" si="402"/>
        <v xml:space="preserve">         </v>
      </c>
      <c r="W1491" t="str">
        <f t="shared" si="395"/>
        <v xml:space="preserve">         </v>
      </c>
      <c r="X1491" t="str">
        <f t="shared" si="399"/>
        <v xml:space="preserve">  1333 </v>
      </c>
      <c r="Y1491" t="str">
        <f t="shared" si="399"/>
        <v xml:space="preserve"> PANAMB-RS013 </v>
      </c>
      <c r="Z1491" t="str">
        <f t="shared" si="399"/>
        <v xml:space="preserve">  1 </v>
      </c>
      <c r="AA1491" t="str">
        <f t="shared" si="403"/>
        <v xml:space="preserve">    -4.4 </v>
      </c>
      <c r="AB1491" t="str">
        <f t="shared" si="396"/>
        <v xml:space="preserve">    -1.7 </v>
      </c>
      <c r="AC1491" t="str">
        <f t="shared" si="397"/>
        <v xml:space="preserve">     4.7 </v>
      </c>
      <c r="AD1491" t="str">
        <f t="shared" si="398"/>
        <v xml:space="preserve">        </v>
      </c>
      <c r="AE1491" t="str">
        <f t="shared" si="404"/>
        <v xml:space="preserve">       </v>
      </c>
      <c r="AF1491" t="str">
        <f t="shared" si="400"/>
        <v xml:space="preserve">     </v>
      </c>
      <c r="AG1491" t="str">
        <f t="shared" si="400"/>
        <v xml:space="preserve">     0.00 </v>
      </c>
      <c r="AH1491" t="str">
        <f t="shared" si="405"/>
        <v xml:space="preserve">    -0.01 </v>
      </c>
      <c r="AI1491" t="str">
        <f t="shared" si="390"/>
        <v xml:space="preserve">       </v>
      </c>
      <c r="AJ1491" t="str">
        <f t="shared" si="391"/>
        <v xml:space="preserve">      </v>
      </c>
    </row>
    <row r="1492" spans="1:36" x14ac:dyDescent="0.25">
      <c r="A1492" t="s">
        <v>14</v>
      </c>
      <c r="P1492" t="str">
        <f t="shared" si="392"/>
        <v xml:space="preserve">  ..............</v>
      </c>
      <c r="Q1492" t="str">
        <f t="shared" si="392"/>
        <v>.........</v>
      </c>
      <c r="R1492" t="str">
        <f t="shared" si="401"/>
        <v>.........</v>
      </c>
      <c r="S1492" t="str">
        <f t="shared" si="393"/>
        <v>.........</v>
      </c>
      <c r="T1492" t="str">
        <f t="shared" si="394"/>
        <v>.........</v>
      </c>
      <c r="U1492" t="str">
        <f t="shared" si="398"/>
        <v>.............</v>
      </c>
      <c r="V1492" t="str">
        <f t="shared" si="402"/>
        <v>.........</v>
      </c>
      <c r="W1492" t="str">
        <f t="shared" si="395"/>
        <v>.........</v>
      </c>
      <c r="X1492" t="str">
        <f t="shared" si="399"/>
        <v>.......</v>
      </c>
      <c r="Y1492" t="str">
        <f t="shared" si="399"/>
        <v>..............</v>
      </c>
      <c r="Z1492" t="str">
        <f t="shared" si="399"/>
        <v>....</v>
      </c>
      <c r="AA1492" t="str">
        <f t="shared" si="403"/>
        <v>.........</v>
      </c>
      <c r="AB1492" t="str">
        <f t="shared" si="396"/>
        <v>.........</v>
      </c>
      <c r="AC1492" t="str">
        <f t="shared" si="397"/>
        <v>.........</v>
      </c>
      <c r="AD1492" t="str">
        <f t="shared" si="398"/>
        <v>........</v>
      </c>
      <c r="AE1492" t="str">
        <f t="shared" si="404"/>
        <v>.......</v>
      </c>
      <c r="AF1492" t="str">
        <f t="shared" si="400"/>
        <v>.....</v>
      </c>
      <c r="AG1492" t="str">
        <f t="shared" si="400"/>
        <v>..........</v>
      </c>
      <c r="AH1492" t="str">
        <f t="shared" si="405"/>
        <v>..........</v>
      </c>
      <c r="AI1492" t="str">
        <f t="shared" si="390"/>
        <v>.......</v>
      </c>
      <c r="AJ1492" t="str">
        <f t="shared" si="391"/>
        <v>.......</v>
      </c>
    </row>
    <row r="1493" spans="1:36" x14ac:dyDescent="0.25">
      <c r="A1493" t="s">
        <v>1148</v>
      </c>
      <c r="P1493" t="str">
        <f t="shared" si="392"/>
        <v xml:space="preserve">   9655   23  0 </v>
      </c>
      <c r="Q1493" t="str">
        <f t="shared" si="392"/>
        <v xml:space="preserve">   1.021 </v>
      </c>
      <c r="R1493" t="str">
        <f t="shared" si="401"/>
        <v xml:space="preserve">     0.0 </v>
      </c>
      <c r="S1493" t="str">
        <f t="shared" si="393"/>
        <v xml:space="preserve">     0.0 </v>
      </c>
      <c r="T1493" t="str">
        <f t="shared" si="394"/>
        <v xml:space="preserve">     5.6 </v>
      </c>
      <c r="U1493" t="str">
        <f t="shared" si="398"/>
        <v xml:space="preserve">         0.0 </v>
      </c>
      <c r="V1493" t="str">
        <f t="shared" si="402"/>
        <v xml:space="preserve">     0.0 </v>
      </c>
      <c r="W1493" t="str">
        <f t="shared" si="395"/>
        <v xml:space="preserve">     0.0</v>
      </c>
      <c r="X1493" t="str">
        <f t="shared" si="399"/>
        <v/>
      </c>
      <c r="Y1493" t="str">
        <f t="shared" si="399"/>
        <v/>
      </c>
      <c r="Z1493" t="str">
        <f t="shared" si="399"/>
        <v/>
      </c>
      <c r="AA1493" t="str">
        <f t="shared" si="403"/>
        <v/>
      </c>
      <c r="AB1493" t="str">
        <f t="shared" si="396"/>
        <v/>
      </c>
      <c r="AC1493" t="str">
        <f t="shared" si="397"/>
        <v/>
      </c>
      <c r="AD1493" t="str">
        <f t="shared" si="398"/>
        <v/>
      </c>
      <c r="AE1493" t="str">
        <f t="shared" si="404"/>
        <v/>
      </c>
      <c r="AF1493" t="str">
        <f t="shared" si="400"/>
        <v/>
      </c>
      <c r="AG1493" t="str">
        <f t="shared" si="400"/>
        <v/>
      </c>
      <c r="AH1493" t="str">
        <f t="shared" si="405"/>
        <v/>
      </c>
      <c r="AI1493" t="str">
        <f t="shared" si="390"/>
        <v/>
      </c>
      <c r="AJ1493" t="str">
        <f t="shared" si="391"/>
        <v/>
      </c>
    </row>
    <row r="1494" spans="1:36" x14ac:dyDescent="0.25">
      <c r="A1494" t="s">
        <v>1149</v>
      </c>
      <c r="P1494" t="str">
        <f t="shared" si="392"/>
        <v xml:space="preserve">  COPRE2-RS023  </v>
      </c>
      <c r="Q1494" t="str">
        <f t="shared" si="392"/>
        <v xml:space="preserve">   -51.4 </v>
      </c>
      <c r="R1494" t="str">
        <f t="shared" si="401"/>
        <v xml:space="preserve">     0.0 </v>
      </c>
      <c r="S1494" t="str">
        <f t="shared" si="393"/>
        <v xml:space="preserve">     0.0 </v>
      </c>
      <c r="T1494" t="str">
        <f t="shared" si="394"/>
        <v xml:space="preserve">     2.1 </v>
      </c>
      <c r="U1494" t="str">
        <f t="shared" si="398"/>
        <v xml:space="preserve">         0.0 </v>
      </c>
      <c r="V1494" t="str">
        <f t="shared" si="402"/>
        <v xml:space="preserve">     0.0 </v>
      </c>
      <c r="W1494" t="str">
        <f t="shared" si="395"/>
        <v xml:space="preserve">     0.0 </v>
      </c>
      <c r="X1494" t="str">
        <f t="shared" si="399"/>
        <v xml:space="preserve">       </v>
      </c>
      <c r="Y1494" t="str">
        <f t="shared" si="399"/>
        <v xml:space="preserve">              </v>
      </c>
      <c r="Z1494" t="str">
        <f t="shared" si="399"/>
        <v xml:space="preserve">    </v>
      </c>
      <c r="AA1494" t="str">
        <f t="shared" si="403"/>
        <v xml:space="preserve">         </v>
      </c>
      <c r="AB1494" t="str">
        <f t="shared" si="396"/>
        <v xml:space="preserve">         </v>
      </c>
      <c r="AC1494" t="str">
        <f t="shared" si="397"/>
        <v xml:space="preserve">    </v>
      </c>
      <c r="AD1494" t="str">
        <f t="shared" si="398"/>
        <v/>
      </c>
      <c r="AE1494" t="str">
        <f t="shared" si="404"/>
        <v/>
      </c>
      <c r="AF1494" t="str">
        <f t="shared" si="400"/>
        <v/>
      </c>
      <c r="AG1494" t="str">
        <f t="shared" si="400"/>
        <v/>
      </c>
      <c r="AH1494" t="str">
        <f t="shared" si="405"/>
        <v/>
      </c>
      <c r="AI1494" t="str">
        <f t="shared" si="390"/>
        <v/>
      </c>
      <c r="AJ1494" t="str">
        <f t="shared" si="391"/>
        <v/>
      </c>
    </row>
    <row r="1495" spans="1:36" x14ac:dyDescent="0.25">
      <c r="A1495" t="s">
        <v>1150</v>
      </c>
      <c r="P1495" t="str">
        <f t="shared" si="392"/>
        <v xml:space="preserve">                </v>
      </c>
      <c r="Q1495" t="str">
        <f t="shared" si="392"/>
        <v xml:space="preserve">         </v>
      </c>
      <c r="R1495" t="str">
        <f t="shared" si="401"/>
        <v xml:space="preserve">  9999.0 </v>
      </c>
      <c r="S1495" t="str">
        <f t="shared" si="393"/>
        <v xml:space="preserve">  9999.0 </v>
      </c>
      <c r="T1495" t="str">
        <f t="shared" si="394"/>
        <v xml:space="preserve">  9999.0 </v>
      </c>
      <c r="U1495" t="str">
        <f t="shared" si="398"/>
        <v xml:space="preserve">        0.0% </v>
      </c>
      <c r="V1495" t="str">
        <f t="shared" si="402"/>
        <v xml:space="preserve">         </v>
      </c>
      <c r="W1495" t="str">
        <f t="shared" si="395"/>
        <v xml:space="preserve">         </v>
      </c>
      <c r="X1495" t="str">
        <f t="shared" si="399"/>
        <v xml:space="preserve">  9675 </v>
      </c>
      <c r="Y1495" t="str">
        <f t="shared" si="399"/>
        <v xml:space="preserve"> CAL1-A-RS023 </v>
      </c>
      <c r="Z1495" t="str">
        <f t="shared" si="399"/>
        <v xml:space="preserve">  1 </v>
      </c>
      <c r="AA1495" t="str">
        <f t="shared" si="403"/>
        <v xml:space="preserve">    -5.6 </v>
      </c>
      <c r="AB1495" t="str">
        <f t="shared" si="396"/>
        <v xml:space="preserve">    -2.1 </v>
      </c>
      <c r="AC1495" t="str">
        <f t="shared" si="397"/>
        <v xml:space="preserve">     5.9 </v>
      </c>
      <c r="AD1495" t="str">
        <f t="shared" si="398"/>
        <v xml:space="preserve">        </v>
      </c>
      <c r="AE1495" t="str">
        <f t="shared" si="404"/>
        <v xml:space="preserve">       </v>
      </c>
      <c r="AF1495" t="str">
        <f t="shared" si="400"/>
        <v xml:space="preserve">     </v>
      </c>
      <c r="AG1495" t="str">
        <f t="shared" si="400"/>
        <v xml:space="preserve">     0.00 </v>
      </c>
      <c r="AH1495" t="str">
        <f t="shared" si="405"/>
        <v xml:space="preserve">    -0.01 </v>
      </c>
      <c r="AI1495" t="str">
        <f t="shared" ref="AI1495:AI1558" si="406">MID($A1495,AG$8+AG$9+AH$9-2,AI$9)</f>
        <v xml:space="preserve">       </v>
      </c>
      <c r="AJ1495" t="str">
        <f t="shared" ref="AJ1495:AJ1558" si="407">MID($A1495,AG$8+AG$9+AH$9+AI$9-3,AJ$9)</f>
        <v xml:space="preserve">      </v>
      </c>
    </row>
    <row r="1496" spans="1:36" x14ac:dyDescent="0.25">
      <c r="A1496" t="s">
        <v>14</v>
      </c>
      <c r="P1496" t="str">
        <f t="shared" si="392"/>
        <v xml:space="preserve">  ..............</v>
      </c>
      <c r="Q1496" t="str">
        <f t="shared" si="392"/>
        <v>.........</v>
      </c>
      <c r="R1496" t="str">
        <f t="shared" si="401"/>
        <v>.........</v>
      </c>
      <c r="S1496" t="str">
        <f t="shared" si="393"/>
        <v>.........</v>
      </c>
      <c r="T1496" t="str">
        <f t="shared" si="394"/>
        <v>.........</v>
      </c>
      <c r="U1496" t="str">
        <f t="shared" si="398"/>
        <v>.............</v>
      </c>
      <c r="V1496" t="str">
        <f t="shared" si="402"/>
        <v>.........</v>
      </c>
      <c r="W1496" t="str">
        <f t="shared" si="395"/>
        <v>.........</v>
      </c>
      <c r="X1496" t="str">
        <f t="shared" si="399"/>
        <v>.......</v>
      </c>
      <c r="Y1496" t="str">
        <f t="shared" si="399"/>
        <v>..............</v>
      </c>
      <c r="Z1496" t="str">
        <f t="shared" si="399"/>
        <v>....</v>
      </c>
      <c r="AA1496" t="str">
        <f t="shared" si="403"/>
        <v>.........</v>
      </c>
      <c r="AB1496" t="str">
        <f t="shared" si="396"/>
        <v>.........</v>
      </c>
      <c r="AC1496" t="str">
        <f t="shared" si="397"/>
        <v>.........</v>
      </c>
      <c r="AD1496" t="str">
        <f t="shared" si="398"/>
        <v>........</v>
      </c>
      <c r="AE1496" t="str">
        <f t="shared" si="404"/>
        <v>.......</v>
      </c>
      <c r="AF1496" t="str">
        <f t="shared" si="400"/>
        <v>.....</v>
      </c>
      <c r="AG1496" t="str">
        <f t="shared" si="400"/>
        <v>..........</v>
      </c>
      <c r="AH1496" t="str">
        <f t="shared" si="405"/>
        <v>..........</v>
      </c>
      <c r="AI1496" t="str">
        <f t="shared" si="406"/>
        <v>.......</v>
      </c>
      <c r="AJ1496" t="str">
        <f t="shared" si="407"/>
        <v>.......</v>
      </c>
    </row>
    <row r="1497" spans="1:36" x14ac:dyDescent="0.25">
      <c r="A1497" t="s">
        <v>1151</v>
      </c>
      <c r="P1497" t="str">
        <f t="shared" si="392"/>
        <v xml:space="preserve">   9657   23  0 </v>
      </c>
      <c r="Q1497" t="str">
        <f t="shared" si="392"/>
        <v xml:space="preserve">   1.062 </v>
      </c>
      <c r="R1497" t="str">
        <f t="shared" si="401"/>
        <v xml:space="preserve">     2.0 </v>
      </c>
      <c r="S1497" t="str">
        <f t="shared" si="393"/>
        <v xml:space="preserve">     0.0 </v>
      </c>
      <c r="T1497" t="str">
        <f t="shared" si="394"/>
        <v xml:space="preserve">    25.9 </v>
      </c>
      <c r="U1497" t="str">
        <f t="shared" si="398"/>
        <v xml:space="preserve">         0.0 </v>
      </c>
      <c r="V1497" t="str">
        <f t="shared" si="402"/>
        <v xml:space="preserve">     0.0 </v>
      </c>
      <c r="W1497" t="str">
        <f t="shared" si="395"/>
        <v xml:space="preserve">     0.0</v>
      </c>
      <c r="X1497" t="str">
        <f t="shared" si="399"/>
        <v/>
      </c>
      <c r="Y1497" t="str">
        <f t="shared" si="399"/>
        <v/>
      </c>
      <c r="Z1497" t="str">
        <f t="shared" si="399"/>
        <v/>
      </c>
      <c r="AA1497" t="str">
        <f t="shared" si="403"/>
        <v/>
      </c>
      <c r="AB1497" t="str">
        <f t="shared" si="396"/>
        <v/>
      </c>
      <c r="AC1497" t="str">
        <f t="shared" si="397"/>
        <v/>
      </c>
      <c r="AD1497" t="str">
        <f t="shared" si="398"/>
        <v/>
      </c>
      <c r="AE1497" t="str">
        <f t="shared" si="404"/>
        <v/>
      </c>
      <c r="AF1497" t="str">
        <f t="shared" si="400"/>
        <v/>
      </c>
      <c r="AG1497" t="str">
        <f t="shared" si="400"/>
        <v/>
      </c>
      <c r="AH1497" t="str">
        <f t="shared" si="405"/>
        <v/>
      </c>
      <c r="AI1497" t="str">
        <f t="shared" si="406"/>
        <v/>
      </c>
      <c r="AJ1497" t="str">
        <f t="shared" si="407"/>
        <v/>
      </c>
    </row>
    <row r="1498" spans="1:36" x14ac:dyDescent="0.25">
      <c r="A1498" t="s">
        <v>1152</v>
      </c>
      <c r="P1498" t="str">
        <f t="shared" si="392"/>
        <v xml:space="preserve">  DEMEI1-RS023  </v>
      </c>
      <c r="Q1498" t="str">
        <f t="shared" si="392"/>
        <v xml:space="preserve">   -55.4 </v>
      </c>
      <c r="R1498" t="str">
        <f t="shared" si="401"/>
        <v xml:space="preserve">     0.0 </v>
      </c>
      <c r="S1498" t="str">
        <f t="shared" si="393"/>
        <v xml:space="preserve">     0.0 </v>
      </c>
      <c r="T1498" t="str">
        <f t="shared" si="394"/>
        <v xml:space="preserve">     7.7 </v>
      </c>
      <c r="U1498" t="str">
        <f t="shared" si="398"/>
        <v xml:space="preserve">         0.0 </v>
      </c>
      <c r="V1498" t="str">
        <f t="shared" si="402"/>
        <v xml:space="preserve">     0.0 </v>
      </c>
      <c r="W1498" t="str">
        <f t="shared" si="395"/>
        <v xml:space="preserve">     0.0 </v>
      </c>
      <c r="X1498" t="str">
        <f t="shared" si="399"/>
        <v xml:space="preserve">       </v>
      </c>
      <c r="Y1498" t="str">
        <f t="shared" si="399"/>
        <v xml:space="preserve">              </v>
      </c>
      <c r="Z1498" t="str">
        <f t="shared" si="399"/>
        <v xml:space="preserve">    </v>
      </c>
      <c r="AA1498" t="str">
        <f t="shared" si="403"/>
        <v xml:space="preserve">         </v>
      </c>
      <c r="AB1498" t="str">
        <f t="shared" si="396"/>
        <v xml:space="preserve">         </v>
      </c>
      <c r="AC1498" t="str">
        <f t="shared" si="397"/>
        <v xml:space="preserve">    </v>
      </c>
      <c r="AD1498" t="str">
        <f t="shared" si="398"/>
        <v/>
      </c>
      <c r="AE1498" t="str">
        <f t="shared" si="404"/>
        <v/>
      </c>
      <c r="AF1498" t="str">
        <f t="shared" si="400"/>
        <v/>
      </c>
      <c r="AG1498" t="str">
        <f t="shared" si="400"/>
        <v/>
      </c>
      <c r="AH1498" t="str">
        <f t="shared" si="405"/>
        <v/>
      </c>
      <c r="AI1498" t="str">
        <f t="shared" si="406"/>
        <v/>
      </c>
      <c r="AJ1498" t="str">
        <f t="shared" si="407"/>
        <v/>
      </c>
    </row>
    <row r="1499" spans="1:36" x14ac:dyDescent="0.25">
      <c r="A1499" t="s">
        <v>1153</v>
      </c>
      <c r="P1499" t="str">
        <f t="shared" ref="P1499:Q1562" si="408">MID($A1499,P$8,P$9)</f>
        <v xml:space="preserve">                </v>
      </c>
      <c r="Q1499" t="str">
        <f t="shared" si="408"/>
        <v xml:space="preserve">         </v>
      </c>
      <c r="R1499" t="str">
        <f t="shared" si="401"/>
        <v xml:space="preserve">  9999.0 </v>
      </c>
      <c r="S1499" t="str">
        <f t="shared" ref="S1499:S1562" si="409">MID($A1499,Q$8+Q$9+R$9-2,S$9)</f>
        <v xml:space="preserve">  9999.0 </v>
      </c>
      <c r="T1499" t="str">
        <f t="shared" ref="T1499:T1562" si="410">MID($A1499,Q$8+Q$9+R$9+S$9-3,T$9)</f>
        <v xml:space="preserve">  9999.0 </v>
      </c>
      <c r="U1499" t="str">
        <f t="shared" si="398"/>
        <v xml:space="preserve">        0.0% </v>
      </c>
      <c r="V1499" t="str">
        <f t="shared" si="402"/>
        <v xml:space="preserve">         </v>
      </c>
      <c r="W1499" t="str">
        <f t="shared" ref="W1499:W1562" si="411">MID($A1499,U$8+U$9+V$9-2,W$9)</f>
        <v xml:space="preserve">         </v>
      </c>
      <c r="X1499" t="str">
        <f t="shared" si="399"/>
        <v xml:space="preserve">  9674 </v>
      </c>
      <c r="Y1499" t="str">
        <f t="shared" si="399"/>
        <v xml:space="preserve"> IJUI1--RS023 </v>
      </c>
      <c r="Z1499" t="str">
        <f t="shared" si="399"/>
        <v xml:space="preserve">  1 </v>
      </c>
      <c r="AA1499" t="str">
        <f t="shared" si="403"/>
        <v xml:space="preserve">   -23.9 </v>
      </c>
      <c r="AB1499" t="str">
        <f t="shared" ref="AB1499:AB1562" si="412">MID($A1499,Z$8+Z$9+AA$9-2,AB$9)</f>
        <v xml:space="preserve">    -7.7 </v>
      </c>
      <c r="AC1499" t="str">
        <f t="shared" ref="AC1499:AC1562" si="413">MID($A1499,Z$8+Z$9+AA$9+AB$9-3,AC$9)</f>
        <v xml:space="preserve">    23.6 </v>
      </c>
      <c r="AD1499" t="str">
        <f t="shared" si="398"/>
        <v xml:space="preserve">        </v>
      </c>
      <c r="AE1499" t="str">
        <f t="shared" si="404"/>
        <v xml:space="preserve">       </v>
      </c>
      <c r="AF1499" t="str">
        <f t="shared" si="400"/>
        <v xml:space="preserve">     </v>
      </c>
      <c r="AG1499" t="str">
        <f t="shared" si="400"/>
        <v xml:space="preserve">     0.00 </v>
      </c>
      <c r="AH1499" t="str">
        <f t="shared" si="405"/>
        <v xml:space="preserve">    -0.01 </v>
      </c>
      <c r="AI1499" t="str">
        <f t="shared" si="406"/>
        <v xml:space="preserve">       </v>
      </c>
      <c r="AJ1499" t="str">
        <f t="shared" si="407"/>
        <v xml:space="preserve">      </v>
      </c>
    </row>
    <row r="1500" spans="1:36" x14ac:dyDescent="0.25">
      <c r="A1500" t="s">
        <v>14</v>
      </c>
      <c r="P1500" t="str">
        <f t="shared" si="408"/>
        <v xml:space="preserve">  ..............</v>
      </c>
      <c r="Q1500" t="str">
        <f t="shared" si="408"/>
        <v>.........</v>
      </c>
      <c r="R1500" t="str">
        <f t="shared" si="401"/>
        <v>.........</v>
      </c>
      <c r="S1500" t="str">
        <f t="shared" si="409"/>
        <v>.........</v>
      </c>
      <c r="T1500" t="str">
        <f t="shared" si="410"/>
        <v>.........</v>
      </c>
      <c r="U1500" t="str">
        <f t="shared" ref="U1500:AD1563" si="414">MID($A1500,U$8,U$9)</f>
        <v>.............</v>
      </c>
      <c r="V1500" t="str">
        <f t="shared" si="402"/>
        <v>.........</v>
      </c>
      <c r="W1500" t="str">
        <f t="shared" si="411"/>
        <v>.........</v>
      </c>
      <c r="X1500" t="str">
        <f t="shared" ref="X1500:Z1563" si="415">MID($A1500,X$8,X$9)</f>
        <v>.......</v>
      </c>
      <c r="Y1500" t="str">
        <f t="shared" si="415"/>
        <v>..............</v>
      </c>
      <c r="Z1500" t="str">
        <f t="shared" si="415"/>
        <v>....</v>
      </c>
      <c r="AA1500" t="str">
        <f t="shared" si="403"/>
        <v>.........</v>
      </c>
      <c r="AB1500" t="str">
        <f t="shared" si="412"/>
        <v>.........</v>
      </c>
      <c r="AC1500" t="str">
        <f t="shared" si="413"/>
        <v>.........</v>
      </c>
      <c r="AD1500" t="str">
        <f t="shared" si="414"/>
        <v>........</v>
      </c>
      <c r="AE1500" t="str">
        <f t="shared" si="404"/>
        <v>.......</v>
      </c>
      <c r="AF1500" t="str">
        <f t="shared" si="400"/>
        <v>.....</v>
      </c>
      <c r="AG1500" t="str">
        <f t="shared" si="400"/>
        <v>..........</v>
      </c>
      <c r="AH1500" t="str">
        <f t="shared" si="405"/>
        <v>..........</v>
      </c>
      <c r="AI1500" t="str">
        <f t="shared" si="406"/>
        <v>.......</v>
      </c>
      <c r="AJ1500" t="str">
        <f t="shared" si="407"/>
        <v>.......</v>
      </c>
    </row>
    <row r="1501" spans="1:36" x14ac:dyDescent="0.25">
      <c r="A1501" t="s">
        <v>1154</v>
      </c>
      <c r="P1501" t="str">
        <f t="shared" si="408"/>
        <v xml:space="preserve">   9659   23  0 </v>
      </c>
      <c r="Q1501" t="str">
        <f t="shared" si="408"/>
        <v xml:space="preserve">   1.062 </v>
      </c>
      <c r="R1501" t="str">
        <f t="shared" si="401"/>
        <v xml:space="preserve">     2.5 </v>
      </c>
      <c r="S1501" t="str">
        <f t="shared" si="409"/>
        <v xml:space="preserve">     0.0 </v>
      </c>
      <c r="T1501" t="str">
        <f t="shared" si="410"/>
        <v xml:space="preserve">     5.7 </v>
      </c>
      <c r="U1501" t="str">
        <f t="shared" si="414"/>
        <v xml:space="preserve">         0.0 </v>
      </c>
      <c r="V1501" t="str">
        <f t="shared" si="402"/>
        <v xml:space="preserve">     0.0 </v>
      </c>
      <c r="W1501" t="str">
        <f t="shared" si="411"/>
        <v xml:space="preserve">     0.0</v>
      </c>
      <c r="X1501" t="str">
        <f t="shared" si="415"/>
        <v/>
      </c>
      <c r="Y1501" t="str">
        <f t="shared" si="415"/>
        <v/>
      </c>
      <c r="Z1501" t="str">
        <f t="shared" si="415"/>
        <v/>
      </c>
      <c r="AA1501" t="str">
        <f t="shared" si="403"/>
        <v/>
      </c>
      <c r="AB1501" t="str">
        <f t="shared" si="412"/>
        <v/>
      </c>
      <c r="AC1501" t="str">
        <f t="shared" si="413"/>
        <v/>
      </c>
      <c r="AD1501" t="str">
        <f t="shared" si="414"/>
        <v/>
      </c>
      <c r="AE1501" t="str">
        <f t="shared" si="404"/>
        <v/>
      </c>
      <c r="AF1501" t="str">
        <f t="shared" ref="AF1501:AG1564" si="416">MID($A1501,AF$8,AF$9)</f>
        <v/>
      </c>
      <c r="AG1501" t="str">
        <f t="shared" si="416"/>
        <v/>
      </c>
      <c r="AH1501" t="str">
        <f t="shared" si="405"/>
        <v/>
      </c>
      <c r="AI1501" t="str">
        <f t="shared" si="406"/>
        <v/>
      </c>
      <c r="AJ1501" t="str">
        <f t="shared" si="407"/>
        <v/>
      </c>
    </row>
    <row r="1502" spans="1:36" x14ac:dyDescent="0.25">
      <c r="A1502" t="s">
        <v>1155</v>
      </c>
      <c r="P1502" t="str">
        <f t="shared" si="408"/>
        <v xml:space="preserve">  CERLU1-RS023  </v>
      </c>
      <c r="Q1502" t="str">
        <f t="shared" si="408"/>
        <v xml:space="preserve">   -55.4 </v>
      </c>
      <c r="R1502" t="str">
        <f t="shared" si="401"/>
        <v xml:space="preserve">     0.0 </v>
      </c>
      <c r="S1502" t="str">
        <f t="shared" si="409"/>
        <v xml:space="preserve">     0.0 </v>
      </c>
      <c r="T1502" t="str">
        <f t="shared" si="410"/>
        <v xml:space="preserve">     1.4 </v>
      </c>
      <c r="U1502" t="str">
        <f t="shared" si="414"/>
        <v xml:space="preserve">         0.0 </v>
      </c>
      <c r="V1502" t="str">
        <f t="shared" si="402"/>
        <v xml:space="preserve">     0.0 </v>
      </c>
      <c r="W1502" t="str">
        <f t="shared" si="411"/>
        <v xml:space="preserve">     0.0 </v>
      </c>
      <c r="X1502" t="str">
        <f t="shared" si="415"/>
        <v xml:space="preserve">       </v>
      </c>
      <c r="Y1502" t="str">
        <f t="shared" si="415"/>
        <v xml:space="preserve">              </v>
      </c>
      <c r="Z1502" t="str">
        <f t="shared" si="415"/>
        <v xml:space="preserve">    </v>
      </c>
      <c r="AA1502" t="str">
        <f t="shared" si="403"/>
        <v xml:space="preserve">         </v>
      </c>
      <c r="AB1502" t="str">
        <f t="shared" si="412"/>
        <v xml:space="preserve">         </v>
      </c>
      <c r="AC1502" t="str">
        <f t="shared" si="413"/>
        <v xml:space="preserve">    </v>
      </c>
      <c r="AD1502" t="str">
        <f t="shared" si="414"/>
        <v/>
      </c>
      <c r="AE1502" t="str">
        <f t="shared" si="404"/>
        <v/>
      </c>
      <c r="AF1502" t="str">
        <f t="shared" si="416"/>
        <v/>
      </c>
      <c r="AG1502" t="str">
        <f t="shared" si="416"/>
        <v/>
      </c>
      <c r="AH1502" t="str">
        <f t="shared" si="405"/>
        <v/>
      </c>
      <c r="AI1502" t="str">
        <f t="shared" si="406"/>
        <v/>
      </c>
      <c r="AJ1502" t="str">
        <f t="shared" si="407"/>
        <v/>
      </c>
    </row>
    <row r="1503" spans="1:36" x14ac:dyDescent="0.25">
      <c r="A1503" t="s">
        <v>1156</v>
      </c>
      <c r="P1503" t="str">
        <f t="shared" si="408"/>
        <v xml:space="preserve">                </v>
      </c>
      <c r="Q1503" t="str">
        <f t="shared" si="408"/>
        <v xml:space="preserve">         </v>
      </c>
      <c r="R1503" t="str">
        <f t="shared" si="401"/>
        <v xml:space="preserve">  9999.0 </v>
      </c>
      <c r="S1503" t="str">
        <f t="shared" si="409"/>
        <v xml:space="preserve">  9999.0 </v>
      </c>
      <c r="T1503" t="str">
        <f t="shared" si="410"/>
        <v xml:space="preserve">  9999.0 </v>
      </c>
      <c r="U1503" t="str">
        <f t="shared" si="414"/>
        <v xml:space="preserve">        0.0% </v>
      </c>
      <c r="V1503" t="str">
        <f t="shared" si="402"/>
        <v xml:space="preserve">         </v>
      </c>
      <c r="W1503" t="str">
        <f t="shared" si="411"/>
        <v xml:space="preserve">         </v>
      </c>
      <c r="X1503" t="str">
        <f t="shared" si="415"/>
        <v xml:space="preserve">  9674 </v>
      </c>
      <c r="Y1503" t="str">
        <f t="shared" si="415"/>
        <v xml:space="preserve"> IJUI1--RS023 </v>
      </c>
      <c r="Z1503" t="str">
        <f t="shared" si="415"/>
        <v xml:space="preserve">  1 </v>
      </c>
      <c r="AA1503" t="str">
        <f t="shared" si="403"/>
        <v xml:space="preserve">    -3.2 </v>
      </c>
      <c r="AB1503" t="str">
        <f t="shared" si="412"/>
        <v xml:space="preserve">    -1.4 </v>
      </c>
      <c r="AC1503" t="str">
        <f t="shared" si="413"/>
        <v xml:space="preserve">     3.3 </v>
      </c>
      <c r="AD1503" t="str">
        <f t="shared" si="414"/>
        <v xml:space="preserve">        </v>
      </c>
      <c r="AE1503" t="str">
        <f t="shared" si="404"/>
        <v xml:space="preserve">       </v>
      </c>
      <c r="AF1503" t="str">
        <f t="shared" si="416"/>
        <v xml:space="preserve">     </v>
      </c>
      <c r="AG1503" t="str">
        <f t="shared" si="416"/>
        <v xml:space="preserve">     0.00 </v>
      </c>
      <c r="AH1503" t="str">
        <f t="shared" si="405"/>
        <v xml:space="preserve">    -0.01 </v>
      </c>
      <c r="AI1503" t="str">
        <f t="shared" si="406"/>
        <v xml:space="preserve">       </v>
      </c>
      <c r="AJ1503" t="str">
        <f t="shared" si="407"/>
        <v xml:space="preserve">      </v>
      </c>
    </row>
    <row r="1504" spans="1:36" x14ac:dyDescent="0.25">
      <c r="A1504" t="s">
        <v>14</v>
      </c>
      <c r="P1504" t="str">
        <f t="shared" si="408"/>
        <v xml:space="preserve">  ..............</v>
      </c>
      <c r="Q1504" t="str">
        <f t="shared" si="408"/>
        <v>.........</v>
      </c>
      <c r="R1504" t="str">
        <f t="shared" si="401"/>
        <v>.........</v>
      </c>
      <c r="S1504" t="str">
        <f t="shared" si="409"/>
        <v>.........</v>
      </c>
      <c r="T1504" t="str">
        <f t="shared" si="410"/>
        <v>.........</v>
      </c>
      <c r="U1504" t="str">
        <f t="shared" si="414"/>
        <v>.............</v>
      </c>
      <c r="V1504" t="str">
        <f t="shared" si="402"/>
        <v>.........</v>
      </c>
      <c r="W1504" t="str">
        <f t="shared" si="411"/>
        <v>.........</v>
      </c>
      <c r="X1504" t="str">
        <f t="shared" si="415"/>
        <v>.......</v>
      </c>
      <c r="Y1504" t="str">
        <f t="shared" si="415"/>
        <v>..............</v>
      </c>
      <c r="Z1504" t="str">
        <f t="shared" si="415"/>
        <v>....</v>
      </c>
      <c r="AA1504" t="str">
        <f t="shared" si="403"/>
        <v>.........</v>
      </c>
      <c r="AB1504" t="str">
        <f t="shared" si="412"/>
        <v>.........</v>
      </c>
      <c r="AC1504" t="str">
        <f t="shared" si="413"/>
        <v>.........</v>
      </c>
      <c r="AD1504" t="str">
        <f t="shared" si="414"/>
        <v>........</v>
      </c>
      <c r="AE1504" t="str">
        <f t="shared" si="404"/>
        <v>.......</v>
      </c>
      <c r="AF1504" t="str">
        <f t="shared" si="416"/>
        <v>.....</v>
      </c>
      <c r="AG1504" t="str">
        <f t="shared" si="416"/>
        <v>..........</v>
      </c>
      <c r="AH1504" t="str">
        <f t="shared" si="405"/>
        <v>..........</v>
      </c>
      <c r="AI1504" t="str">
        <f t="shared" si="406"/>
        <v>.......</v>
      </c>
      <c r="AJ1504" t="str">
        <f t="shared" si="407"/>
        <v>.......</v>
      </c>
    </row>
    <row r="1505" spans="1:36" x14ac:dyDescent="0.25">
      <c r="A1505" t="s">
        <v>1157</v>
      </c>
      <c r="P1505" t="str">
        <f t="shared" si="408"/>
        <v xml:space="preserve">   9660   23  0 </v>
      </c>
      <c r="Q1505" t="str">
        <f t="shared" si="408"/>
        <v xml:space="preserve">   1.046 </v>
      </c>
      <c r="R1505" t="str">
        <f t="shared" si="401"/>
        <v xml:space="preserve">     3.5 </v>
      </c>
      <c r="S1505" t="str">
        <f t="shared" si="409"/>
        <v xml:space="preserve">     0.0 </v>
      </c>
      <c r="T1505" t="str">
        <f t="shared" si="410"/>
        <v xml:space="preserve">    13.2 </v>
      </c>
      <c r="U1505" t="str">
        <f t="shared" si="414"/>
        <v xml:space="preserve">         0.0 </v>
      </c>
      <c r="V1505" t="str">
        <f t="shared" si="402"/>
        <v xml:space="preserve">     3.9 </v>
      </c>
      <c r="W1505" t="str">
        <f t="shared" si="411"/>
        <v xml:space="preserve">     0.0</v>
      </c>
      <c r="X1505" t="str">
        <f t="shared" si="415"/>
        <v/>
      </c>
      <c r="Y1505" t="str">
        <f t="shared" si="415"/>
        <v/>
      </c>
      <c r="Z1505" t="str">
        <f t="shared" si="415"/>
        <v/>
      </c>
      <c r="AA1505" t="str">
        <f t="shared" si="403"/>
        <v/>
      </c>
      <c r="AB1505" t="str">
        <f t="shared" si="412"/>
        <v/>
      </c>
      <c r="AC1505" t="str">
        <f t="shared" si="413"/>
        <v/>
      </c>
      <c r="AD1505" t="str">
        <f t="shared" si="414"/>
        <v/>
      </c>
      <c r="AE1505" t="str">
        <f t="shared" si="404"/>
        <v/>
      </c>
      <c r="AF1505" t="str">
        <f t="shared" si="416"/>
        <v/>
      </c>
      <c r="AG1505" t="str">
        <f t="shared" si="416"/>
        <v/>
      </c>
      <c r="AH1505" t="str">
        <f t="shared" si="405"/>
        <v/>
      </c>
      <c r="AI1505" t="str">
        <f t="shared" si="406"/>
        <v/>
      </c>
      <c r="AJ1505" t="str">
        <f t="shared" si="407"/>
        <v/>
      </c>
    </row>
    <row r="1506" spans="1:36" x14ac:dyDescent="0.25">
      <c r="A1506" t="s">
        <v>1158</v>
      </c>
      <c r="P1506" t="str">
        <f t="shared" si="408"/>
        <v xml:space="preserve">  CAL1-B-RS023  </v>
      </c>
      <c r="Q1506" t="str">
        <f t="shared" si="408"/>
        <v xml:space="preserve">   -51.7 </v>
      </c>
      <c r="R1506" t="str">
        <f t="shared" si="401"/>
        <v xml:space="preserve">     0.0 </v>
      </c>
      <c r="S1506" t="str">
        <f t="shared" si="409"/>
        <v xml:space="preserve">     0.0 </v>
      </c>
      <c r="T1506" t="str">
        <f t="shared" si="410"/>
        <v xml:space="preserve">     4.3 </v>
      </c>
      <c r="U1506" t="str">
        <f t="shared" si="414"/>
        <v xml:space="preserve">         0.0 </v>
      </c>
      <c r="V1506" t="str">
        <f t="shared" si="402"/>
        <v xml:space="preserve">     0.0 </v>
      </c>
      <c r="W1506" t="str">
        <f t="shared" si="411"/>
        <v xml:space="preserve">     0.0 </v>
      </c>
      <c r="X1506" t="str">
        <f t="shared" si="415"/>
        <v xml:space="preserve">       </v>
      </c>
      <c r="Y1506" t="str">
        <f t="shared" si="415"/>
        <v xml:space="preserve">              </v>
      </c>
      <c r="Z1506" t="str">
        <f t="shared" si="415"/>
        <v xml:space="preserve">    </v>
      </c>
      <c r="AA1506" t="str">
        <f t="shared" si="403"/>
        <v xml:space="preserve">         </v>
      </c>
      <c r="AB1506" t="str">
        <f t="shared" si="412"/>
        <v xml:space="preserve">         </v>
      </c>
      <c r="AC1506" t="str">
        <f t="shared" si="413"/>
        <v xml:space="preserve">    </v>
      </c>
      <c r="AD1506" t="str">
        <f t="shared" si="414"/>
        <v/>
      </c>
      <c r="AE1506" t="str">
        <f t="shared" si="404"/>
        <v/>
      </c>
      <c r="AF1506" t="str">
        <f t="shared" si="416"/>
        <v/>
      </c>
      <c r="AG1506" t="str">
        <f t="shared" si="416"/>
        <v/>
      </c>
      <c r="AH1506" t="str">
        <f t="shared" si="405"/>
        <v/>
      </c>
      <c r="AI1506" t="str">
        <f t="shared" si="406"/>
        <v/>
      </c>
      <c r="AJ1506" t="str">
        <f t="shared" si="407"/>
        <v/>
      </c>
    </row>
    <row r="1507" spans="1:36" x14ac:dyDescent="0.25">
      <c r="A1507" t="s">
        <v>1159</v>
      </c>
      <c r="P1507" t="str">
        <f t="shared" si="408"/>
        <v xml:space="preserve">                </v>
      </c>
      <c r="Q1507" t="str">
        <f t="shared" si="408"/>
        <v xml:space="preserve">         </v>
      </c>
      <c r="R1507" t="str">
        <f t="shared" si="401"/>
        <v xml:space="preserve">    25.0 </v>
      </c>
      <c r="S1507" t="str">
        <f t="shared" si="409"/>
        <v xml:space="preserve">    25.0 </v>
      </c>
      <c r="T1507" t="str">
        <f t="shared" si="410"/>
        <v xml:space="preserve">    25.0 </v>
      </c>
      <c r="U1507" t="str">
        <f t="shared" si="414"/>
        <v xml:space="preserve">       37.1% </v>
      </c>
      <c r="V1507" t="str">
        <f t="shared" si="402"/>
        <v xml:space="preserve">         </v>
      </c>
      <c r="W1507" t="str">
        <f t="shared" si="411"/>
        <v xml:space="preserve">         </v>
      </c>
      <c r="X1507" t="str">
        <f t="shared" si="415"/>
        <v xml:space="preserve">  1301 </v>
      </c>
      <c r="Y1507" t="str">
        <f t="shared" si="415"/>
        <v xml:space="preserve"> CALTA1-RS069 </v>
      </c>
      <c r="Z1507" t="str">
        <f t="shared" si="415"/>
        <v xml:space="preserve">  1 </v>
      </c>
      <c r="AA1507" t="str">
        <f t="shared" si="403"/>
        <v xml:space="preserve">    -9.7 </v>
      </c>
      <c r="AB1507" t="str">
        <f t="shared" si="412"/>
        <v xml:space="preserve">    -0.4 </v>
      </c>
      <c r="AC1507" t="str">
        <f t="shared" si="413"/>
        <v xml:space="preserve">     9.3 </v>
      </c>
      <c r="AD1507" t="str">
        <f t="shared" si="414"/>
        <v xml:space="preserve">        </v>
      </c>
      <c r="AE1507" t="str">
        <f t="shared" si="404"/>
        <v xml:space="preserve">       </v>
      </c>
      <c r="AF1507" t="str">
        <f t="shared" si="416"/>
        <v xml:space="preserve">     </v>
      </c>
      <c r="AG1507" t="str">
        <f t="shared" si="416"/>
        <v xml:space="preserve">     0.00 </v>
      </c>
      <c r="AH1507" t="str">
        <f t="shared" si="405"/>
        <v xml:space="preserve">     0.35 </v>
      </c>
      <c r="AI1507" t="str">
        <f t="shared" si="406"/>
        <v xml:space="preserve">       </v>
      </c>
      <c r="AJ1507" t="str">
        <f t="shared" si="407"/>
        <v xml:space="preserve">      </v>
      </c>
    </row>
    <row r="1508" spans="1:36" x14ac:dyDescent="0.25">
      <c r="A1508" t="s">
        <v>14</v>
      </c>
      <c r="P1508" t="str">
        <f t="shared" si="408"/>
        <v xml:space="preserve">  ..............</v>
      </c>
      <c r="Q1508" t="str">
        <f t="shared" si="408"/>
        <v>.........</v>
      </c>
      <c r="R1508" t="str">
        <f t="shared" si="401"/>
        <v>.........</v>
      </c>
      <c r="S1508" t="str">
        <f t="shared" si="409"/>
        <v>.........</v>
      </c>
      <c r="T1508" t="str">
        <f t="shared" si="410"/>
        <v>.........</v>
      </c>
      <c r="U1508" t="str">
        <f t="shared" si="414"/>
        <v>.............</v>
      </c>
      <c r="V1508" t="str">
        <f t="shared" si="402"/>
        <v>.........</v>
      </c>
      <c r="W1508" t="str">
        <f t="shared" si="411"/>
        <v>.........</v>
      </c>
      <c r="X1508" t="str">
        <f t="shared" si="415"/>
        <v>.......</v>
      </c>
      <c r="Y1508" t="str">
        <f t="shared" si="415"/>
        <v>..............</v>
      </c>
      <c r="Z1508" t="str">
        <f t="shared" si="415"/>
        <v>....</v>
      </c>
      <c r="AA1508" t="str">
        <f t="shared" si="403"/>
        <v>.........</v>
      </c>
      <c r="AB1508" t="str">
        <f t="shared" si="412"/>
        <v>.........</v>
      </c>
      <c r="AC1508" t="str">
        <f t="shared" si="413"/>
        <v>.........</v>
      </c>
      <c r="AD1508" t="str">
        <f t="shared" si="414"/>
        <v>........</v>
      </c>
      <c r="AE1508" t="str">
        <f t="shared" si="404"/>
        <v>.......</v>
      </c>
      <c r="AF1508" t="str">
        <f t="shared" si="416"/>
        <v>.....</v>
      </c>
      <c r="AG1508" t="str">
        <f t="shared" si="416"/>
        <v>..........</v>
      </c>
      <c r="AH1508" t="str">
        <f t="shared" si="405"/>
        <v>..........</v>
      </c>
      <c r="AI1508" t="str">
        <f t="shared" si="406"/>
        <v>.......</v>
      </c>
      <c r="AJ1508" t="str">
        <f t="shared" si="407"/>
        <v>.......</v>
      </c>
    </row>
    <row r="1509" spans="1:36" x14ac:dyDescent="0.25">
      <c r="A1509" t="s">
        <v>1160</v>
      </c>
      <c r="P1509" t="str">
        <f t="shared" si="408"/>
        <v xml:space="preserve">   9661   69  0 </v>
      </c>
      <c r="Q1509" t="str">
        <f t="shared" si="408"/>
        <v xml:space="preserve">   1.016 </v>
      </c>
      <c r="R1509" t="str">
        <f t="shared" si="401"/>
        <v xml:space="preserve">     0.0 </v>
      </c>
      <c r="S1509" t="str">
        <f t="shared" si="409"/>
        <v xml:space="preserve">     0.0 </v>
      </c>
      <c r="T1509" t="str">
        <f t="shared" si="410"/>
        <v xml:space="preserve">     2.0 </v>
      </c>
      <c r="U1509" t="str">
        <f t="shared" si="414"/>
        <v xml:space="preserve">         0.0 </v>
      </c>
      <c r="V1509" t="str">
        <f t="shared" si="402"/>
        <v xml:space="preserve">     0.0 </v>
      </c>
      <c r="W1509" t="str">
        <f t="shared" si="411"/>
        <v xml:space="preserve">     0.0</v>
      </c>
      <c r="X1509" t="str">
        <f t="shared" si="415"/>
        <v/>
      </c>
      <c r="Y1509" t="str">
        <f t="shared" si="415"/>
        <v/>
      </c>
      <c r="Z1509" t="str">
        <f t="shared" si="415"/>
        <v/>
      </c>
      <c r="AA1509" t="str">
        <f t="shared" si="403"/>
        <v/>
      </c>
      <c r="AB1509" t="str">
        <f t="shared" si="412"/>
        <v/>
      </c>
      <c r="AC1509" t="str">
        <f t="shared" si="413"/>
        <v/>
      </c>
      <c r="AD1509" t="str">
        <f t="shared" si="414"/>
        <v/>
      </c>
      <c r="AE1509" t="str">
        <f t="shared" si="404"/>
        <v/>
      </c>
      <c r="AF1509" t="str">
        <f t="shared" si="416"/>
        <v/>
      </c>
      <c r="AG1509" t="str">
        <f t="shared" si="416"/>
        <v/>
      </c>
      <c r="AH1509" t="str">
        <f t="shared" si="405"/>
        <v/>
      </c>
      <c r="AI1509" t="str">
        <f t="shared" si="406"/>
        <v/>
      </c>
      <c r="AJ1509" t="str">
        <f t="shared" si="407"/>
        <v/>
      </c>
    </row>
    <row r="1510" spans="1:36" x14ac:dyDescent="0.25">
      <c r="A1510" t="s">
        <v>1161</v>
      </c>
      <c r="P1510" t="str">
        <f t="shared" si="408"/>
        <v xml:space="preserve">  ARENA--RS069  </v>
      </c>
      <c r="Q1510" t="str">
        <f t="shared" si="408"/>
        <v xml:space="preserve">   -54.5 </v>
      </c>
      <c r="R1510" t="str">
        <f t="shared" si="401"/>
        <v xml:space="preserve">     0.0 </v>
      </c>
      <c r="S1510" t="str">
        <f t="shared" si="409"/>
        <v xml:space="preserve">     0.0 </v>
      </c>
      <c r="T1510" t="str">
        <f t="shared" si="410"/>
        <v xml:space="preserve">     0.7 </v>
      </c>
      <c r="U1510" t="str">
        <f t="shared" si="414"/>
        <v xml:space="preserve">         0.0 </v>
      </c>
      <c r="V1510" t="str">
        <f t="shared" si="402"/>
        <v xml:space="preserve">     0.0 </v>
      </c>
      <c r="W1510" t="str">
        <f t="shared" si="411"/>
        <v xml:space="preserve">     0.0 </v>
      </c>
      <c r="X1510" t="str">
        <f t="shared" si="415"/>
        <v xml:space="preserve">       </v>
      </c>
      <c r="Y1510" t="str">
        <f t="shared" si="415"/>
        <v xml:space="preserve">              </v>
      </c>
      <c r="Z1510" t="str">
        <f t="shared" si="415"/>
        <v xml:space="preserve">    </v>
      </c>
      <c r="AA1510" t="str">
        <f t="shared" si="403"/>
        <v xml:space="preserve">         </v>
      </c>
      <c r="AB1510" t="str">
        <f t="shared" si="412"/>
        <v xml:space="preserve">         </v>
      </c>
      <c r="AC1510" t="str">
        <f t="shared" si="413"/>
        <v xml:space="preserve">    </v>
      </c>
      <c r="AD1510" t="str">
        <f t="shared" si="414"/>
        <v/>
      </c>
      <c r="AE1510" t="str">
        <f t="shared" si="404"/>
        <v/>
      </c>
      <c r="AF1510" t="str">
        <f t="shared" si="416"/>
        <v/>
      </c>
      <c r="AG1510" t="str">
        <f t="shared" si="416"/>
        <v/>
      </c>
      <c r="AH1510" t="str">
        <f t="shared" si="405"/>
        <v/>
      </c>
      <c r="AI1510" t="str">
        <f t="shared" si="406"/>
        <v/>
      </c>
      <c r="AJ1510" t="str">
        <f t="shared" si="407"/>
        <v/>
      </c>
    </row>
    <row r="1511" spans="1:36" x14ac:dyDescent="0.25">
      <c r="A1511" t="s">
        <v>1162</v>
      </c>
      <c r="P1511" t="str">
        <f t="shared" si="408"/>
        <v xml:space="preserve">                </v>
      </c>
      <c r="Q1511" t="str">
        <f t="shared" si="408"/>
        <v xml:space="preserve">         </v>
      </c>
      <c r="R1511" t="str">
        <f t="shared" si="401"/>
        <v xml:space="preserve">    36.0 </v>
      </c>
      <c r="S1511" t="str">
        <f t="shared" si="409"/>
        <v xml:space="preserve">    36.0 </v>
      </c>
      <c r="T1511" t="str">
        <f t="shared" si="410"/>
        <v xml:space="preserve">    36.0 </v>
      </c>
      <c r="U1511" t="str">
        <f t="shared" si="414"/>
        <v xml:space="preserve">        5.8% </v>
      </c>
      <c r="V1511" t="str">
        <f t="shared" si="402"/>
        <v xml:space="preserve">         </v>
      </c>
      <c r="W1511" t="str">
        <f t="shared" si="411"/>
        <v xml:space="preserve">         </v>
      </c>
      <c r="X1511" t="str">
        <f t="shared" si="415"/>
        <v xml:space="preserve">  1266 </v>
      </c>
      <c r="Y1511" t="str">
        <f t="shared" si="415"/>
        <v xml:space="preserve"> PALGR9-RS069 </v>
      </c>
      <c r="Z1511" t="str">
        <f t="shared" si="415"/>
        <v xml:space="preserve">  1 </v>
      </c>
      <c r="AA1511" t="str">
        <f t="shared" si="403"/>
        <v xml:space="preserve">    -2.0 </v>
      </c>
      <c r="AB1511" t="str">
        <f t="shared" si="412"/>
        <v xml:space="preserve">    -0.7 </v>
      </c>
      <c r="AC1511" t="str">
        <f t="shared" si="413"/>
        <v xml:space="preserve">     2.1 </v>
      </c>
      <c r="AD1511" t="str">
        <f t="shared" si="414"/>
        <v xml:space="preserve">        </v>
      </c>
      <c r="AE1511" t="str">
        <f t="shared" si="404"/>
        <v xml:space="preserve">       </v>
      </c>
      <c r="AF1511" t="str">
        <f t="shared" si="416"/>
        <v xml:space="preserve">     </v>
      </c>
      <c r="AG1511" t="str">
        <f t="shared" si="416"/>
        <v xml:space="preserve">     0.00 </v>
      </c>
      <c r="AH1511" t="str">
        <f t="shared" si="405"/>
        <v xml:space="preserve">    -0.06 </v>
      </c>
      <c r="AI1511" t="str">
        <f t="shared" si="406"/>
        <v xml:space="preserve">       </v>
      </c>
      <c r="AJ1511" t="str">
        <f t="shared" si="407"/>
        <v xml:space="preserve">      </v>
      </c>
    </row>
    <row r="1512" spans="1:36" x14ac:dyDescent="0.25">
      <c r="A1512" t="s">
        <v>14</v>
      </c>
      <c r="P1512" t="str">
        <f t="shared" si="408"/>
        <v xml:space="preserve">  ..............</v>
      </c>
      <c r="Q1512" t="str">
        <f t="shared" si="408"/>
        <v>.........</v>
      </c>
      <c r="R1512" t="str">
        <f t="shared" si="401"/>
        <v>.........</v>
      </c>
      <c r="S1512" t="str">
        <f t="shared" si="409"/>
        <v>.........</v>
      </c>
      <c r="T1512" t="str">
        <f t="shared" si="410"/>
        <v>.........</v>
      </c>
      <c r="U1512" t="str">
        <f t="shared" si="414"/>
        <v>.............</v>
      </c>
      <c r="V1512" t="str">
        <f t="shared" si="402"/>
        <v>.........</v>
      </c>
      <c r="W1512" t="str">
        <f t="shared" si="411"/>
        <v>.........</v>
      </c>
      <c r="X1512" t="str">
        <f t="shared" si="415"/>
        <v>.......</v>
      </c>
      <c r="Y1512" t="str">
        <f t="shared" si="415"/>
        <v>..............</v>
      </c>
      <c r="Z1512" t="str">
        <f t="shared" si="415"/>
        <v>....</v>
      </c>
      <c r="AA1512" t="str">
        <f t="shared" si="403"/>
        <v>.........</v>
      </c>
      <c r="AB1512" t="str">
        <f t="shared" si="412"/>
        <v>.........</v>
      </c>
      <c r="AC1512" t="str">
        <f t="shared" si="413"/>
        <v>.........</v>
      </c>
      <c r="AD1512" t="str">
        <f t="shared" si="414"/>
        <v>........</v>
      </c>
      <c r="AE1512" t="str">
        <f t="shared" si="404"/>
        <v>.......</v>
      </c>
      <c r="AF1512" t="str">
        <f t="shared" si="416"/>
        <v>.....</v>
      </c>
      <c r="AG1512" t="str">
        <f t="shared" si="416"/>
        <v>..........</v>
      </c>
      <c r="AH1512" t="str">
        <f t="shared" si="405"/>
        <v>..........</v>
      </c>
      <c r="AI1512" t="str">
        <f t="shared" si="406"/>
        <v>.......</v>
      </c>
      <c r="AJ1512" t="str">
        <f t="shared" si="407"/>
        <v>.......</v>
      </c>
    </row>
    <row r="1513" spans="1:36" x14ac:dyDescent="0.25">
      <c r="A1513" t="s">
        <v>1163</v>
      </c>
      <c r="P1513" t="str">
        <f t="shared" si="408"/>
        <v xml:space="preserve">   9674   23  0 </v>
      </c>
      <c r="Q1513" t="str">
        <f t="shared" si="408"/>
        <v xml:space="preserve">   1.063 </v>
      </c>
      <c r="R1513" t="str">
        <f t="shared" si="401"/>
        <v xml:space="preserve">     0.0 </v>
      </c>
      <c r="S1513" t="str">
        <f t="shared" si="409"/>
        <v xml:space="preserve">     0.0 </v>
      </c>
      <c r="T1513" t="str">
        <f t="shared" si="410"/>
        <v xml:space="preserve">     0.0 </v>
      </c>
      <c r="U1513" t="str">
        <f t="shared" si="414"/>
        <v xml:space="preserve">         0.0 </v>
      </c>
      <c r="V1513" t="str">
        <f t="shared" si="402"/>
        <v xml:space="preserve">     4.1 </v>
      </c>
      <c r="W1513" t="str">
        <f t="shared" si="411"/>
        <v xml:space="preserve">     0.0</v>
      </c>
      <c r="X1513" t="str">
        <f t="shared" si="415"/>
        <v/>
      </c>
      <c r="Y1513" t="str">
        <f t="shared" si="415"/>
        <v/>
      </c>
      <c r="Z1513" t="str">
        <f t="shared" si="415"/>
        <v/>
      </c>
      <c r="AA1513" t="str">
        <f t="shared" si="403"/>
        <v/>
      </c>
      <c r="AB1513" t="str">
        <f t="shared" si="412"/>
        <v/>
      </c>
      <c r="AC1513" t="str">
        <f t="shared" si="413"/>
        <v/>
      </c>
      <c r="AD1513" t="str">
        <f t="shared" si="414"/>
        <v/>
      </c>
      <c r="AE1513" t="str">
        <f t="shared" si="404"/>
        <v/>
      </c>
      <c r="AF1513" t="str">
        <f t="shared" si="416"/>
        <v/>
      </c>
      <c r="AG1513" t="str">
        <f t="shared" si="416"/>
        <v/>
      </c>
      <c r="AH1513" t="str">
        <f t="shared" si="405"/>
        <v/>
      </c>
      <c r="AI1513" t="str">
        <f t="shared" si="406"/>
        <v/>
      </c>
      <c r="AJ1513" t="str">
        <f t="shared" si="407"/>
        <v/>
      </c>
    </row>
    <row r="1514" spans="1:36" x14ac:dyDescent="0.25">
      <c r="A1514" t="s">
        <v>1164</v>
      </c>
      <c r="P1514" t="str">
        <f t="shared" si="408"/>
        <v xml:space="preserve">  IJUI1--RS023  </v>
      </c>
      <c r="Q1514" t="str">
        <f t="shared" si="408"/>
        <v xml:space="preserve">   -55.4 </v>
      </c>
      <c r="R1514" t="str">
        <f t="shared" si="401"/>
        <v xml:space="preserve">     0.0 </v>
      </c>
      <c r="S1514" t="str">
        <f t="shared" si="409"/>
        <v xml:space="preserve">     0.0 </v>
      </c>
      <c r="T1514" t="str">
        <f t="shared" si="410"/>
        <v xml:space="preserve">     0.0 </v>
      </c>
      <c r="U1514" t="str">
        <f t="shared" si="414"/>
        <v xml:space="preserve">         0.0 </v>
      </c>
      <c r="V1514" t="str">
        <f t="shared" si="402"/>
        <v xml:space="preserve">     0.0 </v>
      </c>
      <c r="W1514" t="str">
        <f t="shared" si="411"/>
        <v xml:space="preserve">     0.0 </v>
      </c>
      <c r="X1514" t="str">
        <f t="shared" si="415"/>
        <v xml:space="preserve">       </v>
      </c>
      <c r="Y1514" t="str">
        <f t="shared" si="415"/>
        <v xml:space="preserve">              </v>
      </c>
      <c r="Z1514" t="str">
        <f t="shared" si="415"/>
        <v xml:space="preserve">    </v>
      </c>
      <c r="AA1514" t="str">
        <f t="shared" si="403"/>
        <v xml:space="preserve">         </v>
      </c>
      <c r="AB1514" t="str">
        <f t="shared" si="412"/>
        <v xml:space="preserve">         </v>
      </c>
      <c r="AC1514" t="str">
        <f t="shared" si="413"/>
        <v xml:space="preserve">    </v>
      </c>
      <c r="AD1514" t="str">
        <f t="shared" si="414"/>
        <v/>
      </c>
      <c r="AE1514" t="str">
        <f t="shared" si="404"/>
        <v/>
      </c>
      <c r="AF1514" t="str">
        <f t="shared" si="416"/>
        <v/>
      </c>
      <c r="AG1514" t="str">
        <f t="shared" si="416"/>
        <v/>
      </c>
      <c r="AH1514" t="str">
        <f t="shared" si="405"/>
        <v/>
      </c>
      <c r="AI1514" t="str">
        <f t="shared" si="406"/>
        <v/>
      </c>
      <c r="AJ1514" t="str">
        <f t="shared" si="407"/>
        <v/>
      </c>
    </row>
    <row r="1515" spans="1:36" x14ac:dyDescent="0.25">
      <c r="A1515" t="s">
        <v>1165</v>
      </c>
      <c r="P1515" t="str">
        <f t="shared" si="408"/>
        <v xml:space="preserve">                </v>
      </c>
      <c r="Q1515" t="str">
        <f t="shared" si="408"/>
        <v xml:space="preserve">         </v>
      </c>
      <c r="R1515" t="str">
        <f t="shared" si="401"/>
        <v xml:space="preserve">    25.0 </v>
      </c>
      <c r="S1515" t="str">
        <f t="shared" si="409"/>
        <v xml:space="preserve">    25.0 </v>
      </c>
      <c r="T1515" t="str">
        <f t="shared" si="410"/>
        <v xml:space="preserve">    25.0 </v>
      </c>
      <c r="U1515" t="str">
        <f t="shared" si="414"/>
        <v xml:space="preserve"> SUP  103.8% </v>
      </c>
      <c r="V1515" t="str">
        <f t="shared" si="402"/>
        <v xml:space="preserve">         </v>
      </c>
      <c r="W1515" t="str">
        <f t="shared" si="411"/>
        <v xml:space="preserve">         </v>
      </c>
      <c r="X1515" t="str">
        <f t="shared" si="415"/>
        <v xml:space="preserve">  1302 </v>
      </c>
      <c r="Y1515" t="str">
        <f t="shared" si="415"/>
        <v xml:space="preserve"> IJUI1--RS069 </v>
      </c>
      <c r="Z1515" t="str">
        <f t="shared" si="415"/>
        <v xml:space="preserve">  1 </v>
      </c>
      <c r="AA1515" t="str">
        <f t="shared" si="403"/>
        <v xml:space="preserve">   -27.1 </v>
      </c>
      <c r="AB1515" t="str">
        <f t="shared" si="412"/>
        <v xml:space="preserve">    -5.0 </v>
      </c>
      <c r="AC1515" t="str">
        <f t="shared" si="413"/>
        <v xml:space="preserve">    25.9 </v>
      </c>
      <c r="AD1515" t="str">
        <f t="shared" si="414"/>
        <v xml:space="preserve">        </v>
      </c>
      <c r="AE1515" t="str">
        <f t="shared" si="404"/>
        <v xml:space="preserve">       </v>
      </c>
      <c r="AF1515" t="str">
        <f t="shared" si="416"/>
        <v xml:space="preserve">     </v>
      </c>
      <c r="AG1515" t="str">
        <f t="shared" si="416"/>
        <v xml:space="preserve">     0.00 </v>
      </c>
      <c r="AH1515" t="str">
        <f t="shared" si="405"/>
        <v xml:space="preserve">     2.48 </v>
      </c>
      <c r="AI1515" t="str">
        <f t="shared" si="406"/>
        <v xml:space="preserve">       </v>
      </c>
      <c r="AJ1515" t="str">
        <f t="shared" si="407"/>
        <v xml:space="preserve">      </v>
      </c>
    </row>
    <row r="1516" spans="1:36" x14ac:dyDescent="0.25">
      <c r="A1516" t="s">
        <v>1166</v>
      </c>
      <c r="P1516" t="str">
        <f t="shared" si="408"/>
        <v xml:space="preserve">                </v>
      </c>
      <c r="Q1516" t="str">
        <f t="shared" si="408"/>
        <v xml:space="preserve">         </v>
      </c>
      <c r="R1516" t="str">
        <f t="shared" si="401"/>
        <v xml:space="preserve">  9999.0 </v>
      </c>
      <c r="S1516" t="str">
        <f t="shared" si="409"/>
        <v xml:space="preserve">  9999.0 </v>
      </c>
      <c r="T1516" t="str">
        <f t="shared" si="410"/>
        <v xml:space="preserve">  9999.0 </v>
      </c>
      <c r="U1516" t="str">
        <f t="shared" si="414"/>
        <v xml:space="preserve">        0.0% </v>
      </c>
      <c r="V1516" t="str">
        <f t="shared" si="402"/>
        <v xml:space="preserve">         </v>
      </c>
      <c r="W1516" t="str">
        <f t="shared" si="411"/>
        <v xml:space="preserve">         </v>
      </c>
      <c r="X1516" t="str">
        <f t="shared" si="415"/>
        <v xml:space="preserve">  9657 </v>
      </c>
      <c r="Y1516" t="str">
        <f t="shared" si="415"/>
        <v xml:space="preserve"> DEMEI1-RS023 </v>
      </c>
      <c r="Z1516" t="str">
        <f t="shared" si="415"/>
        <v xml:space="preserve">  1 </v>
      </c>
      <c r="AA1516" t="str">
        <f t="shared" si="403"/>
        <v xml:space="preserve">    23.9 </v>
      </c>
      <c r="AB1516" t="str">
        <f t="shared" si="412"/>
        <v xml:space="preserve">     7.7 </v>
      </c>
      <c r="AC1516" t="str">
        <f t="shared" si="413"/>
        <v xml:space="preserve">    23.6 </v>
      </c>
      <c r="AD1516" t="str">
        <f t="shared" si="414"/>
        <v xml:space="preserve">        </v>
      </c>
      <c r="AE1516" t="str">
        <f t="shared" si="404"/>
        <v xml:space="preserve">       </v>
      </c>
      <c r="AF1516" t="str">
        <f t="shared" si="416"/>
        <v xml:space="preserve">     </v>
      </c>
      <c r="AG1516" t="str">
        <f t="shared" si="416"/>
        <v xml:space="preserve">     0.00 </v>
      </c>
      <c r="AH1516" t="str">
        <f t="shared" si="405"/>
        <v xml:space="preserve">    -0.01 </v>
      </c>
      <c r="AI1516" t="str">
        <f t="shared" si="406"/>
        <v xml:space="preserve">       </v>
      </c>
      <c r="AJ1516" t="str">
        <f t="shared" si="407"/>
        <v xml:space="preserve">      </v>
      </c>
    </row>
    <row r="1517" spans="1:36" x14ac:dyDescent="0.25">
      <c r="A1517" t="s">
        <v>1167</v>
      </c>
      <c r="P1517" t="str">
        <f t="shared" si="408"/>
        <v xml:space="preserve">                </v>
      </c>
      <c r="Q1517" t="str">
        <f t="shared" si="408"/>
        <v xml:space="preserve">         </v>
      </c>
      <c r="R1517" t="str">
        <f t="shared" si="401"/>
        <v xml:space="preserve">  9999.0 </v>
      </c>
      <c r="S1517" t="str">
        <f t="shared" si="409"/>
        <v xml:space="preserve">  9999.0 </v>
      </c>
      <c r="T1517" t="str">
        <f t="shared" si="410"/>
        <v xml:space="preserve">  9999.0 </v>
      </c>
      <c r="U1517" t="str">
        <f t="shared" si="414"/>
        <v xml:space="preserve">        0.0% </v>
      </c>
      <c r="V1517" t="str">
        <f t="shared" si="402"/>
        <v xml:space="preserve">         </v>
      </c>
      <c r="W1517" t="str">
        <f t="shared" si="411"/>
        <v xml:space="preserve">         </v>
      </c>
      <c r="X1517" t="str">
        <f t="shared" si="415"/>
        <v xml:space="preserve">  9659 </v>
      </c>
      <c r="Y1517" t="str">
        <f t="shared" si="415"/>
        <v xml:space="preserve"> CERLU1-RS023 </v>
      </c>
      <c r="Z1517" t="str">
        <f t="shared" si="415"/>
        <v xml:space="preserve">  1 </v>
      </c>
      <c r="AA1517" t="str">
        <f t="shared" si="403"/>
        <v xml:space="preserve">     3.2 </v>
      </c>
      <c r="AB1517" t="str">
        <f t="shared" si="412"/>
        <v xml:space="preserve">     1.4 </v>
      </c>
      <c r="AC1517" t="str">
        <f t="shared" si="413"/>
        <v xml:space="preserve">     3.3 </v>
      </c>
      <c r="AD1517" t="str">
        <f t="shared" si="414"/>
        <v xml:space="preserve">        </v>
      </c>
      <c r="AE1517" t="str">
        <f t="shared" si="404"/>
        <v xml:space="preserve">       </v>
      </c>
      <c r="AF1517" t="str">
        <f t="shared" si="416"/>
        <v xml:space="preserve">     </v>
      </c>
      <c r="AG1517" t="str">
        <f t="shared" si="416"/>
        <v xml:space="preserve">     0.00 </v>
      </c>
      <c r="AH1517" t="str">
        <f t="shared" si="405"/>
        <v xml:space="preserve">    -0.01 </v>
      </c>
      <c r="AI1517" t="str">
        <f t="shared" si="406"/>
        <v xml:space="preserve">       </v>
      </c>
      <c r="AJ1517" t="str">
        <f t="shared" si="407"/>
        <v xml:space="preserve">      </v>
      </c>
    </row>
    <row r="1518" spans="1:36" x14ac:dyDescent="0.25">
      <c r="A1518" t="s">
        <v>14</v>
      </c>
      <c r="P1518" t="str">
        <f t="shared" si="408"/>
        <v xml:space="preserve">  ..............</v>
      </c>
      <c r="Q1518" t="str">
        <f t="shared" si="408"/>
        <v>.........</v>
      </c>
      <c r="R1518" t="str">
        <f t="shared" si="401"/>
        <v>.........</v>
      </c>
      <c r="S1518" t="str">
        <f t="shared" si="409"/>
        <v>.........</v>
      </c>
      <c r="T1518" t="str">
        <f t="shared" si="410"/>
        <v>.........</v>
      </c>
      <c r="U1518" t="str">
        <f t="shared" si="414"/>
        <v>.............</v>
      </c>
      <c r="V1518" t="str">
        <f t="shared" si="402"/>
        <v>.........</v>
      </c>
      <c r="W1518" t="str">
        <f t="shared" si="411"/>
        <v>.........</v>
      </c>
      <c r="X1518" t="str">
        <f t="shared" si="415"/>
        <v>.......</v>
      </c>
      <c r="Y1518" t="str">
        <f t="shared" si="415"/>
        <v>..............</v>
      </c>
      <c r="Z1518" t="str">
        <f t="shared" si="415"/>
        <v>....</v>
      </c>
      <c r="AA1518" t="str">
        <f t="shared" si="403"/>
        <v>.........</v>
      </c>
      <c r="AB1518" t="str">
        <f t="shared" si="412"/>
        <v>.........</v>
      </c>
      <c r="AC1518" t="str">
        <f t="shared" si="413"/>
        <v>.........</v>
      </c>
      <c r="AD1518" t="str">
        <f t="shared" si="414"/>
        <v>........</v>
      </c>
      <c r="AE1518" t="str">
        <f t="shared" si="404"/>
        <v>.......</v>
      </c>
      <c r="AF1518" t="str">
        <f t="shared" si="416"/>
        <v>.....</v>
      </c>
      <c r="AG1518" t="str">
        <f t="shared" si="416"/>
        <v>..........</v>
      </c>
      <c r="AH1518" t="str">
        <f t="shared" si="405"/>
        <v>..........</v>
      </c>
      <c r="AI1518" t="str">
        <f t="shared" si="406"/>
        <v>.......</v>
      </c>
      <c r="AJ1518" t="str">
        <f t="shared" si="407"/>
        <v>.......</v>
      </c>
    </row>
    <row r="1519" spans="1:36" x14ac:dyDescent="0.25">
      <c r="A1519" t="s">
        <v>1168</v>
      </c>
      <c r="P1519" t="str">
        <f t="shared" si="408"/>
        <v xml:space="preserve">   9675   23  0 </v>
      </c>
      <c r="Q1519" t="str">
        <f t="shared" si="408"/>
        <v xml:space="preserve">   1.021 </v>
      </c>
      <c r="R1519" t="str">
        <f t="shared" si="401"/>
        <v xml:space="preserve">     1.3 </v>
      </c>
      <c r="S1519" t="str">
        <f t="shared" si="409"/>
        <v xml:space="preserve">     0.0 </v>
      </c>
      <c r="T1519" t="str">
        <f t="shared" si="410"/>
        <v xml:space="preserve">     7.1 </v>
      </c>
      <c r="U1519" t="str">
        <f t="shared" si="414"/>
        <v xml:space="preserve">         0.0 </v>
      </c>
      <c r="V1519" t="str">
        <f t="shared" si="402"/>
        <v xml:space="preserve">     3.8 </v>
      </c>
      <c r="W1519" t="str">
        <f t="shared" si="411"/>
        <v xml:space="preserve">     0.0</v>
      </c>
      <c r="X1519" t="str">
        <f t="shared" si="415"/>
        <v/>
      </c>
      <c r="Y1519" t="str">
        <f t="shared" si="415"/>
        <v/>
      </c>
      <c r="Z1519" t="str">
        <f t="shared" si="415"/>
        <v/>
      </c>
      <c r="AA1519" t="str">
        <f t="shared" si="403"/>
        <v/>
      </c>
      <c r="AB1519" t="str">
        <f t="shared" si="412"/>
        <v/>
      </c>
      <c r="AC1519" t="str">
        <f t="shared" si="413"/>
        <v/>
      </c>
      <c r="AD1519" t="str">
        <f t="shared" si="414"/>
        <v/>
      </c>
      <c r="AE1519" t="str">
        <f t="shared" si="404"/>
        <v/>
      </c>
      <c r="AF1519" t="str">
        <f t="shared" si="416"/>
        <v/>
      </c>
      <c r="AG1519" t="str">
        <f t="shared" si="416"/>
        <v/>
      </c>
      <c r="AH1519" t="str">
        <f t="shared" si="405"/>
        <v/>
      </c>
      <c r="AI1519" t="str">
        <f t="shared" si="406"/>
        <v/>
      </c>
      <c r="AJ1519" t="str">
        <f t="shared" si="407"/>
        <v/>
      </c>
    </row>
    <row r="1520" spans="1:36" x14ac:dyDescent="0.25">
      <c r="A1520" t="s">
        <v>1169</v>
      </c>
      <c r="P1520" t="str">
        <f t="shared" si="408"/>
        <v xml:space="preserve">  CAL1-A-RS023  </v>
      </c>
      <c r="Q1520" t="str">
        <f t="shared" si="408"/>
        <v xml:space="preserve">   -51.4 </v>
      </c>
      <c r="R1520" t="str">
        <f t="shared" si="401"/>
        <v xml:space="preserve">     0.0 </v>
      </c>
      <c r="S1520" t="str">
        <f t="shared" si="409"/>
        <v xml:space="preserve">     0.0 </v>
      </c>
      <c r="T1520" t="str">
        <f t="shared" si="410"/>
        <v xml:space="preserve">     2.3 </v>
      </c>
      <c r="U1520" t="str">
        <f t="shared" si="414"/>
        <v xml:space="preserve">         0.0 </v>
      </c>
      <c r="V1520" t="str">
        <f t="shared" si="402"/>
        <v xml:space="preserve">     0.0 </v>
      </c>
      <c r="W1520" t="str">
        <f t="shared" si="411"/>
        <v xml:space="preserve">     0.0 </v>
      </c>
      <c r="X1520" t="str">
        <f t="shared" si="415"/>
        <v xml:space="preserve">       </v>
      </c>
      <c r="Y1520" t="str">
        <f t="shared" si="415"/>
        <v xml:space="preserve">              </v>
      </c>
      <c r="Z1520" t="str">
        <f t="shared" si="415"/>
        <v xml:space="preserve">    </v>
      </c>
      <c r="AA1520" t="str">
        <f t="shared" si="403"/>
        <v xml:space="preserve">         </v>
      </c>
      <c r="AB1520" t="str">
        <f t="shared" si="412"/>
        <v xml:space="preserve">         </v>
      </c>
      <c r="AC1520" t="str">
        <f t="shared" si="413"/>
        <v xml:space="preserve">    </v>
      </c>
      <c r="AD1520" t="str">
        <f t="shared" si="414"/>
        <v/>
      </c>
      <c r="AE1520" t="str">
        <f t="shared" si="404"/>
        <v/>
      </c>
      <c r="AF1520" t="str">
        <f t="shared" si="416"/>
        <v/>
      </c>
      <c r="AG1520" t="str">
        <f t="shared" si="416"/>
        <v/>
      </c>
      <c r="AH1520" t="str">
        <f t="shared" si="405"/>
        <v/>
      </c>
      <c r="AI1520" t="str">
        <f t="shared" si="406"/>
        <v/>
      </c>
      <c r="AJ1520" t="str">
        <f t="shared" si="407"/>
        <v/>
      </c>
    </row>
    <row r="1521" spans="1:36" x14ac:dyDescent="0.25">
      <c r="A1521" t="s">
        <v>1170</v>
      </c>
      <c r="P1521" t="str">
        <f t="shared" si="408"/>
        <v xml:space="preserve">                </v>
      </c>
      <c r="Q1521" t="str">
        <f t="shared" si="408"/>
        <v xml:space="preserve">         </v>
      </c>
      <c r="R1521" t="str">
        <f t="shared" si="401"/>
        <v xml:space="preserve">    25.0 </v>
      </c>
      <c r="S1521" t="str">
        <f t="shared" si="409"/>
        <v xml:space="preserve">    25.0 </v>
      </c>
      <c r="T1521" t="str">
        <f t="shared" si="410"/>
        <v xml:space="preserve">    25.0 </v>
      </c>
      <c r="U1521" t="str">
        <f t="shared" si="414"/>
        <v xml:space="preserve">       44.7% </v>
      </c>
      <c r="V1521" t="str">
        <f t="shared" si="402"/>
        <v xml:space="preserve">         </v>
      </c>
      <c r="W1521" t="str">
        <f t="shared" si="411"/>
        <v xml:space="preserve">         </v>
      </c>
      <c r="X1521" t="str">
        <f t="shared" si="415"/>
        <v xml:space="preserve">  2061 </v>
      </c>
      <c r="Y1521" t="str">
        <f t="shared" si="415"/>
        <v xml:space="preserve"> CRUZAL-RS138 </v>
      </c>
      <c r="Z1521" t="str">
        <f t="shared" si="415"/>
        <v xml:space="preserve">  1 </v>
      </c>
      <c r="AA1521" t="str">
        <f t="shared" si="403"/>
        <v xml:space="preserve">   -11.4 </v>
      </c>
      <c r="AB1521" t="str">
        <f t="shared" si="412"/>
        <v xml:space="preserve">    -0.6 </v>
      </c>
      <c r="AC1521" t="str">
        <f t="shared" si="413"/>
        <v xml:space="preserve">    11.2 </v>
      </c>
      <c r="AD1521" t="str">
        <f t="shared" si="414"/>
        <v xml:space="preserve">        </v>
      </c>
      <c r="AE1521" t="str">
        <f t="shared" si="404"/>
        <v xml:space="preserve">       </v>
      </c>
      <c r="AF1521" t="str">
        <f t="shared" si="416"/>
        <v xml:space="preserve">     </v>
      </c>
      <c r="AG1521" t="str">
        <f t="shared" si="416"/>
        <v xml:space="preserve">     0.00 </v>
      </c>
      <c r="AH1521" t="str">
        <f t="shared" si="405"/>
        <v xml:space="preserve">     0.52 </v>
      </c>
      <c r="AI1521" t="str">
        <f t="shared" si="406"/>
        <v xml:space="preserve">       </v>
      </c>
      <c r="AJ1521" t="str">
        <f t="shared" si="407"/>
        <v xml:space="preserve">      </v>
      </c>
    </row>
    <row r="1522" spans="1:36" x14ac:dyDescent="0.25">
      <c r="A1522" t="s">
        <v>1171</v>
      </c>
      <c r="P1522" t="str">
        <f t="shared" si="408"/>
        <v xml:space="preserve">                </v>
      </c>
      <c r="Q1522" t="str">
        <f t="shared" si="408"/>
        <v xml:space="preserve">         </v>
      </c>
      <c r="R1522" t="str">
        <f t="shared" si="401"/>
        <v xml:space="preserve">  9999.0 </v>
      </c>
      <c r="S1522" t="str">
        <f t="shared" si="409"/>
        <v xml:space="preserve">  9999.0 </v>
      </c>
      <c r="T1522" t="str">
        <f t="shared" si="410"/>
        <v xml:space="preserve">  9999.0 </v>
      </c>
      <c r="U1522" t="str">
        <f t="shared" si="414"/>
        <v xml:space="preserve">        0.0% </v>
      </c>
      <c r="V1522" t="str">
        <f t="shared" si="402"/>
        <v xml:space="preserve">         </v>
      </c>
      <c r="W1522" t="str">
        <f t="shared" si="411"/>
        <v xml:space="preserve">         </v>
      </c>
      <c r="X1522" t="str">
        <f t="shared" si="415"/>
        <v xml:space="preserve">  9655 </v>
      </c>
      <c r="Y1522" t="str">
        <f t="shared" si="415"/>
        <v xml:space="preserve"> COPRE2-RS023 </v>
      </c>
      <c r="Z1522" t="str">
        <f t="shared" si="415"/>
        <v xml:space="preserve">  1 </v>
      </c>
      <c r="AA1522" t="str">
        <f t="shared" si="403"/>
        <v xml:space="preserve">     5.6 </v>
      </c>
      <c r="AB1522" t="str">
        <f t="shared" si="412"/>
        <v xml:space="preserve">     2.1 </v>
      </c>
      <c r="AC1522" t="str">
        <f t="shared" si="413"/>
        <v xml:space="preserve">     5.9 </v>
      </c>
      <c r="AD1522" t="str">
        <f t="shared" si="414"/>
        <v xml:space="preserve">        </v>
      </c>
      <c r="AE1522" t="str">
        <f t="shared" si="404"/>
        <v xml:space="preserve">       </v>
      </c>
      <c r="AF1522" t="str">
        <f t="shared" si="416"/>
        <v xml:space="preserve">     </v>
      </c>
      <c r="AG1522" t="str">
        <f t="shared" si="416"/>
        <v xml:space="preserve">     0.00 </v>
      </c>
      <c r="AH1522" t="str">
        <f t="shared" si="405"/>
        <v xml:space="preserve">    -0.01 </v>
      </c>
      <c r="AI1522" t="str">
        <f t="shared" si="406"/>
        <v xml:space="preserve">       </v>
      </c>
      <c r="AJ1522" t="str">
        <f t="shared" si="407"/>
        <v xml:space="preserve">      </v>
      </c>
    </row>
    <row r="1523" spans="1:36" x14ac:dyDescent="0.25">
      <c r="A1523" t="s">
        <v>14</v>
      </c>
      <c r="P1523" t="str">
        <f t="shared" si="408"/>
        <v xml:space="preserve">  ..............</v>
      </c>
      <c r="Q1523" t="str">
        <f t="shared" si="408"/>
        <v>.........</v>
      </c>
      <c r="R1523" t="str">
        <f t="shared" si="401"/>
        <v>.........</v>
      </c>
      <c r="S1523" t="str">
        <f t="shared" si="409"/>
        <v>.........</v>
      </c>
      <c r="T1523" t="str">
        <f t="shared" si="410"/>
        <v>.........</v>
      </c>
      <c r="U1523" t="str">
        <f t="shared" si="414"/>
        <v>.............</v>
      </c>
      <c r="V1523" t="str">
        <f t="shared" si="402"/>
        <v>.........</v>
      </c>
      <c r="W1523" t="str">
        <f t="shared" si="411"/>
        <v>.........</v>
      </c>
      <c r="X1523" t="str">
        <f t="shared" si="415"/>
        <v>.......</v>
      </c>
      <c r="Y1523" t="str">
        <f t="shared" si="415"/>
        <v>..............</v>
      </c>
      <c r="Z1523" t="str">
        <f t="shared" si="415"/>
        <v>....</v>
      </c>
      <c r="AA1523" t="str">
        <f t="shared" si="403"/>
        <v>.........</v>
      </c>
      <c r="AB1523" t="str">
        <f t="shared" si="412"/>
        <v>.........</v>
      </c>
      <c r="AC1523" t="str">
        <f t="shared" si="413"/>
        <v>.........</v>
      </c>
      <c r="AD1523" t="str">
        <f t="shared" si="414"/>
        <v>........</v>
      </c>
      <c r="AE1523" t="str">
        <f t="shared" si="404"/>
        <v>.......</v>
      </c>
      <c r="AF1523" t="str">
        <f t="shared" si="416"/>
        <v>.....</v>
      </c>
      <c r="AG1523" t="str">
        <f t="shared" si="416"/>
        <v>..........</v>
      </c>
      <c r="AH1523" t="str">
        <f t="shared" si="405"/>
        <v>..........</v>
      </c>
      <c r="AI1523" t="str">
        <f t="shared" si="406"/>
        <v>.......</v>
      </c>
      <c r="AJ1523" t="str">
        <f t="shared" si="407"/>
        <v>.......</v>
      </c>
    </row>
    <row r="1524" spans="1:36" x14ac:dyDescent="0.25">
      <c r="A1524" t="s">
        <v>1172</v>
      </c>
      <c r="P1524" t="str">
        <f t="shared" si="408"/>
        <v xml:space="preserve">   9676   69  0 </v>
      </c>
      <c r="Q1524" t="str">
        <f t="shared" si="408"/>
        <v xml:space="preserve">   1.028 </v>
      </c>
      <c r="R1524" t="str">
        <f t="shared" si="401"/>
        <v xml:space="preserve">     2.7 </v>
      </c>
      <c r="S1524" t="str">
        <f t="shared" si="409"/>
        <v xml:space="preserve">     0.0 </v>
      </c>
      <c r="T1524" t="str">
        <f t="shared" si="410"/>
        <v xml:space="preserve">    25.7 </v>
      </c>
      <c r="U1524" t="str">
        <f t="shared" si="414"/>
        <v xml:space="preserve">         0.0 </v>
      </c>
      <c r="V1524" t="str">
        <f t="shared" si="402"/>
        <v xml:space="preserve">     0.0 </v>
      </c>
      <c r="W1524" t="str">
        <f t="shared" si="411"/>
        <v xml:space="preserve">     0.0</v>
      </c>
      <c r="X1524" t="str">
        <f t="shared" si="415"/>
        <v/>
      </c>
      <c r="Y1524" t="str">
        <f t="shared" si="415"/>
        <v/>
      </c>
      <c r="Z1524" t="str">
        <f t="shared" si="415"/>
        <v/>
      </c>
      <c r="AA1524" t="str">
        <f t="shared" si="403"/>
        <v/>
      </c>
      <c r="AB1524" t="str">
        <f t="shared" si="412"/>
        <v/>
      </c>
      <c r="AC1524" t="str">
        <f t="shared" si="413"/>
        <v/>
      </c>
      <c r="AD1524" t="str">
        <f t="shared" si="414"/>
        <v/>
      </c>
      <c r="AE1524" t="str">
        <f t="shared" si="404"/>
        <v/>
      </c>
      <c r="AF1524" t="str">
        <f t="shared" si="416"/>
        <v/>
      </c>
      <c r="AG1524" t="str">
        <f t="shared" si="416"/>
        <v/>
      </c>
      <c r="AH1524" t="str">
        <f t="shared" si="405"/>
        <v/>
      </c>
      <c r="AI1524" t="str">
        <f t="shared" si="406"/>
        <v/>
      </c>
      <c r="AJ1524" t="str">
        <f t="shared" si="407"/>
        <v/>
      </c>
    </row>
    <row r="1525" spans="1:36" x14ac:dyDescent="0.25">
      <c r="A1525" t="s">
        <v>1173</v>
      </c>
      <c r="P1525" t="str">
        <f t="shared" si="408"/>
        <v xml:space="preserve">  CAXIA7-RS069  </v>
      </c>
      <c r="Q1525" t="str">
        <f t="shared" si="408"/>
        <v xml:space="preserve">   -51.0 </v>
      </c>
      <c r="R1525" t="str">
        <f t="shared" si="401"/>
        <v xml:space="preserve">     0.0 </v>
      </c>
      <c r="S1525" t="str">
        <f t="shared" si="409"/>
        <v xml:space="preserve">     0.0 </v>
      </c>
      <c r="T1525" t="str">
        <f t="shared" si="410"/>
        <v xml:space="preserve">     9.5 </v>
      </c>
      <c r="U1525" t="str">
        <f t="shared" si="414"/>
        <v xml:space="preserve">         0.0 </v>
      </c>
      <c r="V1525" t="str">
        <f t="shared" si="402"/>
        <v xml:space="preserve">     0.0 </v>
      </c>
      <c r="W1525" t="str">
        <f t="shared" si="411"/>
        <v xml:space="preserve">     0.0 </v>
      </c>
      <c r="X1525" t="str">
        <f t="shared" si="415"/>
        <v xml:space="preserve">       </v>
      </c>
      <c r="Y1525" t="str">
        <f t="shared" si="415"/>
        <v xml:space="preserve">              </v>
      </c>
      <c r="Z1525" t="str">
        <f t="shared" si="415"/>
        <v xml:space="preserve">    </v>
      </c>
      <c r="AA1525" t="str">
        <f t="shared" si="403"/>
        <v xml:space="preserve">         </v>
      </c>
      <c r="AB1525" t="str">
        <f t="shared" si="412"/>
        <v xml:space="preserve">         </v>
      </c>
      <c r="AC1525" t="str">
        <f t="shared" si="413"/>
        <v xml:space="preserve">    </v>
      </c>
      <c r="AD1525" t="str">
        <f t="shared" si="414"/>
        <v/>
      </c>
      <c r="AE1525" t="str">
        <f t="shared" si="404"/>
        <v/>
      </c>
      <c r="AF1525" t="str">
        <f t="shared" si="416"/>
        <v/>
      </c>
      <c r="AG1525" t="str">
        <f t="shared" si="416"/>
        <v/>
      </c>
      <c r="AH1525" t="str">
        <f t="shared" si="405"/>
        <v/>
      </c>
      <c r="AI1525" t="str">
        <f t="shared" si="406"/>
        <v/>
      </c>
      <c r="AJ1525" t="str">
        <f t="shared" si="407"/>
        <v/>
      </c>
    </row>
    <row r="1526" spans="1:36" x14ac:dyDescent="0.25">
      <c r="A1526" t="s">
        <v>1174</v>
      </c>
      <c r="P1526" t="str">
        <f t="shared" si="408"/>
        <v xml:space="preserve">                </v>
      </c>
      <c r="Q1526" t="str">
        <f t="shared" si="408"/>
        <v xml:space="preserve">         </v>
      </c>
      <c r="R1526" t="str">
        <f t="shared" si="401"/>
        <v xml:space="preserve">    84.0 </v>
      </c>
      <c r="S1526" t="str">
        <f t="shared" si="409"/>
        <v xml:space="preserve">   101.0 </v>
      </c>
      <c r="T1526" t="str">
        <f t="shared" si="410"/>
        <v xml:space="preserve">   101.0 </v>
      </c>
      <c r="U1526" t="str">
        <f t="shared" si="414"/>
        <v xml:space="preserve">       14.4% </v>
      </c>
      <c r="V1526" t="str">
        <f t="shared" si="402"/>
        <v xml:space="preserve">         </v>
      </c>
      <c r="W1526" t="str">
        <f t="shared" si="411"/>
        <v xml:space="preserve">         </v>
      </c>
      <c r="X1526" t="str">
        <f t="shared" si="415"/>
        <v xml:space="preserve">  1387 </v>
      </c>
      <c r="Y1526" t="str">
        <f t="shared" si="415"/>
        <v xml:space="preserve"> CAXIA6-RS069 </v>
      </c>
      <c r="Z1526" t="str">
        <f t="shared" si="415"/>
        <v xml:space="preserve">  1 </v>
      </c>
      <c r="AA1526" t="str">
        <f t="shared" si="403"/>
        <v xml:space="preserve">   -11.5 </v>
      </c>
      <c r="AB1526" t="str">
        <f t="shared" si="412"/>
        <v xml:space="preserve">    -4.8 </v>
      </c>
      <c r="AC1526" t="str">
        <f t="shared" si="413"/>
        <v xml:space="preserve">    12.1 </v>
      </c>
      <c r="AD1526" t="str">
        <f t="shared" si="414"/>
        <v xml:space="preserve">        </v>
      </c>
      <c r="AE1526" t="str">
        <f t="shared" si="404"/>
        <v xml:space="preserve">       </v>
      </c>
      <c r="AF1526" t="str">
        <f t="shared" si="416"/>
        <v xml:space="preserve">     </v>
      </c>
      <c r="AG1526" t="str">
        <f t="shared" si="416"/>
        <v xml:space="preserve">     0.04 </v>
      </c>
      <c r="AH1526" t="str">
        <f t="shared" si="405"/>
        <v xml:space="preserve">    -0.01 </v>
      </c>
      <c r="AI1526" t="str">
        <f t="shared" si="406"/>
        <v xml:space="preserve">       </v>
      </c>
      <c r="AJ1526" t="str">
        <f t="shared" si="407"/>
        <v xml:space="preserve">      </v>
      </c>
    </row>
    <row r="1527" spans="1:36" x14ac:dyDescent="0.25">
      <c r="A1527" t="s">
        <v>1175</v>
      </c>
      <c r="P1527" t="str">
        <f t="shared" si="408"/>
        <v xml:space="preserve">                </v>
      </c>
      <c r="Q1527" t="str">
        <f t="shared" si="408"/>
        <v xml:space="preserve">         </v>
      </c>
      <c r="R1527" t="str">
        <f t="shared" si="401"/>
        <v xml:space="preserve">    84.0 </v>
      </c>
      <c r="S1527" t="str">
        <f t="shared" si="409"/>
        <v xml:space="preserve">   101.0 </v>
      </c>
      <c r="T1527" t="str">
        <f t="shared" si="410"/>
        <v xml:space="preserve">   101.0 </v>
      </c>
      <c r="U1527" t="str">
        <f t="shared" si="414"/>
        <v xml:space="preserve">       14.4% </v>
      </c>
      <c r="V1527" t="str">
        <f t="shared" si="402"/>
        <v xml:space="preserve">         </v>
      </c>
      <c r="W1527" t="str">
        <f t="shared" si="411"/>
        <v xml:space="preserve">         </v>
      </c>
      <c r="X1527" t="str">
        <f t="shared" si="415"/>
        <v xml:space="preserve">  1387 </v>
      </c>
      <c r="Y1527" t="str">
        <f t="shared" si="415"/>
        <v xml:space="preserve"> CAXIA6-RS069 </v>
      </c>
      <c r="Z1527" t="str">
        <f t="shared" si="415"/>
        <v xml:space="preserve">  2 </v>
      </c>
      <c r="AA1527" t="str">
        <f t="shared" si="403"/>
        <v xml:space="preserve">   -11.5 </v>
      </c>
      <c r="AB1527" t="str">
        <f t="shared" si="412"/>
        <v xml:space="preserve">    -4.7 </v>
      </c>
      <c r="AC1527" t="str">
        <f t="shared" si="413"/>
        <v xml:space="preserve">    12.1 </v>
      </c>
      <c r="AD1527" t="str">
        <f t="shared" si="414"/>
        <v xml:space="preserve">        </v>
      </c>
      <c r="AE1527" t="str">
        <f t="shared" si="404"/>
        <v xml:space="preserve">       </v>
      </c>
      <c r="AF1527" t="str">
        <f t="shared" si="416"/>
        <v xml:space="preserve">     </v>
      </c>
      <c r="AG1527" t="str">
        <f t="shared" si="416"/>
        <v xml:space="preserve">     0.04 </v>
      </c>
      <c r="AH1527" t="str">
        <f t="shared" si="405"/>
        <v xml:space="preserve">    -0.01 </v>
      </c>
      <c r="AI1527" t="str">
        <f t="shared" si="406"/>
        <v xml:space="preserve">       </v>
      </c>
      <c r="AJ1527" t="str">
        <f t="shared" si="407"/>
        <v xml:space="preserve">      </v>
      </c>
    </row>
    <row r="1528" spans="1:36" x14ac:dyDescent="0.25">
      <c r="A1528" t="s">
        <v>14</v>
      </c>
      <c r="P1528" t="str">
        <f t="shared" si="408"/>
        <v xml:space="preserve">  ..............</v>
      </c>
      <c r="Q1528" t="str">
        <f t="shared" si="408"/>
        <v>.........</v>
      </c>
      <c r="R1528" t="str">
        <f t="shared" si="401"/>
        <v>.........</v>
      </c>
      <c r="S1528" t="str">
        <f t="shared" si="409"/>
        <v>.........</v>
      </c>
      <c r="T1528" t="str">
        <f t="shared" si="410"/>
        <v>.........</v>
      </c>
      <c r="U1528" t="str">
        <f t="shared" si="414"/>
        <v>.............</v>
      </c>
      <c r="V1528" t="str">
        <f t="shared" si="402"/>
        <v>.........</v>
      </c>
      <c r="W1528" t="str">
        <f t="shared" si="411"/>
        <v>.........</v>
      </c>
      <c r="X1528" t="str">
        <f t="shared" si="415"/>
        <v>.......</v>
      </c>
      <c r="Y1528" t="str">
        <f t="shared" si="415"/>
        <v>..............</v>
      </c>
      <c r="Z1528" t="str">
        <f t="shared" si="415"/>
        <v>....</v>
      </c>
      <c r="AA1528" t="str">
        <f t="shared" si="403"/>
        <v>.........</v>
      </c>
      <c r="AB1528" t="str">
        <f t="shared" si="412"/>
        <v>.........</v>
      </c>
      <c r="AC1528" t="str">
        <f t="shared" si="413"/>
        <v>.........</v>
      </c>
      <c r="AD1528" t="str">
        <f t="shared" si="414"/>
        <v>........</v>
      </c>
      <c r="AE1528" t="str">
        <f t="shared" si="404"/>
        <v>.......</v>
      </c>
      <c r="AF1528" t="str">
        <f t="shared" si="416"/>
        <v>.....</v>
      </c>
      <c r="AG1528" t="str">
        <f t="shared" si="416"/>
        <v>..........</v>
      </c>
      <c r="AH1528" t="str">
        <f t="shared" si="405"/>
        <v>..........</v>
      </c>
      <c r="AI1528" t="str">
        <f t="shared" si="406"/>
        <v>.......</v>
      </c>
      <c r="AJ1528" t="str">
        <f t="shared" si="407"/>
        <v>.......</v>
      </c>
    </row>
    <row r="1529" spans="1:36" x14ac:dyDescent="0.25">
      <c r="A1529" t="s">
        <v>1176</v>
      </c>
      <c r="P1529" t="str">
        <f t="shared" si="408"/>
        <v xml:space="preserve">   9677  138  0 </v>
      </c>
      <c r="Q1529" t="str">
        <f t="shared" si="408"/>
        <v xml:space="preserve">   1.007 </v>
      </c>
      <c r="R1529" t="str">
        <f t="shared" si="401"/>
        <v xml:space="preserve">     2.6 </v>
      </c>
      <c r="S1529" t="str">
        <f t="shared" si="409"/>
        <v xml:space="preserve">     0.0 </v>
      </c>
      <c r="T1529" t="str">
        <f t="shared" si="410"/>
        <v xml:space="preserve">    15.4 </v>
      </c>
      <c r="U1529" t="str">
        <f t="shared" si="414"/>
        <v xml:space="preserve">         0.0 </v>
      </c>
      <c r="V1529" t="str">
        <f t="shared" si="402"/>
        <v xml:space="preserve">     0.0 </v>
      </c>
      <c r="W1529" t="str">
        <f t="shared" si="411"/>
        <v xml:space="preserve">     0.0</v>
      </c>
      <c r="X1529" t="str">
        <f t="shared" si="415"/>
        <v/>
      </c>
      <c r="Y1529" t="str">
        <f t="shared" si="415"/>
        <v/>
      </c>
      <c r="Z1529" t="str">
        <f t="shared" si="415"/>
        <v/>
      </c>
      <c r="AA1529" t="str">
        <f t="shared" si="403"/>
        <v/>
      </c>
      <c r="AB1529" t="str">
        <f t="shared" si="412"/>
        <v/>
      </c>
      <c r="AC1529" t="str">
        <f t="shared" si="413"/>
        <v/>
      </c>
      <c r="AD1529" t="str">
        <f t="shared" si="414"/>
        <v/>
      </c>
      <c r="AE1529" t="str">
        <f t="shared" si="404"/>
        <v/>
      </c>
      <c r="AF1529" t="str">
        <f t="shared" si="416"/>
        <v/>
      </c>
      <c r="AG1529" t="str">
        <f t="shared" si="416"/>
        <v/>
      </c>
      <c r="AH1529" t="str">
        <f t="shared" si="405"/>
        <v/>
      </c>
      <c r="AI1529" t="str">
        <f t="shared" si="406"/>
        <v/>
      </c>
      <c r="AJ1529" t="str">
        <f t="shared" si="407"/>
        <v/>
      </c>
    </row>
    <row r="1530" spans="1:36" x14ac:dyDescent="0.25">
      <c r="A1530" t="s">
        <v>1177</v>
      </c>
      <c r="P1530" t="str">
        <f t="shared" si="408"/>
        <v xml:space="preserve">  ROLANT-RS138  </v>
      </c>
      <c r="Q1530" t="str">
        <f t="shared" si="408"/>
        <v xml:space="preserve">   -53.3 </v>
      </c>
      <c r="R1530" t="str">
        <f t="shared" si="401"/>
        <v xml:space="preserve">     0.0 </v>
      </c>
      <c r="S1530" t="str">
        <f t="shared" si="409"/>
        <v xml:space="preserve">     0.0 </v>
      </c>
      <c r="T1530" t="str">
        <f t="shared" si="410"/>
        <v xml:space="preserve">     4.7 </v>
      </c>
      <c r="U1530" t="str">
        <f t="shared" si="414"/>
        <v xml:space="preserve">         0.0 </v>
      </c>
      <c r="V1530" t="str">
        <f t="shared" si="402"/>
        <v xml:space="preserve">     0.0 </v>
      </c>
      <c r="W1530" t="str">
        <f t="shared" si="411"/>
        <v xml:space="preserve">     0.0 </v>
      </c>
      <c r="X1530" t="str">
        <f t="shared" si="415"/>
        <v xml:space="preserve">       </v>
      </c>
      <c r="Y1530" t="str">
        <f t="shared" si="415"/>
        <v xml:space="preserve">              </v>
      </c>
      <c r="Z1530" t="str">
        <f t="shared" si="415"/>
        <v xml:space="preserve">    </v>
      </c>
      <c r="AA1530" t="str">
        <f t="shared" si="403"/>
        <v xml:space="preserve">         </v>
      </c>
      <c r="AB1530" t="str">
        <f t="shared" si="412"/>
        <v xml:space="preserve">         </v>
      </c>
      <c r="AC1530" t="str">
        <f t="shared" si="413"/>
        <v xml:space="preserve">    </v>
      </c>
      <c r="AD1530" t="str">
        <f t="shared" si="414"/>
        <v/>
      </c>
      <c r="AE1530" t="str">
        <f t="shared" si="404"/>
        <v/>
      </c>
      <c r="AF1530" t="str">
        <f t="shared" si="416"/>
        <v/>
      </c>
      <c r="AG1530" t="str">
        <f t="shared" si="416"/>
        <v/>
      </c>
      <c r="AH1530" t="str">
        <f t="shared" si="405"/>
        <v/>
      </c>
      <c r="AI1530" t="str">
        <f t="shared" si="406"/>
        <v/>
      </c>
      <c r="AJ1530" t="str">
        <f t="shared" si="407"/>
        <v/>
      </c>
    </row>
    <row r="1531" spans="1:36" x14ac:dyDescent="0.25">
      <c r="A1531" t="s">
        <v>1178</v>
      </c>
      <c r="P1531" t="str">
        <f t="shared" si="408"/>
        <v xml:space="preserve">                </v>
      </c>
      <c r="Q1531" t="str">
        <f t="shared" si="408"/>
        <v xml:space="preserve">         </v>
      </c>
      <c r="R1531" t="str">
        <f t="shared" si="401"/>
        <v xml:space="preserve">   134.0 </v>
      </c>
      <c r="S1531" t="str">
        <f t="shared" si="409"/>
        <v xml:space="preserve">   162.0 </v>
      </c>
      <c r="T1531" t="str">
        <f t="shared" si="410"/>
        <v xml:space="preserve">   162.0 </v>
      </c>
      <c r="U1531" t="str">
        <f t="shared" si="414"/>
        <v xml:space="preserve">       10.1% </v>
      </c>
      <c r="V1531" t="str">
        <f t="shared" si="402"/>
        <v xml:space="preserve">         </v>
      </c>
      <c r="W1531" t="str">
        <f t="shared" si="411"/>
        <v xml:space="preserve">         </v>
      </c>
      <c r="X1531" t="str">
        <f t="shared" si="415"/>
        <v xml:space="preserve">  2094 </v>
      </c>
      <c r="Y1531" t="str">
        <f t="shared" si="415"/>
        <v xml:space="preserve"> TAQUAR-RS138 </v>
      </c>
      <c r="Z1531" t="str">
        <f t="shared" si="415"/>
        <v xml:space="preserve">  1 </v>
      </c>
      <c r="AA1531" t="str">
        <f t="shared" si="403"/>
        <v xml:space="preserve">   -12.8 </v>
      </c>
      <c r="AB1531" t="str">
        <f t="shared" si="412"/>
        <v xml:space="preserve">    -4.7 </v>
      </c>
      <c r="AC1531" t="str">
        <f t="shared" si="413"/>
        <v xml:space="preserve">    13.5 </v>
      </c>
      <c r="AD1531" t="str">
        <f t="shared" si="414"/>
        <v xml:space="preserve">        </v>
      </c>
      <c r="AE1531" t="str">
        <f t="shared" si="404"/>
        <v xml:space="preserve">       </v>
      </c>
      <c r="AF1531" t="str">
        <f t="shared" si="416"/>
        <v xml:space="preserve">     </v>
      </c>
      <c r="AG1531" t="str">
        <f t="shared" si="416"/>
        <v xml:space="preserve">     0.05 </v>
      </c>
      <c r="AH1531" t="str">
        <f t="shared" si="405"/>
        <v xml:space="preserve">    -1.89 </v>
      </c>
      <c r="AI1531" t="str">
        <f t="shared" si="406"/>
        <v xml:space="preserve">       </v>
      </c>
      <c r="AJ1531" t="str">
        <f t="shared" si="407"/>
        <v xml:space="preserve">      </v>
      </c>
    </row>
    <row r="1532" spans="1:36" x14ac:dyDescent="0.25">
      <c r="A1532" t="s">
        <v>14</v>
      </c>
      <c r="P1532" t="str">
        <f t="shared" si="408"/>
        <v xml:space="preserve">  ..............</v>
      </c>
      <c r="Q1532" t="str">
        <f t="shared" si="408"/>
        <v>.........</v>
      </c>
      <c r="R1532" t="str">
        <f t="shared" si="401"/>
        <v>.........</v>
      </c>
      <c r="S1532" t="str">
        <f t="shared" si="409"/>
        <v>.........</v>
      </c>
      <c r="T1532" t="str">
        <f t="shared" si="410"/>
        <v>.........</v>
      </c>
      <c r="U1532" t="str">
        <f t="shared" si="414"/>
        <v>.............</v>
      </c>
      <c r="V1532" t="str">
        <f t="shared" si="402"/>
        <v>.........</v>
      </c>
      <c r="W1532" t="str">
        <f t="shared" si="411"/>
        <v>.........</v>
      </c>
      <c r="X1532" t="str">
        <f t="shared" si="415"/>
        <v>.......</v>
      </c>
      <c r="Y1532" t="str">
        <f t="shared" si="415"/>
        <v>..............</v>
      </c>
      <c r="Z1532" t="str">
        <f t="shared" si="415"/>
        <v>....</v>
      </c>
      <c r="AA1532" t="str">
        <f t="shared" si="403"/>
        <v>.........</v>
      </c>
      <c r="AB1532" t="str">
        <f t="shared" si="412"/>
        <v>.........</v>
      </c>
      <c r="AC1532" t="str">
        <f t="shared" si="413"/>
        <v>.........</v>
      </c>
      <c r="AD1532" t="str">
        <f t="shared" si="414"/>
        <v>........</v>
      </c>
      <c r="AE1532" t="str">
        <f t="shared" si="404"/>
        <v>.......</v>
      </c>
      <c r="AF1532" t="str">
        <f t="shared" si="416"/>
        <v>.....</v>
      </c>
      <c r="AG1532" t="str">
        <f t="shared" si="416"/>
        <v>..........</v>
      </c>
      <c r="AH1532" t="str">
        <f t="shared" si="405"/>
        <v>..........</v>
      </c>
      <c r="AI1532" t="str">
        <f t="shared" si="406"/>
        <v>.......</v>
      </c>
      <c r="AJ1532" t="str">
        <f t="shared" si="407"/>
        <v>.......</v>
      </c>
    </row>
    <row r="1533" spans="1:36" x14ac:dyDescent="0.25">
      <c r="A1533" t="s">
        <v>1179</v>
      </c>
      <c r="P1533" t="str">
        <f t="shared" si="408"/>
        <v xml:space="preserve">   9678  138  0 </v>
      </c>
      <c r="Q1533" t="str">
        <f t="shared" si="408"/>
        <v xml:space="preserve">   1.016 </v>
      </c>
      <c r="R1533" t="str">
        <f t="shared" si="401"/>
        <v xml:space="preserve">     2.4 </v>
      </c>
      <c r="S1533" t="str">
        <f t="shared" si="409"/>
        <v xml:space="preserve">     0.0 </v>
      </c>
      <c r="T1533" t="str">
        <f t="shared" si="410"/>
        <v xml:space="preserve">    11.0 </v>
      </c>
      <c r="U1533" t="str">
        <f t="shared" si="414"/>
        <v xml:space="preserve">         0.0 </v>
      </c>
      <c r="V1533" t="str">
        <f t="shared" si="402"/>
        <v xml:space="preserve">     0.0 </v>
      </c>
      <c r="W1533" t="str">
        <f t="shared" si="411"/>
        <v xml:space="preserve">     0.0</v>
      </c>
      <c r="X1533" t="str">
        <f t="shared" si="415"/>
        <v/>
      </c>
      <c r="Y1533" t="str">
        <f t="shared" si="415"/>
        <v/>
      </c>
      <c r="Z1533" t="str">
        <f t="shared" si="415"/>
        <v/>
      </c>
      <c r="AA1533" t="str">
        <f t="shared" si="403"/>
        <v/>
      </c>
      <c r="AB1533" t="str">
        <f t="shared" si="412"/>
        <v/>
      </c>
      <c r="AC1533" t="str">
        <f t="shared" si="413"/>
        <v/>
      </c>
      <c r="AD1533" t="str">
        <f t="shared" si="414"/>
        <v/>
      </c>
      <c r="AE1533" t="str">
        <f t="shared" si="404"/>
        <v/>
      </c>
      <c r="AF1533" t="str">
        <f t="shared" si="416"/>
        <v/>
      </c>
      <c r="AG1533" t="str">
        <f t="shared" si="416"/>
        <v/>
      </c>
      <c r="AH1533" t="str">
        <f t="shared" si="405"/>
        <v/>
      </c>
      <c r="AI1533" t="str">
        <f t="shared" si="406"/>
        <v/>
      </c>
      <c r="AJ1533" t="str">
        <f t="shared" si="407"/>
        <v/>
      </c>
    </row>
    <row r="1534" spans="1:36" x14ac:dyDescent="0.25">
      <c r="A1534" t="s">
        <v>1180</v>
      </c>
      <c r="P1534" t="str">
        <f t="shared" si="408"/>
        <v xml:space="preserve">  SANAND-RS138  </v>
      </c>
      <c r="Q1534" t="str">
        <f t="shared" si="408"/>
        <v xml:space="preserve">   -46.5 </v>
      </c>
      <c r="R1534" t="str">
        <f t="shared" si="401"/>
        <v xml:space="preserve">     0.0 </v>
      </c>
      <c r="S1534" t="str">
        <f t="shared" si="409"/>
        <v xml:space="preserve">     0.0 </v>
      </c>
      <c r="T1534" t="str">
        <f t="shared" si="410"/>
        <v xml:space="preserve">     5.3 </v>
      </c>
      <c r="U1534" t="str">
        <f t="shared" si="414"/>
        <v xml:space="preserve">         0.0 </v>
      </c>
      <c r="V1534" t="str">
        <f t="shared" si="402"/>
        <v xml:space="preserve">     0.0 </v>
      </c>
      <c r="W1534" t="str">
        <f t="shared" si="411"/>
        <v xml:space="preserve">     0.0 </v>
      </c>
      <c r="X1534" t="str">
        <f t="shared" si="415"/>
        <v xml:space="preserve">       </v>
      </c>
      <c r="Y1534" t="str">
        <f t="shared" si="415"/>
        <v xml:space="preserve">              </v>
      </c>
      <c r="Z1534" t="str">
        <f t="shared" si="415"/>
        <v xml:space="preserve">    </v>
      </c>
      <c r="AA1534" t="str">
        <f t="shared" si="403"/>
        <v xml:space="preserve">         </v>
      </c>
      <c r="AB1534" t="str">
        <f t="shared" si="412"/>
        <v xml:space="preserve">         </v>
      </c>
      <c r="AC1534" t="str">
        <f t="shared" si="413"/>
        <v xml:space="preserve">    </v>
      </c>
      <c r="AD1534" t="str">
        <f t="shared" si="414"/>
        <v/>
      </c>
      <c r="AE1534" t="str">
        <f t="shared" si="404"/>
        <v/>
      </c>
      <c r="AF1534" t="str">
        <f t="shared" si="416"/>
        <v/>
      </c>
      <c r="AG1534" t="str">
        <f t="shared" si="416"/>
        <v/>
      </c>
      <c r="AH1534" t="str">
        <f t="shared" si="405"/>
        <v/>
      </c>
      <c r="AI1534" t="str">
        <f t="shared" si="406"/>
        <v/>
      </c>
      <c r="AJ1534" t="str">
        <f t="shared" si="407"/>
        <v/>
      </c>
    </row>
    <row r="1535" spans="1:36" x14ac:dyDescent="0.25">
      <c r="A1535" t="s">
        <v>1181</v>
      </c>
      <c r="P1535" t="str">
        <f t="shared" si="408"/>
        <v xml:space="preserve">                </v>
      </c>
      <c r="Q1535" t="str">
        <f t="shared" si="408"/>
        <v xml:space="preserve">         </v>
      </c>
      <c r="R1535" t="str">
        <f t="shared" si="401"/>
        <v xml:space="preserve">   167.0 </v>
      </c>
      <c r="S1535" t="str">
        <f t="shared" si="409"/>
        <v xml:space="preserve">   203.0 </v>
      </c>
      <c r="T1535" t="str">
        <f t="shared" si="410"/>
        <v xml:space="preserve">   203.0 </v>
      </c>
      <c r="U1535" t="str">
        <f t="shared" si="414"/>
        <v xml:space="preserve">        6.0% </v>
      </c>
      <c r="V1535" t="str">
        <f t="shared" si="402"/>
        <v xml:space="preserve">         </v>
      </c>
      <c r="W1535" t="str">
        <f t="shared" si="411"/>
        <v xml:space="preserve">         </v>
      </c>
      <c r="X1535" t="str">
        <f t="shared" si="415"/>
        <v xml:space="preserve">  9679 </v>
      </c>
      <c r="Y1535" t="str">
        <f t="shared" si="415"/>
        <v xml:space="preserve"> SANANDTAP138 </v>
      </c>
      <c r="Z1535" t="str">
        <f t="shared" si="415"/>
        <v xml:space="preserve">  1 </v>
      </c>
      <c r="AA1535" t="str">
        <f t="shared" si="403"/>
        <v xml:space="preserve">    -8.6 </v>
      </c>
      <c r="AB1535" t="str">
        <f t="shared" si="412"/>
        <v xml:space="preserve">    -5.3 </v>
      </c>
      <c r="AC1535" t="str">
        <f t="shared" si="413"/>
        <v xml:space="preserve">     9.9 </v>
      </c>
      <c r="AD1535" t="str">
        <f t="shared" si="414"/>
        <v xml:space="preserve">        </v>
      </c>
      <c r="AE1535" t="str">
        <f t="shared" si="404"/>
        <v xml:space="preserve">       </v>
      </c>
      <c r="AF1535" t="str">
        <f t="shared" si="416"/>
        <v xml:space="preserve">     </v>
      </c>
      <c r="AG1535" t="str">
        <f t="shared" si="416"/>
        <v xml:space="preserve">     0.01 </v>
      </c>
      <c r="AH1535" t="str">
        <f t="shared" si="405"/>
        <v xml:space="preserve">    -1.31 </v>
      </c>
      <c r="AI1535" t="str">
        <f t="shared" si="406"/>
        <v xml:space="preserve">       </v>
      </c>
      <c r="AJ1535" t="str">
        <f t="shared" si="407"/>
        <v xml:space="preserve">      </v>
      </c>
    </row>
    <row r="1536" spans="1:36" x14ac:dyDescent="0.25">
      <c r="A1536" t="s">
        <v>14</v>
      </c>
      <c r="P1536" t="str">
        <f t="shared" si="408"/>
        <v xml:space="preserve">  ..............</v>
      </c>
      <c r="Q1536" t="str">
        <f t="shared" si="408"/>
        <v>.........</v>
      </c>
      <c r="R1536" t="str">
        <f t="shared" si="401"/>
        <v>.........</v>
      </c>
      <c r="S1536" t="str">
        <f t="shared" si="409"/>
        <v>.........</v>
      </c>
      <c r="T1536" t="str">
        <f t="shared" si="410"/>
        <v>.........</v>
      </c>
      <c r="U1536" t="str">
        <f t="shared" si="414"/>
        <v>.............</v>
      </c>
      <c r="V1536" t="str">
        <f t="shared" si="402"/>
        <v>.........</v>
      </c>
      <c r="W1536" t="str">
        <f t="shared" si="411"/>
        <v>.........</v>
      </c>
      <c r="X1536" t="str">
        <f t="shared" si="415"/>
        <v>.......</v>
      </c>
      <c r="Y1536" t="str">
        <f t="shared" si="415"/>
        <v>..............</v>
      </c>
      <c r="Z1536" t="str">
        <f t="shared" si="415"/>
        <v>....</v>
      </c>
      <c r="AA1536" t="str">
        <f t="shared" si="403"/>
        <v>.........</v>
      </c>
      <c r="AB1536" t="str">
        <f t="shared" si="412"/>
        <v>.........</v>
      </c>
      <c r="AC1536" t="str">
        <f t="shared" si="413"/>
        <v>.........</v>
      </c>
      <c r="AD1536" t="str">
        <f t="shared" si="414"/>
        <v>........</v>
      </c>
      <c r="AE1536" t="str">
        <f t="shared" si="404"/>
        <v>.......</v>
      </c>
      <c r="AF1536" t="str">
        <f t="shared" si="416"/>
        <v>.....</v>
      </c>
      <c r="AG1536" t="str">
        <f t="shared" si="416"/>
        <v>..........</v>
      </c>
      <c r="AH1536" t="str">
        <f t="shared" si="405"/>
        <v>..........</v>
      </c>
      <c r="AI1536" t="str">
        <f t="shared" si="406"/>
        <v>.......</v>
      </c>
      <c r="AJ1536" t="str">
        <f t="shared" si="407"/>
        <v>.......</v>
      </c>
    </row>
    <row r="1537" spans="1:36" x14ac:dyDescent="0.25">
      <c r="A1537" t="s">
        <v>1182</v>
      </c>
      <c r="P1537" t="str">
        <f t="shared" si="408"/>
        <v xml:space="preserve">_x000C_CEPEL - CENTRO </v>
      </c>
      <c r="Q1537" t="str">
        <f t="shared" si="408"/>
        <v xml:space="preserve"> DE PESQU</v>
      </c>
      <c r="R1537" t="str">
        <f t="shared" si="401"/>
        <v xml:space="preserve">UISAS DE </v>
      </c>
      <c r="S1537" t="str">
        <f t="shared" si="409"/>
        <v xml:space="preserve"> ENERGIA </v>
      </c>
      <c r="T1537" t="str">
        <f t="shared" si="410"/>
        <v xml:space="preserve"> ELETRICA</v>
      </c>
      <c r="U1537" t="str">
        <f t="shared" si="414"/>
        <v xml:space="preserve">A - PROGRAMA </v>
      </c>
      <c r="V1537" t="str">
        <f t="shared" si="402"/>
        <v xml:space="preserve"> DE ANALI</v>
      </c>
      <c r="W1537" t="str">
        <f t="shared" si="411"/>
        <v>ISE DE RE</v>
      </c>
      <c r="X1537" t="str">
        <f t="shared" si="415"/>
        <v xml:space="preserve">EDES - </v>
      </c>
      <c r="Y1537" t="str">
        <f t="shared" si="415"/>
        <v xml:space="preserve"> V11.06.02    </v>
      </c>
      <c r="Z1537" t="str">
        <f t="shared" si="415"/>
        <v xml:space="preserve">    </v>
      </c>
      <c r="AA1537" t="str">
        <f t="shared" si="403"/>
        <v xml:space="preserve">         </v>
      </c>
      <c r="AB1537" t="str">
        <f t="shared" si="412"/>
        <v xml:space="preserve">         </v>
      </c>
      <c r="AC1537" t="str">
        <f t="shared" si="413"/>
        <v xml:space="preserve">         </v>
      </c>
      <c r="AD1537" t="str">
        <f t="shared" si="414"/>
        <v xml:space="preserve">   PAG. </v>
      </c>
      <c r="AE1537" t="str">
        <f t="shared" si="404"/>
        <v xml:space="preserve">  10</v>
      </c>
      <c r="AF1537" t="str">
        <f t="shared" si="416"/>
        <v/>
      </c>
      <c r="AG1537" t="str">
        <f t="shared" si="416"/>
        <v/>
      </c>
      <c r="AH1537" t="str">
        <f t="shared" si="405"/>
        <v/>
      </c>
      <c r="AI1537" t="str">
        <f t="shared" si="406"/>
        <v/>
      </c>
      <c r="AJ1537" t="str">
        <f t="shared" si="407"/>
        <v/>
      </c>
    </row>
    <row r="1538" spans="1:36" x14ac:dyDescent="0.25">
      <c r="P1538" t="str">
        <f t="shared" si="408"/>
        <v/>
      </c>
      <c r="Q1538" t="str">
        <f t="shared" si="408"/>
        <v/>
      </c>
      <c r="R1538" t="str">
        <f t="shared" si="401"/>
        <v/>
      </c>
      <c r="S1538" t="str">
        <f t="shared" si="409"/>
        <v/>
      </c>
      <c r="T1538" t="str">
        <f t="shared" si="410"/>
        <v/>
      </c>
      <c r="U1538" t="str">
        <f t="shared" si="414"/>
        <v/>
      </c>
      <c r="V1538" t="str">
        <f t="shared" si="402"/>
        <v/>
      </c>
      <c r="W1538" t="str">
        <f t="shared" si="411"/>
        <v/>
      </c>
      <c r="X1538" t="str">
        <f t="shared" si="415"/>
        <v/>
      </c>
      <c r="Y1538" t="str">
        <f t="shared" si="415"/>
        <v/>
      </c>
      <c r="Z1538" t="str">
        <f t="shared" si="415"/>
        <v/>
      </c>
      <c r="AA1538" t="str">
        <f t="shared" si="403"/>
        <v/>
      </c>
      <c r="AB1538" t="str">
        <f t="shared" si="412"/>
        <v/>
      </c>
      <c r="AC1538" t="str">
        <f t="shared" si="413"/>
        <v/>
      </c>
      <c r="AD1538" t="str">
        <f t="shared" si="414"/>
        <v/>
      </c>
      <c r="AE1538" t="str">
        <f t="shared" si="404"/>
        <v/>
      </c>
      <c r="AF1538" t="str">
        <f t="shared" si="416"/>
        <v/>
      </c>
      <c r="AG1538" t="str">
        <f t="shared" si="416"/>
        <v/>
      </c>
      <c r="AH1538" t="str">
        <f t="shared" si="405"/>
        <v/>
      </c>
      <c r="AI1538" t="str">
        <f t="shared" si="406"/>
        <v/>
      </c>
      <c r="AJ1538" t="str">
        <f t="shared" si="407"/>
        <v/>
      </c>
    </row>
    <row r="1539" spans="1:36" x14ac:dyDescent="0.25">
      <c r="A1539" t="s">
        <v>1</v>
      </c>
      <c r="P1539" t="str">
        <f t="shared" si="408"/>
        <v xml:space="preserve"> PARPEL 23-27 * </v>
      </c>
      <c r="Q1539" t="str">
        <f t="shared" si="408"/>
        <v xml:space="preserve"> MG-GODF </v>
      </c>
      <c r="R1539" t="str">
        <f t="shared" si="401"/>
        <v xml:space="preserve"> * I27M *</v>
      </c>
      <c r="S1539" t="str">
        <f t="shared" si="409"/>
        <v>* NEexp *</v>
      </c>
      <c r="T1539" t="str">
        <f t="shared" si="410"/>
        <v>* NESE 88</v>
      </c>
      <c r="U1539" t="str">
        <f t="shared" si="414"/>
        <v>800 UFVMG 90%</v>
      </c>
      <c r="V1539" t="str">
        <f t="shared" si="402"/>
        <v>% * UFVAl</v>
      </c>
      <c r="W1539" t="str">
        <f t="shared" si="411"/>
        <v>lves120MW</v>
      </c>
      <c r="X1539" t="str">
        <f t="shared" si="415"/>
        <v xml:space="preserve">W     </v>
      </c>
      <c r="Y1539" t="str">
        <f t="shared" si="415"/>
        <v/>
      </c>
      <c r="Z1539" t="str">
        <f t="shared" si="415"/>
        <v/>
      </c>
      <c r="AA1539" t="str">
        <f t="shared" si="403"/>
        <v/>
      </c>
      <c r="AB1539" t="str">
        <f t="shared" si="412"/>
        <v/>
      </c>
      <c r="AC1539" t="str">
        <f t="shared" si="413"/>
        <v/>
      </c>
      <c r="AD1539" t="str">
        <f t="shared" si="414"/>
        <v/>
      </c>
      <c r="AE1539" t="str">
        <f t="shared" si="404"/>
        <v/>
      </c>
      <c r="AF1539" t="str">
        <f t="shared" si="416"/>
        <v/>
      </c>
      <c r="AG1539" t="str">
        <f t="shared" si="416"/>
        <v/>
      </c>
      <c r="AH1539" t="str">
        <f t="shared" si="405"/>
        <v/>
      </c>
      <c r="AI1539" t="str">
        <f t="shared" si="406"/>
        <v/>
      </c>
      <c r="AJ1539" t="str">
        <f t="shared" si="407"/>
        <v/>
      </c>
    </row>
    <row r="1540" spans="1:36" x14ac:dyDescent="0.25">
      <c r="A1540" t="s">
        <v>2</v>
      </c>
      <c r="P1540" t="str">
        <f t="shared" si="408"/>
        <v xml:space="preserve"> RELATORIO COMPL</v>
      </c>
      <c r="Q1540" t="str">
        <f t="shared" si="408"/>
        <v>LETO DO S</v>
      </c>
      <c r="R1540" t="str">
        <f t="shared" si="401"/>
        <v>SISTEMA *</v>
      </c>
      <c r="S1540" t="str">
        <f t="shared" si="409"/>
        <v xml:space="preserve">* AREA   </v>
      </c>
      <c r="T1540" t="str">
        <f t="shared" si="410"/>
        <v xml:space="preserve"> 3 * RS -</v>
      </c>
      <c r="U1540" t="str">
        <f t="shared" si="414"/>
        <v xml:space="preserve">- DIT/DIST   </v>
      </c>
      <c r="V1540" t="str">
        <f t="shared" si="402"/>
        <v xml:space="preserve">         </v>
      </c>
      <c r="W1540" t="str">
        <f t="shared" si="411"/>
        <v xml:space="preserve">         </v>
      </c>
      <c r="X1540" t="str">
        <f t="shared" si="415"/>
        <v xml:space="preserve">     </v>
      </c>
      <c r="Y1540" t="str">
        <f t="shared" si="415"/>
        <v/>
      </c>
      <c r="Z1540" t="str">
        <f t="shared" si="415"/>
        <v/>
      </c>
      <c r="AA1540" t="str">
        <f t="shared" si="403"/>
        <v/>
      </c>
      <c r="AB1540" t="str">
        <f t="shared" si="412"/>
        <v/>
      </c>
      <c r="AC1540" t="str">
        <f t="shared" si="413"/>
        <v/>
      </c>
      <c r="AD1540" t="str">
        <f t="shared" si="414"/>
        <v/>
      </c>
      <c r="AE1540" t="str">
        <f t="shared" si="404"/>
        <v/>
      </c>
      <c r="AF1540" t="str">
        <f t="shared" si="416"/>
        <v/>
      </c>
      <c r="AG1540" t="str">
        <f t="shared" si="416"/>
        <v/>
      </c>
      <c r="AH1540" t="str">
        <f t="shared" si="405"/>
        <v/>
      </c>
      <c r="AI1540" t="str">
        <f t="shared" si="406"/>
        <v/>
      </c>
      <c r="AJ1540" t="str">
        <f t="shared" si="407"/>
        <v/>
      </c>
    </row>
    <row r="1541" spans="1:36" x14ac:dyDescent="0.25">
      <c r="P1541" t="str">
        <f t="shared" si="408"/>
        <v/>
      </c>
      <c r="Q1541" t="str">
        <f t="shared" si="408"/>
        <v/>
      </c>
      <c r="R1541" t="str">
        <f t="shared" si="401"/>
        <v/>
      </c>
      <c r="S1541" t="str">
        <f t="shared" si="409"/>
        <v/>
      </c>
      <c r="T1541" t="str">
        <f t="shared" si="410"/>
        <v/>
      </c>
      <c r="U1541" t="str">
        <f t="shared" si="414"/>
        <v/>
      </c>
      <c r="V1541" t="str">
        <f t="shared" si="402"/>
        <v/>
      </c>
      <c r="W1541" t="str">
        <f t="shared" si="411"/>
        <v/>
      </c>
      <c r="X1541" t="str">
        <f t="shared" si="415"/>
        <v/>
      </c>
      <c r="Y1541" t="str">
        <f t="shared" si="415"/>
        <v/>
      </c>
      <c r="Z1541" t="str">
        <f t="shared" si="415"/>
        <v/>
      </c>
      <c r="AA1541" t="str">
        <f t="shared" si="403"/>
        <v/>
      </c>
      <c r="AB1541" t="str">
        <f t="shared" si="412"/>
        <v/>
      </c>
      <c r="AC1541" t="str">
        <f t="shared" si="413"/>
        <v/>
      </c>
      <c r="AD1541" t="str">
        <f t="shared" si="414"/>
        <v/>
      </c>
      <c r="AE1541" t="str">
        <f t="shared" si="404"/>
        <v/>
      </c>
      <c r="AF1541" t="str">
        <f t="shared" si="416"/>
        <v/>
      </c>
      <c r="AG1541" t="str">
        <f t="shared" si="416"/>
        <v/>
      </c>
      <c r="AH1541" t="str">
        <f t="shared" si="405"/>
        <v/>
      </c>
      <c r="AI1541" t="str">
        <f t="shared" si="406"/>
        <v/>
      </c>
      <c r="AJ1541" t="str">
        <f t="shared" si="407"/>
        <v/>
      </c>
    </row>
    <row r="1542" spans="1:36" x14ac:dyDescent="0.25">
      <c r="A1542" t="s">
        <v>3</v>
      </c>
      <c r="P1542" t="str">
        <f t="shared" si="408"/>
        <v xml:space="preserve"> X--------------</v>
      </c>
      <c r="Q1542" t="str">
        <f t="shared" si="408"/>
        <v xml:space="preserve">-------- </v>
      </c>
      <c r="R1542" t="str">
        <f t="shared" si="401"/>
        <v xml:space="preserve"> D A D O </v>
      </c>
      <c r="S1542" t="str">
        <f t="shared" si="409"/>
        <v xml:space="preserve"> S  -  B </v>
      </c>
      <c r="T1542" t="str">
        <f t="shared" si="410"/>
        <v xml:space="preserve"> A R R A </v>
      </c>
      <c r="U1542" t="str">
        <f t="shared" si="414"/>
        <v xml:space="preserve"> ------------</v>
      </c>
      <c r="V1542" t="str">
        <f t="shared" si="402"/>
        <v>---------</v>
      </c>
      <c r="W1542" t="str">
        <f t="shared" si="411"/>
        <v>--------X</v>
      </c>
      <c r="X1542" t="str">
        <f t="shared" si="415"/>
        <v>X------</v>
      </c>
      <c r="Y1542" t="str">
        <f t="shared" si="415"/>
        <v>-------- F L U</v>
      </c>
      <c r="Z1542" t="str">
        <f t="shared" si="415"/>
        <v xml:space="preserve">U X </v>
      </c>
      <c r="AA1542" t="str">
        <f t="shared" si="403"/>
        <v xml:space="preserve"> O S  -  </v>
      </c>
      <c r="AB1542" t="str">
        <f t="shared" si="412"/>
        <v xml:space="preserve"> C I R C </v>
      </c>
      <c r="AC1542" t="str">
        <f t="shared" si="413"/>
        <v xml:space="preserve"> U I T O </v>
      </c>
      <c r="AD1542" t="str">
        <f t="shared" si="414"/>
        <v xml:space="preserve"> S -----</v>
      </c>
      <c r="AE1542" t="str">
        <f t="shared" si="404"/>
        <v>-------</v>
      </c>
      <c r="AF1542" t="str">
        <f t="shared" si="416"/>
        <v>----X</v>
      </c>
      <c r="AG1542" t="str">
        <f t="shared" si="416"/>
        <v>X--------X</v>
      </c>
      <c r="AH1542" t="str">
        <f t="shared" si="405"/>
        <v>X--------X</v>
      </c>
      <c r="AI1542" t="str">
        <f t="shared" si="406"/>
        <v>X------</v>
      </c>
      <c r="AJ1542" t="str">
        <f t="shared" si="407"/>
        <v>------X</v>
      </c>
    </row>
    <row r="1543" spans="1:36" x14ac:dyDescent="0.25">
      <c r="A1543" t="s">
        <v>4</v>
      </c>
      <c r="P1543" t="str">
        <f t="shared" si="408"/>
        <v xml:space="preserve">  DA BARRA      </v>
      </c>
      <c r="Q1543" t="str">
        <f t="shared" si="408"/>
        <v xml:space="preserve">  TENSAO </v>
      </c>
      <c r="R1543" t="str">
        <f t="shared" si="401"/>
        <v xml:space="preserve"> GERACAO </v>
      </c>
      <c r="S1543" t="str">
        <f t="shared" si="409"/>
        <v xml:space="preserve"> INJ EQV </v>
      </c>
      <c r="T1543" t="str">
        <f t="shared" si="410"/>
        <v xml:space="preserve">  CARGA  </v>
      </c>
      <c r="U1543" t="str">
        <f t="shared" si="414"/>
        <v xml:space="preserve">  ELO CC  SHU</v>
      </c>
      <c r="V1543" t="str">
        <f t="shared" si="402"/>
        <v>UNT    MO</v>
      </c>
      <c r="W1543" t="str">
        <f t="shared" si="411"/>
        <v xml:space="preserve">OTOR     </v>
      </c>
      <c r="X1543" t="str">
        <f t="shared" si="415"/>
        <v xml:space="preserve">       </v>
      </c>
      <c r="Y1543" t="str">
        <f t="shared" si="415"/>
        <v xml:space="preserve">              </v>
      </c>
      <c r="Z1543" t="str">
        <f t="shared" si="415"/>
        <v xml:space="preserve">    </v>
      </c>
      <c r="AA1543" t="str">
        <f t="shared" si="403"/>
        <v xml:space="preserve">         </v>
      </c>
      <c r="AB1543" t="str">
        <f t="shared" si="412"/>
        <v xml:space="preserve">         </v>
      </c>
      <c r="AC1543" t="str">
        <f t="shared" si="413"/>
        <v xml:space="preserve">         </v>
      </c>
      <c r="AD1543" t="str">
        <f t="shared" si="414"/>
        <v xml:space="preserve">        </v>
      </c>
      <c r="AE1543" t="str">
        <f t="shared" si="404"/>
        <v xml:space="preserve">       </v>
      </c>
      <c r="AF1543" t="str">
        <f t="shared" si="416"/>
        <v xml:space="preserve">     </v>
      </c>
      <c r="AG1543" t="str">
        <f t="shared" si="416"/>
        <v xml:space="preserve">          </v>
      </c>
      <c r="AH1543" t="str">
        <f t="shared" si="405"/>
        <v xml:space="preserve">          </v>
      </c>
      <c r="AI1543" t="str">
        <f t="shared" si="406"/>
        <v xml:space="preserve">       </v>
      </c>
      <c r="AJ1543" t="str">
        <f t="shared" si="407"/>
        <v xml:space="preserve">   </v>
      </c>
    </row>
    <row r="1544" spans="1:36" x14ac:dyDescent="0.25">
      <c r="A1544" t="s">
        <v>5</v>
      </c>
      <c r="P1544" t="str">
        <f t="shared" si="408"/>
        <v xml:space="preserve">  NUM.  KV TIPO </v>
      </c>
      <c r="Q1544" t="str">
        <f t="shared" si="408"/>
        <v xml:space="preserve">   MOD/  </v>
      </c>
      <c r="R1544" t="str">
        <f t="shared" si="401"/>
        <v xml:space="preserve">    MW/  </v>
      </c>
      <c r="S1544" t="str">
        <f t="shared" si="409"/>
        <v xml:space="preserve">    MW/  </v>
      </c>
      <c r="T1544" t="str">
        <f t="shared" si="410"/>
        <v xml:space="preserve">    MW/  </v>
      </c>
      <c r="U1544" t="str">
        <f t="shared" si="414"/>
        <v xml:space="preserve">    MW/   Mva</v>
      </c>
      <c r="V1544" t="str">
        <f t="shared" si="402"/>
        <v>ar/     M</v>
      </c>
      <c r="W1544" t="str">
        <f t="shared" si="411"/>
        <v xml:space="preserve">MW/      </v>
      </c>
      <c r="X1544" t="str">
        <f t="shared" si="415"/>
        <v xml:space="preserve">       </v>
      </c>
      <c r="Y1544" t="str">
        <f t="shared" si="415"/>
        <v xml:space="preserve">              </v>
      </c>
      <c r="Z1544" t="str">
        <f t="shared" si="415"/>
        <v xml:space="preserve">    </v>
      </c>
      <c r="AA1544" t="str">
        <f t="shared" si="403"/>
        <v xml:space="preserve">         </v>
      </c>
      <c r="AB1544" t="str">
        <f t="shared" si="412"/>
        <v xml:space="preserve">         </v>
      </c>
      <c r="AC1544" t="str">
        <f t="shared" si="413"/>
        <v xml:space="preserve">         </v>
      </c>
      <c r="AD1544" t="str">
        <f t="shared" si="414"/>
        <v xml:space="preserve">        </v>
      </c>
      <c r="AE1544" t="str">
        <f t="shared" si="404"/>
        <v xml:space="preserve">       </v>
      </c>
      <c r="AF1544" t="str">
        <f t="shared" si="416"/>
        <v xml:space="preserve">    P</v>
      </c>
      <c r="AG1544" t="str">
        <f t="shared" si="416"/>
        <v xml:space="preserve">P E R D A </v>
      </c>
      <c r="AH1544" t="str">
        <f t="shared" si="405"/>
        <v xml:space="preserve"> S       T</v>
      </c>
      <c r="AI1544" t="str">
        <f t="shared" si="406"/>
        <v xml:space="preserve">TENSAO </v>
      </c>
      <c r="AJ1544" t="str">
        <f t="shared" si="407"/>
        <v xml:space="preserve">   </v>
      </c>
    </row>
    <row r="1545" spans="1:36" x14ac:dyDescent="0.25">
      <c r="A1545" t="s">
        <v>6</v>
      </c>
      <c r="P1545" t="str">
        <f t="shared" si="408"/>
        <v xml:space="preserve">       NOME     </v>
      </c>
      <c r="Q1545" t="str">
        <f t="shared" si="408"/>
        <v xml:space="preserve">   ANG   </v>
      </c>
      <c r="R1545" t="str">
        <f t="shared" si="401"/>
        <v xml:space="preserve">   Mvar  </v>
      </c>
      <c r="S1545" t="str">
        <f t="shared" si="409"/>
        <v xml:space="preserve">   Mvar  </v>
      </c>
      <c r="T1545" t="str">
        <f t="shared" si="410"/>
        <v xml:space="preserve">   Mvar  </v>
      </c>
      <c r="U1545" t="str">
        <f t="shared" si="414"/>
        <v xml:space="preserve">   Mvar   EQU</v>
      </c>
      <c r="V1545" t="str">
        <f t="shared" si="402"/>
        <v>UIV    Mv</v>
      </c>
      <c r="W1545" t="str">
        <f t="shared" si="411"/>
        <v>var  PARA</v>
      </c>
      <c r="X1545" t="str">
        <f t="shared" si="415"/>
        <v>A BARRA</v>
      </c>
      <c r="Y1545" t="str">
        <f t="shared" si="415"/>
        <v xml:space="preserve">A             </v>
      </c>
      <c r="Z1545" t="str">
        <f t="shared" si="415"/>
        <v xml:space="preserve">    </v>
      </c>
      <c r="AA1545" t="str">
        <f t="shared" si="403"/>
        <v xml:space="preserve">      FLU</v>
      </c>
      <c r="AB1545" t="str">
        <f t="shared" si="412"/>
        <v xml:space="preserve">UXOS     </v>
      </c>
      <c r="AC1545" t="str">
        <f t="shared" si="413"/>
        <v xml:space="preserve">         </v>
      </c>
      <c r="AD1545" t="str">
        <f t="shared" si="414"/>
        <v xml:space="preserve">        </v>
      </c>
      <c r="AE1545" t="str">
        <f t="shared" si="404"/>
        <v xml:space="preserve">       </v>
      </c>
      <c r="AF1545" t="str">
        <f t="shared" si="416"/>
        <v xml:space="preserve">  ATI</v>
      </c>
      <c r="AG1545" t="str">
        <f t="shared" si="416"/>
        <v>IVA   REAT</v>
      </c>
      <c r="AH1545" t="str">
        <f t="shared" si="405"/>
        <v>TIVA  CIR.</v>
      </c>
      <c r="AI1545" t="str">
        <f t="shared" si="406"/>
        <v>. ABERT</v>
      </c>
      <c r="AJ1545" t="str">
        <f t="shared" si="407"/>
        <v xml:space="preserve">TO </v>
      </c>
    </row>
    <row r="1546" spans="1:36" x14ac:dyDescent="0.25">
      <c r="A1546" t="s">
        <v>7</v>
      </c>
      <c r="P1546" t="str">
        <f t="shared" si="408"/>
        <v xml:space="preserve">                </v>
      </c>
      <c r="Q1546" t="str">
        <f t="shared" si="408"/>
        <v xml:space="preserve">         </v>
      </c>
      <c r="R1546" t="str">
        <f t="shared" si="401"/>
        <v xml:space="preserve"> MVA_NOM </v>
      </c>
      <c r="S1546" t="str">
        <f t="shared" si="409"/>
        <v xml:space="preserve"> MVA_EMR </v>
      </c>
      <c r="T1546" t="str">
        <f t="shared" si="410"/>
        <v xml:space="preserve"> MVA_EQP </v>
      </c>
      <c r="U1546" t="str">
        <f t="shared" si="414"/>
        <v xml:space="preserve">   FLUXO %   </v>
      </c>
      <c r="V1546" t="str">
        <f t="shared" si="402"/>
        <v xml:space="preserve"> SHUNT L </v>
      </c>
      <c r="W1546" t="str">
        <f t="shared" si="411"/>
        <v xml:space="preserve">         </v>
      </c>
      <c r="X1546" t="str">
        <f t="shared" si="415"/>
        <v xml:space="preserve"> NUM.  </v>
      </c>
      <c r="Y1546" t="str">
        <f t="shared" si="415"/>
        <v xml:space="preserve">     NOME     </v>
      </c>
      <c r="Z1546" t="str">
        <f t="shared" si="415"/>
        <v xml:space="preserve"> NC </v>
      </c>
      <c r="AA1546" t="str">
        <f t="shared" si="403"/>
        <v xml:space="preserve">    MW   </v>
      </c>
      <c r="AB1546" t="str">
        <f t="shared" si="412"/>
        <v xml:space="preserve">   Mvar  </v>
      </c>
      <c r="AC1546" t="str">
        <f t="shared" si="413"/>
        <v xml:space="preserve"> MVA/V_d </v>
      </c>
      <c r="AD1546" t="str">
        <f t="shared" si="414"/>
        <v xml:space="preserve">   TAP  </v>
      </c>
      <c r="AE1546" t="str">
        <f t="shared" si="404"/>
        <v xml:space="preserve"> DEFAS </v>
      </c>
      <c r="AF1546" t="str">
        <f t="shared" si="416"/>
        <v xml:space="preserve"> TIE </v>
      </c>
      <c r="AG1546" t="str">
        <f t="shared" si="416"/>
        <v xml:space="preserve">    MW    </v>
      </c>
      <c r="AH1546" t="str">
        <f t="shared" si="405"/>
        <v xml:space="preserve">   Mvar   </v>
      </c>
      <c r="AI1546" t="str">
        <f t="shared" si="406"/>
        <v xml:space="preserve">  MOD  </v>
      </c>
      <c r="AJ1546" t="str">
        <f t="shared" si="407"/>
        <v xml:space="preserve">  ANG  </v>
      </c>
    </row>
    <row r="1547" spans="1:36" x14ac:dyDescent="0.25">
      <c r="A1547" t="s">
        <v>8</v>
      </c>
      <c r="P1547" t="str">
        <f t="shared" si="408"/>
        <v xml:space="preserve"> X-------------X</v>
      </c>
      <c r="Q1547" t="str">
        <f t="shared" si="408"/>
        <v>X-------X</v>
      </c>
      <c r="R1547" t="str">
        <f t="shared" si="401"/>
        <v>X-------X</v>
      </c>
      <c r="S1547" t="str">
        <f t="shared" si="409"/>
        <v>X-------X</v>
      </c>
      <c r="T1547" t="str">
        <f t="shared" si="410"/>
        <v>X-------X</v>
      </c>
      <c r="U1547" t="str">
        <f t="shared" si="414"/>
        <v>X-----------X</v>
      </c>
      <c r="V1547" t="str">
        <f t="shared" si="402"/>
        <v>X-------X</v>
      </c>
      <c r="W1547" t="str">
        <f t="shared" si="411"/>
        <v>X-------X</v>
      </c>
      <c r="X1547" t="str">
        <f t="shared" si="415"/>
        <v>X-----X</v>
      </c>
      <c r="Y1547" t="str">
        <f t="shared" si="415"/>
        <v>X------------X</v>
      </c>
      <c r="Z1547" t="str">
        <f t="shared" si="415"/>
        <v>X--X</v>
      </c>
      <c r="AA1547" t="str">
        <f t="shared" si="403"/>
        <v>X-------X</v>
      </c>
      <c r="AB1547" t="str">
        <f t="shared" si="412"/>
        <v>X-------X</v>
      </c>
      <c r="AC1547" t="str">
        <f t="shared" si="413"/>
        <v>X-------X</v>
      </c>
      <c r="AD1547" t="str">
        <f t="shared" si="414"/>
        <v>X------X</v>
      </c>
      <c r="AE1547" t="str">
        <f t="shared" si="404"/>
        <v>X-----X</v>
      </c>
      <c r="AF1547" t="str">
        <f t="shared" si="416"/>
        <v>X---X</v>
      </c>
      <c r="AG1547" t="str">
        <f t="shared" si="416"/>
        <v>X--------X</v>
      </c>
      <c r="AH1547" t="str">
        <f t="shared" si="405"/>
        <v>X--------X</v>
      </c>
      <c r="AI1547" t="str">
        <f t="shared" si="406"/>
        <v>X-----X</v>
      </c>
      <c r="AJ1547" t="str">
        <f t="shared" si="407"/>
        <v>X-----X</v>
      </c>
    </row>
    <row r="1548" spans="1:36" x14ac:dyDescent="0.25">
      <c r="P1548" t="str">
        <f t="shared" si="408"/>
        <v/>
      </c>
      <c r="Q1548" t="str">
        <f t="shared" si="408"/>
        <v/>
      </c>
      <c r="R1548" t="str">
        <f t="shared" ref="R1548:R1611" si="417">MID($A1548,Q$8+Q$9-1,R$9)</f>
        <v/>
      </c>
      <c r="S1548" t="str">
        <f t="shared" si="409"/>
        <v/>
      </c>
      <c r="T1548" t="str">
        <f t="shared" si="410"/>
        <v/>
      </c>
      <c r="U1548" t="str">
        <f t="shared" si="414"/>
        <v/>
      </c>
      <c r="V1548" t="str">
        <f t="shared" ref="V1548:V1611" si="418">MID($A1548,U$8+U$9-1,V$9)</f>
        <v/>
      </c>
      <c r="W1548" t="str">
        <f t="shared" si="411"/>
        <v/>
      </c>
      <c r="X1548" t="str">
        <f t="shared" si="415"/>
        <v/>
      </c>
      <c r="Y1548" t="str">
        <f t="shared" si="415"/>
        <v/>
      </c>
      <c r="Z1548" t="str">
        <f t="shared" si="415"/>
        <v/>
      </c>
      <c r="AA1548" t="str">
        <f t="shared" ref="AA1548:AA1611" si="419">MID($A1548,Z$8+Z$9-1,AA$9)</f>
        <v/>
      </c>
      <c r="AB1548" t="str">
        <f t="shared" si="412"/>
        <v/>
      </c>
      <c r="AC1548" t="str">
        <f t="shared" si="413"/>
        <v/>
      </c>
      <c r="AD1548" t="str">
        <f t="shared" si="414"/>
        <v/>
      </c>
      <c r="AE1548" t="str">
        <f t="shared" ref="AE1548:AE1611" si="420">MID($A1548,AD$8+AD$9-1,AE$9)</f>
        <v/>
      </c>
      <c r="AF1548" t="str">
        <f t="shared" si="416"/>
        <v/>
      </c>
      <c r="AG1548" t="str">
        <f t="shared" si="416"/>
        <v/>
      </c>
      <c r="AH1548" t="str">
        <f t="shared" ref="AH1548:AH1611" si="421">MID($A1548,AG$8+AG$9-1,AH$9)</f>
        <v/>
      </c>
      <c r="AI1548" t="str">
        <f t="shared" si="406"/>
        <v/>
      </c>
      <c r="AJ1548" t="str">
        <f t="shared" si="407"/>
        <v/>
      </c>
    </row>
    <row r="1549" spans="1:36" x14ac:dyDescent="0.25">
      <c r="A1549" t="s">
        <v>1183</v>
      </c>
      <c r="P1549" t="str">
        <f t="shared" si="408"/>
        <v xml:space="preserve">   9679  138  0 </v>
      </c>
      <c r="Q1549" t="str">
        <f t="shared" si="408"/>
        <v xml:space="preserve">   1.020 </v>
      </c>
      <c r="R1549" t="str">
        <f t="shared" si="417"/>
        <v xml:space="preserve">     0.0 </v>
      </c>
      <c r="S1549" t="str">
        <f t="shared" si="409"/>
        <v xml:space="preserve">     0.0 </v>
      </c>
      <c r="T1549" t="str">
        <f t="shared" si="410"/>
        <v xml:space="preserve">     0.0 </v>
      </c>
      <c r="U1549" t="str">
        <f t="shared" si="414"/>
        <v xml:space="preserve">         0.0 </v>
      </c>
      <c r="V1549" t="str">
        <f t="shared" si="418"/>
        <v xml:space="preserve">     0.0 </v>
      </c>
      <c r="W1549" t="str">
        <f t="shared" si="411"/>
        <v xml:space="preserve">     0.0</v>
      </c>
      <c r="X1549" t="str">
        <f t="shared" si="415"/>
        <v/>
      </c>
      <c r="Y1549" t="str">
        <f t="shared" si="415"/>
        <v/>
      </c>
      <c r="Z1549" t="str">
        <f t="shared" si="415"/>
        <v/>
      </c>
      <c r="AA1549" t="str">
        <f t="shared" si="419"/>
        <v/>
      </c>
      <c r="AB1549" t="str">
        <f t="shared" si="412"/>
        <v/>
      </c>
      <c r="AC1549" t="str">
        <f t="shared" si="413"/>
        <v/>
      </c>
      <c r="AD1549" t="str">
        <f t="shared" si="414"/>
        <v/>
      </c>
      <c r="AE1549" t="str">
        <f t="shared" si="420"/>
        <v/>
      </c>
      <c r="AF1549" t="str">
        <f t="shared" si="416"/>
        <v/>
      </c>
      <c r="AG1549" t="str">
        <f t="shared" si="416"/>
        <v/>
      </c>
      <c r="AH1549" t="str">
        <f t="shared" si="421"/>
        <v/>
      </c>
      <c r="AI1549" t="str">
        <f t="shared" si="406"/>
        <v/>
      </c>
      <c r="AJ1549" t="str">
        <f t="shared" si="407"/>
        <v/>
      </c>
    </row>
    <row r="1550" spans="1:36" x14ac:dyDescent="0.25">
      <c r="A1550" t="s">
        <v>1184</v>
      </c>
      <c r="P1550" t="str">
        <f t="shared" si="408"/>
        <v xml:space="preserve">  SANANDTAP138  </v>
      </c>
      <c r="Q1550" t="str">
        <f t="shared" si="408"/>
        <v xml:space="preserve">   -46.3 </v>
      </c>
      <c r="R1550" t="str">
        <f t="shared" si="417"/>
        <v xml:space="preserve">     0.0 </v>
      </c>
      <c r="S1550" t="str">
        <f t="shared" si="409"/>
        <v xml:space="preserve">     0.0 </v>
      </c>
      <c r="T1550" t="str">
        <f t="shared" si="410"/>
        <v xml:space="preserve">     0.0 </v>
      </c>
      <c r="U1550" t="str">
        <f t="shared" si="414"/>
        <v xml:space="preserve">         0.0 </v>
      </c>
      <c r="V1550" t="str">
        <f t="shared" si="418"/>
        <v xml:space="preserve">     0.0 </v>
      </c>
      <c r="W1550" t="str">
        <f t="shared" si="411"/>
        <v xml:space="preserve">     0.0 </v>
      </c>
      <c r="X1550" t="str">
        <f t="shared" si="415"/>
        <v xml:space="preserve">       </v>
      </c>
      <c r="Y1550" t="str">
        <f t="shared" si="415"/>
        <v xml:space="preserve">              </v>
      </c>
      <c r="Z1550" t="str">
        <f t="shared" si="415"/>
        <v xml:space="preserve">    </v>
      </c>
      <c r="AA1550" t="str">
        <f t="shared" si="419"/>
        <v xml:space="preserve">         </v>
      </c>
      <c r="AB1550" t="str">
        <f t="shared" si="412"/>
        <v xml:space="preserve">         </v>
      </c>
      <c r="AC1550" t="str">
        <f t="shared" si="413"/>
        <v xml:space="preserve">    </v>
      </c>
      <c r="AD1550" t="str">
        <f t="shared" si="414"/>
        <v/>
      </c>
      <c r="AE1550" t="str">
        <f t="shared" si="420"/>
        <v/>
      </c>
      <c r="AF1550" t="str">
        <f t="shared" si="416"/>
        <v/>
      </c>
      <c r="AG1550" t="str">
        <f t="shared" si="416"/>
        <v/>
      </c>
      <c r="AH1550" t="str">
        <f t="shared" si="421"/>
        <v/>
      </c>
      <c r="AI1550" t="str">
        <f t="shared" si="406"/>
        <v/>
      </c>
      <c r="AJ1550" t="str">
        <f t="shared" si="407"/>
        <v/>
      </c>
    </row>
    <row r="1551" spans="1:36" x14ac:dyDescent="0.25">
      <c r="A1551" t="s">
        <v>1185</v>
      </c>
      <c r="P1551" t="str">
        <f t="shared" si="408"/>
        <v xml:space="preserve">                </v>
      </c>
      <c r="Q1551" t="str">
        <f t="shared" si="408"/>
        <v xml:space="preserve">         </v>
      </c>
      <c r="R1551" t="str">
        <f t="shared" si="417"/>
        <v xml:space="preserve">   167.0 </v>
      </c>
      <c r="S1551" t="str">
        <f t="shared" si="409"/>
        <v xml:space="preserve">   203.0 </v>
      </c>
      <c r="T1551" t="str">
        <f t="shared" si="410"/>
        <v xml:space="preserve">   203.0 </v>
      </c>
      <c r="U1551" t="str">
        <f t="shared" si="414"/>
        <v xml:space="preserve">       42.9% </v>
      </c>
      <c r="V1551" t="str">
        <f t="shared" si="418"/>
        <v xml:space="preserve">         </v>
      </c>
      <c r="W1551" t="str">
        <f t="shared" si="411"/>
        <v xml:space="preserve">         </v>
      </c>
      <c r="X1551" t="str">
        <f t="shared" si="415"/>
        <v xml:space="preserve">  1326 </v>
      </c>
      <c r="Y1551" t="str">
        <f t="shared" si="415"/>
        <v xml:space="preserve"> LVERM2-RS138 </v>
      </c>
      <c r="Z1551" t="str">
        <f t="shared" si="415"/>
        <v xml:space="preserve">  1 </v>
      </c>
      <c r="AA1551" t="str">
        <f t="shared" si="419"/>
        <v xml:space="preserve">   -69.0 </v>
      </c>
      <c r="AB1551" t="str">
        <f t="shared" si="412"/>
        <v xml:space="preserve">   -24.3 </v>
      </c>
      <c r="AC1551" t="str">
        <f t="shared" si="413"/>
        <v xml:space="preserve">    71.7 </v>
      </c>
      <c r="AD1551" t="str">
        <f t="shared" si="414"/>
        <v xml:space="preserve">        </v>
      </c>
      <c r="AE1551" t="str">
        <f t="shared" si="420"/>
        <v xml:space="preserve">       </v>
      </c>
      <c r="AF1551" t="str">
        <f t="shared" si="416"/>
        <v xml:space="preserve">     </v>
      </c>
      <c r="AG1551" t="str">
        <f t="shared" si="416"/>
        <v xml:space="preserve">     0.86 </v>
      </c>
      <c r="AH1551" t="str">
        <f t="shared" si="421"/>
        <v xml:space="preserve">     1.61 </v>
      </c>
      <c r="AI1551" t="str">
        <f t="shared" si="406"/>
        <v xml:space="preserve">       </v>
      </c>
      <c r="AJ1551" t="str">
        <f t="shared" si="407"/>
        <v xml:space="preserve">      </v>
      </c>
    </row>
    <row r="1552" spans="1:36" x14ac:dyDescent="0.25">
      <c r="A1552" t="s">
        <v>1186</v>
      </c>
      <c r="P1552" t="str">
        <f t="shared" si="408"/>
        <v xml:space="preserve">                </v>
      </c>
      <c r="Q1552" t="str">
        <f t="shared" si="408"/>
        <v xml:space="preserve">         </v>
      </c>
      <c r="R1552" t="str">
        <f t="shared" si="417"/>
        <v xml:space="preserve">   167.0 </v>
      </c>
      <c r="S1552" t="str">
        <f t="shared" si="409"/>
        <v xml:space="preserve">   203.0 </v>
      </c>
      <c r="T1552" t="str">
        <f t="shared" si="410"/>
        <v xml:space="preserve">   203.0 </v>
      </c>
      <c r="U1552" t="str">
        <f t="shared" si="414"/>
        <v xml:space="preserve">       37.4% </v>
      </c>
      <c r="V1552" t="str">
        <f t="shared" si="418"/>
        <v xml:space="preserve">         </v>
      </c>
      <c r="W1552" t="str">
        <f t="shared" si="411"/>
        <v xml:space="preserve">         </v>
      </c>
      <c r="X1552" t="str">
        <f t="shared" si="415"/>
        <v xml:space="preserve">  1340 </v>
      </c>
      <c r="Y1552" t="str">
        <f t="shared" si="415"/>
        <v xml:space="preserve"> TAPEJA-RS138 </v>
      </c>
      <c r="Z1552" t="str">
        <f t="shared" si="415"/>
        <v xml:space="preserve">  1 </v>
      </c>
      <c r="AA1552" t="str">
        <f t="shared" si="419"/>
        <v xml:space="preserve">    60.3 </v>
      </c>
      <c r="AB1552" t="str">
        <f t="shared" si="412"/>
        <v xml:space="preserve">    20.4 </v>
      </c>
      <c r="AC1552" t="str">
        <f t="shared" si="413"/>
        <v xml:space="preserve">    62.4 </v>
      </c>
      <c r="AD1552" t="str">
        <f t="shared" si="414"/>
        <v xml:space="preserve">        </v>
      </c>
      <c r="AE1552" t="str">
        <f t="shared" si="420"/>
        <v xml:space="preserve">       </v>
      </c>
      <c r="AF1552" t="str">
        <f t="shared" si="416"/>
        <v xml:space="preserve">     </v>
      </c>
      <c r="AG1552" t="str">
        <f t="shared" si="416"/>
        <v xml:space="preserve">     0.89 </v>
      </c>
      <c r="AH1552" t="str">
        <f t="shared" si="421"/>
        <v xml:space="preserve">     0.98 </v>
      </c>
      <c r="AI1552" t="str">
        <f t="shared" si="406"/>
        <v xml:space="preserve">       </v>
      </c>
      <c r="AJ1552" t="str">
        <f t="shared" si="407"/>
        <v xml:space="preserve">      </v>
      </c>
    </row>
    <row r="1553" spans="1:36" x14ac:dyDescent="0.25">
      <c r="A1553" t="s">
        <v>1187</v>
      </c>
      <c r="P1553" t="str">
        <f t="shared" si="408"/>
        <v xml:space="preserve">                </v>
      </c>
      <c r="Q1553" t="str">
        <f t="shared" si="408"/>
        <v xml:space="preserve">         </v>
      </c>
      <c r="R1553" t="str">
        <f t="shared" si="417"/>
        <v xml:space="preserve">   167.0 </v>
      </c>
      <c r="S1553" t="str">
        <f t="shared" si="409"/>
        <v xml:space="preserve">   203.0 </v>
      </c>
      <c r="T1553" t="str">
        <f t="shared" si="410"/>
        <v xml:space="preserve">   203.0 </v>
      </c>
      <c r="U1553" t="str">
        <f t="shared" si="414"/>
        <v xml:space="preserve">        5.6% </v>
      </c>
      <c r="V1553" t="str">
        <f t="shared" si="418"/>
        <v xml:space="preserve">         </v>
      </c>
      <c r="W1553" t="str">
        <f t="shared" si="411"/>
        <v xml:space="preserve">         </v>
      </c>
      <c r="X1553" t="str">
        <f t="shared" si="415"/>
        <v xml:space="preserve">  9678 </v>
      </c>
      <c r="Y1553" t="str">
        <f t="shared" si="415"/>
        <v xml:space="preserve"> SANAND-RS138 </v>
      </c>
      <c r="Z1553" t="str">
        <f t="shared" si="415"/>
        <v xml:space="preserve">  1 </v>
      </c>
      <c r="AA1553" t="str">
        <f t="shared" si="419"/>
        <v xml:space="preserve">     8.6 </v>
      </c>
      <c r="AB1553" t="str">
        <f t="shared" si="412"/>
        <v xml:space="preserve">     4.0 </v>
      </c>
      <c r="AC1553" t="str">
        <f t="shared" si="413"/>
        <v xml:space="preserve">     9.3 </v>
      </c>
      <c r="AD1553" t="str">
        <f t="shared" si="414"/>
        <v xml:space="preserve">        </v>
      </c>
      <c r="AE1553" t="str">
        <f t="shared" si="420"/>
        <v xml:space="preserve">       </v>
      </c>
      <c r="AF1553" t="str">
        <f t="shared" si="416"/>
        <v xml:space="preserve">     </v>
      </c>
      <c r="AG1553" t="str">
        <f t="shared" si="416"/>
        <v xml:space="preserve">     0.01 </v>
      </c>
      <c r="AH1553" t="str">
        <f t="shared" si="421"/>
        <v xml:space="preserve">    -1.31 </v>
      </c>
      <c r="AI1553" t="str">
        <f t="shared" si="406"/>
        <v xml:space="preserve">       </v>
      </c>
      <c r="AJ1553" t="str">
        <f t="shared" si="407"/>
        <v xml:space="preserve">      </v>
      </c>
    </row>
    <row r="1554" spans="1:36" x14ac:dyDescent="0.25">
      <c r="A1554" t="s">
        <v>14</v>
      </c>
      <c r="P1554" t="str">
        <f t="shared" si="408"/>
        <v xml:space="preserve">  ..............</v>
      </c>
      <c r="Q1554" t="str">
        <f t="shared" si="408"/>
        <v>.........</v>
      </c>
      <c r="R1554" t="str">
        <f t="shared" si="417"/>
        <v>.........</v>
      </c>
      <c r="S1554" t="str">
        <f t="shared" si="409"/>
        <v>.........</v>
      </c>
      <c r="T1554" t="str">
        <f t="shared" si="410"/>
        <v>.........</v>
      </c>
      <c r="U1554" t="str">
        <f t="shared" si="414"/>
        <v>.............</v>
      </c>
      <c r="V1554" t="str">
        <f t="shared" si="418"/>
        <v>.........</v>
      </c>
      <c r="W1554" t="str">
        <f t="shared" si="411"/>
        <v>.........</v>
      </c>
      <c r="X1554" t="str">
        <f t="shared" si="415"/>
        <v>.......</v>
      </c>
      <c r="Y1554" t="str">
        <f t="shared" si="415"/>
        <v>..............</v>
      </c>
      <c r="Z1554" t="str">
        <f t="shared" si="415"/>
        <v>....</v>
      </c>
      <c r="AA1554" t="str">
        <f t="shared" si="419"/>
        <v>.........</v>
      </c>
      <c r="AB1554" t="str">
        <f t="shared" si="412"/>
        <v>.........</v>
      </c>
      <c r="AC1554" t="str">
        <f t="shared" si="413"/>
        <v>.........</v>
      </c>
      <c r="AD1554" t="str">
        <f t="shared" si="414"/>
        <v>........</v>
      </c>
      <c r="AE1554" t="str">
        <f t="shared" si="420"/>
        <v>.......</v>
      </c>
      <c r="AF1554" t="str">
        <f t="shared" si="416"/>
        <v>.....</v>
      </c>
      <c r="AG1554" t="str">
        <f t="shared" si="416"/>
        <v>..........</v>
      </c>
      <c r="AH1554" t="str">
        <f t="shared" si="421"/>
        <v>..........</v>
      </c>
      <c r="AI1554" t="str">
        <f t="shared" si="406"/>
        <v>.......</v>
      </c>
      <c r="AJ1554" t="str">
        <f t="shared" si="407"/>
        <v>.......</v>
      </c>
    </row>
    <row r="1555" spans="1:36" x14ac:dyDescent="0.25">
      <c r="A1555" t="s">
        <v>1188</v>
      </c>
      <c r="P1555" t="str">
        <f t="shared" si="408"/>
        <v xml:space="preserve">   9692   69  0 </v>
      </c>
      <c r="Q1555" t="str">
        <f t="shared" si="408"/>
        <v xml:space="preserve">   1.007 </v>
      </c>
      <c r="R1555" t="str">
        <f t="shared" si="417"/>
        <v xml:space="preserve">     2.4 </v>
      </c>
      <c r="S1555" t="str">
        <f t="shared" si="409"/>
        <v xml:space="preserve">     0.0 </v>
      </c>
      <c r="T1555" t="str">
        <f t="shared" si="410"/>
        <v xml:space="preserve">    23.2 </v>
      </c>
      <c r="U1555" t="str">
        <f t="shared" si="414"/>
        <v xml:space="preserve">         0.0 </v>
      </c>
      <c r="V1555" t="str">
        <f t="shared" si="418"/>
        <v xml:space="preserve">     0.0 </v>
      </c>
      <c r="W1555" t="str">
        <f t="shared" si="411"/>
        <v xml:space="preserve">     0.0</v>
      </c>
      <c r="X1555" t="str">
        <f t="shared" si="415"/>
        <v/>
      </c>
      <c r="Y1555" t="str">
        <f t="shared" si="415"/>
        <v/>
      </c>
      <c r="Z1555" t="str">
        <f t="shared" si="415"/>
        <v/>
      </c>
      <c r="AA1555" t="str">
        <f t="shared" si="419"/>
        <v/>
      </c>
      <c r="AB1555" t="str">
        <f t="shared" si="412"/>
        <v/>
      </c>
      <c r="AC1555" t="str">
        <f t="shared" si="413"/>
        <v/>
      </c>
      <c r="AD1555" t="str">
        <f t="shared" si="414"/>
        <v/>
      </c>
      <c r="AE1555" t="str">
        <f t="shared" si="420"/>
        <v/>
      </c>
      <c r="AF1555" t="str">
        <f t="shared" si="416"/>
        <v/>
      </c>
      <c r="AG1555" t="str">
        <f t="shared" si="416"/>
        <v/>
      </c>
      <c r="AH1555" t="str">
        <f t="shared" si="421"/>
        <v/>
      </c>
      <c r="AI1555" t="str">
        <f t="shared" si="406"/>
        <v/>
      </c>
      <c r="AJ1555" t="str">
        <f t="shared" si="407"/>
        <v/>
      </c>
    </row>
    <row r="1556" spans="1:36" x14ac:dyDescent="0.25">
      <c r="A1556" t="s">
        <v>1189</v>
      </c>
      <c r="P1556" t="str">
        <f t="shared" si="408"/>
        <v xml:space="preserve">  CERTAJ-RS069  </v>
      </c>
      <c r="Q1556" t="str">
        <f t="shared" si="408"/>
        <v xml:space="preserve">   -52.8 </v>
      </c>
      <c r="R1556" t="str">
        <f t="shared" si="417"/>
        <v xml:space="preserve">     0.0 </v>
      </c>
      <c r="S1556" t="str">
        <f t="shared" si="409"/>
        <v xml:space="preserve">     0.0 </v>
      </c>
      <c r="T1556" t="str">
        <f t="shared" si="410"/>
        <v xml:space="preserve">     4.3 </v>
      </c>
      <c r="U1556" t="str">
        <f t="shared" si="414"/>
        <v xml:space="preserve">         0.0 </v>
      </c>
      <c r="V1556" t="str">
        <f t="shared" si="418"/>
        <v xml:space="preserve">     0.0 </v>
      </c>
      <c r="W1556" t="str">
        <f t="shared" si="411"/>
        <v xml:space="preserve">     0.0 </v>
      </c>
      <c r="X1556" t="str">
        <f t="shared" si="415"/>
        <v xml:space="preserve">       </v>
      </c>
      <c r="Y1556" t="str">
        <f t="shared" si="415"/>
        <v xml:space="preserve">              </v>
      </c>
      <c r="Z1556" t="str">
        <f t="shared" si="415"/>
        <v xml:space="preserve">    </v>
      </c>
      <c r="AA1556" t="str">
        <f t="shared" si="419"/>
        <v xml:space="preserve">         </v>
      </c>
      <c r="AB1556" t="str">
        <f t="shared" si="412"/>
        <v xml:space="preserve">         </v>
      </c>
      <c r="AC1556" t="str">
        <f t="shared" si="413"/>
        <v xml:space="preserve">    </v>
      </c>
      <c r="AD1556" t="str">
        <f t="shared" si="414"/>
        <v/>
      </c>
      <c r="AE1556" t="str">
        <f t="shared" si="420"/>
        <v/>
      </c>
      <c r="AF1556" t="str">
        <f t="shared" si="416"/>
        <v/>
      </c>
      <c r="AG1556" t="str">
        <f t="shared" si="416"/>
        <v/>
      </c>
      <c r="AH1556" t="str">
        <f t="shared" si="421"/>
        <v/>
      </c>
      <c r="AI1556" t="str">
        <f t="shared" si="406"/>
        <v/>
      </c>
      <c r="AJ1556" t="str">
        <f t="shared" si="407"/>
        <v/>
      </c>
    </row>
    <row r="1557" spans="1:36" x14ac:dyDescent="0.25">
      <c r="A1557" t="s">
        <v>1190</v>
      </c>
      <c r="P1557" t="str">
        <f t="shared" si="408"/>
        <v xml:space="preserve">                </v>
      </c>
      <c r="Q1557" t="str">
        <f t="shared" si="408"/>
        <v xml:space="preserve">         </v>
      </c>
      <c r="R1557" t="str">
        <f t="shared" si="417"/>
        <v xml:space="preserve">    62.0 </v>
      </c>
      <c r="S1557" t="str">
        <f t="shared" si="409"/>
        <v xml:space="preserve">    74.0 </v>
      </c>
      <c r="T1557" t="str">
        <f t="shared" si="410"/>
        <v xml:space="preserve">    74.0 </v>
      </c>
      <c r="U1557" t="str">
        <f t="shared" si="414"/>
        <v xml:space="preserve">       34.0% </v>
      </c>
      <c r="V1557" t="str">
        <f t="shared" si="418"/>
        <v xml:space="preserve">         </v>
      </c>
      <c r="W1557" t="str">
        <f t="shared" si="411"/>
        <v xml:space="preserve">         </v>
      </c>
      <c r="X1557" t="str">
        <f t="shared" si="415"/>
        <v xml:space="preserve">  2077 </v>
      </c>
      <c r="Y1557" t="str">
        <f t="shared" si="415"/>
        <v xml:space="preserve"> PPETRO-RS069 </v>
      </c>
      <c r="Z1557" t="str">
        <f t="shared" si="415"/>
        <v xml:space="preserve">  1 </v>
      </c>
      <c r="AA1557" t="str">
        <f t="shared" si="419"/>
        <v xml:space="preserve">   -20.8 </v>
      </c>
      <c r="AB1557" t="str">
        <f t="shared" si="412"/>
        <v xml:space="preserve">    -4.3 </v>
      </c>
      <c r="AC1557" t="str">
        <f t="shared" si="413"/>
        <v xml:space="preserve">    21.1 </v>
      </c>
      <c r="AD1557" t="str">
        <f t="shared" si="414"/>
        <v xml:space="preserve">        </v>
      </c>
      <c r="AE1557" t="str">
        <f t="shared" si="420"/>
        <v xml:space="preserve">       </v>
      </c>
      <c r="AF1557" t="str">
        <f t="shared" si="416"/>
        <v xml:space="preserve">     </v>
      </c>
      <c r="AG1557" t="str">
        <f t="shared" si="416"/>
        <v xml:space="preserve">     0.22 </v>
      </c>
      <c r="AH1557" t="str">
        <f t="shared" si="421"/>
        <v xml:space="preserve">     0.53 </v>
      </c>
      <c r="AI1557" t="str">
        <f t="shared" si="406"/>
        <v xml:space="preserve">       </v>
      </c>
      <c r="AJ1557" t="str">
        <f t="shared" si="407"/>
        <v xml:space="preserve">      </v>
      </c>
    </row>
    <row r="1558" spans="1:36" x14ac:dyDescent="0.25">
      <c r="A1558" t="s">
        <v>14</v>
      </c>
      <c r="P1558" t="str">
        <f t="shared" si="408"/>
        <v xml:space="preserve">  ..............</v>
      </c>
      <c r="Q1558" t="str">
        <f t="shared" si="408"/>
        <v>.........</v>
      </c>
      <c r="R1558" t="str">
        <f t="shared" si="417"/>
        <v>.........</v>
      </c>
      <c r="S1558" t="str">
        <f t="shared" si="409"/>
        <v>.........</v>
      </c>
      <c r="T1558" t="str">
        <f t="shared" si="410"/>
        <v>.........</v>
      </c>
      <c r="U1558" t="str">
        <f t="shared" si="414"/>
        <v>.............</v>
      </c>
      <c r="V1558" t="str">
        <f t="shared" si="418"/>
        <v>.........</v>
      </c>
      <c r="W1558" t="str">
        <f t="shared" si="411"/>
        <v>.........</v>
      </c>
      <c r="X1558" t="str">
        <f t="shared" si="415"/>
        <v>.......</v>
      </c>
      <c r="Y1558" t="str">
        <f t="shared" si="415"/>
        <v>..............</v>
      </c>
      <c r="Z1558" t="str">
        <f t="shared" si="415"/>
        <v>....</v>
      </c>
      <c r="AA1558" t="str">
        <f t="shared" si="419"/>
        <v>.........</v>
      </c>
      <c r="AB1558" t="str">
        <f t="shared" si="412"/>
        <v>.........</v>
      </c>
      <c r="AC1558" t="str">
        <f t="shared" si="413"/>
        <v>.........</v>
      </c>
      <c r="AD1558" t="str">
        <f t="shared" si="414"/>
        <v>........</v>
      </c>
      <c r="AE1558" t="str">
        <f t="shared" si="420"/>
        <v>.......</v>
      </c>
      <c r="AF1558" t="str">
        <f t="shared" si="416"/>
        <v>.....</v>
      </c>
      <c r="AG1558" t="str">
        <f t="shared" si="416"/>
        <v>..........</v>
      </c>
      <c r="AH1558" t="str">
        <f t="shared" si="421"/>
        <v>..........</v>
      </c>
      <c r="AI1558" t="str">
        <f t="shared" si="406"/>
        <v>.......</v>
      </c>
      <c r="AJ1558" t="str">
        <f t="shared" si="407"/>
        <v>.......</v>
      </c>
    </row>
    <row r="1559" spans="1:36" x14ac:dyDescent="0.25">
      <c r="A1559" t="s">
        <v>1191</v>
      </c>
      <c r="P1559" t="str">
        <f t="shared" si="408"/>
        <v xml:space="preserve">   9694   69  0 </v>
      </c>
      <c r="Q1559" t="str">
        <f t="shared" si="408"/>
        <v xml:space="preserve">   1.008 </v>
      </c>
      <c r="R1559" t="str">
        <f t="shared" si="417"/>
        <v xml:space="preserve">     5.4 </v>
      </c>
      <c r="S1559" t="str">
        <f t="shared" si="409"/>
        <v xml:space="preserve">     0.0 </v>
      </c>
      <c r="T1559" t="str">
        <f t="shared" si="410"/>
        <v xml:space="preserve">    25.4 </v>
      </c>
      <c r="U1559" t="str">
        <f t="shared" si="414"/>
        <v xml:space="preserve">         0.0 </v>
      </c>
      <c r="V1559" t="str">
        <f t="shared" si="418"/>
        <v xml:space="preserve">     3.7 </v>
      </c>
      <c r="W1559" t="str">
        <f t="shared" si="411"/>
        <v xml:space="preserve">     0.0</v>
      </c>
      <c r="X1559" t="str">
        <f t="shared" si="415"/>
        <v/>
      </c>
      <c r="Y1559" t="str">
        <f t="shared" si="415"/>
        <v/>
      </c>
      <c r="Z1559" t="str">
        <f t="shared" si="415"/>
        <v/>
      </c>
      <c r="AA1559" t="str">
        <f t="shared" si="419"/>
        <v/>
      </c>
      <c r="AB1559" t="str">
        <f t="shared" si="412"/>
        <v/>
      </c>
      <c r="AC1559" t="str">
        <f t="shared" si="413"/>
        <v/>
      </c>
      <c r="AD1559" t="str">
        <f t="shared" si="414"/>
        <v/>
      </c>
      <c r="AE1559" t="str">
        <f t="shared" si="420"/>
        <v/>
      </c>
      <c r="AF1559" t="str">
        <f t="shared" si="416"/>
        <v/>
      </c>
      <c r="AG1559" t="str">
        <f t="shared" si="416"/>
        <v/>
      </c>
      <c r="AH1559" t="str">
        <f t="shared" si="421"/>
        <v/>
      </c>
      <c r="AI1559" t="str">
        <f t="shared" ref="AI1559:AI1622" si="422">MID($A1559,AG$8+AG$9+AH$9-2,AI$9)</f>
        <v/>
      </c>
      <c r="AJ1559" t="str">
        <f t="shared" ref="AJ1559:AJ1622" si="423">MID($A1559,AG$8+AG$9+AH$9+AI$9-3,AJ$9)</f>
        <v/>
      </c>
    </row>
    <row r="1560" spans="1:36" x14ac:dyDescent="0.25">
      <c r="A1560" t="s">
        <v>1192</v>
      </c>
      <c r="P1560" t="str">
        <f t="shared" si="408"/>
        <v xml:space="preserve">  TORRE2-RS069  </v>
      </c>
      <c r="Q1560" t="str">
        <f t="shared" si="408"/>
        <v xml:space="preserve">   -48.6 </v>
      </c>
      <c r="R1560" t="str">
        <f t="shared" si="417"/>
        <v xml:space="preserve">     0.0 </v>
      </c>
      <c r="S1560" t="str">
        <f t="shared" si="409"/>
        <v xml:space="preserve">     0.0 </v>
      </c>
      <c r="T1560" t="str">
        <f t="shared" si="410"/>
        <v xml:space="preserve">     6.7 </v>
      </c>
      <c r="U1560" t="str">
        <f t="shared" si="414"/>
        <v xml:space="preserve">         0.0 </v>
      </c>
      <c r="V1560" t="str">
        <f t="shared" si="418"/>
        <v xml:space="preserve">     0.0 </v>
      </c>
      <c r="W1560" t="str">
        <f t="shared" si="411"/>
        <v xml:space="preserve">     0.0 </v>
      </c>
      <c r="X1560" t="str">
        <f t="shared" si="415"/>
        <v xml:space="preserve">       </v>
      </c>
      <c r="Y1560" t="str">
        <f t="shared" si="415"/>
        <v xml:space="preserve">              </v>
      </c>
      <c r="Z1560" t="str">
        <f t="shared" si="415"/>
        <v xml:space="preserve">    </v>
      </c>
      <c r="AA1560" t="str">
        <f t="shared" si="419"/>
        <v xml:space="preserve">         </v>
      </c>
      <c r="AB1560" t="str">
        <f t="shared" si="412"/>
        <v xml:space="preserve">         </v>
      </c>
      <c r="AC1560" t="str">
        <f t="shared" si="413"/>
        <v xml:space="preserve">    </v>
      </c>
      <c r="AD1560" t="str">
        <f t="shared" si="414"/>
        <v/>
      </c>
      <c r="AE1560" t="str">
        <f t="shared" si="420"/>
        <v/>
      </c>
      <c r="AF1560" t="str">
        <f t="shared" si="416"/>
        <v/>
      </c>
      <c r="AG1560" t="str">
        <f t="shared" si="416"/>
        <v/>
      </c>
      <c r="AH1560" t="str">
        <f t="shared" si="421"/>
        <v/>
      </c>
      <c r="AI1560" t="str">
        <f t="shared" si="422"/>
        <v/>
      </c>
      <c r="AJ1560" t="str">
        <f t="shared" si="423"/>
        <v/>
      </c>
    </row>
    <row r="1561" spans="1:36" x14ac:dyDescent="0.25">
      <c r="A1561" t="s">
        <v>1193</v>
      </c>
      <c r="P1561" t="str">
        <f t="shared" si="408"/>
        <v xml:space="preserve">                </v>
      </c>
      <c r="Q1561" t="str">
        <f t="shared" si="408"/>
        <v xml:space="preserve">         </v>
      </c>
      <c r="R1561" t="str">
        <f t="shared" si="417"/>
        <v xml:space="preserve">    83.0 </v>
      </c>
      <c r="S1561" t="str">
        <f t="shared" si="409"/>
        <v xml:space="preserve">   100.0 </v>
      </c>
      <c r="T1561" t="str">
        <f t="shared" si="410"/>
        <v xml:space="preserve">   100.0 </v>
      </c>
      <c r="U1561" t="str">
        <f t="shared" si="414"/>
        <v xml:space="preserve">       12.1% </v>
      </c>
      <c r="V1561" t="str">
        <f t="shared" si="418"/>
        <v xml:space="preserve">         </v>
      </c>
      <c r="W1561" t="str">
        <f t="shared" si="411"/>
        <v xml:space="preserve">         </v>
      </c>
      <c r="X1561" t="str">
        <f t="shared" si="415"/>
        <v xml:space="preserve"> 43890 </v>
      </c>
      <c r="Y1561" t="str">
        <f t="shared" si="415"/>
        <v xml:space="preserve"> TOR--1-RS000 </v>
      </c>
      <c r="Z1561" t="str">
        <f t="shared" si="415"/>
        <v xml:space="preserve">  1 </v>
      </c>
      <c r="AA1561" t="str">
        <f t="shared" si="419"/>
        <v xml:space="preserve">   -10.0 </v>
      </c>
      <c r="AB1561" t="str">
        <f t="shared" si="412"/>
        <v xml:space="preserve">    -1.5 </v>
      </c>
      <c r="AC1561" t="str">
        <f t="shared" si="413"/>
        <v xml:space="preserve">    10.0 </v>
      </c>
      <c r="AD1561" t="str">
        <f t="shared" si="414"/>
        <v xml:space="preserve"> 1.000F </v>
      </c>
      <c r="AE1561" t="str">
        <f t="shared" si="420"/>
        <v xml:space="preserve">       </v>
      </c>
      <c r="AF1561" t="str">
        <f t="shared" si="416"/>
        <v xml:space="preserve"> 002 </v>
      </c>
      <c r="AG1561" t="str">
        <f t="shared" si="416"/>
        <v xml:space="preserve">    -0.00 </v>
      </c>
      <c r="AH1561" t="str">
        <f t="shared" si="421"/>
        <v xml:space="preserve">    -0.02 </v>
      </c>
      <c r="AI1561" t="str">
        <f t="shared" si="422"/>
        <v xml:space="preserve">       </v>
      </c>
      <c r="AJ1561" t="str">
        <f t="shared" si="423"/>
        <v xml:space="preserve">      </v>
      </c>
    </row>
    <row r="1562" spans="1:36" x14ac:dyDescent="0.25">
      <c r="A1562" t="s">
        <v>1194</v>
      </c>
      <c r="P1562" t="str">
        <f t="shared" si="408"/>
        <v xml:space="preserve">                </v>
      </c>
      <c r="Q1562" t="str">
        <f t="shared" si="408"/>
        <v xml:space="preserve">         </v>
      </c>
      <c r="R1562" t="str">
        <f t="shared" si="417"/>
        <v xml:space="preserve">    83.0 </v>
      </c>
      <c r="S1562" t="str">
        <f t="shared" si="409"/>
        <v xml:space="preserve">   100.0 </v>
      </c>
      <c r="T1562" t="str">
        <f t="shared" si="410"/>
        <v xml:space="preserve">   100.0 </v>
      </c>
      <c r="U1562" t="str">
        <f t="shared" si="414"/>
        <v xml:space="preserve">       12.1% </v>
      </c>
      <c r="V1562" t="str">
        <f t="shared" si="418"/>
        <v xml:space="preserve">         </v>
      </c>
      <c r="W1562" t="str">
        <f t="shared" si="411"/>
        <v xml:space="preserve">         </v>
      </c>
      <c r="X1562" t="str">
        <f t="shared" si="415"/>
        <v xml:space="preserve"> 43891 </v>
      </c>
      <c r="Y1562" t="str">
        <f t="shared" si="415"/>
        <v xml:space="preserve"> TOR--2-RS000 </v>
      </c>
      <c r="Z1562" t="str">
        <f t="shared" si="415"/>
        <v xml:space="preserve">  2 </v>
      </c>
      <c r="AA1562" t="str">
        <f t="shared" si="419"/>
        <v xml:space="preserve">   -10.0 </v>
      </c>
      <c r="AB1562" t="str">
        <f t="shared" si="412"/>
        <v xml:space="preserve">    -1.5 </v>
      </c>
      <c r="AC1562" t="str">
        <f t="shared" si="413"/>
        <v xml:space="preserve">    10.0 </v>
      </c>
      <c r="AD1562" t="str">
        <f t="shared" si="414"/>
        <v xml:space="preserve"> 1.000F </v>
      </c>
      <c r="AE1562" t="str">
        <f t="shared" si="420"/>
        <v xml:space="preserve">       </v>
      </c>
      <c r="AF1562" t="str">
        <f t="shared" si="416"/>
        <v xml:space="preserve"> 002 </v>
      </c>
      <c r="AG1562" t="str">
        <f t="shared" si="416"/>
        <v xml:space="preserve">    -0.00 </v>
      </c>
      <c r="AH1562" t="str">
        <f t="shared" si="421"/>
        <v xml:space="preserve">    -0.02 </v>
      </c>
      <c r="AI1562" t="str">
        <f t="shared" si="422"/>
        <v xml:space="preserve">       </v>
      </c>
      <c r="AJ1562" t="str">
        <f t="shared" si="423"/>
        <v xml:space="preserve">      </v>
      </c>
    </row>
    <row r="1563" spans="1:36" x14ac:dyDescent="0.25">
      <c r="A1563" t="s">
        <v>14</v>
      </c>
      <c r="P1563" t="str">
        <f t="shared" ref="P1563:Q1626" si="424">MID($A1563,P$8,P$9)</f>
        <v xml:space="preserve">  ..............</v>
      </c>
      <c r="Q1563" t="str">
        <f t="shared" si="424"/>
        <v>.........</v>
      </c>
      <c r="R1563" t="str">
        <f t="shared" si="417"/>
        <v>.........</v>
      </c>
      <c r="S1563" t="str">
        <f t="shared" ref="S1563:S1626" si="425">MID($A1563,Q$8+Q$9+R$9-2,S$9)</f>
        <v>.........</v>
      </c>
      <c r="T1563" t="str">
        <f t="shared" ref="T1563:T1626" si="426">MID($A1563,Q$8+Q$9+R$9+S$9-3,T$9)</f>
        <v>.........</v>
      </c>
      <c r="U1563" t="str">
        <f t="shared" si="414"/>
        <v>.............</v>
      </c>
      <c r="V1563" t="str">
        <f t="shared" si="418"/>
        <v>.........</v>
      </c>
      <c r="W1563" t="str">
        <f t="shared" ref="W1563:W1626" si="427">MID($A1563,U$8+U$9+V$9-2,W$9)</f>
        <v>.........</v>
      </c>
      <c r="X1563" t="str">
        <f t="shared" si="415"/>
        <v>.......</v>
      </c>
      <c r="Y1563" t="str">
        <f t="shared" si="415"/>
        <v>..............</v>
      </c>
      <c r="Z1563" t="str">
        <f t="shared" si="415"/>
        <v>....</v>
      </c>
      <c r="AA1563" t="str">
        <f t="shared" si="419"/>
        <v>.........</v>
      </c>
      <c r="AB1563" t="str">
        <f t="shared" ref="AB1563:AB1626" si="428">MID($A1563,Z$8+Z$9+AA$9-2,AB$9)</f>
        <v>.........</v>
      </c>
      <c r="AC1563" t="str">
        <f t="shared" ref="AC1563:AC1626" si="429">MID($A1563,Z$8+Z$9+AA$9+AB$9-3,AC$9)</f>
        <v>.........</v>
      </c>
      <c r="AD1563" t="str">
        <f t="shared" si="414"/>
        <v>........</v>
      </c>
      <c r="AE1563" t="str">
        <f t="shared" si="420"/>
        <v>.......</v>
      </c>
      <c r="AF1563" t="str">
        <f t="shared" si="416"/>
        <v>.....</v>
      </c>
      <c r="AG1563" t="str">
        <f t="shared" si="416"/>
        <v>..........</v>
      </c>
      <c r="AH1563" t="str">
        <f t="shared" si="421"/>
        <v>..........</v>
      </c>
      <c r="AI1563" t="str">
        <f t="shared" si="422"/>
        <v>.......</v>
      </c>
      <c r="AJ1563" t="str">
        <f t="shared" si="423"/>
        <v>.......</v>
      </c>
    </row>
    <row r="1564" spans="1:36" x14ac:dyDescent="0.25">
      <c r="A1564" t="s">
        <v>1195</v>
      </c>
      <c r="P1564" t="str">
        <f t="shared" si="424"/>
        <v xml:space="preserve">   9714   69  0 </v>
      </c>
      <c r="Q1564" t="str">
        <f t="shared" si="424"/>
        <v xml:space="preserve">   0.981 </v>
      </c>
      <c r="R1564" t="str">
        <f t="shared" si="417"/>
        <v xml:space="preserve">     5.6 </v>
      </c>
      <c r="S1564" t="str">
        <f t="shared" si="425"/>
        <v xml:space="preserve">     0.0 </v>
      </c>
      <c r="T1564" t="str">
        <f t="shared" si="426"/>
        <v xml:space="preserve">    28.6 </v>
      </c>
      <c r="U1564" t="str">
        <f t="shared" ref="U1564:AD1627" si="430">MID($A1564,U$8,U$9)</f>
        <v xml:space="preserve">         0.0 </v>
      </c>
      <c r="V1564" t="str">
        <f t="shared" si="418"/>
        <v xml:space="preserve">     3.5 </v>
      </c>
      <c r="W1564" t="str">
        <f t="shared" si="427"/>
        <v xml:space="preserve">     0.0</v>
      </c>
      <c r="X1564" t="str">
        <f t="shared" ref="X1564:Z1627" si="431">MID($A1564,X$8,X$9)</f>
        <v/>
      </c>
      <c r="Y1564" t="str">
        <f t="shared" si="431"/>
        <v/>
      </c>
      <c r="Z1564" t="str">
        <f t="shared" si="431"/>
        <v/>
      </c>
      <c r="AA1564" t="str">
        <f t="shared" si="419"/>
        <v/>
      </c>
      <c r="AB1564" t="str">
        <f t="shared" si="428"/>
        <v/>
      </c>
      <c r="AC1564" t="str">
        <f t="shared" si="429"/>
        <v/>
      </c>
      <c r="AD1564" t="str">
        <f t="shared" si="430"/>
        <v/>
      </c>
      <c r="AE1564" t="str">
        <f t="shared" si="420"/>
        <v/>
      </c>
      <c r="AF1564" t="str">
        <f t="shared" si="416"/>
        <v/>
      </c>
      <c r="AG1564" t="str">
        <f t="shared" si="416"/>
        <v/>
      </c>
      <c r="AH1564" t="str">
        <f t="shared" si="421"/>
        <v/>
      </c>
      <c r="AI1564" t="str">
        <f t="shared" si="422"/>
        <v/>
      </c>
      <c r="AJ1564" t="str">
        <f t="shared" si="423"/>
        <v/>
      </c>
    </row>
    <row r="1565" spans="1:36" x14ac:dyDescent="0.25">
      <c r="A1565" t="s">
        <v>1196</v>
      </c>
      <c r="P1565" t="str">
        <f t="shared" si="424"/>
        <v xml:space="preserve">  FELIZ--RS069  </v>
      </c>
      <c r="Q1565" t="str">
        <f t="shared" si="424"/>
        <v xml:space="preserve">   -53.4 </v>
      </c>
      <c r="R1565" t="str">
        <f t="shared" si="417"/>
        <v xml:space="preserve">     0.0 </v>
      </c>
      <c r="S1565" t="str">
        <f t="shared" si="425"/>
        <v xml:space="preserve">     0.0 </v>
      </c>
      <c r="T1565" t="str">
        <f t="shared" si="426"/>
        <v xml:space="preserve">    12.1 </v>
      </c>
      <c r="U1565" t="str">
        <f t="shared" si="430"/>
        <v xml:space="preserve">         0.0 </v>
      </c>
      <c r="V1565" t="str">
        <f t="shared" si="418"/>
        <v xml:space="preserve">     0.0 </v>
      </c>
      <c r="W1565" t="str">
        <f t="shared" si="427"/>
        <v xml:space="preserve">     0.0 </v>
      </c>
      <c r="X1565" t="str">
        <f t="shared" si="431"/>
        <v xml:space="preserve">       </v>
      </c>
      <c r="Y1565" t="str">
        <f t="shared" si="431"/>
        <v xml:space="preserve">              </v>
      </c>
      <c r="Z1565" t="str">
        <f t="shared" si="431"/>
        <v xml:space="preserve">    </v>
      </c>
      <c r="AA1565" t="str">
        <f t="shared" si="419"/>
        <v xml:space="preserve">         </v>
      </c>
      <c r="AB1565" t="str">
        <f t="shared" si="428"/>
        <v xml:space="preserve">         </v>
      </c>
      <c r="AC1565" t="str">
        <f t="shared" si="429"/>
        <v xml:space="preserve">    </v>
      </c>
      <c r="AD1565" t="str">
        <f t="shared" si="430"/>
        <v/>
      </c>
      <c r="AE1565" t="str">
        <f t="shared" si="420"/>
        <v/>
      </c>
      <c r="AF1565" t="str">
        <f t="shared" ref="AF1565:AG1628" si="432">MID($A1565,AF$8,AF$9)</f>
        <v/>
      </c>
      <c r="AG1565" t="str">
        <f t="shared" si="432"/>
        <v/>
      </c>
      <c r="AH1565" t="str">
        <f t="shared" si="421"/>
        <v/>
      </c>
      <c r="AI1565" t="str">
        <f t="shared" si="422"/>
        <v/>
      </c>
      <c r="AJ1565" t="str">
        <f t="shared" si="423"/>
        <v/>
      </c>
    </row>
    <row r="1566" spans="1:36" x14ac:dyDescent="0.25">
      <c r="A1566" t="s">
        <v>1197</v>
      </c>
      <c r="P1566" t="str">
        <f t="shared" si="424"/>
        <v xml:space="preserve">                </v>
      </c>
      <c r="Q1566" t="str">
        <f t="shared" si="424"/>
        <v xml:space="preserve">         </v>
      </c>
      <c r="R1566" t="str">
        <f t="shared" si="417"/>
        <v xml:space="preserve">    48.0 </v>
      </c>
      <c r="S1566" t="str">
        <f t="shared" si="425"/>
        <v xml:space="preserve">    71.0 </v>
      </c>
      <c r="T1566" t="str">
        <f t="shared" si="426"/>
        <v xml:space="preserve">    71.0 </v>
      </c>
      <c r="U1566" t="str">
        <f t="shared" si="430"/>
        <v xml:space="preserve">       51.9% </v>
      </c>
      <c r="V1566" t="str">
        <f t="shared" si="418"/>
        <v xml:space="preserve">         </v>
      </c>
      <c r="W1566" t="str">
        <f t="shared" si="427"/>
        <v xml:space="preserve">         </v>
      </c>
      <c r="X1566" t="str">
        <f t="shared" si="431"/>
        <v xml:space="preserve">  1207 </v>
      </c>
      <c r="Y1566" t="str">
        <f t="shared" si="431"/>
        <v xml:space="preserve"> FARROU-RS069 </v>
      </c>
      <c r="Z1566" t="str">
        <f t="shared" si="431"/>
        <v xml:space="preserve">  1 </v>
      </c>
      <c r="AA1566" t="str">
        <f t="shared" si="419"/>
        <v xml:space="preserve">   -23.0 </v>
      </c>
      <c r="AB1566" t="str">
        <f t="shared" si="428"/>
        <v xml:space="preserve">    -8.2 </v>
      </c>
      <c r="AC1566" t="str">
        <f t="shared" si="429"/>
        <v xml:space="preserve">    24.9 </v>
      </c>
      <c r="AD1566" t="str">
        <f t="shared" si="430"/>
        <v xml:space="preserve">        </v>
      </c>
      <c r="AE1566" t="str">
        <f t="shared" si="420"/>
        <v xml:space="preserve">       </v>
      </c>
      <c r="AF1566" t="str">
        <f t="shared" si="432"/>
        <v xml:space="preserve">     </v>
      </c>
      <c r="AG1566" t="str">
        <f t="shared" si="432"/>
        <v xml:space="preserve">     0.54 </v>
      </c>
      <c r="AH1566" t="str">
        <f t="shared" si="421"/>
        <v xml:space="preserve">     1.31 </v>
      </c>
      <c r="AI1566" t="str">
        <f t="shared" si="422"/>
        <v xml:space="preserve">       </v>
      </c>
      <c r="AJ1566" t="str">
        <f t="shared" si="423"/>
        <v xml:space="preserve">      </v>
      </c>
    </row>
    <row r="1567" spans="1:36" x14ac:dyDescent="0.25">
      <c r="A1567" t="s">
        <v>1198</v>
      </c>
      <c r="P1567" t="str">
        <f t="shared" si="424"/>
        <v xml:space="preserve">              DE</v>
      </c>
      <c r="Q1567" t="str">
        <f t="shared" si="424"/>
        <v xml:space="preserve">ESLIGADO </v>
      </c>
      <c r="R1567" t="str">
        <f t="shared" si="417"/>
        <v xml:space="preserve">    30.0 </v>
      </c>
      <c r="S1567" t="str">
        <f t="shared" si="425"/>
        <v xml:space="preserve">    43.0 </v>
      </c>
      <c r="T1567" t="str">
        <f t="shared" si="426"/>
        <v xml:space="preserve">    43.0 </v>
      </c>
      <c r="U1567" t="str">
        <f t="shared" si="430"/>
        <v xml:space="preserve">             </v>
      </c>
      <c r="V1567" t="str">
        <f t="shared" si="418"/>
        <v xml:space="preserve">         </v>
      </c>
      <c r="W1567" t="str">
        <f t="shared" si="427"/>
        <v xml:space="preserve">         </v>
      </c>
      <c r="X1567" t="str">
        <f t="shared" si="431"/>
        <v xml:space="preserve">  9573 </v>
      </c>
      <c r="Y1567" t="str">
        <f t="shared" si="431"/>
        <v xml:space="preserve"> NPETRO-RS069 </v>
      </c>
      <c r="Z1567" t="str">
        <f t="shared" si="431"/>
        <v xml:space="preserve">  1 </v>
      </c>
      <c r="AA1567" t="str">
        <f t="shared" si="419"/>
        <v xml:space="preserve">     0.0 </v>
      </c>
      <c r="AB1567" t="str">
        <f t="shared" si="428"/>
        <v xml:space="preserve">    -0.4 </v>
      </c>
      <c r="AC1567" t="str">
        <f t="shared" si="429"/>
        <v xml:space="preserve">     0.4 </v>
      </c>
      <c r="AD1567" t="str">
        <f t="shared" si="430"/>
        <v xml:space="preserve">        </v>
      </c>
      <c r="AE1567" t="str">
        <f t="shared" si="420"/>
        <v xml:space="preserve">       </v>
      </c>
      <c r="AF1567" t="str">
        <f t="shared" si="432"/>
        <v xml:space="preserve">     </v>
      </c>
      <c r="AG1567" t="str">
        <f t="shared" si="432"/>
        <v xml:space="preserve">     0.00 </v>
      </c>
      <c r="AH1567" t="str">
        <f t="shared" si="421"/>
        <v xml:space="preserve">    -0.41 </v>
      </c>
      <c r="AI1567" t="str">
        <f t="shared" si="422"/>
        <v xml:space="preserve"> 0.982 </v>
      </c>
      <c r="AJ1567" t="str">
        <f t="shared" si="423"/>
        <v xml:space="preserve"> -53.5</v>
      </c>
    </row>
    <row r="1568" spans="1:36" x14ac:dyDescent="0.25">
      <c r="A1568" t="s">
        <v>14</v>
      </c>
      <c r="P1568" t="str">
        <f t="shared" si="424"/>
        <v xml:space="preserve">  ..............</v>
      </c>
      <c r="Q1568" t="str">
        <f t="shared" si="424"/>
        <v>.........</v>
      </c>
      <c r="R1568" t="str">
        <f t="shared" si="417"/>
        <v>.........</v>
      </c>
      <c r="S1568" t="str">
        <f t="shared" si="425"/>
        <v>.........</v>
      </c>
      <c r="T1568" t="str">
        <f t="shared" si="426"/>
        <v>.........</v>
      </c>
      <c r="U1568" t="str">
        <f t="shared" si="430"/>
        <v>.............</v>
      </c>
      <c r="V1568" t="str">
        <f t="shared" si="418"/>
        <v>.........</v>
      </c>
      <c r="W1568" t="str">
        <f t="shared" si="427"/>
        <v>.........</v>
      </c>
      <c r="X1568" t="str">
        <f t="shared" si="431"/>
        <v>.......</v>
      </c>
      <c r="Y1568" t="str">
        <f t="shared" si="431"/>
        <v>..............</v>
      </c>
      <c r="Z1568" t="str">
        <f t="shared" si="431"/>
        <v>....</v>
      </c>
      <c r="AA1568" t="str">
        <f t="shared" si="419"/>
        <v>.........</v>
      </c>
      <c r="AB1568" t="str">
        <f t="shared" si="428"/>
        <v>.........</v>
      </c>
      <c r="AC1568" t="str">
        <f t="shared" si="429"/>
        <v>.........</v>
      </c>
      <c r="AD1568" t="str">
        <f t="shared" si="430"/>
        <v>........</v>
      </c>
      <c r="AE1568" t="str">
        <f t="shared" si="420"/>
        <v>.......</v>
      </c>
      <c r="AF1568" t="str">
        <f t="shared" si="432"/>
        <v>.....</v>
      </c>
      <c r="AG1568" t="str">
        <f t="shared" si="432"/>
        <v>..........</v>
      </c>
      <c r="AH1568" t="str">
        <f t="shared" si="421"/>
        <v>..........</v>
      </c>
      <c r="AI1568" t="str">
        <f t="shared" si="422"/>
        <v>.......</v>
      </c>
      <c r="AJ1568" t="str">
        <f t="shared" si="423"/>
        <v>.......</v>
      </c>
    </row>
    <row r="1569" spans="1:36" x14ac:dyDescent="0.25">
      <c r="A1569" t="s">
        <v>1199</v>
      </c>
      <c r="P1569" t="str">
        <f t="shared" si="424"/>
        <v xml:space="preserve">   9715   69  0 </v>
      </c>
      <c r="Q1569" t="str">
        <f t="shared" si="424"/>
        <v xml:space="preserve">   1.046 </v>
      </c>
      <c r="R1569" t="str">
        <f t="shared" si="417"/>
        <v xml:space="preserve">     0.0 </v>
      </c>
      <c r="S1569" t="str">
        <f t="shared" si="425"/>
        <v xml:space="preserve">     0.0 </v>
      </c>
      <c r="T1569" t="str">
        <f t="shared" si="426"/>
        <v xml:space="preserve">    12.2 </v>
      </c>
      <c r="U1569" t="str">
        <f t="shared" si="430"/>
        <v xml:space="preserve">         0.0 </v>
      </c>
      <c r="V1569" t="str">
        <f t="shared" si="418"/>
        <v xml:space="preserve">     0.0 </v>
      </c>
      <c r="W1569" t="str">
        <f t="shared" si="427"/>
        <v xml:space="preserve">     0.0</v>
      </c>
      <c r="X1569" t="str">
        <f t="shared" si="431"/>
        <v/>
      </c>
      <c r="Y1569" t="str">
        <f t="shared" si="431"/>
        <v/>
      </c>
      <c r="Z1569" t="str">
        <f t="shared" si="431"/>
        <v/>
      </c>
      <c r="AA1569" t="str">
        <f t="shared" si="419"/>
        <v/>
      </c>
      <c r="AB1569" t="str">
        <f t="shared" si="428"/>
        <v/>
      </c>
      <c r="AC1569" t="str">
        <f t="shared" si="429"/>
        <v/>
      </c>
      <c r="AD1569" t="str">
        <f t="shared" si="430"/>
        <v/>
      </c>
      <c r="AE1569" t="str">
        <f t="shared" si="420"/>
        <v/>
      </c>
      <c r="AF1569" t="str">
        <f t="shared" si="432"/>
        <v/>
      </c>
      <c r="AG1569" t="str">
        <f t="shared" si="432"/>
        <v/>
      </c>
      <c r="AH1569" t="str">
        <f t="shared" si="421"/>
        <v/>
      </c>
      <c r="AI1569" t="str">
        <f t="shared" si="422"/>
        <v/>
      </c>
      <c r="AJ1569" t="str">
        <f t="shared" si="423"/>
        <v/>
      </c>
    </row>
    <row r="1570" spans="1:36" x14ac:dyDescent="0.25">
      <c r="A1570" t="s">
        <v>1200</v>
      </c>
      <c r="P1570" t="str">
        <f t="shared" si="424"/>
        <v xml:space="preserve">  PERDIG-RS069  </v>
      </c>
      <c r="Q1570" t="str">
        <f t="shared" si="424"/>
        <v xml:space="preserve">   -55.3 </v>
      </c>
      <c r="R1570" t="str">
        <f t="shared" si="417"/>
        <v xml:space="preserve">     0.0 </v>
      </c>
      <c r="S1570" t="str">
        <f t="shared" si="425"/>
        <v xml:space="preserve">     0.0 </v>
      </c>
      <c r="T1570" t="str">
        <f t="shared" si="426"/>
        <v xml:space="preserve">     4.7 </v>
      </c>
      <c r="U1570" t="str">
        <f t="shared" si="430"/>
        <v xml:space="preserve">         0.0 </v>
      </c>
      <c r="V1570" t="str">
        <f t="shared" si="418"/>
        <v xml:space="preserve">     0.0 </v>
      </c>
      <c r="W1570" t="str">
        <f t="shared" si="427"/>
        <v xml:space="preserve">     0.0 </v>
      </c>
      <c r="X1570" t="str">
        <f t="shared" si="431"/>
        <v xml:space="preserve">       </v>
      </c>
      <c r="Y1570" t="str">
        <f t="shared" si="431"/>
        <v xml:space="preserve">              </v>
      </c>
      <c r="Z1570" t="str">
        <f t="shared" si="431"/>
        <v xml:space="preserve">    </v>
      </c>
      <c r="AA1570" t="str">
        <f t="shared" si="419"/>
        <v xml:space="preserve">         </v>
      </c>
      <c r="AB1570" t="str">
        <f t="shared" si="428"/>
        <v xml:space="preserve">         </v>
      </c>
      <c r="AC1570" t="str">
        <f t="shared" si="429"/>
        <v xml:space="preserve">    </v>
      </c>
      <c r="AD1570" t="str">
        <f t="shared" si="430"/>
        <v/>
      </c>
      <c r="AE1570" t="str">
        <f t="shared" si="420"/>
        <v/>
      </c>
      <c r="AF1570" t="str">
        <f t="shared" si="432"/>
        <v/>
      </c>
      <c r="AG1570" t="str">
        <f t="shared" si="432"/>
        <v/>
      </c>
      <c r="AH1570" t="str">
        <f t="shared" si="421"/>
        <v/>
      </c>
      <c r="AI1570" t="str">
        <f t="shared" si="422"/>
        <v/>
      </c>
      <c r="AJ1570" t="str">
        <f t="shared" si="423"/>
        <v/>
      </c>
    </row>
    <row r="1571" spans="1:36" x14ac:dyDescent="0.25">
      <c r="A1571" t="s">
        <v>1201</v>
      </c>
      <c r="P1571" t="str">
        <f t="shared" si="424"/>
        <v xml:space="preserve">                </v>
      </c>
      <c r="Q1571" t="str">
        <f t="shared" si="424"/>
        <v xml:space="preserve">         </v>
      </c>
      <c r="R1571" t="str">
        <f t="shared" si="417"/>
        <v xml:space="preserve">    30.0 </v>
      </c>
      <c r="S1571" t="str">
        <f t="shared" si="425"/>
        <v xml:space="preserve">    48.0 </v>
      </c>
      <c r="T1571" t="str">
        <f t="shared" si="426"/>
        <v xml:space="preserve">    48.0 </v>
      </c>
      <c r="U1571" t="str">
        <f t="shared" si="430"/>
        <v xml:space="preserve">       41.7% </v>
      </c>
      <c r="V1571" t="str">
        <f t="shared" si="418"/>
        <v xml:space="preserve">         </v>
      </c>
      <c r="W1571" t="str">
        <f t="shared" si="427"/>
        <v xml:space="preserve">         </v>
      </c>
      <c r="X1571" t="str">
        <f t="shared" si="431"/>
        <v xml:space="preserve">  2081 </v>
      </c>
      <c r="Y1571" t="str">
        <f t="shared" si="431"/>
        <v xml:space="preserve"> LAJEA2-RS069 </v>
      </c>
      <c r="Z1571" t="str">
        <f t="shared" si="431"/>
        <v xml:space="preserve">  1 </v>
      </c>
      <c r="AA1571" t="str">
        <f t="shared" si="419"/>
        <v xml:space="preserve">   -12.2 </v>
      </c>
      <c r="AB1571" t="str">
        <f t="shared" si="428"/>
        <v xml:space="preserve">    -4.7 </v>
      </c>
      <c r="AC1571" t="str">
        <f t="shared" si="429"/>
        <v xml:space="preserve">    12.5 </v>
      </c>
      <c r="AD1571" t="str">
        <f t="shared" si="430"/>
        <v xml:space="preserve">        </v>
      </c>
      <c r="AE1571" t="str">
        <f t="shared" si="420"/>
        <v xml:space="preserve">       </v>
      </c>
      <c r="AF1571" t="str">
        <f t="shared" si="432"/>
        <v xml:space="preserve">     </v>
      </c>
      <c r="AG1571" t="str">
        <f t="shared" si="432"/>
        <v xml:space="preserve">     0.01 </v>
      </c>
      <c r="AH1571" t="str">
        <f t="shared" si="421"/>
        <v xml:space="preserve">     0.00 </v>
      </c>
      <c r="AI1571" t="str">
        <f t="shared" si="422"/>
        <v xml:space="preserve">       </v>
      </c>
      <c r="AJ1571" t="str">
        <f t="shared" si="423"/>
        <v xml:space="preserve">      </v>
      </c>
    </row>
    <row r="1572" spans="1:36" x14ac:dyDescent="0.25">
      <c r="A1572" t="s">
        <v>14</v>
      </c>
      <c r="P1572" t="str">
        <f t="shared" si="424"/>
        <v xml:space="preserve">  ..............</v>
      </c>
      <c r="Q1572" t="str">
        <f t="shared" si="424"/>
        <v>.........</v>
      </c>
      <c r="R1572" t="str">
        <f t="shared" si="417"/>
        <v>.........</v>
      </c>
      <c r="S1572" t="str">
        <f t="shared" si="425"/>
        <v>.........</v>
      </c>
      <c r="T1572" t="str">
        <f t="shared" si="426"/>
        <v>.........</v>
      </c>
      <c r="U1572" t="str">
        <f t="shared" si="430"/>
        <v>.............</v>
      </c>
      <c r="V1572" t="str">
        <f t="shared" si="418"/>
        <v>.........</v>
      </c>
      <c r="W1572" t="str">
        <f t="shared" si="427"/>
        <v>.........</v>
      </c>
      <c r="X1572" t="str">
        <f t="shared" si="431"/>
        <v>.......</v>
      </c>
      <c r="Y1572" t="str">
        <f t="shared" si="431"/>
        <v>..............</v>
      </c>
      <c r="Z1572" t="str">
        <f t="shared" si="431"/>
        <v>....</v>
      </c>
      <c r="AA1572" t="str">
        <f t="shared" si="419"/>
        <v>.........</v>
      </c>
      <c r="AB1572" t="str">
        <f t="shared" si="428"/>
        <v>.........</v>
      </c>
      <c r="AC1572" t="str">
        <f t="shared" si="429"/>
        <v>.........</v>
      </c>
      <c r="AD1572" t="str">
        <f t="shared" si="430"/>
        <v>........</v>
      </c>
      <c r="AE1572" t="str">
        <f t="shared" si="420"/>
        <v>.......</v>
      </c>
      <c r="AF1572" t="str">
        <f t="shared" si="432"/>
        <v>.....</v>
      </c>
      <c r="AG1572" t="str">
        <f t="shared" si="432"/>
        <v>..........</v>
      </c>
      <c r="AH1572" t="str">
        <f t="shared" si="421"/>
        <v>..........</v>
      </c>
      <c r="AI1572" t="str">
        <f t="shared" si="422"/>
        <v>.......</v>
      </c>
      <c r="AJ1572" t="str">
        <f t="shared" si="423"/>
        <v>.......</v>
      </c>
    </row>
    <row r="1573" spans="1:36" x14ac:dyDescent="0.25">
      <c r="A1573" t="s">
        <v>1202</v>
      </c>
      <c r="P1573" t="str">
        <f t="shared" si="424"/>
        <v xml:space="preserve">   9716   69  0 </v>
      </c>
      <c r="Q1573" t="str">
        <f t="shared" si="424"/>
        <v xml:space="preserve">   1.013 </v>
      </c>
      <c r="R1573" t="str">
        <f t="shared" si="417"/>
        <v xml:space="preserve">     0.0 </v>
      </c>
      <c r="S1573" t="str">
        <f t="shared" si="425"/>
        <v xml:space="preserve">     0.0 </v>
      </c>
      <c r="T1573" t="str">
        <f t="shared" si="426"/>
        <v xml:space="preserve">     1.1 </v>
      </c>
      <c r="U1573" t="str">
        <f t="shared" si="430"/>
        <v xml:space="preserve">         0.0 </v>
      </c>
      <c r="V1573" t="str">
        <f t="shared" si="418"/>
        <v xml:space="preserve">     0.0 </v>
      </c>
      <c r="W1573" t="str">
        <f t="shared" si="427"/>
        <v xml:space="preserve">     0.0</v>
      </c>
      <c r="X1573" t="str">
        <f t="shared" si="431"/>
        <v/>
      </c>
      <c r="Y1573" t="str">
        <f t="shared" si="431"/>
        <v/>
      </c>
      <c r="Z1573" t="str">
        <f t="shared" si="431"/>
        <v/>
      </c>
      <c r="AA1573" t="str">
        <f t="shared" si="419"/>
        <v/>
      </c>
      <c r="AB1573" t="str">
        <f t="shared" si="428"/>
        <v/>
      </c>
      <c r="AC1573" t="str">
        <f t="shared" si="429"/>
        <v/>
      </c>
      <c r="AD1573" t="str">
        <f t="shared" si="430"/>
        <v/>
      </c>
      <c r="AE1573" t="str">
        <f t="shared" si="420"/>
        <v/>
      </c>
      <c r="AF1573" t="str">
        <f t="shared" si="432"/>
        <v/>
      </c>
      <c r="AG1573" t="str">
        <f t="shared" si="432"/>
        <v/>
      </c>
      <c r="AH1573" t="str">
        <f t="shared" si="421"/>
        <v/>
      </c>
      <c r="AI1573" t="str">
        <f t="shared" si="422"/>
        <v/>
      </c>
      <c r="AJ1573" t="str">
        <f t="shared" si="423"/>
        <v/>
      </c>
    </row>
    <row r="1574" spans="1:36" x14ac:dyDescent="0.25">
      <c r="A1574" t="s">
        <v>1203</v>
      </c>
      <c r="P1574" t="str">
        <f t="shared" si="424"/>
        <v xml:space="preserve">  HEXION-RS069  </v>
      </c>
      <c r="Q1574" t="str">
        <f t="shared" si="424"/>
        <v xml:space="preserve">   -52.2 </v>
      </c>
      <c r="R1574" t="str">
        <f t="shared" si="417"/>
        <v xml:space="preserve">     0.0 </v>
      </c>
      <c r="S1574" t="str">
        <f t="shared" si="425"/>
        <v xml:space="preserve">     0.0 </v>
      </c>
      <c r="T1574" t="str">
        <f t="shared" si="426"/>
        <v xml:space="preserve">     0.5 </v>
      </c>
      <c r="U1574" t="str">
        <f t="shared" si="430"/>
        <v xml:space="preserve">         0.0 </v>
      </c>
      <c r="V1574" t="str">
        <f t="shared" si="418"/>
        <v xml:space="preserve">     0.0 </v>
      </c>
      <c r="W1574" t="str">
        <f t="shared" si="427"/>
        <v xml:space="preserve">     0.0 </v>
      </c>
      <c r="X1574" t="str">
        <f t="shared" si="431"/>
        <v xml:space="preserve">       </v>
      </c>
      <c r="Y1574" t="str">
        <f t="shared" si="431"/>
        <v xml:space="preserve">              </v>
      </c>
      <c r="Z1574" t="str">
        <f t="shared" si="431"/>
        <v xml:space="preserve">    </v>
      </c>
      <c r="AA1574" t="str">
        <f t="shared" si="419"/>
        <v xml:space="preserve">         </v>
      </c>
      <c r="AB1574" t="str">
        <f t="shared" si="428"/>
        <v xml:space="preserve">         </v>
      </c>
      <c r="AC1574" t="str">
        <f t="shared" si="429"/>
        <v xml:space="preserve">    </v>
      </c>
      <c r="AD1574" t="str">
        <f t="shared" si="430"/>
        <v/>
      </c>
      <c r="AE1574" t="str">
        <f t="shared" si="420"/>
        <v/>
      </c>
      <c r="AF1574" t="str">
        <f t="shared" si="432"/>
        <v/>
      </c>
      <c r="AG1574" t="str">
        <f t="shared" si="432"/>
        <v/>
      </c>
      <c r="AH1574" t="str">
        <f t="shared" si="421"/>
        <v/>
      </c>
      <c r="AI1574" t="str">
        <f t="shared" si="422"/>
        <v/>
      </c>
      <c r="AJ1574" t="str">
        <f t="shared" si="423"/>
        <v/>
      </c>
    </row>
    <row r="1575" spans="1:36" x14ac:dyDescent="0.25">
      <c r="A1575" t="s">
        <v>1204</v>
      </c>
      <c r="P1575" t="str">
        <f t="shared" si="424"/>
        <v xml:space="preserve">                </v>
      </c>
      <c r="Q1575" t="str">
        <f t="shared" si="424"/>
        <v xml:space="preserve">         </v>
      </c>
      <c r="R1575" t="str">
        <f t="shared" si="417"/>
        <v xml:space="preserve">    30.0 </v>
      </c>
      <c r="S1575" t="str">
        <f t="shared" si="425"/>
        <v xml:space="preserve">    48.0 </v>
      </c>
      <c r="T1575" t="str">
        <f t="shared" si="426"/>
        <v xml:space="preserve">    48.0 </v>
      </c>
      <c r="U1575" t="str">
        <f t="shared" si="430"/>
        <v xml:space="preserve">       38.0% </v>
      </c>
      <c r="V1575" t="str">
        <f t="shared" si="418"/>
        <v xml:space="preserve">         </v>
      </c>
      <c r="W1575" t="str">
        <f t="shared" si="427"/>
        <v xml:space="preserve">         </v>
      </c>
      <c r="X1575" t="str">
        <f t="shared" si="431"/>
        <v xml:space="preserve">  1334 </v>
      </c>
      <c r="Y1575" t="str">
        <f t="shared" si="431"/>
        <v xml:space="preserve"> POLINDTAP069 </v>
      </c>
      <c r="Z1575" t="str">
        <f t="shared" si="431"/>
        <v xml:space="preserve">  1 </v>
      </c>
      <c r="AA1575" t="str">
        <f t="shared" si="419"/>
        <v xml:space="preserve">   -10.6 </v>
      </c>
      <c r="AB1575" t="str">
        <f t="shared" si="428"/>
        <v xml:space="preserve">    -4.5 </v>
      </c>
      <c r="AC1575" t="str">
        <f t="shared" si="429"/>
        <v xml:space="preserve">    11.4 </v>
      </c>
      <c r="AD1575" t="str">
        <f t="shared" si="430"/>
        <v xml:space="preserve">        </v>
      </c>
      <c r="AE1575" t="str">
        <f t="shared" si="420"/>
        <v xml:space="preserve">       </v>
      </c>
      <c r="AF1575" t="str">
        <f t="shared" si="432"/>
        <v xml:space="preserve">     </v>
      </c>
      <c r="AG1575" t="str">
        <f t="shared" si="432"/>
        <v xml:space="preserve">     0.01 </v>
      </c>
      <c r="AH1575" t="str">
        <f t="shared" si="421"/>
        <v xml:space="preserve">    -0.00 </v>
      </c>
      <c r="AI1575" t="str">
        <f t="shared" si="422"/>
        <v xml:space="preserve">       </v>
      </c>
      <c r="AJ1575" t="str">
        <f t="shared" si="423"/>
        <v xml:space="preserve">      </v>
      </c>
    </row>
    <row r="1576" spans="1:36" x14ac:dyDescent="0.25">
      <c r="A1576" t="s">
        <v>1205</v>
      </c>
      <c r="P1576" t="str">
        <f t="shared" si="424"/>
        <v xml:space="preserve">                </v>
      </c>
      <c r="Q1576" t="str">
        <f t="shared" si="424"/>
        <v xml:space="preserve">         </v>
      </c>
      <c r="R1576" t="str">
        <f t="shared" si="417"/>
        <v xml:space="preserve">    30.0 </v>
      </c>
      <c r="S1576" t="str">
        <f t="shared" si="425"/>
        <v xml:space="preserve">    48.0 </v>
      </c>
      <c r="T1576" t="str">
        <f t="shared" si="426"/>
        <v xml:space="preserve">    48.0 </v>
      </c>
      <c r="U1576" t="str">
        <f t="shared" si="430"/>
        <v xml:space="preserve">       34.0% </v>
      </c>
      <c r="V1576" t="str">
        <f t="shared" si="418"/>
        <v xml:space="preserve">         </v>
      </c>
      <c r="W1576" t="str">
        <f t="shared" si="427"/>
        <v xml:space="preserve">         </v>
      </c>
      <c r="X1576" t="str">
        <f t="shared" si="431"/>
        <v xml:space="preserve">  1384 </v>
      </c>
      <c r="Y1576" t="str">
        <f t="shared" si="431"/>
        <v xml:space="preserve"> POLOFI-RS069 </v>
      </c>
      <c r="Z1576" t="str">
        <f t="shared" si="431"/>
        <v xml:space="preserve">  1 </v>
      </c>
      <c r="AA1576" t="str">
        <f t="shared" si="419"/>
        <v xml:space="preserve">     9.5 </v>
      </c>
      <c r="AB1576" t="str">
        <f t="shared" si="428"/>
        <v xml:space="preserve">     4.0 </v>
      </c>
      <c r="AC1576" t="str">
        <f t="shared" si="429"/>
        <v xml:space="preserve">    10.2 </v>
      </c>
      <c r="AD1576" t="str">
        <f t="shared" si="430"/>
        <v xml:space="preserve">        </v>
      </c>
      <c r="AE1576" t="str">
        <f t="shared" si="420"/>
        <v xml:space="preserve">       </v>
      </c>
      <c r="AF1576" t="str">
        <f t="shared" si="432"/>
        <v xml:space="preserve">     </v>
      </c>
      <c r="AG1576" t="str">
        <f t="shared" si="432"/>
        <v xml:space="preserve">     0.02 </v>
      </c>
      <c r="AH1576" t="str">
        <f t="shared" si="421"/>
        <v xml:space="preserve">    -0.01 </v>
      </c>
      <c r="AI1576" t="str">
        <f t="shared" si="422"/>
        <v xml:space="preserve">       </v>
      </c>
      <c r="AJ1576" t="str">
        <f t="shared" si="423"/>
        <v xml:space="preserve">      </v>
      </c>
    </row>
    <row r="1577" spans="1:36" x14ac:dyDescent="0.25">
      <c r="A1577" t="s">
        <v>14</v>
      </c>
      <c r="P1577" t="str">
        <f t="shared" si="424"/>
        <v xml:space="preserve">  ..............</v>
      </c>
      <c r="Q1577" t="str">
        <f t="shared" si="424"/>
        <v>.........</v>
      </c>
      <c r="R1577" t="str">
        <f t="shared" si="417"/>
        <v>.........</v>
      </c>
      <c r="S1577" t="str">
        <f t="shared" si="425"/>
        <v>.........</v>
      </c>
      <c r="T1577" t="str">
        <f t="shared" si="426"/>
        <v>.........</v>
      </c>
      <c r="U1577" t="str">
        <f t="shared" si="430"/>
        <v>.............</v>
      </c>
      <c r="V1577" t="str">
        <f t="shared" si="418"/>
        <v>.........</v>
      </c>
      <c r="W1577" t="str">
        <f t="shared" si="427"/>
        <v>.........</v>
      </c>
      <c r="X1577" t="str">
        <f t="shared" si="431"/>
        <v>.......</v>
      </c>
      <c r="Y1577" t="str">
        <f t="shared" si="431"/>
        <v>..............</v>
      </c>
      <c r="Z1577" t="str">
        <f t="shared" si="431"/>
        <v>....</v>
      </c>
      <c r="AA1577" t="str">
        <f t="shared" si="419"/>
        <v>.........</v>
      </c>
      <c r="AB1577" t="str">
        <f t="shared" si="428"/>
        <v>.........</v>
      </c>
      <c r="AC1577" t="str">
        <f t="shared" si="429"/>
        <v>.........</v>
      </c>
      <c r="AD1577" t="str">
        <f t="shared" si="430"/>
        <v>........</v>
      </c>
      <c r="AE1577" t="str">
        <f t="shared" si="420"/>
        <v>.......</v>
      </c>
      <c r="AF1577" t="str">
        <f t="shared" si="432"/>
        <v>.....</v>
      </c>
      <c r="AG1577" t="str">
        <f t="shared" si="432"/>
        <v>..........</v>
      </c>
      <c r="AH1577" t="str">
        <f t="shared" si="421"/>
        <v>..........</v>
      </c>
      <c r="AI1577" t="str">
        <f t="shared" si="422"/>
        <v>.......</v>
      </c>
      <c r="AJ1577" t="str">
        <f t="shared" si="423"/>
        <v>.......</v>
      </c>
    </row>
    <row r="1578" spans="1:36" x14ac:dyDescent="0.25">
      <c r="A1578" t="s">
        <v>1206</v>
      </c>
      <c r="P1578" t="str">
        <f t="shared" si="424"/>
        <v xml:space="preserve">   9728  138  0 </v>
      </c>
      <c r="Q1578" t="str">
        <f t="shared" si="424"/>
        <v xml:space="preserve">   1.005 </v>
      </c>
      <c r="R1578" t="str">
        <f t="shared" si="417"/>
        <v xml:space="preserve">     0.0 </v>
      </c>
      <c r="S1578" t="str">
        <f t="shared" si="425"/>
        <v xml:space="preserve">     0.0 </v>
      </c>
      <c r="T1578" t="str">
        <f t="shared" si="426"/>
        <v xml:space="preserve">     0.0 </v>
      </c>
      <c r="U1578" t="str">
        <f t="shared" si="430"/>
        <v xml:space="preserve">         0.0 </v>
      </c>
      <c r="V1578" t="str">
        <f t="shared" si="418"/>
        <v xml:space="preserve">     0.0 </v>
      </c>
      <c r="W1578" t="str">
        <f t="shared" si="427"/>
        <v xml:space="preserve">     0.0</v>
      </c>
      <c r="X1578" t="str">
        <f t="shared" si="431"/>
        <v/>
      </c>
      <c r="Y1578" t="str">
        <f t="shared" si="431"/>
        <v/>
      </c>
      <c r="Z1578" t="str">
        <f t="shared" si="431"/>
        <v/>
      </c>
      <c r="AA1578" t="str">
        <f t="shared" si="419"/>
        <v/>
      </c>
      <c r="AB1578" t="str">
        <f t="shared" si="428"/>
        <v/>
      </c>
      <c r="AC1578" t="str">
        <f t="shared" si="429"/>
        <v/>
      </c>
      <c r="AD1578" t="str">
        <f t="shared" si="430"/>
        <v/>
      </c>
      <c r="AE1578" t="str">
        <f t="shared" si="420"/>
        <v/>
      </c>
      <c r="AF1578" t="str">
        <f t="shared" si="432"/>
        <v/>
      </c>
      <c r="AG1578" t="str">
        <f t="shared" si="432"/>
        <v/>
      </c>
      <c r="AH1578" t="str">
        <f t="shared" si="421"/>
        <v/>
      </c>
      <c r="AI1578" t="str">
        <f t="shared" si="422"/>
        <v/>
      </c>
      <c r="AJ1578" t="str">
        <f t="shared" si="423"/>
        <v/>
      </c>
    </row>
    <row r="1579" spans="1:36" x14ac:dyDescent="0.25">
      <c r="A1579" t="s">
        <v>1207</v>
      </c>
      <c r="P1579" t="str">
        <f t="shared" si="424"/>
        <v xml:space="preserve">  PALMA1-RS138  </v>
      </c>
      <c r="Q1579" t="str">
        <f t="shared" si="424"/>
        <v xml:space="preserve">   -48.3 </v>
      </c>
      <c r="R1579" t="str">
        <f t="shared" si="417"/>
        <v xml:space="preserve">     0.0 </v>
      </c>
      <c r="S1579" t="str">
        <f t="shared" si="425"/>
        <v xml:space="preserve">     0.0 </v>
      </c>
      <c r="T1579" t="str">
        <f t="shared" si="426"/>
        <v xml:space="preserve">     0.0 </v>
      </c>
      <c r="U1579" t="str">
        <f t="shared" si="430"/>
        <v xml:space="preserve">         0.0 </v>
      </c>
      <c r="V1579" t="str">
        <f t="shared" si="418"/>
        <v xml:space="preserve">     0.0 </v>
      </c>
      <c r="W1579" t="str">
        <f t="shared" si="427"/>
        <v xml:space="preserve">     0.0 </v>
      </c>
      <c r="X1579" t="str">
        <f t="shared" si="431"/>
        <v xml:space="preserve">       </v>
      </c>
      <c r="Y1579" t="str">
        <f t="shared" si="431"/>
        <v xml:space="preserve">              </v>
      </c>
      <c r="Z1579" t="str">
        <f t="shared" si="431"/>
        <v xml:space="preserve">    </v>
      </c>
      <c r="AA1579" t="str">
        <f t="shared" si="419"/>
        <v xml:space="preserve">         </v>
      </c>
      <c r="AB1579" t="str">
        <f t="shared" si="428"/>
        <v xml:space="preserve">         </v>
      </c>
      <c r="AC1579" t="str">
        <f t="shared" si="429"/>
        <v xml:space="preserve">    </v>
      </c>
      <c r="AD1579" t="str">
        <f t="shared" si="430"/>
        <v/>
      </c>
      <c r="AE1579" t="str">
        <f t="shared" si="420"/>
        <v/>
      </c>
      <c r="AF1579" t="str">
        <f t="shared" si="432"/>
        <v/>
      </c>
      <c r="AG1579" t="str">
        <f t="shared" si="432"/>
        <v/>
      </c>
      <c r="AH1579" t="str">
        <f t="shared" si="421"/>
        <v/>
      </c>
      <c r="AI1579" t="str">
        <f t="shared" si="422"/>
        <v/>
      </c>
      <c r="AJ1579" t="str">
        <f t="shared" si="423"/>
        <v/>
      </c>
    </row>
    <row r="1580" spans="1:36" x14ac:dyDescent="0.25">
      <c r="A1580" t="s">
        <v>1208</v>
      </c>
      <c r="P1580" t="str">
        <f t="shared" si="424"/>
        <v xml:space="preserve">                </v>
      </c>
      <c r="Q1580" t="str">
        <f t="shared" si="424"/>
        <v xml:space="preserve">         </v>
      </c>
      <c r="R1580" t="str">
        <f t="shared" si="417"/>
        <v xml:space="preserve">   103.0 </v>
      </c>
      <c r="S1580" t="str">
        <f t="shared" si="425"/>
        <v xml:space="preserve">   131.0 </v>
      </c>
      <c r="T1580" t="str">
        <f t="shared" si="426"/>
        <v xml:space="preserve">   131.0 </v>
      </c>
      <c r="U1580" t="str">
        <f t="shared" si="430"/>
        <v xml:space="preserve">        6.4% </v>
      </c>
      <c r="V1580" t="str">
        <f t="shared" si="418"/>
        <v xml:space="preserve">         </v>
      </c>
      <c r="W1580" t="str">
        <f t="shared" si="427"/>
        <v xml:space="preserve">         </v>
      </c>
      <c r="X1580" t="str">
        <f t="shared" si="431"/>
        <v xml:space="preserve">  1234 </v>
      </c>
      <c r="Y1580" t="str">
        <f t="shared" si="431"/>
        <v xml:space="preserve"> MOSTAR-RS138 </v>
      </c>
      <c r="Z1580" t="str">
        <f t="shared" si="431"/>
        <v xml:space="preserve">  1 </v>
      </c>
      <c r="AA1580" t="str">
        <f t="shared" si="419"/>
        <v xml:space="preserve">     6.6 </v>
      </c>
      <c r="AB1580" t="str">
        <f t="shared" si="428"/>
        <v xml:space="preserve">     0.8 </v>
      </c>
      <c r="AC1580" t="str">
        <f t="shared" si="429"/>
        <v xml:space="preserve">     6.6 </v>
      </c>
      <c r="AD1580" t="str">
        <f t="shared" si="430"/>
        <v xml:space="preserve">        </v>
      </c>
      <c r="AE1580" t="str">
        <f t="shared" si="420"/>
        <v xml:space="preserve">       </v>
      </c>
      <c r="AF1580" t="str">
        <f t="shared" si="432"/>
        <v xml:space="preserve">     </v>
      </c>
      <c r="AG1580" t="str">
        <f t="shared" si="432"/>
        <v xml:space="preserve">     0.03 </v>
      </c>
      <c r="AH1580" t="str">
        <f t="shared" si="421"/>
        <v xml:space="preserve">    -2.13 </v>
      </c>
      <c r="AI1580" t="str">
        <f t="shared" si="422"/>
        <v xml:space="preserve">       </v>
      </c>
      <c r="AJ1580" t="str">
        <f t="shared" si="423"/>
        <v xml:space="preserve">      </v>
      </c>
    </row>
    <row r="1581" spans="1:36" x14ac:dyDescent="0.25">
      <c r="A1581" t="s">
        <v>1209</v>
      </c>
      <c r="P1581" t="str">
        <f t="shared" si="424"/>
        <v xml:space="preserve">                </v>
      </c>
      <c r="Q1581" t="str">
        <f t="shared" si="424"/>
        <v xml:space="preserve">         </v>
      </c>
      <c r="R1581" t="str">
        <f t="shared" si="417"/>
        <v xml:space="preserve">   124.0 </v>
      </c>
      <c r="S1581" t="str">
        <f t="shared" si="425"/>
        <v xml:space="preserve">   153.0 </v>
      </c>
      <c r="T1581" t="str">
        <f t="shared" si="426"/>
        <v xml:space="preserve">   153.0 </v>
      </c>
      <c r="U1581" t="str">
        <f t="shared" si="430"/>
        <v xml:space="preserve">        5.4% </v>
      </c>
      <c r="V1581" t="str">
        <f t="shared" si="418"/>
        <v xml:space="preserve">         </v>
      </c>
      <c r="W1581" t="str">
        <f t="shared" si="427"/>
        <v xml:space="preserve">         </v>
      </c>
      <c r="X1581" t="str">
        <f t="shared" si="431"/>
        <v xml:space="preserve">  9751 </v>
      </c>
      <c r="Y1581" t="str">
        <f t="shared" si="431"/>
        <v xml:space="preserve"> COLPAL-RS138 </v>
      </c>
      <c r="Z1581" t="str">
        <f t="shared" si="431"/>
        <v xml:space="preserve">  1 </v>
      </c>
      <c r="AA1581" t="str">
        <f t="shared" si="419"/>
        <v xml:space="preserve">    -6.6 </v>
      </c>
      <c r="AB1581" t="str">
        <f t="shared" si="428"/>
        <v xml:space="preserve">    -0.8 </v>
      </c>
      <c r="AC1581" t="str">
        <f t="shared" si="429"/>
        <v xml:space="preserve">     6.6 </v>
      </c>
      <c r="AD1581" t="str">
        <f t="shared" si="430"/>
        <v xml:space="preserve">        </v>
      </c>
      <c r="AE1581" t="str">
        <f t="shared" si="420"/>
        <v xml:space="preserve">       </v>
      </c>
      <c r="AF1581" t="str">
        <f t="shared" si="432"/>
        <v xml:space="preserve">     </v>
      </c>
      <c r="AG1581" t="str">
        <f t="shared" si="432"/>
        <v xml:space="preserve">     0.00 </v>
      </c>
      <c r="AH1581" t="str">
        <f t="shared" si="421"/>
        <v xml:space="preserve">    -1.98 </v>
      </c>
      <c r="AI1581" t="str">
        <f t="shared" si="422"/>
        <v xml:space="preserve">       </v>
      </c>
      <c r="AJ1581" t="str">
        <f t="shared" si="423"/>
        <v xml:space="preserve">      </v>
      </c>
    </row>
    <row r="1582" spans="1:36" x14ac:dyDescent="0.25">
      <c r="A1582" t="s">
        <v>14</v>
      </c>
      <c r="P1582" t="str">
        <f t="shared" si="424"/>
        <v xml:space="preserve">  ..............</v>
      </c>
      <c r="Q1582" t="str">
        <f t="shared" si="424"/>
        <v>.........</v>
      </c>
      <c r="R1582" t="str">
        <f t="shared" si="417"/>
        <v>.........</v>
      </c>
      <c r="S1582" t="str">
        <f t="shared" si="425"/>
        <v>.........</v>
      </c>
      <c r="T1582" t="str">
        <f t="shared" si="426"/>
        <v>.........</v>
      </c>
      <c r="U1582" t="str">
        <f t="shared" si="430"/>
        <v>.............</v>
      </c>
      <c r="V1582" t="str">
        <f t="shared" si="418"/>
        <v>.........</v>
      </c>
      <c r="W1582" t="str">
        <f t="shared" si="427"/>
        <v>.........</v>
      </c>
      <c r="X1582" t="str">
        <f t="shared" si="431"/>
        <v>.......</v>
      </c>
      <c r="Y1582" t="str">
        <f t="shared" si="431"/>
        <v>..............</v>
      </c>
      <c r="Z1582" t="str">
        <f t="shared" si="431"/>
        <v>....</v>
      </c>
      <c r="AA1582" t="str">
        <f t="shared" si="419"/>
        <v>.........</v>
      </c>
      <c r="AB1582" t="str">
        <f t="shared" si="428"/>
        <v>.........</v>
      </c>
      <c r="AC1582" t="str">
        <f t="shared" si="429"/>
        <v>.........</v>
      </c>
      <c r="AD1582" t="str">
        <f t="shared" si="430"/>
        <v>........</v>
      </c>
      <c r="AE1582" t="str">
        <f t="shared" si="420"/>
        <v>.......</v>
      </c>
      <c r="AF1582" t="str">
        <f t="shared" si="432"/>
        <v>.....</v>
      </c>
      <c r="AG1582" t="str">
        <f t="shared" si="432"/>
        <v>..........</v>
      </c>
      <c r="AH1582" t="str">
        <f t="shared" si="421"/>
        <v>..........</v>
      </c>
      <c r="AI1582" t="str">
        <f t="shared" si="422"/>
        <v>.......</v>
      </c>
      <c r="AJ1582" t="str">
        <f t="shared" si="423"/>
        <v>.......</v>
      </c>
    </row>
    <row r="1583" spans="1:36" x14ac:dyDescent="0.25">
      <c r="A1583" t="s">
        <v>1210</v>
      </c>
      <c r="P1583" t="str">
        <f t="shared" si="424"/>
        <v xml:space="preserve">   9729  138  0 </v>
      </c>
      <c r="Q1583" t="str">
        <f t="shared" si="424"/>
        <v xml:space="preserve">   1.004 </v>
      </c>
      <c r="R1583" t="str">
        <f t="shared" si="417"/>
        <v xml:space="preserve">     0.0 </v>
      </c>
      <c r="S1583" t="str">
        <f t="shared" si="425"/>
        <v xml:space="preserve">     0.0 </v>
      </c>
      <c r="T1583" t="str">
        <f t="shared" si="426"/>
        <v xml:space="preserve">     0.0 </v>
      </c>
      <c r="U1583" t="str">
        <f t="shared" si="430"/>
        <v xml:space="preserve">         0.0 </v>
      </c>
      <c r="V1583" t="str">
        <f t="shared" si="418"/>
        <v xml:space="preserve">     0.0 </v>
      </c>
      <c r="W1583" t="str">
        <f t="shared" si="427"/>
        <v xml:space="preserve">     0.0</v>
      </c>
      <c r="X1583" t="str">
        <f t="shared" si="431"/>
        <v/>
      </c>
      <c r="Y1583" t="str">
        <f t="shared" si="431"/>
        <v/>
      </c>
      <c r="Z1583" t="str">
        <f t="shared" si="431"/>
        <v/>
      </c>
      <c r="AA1583" t="str">
        <f t="shared" si="419"/>
        <v/>
      </c>
      <c r="AB1583" t="str">
        <f t="shared" si="428"/>
        <v/>
      </c>
      <c r="AC1583" t="str">
        <f t="shared" si="429"/>
        <v/>
      </c>
      <c r="AD1583" t="str">
        <f t="shared" si="430"/>
        <v/>
      </c>
      <c r="AE1583" t="str">
        <f t="shared" si="420"/>
        <v/>
      </c>
      <c r="AF1583" t="str">
        <f t="shared" si="432"/>
        <v/>
      </c>
      <c r="AG1583" t="str">
        <f t="shared" si="432"/>
        <v/>
      </c>
      <c r="AH1583" t="str">
        <f t="shared" si="421"/>
        <v/>
      </c>
      <c r="AI1583" t="str">
        <f t="shared" si="422"/>
        <v/>
      </c>
      <c r="AJ1583" t="str">
        <f t="shared" si="423"/>
        <v/>
      </c>
    </row>
    <row r="1584" spans="1:36" x14ac:dyDescent="0.25">
      <c r="A1584" t="s">
        <v>1211</v>
      </c>
      <c r="P1584" t="str">
        <f t="shared" si="424"/>
        <v xml:space="preserve">  PALMA2-RS138  </v>
      </c>
      <c r="Q1584" t="str">
        <f t="shared" si="424"/>
        <v xml:space="preserve">   -48.3 </v>
      </c>
      <c r="R1584" t="str">
        <f t="shared" si="417"/>
        <v xml:space="preserve">     0.0 </v>
      </c>
      <c r="S1584" t="str">
        <f t="shared" si="425"/>
        <v xml:space="preserve">     0.0 </v>
      </c>
      <c r="T1584" t="str">
        <f t="shared" si="426"/>
        <v xml:space="preserve">     0.0 </v>
      </c>
      <c r="U1584" t="str">
        <f t="shared" si="430"/>
        <v xml:space="preserve">         0.0 </v>
      </c>
      <c r="V1584" t="str">
        <f t="shared" si="418"/>
        <v xml:space="preserve">     0.0 </v>
      </c>
      <c r="W1584" t="str">
        <f t="shared" si="427"/>
        <v xml:space="preserve">     0.0 </v>
      </c>
      <c r="X1584" t="str">
        <f t="shared" si="431"/>
        <v xml:space="preserve">       </v>
      </c>
      <c r="Y1584" t="str">
        <f t="shared" si="431"/>
        <v xml:space="preserve">              </v>
      </c>
      <c r="Z1584" t="str">
        <f t="shared" si="431"/>
        <v xml:space="preserve">    </v>
      </c>
      <c r="AA1584" t="str">
        <f t="shared" si="419"/>
        <v xml:space="preserve">         </v>
      </c>
      <c r="AB1584" t="str">
        <f t="shared" si="428"/>
        <v xml:space="preserve">         </v>
      </c>
      <c r="AC1584" t="str">
        <f t="shared" si="429"/>
        <v xml:space="preserve">    </v>
      </c>
      <c r="AD1584" t="str">
        <f t="shared" si="430"/>
        <v/>
      </c>
      <c r="AE1584" t="str">
        <f t="shared" si="420"/>
        <v/>
      </c>
      <c r="AF1584" t="str">
        <f t="shared" si="432"/>
        <v/>
      </c>
      <c r="AG1584" t="str">
        <f t="shared" si="432"/>
        <v/>
      </c>
      <c r="AH1584" t="str">
        <f t="shared" si="421"/>
        <v/>
      </c>
      <c r="AI1584" t="str">
        <f t="shared" si="422"/>
        <v/>
      </c>
      <c r="AJ1584" t="str">
        <f t="shared" si="423"/>
        <v/>
      </c>
    </row>
    <row r="1585" spans="1:36" x14ac:dyDescent="0.25">
      <c r="A1585" t="s">
        <v>1212</v>
      </c>
      <c r="P1585" t="str">
        <f t="shared" si="424"/>
        <v xml:space="preserve">                </v>
      </c>
      <c r="Q1585" t="str">
        <f t="shared" si="424"/>
        <v xml:space="preserve">         </v>
      </c>
      <c r="R1585" t="str">
        <f t="shared" si="417"/>
        <v xml:space="preserve">   103.0 </v>
      </c>
      <c r="S1585" t="str">
        <f t="shared" si="425"/>
        <v xml:space="preserve">   131.0 </v>
      </c>
      <c r="T1585" t="str">
        <f t="shared" si="426"/>
        <v xml:space="preserve">   131.0 </v>
      </c>
      <c r="U1585" t="str">
        <f t="shared" si="430"/>
        <v xml:space="preserve">       10.5% </v>
      </c>
      <c r="V1585" t="str">
        <f t="shared" si="418"/>
        <v xml:space="preserve">         </v>
      </c>
      <c r="W1585" t="str">
        <f t="shared" si="427"/>
        <v xml:space="preserve">         </v>
      </c>
      <c r="X1585" t="str">
        <f t="shared" si="431"/>
        <v xml:space="preserve">  9730 </v>
      </c>
      <c r="Y1585" t="str">
        <f t="shared" si="431"/>
        <v xml:space="preserve"> PALMARTAP138 </v>
      </c>
      <c r="Z1585" t="str">
        <f t="shared" si="431"/>
        <v xml:space="preserve">  1 </v>
      </c>
      <c r="AA1585" t="str">
        <f t="shared" si="419"/>
        <v xml:space="preserve">    10.4 </v>
      </c>
      <c r="AB1585" t="str">
        <f t="shared" si="428"/>
        <v xml:space="preserve">     3.2 </v>
      </c>
      <c r="AC1585" t="str">
        <f t="shared" si="429"/>
        <v xml:space="preserve">    10.8 </v>
      </c>
      <c r="AD1585" t="str">
        <f t="shared" si="430"/>
        <v xml:space="preserve">        </v>
      </c>
      <c r="AE1585" t="str">
        <f t="shared" si="420"/>
        <v xml:space="preserve">       </v>
      </c>
      <c r="AF1585" t="str">
        <f t="shared" si="432"/>
        <v xml:space="preserve">     </v>
      </c>
      <c r="AG1585" t="str">
        <f t="shared" si="432"/>
        <v xml:space="preserve">     0.01 </v>
      </c>
      <c r="AH1585" t="str">
        <f t="shared" si="421"/>
        <v xml:space="preserve">    -0.29 </v>
      </c>
      <c r="AI1585" t="str">
        <f t="shared" si="422"/>
        <v xml:space="preserve">       </v>
      </c>
      <c r="AJ1585" t="str">
        <f t="shared" si="423"/>
        <v xml:space="preserve">      </v>
      </c>
    </row>
    <row r="1586" spans="1:36" x14ac:dyDescent="0.25">
      <c r="A1586" t="s">
        <v>1213</v>
      </c>
      <c r="P1586" t="str">
        <f t="shared" si="424"/>
        <v xml:space="preserve">                </v>
      </c>
      <c r="Q1586" t="str">
        <f t="shared" si="424"/>
        <v xml:space="preserve">         </v>
      </c>
      <c r="R1586" t="str">
        <f t="shared" si="417"/>
        <v xml:space="preserve">   124.0 </v>
      </c>
      <c r="S1586" t="str">
        <f t="shared" si="425"/>
        <v xml:space="preserve">   153.0 </v>
      </c>
      <c r="T1586" t="str">
        <f t="shared" si="426"/>
        <v xml:space="preserve">   153.0 </v>
      </c>
      <c r="U1586" t="str">
        <f t="shared" si="430"/>
        <v xml:space="preserve">        8.7% </v>
      </c>
      <c r="V1586" t="str">
        <f t="shared" si="418"/>
        <v xml:space="preserve">         </v>
      </c>
      <c r="W1586" t="str">
        <f t="shared" si="427"/>
        <v xml:space="preserve">         </v>
      </c>
      <c r="X1586" t="str">
        <f t="shared" si="431"/>
        <v xml:space="preserve">  9751 </v>
      </c>
      <c r="Y1586" t="str">
        <f t="shared" si="431"/>
        <v xml:space="preserve"> COLPAL-RS138 </v>
      </c>
      <c r="Z1586" t="str">
        <f t="shared" si="431"/>
        <v xml:space="preserve">  1 </v>
      </c>
      <c r="AA1586" t="str">
        <f t="shared" si="419"/>
        <v xml:space="preserve">   -10.4 </v>
      </c>
      <c r="AB1586" t="str">
        <f t="shared" si="428"/>
        <v xml:space="preserve">    -3.2 </v>
      </c>
      <c r="AC1586" t="str">
        <f t="shared" si="429"/>
        <v xml:space="preserve">    10.8 </v>
      </c>
      <c r="AD1586" t="str">
        <f t="shared" si="430"/>
        <v xml:space="preserve">        </v>
      </c>
      <c r="AE1586" t="str">
        <f t="shared" si="420"/>
        <v xml:space="preserve">       </v>
      </c>
      <c r="AF1586" t="str">
        <f t="shared" si="432"/>
        <v xml:space="preserve">     </v>
      </c>
      <c r="AG1586" t="str">
        <f t="shared" si="432"/>
        <v xml:space="preserve">     0.01 </v>
      </c>
      <c r="AH1586" t="str">
        <f t="shared" si="421"/>
        <v xml:space="preserve">    -1.97 </v>
      </c>
      <c r="AI1586" t="str">
        <f t="shared" si="422"/>
        <v xml:space="preserve">       </v>
      </c>
      <c r="AJ1586" t="str">
        <f t="shared" si="423"/>
        <v xml:space="preserve">      </v>
      </c>
    </row>
    <row r="1587" spans="1:36" x14ac:dyDescent="0.25">
      <c r="A1587" t="s">
        <v>14</v>
      </c>
      <c r="P1587" t="str">
        <f t="shared" si="424"/>
        <v xml:space="preserve">  ..............</v>
      </c>
      <c r="Q1587" t="str">
        <f t="shared" si="424"/>
        <v>.........</v>
      </c>
      <c r="R1587" t="str">
        <f t="shared" si="417"/>
        <v>.........</v>
      </c>
      <c r="S1587" t="str">
        <f t="shared" si="425"/>
        <v>.........</v>
      </c>
      <c r="T1587" t="str">
        <f t="shared" si="426"/>
        <v>.........</v>
      </c>
      <c r="U1587" t="str">
        <f t="shared" si="430"/>
        <v>.............</v>
      </c>
      <c r="V1587" t="str">
        <f t="shared" si="418"/>
        <v>.........</v>
      </c>
      <c r="W1587" t="str">
        <f t="shared" si="427"/>
        <v>.........</v>
      </c>
      <c r="X1587" t="str">
        <f t="shared" si="431"/>
        <v>.......</v>
      </c>
      <c r="Y1587" t="str">
        <f t="shared" si="431"/>
        <v>..............</v>
      </c>
      <c r="Z1587" t="str">
        <f t="shared" si="431"/>
        <v>....</v>
      </c>
      <c r="AA1587" t="str">
        <f t="shared" si="419"/>
        <v>.........</v>
      </c>
      <c r="AB1587" t="str">
        <f t="shared" si="428"/>
        <v>.........</v>
      </c>
      <c r="AC1587" t="str">
        <f t="shared" si="429"/>
        <v>.........</v>
      </c>
      <c r="AD1587" t="str">
        <f t="shared" si="430"/>
        <v>........</v>
      </c>
      <c r="AE1587" t="str">
        <f t="shared" si="420"/>
        <v>.......</v>
      </c>
      <c r="AF1587" t="str">
        <f t="shared" si="432"/>
        <v>.....</v>
      </c>
      <c r="AG1587" t="str">
        <f t="shared" si="432"/>
        <v>..........</v>
      </c>
      <c r="AH1587" t="str">
        <f t="shared" si="421"/>
        <v>..........</v>
      </c>
      <c r="AI1587" t="str">
        <f t="shared" si="422"/>
        <v>.......</v>
      </c>
      <c r="AJ1587" t="str">
        <f t="shared" si="423"/>
        <v>.......</v>
      </c>
    </row>
    <row r="1588" spans="1:36" x14ac:dyDescent="0.25">
      <c r="A1588" t="s">
        <v>1214</v>
      </c>
      <c r="P1588" t="str">
        <f t="shared" si="424"/>
        <v xml:space="preserve">   9730  138  0 </v>
      </c>
      <c r="Q1588" t="str">
        <f t="shared" si="424"/>
        <v xml:space="preserve">   1.003 </v>
      </c>
      <c r="R1588" t="str">
        <f t="shared" si="417"/>
        <v xml:space="preserve">     0.0 </v>
      </c>
      <c r="S1588" t="str">
        <f t="shared" si="425"/>
        <v xml:space="preserve">     0.0 </v>
      </c>
      <c r="T1588" t="str">
        <f t="shared" si="426"/>
        <v xml:space="preserve">     0.0 </v>
      </c>
      <c r="U1588" t="str">
        <f t="shared" si="430"/>
        <v xml:space="preserve">         0.0 </v>
      </c>
      <c r="V1588" t="str">
        <f t="shared" si="418"/>
        <v xml:space="preserve">     0.0 </v>
      </c>
      <c r="W1588" t="str">
        <f t="shared" si="427"/>
        <v xml:space="preserve">     0.0</v>
      </c>
      <c r="X1588" t="str">
        <f t="shared" si="431"/>
        <v/>
      </c>
      <c r="Y1588" t="str">
        <f t="shared" si="431"/>
        <v/>
      </c>
      <c r="Z1588" t="str">
        <f t="shared" si="431"/>
        <v/>
      </c>
      <c r="AA1588" t="str">
        <f t="shared" si="419"/>
        <v/>
      </c>
      <c r="AB1588" t="str">
        <f t="shared" si="428"/>
        <v/>
      </c>
      <c r="AC1588" t="str">
        <f t="shared" si="429"/>
        <v/>
      </c>
      <c r="AD1588" t="str">
        <f t="shared" si="430"/>
        <v/>
      </c>
      <c r="AE1588" t="str">
        <f t="shared" si="420"/>
        <v/>
      </c>
      <c r="AF1588" t="str">
        <f t="shared" si="432"/>
        <v/>
      </c>
      <c r="AG1588" t="str">
        <f t="shared" si="432"/>
        <v/>
      </c>
      <c r="AH1588" t="str">
        <f t="shared" si="421"/>
        <v/>
      </c>
      <c r="AI1588" t="str">
        <f t="shared" si="422"/>
        <v/>
      </c>
      <c r="AJ1588" t="str">
        <f t="shared" si="423"/>
        <v/>
      </c>
    </row>
    <row r="1589" spans="1:36" x14ac:dyDescent="0.25">
      <c r="A1589" t="s">
        <v>1215</v>
      </c>
      <c r="P1589" t="str">
        <f t="shared" si="424"/>
        <v xml:space="preserve">  PALMARTAP138  </v>
      </c>
      <c r="Q1589" t="str">
        <f t="shared" si="424"/>
        <v xml:space="preserve">   -48.4 </v>
      </c>
      <c r="R1589" t="str">
        <f t="shared" si="417"/>
        <v xml:space="preserve">     0.0 </v>
      </c>
      <c r="S1589" t="str">
        <f t="shared" si="425"/>
        <v xml:space="preserve">     0.0 </v>
      </c>
      <c r="T1589" t="str">
        <f t="shared" si="426"/>
        <v xml:space="preserve">     0.0 </v>
      </c>
      <c r="U1589" t="str">
        <f t="shared" si="430"/>
        <v xml:space="preserve">         0.0 </v>
      </c>
      <c r="V1589" t="str">
        <f t="shared" si="418"/>
        <v xml:space="preserve">     0.0 </v>
      </c>
      <c r="W1589" t="str">
        <f t="shared" si="427"/>
        <v xml:space="preserve">     0.0 </v>
      </c>
      <c r="X1589" t="str">
        <f t="shared" si="431"/>
        <v xml:space="preserve">       </v>
      </c>
      <c r="Y1589" t="str">
        <f t="shared" si="431"/>
        <v xml:space="preserve">              </v>
      </c>
      <c r="Z1589" t="str">
        <f t="shared" si="431"/>
        <v xml:space="preserve">    </v>
      </c>
      <c r="AA1589" t="str">
        <f t="shared" si="419"/>
        <v xml:space="preserve">         </v>
      </c>
      <c r="AB1589" t="str">
        <f t="shared" si="428"/>
        <v xml:space="preserve">         </v>
      </c>
      <c r="AC1589" t="str">
        <f t="shared" si="429"/>
        <v xml:space="preserve">    </v>
      </c>
      <c r="AD1589" t="str">
        <f t="shared" si="430"/>
        <v/>
      </c>
      <c r="AE1589" t="str">
        <f t="shared" si="420"/>
        <v/>
      </c>
      <c r="AF1589" t="str">
        <f t="shared" si="432"/>
        <v/>
      </c>
      <c r="AG1589" t="str">
        <f t="shared" si="432"/>
        <v/>
      </c>
      <c r="AH1589" t="str">
        <f t="shared" si="421"/>
        <v/>
      </c>
      <c r="AI1589" t="str">
        <f t="shared" si="422"/>
        <v/>
      </c>
      <c r="AJ1589" t="str">
        <f t="shared" si="423"/>
        <v/>
      </c>
    </row>
    <row r="1590" spans="1:36" x14ac:dyDescent="0.25">
      <c r="A1590" t="s">
        <v>1216</v>
      </c>
      <c r="P1590" t="str">
        <f t="shared" si="424"/>
        <v xml:space="preserve">                </v>
      </c>
      <c r="Q1590" t="str">
        <f t="shared" si="424"/>
        <v xml:space="preserve">         </v>
      </c>
      <c r="R1590" t="str">
        <f t="shared" si="417"/>
        <v xml:space="preserve">   103.0 </v>
      </c>
      <c r="S1590" t="str">
        <f t="shared" si="425"/>
        <v xml:space="preserve">   131.0 </v>
      </c>
      <c r="T1590" t="str">
        <f t="shared" si="426"/>
        <v xml:space="preserve">   131.0 </v>
      </c>
      <c r="U1590" t="str">
        <f t="shared" si="430"/>
        <v xml:space="preserve">       10.6% </v>
      </c>
      <c r="V1590" t="str">
        <f t="shared" si="418"/>
        <v xml:space="preserve">         </v>
      </c>
      <c r="W1590" t="str">
        <f t="shared" si="427"/>
        <v xml:space="preserve">         </v>
      </c>
      <c r="X1590" t="str">
        <f t="shared" si="431"/>
        <v xml:space="preserve">  1229 </v>
      </c>
      <c r="Y1590" t="str">
        <f t="shared" si="431"/>
        <v xml:space="preserve"> PALMAR-RS138 </v>
      </c>
      <c r="Z1590" t="str">
        <f t="shared" si="431"/>
        <v xml:space="preserve">  1 </v>
      </c>
      <c r="AA1590" t="str">
        <f t="shared" si="419"/>
        <v xml:space="preserve">    10.4 </v>
      </c>
      <c r="AB1590" t="str">
        <f t="shared" si="428"/>
        <v xml:space="preserve">     3.5 </v>
      </c>
      <c r="AC1590" t="str">
        <f t="shared" si="429"/>
        <v xml:space="preserve">    10.9 </v>
      </c>
      <c r="AD1590" t="str">
        <f t="shared" si="430"/>
        <v xml:space="preserve">        </v>
      </c>
      <c r="AE1590" t="str">
        <f t="shared" si="420"/>
        <v xml:space="preserve">       </v>
      </c>
      <c r="AF1590" t="str">
        <f t="shared" si="432"/>
        <v xml:space="preserve">     </v>
      </c>
      <c r="AG1590" t="str">
        <f t="shared" si="432"/>
        <v xml:space="preserve">     0.03 </v>
      </c>
      <c r="AH1590" t="str">
        <f t="shared" si="421"/>
        <v xml:space="preserve">    -1.15 </v>
      </c>
      <c r="AI1590" t="str">
        <f t="shared" si="422"/>
        <v xml:space="preserve">       </v>
      </c>
      <c r="AJ1590" t="str">
        <f t="shared" si="423"/>
        <v xml:space="preserve">      </v>
      </c>
    </row>
    <row r="1591" spans="1:36" x14ac:dyDescent="0.25">
      <c r="A1591" t="s">
        <v>1217</v>
      </c>
      <c r="P1591" t="str">
        <f t="shared" si="424"/>
        <v xml:space="preserve">                </v>
      </c>
      <c r="Q1591" t="str">
        <f t="shared" si="424"/>
        <v xml:space="preserve">         </v>
      </c>
      <c r="R1591" t="str">
        <f t="shared" si="417"/>
        <v xml:space="preserve">   103.0 </v>
      </c>
      <c r="S1591" t="str">
        <f t="shared" si="425"/>
        <v xml:space="preserve">   131.0 </v>
      </c>
      <c r="T1591" t="str">
        <f t="shared" si="426"/>
        <v xml:space="preserve">   131.0 </v>
      </c>
      <c r="U1591" t="str">
        <f t="shared" si="430"/>
        <v xml:space="preserve">       10.6% </v>
      </c>
      <c r="V1591" t="str">
        <f t="shared" si="418"/>
        <v xml:space="preserve">         </v>
      </c>
      <c r="W1591" t="str">
        <f t="shared" si="427"/>
        <v xml:space="preserve">         </v>
      </c>
      <c r="X1591" t="str">
        <f t="shared" si="431"/>
        <v xml:space="preserve">  9729 </v>
      </c>
      <c r="Y1591" t="str">
        <f t="shared" si="431"/>
        <v xml:space="preserve"> PALMA2-RS138 </v>
      </c>
      <c r="Z1591" t="str">
        <f t="shared" si="431"/>
        <v xml:space="preserve">  1 </v>
      </c>
      <c r="AA1591" t="str">
        <f t="shared" si="419"/>
        <v xml:space="preserve">   -10.4 </v>
      </c>
      <c r="AB1591" t="str">
        <f t="shared" si="428"/>
        <v xml:space="preserve">    -3.5 </v>
      </c>
      <c r="AC1591" t="str">
        <f t="shared" si="429"/>
        <v xml:space="preserve">    10.9 </v>
      </c>
      <c r="AD1591" t="str">
        <f t="shared" si="430"/>
        <v xml:space="preserve">        </v>
      </c>
      <c r="AE1591" t="str">
        <f t="shared" si="420"/>
        <v xml:space="preserve">       </v>
      </c>
      <c r="AF1591" t="str">
        <f t="shared" si="432"/>
        <v xml:space="preserve">     </v>
      </c>
      <c r="AG1591" t="str">
        <f t="shared" si="432"/>
        <v xml:space="preserve">     0.01 </v>
      </c>
      <c r="AH1591" t="str">
        <f t="shared" si="421"/>
        <v xml:space="preserve">    -0.29 </v>
      </c>
      <c r="AI1591" t="str">
        <f t="shared" si="422"/>
        <v xml:space="preserve">       </v>
      </c>
      <c r="AJ1591" t="str">
        <f t="shared" si="423"/>
        <v xml:space="preserve">      </v>
      </c>
    </row>
    <row r="1592" spans="1:36" x14ac:dyDescent="0.25">
      <c r="A1592" t="s">
        <v>14</v>
      </c>
      <c r="P1592" t="str">
        <f t="shared" si="424"/>
        <v xml:space="preserve">  ..............</v>
      </c>
      <c r="Q1592" t="str">
        <f t="shared" si="424"/>
        <v>.........</v>
      </c>
      <c r="R1592" t="str">
        <f t="shared" si="417"/>
        <v>.........</v>
      </c>
      <c r="S1592" t="str">
        <f t="shared" si="425"/>
        <v>.........</v>
      </c>
      <c r="T1592" t="str">
        <f t="shared" si="426"/>
        <v>.........</v>
      </c>
      <c r="U1592" t="str">
        <f t="shared" si="430"/>
        <v>.............</v>
      </c>
      <c r="V1592" t="str">
        <f t="shared" si="418"/>
        <v>.........</v>
      </c>
      <c r="W1592" t="str">
        <f t="shared" si="427"/>
        <v>.........</v>
      </c>
      <c r="X1592" t="str">
        <f t="shared" si="431"/>
        <v>.......</v>
      </c>
      <c r="Y1592" t="str">
        <f t="shared" si="431"/>
        <v>..............</v>
      </c>
      <c r="Z1592" t="str">
        <f t="shared" si="431"/>
        <v>....</v>
      </c>
      <c r="AA1592" t="str">
        <f t="shared" si="419"/>
        <v>.........</v>
      </c>
      <c r="AB1592" t="str">
        <f t="shared" si="428"/>
        <v>.........</v>
      </c>
      <c r="AC1592" t="str">
        <f t="shared" si="429"/>
        <v>.........</v>
      </c>
      <c r="AD1592" t="str">
        <f t="shared" si="430"/>
        <v>........</v>
      </c>
      <c r="AE1592" t="str">
        <f t="shared" si="420"/>
        <v>.......</v>
      </c>
      <c r="AF1592" t="str">
        <f t="shared" si="432"/>
        <v>.....</v>
      </c>
      <c r="AG1592" t="str">
        <f t="shared" si="432"/>
        <v>..........</v>
      </c>
      <c r="AH1592" t="str">
        <f t="shared" si="421"/>
        <v>..........</v>
      </c>
      <c r="AI1592" t="str">
        <f t="shared" si="422"/>
        <v>.......</v>
      </c>
      <c r="AJ1592" t="str">
        <f t="shared" si="423"/>
        <v>.......</v>
      </c>
    </row>
    <row r="1593" spans="1:36" x14ac:dyDescent="0.25">
      <c r="A1593" t="s">
        <v>1218</v>
      </c>
      <c r="P1593" t="str">
        <f t="shared" si="424"/>
        <v xml:space="preserve">   9751  138  0 </v>
      </c>
      <c r="Q1593" t="str">
        <f t="shared" si="424"/>
        <v xml:space="preserve">   1.006 </v>
      </c>
      <c r="R1593" t="str">
        <f t="shared" si="417"/>
        <v xml:space="preserve">     0.0 </v>
      </c>
      <c r="S1593" t="str">
        <f t="shared" si="425"/>
        <v xml:space="preserve">     0.0 </v>
      </c>
      <c r="T1593" t="str">
        <f t="shared" si="426"/>
        <v xml:space="preserve">     0.0 </v>
      </c>
      <c r="U1593" t="str">
        <f t="shared" si="430"/>
        <v xml:space="preserve">         0.0 </v>
      </c>
      <c r="V1593" t="str">
        <f t="shared" si="418"/>
        <v xml:space="preserve">     0.0 </v>
      </c>
      <c r="W1593" t="str">
        <f t="shared" si="427"/>
        <v xml:space="preserve">     0.0</v>
      </c>
      <c r="X1593" t="str">
        <f t="shared" si="431"/>
        <v/>
      </c>
      <c r="Y1593" t="str">
        <f t="shared" si="431"/>
        <v/>
      </c>
      <c r="Z1593" t="str">
        <f t="shared" si="431"/>
        <v/>
      </c>
      <c r="AA1593" t="str">
        <f t="shared" si="419"/>
        <v/>
      </c>
      <c r="AB1593" t="str">
        <f t="shared" si="428"/>
        <v/>
      </c>
      <c r="AC1593" t="str">
        <f t="shared" si="429"/>
        <v/>
      </c>
      <c r="AD1593" t="str">
        <f t="shared" si="430"/>
        <v/>
      </c>
      <c r="AE1593" t="str">
        <f t="shared" si="420"/>
        <v/>
      </c>
      <c r="AF1593" t="str">
        <f t="shared" si="432"/>
        <v/>
      </c>
      <c r="AG1593" t="str">
        <f t="shared" si="432"/>
        <v/>
      </c>
      <c r="AH1593" t="str">
        <f t="shared" si="421"/>
        <v/>
      </c>
      <c r="AI1593" t="str">
        <f t="shared" si="422"/>
        <v/>
      </c>
      <c r="AJ1593" t="str">
        <f t="shared" si="423"/>
        <v/>
      </c>
    </row>
    <row r="1594" spans="1:36" x14ac:dyDescent="0.25">
      <c r="A1594" t="s">
        <v>1219</v>
      </c>
      <c r="P1594" t="str">
        <f t="shared" si="424"/>
        <v xml:space="preserve">  COLPAL-RS138  </v>
      </c>
      <c r="Q1594" t="str">
        <f t="shared" si="424"/>
        <v xml:space="preserve">   -48.2 </v>
      </c>
      <c r="R1594" t="str">
        <f t="shared" si="417"/>
        <v xml:space="preserve">     0.0 </v>
      </c>
      <c r="S1594" t="str">
        <f t="shared" si="425"/>
        <v xml:space="preserve">     0.0 </v>
      </c>
      <c r="T1594" t="str">
        <f t="shared" si="426"/>
        <v xml:space="preserve">     0.0 </v>
      </c>
      <c r="U1594" t="str">
        <f t="shared" si="430"/>
        <v xml:space="preserve">         0.0 </v>
      </c>
      <c r="V1594" t="str">
        <f t="shared" si="418"/>
        <v xml:space="preserve">     0.0 </v>
      </c>
      <c r="W1594" t="str">
        <f t="shared" si="427"/>
        <v xml:space="preserve">     0.0 </v>
      </c>
      <c r="X1594" t="str">
        <f t="shared" si="431"/>
        <v xml:space="preserve">       </v>
      </c>
      <c r="Y1594" t="str">
        <f t="shared" si="431"/>
        <v xml:space="preserve">              </v>
      </c>
      <c r="Z1594" t="str">
        <f t="shared" si="431"/>
        <v xml:space="preserve">    </v>
      </c>
      <c r="AA1594" t="str">
        <f t="shared" si="419"/>
        <v xml:space="preserve">         </v>
      </c>
      <c r="AB1594" t="str">
        <f t="shared" si="428"/>
        <v xml:space="preserve">         </v>
      </c>
      <c r="AC1594" t="str">
        <f t="shared" si="429"/>
        <v xml:space="preserve">    </v>
      </c>
      <c r="AD1594" t="str">
        <f t="shared" si="430"/>
        <v/>
      </c>
      <c r="AE1594" t="str">
        <f t="shared" si="420"/>
        <v/>
      </c>
      <c r="AF1594" t="str">
        <f t="shared" si="432"/>
        <v/>
      </c>
      <c r="AG1594" t="str">
        <f t="shared" si="432"/>
        <v/>
      </c>
      <c r="AH1594" t="str">
        <f t="shared" si="421"/>
        <v/>
      </c>
      <c r="AI1594" t="str">
        <f t="shared" si="422"/>
        <v/>
      </c>
      <c r="AJ1594" t="str">
        <f t="shared" si="423"/>
        <v/>
      </c>
    </row>
    <row r="1595" spans="1:36" x14ac:dyDescent="0.25">
      <c r="A1595" t="s">
        <v>1220</v>
      </c>
      <c r="P1595" t="str">
        <f t="shared" si="424"/>
        <v xml:space="preserve">                </v>
      </c>
      <c r="Q1595" t="str">
        <f t="shared" si="424"/>
        <v xml:space="preserve">         </v>
      </c>
      <c r="R1595" t="str">
        <f t="shared" si="417"/>
        <v xml:space="preserve">    45.0 </v>
      </c>
      <c r="S1595" t="str">
        <f t="shared" si="425"/>
        <v xml:space="preserve">    45.0 </v>
      </c>
      <c r="T1595" t="str">
        <f t="shared" si="426"/>
        <v xml:space="preserve">    45.0 </v>
      </c>
      <c r="U1595" t="str">
        <f t="shared" si="430"/>
        <v xml:space="preserve">       37.6% </v>
      </c>
      <c r="V1595" t="str">
        <f t="shared" si="418"/>
        <v xml:space="preserve">         </v>
      </c>
      <c r="W1595" t="str">
        <f t="shared" si="427"/>
        <v xml:space="preserve">         </v>
      </c>
      <c r="X1595" t="str">
        <f t="shared" si="431"/>
        <v xml:space="preserve">  9727 </v>
      </c>
      <c r="Y1595" t="str">
        <f t="shared" si="431"/>
        <v xml:space="preserve"> COLPAL-RS034 </v>
      </c>
      <c r="Z1595" t="str">
        <f t="shared" si="431"/>
        <v xml:space="preserve">  1 </v>
      </c>
      <c r="AA1595" t="str">
        <f t="shared" si="419"/>
        <v xml:space="preserve">   -17.0 </v>
      </c>
      <c r="AB1595" t="str">
        <f t="shared" si="428"/>
        <v xml:space="preserve">    -0.0 </v>
      </c>
      <c r="AC1595" t="str">
        <f t="shared" si="429"/>
        <v xml:space="preserve">    16.9 </v>
      </c>
      <c r="AD1595" t="str">
        <f t="shared" si="430"/>
        <v xml:space="preserve"> 1.000C </v>
      </c>
      <c r="AE1595" t="str">
        <f t="shared" si="420"/>
        <v xml:space="preserve">       </v>
      </c>
      <c r="AF1595" t="str">
        <f t="shared" si="432"/>
        <v xml:space="preserve"> 002 </v>
      </c>
      <c r="AG1595" t="str">
        <f t="shared" si="432"/>
        <v xml:space="preserve">     0.02 </v>
      </c>
      <c r="AH1595" t="str">
        <f t="shared" si="421"/>
        <v xml:space="preserve">     0.70 </v>
      </c>
      <c r="AI1595" t="str">
        <f t="shared" si="422"/>
        <v xml:space="preserve">       </v>
      </c>
      <c r="AJ1595" t="str">
        <f t="shared" si="423"/>
        <v xml:space="preserve">      </v>
      </c>
    </row>
    <row r="1596" spans="1:36" x14ac:dyDescent="0.25">
      <c r="A1596" t="s">
        <v>1221</v>
      </c>
      <c r="P1596" t="str">
        <f t="shared" si="424"/>
        <v xml:space="preserve">                </v>
      </c>
      <c r="Q1596" t="str">
        <f t="shared" si="424"/>
        <v xml:space="preserve">         </v>
      </c>
      <c r="R1596" t="str">
        <f t="shared" si="417"/>
        <v xml:space="preserve">   124.0 </v>
      </c>
      <c r="S1596" t="str">
        <f t="shared" si="425"/>
        <v xml:space="preserve">   153.0 </v>
      </c>
      <c r="T1596" t="str">
        <f t="shared" si="426"/>
        <v xml:space="preserve">   153.0 </v>
      </c>
      <c r="U1596" t="str">
        <f t="shared" si="430"/>
        <v xml:space="preserve">        5.4% </v>
      </c>
      <c r="V1596" t="str">
        <f t="shared" si="418"/>
        <v xml:space="preserve">         </v>
      </c>
      <c r="W1596" t="str">
        <f t="shared" si="427"/>
        <v xml:space="preserve">         </v>
      </c>
      <c r="X1596" t="str">
        <f t="shared" si="431"/>
        <v xml:space="preserve">  9728 </v>
      </c>
      <c r="Y1596" t="str">
        <f t="shared" si="431"/>
        <v xml:space="preserve"> PALMA1-RS138 </v>
      </c>
      <c r="Z1596" t="str">
        <f t="shared" si="431"/>
        <v xml:space="preserve">  1 </v>
      </c>
      <c r="AA1596" t="str">
        <f t="shared" si="419"/>
        <v xml:space="preserve">     6.6 </v>
      </c>
      <c r="AB1596" t="str">
        <f t="shared" si="428"/>
        <v xml:space="preserve">    -1.2 </v>
      </c>
      <c r="AC1596" t="str">
        <f t="shared" si="429"/>
        <v xml:space="preserve">     6.7 </v>
      </c>
      <c r="AD1596" t="str">
        <f t="shared" si="430"/>
        <v xml:space="preserve">        </v>
      </c>
      <c r="AE1596" t="str">
        <f t="shared" si="420"/>
        <v xml:space="preserve">       </v>
      </c>
      <c r="AF1596" t="str">
        <f t="shared" si="432"/>
        <v xml:space="preserve">     </v>
      </c>
      <c r="AG1596" t="str">
        <f t="shared" si="432"/>
        <v xml:space="preserve">     0.00 </v>
      </c>
      <c r="AH1596" t="str">
        <f t="shared" si="421"/>
        <v xml:space="preserve">    -1.98 </v>
      </c>
      <c r="AI1596" t="str">
        <f t="shared" si="422"/>
        <v xml:space="preserve">       </v>
      </c>
      <c r="AJ1596" t="str">
        <f t="shared" si="423"/>
        <v xml:space="preserve">      </v>
      </c>
    </row>
    <row r="1597" spans="1:36" x14ac:dyDescent="0.25">
      <c r="A1597" t="s">
        <v>1222</v>
      </c>
      <c r="P1597" t="str">
        <f t="shared" si="424"/>
        <v xml:space="preserve">                </v>
      </c>
      <c r="Q1597" t="str">
        <f t="shared" si="424"/>
        <v xml:space="preserve">         </v>
      </c>
      <c r="R1597" t="str">
        <f t="shared" si="417"/>
        <v xml:space="preserve">   124.0 </v>
      </c>
      <c r="S1597" t="str">
        <f t="shared" si="425"/>
        <v xml:space="preserve">   153.0 </v>
      </c>
      <c r="T1597" t="str">
        <f t="shared" si="426"/>
        <v xml:space="preserve">   153.0 </v>
      </c>
      <c r="U1597" t="str">
        <f t="shared" si="430"/>
        <v xml:space="preserve">        8.4% </v>
      </c>
      <c r="V1597" t="str">
        <f t="shared" si="418"/>
        <v xml:space="preserve">         </v>
      </c>
      <c r="W1597" t="str">
        <f t="shared" si="427"/>
        <v xml:space="preserve">         </v>
      </c>
      <c r="X1597" t="str">
        <f t="shared" si="431"/>
        <v xml:space="preserve">  9729 </v>
      </c>
      <c r="Y1597" t="str">
        <f t="shared" si="431"/>
        <v xml:space="preserve"> PALMA2-RS138 </v>
      </c>
      <c r="Z1597" t="str">
        <f t="shared" si="431"/>
        <v xml:space="preserve">  1 </v>
      </c>
      <c r="AA1597" t="str">
        <f t="shared" si="419"/>
        <v xml:space="preserve">    10.4 </v>
      </c>
      <c r="AB1597" t="str">
        <f t="shared" si="428"/>
        <v xml:space="preserve">     1.3 </v>
      </c>
      <c r="AC1597" t="str">
        <f t="shared" si="429"/>
        <v xml:space="preserve">    10.4 </v>
      </c>
      <c r="AD1597" t="str">
        <f t="shared" si="430"/>
        <v xml:space="preserve">        </v>
      </c>
      <c r="AE1597" t="str">
        <f t="shared" si="420"/>
        <v xml:space="preserve">       </v>
      </c>
      <c r="AF1597" t="str">
        <f t="shared" si="432"/>
        <v xml:space="preserve">     </v>
      </c>
      <c r="AG1597" t="str">
        <f t="shared" si="432"/>
        <v xml:space="preserve">     0.01 </v>
      </c>
      <c r="AH1597" t="str">
        <f t="shared" si="421"/>
        <v xml:space="preserve">    -1.97 </v>
      </c>
      <c r="AI1597" t="str">
        <f t="shared" si="422"/>
        <v xml:space="preserve">       </v>
      </c>
      <c r="AJ1597" t="str">
        <f t="shared" si="423"/>
        <v xml:space="preserve">      </v>
      </c>
    </row>
    <row r="1598" spans="1:36" x14ac:dyDescent="0.25">
      <c r="A1598" t="s">
        <v>14</v>
      </c>
      <c r="P1598" t="str">
        <f t="shared" si="424"/>
        <v xml:space="preserve">  ..............</v>
      </c>
      <c r="Q1598" t="str">
        <f t="shared" si="424"/>
        <v>.........</v>
      </c>
      <c r="R1598" t="str">
        <f t="shared" si="417"/>
        <v>.........</v>
      </c>
      <c r="S1598" t="str">
        <f t="shared" si="425"/>
        <v>.........</v>
      </c>
      <c r="T1598" t="str">
        <f t="shared" si="426"/>
        <v>.........</v>
      </c>
      <c r="U1598" t="str">
        <f t="shared" si="430"/>
        <v>.............</v>
      </c>
      <c r="V1598" t="str">
        <f t="shared" si="418"/>
        <v>.........</v>
      </c>
      <c r="W1598" t="str">
        <f t="shared" si="427"/>
        <v>.........</v>
      </c>
      <c r="X1598" t="str">
        <f t="shared" si="431"/>
        <v>.......</v>
      </c>
      <c r="Y1598" t="str">
        <f t="shared" si="431"/>
        <v>..............</v>
      </c>
      <c r="Z1598" t="str">
        <f t="shared" si="431"/>
        <v>....</v>
      </c>
      <c r="AA1598" t="str">
        <f t="shared" si="419"/>
        <v>.........</v>
      </c>
      <c r="AB1598" t="str">
        <f t="shared" si="428"/>
        <v>.........</v>
      </c>
      <c r="AC1598" t="str">
        <f t="shared" si="429"/>
        <v>.........</v>
      </c>
      <c r="AD1598" t="str">
        <f t="shared" si="430"/>
        <v>........</v>
      </c>
      <c r="AE1598" t="str">
        <f t="shared" si="420"/>
        <v>.......</v>
      </c>
      <c r="AF1598" t="str">
        <f t="shared" si="432"/>
        <v>.....</v>
      </c>
      <c r="AG1598" t="str">
        <f t="shared" si="432"/>
        <v>..........</v>
      </c>
      <c r="AH1598" t="str">
        <f t="shared" si="421"/>
        <v>..........</v>
      </c>
      <c r="AI1598" t="str">
        <f t="shared" si="422"/>
        <v>.......</v>
      </c>
      <c r="AJ1598" t="str">
        <f t="shared" si="423"/>
        <v>.......</v>
      </c>
    </row>
    <row r="1599" spans="1:36" x14ac:dyDescent="0.25">
      <c r="A1599" t="s">
        <v>1223</v>
      </c>
      <c r="P1599" t="str">
        <f t="shared" si="424"/>
        <v xml:space="preserve">   9753   14  0 </v>
      </c>
      <c r="Q1599" t="str">
        <f t="shared" si="424"/>
        <v xml:space="preserve">   1.041 </v>
      </c>
      <c r="R1599" t="str">
        <f t="shared" si="417"/>
        <v xml:space="preserve">     0.0 </v>
      </c>
      <c r="S1599" t="str">
        <f t="shared" si="425"/>
        <v xml:space="preserve">     0.0 </v>
      </c>
      <c r="T1599" t="str">
        <f t="shared" si="426"/>
        <v xml:space="preserve">     0.0 </v>
      </c>
      <c r="U1599" t="str">
        <f t="shared" si="430"/>
        <v xml:space="preserve">         0.0 </v>
      </c>
      <c r="V1599" t="str">
        <f t="shared" si="418"/>
        <v xml:space="preserve">     0.0 </v>
      </c>
      <c r="W1599" t="str">
        <f t="shared" si="427"/>
        <v xml:space="preserve">     0.0</v>
      </c>
      <c r="X1599" t="str">
        <f t="shared" si="431"/>
        <v/>
      </c>
      <c r="Y1599" t="str">
        <f t="shared" si="431"/>
        <v/>
      </c>
      <c r="Z1599" t="str">
        <f t="shared" si="431"/>
        <v/>
      </c>
      <c r="AA1599" t="str">
        <f t="shared" si="419"/>
        <v/>
      </c>
      <c r="AB1599" t="str">
        <f t="shared" si="428"/>
        <v/>
      </c>
      <c r="AC1599" t="str">
        <f t="shared" si="429"/>
        <v/>
      </c>
      <c r="AD1599" t="str">
        <f t="shared" si="430"/>
        <v/>
      </c>
      <c r="AE1599" t="str">
        <f t="shared" si="420"/>
        <v/>
      </c>
      <c r="AF1599" t="str">
        <f t="shared" si="432"/>
        <v/>
      </c>
      <c r="AG1599" t="str">
        <f t="shared" si="432"/>
        <v/>
      </c>
      <c r="AH1599" t="str">
        <f t="shared" si="421"/>
        <v/>
      </c>
      <c r="AI1599" t="str">
        <f t="shared" si="422"/>
        <v/>
      </c>
      <c r="AJ1599" t="str">
        <f t="shared" si="423"/>
        <v/>
      </c>
    </row>
    <row r="1600" spans="1:36" x14ac:dyDescent="0.25">
      <c r="A1600" t="s">
        <v>1224</v>
      </c>
      <c r="P1600" t="str">
        <f t="shared" si="424"/>
        <v xml:space="preserve">  SCR1RB-RS013  </v>
      </c>
      <c r="Q1600" t="str">
        <f t="shared" si="424"/>
        <v xml:space="preserve">   -52.9 </v>
      </c>
      <c r="R1600" t="str">
        <f t="shared" si="417"/>
        <v xml:space="preserve">     0.0 </v>
      </c>
      <c r="S1600" t="str">
        <f t="shared" si="425"/>
        <v xml:space="preserve">     0.0 </v>
      </c>
      <c r="T1600" t="str">
        <f t="shared" si="426"/>
        <v xml:space="preserve">     0.0 </v>
      </c>
      <c r="U1600" t="str">
        <f t="shared" si="430"/>
        <v xml:space="preserve">         0.0 </v>
      </c>
      <c r="V1600" t="str">
        <f t="shared" si="418"/>
        <v xml:space="preserve">     0.0 </v>
      </c>
      <c r="W1600" t="str">
        <f t="shared" si="427"/>
        <v xml:space="preserve">     0.0 </v>
      </c>
      <c r="X1600" t="str">
        <f t="shared" si="431"/>
        <v xml:space="preserve">       </v>
      </c>
      <c r="Y1600" t="str">
        <f t="shared" si="431"/>
        <v xml:space="preserve">              </v>
      </c>
      <c r="Z1600" t="str">
        <f t="shared" si="431"/>
        <v xml:space="preserve">    </v>
      </c>
      <c r="AA1600" t="str">
        <f t="shared" si="419"/>
        <v xml:space="preserve">         </v>
      </c>
      <c r="AB1600" t="str">
        <f t="shared" si="428"/>
        <v xml:space="preserve">         </v>
      </c>
      <c r="AC1600" t="str">
        <f t="shared" si="429"/>
        <v xml:space="preserve">    </v>
      </c>
      <c r="AD1600" t="str">
        <f t="shared" si="430"/>
        <v/>
      </c>
      <c r="AE1600" t="str">
        <f t="shared" si="420"/>
        <v/>
      </c>
      <c r="AF1600" t="str">
        <f t="shared" si="432"/>
        <v/>
      </c>
      <c r="AG1600" t="str">
        <f t="shared" si="432"/>
        <v/>
      </c>
      <c r="AH1600" t="str">
        <f t="shared" si="421"/>
        <v/>
      </c>
      <c r="AI1600" t="str">
        <f t="shared" si="422"/>
        <v/>
      </c>
      <c r="AJ1600" t="str">
        <f t="shared" si="423"/>
        <v/>
      </c>
    </row>
    <row r="1601" spans="1:36" x14ac:dyDescent="0.25">
      <c r="A1601" t="s">
        <v>1225</v>
      </c>
      <c r="P1601" t="str">
        <f t="shared" si="424"/>
        <v xml:space="preserve">                </v>
      </c>
      <c r="Q1601" t="str">
        <f t="shared" si="424"/>
        <v xml:space="preserve">         </v>
      </c>
      <c r="R1601" t="str">
        <f t="shared" si="417"/>
        <v xml:space="preserve">  9999.0 </v>
      </c>
      <c r="S1601" t="str">
        <f t="shared" si="425"/>
        <v xml:space="preserve">  9999.0 </v>
      </c>
      <c r="T1601" t="str">
        <f t="shared" si="426"/>
        <v xml:space="preserve">  9999.0 </v>
      </c>
      <c r="U1601" t="str">
        <f t="shared" si="430"/>
        <v xml:space="preserve">        0.0% </v>
      </c>
      <c r="V1601" t="str">
        <f t="shared" si="418"/>
        <v xml:space="preserve">         </v>
      </c>
      <c r="W1601" t="str">
        <f t="shared" si="427"/>
        <v xml:space="preserve">         </v>
      </c>
      <c r="X1601" t="str">
        <f t="shared" si="431"/>
        <v xml:space="preserve">  1309 </v>
      </c>
      <c r="Y1601" t="str">
        <f t="shared" si="431"/>
        <v xml:space="preserve"> SCRU1A-RS013 </v>
      </c>
      <c r="Z1601" t="str">
        <f t="shared" si="431"/>
        <v xml:space="preserve">  6 </v>
      </c>
      <c r="AA1601" t="str">
        <f t="shared" si="419"/>
        <v xml:space="preserve">    13.1 </v>
      </c>
      <c r="AB1601" t="str">
        <f t="shared" si="428"/>
        <v xml:space="preserve">     6.2 </v>
      </c>
      <c r="AC1601" t="str">
        <f t="shared" si="429"/>
        <v xml:space="preserve">    13.9 </v>
      </c>
      <c r="AD1601" t="str">
        <f t="shared" si="430"/>
        <v xml:space="preserve">        </v>
      </c>
      <c r="AE1601" t="str">
        <f t="shared" si="420"/>
        <v xml:space="preserve">       </v>
      </c>
      <c r="AF1601" t="str">
        <f t="shared" si="432"/>
        <v xml:space="preserve">     </v>
      </c>
      <c r="AG1601" t="str">
        <f t="shared" si="432"/>
        <v xml:space="preserve">     0.00 </v>
      </c>
      <c r="AH1601" t="str">
        <f t="shared" si="421"/>
        <v xml:space="preserve">     0.25 </v>
      </c>
      <c r="AI1601" t="str">
        <f t="shared" si="422"/>
        <v xml:space="preserve">       </v>
      </c>
      <c r="AJ1601" t="str">
        <f t="shared" si="423"/>
        <v xml:space="preserve">      </v>
      </c>
    </row>
    <row r="1602" spans="1:36" x14ac:dyDescent="0.25">
      <c r="A1602" t="s">
        <v>1226</v>
      </c>
      <c r="P1602" t="str">
        <f t="shared" si="424"/>
        <v xml:space="preserve">                </v>
      </c>
      <c r="Q1602" t="str">
        <f t="shared" si="424"/>
        <v xml:space="preserve">         </v>
      </c>
      <c r="R1602" t="str">
        <f t="shared" si="417"/>
        <v xml:space="preserve">    50.0 </v>
      </c>
      <c r="S1602" t="str">
        <f t="shared" si="425"/>
        <v xml:space="preserve">    50.0 </v>
      </c>
      <c r="T1602" t="str">
        <f t="shared" si="426"/>
        <v xml:space="preserve">    50.0 </v>
      </c>
      <c r="U1602" t="str">
        <f t="shared" si="430"/>
        <v xml:space="preserve">       27.8% </v>
      </c>
      <c r="V1602" t="str">
        <f t="shared" si="418"/>
        <v xml:space="preserve">         </v>
      </c>
      <c r="W1602" t="str">
        <f t="shared" si="427"/>
        <v xml:space="preserve">         </v>
      </c>
      <c r="X1602" t="str">
        <f t="shared" si="431"/>
        <v xml:space="preserve"> 41368 </v>
      </c>
      <c r="Y1602" t="str">
        <f t="shared" si="431"/>
        <v xml:space="preserve"> SCZ1-6-RS000 </v>
      </c>
      <c r="Z1602" t="str">
        <f t="shared" si="431"/>
        <v xml:space="preserve">  6 </v>
      </c>
      <c r="AA1602" t="str">
        <f t="shared" si="419"/>
        <v xml:space="preserve">   -13.1 </v>
      </c>
      <c r="AB1602" t="str">
        <f t="shared" si="428"/>
        <v xml:space="preserve">    -6.2 </v>
      </c>
      <c r="AC1602" t="str">
        <f t="shared" si="429"/>
        <v xml:space="preserve">    13.9 </v>
      </c>
      <c r="AD1602" t="str">
        <f t="shared" si="430"/>
        <v xml:space="preserve"> 1.000F </v>
      </c>
      <c r="AE1602" t="str">
        <f t="shared" si="420"/>
        <v xml:space="preserve">       </v>
      </c>
      <c r="AF1602" t="str">
        <f t="shared" si="432"/>
        <v xml:space="preserve"> 002 </v>
      </c>
      <c r="AG1602" t="str">
        <f t="shared" si="432"/>
        <v xml:space="preserve">    -0.00 </v>
      </c>
      <c r="AH1602" t="str">
        <f t="shared" si="421"/>
        <v xml:space="preserve">    -0.04 </v>
      </c>
      <c r="AI1602" t="str">
        <f t="shared" si="422"/>
        <v xml:space="preserve">       </v>
      </c>
      <c r="AJ1602" t="str">
        <f t="shared" si="423"/>
        <v xml:space="preserve">      </v>
      </c>
    </row>
    <row r="1603" spans="1:36" x14ac:dyDescent="0.25">
      <c r="A1603" t="s">
        <v>14</v>
      </c>
      <c r="P1603" t="str">
        <f t="shared" si="424"/>
        <v xml:space="preserve">  ..............</v>
      </c>
      <c r="Q1603" t="str">
        <f t="shared" si="424"/>
        <v>.........</v>
      </c>
      <c r="R1603" t="str">
        <f t="shared" si="417"/>
        <v>.........</v>
      </c>
      <c r="S1603" t="str">
        <f t="shared" si="425"/>
        <v>.........</v>
      </c>
      <c r="T1603" t="str">
        <f t="shared" si="426"/>
        <v>.........</v>
      </c>
      <c r="U1603" t="str">
        <f t="shared" si="430"/>
        <v>.............</v>
      </c>
      <c r="V1603" t="str">
        <f t="shared" si="418"/>
        <v>.........</v>
      </c>
      <c r="W1603" t="str">
        <f t="shared" si="427"/>
        <v>.........</v>
      </c>
      <c r="X1603" t="str">
        <f t="shared" si="431"/>
        <v>.......</v>
      </c>
      <c r="Y1603" t="str">
        <f t="shared" si="431"/>
        <v>..............</v>
      </c>
      <c r="Z1603" t="str">
        <f t="shared" si="431"/>
        <v>....</v>
      </c>
      <c r="AA1603" t="str">
        <f t="shared" si="419"/>
        <v>.........</v>
      </c>
      <c r="AB1603" t="str">
        <f t="shared" si="428"/>
        <v>.........</v>
      </c>
      <c r="AC1603" t="str">
        <f t="shared" si="429"/>
        <v>.........</v>
      </c>
      <c r="AD1603" t="str">
        <f t="shared" si="430"/>
        <v>........</v>
      </c>
      <c r="AE1603" t="str">
        <f t="shared" si="420"/>
        <v>.......</v>
      </c>
      <c r="AF1603" t="str">
        <f t="shared" si="432"/>
        <v>.....</v>
      </c>
      <c r="AG1603" t="str">
        <f t="shared" si="432"/>
        <v>..........</v>
      </c>
      <c r="AH1603" t="str">
        <f t="shared" si="421"/>
        <v>..........</v>
      </c>
      <c r="AI1603" t="str">
        <f t="shared" si="422"/>
        <v>.......</v>
      </c>
      <c r="AJ1603" t="str">
        <f t="shared" si="423"/>
        <v>.......</v>
      </c>
    </row>
    <row r="1604" spans="1:36" x14ac:dyDescent="0.25">
      <c r="A1604" t="s">
        <v>1227</v>
      </c>
      <c r="P1604" t="str">
        <f t="shared" si="424"/>
        <v xml:space="preserve">   9754   14  0 </v>
      </c>
      <c r="Q1604" t="str">
        <f t="shared" si="424"/>
        <v xml:space="preserve">   1.038 </v>
      </c>
      <c r="R1604" t="str">
        <f t="shared" si="417"/>
        <v xml:space="preserve">     0.0 </v>
      </c>
      <c r="S1604" t="str">
        <f t="shared" si="425"/>
        <v xml:space="preserve">     0.0 </v>
      </c>
      <c r="T1604" t="str">
        <f t="shared" si="426"/>
        <v xml:space="preserve">     0.0 </v>
      </c>
      <c r="U1604" t="str">
        <f t="shared" si="430"/>
        <v xml:space="preserve">         0.0 </v>
      </c>
      <c r="V1604" t="str">
        <f t="shared" si="418"/>
        <v xml:space="preserve">     0.0 </v>
      </c>
      <c r="W1604" t="str">
        <f t="shared" si="427"/>
        <v xml:space="preserve">     0.0</v>
      </c>
      <c r="X1604" t="str">
        <f t="shared" si="431"/>
        <v/>
      </c>
      <c r="Y1604" t="str">
        <f t="shared" si="431"/>
        <v/>
      </c>
      <c r="Z1604" t="str">
        <f t="shared" si="431"/>
        <v/>
      </c>
      <c r="AA1604" t="str">
        <f t="shared" si="419"/>
        <v/>
      </c>
      <c r="AB1604" t="str">
        <f t="shared" si="428"/>
        <v/>
      </c>
      <c r="AC1604" t="str">
        <f t="shared" si="429"/>
        <v/>
      </c>
      <c r="AD1604" t="str">
        <f t="shared" si="430"/>
        <v/>
      </c>
      <c r="AE1604" t="str">
        <f t="shared" si="420"/>
        <v/>
      </c>
      <c r="AF1604" t="str">
        <f t="shared" si="432"/>
        <v/>
      </c>
      <c r="AG1604" t="str">
        <f t="shared" si="432"/>
        <v/>
      </c>
      <c r="AH1604" t="str">
        <f t="shared" si="421"/>
        <v/>
      </c>
      <c r="AI1604" t="str">
        <f t="shared" si="422"/>
        <v/>
      </c>
      <c r="AJ1604" t="str">
        <f t="shared" si="423"/>
        <v/>
      </c>
    </row>
    <row r="1605" spans="1:36" x14ac:dyDescent="0.25">
      <c r="A1605" t="s">
        <v>1228</v>
      </c>
      <c r="P1605" t="str">
        <f t="shared" si="424"/>
        <v xml:space="preserve">  SCR1RA-RS013  </v>
      </c>
      <c r="Q1605" t="str">
        <f t="shared" si="424"/>
        <v xml:space="preserve">   -52.5 </v>
      </c>
      <c r="R1605" t="str">
        <f t="shared" si="417"/>
        <v xml:space="preserve">     0.0 </v>
      </c>
      <c r="S1605" t="str">
        <f t="shared" si="425"/>
        <v xml:space="preserve">     0.0 </v>
      </c>
      <c r="T1605" t="str">
        <f t="shared" si="426"/>
        <v xml:space="preserve">     0.0 </v>
      </c>
      <c r="U1605" t="str">
        <f t="shared" si="430"/>
        <v xml:space="preserve">         0.0 </v>
      </c>
      <c r="V1605" t="str">
        <f t="shared" si="418"/>
        <v xml:space="preserve">     0.0 </v>
      </c>
      <c r="W1605" t="str">
        <f t="shared" si="427"/>
        <v xml:space="preserve">     0.0 </v>
      </c>
      <c r="X1605" t="str">
        <f t="shared" si="431"/>
        <v xml:space="preserve">       </v>
      </c>
      <c r="Y1605" t="str">
        <f t="shared" si="431"/>
        <v xml:space="preserve">              </v>
      </c>
      <c r="Z1605" t="str">
        <f t="shared" si="431"/>
        <v xml:space="preserve">    </v>
      </c>
      <c r="AA1605" t="str">
        <f t="shared" si="419"/>
        <v xml:space="preserve">         </v>
      </c>
      <c r="AB1605" t="str">
        <f t="shared" si="428"/>
        <v xml:space="preserve">         </v>
      </c>
      <c r="AC1605" t="str">
        <f t="shared" si="429"/>
        <v xml:space="preserve">    </v>
      </c>
      <c r="AD1605" t="str">
        <f t="shared" si="430"/>
        <v/>
      </c>
      <c r="AE1605" t="str">
        <f t="shared" si="420"/>
        <v/>
      </c>
      <c r="AF1605" t="str">
        <f t="shared" si="432"/>
        <v/>
      </c>
      <c r="AG1605" t="str">
        <f t="shared" si="432"/>
        <v/>
      </c>
      <c r="AH1605" t="str">
        <f t="shared" si="421"/>
        <v/>
      </c>
      <c r="AI1605" t="str">
        <f t="shared" si="422"/>
        <v/>
      </c>
      <c r="AJ1605" t="str">
        <f t="shared" si="423"/>
        <v/>
      </c>
    </row>
    <row r="1606" spans="1:36" x14ac:dyDescent="0.25">
      <c r="A1606" t="s">
        <v>1229</v>
      </c>
      <c r="P1606" t="str">
        <f t="shared" si="424"/>
        <v xml:space="preserve">                </v>
      </c>
      <c r="Q1606" t="str">
        <f t="shared" si="424"/>
        <v xml:space="preserve">         </v>
      </c>
      <c r="R1606" t="str">
        <f t="shared" si="417"/>
        <v xml:space="preserve">  9999.0 </v>
      </c>
      <c r="S1606" t="str">
        <f t="shared" si="425"/>
        <v xml:space="preserve">  9999.0 </v>
      </c>
      <c r="T1606" t="str">
        <f t="shared" si="426"/>
        <v xml:space="preserve">  9999.0 </v>
      </c>
      <c r="U1606" t="str">
        <f t="shared" si="430"/>
        <v xml:space="preserve">        0.0% </v>
      </c>
      <c r="V1606" t="str">
        <f t="shared" si="418"/>
        <v xml:space="preserve">         </v>
      </c>
      <c r="W1606" t="str">
        <f t="shared" si="427"/>
        <v xml:space="preserve">         </v>
      </c>
      <c r="X1606" t="str">
        <f t="shared" si="431"/>
        <v xml:space="preserve">  1343 </v>
      </c>
      <c r="Y1606" t="str">
        <f t="shared" si="431"/>
        <v xml:space="preserve"> SCRU1B-RS013 </v>
      </c>
      <c r="Z1606" t="str">
        <f t="shared" si="431"/>
        <v xml:space="preserve">  7 </v>
      </c>
      <c r="AA1606" t="str">
        <f t="shared" si="419"/>
        <v xml:space="preserve">     9.5 </v>
      </c>
      <c r="AB1606" t="str">
        <f t="shared" si="428"/>
        <v xml:space="preserve">     3.0 </v>
      </c>
      <c r="AC1606" t="str">
        <f t="shared" si="429"/>
        <v xml:space="preserve">     9.6 </v>
      </c>
      <c r="AD1606" t="str">
        <f t="shared" si="430"/>
        <v xml:space="preserve">        </v>
      </c>
      <c r="AE1606" t="str">
        <f t="shared" si="420"/>
        <v xml:space="preserve">       </v>
      </c>
      <c r="AF1606" t="str">
        <f t="shared" si="432"/>
        <v xml:space="preserve">     </v>
      </c>
      <c r="AG1606" t="str">
        <f t="shared" si="432"/>
        <v xml:space="preserve">     0.00 </v>
      </c>
      <c r="AH1606" t="str">
        <f t="shared" si="421"/>
        <v xml:space="preserve">     0.12 </v>
      </c>
      <c r="AI1606" t="str">
        <f t="shared" si="422"/>
        <v xml:space="preserve">       </v>
      </c>
      <c r="AJ1606" t="str">
        <f t="shared" si="423"/>
        <v xml:space="preserve">      </v>
      </c>
    </row>
    <row r="1607" spans="1:36" x14ac:dyDescent="0.25">
      <c r="A1607" t="s">
        <v>1230</v>
      </c>
      <c r="P1607" t="str">
        <f t="shared" si="424"/>
        <v xml:space="preserve">                </v>
      </c>
      <c r="Q1607" t="str">
        <f t="shared" si="424"/>
        <v xml:space="preserve">         </v>
      </c>
      <c r="R1607" t="str">
        <f t="shared" si="417"/>
        <v xml:space="preserve">    50.0 </v>
      </c>
      <c r="S1607" t="str">
        <f t="shared" si="425"/>
        <v xml:space="preserve">    50.0 </v>
      </c>
      <c r="T1607" t="str">
        <f t="shared" si="426"/>
        <v xml:space="preserve">    50.0 </v>
      </c>
      <c r="U1607" t="str">
        <f t="shared" si="430"/>
        <v xml:space="preserve">       19.2% </v>
      </c>
      <c r="V1607" t="str">
        <f t="shared" si="418"/>
        <v xml:space="preserve">         </v>
      </c>
      <c r="W1607" t="str">
        <f t="shared" si="427"/>
        <v xml:space="preserve">         </v>
      </c>
      <c r="X1607" t="str">
        <f t="shared" si="431"/>
        <v xml:space="preserve"> 41369 </v>
      </c>
      <c r="Y1607" t="str">
        <f t="shared" si="431"/>
        <v xml:space="preserve"> SCZ1-7-RS000 </v>
      </c>
      <c r="Z1607" t="str">
        <f t="shared" si="431"/>
        <v xml:space="preserve">  7 </v>
      </c>
      <c r="AA1607" t="str">
        <f t="shared" si="419"/>
        <v xml:space="preserve">    -9.5 </v>
      </c>
      <c r="AB1607" t="str">
        <f t="shared" si="428"/>
        <v xml:space="preserve">    -3.0 </v>
      </c>
      <c r="AC1607" t="str">
        <f t="shared" si="429"/>
        <v xml:space="preserve">     9.6 </v>
      </c>
      <c r="AD1607" t="str">
        <f t="shared" si="430"/>
        <v xml:space="preserve"> 1.000F </v>
      </c>
      <c r="AE1607" t="str">
        <f t="shared" si="420"/>
        <v xml:space="preserve">       </v>
      </c>
      <c r="AF1607" t="str">
        <f t="shared" si="432"/>
        <v xml:space="preserve"> 002 </v>
      </c>
      <c r="AG1607" t="str">
        <f t="shared" si="432"/>
        <v xml:space="preserve">    -0.00 </v>
      </c>
      <c r="AH1607" t="str">
        <f t="shared" si="421"/>
        <v xml:space="preserve">    -0.02 </v>
      </c>
      <c r="AI1607" t="str">
        <f t="shared" si="422"/>
        <v xml:space="preserve">       </v>
      </c>
      <c r="AJ1607" t="str">
        <f t="shared" si="423"/>
        <v xml:space="preserve">      </v>
      </c>
    </row>
    <row r="1608" spans="1:36" x14ac:dyDescent="0.25">
      <c r="A1608" t="s">
        <v>14</v>
      </c>
      <c r="P1608" t="str">
        <f t="shared" si="424"/>
        <v xml:space="preserve">  ..............</v>
      </c>
      <c r="Q1608" t="str">
        <f t="shared" si="424"/>
        <v>.........</v>
      </c>
      <c r="R1608" t="str">
        <f t="shared" si="417"/>
        <v>.........</v>
      </c>
      <c r="S1608" t="str">
        <f t="shared" si="425"/>
        <v>.........</v>
      </c>
      <c r="T1608" t="str">
        <f t="shared" si="426"/>
        <v>.........</v>
      </c>
      <c r="U1608" t="str">
        <f t="shared" si="430"/>
        <v>.............</v>
      </c>
      <c r="V1608" t="str">
        <f t="shared" si="418"/>
        <v>.........</v>
      </c>
      <c r="W1608" t="str">
        <f t="shared" si="427"/>
        <v>.........</v>
      </c>
      <c r="X1608" t="str">
        <f t="shared" si="431"/>
        <v>.......</v>
      </c>
      <c r="Y1608" t="str">
        <f t="shared" si="431"/>
        <v>..............</v>
      </c>
      <c r="Z1608" t="str">
        <f t="shared" si="431"/>
        <v>....</v>
      </c>
      <c r="AA1608" t="str">
        <f t="shared" si="419"/>
        <v>.........</v>
      </c>
      <c r="AB1608" t="str">
        <f t="shared" si="428"/>
        <v>.........</v>
      </c>
      <c r="AC1608" t="str">
        <f t="shared" si="429"/>
        <v>.........</v>
      </c>
      <c r="AD1608" t="str">
        <f t="shared" si="430"/>
        <v>........</v>
      </c>
      <c r="AE1608" t="str">
        <f t="shared" si="420"/>
        <v>.......</v>
      </c>
      <c r="AF1608" t="str">
        <f t="shared" si="432"/>
        <v>.....</v>
      </c>
      <c r="AG1608" t="str">
        <f t="shared" si="432"/>
        <v>..........</v>
      </c>
      <c r="AH1608" t="str">
        <f t="shared" si="421"/>
        <v>..........</v>
      </c>
      <c r="AI1608" t="str">
        <f t="shared" si="422"/>
        <v>.......</v>
      </c>
      <c r="AJ1608" t="str">
        <f t="shared" si="423"/>
        <v>.......</v>
      </c>
    </row>
    <row r="1609" spans="1:36" x14ac:dyDescent="0.25">
      <c r="A1609" t="s">
        <v>1231</v>
      </c>
      <c r="P1609" t="str">
        <f t="shared" si="424"/>
        <v xml:space="preserve">   9758   69  0 </v>
      </c>
      <c r="Q1609" t="str">
        <f t="shared" si="424"/>
        <v xml:space="preserve">   1.013 </v>
      </c>
      <c r="R1609" t="str">
        <f t="shared" si="417"/>
        <v xml:space="preserve">     0.0 </v>
      </c>
      <c r="S1609" t="str">
        <f t="shared" si="425"/>
        <v xml:space="preserve">     0.0 </v>
      </c>
      <c r="T1609" t="str">
        <f t="shared" si="426"/>
        <v xml:space="preserve">     0.0 </v>
      </c>
      <c r="U1609" t="str">
        <f t="shared" si="430"/>
        <v xml:space="preserve">         0.0 </v>
      </c>
      <c r="V1609" t="str">
        <f t="shared" si="418"/>
        <v xml:space="preserve">     0.0 </v>
      </c>
      <c r="W1609" t="str">
        <f t="shared" si="427"/>
        <v xml:space="preserve">     0.0</v>
      </c>
      <c r="X1609" t="str">
        <f t="shared" si="431"/>
        <v/>
      </c>
      <c r="Y1609" t="str">
        <f t="shared" si="431"/>
        <v/>
      </c>
      <c r="Z1609" t="str">
        <f t="shared" si="431"/>
        <v/>
      </c>
      <c r="AA1609" t="str">
        <f t="shared" si="419"/>
        <v/>
      </c>
      <c r="AB1609" t="str">
        <f t="shared" si="428"/>
        <v/>
      </c>
      <c r="AC1609" t="str">
        <f t="shared" si="429"/>
        <v/>
      </c>
      <c r="AD1609" t="str">
        <f t="shared" si="430"/>
        <v/>
      </c>
      <c r="AE1609" t="str">
        <f t="shared" si="420"/>
        <v/>
      </c>
      <c r="AF1609" t="str">
        <f t="shared" si="432"/>
        <v/>
      </c>
      <c r="AG1609" t="str">
        <f t="shared" si="432"/>
        <v/>
      </c>
      <c r="AH1609" t="str">
        <f t="shared" si="421"/>
        <v/>
      </c>
      <c r="AI1609" t="str">
        <f t="shared" si="422"/>
        <v/>
      </c>
      <c r="AJ1609" t="str">
        <f t="shared" si="423"/>
        <v/>
      </c>
    </row>
    <row r="1610" spans="1:36" x14ac:dyDescent="0.25">
      <c r="A1610" t="s">
        <v>1232</v>
      </c>
      <c r="P1610" t="str">
        <f t="shared" si="424"/>
        <v xml:space="preserve">  GRAMADTAP069  </v>
      </c>
      <c r="Q1610" t="str">
        <f t="shared" si="424"/>
        <v xml:space="preserve">   -56.2 </v>
      </c>
      <c r="R1610" t="str">
        <f t="shared" si="417"/>
        <v xml:space="preserve">     0.0 </v>
      </c>
      <c r="S1610" t="str">
        <f t="shared" si="425"/>
        <v xml:space="preserve">     0.0 </v>
      </c>
      <c r="T1610" t="str">
        <f t="shared" si="426"/>
        <v xml:space="preserve">     0.0 </v>
      </c>
      <c r="U1610" t="str">
        <f t="shared" si="430"/>
        <v xml:space="preserve">         0.0 </v>
      </c>
      <c r="V1610" t="str">
        <f t="shared" si="418"/>
        <v xml:space="preserve">     0.0 </v>
      </c>
      <c r="W1610" t="str">
        <f t="shared" si="427"/>
        <v xml:space="preserve">     0.0 </v>
      </c>
      <c r="X1610" t="str">
        <f t="shared" si="431"/>
        <v xml:space="preserve">       </v>
      </c>
      <c r="Y1610" t="str">
        <f t="shared" si="431"/>
        <v xml:space="preserve">              </v>
      </c>
      <c r="Z1610" t="str">
        <f t="shared" si="431"/>
        <v xml:space="preserve">    </v>
      </c>
      <c r="AA1610" t="str">
        <f t="shared" si="419"/>
        <v xml:space="preserve">         </v>
      </c>
      <c r="AB1610" t="str">
        <f t="shared" si="428"/>
        <v xml:space="preserve">         </v>
      </c>
      <c r="AC1610" t="str">
        <f t="shared" si="429"/>
        <v xml:space="preserve">    </v>
      </c>
      <c r="AD1610" t="str">
        <f t="shared" si="430"/>
        <v/>
      </c>
      <c r="AE1610" t="str">
        <f t="shared" si="420"/>
        <v/>
      </c>
      <c r="AF1610" t="str">
        <f t="shared" si="432"/>
        <v/>
      </c>
      <c r="AG1610" t="str">
        <f t="shared" si="432"/>
        <v/>
      </c>
      <c r="AH1610" t="str">
        <f t="shared" si="421"/>
        <v/>
      </c>
      <c r="AI1610" t="str">
        <f t="shared" si="422"/>
        <v/>
      </c>
      <c r="AJ1610" t="str">
        <f t="shared" si="423"/>
        <v/>
      </c>
    </row>
    <row r="1611" spans="1:36" x14ac:dyDescent="0.25">
      <c r="A1611" t="s">
        <v>1233</v>
      </c>
      <c r="P1611" t="str">
        <f t="shared" si="424"/>
        <v xml:space="preserve">              DE</v>
      </c>
      <c r="Q1611" t="str">
        <f t="shared" si="424"/>
        <v xml:space="preserve">ESLIGADO </v>
      </c>
      <c r="R1611" t="str">
        <f t="shared" si="417"/>
        <v xml:space="preserve">    84.0 </v>
      </c>
      <c r="S1611" t="str">
        <f t="shared" si="425"/>
        <v xml:space="preserve">   101.0 </v>
      </c>
      <c r="T1611" t="str">
        <f t="shared" si="426"/>
        <v xml:space="preserve">   101.0 </v>
      </c>
      <c r="U1611" t="str">
        <f t="shared" si="430"/>
        <v xml:space="preserve">             </v>
      </c>
      <c r="V1611" t="str">
        <f t="shared" si="418"/>
        <v xml:space="preserve">         </v>
      </c>
      <c r="W1611" t="str">
        <f t="shared" si="427"/>
        <v xml:space="preserve">         </v>
      </c>
      <c r="X1611" t="str">
        <f t="shared" si="431"/>
        <v xml:space="preserve">  9550 </v>
      </c>
      <c r="Y1611" t="str">
        <f t="shared" si="431"/>
        <v xml:space="preserve"> GRAMAD-RS069 </v>
      </c>
      <c r="Z1611" t="str">
        <f t="shared" si="431"/>
        <v xml:space="preserve">  1 </v>
      </c>
      <c r="AA1611" t="str">
        <f t="shared" si="419"/>
        <v xml:space="preserve">     0.0 </v>
      </c>
      <c r="AB1611" t="str">
        <f t="shared" si="428"/>
        <v xml:space="preserve">     0.0 </v>
      </c>
      <c r="AC1611" t="str">
        <f t="shared" si="429"/>
        <v xml:space="preserve">     0.0 </v>
      </c>
      <c r="AD1611" t="str">
        <f t="shared" si="430"/>
        <v xml:space="preserve">        </v>
      </c>
      <c r="AE1611" t="str">
        <f t="shared" si="420"/>
        <v xml:space="preserve">       </v>
      </c>
      <c r="AF1611" t="str">
        <f t="shared" si="432"/>
        <v xml:space="preserve">     </v>
      </c>
      <c r="AG1611" t="str">
        <f t="shared" si="432"/>
        <v xml:space="preserve">     0.00 </v>
      </c>
      <c r="AH1611" t="str">
        <f t="shared" si="421"/>
        <v xml:space="preserve">     0.00 </v>
      </c>
      <c r="AI1611" t="str">
        <f t="shared" si="422"/>
        <v xml:space="preserve">       </v>
      </c>
      <c r="AJ1611" t="str">
        <f t="shared" si="423"/>
        <v xml:space="preserve">      </v>
      </c>
    </row>
    <row r="1612" spans="1:36" x14ac:dyDescent="0.25">
      <c r="A1612" t="s">
        <v>1234</v>
      </c>
      <c r="P1612" t="str">
        <f t="shared" si="424"/>
        <v xml:space="preserve">                </v>
      </c>
      <c r="Q1612" t="str">
        <f t="shared" si="424"/>
        <v xml:space="preserve">         </v>
      </c>
      <c r="R1612" t="str">
        <f t="shared" ref="R1612:R1675" si="433">MID($A1612,Q$8+Q$9-1,R$9)</f>
        <v xml:space="preserve">    41.0 </v>
      </c>
      <c r="S1612" t="str">
        <f t="shared" si="425"/>
        <v xml:space="preserve">    59.0 </v>
      </c>
      <c r="T1612" t="str">
        <f t="shared" si="426"/>
        <v xml:space="preserve">    59.0 </v>
      </c>
      <c r="U1612" t="str">
        <f t="shared" si="430"/>
        <v xml:space="preserve">       59.7% </v>
      </c>
      <c r="V1612" t="str">
        <f t="shared" ref="V1612:V1675" si="434">MID($A1612,U$8+U$9-1,V$9)</f>
        <v xml:space="preserve">         </v>
      </c>
      <c r="W1612" t="str">
        <f t="shared" si="427"/>
        <v xml:space="preserve">         </v>
      </c>
      <c r="X1612" t="str">
        <f t="shared" si="431"/>
        <v xml:space="preserve">  9551 </v>
      </c>
      <c r="Y1612" t="str">
        <f t="shared" si="431"/>
        <v xml:space="preserve"> CANELA-RS069 </v>
      </c>
      <c r="Z1612" t="str">
        <f t="shared" si="431"/>
        <v xml:space="preserve">  1 </v>
      </c>
      <c r="AA1612" t="str">
        <f t="shared" ref="AA1612:AA1675" si="435">MID($A1612,Z$8+Z$9-1,AA$9)</f>
        <v xml:space="preserve">    24.3 </v>
      </c>
      <c r="AB1612" t="str">
        <f t="shared" si="428"/>
        <v xml:space="preserve">     5.1 </v>
      </c>
      <c r="AC1612" t="str">
        <f t="shared" si="429"/>
        <v xml:space="preserve">    24.5 </v>
      </c>
      <c r="AD1612" t="str">
        <f t="shared" si="430"/>
        <v xml:space="preserve">        </v>
      </c>
      <c r="AE1612" t="str">
        <f t="shared" ref="AE1612:AE1675" si="436">MID($A1612,AD$8+AD$9-1,AE$9)</f>
        <v xml:space="preserve">       </v>
      </c>
      <c r="AF1612" t="str">
        <f t="shared" si="432"/>
        <v xml:space="preserve">     </v>
      </c>
      <c r="AG1612" t="str">
        <f t="shared" si="432"/>
        <v xml:space="preserve">     0.06 </v>
      </c>
      <c r="AH1612" t="str">
        <f t="shared" ref="AH1612:AH1675" si="437">MID($A1612,AG$8+AG$9-1,AH$9)</f>
        <v xml:space="preserve">     0.10 </v>
      </c>
      <c r="AI1612" t="str">
        <f t="shared" si="422"/>
        <v xml:space="preserve">       </v>
      </c>
      <c r="AJ1612" t="str">
        <f t="shared" si="423"/>
        <v xml:space="preserve">      </v>
      </c>
    </row>
    <row r="1613" spans="1:36" x14ac:dyDescent="0.25">
      <c r="A1613" t="s">
        <v>1235</v>
      </c>
      <c r="P1613" t="str">
        <f t="shared" si="424"/>
        <v xml:space="preserve">                </v>
      </c>
      <c r="Q1613" t="str">
        <f t="shared" si="424"/>
        <v xml:space="preserve">         </v>
      </c>
      <c r="R1613" t="str">
        <f t="shared" si="433"/>
        <v xml:space="preserve">    41.0 </v>
      </c>
      <c r="S1613" t="str">
        <f t="shared" si="425"/>
        <v xml:space="preserve">    59.0 </v>
      </c>
      <c r="T1613" t="str">
        <f t="shared" si="426"/>
        <v xml:space="preserve">    59.0 </v>
      </c>
      <c r="U1613" t="str">
        <f t="shared" si="430"/>
        <v xml:space="preserve">       59.7% </v>
      </c>
      <c r="V1613" t="str">
        <f t="shared" si="434"/>
        <v xml:space="preserve">         </v>
      </c>
      <c r="W1613" t="str">
        <f t="shared" si="427"/>
        <v xml:space="preserve">         </v>
      </c>
      <c r="X1613" t="str">
        <f t="shared" si="431"/>
        <v xml:space="preserve">  9557 </v>
      </c>
      <c r="Y1613" t="str">
        <f t="shared" si="431"/>
        <v xml:space="preserve"> CANAS2-RS069 </v>
      </c>
      <c r="Z1613" t="str">
        <f t="shared" si="431"/>
        <v xml:space="preserve">  1 </v>
      </c>
      <c r="AA1613" t="str">
        <f t="shared" si="435"/>
        <v xml:space="preserve">   -24.3 </v>
      </c>
      <c r="AB1613" t="str">
        <f t="shared" si="428"/>
        <v xml:space="preserve">    -5.1 </v>
      </c>
      <c r="AC1613" t="str">
        <f t="shared" si="429"/>
        <v xml:space="preserve">    24.5 </v>
      </c>
      <c r="AD1613" t="str">
        <f t="shared" si="430"/>
        <v xml:space="preserve">        </v>
      </c>
      <c r="AE1613" t="str">
        <f t="shared" si="436"/>
        <v xml:space="preserve">       </v>
      </c>
      <c r="AF1613" t="str">
        <f t="shared" si="432"/>
        <v xml:space="preserve">     </v>
      </c>
      <c r="AG1613" t="str">
        <f t="shared" si="432"/>
        <v xml:space="preserve">     0.29 </v>
      </c>
      <c r="AH1613" t="str">
        <f t="shared" si="437"/>
        <v xml:space="preserve">     0.46 </v>
      </c>
      <c r="AI1613" t="str">
        <f t="shared" si="422"/>
        <v xml:space="preserve">       </v>
      </c>
      <c r="AJ1613" t="str">
        <f t="shared" si="423"/>
        <v xml:space="preserve">      </v>
      </c>
    </row>
    <row r="1614" spans="1:36" x14ac:dyDescent="0.25">
      <c r="A1614" t="s">
        <v>14</v>
      </c>
      <c r="P1614" t="str">
        <f t="shared" si="424"/>
        <v xml:space="preserve">  ..............</v>
      </c>
      <c r="Q1614" t="str">
        <f t="shared" si="424"/>
        <v>.........</v>
      </c>
      <c r="R1614" t="str">
        <f t="shared" si="433"/>
        <v>.........</v>
      </c>
      <c r="S1614" t="str">
        <f t="shared" si="425"/>
        <v>.........</v>
      </c>
      <c r="T1614" t="str">
        <f t="shared" si="426"/>
        <v>.........</v>
      </c>
      <c r="U1614" t="str">
        <f t="shared" si="430"/>
        <v>.............</v>
      </c>
      <c r="V1614" t="str">
        <f t="shared" si="434"/>
        <v>.........</v>
      </c>
      <c r="W1614" t="str">
        <f t="shared" si="427"/>
        <v>.........</v>
      </c>
      <c r="X1614" t="str">
        <f t="shared" si="431"/>
        <v>.......</v>
      </c>
      <c r="Y1614" t="str">
        <f t="shared" si="431"/>
        <v>..............</v>
      </c>
      <c r="Z1614" t="str">
        <f t="shared" si="431"/>
        <v>....</v>
      </c>
      <c r="AA1614" t="str">
        <f t="shared" si="435"/>
        <v>.........</v>
      </c>
      <c r="AB1614" t="str">
        <f t="shared" si="428"/>
        <v>.........</v>
      </c>
      <c r="AC1614" t="str">
        <f t="shared" si="429"/>
        <v>.........</v>
      </c>
      <c r="AD1614" t="str">
        <f t="shared" si="430"/>
        <v>........</v>
      </c>
      <c r="AE1614" t="str">
        <f t="shared" si="436"/>
        <v>.......</v>
      </c>
      <c r="AF1614" t="str">
        <f t="shared" si="432"/>
        <v>.....</v>
      </c>
      <c r="AG1614" t="str">
        <f t="shared" si="432"/>
        <v>..........</v>
      </c>
      <c r="AH1614" t="str">
        <f t="shared" si="437"/>
        <v>..........</v>
      </c>
      <c r="AI1614" t="str">
        <f t="shared" si="422"/>
        <v>.......</v>
      </c>
      <c r="AJ1614" t="str">
        <f t="shared" si="423"/>
        <v>.......</v>
      </c>
    </row>
    <row r="1615" spans="1:36" x14ac:dyDescent="0.25">
      <c r="A1615" t="s">
        <v>1236</v>
      </c>
      <c r="P1615" t="str">
        <f t="shared" si="424"/>
        <v xml:space="preserve">   9773   69  0 </v>
      </c>
      <c r="Q1615" t="str">
        <f t="shared" si="424"/>
        <v xml:space="preserve">   1.010 </v>
      </c>
      <c r="R1615" t="str">
        <f t="shared" si="433"/>
        <v xml:space="preserve">     0.0 </v>
      </c>
      <c r="S1615" t="str">
        <f t="shared" si="425"/>
        <v xml:space="preserve">     0.0 </v>
      </c>
      <c r="T1615" t="str">
        <f t="shared" si="426"/>
        <v xml:space="preserve">     0.0 </v>
      </c>
      <c r="U1615" t="str">
        <f t="shared" si="430"/>
        <v xml:space="preserve">         0.0 </v>
      </c>
      <c r="V1615" t="str">
        <f t="shared" si="434"/>
        <v xml:space="preserve">     0.0 </v>
      </c>
      <c r="W1615" t="str">
        <f t="shared" si="427"/>
        <v xml:space="preserve">     0.0</v>
      </c>
      <c r="X1615" t="str">
        <f t="shared" si="431"/>
        <v/>
      </c>
      <c r="Y1615" t="str">
        <f t="shared" si="431"/>
        <v/>
      </c>
      <c r="Z1615" t="str">
        <f t="shared" si="431"/>
        <v/>
      </c>
      <c r="AA1615" t="str">
        <f t="shared" si="435"/>
        <v/>
      </c>
      <c r="AB1615" t="str">
        <f t="shared" si="428"/>
        <v/>
      </c>
      <c r="AC1615" t="str">
        <f t="shared" si="429"/>
        <v/>
      </c>
      <c r="AD1615" t="str">
        <f t="shared" si="430"/>
        <v/>
      </c>
      <c r="AE1615" t="str">
        <f t="shared" si="436"/>
        <v/>
      </c>
      <c r="AF1615" t="str">
        <f t="shared" si="432"/>
        <v/>
      </c>
      <c r="AG1615" t="str">
        <f t="shared" si="432"/>
        <v/>
      </c>
      <c r="AH1615" t="str">
        <f t="shared" si="437"/>
        <v/>
      </c>
      <c r="AI1615" t="str">
        <f t="shared" si="422"/>
        <v/>
      </c>
      <c r="AJ1615" t="str">
        <f t="shared" si="423"/>
        <v/>
      </c>
    </row>
    <row r="1616" spans="1:36" x14ac:dyDescent="0.25">
      <c r="A1616" t="s">
        <v>1237</v>
      </c>
      <c r="P1616" t="str">
        <f t="shared" si="424"/>
        <v xml:space="preserve">  STHGUATAP069  </v>
      </c>
      <c r="Q1616" t="str">
        <f t="shared" si="424"/>
        <v xml:space="preserve">   -53.6 </v>
      </c>
      <c r="R1616" t="str">
        <f t="shared" si="433"/>
        <v xml:space="preserve">     0.0 </v>
      </c>
      <c r="S1616" t="str">
        <f t="shared" si="425"/>
        <v xml:space="preserve">     0.0 </v>
      </c>
      <c r="T1616" t="str">
        <f t="shared" si="426"/>
        <v xml:space="preserve">     0.0 </v>
      </c>
      <c r="U1616" t="str">
        <f t="shared" si="430"/>
        <v xml:space="preserve">         0.0 </v>
      </c>
      <c r="V1616" t="str">
        <f t="shared" si="434"/>
        <v xml:space="preserve">     0.0 </v>
      </c>
      <c r="W1616" t="str">
        <f t="shared" si="427"/>
        <v xml:space="preserve">     0.0 </v>
      </c>
      <c r="X1616" t="str">
        <f t="shared" si="431"/>
        <v xml:space="preserve">       </v>
      </c>
      <c r="Y1616" t="str">
        <f t="shared" si="431"/>
        <v xml:space="preserve">              </v>
      </c>
      <c r="Z1616" t="str">
        <f t="shared" si="431"/>
        <v xml:space="preserve">    </v>
      </c>
      <c r="AA1616" t="str">
        <f t="shared" si="435"/>
        <v xml:space="preserve">         </v>
      </c>
      <c r="AB1616" t="str">
        <f t="shared" si="428"/>
        <v xml:space="preserve">         </v>
      </c>
      <c r="AC1616" t="str">
        <f t="shared" si="429"/>
        <v xml:space="preserve">    </v>
      </c>
      <c r="AD1616" t="str">
        <f t="shared" si="430"/>
        <v/>
      </c>
      <c r="AE1616" t="str">
        <f t="shared" si="436"/>
        <v/>
      </c>
      <c r="AF1616" t="str">
        <f t="shared" si="432"/>
        <v/>
      </c>
      <c r="AG1616" t="str">
        <f t="shared" si="432"/>
        <v/>
      </c>
      <c r="AH1616" t="str">
        <f t="shared" si="437"/>
        <v/>
      </c>
      <c r="AI1616" t="str">
        <f t="shared" si="422"/>
        <v/>
      </c>
      <c r="AJ1616" t="str">
        <f t="shared" si="423"/>
        <v/>
      </c>
    </row>
    <row r="1617" spans="1:36" x14ac:dyDescent="0.25">
      <c r="A1617" t="s">
        <v>1238</v>
      </c>
      <c r="P1617" t="str">
        <f t="shared" si="424"/>
        <v xml:space="preserve">                </v>
      </c>
      <c r="Q1617" t="str">
        <f t="shared" si="424"/>
        <v xml:space="preserve">         </v>
      </c>
      <c r="R1617" t="str">
        <f t="shared" si="433"/>
        <v xml:space="preserve">    48.0 </v>
      </c>
      <c r="S1617" t="str">
        <f t="shared" si="425"/>
        <v xml:space="preserve">    71.0 </v>
      </c>
      <c r="T1617" t="str">
        <f t="shared" si="426"/>
        <v xml:space="preserve">    71.0 </v>
      </c>
      <c r="U1617" t="str">
        <f t="shared" si="430"/>
        <v xml:space="preserve">       42.6% </v>
      </c>
      <c r="V1617" t="str">
        <f t="shared" si="434"/>
        <v xml:space="preserve">         </v>
      </c>
      <c r="W1617" t="str">
        <f t="shared" si="427"/>
        <v xml:space="preserve">         </v>
      </c>
      <c r="X1617" t="str">
        <f t="shared" si="431"/>
        <v xml:space="preserve">  1197 </v>
      </c>
      <c r="Y1617" t="str">
        <f t="shared" si="431"/>
        <v xml:space="preserve"> GUAIB2-RS069 </v>
      </c>
      <c r="Z1617" t="str">
        <f t="shared" si="431"/>
        <v xml:space="preserve">  1 </v>
      </c>
      <c r="AA1617" t="str">
        <f t="shared" si="435"/>
        <v xml:space="preserve">   -19.0 </v>
      </c>
      <c r="AB1617" t="str">
        <f t="shared" si="428"/>
        <v xml:space="preserve">    -8.0 </v>
      </c>
      <c r="AC1617" t="str">
        <f t="shared" si="429"/>
        <v xml:space="preserve">    20.5 </v>
      </c>
      <c r="AD1617" t="str">
        <f t="shared" si="430"/>
        <v xml:space="preserve">        </v>
      </c>
      <c r="AE1617" t="str">
        <f t="shared" si="436"/>
        <v xml:space="preserve">       </v>
      </c>
      <c r="AF1617" t="str">
        <f t="shared" si="432"/>
        <v xml:space="preserve">     </v>
      </c>
      <c r="AG1617" t="str">
        <f t="shared" si="432"/>
        <v xml:space="preserve">     0.07 </v>
      </c>
      <c r="AH1617" t="str">
        <f t="shared" si="437"/>
        <v xml:space="preserve">     0.12 </v>
      </c>
      <c r="AI1617" t="str">
        <f t="shared" si="422"/>
        <v xml:space="preserve">       </v>
      </c>
      <c r="AJ1617" t="str">
        <f t="shared" si="423"/>
        <v xml:space="preserve">      </v>
      </c>
    </row>
    <row r="1618" spans="1:36" x14ac:dyDescent="0.25">
      <c r="A1618" t="s">
        <v>1239</v>
      </c>
      <c r="P1618" t="str">
        <f t="shared" si="424"/>
        <v xml:space="preserve">                </v>
      </c>
      <c r="Q1618" t="str">
        <f t="shared" si="424"/>
        <v xml:space="preserve">         </v>
      </c>
      <c r="R1618" t="str">
        <f t="shared" si="433"/>
        <v xml:space="preserve">    23.0 </v>
      </c>
      <c r="S1618" t="str">
        <f t="shared" si="425"/>
        <v xml:space="preserve">    33.0 </v>
      </c>
      <c r="T1618" t="str">
        <f t="shared" si="426"/>
        <v xml:space="preserve">    33.0 </v>
      </c>
      <c r="U1618" t="str">
        <f t="shared" si="430"/>
        <v xml:space="preserve">       18.6% </v>
      </c>
      <c r="V1618" t="str">
        <f t="shared" si="434"/>
        <v xml:space="preserve">         </v>
      </c>
      <c r="W1618" t="str">
        <f t="shared" si="427"/>
        <v xml:space="preserve">         </v>
      </c>
      <c r="X1618" t="str">
        <f t="shared" si="431"/>
        <v xml:space="preserve">  9774 </v>
      </c>
      <c r="Y1618" t="str">
        <f t="shared" si="431"/>
        <v xml:space="preserve"> STHGUA-RS069 </v>
      </c>
      <c r="Z1618" t="str">
        <f t="shared" si="431"/>
        <v xml:space="preserve">  1 </v>
      </c>
      <c r="AA1618" t="str">
        <f t="shared" si="435"/>
        <v xml:space="preserve">     4.0 </v>
      </c>
      <c r="AB1618" t="str">
        <f t="shared" si="428"/>
        <v xml:space="preserve">     1.6 </v>
      </c>
      <c r="AC1618" t="str">
        <f t="shared" si="429"/>
        <v xml:space="preserve">     4.3 </v>
      </c>
      <c r="AD1618" t="str">
        <f t="shared" si="430"/>
        <v xml:space="preserve">        </v>
      </c>
      <c r="AE1618" t="str">
        <f t="shared" si="436"/>
        <v xml:space="preserve">       </v>
      </c>
      <c r="AF1618" t="str">
        <f t="shared" si="432"/>
        <v xml:space="preserve">     </v>
      </c>
      <c r="AG1618" t="str">
        <f t="shared" si="432"/>
        <v xml:space="preserve">     0.01 </v>
      </c>
      <c r="AH1618" t="str">
        <f t="shared" si="437"/>
        <v xml:space="preserve">    -0.06 </v>
      </c>
      <c r="AI1618" t="str">
        <f t="shared" si="422"/>
        <v xml:space="preserve">       </v>
      </c>
      <c r="AJ1618" t="str">
        <f t="shared" si="423"/>
        <v xml:space="preserve">      </v>
      </c>
    </row>
    <row r="1619" spans="1:36" x14ac:dyDescent="0.25">
      <c r="A1619" t="s">
        <v>1240</v>
      </c>
      <c r="P1619" t="str">
        <f t="shared" si="424"/>
        <v xml:space="preserve">                </v>
      </c>
      <c r="Q1619" t="str">
        <f t="shared" si="424"/>
        <v xml:space="preserve">         </v>
      </c>
      <c r="R1619" t="str">
        <f t="shared" si="433"/>
        <v xml:space="preserve">    48.0 </v>
      </c>
      <c r="S1619" t="str">
        <f t="shared" si="425"/>
        <v xml:space="preserve">    71.0 </v>
      </c>
      <c r="T1619" t="str">
        <f t="shared" si="426"/>
        <v xml:space="preserve">    71.0 </v>
      </c>
      <c r="U1619" t="str">
        <f t="shared" si="430"/>
        <v xml:space="preserve">       33.7% </v>
      </c>
      <c r="V1619" t="str">
        <f t="shared" si="434"/>
        <v xml:space="preserve">         </v>
      </c>
      <c r="W1619" t="str">
        <f t="shared" si="427"/>
        <v xml:space="preserve">         </v>
      </c>
      <c r="X1619" t="str">
        <f t="shared" si="431"/>
        <v xml:space="preserve">  9777 </v>
      </c>
      <c r="Y1619" t="str">
        <f t="shared" si="431"/>
        <v xml:space="preserve"> RIOGUATAP069 </v>
      </c>
      <c r="Z1619" t="str">
        <f t="shared" si="431"/>
        <v xml:space="preserve">  1 </v>
      </c>
      <c r="AA1619" t="str">
        <f t="shared" si="435"/>
        <v xml:space="preserve">    15.0 </v>
      </c>
      <c r="AB1619" t="str">
        <f t="shared" si="428"/>
        <v xml:space="preserve">     6.4 </v>
      </c>
      <c r="AC1619" t="str">
        <f t="shared" si="429"/>
        <v xml:space="preserve">    16.2 </v>
      </c>
      <c r="AD1619" t="str">
        <f t="shared" si="430"/>
        <v xml:space="preserve">        </v>
      </c>
      <c r="AE1619" t="str">
        <f t="shared" si="436"/>
        <v xml:space="preserve">       </v>
      </c>
      <c r="AF1619" t="str">
        <f t="shared" si="432"/>
        <v xml:space="preserve">     </v>
      </c>
      <c r="AG1619" t="str">
        <f t="shared" si="432"/>
        <v xml:space="preserve">     0.02 </v>
      </c>
      <c r="AH1619" t="str">
        <f t="shared" si="437"/>
        <v xml:space="preserve">     0.02 </v>
      </c>
      <c r="AI1619" t="str">
        <f t="shared" si="422"/>
        <v xml:space="preserve">       </v>
      </c>
      <c r="AJ1619" t="str">
        <f t="shared" si="423"/>
        <v xml:space="preserve">      </v>
      </c>
    </row>
    <row r="1620" spans="1:36" x14ac:dyDescent="0.25">
      <c r="A1620" t="s">
        <v>14</v>
      </c>
      <c r="P1620" t="str">
        <f t="shared" si="424"/>
        <v xml:space="preserve">  ..............</v>
      </c>
      <c r="Q1620" t="str">
        <f t="shared" si="424"/>
        <v>.........</v>
      </c>
      <c r="R1620" t="str">
        <f t="shared" si="433"/>
        <v>.........</v>
      </c>
      <c r="S1620" t="str">
        <f t="shared" si="425"/>
        <v>.........</v>
      </c>
      <c r="T1620" t="str">
        <f t="shared" si="426"/>
        <v>.........</v>
      </c>
      <c r="U1620" t="str">
        <f t="shared" si="430"/>
        <v>.............</v>
      </c>
      <c r="V1620" t="str">
        <f t="shared" si="434"/>
        <v>.........</v>
      </c>
      <c r="W1620" t="str">
        <f t="shared" si="427"/>
        <v>.........</v>
      </c>
      <c r="X1620" t="str">
        <f t="shared" si="431"/>
        <v>.......</v>
      </c>
      <c r="Y1620" t="str">
        <f t="shared" si="431"/>
        <v>..............</v>
      </c>
      <c r="Z1620" t="str">
        <f t="shared" si="431"/>
        <v>....</v>
      </c>
      <c r="AA1620" t="str">
        <f t="shared" si="435"/>
        <v>.........</v>
      </c>
      <c r="AB1620" t="str">
        <f t="shared" si="428"/>
        <v>.........</v>
      </c>
      <c r="AC1620" t="str">
        <f t="shared" si="429"/>
        <v>.........</v>
      </c>
      <c r="AD1620" t="str">
        <f t="shared" si="430"/>
        <v>........</v>
      </c>
      <c r="AE1620" t="str">
        <f t="shared" si="436"/>
        <v>.......</v>
      </c>
      <c r="AF1620" t="str">
        <f t="shared" si="432"/>
        <v>.....</v>
      </c>
      <c r="AG1620" t="str">
        <f t="shared" si="432"/>
        <v>..........</v>
      </c>
      <c r="AH1620" t="str">
        <f t="shared" si="437"/>
        <v>..........</v>
      </c>
      <c r="AI1620" t="str">
        <f t="shared" si="422"/>
        <v>.......</v>
      </c>
      <c r="AJ1620" t="str">
        <f t="shared" si="423"/>
        <v>.......</v>
      </c>
    </row>
    <row r="1621" spans="1:36" x14ac:dyDescent="0.25">
      <c r="A1621" t="s">
        <v>1241</v>
      </c>
      <c r="P1621" t="str">
        <f t="shared" si="424"/>
        <v xml:space="preserve">   9774   69  0 </v>
      </c>
      <c r="Q1621" t="str">
        <f t="shared" si="424"/>
        <v xml:space="preserve">   1.008 </v>
      </c>
      <c r="R1621" t="str">
        <f t="shared" si="433"/>
        <v xml:space="preserve">     0.0 </v>
      </c>
      <c r="S1621" t="str">
        <f t="shared" si="425"/>
        <v xml:space="preserve">     0.0 </v>
      </c>
      <c r="T1621" t="str">
        <f t="shared" si="426"/>
        <v xml:space="preserve">     4.0 </v>
      </c>
      <c r="U1621" t="str">
        <f t="shared" si="430"/>
        <v xml:space="preserve">         0.0 </v>
      </c>
      <c r="V1621" t="str">
        <f t="shared" si="434"/>
        <v xml:space="preserve">     0.0 </v>
      </c>
      <c r="W1621" t="str">
        <f t="shared" si="427"/>
        <v xml:space="preserve">     0.0</v>
      </c>
      <c r="X1621" t="str">
        <f t="shared" si="431"/>
        <v/>
      </c>
      <c r="Y1621" t="str">
        <f t="shared" si="431"/>
        <v/>
      </c>
      <c r="Z1621" t="str">
        <f t="shared" si="431"/>
        <v/>
      </c>
      <c r="AA1621" t="str">
        <f t="shared" si="435"/>
        <v/>
      </c>
      <c r="AB1621" t="str">
        <f t="shared" si="428"/>
        <v/>
      </c>
      <c r="AC1621" t="str">
        <f t="shared" si="429"/>
        <v/>
      </c>
      <c r="AD1621" t="str">
        <f t="shared" si="430"/>
        <v/>
      </c>
      <c r="AE1621" t="str">
        <f t="shared" si="436"/>
        <v/>
      </c>
      <c r="AF1621" t="str">
        <f t="shared" si="432"/>
        <v/>
      </c>
      <c r="AG1621" t="str">
        <f t="shared" si="432"/>
        <v/>
      </c>
      <c r="AH1621" t="str">
        <f t="shared" si="437"/>
        <v/>
      </c>
      <c r="AI1621" t="str">
        <f t="shared" si="422"/>
        <v/>
      </c>
      <c r="AJ1621" t="str">
        <f t="shared" si="423"/>
        <v/>
      </c>
    </row>
    <row r="1622" spans="1:36" x14ac:dyDescent="0.25">
      <c r="A1622" t="s">
        <v>1242</v>
      </c>
      <c r="P1622" t="str">
        <f t="shared" si="424"/>
        <v xml:space="preserve">  STHGUA-RS069  </v>
      </c>
      <c r="Q1622" t="str">
        <f t="shared" si="424"/>
        <v xml:space="preserve">   -53.7 </v>
      </c>
      <c r="R1622" t="str">
        <f t="shared" si="433"/>
        <v xml:space="preserve">     0.0 </v>
      </c>
      <c r="S1622" t="str">
        <f t="shared" si="425"/>
        <v xml:space="preserve">     0.0 </v>
      </c>
      <c r="T1622" t="str">
        <f t="shared" si="426"/>
        <v xml:space="preserve">     1.7 </v>
      </c>
      <c r="U1622" t="str">
        <f t="shared" si="430"/>
        <v xml:space="preserve">         0.0 </v>
      </c>
      <c r="V1622" t="str">
        <f t="shared" si="434"/>
        <v xml:space="preserve">     0.0 </v>
      </c>
      <c r="W1622" t="str">
        <f t="shared" si="427"/>
        <v xml:space="preserve">     0.0 </v>
      </c>
      <c r="X1622" t="str">
        <f t="shared" si="431"/>
        <v xml:space="preserve">       </v>
      </c>
      <c r="Y1622" t="str">
        <f t="shared" si="431"/>
        <v xml:space="preserve">              </v>
      </c>
      <c r="Z1622" t="str">
        <f t="shared" si="431"/>
        <v xml:space="preserve">    </v>
      </c>
      <c r="AA1622" t="str">
        <f t="shared" si="435"/>
        <v xml:space="preserve">         </v>
      </c>
      <c r="AB1622" t="str">
        <f t="shared" si="428"/>
        <v xml:space="preserve">         </v>
      </c>
      <c r="AC1622" t="str">
        <f t="shared" si="429"/>
        <v xml:space="preserve">    </v>
      </c>
      <c r="AD1622" t="str">
        <f t="shared" si="430"/>
        <v/>
      </c>
      <c r="AE1622" t="str">
        <f t="shared" si="436"/>
        <v/>
      </c>
      <c r="AF1622" t="str">
        <f t="shared" si="432"/>
        <v/>
      </c>
      <c r="AG1622" t="str">
        <f t="shared" si="432"/>
        <v/>
      </c>
      <c r="AH1622" t="str">
        <f t="shared" si="437"/>
        <v/>
      </c>
      <c r="AI1622" t="str">
        <f t="shared" si="422"/>
        <v/>
      </c>
      <c r="AJ1622" t="str">
        <f t="shared" si="423"/>
        <v/>
      </c>
    </row>
    <row r="1623" spans="1:36" x14ac:dyDescent="0.25">
      <c r="A1623" t="s">
        <v>1243</v>
      </c>
      <c r="P1623" t="str">
        <f t="shared" si="424"/>
        <v xml:space="preserve">                </v>
      </c>
      <c r="Q1623" t="str">
        <f t="shared" si="424"/>
        <v xml:space="preserve">         </v>
      </c>
      <c r="R1623" t="str">
        <f t="shared" si="433"/>
        <v xml:space="preserve">    23.0 </v>
      </c>
      <c r="S1623" t="str">
        <f t="shared" si="425"/>
        <v xml:space="preserve">    33.0 </v>
      </c>
      <c r="T1623" t="str">
        <f t="shared" si="426"/>
        <v xml:space="preserve">    33.0 </v>
      </c>
      <c r="U1623" t="str">
        <f t="shared" si="430"/>
        <v xml:space="preserve">       18.8% </v>
      </c>
      <c r="V1623" t="str">
        <f t="shared" si="434"/>
        <v xml:space="preserve">         </v>
      </c>
      <c r="W1623" t="str">
        <f t="shared" si="427"/>
        <v xml:space="preserve">         </v>
      </c>
      <c r="X1623" t="str">
        <f t="shared" si="431"/>
        <v xml:space="preserve">  9773 </v>
      </c>
      <c r="Y1623" t="str">
        <f t="shared" si="431"/>
        <v xml:space="preserve"> STHGUATAP069 </v>
      </c>
      <c r="Z1623" t="str">
        <f t="shared" si="431"/>
        <v xml:space="preserve">  1 </v>
      </c>
      <c r="AA1623" t="str">
        <f t="shared" si="435"/>
        <v xml:space="preserve">    -4.0 </v>
      </c>
      <c r="AB1623" t="str">
        <f t="shared" si="428"/>
        <v xml:space="preserve">    -1.7 </v>
      </c>
      <c r="AC1623" t="str">
        <f t="shared" si="429"/>
        <v xml:space="preserve">     4.3 </v>
      </c>
      <c r="AD1623" t="str">
        <f t="shared" si="430"/>
        <v xml:space="preserve">        </v>
      </c>
      <c r="AE1623" t="str">
        <f t="shared" si="436"/>
        <v xml:space="preserve">       </v>
      </c>
      <c r="AF1623" t="str">
        <f t="shared" si="432"/>
        <v xml:space="preserve">     </v>
      </c>
      <c r="AG1623" t="str">
        <f t="shared" si="432"/>
        <v xml:space="preserve">     0.01 </v>
      </c>
      <c r="AH1623" t="str">
        <f t="shared" si="437"/>
        <v xml:space="preserve">    -0.06 </v>
      </c>
      <c r="AI1623" t="str">
        <f t="shared" ref="AI1623:AI1686" si="438">MID($A1623,AG$8+AG$9+AH$9-2,AI$9)</f>
        <v xml:space="preserve">       </v>
      </c>
      <c r="AJ1623" t="str">
        <f t="shared" ref="AJ1623:AJ1686" si="439">MID($A1623,AG$8+AG$9+AH$9+AI$9-3,AJ$9)</f>
        <v xml:space="preserve">      </v>
      </c>
    </row>
    <row r="1624" spans="1:36" x14ac:dyDescent="0.25">
      <c r="A1624" t="s">
        <v>14</v>
      </c>
      <c r="P1624" t="str">
        <f t="shared" si="424"/>
        <v xml:space="preserve">  ..............</v>
      </c>
      <c r="Q1624" t="str">
        <f t="shared" si="424"/>
        <v>.........</v>
      </c>
      <c r="R1624" t="str">
        <f t="shared" si="433"/>
        <v>.........</v>
      </c>
      <c r="S1624" t="str">
        <f t="shared" si="425"/>
        <v>.........</v>
      </c>
      <c r="T1624" t="str">
        <f t="shared" si="426"/>
        <v>.........</v>
      </c>
      <c r="U1624" t="str">
        <f t="shared" si="430"/>
        <v>.............</v>
      </c>
      <c r="V1624" t="str">
        <f t="shared" si="434"/>
        <v>.........</v>
      </c>
      <c r="W1624" t="str">
        <f t="shared" si="427"/>
        <v>.........</v>
      </c>
      <c r="X1624" t="str">
        <f t="shared" si="431"/>
        <v>.......</v>
      </c>
      <c r="Y1624" t="str">
        <f t="shared" si="431"/>
        <v>..............</v>
      </c>
      <c r="Z1624" t="str">
        <f t="shared" si="431"/>
        <v>....</v>
      </c>
      <c r="AA1624" t="str">
        <f t="shared" si="435"/>
        <v>.........</v>
      </c>
      <c r="AB1624" t="str">
        <f t="shared" si="428"/>
        <v>.........</v>
      </c>
      <c r="AC1624" t="str">
        <f t="shared" si="429"/>
        <v>.........</v>
      </c>
      <c r="AD1624" t="str">
        <f t="shared" si="430"/>
        <v>........</v>
      </c>
      <c r="AE1624" t="str">
        <f t="shared" si="436"/>
        <v>.......</v>
      </c>
      <c r="AF1624" t="str">
        <f t="shared" si="432"/>
        <v>.....</v>
      </c>
      <c r="AG1624" t="str">
        <f t="shared" si="432"/>
        <v>..........</v>
      </c>
      <c r="AH1624" t="str">
        <f t="shared" si="437"/>
        <v>..........</v>
      </c>
      <c r="AI1624" t="str">
        <f t="shared" si="438"/>
        <v>.......</v>
      </c>
      <c r="AJ1624" t="str">
        <f t="shared" si="439"/>
        <v>.......</v>
      </c>
    </row>
    <row r="1625" spans="1:36" x14ac:dyDescent="0.25">
      <c r="A1625" t="s">
        <v>1244</v>
      </c>
      <c r="P1625" t="str">
        <f t="shared" si="424"/>
        <v xml:space="preserve">   9775   69  0 </v>
      </c>
      <c r="Q1625" t="str">
        <f t="shared" si="424"/>
        <v xml:space="preserve">   1.005 </v>
      </c>
      <c r="R1625" t="str">
        <f t="shared" si="433"/>
        <v xml:space="preserve">     1.9 </v>
      </c>
      <c r="S1625" t="str">
        <f t="shared" si="425"/>
        <v xml:space="preserve">     0.0 </v>
      </c>
      <c r="T1625" t="str">
        <f t="shared" si="426"/>
        <v xml:space="preserve">    21.0 </v>
      </c>
      <c r="U1625" t="str">
        <f t="shared" si="430"/>
        <v xml:space="preserve">         0.0 </v>
      </c>
      <c r="V1625" t="str">
        <f t="shared" si="434"/>
        <v xml:space="preserve">     0.0 </v>
      </c>
      <c r="W1625" t="str">
        <f t="shared" si="427"/>
        <v xml:space="preserve">     0.0</v>
      </c>
      <c r="X1625" t="str">
        <f t="shared" si="431"/>
        <v/>
      </c>
      <c r="Y1625" t="str">
        <f t="shared" si="431"/>
        <v/>
      </c>
      <c r="Z1625" t="str">
        <f t="shared" si="431"/>
        <v/>
      </c>
      <c r="AA1625" t="str">
        <f t="shared" si="435"/>
        <v/>
      </c>
      <c r="AB1625" t="str">
        <f t="shared" si="428"/>
        <v/>
      </c>
      <c r="AC1625" t="str">
        <f t="shared" si="429"/>
        <v/>
      </c>
      <c r="AD1625" t="str">
        <f t="shared" si="430"/>
        <v/>
      </c>
      <c r="AE1625" t="str">
        <f t="shared" si="436"/>
        <v/>
      </c>
      <c r="AF1625" t="str">
        <f t="shared" si="432"/>
        <v/>
      </c>
      <c r="AG1625" t="str">
        <f t="shared" si="432"/>
        <v/>
      </c>
      <c r="AH1625" t="str">
        <f t="shared" si="437"/>
        <v/>
      </c>
      <c r="AI1625" t="str">
        <f t="shared" si="438"/>
        <v/>
      </c>
      <c r="AJ1625" t="str">
        <f t="shared" si="439"/>
        <v/>
      </c>
    </row>
    <row r="1626" spans="1:36" x14ac:dyDescent="0.25">
      <c r="A1626" t="s">
        <v>1245</v>
      </c>
      <c r="P1626" t="str">
        <f t="shared" si="424"/>
        <v xml:space="preserve">  GUA1-A-RS069  </v>
      </c>
      <c r="Q1626" t="str">
        <f t="shared" si="424"/>
        <v xml:space="preserve">   -54.1 </v>
      </c>
      <c r="R1626" t="str">
        <f t="shared" si="433"/>
        <v xml:space="preserve">     0.0 </v>
      </c>
      <c r="S1626" t="str">
        <f t="shared" si="425"/>
        <v xml:space="preserve">     0.0 </v>
      </c>
      <c r="T1626" t="str">
        <f t="shared" si="426"/>
        <v xml:space="preserve">    10.0 </v>
      </c>
      <c r="U1626" t="str">
        <f t="shared" si="430"/>
        <v xml:space="preserve">         0.0 </v>
      </c>
      <c r="V1626" t="str">
        <f t="shared" si="434"/>
        <v xml:space="preserve">     0.0 </v>
      </c>
      <c r="W1626" t="str">
        <f t="shared" si="427"/>
        <v xml:space="preserve">     0.0 </v>
      </c>
      <c r="X1626" t="str">
        <f t="shared" si="431"/>
        <v xml:space="preserve">       </v>
      </c>
      <c r="Y1626" t="str">
        <f t="shared" si="431"/>
        <v xml:space="preserve">              </v>
      </c>
      <c r="Z1626" t="str">
        <f t="shared" si="431"/>
        <v xml:space="preserve">    </v>
      </c>
      <c r="AA1626" t="str">
        <f t="shared" si="435"/>
        <v xml:space="preserve">         </v>
      </c>
      <c r="AB1626" t="str">
        <f t="shared" si="428"/>
        <v xml:space="preserve">         </v>
      </c>
      <c r="AC1626" t="str">
        <f t="shared" si="429"/>
        <v xml:space="preserve">    </v>
      </c>
      <c r="AD1626" t="str">
        <f t="shared" si="430"/>
        <v/>
      </c>
      <c r="AE1626" t="str">
        <f t="shared" si="436"/>
        <v/>
      </c>
      <c r="AF1626" t="str">
        <f t="shared" si="432"/>
        <v/>
      </c>
      <c r="AG1626" t="str">
        <f t="shared" si="432"/>
        <v/>
      </c>
      <c r="AH1626" t="str">
        <f t="shared" si="437"/>
        <v/>
      </c>
      <c r="AI1626" t="str">
        <f t="shared" si="438"/>
        <v/>
      </c>
      <c r="AJ1626" t="str">
        <f t="shared" si="439"/>
        <v/>
      </c>
    </row>
    <row r="1627" spans="1:36" x14ac:dyDescent="0.25">
      <c r="A1627" t="s">
        <v>1246</v>
      </c>
      <c r="P1627" t="str">
        <f t="shared" ref="P1627:Q1690" si="440">MID($A1627,P$8,P$9)</f>
        <v xml:space="preserve">                </v>
      </c>
      <c r="Q1627" t="str">
        <f t="shared" si="440"/>
        <v xml:space="preserve">         </v>
      </c>
      <c r="R1627" t="str">
        <f t="shared" si="433"/>
        <v xml:space="preserve">    54.0 </v>
      </c>
      <c r="S1627" t="str">
        <f t="shared" ref="S1627:S1690" si="441">MID($A1627,Q$8+Q$9+R$9-2,S$9)</f>
        <v xml:space="preserve">    79.0 </v>
      </c>
      <c r="T1627" t="str">
        <f t="shared" ref="T1627:T1690" si="442">MID($A1627,Q$8+Q$9+R$9+S$9-3,T$9)</f>
        <v xml:space="preserve">    79.0 </v>
      </c>
      <c r="U1627" t="str">
        <f t="shared" si="430"/>
        <v xml:space="preserve">       77.4% </v>
      </c>
      <c r="V1627" t="str">
        <f t="shared" si="434"/>
        <v xml:space="preserve">         </v>
      </c>
      <c r="W1627" t="str">
        <f t="shared" ref="W1627:W1690" si="443">MID($A1627,U$8+U$9+V$9-2,W$9)</f>
        <v xml:space="preserve">         </v>
      </c>
      <c r="X1627" t="str">
        <f t="shared" si="431"/>
        <v xml:space="preserve">  1197 </v>
      </c>
      <c r="Y1627" t="str">
        <f t="shared" si="431"/>
        <v xml:space="preserve"> GUAIB2-RS069 </v>
      </c>
      <c r="Z1627" t="str">
        <f t="shared" si="431"/>
        <v xml:space="preserve">  1 </v>
      </c>
      <c r="AA1627" t="str">
        <f t="shared" si="435"/>
        <v xml:space="preserve">   -39.9 </v>
      </c>
      <c r="AB1627" t="str">
        <f t="shared" ref="AB1627:AB1690" si="444">MID($A1627,Z$8+Z$9+AA$9-2,AB$9)</f>
        <v xml:space="preserve">   -13.2 </v>
      </c>
      <c r="AC1627" t="str">
        <f t="shared" ref="AC1627:AC1690" si="445">MID($A1627,Z$8+Z$9+AA$9+AB$9-3,AC$9)</f>
        <v xml:space="preserve">    41.8 </v>
      </c>
      <c r="AD1627" t="str">
        <f t="shared" si="430"/>
        <v xml:space="preserve">        </v>
      </c>
      <c r="AE1627" t="str">
        <f t="shared" si="436"/>
        <v xml:space="preserve">       </v>
      </c>
      <c r="AF1627" t="str">
        <f t="shared" si="432"/>
        <v xml:space="preserve">     </v>
      </c>
      <c r="AG1627" t="str">
        <f t="shared" si="432"/>
        <v xml:space="preserve">     0.24 </v>
      </c>
      <c r="AH1627" t="str">
        <f t="shared" si="437"/>
        <v xml:space="preserve">     0.74 </v>
      </c>
      <c r="AI1627" t="str">
        <f t="shared" si="438"/>
        <v xml:space="preserve">       </v>
      </c>
      <c r="AJ1627" t="str">
        <f t="shared" si="439"/>
        <v xml:space="preserve">      </v>
      </c>
    </row>
    <row r="1628" spans="1:36" x14ac:dyDescent="0.25">
      <c r="A1628" t="s">
        <v>1247</v>
      </c>
      <c r="P1628" t="str">
        <f t="shared" si="440"/>
        <v xml:space="preserve">                </v>
      </c>
      <c r="Q1628" t="str">
        <f t="shared" si="440"/>
        <v xml:space="preserve">         </v>
      </c>
      <c r="R1628" t="str">
        <f t="shared" si="433"/>
        <v xml:space="preserve">  9999.0 </v>
      </c>
      <c r="S1628" t="str">
        <f t="shared" si="441"/>
        <v xml:space="preserve">  9999.0 </v>
      </c>
      <c r="T1628" t="str">
        <f t="shared" si="442"/>
        <v xml:space="preserve">  9999.0 </v>
      </c>
      <c r="U1628" t="str">
        <f t="shared" ref="U1628:AD1691" si="446">MID($A1628,U$8,U$9)</f>
        <v xml:space="preserve">        0.0% </v>
      </c>
      <c r="V1628" t="str">
        <f t="shared" si="434"/>
        <v xml:space="preserve">         </v>
      </c>
      <c r="W1628" t="str">
        <f t="shared" si="443"/>
        <v xml:space="preserve">         </v>
      </c>
      <c r="X1628" t="str">
        <f t="shared" ref="X1628:Z1691" si="447">MID($A1628,X$8,X$9)</f>
        <v xml:space="preserve">  9776 </v>
      </c>
      <c r="Y1628" t="str">
        <f t="shared" si="447"/>
        <v xml:space="preserve"> GUA1-B-RS069 </v>
      </c>
      <c r="Z1628" t="str">
        <f t="shared" si="447"/>
        <v xml:space="preserve">  1 </v>
      </c>
      <c r="AA1628" t="str">
        <f t="shared" si="435"/>
        <v xml:space="preserve">    20.8 </v>
      </c>
      <c r="AB1628" t="str">
        <f t="shared" si="444"/>
        <v xml:space="preserve">     3.2 </v>
      </c>
      <c r="AC1628" t="str">
        <f t="shared" si="445"/>
        <v xml:space="preserve">    20.9 </v>
      </c>
      <c r="AD1628" t="str">
        <f t="shared" si="446"/>
        <v xml:space="preserve">        </v>
      </c>
      <c r="AE1628" t="str">
        <f t="shared" si="436"/>
        <v xml:space="preserve">       </v>
      </c>
      <c r="AF1628" t="str">
        <f t="shared" si="432"/>
        <v xml:space="preserve">     </v>
      </c>
      <c r="AG1628" t="str">
        <f t="shared" si="432"/>
        <v xml:space="preserve">     0.00 </v>
      </c>
      <c r="AH1628" t="str">
        <f t="shared" si="437"/>
        <v xml:space="preserve">     0.00 </v>
      </c>
      <c r="AI1628" t="str">
        <f t="shared" si="438"/>
        <v xml:space="preserve">       </v>
      </c>
      <c r="AJ1628" t="str">
        <f t="shared" si="439"/>
        <v xml:space="preserve">      </v>
      </c>
    </row>
    <row r="1629" spans="1:36" x14ac:dyDescent="0.25">
      <c r="A1629" t="s">
        <v>14</v>
      </c>
      <c r="P1629" t="str">
        <f t="shared" si="440"/>
        <v xml:space="preserve">  ..............</v>
      </c>
      <c r="Q1629" t="str">
        <f t="shared" si="440"/>
        <v>.........</v>
      </c>
      <c r="R1629" t="str">
        <f t="shared" si="433"/>
        <v>.........</v>
      </c>
      <c r="S1629" t="str">
        <f t="shared" si="441"/>
        <v>.........</v>
      </c>
      <c r="T1629" t="str">
        <f t="shared" si="442"/>
        <v>.........</v>
      </c>
      <c r="U1629" t="str">
        <f t="shared" si="446"/>
        <v>.............</v>
      </c>
      <c r="V1629" t="str">
        <f t="shared" si="434"/>
        <v>.........</v>
      </c>
      <c r="W1629" t="str">
        <f t="shared" si="443"/>
        <v>.........</v>
      </c>
      <c r="X1629" t="str">
        <f t="shared" si="447"/>
        <v>.......</v>
      </c>
      <c r="Y1629" t="str">
        <f t="shared" si="447"/>
        <v>..............</v>
      </c>
      <c r="Z1629" t="str">
        <f t="shared" si="447"/>
        <v>....</v>
      </c>
      <c r="AA1629" t="str">
        <f t="shared" si="435"/>
        <v>.........</v>
      </c>
      <c r="AB1629" t="str">
        <f t="shared" si="444"/>
        <v>.........</v>
      </c>
      <c r="AC1629" t="str">
        <f t="shared" si="445"/>
        <v>.........</v>
      </c>
      <c r="AD1629" t="str">
        <f t="shared" si="446"/>
        <v>........</v>
      </c>
      <c r="AE1629" t="str">
        <f t="shared" si="436"/>
        <v>.......</v>
      </c>
      <c r="AF1629" t="str">
        <f t="shared" ref="AF1629:AG1692" si="448">MID($A1629,AF$8,AF$9)</f>
        <v>.....</v>
      </c>
      <c r="AG1629" t="str">
        <f t="shared" si="448"/>
        <v>..........</v>
      </c>
      <c r="AH1629" t="str">
        <f t="shared" si="437"/>
        <v>..........</v>
      </c>
      <c r="AI1629" t="str">
        <f t="shared" si="438"/>
        <v>.......</v>
      </c>
      <c r="AJ1629" t="str">
        <f t="shared" si="439"/>
        <v>.......</v>
      </c>
    </row>
    <row r="1630" spans="1:36" x14ac:dyDescent="0.25">
      <c r="A1630" t="s">
        <v>1248</v>
      </c>
      <c r="P1630" t="str">
        <f t="shared" si="440"/>
        <v xml:space="preserve">   9776   69  0 </v>
      </c>
      <c r="Q1630" t="str">
        <f t="shared" si="440"/>
        <v xml:space="preserve">   1.005 </v>
      </c>
      <c r="R1630" t="str">
        <f t="shared" si="433"/>
        <v xml:space="preserve">     3.4 </v>
      </c>
      <c r="S1630" t="str">
        <f t="shared" si="441"/>
        <v xml:space="preserve">     0.0 </v>
      </c>
      <c r="T1630" t="str">
        <f t="shared" si="442"/>
        <v xml:space="preserve">    24.2 </v>
      </c>
      <c r="U1630" t="str">
        <f t="shared" si="446"/>
        <v xml:space="preserve">         0.0 </v>
      </c>
      <c r="V1630" t="str">
        <f t="shared" si="434"/>
        <v xml:space="preserve">     7.3 </v>
      </c>
      <c r="W1630" t="str">
        <f t="shared" si="443"/>
        <v xml:space="preserve">     0.0</v>
      </c>
      <c r="X1630" t="str">
        <f t="shared" si="447"/>
        <v/>
      </c>
      <c r="Y1630" t="str">
        <f t="shared" si="447"/>
        <v/>
      </c>
      <c r="Z1630" t="str">
        <f t="shared" si="447"/>
        <v/>
      </c>
      <c r="AA1630" t="str">
        <f t="shared" si="435"/>
        <v/>
      </c>
      <c r="AB1630" t="str">
        <f t="shared" si="444"/>
        <v/>
      </c>
      <c r="AC1630" t="str">
        <f t="shared" si="445"/>
        <v/>
      </c>
      <c r="AD1630" t="str">
        <f t="shared" si="446"/>
        <v/>
      </c>
      <c r="AE1630" t="str">
        <f t="shared" si="436"/>
        <v/>
      </c>
      <c r="AF1630" t="str">
        <f t="shared" si="448"/>
        <v/>
      </c>
      <c r="AG1630" t="str">
        <f t="shared" si="448"/>
        <v/>
      </c>
      <c r="AH1630" t="str">
        <f t="shared" si="437"/>
        <v/>
      </c>
      <c r="AI1630" t="str">
        <f t="shared" si="438"/>
        <v/>
      </c>
      <c r="AJ1630" t="str">
        <f t="shared" si="439"/>
        <v/>
      </c>
    </row>
    <row r="1631" spans="1:36" x14ac:dyDescent="0.25">
      <c r="A1631" t="s">
        <v>1249</v>
      </c>
      <c r="P1631" t="str">
        <f t="shared" si="440"/>
        <v xml:space="preserve">  GUA1-B-RS069  </v>
      </c>
      <c r="Q1631" t="str">
        <f t="shared" si="440"/>
        <v xml:space="preserve">   -54.1 </v>
      </c>
      <c r="R1631" t="str">
        <f t="shared" si="433"/>
        <v xml:space="preserve">     0.0 </v>
      </c>
      <c r="S1631" t="str">
        <f t="shared" si="441"/>
        <v xml:space="preserve">     0.0 </v>
      </c>
      <c r="T1631" t="str">
        <f t="shared" si="442"/>
        <v xml:space="preserve">    10.5 </v>
      </c>
      <c r="U1631" t="str">
        <f t="shared" si="446"/>
        <v xml:space="preserve">         0.0 </v>
      </c>
      <c r="V1631" t="str">
        <f t="shared" si="434"/>
        <v xml:space="preserve">     0.0 </v>
      </c>
      <c r="W1631" t="str">
        <f t="shared" si="443"/>
        <v xml:space="preserve">     0.0 </v>
      </c>
      <c r="X1631" t="str">
        <f t="shared" si="447"/>
        <v xml:space="preserve">       </v>
      </c>
      <c r="Y1631" t="str">
        <f t="shared" si="447"/>
        <v xml:space="preserve">              </v>
      </c>
      <c r="Z1631" t="str">
        <f t="shared" si="447"/>
        <v xml:space="preserve">    </v>
      </c>
      <c r="AA1631" t="str">
        <f t="shared" si="435"/>
        <v xml:space="preserve">         </v>
      </c>
      <c r="AB1631" t="str">
        <f t="shared" si="444"/>
        <v xml:space="preserve">         </v>
      </c>
      <c r="AC1631" t="str">
        <f t="shared" si="445"/>
        <v xml:space="preserve">    </v>
      </c>
      <c r="AD1631" t="str">
        <f t="shared" si="446"/>
        <v/>
      </c>
      <c r="AE1631" t="str">
        <f t="shared" si="436"/>
        <v/>
      </c>
      <c r="AF1631" t="str">
        <f t="shared" si="448"/>
        <v/>
      </c>
      <c r="AG1631" t="str">
        <f t="shared" si="448"/>
        <v/>
      </c>
      <c r="AH1631" t="str">
        <f t="shared" si="437"/>
        <v/>
      </c>
      <c r="AI1631" t="str">
        <f t="shared" si="438"/>
        <v/>
      </c>
      <c r="AJ1631" t="str">
        <f t="shared" si="439"/>
        <v/>
      </c>
    </row>
    <row r="1632" spans="1:36" x14ac:dyDescent="0.25">
      <c r="A1632" t="s">
        <v>1250</v>
      </c>
      <c r="P1632" t="str">
        <f t="shared" si="440"/>
        <v xml:space="preserve">                </v>
      </c>
      <c r="Q1632" t="str">
        <f t="shared" si="440"/>
        <v xml:space="preserve">         </v>
      </c>
      <c r="R1632" t="str">
        <f t="shared" si="433"/>
        <v xml:space="preserve">  9999.0 </v>
      </c>
      <c r="S1632" t="str">
        <f t="shared" si="441"/>
        <v xml:space="preserve">  9999.0 </v>
      </c>
      <c r="T1632" t="str">
        <f t="shared" si="442"/>
        <v xml:space="preserve">  9999.0 </v>
      </c>
      <c r="U1632" t="str">
        <f t="shared" si="446"/>
        <v xml:space="preserve">        0.0% </v>
      </c>
      <c r="V1632" t="str">
        <f t="shared" si="434"/>
        <v xml:space="preserve">         </v>
      </c>
      <c r="W1632" t="str">
        <f t="shared" si="443"/>
        <v xml:space="preserve">         </v>
      </c>
      <c r="X1632" t="str">
        <f t="shared" si="447"/>
        <v xml:space="preserve">  9775 </v>
      </c>
      <c r="Y1632" t="str">
        <f t="shared" si="447"/>
        <v xml:space="preserve"> GUA1-A-RS069 </v>
      </c>
      <c r="Z1632" t="str">
        <f t="shared" si="447"/>
        <v xml:space="preserve">  1 </v>
      </c>
      <c r="AA1632" t="str">
        <f t="shared" si="435"/>
        <v xml:space="preserve">   -20.8 </v>
      </c>
      <c r="AB1632" t="str">
        <f t="shared" si="444"/>
        <v xml:space="preserve">    -3.2 </v>
      </c>
      <c r="AC1632" t="str">
        <f t="shared" si="445"/>
        <v xml:space="preserve">    20.9 </v>
      </c>
      <c r="AD1632" t="str">
        <f t="shared" si="446"/>
        <v xml:space="preserve">        </v>
      </c>
      <c r="AE1632" t="str">
        <f t="shared" si="436"/>
        <v xml:space="preserve">       </v>
      </c>
      <c r="AF1632" t="str">
        <f t="shared" si="448"/>
        <v xml:space="preserve">     </v>
      </c>
      <c r="AG1632" t="str">
        <f t="shared" si="448"/>
        <v xml:space="preserve">     0.00 </v>
      </c>
      <c r="AH1632" t="str">
        <f t="shared" si="437"/>
        <v xml:space="preserve">     0.00 </v>
      </c>
      <c r="AI1632" t="str">
        <f t="shared" si="438"/>
        <v xml:space="preserve">       </v>
      </c>
      <c r="AJ1632" t="str">
        <f t="shared" si="439"/>
        <v xml:space="preserve">      </v>
      </c>
    </row>
    <row r="1633" spans="1:36" x14ac:dyDescent="0.25">
      <c r="A1633" t="s">
        <v>14</v>
      </c>
      <c r="P1633" t="str">
        <f t="shared" si="440"/>
        <v xml:space="preserve">  ..............</v>
      </c>
      <c r="Q1633" t="str">
        <f t="shared" si="440"/>
        <v>.........</v>
      </c>
      <c r="R1633" t="str">
        <f t="shared" si="433"/>
        <v>.........</v>
      </c>
      <c r="S1633" t="str">
        <f t="shared" si="441"/>
        <v>.........</v>
      </c>
      <c r="T1633" t="str">
        <f t="shared" si="442"/>
        <v>.........</v>
      </c>
      <c r="U1633" t="str">
        <f t="shared" si="446"/>
        <v>.............</v>
      </c>
      <c r="V1633" t="str">
        <f t="shared" si="434"/>
        <v>.........</v>
      </c>
      <c r="W1633" t="str">
        <f t="shared" si="443"/>
        <v>.........</v>
      </c>
      <c r="X1633" t="str">
        <f t="shared" si="447"/>
        <v>.......</v>
      </c>
      <c r="Y1633" t="str">
        <f t="shared" si="447"/>
        <v>..............</v>
      </c>
      <c r="Z1633" t="str">
        <f t="shared" si="447"/>
        <v>....</v>
      </c>
      <c r="AA1633" t="str">
        <f t="shared" si="435"/>
        <v>.........</v>
      </c>
      <c r="AB1633" t="str">
        <f t="shared" si="444"/>
        <v>.........</v>
      </c>
      <c r="AC1633" t="str">
        <f t="shared" si="445"/>
        <v>.........</v>
      </c>
      <c r="AD1633" t="str">
        <f t="shared" si="446"/>
        <v>........</v>
      </c>
      <c r="AE1633" t="str">
        <f t="shared" si="436"/>
        <v>.......</v>
      </c>
      <c r="AF1633" t="str">
        <f t="shared" si="448"/>
        <v>.....</v>
      </c>
      <c r="AG1633" t="str">
        <f t="shared" si="448"/>
        <v>..........</v>
      </c>
      <c r="AH1633" t="str">
        <f t="shared" si="437"/>
        <v>..........</v>
      </c>
      <c r="AI1633" t="str">
        <f t="shared" si="438"/>
        <v>.......</v>
      </c>
      <c r="AJ1633" t="str">
        <f t="shared" si="439"/>
        <v>.......</v>
      </c>
    </row>
    <row r="1634" spans="1:36" x14ac:dyDescent="0.25">
      <c r="A1634" t="s">
        <v>1251</v>
      </c>
      <c r="P1634" t="str">
        <f t="shared" si="440"/>
        <v xml:space="preserve">   9777   69  0 </v>
      </c>
      <c r="Q1634" t="str">
        <f t="shared" si="440"/>
        <v xml:space="preserve">   1.008 </v>
      </c>
      <c r="R1634" t="str">
        <f t="shared" si="433"/>
        <v xml:space="preserve">     0.0 </v>
      </c>
      <c r="S1634" t="str">
        <f t="shared" si="441"/>
        <v xml:space="preserve">     0.0 </v>
      </c>
      <c r="T1634" t="str">
        <f t="shared" si="442"/>
        <v xml:space="preserve">     0.0 </v>
      </c>
      <c r="U1634" t="str">
        <f t="shared" si="446"/>
        <v xml:space="preserve">         0.0 </v>
      </c>
      <c r="V1634" t="str">
        <f t="shared" si="434"/>
        <v xml:space="preserve">     0.0 </v>
      </c>
      <c r="W1634" t="str">
        <f t="shared" si="443"/>
        <v xml:space="preserve">     0.0</v>
      </c>
      <c r="X1634" t="str">
        <f t="shared" si="447"/>
        <v/>
      </c>
      <c r="Y1634" t="str">
        <f t="shared" si="447"/>
        <v/>
      </c>
      <c r="Z1634" t="str">
        <f t="shared" si="447"/>
        <v/>
      </c>
      <c r="AA1634" t="str">
        <f t="shared" si="435"/>
        <v/>
      </c>
      <c r="AB1634" t="str">
        <f t="shared" si="444"/>
        <v/>
      </c>
      <c r="AC1634" t="str">
        <f t="shared" si="445"/>
        <v/>
      </c>
      <c r="AD1634" t="str">
        <f t="shared" si="446"/>
        <v/>
      </c>
      <c r="AE1634" t="str">
        <f t="shared" si="436"/>
        <v/>
      </c>
      <c r="AF1634" t="str">
        <f t="shared" si="448"/>
        <v/>
      </c>
      <c r="AG1634" t="str">
        <f t="shared" si="448"/>
        <v/>
      </c>
      <c r="AH1634" t="str">
        <f t="shared" si="437"/>
        <v/>
      </c>
      <c r="AI1634" t="str">
        <f t="shared" si="438"/>
        <v/>
      </c>
      <c r="AJ1634" t="str">
        <f t="shared" si="439"/>
        <v/>
      </c>
    </row>
    <row r="1635" spans="1:36" x14ac:dyDescent="0.25">
      <c r="A1635" t="s">
        <v>1252</v>
      </c>
      <c r="P1635" t="str">
        <f t="shared" si="440"/>
        <v xml:space="preserve">  RIOGUATAP069  </v>
      </c>
      <c r="Q1635" t="str">
        <f t="shared" si="440"/>
        <v xml:space="preserve">   -53.7 </v>
      </c>
      <c r="R1635" t="str">
        <f t="shared" si="433"/>
        <v xml:space="preserve">     0.0 </v>
      </c>
      <c r="S1635" t="str">
        <f t="shared" si="441"/>
        <v xml:space="preserve">     0.0 </v>
      </c>
      <c r="T1635" t="str">
        <f t="shared" si="442"/>
        <v xml:space="preserve">     0.0 </v>
      </c>
      <c r="U1635" t="str">
        <f t="shared" si="446"/>
        <v xml:space="preserve">         0.0 </v>
      </c>
      <c r="V1635" t="str">
        <f t="shared" si="434"/>
        <v xml:space="preserve">     0.0 </v>
      </c>
      <c r="W1635" t="str">
        <f t="shared" si="443"/>
        <v xml:space="preserve">     0.0 </v>
      </c>
      <c r="X1635" t="str">
        <f t="shared" si="447"/>
        <v xml:space="preserve">       </v>
      </c>
      <c r="Y1635" t="str">
        <f t="shared" si="447"/>
        <v xml:space="preserve">              </v>
      </c>
      <c r="Z1635" t="str">
        <f t="shared" si="447"/>
        <v xml:space="preserve">    </v>
      </c>
      <c r="AA1635" t="str">
        <f t="shared" si="435"/>
        <v xml:space="preserve">         </v>
      </c>
      <c r="AB1635" t="str">
        <f t="shared" si="444"/>
        <v xml:space="preserve">         </v>
      </c>
      <c r="AC1635" t="str">
        <f t="shared" si="445"/>
        <v xml:space="preserve">    </v>
      </c>
      <c r="AD1635" t="str">
        <f t="shared" si="446"/>
        <v/>
      </c>
      <c r="AE1635" t="str">
        <f t="shared" si="436"/>
        <v/>
      </c>
      <c r="AF1635" t="str">
        <f t="shared" si="448"/>
        <v/>
      </c>
      <c r="AG1635" t="str">
        <f t="shared" si="448"/>
        <v/>
      </c>
      <c r="AH1635" t="str">
        <f t="shared" si="437"/>
        <v/>
      </c>
      <c r="AI1635" t="str">
        <f t="shared" si="438"/>
        <v/>
      </c>
      <c r="AJ1635" t="str">
        <f t="shared" si="439"/>
        <v/>
      </c>
    </row>
    <row r="1636" spans="1:36" x14ac:dyDescent="0.25">
      <c r="A1636" t="s">
        <v>1253</v>
      </c>
      <c r="P1636" t="str">
        <f t="shared" si="440"/>
        <v xml:space="preserve">                </v>
      </c>
      <c r="Q1636" t="str">
        <f t="shared" si="440"/>
        <v xml:space="preserve">         </v>
      </c>
      <c r="R1636" t="str">
        <f t="shared" si="433"/>
        <v xml:space="preserve">    48.0 </v>
      </c>
      <c r="S1636" t="str">
        <f t="shared" si="441"/>
        <v xml:space="preserve">    71.0 </v>
      </c>
      <c r="T1636" t="str">
        <f t="shared" si="442"/>
        <v xml:space="preserve">    71.0 </v>
      </c>
      <c r="U1636" t="str">
        <f t="shared" si="446"/>
        <v xml:space="preserve">       33.7% </v>
      </c>
      <c r="V1636" t="str">
        <f t="shared" si="434"/>
        <v xml:space="preserve">         </v>
      </c>
      <c r="W1636" t="str">
        <f t="shared" si="443"/>
        <v xml:space="preserve">         </v>
      </c>
      <c r="X1636" t="str">
        <f t="shared" si="447"/>
        <v xml:space="preserve">  9773 </v>
      </c>
      <c r="Y1636" t="str">
        <f t="shared" si="447"/>
        <v xml:space="preserve"> STHGUATAP069 </v>
      </c>
      <c r="Z1636" t="str">
        <f t="shared" si="447"/>
        <v xml:space="preserve">  1 </v>
      </c>
      <c r="AA1636" t="str">
        <f t="shared" si="435"/>
        <v xml:space="preserve">   -15.0 </v>
      </c>
      <c r="AB1636" t="str">
        <f t="shared" si="444"/>
        <v xml:space="preserve">    -6.4 </v>
      </c>
      <c r="AC1636" t="str">
        <f t="shared" si="445"/>
        <v xml:space="preserve">    16.2 </v>
      </c>
      <c r="AD1636" t="str">
        <f t="shared" si="446"/>
        <v xml:space="preserve">        </v>
      </c>
      <c r="AE1636" t="str">
        <f t="shared" si="436"/>
        <v xml:space="preserve">       </v>
      </c>
      <c r="AF1636" t="str">
        <f t="shared" si="448"/>
        <v xml:space="preserve">     </v>
      </c>
      <c r="AG1636" t="str">
        <f t="shared" si="448"/>
        <v xml:space="preserve">     0.02 </v>
      </c>
      <c r="AH1636" t="str">
        <f t="shared" si="437"/>
        <v xml:space="preserve">     0.02 </v>
      </c>
      <c r="AI1636" t="str">
        <f t="shared" si="438"/>
        <v xml:space="preserve">       </v>
      </c>
      <c r="AJ1636" t="str">
        <f t="shared" si="439"/>
        <v xml:space="preserve">      </v>
      </c>
    </row>
    <row r="1637" spans="1:36" x14ac:dyDescent="0.25">
      <c r="A1637" t="s">
        <v>1254</v>
      </c>
      <c r="P1637" t="str">
        <f t="shared" si="440"/>
        <v xml:space="preserve">                </v>
      </c>
      <c r="Q1637" t="str">
        <f t="shared" si="440"/>
        <v xml:space="preserve">         </v>
      </c>
      <c r="R1637" t="str">
        <f t="shared" si="433"/>
        <v xml:space="preserve">    30.0 </v>
      </c>
      <c r="S1637" t="str">
        <f t="shared" si="441"/>
        <v xml:space="preserve">    43.0 </v>
      </c>
      <c r="T1637" t="str">
        <f t="shared" si="442"/>
        <v xml:space="preserve">    43.0 </v>
      </c>
      <c r="U1637" t="str">
        <f t="shared" si="446"/>
        <v xml:space="preserve">        0.1% </v>
      </c>
      <c r="V1637" t="str">
        <f t="shared" si="434"/>
        <v xml:space="preserve">         </v>
      </c>
      <c r="W1637" t="str">
        <f t="shared" si="443"/>
        <v xml:space="preserve">         </v>
      </c>
      <c r="X1637" t="str">
        <f t="shared" si="447"/>
        <v xml:space="preserve">  9778 </v>
      </c>
      <c r="Y1637" t="str">
        <f t="shared" si="447"/>
        <v xml:space="preserve"> RIOGUA-RS069 </v>
      </c>
      <c r="Z1637" t="str">
        <f t="shared" si="447"/>
        <v xml:space="preserve">  1 </v>
      </c>
      <c r="AA1637" t="str">
        <f t="shared" si="435"/>
        <v xml:space="preserve">     0.0 </v>
      </c>
      <c r="AB1637" t="str">
        <f t="shared" si="444"/>
        <v xml:space="preserve">    -0.0 </v>
      </c>
      <c r="AC1637" t="str">
        <f t="shared" si="445"/>
        <v xml:space="preserve">     0.0 </v>
      </c>
      <c r="AD1637" t="str">
        <f t="shared" si="446"/>
        <v xml:space="preserve">        </v>
      </c>
      <c r="AE1637" t="str">
        <f t="shared" si="436"/>
        <v xml:space="preserve">       </v>
      </c>
      <c r="AF1637" t="str">
        <f t="shared" si="448"/>
        <v xml:space="preserve">     </v>
      </c>
      <c r="AG1637" t="str">
        <f t="shared" si="448"/>
        <v xml:space="preserve">     0.00 </v>
      </c>
      <c r="AH1637" t="str">
        <f t="shared" si="437"/>
        <v xml:space="preserve">    -0.02 </v>
      </c>
      <c r="AI1637" t="str">
        <f t="shared" si="438"/>
        <v xml:space="preserve">       </v>
      </c>
      <c r="AJ1637" t="str">
        <f t="shared" si="439"/>
        <v xml:space="preserve">      </v>
      </c>
    </row>
    <row r="1638" spans="1:36" x14ac:dyDescent="0.25">
      <c r="A1638" t="s">
        <v>1255</v>
      </c>
      <c r="P1638" t="str">
        <f t="shared" si="440"/>
        <v xml:space="preserve">                </v>
      </c>
      <c r="Q1638" t="str">
        <f t="shared" si="440"/>
        <v xml:space="preserve">         </v>
      </c>
      <c r="R1638" t="str">
        <f t="shared" si="433"/>
        <v xml:space="preserve">    29.0 </v>
      </c>
      <c r="S1638" t="str">
        <f t="shared" si="441"/>
        <v xml:space="preserve">    41.0 </v>
      </c>
      <c r="T1638" t="str">
        <f t="shared" si="442"/>
        <v xml:space="preserve">    41.0 </v>
      </c>
      <c r="U1638" t="str">
        <f t="shared" si="446"/>
        <v xml:space="preserve">       55.8% </v>
      </c>
      <c r="V1638" t="str">
        <f t="shared" si="434"/>
        <v xml:space="preserve">         </v>
      </c>
      <c r="W1638" t="str">
        <f t="shared" si="443"/>
        <v xml:space="preserve">         </v>
      </c>
      <c r="X1638" t="str">
        <f t="shared" si="447"/>
        <v xml:space="preserve">  9779 </v>
      </c>
      <c r="Y1638" t="str">
        <f t="shared" si="447"/>
        <v xml:space="preserve"> APGGUA-RS069 </v>
      </c>
      <c r="Z1638" t="str">
        <f t="shared" si="447"/>
        <v xml:space="preserve">  1 </v>
      </c>
      <c r="AA1638" t="str">
        <f t="shared" si="435"/>
        <v xml:space="preserve">    15.0 </v>
      </c>
      <c r="AB1638" t="str">
        <f t="shared" si="444"/>
        <v xml:space="preserve">     6.4 </v>
      </c>
      <c r="AC1638" t="str">
        <f t="shared" si="445"/>
        <v xml:space="preserve">    16.2 </v>
      </c>
      <c r="AD1638" t="str">
        <f t="shared" si="446"/>
        <v xml:space="preserve">        </v>
      </c>
      <c r="AE1638" t="str">
        <f t="shared" si="436"/>
        <v xml:space="preserve">       </v>
      </c>
      <c r="AF1638" t="str">
        <f t="shared" si="448"/>
        <v xml:space="preserve">     </v>
      </c>
      <c r="AG1638" t="str">
        <f t="shared" si="448"/>
        <v xml:space="preserve">     0.01 </v>
      </c>
      <c r="AH1638" t="str">
        <f t="shared" si="437"/>
        <v xml:space="preserve">     0.00 </v>
      </c>
      <c r="AI1638" t="str">
        <f t="shared" si="438"/>
        <v xml:space="preserve">       </v>
      </c>
      <c r="AJ1638" t="str">
        <f t="shared" si="439"/>
        <v xml:space="preserve">      </v>
      </c>
    </row>
    <row r="1639" spans="1:36" x14ac:dyDescent="0.25">
      <c r="A1639" t="s">
        <v>14</v>
      </c>
      <c r="P1639" t="str">
        <f t="shared" si="440"/>
        <v xml:space="preserve">  ..............</v>
      </c>
      <c r="Q1639" t="str">
        <f t="shared" si="440"/>
        <v>.........</v>
      </c>
      <c r="R1639" t="str">
        <f t="shared" si="433"/>
        <v>.........</v>
      </c>
      <c r="S1639" t="str">
        <f t="shared" si="441"/>
        <v>.........</v>
      </c>
      <c r="T1639" t="str">
        <f t="shared" si="442"/>
        <v>.........</v>
      </c>
      <c r="U1639" t="str">
        <f t="shared" si="446"/>
        <v>.............</v>
      </c>
      <c r="V1639" t="str">
        <f t="shared" si="434"/>
        <v>.........</v>
      </c>
      <c r="W1639" t="str">
        <f t="shared" si="443"/>
        <v>.........</v>
      </c>
      <c r="X1639" t="str">
        <f t="shared" si="447"/>
        <v>.......</v>
      </c>
      <c r="Y1639" t="str">
        <f t="shared" si="447"/>
        <v>..............</v>
      </c>
      <c r="Z1639" t="str">
        <f t="shared" si="447"/>
        <v>....</v>
      </c>
      <c r="AA1639" t="str">
        <f t="shared" si="435"/>
        <v>.........</v>
      </c>
      <c r="AB1639" t="str">
        <f t="shared" si="444"/>
        <v>.........</v>
      </c>
      <c r="AC1639" t="str">
        <f t="shared" si="445"/>
        <v>.........</v>
      </c>
      <c r="AD1639" t="str">
        <f t="shared" si="446"/>
        <v>........</v>
      </c>
      <c r="AE1639" t="str">
        <f t="shared" si="436"/>
        <v>.......</v>
      </c>
      <c r="AF1639" t="str">
        <f t="shared" si="448"/>
        <v>.....</v>
      </c>
      <c r="AG1639" t="str">
        <f t="shared" si="448"/>
        <v>..........</v>
      </c>
      <c r="AH1639" t="str">
        <f t="shared" si="437"/>
        <v>..........</v>
      </c>
      <c r="AI1639" t="str">
        <f t="shared" si="438"/>
        <v>.......</v>
      </c>
      <c r="AJ1639" t="str">
        <f t="shared" si="439"/>
        <v>.......</v>
      </c>
    </row>
    <row r="1640" spans="1:36" x14ac:dyDescent="0.25">
      <c r="A1640" t="s">
        <v>1256</v>
      </c>
      <c r="P1640" t="str">
        <f t="shared" si="440"/>
        <v xml:space="preserve">   9778   69  0 </v>
      </c>
      <c r="Q1640" t="str">
        <f t="shared" si="440"/>
        <v xml:space="preserve">   1.008 </v>
      </c>
      <c r="R1640" t="str">
        <f t="shared" si="433"/>
        <v xml:space="preserve">     0.0 </v>
      </c>
      <c r="S1640" t="str">
        <f t="shared" si="441"/>
        <v xml:space="preserve">     0.0 </v>
      </c>
      <c r="T1640" t="str">
        <f t="shared" si="442"/>
        <v xml:space="preserve">     0.0 </v>
      </c>
      <c r="U1640" t="str">
        <f t="shared" si="446"/>
        <v xml:space="preserve">         0.0 </v>
      </c>
      <c r="V1640" t="str">
        <f t="shared" si="434"/>
        <v xml:space="preserve">     0.0 </v>
      </c>
      <c r="W1640" t="str">
        <f t="shared" si="443"/>
        <v xml:space="preserve">     0.0</v>
      </c>
      <c r="X1640" t="str">
        <f t="shared" si="447"/>
        <v/>
      </c>
      <c r="Y1640" t="str">
        <f t="shared" si="447"/>
        <v/>
      </c>
      <c r="Z1640" t="str">
        <f t="shared" si="447"/>
        <v/>
      </c>
      <c r="AA1640" t="str">
        <f t="shared" si="435"/>
        <v/>
      </c>
      <c r="AB1640" t="str">
        <f t="shared" si="444"/>
        <v/>
      </c>
      <c r="AC1640" t="str">
        <f t="shared" si="445"/>
        <v/>
      </c>
      <c r="AD1640" t="str">
        <f t="shared" si="446"/>
        <v/>
      </c>
      <c r="AE1640" t="str">
        <f t="shared" si="436"/>
        <v/>
      </c>
      <c r="AF1640" t="str">
        <f t="shared" si="448"/>
        <v/>
      </c>
      <c r="AG1640" t="str">
        <f t="shared" si="448"/>
        <v/>
      </c>
      <c r="AH1640" t="str">
        <f t="shared" si="437"/>
        <v/>
      </c>
      <c r="AI1640" t="str">
        <f t="shared" si="438"/>
        <v/>
      </c>
      <c r="AJ1640" t="str">
        <f t="shared" si="439"/>
        <v/>
      </c>
    </row>
    <row r="1641" spans="1:36" x14ac:dyDescent="0.25">
      <c r="A1641" t="s">
        <v>1257</v>
      </c>
      <c r="P1641" t="str">
        <f t="shared" si="440"/>
        <v xml:space="preserve">  RIOGUA-RS069  </v>
      </c>
      <c r="Q1641" t="str">
        <f t="shared" si="440"/>
        <v xml:space="preserve">   -53.7 </v>
      </c>
      <c r="R1641" t="str">
        <f t="shared" si="433"/>
        <v xml:space="preserve">     0.0 </v>
      </c>
      <c r="S1641" t="str">
        <f t="shared" si="441"/>
        <v xml:space="preserve">     0.0 </v>
      </c>
      <c r="T1641" t="str">
        <f t="shared" si="442"/>
        <v xml:space="preserve">     0.0 </v>
      </c>
      <c r="U1641" t="str">
        <f t="shared" si="446"/>
        <v xml:space="preserve">         0.0 </v>
      </c>
      <c r="V1641" t="str">
        <f t="shared" si="434"/>
        <v xml:space="preserve">     0.0 </v>
      </c>
      <c r="W1641" t="str">
        <f t="shared" si="443"/>
        <v xml:space="preserve">     0.0 </v>
      </c>
      <c r="X1641" t="str">
        <f t="shared" si="447"/>
        <v xml:space="preserve">       </v>
      </c>
      <c r="Y1641" t="str">
        <f t="shared" si="447"/>
        <v xml:space="preserve">              </v>
      </c>
      <c r="Z1641" t="str">
        <f t="shared" si="447"/>
        <v xml:space="preserve">    </v>
      </c>
      <c r="AA1641" t="str">
        <f t="shared" si="435"/>
        <v xml:space="preserve">         </v>
      </c>
      <c r="AB1641" t="str">
        <f t="shared" si="444"/>
        <v xml:space="preserve">         </v>
      </c>
      <c r="AC1641" t="str">
        <f t="shared" si="445"/>
        <v xml:space="preserve">    </v>
      </c>
      <c r="AD1641" t="str">
        <f t="shared" si="446"/>
        <v/>
      </c>
      <c r="AE1641" t="str">
        <f t="shared" si="436"/>
        <v/>
      </c>
      <c r="AF1641" t="str">
        <f t="shared" si="448"/>
        <v/>
      </c>
      <c r="AG1641" t="str">
        <f t="shared" si="448"/>
        <v/>
      </c>
      <c r="AH1641" t="str">
        <f t="shared" si="437"/>
        <v/>
      </c>
      <c r="AI1641" t="str">
        <f t="shared" si="438"/>
        <v/>
      </c>
      <c r="AJ1641" t="str">
        <f t="shared" si="439"/>
        <v/>
      </c>
    </row>
    <row r="1642" spans="1:36" x14ac:dyDescent="0.25">
      <c r="A1642" t="s">
        <v>1258</v>
      </c>
      <c r="P1642" t="str">
        <f t="shared" si="440"/>
        <v xml:space="preserve">                </v>
      </c>
      <c r="Q1642" t="str">
        <f t="shared" si="440"/>
        <v xml:space="preserve">         </v>
      </c>
      <c r="R1642" t="str">
        <f t="shared" si="433"/>
        <v xml:space="preserve">    30.0 </v>
      </c>
      <c r="S1642" t="str">
        <f t="shared" si="441"/>
        <v xml:space="preserve">    43.0 </v>
      </c>
      <c r="T1642" t="str">
        <f t="shared" si="442"/>
        <v xml:space="preserve">    43.0 </v>
      </c>
      <c r="U1642" t="str">
        <f t="shared" si="446"/>
        <v xml:space="preserve">        0.0% </v>
      </c>
      <c r="V1642" t="str">
        <f t="shared" si="434"/>
        <v xml:space="preserve">         </v>
      </c>
      <c r="W1642" t="str">
        <f t="shared" si="443"/>
        <v xml:space="preserve">         </v>
      </c>
      <c r="X1642" t="str">
        <f t="shared" si="447"/>
        <v xml:space="preserve">  9777 </v>
      </c>
      <c r="Y1642" t="str">
        <f t="shared" si="447"/>
        <v xml:space="preserve"> RIOGUATAP069 </v>
      </c>
      <c r="Z1642" t="str">
        <f t="shared" si="447"/>
        <v xml:space="preserve">  1 </v>
      </c>
      <c r="AA1642" t="str">
        <f t="shared" si="435"/>
        <v xml:space="preserve">    -0.0 </v>
      </c>
      <c r="AB1642" t="str">
        <f t="shared" si="444"/>
        <v xml:space="preserve">    -0.0 </v>
      </c>
      <c r="AC1642" t="str">
        <f t="shared" si="445"/>
        <v xml:space="preserve">     0.0 </v>
      </c>
      <c r="AD1642" t="str">
        <f t="shared" si="446"/>
        <v xml:space="preserve">        </v>
      </c>
      <c r="AE1642" t="str">
        <f t="shared" si="436"/>
        <v xml:space="preserve">       </v>
      </c>
      <c r="AF1642" t="str">
        <f t="shared" si="448"/>
        <v xml:space="preserve">     </v>
      </c>
      <c r="AG1642" t="str">
        <f t="shared" si="448"/>
        <v xml:space="preserve">     0.00 </v>
      </c>
      <c r="AH1642" t="str">
        <f t="shared" si="437"/>
        <v xml:space="preserve">    -0.02 </v>
      </c>
      <c r="AI1642" t="str">
        <f t="shared" si="438"/>
        <v xml:space="preserve">       </v>
      </c>
      <c r="AJ1642" t="str">
        <f t="shared" si="439"/>
        <v xml:space="preserve">      </v>
      </c>
    </row>
    <row r="1643" spans="1:36" x14ac:dyDescent="0.25">
      <c r="A1643" t="s">
        <v>14</v>
      </c>
      <c r="P1643" t="str">
        <f t="shared" si="440"/>
        <v xml:space="preserve">  ..............</v>
      </c>
      <c r="Q1643" t="str">
        <f t="shared" si="440"/>
        <v>.........</v>
      </c>
      <c r="R1643" t="str">
        <f t="shared" si="433"/>
        <v>.........</v>
      </c>
      <c r="S1643" t="str">
        <f t="shared" si="441"/>
        <v>.........</v>
      </c>
      <c r="T1643" t="str">
        <f t="shared" si="442"/>
        <v>.........</v>
      </c>
      <c r="U1643" t="str">
        <f t="shared" si="446"/>
        <v>.............</v>
      </c>
      <c r="V1643" t="str">
        <f t="shared" si="434"/>
        <v>.........</v>
      </c>
      <c r="W1643" t="str">
        <f t="shared" si="443"/>
        <v>.........</v>
      </c>
      <c r="X1643" t="str">
        <f t="shared" si="447"/>
        <v>.......</v>
      </c>
      <c r="Y1643" t="str">
        <f t="shared" si="447"/>
        <v>..............</v>
      </c>
      <c r="Z1643" t="str">
        <f t="shared" si="447"/>
        <v>....</v>
      </c>
      <c r="AA1643" t="str">
        <f t="shared" si="435"/>
        <v>.........</v>
      </c>
      <c r="AB1643" t="str">
        <f t="shared" si="444"/>
        <v>.........</v>
      </c>
      <c r="AC1643" t="str">
        <f t="shared" si="445"/>
        <v>.........</v>
      </c>
      <c r="AD1643" t="str">
        <f t="shared" si="446"/>
        <v>........</v>
      </c>
      <c r="AE1643" t="str">
        <f t="shared" si="436"/>
        <v>.......</v>
      </c>
      <c r="AF1643" t="str">
        <f t="shared" si="448"/>
        <v>.....</v>
      </c>
      <c r="AG1643" t="str">
        <f t="shared" si="448"/>
        <v>..........</v>
      </c>
      <c r="AH1643" t="str">
        <f t="shared" si="437"/>
        <v>..........</v>
      </c>
      <c r="AI1643" t="str">
        <f t="shared" si="438"/>
        <v>.......</v>
      </c>
      <c r="AJ1643" t="str">
        <f t="shared" si="439"/>
        <v>.......</v>
      </c>
    </row>
    <row r="1644" spans="1:36" x14ac:dyDescent="0.25">
      <c r="A1644" t="s">
        <v>1259</v>
      </c>
      <c r="P1644" t="str">
        <f t="shared" si="440"/>
        <v xml:space="preserve">   9779   69  0 </v>
      </c>
      <c r="Q1644" t="str">
        <f t="shared" si="440"/>
        <v xml:space="preserve">   1.007 </v>
      </c>
      <c r="R1644" t="str">
        <f t="shared" si="433"/>
        <v xml:space="preserve">     0.0 </v>
      </c>
      <c r="S1644" t="str">
        <f t="shared" si="441"/>
        <v xml:space="preserve">     0.0 </v>
      </c>
      <c r="T1644" t="str">
        <f t="shared" si="442"/>
        <v xml:space="preserve">    15.0 </v>
      </c>
      <c r="U1644" t="str">
        <f t="shared" si="446"/>
        <v xml:space="preserve">         0.0 </v>
      </c>
      <c r="V1644" t="str">
        <f t="shared" si="434"/>
        <v xml:space="preserve">     0.0 </v>
      </c>
      <c r="W1644" t="str">
        <f t="shared" si="443"/>
        <v xml:space="preserve">     0.0</v>
      </c>
      <c r="X1644" t="str">
        <f t="shared" si="447"/>
        <v/>
      </c>
      <c r="Y1644" t="str">
        <f t="shared" si="447"/>
        <v/>
      </c>
      <c r="Z1644" t="str">
        <f t="shared" si="447"/>
        <v/>
      </c>
      <c r="AA1644" t="str">
        <f t="shared" si="435"/>
        <v/>
      </c>
      <c r="AB1644" t="str">
        <f t="shared" si="444"/>
        <v/>
      </c>
      <c r="AC1644" t="str">
        <f t="shared" si="445"/>
        <v/>
      </c>
      <c r="AD1644" t="str">
        <f t="shared" si="446"/>
        <v/>
      </c>
      <c r="AE1644" t="str">
        <f t="shared" si="436"/>
        <v/>
      </c>
      <c r="AF1644" t="str">
        <f t="shared" si="448"/>
        <v/>
      </c>
      <c r="AG1644" t="str">
        <f t="shared" si="448"/>
        <v/>
      </c>
      <c r="AH1644" t="str">
        <f t="shared" si="437"/>
        <v/>
      </c>
      <c r="AI1644" t="str">
        <f t="shared" si="438"/>
        <v/>
      </c>
      <c r="AJ1644" t="str">
        <f t="shared" si="439"/>
        <v/>
      </c>
    </row>
    <row r="1645" spans="1:36" x14ac:dyDescent="0.25">
      <c r="A1645" t="s">
        <v>1260</v>
      </c>
      <c r="P1645" t="str">
        <f t="shared" si="440"/>
        <v xml:space="preserve">  APGGUA-RS069  </v>
      </c>
      <c r="Q1645" t="str">
        <f t="shared" si="440"/>
        <v xml:space="preserve">   -53.8 </v>
      </c>
      <c r="R1645" t="str">
        <f t="shared" si="433"/>
        <v xml:space="preserve">     0.0 </v>
      </c>
      <c r="S1645" t="str">
        <f t="shared" si="441"/>
        <v xml:space="preserve">     0.0 </v>
      </c>
      <c r="T1645" t="str">
        <f t="shared" si="442"/>
        <v xml:space="preserve">     6.4 </v>
      </c>
      <c r="U1645" t="str">
        <f t="shared" si="446"/>
        <v xml:space="preserve">         0.0 </v>
      </c>
      <c r="V1645" t="str">
        <f t="shared" si="434"/>
        <v xml:space="preserve">     0.0 </v>
      </c>
      <c r="W1645" t="str">
        <f t="shared" si="443"/>
        <v xml:space="preserve">     0.0 </v>
      </c>
      <c r="X1645" t="str">
        <f t="shared" si="447"/>
        <v xml:space="preserve">       </v>
      </c>
      <c r="Y1645" t="str">
        <f t="shared" si="447"/>
        <v xml:space="preserve">              </v>
      </c>
      <c r="Z1645" t="str">
        <f t="shared" si="447"/>
        <v xml:space="preserve">    </v>
      </c>
      <c r="AA1645" t="str">
        <f t="shared" si="435"/>
        <v xml:space="preserve">         </v>
      </c>
      <c r="AB1645" t="str">
        <f t="shared" si="444"/>
        <v xml:space="preserve">         </v>
      </c>
      <c r="AC1645" t="str">
        <f t="shared" si="445"/>
        <v xml:space="preserve">    </v>
      </c>
      <c r="AD1645" t="str">
        <f t="shared" si="446"/>
        <v/>
      </c>
      <c r="AE1645" t="str">
        <f t="shared" si="436"/>
        <v/>
      </c>
      <c r="AF1645" t="str">
        <f t="shared" si="448"/>
        <v/>
      </c>
      <c r="AG1645" t="str">
        <f t="shared" si="448"/>
        <v/>
      </c>
      <c r="AH1645" t="str">
        <f t="shared" si="437"/>
        <v/>
      </c>
      <c r="AI1645" t="str">
        <f t="shared" si="438"/>
        <v/>
      </c>
      <c r="AJ1645" t="str">
        <f t="shared" si="439"/>
        <v/>
      </c>
    </row>
    <row r="1646" spans="1:36" x14ac:dyDescent="0.25">
      <c r="A1646" t="s">
        <v>1261</v>
      </c>
      <c r="P1646" t="str">
        <f t="shared" si="440"/>
        <v xml:space="preserve">                </v>
      </c>
      <c r="Q1646" t="str">
        <f t="shared" si="440"/>
        <v xml:space="preserve">         </v>
      </c>
      <c r="R1646" t="str">
        <f t="shared" si="433"/>
        <v xml:space="preserve">    29.0 </v>
      </c>
      <c r="S1646" t="str">
        <f t="shared" si="441"/>
        <v xml:space="preserve">    41.0 </v>
      </c>
      <c r="T1646" t="str">
        <f t="shared" si="442"/>
        <v xml:space="preserve">    41.0 </v>
      </c>
      <c r="U1646" t="str">
        <f t="shared" si="446"/>
        <v xml:space="preserve">       55.8% </v>
      </c>
      <c r="V1646" t="str">
        <f t="shared" si="434"/>
        <v xml:space="preserve">         </v>
      </c>
      <c r="W1646" t="str">
        <f t="shared" si="443"/>
        <v xml:space="preserve">         </v>
      </c>
      <c r="X1646" t="str">
        <f t="shared" si="447"/>
        <v xml:space="preserve">  9777 </v>
      </c>
      <c r="Y1646" t="str">
        <f t="shared" si="447"/>
        <v xml:space="preserve"> RIOGUATAP069 </v>
      </c>
      <c r="Z1646" t="str">
        <f t="shared" si="447"/>
        <v xml:space="preserve">  1 </v>
      </c>
      <c r="AA1646" t="str">
        <f t="shared" si="435"/>
        <v xml:space="preserve">   -15.0 </v>
      </c>
      <c r="AB1646" t="str">
        <f t="shared" si="444"/>
        <v xml:space="preserve">    -6.4 </v>
      </c>
      <c r="AC1646" t="str">
        <f t="shared" si="445"/>
        <v xml:space="preserve">    16.2 </v>
      </c>
      <c r="AD1646" t="str">
        <f t="shared" si="446"/>
        <v xml:space="preserve">        </v>
      </c>
      <c r="AE1646" t="str">
        <f t="shared" si="436"/>
        <v xml:space="preserve">       </v>
      </c>
      <c r="AF1646" t="str">
        <f t="shared" si="448"/>
        <v xml:space="preserve">     </v>
      </c>
      <c r="AG1646" t="str">
        <f t="shared" si="448"/>
        <v xml:space="preserve">     0.01 </v>
      </c>
      <c r="AH1646" t="str">
        <f t="shared" si="437"/>
        <v xml:space="preserve">     0.00 </v>
      </c>
      <c r="AI1646" t="str">
        <f t="shared" si="438"/>
        <v xml:space="preserve">       </v>
      </c>
      <c r="AJ1646" t="str">
        <f t="shared" si="439"/>
        <v xml:space="preserve">      </v>
      </c>
    </row>
    <row r="1647" spans="1:36" x14ac:dyDescent="0.25">
      <c r="A1647" t="s">
        <v>14</v>
      </c>
      <c r="P1647" t="str">
        <f t="shared" si="440"/>
        <v xml:space="preserve">  ..............</v>
      </c>
      <c r="Q1647" t="str">
        <f t="shared" si="440"/>
        <v>.........</v>
      </c>
      <c r="R1647" t="str">
        <f t="shared" si="433"/>
        <v>.........</v>
      </c>
      <c r="S1647" t="str">
        <f t="shared" si="441"/>
        <v>.........</v>
      </c>
      <c r="T1647" t="str">
        <f t="shared" si="442"/>
        <v>.........</v>
      </c>
      <c r="U1647" t="str">
        <f t="shared" si="446"/>
        <v>.............</v>
      </c>
      <c r="V1647" t="str">
        <f t="shared" si="434"/>
        <v>.........</v>
      </c>
      <c r="W1647" t="str">
        <f t="shared" si="443"/>
        <v>.........</v>
      </c>
      <c r="X1647" t="str">
        <f t="shared" si="447"/>
        <v>.......</v>
      </c>
      <c r="Y1647" t="str">
        <f t="shared" si="447"/>
        <v>..............</v>
      </c>
      <c r="Z1647" t="str">
        <f t="shared" si="447"/>
        <v>....</v>
      </c>
      <c r="AA1647" t="str">
        <f t="shared" si="435"/>
        <v>.........</v>
      </c>
      <c r="AB1647" t="str">
        <f t="shared" si="444"/>
        <v>.........</v>
      </c>
      <c r="AC1647" t="str">
        <f t="shared" si="445"/>
        <v>.........</v>
      </c>
      <c r="AD1647" t="str">
        <f t="shared" si="446"/>
        <v>........</v>
      </c>
      <c r="AE1647" t="str">
        <f t="shared" si="436"/>
        <v>.......</v>
      </c>
      <c r="AF1647" t="str">
        <f t="shared" si="448"/>
        <v>.....</v>
      </c>
      <c r="AG1647" t="str">
        <f t="shared" si="448"/>
        <v>..........</v>
      </c>
      <c r="AH1647" t="str">
        <f t="shared" si="437"/>
        <v>..........</v>
      </c>
      <c r="AI1647" t="str">
        <f t="shared" si="438"/>
        <v>.......</v>
      </c>
      <c r="AJ1647" t="str">
        <f t="shared" si="439"/>
        <v>.......</v>
      </c>
    </row>
    <row r="1648" spans="1:36" x14ac:dyDescent="0.25">
      <c r="A1648" t="s">
        <v>1262</v>
      </c>
      <c r="P1648" t="str">
        <f t="shared" si="440"/>
        <v xml:space="preserve">   9781   69  0 </v>
      </c>
      <c r="Q1648" t="str">
        <f t="shared" si="440"/>
        <v xml:space="preserve">   1.046 </v>
      </c>
      <c r="R1648" t="str">
        <f t="shared" si="433"/>
        <v xml:space="preserve">     2.6 </v>
      </c>
      <c r="S1648" t="str">
        <f t="shared" si="441"/>
        <v xml:space="preserve">     0.0 </v>
      </c>
      <c r="T1648" t="str">
        <f t="shared" si="442"/>
        <v xml:space="preserve">    16.1 </v>
      </c>
      <c r="U1648" t="str">
        <f t="shared" si="446"/>
        <v xml:space="preserve">         0.0 </v>
      </c>
      <c r="V1648" t="str">
        <f t="shared" si="434"/>
        <v xml:space="preserve">     3.9 </v>
      </c>
      <c r="W1648" t="str">
        <f t="shared" si="443"/>
        <v xml:space="preserve">     0.0</v>
      </c>
      <c r="X1648" t="str">
        <f t="shared" si="447"/>
        <v/>
      </c>
      <c r="Y1648" t="str">
        <f t="shared" si="447"/>
        <v/>
      </c>
      <c r="Z1648" t="str">
        <f t="shared" si="447"/>
        <v/>
      </c>
      <c r="AA1648" t="str">
        <f t="shared" si="435"/>
        <v/>
      </c>
      <c r="AB1648" t="str">
        <f t="shared" si="444"/>
        <v/>
      </c>
      <c r="AC1648" t="str">
        <f t="shared" si="445"/>
        <v/>
      </c>
      <c r="AD1648" t="str">
        <f t="shared" si="446"/>
        <v/>
      </c>
      <c r="AE1648" t="str">
        <f t="shared" si="436"/>
        <v/>
      </c>
      <c r="AF1648" t="str">
        <f t="shared" si="448"/>
        <v/>
      </c>
      <c r="AG1648" t="str">
        <f t="shared" si="448"/>
        <v/>
      </c>
      <c r="AH1648" t="str">
        <f t="shared" si="437"/>
        <v/>
      </c>
      <c r="AI1648" t="str">
        <f t="shared" si="438"/>
        <v/>
      </c>
      <c r="AJ1648" t="str">
        <f t="shared" si="439"/>
        <v/>
      </c>
    </row>
    <row r="1649" spans="1:36" x14ac:dyDescent="0.25">
      <c r="A1649" t="s">
        <v>1263</v>
      </c>
      <c r="P1649" t="str">
        <f t="shared" si="440"/>
        <v xml:space="preserve">  LAJEA1-RS069  </v>
      </c>
      <c r="Q1649" t="str">
        <f t="shared" si="440"/>
        <v xml:space="preserve">   -55.4 </v>
      </c>
      <c r="R1649" t="str">
        <f t="shared" si="433"/>
        <v xml:space="preserve">     0.0 </v>
      </c>
      <c r="S1649" t="str">
        <f t="shared" si="441"/>
        <v xml:space="preserve">     0.0 </v>
      </c>
      <c r="T1649" t="str">
        <f t="shared" si="442"/>
        <v xml:space="preserve">     5.8 </v>
      </c>
      <c r="U1649" t="str">
        <f t="shared" si="446"/>
        <v xml:space="preserve">         0.0 </v>
      </c>
      <c r="V1649" t="str">
        <f t="shared" si="434"/>
        <v xml:space="preserve">     0.0 </v>
      </c>
      <c r="W1649" t="str">
        <f t="shared" si="443"/>
        <v xml:space="preserve">     0.0 </v>
      </c>
      <c r="X1649" t="str">
        <f t="shared" si="447"/>
        <v xml:space="preserve">       </v>
      </c>
      <c r="Y1649" t="str">
        <f t="shared" si="447"/>
        <v xml:space="preserve">              </v>
      </c>
      <c r="Z1649" t="str">
        <f t="shared" si="447"/>
        <v xml:space="preserve">    </v>
      </c>
      <c r="AA1649" t="str">
        <f t="shared" si="435"/>
        <v xml:space="preserve">         </v>
      </c>
      <c r="AB1649" t="str">
        <f t="shared" si="444"/>
        <v xml:space="preserve">         </v>
      </c>
      <c r="AC1649" t="str">
        <f t="shared" si="445"/>
        <v xml:space="preserve">    </v>
      </c>
      <c r="AD1649" t="str">
        <f t="shared" si="446"/>
        <v/>
      </c>
      <c r="AE1649" t="str">
        <f t="shared" si="436"/>
        <v/>
      </c>
      <c r="AF1649" t="str">
        <f t="shared" si="448"/>
        <v/>
      </c>
      <c r="AG1649" t="str">
        <f t="shared" si="448"/>
        <v/>
      </c>
      <c r="AH1649" t="str">
        <f t="shared" si="437"/>
        <v/>
      </c>
      <c r="AI1649" t="str">
        <f t="shared" si="438"/>
        <v/>
      </c>
      <c r="AJ1649" t="str">
        <f t="shared" si="439"/>
        <v/>
      </c>
    </row>
    <row r="1650" spans="1:36" x14ac:dyDescent="0.25">
      <c r="A1650" t="s">
        <v>1264</v>
      </c>
      <c r="P1650" t="str">
        <f t="shared" si="440"/>
        <v xml:space="preserve">                </v>
      </c>
      <c r="Q1650" t="str">
        <f t="shared" si="440"/>
        <v xml:space="preserve">         </v>
      </c>
      <c r="R1650" t="str">
        <f t="shared" si="433"/>
        <v xml:space="preserve">    84.0 </v>
      </c>
      <c r="S1650" t="str">
        <f t="shared" si="441"/>
        <v xml:space="preserve">   101.0 </v>
      </c>
      <c r="T1650" t="str">
        <f t="shared" si="442"/>
        <v xml:space="preserve">   101.0 </v>
      </c>
      <c r="U1650" t="str">
        <f t="shared" si="446"/>
        <v xml:space="preserve">        7.8% </v>
      </c>
      <c r="V1650" t="str">
        <f t="shared" si="434"/>
        <v xml:space="preserve">         </v>
      </c>
      <c r="W1650" t="str">
        <f t="shared" si="443"/>
        <v xml:space="preserve">         </v>
      </c>
      <c r="X1650" t="str">
        <f t="shared" si="447"/>
        <v xml:space="preserve">  2081 </v>
      </c>
      <c r="Y1650" t="str">
        <f t="shared" si="447"/>
        <v xml:space="preserve"> LAJEA2-RS069 </v>
      </c>
      <c r="Z1650" t="str">
        <f t="shared" si="447"/>
        <v xml:space="preserve">  1 </v>
      </c>
      <c r="AA1650" t="str">
        <f t="shared" si="435"/>
        <v xml:space="preserve">    -6.8 </v>
      </c>
      <c r="AB1650" t="str">
        <f t="shared" si="444"/>
        <v xml:space="preserve">    -0.9 </v>
      </c>
      <c r="AC1650" t="str">
        <f t="shared" si="445"/>
        <v xml:space="preserve">     6.5 </v>
      </c>
      <c r="AD1650" t="str">
        <f t="shared" si="446"/>
        <v xml:space="preserve">        </v>
      </c>
      <c r="AE1650" t="str">
        <f t="shared" si="436"/>
        <v xml:space="preserve">       </v>
      </c>
      <c r="AF1650" t="str">
        <f t="shared" si="448"/>
        <v xml:space="preserve">     </v>
      </c>
      <c r="AG1650" t="str">
        <f t="shared" si="448"/>
        <v xml:space="preserve">     0.00 </v>
      </c>
      <c r="AH1650" t="str">
        <f t="shared" si="437"/>
        <v xml:space="preserve">    -0.06 </v>
      </c>
      <c r="AI1650" t="str">
        <f t="shared" si="438"/>
        <v xml:space="preserve">       </v>
      </c>
      <c r="AJ1650" t="str">
        <f t="shared" si="439"/>
        <v xml:space="preserve">      </v>
      </c>
    </row>
    <row r="1651" spans="1:36" x14ac:dyDescent="0.25">
      <c r="A1651" t="s">
        <v>1265</v>
      </c>
      <c r="P1651" t="str">
        <f t="shared" si="440"/>
        <v xml:space="preserve">                </v>
      </c>
      <c r="Q1651" t="str">
        <f t="shared" si="440"/>
        <v xml:space="preserve">         </v>
      </c>
      <c r="R1651" t="str">
        <f t="shared" si="433"/>
        <v xml:space="preserve">    84.0 </v>
      </c>
      <c r="S1651" t="str">
        <f t="shared" si="441"/>
        <v xml:space="preserve">   101.0 </v>
      </c>
      <c r="T1651" t="str">
        <f t="shared" si="442"/>
        <v xml:space="preserve">   101.0 </v>
      </c>
      <c r="U1651" t="str">
        <f t="shared" si="446"/>
        <v xml:space="preserve">        7.8% </v>
      </c>
      <c r="V1651" t="str">
        <f t="shared" si="434"/>
        <v xml:space="preserve">         </v>
      </c>
      <c r="W1651" t="str">
        <f t="shared" si="443"/>
        <v xml:space="preserve">         </v>
      </c>
      <c r="X1651" t="str">
        <f t="shared" si="447"/>
        <v xml:space="preserve">  2081 </v>
      </c>
      <c r="Y1651" t="str">
        <f t="shared" si="447"/>
        <v xml:space="preserve"> LAJEA2-RS069 </v>
      </c>
      <c r="Z1651" t="str">
        <f t="shared" si="447"/>
        <v xml:space="preserve">  2 </v>
      </c>
      <c r="AA1651" t="str">
        <f t="shared" si="435"/>
        <v xml:space="preserve">    -6.8 </v>
      </c>
      <c r="AB1651" t="str">
        <f t="shared" si="444"/>
        <v xml:space="preserve">    -0.9 </v>
      </c>
      <c r="AC1651" t="str">
        <f t="shared" si="445"/>
        <v xml:space="preserve">     6.5 </v>
      </c>
      <c r="AD1651" t="str">
        <f t="shared" si="446"/>
        <v xml:space="preserve">        </v>
      </c>
      <c r="AE1651" t="str">
        <f t="shared" si="436"/>
        <v xml:space="preserve">       </v>
      </c>
      <c r="AF1651" t="str">
        <f t="shared" si="448"/>
        <v xml:space="preserve">     </v>
      </c>
      <c r="AG1651" t="str">
        <f t="shared" si="448"/>
        <v xml:space="preserve">     0.00 </v>
      </c>
      <c r="AH1651" t="str">
        <f t="shared" si="437"/>
        <v xml:space="preserve">    -0.06 </v>
      </c>
      <c r="AI1651" t="str">
        <f t="shared" si="438"/>
        <v xml:space="preserve">       </v>
      </c>
      <c r="AJ1651" t="str">
        <f t="shared" si="439"/>
        <v xml:space="preserve">      </v>
      </c>
    </row>
    <row r="1652" spans="1:36" x14ac:dyDescent="0.25">
      <c r="A1652" t="s">
        <v>1266</v>
      </c>
      <c r="P1652" t="str">
        <f t="shared" si="440"/>
        <v xml:space="preserve">              DE</v>
      </c>
      <c r="Q1652" t="str">
        <f t="shared" si="440"/>
        <v xml:space="preserve">ESLIGADO </v>
      </c>
      <c r="R1652" t="str">
        <f t="shared" si="433"/>
        <v xml:space="preserve">    46.0 </v>
      </c>
      <c r="S1652" t="str">
        <f t="shared" si="441"/>
        <v xml:space="preserve">    55.0 </v>
      </c>
      <c r="T1652" t="str">
        <f t="shared" si="442"/>
        <v xml:space="preserve">    55.0 </v>
      </c>
      <c r="U1652" t="str">
        <f t="shared" si="446"/>
        <v xml:space="preserve">             </v>
      </c>
      <c r="V1652" t="str">
        <f t="shared" si="434"/>
        <v xml:space="preserve">         </v>
      </c>
      <c r="W1652" t="str">
        <f t="shared" si="443"/>
        <v xml:space="preserve">         </v>
      </c>
      <c r="X1652" t="str">
        <f t="shared" si="447"/>
        <v xml:space="preserve">  9797 </v>
      </c>
      <c r="Y1652" t="str">
        <f t="shared" si="447"/>
        <v xml:space="preserve"> ARMEIO-RS069 </v>
      </c>
      <c r="Z1652" t="str">
        <f t="shared" si="447"/>
        <v xml:space="preserve">  1 </v>
      </c>
      <c r="AA1652" t="str">
        <f t="shared" si="435"/>
        <v xml:space="preserve">     0.0 </v>
      </c>
      <c r="AB1652" t="str">
        <f t="shared" si="444"/>
        <v xml:space="preserve">     0.0 </v>
      </c>
      <c r="AC1652" t="str">
        <f t="shared" si="445"/>
        <v xml:space="preserve">     0.0 </v>
      </c>
      <c r="AD1652" t="str">
        <f t="shared" si="446"/>
        <v xml:space="preserve">        </v>
      </c>
      <c r="AE1652" t="str">
        <f t="shared" si="436"/>
        <v xml:space="preserve">       </v>
      </c>
      <c r="AF1652" t="str">
        <f t="shared" si="448"/>
        <v xml:space="preserve">     </v>
      </c>
      <c r="AG1652" t="str">
        <f t="shared" si="448"/>
        <v xml:space="preserve">     0.00 </v>
      </c>
      <c r="AH1652" t="str">
        <f t="shared" si="437"/>
        <v xml:space="preserve">     0.00 </v>
      </c>
      <c r="AI1652" t="str">
        <f t="shared" si="438"/>
        <v xml:space="preserve">       </v>
      </c>
      <c r="AJ1652" t="str">
        <f t="shared" si="439"/>
        <v xml:space="preserve">      </v>
      </c>
    </row>
    <row r="1653" spans="1:36" x14ac:dyDescent="0.25">
      <c r="A1653" t="s">
        <v>14</v>
      </c>
      <c r="P1653" t="str">
        <f t="shared" si="440"/>
        <v xml:space="preserve">  ..............</v>
      </c>
      <c r="Q1653" t="str">
        <f t="shared" si="440"/>
        <v>.........</v>
      </c>
      <c r="R1653" t="str">
        <f t="shared" si="433"/>
        <v>.........</v>
      </c>
      <c r="S1653" t="str">
        <f t="shared" si="441"/>
        <v>.........</v>
      </c>
      <c r="T1653" t="str">
        <f t="shared" si="442"/>
        <v>.........</v>
      </c>
      <c r="U1653" t="str">
        <f t="shared" si="446"/>
        <v>.............</v>
      </c>
      <c r="V1653" t="str">
        <f t="shared" si="434"/>
        <v>.........</v>
      </c>
      <c r="W1653" t="str">
        <f t="shared" si="443"/>
        <v>.........</v>
      </c>
      <c r="X1653" t="str">
        <f t="shared" si="447"/>
        <v>.......</v>
      </c>
      <c r="Y1653" t="str">
        <f t="shared" si="447"/>
        <v>..............</v>
      </c>
      <c r="Z1653" t="str">
        <f t="shared" si="447"/>
        <v>....</v>
      </c>
      <c r="AA1653" t="str">
        <f t="shared" si="435"/>
        <v>.........</v>
      </c>
      <c r="AB1653" t="str">
        <f t="shared" si="444"/>
        <v>.........</v>
      </c>
      <c r="AC1653" t="str">
        <f t="shared" si="445"/>
        <v>.........</v>
      </c>
      <c r="AD1653" t="str">
        <f t="shared" si="446"/>
        <v>........</v>
      </c>
      <c r="AE1653" t="str">
        <f t="shared" si="436"/>
        <v>.......</v>
      </c>
      <c r="AF1653" t="str">
        <f t="shared" si="448"/>
        <v>.....</v>
      </c>
      <c r="AG1653" t="str">
        <f t="shared" si="448"/>
        <v>..........</v>
      </c>
      <c r="AH1653" t="str">
        <f t="shared" si="437"/>
        <v>..........</v>
      </c>
      <c r="AI1653" t="str">
        <f t="shared" si="438"/>
        <v>.......</v>
      </c>
      <c r="AJ1653" t="str">
        <f t="shared" si="439"/>
        <v>.......</v>
      </c>
    </row>
    <row r="1654" spans="1:36" x14ac:dyDescent="0.25">
      <c r="A1654" t="s">
        <v>1267</v>
      </c>
      <c r="P1654" t="str">
        <f t="shared" si="440"/>
        <v xml:space="preserve">   9782   69  0 </v>
      </c>
      <c r="Q1654" t="str">
        <f t="shared" si="440"/>
        <v xml:space="preserve">   1.028 </v>
      </c>
      <c r="R1654" t="str">
        <f t="shared" si="433"/>
        <v xml:space="preserve">     0.0 </v>
      </c>
      <c r="S1654" t="str">
        <f t="shared" si="441"/>
        <v xml:space="preserve">     0.0 </v>
      </c>
      <c r="T1654" t="str">
        <f t="shared" si="442"/>
        <v xml:space="preserve">     0.0 </v>
      </c>
      <c r="U1654" t="str">
        <f t="shared" si="446"/>
        <v xml:space="preserve">         0.0 </v>
      </c>
      <c r="V1654" t="str">
        <f t="shared" si="434"/>
        <v xml:space="preserve">     0.0 </v>
      </c>
      <c r="W1654" t="str">
        <f t="shared" si="443"/>
        <v xml:space="preserve">     0.0</v>
      </c>
      <c r="X1654" t="str">
        <f t="shared" si="447"/>
        <v/>
      </c>
      <c r="Y1654" t="str">
        <f t="shared" si="447"/>
        <v/>
      </c>
      <c r="Z1654" t="str">
        <f t="shared" si="447"/>
        <v/>
      </c>
      <c r="AA1654" t="str">
        <f t="shared" si="435"/>
        <v/>
      </c>
      <c r="AB1654" t="str">
        <f t="shared" si="444"/>
        <v/>
      </c>
      <c r="AC1654" t="str">
        <f t="shared" si="445"/>
        <v/>
      </c>
      <c r="AD1654" t="str">
        <f t="shared" si="446"/>
        <v/>
      </c>
      <c r="AE1654" t="str">
        <f t="shared" si="436"/>
        <v/>
      </c>
      <c r="AF1654" t="str">
        <f t="shared" si="448"/>
        <v/>
      </c>
      <c r="AG1654" t="str">
        <f t="shared" si="448"/>
        <v/>
      </c>
      <c r="AH1654" t="str">
        <f t="shared" si="437"/>
        <v/>
      </c>
      <c r="AI1654" t="str">
        <f t="shared" si="438"/>
        <v/>
      </c>
      <c r="AJ1654" t="str">
        <f t="shared" si="439"/>
        <v/>
      </c>
    </row>
    <row r="1655" spans="1:36" x14ac:dyDescent="0.25">
      <c r="A1655" t="s">
        <v>1268</v>
      </c>
      <c r="P1655" t="str">
        <f t="shared" si="440"/>
        <v xml:space="preserve">  LAJEA3-RS069  </v>
      </c>
      <c r="Q1655" t="str">
        <f t="shared" si="440"/>
        <v xml:space="preserve">   -54.0 </v>
      </c>
      <c r="R1655" t="str">
        <f t="shared" si="433"/>
        <v xml:space="preserve">     0.0 </v>
      </c>
      <c r="S1655" t="str">
        <f t="shared" si="441"/>
        <v xml:space="preserve">     0.0 </v>
      </c>
      <c r="T1655" t="str">
        <f t="shared" si="442"/>
        <v xml:space="preserve">     0.0 </v>
      </c>
      <c r="U1655" t="str">
        <f t="shared" si="446"/>
        <v xml:space="preserve">         0.0 </v>
      </c>
      <c r="V1655" t="str">
        <f t="shared" si="434"/>
        <v xml:space="preserve">     0.0 </v>
      </c>
      <c r="W1655" t="str">
        <f t="shared" si="443"/>
        <v xml:space="preserve">     0.0 </v>
      </c>
      <c r="X1655" t="str">
        <f t="shared" si="447"/>
        <v xml:space="preserve">       </v>
      </c>
      <c r="Y1655" t="str">
        <f t="shared" si="447"/>
        <v xml:space="preserve">              </v>
      </c>
      <c r="Z1655" t="str">
        <f t="shared" si="447"/>
        <v xml:space="preserve">    </v>
      </c>
      <c r="AA1655" t="str">
        <f t="shared" si="435"/>
        <v xml:space="preserve">         </v>
      </c>
      <c r="AB1655" t="str">
        <f t="shared" si="444"/>
        <v xml:space="preserve">         </v>
      </c>
      <c r="AC1655" t="str">
        <f t="shared" si="445"/>
        <v xml:space="preserve">    </v>
      </c>
      <c r="AD1655" t="str">
        <f t="shared" si="446"/>
        <v/>
      </c>
      <c r="AE1655" t="str">
        <f t="shared" si="436"/>
        <v/>
      </c>
      <c r="AF1655" t="str">
        <f t="shared" si="448"/>
        <v/>
      </c>
      <c r="AG1655" t="str">
        <f t="shared" si="448"/>
        <v/>
      </c>
      <c r="AH1655" t="str">
        <f t="shared" si="437"/>
        <v/>
      </c>
      <c r="AI1655" t="str">
        <f t="shared" si="438"/>
        <v/>
      </c>
      <c r="AJ1655" t="str">
        <f t="shared" si="439"/>
        <v/>
      </c>
    </row>
    <row r="1656" spans="1:36" x14ac:dyDescent="0.25">
      <c r="A1656" t="s">
        <v>1269</v>
      </c>
      <c r="P1656" t="str">
        <f t="shared" si="440"/>
        <v xml:space="preserve">                </v>
      </c>
      <c r="Q1656" t="str">
        <f t="shared" si="440"/>
        <v xml:space="preserve">         </v>
      </c>
      <c r="R1656" t="str">
        <f t="shared" si="433"/>
        <v xml:space="preserve">    68.0 </v>
      </c>
      <c r="S1656" t="str">
        <f t="shared" si="441"/>
        <v xml:space="preserve">    68.0 </v>
      </c>
      <c r="T1656" t="str">
        <f t="shared" si="442"/>
        <v xml:space="preserve">    68.0 </v>
      </c>
      <c r="U1656" t="str">
        <f t="shared" si="446"/>
        <v xml:space="preserve">       19.4% </v>
      </c>
      <c r="V1656" t="str">
        <f t="shared" si="434"/>
        <v xml:space="preserve">         </v>
      </c>
      <c r="W1656" t="str">
        <f t="shared" si="443"/>
        <v xml:space="preserve">         </v>
      </c>
      <c r="X1656" t="str">
        <f t="shared" si="447"/>
        <v xml:space="preserve">  9798 </v>
      </c>
      <c r="Y1656" t="str">
        <f t="shared" si="447"/>
        <v xml:space="preserve"> CERTE2-RS069 </v>
      </c>
      <c r="Z1656" t="str">
        <f t="shared" si="447"/>
        <v xml:space="preserve">  1 </v>
      </c>
      <c r="AA1656" t="str">
        <f t="shared" si="435"/>
        <v xml:space="preserve">    13.2 </v>
      </c>
      <c r="AB1656" t="str">
        <f t="shared" si="444"/>
        <v xml:space="preserve">     3.0 </v>
      </c>
      <c r="AC1656" t="str">
        <f t="shared" si="445"/>
        <v xml:space="preserve">    13.2 </v>
      </c>
      <c r="AD1656" t="str">
        <f t="shared" si="446"/>
        <v xml:space="preserve">        </v>
      </c>
      <c r="AE1656" t="str">
        <f t="shared" si="436"/>
        <v xml:space="preserve">       </v>
      </c>
      <c r="AF1656" t="str">
        <f t="shared" si="448"/>
        <v xml:space="preserve">     </v>
      </c>
      <c r="AG1656" t="str">
        <f t="shared" si="448"/>
        <v xml:space="preserve">     0.04 </v>
      </c>
      <c r="AH1656" t="str">
        <f t="shared" si="437"/>
        <v xml:space="preserve">    -0.02 </v>
      </c>
      <c r="AI1656" t="str">
        <f t="shared" si="438"/>
        <v xml:space="preserve">       </v>
      </c>
      <c r="AJ1656" t="str">
        <f t="shared" si="439"/>
        <v xml:space="preserve">      </v>
      </c>
    </row>
    <row r="1657" spans="1:36" x14ac:dyDescent="0.25">
      <c r="A1657" t="s">
        <v>1270</v>
      </c>
      <c r="P1657" t="str">
        <f t="shared" si="440"/>
        <v xml:space="preserve">                </v>
      </c>
      <c r="Q1657" t="str">
        <f t="shared" si="440"/>
        <v xml:space="preserve">         </v>
      </c>
      <c r="R1657" t="str">
        <f t="shared" si="433"/>
        <v xml:space="preserve">    68.0 </v>
      </c>
      <c r="S1657" t="str">
        <f t="shared" si="441"/>
        <v xml:space="preserve">    68.0 </v>
      </c>
      <c r="T1657" t="str">
        <f t="shared" si="442"/>
        <v xml:space="preserve">    68.0 </v>
      </c>
      <c r="U1657" t="str">
        <f t="shared" si="446"/>
        <v xml:space="preserve">       19.3% </v>
      </c>
      <c r="V1657" t="str">
        <f t="shared" si="434"/>
        <v xml:space="preserve">         </v>
      </c>
      <c r="W1657" t="str">
        <f t="shared" si="443"/>
        <v xml:space="preserve">         </v>
      </c>
      <c r="X1657" t="str">
        <f t="shared" si="447"/>
        <v xml:space="preserve">  9798 </v>
      </c>
      <c r="Y1657" t="str">
        <f t="shared" si="447"/>
        <v xml:space="preserve"> CERTE2-RS069 </v>
      </c>
      <c r="Z1657" t="str">
        <f t="shared" si="447"/>
        <v xml:space="preserve">  2 </v>
      </c>
      <c r="AA1657" t="str">
        <f t="shared" si="435"/>
        <v xml:space="preserve">    13.1 </v>
      </c>
      <c r="AB1657" t="str">
        <f t="shared" si="444"/>
        <v xml:space="preserve">     3.0 </v>
      </c>
      <c r="AC1657" t="str">
        <f t="shared" si="445"/>
        <v xml:space="preserve">    13.1 </v>
      </c>
      <c r="AD1657" t="str">
        <f t="shared" si="446"/>
        <v xml:space="preserve">        </v>
      </c>
      <c r="AE1657" t="str">
        <f t="shared" si="436"/>
        <v xml:space="preserve">       </v>
      </c>
      <c r="AF1657" t="str">
        <f t="shared" si="448"/>
        <v xml:space="preserve">     </v>
      </c>
      <c r="AG1657" t="str">
        <f t="shared" si="448"/>
        <v xml:space="preserve">     0.04 </v>
      </c>
      <c r="AH1657" t="str">
        <f t="shared" si="437"/>
        <v xml:space="preserve">    -0.02 </v>
      </c>
      <c r="AI1657" t="str">
        <f t="shared" si="438"/>
        <v xml:space="preserve">       </v>
      </c>
      <c r="AJ1657" t="str">
        <f t="shared" si="439"/>
        <v xml:space="preserve">      </v>
      </c>
    </row>
    <row r="1658" spans="1:36" x14ac:dyDescent="0.25">
      <c r="A1658" t="s">
        <v>1271</v>
      </c>
      <c r="P1658" t="str">
        <f t="shared" si="440"/>
        <v xml:space="preserve">                </v>
      </c>
      <c r="Q1658" t="str">
        <f t="shared" si="440"/>
        <v xml:space="preserve">         </v>
      </c>
      <c r="R1658" t="str">
        <f t="shared" si="433"/>
        <v xml:space="preserve">    68.0 </v>
      </c>
      <c r="S1658" t="str">
        <f t="shared" si="441"/>
        <v xml:space="preserve">    68.0 </v>
      </c>
      <c r="T1658" t="str">
        <f t="shared" si="442"/>
        <v xml:space="preserve">    68.0 </v>
      </c>
      <c r="U1658" t="str">
        <f t="shared" si="446"/>
        <v xml:space="preserve">       38.7% </v>
      </c>
      <c r="V1658" t="str">
        <f t="shared" si="434"/>
        <v xml:space="preserve">         </v>
      </c>
      <c r="W1658" t="str">
        <f t="shared" si="443"/>
        <v xml:space="preserve">         </v>
      </c>
      <c r="X1658" t="str">
        <f t="shared" si="447"/>
        <v xml:space="preserve"> 10255 </v>
      </c>
      <c r="Y1658" t="str">
        <f t="shared" si="447"/>
        <v xml:space="preserve"> CERTE1-RS069 </v>
      </c>
      <c r="Z1658" t="str">
        <f t="shared" si="447"/>
        <v xml:space="preserve">  1 </v>
      </c>
      <c r="AA1658" t="str">
        <f t="shared" si="435"/>
        <v xml:space="preserve">    26.8 </v>
      </c>
      <c r="AB1658" t="str">
        <f t="shared" si="444"/>
        <v xml:space="preserve">     3.7 </v>
      </c>
      <c r="AC1658" t="str">
        <f t="shared" si="445"/>
        <v xml:space="preserve">    26.3 </v>
      </c>
      <c r="AD1658" t="str">
        <f t="shared" si="446"/>
        <v xml:space="preserve">        </v>
      </c>
      <c r="AE1658" t="str">
        <f t="shared" si="436"/>
        <v xml:space="preserve">       </v>
      </c>
      <c r="AF1658" t="str">
        <f t="shared" si="448"/>
        <v xml:space="preserve">     </v>
      </c>
      <c r="AG1658" t="str">
        <f t="shared" si="448"/>
        <v xml:space="preserve">     0.20 </v>
      </c>
      <c r="AH1658" t="str">
        <f t="shared" si="437"/>
        <v xml:space="preserve">     0.49 </v>
      </c>
      <c r="AI1658" t="str">
        <f t="shared" si="438"/>
        <v xml:space="preserve">       </v>
      </c>
      <c r="AJ1658" t="str">
        <f t="shared" si="439"/>
        <v xml:space="preserve">      </v>
      </c>
    </row>
    <row r="1659" spans="1:36" x14ac:dyDescent="0.25">
      <c r="A1659" t="s">
        <v>1272</v>
      </c>
      <c r="P1659" t="str">
        <f t="shared" si="440"/>
        <v xml:space="preserve">                </v>
      </c>
      <c r="Q1659" t="str">
        <f t="shared" si="440"/>
        <v xml:space="preserve">         </v>
      </c>
      <c r="R1659" t="str">
        <f t="shared" si="433"/>
        <v xml:space="preserve">    68.0 </v>
      </c>
      <c r="S1659" t="str">
        <f t="shared" si="441"/>
        <v xml:space="preserve">    68.0 </v>
      </c>
      <c r="T1659" t="str">
        <f t="shared" si="442"/>
        <v xml:space="preserve">    68.0 </v>
      </c>
      <c r="U1659" t="str">
        <f t="shared" si="446"/>
        <v xml:space="preserve">       38.7% </v>
      </c>
      <c r="V1659" t="str">
        <f t="shared" si="434"/>
        <v xml:space="preserve">         </v>
      </c>
      <c r="W1659" t="str">
        <f t="shared" si="443"/>
        <v xml:space="preserve">         </v>
      </c>
      <c r="X1659" t="str">
        <f t="shared" si="447"/>
        <v xml:space="preserve"> 10255 </v>
      </c>
      <c r="Y1659" t="str">
        <f t="shared" si="447"/>
        <v xml:space="preserve"> CERTE1-RS069 </v>
      </c>
      <c r="Z1659" t="str">
        <f t="shared" si="447"/>
        <v xml:space="preserve">  2 </v>
      </c>
      <c r="AA1659" t="str">
        <f t="shared" si="435"/>
        <v xml:space="preserve">    26.8 </v>
      </c>
      <c r="AB1659" t="str">
        <f t="shared" si="444"/>
        <v xml:space="preserve">     3.7 </v>
      </c>
      <c r="AC1659" t="str">
        <f t="shared" si="445"/>
        <v xml:space="preserve">    26.3 </v>
      </c>
      <c r="AD1659" t="str">
        <f t="shared" si="446"/>
        <v xml:space="preserve">        </v>
      </c>
      <c r="AE1659" t="str">
        <f t="shared" si="436"/>
        <v xml:space="preserve">       </v>
      </c>
      <c r="AF1659" t="str">
        <f t="shared" si="448"/>
        <v xml:space="preserve">     </v>
      </c>
      <c r="AG1659" t="str">
        <f t="shared" si="448"/>
        <v xml:space="preserve">     0.20 </v>
      </c>
      <c r="AH1659" t="str">
        <f t="shared" si="437"/>
        <v xml:space="preserve">     0.49 </v>
      </c>
      <c r="AI1659" t="str">
        <f t="shared" si="438"/>
        <v xml:space="preserve">       </v>
      </c>
      <c r="AJ1659" t="str">
        <f t="shared" si="439"/>
        <v xml:space="preserve">      </v>
      </c>
    </row>
    <row r="1660" spans="1:36" x14ac:dyDescent="0.25">
      <c r="A1660" t="s">
        <v>1273</v>
      </c>
      <c r="P1660" t="str">
        <f t="shared" si="440"/>
        <v xml:space="preserve">                </v>
      </c>
      <c r="Q1660" t="str">
        <f t="shared" si="440"/>
        <v xml:space="preserve">         </v>
      </c>
      <c r="R1660" t="str">
        <f t="shared" si="433"/>
        <v xml:space="preserve">  9999.0 </v>
      </c>
      <c r="S1660" t="str">
        <f t="shared" si="441"/>
        <v xml:space="preserve">  9999.0 </v>
      </c>
      <c r="T1660" t="str">
        <f t="shared" si="442"/>
        <v xml:space="preserve">  9999.0 </v>
      </c>
      <c r="U1660" t="str">
        <f t="shared" si="446"/>
        <v xml:space="preserve">        0.0% </v>
      </c>
      <c r="V1660" t="str">
        <f t="shared" si="434"/>
        <v xml:space="preserve">         </v>
      </c>
      <c r="W1660" t="str">
        <f t="shared" si="443"/>
        <v xml:space="preserve">         </v>
      </c>
      <c r="X1660" t="str">
        <f t="shared" si="447"/>
        <v xml:space="preserve"> 43185 </v>
      </c>
      <c r="Y1660" t="str">
        <f t="shared" si="447"/>
        <v xml:space="preserve"> LAJ3-1-RS000 </v>
      </c>
      <c r="Z1660" t="str">
        <f t="shared" si="447"/>
        <v xml:space="preserve">  1 </v>
      </c>
      <c r="AA1660" t="str">
        <f t="shared" si="435"/>
        <v xml:space="preserve">   -26.6 </v>
      </c>
      <c r="AB1660" t="str">
        <f t="shared" si="444"/>
        <v xml:space="preserve">    -4.5 </v>
      </c>
      <c r="AC1660" t="str">
        <f t="shared" si="445"/>
        <v xml:space="preserve">    26.3 </v>
      </c>
      <c r="AD1660" t="str">
        <f t="shared" si="446"/>
        <v xml:space="preserve"> 1.000F </v>
      </c>
      <c r="AE1660" t="str">
        <f t="shared" si="436"/>
        <v xml:space="preserve">       </v>
      </c>
      <c r="AF1660" t="str">
        <f t="shared" si="448"/>
        <v xml:space="preserve"> 002 </v>
      </c>
      <c r="AG1660" t="str">
        <f t="shared" si="448"/>
        <v xml:space="preserve">     0.01 </v>
      </c>
      <c r="AH1660" t="str">
        <f t="shared" si="437"/>
        <v xml:space="preserve">    -0.09 </v>
      </c>
      <c r="AI1660" t="str">
        <f t="shared" si="438"/>
        <v xml:space="preserve">       </v>
      </c>
      <c r="AJ1660" t="str">
        <f t="shared" si="439"/>
        <v xml:space="preserve">      </v>
      </c>
    </row>
    <row r="1661" spans="1:36" x14ac:dyDescent="0.25">
      <c r="A1661" t="s">
        <v>1274</v>
      </c>
      <c r="P1661" t="str">
        <f t="shared" si="440"/>
        <v xml:space="preserve">                </v>
      </c>
      <c r="Q1661" t="str">
        <f t="shared" si="440"/>
        <v xml:space="preserve">         </v>
      </c>
      <c r="R1661" t="str">
        <f t="shared" si="433"/>
        <v xml:space="preserve">  9999.0 </v>
      </c>
      <c r="S1661" t="str">
        <f t="shared" si="441"/>
        <v xml:space="preserve">  9999.0 </v>
      </c>
      <c r="T1661" t="str">
        <f t="shared" si="442"/>
        <v xml:space="preserve">  9999.0 </v>
      </c>
      <c r="U1661" t="str">
        <f t="shared" si="446"/>
        <v xml:space="preserve">        0.0% </v>
      </c>
      <c r="V1661" t="str">
        <f t="shared" si="434"/>
        <v xml:space="preserve">         </v>
      </c>
      <c r="W1661" t="str">
        <f t="shared" si="443"/>
        <v xml:space="preserve">         </v>
      </c>
      <c r="X1661" t="str">
        <f t="shared" si="447"/>
        <v xml:space="preserve"> 43187 </v>
      </c>
      <c r="Y1661" t="str">
        <f t="shared" si="447"/>
        <v xml:space="preserve"> LAJ3-2-RS000 </v>
      </c>
      <c r="Z1661" t="str">
        <f t="shared" si="447"/>
        <v xml:space="preserve">  2 </v>
      </c>
      <c r="AA1661" t="str">
        <f t="shared" si="435"/>
        <v xml:space="preserve">   -26.7 </v>
      </c>
      <c r="AB1661" t="str">
        <f t="shared" si="444"/>
        <v xml:space="preserve">    -4.5 </v>
      </c>
      <c r="AC1661" t="str">
        <f t="shared" si="445"/>
        <v xml:space="preserve">    26.3 </v>
      </c>
      <c r="AD1661" t="str">
        <f t="shared" si="446"/>
        <v xml:space="preserve"> 1.000F </v>
      </c>
      <c r="AE1661" t="str">
        <f t="shared" si="436"/>
        <v xml:space="preserve">       </v>
      </c>
      <c r="AF1661" t="str">
        <f t="shared" si="448"/>
        <v xml:space="preserve"> 002 </v>
      </c>
      <c r="AG1661" t="str">
        <f t="shared" si="448"/>
        <v xml:space="preserve">     0.01 </v>
      </c>
      <c r="AH1661" t="str">
        <f t="shared" si="437"/>
        <v xml:space="preserve">    -0.09 </v>
      </c>
      <c r="AI1661" t="str">
        <f t="shared" si="438"/>
        <v xml:space="preserve">       </v>
      </c>
      <c r="AJ1661" t="str">
        <f t="shared" si="439"/>
        <v xml:space="preserve">      </v>
      </c>
    </row>
    <row r="1662" spans="1:36" x14ac:dyDescent="0.25">
      <c r="A1662" t="s">
        <v>1275</v>
      </c>
      <c r="P1662" t="str">
        <f t="shared" si="440"/>
        <v xml:space="preserve">                </v>
      </c>
      <c r="Q1662" t="str">
        <f t="shared" si="440"/>
        <v xml:space="preserve">         </v>
      </c>
      <c r="R1662" t="str">
        <f t="shared" si="433"/>
        <v xml:space="preserve">    83.0 </v>
      </c>
      <c r="S1662" t="str">
        <f t="shared" si="441"/>
        <v xml:space="preserve">   100.0 </v>
      </c>
      <c r="T1662" t="str">
        <f t="shared" si="442"/>
        <v xml:space="preserve">   100.0 </v>
      </c>
      <c r="U1662" t="str">
        <f t="shared" si="446"/>
        <v xml:space="preserve">       31.7% </v>
      </c>
      <c r="V1662" t="str">
        <f t="shared" si="434"/>
        <v xml:space="preserve">         </v>
      </c>
      <c r="W1662" t="str">
        <f t="shared" si="443"/>
        <v xml:space="preserve">         </v>
      </c>
      <c r="X1662" t="str">
        <f t="shared" si="447"/>
        <v xml:space="preserve"> 43499 </v>
      </c>
      <c r="Y1662" t="str">
        <f t="shared" si="447"/>
        <v xml:space="preserve"> LAJ3-3-RS000 </v>
      </c>
      <c r="Z1662" t="str">
        <f t="shared" si="447"/>
        <v xml:space="preserve">  3 </v>
      </c>
      <c r="AA1662" t="str">
        <f t="shared" si="435"/>
        <v xml:space="preserve">   -26.7 </v>
      </c>
      <c r="AB1662" t="str">
        <f t="shared" si="444"/>
        <v xml:space="preserve">    -4.5 </v>
      </c>
      <c r="AC1662" t="str">
        <f t="shared" si="445"/>
        <v xml:space="preserve">    26.3 </v>
      </c>
      <c r="AD1662" t="str">
        <f t="shared" si="446"/>
        <v xml:space="preserve"> 1.000F </v>
      </c>
      <c r="AE1662" t="str">
        <f t="shared" si="436"/>
        <v xml:space="preserve">       </v>
      </c>
      <c r="AF1662" t="str">
        <f t="shared" si="448"/>
        <v xml:space="preserve"> 002 </v>
      </c>
      <c r="AG1662" t="str">
        <f t="shared" si="448"/>
        <v xml:space="preserve">     0.01 </v>
      </c>
      <c r="AH1662" t="str">
        <f t="shared" si="437"/>
        <v xml:space="preserve">    -0.09 </v>
      </c>
      <c r="AI1662" t="str">
        <f t="shared" si="438"/>
        <v xml:space="preserve">       </v>
      </c>
      <c r="AJ1662" t="str">
        <f t="shared" si="439"/>
        <v xml:space="preserve">      </v>
      </c>
    </row>
    <row r="1663" spans="1:36" x14ac:dyDescent="0.25">
      <c r="A1663" t="s">
        <v>14</v>
      </c>
      <c r="P1663" t="str">
        <f t="shared" si="440"/>
        <v xml:space="preserve">  ..............</v>
      </c>
      <c r="Q1663" t="str">
        <f t="shared" si="440"/>
        <v>.........</v>
      </c>
      <c r="R1663" t="str">
        <f t="shared" si="433"/>
        <v>.........</v>
      </c>
      <c r="S1663" t="str">
        <f t="shared" si="441"/>
        <v>.........</v>
      </c>
      <c r="T1663" t="str">
        <f t="shared" si="442"/>
        <v>.........</v>
      </c>
      <c r="U1663" t="str">
        <f t="shared" si="446"/>
        <v>.............</v>
      </c>
      <c r="V1663" t="str">
        <f t="shared" si="434"/>
        <v>.........</v>
      </c>
      <c r="W1663" t="str">
        <f t="shared" si="443"/>
        <v>.........</v>
      </c>
      <c r="X1663" t="str">
        <f t="shared" si="447"/>
        <v>.......</v>
      </c>
      <c r="Y1663" t="str">
        <f t="shared" si="447"/>
        <v>..............</v>
      </c>
      <c r="Z1663" t="str">
        <f t="shared" si="447"/>
        <v>....</v>
      </c>
      <c r="AA1663" t="str">
        <f t="shared" si="435"/>
        <v>.........</v>
      </c>
      <c r="AB1663" t="str">
        <f t="shared" si="444"/>
        <v>.........</v>
      </c>
      <c r="AC1663" t="str">
        <f t="shared" si="445"/>
        <v>.........</v>
      </c>
      <c r="AD1663" t="str">
        <f t="shared" si="446"/>
        <v>........</v>
      </c>
      <c r="AE1663" t="str">
        <f t="shared" si="436"/>
        <v>.......</v>
      </c>
      <c r="AF1663" t="str">
        <f t="shared" si="448"/>
        <v>.....</v>
      </c>
      <c r="AG1663" t="str">
        <f t="shared" si="448"/>
        <v>..........</v>
      </c>
      <c r="AH1663" t="str">
        <f t="shared" si="437"/>
        <v>..........</v>
      </c>
      <c r="AI1663" t="str">
        <f t="shared" si="438"/>
        <v>.......</v>
      </c>
      <c r="AJ1663" t="str">
        <f t="shared" si="439"/>
        <v>.......</v>
      </c>
    </row>
    <row r="1664" spans="1:36" x14ac:dyDescent="0.25">
      <c r="A1664" t="s">
        <v>1276</v>
      </c>
      <c r="P1664" t="str">
        <f t="shared" si="440"/>
        <v xml:space="preserve">   9795   69  0 </v>
      </c>
      <c r="Q1664" t="str">
        <f t="shared" si="440"/>
        <v xml:space="preserve">   0.953 </v>
      </c>
      <c r="R1664" t="str">
        <f t="shared" si="433"/>
        <v xml:space="preserve">     6.5 </v>
      </c>
      <c r="S1664" t="str">
        <f t="shared" si="441"/>
        <v xml:space="preserve">     0.0 </v>
      </c>
      <c r="T1664" t="str">
        <f t="shared" si="442"/>
        <v xml:space="preserve">    36.9 </v>
      </c>
      <c r="U1664" t="str">
        <f t="shared" si="446"/>
        <v xml:space="preserve">         0.0 </v>
      </c>
      <c r="V1664" t="str">
        <f t="shared" si="434"/>
        <v xml:space="preserve">     9.8 </v>
      </c>
      <c r="W1664" t="str">
        <f t="shared" si="443"/>
        <v xml:space="preserve">     0.0</v>
      </c>
      <c r="X1664" t="str">
        <f t="shared" si="447"/>
        <v/>
      </c>
      <c r="Y1664" t="str">
        <f t="shared" si="447"/>
        <v/>
      </c>
      <c r="Z1664" t="str">
        <f t="shared" si="447"/>
        <v/>
      </c>
      <c r="AA1664" t="str">
        <f t="shared" si="435"/>
        <v/>
      </c>
      <c r="AB1664" t="str">
        <f t="shared" si="444"/>
        <v/>
      </c>
      <c r="AC1664" t="str">
        <f t="shared" si="445"/>
        <v/>
      </c>
      <c r="AD1664" t="str">
        <f t="shared" si="446"/>
        <v/>
      </c>
      <c r="AE1664" t="str">
        <f t="shared" si="436"/>
        <v/>
      </c>
      <c r="AF1664" t="str">
        <f t="shared" si="448"/>
        <v/>
      </c>
      <c r="AG1664" t="str">
        <f t="shared" si="448"/>
        <v/>
      </c>
      <c r="AH1664" t="str">
        <f t="shared" si="437"/>
        <v/>
      </c>
      <c r="AI1664" t="str">
        <f t="shared" si="438"/>
        <v/>
      </c>
      <c r="AJ1664" t="str">
        <f t="shared" si="439"/>
        <v/>
      </c>
    </row>
    <row r="1665" spans="1:36" x14ac:dyDescent="0.25">
      <c r="A1665" t="s">
        <v>1277</v>
      </c>
      <c r="P1665" t="str">
        <f t="shared" si="440"/>
        <v xml:space="preserve">  ENCANT-RS069  </v>
      </c>
      <c r="Q1665" t="str">
        <f t="shared" si="440"/>
        <v xml:space="preserve">   -62.4 </v>
      </c>
      <c r="R1665" t="str">
        <f t="shared" si="433"/>
        <v xml:space="preserve">     0.0 </v>
      </c>
      <c r="S1665" t="str">
        <f t="shared" si="441"/>
        <v xml:space="preserve">     0.0 </v>
      </c>
      <c r="T1665" t="str">
        <f t="shared" si="442"/>
        <v xml:space="preserve">    12.7 </v>
      </c>
      <c r="U1665" t="str">
        <f t="shared" si="446"/>
        <v xml:space="preserve">         0.0 </v>
      </c>
      <c r="V1665" t="str">
        <f t="shared" si="434"/>
        <v xml:space="preserve">     0.0 </v>
      </c>
      <c r="W1665" t="str">
        <f t="shared" si="443"/>
        <v xml:space="preserve">     0.0 </v>
      </c>
      <c r="X1665" t="str">
        <f t="shared" si="447"/>
        <v xml:space="preserve">       </v>
      </c>
      <c r="Y1665" t="str">
        <f t="shared" si="447"/>
        <v xml:space="preserve">              </v>
      </c>
      <c r="Z1665" t="str">
        <f t="shared" si="447"/>
        <v xml:space="preserve">    </v>
      </c>
      <c r="AA1665" t="str">
        <f t="shared" si="435"/>
        <v xml:space="preserve">         </v>
      </c>
      <c r="AB1665" t="str">
        <f t="shared" si="444"/>
        <v xml:space="preserve">         </v>
      </c>
      <c r="AC1665" t="str">
        <f t="shared" si="445"/>
        <v xml:space="preserve">    </v>
      </c>
      <c r="AD1665" t="str">
        <f t="shared" si="446"/>
        <v/>
      </c>
      <c r="AE1665" t="str">
        <f t="shared" si="436"/>
        <v/>
      </c>
      <c r="AF1665" t="str">
        <f t="shared" si="448"/>
        <v/>
      </c>
      <c r="AG1665" t="str">
        <f t="shared" si="448"/>
        <v/>
      </c>
      <c r="AH1665" t="str">
        <f t="shared" si="437"/>
        <v/>
      </c>
      <c r="AI1665" t="str">
        <f t="shared" si="438"/>
        <v/>
      </c>
      <c r="AJ1665" t="str">
        <f t="shared" si="439"/>
        <v/>
      </c>
    </row>
    <row r="1666" spans="1:36" x14ac:dyDescent="0.25">
      <c r="A1666" t="s">
        <v>1278</v>
      </c>
      <c r="P1666" t="str">
        <f t="shared" si="440"/>
        <v xml:space="preserve">                </v>
      </c>
      <c r="Q1666" t="str">
        <f t="shared" si="440"/>
        <v xml:space="preserve">         </v>
      </c>
      <c r="R1666" t="str">
        <f t="shared" si="433"/>
        <v xml:space="preserve">    46.0 </v>
      </c>
      <c r="S1666" t="str">
        <f t="shared" si="441"/>
        <v xml:space="preserve">    55.0 </v>
      </c>
      <c r="T1666" t="str">
        <f t="shared" si="442"/>
        <v xml:space="preserve">    55.0 </v>
      </c>
      <c r="U1666" t="str">
        <f t="shared" si="446"/>
        <v xml:space="preserve">       69.6% </v>
      </c>
      <c r="V1666" t="str">
        <f t="shared" si="434"/>
        <v xml:space="preserve">         </v>
      </c>
      <c r="W1666" t="str">
        <f t="shared" si="443"/>
        <v xml:space="preserve">         </v>
      </c>
      <c r="X1666" t="str">
        <f t="shared" si="447"/>
        <v xml:space="preserve">  9796 </v>
      </c>
      <c r="Y1666" t="str">
        <f t="shared" si="447"/>
        <v xml:space="preserve"> ROCSAL-RS069 </v>
      </c>
      <c r="Z1666" t="str">
        <f t="shared" si="447"/>
        <v xml:space="preserve">  1 </v>
      </c>
      <c r="AA1666" t="str">
        <f t="shared" si="435"/>
        <v xml:space="preserve">   -30.4 </v>
      </c>
      <c r="AB1666" t="str">
        <f t="shared" si="444"/>
        <v xml:space="preserve">    -2.9 </v>
      </c>
      <c r="AC1666" t="str">
        <f t="shared" si="445"/>
        <v xml:space="preserve">    32.0 </v>
      </c>
      <c r="AD1666" t="str">
        <f t="shared" si="446"/>
        <v xml:space="preserve">        </v>
      </c>
      <c r="AE1666" t="str">
        <f t="shared" si="436"/>
        <v xml:space="preserve">       </v>
      </c>
      <c r="AF1666" t="str">
        <f t="shared" si="448"/>
        <v xml:space="preserve">     </v>
      </c>
      <c r="AG1666" t="str">
        <f t="shared" si="448"/>
        <v xml:space="preserve">     0.69 </v>
      </c>
      <c r="AH1666" t="str">
        <f t="shared" si="437"/>
        <v xml:space="preserve">     0.97 </v>
      </c>
      <c r="AI1666" t="str">
        <f t="shared" si="438"/>
        <v xml:space="preserve">       </v>
      </c>
      <c r="AJ1666" t="str">
        <f t="shared" si="439"/>
        <v xml:space="preserve">      </v>
      </c>
    </row>
    <row r="1667" spans="1:36" x14ac:dyDescent="0.25">
      <c r="A1667" t="s">
        <v>14</v>
      </c>
      <c r="P1667" t="str">
        <f t="shared" si="440"/>
        <v xml:space="preserve">  ..............</v>
      </c>
      <c r="Q1667" t="str">
        <f t="shared" si="440"/>
        <v>.........</v>
      </c>
      <c r="R1667" t="str">
        <f t="shared" si="433"/>
        <v>.........</v>
      </c>
      <c r="S1667" t="str">
        <f t="shared" si="441"/>
        <v>.........</v>
      </c>
      <c r="T1667" t="str">
        <f t="shared" si="442"/>
        <v>.........</v>
      </c>
      <c r="U1667" t="str">
        <f t="shared" si="446"/>
        <v>.............</v>
      </c>
      <c r="V1667" t="str">
        <f t="shared" si="434"/>
        <v>.........</v>
      </c>
      <c r="W1667" t="str">
        <f t="shared" si="443"/>
        <v>.........</v>
      </c>
      <c r="X1667" t="str">
        <f t="shared" si="447"/>
        <v>.......</v>
      </c>
      <c r="Y1667" t="str">
        <f t="shared" si="447"/>
        <v>..............</v>
      </c>
      <c r="Z1667" t="str">
        <f t="shared" si="447"/>
        <v>....</v>
      </c>
      <c r="AA1667" t="str">
        <f t="shared" si="435"/>
        <v>.........</v>
      </c>
      <c r="AB1667" t="str">
        <f t="shared" si="444"/>
        <v>.........</v>
      </c>
      <c r="AC1667" t="str">
        <f t="shared" si="445"/>
        <v>.........</v>
      </c>
      <c r="AD1667" t="str">
        <f t="shared" si="446"/>
        <v>........</v>
      </c>
      <c r="AE1667" t="str">
        <f t="shared" si="436"/>
        <v>.......</v>
      </c>
      <c r="AF1667" t="str">
        <f t="shared" si="448"/>
        <v>.....</v>
      </c>
      <c r="AG1667" t="str">
        <f t="shared" si="448"/>
        <v>..........</v>
      </c>
      <c r="AH1667" t="str">
        <f t="shared" si="437"/>
        <v>..........</v>
      </c>
      <c r="AI1667" t="str">
        <f t="shared" si="438"/>
        <v>.......</v>
      </c>
      <c r="AJ1667" t="str">
        <f t="shared" si="439"/>
        <v>.......</v>
      </c>
    </row>
    <row r="1668" spans="1:36" x14ac:dyDescent="0.25">
      <c r="A1668" t="s">
        <v>1279</v>
      </c>
      <c r="P1668" t="str">
        <f t="shared" si="440"/>
        <v xml:space="preserve">   9796   69  0 </v>
      </c>
      <c r="Q1668" t="str">
        <f t="shared" si="440"/>
        <v xml:space="preserve">   0.979 </v>
      </c>
      <c r="R1668" t="str">
        <f t="shared" si="433"/>
        <v xml:space="preserve">     1.3 </v>
      </c>
      <c r="S1668" t="str">
        <f t="shared" si="441"/>
        <v xml:space="preserve">     0.0 </v>
      </c>
      <c r="T1668" t="str">
        <f t="shared" si="442"/>
        <v xml:space="preserve">     8.9 </v>
      </c>
      <c r="U1668" t="str">
        <f t="shared" si="446"/>
        <v xml:space="preserve">         0.0 </v>
      </c>
      <c r="V1668" t="str">
        <f t="shared" si="434"/>
        <v xml:space="preserve">     3.4 </v>
      </c>
      <c r="W1668" t="str">
        <f t="shared" si="443"/>
        <v xml:space="preserve">     0.0</v>
      </c>
      <c r="X1668" t="str">
        <f t="shared" si="447"/>
        <v/>
      </c>
      <c r="Y1668" t="str">
        <f t="shared" si="447"/>
        <v/>
      </c>
      <c r="Z1668" t="str">
        <f t="shared" si="447"/>
        <v/>
      </c>
      <c r="AA1668" t="str">
        <f t="shared" si="435"/>
        <v/>
      </c>
      <c r="AB1668" t="str">
        <f t="shared" si="444"/>
        <v/>
      </c>
      <c r="AC1668" t="str">
        <f t="shared" si="445"/>
        <v/>
      </c>
      <c r="AD1668" t="str">
        <f t="shared" si="446"/>
        <v/>
      </c>
      <c r="AE1668" t="str">
        <f t="shared" si="436"/>
        <v/>
      </c>
      <c r="AF1668" t="str">
        <f t="shared" si="448"/>
        <v/>
      </c>
      <c r="AG1668" t="str">
        <f t="shared" si="448"/>
        <v/>
      </c>
      <c r="AH1668" t="str">
        <f t="shared" si="437"/>
        <v/>
      </c>
      <c r="AI1668" t="str">
        <f t="shared" si="438"/>
        <v/>
      </c>
      <c r="AJ1668" t="str">
        <f t="shared" si="439"/>
        <v/>
      </c>
    </row>
    <row r="1669" spans="1:36" x14ac:dyDescent="0.25">
      <c r="A1669" t="s">
        <v>1280</v>
      </c>
      <c r="P1669" t="str">
        <f t="shared" si="440"/>
        <v xml:space="preserve">  ROCSAL-RS069  </v>
      </c>
      <c r="Q1669" t="str">
        <f t="shared" si="440"/>
        <v xml:space="preserve">   -60.5 </v>
      </c>
      <c r="R1669" t="str">
        <f t="shared" si="433"/>
        <v xml:space="preserve">     0.0 </v>
      </c>
      <c r="S1669" t="str">
        <f t="shared" si="441"/>
        <v xml:space="preserve">     0.0 </v>
      </c>
      <c r="T1669" t="str">
        <f t="shared" si="442"/>
        <v xml:space="preserve">     2.2 </v>
      </c>
      <c r="U1669" t="str">
        <f t="shared" si="446"/>
        <v xml:space="preserve">         0.0 </v>
      </c>
      <c r="V1669" t="str">
        <f t="shared" si="434"/>
        <v xml:space="preserve">     0.0 </v>
      </c>
      <c r="W1669" t="str">
        <f t="shared" si="443"/>
        <v xml:space="preserve">     0.0 </v>
      </c>
      <c r="X1669" t="str">
        <f t="shared" si="447"/>
        <v xml:space="preserve">       </v>
      </c>
      <c r="Y1669" t="str">
        <f t="shared" si="447"/>
        <v xml:space="preserve">              </v>
      </c>
      <c r="Z1669" t="str">
        <f t="shared" si="447"/>
        <v xml:space="preserve">    </v>
      </c>
      <c r="AA1669" t="str">
        <f t="shared" si="435"/>
        <v xml:space="preserve">         </v>
      </c>
      <c r="AB1669" t="str">
        <f t="shared" si="444"/>
        <v xml:space="preserve">         </v>
      </c>
      <c r="AC1669" t="str">
        <f t="shared" si="445"/>
        <v xml:space="preserve">    </v>
      </c>
      <c r="AD1669" t="str">
        <f t="shared" si="446"/>
        <v/>
      </c>
      <c r="AE1669" t="str">
        <f t="shared" si="436"/>
        <v/>
      </c>
      <c r="AF1669" t="str">
        <f t="shared" si="448"/>
        <v/>
      </c>
      <c r="AG1669" t="str">
        <f t="shared" si="448"/>
        <v/>
      </c>
      <c r="AH1669" t="str">
        <f t="shared" si="437"/>
        <v/>
      </c>
      <c r="AI1669" t="str">
        <f t="shared" si="438"/>
        <v/>
      </c>
      <c r="AJ1669" t="str">
        <f t="shared" si="439"/>
        <v/>
      </c>
    </row>
    <row r="1670" spans="1:36" x14ac:dyDescent="0.25">
      <c r="A1670" t="s">
        <v>1281</v>
      </c>
      <c r="P1670" t="str">
        <f t="shared" si="440"/>
        <v xml:space="preserve">                </v>
      </c>
      <c r="Q1670" t="str">
        <f t="shared" si="440"/>
        <v xml:space="preserve">         </v>
      </c>
      <c r="R1670" t="str">
        <f t="shared" si="433"/>
        <v xml:space="preserve">    46.0 </v>
      </c>
      <c r="S1670" t="str">
        <f t="shared" si="441"/>
        <v xml:space="preserve">    55.0 </v>
      </c>
      <c r="T1670" t="str">
        <f t="shared" si="442"/>
        <v xml:space="preserve">    55.0 </v>
      </c>
      <c r="U1670" t="str">
        <f t="shared" si="446"/>
        <v xml:space="preserve">       69.6% </v>
      </c>
      <c r="V1670" t="str">
        <f t="shared" si="434"/>
        <v xml:space="preserve">         </v>
      </c>
      <c r="W1670" t="str">
        <f t="shared" si="443"/>
        <v xml:space="preserve">         </v>
      </c>
      <c r="X1670" t="str">
        <f t="shared" si="447"/>
        <v xml:space="preserve">  9795 </v>
      </c>
      <c r="Y1670" t="str">
        <f t="shared" si="447"/>
        <v xml:space="preserve"> ENCANT-RS069 </v>
      </c>
      <c r="Z1670" t="str">
        <f t="shared" si="447"/>
        <v xml:space="preserve">  1 </v>
      </c>
      <c r="AA1670" t="str">
        <f t="shared" si="435"/>
        <v xml:space="preserve">    31.1 </v>
      </c>
      <c r="AB1670" t="str">
        <f t="shared" si="444"/>
        <v xml:space="preserve">     3.9 </v>
      </c>
      <c r="AC1670" t="str">
        <f t="shared" si="445"/>
        <v xml:space="preserve">    32.0 </v>
      </c>
      <c r="AD1670" t="str">
        <f t="shared" si="446"/>
        <v xml:space="preserve">        </v>
      </c>
      <c r="AE1670" t="str">
        <f t="shared" si="436"/>
        <v xml:space="preserve">       </v>
      </c>
      <c r="AF1670" t="str">
        <f t="shared" si="448"/>
        <v xml:space="preserve">     </v>
      </c>
      <c r="AG1670" t="str">
        <f t="shared" si="448"/>
        <v xml:space="preserve">     0.69 </v>
      </c>
      <c r="AH1670" t="str">
        <f t="shared" si="437"/>
        <v xml:space="preserve">     0.97 </v>
      </c>
      <c r="AI1670" t="str">
        <f t="shared" si="438"/>
        <v xml:space="preserve">       </v>
      </c>
      <c r="AJ1670" t="str">
        <f t="shared" si="439"/>
        <v xml:space="preserve">      </v>
      </c>
    </row>
    <row r="1671" spans="1:36" x14ac:dyDescent="0.25">
      <c r="A1671" t="s">
        <v>1282</v>
      </c>
      <c r="P1671" t="str">
        <f t="shared" si="440"/>
        <v xml:space="preserve">                </v>
      </c>
      <c r="Q1671" t="str">
        <f t="shared" si="440"/>
        <v xml:space="preserve">         </v>
      </c>
      <c r="R1671" t="str">
        <f t="shared" si="433"/>
        <v xml:space="preserve">    46.0 </v>
      </c>
      <c r="S1671" t="str">
        <f t="shared" si="441"/>
        <v xml:space="preserve">    55.0 </v>
      </c>
      <c r="T1671" t="str">
        <f t="shared" si="442"/>
        <v xml:space="preserve">    55.0 </v>
      </c>
      <c r="U1671" t="str">
        <f t="shared" si="446"/>
        <v xml:space="preserve">       86.1% </v>
      </c>
      <c r="V1671" t="str">
        <f t="shared" si="434"/>
        <v xml:space="preserve">         </v>
      </c>
      <c r="W1671" t="str">
        <f t="shared" si="443"/>
        <v xml:space="preserve">         </v>
      </c>
      <c r="X1671" t="str">
        <f t="shared" si="447"/>
        <v xml:space="preserve">  9797 </v>
      </c>
      <c r="Y1671" t="str">
        <f t="shared" si="447"/>
        <v xml:space="preserve"> ARMEIO-RS069 </v>
      </c>
      <c r="Z1671" t="str">
        <f t="shared" si="447"/>
        <v xml:space="preserve">  1 </v>
      </c>
      <c r="AA1671" t="str">
        <f t="shared" si="435"/>
        <v xml:space="preserve">   -38.7 </v>
      </c>
      <c r="AB1671" t="str">
        <f t="shared" si="444"/>
        <v xml:space="preserve">    -2.6 </v>
      </c>
      <c r="AC1671" t="str">
        <f t="shared" si="445"/>
        <v xml:space="preserve">    39.6 </v>
      </c>
      <c r="AD1671" t="str">
        <f t="shared" si="446"/>
        <v xml:space="preserve">        </v>
      </c>
      <c r="AE1671" t="str">
        <f t="shared" si="436"/>
        <v xml:space="preserve">       </v>
      </c>
      <c r="AF1671" t="str">
        <f t="shared" si="448"/>
        <v xml:space="preserve">     </v>
      </c>
      <c r="AG1671" t="str">
        <f t="shared" si="448"/>
        <v xml:space="preserve">     1.57 </v>
      </c>
      <c r="AH1671" t="str">
        <f t="shared" si="437"/>
        <v xml:space="preserve">     2.27 </v>
      </c>
      <c r="AI1671" t="str">
        <f t="shared" si="438"/>
        <v xml:space="preserve">       </v>
      </c>
      <c r="AJ1671" t="str">
        <f t="shared" si="439"/>
        <v xml:space="preserve">      </v>
      </c>
    </row>
    <row r="1672" spans="1:36" x14ac:dyDescent="0.25">
      <c r="A1672" t="s">
        <v>14</v>
      </c>
      <c r="P1672" t="str">
        <f t="shared" si="440"/>
        <v xml:space="preserve">  ..............</v>
      </c>
      <c r="Q1672" t="str">
        <f t="shared" si="440"/>
        <v>.........</v>
      </c>
      <c r="R1672" t="str">
        <f t="shared" si="433"/>
        <v>.........</v>
      </c>
      <c r="S1672" t="str">
        <f t="shared" si="441"/>
        <v>.........</v>
      </c>
      <c r="T1672" t="str">
        <f t="shared" si="442"/>
        <v>.........</v>
      </c>
      <c r="U1672" t="str">
        <f t="shared" si="446"/>
        <v>.............</v>
      </c>
      <c r="V1672" t="str">
        <f t="shared" si="434"/>
        <v>.........</v>
      </c>
      <c r="W1672" t="str">
        <f t="shared" si="443"/>
        <v>.........</v>
      </c>
      <c r="X1672" t="str">
        <f t="shared" si="447"/>
        <v>.......</v>
      </c>
      <c r="Y1672" t="str">
        <f t="shared" si="447"/>
        <v>..............</v>
      </c>
      <c r="Z1672" t="str">
        <f t="shared" si="447"/>
        <v>....</v>
      </c>
      <c r="AA1672" t="str">
        <f t="shared" si="435"/>
        <v>.........</v>
      </c>
      <c r="AB1672" t="str">
        <f t="shared" si="444"/>
        <v>.........</v>
      </c>
      <c r="AC1672" t="str">
        <f t="shared" si="445"/>
        <v>.........</v>
      </c>
      <c r="AD1672" t="str">
        <f t="shared" si="446"/>
        <v>........</v>
      </c>
      <c r="AE1672" t="str">
        <f t="shared" si="436"/>
        <v>.......</v>
      </c>
      <c r="AF1672" t="str">
        <f t="shared" si="448"/>
        <v>.....</v>
      </c>
      <c r="AG1672" t="str">
        <f t="shared" si="448"/>
        <v>..........</v>
      </c>
      <c r="AH1672" t="str">
        <f t="shared" si="437"/>
        <v>..........</v>
      </c>
      <c r="AI1672" t="str">
        <f t="shared" si="438"/>
        <v>.......</v>
      </c>
      <c r="AJ1672" t="str">
        <f t="shared" si="439"/>
        <v>.......</v>
      </c>
    </row>
    <row r="1673" spans="1:36" x14ac:dyDescent="0.25">
      <c r="A1673" t="s">
        <v>1283</v>
      </c>
      <c r="P1673" t="str">
        <f t="shared" si="440"/>
        <v xml:space="preserve">   9797   69  0 </v>
      </c>
      <c r="Q1673" t="str">
        <f t="shared" si="440"/>
        <v xml:space="preserve">   1.024 </v>
      </c>
      <c r="R1673" t="str">
        <f t="shared" si="433"/>
        <v xml:space="preserve">     2.3 </v>
      </c>
      <c r="S1673" t="str">
        <f t="shared" si="441"/>
        <v xml:space="preserve">     0.0 </v>
      </c>
      <c r="T1673" t="str">
        <f t="shared" si="442"/>
        <v xml:space="preserve">    23.0 </v>
      </c>
      <c r="U1673" t="str">
        <f t="shared" si="446"/>
        <v xml:space="preserve">         0.0 </v>
      </c>
      <c r="V1673" t="str">
        <f t="shared" si="434"/>
        <v xml:space="preserve">     0.0 </v>
      </c>
      <c r="W1673" t="str">
        <f t="shared" si="443"/>
        <v xml:space="preserve">     0.0</v>
      </c>
      <c r="X1673" t="str">
        <f t="shared" si="447"/>
        <v/>
      </c>
      <c r="Y1673" t="str">
        <f t="shared" si="447"/>
        <v/>
      </c>
      <c r="Z1673" t="str">
        <f t="shared" si="447"/>
        <v/>
      </c>
      <c r="AA1673" t="str">
        <f t="shared" si="435"/>
        <v/>
      </c>
      <c r="AB1673" t="str">
        <f t="shared" si="444"/>
        <v/>
      </c>
      <c r="AC1673" t="str">
        <f t="shared" si="445"/>
        <v/>
      </c>
      <c r="AD1673" t="str">
        <f t="shared" si="446"/>
        <v/>
      </c>
      <c r="AE1673" t="str">
        <f t="shared" si="436"/>
        <v/>
      </c>
      <c r="AF1673" t="str">
        <f t="shared" si="448"/>
        <v/>
      </c>
      <c r="AG1673" t="str">
        <f t="shared" si="448"/>
        <v/>
      </c>
      <c r="AH1673" t="str">
        <f t="shared" si="437"/>
        <v/>
      </c>
      <c r="AI1673" t="str">
        <f t="shared" si="438"/>
        <v/>
      </c>
      <c r="AJ1673" t="str">
        <f t="shared" si="439"/>
        <v/>
      </c>
    </row>
    <row r="1674" spans="1:36" x14ac:dyDescent="0.25">
      <c r="A1674" t="s">
        <v>1284</v>
      </c>
      <c r="P1674" t="str">
        <f t="shared" si="440"/>
        <v xml:space="preserve">  ARMEIO-RS069  </v>
      </c>
      <c r="Q1674" t="str">
        <f t="shared" si="440"/>
        <v xml:space="preserve">   -57.1 </v>
      </c>
      <c r="R1674" t="str">
        <f t="shared" si="433"/>
        <v xml:space="preserve">     0.0 </v>
      </c>
      <c r="S1674" t="str">
        <f t="shared" si="441"/>
        <v xml:space="preserve">     0.0 </v>
      </c>
      <c r="T1674" t="str">
        <f t="shared" si="442"/>
        <v xml:space="preserve">     4.7 </v>
      </c>
      <c r="U1674" t="str">
        <f t="shared" si="446"/>
        <v xml:space="preserve">         0.0 </v>
      </c>
      <c r="V1674" t="str">
        <f t="shared" si="434"/>
        <v xml:space="preserve">     0.0 </v>
      </c>
      <c r="W1674" t="str">
        <f t="shared" si="443"/>
        <v xml:space="preserve">     0.0 </v>
      </c>
      <c r="X1674" t="str">
        <f t="shared" si="447"/>
        <v xml:space="preserve">       </v>
      </c>
      <c r="Y1674" t="str">
        <f t="shared" si="447"/>
        <v xml:space="preserve">              </v>
      </c>
      <c r="Z1674" t="str">
        <f t="shared" si="447"/>
        <v xml:space="preserve">    </v>
      </c>
      <c r="AA1674" t="str">
        <f t="shared" si="435"/>
        <v xml:space="preserve">         </v>
      </c>
      <c r="AB1674" t="str">
        <f t="shared" si="444"/>
        <v xml:space="preserve">         </v>
      </c>
      <c r="AC1674" t="str">
        <f t="shared" si="445"/>
        <v xml:space="preserve">    </v>
      </c>
      <c r="AD1674" t="str">
        <f t="shared" si="446"/>
        <v/>
      </c>
      <c r="AE1674" t="str">
        <f t="shared" si="436"/>
        <v/>
      </c>
      <c r="AF1674" t="str">
        <f t="shared" si="448"/>
        <v/>
      </c>
      <c r="AG1674" t="str">
        <f t="shared" si="448"/>
        <v/>
      </c>
      <c r="AH1674" t="str">
        <f t="shared" si="437"/>
        <v/>
      </c>
      <c r="AI1674" t="str">
        <f t="shared" si="438"/>
        <v/>
      </c>
      <c r="AJ1674" t="str">
        <f t="shared" si="439"/>
        <v/>
      </c>
    </row>
    <row r="1675" spans="1:36" x14ac:dyDescent="0.25">
      <c r="A1675" t="s">
        <v>1285</v>
      </c>
      <c r="P1675" t="str">
        <f t="shared" si="440"/>
        <v xml:space="preserve">                </v>
      </c>
      <c r="Q1675" t="str">
        <f t="shared" si="440"/>
        <v xml:space="preserve">         </v>
      </c>
      <c r="R1675" t="str">
        <f t="shared" si="433"/>
        <v xml:space="preserve">    67.0 </v>
      </c>
      <c r="S1675" t="str">
        <f t="shared" si="441"/>
        <v xml:space="preserve">    81.0 </v>
      </c>
      <c r="T1675" t="str">
        <f t="shared" si="442"/>
        <v xml:space="preserve">    81.0 </v>
      </c>
      <c r="U1675" t="str">
        <f t="shared" si="446"/>
        <v xml:space="preserve">       89.9% </v>
      </c>
      <c r="V1675" t="str">
        <f t="shared" si="434"/>
        <v xml:space="preserve">         </v>
      </c>
      <c r="W1675" t="str">
        <f t="shared" si="443"/>
        <v xml:space="preserve">         </v>
      </c>
      <c r="X1675" t="str">
        <f t="shared" si="447"/>
        <v xml:space="preserve">  2081 </v>
      </c>
      <c r="Y1675" t="str">
        <f t="shared" si="447"/>
        <v xml:space="preserve"> LAJEA2-RS069 </v>
      </c>
      <c r="Z1675" t="str">
        <f t="shared" si="447"/>
        <v xml:space="preserve">  1 </v>
      </c>
      <c r="AA1675" t="str">
        <f t="shared" si="435"/>
        <v xml:space="preserve">   -61.0 </v>
      </c>
      <c r="AB1675" t="str">
        <f t="shared" si="444"/>
        <v xml:space="preserve">    -9.6 </v>
      </c>
      <c r="AC1675" t="str">
        <f t="shared" si="445"/>
        <v xml:space="preserve">    60.3 </v>
      </c>
      <c r="AD1675" t="str">
        <f t="shared" si="446"/>
        <v xml:space="preserve">        </v>
      </c>
      <c r="AE1675" t="str">
        <f t="shared" si="436"/>
        <v xml:space="preserve">       </v>
      </c>
      <c r="AF1675" t="str">
        <f t="shared" si="448"/>
        <v xml:space="preserve">     </v>
      </c>
      <c r="AG1675" t="str">
        <f t="shared" si="448"/>
        <v xml:space="preserve">     1.02 </v>
      </c>
      <c r="AH1675" t="str">
        <f t="shared" si="437"/>
        <v xml:space="preserve">     2.12 </v>
      </c>
      <c r="AI1675" t="str">
        <f t="shared" si="438"/>
        <v xml:space="preserve">       </v>
      </c>
      <c r="AJ1675" t="str">
        <f t="shared" si="439"/>
        <v xml:space="preserve">      </v>
      </c>
    </row>
    <row r="1676" spans="1:36" x14ac:dyDescent="0.25">
      <c r="A1676" t="s">
        <v>1286</v>
      </c>
      <c r="P1676" t="str">
        <f t="shared" si="440"/>
        <v xml:space="preserve">              DE</v>
      </c>
      <c r="Q1676" t="str">
        <f t="shared" si="440"/>
        <v xml:space="preserve">ESLIGADO </v>
      </c>
      <c r="R1676" t="str">
        <f t="shared" ref="R1676:R1739" si="449">MID($A1676,Q$8+Q$9-1,R$9)</f>
        <v xml:space="preserve">    46.0 </v>
      </c>
      <c r="S1676" t="str">
        <f t="shared" si="441"/>
        <v xml:space="preserve">    55.0 </v>
      </c>
      <c r="T1676" t="str">
        <f t="shared" si="442"/>
        <v xml:space="preserve">    55.0 </v>
      </c>
      <c r="U1676" t="str">
        <f t="shared" si="446"/>
        <v xml:space="preserve">             </v>
      </c>
      <c r="V1676" t="str">
        <f t="shared" ref="V1676:V1739" si="450">MID($A1676,U$8+U$9-1,V$9)</f>
        <v xml:space="preserve">         </v>
      </c>
      <c r="W1676" t="str">
        <f t="shared" si="443"/>
        <v xml:space="preserve">         </v>
      </c>
      <c r="X1676" t="str">
        <f t="shared" si="447"/>
        <v xml:space="preserve">  9781 </v>
      </c>
      <c r="Y1676" t="str">
        <f t="shared" si="447"/>
        <v xml:space="preserve"> LAJEA1-RS069 </v>
      </c>
      <c r="Z1676" t="str">
        <f t="shared" si="447"/>
        <v xml:space="preserve">  1 </v>
      </c>
      <c r="AA1676" t="str">
        <f t="shared" ref="AA1676:AA1739" si="451">MID($A1676,Z$8+Z$9-1,AA$9)</f>
        <v xml:space="preserve">     0.0 </v>
      </c>
      <c r="AB1676" t="str">
        <f t="shared" si="444"/>
        <v xml:space="preserve">     0.0 </v>
      </c>
      <c r="AC1676" t="str">
        <f t="shared" si="445"/>
        <v xml:space="preserve">     0.0 </v>
      </c>
      <c r="AD1676" t="str">
        <f t="shared" si="446"/>
        <v xml:space="preserve">        </v>
      </c>
      <c r="AE1676" t="str">
        <f t="shared" ref="AE1676:AE1739" si="452">MID($A1676,AD$8+AD$9-1,AE$9)</f>
        <v xml:space="preserve">       </v>
      </c>
      <c r="AF1676" t="str">
        <f t="shared" si="448"/>
        <v xml:space="preserve">     </v>
      </c>
      <c r="AG1676" t="str">
        <f t="shared" si="448"/>
        <v xml:space="preserve">     0.00 </v>
      </c>
      <c r="AH1676" t="str">
        <f t="shared" ref="AH1676:AH1739" si="453">MID($A1676,AG$8+AG$9-1,AH$9)</f>
        <v xml:space="preserve">     0.00 </v>
      </c>
      <c r="AI1676" t="str">
        <f t="shared" si="438"/>
        <v xml:space="preserve">       </v>
      </c>
      <c r="AJ1676" t="str">
        <f t="shared" si="439"/>
        <v xml:space="preserve">      </v>
      </c>
    </row>
    <row r="1677" spans="1:36" x14ac:dyDescent="0.25">
      <c r="A1677" t="s">
        <v>1287</v>
      </c>
      <c r="P1677" t="str">
        <f t="shared" si="440"/>
        <v xml:space="preserve">                </v>
      </c>
      <c r="Q1677" t="str">
        <f t="shared" si="440"/>
        <v xml:space="preserve">         </v>
      </c>
      <c r="R1677" t="str">
        <f t="shared" si="449"/>
        <v xml:space="preserve">    46.0 </v>
      </c>
      <c r="S1677" t="str">
        <f t="shared" si="441"/>
        <v xml:space="preserve">    55.0 </v>
      </c>
      <c r="T1677" t="str">
        <f t="shared" si="442"/>
        <v xml:space="preserve">    55.0 </v>
      </c>
      <c r="U1677" t="str">
        <f t="shared" si="446"/>
        <v xml:space="preserve">       86.1% </v>
      </c>
      <c r="V1677" t="str">
        <f t="shared" si="450"/>
        <v xml:space="preserve">         </v>
      </c>
      <c r="W1677" t="str">
        <f t="shared" si="443"/>
        <v xml:space="preserve">         </v>
      </c>
      <c r="X1677" t="str">
        <f t="shared" si="447"/>
        <v xml:space="preserve">  9796 </v>
      </c>
      <c r="Y1677" t="str">
        <f t="shared" si="447"/>
        <v xml:space="preserve"> ROCSAL-RS069 </v>
      </c>
      <c r="Z1677" t="str">
        <f t="shared" si="447"/>
        <v xml:space="preserve">  1 </v>
      </c>
      <c r="AA1677" t="str">
        <f t="shared" si="451"/>
        <v xml:space="preserve">    40.3 </v>
      </c>
      <c r="AB1677" t="str">
        <f t="shared" si="444"/>
        <v xml:space="preserve">     4.9 </v>
      </c>
      <c r="AC1677" t="str">
        <f t="shared" si="445"/>
        <v xml:space="preserve">    39.6 </v>
      </c>
      <c r="AD1677" t="str">
        <f t="shared" si="446"/>
        <v xml:space="preserve">        </v>
      </c>
      <c r="AE1677" t="str">
        <f t="shared" si="452"/>
        <v xml:space="preserve">       </v>
      </c>
      <c r="AF1677" t="str">
        <f t="shared" si="448"/>
        <v xml:space="preserve">     </v>
      </c>
      <c r="AG1677" t="str">
        <f t="shared" si="448"/>
        <v xml:space="preserve">     1.57 </v>
      </c>
      <c r="AH1677" t="str">
        <f t="shared" si="453"/>
        <v xml:space="preserve">     2.27 </v>
      </c>
      <c r="AI1677" t="str">
        <f t="shared" si="438"/>
        <v xml:space="preserve">       </v>
      </c>
      <c r="AJ1677" t="str">
        <f t="shared" si="439"/>
        <v xml:space="preserve">      </v>
      </c>
    </row>
    <row r="1678" spans="1:36" x14ac:dyDescent="0.25">
      <c r="A1678" t="s">
        <v>14</v>
      </c>
      <c r="P1678" t="str">
        <f t="shared" si="440"/>
        <v xml:space="preserve">  ..............</v>
      </c>
      <c r="Q1678" t="str">
        <f t="shared" si="440"/>
        <v>.........</v>
      </c>
      <c r="R1678" t="str">
        <f t="shared" si="449"/>
        <v>.........</v>
      </c>
      <c r="S1678" t="str">
        <f t="shared" si="441"/>
        <v>.........</v>
      </c>
      <c r="T1678" t="str">
        <f t="shared" si="442"/>
        <v>.........</v>
      </c>
      <c r="U1678" t="str">
        <f t="shared" si="446"/>
        <v>.............</v>
      </c>
      <c r="V1678" t="str">
        <f t="shared" si="450"/>
        <v>.........</v>
      </c>
      <c r="W1678" t="str">
        <f t="shared" si="443"/>
        <v>.........</v>
      </c>
      <c r="X1678" t="str">
        <f t="shared" si="447"/>
        <v>.......</v>
      </c>
      <c r="Y1678" t="str">
        <f t="shared" si="447"/>
        <v>..............</v>
      </c>
      <c r="Z1678" t="str">
        <f t="shared" si="447"/>
        <v>....</v>
      </c>
      <c r="AA1678" t="str">
        <f t="shared" si="451"/>
        <v>.........</v>
      </c>
      <c r="AB1678" t="str">
        <f t="shared" si="444"/>
        <v>.........</v>
      </c>
      <c r="AC1678" t="str">
        <f t="shared" si="445"/>
        <v>.........</v>
      </c>
      <c r="AD1678" t="str">
        <f t="shared" si="446"/>
        <v>........</v>
      </c>
      <c r="AE1678" t="str">
        <f t="shared" si="452"/>
        <v>.......</v>
      </c>
      <c r="AF1678" t="str">
        <f t="shared" si="448"/>
        <v>.....</v>
      </c>
      <c r="AG1678" t="str">
        <f t="shared" si="448"/>
        <v>..........</v>
      </c>
      <c r="AH1678" t="str">
        <f t="shared" si="453"/>
        <v>..........</v>
      </c>
      <c r="AI1678" t="str">
        <f t="shared" si="438"/>
        <v>.......</v>
      </c>
      <c r="AJ1678" t="str">
        <f t="shared" si="439"/>
        <v>.......</v>
      </c>
    </row>
    <row r="1679" spans="1:36" x14ac:dyDescent="0.25">
      <c r="A1679" t="s">
        <v>1288</v>
      </c>
      <c r="P1679" t="str">
        <f t="shared" si="440"/>
        <v xml:space="preserve">   9798   69  0 </v>
      </c>
      <c r="Q1679" t="str">
        <f t="shared" si="440"/>
        <v xml:space="preserve">   1.023 </v>
      </c>
      <c r="R1679" t="str">
        <f t="shared" si="449"/>
        <v xml:space="preserve">    17.4 </v>
      </c>
      <c r="S1679" t="str">
        <f t="shared" si="441"/>
        <v xml:space="preserve">     0.0 </v>
      </c>
      <c r="T1679" t="str">
        <f t="shared" si="442"/>
        <v xml:space="preserve">    43.7 </v>
      </c>
      <c r="U1679" t="str">
        <f t="shared" si="446"/>
        <v xml:space="preserve">         0.0 </v>
      </c>
      <c r="V1679" t="str">
        <f t="shared" si="450"/>
        <v xml:space="preserve">     0.0 </v>
      </c>
      <c r="W1679" t="str">
        <f t="shared" si="443"/>
        <v xml:space="preserve">     0.0</v>
      </c>
      <c r="X1679" t="str">
        <f t="shared" si="447"/>
        <v/>
      </c>
      <c r="Y1679" t="str">
        <f t="shared" si="447"/>
        <v/>
      </c>
      <c r="Z1679" t="str">
        <f t="shared" si="447"/>
        <v/>
      </c>
      <c r="AA1679" t="str">
        <f t="shared" si="451"/>
        <v/>
      </c>
      <c r="AB1679" t="str">
        <f t="shared" si="444"/>
        <v/>
      </c>
      <c r="AC1679" t="str">
        <f t="shared" si="445"/>
        <v/>
      </c>
      <c r="AD1679" t="str">
        <f t="shared" si="446"/>
        <v/>
      </c>
      <c r="AE1679" t="str">
        <f t="shared" si="452"/>
        <v/>
      </c>
      <c r="AF1679" t="str">
        <f t="shared" si="448"/>
        <v/>
      </c>
      <c r="AG1679" t="str">
        <f t="shared" si="448"/>
        <v/>
      </c>
      <c r="AH1679" t="str">
        <f t="shared" si="453"/>
        <v/>
      </c>
      <c r="AI1679" t="str">
        <f t="shared" si="438"/>
        <v/>
      </c>
      <c r="AJ1679" t="str">
        <f t="shared" si="439"/>
        <v/>
      </c>
    </row>
    <row r="1680" spans="1:36" x14ac:dyDescent="0.25">
      <c r="A1680" t="s">
        <v>1289</v>
      </c>
      <c r="P1680" t="str">
        <f t="shared" si="440"/>
        <v xml:space="preserve">  CERTE2-RS069  </v>
      </c>
      <c r="Q1680" t="str">
        <f t="shared" si="440"/>
        <v xml:space="preserve">   -54.4 </v>
      </c>
      <c r="R1680" t="str">
        <f t="shared" si="449"/>
        <v xml:space="preserve">     0.0 </v>
      </c>
      <c r="S1680" t="str">
        <f t="shared" si="441"/>
        <v xml:space="preserve">     0.0 </v>
      </c>
      <c r="T1680" t="str">
        <f t="shared" si="442"/>
        <v xml:space="preserve">     6.1 </v>
      </c>
      <c r="U1680" t="str">
        <f t="shared" si="446"/>
        <v xml:space="preserve">         0.0 </v>
      </c>
      <c r="V1680" t="str">
        <f t="shared" si="450"/>
        <v xml:space="preserve">     0.0 </v>
      </c>
      <c r="W1680" t="str">
        <f t="shared" si="443"/>
        <v xml:space="preserve">     0.0 </v>
      </c>
      <c r="X1680" t="str">
        <f t="shared" si="447"/>
        <v xml:space="preserve">       </v>
      </c>
      <c r="Y1680" t="str">
        <f t="shared" si="447"/>
        <v xml:space="preserve">              </v>
      </c>
      <c r="Z1680" t="str">
        <f t="shared" si="447"/>
        <v xml:space="preserve">    </v>
      </c>
      <c r="AA1680" t="str">
        <f t="shared" si="451"/>
        <v xml:space="preserve">         </v>
      </c>
      <c r="AB1680" t="str">
        <f t="shared" si="444"/>
        <v xml:space="preserve">         </v>
      </c>
      <c r="AC1680" t="str">
        <f t="shared" si="445"/>
        <v xml:space="preserve">    </v>
      </c>
      <c r="AD1680" t="str">
        <f t="shared" si="446"/>
        <v/>
      </c>
      <c r="AE1680" t="str">
        <f t="shared" si="452"/>
        <v/>
      </c>
      <c r="AF1680" t="str">
        <f t="shared" si="448"/>
        <v/>
      </c>
      <c r="AG1680" t="str">
        <f t="shared" si="448"/>
        <v/>
      </c>
      <c r="AH1680" t="str">
        <f t="shared" si="453"/>
        <v/>
      </c>
      <c r="AI1680" t="str">
        <f t="shared" si="438"/>
        <v/>
      </c>
      <c r="AJ1680" t="str">
        <f t="shared" si="439"/>
        <v/>
      </c>
    </row>
    <row r="1681" spans="1:36" x14ac:dyDescent="0.25">
      <c r="A1681" t="s">
        <v>1290</v>
      </c>
      <c r="P1681" t="str">
        <f t="shared" si="440"/>
        <v xml:space="preserve">                </v>
      </c>
      <c r="Q1681" t="str">
        <f t="shared" si="440"/>
        <v xml:space="preserve">         </v>
      </c>
      <c r="R1681" t="str">
        <f t="shared" si="449"/>
        <v xml:space="preserve">    68.0 </v>
      </c>
      <c r="S1681" t="str">
        <f t="shared" si="441"/>
        <v xml:space="preserve">    68.0 </v>
      </c>
      <c r="T1681" t="str">
        <f t="shared" si="442"/>
        <v xml:space="preserve">    68.0 </v>
      </c>
      <c r="U1681" t="str">
        <f t="shared" si="446"/>
        <v xml:space="preserve">       19.5% </v>
      </c>
      <c r="V1681" t="str">
        <f t="shared" si="450"/>
        <v xml:space="preserve">         </v>
      </c>
      <c r="W1681" t="str">
        <f t="shared" si="443"/>
        <v xml:space="preserve">         </v>
      </c>
      <c r="X1681" t="str">
        <f t="shared" si="447"/>
        <v xml:space="preserve">  9782 </v>
      </c>
      <c r="Y1681" t="str">
        <f t="shared" si="447"/>
        <v xml:space="preserve"> LAJEA3-RS069 </v>
      </c>
      <c r="Z1681" t="str">
        <f t="shared" si="447"/>
        <v xml:space="preserve">  1 </v>
      </c>
      <c r="AA1681" t="str">
        <f t="shared" si="451"/>
        <v xml:space="preserve">   -13.2 </v>
      </c>
      <c r="AB1681" t="str">
        <f t="shared" si="444"/>
        <v xml:space="preserve">    -3.1 </v>
      </c>
      <c r="AC1681" t="str">
        <f t="shared" si="445"/>
        <v xml:space="preserve">    13.2 </v>
      </c>
      <c r="AD1681" t="str">
        <f t="shared" si="446"/>
        <v xml:space="preserve">        </v>
      </c>
      <c r="AE1681" t="str">
        <f t="shared" si="452"/>
        <v xml:space="preserve">       </v>
      </c>
      <c r="AF1681" t="str">
        <f t="shared" si="448"/>
        <v xml:space="preserve">     </v>
      </c>
      <c r="AG1681" t="str">
        <f t="shared" si="448"/>
        <v xml:space="preserve">     0.04 </v>
      </c>
      <c r="AH1681" t="str">
        <f t="shared" si="453"/>
        <v xml:space="preserve">    -0.02 </v>
      </c>
      <c r="AI1681" t="str">
        <f t="shared" si="438"/>
        <v xml:space="preserve">       </v>
      </c>
      <c r="AJ1681" t="str">
        <f t="shared" si="439"/>
        <v xml:space="preserve">      </v>
      </c>
    </row>
    <row r="1682" spans="1:36" x14ac:dyDescent="0.25">
      <c r="A1682" t="s">
        <v>1291</v>
      </c>
      <c r="P1682" t="str">
        <f t="shared" si="440"/>
        <v xml:space="preserve">                </v>
      </c>
      <c r="Q1682" t="str">
        <f t="shared" si="440"/>
        <v xml:space="preserve">         </v>
      </c>
      <c r="R1682" t="str">
        <f t="shared" si="449"/>
        <v xml:space="preserve">    68.0 </v>
      </c>
      <c r="S1682" t="str">
        <f t="shared" si="441"/>
        <v xml:space="preserve">    68.0 </v>
      </c>
      <c r="T1682" t="str">
        <f t="shared" si="442"/>
        <v xml:space="preserve">    68.0 </v>
      </c>
      <c r="U1682" t="str">
        <f t="shared" si="446"/>
        <v xml:space="preserve">       19.3% </v>
      </c>
      <c r="V1682" t="str">
        <f t="shared" si="450"/>
        <v xml:space="preserve">         </v>
      </c>
      <c r="W1682" t="str">
        <f t="shared" si="443"/>
        <v xml:space="preserve">         </v>
      </c>
      <c r="X1682" t="str">
        <f t="shared" si="447"/>
        <v xml:space="preserve">  9782 </v>
      </c>
      <c r="Y1682" t="str">
        <f t="shared" si="447"/>
        <v xml:space="preserve"> LAJEA3-RS069 </v>
      </c>
      <c r="Z1682" t="str">
        <f t="shared" si="447"/>
        <v xml:space="preserve">  2 </v>
      </c>
      <c r="AA1682" t="str">
        <f t="shared" si="451"/>
        <v xml:space="preserve">   -13.1 </v>
      </c>
      <c r="AB1682" t="str">
        <f t="shared" si="444"/>
        <v xml:space="preserve">    -3.0 </v>
      </c>
      <c r="AC1682" t="str">
        <f t="shared" si="445"/>
        <v xml:space="preserve">    13.1 </v>
      </c>
      <c r="AD1682" t="str">
        <f t="shared" si="446"/>
        <v xml:space="preserve">        </v>
      </c>
      <c r="AE1682" t="str">
        <f t="shared" si="452"/>
        <v xml:space="preserve">       </v>
      </c>
      <c r="AF1682" t="str">
        <f t="shared" si="448"/>
        <v xml:space="preserve">     </v>
      </c>
      <c r="AG1682" t="str">
        <f t="shared" si="448"/>
        <v xml:space="preserve">     0.04 </v>
      </c>
      <c r="AH1682" t="str">
        <f t="shared" si="453"/>
        <v xml:space="preserve">    -0.02 </v>
      </c>
      <c r="AI1682" t="str">
        <f t="shared" si="438"/>
        <v xml:space="preserve">       </v>
      </c>
      <c r="AJ1682" t="str">
        <f t="shared" si="439"/>
        <v xml:space="preserve">      </v>
      </c>
    </row>
    <row r="1683" spans="1:36" x14ac:dyDescent="0.25">
      <c r="A1683" t="s">
        <v>14</v>
      </c>
      <c r="P1683" t="str">
        <f t="shared" si="440"/>
        <v xml:space="preserve">  ..............</v>
      </c>
      <c r="Q1683" t="str">
        <f t="shared" si="440"/>
        <v>.........</v>
      </c>
      <c r="R1683" t="str">
        <f t="shared" si="449"/>
        <v>.........</v>
      </c>
      <c r="S1683" t="str">
        <f t="shared" si="441"/>
        <v>.........</v>
      </c>
      <c r="T1683" t="str">
        <f t="shared" si="442"/>
        <v>.........</v>
      </c>
      <c r="U1683" t="str">
        <f t="shared" si="446"/>
        <v>.............</v>
      </c>
      <c r="V1683" t="str">
        <f t="shared" si="450"/>
        <v>.........</v>
      </c>
      <c r="W1683" t="str">
        <f t="shared" si="443"/>
        <v>.........</v>
      </c>
      <c r="X1683" t="str">
        <f t="shared" si="447"/>
        <v>.......</v>
      </c>
      <c r="Y1683" t="str">
        <f t="shared" si="447"/>
        <v>..............</v>
      </c>
      <c r="Z1683" t="str">
        <f t="shared" si="447"/>
        <v>....</v>
      </c>
      <c r="AA1683" t="str">
        <f t="shared" si="451"/>
        <v>.........</v>
      </c>
      <c r="AB1683" t="str">
        <f t="shared" si="444"/>
        <v>.........</v>
      </c>
      <c r="AC1683" t="str">
        <f t="shared" si="445"/>
        <v>.........</v>
      </c>
      <c r="AD1683" t="str">
        <f t="shared" si="446"/>
        <v>........</v>
      </c>
      <c r="AE1683" t="str">
        <f t="shared" si="452"/>
        <v>.......</v>
      </c>
      <c r="AF1683" t="str">
        <f t="shared" si="448"/>
        <v>.....</v>
      </c>
      <c r="AG1683" t="str">
        <f t="shared" si="448"/>
        <v>..........</v>
      </c>
      <c r="AH1683" t="str">
        <f t="shared" si="453"/>
        <v>..........</v>
      </c>
      <c r="AI1683" t="str">
        <f t="shared" si="438"/>
        <v>.......</v>
      </c>
      <c r="AJ1683" t="str">
        <f t="shared" si="439"/>
        <v>.......</v>
      </c>
    </row>
    <row r="1684" spans="1:36" x14ac:dyDescent="0.25">
      <c r="A1684" t="s">
        <v>1292</v>
      </c>
      <c r="P1684" t="str">
        <f t="shared" si="440"/>
        <v xml:space="preserve">   9823  138  0 </v>
      </c>
      <c r="Q1684" t="str">
        <f t="shared" si="440"/>
        <v xml:space="preserve">   0.999 </v>
      </c>
      <c r="R1684" t="str">
        <f t="shared" si="449"/>
        <v xml:space="preserve">     0.0 </v>
      </c>
      <c r="S1684" t="str">
        <f t="shared" si="441"/>
        <v xml:space="preserve">     0.0 </v>
      </c>
      <c r="T1684" t="str">
        <f t="shared" si="442"/>
        <v xml:space="preserve">     0.0 </v>
      </c>
      <c r="U1684" t="str">
        <f t="shared" si="446"/>
        <v xml:space="preserve">         0.0 </v>
      </c>
      <c r="V1684" t="str">
        <f t="shared" si="450"/>
        <v xml:space="preserve">     0.0 </v>
      </c>
      <c r="W1684" t="str">
        <f t="shared" si="443"/>
        <v xml:space="preserve">     0.0</v>
      </c>
      <c r="X1684" t="str">
        <f t="shared" si="447"/>
        <v/>
      </c>
      <c r="Y1684" t="str">
        <f t="shared" si="447"/>
        <v/>
      </c>
      <c r="Z1684" t="str">
        <f t="shared" si="447"/>
        <v/>
      </c>
      <c r="AA1684" t="str">
        <f t="shared" si="451"/>
        <v/>
      </c>
      <c r="AB1684" t="str">
        <f t="shared" si="444"/>
        <v/>
      </c>
      <c r="AC1684" t="str">
        <f t="shared" si="445"/>
        <v/>
      </c>
      <c r="AD1684" t="str">
        <f t="shared" si="446"/>
        <v/>
      </c>
      <c r="AE1684" t="str">
        <f t="shared" si="452"/>
        <v/>
      </c>
      <c r="AF1684" t="str">
        <f t="shared" si="448"/>
        <v/>
      </c>
      <c r="AG1684" t="str">
        <f t="shared" si="448"/>
        <v/>
      </c>
      <c r="AH1684" t="str">
        <f t="shared" si="453"/>
        <v/>
      </c>
      <c r="AI1684" t="str">
        <f t="shared" si="438"/>
        <v/>
      </c>
      <c r="AJ1684" t="str">
        <f t="shared" si="439"/>
        <v/>
      </c>
    </row>
    <row r="1685" spans="1:36" x14ac:dyDescent="0.25">
      <c r="A1685" t="s">
        <v>1293</v>
      </c>
      <c r="P1685" t="str">
        <f t="shared" si="440"/>
        <v xml:space="preserve">  SVP2-A-RS138  </v>
      </c>
      <c r="Q1685" t="str">
        <f t="shared" si="440"/>
        <v xml:space="preserve">   -46.8 </v>
      </c>
      <c r="R1685" t="str">
        <f t="shared" si="449"/>
        <v xml:space="preserve">     0.0 </v>
      </c>
      <c r="S1685" t="str">
        <f t="shared" si="441"/>
        <v xml:space="preserve">     0.0 </v>
      </c>
      <c r="T1685" t="str">
        <f t="shared" si="442"/>
        <v xml:space="preserve">     0.0 </v>
      </c>
      <c r="U1685" t="str">
        <f t="shared" si="446"/>
        <v xml:space="preserve">         0.0 </v>
      </c>
      <c r="V1685" t="str">
        <f t="shared" si="450"/>
        <v xml:space="preserve">     0.0 </v>
      </c>
      <c r="W1685" t="str">
        <f t="shared" si="443"/>
        <v xml:space="preserve">     0.0 </v>
      </c>
      <c r="X1685" t="str">
        <f t="shared" si="447"/>
        <v xml:space="preserve">       </v>
      </c>
      <c r="Y1685" t="str">
        <f t="shared" si="447"/>
        <v xml:space="preserve">              </v>
      </c>
      <c r="Z1685" t="str">
        <f t="shared" si="447"/>
        <v xml:space="preserve">    </v>
      </c>
      <c r="AA1685" t="str">
        <f t="shared" si="451"/>
        <v xml:space="preserve">         </v>
      </c>
      <c r="AB1685" t="str">
        <f t="shared" si="444"/>
        <v xml:space="preserve">         </v>
      </c>
      <c r="AC1685" t="str">
        <f t="shared" si="445"/>
        <v xml:space="preserve">    </v>
      </c>
      <c r="AD1685" t="str">
        <f t="shared" si="446"/>
        <v/>
      </c>
      <c r="AE1685" t="str">
        <f t="shared" si="452"/>
        <v/>
      </c>
      <c r="AF1685" t="str">
        <f t="shared" si="448"/>
        <v/>
      </c>
      <c r="AG1685" t="str">
        <f t="shared" si="448"/>
        <v/>
      </c>
      <c r="AH1685" t="str">
        <f t="shared" si="453"/>
        <v/>
      </c>
      <c r="AI1685" t="str">
        <f t="shared" si="438"/>
        <v/>
      </c>
      <c r="AJ1685" t="str">
        <f t="shared" si="439"/>
        <v/>
      </c>
    </row>
    <row r="1686" spans="1:36" x14ac:dyDescent="0.25">
      <c r="A1686" t="s">
        <v>1294</v>
      </c>
      <c r="P1686" t="str">
        <f t="shared" si="440"/>
        <v xml:space="preserve">                </v>
      </c>
      <c r="Q1686" t="str">
        <f t="shared" si="440"/>
        <v xml:space="preserve">         </v>
      </c>
      <c r="R1686" t="str">
        <f t="shared" si="449"/>
        <v xml:space="preserve">    97.0 </v>
      </c>
      <c r="S1686" t="str">
        <f t="shared" si="441"/>
        <v xml:space="preserve">   141.0 </v>
      </c>
      <c r="T1686" t="str">
        <f t="shared" si="442"/>
        <v xml:space="preserve">   141.0 </v>
      </c>
      <c r="U1686" t="str">
        <f t="shared" si="446"/>
        <v xml:space="preserve">       10.0% </v>
      </c>
      <c r="V1686" t="str">
        <f t="shared" si="450"/>
        <v xml:space="preserve">         </v>
      </c>
      <c r="W1686" t="str">
        <f t="shared" si="443"/>
        <v xml:space="preserve">         </v>
      </c>
      <c r="X1686" t="str">
        <f t="shared" si="447"/>
        <v xml:space="preserve">  1274 </v>
      </c>
      <c r="Y1686" t="str">
        <f t="shared" si="447"/>
        <v xml:space="preserve"> SVPALM-RS138 </v>
      </c>
      <c r="Z1686" t="str">
        <f t="shared" si="447"/>
        <v xml:space="preserve">  1 </v>
      </c>
      <c r="AA1686" t="str">
        <f t="shared" si="451"/>
        <v xml:space="preserve">     9.7 </v>
      </c>
      <c r="AB1686" t="str">
        <f t="shared" si="444"/>
        <v xml:space="preserve">    -0.7 </v>
      </c>
      <c r="AC1686" t="str">
        <f t="shared" si="445"/>
        <v xml:space="preserve">     9.7 </v>
      </c>
      <c r="AD1686" t="str">
        <f t="shared" si="446"/>
        <v xml:space="preserve">        </v>
      </c>
      <c r="AE1686" t="str">
        <f t="shared" si="452"/>
        <v xml:space="preserve">       </v>
      </c>
      <c r="AF1686" t="str">
        <f t="shared" si="448"/>
        <v xml:space="preserve">     </v>
      </c>
      <c r="AG1686" t="str">
        <f t="shared" si="448"/>
        <v xml:space="preserve">     0.01 </v>
      </c>
      <c r="AH1686" t="str">
        <f t="shared" si="453"/>
        <v xml:space="preserve">    -0.63 </v>
      </c>
      <c r="AI1686" t="str">
        <f t="shared" si="438"/>
        <v xml:space="preserve">       </v>
      </c>
      <c r="AJ1686" t="str">
        <f t="shared" si="439"/>
        <v xml:space="preserve">      </v>
      </c>
    </row>
    <row r="1687" spans="1:36" x14ac:dyDescent="0.25">
      <c r="A1687" t="s">
        <v>1295</v>
      </c>
      <c r="P1687" t="str">
        <f t="shared" si="440"/>
        <v xml:space="preserve">                </v>
      </c>
      <c r="Q1687" t="str">
        <f t="shared" si="440"/>
        <v xml:space="preserve">         </v>
      </c>
      <c r="R1687" t="str">
        <f t="shared" si="449"/>
        <v xml:space="preserve">    97.0 </v>
      </c>
      <c r="S1687" t="str">
        <f t="shared" si="441"/>
        <v xml:space="preserve">   141.0 </v>
      </c>
      <c r="T1687" t="str">
        <f t="shared" si="442"/>
        <v xml:space="preserve">   141.0 </v>
      </c>
      <c r="U1687" t="str">
        <f t="shared" si="446"/>
        <v xml:space="preserve">       10.1% </v>
      </c>
      <c r="V1687" t="str">
        <f t="shared" si="450"/>
        <v xml:space="preserve">         </v>
      </c>
      <c r="W1687" t="str">
        <f t="shared" si="443"/>
        <v xml:space="preserve">         </v>
      </c>
      <c r="X1687" t="str">
        <f t="shared" si="447"/>
        <v xml:space="preserve">  1285 </v>
      </c>
      <c r="Y1687" t="str">
        <f t="shared" si="447"/>
        <v xml:space="preserve"> MARMEL-RS138 </v>
      </c>
      <c r="Z1687" t="str">
        <f t="shared" si="447"/>
        <v xml:space="preserve">  1 </v>
      </c>
      <c r="AA1687" t="str">
        <f t="shared" si="451"/>
        <v xml:space="preserve">     2.0 </v>
      </c>
      <c r="AB1687" t="str">
        <f t="shared" si="444"/>
        <v xml:space="preserve">    -9.6 </v>
      </c>
      <c r="AC1687" t="str">
        <f t="shared" si="445"/>
        <v xml:space="preserve">     9.8 </v>
      </c>
      <c r="AD1687" t="str">
        <f t="shared" si="446"/>
        <v xml:space="preserve">        </v>
      </c>
      <c r="AE1687" t="str">
        <f t="shared" si="452"/>
        <v xml:space="preserve">       </v>
      </c>
      <c r="AF1687" t="str">
        <f t="shared" si="448"/>
        <v xml:space="preserve">     </v>
      </c>
      <c r="AG1687" t="str">
        <f t="shared" si="448"/>
        <v xml:space="preserve">     0.03 </v>
      </c>
      <c r="AH1687" t="str">
        <f t="shared" si="453"/>
        <v xml:space="preserve">    -2.41 </v>
      </c>
      <c r="AI1687" t="str">
        <f t="shared" ref="AI1687:AI1750" si="454">MID($A1687,AG$8+AG$9+AH$9-2,AI$9)</f>
        <v xml:space="preserve">       </v>
      </c>
      <c r="AJ1687" t="str">
        <f t="shared" ref="AJ1687:AJ1750" si="455">MID($A1687,AG$8+AG$9+AH$9+AI$9-3,AJ$9)</f>
        <v xml:space="preserve">      </v>
      </c>
    </row>
    <row r="1688" spans="1:36" x14ac:dyDescent="0.25">
      <c r="A1688" t="s">
        <v>1296</v>
      </c>
      <c r="P1688" t="str">
        <f t="shared" si="440"/>
        <v xml:space="preserve">                </v>
      </c>
      <c r="Q1688" t="str">
        <f t="shared" si="440"/>
        <v xml:space="preserve">         </v>
      </c>
      <c r="R1688" t="str">
        <f t="shared" si="449"/>
        <v xml:space="preserve">    75.0 </v>
      </c>
      <c r="S1688" t="str">
        <f t="shared" si="441"/>
        <v xml:space="preserve">    90.0 </v>
      </c>
      <c r="T1688" t="str">
        <f t="shared" si="442"/>
        <v xml:space="preserve">    90.0 </v>
      </c>
      <c r="U1688" t="str">
        <f t="shared" si="446"/>
        <v xml:space="preserve">       10.4% </v>
      </c>
      <c r="V1688" t="str">
        <f t="shared" si="450"/>
        <v xml:space="preserve">         </v>
      </c>
      <c r="W1688" t="str">
        <f t="shared" si="443"/>
        <v xml:space="preserve">         </v>
      </c>
      <c r="X1688" t="str">
        <f t="shared" si="447"/>
        <v xml:space="preserve"> 41386 </v>
      </c>
      <c r="Y1688" t="str">
        <f t="shared" si="447"/>
        <v xml:space="preserve"> SVP--1-RS000 </v>
      </c>
      <c r="Z1688" t="str">
        <f t="shared" si="447"/>
        <v xml:space="preserve">  1 </v>
      </c>
      <c r="AA1688" t="str">
        <f t="shared" si="451"/>
        <v xml:space="preserve">    -5.9 </v>
      </c>
      <c r="AB1688" t="str">
        <f t="shared" si="444"/>
        <v xml:space="preserve">     5.1 </v>
      </c>
      <c r="AC1688" t="str">
        <f t="shared" si="445"/>
        <v xml:space="preserve">     7.8 </v>
      </c>
      <c r="AD1688" t="str">
        <f t="shared" si="446"/>
        <v xml:space="preserve"> 0.968* </v>
      </c>
      <c r="AE1688" t="str">
        <f t="shared" si="452"/>
        <v xml:space="preserve">       </v>
      </c>
      <c r="AF1688" t="str">
        <f t="shared" si="448"/>
        <v xml:space="preserve"> 001 </v>
      </c>
      <c r="AG1688" t="str">
        <f t="shared" si="448"/>
        <v xml:space="preserve">     0.00 </v>
      </c>
      <c r="AH1688" t="str">
        <f t="shared" si="453"/>
        <v xml:space="preserve">    -0.00 </v>
      </c>
      <c r="AI1688" t="str">
        <f t="shared" si="454"/>
        <v xml:space="preserve">       </v>
      </c>
      <c r="AJ1688" t="str">
        <f t="shared" si="455"/>
        <v xml:space="preserve">      </v>
      </c>
    </row>
    <row r="1689" spans="1:36" x14ac:dyDescent="0.25">
      <c r="A1689" t="s">
        <v>1297</v>
      </c>
      <c r="P1689" t="str">
        <f t="shared" si="440"/>
        <v xml:space="preserve">                </v>
      </c>
      <c r="Q1689" t="str">
        <f t="shared" si="440"/>
        <v xml:space="preserve">         </v>
      </c>
      <c r="R1689" t="str">
        <f t="shared" si="449"/>
        <v xml:space="preserve">    75.0 </v>
      </c>
      <c r="S1689" t="str">
        <f t="shared" si="441"/>
        <v xml:space="preserve">    90.0 </v>
      </c>
      <c r="T1689" t="str">
        <f t="shared" si="442"/>
        <v xml:space="preserve">    90.0 </v>
      </c>
      <c r="U1689" t="str">
        <f t="shared" si="446"/>
        <v xml:space="preserve">       10.4% </v>
      </c>
      <c r="V1689" t="str">
        <f t="shared" si="450"/>
        <v xml:space="preserve">         </v>
      </c>
      <c r="W1689" t="str">
        <f t="shared" si="443"/>
        <v xml:space="preserve">         </v>
      </c>
      <c r="X1689" t="str">
        <f t="shared" si="447"/>
        <v xml:space="preserve"> 43475 </v>
      </c>
      <c r="Y1689" t="str">
        <f t="shared" si="447"/>
        <v xml:space="preserve"> SVP2-2-RS000 </v>
      </c>
      <c r="Z1689" t="str">
        <f t="shared" si="447"/>
        <v xml:space="preserve">  2 </v>
      </c>
      <c r="AA1689" t="str">
        <f t="shared" si="451"/>
        <v xml:space="preserve">    -5.9 </v>
      </c>
      <c r="AB1689" t="str">
        <f t="shared" si="444"/>
        <v xml:space="preserve">     5.1 </v>
      </c>
      <c r="AC1689" t="str">
        <f t="shared" si="445"/>
        <v xml:space="preserve">     7.8 </v>
      </c>
      <c r="AD1689" t="str">
        <f t="shared" si="446"/>
        <v xml:space="preserve"> 0.968* </v>
      </c>
      <c r="AE1689" t="str">
        <f t="shared" si="452"/>
        <v xml:space="preserve">       </v>
      </c>
      <c r="AF1689" t="str">
        <f t="shared" si="448"/>
        <v xml:space="preserve"> 001 </v>
      </c>
      <c r="AG1689" t="str">
        <f t="shared" si="448"/>
        <v xml:space="preserve">     0.00 </v>
      </c>
      <c r="AH1689" t="str">
        <f t="shared" si="453"/>
        <v xml:space="preserve">    -0.00 </v>
      </c>
      <c r="AI1689" t="str">
        <f t="shared" si="454"/>
        <v xml:space="preserve">       </v>
      </c>
      <c r="AJ1689" t="str">
        <f t="shared" si="455"/>
        <v xml:space="preserve">      </v>
      </c>
    </row>
    <row r="1690" spans="1:36" x14ac:dyDescent="0.25">
      <c r="A1690" t="s">
        <v>14</v>
      </c>
      <c r="P1690" t="str">
        <f t="shared" si="440"/>
        <v xml:space="preserve">  ..............</v>
      </c>
      <c r="Q1690" t="str">
        <f t="shared" si="440"/>
        <v>.........</v>
      </c>
      <c r="R1690" t="str">
        <f t="shared" si="449"/>
        <v>.........</v>
      </c>
      <c r="S1690" t="str">
        <f t="shared" si="441"/>
        <v>.........</v>
      </c>
      <c r="T1690" t="str">
        <f t="shared" si="442"/>
        <v>.........</v>
      </c>
      <c r="U1690" t="str">
        <f t="shared" si="446"/>
        <v>.............</v>
      </c>
      <c r="V1690" t="str">
        <f t="shared" si="450"/>
        <v>.........</v>
      </c>
      <c r="W1690" t="str">
        <f t="shared" si="443"/>
        <v>.........</v>
      </c>
      <c r="X1690" t="str">
        <f t="shared" si="447"/>
        <v>.......</v>
      </c>
      <c r="Y1690" t="str">
        <f t="shared" si="447"/>
        <v>..............</v>
      </c>
      <c r="Z1690" t="str">
        <f t="shared" si="447"/>
        <v>....</v>
      </c>
      <c r="AA1690" t="str">
        <f t="shared" si="451"/>
        <v>.........</v>
      </c>
      <c r="AB1690" t="str">
        <f t="shared" si="444"/>
        <v>.........</v>
      </c>
      <c r="AC1690" t="str">
        <f t="shared" si="445"/>
        <v>.........</v>
      </c>
      <c r="AD1690" t="str">
        <f t="shared" si="446"/>
        <v>........</v>
      </c>
      <c r="AE1690" t="str">
        <f t="shared" si="452"/>
        <v>.......</v>
      </c>
      <c r="AF1690" t="str">
        <f t="shared" si="448"/>
        <v>.....</v>
      </c>
      <c r="AG1690" t="str">
        <f t="shared" si="448"/>
        <v>..........</v>
      </c>
      <c r="AH1690" t="str">
        <f t="shared" si="453"/>
        <v>..........</v>
      </c>
      <c r="AI1690" t="str">
        <f t="shared" si="454"/>
        <v>.......</v>
      </c>
      <c r="AJ1690" t="str">
        <f t="shared" si="455"/>
        <v>.......</v>
      </c>
    </row>
    <row r="1691" spans="1:36" x14ac:dyDescent="0.25">
      <c r="A1691" t="s">
        <v>1298</v>
      </c>
      <c r="P1691" t="str">
        <f t="shared" ref="P1691:Q1754" si="456">MID($A1691,P$8,P$9)</f>
        <v xml:space="preserve">   9829   69  0 </v>
      </c>
      <c r="Q1691" t="str">
        <f t="shared" si="456"/>
        <v xml:space="preserve">   1.023 </v>
      </c>
      <c r="R1691" t="str">
        <f t="shared" si="449"/>
        <v xml:space="preserve">     0.0 </v>
      </c>
      <c r="S1691" t="str">
        <f t="shared" ref="S1691:S1754" si="457">MID($A1691,Q$8+Q$9+R$9-2,S$9)</f>
        <v xml:space="preserve">     0.0 </v>
      </c>
      <c r="T1691" t="str">
        <f t="shared" ref="T1691:T1754" si="458">MID($A1691,Q$8+Q$9+R$9+S$9-3,T$9)</f>
        <v xml:space="preserve">     0.0 </v>
      </c>
      <c r="U1691" t="str">
        <f t="shared" si="446"/>
        <v xml:space="preserve">         0.0 </v>
      </c>
      <c r="V1691" t="str">
        <f t="shared" si="450"/>
        <v xml:space="preserve">     0.0 </v>
      </c>
      <c r="W1691" t="str">
        <f t="shared" ref="W1691:W1754" si="459">MID($A1691,U$8+U$9+V$9-2,W$9)</f>
        <v xml:space="preserve">     0.0</v>
      </c>
      <c r="X1691" t="str">
        <f t="shared" si="447"/>
        <v/>
      </c>
      <c r="Y1691" t="str">
        <f t="shared" si="447"/>
        <v/>
      </c>
      <c r="Z1691" t="str">
        <f t="shared" si="447"/>
        <v/>
      </c>
      <c r="AA1691" t="str">
        <f t="shared" si="451"/>
        <v/>
      </c>
      <c r="AB1691" t="str">
        <f t="shared" ref="AB1691:AB1754" si="460">MID($A1691,Z$8+Z$9+AA$9-2,AB$9)</f>
        <v/>
      </c>
      <c r="AC1691" t="str">
        <f t="shared" ref="AC1691:AC1754" si="461">MID($A1691,Z$8+Z$9+AA$9+AB$9-3,AC$9)</f>
        <v/>
      </c>
      <c r="AD1691" t="str">
        <f t="shared" si="446"/>
        <v/>
      </c>
      <c r="AE1691" t="str">
        <f t="shared" si="452"/>
        <v/>
      </c>
      <c r="AF1691" t="str">
        <f t="shared" si="448"/>
        <v/>
      </c>
      <c r="AG1691" t="str">
        <f t="shared" si="448"/>
        <v/>
      </c>
      <c r="AH1691" t="str">
        <f t="shared" si="453"/>
        <v/>
      </c>
      <c r="AI1691" t="str">
        <f t="shared" si="454"/>
        <v/>
      </c>
      <c r="AJ1691" t="str">
        <f t="shared" si="455"/>
        <v/>
      </c>
    </row>
    <row r="1692" spans="1:36" x14ac:dyDescent="0.25">
      <c r="A1692" t="s">
        <v>1299</v>
      </c>
      <c r="P1692" t="str">
        <f t="shared" si="456"/>
        <v xml:space="preserve">  FRASLETAP069  </v>
      </c>
      <c r="Q1692" t="str">
        <f t="shared" si="456"/>
        <v xml:space="preserve">   -50.5 </v>
      </c>
      <c r="R1692" t="str">
        <f t="shared" si="449"/>
        <v xml:space="preserve">     0.0 </v>
      </c>
      <c r="S1692" t="str">
        <f t="shared" si="457"/>
        <v xml:space="preserve">     0.0 </v>
      </c>
      <c r="T1692" t="str">
        <f t="shared" si="458"/>
        <v xml:space="preserve">     0.0 </v>
      </c>
      <c r="U1692" t="str">
        <f t="shared" ref="U1692:AD1755" si="462">MID($A1692,U$8,U$9)</f>
        <v xml:space="preserve">         0.0 </v>
      </c>
      <c r="V1692" t="str">
        <f t="shared" si="450"/>
        <v xml:space="preserve">     0.0 </v>
      </c>
      <c r="W1692" t="str">
        <f t="shared" si="459"/>
        <v xml:space="preserve">     0.0 </v>
      </c>
      <c r="X1692" t="str">
        <f t="shared" ref="X1692:Z1755" si="463">MID($A1692,X$8,X$9)</f>
        <v xml:space="preserve">       </v>
      </c>
      <c r="Y1692" t="str">
        <f t="shared" si="463"/>
        <v xml:space="preserve">              </v>
      </c>
      <c r="Z1692" t="str">
        <f t="shared" si="463"/>
        <v xml:space="preserve">    </v>
      </c>
      <c r="AA1692" t="str">
        <f t="shared" si="451"/>
        <v xml:space="preserve">         </v>
      </c>
      <c r="AB1692" t="str">
        <f t="shared" si="460"/>
        <v xml:space="preserve">         </v>
      </c>
      <c r="AC1692" t="str">
        <f t="shared" si="461"/>
        <v xml:space="preserve">    </v>
      </c>
      <c r="AD1692" t="str">
        <f t="shared" si="462"/>
        <v/>
      </c>
      <c r="AE1692" t="str">
        <f t="shared" si="452"/>
        <v/>
      </c>
      <c r="AF1692" t="str">
        <f t="shared" si="448"/>
        <v/>
      </c>
      <c r="AG1692" t="str">
        <f t="shared" si="448"/>
        <v/>
      </c>
      <c r="AH1692" t="str">
        <f t="shared" si="453"/>
        <v/>
      </c>
      <c r="AI1692" t="str">
        <f t="shared" si="454"/>
        <v/>
      </c>
      <c r="AJ1692" t="str">
        <f t="shared" si="455"/>
        <v/>
      </c>
    </row>
    <row r="1693" spans="1:36" x14ac:dyDescent="0.25">
      <c r="A1693" t="s">
        <v>1300</v>
      </c>
      <c r="P1693" t="str">
        <f t="shared" si="456"/>
        <v xml:space="preserve">                </v>
      </c>
      <c r="Q1693" t="str">
        <f t="shared" si="456"/>
        <v xml:space="preserve">         </v>
      </c>
      <c r="R1693" t="str">
        <f t="shared" si="449"/>
        <v xml:space="preserve">    75.0 </v>
      </c>
      <c r="S1693" t="str">
        <f t="shared" si="457"/>
        <v xml:space="preserve">    90.0 </v>
      </c>
      <c r="T1693" t="str">
        <f t="shared" si="458"/>
        <v xml:space="preserve">    90.0 </v>
      </c>
      <c r="U1693" t="str">
        <f t="shared" si="462"/>
        <v xml:space="preserve">       19.7% </v>
      </c>
      <c r="V1693" t="str">
        <f t="shared" si="450"/>
        <v xml:space="preserve">         </v>
      </c>
      <c r="W1693" t="str">
        <f t="shared" si="459"/>
        <v xml:space="preserve">         </v>
      </c>
      <c r="X1693" t="str">
        <f t="shared" si="463"/>
        <v xml:space="preserve">  1207 </v>
      </c>
      <c r="Y1693" t="str">
        <f t="shared" si="463"/>
        <v xml:space="preserve"> FARROU-RS069 </v>
      </c>
      <c r="Z1693" t="str">
        <f t="shared" si="463"/>
        <v xml:space="preserve">  1 </v>
      </c>
      <c r="AA1693" t="str">
        <f t="shared" si="451"/>
        <v xml:space="preserve">   -14.4 </v>
      </c>
      <c r="AB1693" t="str">
        <f t="shared" si="460"/>
        <v xml:space="preserve">    -4.6 </v>
      </c>
      <c r="AC1693" t="str">
        <f t="shared" si="461"/>
        <v xml:space="preserve">    14.8 </v>
      </c>
      <c r="AD1693" t="str">
        <f t="shared" si="462"/>
        <v xml:space="preserve">        </v>
      </c>
      <c r="AE1693" t="str">
        <f t="shared" si="452"/>
        <v xml:space="preserve">       </v>
      </c>
      <c r="AF1693" t="str">
        <f t="shared" ref="AF1693:AG1756" si="464">MID($A1693,AF$8,AF$9)</f>
        <v xml:space="preserve">     </v>
      </c>
      <c r="AG1693" t="str">
        <f t="shared" si="464"/>
        <v xml:space="preserve">     0.03 </v>
      </c>
      <c r="AH1693" t="str">
        <f t="shared" si="453"/>
        <v xml:space="preserve">     0.03 </v>
      </c>
      <c r="AI1693" t="str">
        <f t="shared" si="454"/>
        <v xml:space="preserve">       </v>
      </c>
      <c r="AJ1693" t="str">
        <f t="shared" si="455"/>
        <v xml:space="preserve">      </v>
      </c>
    </row>
    <row r="1694" spans="1:36" x14ac:dyDescent="0.25">
      <c r="A1694" t="s">
        <v>1301</v>
      </c>
      <c r="P1694" t="str">
        <f t="shared" si="456"/>
        <v xml:space="preserve">                </v>
      </c>
      <c r="Q1694" t="str">
        <f t="shared" si="456"/>
        <v xml:space="preserve">         </v>
      </c>
      <c r="R1694" t="str">
        <f t="shared" si="449"/>
        <v xml:space="preserve">    30.0 </v>
      </c>
      <c r="S1694" t="str">
        <f t="shared" si="457"/>
        <v xml:space="preserve">    43.0 </v>
      </c>
      <c r="T1694" t="str">
        <f t="shared" si="458"/>
        <v xml:space="preserve">    43.0 </v>
      </c>
      <c r="U1694" t="str">
        <f t="shared" si="462"/>
        <v xml:space="preserve">       31.6% </v>
      </c>
      <c r="V1694" t="str">
        <f t="shared" si="450"/>
        <v xml:space="preserve">         </v>
      </c>
      <c r="W1694" t="str">
        <f t="shared" si="459"/>
        <v xml:space="preserve">         </v>
      </c>
      <c r="X1694" t="str">
        <f t="shared" si="463"/>
        <v xml:space="preserve">  9830 </v>
      </c>
      <c r="Y1694" t="str">
        <f t="shared" si="463"/>
        <v xml:space="preserve"> FRASLE-RS069 </v>
      </c>
      <c r="Z1694" t="str">
        <f t="shared" si="463"/>
        <v xml:space="preserve">  1 </v>
      </c>
      <c r="AA1694" t="str">
        <f t="shared" si="451"/>
        <v xml:space="preserve">     9.2 </v>
      </c>
      <c r="AB1694" t="str">
        <f t="shared" si="460"/>
        <v xml:space="preserve">     3.0 </v>
      </c>
      <c r="AC1694" t="str">
        <f t="shared" si="461"/>
        <v xml:space="preserve">     9.5 </v>
      </c>
      <c r="AD1694" t="str">
        <f t="shared" si="462"/>
        <v xml:space="preserve">        </v>
      </c>
      <c r="AE1694" t="str">
        <f t="shared" si="452"/>
        <v xml:space="preserve">       </v>
      </c>
      <c r="AF1694" t="str">
        <f t="shared" si="464"/>
        <v xml:space="preserve">     </v>
      </c>
      <c r="AG1694" t="str">
        <f t="shared" si="464"/>
        <v xml:space="preserve">     0.00 </v>
      </c>
      <c r="AH1694" t="str">
        <f t="shared" si="453"/>
        <v xml:space="preserve">    -0.00 </v>
      </c>
      <c r="AI1694" t="str">
        <f t="shared" si="454"/>
        <v xml:space="preserve">       </v>
      </c>
      <c r="AJ1694" t="str">
        <f t="shared" si="455"/>
        <v xml:space="preserve">      </v>
      </c>
    </row>
    <row r="1695" spans="1:36" x14ac:dyDescent="0.25">
      <c r="A1695" t="s">
        <v>1302</v>
      </c>
      <c r="P1695" t="str">
        <f t="shared" si="456"/>
        <v xml:space="preserve">                </v>
      </c>
      <c r="Q1695" t="str">
        <f t="shared" si="456"/>
        <v xml:space="preserve">         </v>
      </c>
      <c r="R1695" t="str">
        <f t="shared" si="449"/>
        <v xml:space="preserve">    75.0 </v>
      </c>
      <c r="S1695" t="str">
        <f t="shared" si="457"/>
        <v xml:space="preserve">    90.0 </v>
      </c>
      <c r="T1695" t="str">
        <f t="shared" si="458"/>
        <v xml:space="preserve">    90.0 </v>
      </c>
      <c r="U1695" t="str">
        <f t="shared" si="462"/>
        <v xml:space="preserve">        7.1% </v>
      </c>
      <c r="V1695" t="str">
        <f t="shared" si="450"/>
        <v xml:space="preserve">         </v>
      </c>
      <c r="W1695" t="str">
        <f t="shared" si="459"/>
        <v xml:space="preserve">         </v>
      </c>
      <c r="X1695" t="str">
        <f t="shared" si="463"/>
        <v xml:space="preserve"> 10227 </v>
      </c>
      <c r="Y1695" t="str">
        <f t="shared" si="463"/>
        <v xml:space="preserve"> TONDO-TAP069 </v>
      </c>
      <c r="Z1695" t="str">
        <f t="shared" si="463"/>
        <v xml:space="preserve">  1 </v>
      </c>
      <c r="AA1695" t="str">
        <f t="shared" si="451"/>
        <v xml:space="preserve">     5.2 </v>
      </c>
      <c r="AB1695" t="str">
        <f t="shared" si="460"/>
        <v xml:space="preserve">     1.6 </v>
      </c>
      <c r="AC1695" t="str">
        <f t="shared" si="461"/>
        <v xml:space="preserve">     5.3 </v>
      </c>
      <c r="AD1695" t="str">
        <f t="shared" si="462"/>
        <v xml:space="preserve">        </v>
      </c>
      <c r="AE1695" t="str">
        <f t="shared" si="452"/>
        <v xml:space="preserve">       </v>
      </c>
      <c r="AF1695" t="str">
        <f t="shared" si="464"/>
        <v xml:space="preserve">     </v>
      </c>
      <c r="AG1695" t="str">
        <f t="shared" si="464"/>
        <v xml:space="preserve">     0.00 </v>
      </c>
      <c r="AH1695" t="str">
        <f t="shared" si="453"/>
        <v xml:space="preserve">    -0.00 </v>
      </c>
      <c r="AI1695" t="str">
        <f t="shared" si="454"/>
        <v xml:space="preserve">       </v>
      </c>
      <c r="AJ1695" t="str">
        <f t="shared" si="455"/>
        <v xml:space="preserve">      </v>
      </c>
    </row>
    <row r="1696" spans="1:36" x14ac:dyDescent="0.25">
      <c r="A1696" t="s">
        <v>14</v>
      </c>
      <c r="P1696" t="str">
        <f t="shared" si="456"/>
        <v xml:space="preserve">  ..............</v>
      </c>
      <c r="Q1696" t="str">
        <f t="shared" si="456"/>
        <v>.........</v>
      </c>
      <c r="R1696" t="str">
        <f t="shared" si="449"/>
        <v>.........</v>
      </c>
      <c r="S1696" t="str">
        <f t="shared" si="457"/>
        <v>.........</v>
      </c>
      <c r="T1696" t="str">
        <f t="shared" si="458"/>
        <v>.........</v>
      </c>
      <c r="U1696" t="str">
        <f t="shared" si="462"/>
        <v>.............</v>
      </c>
      <c r="V1696" t="str">
        <f t="shared" si="450"/>
        <v>.........</v>
      </c>
      <c r="W1696" t="str">
        <f t="shared" si="459"/>
        <v>.........</v>
      </c>
      <c r="X1696" t="str">
        <f t="shared" si="463"/>
        <v>.......</v>
      </c>
      <c r="Y1696" t="str">
        <f t="shared" si="463"/>
        <v>..............</v>
      </c>
      <c r="Z1696" t="str">
        <f t="shared" si="463"/>
        <v>....</v>
      </c>
      <c r="AA1696" t="str">
        <f t="shared" si="451"/>
        <v>.........</v>
      </c>
      <c r="AB1696" t="str">
        <f t="shared" si="460"/>
        <v>.........</v>
      </c>
      <c r="AC1696" t="str">
        <f t="shared" si="461"/>
        <v>.........</v>
      </c>
      <c r="AD1696" t="str">
        <f t="shared" si="462"/>
        <v>........</v>
      </c>
      <c r="AE1696" t="str">
        <f t="shared" si="452"/>
        <v>.......</v>
      </c>
      <c r="AF1696" t="str">
        <f t="shared" si="464"/>
        <v>.....</v>
      </c>
      <c r="AG1696" t="str">
        <f t="shared" si="464"/>
        <v>..........</v>
      </c>
      <c r="AH1696" t="str">
        <f t="shared" si="453"/>
        <v>..........</v>
      </c>
      <c r="AI1696" t="str">
        <f t="shared" si="454"/>
        <v>.......</v>
      </c>
      <c r="AJ1696" t="str">
        <f t="shared" si="455"/>
        <v>.......</v>
      </c>
    </row>
    <row r="1697" spans="1:36" x14ac:dyDescent="0.25">
      <c r="A1697" t="s">
        <v>1303</v>
      </c>
      <c r="P1697" t="str">
        <f t="shared" si="456"/>
        <v xml:space="preserve">   9830   69  0 </v>
      </c>
      <c r="Q1697" t="str">
        <f t="shared" si="456"/>
        <v xml:space="preserve">   1.022 </v>
      </c>
      <c r="R1697" t="str">
        <f t="shared" si="449"/>
        <v xml:space="preserve">     0.0 </v>
      </c>
      <c r="S1697" t="str">
        <f t="shared" si="457"/>
        <v xml:space="preserve">     0.0 </v>
      </c>
      <c r="T1697" t="str">
        <f t="shared" si="458"/>
        <v xml:space="preserve">     9.2 </v>
      </c>
      <c r="U1697" t="str">
        <f t="shared" si="462"/>
        <v xml:space="preserve">         0.0 </v>
      </c>
      <c r="V1697" t="str">
        <f t="shared" si="450"/>
        <v xml:space="preserve">     0.0 </v>
      </c>
      <c r="W1697" t="str">
        <f t="shared" si="459"/>
        <v xml:space="preserve">     0.0</v>
      </c>
      <c r="X1697" t="str">
        <f t="shared" si="463"/>
        <v/>
      </c>
      <c r="Y1697" t="str">
        <f t="shared" si="463"/>
        <v/>
      </c>
      <c r="Z1697" t="str">
        <f t="shared" si="463"/>
        <v/>
      </c>
      <c r="AA1697" t="str">
        <f t="shared" si="451"/>
        <v/>
      </c>
      <c r="AB1697" t="str">
        <f t="shared" si="460"/>
        <v/>
      </c>
      <c r="AC1697" t="str">
        <f t="shared" si="461"/>
        <v/>
      </c>
      <c r="AD1697" t="str">
        <f t="shared" si="462"/>
        <v/>
      </c>
      <c r="AE1697" t="str">
        <f t="shared" si="452"/>
        <v/>
      </c>
      <c r="AF1697" t="str">
        <f t="shared" si="464"/>
        <v/>
      </c>
      <c r="AG1697" t="str">
        <f t="shared" si="464"/>
        <v/>
      </c>
      <c r="AH1697" t="str">
        <f t="shared" si="453"/>
        <v/>
      </c>
      <c r="AI1697" t="str">
        <f t="shared" si="454"/>
        <v/>
      </c>
      <c r="AJ1697" t="str">
        <f t="shared" si="455"/>
        <v/>
      </c>
    </row>
    <row r="1698" spans="1:36" x14ac:dyDescent="0.25">
      <c r="A1698" t="s">
        <v>1304</v>
      </c>
      <c r="P1698" t="str">
        <f t="shared" si="456"/>
        <v xml:space="preserve">  FRASLE-RS069  </v>
      </c>
      <c r="Q1698" t="str">
        <f t="shared" si="456"/>
        <v xml:space="preserve">   -50.5 </v>
      </c>
      <c r="R1698" t="str">
        <f t="shared" si="449"/>
        <v xml:space="preserve">     0.0 </v>
      </c>
      <c r="S1698" t="str">
        <f t="shared" si="457"/>
        <v xml:space="preserve">     0.0 </v>
      </c>
      <c r="T1698" t="str">
        <f t="shared" si="458"/>
        <v xml:space="preserve">     3.0 </v>
      </c>
      <c r="U1698" t="str">
        <f t="shared" si="462"/>
        <v xml:space="preserve">         0.0 </v>
      </c>
      <c r="V1698" t="str">
        <f t="shared" si="450"/>
        <v xml:space="preserve">     0.0 </v>
      </c>
      <c r="W1698" t="str">
        <f t="shared" si="459"/>
        <v xml:space="preserve">     0.0 </v>
      </c>
      <c r="X1698" t="str">
        <f t="shared" si="463"/>
        <v xml:space="preserve">       </v>
      </c>
      <c r="Y1698" t="str">
        <f t="shared" si="463"/>
        <v xml:space="preserve">              </v>
      </c>
      <c r="Z1698" t="str">
        <f t="shared" si="463"/>
        <v xml:space="preserve">    </v>
      </c>
      <c r="AA1698" t="str">
        <f t="shared" si="451"/>
        <v xml:space="preserve">         </v>
      </c>
      <c r="AB1698" t="str">
        <f t="shared" si="460"/>
        <v xml:space="preserve">         </v>
      </c>
      <c r="AC1698" t="str">
        <f t="shared" si="461"/>
        <v xml:space="preserve">    </v>
      </c>
      <c r="AD1698" t="str">
        <f t="shared" si="462"/>
        <v/>
      </c>
      <c r="AE1698" t="str">
        <f t="shared" si="452"/>
        <v/>
      </c>
      <c r="AF1698" t="str">
        <f t="shared" si="464"/>
        <v/>
      </c>
      <c r="AG1698" t="str">
        <f t="shared" si="464"/>
        <v/>
      </c>
      <c r="AH1698" t="str">
        <f t="shared" si="453"/>
        <v/>
      </c>
      <c r="AI1698" t="str">
        <f t="shared" si="454"/>
        <v/>
      </c>
      <c r="AJ1698" t="str">
        <f t="shared" si="455"/>
        <v/>
      </c>
    </row>
    <row r="1699" spans="1:36" x14ac:dyDescent="0.25">
      <c r="A1699" t="s">
        <v>1305</v>
      </c>
      <c r="P1699" t="str">
        <f t="shared" si="456"/>
        <v xml:space="preserve">                </v>
      </c>
      <c r="Q1699" t="str">
        <f t="shared" si="456"/>
        <v xml:space="preserve">         </v>
      </c>
      <c r="R1699" t="str">
        <f t="shared" si="449"/>
        <v xml:space="preserve">    30.0 </v>
      </c>
      <c r="S1699" t="str">
        <f t="shared" si="457"/>
        <v xml:space="preserve">    43.0 </v>
      </c>
      <c r="T1699" t="str">
        <f t="shared" si="458"/>
        <v xml:space="preserve">    43.0 </v>
      </c>
      <c r="U1699" t="str">
        <f t="shared" si="462"/>
        <v xml:space="preserve">       31.6% </v>
      </c>
      <c r="V1699" t="str">
        <f t="shared" si="450"/>
        <v xml:space="preserve">         </v>
      </c>
      <c r="W1699" t="str">
        <f t="shared" si="459"/>
        <v xml:space="preserve">         </v>
      </c>
      <c r="X1699" t="str">
        <f t="shared" si="463"/>
        <v xml:space="preserve">  9829 </v>
      </c>
      <c r="Y1699" t="str">
        <f t="shared" si="463"/>
        <v xml:space="preserve"> FRASLETAP069 </v>
      </c>
      <c r="Z1699" t="str">
        <f t="shared" si="463"/>
        <v xml:space="preserve">  1 </v>
      </c>
      <c r="AA1699" t="str">
        <f t="shared" si="451"/>
        <v xml:space="preserve">    -9.2 </v>
      </c>
      <c r="AB1699" t="str">
        <f t="shared" si="460"/>
        <v xml:space="preserve">    -3.0 </v>
      </c>
      <c r="AC1699" t="str">
        <f t="shared" si="461"/>
        <v xml:space="preserve">     9.5 </v>
      </c>
      <c r="AD1699" t="str">
        <f t="shared" si="462"/>
        <v xml:space="preserve">        </v>
      </c>
      <c r="AE1699" t="str">
        <f t="shared" si="452"/>
        <v xml:space="preserve">       </v>
      </c>
      <c r="AF1699" t="str">
        <f t="shared" si="464"/>
        <v xml:space="preserve">     </v>
      </c>
      <c r="AG1699" t="str">
        <f t="shared" si="464"/>
        <v xml:space="preserve">     0.00 </v>
      </c>
      <c r="AH1699" t="str">
        <f t="shared" si="453"/>
        <v xml:space="preserve">    -0.00 </v>
      </c>
      <c r="AI1699" t="str">
        <f t="shared" si="454"/>
        <v xml:space="preserve">       </v>
      </c>
      <c r="AJ1699" t="str">
        <f t="shared" si="455"/>
        <v xml:space="preserve">      </v>
      </c>
    </row>
    <row r="1700" spans="1:36" x14ac:dyDescent="0.25">
      <c r="A1700" t="s">
        <v>14</v>
      </c>
      <c r="P1700" t="str">
        <f t="shared" si="456"/>
        <v xml:space="preserve">  ..............</v>
      </c>
      <c r="Q1700" t="str">
        <f t="shared" si="456"/>
        <v>.........</v>
      </c>
      <c r="R1700" t="str">
        <f t="shared" si="449"/>
        <v>.........</v>
      </c>
      <c r="S1700" t="str">
        <f t="shared" si="457"/>
        <v>.........</v>
      </c>
      <c r="T1700" t="str">
        <f t="shared" si="458"/>
        <v>.........</v>
      </c>
      <c r="U1700" t="str">
        <f t="shared" si="462"/>
        <v>.............</v>
      </c>
      <c r="V1700" t="str">
        <f t="shared" si="450"/>
        <v>.........</v>
      </c>
      <c r="W1700" t="str">
        <f t="shared" si="459"/>
        <v>.........</v>
      </c>
      <c r="X1700" t="str">
        <f t="shared" si="463"/>
        <v>.......</v>
      </c>
      <c r="Y1700" t="str">
        <f t="shared" si="463"/>
        <v>..............</v>
      </c>
      <c r="Z1700" t="str">
        <f t="shared" si="463"/>
        <v>....</v>
      </c>
      <c r="AA1700" t="str">
        <f t="shared" si="451"/>
        <v>.........</v>
      </c>
      <c r="AB1700" t="str">
        <f t="shared" si="460"/>
        <v>.........</v>
      </c>
      <c r="AC1700" t="str">
        <f t="shared" si="461"/>
        <v>.........</v>
      </c>
      <c r="AD1700" t="str">
        <f t="shared" si="462"/>
        <v>........</v>
      </c>
      <c r="AE1700" t="str">
        <f t="shared" si="452"/>
        <v>.......</v>
      </c>
      <c r="AF1700" t="str">
        <f t="shared" si="464"/>
        <v>.....</v>
      </c>
      <c r="AG1700" t="str">
        <f t="shared" si="464"/>
        <v>..........</v>
      </c>
      <c r="AH1700" t="str">
        <f t="shared" si="453"/>
        <v>..........</v>
      </c>
      <c r="AI1700" t="str">
        <f t="shared" si="454"/>
        <v>.......</v>
      </c>
      <c r="AJ1700" t="str">
        <f t="shared" si="455"/>
        <v>.......</v>
      </c>
    </row>
    <row r="1701" spans="1:36" x14ac:dyDescent="0.25">
      <c r="A1701" t="s">
        <v>1306</v>
      </c>
      <c r="P1701" t="str">
        <f t="shared" si="456"/>
        <v xml:space="preserve">   9837   69  0 </v>
      </c>
      <c r="Q1701" t="str">
        <f t="shared" si="456"/>
        <v xml:space="preserve">   1.013 </v>
      </c>
      <c r="R1701" t="str">
        <f t="shared" si="449"/>
        <v xml:space="preserve">     8.4 </v>
      </c>
      <c r="S1701" t="str">
        <f t="shared" si="457"/>
        <v xml:space="preserve">     0.0 </v>
      </c>
      <c r="T1701" t="str">
        <f t="shared" si="458"/>
        <v xml:space="preserve">    98.3 </v>
      </c>
      <c r="U1701" t="str">
        <f t="shared" si="462"/>
        <v xml:space="preserve">         0.0 </v>
      </c>
      <c r="V1701" t="str">
        <f t="shared" si="450"/>
        <v xml:space="preserve">     0.0 </v>
      </c>
      <c r="W1701" t="str">
        <f t="shared" si="459"/>
        <v xml:space="preserve">     0.0</v>
      </c>
      <c r="X1701" t="str">
        <f t="shared" si="463"/>
        <v/>
      </c>
      <c r="Y1701" t="str">
        <f t="shared" si="463"/>
        <v/>
      </c>
      <c r="Z1701" t="str">
        <f t="shared" si="463"/>
        <v/>
      </c>
      <c r="AA1701" t="str">
        <f t="shared" si="451"/>
        <v/>
      </c>
      <c r="AB1701" t="str">
        <f t="shared" si="460"/>
        <v/>
      </c>
      <c r="AC1701" t="str">
        <f t="shared" si="461"/>
        <v/>
      </c>
      <c r="AD1701" t="str">
        <f t="shared" si="462"/>
        <v/>
      </c>
      <c r="AE1701" t="str">
        <f t="shared" si="452"/>
        <v/>
      </c>
      <c r="AF1701" t="str">
        <f t="shared" si="464"/>
        <v/>
      </c>
      <c r="AG1701" t="str">
        <f t="shared" si="464"/>
        <v/>
      </c>
      <c r="AH1701" t="str">
        <f t="shared" si="453"/>
        <v/>
      </c>
      <c r="AI1701" t="str">
        <f t="shared" si="454"/>
        <v/>
      </c>
      <c r="AJ1701" t="str">
        <f t="shared" si="455"/>
        <v/>
      </c>
    </row>
    <row r="1702" spans="1:36" x14ac:dyDescent="0.25">
      <c r="A1702" t="s">
        <v>1307</v>
      </c>
      <c r="P1702" t="str">
        <f t="shared" si="456"/>
        <v xml:space="preserve">  VINHED-RS069  </v>
      </c>
      <c r="Q1702" t="str">
        <f t="shared" si="456"/>
        <v xml:space="preserve">   -50.4 </v>
      </c>
      <c r="R1702" t="str">
        <f t="shared" si="449"/>
        <v xml:space="preserve">     0.0 </v>
      </c>
      <c r="S1702" t="str">
        <f t="shared" si="457"/>
        <v xml:space="preserve">     0.0 </v>
      </c>
      <c r="T1702" t="str">
        <f t="shared" si="458"/>
        <v xml:space="preserve">    45.0 </v>
      </c>
      <c r="U1702" t="str">
        <f t="shared" si="462"/>
        <v xml:space="preserve">         0.0 </v>
      </c>
      <c r="V1702" t="str">
        <f t="shared" si="450"/>
        <v xml:space="preserve">     0.0 </v>
      </c>
      <c r="W1702" t="str">
        <f t="shared" si="459"/>
        <v xml:space="preserve">     0.0 </v>
      </c>
      <c r="X1702" t="str">
        <f t="shared" si="463"/>
        <v xml:space="preserve">       </v>
      </c>
      <c r="Y1702" t="str">
        <f t="shared" si="463"/>
        <v xml:space="preserve">              </v>
      </c>
      <c r="Z1702" t="str">
        <f t="shared" si="463"/>
        <v xml:space="preserve">    </v>
      </c>
      <c r="AA1702" t="str">
        <f t="shared" si="451"/>
        <v xml:space="preserve">         </v>
      </c>
      <c r="AB1702" t="str">
        <f t="shared" si="460"/>
        <v xml:space="preserve">         </v>
      </c>
      <c r="AC1702" t="str">
        <f t="shared" si="461"/>
        <v xml:space="preserve">    </v>
      </c>
      <c r="AD1702" t="str">
        <f t="shared" si="462"/>
        <v/>
      </c>
      <c r="AE1702" t="str">
        <f t="shared" si="452"/>
        <v/>
      </c>
      <c r="AF1702" t="str">
        <f t="shared" si="464"/>
        <v/>
      </c>
      <c r="AG1702" t="str">
        <f t="shared" si="464"/>
        <v/>
      </c>
      <c r="AH1702" t="str">
        <f t="shared" si="453"/>
        <v/>
      </c>
      <c r="AI1702" t="str">
        <f t="shared" si="454"/>
        <v/>
      </c>
      <c r="AJ1702" t="str">
        <f t="shared" si="455"/>
        <v/>
      </c>
    </row>
    <row r="1703" spans="1:36" x14ac:dyDescent="0.25">
      <c r="A1703" t="s">
        <v>1308</v>
      </c>
      <c r="P1703" t="str">
        <f t="shared" si="456"/>
        <v xml:space="preserve">                </v>
      </c>
      <c r="Q1703" t="str">
        <f t="shared" si="456"/>
        <v xml:space="preserve">         </v>
      </c>
      <c r="R1703" t="str">
        <f t="shared" si="449"/>
        <v xml:space="preserve">   165.0 </v>
      </c>
      <c r="S1703" t="str">
        <f t="shared" si="457"/>
        <v xml:space="preserve">   198.0 </v>
      </c>
      <c r="T1703" t="str">
        <f t="shared" si="458"/>
        <v xml:space="preserve">   198.0 </v>
      </c>
      <c r="U1703" t="str">
        <f t="shared" si="462"/>
        <v xml:space="preserve">       30.1% </v>
      </c>
      <c r="V1703" t="str">
        <f t="shared" si="450"/>
        <v xml:space="preserve">         </v>
      </c>
      <c r="W1703" t="str">
        <f t="shared" si="459"/>
        <v xml:space="preserve">         </v>
      </c>
      <c r="X1703" t="str">
        <f t="shared" si="463"/>
        <v xml:space="preserve"> 43121 </v>
      </c>
      <c r="Y1703" t="str">
        <f t="shared" si="463"/>
        <v xml:space="preserve"> VIN-1--RS000 </v>
      </c>
      <c r="Z1703" t="str">
        <f t="shared" si="463"/>
        <v xml:space="preserve">  1 </v>
      </c>
      <c r="AA1703" t="str">
        <f t="shared" si="451"/>
        <v xml:space="preserve">   -45.0 </v>
      </c>
      <c r="AB1703" t="str">
        <f t="shared" si="460"/>
        <v xml:space="preserve">   -22.5 </v>
      </c>
      <c r="AC1703" t="str">
        <f t="shared" si="461"/>
        <v xml:space="preserve">    49.7 </v>
      </c>
      <c r="AD1703" t="str">
        <f t="shared" si="462"/>
        <v xml:space="preserve"> 1.000F </v>
      </c>
      <c r="AE1703" t="str">
        <f t="shared" si="452"/>
        <v xml:space="preserve">       </v>
      </c>
      <c r="AF1703" t="str">
        <f t="shared" si="464"/>
        <v xml:space="preserve"> 002 </v>
      </c>
      <c r="AG1703" t="str">
        <f t="shared" si="464"/>
        <v xml:space="preserve">     0.01 </v>
      </c>
      <c r="AH1703" t="str">
        <f t="shared" si="453"/>
        <v xml:space="preserve">    -0.20 </v>
      </c>
      <c r="AI1703" t="str">
        <f t="shared" si="454"/>
        <v xml:space="preserve">       </v>
      </c>
      <c r="AJ1703" t="str">
        <f t="shared" si="455"/>
        <v xml:space="preserve">      </v>
      </c>
    </row>
    <row r="1704" spans="1:36" x14ac:dyDescent="0.25">
      <c r="A1704" t="s">
        <v>1309</v>
      </c>
      <c r="P1704" t="str">
        <f t="shared" si="456"/>
        <v xml:space="preserve">                </v>
      </c>
      <c r="Q1704" t="str">
        <f t="shared" si="456"/>
        <v xml:space="preserve">         </v>
      </c>
      <c r="R1704" t="str">
        <f t="shared" si="449"/>
        <v xml:space="preserve">   165.0 </v>
      </c>
      <c r="S1704" t="str">
        <f t="shared" si="457"/>
        <v xml:space="preserve">   198.0 </v>
      </c>
      <c r="T1704" t="str">
        <f t="shared" si="458"/>
        <v xml:space="preserve">   198.0 </v>
      </c>
      <c r="U1704" t="str">
        <f t="shared" si="462"/>
        <v xml:space="preserve">       30.0% </v>
      </c>
      <c r="V1704" t="str">
        <f t="shared" si="450"/>
        <v xml:space="preserve">         </v>
      </c>
      <c r="W1704" t="str">
        <f t="shared" si="459"/>
        <v xml:space="preserve">         </v>
      </c>
      <c r="X1704" t="str">
        <f t="shared" si="463"/>
        <v xml:space="preserve"> 43123 </v>
      </c>
      <c r="Y1704" t="str">
        <f t="shared" si="463"/>
        <v xml:space="preserve"> VIN-2--RS000 </v>
      </c>
      <c r="Z1704" t="str">
        <f t="shared" si="463"/>
        <v xml:space="preserve">  2 </v>
      </c>
      <c r="AA1704" t="str">
        <f t="shared" si="451"/>
        <v xml:space="preserve">   -44.9 </v>
      </c>
      <c r="AB1704" t="str">
        <f t="shared" si="460"/>
        <v xml:space="preserve">   -22.5 </v>
      </c>
      <c r="AC1704" t="str">
        <f t="shared" si="461"/>
        <v xml:space="preserve">    49.5 </v>
      </c>
      <c r="AD1704" t="str">
        <f t="shared" si="462"/>
        <v xml:space="preserve"> 1.000F </v>
      </c>
      <c r="AE1704" t="str">
        <f t="shared" si="452"/>
        <v xml:space="preserve">       </v>
      </c>
      <c r="AF1704" t="str">
        <f t="shared" si="464"/>
        <v xml:space="preserve"> 002 </v>
      </c>
      <c r="AG1704" t="str">
        <f t="shared" si="464"/>
        <v xml:space="preserve">     0.03 </v>
      </c>
      <c r="AH1704" t="str">
        <f t="shared" si="453"/>
        <v xml:space="preserve">    -0.20 </v>
      </c>
      <c r="AI1704" t="str">
        <f t="shared" si="454"/>
        <v xml:space="preserve">       </v>
      </c>
      <c r="AJ1704" t="str">
        <f t="shared" si="455"/>
        <v xml:space="preserve">      </v>
      </c>
    </row>
    <row r="1705" spans="1:36" x14ac:dyDescent="0.25">
      <c r="A1705" t="s">
        <v>14</v>
      </c>
      <c r="P1705" t="str">
        <f t="shared" si="456"/>
        <v xml:space="preserve">  ..............</v>
      </c>
      <c r="Q1705" t="str">
        <f t="shared" si="456"/>
        <v>.........</v>
      </c>
      <c r="R1705" t="str">
        <f t="shared" si="449"/>
        <v>.........</v>
      </c>
      <c r="S1705" t="str">
        <f t="shared" si="457"/>
        <v>.........</v>
      </c>
      <c r="T1705" t="str">
        <f t="shared" si="458"/>
        <v>.........</v>
      </c>
      <c r="U1705" t="str">
        <f t="shared" si="462"/>
        <v>.............</v>
      </c>
      <c r="V1705" t="str">
        <f t="shared" si="450"/>
        <v>.........</v>
      </c>
      <c r="W1705" t="str">
        <f t="shared" si="459"/>
        <v>.........</v>
      </c>
      <c r="X1705" t="str">
        <f t="shared" si="463"/>
        <v>.......</v>
      </c>
      <c r="Y1705" t="str">
        <f t="shared" si="463"/>
        <v>..............</v>
      </c>
      <c r="Z1705" t="str">
        <f t="shared" si="463"/>
        <v>....</v>
      </c>
      <c r="AA1705" t="str">
        <f t="shared" si="451"/>
        <v>.........</v>
      </c>
      <c r="AB1705" t="str">
        <f t="shared" si="460"/>
        <v>.........</v>
      </c>
      <c r="AC1705" t="str">
        <f t="shared" si="461"/>
        <v>.........</v>
      </c>
      <c r="AD1705" t="str">
        <f t="shared" si="462"/>
        <v>........</v>
      </c>
      <c r="AE1705" t="str">
        <f t="shared" si="452"/>
        <v>.......</v>
      </c>
      <c r="AF1705" t="str">
        <f t="shared" si="464"/>
        <v>.....</v>
      </c>
      <c r="AG1705" t="str">
        <f t="shared" si="464"/>
        <v>..........</v>
      </c>
      <c r="AH1705" t="str">
        <f t="shared" si="453"/>
        <v>..........</v>
      </c>
      <c r="AI1705" t="str">
        <f t="shared" si="454"/>
        <v>.......</v>
      </c>
      <c r="AJ1705" t="str">
        <f t="shared" si="455"/>
        <v>.......</v>
      </c>
    </row>
    <row r="1706" spans="1:36" x14ac:dyDescent="0.25">
      <c r="A1706" t="s">
        <v>1310</v>
      </c>
      <c r="P1706" t="str">
        <f t="shared" si="456"/>
        <v xml:space="preserve">_x000C_CEPEL - CENTRO </v>
      </c>
      <c r="Q1706" t="str">
        <f t="shared" si="456"/>
        <v xml:space="preserve"> DE PESQU</v>
      </c>
      <c r="R1706" t="str">
        <f t="shared" si="449"/>
        <v xml:space="preserve">UISAS DE </v>
      </c>
      <c r="S1706" t="str">
        <f t="shared" si="457"/>
        <v xml:space="preserve"> ENERGIA </v>
      </c>
      <c r="T1706" t="str">
        <f t="shared" si="458"/>
        <v xml:space="preserve"> ELETRICA</v>
      </c>
      <c r="U1706" t="str">
        <f t="shared" si="462"/>
        <v xml:space="preserve">A - PROGRAMA </v>
      </c>
      <c r="V1706" t="str">
        <f t="shared" si="450"/>
        <v xml:space="preserve"> DE ANALI</v>
      </c>
      <c r="W1706" t="str">
        <f t="shared" si="459"/>
        <v>ISE DE RE</v>
      </c>
      <c r="X1706" t="str">
        <f t="shared" si="463"/>
        <v xml:space="preserve">EDES - </v>
      </c>
      <c r="Y1706" t="str">
        <f t="shared" si="463"/>
        <v xml:space="preserve"> V11.06.02    </v>
      </c>
      <c r="Z1706" t="str">
        <f t="shared" si="463"/>
        <v xml:space="preserve">    </v>
      </c>
      <c r="AA1706" t="str">
        <f t="shared" si="451"/>
        <v xml:space="preserve">         </v>
      </c>
      <c r="AB1706" t="str">
        <f t="shared" si="460"/>
        <v xml:space="preserve">         </v>
      </c>
      <c r="AC1706" t="str">
        <f t="shared" si="461"/>
        <v xml:space="preserve">         </v>
      </c>
      <c r="AD1706" t="str">
        <f t="shared" si="462"/>
        <v xml:space="preserve">   PAG. </v>
      </c>
      <c r="AE1706" t="str">
        <f t="shared" si="452"/>
        <v xml:space="preserve">  11</v>
      </c>
      <c r="AF1706" t="str">
        <f t="shared" si="464"/>
        <v/>
      </c>
      <c r="AG1706" t="str">
        <f t="shared" si="464"/>
        <v/>
      </c>
      <c r="AH1706" t="str">
        <f t="shared" si="453"/>
        <v/>
      </c>
      <c r="AI1706" t="str">
        <f t="shared" si="454"/>
        <v/>
      </c>
      <c r="AJ1706" t="str">
        <f t="shared" si="455"/>
        <v/>
      </c>
    </row>
    <row r="1707" spans="1:36" x14ac:dyDescent="0.25">
      <c r="P1707" t="str">
        <f t="shared" si="456"/>
        <v/>
      </c>
      <c r="Q1707" t="str">
        <f t="shared" si="456"/>
        <v/>
      </c>
      <c r="R1707" t="str">
        <f t="shared" si="449"/>
        <v/>
      </c>
      <c r="S1707" t="str">
        <f t="shared" si="457"/>
        <v/>
      </c>
      <c r="T1707" t="str">
        <f t="shared" si="458"/>
        <v/>
      </c>
      <c r="U1707" t="str">
        <f t="shared" si="462"/>
        <v/>
      </c>
      <c r="V1707" t="str">
        <f t="shared" si="450"/>
        <v/>
      </c>
      <c r="W1707" t="str">
        <f t="shared" si="459"/>
        <v/>
      </c>
      <c r="X1707" t="str">
        <f t="shared" si="463"/>
        <v/>
      </c>
      <c r="Y1707" t="str">
        <f t="shared" si="463"/>
        <v/>
      </c>
      <c r="Z1707" t="str">
        <f t="shared" si="463"/>
        <v/>
      </c>
      <c r="AA1707" t="str">
        <f t="shared" si="451"/>
        <v/>
      </c>
      <c r="AB1707" t="str">
        <f t="shared" si="460"/>
        <v/>
      </c>
      <c r="AC1707" t="str">
        <f t="shared" si="461"/>
        <v/>
      </c>
      <c r="AD1707" t="str">
        <f t="shared" si="462"/>
        <v/>
      </c>
      <c r="AE1707" t="str">
        <f t="shared" si="452"/>
        <v/>
      </c>
      <c r="AF1707" t="str">
        <f t="shared" si="464"/>
        <v/>
      </c>
      <c r="AG1707" t="str">
        <f t="shared" si="464"/>
        <v/>
      </c>
      <c r="AH1707" t="str">
        <f t="shared" si="453"/>
        <v/>
      </c>
      <c r="AI1707" t="str">
        <f t="shared" si="454"/>
        <v/>
      </c>
      <c r="AJ1707" t="str">
        <f t="shared" si="455"/>
        <v/>
      </c>
    </row>
    <row r="1708" spans="1:36" x14ac:dyDescent="0.25">
      <c r="A1708" t="s">
        <v>1</v>
      </c>
      <c r="P1708" t="str">
        <f t="shared" si="456"/>
        <v xml:space="preserve"> PARPEL 23-27 * </v>
      </c>
      <c r="Q1708" t="str">
        <f t="shared" si="456"/>
        <v xml:space="preserve"> MG-GODF </v>
      </c>
      <c r="R1708" t="str">
        <f t="shared" si="449"/>
        <v xml:space="preserve"> * I27M *</v>
      </c>
      <c r="S1708" t="str">
        <f t="shared" si="457"/>
        <v>* NEexp *</v>
      </c>
      <c r="T1708" t="str">
        <f t="shared" si="458"/>
        <v>* NESE 88</v>
      </c>
      <c r="U1708" t="str">
        <f t="shared" si="462"/>
        <v>800 UFVMG 90%</v>
      </c>
      <c r="V1708" t="str">
        <f t="shared" si="450"/>
        <v>% * UFVAl</v>
      </c>
      <c r="W1708" t="str">
        <f t="shared" si="459"/>
        <v>lves120MW</v>
      </c>
      <c r="X1708" t="str">
        <f t="shared" si="463"/>
        <v xml:space="preserve">W     </v>
      </c>
      <c r="Y1708" t="str">
        <f t="shared" si="463"/>
        <v/>
      </c>
      <c r="Z1708" t="str">
        <f t="shared" si="463"/>
        <v/>
      </c>
      <c r="AA1708" t="str">
        <f t="shared" si="451"/>
        <v/>
      </c>
      <c r="AB1708" t="str">
        <f t="shared" si="460"/>
        <v/>
      </c>
      <c r="AC1708" t="str">
        <f t="shared" si="461"/>
        <v/>
      </c>
      <c r="AD1708" t="str">
        <f t="shared" si="462"/>
        <v/>
      </c>
      <c r="AE1708" t="str">
        <f t="shared" si="452"/>
        <v/>
      </c>
      <c r="AF1708" t="str">
        <f t="shared" si="464"/>
        <v/>
      </c>
      <c r="AG1708" t="str">
        <f t="shared" si="464"/>
        <v/>
      </c>
      <c r="AH1708" t="str">
        <f t="shared" si="453"/>
        <v/>
      </c>
      <c r="AI1708" t="str">
        <f t="shared" si="454"/>
        <v/>
      </c>
      <c r="AJ1708" t="str">
        <f t="shared" si="455"/>
        <v/>
      </c>
    </row>
    <row r="1709" spans="1:36" x14ac:dyDescent="0.25">
      <c r="A1709" t="s">
        <v>2</v>
      </c>
      <c r="P1709" t="str">
        <f t="shared" si="456"/>
        <v xml:space="preserve"> RELATORIO COMPL</v>
      </c>
      <c r="Q1709" t="str">
        <f t="shared" si="456"/>
        <v>LETO DO S</v>
      </c>
      <c r="R1709" t="str">
        <f t="shared" si="449"/>
        <v>SISTEMA *</v>
      </c>
      <c r="S1709" t="str">
        <f t="shared" si="457"/>
        <v xml:space="preserve">* AREA   </v>
      </c>
      <c r="T1709" t="str">
        <f t="shared" si="458"/>
        <v xml:space="preserve"> 3 * RS -</v>
      </c>
      <c r="U1709" t="str">
        <f t="shared" si="462"/>
        <v xml:space="preserve">- DIT/DIST   </v>
      </c>
      <c r="V1709" t="str">
        <f t="shared" si="450"/>
        <v xml:space="preserve">         </v>
      </c>
      <c r="W1709" t="str">
        <f t="shared" si="459"/>
        <v xml:space="preserve">         </v>
      </c>
      <c r="X1709" t="str">
        <f t="shared" si="463"/>
        <v xml:space="preserve">     </v>
      </c>
      <c r="Y1709" t="str">
        <f t="shared" si="463"/>
        <v/>
      </c>
      <c r="Z1709" t="str">
        <f t="shared" si="463"/>
        <v/>
      </c>
      <c r="AA1709" t="str">
        <f t="shared" si="451"/>
        <v/>
      </c>
      <c r="AB1709" t="str">
        <f t="shared" si="460"/>
        <v/>
      </c>
      <c r="AC1709" t="str">
        <f t="shared" si="461"/>
        <v/>
      </c>
      <c r="AD1709" t="str">
        <f t="shared" si="462"/>
        <v/>
      </c>
      <c r="AE1709" t="str">
        <f t="shared" si="452"/>
        <v/>
      </c>
      <c r="AF1709" t="str">
        <f t="shared" si="464"/>
        <v/>
      </c>
      <c r="AG1709" t="str">
        <f t="shared" si="464"/>
        <v/>
      </c>
      <c r="AH1709" t="str">
        <f t="shared" si="453"/>
        <v/>
      </c>
      <c r="AI1709" t="str">
        <f t="shared" si="454"/>
        <v/>
      </c>
      <c r="AJ1709" t="str">
        <f t="shared" si="455"/>
        <v/>
      </c>
    </row>
    <row r="1710" spans="1:36" x14ac:dyDescent="0.25">
      <c r="P1710" t="str">
        <f t="shared" si="456"/>
        <v/>
      </c>
      <c r="Q1710" t="str">
        <f t="shared" si="456"/>
        <v/>
      </c>
      <c r="R1710" t="str">
        <f t="shared" si="449"/>
        <v/>
      </c>
      <c r="S1710" t="str">
        <f t="shared" si="457"/>
        <v/>
      </c>
      <c r="T1710" t="str">
        <f t="shared" si="458"/>
        <v/>
      </c>
      <c r="U1710" t="str">
        <f t="shared" si="462"/>
        <v/>
      </c>
      <c r="V1710" t="str">
        <f t="shared" si="450"/>
        <v/>
      </c>
      <c r="W1710" t="str">
        <f t="shared" si="459"/>
        <v/>
      </c>
      <c r="X1710" t="str">
        <f t="shared" si="463"/>
        <v/>
      </c>
      <c r="Y1710" t="str">
        <f t="shared" si="463"/>
        <v/>
      </c>
      <c r="Z1710" t="str">
        <f t="shared" si="463"/>
        <v/>
      </c>
      <c r="AA1710" t="str">
        <f t="shared" si="451"/>
        <v/>
      </c>
      <c r="AB1710" t="str">
        <f t="shared" si="460"/>
        <v/>
      </c>
      <c r="AC1710" t="str">
        <f t="shared" si="461"/>
        <v/>
      </c>
      <c r="AD1710" t="str">
        <f t="shared" si="462"/>
        <v/>
      </c>
      <c r="AE1710" t="str">
        <f t="shared" si="452"/>
        <v/>
      </c>
      <c r="AF1710" t="str">
        <f t="shared" si="464"/>
        <v/>
      </c>
      <c r="AG1710" t="str">
        <f t="shared" si="464"/>
        <v/>
      </c>
      <c r="AH1710" t="str">
        <f t="shared" si="453"/>
        <v/>
      </c>
      <c r="AI1710" t="str">
        <f t="shared" si="454"/>
        <v/>
      </c>
      <c r="AJ1710" t="str">
        <f t="shared" si="455"/>
        <v/>
      </c>
    </row>
    <row r="1711" spans="1:36" x14ac:dyDescent="0.25">
      <c r="A1711" t="s">
        <v>3</v>
      </c>
      <c r="P1711" t="str">
        <f t="shared" si="456"/>
        <v xml:space="preserve"> X--------------</v>
      </c>
      <c r="Q1711" t="str">
        <f t="shared" si="456"/>
        <v xml:space="preserve">-------- </v>
      </c>
      <c r="R1711" t="str">
        <f t="shared" si="449"/>
        <v xml:space="preserve"> D A D O </v>
      </c>
      <c r="S1711" t="str">
        <f t="shared" si="457"/>
        <v xml:space="preserve"> S  -  B </v>
      </c>
      <c r="T1711" t="str">
        <f t="shared" si="458"/>
        <v xml:space="preserve"> A R R A </v>
      </c>
      <c r="U1711" t="str">
        <f t="shared" si="462"/>
        <v xml:space="preserve"> ------------</v>
      </c>
      <c r="V1711" t="str">
        <f t="shared" si="450"/>
        <v>---------</v>
      </c>
      <c r="W1711" t="str">
        <f t="shared" si="459"/>
        <v>--------X</v>
      </c>
      <c r="X1711" t="str">
        <f t="shared" si="463"/>
        <v>X------</v>
      </c>
      <c r="Y1711" t="str">
        <f t="shared" si="463"/>
        <v>-------- F L U</v>
      </c>
      <c r="Z1711" t="str">
        <f t="shared" si="463"/>
        <v xml:space="preserve">U X </v>
      </c>
      <c r="AA1711" t="str">
        <f t="shared" si="451"/>
        <v xml:space="preserve"> O S  -  </v>
      </c>
      <c r="AB1711" t="str">
        <f t="shared" si="460"/>
        <v xml:space="preserve"> C I R C </v>
      </c>
      <c r="AC1711" t="str">
        <f t="shared" si="461"/>
        <v xml:space="preserve"> U I T O </v>
      </c>
      <c r="AD1711" t="str">
        <f t="shared" si="462"/>
        <v xml:space="preserve"> S -----</v>
      </c>
      <c r="AE1711" t="str">
        <f t="shared" si="452"/>
        <v>-------</v>
      </c>
      <c r="AF1711" t="str">
        <f t="shared" si="464"/>
        <v>----X</v>
      </c>
      <c r="AG1711" t="str">
        <f t="shared" si="464"/>
        <v>X--------X</v>
      </c>
      <c r="AH1711" t="str">
        <f t="shared" si="453"/>
        <v>X--------X</v>
      </c>
      <c r="AI1711" t="str">
        <f t="shared" si="454"/>
        <v>X------</v>
      </c>
      <c r="AJ1711" t="str">
        <f t="shared" si="455"/>
        <v>------X</v>
      </c>
    </row>
    <row r="1712" spans="1:36" x14ac:dyDescent="0.25">
      <c r="A1712" t="s">
        <v>4</v>
      </c>
      <c r="P1712" t="str">
        <f t="shared" si="456"/>
        <v xml:space="preserve">  DA BARRA      </v>
      </c>
      <c r="Q1712" t="str">
        <f t="shared" si="456"/>
        <v xml:space="preserve">  TENSAO </v>
      </c>
      <c r="R1712" t="str">
        <f t="shared" si="449"/>
        <v xml:space="preserve"> GERACAO </v>
      </c>
      <c r="S1712" t="str">
        <f t="shared" si="457"/>
        <v xml:space="preserve"> INJ EQV </v>
      </c>
      <c r="T1712" t="str">
        <f t="shared" si="458"/>
        <v xml:space="preserve">  CARGA  </v>
      </c>
      <c r="U1712" t="str">
        <f t="shared" si="462"/>
        <v xml:space="preserve">  ELO CC  SHU</v>
      </c>
      <c r="V1712" t="str">
        <f t="shared" si="450"/>
        <v>UNT    MO</v>
      </c>
      <c r="W1712" t="str">
        <f t="shared" si="459"/>
        <v xml:space="preserve">OTOR     </v>
      </c>
      <c r="X1712" t="str">
        <f t="shared" si="463"/>
        <v xml:space="preserve">       </v>
      </c>
      <c r="Y1712" t="str">
        <f t="shared" si="463"/>
        <v xml:space="preserve">              </v>
      </c>
      <c r="Z1712" t="str">
        <f t="shared" si="463"/>
        <v xml:space="preserve">    </v>
      </c>
      <c r="AA1712" t="str">
        <f t="shared" si="451"/>
        <v xml:space="preserve">         </v>
      </c>
      <c r="AB1712" t="str">
        <f t="shared" si="460"/>
        <v xml:space="preserve">         </v>
      </c>
      <c r="AC1712" t="str">
        <f t="shared" si="461"/>
        <v xml:space="preserve">         </v>
      </c>
      <c r="AD1712" t="str">
        <f t="shared" si="462"/>
        <v xml:space="preserve">        </v>
      </c>
      <c r="AE1712" t="str">
        <f t="shared" si="452"/>
        <v xml:space="preserve">       </v>
      </c>
      <c r="AF1712" t="str">
        <f t="shared" si="464"/>
        <v xml:space="preserve">     </v>
      </c>
      <c r="AG1712" t="str">
        <f t="shared" si="464"/>
        <v xml:space="preserve">          </v>
      </c>
      <c r="AH1712" t="str">
        <f t="shared" si="453"/>
        <v xml:space="preserve">          </v>
      </c>
      <c r="AI1712" t="str">
        <f t="shared" si="454"/>
        <v xml:space="preserve">       </v>
      </c>
      <c r="AJ1712" t="str">
        <f t="shared" si="455"/>
        <v xml:space="preserve">   </v>
      </c>
    </row>
    <row r="1713" spans="1:36" x14ac:dyDescent="0.25">
      <c r="A1713" t="s">
        <v>5</v>
      </c>
      <c r="P1713" t="str">
        <f t="shared" si="456"/>
        <v xml:space="preserve">  NUM.  KV TIPO </v>
      </c>
      <c r="Q1713" t="str">
        <f t="shared" si="456"/>
        <v xml:space="preserve">   MOD/  </v>
      </c>
      <c r="R1713" t="str">
        <f t="shared" si="449"/>
        <v xml:space="preserve">    MW/  </v>
      </c>
      <c r="S1713" t="str">
        <f t="shared" si="457"/>
        <v xml:space="preserve">    MW/  </v>
      </c>
      <c r="T1713" t="str">
        <f t="shared" si="458"/>
        <v xml:space="preserve">    MW/  </v>
      </c>
      <c r="U1713" t="str">
        <f t="shared" si="462"/>
        <v xml:space="preserve">    MW/   Mva</v>
      </c>
      <c r="V1713" t="str">
        <f t="shared" si="450"/>
        <v>ar/     M</v>
      </c>
      <c r="W1713" t="str">
        <f t="shared" si="459"/>
        <v xml:space="preserve">MW/      </v>
      </c>
      <c r="X1713" t="str">
        <f t="shared" si="463"/>
        <v xml:space="preserve">       </v>
      </c>
      <c r="Y1713" t="str">
        <f t="shared" si="463"/>
        <v xml:space="preserve">              </v>
      </c>
      <c r="Z1713" t="str">
        <f t="shared" si="463"/>
        <v xml:space="preserve">    </v>
      </c>
      <c r="AA1713" t="str">
        <f t="shared" si="451"/>
        <v xml:space="preserve">         </v>
      </c>
      <c r="AB1713" t="str">
        <f t="shared" si="460"/>
        <v xml:space="preserve">         </v>
      </c>
      <c r="AC1713" t="str">
        <f t="shared" si="461"/>
        <v xml:space="preserve">         </v>
      </c>
      <c r="AD1713" t="str">
        <f t="shared" si="462"/>
        <v xml:space="preserve">        </v>
      </c>
      <c r="AE1713" t="str">
        <f t="shared" si="452"/>
        <v xml:space="preserve">       </v>
      </c>
      <c r="AF1713" t="str">
        <f t="shared" si="464"/>
        <v xml:space="preserve">    P</v>
      </c>
      <c r="AG1713" t="str">
        <f t="shared" si="464"/>
        <v xml:space="preserve">P E R D A </v>
      </c>
      <c r="AH1713" t="str">
        <f t="shared" si="453"/>
        <v xml:space="preserve"> S       T</v>
      </c>
      <c r="AI1713" t="str">
        <f t="shared" si="454"/>
        <v xml:space="preserve">TENSAO </v>
      </c>
      <c r="AJ1713" t="str">
        <f t="shared" si="455"/>
        <v xml:space="preserve">   </v>
      </c>
    </row>
    <row r="1714" spans="1:36" x14ac:dyDescent="0.25">
      <c r="A1714" t="s">
        <v>6</v>
      </c>
      <c r="P1714" t="str">
        <f t="shared" si="456"/>
        <v xml:space="preserve">       NOME     </v>
      </c>
      <c r="Q1714" t="str">
        <f t="shared" si="456"/>
        <v xml:space="preserve">   ANG   </v>
      </c>
      <c r="R1714" t="str">
        <f t="shared" si="449"/>
        <v xml:space="preserve">   Mvar  </v>
      </c>
      <c r="S1714" t="str">
        <f t="shared" si="457"/>
        <v xml:space="preserve">   Mvar  </v>
      </c>
      <c r="T1714" t="str">
        <f t="shared" si="458"/>
        <v xml:space="preserve">   Mvar  </v>
      </c>
      <c r="U1714" t="str">
        <f t="shared" si="462"/>
        <v xml:space="preserve">   Mvar   EQU</v>
      </c>
      <c r="V1714" t="str">
        <f t="shared" si="450"/>
        <v>UIV    Mv</v>
      </c>
      <c r="W1714" t="str">
        <f t="shared" si="459"/>
        <v>var  PARA</v>
      </c>
      <c r="X1714" t="str">
        <f t="shared" si="463"/>
        <v>A BARRA</v>
      </c>
      <c r="Y1714" t="str">
        <f t="shared" si="463"/>
        <v xml:space="preserve">A             </v>
      </c>
      <c r="Z1714" t="str">
        <f t="shared" si="463"/>
        <v xml:space="preserve">    </v>
      </c>
      <c r="AA1714" t="str">
        <f t="shared" si="451"/>
        <v xml:space="preserve">      FLU</v>
      </c>
      <c r="AB1714" t="str">
        <f t="shared" si="460"/>
        <v xml:space="preserve">UXOS     </v>
      </c>
      <c r="AC1714" t="str">
        <f t="shared" si="461"/>
        <v xml:space="preserve">         </v>
      </c>
      <c r="AD1714" t="str">
        <f t="shared" si="462"/>
        <v xml:space="preserve">        </v>
      </c>
      <c r="AE1714" t="str">
        <f t="shared" si="452"/>
        <v xml:space="preserve">       </v>
      </c>
      <c r="AF1714" t="str">
        <f t="shared" si="464"/>
        <v xml:space="preserve">  ATI</v>
      </c>
      <c r="AG1714" t="str">
        <f t="shared" si="464"/>
        <v>IVA   REAT</v>
      </c>
      <c r="AH1714" t="str">
        <f t="shared" si="453"/>
        <v>TIVA  CIR.</v>
      </c>
      <c r="AI1714" t="str">
        <f t="shared" si="454"/>
        <v>. ABERT</v>
      </c>
      <c r="AJ1714" t="str">
        <f t="shared" si="455"/>
        <v xml:space="preserve">TO </v>
      </c>
    </row>
    <row r="1715" spans="1:36" x14ac:dyDescent="0.25">
      <c r="A1715" t="s">
        <v>7</v>
      </c>
      <c r="P1715" t="str">
        <f t="shared" si="456"/>
        <v xml:space="preserve">                </v>
      </c>
      <c r="Q1715" t="str">
        <f t="shared" si="456"/>
        <v xml:space="preserve">         </v>
      </c>
      <c r="R1715" t="str">
        <f t="shared" si="449"/>
        <v xml:space="preserve"> MVA_NOM </v>
      </c>
      <c r="S1715" t="str">
        <f t="shared" si="457"/>
        <v xml:space="preserve"> MVA_EMR </v>
      </c>
      <c r="T1715" t="str">
        <f t="shared" si="458"/>
        <v xml:space="preserve"> MVA_EQP </v>
      </c>
      <c r="U1715" t="str">
        <f t="shared" si="462"/>
        <v xml:space="preserve">   FLUXO %   </v>
      </c>
      <c r="V1715" t="str">
        <f t="shared" si="450"/>
        <v xml:space="preserve"> SHUNT L </v>
      </c>
      <c r="W1715" t="str">
        <f t="shared" si="459"/>
        <v xml:space="preserve">         </v>
      </c>
      <c r="X1715" t="str">
        <f t="shared" si="463"/>
        <v xml:space="preserve"> NUM.  </v>
      </c>
      <c r="Y1715" t="str">
        <f t="shared" si="463"/>
        <v xml:space="preserve">     NOME     </v>
      </c>
      <c r="Z1715" t="str">
        <f t="shared" si="463"/>
        <v xml:space="preserve"> NC </v>
      </c>
      <c r="AA1715" t="str">
        <f t="shared" si="451"/>
        <v xml:space="preserve">    MW   </v>
      </c>
      <c r="AB1715" t="str">
        <f t="shared" si="460"/>
        <v xml:space="preserve">   Mvar  </v>
      </c>
      <c r="AC1715" t="str">
        <f t="shared" si="461"/>
        <v xml:space="preserve"> MVA/V_d </v>
      </c>
      <c r="AD1715" t="str">
        <f t="shared" si="462"/>
        <v xml:space="preserve">   TAP  </v>
      </c>
      <c r="AE1715" t="str">
        <f t="shared" si="452"/>
        <v xml:space="preserve"> DEFAS </v>
      </c>
      <c r="AF1715" t="str">
        <f t="shared" si="464"/>
        <v xml:space="preserve"> TIE </v>
      </c>
      <c r="AG1715" t="str">
        <f t="shared" si="464"/>
        <v xml:space="preserve">    MW    </v>
      </c>
      <c r="AH1715" t="str">
        <f t="shared" si="453"/>
        <v xml:space="preserve">   Mvar   </v>
      </c>
      <c r="AI1715" t="str">
        <f t="shared" si="454"/>
        <v xml:space="preserve">  MOD  </v>
      </c>
      <c r="AJ1715" t="str">
        <f t="shared" si="455"/>
        <v xml:space="preserve">  ANG  </v>
      </c>
    </row>
    <row r="1716" spans="1:36" x14ac:dyDescent="0.25">
      <c r="A1716" t="s">
        <v>8</v>
      </c>
      <c r="P1716" t="str">
        <f t="shared" si="456"/>
        <v xml:space="preserve"> X-------------X</v>
      </c>
      <c r="Q1716" t="str">
        <f t="shared" si="456"/>
        <v>X-------X</v>
      </c>
      <c r="R1716" t="str">
        <f t="shared" si="449"/>
        <v>X-------X</v>
      </c>
      <c r="S1716" t="str">
        <f t="shared" si="457"/>
        <v>X-------X</v>
      </c>
      <c r="T1716" t="str">
        <f t="shared" si="458"/>
        <v>X-------X</v>
      </c>
      <c r="U1716" t="str">
        <f t="shared" si="462"/>
        <v>X-----------X</v>
      </c>
      <c r="V1716" t="str">
        <f t="shared" si="450"/>
        <v>X-------X</v>
      </c>
      <c r="W1716" t="str">
        <f t="shared" si="459"/>
        <v>X-------X</v>
      </c>
      <c r="X1716" t="str">
        <f t="shared" si="463"/>
        <v>X-----X</v>
      </c>
      <c r="Y1716" t="str">
        <f t="shared" si="463"/>
        <v>X------------X</v>
      </c>
      <c r="Z1716" t="str">
        <f t="shared" si="463"/>
        <v>X--X</v>
      </c>
      <c r="AA1716" t="str">
        <f t="shared" si="451"/>
        <v>X-------X</v>
      </c>
      <c r="AB1716" t="str">
        <f t="shared" si="460"/>
        <v>X-------X</v>
      </c>
      <c r="AC1716" t="str">
        <f t="shared" si="461"/>
        <v>X-------X</v>
      </c>
      <c r="AD1716" t="str">
        <f t="shared" si="462"/>
        <v>X------X</v>
      </c>
      <c r="AE1716" t="str">
        <f t="shared" si="452"/>
        <v>X-----X</v>
      </c>
      <c r="AF1716" t="str">
        <f t="shared" si="464"/>
        <v>X---X</v>
      </c>
      <c r="AG1716" t="str">
        <f t="shared" si="464"/>
        <v>X--------X</v>
      </c>
      <c r="AH1716" t="str">
        <f t="shared" si="453"/>
        <v>X--------X</v>
      </c>
      <c r="AI1716" t="str">
        <f t="shared" si="454"/>
        <v>X-----X</v>
      </c>
      <c r="AJ1716" t="str">
        <f t="shared" si="455"/>
        <v>X-----X</v>
      </c>
    </row>
    <row r="1717" spans="1:36" x14ac:dyDescent="0.25">
      <c r="P1717" t="str">
        <f t="shared" si="456"/>
        <v/>
      </c>
      <c r="Q1717" t="str">
        <f t="shared" si="456"/>
        <v/>
      </c>
      <c r="R1717" t="str">
        <f t="shared" si="449"/>
        <v/>
      </c>
      <c r="S1717" t="str">
        <f t="shared" si="457"/>
        <v/>
      </c>
      <c r="T1717" t="str">
        <f t="shared" si="458"/>
        <v/>
      </c>
      <c r="U1717" t="str">
        <f t="shared" si="462"/>
        <v/>
      </c>
      <c r="V1717" t="str">
        <f t="shared" si="450"/>
        <v/>
      </c>
      <c r="W1717" t="str">
        <f t="shared" si="459"/>
        <v/>
      </c>
      <c r="X1717" t="str">
        <f t="shared" si="463"/>
        <v/>
      </c>
      <c r="Y1717" t="str">
        <f t="shared" si="463"/>
        <v/>
      </c>
      <c r="Z1717" t="str">
        <f t="shared" si="463"/>
        <v/>
      </c>
      <c r="AA1717" t="str">
        <f t="shared" si="451"/>
        <v/>
      </c>
      <c r="AB1717" t="str">
        <f t="shared" si="460"/>
        <v/>
      </c>
      <c r="AC1717" t="str">
        <f t="shared" si="461"/>
        <v/>
      </c>
      <c r="AD1717" t="str">
        <f t="shared" si="462"/>
        <v/>
      </c>
      <c r="AE1717" t="str">
        <f t="shared" si="452"/>
        <v/>
      </c>
      <c r="AF1717" t="str">
        <f t="shared" si="464"/>
        <v/>
      </c>
      <c r="AG1717" t="str">
        <f t="shared" si="464"/>
        <v/>
      </c>
      <c r="AH1717" t="str">
        <f t="shared" si="453"/>
        <v/>
      </c>
      <c r="AI1717" t="str">
        <f t="shared" si="454"/>
        <v/>
      </c>
      <c r="AJ1717" t="str">
        <f t="shared" si="455"/>
        <v/>
      </c>
    </row>
    <row r="1718" spans="1:36" x14ac:dyDescent="0.25">
      <c r="A1718" t="s">
        <v>1311</v>
      </c>
      <c r="P1718" t="str">
        <f t="shared" si="456"/>
        <v xml:space="preserve">   9911   69  0 </v>
      </c>
      <c r="Q1718" t="str">
        <f t="shared" si="456"/>
        <v xml:space="preserve">   1.001 </v>
      </c>
      <c r="R1718" t="str">
        <f t="shared" si="449"/>
        <v xml:space="preserve">     0.0 </v>
      </c>
      <c r="S1718" t="str">
        <f t="shared" si="457"/>
        <v xml:space="preserve">     0.0 </v>
      </c>
      <c r="T1718" t="str">
        <f t="shared" si="458"/>
        <v xml:space="preserve">     0.0 </v>
      </c>
      <c r="U1718" t="str">
        <f t="shared" si="462"/>
        <v xml:space="preserve">         0.0 </v>
      </c>
      <c r="V1718" t="str">
        <f t="shared" si="450"/>
        <v xml:space="preserve">     0.0 </v>
      </c>
      <c r="W1718" t="str">
        <f t="shared" si="459"/>
        <v xml:space="preserve">     0.0</v>
      </c>
      <c r="X1718" t="str">
        <f t="shared" si="463"/>
        <v/>
      </c>
      <c r="Y1718" t="str">
        <f t="shared" si="463"/>
        <v/>
      </c>
      <c r="Z1718" t="str">
        <f t="shared" si="463"/>
        <v/>
      </c>
      <c r="AA1718" t="str">
        <f t="shared" si="451"/>
        <v/>
      </c>
      <c r="AB1718" t="str">
        <f t="shared" si="460"/>
        <v/>
      </c>
      <c r="AC1718" t="str">
        <f t="shared" si="461"/>
        <v/>
      </c>
      <c r="AD1718" t="str">
        <f t="shared" si="462"/>
        <v/>
      </c>
      <c r="AE1718" t="str">
        <f t="shared" si="452"/>
        <v/>
      </c>
      <c r="AF1718" t="str">
        <f t="shared" si="464"/>
        <v/>
      </c>
      <c r="AG1718" t="str">
        <f t="shared" si="464"/>
        <v/>
      </c>
      <c r="AH1718" t="str">
        <f t="shared" si="453"/>
        <v/>
      </c>
      <c r="AI1718" t="str">
        <f t="shared" si="454"/>
        <v/>
      </c>
      <c r="AJ1718" t="str">
        <f t="shared" si="455"/>
        <v/>
      </c>
    </row>
    <row r="1719" spans="1:36" x14ac:dyDescent="0.25">
      <c r="A1719" t="s">
        <v>1312</v>
      </c>
      <c r="P1719" t="str">
        <f t="shared" si="456"/>
        <v xml:space="preserve">  IJU1-B-RS069  </v>
      </c>
      <c r="Q1719" t="str">
        <f t="shared" si="456"/>
        <v xml:space="preserve">   -50.5 </v>
      </c>
      <c r="R1719" t="str">
        <f t="shared" si="449"/>
        <v xml:space="preserve">     0.0 </v>
      </c>
      <c r="S1719" t="str">
        <f t="shared" si="457"/>
        <v xml:space="preserve">     0.0 </v>
      </c>
      <c r="T1719" t="str">
        <f t="shared" si="458"/>
        <v xml:space="preserve">     0.0 </v>
      </c>
      <c r="U1719" t="str">
        <f t="shared" si="462"/>
        <v xml:space="preserve">         0.0 </v>
      </c>
      <c r="V1719" t="str">
        <f t="shared" si="450"/>
        <v xml:space="preserve">     0.0 </v>
      </c>
      <c r="W1719" t="str">
        <f t="shared" si="459"/>
        <v xml:space="preserve">     0.0 </v>
      </c>
      <c r="X1719" t="str">
        <f t="shared" si="463"/>
        <v xml:space="preserve">       </v>
      </c>
      <c r="Y1719" t="str">
        <f t="shared" si="463"/>
        <v xml:space="preserve">              </v>
      </c>
      <c r="Z1719" t="str">
        <f t="shared" si="463"/>
        <v xml:space="preserve">    </v>
      </c>
      <c r="AA1719" t="str">
        <f t="shared" si="451"/>
        <v xml:space="preserve">         </v>
      </c>
      <c r="AB1719" t="str">
        <f t="shared" si="460"/>
        <v xml:space="preserve">         </v>
      </c>
      <c r="AC1719" t="str">
        <f t="shared" si="461"/>
        <v xml:space="preserve">    </v>
      </c>
      <c r="AD1719" t="str">
        <f t="shared" si="462"/>
        <v/>
      </c>
      <c r="AE1719" t="str">
        <f t="shared" si="452"/>
        <v/>
      </c>
      <c r="AF1719" t="str">
        <f t="shared" si="464"/>
        <v/>
      </c>
      <c r="AG1719" t="str">
        <f t="shared" si="464"/>
        <v/>
      </c>
      <c r="AH1719" t="str">
        <f t="shared" si="453"/>
        <v/>
      </c>
      <c r="AI1719" t="str">
        <f t="shared" si="454"/>
        <v/>
      </c>
      <c r="AJ1719" t="str">
        <f t="shared" si="455"/>
        <v/>
      </c>
    </row>
    <row r="1720" spans="1:36" x14ac:dyDescent="0.25">
      <c r="A1720" t="s">
        <v>1313</v>
      </c>
      <c r="P1720" t="str">
        <f t="shared" si="456"/>
        <v xml:space="preserve">                </v>
      </c>
      <c r="Q1720" t="str">
        <f t="shared" si="456"/>
        <v xml:space="preserve">         </v>
      </c>
      <c r="R1720" t="str">
        <f t="shared" si="449"/>
        <v xml:space="preserve">  9999.0 </v>
      </c>
      <c r="S1720" t="str">
        <f t="shared" si="457"/>
        <v xml:space="preserve">  9999.0 </v>
      </c>
      <c r="T1720" t="str">
        <f t="shared" si="458"/>
        <v xml:space="preserve">  9999.0 </v>
      </c>
      <c r="U1720" t="str">
        <f t="shared" si="462"/>
        <v xml:space="preserve">        0.0% </v>
      </c>
      <c r="V1720" t="str">
        <f t="shared" si="450"/>
        <v xml:space="preserve">         </v>
      </c>
      <c r="W1720" t="str">
        <f t="shared" si="459"/>
        <v xml:space="preserve">         </v>
      </c>
      <c r="X1720" t="str">
        <f t="shared" si="463"/>
        <v xml:space="preserve">  1302 </v>
      </c>
      <c r="Y1720" t="str">
        <f t="shared" si="463"/>
        <v xml:space="preserve"> IJUI1--RS069 </v>
      </c>
      <c r="Z1720" t="str">
        <f t="shared" si="463"/>
        <v xml:space="preserve">  1 </v>
      </c>
      <c r="AA1720" t="str">
        <f t="shared" si="451"/>
        <v xml:space="preserve">    27.1 </v>
      </c>
      <c r="AB1720" t="str">
        <f t="shared" si="460"/>
        <v xml:space="preserve">     7.5 </v>
      </c>
      <c r="AC1720" t="str">
        <f t="shared" si="461"/>
        <v xml:space="preserve">    28.1 </v>
      </c>
      <c r="AD1720" t="str">
        <f t="shared" si="462"/>
        <v xml:space="preserve">        </v>
      </c>
      <c r="AE1720" t="str">
        <f t="shared" si="452"/>
        <v xml:space="preserve">       </v>
      </c>
      <c r="AF1720" t="str">
        <f t="shared" si="464"/>
        <v xml:space="preserve">     </v>
      </c>
      <c r="AG1720" t="str">
        <f t="shared" si="464"/>
        <v xml:space="preserve">     0.00 </v>
      </c>
      <c r="AH1720" t="str">
        <f t="shared" si="453"/>
        <v xml:space="preserve">     0.00 </v>
      </c>
      <c r="AI1720" t="str">
        <f t="shared" si="454"/>
        <v xml:space="preserve">       </v>
      </c>
      <c r="AJ1720" t="str">
        <f t="shared" si="455"/>
        <v xml:space="preserve">      </v>
      </c>
    </row>
    <row r="1721" spans="1:36" x14ac:dyDescent="0.25">
      <c r="A1721" t="s">
        <v>1314</v>
      </c>
      <c r="P1721" t="str">
        <f t="shared" si="456"/>
        <v xml:space="preserve">                </v>
      </c>
      <c r="Q1721" t="str">
        <f t="shared" si="456"/>
        <v xml:space="preserve">         </v>
      </c>
      <c r="R1721" t="str">
        <f t="shared" si="449"/>
        <v xml:space="preserve">    39.0 </v>
      </c>
      <c r="S1721" t="str">
        <f t="shared" si="457"/>
        <v xml:space="preserve">    49.0 </v>
      </c>
      <c r="T1721" t="str">
        <f t="shared" si="458"/>
        <v xml:space="preserve">    49.0 </v>
      </c>
      <c r="U1721" t="str">
        <f t="shared" si="462"/>
        <v xml:space="preserve"> SUP  108.0% </v>
      </c>
      <c r="V1721" t="str">
        <f t="shared" si="450"/>
        <v xml:space="preserve">         </v>
      </c>
      <c r="W1721" t="str">
        <f t="shared" si="459"/>
        <v xml:space="preserve">         </v>
      </c>
      <c r="X1721" t="str">
        <f t="shared" si="463"/>
        <v xml:space="preserve">  1322 </v>
      </c>
      <c r="Y1721" t="str">
        <f t="shared" si="463"/>
        <v xml:space="preserve"> IJUI2--RS069 </v>
      </c>
      <c r="Z1721" t="str">
        <f t="shared" si="463"/>
        <v xml:space="preserve">  1 </v>
      </c>
      <c r="AA1721" t="str">
        <f t="shared" si="451"/>
        <v xml:space="preserve">   -41.8 </v>
      </c>
      <c r="AB1721" t="str">
        <f t="shared" si="460"/>
        <v xml:space="preserve">    -5.6 </v>
      </c>
      <c r="AC1721" t="str">
        <f t="shared" si="461"/>
        <v xml:space="preserve">    42.1 </v>
      </c>
      <c r="AD1721" t="str">
        <f t="shared" si="462"/>
        <v xml:space="preserve">        </v>
      </c>
      <c r="AE1721" t="str">
        <f t="shared" si="452"/>
        <v xml:space="preserve">       </v>
      </c>
      <c r="AF1721" t="str">
        <f t="shared" si="464"/>
        <v xml:space="preserve">     </v>
      </c>
      <c r="AG1721" t="str">
        <f t="shared" si="464"/>
        <v xml:space="preserve">     1.16 </v>
      </c>
      <c r="AH1721" t="str">
        <f t="shared" si="453"/>
        <v xml:space="preserve">     1.97 </v>
      </c>
      <c r="AI1721" t="str">
        <f t="shared" si="454"/>
        <v xml:space="preserve">       </v>
      </c>
      <c r="AJ1721" t="str">
        <f t="shared" si="455"/>
        <v xml:space="preserve">      </v>
      </c>
    </row>
    <row r="1722" spans="1:36" x14ac:dyDescent="0.25">
      <c r="A1722" t="s">
        <v>1315</v>
      </c>
      <c r="P1722" t="str">
        <f t="shared" si="456"/>
        <v xml:space="preserve">                </v>
      </c>
      <c r="Q1722" t="str">
        <f t="shared" si="456"/>
        <v xml:space="preserve">         </v>
      </c>
      <c r="R1722" t="str">
        <f t="shared" si="449"/>
        <v xml:space="preserve">    25.0 </v>
      </c>
      <c r="S1722" t="str">
        <f t="shared" si="457"/>
        <v xml:space="preserve">    25.0 </v>
      </c>
      <c r="T1722" t="str">
        <f t="shared" si="458"/>
        <v xml:space="preserve">    25.0 </v>
      </c>
      <c r="U1722" t="str">
        <f t="shared" si="462"/>
        <v xml:space="preserve">       59.3% </v>
      </c>
      <c r="V1722" t="str">
        <f t="shared" si="450"/>
        <v xml:space="preserve">         </v>
      </c>
      <c r="W1722" t="str">
        <f t="shared" si="459"/>
        <v xml:space="preserve">         </v>
      </c>
      <c r="X1722" t="str">
        <f t="shared" si="463"/>
        <v xml:space="preserve">  9912 </v>
      </c>
      <c r="Y1722" t="str">
        <f t="shared" si="463"/>
        <v xml:space="preserve"> IJU1-B-RS023 </v>
      </c>
      <c r="Z1722" t="str">
        <f t="shared" si="463"/>
        <v xml:space="preserve">  2 </v>
      </c>
      <c r="AA1722" t="str">
        <f t="shared" si="451"/>
        <v xml:space="preserve">    14.7 </v>
      </c>
      <c r="AB1722" t="str">
        <f t="shared" si="460"/>
        <v xml:space="preserve">    -1.9 </v>
      </c>
      <c r="AC1722" t="str">
        <f t="shared" si="461"/>
        <v xml:space="preserve">    14.8 </v>
      </c>
      <c r="AD1722" t="str">
        <f t="shared" si="462"/>
        <v xml:space="preserve"> 0.916* </v>
      </c>
      <c r="AE1722" t="str">
        <f t="shared" si="452"/>
        <v xml:space="preserve">       </v>
      </c>
      <c r="AF1722" t="str">
        <f t="shared" si="464"/>
        <v xml:space="preserve">     </v>
      </c>
      <c r="AG1722" t="str">
        <f t="shared" si="464"/>
        <v xml:space="preserve">     0.00 </v>
      </c>
      <c r="AH1722" t="str">
        <f t="shared" si="453"/>
        <v xml:space="preserve">     0.68 </v>
      </c>
      <c r="AI1722" t="str">
        <f t="shared" si="454"/>
        <v xml:space="preserve">       </v>
      </c>
      <c r="AJ1722" t="str">
        <f t="shared" si="455"/>
        <v xml:space="preserve">      </v>
      </c>
    </row>
    <row r="1723" spans="1:36" x14ac:dyDescent="0.25">
      <c r="A1723" t="s">
        <v>14</v>
      </c>
      <c r="P1723" t="str">
        <f t="shared" si="456"/>
        <v xml:space="preserve">  ..............</v>
      </c>
      <c r="Q1723" t="str">
        <f t="shared" si="456"/>
        <v>.........</v>
      </c>
      <c r="R1723" t="str">
        <f t="shared" si="449"/>
        <v>.........</v>
      </c>
      <c r="S1723" t="str">
        <f t="shared" si="457"/>
        <v>.........</v>
      </c>
      <c r="T1723" t="str">
        <f t="shared" si="458"/>
        <v>.........</v>
      </c>
      <c r="U1723" t="str">
        <f t="shared" si="462"/>
        <v>.............</v>
      </c>
      <c r="V1723" t="str">
        <f t="shared" si="450"/>
        <v>.........</v>
      </c>
      <c r="W1723" t="str">
        <f t="shared" si="459"/>
        <v>.........</v>
      </c>
      <c r="X1723" t="str">
        <f t="shared" si="463"/>
        <v>.......</v>
      </c>
      <c r="Y1723" t="str">
        <f t="shared" si="463"/>
        <v>..............</v>
      </c>
      <c r="Z1723" t="str">
        <f t="shared" si="463"/>
        <v>....</v>
      </c>
      <c r="AA1723" t="str">
        <f t="shared" si="451"/>
        <v>.........</v>
      </c>
      <c r="AB1723" t="str">
        <f t="shared" si="460"/>
        <v>.........</v>
      </c>
      <c r="AC1723" t="str">
        <f t="shared" si="461"/>
        <v>.........</v>
      </c>
      <c r="AD1723" t="str">
        <f t="shared" si="462"/>
        <v>........</v>
      </c>
      <c r="AE1723" t="str">
        <f t="shared" si="452"/>
        <v>.......</v>
      </c>
      <c r="AF1723" t="str">
        <f t="shared" si="464"/>
        <v>.....</v>
      </c>
      <c r="AG1723" t="str">
        <f t="shared" si="464"/>
        <v>..........</v>
      </c>
      <c r="AH1723" t="str">
        <f t="shared" si="453"/>
        <v>..........</v>
      </c>
      <c r="AI1723" t="str">
        <f t="shared" si="454"/>
        <v>.......</v>
      </c>
      <c r="AJ1723" t="str">
        <f t="shared" si="455"/>
        <v>.......</v>
      </c>
    </row>
    <row r="1724" spans="1:36" x14ac:dyDescent="0.25">
      <c r="A1724" t="s">
        <v>1316</v>
      </c>
      <c r="P1724" t="str">
        <f t="shared" si="456"/>
        <v xml:space="preserve">   9912   23  0 </v>
      </c>
      <c r="Q1724" t="str">
        <f t="shared" si="456"/>
        <v xml:space="preserve">   1.101 </v>
      </c>
      <c r="R1724" t="str">
        <f t="shared" si="449"/>
        <v xml:space="preserve">     0.0 </v>
      </c>
      <c r="S1724" t="str">
        <f t="shared" si="457"/>
        <v xml:space="preserve">     0.0 </v>
      </c>
      <c r="T1724" t="str">
        <f t="shared" si="458"/>
        <v xml:space="preserve">     0.0 </v>
      </c>
      <c r="U1724" t="str">
        <f t="shared" si="462"/>
        <v xml:space="preserve">         0.0 </v>
      </c>
      <c r="V1724" t="str">
        <f t="shared" si="450"/>
        <v xml:space="preserve">     8.7 </v>
      </c>
      <c r="W1724" t="str">
        <f t="shared" si="459"/>
        <v xml:space="preserve">     0.0</v>
      </c>
      <c r="X1724" t="str">
        <f t="shared" si="463"/>
        <v/>
      </c>
      <c r="Y1724" t="str">
        <f t="shared" si="463"/>
        <v/>
      </c>
      <c r="Z1724" t="str">
        <f t="shared" si="463"/>
        <v/>
      </c>
      <c r="AA1724" t="str">
        <f t="shared" si="451"/>
        <v/>
      </c>
      <c r="AB1724" t="str">
        <f t="shared" si="460"/>
        <v/>
      </c>
      <c r="AC1724" t="str">
        <f t="shared" si="461"/>
        <v/>
      </c>
      <c r="AD1724" t="str">
        <f t="shared" si="462"/>
        <v/>
      </c>
      <c r="AE1724" t="str">
        <f t="shared" si="452"/>
        <v/>
      </c>
      <c r="AF1724" t="str">
        <f t="shared" si="464"/>
        <v/>
      </c>
      <c r="AG1724" t="str">
        <f t="shared" si="464"/>
        <v/>
      </c>
      <c r="AH1724" t="str">
        <f t="shared" si="453"/>
        <v/>
      </c>
      <c r="AI1724" t="str">
        <f t="shared" si="454"/>
        <v/>
      </c>
      <c r="AJ1724" t="str">
        <f t="shared" si="455"/>
        <v/>
      </c>
    </row>
    <row r="1725" spans="1:36" x14ac:dyDescent="0.25">
      <c r="A1725" t="s">
        <v>1317</v>
      </c>
      <c r="P1725" t="str">
        <f t="shared" si="456"/>
        <v xml:space="preserve">  IJU1-B-RS023  </v>
      </c>
      <c r="Q1725" t="str">
        <f t="shared" si="456"/>
        <v xml:space="preserve">   -53.0 </v>
      </c>
      <c r="R1725" t="str">
        <f t="shared" si="449"/>
        <v xml:space="preserve">     0.0 </v>
      </c>
      <c r="S1725" t="str">
        <f t="shared" si="457"/>
        <v xml:space="preserve">     0.0 </v>
      </c>
      <c r="T1725" t="str">
        <f t="shared" si="458"/>
        <v xml:space="preserve">     0.0 </v>
      </c>
      <c r="U1725" t="str">
        <f t="shared" si="462"/>
        <v xml:space="preserve">         0.0 </v>
      </c>
      <c r="V1725" t="str">
        <f t="shared" si="450"/>
        <v xml:space="preserve">     0.0 </v>
      </c>
      <c r="W1725" t="str">
        <f t="shared" si="459"/>
        <v xml:space="preserve">     0.0 </v>
      </c>
      <c r="X1725" t="str">
        <f t="shared" si="463"/>
        <v xml:space="preserve">       </v>
      </c>
      <c r="Y1725" t="str">
        <f t="shared" si="463"/>
        <v xml:space="preserve">              </v>
      </c>
      <c r="Z1725" t="str">
        <f t="shared" si="463"/>
        <v xml:space="preserve">    </v>
      </c>
      <c r="AA1725" t="str">
        <f t="shared" si="451"/>
        <v xml:space="preserve">         </v>
      </c>
      <c r="AB1725" t="str">
        <f t="shared" si="460"/>
        <v xml:space="preserve">         </v>
      </c>
      <c r="AC1725" t="str">
        <f t="shared" si="461"/>
        <v xml:space="preserve">    </v>
      </c>
      <c r="AD1725" t="str">
        <f t="shared" si="462"/>
        <v/>
      </c>
      <c r="AE1725" t="str">
        <f t="shared" si="452"/>
        <v/>
      </c>
      <c r="AF1725" t="str">
        <f t="shared" si="464"/>
        <v/>
      </c>
      <c r="AG1725" t="str">
        <f t="shared" si="464"/>
        <v/>
      </c>
      <c r="AH1725" t="str">
        <f t="shared" si="453"/>
        <v/>
      </c>
      <c r="AI1725" t="str">
        <f t="shared" si="454"/>
        <v/>
      </c>
      <c r="AJ1725" t="str">
        <f t="shared" si="455"/>
        <v/>
      </c>
    </row>
    <row r="1726" spans="1:36" x14ac:dyDescent="0.25">
      <c r="A1726" t="s">
        <v>1318</v>
      </c>
      <c r="P1726" t="str">
        <f t="shared" si="456"/>
        <v xml:space="preserve">                </v>
      </c>
      <c r="Q1726" t="str">
        <f t="shared" si="456"/>
        <v xml:space="preserve">         </v>
      </c>
      <c r="R1726" t="str">
        <f t="shared" si="449"/>
        <v xml:space="preserve">    25.0 </v>
      </c>
      <c r="S1726" t="str">
        <f t="shared" si="457"/>
        <v xml:space="preserve">    25.0 </v>
      </c>
      <c r="T1726" t="str">
        <f t="shared" si="458"/>
        <v xml:space="preserve">    25.0 </v>
      </c>
      <c r="U1726" t="str">
        <f t="shared" si="462"/>
        <v xml:space="preserve">       54.3% </v>
      </c>
      <c r="V1726" t="str">
        <f t="shared" si="450"/>
        <v xml:space="preserve">         </v>
      </c>
      <c r="W1726" t="str">
        <f t="shared" si="459"/>
        <v xml:space="preserve">         </v>
      </c>
      <c r="X1726" t="str">
        <f t="shared" si="463"/>
        <v xml:space="preserve">  9911 </v>
      </c>
      <c r="Y1726" t="str">
        <f t="shared" si="463"/>
        <v xml:space="preserve"> IJU1-B-RS069 </v>
      </c>
      <c r="Z1726" t="str">
        <f t="shared" si="463"/>
        <v xml:space="preserve">  2 </v>
      </c>
      <c r="AA1726" t="str">
        <f t="shared" si="451"/>
        <v xml:space="preserve">   -14.7 </v>
      </c>
      <c r="AB1726" t="str">
        <f t="shared" si="460"/>
        <v xml:space="preserve">     2.6 </v>
      </c>
      <c r="AC1726" t="str">
        <f t="shared" si="461"/>
        <v xml:space="preserve">    13.6 </v>
      </c>
      <c r="AD1726" t="str">
        <f t="shared" si="462"/>
        <v xml:space="preserve">        </v>
      </c>
      <c r="AE1726" t="str">
        <f t="shared" si="452"/>
        <v xml:space="preserve">       </v>
      </c>
      <c r="AF1726" t="str">
        <f t="shared" si="464"/>
        <v xml:space="preserve">     </v>
      </c>
      <c r="AG1726" t="str">
        <f t="shared" si="464"/>
        <v xml:space="preserve">     0.00 </v>
      </c>
      <c r="AH1726" t="str">
        <f t="shared" si="453"/>
        <v xml:space="preserve">     0.68 </v>
      </c>
      <c r="AI1726" t="str">
        <f t="shared" si="454"/>
        <v xml:space="preserve">       </v>
      </c>
      <c r="AJ1726" t="str">
        <f t="shared" si="455"/>
        <v xml:space="preserve">      </v>
      </c>
    </row>
    <row r="1727" spans="1:36" x14ac:dyDescent="0.25">
      <c r="A1727" t="s">
        <v>1319</v>
      </c>
      <c r="P1727" t="str">
        <f t="shared" si="456"/>
        <v xml:space="preserve">                </v>
      </c>
      <c r="Q1727" t="str">
        <f t="shared" si="456"/>
        <v xml:space="preserve">         </v>
      </c>
      <c r="R1727" t="str">
        <f t="shared" si="449"/>
        <v xml:space="preserve">  9999.0 </v>
      </c>
      <c r="S1727" t="str">
        <f t="shared" si="457"/>
        <v xml:space="preserve">  9999.0 </v>
      </c>
      <c r="T1727" t="str">
        <f t="shared" si="458"/>
        <v xml:space="preserve">  9999.0 </v>
      </c>
      <c r="U1727" t="str">
        <f t="shared" si="462"/>
        <v xml:space="preserve">        0.0% </v>
      </c>
      <c r="V1727" t="str">
        <f t="shared" si="450"/>
        <v xml:space="preserve">         </v>
      </c>
      <c r="W1727" t="str">
        <f t="shared" si="459"/>
        <v xml:space="preserve">         </v>
      </c>
      <c r="X1727" t="str">
        <f t="shared" si="463"/>
        <v xml:space="preserve">  9913 </v>
      </c>
      <c r="Y1727" t="str">
        <f t="shared" si="463"/>
        <v xml:space="preserve"> DEME1B-RS023 </v>
      </c>
      <c r="Z1727" t="str">
        <f t="shared" si="463"/>
        <v xml:space="preserve">  1 </v>
      </c>
      <c r="AA1727" t="str">
        <f t="shared" si="451"/>
        <v xml:space="preserve">     6.6 </v>
      </c>
      <c r="AB1727" t="str">
        <f t="shared" si="460"/>
        <v xml:space="preserve">     4.0 </v>
      </c>
      <c r="AC1727" t="str">
        <f t="shared" si="461"/>
        <v xml:space="preserve">     7.0 </v>
      </c>
      <c r="AD1727" t="str">
        <f t="shared" si="462"/>
        <v xml:space="preserve">        </v>
      </c>
      <c r="AE1727" t="str">
        <f t="shared" si="452"/>
        <v xml:space="preserve">       </v>
      </c>
      <c r="AF1727" t="str">
        <f t="shared" si="464"/>
        <v xml:space="preserve">     </v>
      </c>
      <c r="AG1727" t="str">
        <f t="shared" si="464"/>
        <v xml:space="preserve">     0.00 </v>
      </c>
      <c r="AH1727" t="str">
        <f t="shared" si="453"/>
        <v xml:space="preserve">     0.00 </v>
      </c>
      <c r="AI1727" t="str">
        <f t="shared" si="454"/>
        <v xml:space="preserve">       </v>
      </c>
      <c r="AJ1727" t="str">
        <f t="shared" si="455"/>
        <v xml:space="preserve">      </v>
      </c>
    </row>
    <row r="1728" spans="1:36" x14ac:dyDescent="0.25">
      <c r="A1728" t="s">
        <v>1320</v>
      </c>
      <c r="P1728" t="str">
        <f t="shared" si="456"/>
        <v xml:space="preserve">                </v>
      </c>
      <c r="Q1728" t="str">
        <f t="shared" si="456"/>
        <v xml:space="preserve">         </v>
      </c>
      <c r="R1728" t="str">
        <f t="shared" si="449"/>
        <v xml:space="preserve">  9999.0 </v>
      </c>
      <c r="S1728" t="str">
        <f t="shared" si="457"/>
        <v xml:space="preserve">  9999.0 </v>
      </c>
      <c r="T1728" t="str">
        <f t="shared" si="458"/>
        <v xml:space="preserve">  9999.0 </v>
      </c>
      <c r="U1728" t="str">
        <f t="shared" si="462"/>
        <v xml:space="preserve">        0.0% </v>
      </c>
      <c r="V1728" t="str">
        <f t="shared" si="450"/>
        <v xml:space="preserve">         </v>
      </c>
      <c r="W1728" t="str">
        <f t="shared" si="459"/>
        <v xml:space="preserve">         </v>
      </c>
      <c r="X1728" t="str">
        <f t="shared" si="463"/>
        <v xml:space="preserve">  9914 </v>
      </c>
      <c r="Y1728" t="str">
        <f t="shared" si="463"/>
        <v xml:space="preserve"> CERILU-RS023 </v>
      </c>
      <c r="Z1728" t="str">
        <f t="shared" si="463"/>
        <v xml:space="preserve">  1 </v>
      </c>
      <c r="AA1728" t="str">
        <f t="shared" si="451"/>
        <v xml:space="preserve">     8.1 </v>
      </c>
      <c r="AB1728" t="str">
        <f t="shared" si="460"/>
        <v xml:space="preserve">     2.1 </v>
      </c>
      <c r="AC1728" t="str">
        <f t="shared" si="461"/>
        <v xml:space="preserve">     7.6 </v>
      </c>
      <c r="AD1728" t="str">
        <f t="shared" si="462"/>
        <v xml:space="preserve">        </v>
      </c>
      <c r="AE1728" t="str">
        <f t="shared" si="452"/>
        <v xml:space="preserve">       </v>
      </c>
      <c r="AF1728" t="str">
        <f t="shared" si="464"/>
        <v xml:space="preserve">     </v>
      </c>
      <c r="AG1728" t="str">
        <f t="shared" si="464"/>
        <v xml:space="preserve">     0.00 </v>
      </c>
      <c r="AH1728" t="str">
        <f t="shared" si="453"/>
        <v xml:space="preserve">     0.00 </v>
      </c>
      <c r="AI1728" t="str">
        <f t="shared" si="454"/>
        <v xml:space="preserve">       </v>
      </c>
      <c r="AJ1728" t="str">
        <f t="shared" si="455"/>
        <v xml:space="preserve">      </v>
      </c>
    </row>
    <row r="1729" spans="1:36" x14ac:dyDescent="0.25">
      <c r="A1729" t="s">
        <v>14</v>
      </c>
      <c r="P1729" t="str">
        <f t="shared" si="456"/>
        <v xml:space="preserve">  ..............</v>
      </c>
      <c r="Q1729" t="str">
        <f t="shared" si="456"/>
        <v>.........</v>
      </c>
      <c r="R1729" t="str">
        <f t="shared" si="449"/>
        <v>.........</v>
      </c>
      <c r="S1729" t="str">
        <f t="shared" si="457"/>
        <v>.........</v>
      </c>
      <c r="T1729" t="str">
        <f t="shared" si="458"/>
        <v>.........</v>
      </c>
      <c r="U1729" t="str">
        <f t="shared" si="462"/>
        <v>.............</v>
      </c>
      <c r="V1729" t="str">
        <f t="shared" si="450"/>
        <v>.........</v>
      </c>
      <c r="W1729" t="str">
        <f t="shared" si="459"/>
        <v>.........</v>
      </c>
      <c r="X1729" t="str">
        <f t="shared" si="463"/>
        <v>.......</v>
      </c>
      <c r="Y1729" t="str">
        <f t="shared" si="463"/>
        <v>..............</v>
      </c>
      <c r="Z1729" t="str">
        <f t="shared" si="463"/>
        <v>....</v>
      </c>
      <c r="AA1729" t="str">
        <f t="shared" si="451"/>
        <v>.........</v>
      </c>
      <c r="AB1729" t="str">
        <f t="shared" si="460"/>
        <v>.........</v>
      </c>
      <c r="AC1729" t="str">
        <f t="shared" si="461"/>
        <v>.........</v>
      </c>
      <c r="AD1729" t="str">
        <f t="shared" si="462"/>
        <v>........</v>
      </c>
      <c r="AE1729" t="str">
        <f t="shared" si="452"/>
        <v>.......</v>
      </c>
      <c r="AF1729" t="str">
        <f t="shared" si="464"/>
        <v>.....</v>
      </c>
      <c r="AG1729" t="str">
        <f t="shared" si="464"/>
        <v>..........</v>
      </c>
      <c r="AH1729" t="str">
        <f t="shared" si="453"/>
        <v>..........</v>
      </c>
      <c r="AI1729" t="str">
        <f t="shared" si="454"/>
        <v>.......</v>
      </c>
      <c r="AJ1729" t="str">
        <f t="shared" si="455"/>
        <v>.......</v>
      </c>
    </row>
    <row r="1730" spans="1:36" x14ac:dyDescent="0.25">
      <c r="A1730" t="s">
        <v>1321</v>
      </c>
      <c r="P1730" t="str">
        <f t="shared" si="456"/>
        <v xml:space="preserve">   9913   23  0 </v>
      </c>
      <c r="Q1730" t="str">
        <f t="shared" si="456"/>
        <v xml:space="preserve">   1.101 </v>
      </c>
      <c r="R1730" t="str">
        <f t="shared" si="449"/>
        <v xml:space="preserve">     0.8 </v>
      </c>
      <c r="S1730" t="str">
        <f t="shared" si="457"/>
        <v xml:space="preserve">     0.0 </v>
      </c>
      <c r="T1730" t="str">
        <f t="shared" si="458"/>
        <v xml:space="preserve">     7.4 </v>
      </c>
      <c r="U1730" t="str">
        <f t="shared" si="462"/>
        <v xml:space="preserve">         0.0 </v>
      </c>
      <c r="V1730" t="str">
        <f t="shared" si="450"/>
        <v xml:space="preserve">     0.0 </v>
      </c>
      <c r="W1730" t="str">
        <f t="shared" si="459"/>
        <v xml:space="preserve">     0.0</v>
      </c>
      <c r="X1730" t="str">
        <f t="shared" si="463"/>
        <v/>
      </c>
      <c r="Y1730" t="str">
        <f t="shared" si="463"/>
        <v/>
      </c>
      <c r="Z1730" t="str">
        <f t="shared" si="463"/>
        <v/>
      </c>
      <c r="AA1730" t="str">
        <f t="shared" si="451"/>
        <v/>
      </c>
      <c r="AB1730" t="str">
        <f t="shared" si="460"/>
        <v/>
      </c>
      <c r="AC1730" t="str">
        <f t="shared" si="461"/>
        <v/>
      </c>
      <c r="AD1730" t="str">
        <f t="shared" si="462"/>
        <v/>
      </c>
      <c r="AE1730" t="str">
        <f t="shared" si="452"/>
        <v/>
      </c>
      <c r="AF1730" t="str">
        <f t="shared" si="464"/>
        <v/>
      </c>
      <c r="AG1730" t="str">
        <f t="shared" si="464"/>
        <v/>
      </c>
      <c r="AH1730" t="str">
        <f t="shared" si="453"/>
        <v/>
      </c>
      <c r="AI1730" t="str">
        <f t="shared" si="454"/>
        <v/>
      </c>
      <c r="AJ1730" t="str">
        <f t="shared" si="455"/>
        <v/>
      </c>
    </row>
    <row r="1731" spans="1:36" x14ac:dyDescent="0.25">
      <c r="A1731" t="s">
        <v>1322</v>
      </c>
      <c r="P1731" t="str">
        <f t="shared" si="456"/>
        <v xml:space="preserve">  DEME1B-RS023  </v>
      </c>
      <c r="Q1731" t="str">
        <f t="shared" si="456"/>
        <v xml:space="preserve">   -53.0 </v>
      </c>
      <c r="R1731" t="str">
        <f t="shared" si="449"/>
        <v xml:space="preserve">     0.0 </v>
      </c>
      <c r="S1731" t="str">
        <f t="shared" si="457"/>
        <v xml:space="preserve">     0.0 </v>
      </c>
      <c r="T1731" t="str">
        <f t="shared" si="458"/>
        <v xml:space="preserve">     4.0 </v>
      </c>
      <c r="U1731" t="str">
        <f t="shared" si="462"/>
        <v xml:space="preserve">         0.0 </v>
      </c>
      <c r="V1731" t="str">
        <f t="shared" si="450"/>
        <v xml:space="preserve">     0.0 </v>
      </c>
      <c r="W1731" t="str">
        <f t="shared" si="459"/>
        <v xml:space="preserve">     0.0 </v>
      </c>
      <c r="X1731" t="str">
        <f t="shared" si="463"/>
        <v xml:space="preserve">       </v>
      </c>
      <c r="Y1731" t="str">
        <f t="shared" si="463"/>
        <v xml:space="preserve">              </v>
      </c>
      <c r="Z1731" t="str">
        <f t="shared" si="463"/>
        <v xml:space="preserve">    </v>
      </c>
      <c r="AA1731" t="str">
        <f t="shared" si="451"/>
        <v xml:space="preserve">         </v>
      </c>
      <c r="AB1731" t="str">
        <f t="shared" si="460"/>
        <v xml:space="preserve">         </v>
      </c>
      <c r="AC1731" t="str">
        <f t="shared" si="461"/>
        <v xml:space="preserve">    </v>
      </c>
      <c r="AD1731" t="str">
        <f t="shared" si="462"/>
        <v/>
      </c>
      <c r="AE1731" t="str">
        <f t="shared" si="452"/>
        <v/>
      </c>
      <c r="AF1731" t="str">
        <f t="shared" si="464"/>
        <v/>
      </c>
      <c r="AG1731" t="str">
        <f t="shared" si="464"/>
        <v/>
      </c>
      <c r="AH1731" t="str">
        <f t="shared" si="453"/>
        <v/>
      </c>
      <c r="AI1731" t="str">
        <f t="shared" si="454"/>
        <v/>
      </c>
      <c r="AJ1731" t="str">
        <f t="shared" si="455"/>
        <v/>
      </c>
    </row>
    <row r="1732" spans="1:36" x14ac:dyDescent="0.25">
      <c r="A1732" t="s">
        <v>1323</v>
      </c>
      <c r="P1732" t="str">
        <f t="shared" si="456"/>
        <v xml:space="preserve">                </v>
      </c>
      <c r="Q1732" t="str">
        <f t="shared" si="456"/>
        <v xml:space="preserve">         </v>
      </c>
      <c r="R1732" t="str">
        <f t="shared" si="449"/>
        <v xml:space="preserve">  9999.0 </v>
      </c>
      <c r="S1732" t="str">
        <f t="shared" si="457"/>
        <v xml:space="preserve">  9999.0 </v>
      </c>
      <c r="T1732" t="str">
        <f t="shared" si="458"/>
        <v xml:space="preserve">  9999.0 </v>
      </c>
      <c r="U1732" t="str">
        <f t="shared" si="462"/>
        <v xml:space="preserve">        0.0% </v>
      </c>
      <c r="V1732" t="str">
        <f t="shared" si="450"/>
        <v xml:space="preserve">         </v>
      </c>
      <c r="W1732" t="str">
        <f t="shared" si="459"/>
        <v xml:space="preserve">         </v>
      </c>
      <c r="X1732" t="str">
        <f t="shared" si="463"/>
        <v xml:space="preserve">  9912 </v>
      </c>
      <c r="Y1732" t="str">
        <f t="shared" si="463"/>
        <v xml:space="preserve"> IJU1-B-RS023 </v>
      </c>
      <c r="Z1732" t="str">
        <f t="shared" si="463"/>
        <v xml:space="preserve">  1 </v>
      </c>
      <c r="AA1732" t="str">
        <f t="shared" si="451"/>
        <v xml:space="preserve">    -6.6 </v>
      </c>
      <c r="AB1732" t="str">
        <f t="shared" si="460"/>
        <v xml:space="preserve">    -4.0 </v>
      </c>
      <c r="AC1732" t="str">
        <f t="shared" si="461"/>
        <v xml:space="preserve">     7.0 </v>
      </c>
      <c r="AD1732" t="str">
        <f t="shared" si="462"/>
        <v xml:space="preserve">        </v>
      </c>
      <c r="AE1732" t="str">
        <f t="shared" si="452"/>
        <v xml:space="preserve">       </v>
      </c>
      <c r="AF1732" t="str">
        <f t="shared" si="464"/>
        <v xml:space="preserve">     </v>
      </c>
      <c r="AG1732" t="str">
        <f t="shared" si="464"/>
        <v xml:space="preserve">     0.00 </v>
      </c>
      <c r="AH1732" t="str">
        <f t="shared" si="453"/>
        <v xml:space="preserve">     0.00 </v>
      </c>
      <c r="AI1732" t="str">
        <f t="shared" si="454"/>
        <v xml:space="preserve">       </v>
      </c>
      <c r="AJ1732" t="str">
        <f t="shared" si="455"/>
        <v xml:space="preserve">      </v>
      </c>
    </row>
    <row r="1733" spans="1:36" x14ac:dyDescent="0.25">
      <c r="A1733" t="s">
        <v>14</v>
      </c>
      <c r="P1733" t="str">
        <f t="shared" si="456"/>
        <v xml:space="preserve">  ..............</v>
      </c>
      <c r="Q1733" t="str">
        <f t="shared" si="456"/>
        <v>.........</v>
      </c>
      <c r="R1733" t="str">
        <f t="shared" si="449"/>
        <v>.........</v>
      </c>
      <c r="S1733" t="str">
        <f t="shared" si="457"/>
        <v>.........</v>
      </c>
      <c r="T1733" t="str">
        <f t="shared" si="458"/>
        <v>.........</v>
      </c>
      <c r="U1733" t="str">
        <f t="shared" si="462"/>
        <v>.............</v>
      </c>
      <c r="V1733" t="str">
        <f t="shared" si="450"/>
        <v>.........</v>
      </c>
      <c r="W1733" t="str">
        <f t="shared" si="459"/>
        <v>.........</v>
      </c>
      <c r="X1733" t="str">
        <f t="shared" si="463"/>
        <v>.......</v>
      </c>
      <c r="Y1733" t="str">
        <f t="shared" si="463"/>
        <v>..............</v>
      </c>
      <c r="Z1733" t="str">
        <f t="shared" si="463"/>
        <v>....</v>
      </c>
      <c r="AA1733" t="str">
        <f t="shared" si="451"/>
        <v>.........</v>
      </c>
      <c r="AB1733" t="str">
        <f t="shared" si="460"/>
        <v>.........</v>
      </c>
      <c r="AC1733" t="str">
        <f t="shared" si="461"/>
        <v>.........</v>
      </c>
      <c r="AD1733" t="str">
        <f t="shared" si="462"/>
        <v>........</v>
      </c>
      <c r="AE1733" t="str">
        <f t="shared" si="452"/>
        <v>.......</v>
      </c>
      <c r="AF1733" t="str">
        <f t="shared" si="464"/>
        <v>.....</v>
      </c>
      <c r="AG1733" t="str">
        <f t="shared" si="464"/>
        <v>..........</v>
      </c>
      <c r="AH1733" t="str">
        <f t="shared" si="453"/>
        <v>..........</v>
      </c>
      <c r="AI1733" t="str">
        <f t="shared" si="454"/>
        <v>.......</v>
      </c>
      <c r="AJ1733" t="str">
        <f t="shared" si="455"/>
        <v>.......</v>
      </c>
    </row>
    <row r="1734" spans="1:36" x14ac:dyDescent="0.25">
      <c r="A1734" t="s">
        <v>1324</v>
      </c>
      <c r="P1734" t="str">
        <f t="shared" si="456"/>
        <v xml:space="preserve">   9914   23  0 </v>
      </c>
      <c r="Q1734" t="str">
        <f t="shared" si="456"/>
        <v xml:space="preserve">   1.101 </v>
      </c>
      <c r="R1734" t="str">
        <f t="shared" si="449"/>
        <v xml:space="preserve">     0.1 </v>
      </c>
      <c r="S1734" t="str">
        <f t="shared" si="457"/>
        <v xml:space="preserve">     0.0 </v>
      </c>
      <c r="T1734" t="str">
        <f t="shared" si="458"/>
        <v xml:space="preserve">     8.2 </v>
      </c>
      <c r="U1734" t="str">
        <f t="shared" si="462"/>
        <v xml:space="preserve">         0.0 </v>
      </c>
      <c r="V1734" t="str">
        <f t="shared" si="450"/>
        <v xml:space="preserve">     0.0 </v>
      </c>
      <c r="W1734" t="str">
        <f t="shared" si="459"/>
        <v xml:space="preserve">     0.0</v>
      </c>
      <c r="X1734" t="str">
        <f t="shared" si="463"/>
        <v/>
      </c>
      <c r="Y1734" t="str">
        <f t="shared" si="463"/>
        <v/>
      </c>
      <c r="Z1734" t="str">
        <f t="shared" si="463"/>
        <v/>
      </c>
      <c r="AA1734" t="str">
        <f t="shared" si="451"/>
        <v/>
      </c>
      <c r="AB1734" t="str">
        <f t="shared" si="460"/>
        <v/>
      </c>
      <c r="AC1734" t="str">
        <f t="shared" si="461"/>
        <v/>
      </c>
      <c r="AD1734" t="str">
        <f t="shared" si="462"/>
        <v/>
      </c>
      <c r="AE1734" t="str">
        <f t="shared" si="452"/>
        <v/>
      </c>
      <c r="AF1734" t="str">
        <f t="shared" si="464"/>
        <v/>
      </c>
      <c r="AG1734" t="str">
        <f t="shared" si="464"/>
        <v/>
      </c>
      <c r="AH1734" t="str">
        <f t="shared" si="453"/>
        <v/>
      </c>
      <c r="AI1734" t="str">
        <f t="shared" si="454"/>
        <v/>
      </c>
      <c r="AJ1734" t="str">
        <f t="shared" si="455"/>
        <v/>
      </c>
    </row>
    <row r="1735" spans="1:36" x14ac:dyDescent="0.25">
      <c r="A1735" t="s">
        <v>1325</v>
      </c>
      <c r="P1735" t="str">
        <f t="shared" si="456"/>
        <v xml:space="preserve">  CERILU-RS023  </v>
      </c>
      <c r="Q1735" t="str">
        <f t="shared" si="456"/>
        <v xml:space="preserve">   -53.0 </v>
      </c>
      <c r="R1735" t="str">
        <f t="shared" si="449"/>
        <v xml:space="preserve">     0.0 </v>
      </c>
      <c r="S1735" t="str">
        <f t="shared" si="457"/>
        <v xml:space="preserve">     0.0 </v>
      </c>
      <c r="T1735" t="str">
        <f t="shared" si="458"/>
        <v xml:space="preserve">     2.1 </v>
      </c>
      <c r="U1735" t="str">
        <f t="shared" si="462"/>
        <v xml:space="preserve">         0.0 </v>
      </c>
      <c r="V1735" t="str">
        <f t="shared" si="450"/>
        <v xml:space="preserve">     0.0 </v>
      </c>
      <c r="W1735" t="str">
        <f t="shared" si="459"/>
        <v xml:space="preserve">     0.0 </v>
      </c>
      <c r="X1735" t="str">
        <f t="shared" si="463"/>
        <v xml:space="preserve">       </v>
      </c>
      <c r="Y1735" t="str">
        <f t="shared" si="463"/>
        <v xml:space="preserve">              </v>
      </c>
      <c r="Z1735" t="str">
        <f t="shared" si="463"/>
        <v xml:space="preserve">    </v>
      </c>
      <c r="AA1735" t="str">
        <f t="shared" si="451"/>
        <v xml:space="preserve">         </v>
      </c>
      <c r="AB1735" t="str">
        <f t="shared" si="460"/>
        <v xml:space="preserve">         </v>
      </c>
      <c r="AC1735" t="str">
        <f t="shared" si="461"/>
        <v xml:space="preserve">    </v>
      </c>
      <c r="AD1735" t="str">
        <f t="shared" si="462"/>
        <v/>
      </c>
      <c r="AE1735" t="str">
        <f t="shared" si="452"/>
        <v/>
      </c>
      <c r="AF1735" t="str">
        <f t="shared" si="464"/>
        <v/>
      </c>
      <c r="AG1735" t="str">
        <f t="shared" si="464"/>
        <v/>
      </c>
      <c r="AH1735" t="str">
        <f t="shared" si="453"/>
        <v/>
      </c>
      <c r="AI1735" t="str">
        <f t="shared" si="454"/>
        <v/>
      </c>
      <c r="AJ1735" t="str">
        <f t="shared" si="455"/>
        <v/>
      </c>
    </row>
    <row r="1736" spans="1:36" x14ac:dyDescent="0.25">
      <c r="A1736" t="s">
        <v>1326</v>
      </c>
      <c r="P1736" t="str">
        <f t="shared" si="456"/>
        <v xml:space="preserve">                </v>
      </c>
      <c r="Q1736" t="str">
        <f t="shared" si="456"/>
        <v xml:space="preserve">         </v>
      </c>
      <c r="R1736" t="str">
        <f t="shared" si="449"/>
        <v xml:space="preserve">  9999.0 </v>
      </c>
      <c r="S1736" t="str">
        <f t="shared" si="457"/>
        <v xml:space="preserve">  9999.0 </v>
      </c>
      <c r="T1736" t="str">
        <f t="shared" si="458"/>
        <v xml:space="preserve">  9999.0 </v>
      </c>
      <c r="U1736" t="str">
        <f t="shared" si="462"/>
        <v xml:space="preserve">        0.0% </v>
      </c>
      <c r="V1736" t="str">
        <f t="shared" si="450"/>
        <v xml:space="preserve">         </v>
      </c>
      <c r="W1736" t="str">
        <f t="shared" si="459"/>
        <v xml:space="preserve">         </v>
      </c>
      <c r="X1736" t="str">
        <f t="shared" si="463"/>
        <v xml:space="preserve">  9912 </v>
      </c>
      <c r="Y1736" t="str">
        <f t="shared" si="463"/>
        <v xml:space="preserve"> IJU1-B-RS023 </v>
      </c>
      <c r="Z1736" t="str">
        <f t="shared" si="463"/>
        <v xml:space="preserve">  1 </v>
      </c>
      <c r="AA1736" t="str">
        <f t="shared" si="451"/>
        <v xml:space="preserve">    -8.1 </v>
      </c>
      <c r="AB1736" t="str">
        <f t="shared" si="460"/>
        <v xml:space="preserve">    -2.1 </v>
      </c>
      <c r="AC1736" t="str">
        <f t="shared" si="461"/>
        <v xml:space="preserve">     7.6 </v>
      </c>
      <c r="AD1736" t="str">
        <f t="shared" si="462"/>
        <v xml:space="preserve">        </v>
      </c>
      <c r="AE1736" t="str">
        <f t="shared" si="452"/>
        <v xml:space="preserve">       </v>
      </c>
      <c r="AF1736" t="str">
        <f t="shared" si="464"/>
        <v xml:space="preserve">     </v>
      </c>
      <c r="AG1736" t="str">
        <f t="shared" si="464"/>
        <v xml:space="preserve">     0.00 </v>
      </c>
      <c r="AH1736" t="str">
        <f t="shared" si="453"/>
        <v xml:space="preserve">     0.00 </v>
      </c>
      <c r="AI1736" t="str">
        <f t="shared" si="454"/>
        <v xml:space="preserve">       </v>
      </c>
      <c r="AJ1736" t="str">
        <f t="shared" si="455"/>
        <v xml:space="preserve">      </v>
      </c>
    </row>
    <row r="1737" spans="1:36" x14ac:dyDescent="0.25">
      <c r="A1737" t="s">
        <v>14</v>
      </c>
      <c r="P1737" t="str">
        <f t="shared" si="456"/>
        <v xml:space="preserve">  ..............</v>
      </c>
      <c r="Q1737" t="str">
        <f t="shared" si="456"/>
        <v>.........</v>
      </c>
      <c r="R1737" t="str">
        <f t="shared" si="449"/>
        <v>.........</v>
      </c>
      <c r="S1737" t="str">
        <f t="shared" si="457"/>
        <v>.........</v>
      </c>
      <c r="T1737" t="str">
        <f t="shared" si="458"/>
        <v>.........</v>
      </c>
      <c r="U1737" t="str">
        <f t="shared" si="462"/>
        <v>.............</v>
      </c>
      <c r="V1737" t="str">
        <f t="shared" si="450"/>
        <v>.........</v>
      </c>
      <c r="W1737" t="str">
        <f t="shared" si="459"/>
        <v>.........</v>
      </c>
      <c r="X1737" t="str">
        <f t="shared" si="463"/>
        <v>.......</v>
      </c>
      <c r="Y1737" t="str">
        <f t="shared" si="463"/>
        <v>..............</v>
      </c>
      <c r="Z1737" t="str">
        <f t="shared" si="463"/>
        <v>....</v>
      </c>
      <c r="AA1737" t="str">
        <f t="shared" si="451"/>
        <v>.........</v>
      </c>
      <c r="AB1737" t="str">
        <f t="shared" si="460"/>
        <v>.........</v>
      </c>
      <c r="AC1737" t="str">
        <f t="shared" si="461"/>
        <v>.........</v>
      </c>
      <c r="AD1737" t="str">
        <f t="shared" si="462"/>
        <v>........</v>
      </c>
      <c r="AE1737" t="str">
        <f t="shared" si="452"/>
        <v>.......</v>
      </c>
      <c r="AF1737" t="str">
        <f t="shared" si="464"/>
        <v>.....</v>
      </c>
      <c r="AG1737" t="str">
        <f t="shared" si="464"/>
        <v>..........</v>
      </c>
      <c r="AH1737" t="str">
        <f t="shared" si="453"/>
        <v>..........</v>
      </c>
      <c r="AI1737" t="str">
        <f t="shared" si="454"/>
        <v>.......</v>
      </c>
      <c r="AJ1737" t="str">
        <f t="shared" si="455"/>
        <v>.......</v>
      </c>
    </row>
    <row r="1738" spans="1:36" x14ac:dyDescent="0.25">
      <c r="A1738" t="s">
        <v>1327</v>
      </c>
      <c r="P1738" t="str">
        <f t="shared" si="456"/>
        <v xml:space="preserve">   9917   69  0 </v>
      </c>
      <c r="Q1738" t="str">
        <f t="shared" si="456"/>
        <v xml:space="preserve">   1.012 </v>
      </c>
      <c r="R1738" t="str">
        <f t="shared" si="449"/>
        <v xml:space="preserve">     2.9 </v>
      </c>
      <c r="S1738" t="str">
        <f t="shared" si="457"/>
        <v xml:space="preserve">     0.0 </v>
      </c>
      <c r="T1738" t="str">
        <f t="shared" si="458"/>
        <v xml:space="preserve">     8.1 </v>
      </c>
      <c r="U1738" t="str">
        <f t="shared" si="462"/>
        <v xml:space="preserve">         0.0 </v>
      </c>
      <c r="V1738" t="str">
        <f t="shared" si="450"/>
        <v xml:space="preserve">     0.0 </v>
      </c>
      <c r="W1738" t="str">
        <f t="shared" si="459"/>
        <v xml:space="preserve">     0.0</v>
      </c>
      <c r="X1738" t="str">
        <f t="shared" si="463"/>
        <v/>
      </c>
      <c r="Y1738" t="str">
        <f t="shared" si="463"/>
        <v/>
      </c>
      <c r="Z1738" t="str">
        <f t="shared" si="463"/>
        <v/>
      </c>
      <c r="AA1738" t="str">
        <f t="shared" si="451"/>
        <v/>
      </c>
      <c r="AB1738" t="str">
        <f t="shared" si="460"/>
        <v/>
      </c>
      <c r="AC1738" t="str">
        <f t="shared" si="461"/>
        <v/>
      </c>
      <c r="AD1738" t="str">
        <f t="shared" si="462"/>
        <v/>
      </c>
      <c r="AE1738" t="str">
        <f t="shared" si="452"/>
        <v/>
      </c>
      <c r="AF1738" t="str">
        <f t="shared" si="464"/>
        <v/>
      </c>
      <c r="AG1738" t="str">
        <f t="shared" si="464"/>
        <v/>
      </c>
      <c r="AH1738" t="str">
        <f t="shared" si="453"/>
        <v/>
      </c>
      <c r="AI1738" t="str">
        <f t="shared" si="454"/>
        <v/>
      </c>
      <c r="AJ1738" t="str">
        <f t="shared" si="455"/>
        <v/>
      </c>
    </row>
    <row r="1739" spans="1:36" x14ac:dyDescent="0.25">
      <c r="A1739" t="s">
        <v>1328</v>
      </c>
      <c r="P1739" t="str">
        <f t="shared" si="456"/>
        <v xml:space="preserve">  ROQGON-RS069  </v>
      </c>
      <c r="Q1739" t="str">
        <f t="shared" si="456"/>
        <v xml:space="preserve">   -41.8 </v>
      </c>
      <c r="R1739" t="str">
        <f t="shared" si="449"/>
        <v xml:space="preserve">     0.0 </v>
      </c>
      <c r="S1739" t="str">
        <f t="shared" si="457"/>
        <v xml:space="preserve">     0.0 </v>
      </c>
      <c r="T1739" t="str">
        <f t="shared" si="458"/>
        <v xml:space="preserve">     2.6 </v>
      </c>
      <c r="U1739" t="str">
        <f t="shared" si="462"/>
        <v xml:space="preserve">         0.0 </v>
      </c>
      <c r="V1739" t="str">
        <f t="shared" si="450"/>
        <v xml:space="preserve">     0.0 </v>
      </c>
      <c r="W1739" t="str">
        <f t="shared" si="459"/>
        <v xml:space="preserve">     0.0 </v>
      </c>
      <c r="X1739" t="str">
        <f t="shared" si="463"/>
        <v xml:space="preserve">       </v>
      </c>
      <c r="Y1739" t="str">
        <f t="shared" si="463"/>
        <v xml:space="preserve">              </v>
      </c>
      <c r="Z1739" t="str">
        <f t="shared" si="463"/>
        <v xml:space="preserve">    </v>
      </c>
      <c r="AA1739" t="str">
        <f t="shared" si="451"/>
        <v xml:space="preserve">         </v>
      </c>
      <c r="AB1739" t="str">
        <f t="shared" si="460"/>
        <v xml:space="preserve">         </v>
      </c>
      <c r="AC1739" t="str">
        <f t="shared" si="461"/>
        <v xml:space="preserve">    </v>
      </c>
      <c r="AD1739" t="str">
        <f t="shared" si="462"/>
        <v/>
      </c>
      <c r="AE1739" t="str">
        <f t="shared" si="452"/>
        <v/>
      </c>
      <c r="AF1739" t="str">
        <f t="shared" si="464"/>
        <v/>
      </c>
      <c r="AG1739" t="str">
        <f t="shared" si="464"/>
        <v/>
      </c>
      <c r="AH1739" t="str">
        <f t="shared" si="453"/>
        <v/>
      </c>
      <c r="AI1739" t="str">
        <f t="shared" si="454"/>
        <v/>
      </c>
      <c r="AJ1739" t="str">
        <f t="shared" si="455"/>
        <v/>
      </c>
    </row>
    <row r="1740" spans="1:36" x14ac:dyDescent="0.25">
      <c r="A1740" t="s">
        <v>1329</v>
      </c>
      <c r="P1740" t="str">
        <f t="shared" si="456"/>
        <v xml:space="preserve">                </v>
      </c>
      <c r="Q1740" t="str">
        <f t="shared" si="456"/>
        <v xml:space="preserve">         </v>
      </c>
      <c r="R1740" t="str">
        <f t="shared" ref="R1740:R1803" si="465">MID($A1740,Q$8+Q$9-1,R$9)</f>
        <v xml:space="preserve">  9999.0 </v>
      </c>
      <c r="S1740" t="str">
        <f t="shared" si="457"/>
        <v xml:space="preserve">  9999.0 </v>
      </c>
      <c r="T1740" t="str">
        <f t="shared" si="458"/>
        <v xml:space="preserve">  9999.0 </v>
      </c>
      <c r="U1740" t="str">
        <f t="shared" si="462"/>
        <v xml:space="preserve">        0.0% </v>
      </c>
      <c r="V1740" t="str">
        <f t="shared" ref="V1740:V1803" si="466">MID($A1740,U$8+U$9-1,V$9)</f>
        <v xml:space="preserve">         </v>
      </c>
      <c r="W1740" t="str">
        <f t="shared" si="459"/>
        <v xml:space="preserve">         </v>
      </c>
      <c r="X1740" t="str">
        <f t="shared" si="463"/>
        <v xml:space="preserve">  9219 </v>
      </c>
      <c r="Y1740" t="str">
        <f t="shared" si="463"/>
        <v xml:space="preserve"> PSJOAO-RS069 </v>
      </c>
      <c r="Z1740" t="str">
        <f t="shared" si="463"/>
        <v xml:space="preserve">  1 </v>
      </c>
      <c r="AA1740" t="str">
        <f t="shared" ref="AA1740:AA1803" si="467">MID($A1740,Z$8+Z$9-1,AA$9)</f>
        <v xml:space="preserve">    -5.2 </v>
      </c>
      <c r="AB1740" t="str">
        <f t="shared" si="460"/>
        <v xml:space="preserve">    -2.6 </v>
      </c>
      <c r="AC1740" t="str">
        <f t="shared" si="461"/>
        <v xml:space="preserve">     5.7 </v>
      </c>
      <c r="AD1740" t="str">
        <f t="shared" si="462"/>
        <v xml:space="preserve">        </v>
      </c>
      <c r="AE1740" t="str">
        <f t="shared" ref="AE1740:AE1803" si="468">MID($A1740,AD$8+AD$9-1,AE$9)</f>
        <v xml:space="preserve">       </v>
      </c>
      <c r="AF1740" t="str">
        <f t="shared" si="464"/>
        <v xml:space="preserve">     </v>
      </c>
      <c r="AG1740" t="str">
        <f t="shared" si="464"/>
        <v xml:space="preserve">     0.00 </v>
      </c>
      <c r="AH1740" t="str">
        <f t="shared" ref="AH1740:AH1803" si="469">MID($A1740,AG$8+AG$9-1,AH$9)</f>
        <v xml:space="preserve">     0.00 </v>
      </c>
      <c r="AI1740" t="str">
        <f t="shared" si="454"/>
        <v xml:space="preserve">       </v>
      </c>
      <c r="AJ1740" t="str">
        <f t="shared" si="455"/>
        <v xml:space="preserve">      </v>
      </c>
    </row>
    <row r="1741" spans="1:36" x14ac:dyDescent="0.25">
      <c r="A1741" t="s">
        <v>14</v>
      </c>
      <c r="P1741" t="str">
        <f t="shared" si="456"/>
        <v xml:space="preserve">  ..............</v>
      </c>
      <c r="Q1741" t="str">
        <f t="shared" si="456"/>
        <v>.........</v>
      </c>
      <c r="R1741" t="str">
        <f t="shared" si="465"/>
        <v>.........</v>
      </c>
      <c r="S1741" t="str">
        <f t="shared" si="457"/>
        <v>.........</v>
      </c>
      <c r="T1741" t="str">
        <f t="shared" si="458"/>
        <v>.........</v>
      </c>
      <c r="U1741" t="str">
        <f t="shared" si="462"/>
        <v>.............</v>
      </c>
      <c r="V1741" t="str">
        <f t="shared" si="466"/>
        <v>.........</v>
      </c>
      <c r="W1741" t="str">
        <f t="shared" si="459"/>
        <v>.........</v>
      </c>
      <c r="X1741" t="str">
        <f t="shared" si="463"/>
        <v>.......</v>
      </c>
      <c r="Y1741" t="str">
        <f t="shared" si="463"/>
        <v>..............</v>
      </c>
      <c r="Z1741" t="str">
        <f t="shared" si="463"/>
        <v>....</v>
      </c>
      <c r="AA1741" t="str">
        <f t="shared" si="467"/>
        <v>.........</v>
      </c>
      <c r="AB1741" t="str">
        <f t="shared" si="460"/>
        <v>.........</v>
      </c>
      <c r="AC1741" t="str">
        <f t="shared" si="461"/>
        <v>.........</v>
      </c>
      <c r="AD1741" t="str">
        <f t="shared" si="462"/>
        <v>........</v>
      </c>
      <c r="AE1741" t="str">
        <f t="shared" si="468"/>
        <v>.......</v>
      </c>
      <c r="AF1741" t="str">
        <f t="shared" si="464"/>
        <v>.....</v>
      </c>
      <c r="AG1741" t="str">
        <f t="shared" si="464"/>
        <v>..........</v>
      </c>
      <c r="AH1741" t="str">
        <f t="shared" si="469"/>
        <v>..........</v>
      </c>
      <c r="AI1741" t="str">
        <f t="shared" si="454"/>
        <v>.......</v>
      </c>
      <c r="AJ1741" t="str">
        <f t="shared" si="455"/>
        <v>.......</v>
      </c>
    </row>
    <row r="1742" spans="1:36" x14ac:dyDescent="0.25">
      <c r="A1742" t="s">
        <v>1330</v>
      </c>
      <c r="P1742" t="str">
        <f t="shared" si="456"/>
        <v xml:space="preserve">   9918  138  0 </v>
      </c>
      <c r="Q1742" t="str">
        <f t="shared" si="456"/>
        <v xml:space="preserve">   1.018 </v>
      </c>
      <c r="R1742" t="str">
        <f t="shared" si="465"/>
        <v xml:space="preserve">     2.0 </v>
      </c>
      <c r="S1742" t="str">
        <f t="shared" si="457"/>
        <v xml:space="preserve">     0.0 </v>
      </c>
      <c r="T1742" t="str">
        <f t="shared" si="458"/>
        <v xml:space="preserve">     5.0 </v>
      </c>
      <c r="U1742" t="str">
        <f t="shared" si="462"/>
        <v xml:space="preserve">         0.0 </v>
      </c>
      <c r="V1742" t="str">
        <f t="shared" si="466"/>
        <v xml:space="preserve">     0.0 </v>
      </c>
      <c r="W1742" t="str">
        <f t="shared" si="459"/>
        <v xml:space="preserve">     0.0</v>
      </c>
      <c r="X1742" t="str">
        <f t="shared" si="463"/>
        <v/>
      </c>
      <c r="Y1742" t="str">
        <f t="shared" si="463"/>
        <v/>
      </c>
      <c r="Z1742" t="str">
        <f t="shared" si="463"/>
        <v/>
      </c>
      <c r="AA1742" t="str">
        <f t="shared" si="467"/>
        <v/>
      </c>
      <c r="AB1742" t="str">
        <f t="shared" si="460"/>
        <v/>
      </c>
      <c r="AC1742" t="str">
        <f t="shared" si="461"/>
        <v/>
      </c>
      <c r="AD1742" t="str">
        <f t="shared" si="462"/>
        <v/>
      </c>
      <c r="AE1742" t="str">
        <f t="shared" si="468"/>
        <v/>
      </c>
      <c r="AF1742" t="str">
        <f t="shared" si="464"/>
        <v/>
      </c>
      <c r="AG1742" t="str">
        <f t="shared" si="464"/>
        <v/>
      </c>
      <c r="AH1742" t="str">
        <f t="shared" si="469"/>
        <v/>
      </c>
      <c r="AI1742" t="str">
        <f t="shared" si="454"/>
        <v/>
      </c>
      <c r="AJ1742" t="str">
        <f t="shared" si="455"/>
        <v/>
      </c>
    </row>
    <row r="1743" spans="1:36" x14ac:dyDescent="0.25">
      <c r="A1743" t="s">
        <v>1331</v>
      </c>
      <c r="P1743" t="str">
        <f t="shared" si="456"/>
        <v xml:space="preserve">  JCASTI-RS138  </v>
      </c>
      <c r="Q1743" t="str">
        <f t="shared" si="456"/>
        <v xml:space="preserve">   -48.5 </v>
      </c>
      <c r="R1743" t="str">
        <f t="shared" si="465"/>
        <v xml:space="preserve">     0.0 </v>
      </c>
      <c r="S1743" t="str">
        <f t="shared" si="457"/>
        <v xml:space="preserve">     0.0 </v>
      </c>
      <c r="T1743" t="str">
        <f t="shared" si="458"/>
        <v xml:space="preserve">     1.2 </v>
      </c>
      <c r="U1743" t="str">
        <f t="shared" si="462"/>
        <v xml:space="preserve">         0.0 </v>
      </c>
      <c r="V1743" t="str">
        <f t="shared" si="466"/>
        <v xml:space="preserve">     0.0 </v>
      </c>
      <c r="W1743" t="str">
        <f t="shared" si="459"/>
        <v xml:space="preserve">     0.0 </v>
      </c>
      <c r="X1743" t="str">
        <f t="shared" si="463"/>
        <v xml:space="preserve">       </v>
      </c>
      <c r="Y1743" t="str">
        <f t="shared" si="463"/>
        <v xml:space="preserve">              </v>
      </c>
      <c r="Z1743" t="str">
        <f t="shared" si="463"/>
        <v xml:space="preserve">    </v>
      </c>
      <c r="AA1743" t="str">
        <f t="shared" si="467"/>
        <v xml:space="preserve">         </v>
      </c>
      <c r="AB1743" t="str">
        <f t="shared" si="460"/>
        <v xml:space="preserve">         </v>
      </c>
      <c r="AC1743" t="str">
        <f t="shared" si="461"/>
        <v xml:space="preserve">    </v>
      </c>
      <c r="AD1743" t="str">
        <f t="shared" si="462"/>
        <v/>
      </c>
      <c r="AE1743" t="str">
        <f t="shared" si="468"/>
        <v/>
      </c>
      <c r="AF1743" t="str">
        <f t="shared" si="464"/>
        <v/>
      </c>
      <c r="AG1743" t="str">
        <f t="shared" si="464"/>
        <v/>
      </c>
      <c r="AH1743" t="str">
        <f t="shared" si="469"/>
        <v/>
      </c>
      <c r="AI1743" t="str">
        <f t="shared" si="454"/>
        <v/>
      </c>
      <c r="AJ1743" t="str">
        <f t="shared" si="455"/>
        <v/>
      </c>
    </row>
    <row r="1744" spans="1:36" x14ac:dyDescent="0.25">
      <c r="A1744" t="s">
        <v>1332</v>
      </c>
      <c r="P1744" t="str">
        <f t="shared" si="456"/>
        <v xml:space="preserve">                </v>
      </c>
      <c r="Q1744" t="str">
        <f t="shared" si="456"/>
        <v xml:space="preserve">         </v>
      </c>
      <c r="R1744" t="str">
        <f t="shared" si="465"/>
        <v xml:space="preserve">    82.0 </v>
      </c>
      <c r="S1744" t="str">
        <f t="shared" si="457"/>
        <v xml:space="preserve">    82.0 </v>
      </c>
      <c r="T1744" t="str">
        <f t="shared" si="458"/>
        <v xml:space="preserve">    82.0 </v>
      </c>
      <c r="U1744" t="str">
        <f t="shared" si="462"/>
        <v xml:space="preserve">       30.2% </v>
      </c>
      <c r="V1744" t="str">
        <f t="shared" si="466"/>
        <v xml:space="preserve">         </v>
      </c>
      <c r="W1744" t="str">
        <f t="shared" si="459"/>
        <v xml:space="preserve">         </v>
      </c>
      <c r="X1744" t="str">
        <f t="shared" si="463"/>
        <v xml:space="preserve">  1216 </v>
      </c>
      <c r="Y1744" t="str">
        <f t="shared" si="463"/>
        <v xml:space="preserve"> JACUI--RS138 </v>
      </c>
      <c r="Z1744" t="str">
        <f t="shared" si="463"/>
        <v xml:space="preserve">  1 </v>
      </c>
      <c r="AA1744" t="str">
        <f t="shared" si="467"/>
        <v xml:space="preserve">   -24.8 </v>
      </c>
      <c r="AB1744" t="str">
        <f t="shared" si="460"/>
        <v xml:space="preserve">     4.6 </v>
      </c>
      <c r="AC1744" t="str">
        <f t="shared" si="461"/>
        <v xml:space="preserve">    24.7 </v>
      </c>
      <c r="AD1744" t="str">
        <f t="shared" si="462"/>
        <v xml:space="preserve">        </v>
      </c>
      <c r="AE1744" t="str">
        <f t="shared" si="468"/>
        <v xml:space="preserve">       </v>
      </c>
      <c r="AF1744" t="str">
        <f t="shared" si="464"/>
        <v xml:space="preserve">     </v>
      </c>
      <c r="AG1744" t="str">
        <f t="shared" si="464"/>
        <v xml:space="preserve">     0.24 </v>
      </c>
      <c r="AH1744" t="str">
        <f t="shared" si="469"/>
        <v xml:space="preserve">    -1.58 </v>
      </c>
      <c r="AI1744" t="str">
        <f t="shared" si="454"/>
        <v xml:space="preserve">       </v>
      </c>
      <c r="AJ1744" t="str">
        <f t="shared" si="455"/>
        <v xml:space="preserve">      </v>
      </c>
    </row>
    <row r="1745" spans="1:36" x14ac:dyDescent="0.25">
      <c r="A1745" t="s">
        <v>1333</v>
      </c>
      <c r="P1745" t="str">
        <f t="shared" si="456"/>
        <v xml:space="preserve">                </v>
      </c>
      <c r="Q1745" t="str">
        <f t="shared" si="456"/>
        <v xml:space="preserve">         </v>
      </c>
      <c r="R1745" t="str">
        <f t="shared" si="465"/>
        <v xml:space="preserve">    82.0 </v>
      </c>
      <c r="S1745" t="str">
        <f t="shared" si="457"/>
        <v xml:space="preserve">    82.0 </v>
      </c>
      <c r="T1745" t="str">
        <f t="shared" si="458"/>
        <v xml:space="preserve">    82.0 </v>
      </c>
      <c r="U1745" t="str">
        <f t="shared" si="462"/>
        <v xml:space="preserve">       27.0% </v>
      </c>
      <c r="V1745" t="str">
        <f t="shared" si="466"/>
        <v xml:space="preserve">         </v>
      </c>
      <c r="W1745" t="str">
        <f t="shared" si="459"/>
        <v xml:space="preserve">         </v>
      </c>
      <c r="X1745" t="str">
        <f t="shared" si="463"/>
        <v xml:space="preserve">  1276 </v>
      </c>
      <c r="Y1745" t="str">
        <f t="shared" si="463"/>
        <v xml:space="preserve"> SMARI1-RS138 </v>
      </c>
      <c r="Z1745" t="str">
        <f t="shared" si="463"/>
        <v xml:space="preserve">  1 </v>
      </c>
      <c r="AA1745" t="str">
        <f t="shared" si="467"/>
        <v xml:space="preserve">    21.8 </v>
      </c>
      <c r="AB1745" t="str">
        <f t="shared" si="460"/>
        <v xml:space="preserve">    -5.8 </v>
      </c>
      <c r="AC1745" t="str">
        <f t="shared" si="461"/>
        <v xml:space="preserve">    22.1 </v>
      </c>
      <c r="AD1745" t="str">
        <f t="shared" si="462"/>
        <v xml:space="preserve">        </v>
      </c>
      <c r="AE1745" t="str">
        <f t="shared" si="468"/>
        <v xml:space="preserve">       </v>
      </c>
      <c r="AF1745" t="str">
        <f t="shared" si="464"/>
        <v xml:space="preserve">     </v>
      </c>
      <c r="AG1745" t="str">
        <f t="shared" si="464"/>
        <v xml:space="preserve">     0.27 </v>
      </c>
      <c r="AH1745" t="str">
        <f t="shared" si="469"/>
        <v xml:space="preserve">    -2.54 </v>
      </c>
      <c r="AI1745" t="str">
        <f t="shared" si="454"/>
        <v xml:space="preserve">       </v>
      </c>
      <c r="AJ1745" t="str">
        <f t="shared" si="455"/>
        <v xml:space="preserve">      </v>
      </c>
    </row>
    <row r="1746" spans="1:36" x14ac:dyDescent="0.25">
      <c r="A1746" t="s">
        <v>14</v>
      </c>
      <c r="P1746" t="str">
        <f t="shared" si="456"/>
        <v xml:space="preserve">  ..............</v>
      </c>
      <c r="Q1746" t="str">
        <f t="shared" si="456"/>
        <v>.........</v>
      </c>
      <c r="R1746" t="str">
        <f t="shared" si="465"/>
        <v>.........</v>
      </c>
      <c r="S1746" t="str">
        <f t="shared" si="457"/>
        <v>.........</v>
      </c>
      <c r="T1746" t="str">
        <f t="shared" si="458"/>
        <v>.........</v>
      </c>
      <c r="U1746" t="str">
        <f t="shared" si="462"/>
        <v>.............</v>
      </c>
      <c r="V1746" t="str">
        <f t="shared" si="466"/>
        <v>.........</v>
      </c>
      <c r="W1746" t="str">
        <f t="shared" si="459"/>
        <v>.........</v>
      </c>
      <c r="X1746" t="str">
        <f t="shared" si="463"/>
        <v>.......</v>
      </c>
      <c r="Y1746" t="str">
        <f t="shared" si="463"/>
        <v>..............</v>
      </c>
      <c r="Z1746" t="str">
        <f t="shared" si="463"/>
        <v>....</v>
      </c>
      <c r="AA1746" t="str">
        <f t="shared" si="467"/>
        <v>.........</v>
      </c>
      <c r="AB1746" t="str">
        <f t="shared" si="460"/>
        <v>.........</v>
      </c>
      <c r="AC1746" t="str">
        <f t="shared" si="461"/>
        <v>.........</v>
      </c>
      <c r="AD1746" t="str">
        <f t="shared" si="462"/>
        <v>........</v>
      </c>
      <c r="AE1746" t="str">
        <f t="shared" si="468"/>
        <v>.......</v>
      </c>
      <c r="AF1746" t="str">
        <f t="shared" si="464"/>
        <v>.....</v>
      </c>
      <c r="AG1746" t="str">
        <f t="shared" si="464"/>
        <v>..........</v>
      </c>
      <c r="AH1746" t="str">
        <f t="shared" si="469"/>
        <v>..........</v>
      </c>
      <c r="AI1746" t="str">
        <f t="shared" si="454"/>
        <v>.......</v>
      </c>
      <c r="AJ1746" t="str">
        <f t="shared" si="455"/>
        <v>.......</v>
      </c>
    </row>
    <row r="1747" spans="1:36" x14ac:dyDescent="0.25">
      <c r="A1747" t="s">
        <v>1334</v>
      </c>
      <c r="P1747" t="str">
        <f t="shared" si="456"/>
        <v xml:space="preserve">   9921  138  0 </v>
      </c>
      <c r="Q1747" t="str">
        <f t="shared" si="456"/>
        <v xml:space="preserve">   1.032 </v>
      </c>
      <c r="R1747" t="str">
        <f t="shared" si="465"/>
        <v xml:space="preserve">    32.7 </v>
      </c>
      <c r="S1747" t="str">
        <f t="shared" si="457"/>
        <v xml:space="preserve">     0.0 </v>
      </c>
      <c r="T1747" t="str">
        <f t="shared" si="458"/>
        <v xml:space="preserve">   123.5 </v>
      </c>
      <c r="U1747" t="str">
        <f t="shared" si="462"/>
        <v xml:space="preserve">         0.0 </v>
      </c>
      <c r="V1747" t="str">
        <f t="shared" si="466"/>
        <v xml:space="preserve">     3.8 </v>
      </c>
      <c r="W1747" t="str">
        <f t="shared" si="459"/>
        <v xml:space="preserve">     0.0</v>
      </c>
      <c r="X1747" t="str">
        <f t="shared" si="463"/>
        <v/>
      </c>
      <c r="Y1747" t="str">
        <f t="shared" si="463"/>
        <v/>
      </c>
      <c r="Z1747" t="str">
        <f t="shared" si="463"/>
        <v/>
      </c>
      <c r="AA1747" t="str">
        <f t="shared" si="467"/>
        <v/>
      </c>
      <c r="AB1747" t="str">
        <f t="shared" si="460"/>
        <v/>
      </c>
      <c r="AC1747" t="str">
        <f t="shared" si="461"/>
        <v/>
      </c>
      <c r="AD1747" t="str">
        <f t="shared" si="462"/>
        <v/>
      </c>
      <c r="AE1747" t="str">
        <f t="shared" si="468"/>
        <v/>
      </c>
      <c r="AF1747" t="str">
        <f t="shared" si="464"/>
        <v/>
      </c>
      <c r="AG1747" t="str">
        <f t="shared" si="464"/>
        <v/>
      </c>
      <c r="AH1747" t="str">
        <f t="shared" si="469"/>
        <v/>
      </c>
      <c r="AI1747" t="str">
        <f t="shared" si="454"/>
        <v/>
      </c>
      <c r="AJ1747" t="str">
        <f t="shared" si="455"/>
        <v/>
      </c>
    </row>
    <row r="1748" spans="1:36" x14ac:dyDescent="0.25">
      <c r="A1748" t="s">
        <v>1335</v>
      </c>
      <c r="P1748" t="str">
        <f t="shared" si="456"/>
        <v xml:space="preserve">  VILMAR-RS138  </v>
      </c>
      <c r="Q1748" t="str">
        <f t="shared" si="456"/>
        <v xml:space="preserve">   -49.3 </v>
      </c>
      <c r="R1748" t="str">
        <f t="shared" si="465"/>
        <v xml:space="preserve">     0.0 </v>
      </c>
      <c r="S1748" t="str">
        <f t="shared" si="457"/>
        <v xml:space="preserve">     0.0 </v>
      </c>
      <c r="T1748" t="str">
        <f t="shared" si="458"/>
        <v xml:space="preserve">    51.4 </v>
      </c>
      <c r="U1748" t="str">
        <f t="shared" si="462"/>
        <v xml:space="preserve">         0.0 </v>
      </c>
      <c r="V1748" t="str">
        <f t="shared" si="466"/>
        <v xml:space="preserve">     0.0 </v>
      </c>
      <c r="W1748" t="str">
        <f t="shared" si="459"/>
        <v xml:space="preserve">     0.0 </v>
      </c>
      <c r="X1748" t="str">
        <f t="shared" si="463"/>
        <v xml:space="preserve">       </v>
      </c>
      <c r="Y1748" t="str">
        <f t="shared" si="463"/>
        <v xml:space="preserve">              </v>
      </c>
      <c r="Z1748" t="str">
        <f t="shared" si="463"/>
        <v xml:space="preserve">    </v>
      </c>
      <c r="AA1748" t="str">
        <f t="shared" si="467"/>
        <v xml:space="preserve">         </v>
      </c>
      <c r="AB1748" t="str">
        <f t="shared" si="460"/>
        <v xml:space="preserve">         </v>
      </c>
      <c r="AC1748" t="str">
        <f t="shared" si="461"/>
        <v xml:space="preserve">    </v>
      </c>
      <c r="AD1748" t="str">
        <f t="shared" si="462"/>
        <v/>
      </c>
      <c r="AE1748" t="str">
        <f t="shared" si="468"/>
        <v/>
      </c>
      <c r="AF1748" t="str">
        <f t="shared" si="464"/>
        <v/>
      </c>
      <c r="AG1748" t="str">
        <f t="shared" si="464"/>
        <v/>
      </c>
      <c r="AH1748" t="str">
        <f t="shared" si="469"/>
        <v/>
      </c>
      <c r="AI1748" t="str">
        <f t="shared" si="454"/>
        <v/>
      </c>
      <c r="AJ1748" t="str">
        <f t="shared" si="455"/>
        <v/>
      </c>
    </row>
    <row r="1749" spans="1:36" x14ac:dyDescent="0.25">
      <c r="A1749" t="s">
        <v>1336</v>
      </c>
      <c r="P1749" t="str">
        <f t="shared" si="456"/>
        <v xml:space="preserve">                </v>
      </c>
      <c r="Q1749" t="str">
        <f t="shared" si="456"/>
        <v xml:space="preserve">         </v>
      </c>
      <c r="R1749" t="str">
        <f t="shared" si="465"/>
        <v xml:space="preserve">    70.0 </v>
      </c>
      <c r="S1749" t="str">
        <f t="shared" si="457"/>
        <v xml:space="preserve">    90.0 </v>
      </c>
      <c r="T1749" t="str">
        <f t="shared" si="458"/>
        <v xml:space="preserve">    90.0 </v>
      </c>
      <c r="U1749" t="str">
        <f t="shared" si="462"/>
        <v xml:space="preserve">       16.7% </v>
      </c>
      <c r="V1749" t="str">
        <f t="shared" si="466"/>
        <v xml:space="preserve">         </v>
      </c>
      <c r="W1749" t="str">
        <f t="shared" si="459"/>
        <v xml:space="preserve">         </v>
      </c>
      <c r="X1749" t="str">
        <f t="shared" si="463"/>
        <v xml:space="preserve"> 10029 </v>
      </c>
      <c r="Y1749" t="str">
        <f t="shared" si="463"/>
        <v xml:space="preserve"> MARAU2-RS138 </v>
      </c>
      <c r="Z1749" t="str">
        <f t="shared" si="463"/>
        <v xml:space="preserve">  1 </v>
      </c>
      <c r="AA1749" t="str">
        <f t="shared" si="467"/>
        <v xml:space="preserve">    11.8 </v>
      </c>
      <c r="AB1749" t="str">
        <f t="shared" si="460"/>
        <v xml:space="preserve">     2.6 </v>
      </c>
      <c r="AC1749" t="str">
        <f t="shared" si="461"/>
        <v xml:space="preserve">    11.7 </v>
      </c>
      <c r="AD1749" t="str">
        <f t="shared" si="462"/>
        <v xml:space="preserve">        </v>
      </c>
      <c r="AE1749" t="str">
        <f t="shared" si="468"/>
        <v xml:space="preserve">       </v>
      </c>
      <c r="AF1749" t="str">
        <f t="shared" si="464"/>
        <v xml:space="preserve">     </v>
      </c>
      <c r="AG1749" t="str">
        <f t="shared" si="464"/>
        <v xml:space="preserve">     0.02 </v>
      </c>
      <c r="AH1749" t="str">
        <f t="shared" si="469"/>
        <v xml:space="preserve">    -1.05 </v>
      </c>
      <c r="AI1749" t="str">
        <f t="shared" si="454"/>
        <v xml:space="preserve">       </v>
      </c>
      <c r="AJ1749" t="str">
        <f t="shared" si="455"/>
        <v xml:space="preserve">      </v>
      </c>
    </row>
    <row r="1750" spans="1:36" x14ac:dyDescent="0.25">
      <c r="A1750" t="s">
        <v>1337</v>
      </c>
      <c r="P1750" t="str">
        <f t="shared" si="456"/>
        <v xml:space="preserve">                </v>
      </c>
      <c r="Q1750" t="str">
        <f t="shared" si="456"/>
        <v xml:space="preserve">         </v>
      </c>
      <c r="R1750" t="str">
        <f t="shared" si="465"/>
        <v xml:space="preserve">   150.0 </v>
      </c>
      <c r="S1750" t="str">
        <f t="shared" si="457"/>
        <v xml:space="preserve">   180.0 </v>
      </c>
      <c r="T1750" t="str">
        <f t="shared" si="458"/>
        <v xml:space="preserve">   180.0 </v>
      </c>
      <c r="U1750" t="str">
        <f t="shared" si="462"/>
        <v xml:space="preserve">       36.9% </v>
      </c>
      <c r="V1750" t="str">
        <f t="shared" si="466"/>
        <v xml:space="preserve">         </v>
      </c>
      <c r="W1750" t="str">
        <f t="shared" si="459"/>
        <v xml:space="preserve">         </v>
      </c>
      <c r="X1750" t="str">
        <f t="shared" si="463"/>
        <v xml:space="preserve"> 43811 </v>
      </c>
      <c r="Y1750" t="str">
        <f t="shared" si="463"/>
        <v xml:space="preserve"> VILM-1-RS000 </v>
      </c>
      <c r="Z1750" t="str">
        <f t="shared" si="463"/>
        <v xml:space="preserve">  1 </v>
      </c>
      <c r="AA1750" t="str">
        <f t="shared" si="467"/>
        <v xml:space="preserve">   -51.3 </v>
      </c>
      <c r="AB1750" t="str">
        <f t="shared" si="460"/>
        <v xml:space="preserve">   -25.1 </v>
      </c>
      <c r="AC1750" t="str">
        <f t="shared" si="461"/>
        <v xml:space="preserve">    55.3 </v>
      </c>
      <c r="AD1750" t="str">
        <f t="shared" si="462"/>
        <v xml:space="preserve"> 1.000F </v>
      </c>
      <c r="AE1750" t="str">
        <f t="shared" si="468"/>
        <v xml:space="preserve">       </v>
      </c>
      <c r="AF1750" t="str">
        <f t="shared" si="464"/>
        <v xml:space="preserve"> 002 </v>
      </c>
      <c r="AG1750" t="str">
        <f t="shared" si="464"/>
        <v xml:space="preserve">    -0.05 </v>
      </c>
      <c r="AH1750" t="str">
        <f t="shared" si="469"/>
        <v xml:space="preserve">    -0.32 </v>
      </c>
      <c r="AI1750" t="str">
        <f t="shared" si="454"/>
        <v xml:space="preserve">       </v>
      </c>
      <c r="AJ1750" t="str">
        <f t="shared" si="455"/>
        <v xml:space="preserve">      </v>
      </c>
    </row>
    <row r="1751" spans="1:36" x14ac:dyDescent="0.25">
      <c r="A1751" t="s">
        <v>1338</v>
      </c>
      <c r="P1751" t="str">
        <f t="shared" si="456"/>
        <v xml:space="preserve">                </v>
      </c>
      <c r="Q1751" t="str">
        <f t="shared" si="456"/>
        <v xml:space="preserve">         </v>
      </c>
      <c r="R1751" t="str">
        <f t="shared" si="465"/>
        <v xml:space="preserve">   150.0 </v>
      </c>
      <c r="S1751" t="str">
        <f t="shared" si="457"/>
        <v xml:space="preserve">   180.0 </v>
      </c>
      <c r="T1751" t="str">
        <f t="shared" si="458"/>
        <v xml:space="preserve">   180.0 </v>
      </c>
      <c r="U1751" t="str">
        <f t="shared" si="462"/>
        <v xml:space="preserve">       36.9% </v>
      </c>
      <c r="V1751" t="str">
        <f t="shared" si="466"/>
        <v xml:space="preserve">         </v>
      </c>
      <c r="W1751" t="str">
        <f t="shared" si="459"/>
        <v xml:space="preserve">         </v>
      </c>
      <c r="X1751" t="str">
        <f t="shared" si="463"/>
        <v xml:space="preserve"> 43813 </v>
      </c>
      <c r="Y1751" t="str">
        <f t="shared" si="463"/>
        <v xml:space="preserve"> VILM-2-RS000 </v>
      </c>
      <c r="Z1751" t="str">
        <f t="shared" si="463"/>
        <v xml:space="preserve">  2 </v>
      </c>
      <c r="AA1751" t="str">
        <f t="shared" si="467"/>
        <v xml:space="preserve">   -51.3 </v>
      </c>
      <c r="AB1751" t="str">
        <f t="shared" si="460"/>
        <v xml:space="preserve">   -25.1 </v>
      </c>
      <c r="AC1751" t="str">
        <f t="shared" si="461"/>
        <v xml:space="preserve">    55.3 </v>
      </c>
      <c r="AD1751" t="str">
        <f t="shared" si="462"/>
        <v xml:space="preserve"> 1.000F </v>
      </c>
      <c r="AE1751" t="str">
        <f t="shared" si="468"/>
        <v xml:space="preserve">       </v>
      </c>
      <c r="AF1751" t="str">
        <f t="shared" si="464"/>
        <v xml:space="preserve"> 002 </v>
      </c>
      <c r="AG1751" t="str">
        <f t="shared" si="464"/>
        <v xml:space="preserve">    -0.05 </v>
      </c>
      <c r="AH1751" t="str">
        <f t="shared" si="469"/>
        <v xml:space="preserve">    -0.32 </v>
      </c>
      <c r="AI1751" t="str">
        <f t="shared" ref="AI1751:AI1814" si="470">MID($A1751,AG$8+AG$9+AH$9-2,AI$9)</f>
        <v xml:space="preserve">       </v>
      </c>
      <c r="AJ1751" t="str">
        <f t="shared" ref="AJ1751:AJ1814" si="471">MID($A1751,AG$8+AG$9+AH$9+AI$9-3,AJ$9)</f>
        <v xml:space="preserve">      </v>
      </c>
    </row>
    <row r="1752" spans="1:36" x14ac:dyDescent="0.25">
      <c r="A1752" t="s">
        <v>14</v>
      </c>
      <c r="P1752" t="str">
        <f t="shared" si="456"/>
        <v xml:space="preserve">  ..............</v>
      </c>
      <c r="Q1752" t="str">
        <f t="shared" si="456"/>
        <v>.........</v>
      </c>
      <c r="R1752" t="str">
        <f t="shared" si="465"/>
        <v>.........</v>
      </c>
      <c r="S1752" t="str">
        <f t="shared" si="457"/>
        <v>.........</v>
      </c>
      <c r="T1752" t="str">
        <f t="shared" si="458"/>
        <v>.........</v>
      </c>
      <c r="U1752" t="str">
        <f t="shared" si="462"/>
        <v>.............</v>
      </c>
      <c r="V1752" t="str">
        <f t="shared" si="466"/>
        <v>.........</v>
      </c>
      <c r="W1752" t="str">
        <f t="shared" si="459"/>
        <v>.........</v>
      </c>
      <c r="X1752" t="str">
        <f t="shared" si="463"/>
        <v>.......</v>
      </c>
      <c r="Y1752" t="str">
        <f t="shared" si="463"/>
        <v>..............</v>
      </c>
      <c r="Z1752" t="str">
        <f t="shared" si="463"/>
        <v>....</v>
      </c>
      <c r="AA1752" t="str">
        <f t="shared" si="467"/>
        <v>.........</v>
      </c>
      <c r="AB1752" t="str">
        <f t="shared" si="460"/>
        <v>.........</v>
      </c>
      <c r="AC1752" t="str">
        <f t="shared" si="461"/>
        <v>.........</v>
      </c>
      <c r="AD1752" t="str">
        <f t="shared" si="462"/>
        <v>........</v>
      </c>
      <c r="AE1752" t="str">
        <f t="shared" si="468"/>
        <v>.......</v>
      </c>
      <c r="AF1752" t="str">
        <f t="shared" si="464"/>
        <v>.....</v>
      </c>
      <c r="AG1752" t="str">
        <f t="shared" si="464"/>
        <v>..........</v>
      </c>
      <c r="AH1752" t="str">
        <f t="shared" si="469"/>
        <v>..........</v>
      </c>
      <c r="AI1752" t="str">
        <f t="shared" si="470"/>
        <v>.......</v>
      </c>
      <c r="AJ1752" t="str">
        <f t="shared" si="471"/>
        <v>.......</v>
      </c>
    </row>
    <row r="1753" spans="1:36" x14ac:dyDescent="0.25">
      <c r="A1753" t="s">
        <v>1339</v>
      </c>
      <c r="P1753" t="str">
        <f t="shared" si="456"/>
        <v xml:space="preserve">   9962   69  0 </v>
      </c>
      <c r="Q1753" t="str">
        <f t="shared" si="456"/>
        <v xml:space="preserve">   1.012 </v>
      </c>
      <c r="R1753" t="str">
        <f t="shared" si="465"/>
        <v xml:space="preserve">     0.0 </v>
      </c>
      <c r="S1753" t="str">
        <f t="shared" si="457"/>
        <v xml:space="preserve">     0.0 </v>
      </c>
      <c r="T1753" t="str">
        <f t="shared" si="458"/>
        <v xml:space="preserve">     0.0 </v>
      </c>
      <c r="U1753" t="str">
        <f t="shared" si="462"/>
        <v xml:space="preserve">         0.0 </v>
      </c>
      <c r="V1753" t="str">
        <f t="shared" si="466"/>
        <v xml:space="preserve">     0.0 </v>
      </c>
      <c r="W1753" t="str">
        <f t="shared" si="459"/>
        <v xml:space="preserve">     0.0</v>
      </c>
      <c r="X1753" t="str">
        <f t="shared" si="463"/>
        <v/>
      </c>
      <c r="Y1753" t="str">
        <f t="shared" si="463"/>
        <v/>
      </c>
      <c r="Z1753" t="str">
        <f t="shared" si="463"/>
        <v/>
      </c>
      <c r="AA1753" t="str">
        <f t="shared" si="467"/>
        <v/>
      </c>
      <c r="AB1753" t="str">
        <f t="shared" si="460"/>
        <v/>
      </c>
      <c r="AC1753" t="str">
        <f t="shared" si="461"/>
        <v/>
      </c>
      <c r="AD1753" t="str">
        <f t="shared" si="462"/>
        <v/>
      </c>
      <c r="AE1753" t="str">
        <f t="shared" si="468"/>
        <v/>
      </c>
      <c r="AF1753" t="str">
        <f t="shared" si="464"/>
        <v/>
      </c>
      <c r="AG1753" t="str">
        <f t="shared" si="464"/>
        <v/>
      </c>
      <c r="AH1753" t="str">
        <f t="shared" si="469"/>
        <v/>
      </c>
      <c r="AI1753" t="str">
        <f t="shared" si="470"/>
        <v/>
      </c>
      <c r="AJ1753" t="str">
        <f t="shared" si="471"/>
        <v/>
      </c>
    </row>
    <row r="1754" spans="1:36" x14ac:dyDescent="0.25">
      <c r="A1754" t="s">
        <v>1340</v>
      </c>
      <c r="P1754" t="str">
        <f t="shared" si="456"/>
        <v xml:space="preserve">  PALEG1-RS069  </v>
      </c>
      <c r="Q1754" t="str">
        <f t="shared" si="456"/>
        <v xml:space="preserve">   -54.5 </v>
      </c>
      <c r="R1754" t="str">
        <f t="shared" si="465"/>
        <v xml:space="preserve">     0.0 </v>
      </c>
      <c r="S1754" t="str">
        <f t="shared" si="457"/>
        <v xml:space="preserve">     0.0 </v>
      </c>
      <c r="T1754" t="str">
        <f t="shared" si="458"/>
        <v xml:space="preserve">     0.0 </v>
      </c>
      <c r="U1754" t="str">
        <f t="shared" si="462"/>
        <v xml:space="preserve">         0.0 </v>
      </c>
      <c r="V1754" t="str">
        <f t="shared" si="466"/>
        <v xml:space="preserve">     0.0 </v>
      </c>
      <c r="W1754" t="str">
        <f t="shared" si="459"/>
        <v xml:space="preserve">     0.0 </v>
      </c>
      <c r="X1754" t="str">
        <f t="shared" si="463"/>
        <v xml:space="preserve">       </v>
      </c>
      <c r="Y1754" t="str">
        <f t="shared" si="463"/>
        <v xml:space="preserve">              </v>
      </c>
      <c r="Z1754" t="str">
        <f t="shared" si="463"/>
        <v xml:space="preserve">    </v>
      </c>
      <c r="AA1754" t="str">
        <f t="shared" si="467"/>
        <v xml:space="preserve">         </v>
      </c>
      <c r="AB1754" t="str">
        <f t="shared" si="460"/>
        <v xml:space="preserve">         </v>
      </c>
      <c r="AC1754" t="str">
        <f t="shared" si="461"/>
        <v xml:space="preserve">    </v>
      </c>
      <c r="AD1754" t="str">
        <f t="shared" si="462"/>
        <v/>
      </c>
      <c r="AE1754" t="str">
        <f t="shared" si="468"/>
        <v/>
      </c>
      <c r="AF1754" t="str">
        <f t="shared" si="464"/>
        <v/>
      </c>
      <c r="AG1754" t="str">
        <f t="shared" si="464"/>
        <v/>
      </c>
      <c r="AH1754" t="str">
        <f t="shared" si="469"/>
        <v/>
      </c>
      <c r="AI1754" t="str">
        <f t="shared" si="470"/>
        <v/>
      </c>
      <c r="AJ1754" t="str">
        <f t="shared" si="471"/>
        <v/>
      </c>
    </row>
    <row r="1755" spans="1:36" x14ac:dyDescent="0.25">
      <c r="A1755" t="s">
        <v>1341</v>
      </c>
      <c r="P1755" t="str">
        <f t="shared" ref="P1755:Q1818" si="472">MID($A1755,P$8,P$9)</f>
        <v xml:space="preserve">                </v>
      </c>
      <c r="Q1755" t="str">
        <f t="shared" si="472"/>
        <v xml:space="preserve">         </v>
      </c>
      <c r="R1755" t="str">
        <f t="shared" si="465"/>
        <v xml:space="preserve">    90.0 </v>
      </c>
      <c r="S1755" t="str">
        <f t="shared" ref="S1755:S1818" si="473">MID($A1755,Q$8+Q$9+R$9-2,S$9)</f>
        <v xml:space="preserve">    90.0 </v>
      </c>
      <c r="T1755" t="str">
        <f t="shared" ref="T1755:T1818" si="474">MID($A1755,Q$8+Q$9+R$9+S$9-3,T$9)</f>
        <v xml:space="preserve">    90.0 </v>
      </c>
      <c r="U1755" t="str">
        <f t="shared" si="462"/>
        <v xml:space="preserve">       26.9% </v>
      </c>
      <c r="V1755" t="str">
        <f t="shared" si="466"/>
        <v xml:space="preserve">         </v>
      </c>
      <c r="W1755" t="str">
        <f t="shared" ref="W1755:W1818" si="475">MID($A1755,U$8+U$9+V$9-2,W$9)</f>
        <v xml:space="preserve">         </v>
      </c>
      <c r="X1755" t="str">
        <f t="shared" si="463"/>
        <v xml:space="preserve">  9234 </v>
      </c>
      <c r="Y1755" t="str">
        <f t="shared" si="463"/>
        <v xml:space="preserve"> PALE1A-RS069 </v>
      </c>
      <c r="Z1755" t="str">
        <f t="shared" si="463"/>
        <v xml:space="preserve">  1 </v>
      </c>
      <c r="AA1755" t="str">
        <f t="shared" si="467"/>
        <v xml:space="preserve">    24.1 </v>
      </c>
      <c r="AB1755" t="str">
        <f t="shared" ref="AB1755:AB1818" si="476">MID($A1755,Z$8+Z$9+AA$9-2,AB$9)</f>
        <v xml:space="preserve">     4.4 </v>
      </c>
      <c r="AC1755" t="str">
        <f t="shared" ref="AC1755:AC1818" si="477">MID($A1755,Z$8+Z$9+AA$9+AB$9-3,AC$9)</f>
        <v xml:space="preserve">    24.2 </v>
      </c>
      <c r="AD1755" t="str">
        <f t="shared" si="462"/>
        <v xml:space="preserve">        </v>
      </c>
      <c r="AE1755" t="str">
        <f t="shared" si="468"/>
        <v xml:space="preserve">       </v>
      </c>
      <c r="AF1755" t="str">
        <f t="shared" si="464"/>
        <v xml:space="preserve">     </v>
      </c>
      <c r="AG1755" t="str">
        <f t="shared" si="464"/>
        <v xml:space="preserve">     0.00 </v>
      </c>
      <c r="AH1755" t="str">
        <f t="shared" si="469"/>
        <v xml:space="preserve">     0.00 </v>
      </c>
      <c r="AI1755" t="str">
        <f t="shared" si="470"/>
        <v xml:space="preserve">       </v>
      </c>
      <c r="AJ1755" t="str">
        <f t="shared" si="471"/>
        <v xml:space="preserve">      </v>
      </c>
    </row>
    <row r="1756" spans="1:36" x14ac:dyDescent="0.25">
      <c r="A1756" t="s">
        <v>1342</v>
      </c>
      <c r="P1756" t="str">
        <f t="shared" si="472"/>
        <v xml:space="preserve">                </v>
      </c>
      <c r="Q1756" t="str">
        <f t="shared" si="472"/>
        <v xml:space="preserve">         </v>
      </c>
      <c r="R1756" t="str">
        <f t="shared" si="465"/>
        <v xml:space="preserve">    90.0 </v>
      </c>
      <c r="S1756" t="str">
        <f t="shared" si="473"/>
        <v xml:space="preserve">    90.0 </v>
      </c>
      <c r="T1756" t="str">
        <f t="shared" si="474"/>
        <v xml:space="preserve">    90.0 </v>
      </c>
      <c r="U1756" t="str">
        <f t="shared" ref="U1756:AD1819" si="478">MID($A1756,U$8,U$9)</f>
        <v xml:space="preserve">       27.6% </v>
      </c>
      <c r="V1756" t="str">
        <f t="shared" si="466"/>
        <v xml:space="preserve">         </v>
      </c>
      <c r="W1756" t="str">
        <f t="shared" si="475"/>
        <v xml:space="preserve">         </v>
      </c>
      <c r="X1756" t="str">
        <f t="shared" ref="X1756:Z1819" si="479">MID($A1756,X$8,X$9)</f>
        <v xml:space="preserve">  9235 </v>
      </c>
      <c r="Y1756" t="str">
        <f t="shared" si="479"/>
        <v xml:space="preserve"> PALE1B-RS069 </v>
      </c>
      <c r="Z1756" t="str">
        <f t="shared" si="479"/>
        <v xml:space="preserve">  1 </v>
      </c>
      <c r="AA1756" t="str">
        <f t="shared" si="467"/>
        <v xml:space="preserve">    25.1 </v>
      </c>
      <c r="AB1756" t="str">
        <f t="shared" si="476"/>
        <v xml:space="preserve">    -0.2 </v>
      </c>
      <c r="AC1756" t="str">
        <f t="shared" si="477"/>
        <v xml:space="preserve">    24.8 </v>
      </c>
      <c r="AD1756" t="str">
        <f t="shared" si="478"/>
        <v xml:space="preserve">        </v>
      </c>
      <c r="AE1756" t="str">
        <f t="shared" si="468"/>
        <v xml:space="preserve">       </v>
      </c>
      <c r="AF1756" t="str">
        <f t="shared" si="464"/>
        <v xml:space="preserve">     </v>
      </c>
      <c r="AG1756" t="str">
        <f t="shared" si="464"/>
        <v xml:space="preserve">     0.00 </v>
      </c>
      <c r="AH1756" t="str">
        <f t="shared" si="469"/>
        <v xml:space="preserve">     0.00 </v>
      </c>
      <c r="AI1756" t="str">
        <f t="shared" si="470"/>
        <v xml:space="preserve">       </v>
      </c>
      <c r="AJ1756" t="str">
        <f t="shared" si="471"/>
        <v xml:space="preserve">      </v>
      </c>
    </row>
    <row r="1757" spans="1:36" x14ac:dyDescent="0.25">
      <c r="A1757" t="s">
        <v>1343</v>
      </c>
      <c r="P1757" t="str">
        <f t="shared" si="472"/>
        <v xml:space="preserve">                </v>
      </c>
      <c r="Q1757" t="str">
        <f t="shared" si="472"/>
        <v xml:space="preserve">         </v>
      </c>
      <c r="R1757" t="str">
        <f t="shared" si="465"/>
        <v xml:space="preserve">   100.0 </v>
      </c>
      <c r="S1757" t="str">
        <f t="shared" si="473"/>
        <v xml:space="preserve">   100.0 </v>
      </c>
      <c r="T1757" t="str">
        <f t="shared" si="474"/>
        <v xml:space="preserve">   100.0 </v>
      </c>
      <c r="U1757" t="str">
        <f t="shared" si="478"/>
        <v xml:space="preserve">       20.7% </v>
      </c>
      <c r="V1757" t="str">
        <f t="shared" si="466"/>
        <v xml:space="preserve">         </v>
      </c>
      <c r="W1757" t="str">
        <f t="shared" si="475"/>
        <v xml:space="preserve">         </v>
      </c>
      <c r="X1757" t="str">
        <f t="shared" si="479"/>
        <v xml:space="preserve">  9255 </v>
      </c>
      <c r="Y1757" t="str">
        <f t="shared" si="479"/>
        <v xml:space="preserve"> FLORES-RS069 </v>
      </c>
      <c r="Z1757" t="str">
        <f t="shared" si="479"/>
        <v xml:space="preserve">  1 </v>
      </c>
      <c r="AA1757" t="str">
        <f t="shared" si="467"/>
        <v xml:space="preserve">    20.6 </v>
      </c>
      <c r="AB1757" t="str">
        <f t="shared" si="476"/>
        <v xml:space="preserve">    -3.6 </v>
      </c>
      <c r="AC1757" t="str">
        <f t="shared" si="477"/>
        <v xml:space="preserve">    20.7 </v>
      </c>
      <c r="AD1757" t="str">
        <f t="shared" si="478"/>
        <v xml:space="preserve">        </v>
      </c>
      <c r="AE1757" t="str">
        <f t="shared" si="468"/>
        <v xml:space="preserve">       </v>
      </c>
      <c r="AF1757" t="str">
        <f t="shared" ref="AF1757:AG1820" si="480">MID($A1757,AF$8,AF$9)</f>
        <v xml:space="preserve">     </v>
      </c>
      <c r="AG1757" t="str">
        <f t="shared" si="480"/>
        <v xml:space="preserve">     0.01 </v>
      </c>
      <c r="AH1757" t="str">
        <f t="shared" si="469"/>
        <v xml:space="preserve">    -1.30 </v>
      </c>
      <c r="AI1757" t="str">
        <f t="shared" si="470"/>
        <v xml:space="preserve">       </v>
      </c>
      <c r="AJ1757" t="str">
        <f t="shared" si="471"/>
        <v xml:space="preserve">      </v>
      </c>
    </row>
    <row r="1758" spans="1:36" x14ac:dyDescent="0.25">
      <c r="A1758" t="s">
        <v>1344</v>
      </c>
      <c r="P1758" t="str">
        <f t="shared" si="472"/>
        <v xml:space="preserve">                </v>
      </c>
      <c r="Q1758" t="str">
        <f t="shared" si="472"/>
        <v xml:space="preserve">         </v>
      </c>
      <c r="R1758" t="str">
        <f t="shared" si="465"/>
        <v xml:space="preserve">    84.0 </v>
      </c>
      <c r="S1758" t="str">
        <f t="shared" si="473"/>
        <v xml:space="preserve">   101.0 </v>
      </c>
      <c r="T1758" t="str">
        <f t="shared" si="474"/>
        <v xml:space="preserve">   101.0 </v>
      </c>
      <c r="U1758" t="str">
        <f t="shared" si="478"/>
        <v xml:space="preserve">        6.0% </v>
      </c>
      <c r="V1758" t="str">
        <f t="shared" si="466"/>
        <v xml:space="preserve">         </v>
      </c>
      <c r="W1758" t="str">
        <f t="shared" si="475"/>
        <v xml:space="preserve">         </v>
      </c>
      <c r="X1758" t="str">
        <f t="shared" si="479"/>
        <v xml:space="preserve">  9277 </v>
      </c>
      <c r="Y1758" t="str">
        <f t="shared" si="479"/>
        <v xml:space="preserve"> ZAFFAR-RS069 </v>
      </c>
      <c r="Z1758" t="str">
        <f t="shared" si="479"/>
        <v xml:space="preserve">  1 </v>
      </c>
      <c r="AA1758" t="str">
        <f t="shared" si="467"/>
        <v xml:space="preserve">     2.3 </v>
      </c>
      <c r="AB1758" t="str">
        <f t="shared" si="476"/>
        <v xml:space="preserve">    -4.6 </v>
      </c>
      <c r="AC1758" t="str">
        <f t="shared" si="477"/>
        <v xml:space="preserve">     5.1 </v>
      </c>
      <c r="AD1758" t="str">
        <f t="shared" si="478"/>
        <v xml:space="preserve">        </v>
      </c>
      <c r="AE1758" t="str">
        <f t="shared" si="468"/>
        <v xml:space="preserve">       </v>
      </c>
      <c r="AF1758" t="str">
        <f t="shared" si="480"/>
        <v xml:space="preserve">     </v>
      </c>
      <c r="AG1758" t="str">
        <f t="shared" si="480"/>
        <v xml:space="preserve">     0.00 </v>
      </c>
      <c r="AH1758" t="str">
        <f t="shared" si="469"/>
        <v xml:space="preserve">    -0.40 </v>
      </c>
      <c r="AI1758" t="str">
        <f t="shared" si="470"/>
        <v xml:space="preserve">       </v>
      </c>
      <c r="AJ1758" t="str">
        <f t="shared" si="471"/>
        <v xml:space="preserve">      </v>
      </c>
    </row>
    <row r="1759" spans="1:36" x14ac:dyDescent="0.25">
      <c r="A1759" t="s">
        <v>1345</v>
      </c>
      <c r="P1759" t="str">
        <f t="shared" si="472"/>
        <v xml:space="preserve">                </v>
      </c>
      <c r="Q1759" t="str">
        <f t="shared" si="472"/>
        <v xml:space="preserve">         </v>
      </c>
      <c r="R1759" t="str">
        <f t="shared" si="465"/>
        <v xml:space="preserve">    80.0 </v>
      </c>
      <c r="S1759" t="str">
        <f t="shared" si="473"/>
        <v xml:space="preserve">    95.0 </v>
      </c>
      <c r="T1759" t="str">
        <f t="shared" si="474"/>
        <v xml:space="preserve">    95.0 </v>
      </c>
      <c r="U1759" t="str">
        <f t="shared" si="478"/>
        <v xml:space="preserve">       19.3% </v>
      </c>
      <c r="V1759" t="str">
        <f t="shared" si="466"/>
        <v xml:space="preserve">         </v>
      </c>
      <c r="W1759" t="str">
        <f t="shared" si="475"/>
        <v xml:space="preserve">         </v>
      </c>
      <c r="X1759" t="str">
        <f t="shared" si="479"/>
        <v xml:space="preserve">  9554 </v>
      </c>
      <c r="Y1759" t="str">
        <f t="shared" si="479"/>
        <v xml:space="preserve"> GERPALTAP069 </v>
      </c>
      <c r="Z1759" t="str">
        <f t="shared" si="479"/>
        <v xml:space="preserve">  1 </v>
      </c>
      <c r="AA1759" t="str">
        <f t="shared" si="467"/>
        <v xml:space="preserve">    15.2 </v>
      </c>
      <c r="AB1759" t="str">
        <f t="shared" si="476"/>
        <v xml:space="preserve">    -3.6 </v>
      </c>
      <c r="AC1759" t="str">
        <f t="shared" si="477"/>
        <v xml:space="preserve">    15.5 </v>
      </c>
      <c r="AD1759" t="str">
        <f t="shared" si="478"/>
        <v xml:space="preserve">        </v>
      </c>
      <c r="AE1759" t="str">
        <f t="shared" si="468"/>
        <v xml:space="preserve">       </v>
      </c>
      <c r="AF1759" t="str">
        <f t="shared" si="480"/>
        <v xml:space="preserve">     </v>
      </c>
      <c r="AG1759" t="str">
        <f t="shared" si="480"/>
        <v xml:space="preserve">     0.03 </v>
      </c>
      <c r="AH1759" t="str">
        <f t="shared" si="469"/>
        <v xml:space="preserve">     0.02 </v>
      </c>
      <c r="AI1759" t="str">
        <f t="shared" si="470"/>
        <v xml:space="preserve">       </v>
      </c>
      <c r="AJ1759" t="str">
        <f t="shared" si="471"/>
        <v xml:space="preserve">      </v>
      </c>
    </row>
    <row r="1760" spans="1:36" x14ac:dyDescent="0.25">
      <c r="A1760" t="s">
        <v>1346</v>
      </c>
      <c r="P1760" t="str">
        <f t="shared" si="472"/>
        <v xml:space="preserve">                </v>
      </c>
      <c r="Q1760" t="str">
        <f t="shared" si="472"/>
        <v xml:space="preserve">         </v>
      </c>
      <c r="R1760" t="str">
        <f t="shared" si="465"/>
        <v xml:space="preserve">    83.0 </v>
      </c>
      <c r="S1760" t="str">
        <f t="shared" si="473"/>
        <v xml:space="preserve">   100.0 </v>
      </c>
      <c r="T1760" t="str">
        <f t="shared" si="474"/>
        <v xml:space="preserve">   100.0 </v>
      </c>
      <c r="U1760" t="str">
        <f t="shared" si="478"/>
        <v xml:space="preserve">       34.8% </v>
      </c>
      <c r="V1760" t="str">
        <f t="shared" si="466"/>
        <v xml:space="preserve">         </v>
      </c>
      <c r="W1760" t="str">
        <f t="shared" si="475"/>
        <v xml:space="preserve">         </v>
      </c>
      <c r="X1760" t="str">
        <f t="shared" si="479"/>
        <v xml:space="preserve"> 43843 </v>
      </c>
      <c r="Y1760" t="str">
        <f t="shared" si="479"/>
        <v xml:space="preserve"> PAL1-1-RS000 </v>
      </c>
      <c r="Z1760" t="str">
        <f t="shared" si="479"/>
        <v xml:space="preserve">  1 </v>
      </c>
      <c r="AA1760" t="str">
        <f t="shared" si="467"/>
        <v xml:space="preserve">   -29.1 </v>
      </c>
      <c r="AB1760" t="str">
        <f t="shared" si="476"/>
        <v xml:space="preserve">     2.5 </v>
      </c>
      <c r="AC1760" t="str">
        <f t="shared" si="477"/>
        <v xml:space="preserve">    28.9 </v>
      </c>
      <c r="AD1760" t="str">
        <f t="shared" si="478"/>
        <v xml:space="preserve"> 1.000F </v>
      </c>
      <c r="AE1760" t="str">
        <f t="shared" si="468"/>
        <v xml:space="preserve">       </v>
      </c>
      <c r="AF1760" t="str">
        <f t="shared" si="480"/>
        <v xml:space="preserve"> 002 </v>
      </c>
      <c r="AG1760" t="str">
        <f t="shared" si="480"/>
        <v xml:space="preserve">    -0.02 </v>
      </c>
      <c r="AH1760" t="str">
        <f t="shared" si="469"/>
        <v xml:space="preserve">    -0.10 </v>
      </c>
      <c r="AI1760" t="str">
        <f t="shared" si="470"/>
        <v xml:space="preserve">       </v>
      </c>
      <c r="AJ1760" t="str">
        <f t="shared" si="471"/>
        <v xml:space="preserve">      </v>
      </c>
    </row>
    <row r="1761" spans="1:36" x14ac:dyDescent="0.25">
      <c r="A1761" t="s">
        <v>1347</v>
      </c>
      <c r="P1761" t="str">
        <f t="shared" si="472"/>
        <v xml:space="preserve">                </v>
      </c>
      <c r="Q1761" t="str">
        <f t="shared" si="472"/>
        <v xml:space="preserve">         </v>
      </c>
      <c r="R1761" t="str">
        <f t="shared" si="465"/>
        <v xml:space="preserve">    83.0 </v>
      </c>
      <c r="S1761" t="str">
        <f t="shared" si="473"/>
        <v xml:space="preserve">   100.0 </v>
      </c>
      <c r="T1761" t="str">
        <f t="shared" si="474"/>
        <v xml:space="preserve">   100.0 </v>
      </c>
      <c r="U1761" t="str">
        <f t="shared" si="478"/>
        <v xml:space="preserve">       34.8% </v>
      </c>
      <c r="V1761" t="str">
        <f t="shared" si="466"/>
        <v xml:space="preserve">         </v>
      </c>
      <c r="W1761" t="str">
        <f t="shared" si="475"/>
        <v xml:space="preserve">         </v>
      </c>
      <c r="X1761" t="str">
        <f t="shared" si="479"/>
        <v xml:space="preserve"> 43849 </v>
      </c>
      <c r="Y1761" t="str">
        <f t="shared" si="479"/>
        <v xml:space="preserve"> PAL1-3-RS000 </v>
      </c>
      <c r="Z1761" t="str">
        <f t="shared" si="479"/>
        <v xml:space="preserve">  3 </v>
      </c>
      <c r="AA1761" t="str">
        <f t="shared" si="467"/>
        <v xml:space="preserve">   -29.1 </v>
      </c>
      <c r="AB1761" t="str">
        <f t="shared" si="476"/>
        <v xml:space="preserve">     2.5 </v>
      </c>
      <c r="AC1761" t="str">
        <f t="shared" si="477"/>
        <v xml:space="preserve">    28.9 </v>
      </c>
      <c r="AD1761" t="str">
        <f t="shared" si="478"/>
        <v xml:space="preserve"> 1.000F </v>
      </c>
      <c r="AE1761" t="str">
        <f t="shared" si="468"/>
        <v xml:space="preserve">       </v>
      </c>
      <c r="AF1761" t="str">
        <f t="shared" si="480"/>
        <v xml:space="preserve"> 002 </v>
      </c>
      <c r="AG1761" t="str">
        <f t="shared" si="480"/>
        <v xml:space="preserve">    -0.02 </v>
      </c>
      <c r="AH1761" t="str">
        <f t="shared" si="469"/>
        <v xml:space="preserve">    -0.10 </v>
      </c>
      <c r="AI1761" t="str">
        <f t="shared" si="470"/>
        <v xml:space="preserve">       </v>
      </c>
      <c r="AJ1761" t="str">
        <f t="shared" si="471"/>
        <v xml:space="preserve">      </v>
      </c>
    </row>
    <row r="1762" spans="1:36" x14ac:dyDescent="0.25">
      <c r="A1762" t="s">
        <v>1348</v>
      </c>
      <c r="P1762" t="str">
        <f t="shared" si="472"/>
        <v xml:space="preserve">                </v>
      </c>
      <c r="Q1762" t="str">
        <f t="shared" si="472"/>
        <v xml:space="preserve">         </v>
      </c>
      <c r="R1762" t="str">
        <f t="shared" si="465"/>
        <v xml:space="preserve">    83.0 </v>
      </c>
      <c r="S1762" t="str">
        <f t="shared" si="473"/>
        <v xml:space="preserve">   100.0 </v>
      </c>
      <c r="T1762" t="str">
        <f t="shared" si="474"/>
        <v xml:space="preserve">   100.0 </v>
      </c>
      <c r="U1762" t="str">
        <f t="shared" si="478"/>
        <v xml:space="preserve">       34.8% </v>
      </c>
      <c r="V1762" t="str">
        <f t="shared" si="466"/>
        <v xml:space="preserve">         </v>
      </c>
      <c r="W1762" t="str">
        <f t="shared" si="475"/>
        <v xml:space="preserve">         </v>
      </c>
      <c r="X1762" t="str">
        <f t="shared" si="479"/>
        <v xml:space="preserve"> 43856 </v>
      </c>
      <c r="Y1762" t="str">
        <f t="shared" si="479"/>
        <v xml:space="preserve"> PAL1-2-RS000 </v>
      </c>
      <c r="Z1762" t="str">
        <f t="shared" si="479"/>
        <v xml:space="preserve">  2 </v>
      </c>
      <c r="AA1762" t="str">
        <f t="shared" si="467"/>
        <v xml:space="preserve">   -29.1 </v>
      </c>
      <c r="AB1762" t="str">
        <f t="shared" si="476"/>
        <v xml:space="preserve">     2.5 </v>
      </c>
      <c r="AC1762" t="str">
        <f t="shared" si="477"/>
        <v xml:space="preserve">    28.9 </v>
      </c>
      <c r="AD1762" t="str">
        <f t="shared" si="478"/>
        <v xml:space="preserve"> 1.000F </v>
      </c>
      <c r="AE1762" t="str">
        <f t="shared" si="468"/>
        <v xml:space="preserve">       </v>
      </c>
      <c r="AF1762" t="str">
        <f t="shared" si="480"/>
        <v xml:space="preserve"> 002 </v>
      </c>
      <c r="AG1762" t="str">
        <f t="shared" si="480"/>
        <v xml:space="preserve">    -0.02 </v>
      </c>
      <c r="AH1762" t="str">
        <f t="shared" si="469"/>
        <v xml:space="preserve">    -0.10 </v>
      </c>
      <c r="AI1762" t="str">
        <f t="shared" si="470"/>
        <v xml:space="preserve">       </v>
      </c>
      <c r="AJ1762" t="str">
        <f t="shared" si="471"/>
        <v xml:space="preserve">      </v>
      </c>
    </row>
    <row r="1763" spans="1:36" x14ac:dyDescent="0.25">
      <c r="A1763" t="s">
        <v>14</v>
      </c>
      <c r="P1763" t="str">
        <f t="shared" si="472"/>
        <v xml:space="preserve">  ..............</v>
      </c>
      <c r="Q1763" t="str">
        <f t="shared" si="472"/>
        <v>.........</v>
      </c>
      <c r="R1763" t="str">
        <f t="shared" si="465"/>
        <v>.........</v>
      </c>
      <c r="S1763" t="str">
        <f t="shared" si="473"/>
        <v>.........</v>
      </c>
      <c r="T1763" t="str">
        <f t="shared" si="474"/>
        <v>.........</v>
      </c>
      <c r="U1763" t="str">
        <f t="shared" si="478"/>
        <v>.............</v>
      </c>
      <c r="V1763" t="str">
        <f t="shared" si="466"/>
        <v>.........</v>
      </c>
      <c r="W1763" t="str">
        <f t="shared" si="475"/>
        <v>.........</v>
      </c>
      <c r="X1763" t="str">
        <f t="shared" si="479"/>
        <v>.......</v>
      </c>
      <c r="Y1763" t="str">
        <f t="shared" si="479"/>
        <v>..............</v>
      </c>
      <c r="Z1763" t="str">
        <f t="shared" si="479"/>
        <v>....</v>
      </c>
      <c r="AA1763" t="str">
        <f t="shared" si="467"/>
        <v>.........</v>
      </c>
      <c r="AB1763" t="str">
        <f t="shared" si="476"/>
        <v>.........</v>
      </c>
      <c r="AC1763" t="str">
        <f t="shared" si="477"/>
        <v>.........</v>
      </c>
      <c r="AD1763" t="str">
        <f t="shared" si="478"/>
        <v>........</v>
      </c>
      <c r="AE1763" t="str">
        <f t="shared" si="468"/>
        <v>.......</v>
      </c>
      <c r="AF1763" t="str">
        <f t="shared" si="480"/>
        <v>.....</v>
      </c>
      <c r="AG1763" t="str">
        <f t="shared" si="480"/>
        <v>..........</v>
      </c>
      <c r="AH1763" t="str">
        <f t="shared" si="469"/>
        <v>..........</v>
      </c>
      <c r="AI1763" t="str">
        <f t="shared" si="470"/>
        <v>.......</v>
      </c>
      <c r="AJ1763" t="str">
        <f t="shared" si="471"/>
        <v>.......</v>
      </c>
    </row>
    <row r="1764" spans="1:36" x14ac:dyDescent="0.25">
      <c r="A1764" t="s">
        <v>1349</v>
      </c>
      <c r="P1764" t="str">
        <f t="shared" si="472"/>
        <v xml:space="preserve">   9964  138  0 </v>
      </c>
      <c r="Q1764" t="str">
        <f t="shared" si="472"/>
        <v xml:space="preserve">   1.003 </v>
      </c>
      <c r="R1764" t="str">
        <f t="shared" si="465"/>
        <v xml:space="preserve">     2.9 </v>
      </c>
      <c r="S1764" t="str">
        <f t="shared" si="473"/>
        <v xml:space="preserve">     0.0 </v>
      </c>
      <c r="T1764" t="str">
        <f t="shared" si="474"/>
        <v xml:space="preserve">    25.6 </v>
      </c>
      <c r="U1764" t="str">
        <f t="shared" si="478"/>
        <v xml:space="preserve">         0.0 </v>
      </c>
      <c r="V1764" t="str">
        <f t="shared" si="466"/>
        <v xml:space="preserve">     3.6 </v>
      </c>
      <c r="W1764" t="str">
        <f t="shared" si="475"/>
        <v xml:space="preserve">     0.0</v>
      </c>
      <c r="X1764" t="str">
        <f t="shared" si="479"/>
        <v/>
      </c>
      <c r="Y1764" t="str">
        <f t="shared" si="479"/>
        <v/>
      </c>
      <c r="Z1764" t="str">
        <f t="shared" si="479"/>
        <v/>
      </c>
      <c r="AA1764" t="str">
        <f t="shared" si="467"/>
        <v/>
      </c>
      <c r="AB1764" t="str">
        <f t="shared" si="476"/>
        <v/>
      </c>
      <c r="AC1764" t="str">
        <f t="shared" si="477"/>
        <v/>
      </c>
      <c r="AD1764" t="str">
        <f t="shared" si="478"/>
        <v/>
      </c>
      <c r="AE1764" t="str">
        <f t="shared" si="468"/>
        <v/>
      </c>
      <c r="AF1764" t="str">
        <f t="shared" si="480"/>
        <v/>
      </c>
      <c r="AG1764" t="str">
        <f t="shared" si="480"/>
        <v/>
      </c>
      <c r="AH1764" t="str">
        <f t="shared" si="469"/>
        <v/>
      </c>
      <c r="AI1764" t="str">
        <f t="shared" si="470"/>
        <v/>
      </c>
      <c r="AJ1764" t="str">
        <f t="shared" si="471"/>
        <v/>
      </c>
    </row>
    <row r="1765" spans="1:36" x14ac:dyDescent="0.25">
      <c r="A1765" t="s">
        <v>1350</v>
      </c>
      <c r="P1765" t="str">
        <f t="shared" si="472"/>
        <v xml:space="preserve">  BPRINC-RS138  </v>
      </c>
      <c r="Q1765" t="str">
        <f t="shared" si="472"/>
        <v xml:space="preserve">   -53.2 </v>
      </c>
      <c r="R1765" t="str">
        <f t="shared" si="465"/>
        <v xml:space="preserve">     0.0 </v>
      </c>
      <c r="S1765" t="str">
        <f t="shared" si="473"/>
        <v xml:space="preserve">     0.0 </v>
      </c>
      <c r="T1765" t="str">
        <f t="shared" si="474"/>
        <v xml:space="preserve">    13.6 </v>
      </c>
      <c r="U1765" t="str">
        <f t="shared" si="478"/>
        <v xml:space="preserve">         0.0 </v>
      </c>
      <c r="V1765" t="str">
        <f t="shared" si="466"/>
        <v xml:space="preserve">     0.0 </v>
      </c>
      <c r="W1765" t="str">
        <f t="shared" si="475"/>
        <v xml:space="preserve">     0.0 </v>
      </c>
      <c r="X1765" t="str">
        <f t="shared" si="479"/>
        <v xml:space="preserve">       </v>
      </c>
      <c r="Y1765" t="str">
        <f t="shared" si="479"/>
        <v xml:space="preserve">              </v>
      </c>
      <c r="Z1765" t="str">
        <f t="shared" si="479"/>
        <v xml:space="preserve">    </v>
      </c>
      <c r="AA1765" t="str">
        <f t="shared" si="467"/>
        <v xml:space="preserve">         </v>
      </c>
      <c r="AB1765" t="str">
        <f t="shared" si="476"/>
        <v xml:space="preserve">         </v>
      </c>
      <c r="AC1765" t="str">
        <f t="shared" si="477"/>
        <v xml:space="preserve">    </v>
      </c>
      <c r="AD1765" t="str">
        <f t="shared" si="478"/>
        <v/>
      </c>
      <c r="AE1765" t="str">
        <f t="shared" si="468"/>
        <v/>
      </c>
      <c r="AF1765" t="str">
        <f t="shared" si="480"/>
        <v/>
      </c>
      <c r="AG1765" t="str">
        <f t="shared" si="480"/>
        <v/>
      </c>
      <c r="AH1765" t="str">
        <f t="shared" si="469"/>
        <v/>
      </c>
      <c r="AI1765" t="str">
        <f t="shared" si="470"/>
        <v/>
      </c>
      <c r="AJ1765" t="str">
        <f t="shared" si="471"/>
        <v/>
      </c>
    </row>
    <row r="1766" spans="1:36" x14ac:dyDescent="0.25">
      <c r="A1766" t="s">
        <v>1351</v>
      </c>
      <c r="P1766" t="str">
        <f t="shared" si="472"/>
        <v xml:space="preserve">              DE</v>
      </c>
      <c r="Q1766" t="str">
        <f t="shared" si="472"/>
        <v xml:space="preserve">ESLIGADO </v>
      </c>
      <c r="R1766" t="str">
        <f t="shared" si="465"/>
        <v xml:space="preserve">   134.0 </v>
      </c>
      <c r="S1766" t="str">
        <f t="shared" si="473"/>
        <v xml:space="preserve">   162.0 </v>
      </c>
      <c r="T1766" t="str">
        <f t="shared" si="474"/>
        <v xml:space="preserve">   162.0 </v>
      </c>
      <c r="U1766" t="str">
        <f t="shared" si="478"/>
        <v xml:space="preserve">             </v>
      </c>
      <c r="V1766" t="str">
        <f t="shared" si="466"/>
        <v xml:space="preserve">         </v>
      </c>
      <c r="W1766" t="str">
        <f t="shared" si="475"/>
        <v xml:space="preserve">         </v>
      </c>
      <c r="X1766" t="str">
        <f t="shared" si="479"/>
        <v xml:space="preserve">  1280 </v>
      </c>
      <c r="Y1766" t="str">
        <f t="shared" si="479"/>
        <v xml:space="preserve"> SAOSCA-RS138 </v>
      </c>
      <c r="Z1766" t="str">
        <f t="shared" si="479"/>
        <v xml:space="preserve">  1 </v>
      </c>
      <c r="AA1766" t="str">
        <f t="shared" si="467"/>
        <v xml:space="preserve">     0.0 </v>
      </c>
      <c r="AB1766" t="str">
        <f t="shared" si="476"/>
        <v xml:space="preserve">     0.0 </v>
      </c>
      <c r="AC1766" t="str">
        <f t="shared" si="477"/>
        <v xml:space="preserve">     0.0 </v>
      </c>
      <c r="AD1766" t="str">
        <f t="shared" si="478"/>
        <v xml:space="preserve">        </v>
      </c>
      <c r="AE1766" t="str">
        <f t="shared" si="468"/>
        <v xml:space="preserve">       </v>
      </c>
      <c r="AF1766" t="str">
        <f t="shared" si="480"/>
        <v xml:space="preserve">     </v>
      </c>
      <c r="AG1766" t="str">
        <f t="shared" si="480"/>
        <v xml:space="preserve">     0.00 </v>
      </c>
      <c r="AH1766" t="str">
        <f t="shared" si="469"/>
        <v xml:space="preserve">     0.00 </v>
      </c>
      <c r="AI1766" t="str">
        <f t="shared" si="470"/>
        <v xml:space="preserve">       </v>
      </c>
      <c r="AJ1766" t="str">
        <f t="shared" si="471"/>
        <v xml:space="preserve">      </v>
      </c>
    </row>
    <row r="1767" spans="1:36" x14ac:dyDescent="0.25">
      <c r="A1767" t="s">
        <v>1352</v>
      </c>
      <c r="P1767" t="str">
        <f t="shared" si="472"/>
        <v xml:space="preserve">                </v>
      </c>
      <c r="Q1767" t="str">
        <f t="shared" si="472"/>
        <v xml:space="preserve">         </v>
      </c>
      <c r="R1767" t="str">
        <f t="shared" si="465"/>
        <v xml:space="preserve">   197.0 </v>
      </c>
      <c r="S1767" t="str">
        <f t="shared" si="473"/>
        <v xml:space="preserve">   240.0 </v>
      </c>
      <c r="T1767" t="str">
        <f t="shared" si="474"/>
        <v xml:space="preserve">   240.0 </v>
      </c>
      <c r="U1767" t="str">
        <f t="shared" si="478"/>
        <v xml:space="preserve">       12.5% </v>
      </c>
      <c r="V1767" t="str">
        <f t="shared" si="466"/>
        <v xml:space="preserve">         </v>
      </c>
      <c r="W1767" t="str">
        <f t="shared" si="475"/>
        <v xml:space="preserve">         </v>
      </c>
      <c r="X1767" t="str">
        <f t="shared" si="479"/>
        <v xml:space="preserve"> 10299 </v>
      </c>
      <c r="Y1767" t="str">
        <f t="shared" si="479"/>
        <v xml:space="preserve"> IVOTI2-RS138 </v>
      </c>
      <c r="Z1767" t="str">
        <f t="shared" si="479"/>
        <v xml:space="preserve">  1 </v>
      </c>
      <c r="AA1767" t="str">
        <f t="shared" si="467"/>
        <v xml:space="preserve">   -22.7 </v>
      </c>
      <c r="AB1767" t="str">
        <f t="shared" si="476"/>
        <v xml:space="preserve">   -10.0 </v>
      </c>
      <c r="AC1767" t="str">
        <f t="shared" si="477"/>
        <v xml:space="preserve">    24.7 </v>
      </c>
      <c r="AD1767" t="str">
        <f t="shared" si="478"/>
        <v xml:space="preserve">        </v>
      </c>
      <c r="AE1767" t="str">
        <f t="shared" si="468"/>
        <v xml:space="preserve">       </v>
      </c>
      <c r="AF1767" t="str">
        <f t="shared" si="480"/>
        <v xml:space="preserve">     </v>
      </c>
      <c r="AG1767" t="str">
        <f t="shared" si="480"/>
        <v xml:space="preserve">     0.08 </v>
      </c>
      <c r="AH1767" t="str">
        <f t="shared" si="469"/>
        <v xml:space="preserve">    -1.19 </v>
      </c>
      <c r="AI1767" t="str">
        <f t="shared" si="470"/>
        <v xml:space="preserve">       </v>
      </c>
      <c r="AJ1767" t="str">
        <f t="shared" si="471"/>
        <v xml:space="preserve">      </v>
      </c>
    </row>
    <row r="1768" spans="1:36" x14ac:dyDescent="0.25">
      <c r="A1768" t="s">
        <v>14</v>
      </c>
      <c r="P1768" t="str">
        <f t="shared" si="472"/>
        <v xml:space="preserve">  ..............</v>
      </c>
      <c r="Q1768" t="str">
        <f t="shared" si="472"/>
        <v>.........</v>
      </c>
      <c r="R1768" t="str">
        <f t="shared" si="465"/>
        <v>.........</v>
      </c>
      <c r="S1768" t="str">
        <f t="shared" si="473"/>
        <v>.........</v>
      </c>
      <c r="T1768" t="str">
        <f t="shared" si="474"/>
        <v>.........</v>
      </c>
      <c r="U1768" t="str">
        <f t="shared" si="478"/>
        <v>.............</v>
      </c>
      <c r="V1768" t="str">
        <f t="shared" si="466"/>
        <v>.........</v>
      </c>
      <c r="W1768" t="str">
        <f t="shared" si="475"/>
        <v>.........</v>
      </c>
      <c r="X1768" t="str">
        <f t="shared" si="479"/>
        <v>.......</v>
      </c>
      <c r="Y1768" t="str">
        <f t="shared" si="479"/>
        <v>..............</v>
      </c>
      <c r="Z1768" t="str">
        <f t="shared" si="479"/>
        <v>....</v>
      </c>
      <c r="AA1768" t="str">
        <f t="shared" si="467"/>
        <v>.........</v>
      </c>
      <c r="AB1768" t="str">
        <f t="shared" si="476"/>
        <v>.........</v>
      </c>
      <c r="AC1768" t="str">
        <f t="shared" si="477"/>
        <v>.........</v>
      </c>
      <c r="AD1768" t="str">
        <f t="shared" si="478"/>
        <v>........</v>
      </c>
      <c r="AE1768" t="str">
        <f t="shared" si="468"/>
        <v>.......</v>
      </c>
      <c r="AF1768" t="str">
        <f t="shared" si="480"/>
        <v>.....</v>
      </c>
      <c r="AG1768" t="str">
        <f t="shared" si="480"/>
        <v>..........</v>
      </c>
      <c r="AH1768" t="str">
        <f t="shared" si="469"/>
        <v>..........</v>
      </c>
      <c r="AI1768" t="str">
        <f t="shared" si="470"/>
        <v>.......</v>
      </c>
      <c r="AJ1768" t="str">
        <f t="shared" si="471"/>
        <v>.......</v>
      </c>
    </row>
    <row r="1769" spans="1:36" x14ac:dyDescent="0.25">
      <c r="A1769" t="s">
        <v>1353</v>
      </c>
      <c r="P1769" t="str">
        <f t="shared" si="472"/>
        <v xml:space="preserve">   9965  138  0 </v>
      </c>
      <c r="Q1769" t="str">
        <f t="shared" si="472"/>
        <v xml:space="preserve">   1.009 </v>
      </c>
      <c r="R1769" t="str">
        <f t="shared" si="465"/>
        <v xml:space="preserve">     0.0 </v>
      </c>
      <c r="S1769" t="str">
        <f t="shared" si="473"/>
        <v xml:space="preserve">     0.0 </v>
      </c>
      <c r="T1769" t="str">
        <f t="shared" si="474"/>
        <v xml:space="preserve">    16.8 </v>
      </c>
      <c r="U1769" t="str">
        <f t="shared" si="478"/>
        <v xml:space="preserve">         0.0 </v>
      </c>
      <c r="V1769" t="str">
        <f t="shared" si="466"/>
        <v xml:space="preserve">     0.0 </v>
      </c>
      <c r="W1769" t="str">
        <f t="shared" si="475"/>
        <v xml:space="preserve">     0.0</v>
      </c>
      <c r="X1769" t="str">
        <f t="shared" si="479"/>
        <v/>
      </c>
      <c r="Y1769" t="str">
        <f t="shared" si="479"/>
        <v/>
      </c>
      <c r="Z1769" t="str">
        <f t="shared" si="479"/>
        <v/>
      </c>
      <c r="AA1769" t="str">
        <f t="shared" si="467"/>
        <v/>
      </c>
      <c r="AB1769" t="str">
        <f t="shared" si="476"/>
        <v/>
      </c>
      <c r="AC1769" t="str">
        <f t="shared" si="477"/>
        <v/>
      </c>
      <c r="AD1769" t="str">
        <f t="shared" si="478"/>
        <v/>
      </c>
      <c r="AE1769" t="str">
        <f t="shared" si="468"/>
        <v/>
      </c>
      <c r="AF1769" t="str">
        <f t="shared" si="480"/>
        <v/>
      </c>
      <c r="AG1769" t="str">
        <f t="shared" si="480"/>
        <v/>
      </c>
      <c r="AH1769" t="str">
        <f t="shared" si="469"/>
        <v/>
      </c>
      <c r="AI1769" t="str">
        <f t="shared" si="470"/>
        <v/>
      </c>
      <c r="AJ1769" t="str">
        <f t="shared" si="471"/>
        <v/>
      </c>
    </row>
    <row r="1770" spans="1:36" x14ac:dyDescent="0.25">
      <c r="A1770" t="s">
        <v>1354</v>
      </c>
      <c r="P1770" t="str">
        <f t="shared" si="472"/>
        <v xml:space="preserve">  IVOTI--RS138  </v>
      </c>
      <c r="Q1770" t="str">
        <f t="shared" si="472"/>
        <v xml:space="preserve">   -52.7 </v>
      </c>
      <c r="R1770" t="str">
        <f t="shared" si="465"/>
        <v xml:space="preserve">     0.0 </v>
      </c>
      <c r="S1770" t="str">
        <f t="shared" si="473"/>
        <v xml:space="preserve">     0.0 </v>
      </c>
      <c r="T1770" t="str">
        <f t="shared" si="474"/>
        <v xml:space="preserve">     6.5 </v>
      </c>
      <c r="U1770" t="str">
        <f t="shared" si="478"/>
        <v xml:space="preserve">         0.0 </v>
      </c>
      <c r="V1770" t="str">
        <f t="shared" si="466"/>
        <v xml:space="preserve">     0.0 </v>
      </c>
      <c r="W1770" t="str">
        <f t="shared" si="475"/>
        <v xml:space="preserve">     0.0 </v>
      </c>
      <c r="X1770" t="str">
        <f t="shared" si="479"/>
        <v xml:space="preserve">       </v>
      </c>
      <c r="Y1770" t="str">
        <f t="shared" si="479"/>
        <v xml:space="preserve">              </v>
      </c>
      <c r="Z1770" t="str">
        <f t="shared" si="479"/>
        <v xml:space="preserve">    </v>
      </c>
      <c r="AA1770" t="str">
        <f t="shared" si="467"/>
        <v xml:space="preserve">         </v>
      </c>
      <c r="AB1770" t="str">
        <f t="shared" si="476"/>
        <v xml:space="preserve">         </v>
      </c>
      <c r="AC1770" t="str">
        <f t="shared" si="477"/>
        <v xml:space="preserve">    </v>
      </c>
      <c r="AD1770" t="str">
        <f t="shared" si="478"/>
        <v/>
      </c>
      <c r="AE1770" t="str">
        <f t="shared" si="468"/>
        <v/>
      </c>
      <c r="AF1770" t="str">
        <f t="shared" si="480"/>
        <v/>
      </c>
      <c r="AG1770" t="str">
        <f t="shared" si="480"/>
        <v/>
      </c>
      <c r="AH1770" t="str">
        <f t="shared" si="469"/>
        <v/>
      </c>
      <c r="AI1770" t="str">
        <f t="shared" si="470"/>
        <v/>
      </c>
      <c r="AJ1770" t="str">
        <f t="shared" si="471"/>
        <v/>
      </c>
    </row>
    <row r="1771" spans="1:36" x14ac:dyDescent="0.25">
      <c r="A1771" t="s">
        <v>1355</v>
      </c>
      <c r="P1771" t="str">
        <f t="shared" si="472"/>
        <v xml:space="preserve">                </v>
      </c>
      <c r="Q1771" t="str">
        <f t="shared" si="472"/>
        <v xml:space="preserve">         </v>
      </c>
      <c r="R1771" t="str">
        <f t="shared" si="465"/>
        <v xml:space="preserve">   134.0 </v>
      </c>
      <c r="S1771" t="str">
        <f t="shared" si="473"/>
        <v xml:space="preserve">   162.0 </v>
      </c>
      <c r="T1771" t="str">
        <f t="shared" si="474"/>
        <v xml:space="preserve">   162.0 </v>
      </c>
      <c r="U1771" t="str">
        <f t="shared" si="478"/>
        <v xml:space="preserve">       22.6% </v>
      </c>
      <c r="V1771" t="str">
        <f t="shared" si="466"/>
        <v xml:space="preserve">         </v>
      </c>
      <c r="W1771" t="str">
        <f t="shared" si="475"/>
        <v xml:space="preserve">         </v>
      </c>
      <c r="X1771" t="str">
        <f t="shared" si="479"/>
        <v xml:space="preserve">  1184 </v>
      </c>
      <c r="Y1771" t="str">
        <f t="shared" si="479"/>
        <v xml:space="preserve"> 2IRMAO-RS138 </v>
      </c>
      <c r="Z1771" t="str">
        <f t="shared" si="479"/>
        <v xml:space="preserve">  1 </v>
      </c>
      <c r="AA1771" t="str">
        <f t="shared" si="467"/>
        <v xml:space="preserve">    27.3 </v>
      </c>
      <c r="AB1771" t="str">
        <f t="shared" si="476"/>
        <v xml:space="preserve">    13.9 </v>
      </c>
      <c r="AC1771" t="str">
        <f t="shared" si="477"/>
        <v xml:space="preserve">    30.3 </v>
      </c>
      <c r="AD1771" t="str">
        <f t="shared" si="478"/>
        <v xml:space="preserve">        </v>
      </c>
      <c r="AE1771" t="str">
        <f t="shared" si="468"/>
        <v xml:space="preserve">       </v>
      </c>
      <c r="AF1771" t="str">
        <f t="shared" si="480"/>
        <v xml:space="preserve">     </v>
      </c>
      <c r="AG1771" t="str">
        <f t="shared" si="480"/>
        <v xml:space="preserve">     0.06 </v>
      </c>
      <c r="AH1771" t="str">
        <f t="shared" si="469"/>
        <v xml:space="preserve">    -0.30 </v>
      </c>
      <c r="AI1771" t="str">
        <f t="shared" si="470"/>
        <v xml:space="preserve">       </v>
      </c>
      <c r="AJ1771" t="str">
        <f t="shared" si="471"/>
        <v xml:space="preserve">      </v>
      </c>
    </row>
    <row r="1772" spans="1:36" x14ac:dyDescent="0.25">
      <c r="A1772" t="s">
        <v>1356</v>
      </c>
      <c r="P1772" t="str">
        <f t="shared" si="472"/>
        <v xml:space="preserve">                </v>
      </c>
      <c r="Q1772" t="str">
        <f t="shared" si="472"/>
        <v xml:space="preserve">         </v>
      </c>
      <c r="R1772" t="str">
        <f t="shared" si="465"/>
        <v xml:space="preserve">   134.0 </v>
      </c>
      <c r="S1772" t="str">
        <f t="shared" si="473"/>
        <v xml:space="preserve">   162.0 </v>
      </c>
      <c r="T1772" t="str">
        <f t="shared" si="474"/>
        <v xml:space="preserve">   162.0 </v>
      </c>
      <c r="U1772" t="str">
        <f t="shared" si="478"/>
        <v xml:space="preserve">       22.5% </v>
      </c>
      <c r="V1772" t="str">
        <f t="shared" si="466"/>
        <v xml:space="preserve">         </v>
      </c>
      <c r="W1772" t="str">
        <f t="shared" si="475"/>
        <v xml:space="preserve">         </v>
      </c>
      <c r="X1772" t="str">
        <f t="shared" si="479"/>
        <v xml:space="preserve">  1241 </v>
      </c>
      <c r="Y1772" t="str">
        <f t="shared" si="479"/>
        <v xml:space="preserve"> EVELHA-RS138 </v>
      </c>
      <c r="Z1772" t="str">
        <f t="shared" si="479"/>
        <v xml:space="preserve">  1 </v>
      </c>
      <c r="AA1772" t="str">
        <f t="shared" si="467"/>
        <v xml:space="preserve">    30.4 </v>
      </c>
      <c r="AB1772" t="str">
        <f t="shared" si="476"/>
        <v xml:space="preserve">     1.3 </v>
      </c>
      <c r="AC1772" t="str">
        <f t="shared" si="477"/>
        <v xml:space="preserve">    30.2 </v>
      </c>
      <c r="AD1772" t="str">
        <f t="shared" si="478"/>
        <v xml:space="preserve">        </v>
      </c>
      <c r="AE1772" t="str">
        <f t="shared" si="468"/>
        <v xml:space="preserve">       </v>
      </c>
      <c r="AF1772" t="str">
        <f t="shared" si="480"/>
        <v xml:space="preserve">     </v>
      </c>
      <c r="AG1772" t="str">
        <f t="shared" si="480"/>
        <v xml:space="preserve">     0.02 </v>
      </c>
      <c r="AH1772" t="str">
        <f t="shared" si="469"/>
        <v xml:space="preserve">     0.05 </v>
      </c>
      <c r="AI1772" t="str">
        <f t="shared" si="470"/>
        <v xml:space="preserve">       </v>
      </c>
      <c r="AJ1772" t="str">
        <f t="shared" si="471"/>
        <v xml:space="preserve">      </v>
      </c>
    </row>
    <row r="1773" spans="1:36" x14ac:dyDescent="0.25">
      <c r="A1773" t="s">
        <v>1357</v>
      </c>
      <c r="P1773" t="str">
        <f t="shared" si="472"/>
        <v xml:space="preserve">                </v>
      </c>
      <c r="Q1773" t="str">
        <f t="shared" si="472"/>
        <v xml:space="preserve">         </v>
      </c>
      <c r="R1773" t="str">
        <f t="shared" si="465"/>
        <v xml:space="preserve">   197.0 </v>
      </c>
      <c r="S1773" t="str">
        <f t="shared" si="473"/>
        <v xml:space="preserve">   240.0 </v>
      </c>
      <c r="T1773" t="str">
        <f t="shared" si="474"/>
        <v xml:space="preserve">   240.0 </v>
      </c>
      <c r="U1773" t="str">
        <f t="shared" si="478"/>
        <v xml:space="preserve">       39.0% </v>
      </c>
      <c r="V1773" t="str">
        <f t="shared" si="466"/>
        <v xml:space="preserve">         </v>
      </c>
      <c r="W1773" t="str">
        <f t="shared" si="475"/>
        <v xml:space="preserve">         </v>
      </c>
      <c r="X1773" t="str">
        <f t="shared" si="479"/>
        <v xml:space="preserve"> 10299 </v>
      </c>
      <c r="Y1773" t="str">
        <f t="shared" si="479"/>
        <v xml:space="preserve"> IVOTI2-RS138 </v>
      </c>
      <c r="Z1773" t="str">
        <f t="shared" si="479"/>
        <v xml:space="preserve">  1 </v>
      </c>
      <c r="AA1773" t="str">
        <f t="shared" si="467"/>
        <v xml:space="preserve">   -74.5 </v>
      </c>
      <c r="AB1773" t="str">
        <f t="shared" si="476"/>
        <v xml:space="preserve">   -21.7 </v>
      </c>
      <c r="AC1773" t="str">
        <f t="shared" si="477"/>
        <v xml:space="preserve">    76.9 </v>
      </c>
      <c r="AD1773" t="str">
        <f t="shared" si="478"/>
        <v xml:space="preserve">        </v>
      </c>
      <c r="AE1773" t="str">
        <f t="shared" si="468"/>
        <v xml:space="preserve">       </v>
      </c>
      <c r="AF1773" t="str">
        <f t="shared" si="480"/>
        <v xml:space="preserve">     </v>
      </c>
      <c r="AG1773" t="str">
        <f t="shared" si="480"/>
        <v xml:space="preserve">     0.11 </v>
      </c>
      <c r="AH1773" t="str">
        <f t="shared" si="469"/>
        <v xml:space="preserve">     0.33 </v>
      </c>
      <c r="AI1773" t="str">
        <f t="shared" si="470"/>
        <v xml:space="preserve">       </v>
      </c>
      <c r="AJ1773" t="str">
        <f t="shared" si="471"/>
        <v xml:space="preserve">      </v>
      </c>
    </row>
    <row r="1774" spans="1:36" x14ac:dyDescent="0.25">
      <c r="A1774" t="s">
        <v>14</v>
      </c>
      <c r="P1774" t="str">
        <f t="shared" si="472"/>
        <v xml:space="preserve">  ..............</v>
      </c>
      <c r="Q1774" t="str">
        <f t="shared" si="472"/>
        <v>.........</v>
      </c>
      <c r="R1774" t="str">
        <f t="shared" si="465"/>
        <v>.........</v>
      </c>
      <c r="S1774" t="str">
        <f t="shared" si="473"/>
        <v>.........</v>
      </c>
      <c r="T1774" t="str">
        <f t="shared" si="474"/>
        <v>.........</v>
      </c>
      <c r="U1774" t="str">
        <f t="shared" si="478"/>
        <v>.............</v>
      </c>
      <c r="V1774" t="str">
        <f t="shared" si="466"/>
        <v>.........</v>
      </c>
      <c r="W1774" t="str">
        <f t="shared" si="475"/>
        <v>.........</v>
      </c>
      <c r="X1774" t="str">
        <f t="shared" si="479"/>
        <v>.......</v>
      </c>
      <c r="Y1774" t="str">
        <f t="shared" si="479"/>
        <v>..............</v>
      </c>
      <c r="Z1774" t="str">
        <f t="shared" si="479"/>
        <v>....</v>
      </c>
      <c r="AA1774" t="str">
        <f t="shared" si="467"/>
        <v>.........</v>
      </c>
      <c r="AB1774" t="str">
        <f t="shared" si="476"/>
        <v>.........</v>
      </c>
      <c r="AC1774" t="str">
        <f t="shared" si="477"/>
        <v>.........</v>
      </c>
      <c r="AD1774" t="str">
        <f t="shared" si="478"/>
        <v>........</v>
      </c>
      <c r="AE1774" t="str">
        <f t="shared" si="468"/>
        <v>.......</v>
      </c>
      <c r="AF1774" t="str">
        <f t="shared" si="480"/>
        <v>.....</v>
      </c>
      <c r="AG1774" t="str">
        <f t="shared" si="480"/>
        <v>..........</v>
      </c>
      <c r="AH1774" t="str">
        <f t="shared" si="469"/>
        <v>..........</v>
      </c>
      <c r="AI1774" t="str">
        <f t="shared" si="470"/>
        <v>.......</v>
      </c>
      <c r="AJ1774" t="str">
        <f t="shared" si="471"/>
        <v>.......</v>
      </c>
    </row>
    <row r="1775" spans="1:36" x14ac:dyDescent="0.25">
      <c r="A1775" t="s">
        <v>1358</v>
      </c>
      <c r="P1775" t="str">
        <f t="shared" si="472"/>
        <v xml:space="preserve">   9967   69  0 </v>
      </c>
      <c r="Q1775" t="str">
        <f t="shared" si="472"/>
        <v xml:space="preserve">   1.013 </v>
      </c>
      <c r="R1775" t="str">
        <f t="shared" si="465"/>
        <v xml:space="preserve">     0.0 </v>
      </c>
      <c r="S1775" t="str">
        <f t="shared" si="473"/>
        <v xml:space="preserve">     0.0 </v>
      </c>
      <c r="T1775" t="str">
        <f t="shared" si="474"/>
        <v xml:space="preserve">     0.0 </v>
      </c>
      <c r="U1775" t="str">
        <f t="shared" si="478"/>
        <v xml:space="preserve">         0.0 </v>
      </c>
      <c r="V1775" t="str">
        <f t="shared" si="466"/>
        <v xml:space="preserve">     0.0 </v>
      </c>
      <c r="W1775" t="str">
        <f t="shared" si="475"/>
        <v xml:space="preserve">     0.0</v>
      </c>
      <c r="X1775" t="str">
        <f t="shared" si="479"/>
        <v/>
      </c>
      <c r="Y1775" t="str">
        <f t="shared" si="479"/>
        <v/>
      </c>
      <c r="Z1775" t="str">
        <f t="shared" si="479"/>
        <v/>
      </c>
      <c r="AA1775" t="str">
        <f t="shared" si="467"/>
        <v/>
      </c>
      <c r="AB1775" t="str">
        <f t="shared" si="476"/>
        <v/>
      </c>
      <c r="AC1775" t="str">
        <f t="shared" si="477"/>
        <v/>
      </c>
      <c r="AD1775" t="str">
        <f t="shared" si="478"/>
        <v/>
      </c>
      <c r="AE1775" t="str">
        <f t="shared" si="468"/>
        <v/>
      </c>
      <c r="AF1775" t="str">
        <f t="shared" si="480"/>
        <v/>
      </c>
      <c r="AG1775" t="str">
        <f t="shared" si="480"/>
        <v/>
      </c>
      <c r="AH1775" t="str">
        <f t="shared" si="469"/>
        <v/>
      </c>
      <c r="AI1775" t="str">
        <f t="shared" si="470"/>
        <v/>
      </c>
      <c r="AJ1775" t="str">
        <f t="shared" si="471"/>
        <v/>
      </c>
    </row>
    <row r="1776" spans="1:36" x14ac:dyDescent="0.25">
      <c r="A1776" t="s">
        <v>1359</v>
      </c>
      <c r="P1776" t="str">
        <f t="shared" si="472"/>
        <v xml:space="preserve">  PA16-2TAP069  </v>
      </c>
      <c r="Q1776" t="str">
        <f t="shared" si="472"/>
        <v xml:space="preserve">   -55.1 </v>
      </c>
      <c r="R1776" t="str">
        <f t="shared" si="465"/>
        <v xml:space="preserve">     0.0 </v>
      </c>
      <c r="S1776" t="str">
        <f t="shared" si="473"/>
        <v xml:space="preserve">     0.0 </v>
      </c>
      <c r="T1776" t="str">
        <f t="shared" si="474"/>
        <v xml:space="preserve">     0.0 </v>
      </c>
      <c r="U1776" t="str">
        <f t="shared" si="478"/>
        <v xml:space="preserve">         0.0 </v>
      </c>
      <c r="V1776" t="str">
        <f t="shared" si="466"/>
        <v xml:space="preserve">     0.0 </v>
      </c>
      <c r="W1776" t="str">
        <f t="shared" si="475"/>
        <v xml:space="preserve">     0.0 </v>
      </c>
      <c r="X1776" t="str">
        <f t="shared" si="479"/>
        <v xml:space="preserve">       </v>
      </c>
      <c r="Y1776" t="str">
        <f t="shared" si="479"/>
        <v xml:space="preserve">              </v>
      </c>
      <c r="Z1776" t="str">
        <f t="shared" si="479"/>
        <v xml:space="preserve">    </v>
      </c>
      <c r="AA1776" t="str">
        <f t="shared" si="467"/>
        <v xml:space="preserve">         </v>
      </c>
      <c r="AB1776" t="str">
        <f t="shared" si="476"/>
        <v xml:space="preserve">         </v>
      </c>
      <c r="AC1776" t="str">
        <f t="shared" si="477"/>
        <v xml:space="preserve">    </v>
      </c>
      <c r="AD1776" t="str">
        <f t="shared" si="478"/>
        <v/>
      </c>
      <c r="AE1776" t="str">
        <f t="shared" si="468"/>
        <v/>
      </c>
      <c r="AF1776" t="str">
        <f t="shared" si="480"/>
        <v/>
      </c>
      <c r="AG1776" t="str">
        <f t="shared" si="480"/>
        <v/>
      </c>
      <c r="AH1776" t="str">
        <f t="shared" si="469"/>
        <v/>
      </c>
      <c r="AI1776" t="str">
        <f t="shared" si="470"/>
        <v/>
      </c>
      <c r="AJ1776" t="str">
        <f t="shared" si="471"/>
        <v/>
      </c>
    </row>
    <row r="1777" spans="1:36" x14ac:dyDescent="0.25">
      <c r="A1777" t="s">
        <v>1360</v>
      </c>
      <c r="P1777" t="str">
        <f t="shared" si="472"/>
        <v xml:space="preserve">                </v>
      </c>
      <c r="Q1777" t="str">
        <f t="shared" si="472"/>
        <v xml:space="preserve">         </v>
      </c>
      <c r="R1777" t="str">
        <f t="shared" si="465"/>
        <v xml:space="preserve">    54.0 </v>
      </c>
      <c r="S1777" t="str">
        <f t="shared" si="473"/>
        <v xml:space="preserve">    79.0 </v>
      </c>
      <c r="T1777" t="str">
        <f t="shared" si="474"/>
        <v xml:space="preserve">    79.0 </v>
      </c>
      <c r="U1777" t="str">
        <f t="shared" si="478"/>
        <v xml:space="preserve">       31.4% </v>
      </c>
      <c r="V1777" t="str">
        <f t="shared" si="466"/>
        <v xml:space="preserve">         </v>
      </c>
      <c r="W1777" t="str">
        <f t="shared" si="475"/>
        <v xml:space="preserve">         </v>
      </c>
      <c r="X1777" t="str">
        <f t="shared" si="479"/>
        <v xml:space="preserve">  1262 </v>
      </c>
      <c r="Y1777" t="str">
        <f t="shared" si="479"/>
        <v xml:space="preserve"> PALGR6-RS069 </v>
      </c>
      <c r="Z1777" t="str">
        <f t="shared" si="479"/>
        <v xml:space="preserve">  1 </v>
      </c>
      <c r="AA1777" t="str">
        <f t="shared" si="467"/>
        <v xml:space="preserve">   -17.1 </v>
      </c>
      <c r="AB1777" t="str">
        <f t="shared" si="476"/>
        <v xml:space="preserve">    -1.3 </v>
      </c>
      <c r="AC1777" t="str">
        <f t="shared" si="477"/>
        <v xml:space="preserve">    16.9 </v>
      </c>
      <c r="AD1777" t="str">
        <f t="shared" si="478"/>
        <v xml:space="preserve">        </v>
      </c>
      <c r="AE1777" t="str">
        <f t="shared" si="468"/>
        <v xml:space="preserve">       </v>
      </c>
      <c r="AF1777" t="str">
        <f t="shared" si="480"/>
        <v xml:space="preserve">     </v>
      </c>
      <c r="AG1777" t="str">
        <f t="shared" si="480"/>
        <v xml:space="preserve">     0.05 </v>
      </c>
      <c r="AH1777" t="str">
        <f t="shared" si="469"/>
        <v xml:space="preserve">     0.10 </v>
      </c>
      <c r="AI1777" t="str">
        <f t="shared" si="470"/>
        <v xml:space="preserve">       </v>
      </c>
      <c r="AJ1777" t="str">
        <f t="shared" si="471"/>
        <v xml:space="preserve">      </v>
      </c>
    </row>
    <row r="1778" spans="1:36" x14ac:dyDescent="0.25">
      <c r="A1778" t="s">
        <v>1361</v>
      </c>
      <c r="P1778" t="str">
        <f t="shared" si="472"/>
        <v xml:space="preserve">                </v>
      </c>
      <c r="Q1778" t="str">
        <f t="shared" si="472"/>
        <v xml:space="preserve">         </v>
      </c>
      <c r="R1778" t="str">
        <f t="shared" si="465"/>
        <v xml:space="preserve">    84.0 </v>
      </c>
      <c r="S1778" t="str">
        <f t="shared" si="473"/>
        <v xml:space="preserve">   101.0 </v>
      </c>
      <c r="T1778" t="str">
        <f t="shared" si="474"/>
        <v xml:space="preserve">   101.0 </v>
      </c>
      <c r="U1778" t="str">
        <f t="shared" si="478"/>
        <v xml:space="preserve">       20.2% </v>
      </c>
      <c r="V1778" t="str">
        <f t="shared" si="466"/>
        <v xml:space="preserve">         </v>
      </c>
      <c r="W1778" t="str">
        <f t="shared" si="475"/>
        <v xml:space="preserve">         </v>
      </c>
      <c r="X1778" t="str">
        <f t="shared" si="479"/>
        <v xml:space="preserve">  9269 </v>
      </c>
      <c r="Y1778" t="str">
        <f t="shared" si="479"/>
        <v xml:space="preserve"> PALE16-RS069 </v>
      </c>
      <c r="Z1778" t="str">
        <f t="shared" si="479"/>
        <v xml:space="preserve">  1 </v>
      </c>
      <c r="AA1778" t="str">
        <f t="shared" si="467"/>
        <v xml:space="preserve">    17.1 </v>
      </c>
      <c r="AB1778" t="str">
        <f t="shared" si="476"/>
        <v xml:space="preserve">     1.3 </v>
      </c>
      <c r="AC1778" t="str">
        <f t="shared" si="477"/>
        <v xml:space="preserve">    16.9 </v>
      </c>
      <c r="AD1778" t="str">
        <f t="shared" si="478"/>
        <v xml:space="preserve">        </v>
      </c>
      <c r="AE1778" t="str">
        <f t="shared" si="468"/>
        <v xml:space="preserve">       </v>
      </c>
      <c r="AF1778" t="str">
        <f t="shared" si="480"/>
        <v xml:space="preserve">     </v>
      </c>
      <c r="AG1778" t="str">
        <f t="shared" si="480"/>
        <v xml:space="preserve">     0.03 </v>
      </c>
      <c r="AH1778" t="str">
        <f t="shared" si="469"/>
        <v xml:space="preserve">     0.06 </v>
      </c>
      <c r="AI1778" t="str">
        <f t="shared" si="470"/>
        <v xml:space="preserve">       </v>
      </c>
      <c r="AJ1778" t="str">
        <f t="shared" si="471"/>
        <v xml:space="preserve">      </v>
      </c>
    </row>
    <row r="1779" spans="1:36" x14ac:dyDescent="0.25">
      <c r="A1779" t="s">
        <v>14</v>
      </c>
      <c r="P1779" t="str">
        <f t="shared" si="472"/>
        <v xml:space="preserve">  ..............</v>
      </c>
      <c r="Q1779" t="str">
        <f t="shared" si="472"/>
        <v>.........</v>
      </c>
      <c r="R1779" t="str">
        <f t="shared" si="465"/>
        <v>.........</v>
      </c>
      <c r="S1779" t="str">
        <f t="shared" si="473"/>
        <v>.........</v>
      </c>
      <c r="T1779" t="str">
        <f t="shared" si="474"/>
        <v>.........</v>
      </c>
      <c r="U1779" t="str">
        <f t="shared" si="478"/>
        <v>.............</v>
      </c>
      <c r="V1779" t="str">
        <f t="shared" si="466"/>
        <v>.........</v>
      </c>
      <c r="W1779" t="str">
        <f t="shared" si="475"/>
        <v>.........</v>
      </c>
      <c r="X1779" t="str">
        <f t="shared" si="479"/>
        <v>.......</v>
      </c>
      <c r="Y1779" t="str">
        <f t="shared" si="479"/>
        <v>..............</v>
      </c>
      <c r="Z1779" t="str">
        <f t="shared" si="479"/>
        <v>....</v>
      </c>
      <c r="AA1779" t="str">
        <f t="shared" si="467"/>
        <v>.........</v>
      </c>
      <c r="AB1779" t="str">
        <f t="shared" si="476"/>
        <v>.........</v>
      </c>
      <c r="AC1779" t="str">
        <f t="shared" si="477"/>
        <v>.........</v>
      </c>
      <c r="AD1779" t="str">
        <f t="shared" si="478"/>
        <v>........</v>
      </c>
      <c r="AE1779" t="str">
        <f t="shared" si="468"/>
        <v>.......</v>
      </c>
      <c r="AF1779" t="str">
        <f t="shared" si="480"/>
        <v>.....</v>
      </c>
      <c r="AG1779" t="str">
        <f t="shared" si="480"/>
        <v>..........</v>
      </c>
      <c r="AH1779" t="str">
        <f t="shared" si="469"/>
        <v>..........</v>
      </c>
      <c r="AI1779" t="str">
        <f t="shared" si="470"/>
        <v>.......</v>
      </c>
      <c r="AJ1779" t="str">
        <f t="shared" si="471"/>
        <v>.......</v>
      </c>
    </row>
    <row r="1780" spans="1:36" x14ac:dyDescent="0.25">
      <c r="A1780" t="s">
        <v>1362</v>
      </c>
      <c r="P1780" t="str">
        <f t="shared" si="472"/>
        <v xml:space="preserve">  10007   69  0 </v>
      </c>
      <c r="Q1780" t="str">
        <f t="shared" si="472"/>
        <v xml:space="preserve">   1.016 </v>
      </c>
      <c r="R1780" t="str">
        <f t="shared" si="465"/>
        <v xml:space="preserve">     0.0 </v>
      </c>
      <c r="S1780" t="str">
        <f t="shared" si="473"/>
        <v xml:space="preserve">     0.0 </v>
      </c>
      <c r="T1780" t="str">
        <f t="shared" si="474"/>
        <v xml:space="preserve">     0.0 </v>
      </c>
      <c r="U1780" t="str">
        <f t="shared" si="478"/>
        <v xml:space="preserve">         0.0 </v>
      </c>
      <c r="V1780" t="str">
        <f t="shared" si="466"/>
        <v xml:space="preserve">     0.0 </v>
      </c>
      <c r="W1780" t="str">
        <f t="shared" si="475"/>
        <v xml:space="preserve">     0.0</v>
      </c>
      <c r="X1780" t="str">
        <f t="shared" si="479"/>
        <v/>
      </c>
      <c r="Y1780" t="str">
        <f t="shared" si="479"/>
        <v/>
      </c>
      <c r="Z1780" t="str">
        <f t="shared" si="479"/>
        <v/>
      </c>
      <c r="AA1780" t="str">
        <f t="shared" si="467"/>
        <v/>
      </c>
      <c r="AB1780" t="str">
        <f t="shared" si="476"/>
        <v/>
      </c>
      <c r="AC1780" t="str">
        <f t="shared" si="477"/>
        <v/>
      </c>
      <c r="AD1780" t="str">
        <f t="shared" si="478"/>
        <v/>
      </c>
      <c r="AE1780" t="str">
        <f t="shared" si="468"/>
        <v/>
      </c>
      <c r="AF1780" t="str">
        <f t="shared" si="480"/>
        <v/>
      </c>
      <c r="AG1780" t="str">
        <f t="shared" si="480"/>
        <v/>
      </c>
      <c r="AH1780" t="str">
        <f t="shared" si="469"/>
        <v/>
      </c>
      <c r="AI1780" t="str">
        <f t="shared" si="470"/>
        <v/>
      </c>
      <c r="AJ1780" t="str">
        <f t="shared" si="471"/>
        <v/>
      </c>
    </row>
    <row r="1781" spans="1:36" x14ac:dyDescent="0.25">
      <c r="A1781" t="s">
        <v>1363</v>
      </c>
      <c r="P1781" t="str">
        <f t="shared" si="472"/>
        <v xml:space="preserve">  JBOTAN-RS069  </v>
      </c>
      <c r="Q1781" t="str">
        <f t="shared" si="472"/>
        <v xml:space="preserve">   -54.9 </v>
      </c>
      <c r="R1781" t="str">
        <f t="shared" si="465"/>
        <v xml:space="preserve">     0.0 </v>
      </c>
      <c r="S1781" t="str">
        <f t="shared" si="473"/>
        <v xml:space="preserve">     0.0 </v>
      </c>
      <c r="T1781" t="str">
        <f t="shared" si="474"/>
        <v xml:space="preserve">     0.0 </v>
      </c>
      <c r="U1781" t="str">
        <f t="shared" si="478"/>
        <v xml:space="preserve">         0.0 </v>
      </c>
      <c r="V1781" t="str">
        <f t="shared" si="466"/>
        <v xml:space="preserve">     0.0 </v>
      </c>
      <c r="W1781" t="str">
        <f t="shared" si="475"/>
        <v xml:space="preserve">     0.0 </v>
      </c>
      <c r="X1781" t="str">
        <f t="shared" si="479"/>
        <v xml:space="preserve">       </v>
      </c>
      <c r="Y1781" t="str">
        <f t="shared" si="479"/>
        <v xml:space="preserve">              </v>
      </c>
      <c r="Z1781" t="str">
        <f t="shared" si="479"/>
        <v xml:space="preserve">    </v>
      </c>
      <c r="AA1781" t="str">
        <f t="shared" si="467"/>
        <v xml:space="preserve">         </v>
      </c>
      <c r="AB1781" t="str">
        <f t="shared" si="476"/>
        <v xml:space="preserve">         </v>
      </c>
      <c r="AC1781" t="str">
        <f t="shared" si="477"/>
        <v xml:space="preserve">    </v>
      </c>
      <c r="AD1781" t="str">
        <f t="shared" si="478"/>
        <v/>
      </c>
      <c r="AE1781" t="str">
        <f t="shared" si="468"/>
        <v/>
      </c>
      <c r="AF1781" t="str">
        <f t="shared" si="480"/>
        <v/>
      </c>
      <c r="AG1781" t="str">
        <f t="shared" si="480"/>
        <v/>
      </c>
      <c r="AH1781" t="str">
        <f t="shared" si="469"/>
        <v/>
      </c>
      <c r="AI1781" t="str">
        <f t="shared" si="470"/>
        <v/>
      </c>
      <c r="AJ1781" t="str">
        <f t="shared" si="471"/>
        <v/>
      </c>
    </row>
    <row r="1782" spans="1:36" x14ac:dyDescent="0.25">
      <c r="A1782" t="s">
        <v>1364</v>
      </c>
      <c r="P1782" t="str">
        <f t="shared" si="472"/>
        <v xml:space="preserve">                </v>
      </c>
      <c r="Q1782" t="str">
        <f t="shared" si="472"/>
        <v xml:space="preserve">         </v>
      </c>
      <c r="R1782" t="str">
        <f t="shared" si="465"/>
        <v xml:space="preserve">    84.0 </v>
      </c>
      <c r="S1782" t="str">
        <f t="shared" si="473"/>
        <v xml:space="preserve">   101.0 </v>
      </c>
      <c r="T1782" t="str">
        <f t="shared" si="474"/>
        <v xml:space="preserve">   101.0 </v>
      </c>
      <c r="U1782" t="str">
        <f t="shared" si="478"/>
        <v xml:space="preserve">       73.9% </v>
      </c>
      <c r="V1782" t="str">
        <f t="shared" si="466"/>
        <v xml:space="preserve">         </v>
      </c>
      <c r="W1782" t="str">
        <f t="shared" si="475"/>
        <v xml:space="preserve">         </v>
      </c>
      <c r="X1782" t="str">
        <f t="shared" si="479"/>
        <v xml:space="preserve">  9247 </v>
      </c>
      <c r="Y1782" t="str">
        <f t="shared" si="479"/>
        <v xml:space="preserve"> PAL12--RS069 </v>
      </c>
      <c r="Z1782" t="str">
        <f t="shared" si="479"/>
        <v xml:space="preserve">  1 </v>
      </c>
      <c r="AA1782" t="str">
        <f t="shared" si="467"/>
        <v xml:space="preserve">    62.9 </v>
      </c>
      <c r="AB1782" t="str">
        <f t="shared" si="476"/>
        <v xml:space="preserve">     4.7 </v>
      </c>
      <c r="AC1782" t="str">
        <f t="shared" si="477"/>
        <v xml:space="preserve">    62.1 </v>
      </c>
      <c r="AD1782" t="str">
        <f t="shared" si="478"/>
        <v xml:space="preserve">        </v>
      </c>
      <c r="AE1782" t="str">
        <f t="shared" si="468"/>
        <v xml:space="preserve">       </v>
      </c>
      <c r="AF1782" t="str">
        <f t="shared" si="480"/>
        <v xml:space="preserve">     </v>
      </c>
      <c r="AG1782" t="str">
        <f t="shared" si="480"/>
        <v xml:space="preserve">     0.00 </v>
      </c>
      <c r="AH1782" t="str">
        <f t="shared" si="469"/>
        <v xml:space="preserve">     0.01 </v>
      </c>
      <c r="AI1782" t="str">
        <f t="shared" si="470"/>
        <v xml:space="preserve">       </v>
      </c>
      <c r="AJ1782" t="str">
        <f t="shared" si="471"/>
        <v xml:space="preserve">      </v>
      </c>
    </row>
    <row r="1783" spans="1:36" x14ac:dyDescent="0.25">
      <c r="A1783" t="s">
        <v>1365</v>
      </c>
      <c r="P1783" t="str">
        <f t="shared" si="472"/>
        <v xml:space="preserve">                </v>
      </c>
      <c r="Q1783" t="str">
        <f t="shared" si="472"/>
        <v xml:space="preserve">         </v>
      </c>
      <c r="R1783" t="str">
        <f t="shared" si="465"/>
        <v xml:space="preserve">    84.0 </v>
      </c>
      <c r="S1783" t="str">
        <f t="shared" si="473"/>
        <v xml:space="preserve">   101.0 </v>
      </c>
      <c r="T1783" t="str">
        <f t="shared" si="474"/>
        <v xml:space="preserve">   101.0 </v>
      </c>
      <c r="U1783" t="str">
        <f t="shared" si="478"/>
        <v xml:space="preserve">       12.7% </v>
      </c>
      <c r="V1783" t="str">
        <f t="shared" si="466"/>
        <v xml:space="preserve">         </v>
      </c>
      <c r="W1783" t="str">
        <f t="shared" si="475"/>
        <v xml:space="preserve">         </v>
      </c>
      <c r="X1783" t="str">
        <f t="shared" si="479"/>
        <v xml:space="preserve">  9248 </v>
      </c>
      <c r="Y1783" t="str">
        <f t="shared" si="479"/>
        <v xml:space="preserve"> P12-2Y-RS069 </v>
      </c>
      <c r="Z1783" t="str">
        <f t="shared" si="479"/>
        <v xml:space="preserve">  1 </v>
      </c>
      <c r="AA1783" t="str">
        <f t="shared" si="467"/>
        <v xml:space="preserve">    10.8 </v>
      </c>
      <c r="AB1783" t="str">
        <f t="shared" si="476"/>
        <v xml:space="preserve">    -0.1 </v>
      </c>
      <c r="AC1783" t="str">
        <f t="shared" si="477"/>
        <v xml:space="preserve">    10.6 </v>
      </c>
      <c r="AD1783" t="str">
        <f t="shared" si="478"/>
        <v xml:space="preserve">        </v>
      </c>
      <c r="AE1783" t="str">
        <f t="shared" si="468"/>
        <v xml:space="preserve">       </v>
      </c>
      <c r="AF1783" t="str">
        <f t="shared" si="480"/>
        <v xml:space="preserve">     </v>
      </c>
      <c r="AG1783" t="str">
        <f t="shared" si="480"/>
        <v xml:space="preserve">     0.01 </v>
      </c>
      <c r="AH1783" t="str">
        <f t="shared" si="469"/>
        <v xml:space="preserve">    -0.07 </v>
      </c>
      <c r="AI1783" t="str">
        <f t="shared" si="470"/>
        <v xml:space="preserve">       </v>
      </c>
      <c r="AJ1783" t="str">
        <f t="shared" si="471"/>
        <v xml:space="preserve">      </v>
      </c>
    </row>
    <row r="1784" spans="1:36" x14ac:dyDescent="0.25">
      <c r="A1784" t="s">
        <v>1366</v>
      </c>
      <c r="P1784" t="str">
        <f t="shared" si="472"/>
        <v xml:space="preserve">                </v>
      </c>
      <c r="Q1784" t="str">
        <f t="shared" si="472"/>
        <v xml:space="preserve">         </v>
      </c>
      <c r="R1784" t="str">
        <f t="shared" si="465"/>
        <v xml:space="preserve">    84.0 </v>
      </c>
      <c r="S1784" t="str">
        <f t="shared" si="473"/>
        <v xml:space="preserve">   101.0 </v>
      </c>
      <c r="T1784" t="str">
        <f t="shared" si="474"/>
        <v xml:space="preserve">   101.0 </v>
      </c>
      <c r="U1784" t="str">
        <f t="shared" si="478"/>
        <v xml:space="preserve">       11.9% </v>
      </c>
      <c r="V1784" t="str">
        <f t="shared" si="466"/>
        <v xml:space="preserve">         </v>
      </c>
      <c r="W1784" t="str">
        <f t="shared" si="475"/>
        <v xml:space="preserve">         </v>
      </c>
      <c r="X1784" t="str">
        <f t="shared" si="479"/>
        <v xml:space="preserve">  9249 </v>
      </c>
      <c r="Y1784" t="str">
        <f t="shared" si="479"/>
        <v xml:space="preserve"> P12-1Y-RS069 </v>
      </c>
      <c r="Z1784" t="str">
        <f t="shared" si="479"/>
        <v xml:space="preserve">  1 </v>
      </c>
      <c r="AA1784" t="str">
        <f t="shared" si="467"/>
        <v xml:space="preserve">    -9.9 </v>
      </c>
      <c r="AB1784" t="str">
        <f t="shared" si="476"/>
        <v xml:space="preserve">     2.0 </v>
      </c>
      <c r="AC1784" t="str">
        <f t="shared" si="477"/>
        <v xml:space="preserve">    10.0 </v>
      </c>
      <c r="AD1784" t="str">
        <f t="shared" si="478"/>
        <v xml:space="preserve">        </v>
      </c>
      <c r="AE1784" t="str">
        <f t="shared" si="468"/>
        <v xml:space="preserve">       </v>
      </c>
      <c r="AF1784" t="str">
        <f t="shared" si="480"/>
        <v xml:space="preserve">     </v>
      </c>
      <c r="AG1784" t="str">
        <f t="shared" si="480"/>
        <v xml:space="preserve">     0.00 </v>
      </c>
      <c r="AH1784" t="str">
        <f t="shared" si="469"/>
        <v xml:space="preserve">    -0.07 </v>
      </c>
      <c r="AI1784" t="str">
        <f t="shared" si="470"/>
        <v xml:space="preserve">       </v>
      </c>
      <c r="AJ1784" t="str">
        <f t="shared" si="471"/>
        <v xml:space="preserve">      </v>
      </c>
    </row>
    <row r="1785" spans="1:36" x14ac:dyDescent="0.25">
      <c r="A1785" t="s">
        <v>1367</v>
      </c>
      <c r="P1785" t="str">
        <f t="shared" si="472"/>
        <v xml:space="preserve">                </v>
      </c>
      <c r="Q1785" t="str">
        <f t="shared" si="472"/>
        <v xml:space="preserve">         </v>
      </c>
      <c r="R1785" t="str">
        <f t="shared" si="465"/>
        <v xml:space="preserve">   100.0 </v>
      </c>
      <c r="S1785" t="str">
        <f t="shared" si="473"/>
        <v xml:space="preserve">   100.0 </v>
      </c>
      <c r="T1785" t="str">
        <f t="shared" si="474"/>
        <v xml:space="preserve">   100.0 </v>
      </c>
      <c r="U1785" t="str">
        <f t="shared" si="478"/>
        <v xml:space="preserve">       38.3% </v>
      </c>
      <c r="V1785" t="str">
        <f t="shared" si="466"/>
        <v xml:space="preserve">         </v>
      </c>
      <c r="W1785" t="str">
        <f t="shared" si="475"/>
        <v xml:space="preserve">         </v>
      </c>
      <c r="X1785" t="str">
        <f t="shared" si="479"/>
        <v xml:space="preserve">  9267 </v>
      </c>
      <c r="Y1785" t="str">
        <f t="shared" si="479"/>
        <v xml:space="preserve"> PALEG5-RS069 </v>
      </c>
      <c r="Z1785" t="str">
        <f t="shared" si="479"/>
        <v xml:space="preserve">  1 </v>
      </c>
      <c r="AA1785" t="str">
        <f t="shared" si="467"/>
        <v xml:space="preserve">    38.2 </v>
      </c>
      <c r="AB1785" t="str">
        <f t="shared" si="476"/>
        <v xml:space="preserve">    -7.1 </v>
      </c>
      <c r="AC1785" t="str">
        <f t="shared" si="477"/>
        <v xml:space="preserve">    38.3 </v>
      </c>
      <c r="AD1785" t="str">
        <f t="shared" si="478"/>
        <v xml:space="preserve">        </v>
      </c>
      <c r="AE1785" t="str">
        <f t="shared" si="468"/>
        <v xml:space="preserve">       </v>
      </c>
      <c r="AF1785" t="str">
        <f t="shared" si="480"/>
        <v xml:space="preserve">     </v>
      </c>
      <c r="AG1785" t="str">
        <f t="shared" si="480"/>
        <v xml:space="preserve">     0.04 </v>
      </c>
      <c r="AH1785" t="str">
        <f t="shared" si="469"/>
        <v xml:space="preserve">    -2.09 </v>
      </c>
      <c r="AI1785" t="str">
        <f t="shared" si="470"/>
        <v xml:space="preserve">       </v>
      </c>
      <c r="AJ1785" t="str">
        <f t="shared" si="471"/>
        <v xml:space="preserve">      </v>
      </c>
    </row>
    <row r="1786" spans="1:36" x14ac:dyDescent="0.25">
      <c r="A1786" t="s">
        <v>1368</v>
      </c>
      <c r="P1786" t="str">
        <f t="shared" si="472"/>
        <v xml:space="preserve">                </v>
      </c>
      <c r="Q1786" t="str">
        <f t="shared" si="472"/>
        <v xml:space="preserve">         </v>
      </c>
      <c r="R1786" t="str">
        <f t="shared" si="465"/>
        <v xml:space="preserve">    50.0 </v>
      </c>
      <c r="S1786" t="str">
        <f t="shared" si="473"/>
        <v xml:space="preserve">    50.0 </v>
      </c>
      <c r="T1786" t="str">
        <f t="shared" si="474"/>
        <v xml:space="preserve">    50.0 </v>
      </c>
      <c r="U1786" t="str">
        <f t="shared" si="478"/>
        <v xml:space="preserve">       17.9% </v>
      </c>
      <c r="V1786" t="str">
        <f t="shared" si="466"/>
        <v xml:space="preserve">         </v>
      </c>
      <c r="W1786" t="str">
        <f t="shared" si="475"/>
        <v xml:space="preserve">         </v>
      </c>
      <c r="X1786" t="str">
        <f t="shared" si="479"/>
        <v xml:space="preserve">  9306 </v>
      </c>
      <c r="Y1786" t="str">
        <f t="shared" si="479"/>
        <v xml:space="preserve"> SHIGUA-RS069 </v>
      </c>
      <c r="Z1786" t="str">
        <f t="shared" si="479"/>
        <v xml:space="preserve">  1 </v>
      </c>
      <c r="AA1786" t="str">
        <f t="shared" si="467"/>
        <v xml:space="preserve">     8.6 </v>
      </c>
      <c r="AB1786" t="str">
        <f t="shared" si="476"/>
        <v xml:space="preserve">     2.9 </v>
      </c>
      <c r="AC1786" t="str">
        <f t="shared" si="477"/>
        <v xml:space="preserve">     8.9 </v>
      </c>
      <c r="AD1786" t="str">
        <f t="shared" si="478"/>
        <v xml:space="preserve">        </v>
      </c>
      <c r="AE1786" t="str">
        <f t="shared" si="468"/>
        <v xml:space="preserve">       </v>
      </c>
      <c r="AF1786" t="str">
        <f t="shared" si="480"/>
        <v xml:space="preserve">     </v>
      </c>
      <c r="AG1786" t="str">
        <f t="shared" si="480"/>
        <v xml:space="preserve">     0.01 </v>
      </c>
      <c r="AH1786" t="str">
        <f t="shared" si="469"/>
        <v xml:space="preserve">    -0.69 </v>
      </c>
      <c r="AI1786" t="str">
        <f t="shared" si="470"/>
        <v xml:space="preserve">       </v>
      </c>
      <c r="AJ1786" t="str">
        <f t="shared" si="471"/>
        <v xml:space="preserve">      </v>
      </c>
    </row>
    <row r="1787" spans="1:36" x14ac:dyDescent="0.25">
      <c r="A1787" t="s">
        <v>1369</v>
      </c>
      <c r="P1787" t="str">
        <f t="shared" si="472"/>
        <v xml:space="preserve">                </v>
      </c>
      <c r="Q1787" t="str">
        <f t="shared" si="472"/>
        <v xml:space="preserve">         </v>
      </c>
      <c r="R1787" t="str">
        <f t="shared" si="465"/>
        <v xml:space="preserve">    83.0 </v>
      </c>
      <c r="S1787" t="str">
        <f t="shared" si="473"/>
        <v xml:space="preserve">   100.0 </v>
      </c>
      <c r="T1787" t="str">
        <f t="shared" si="474"/>
        <v xml:space="preserve">   100.0 </v>
      </c>
      <c r="U1787" t="str">
        <f t="shared" si="478"/>
        <v xml:space="preserve">       43.7% </v>
      </c>
      <c r="V1787" t="str">
        <f t="shared" si="466"/>
        <v xml:space="preserve">         </v>
      </c>
      <c r="W1787" t="str">
        <f t="shared" si="475"/>
        <v xml:space="preserve">         </v>
      </c>
      <c r="X1787" t="str">
        <f t="shared" si="479"/>
        <v xml:space="preserve"> 43841 </v>
      </c>
      <c r="Y1787" t="str">
        <f t="shared" si="479"/>
        <v xml:space="preserve"> JBOT-3-RS000 </v>
      </c>
      <c r="Z1787" t="str">
        <f t="shared" si="479"/>
        <v xml:space="preserve">  3 </v>
      </c>
      <c r="AA1787" t="str">
        <f t="shared" si="467"/>
        <v xml:space="preserve">   -36.8 </v>
      </c>
      <c r="AB1787" t="str">
        <f t="shared" si="476"/>
        <v xml:space="preserve">    -0.8 </v>
      </c>
      <c r="AC1787" t="str">
        <f t="shared" si="477"/>
        <v xml:space="preserve">    36.3 </v>
      </c>
      <c r="AD1787" t="str">
        <f t="shared" si="478"/>
        <v xml:space="preserve"> 1.000F </v>
      </c>
      <c r="AE1787" t="str">
        <f t="shared" si="468"/>
        <v xml:space="preserve">       </v>
      </c>
      <c r="AF1787" t="str">
        <f t="shared" si="480"/>
        <v xml:space="preserve"> 002 </v>
      </c>
      <c r="AG1787" t="str">
        <f t="shared" si="480"/>
        <v xml:space="preserve">     0.02 </v>
      </c>
      <c r="AH1787" t="str">
        <f t="shared" si="469"/>
        <v xml:space="preserve">    -0.13 </v>
      </c>
      <c r="AI1787" t="str">
        <f t="shared" si="470"/>
        <v xml:space="preserve">       </v>
      </c>
      <c r="AJ1787" t="str">
        <f t="shared" si="471"/>
        <v xml:space="preserve">      </v>
      </c>
    </row>
    <row r="1788" spans="1:36" x14ac:dyDescent="0.25">
      <c r="A1788" t="s">
        <v>1370</v>
      </c>
      <c r="P1788" t="str">
        <f t="shared" si="472"/>
        <v xml:space="preserve">                </v>
      </c>
      <c r="Q1788" t="str">
        <f t="shared" si="472"/>
        <v xml:space="preserve">         </v>
      </c>
      <c r="R1788" t="str">
        <f t="shared" si="465"/>
        <v xml:space="preserve">    83.0 </v>
      </c>
      <c r="S1788" t="str">
        <f t="shared" si="473"/>
        <v xml:space="preserve">   100.0 </v>
      </c>
      <c r="T1788" t="str">
        <f t="shared" si="474"/>
        <v xml:space="preserve">   100.0 </v>
      </c>
      <c r="U1788" t="str">
        <f t="shared" si="478"/>
        <v xml:space="preserve">       43.8% </v>
      </c>
      <c r="V1788" t="str">
        <f t="shared" si="466"/>
        <v xml:space="preserve">         </v>
      </c>
      <c r="W1788" t="str">
        <f t="shared" si="475"/>
        <v xml:space="preserve">         </v>
      </c>
      <c r="X1788" t="str">
        <f t="shared" si="479"/>
        <v xml:space="preserve"> 43925 </v>
      </c>
      <c r="Y1788" t="str">
        <f t="shared" si="479"/>
        <v xml:space="preserve"> JBOT-2-RS000 </v>
      </c>
      <c r="Z1788" t="str">
        <f t="shared" si="479"/>
        <v xml:space="preserve">  2 </v>
      </c>
      <c r="AA1788" t="str">
        <f t="shared" si="467"/>
        <v xml:space="preserve">   -37.0 </v>
      </c>
      <c r="AB1788" t="str">
        <f t="shared" si="476"/>
        <v xml:space="preserve">    -0.8 </v>
      </c>
      <c r="AC1788" t="str">
        <f t="shared" si="477"/>
        <v xml:space="preserve">    36.4 </v>
      </c>
      <c r="AD1788" t="str">
        <f t="shared" si="478"/>
        <v xml:space="preserve"> 1.000F </v>
      </c>
      <c r="AE1788" t="str">
        <f t="shared" si="468"/>
        <v xml:space="preserve">       </v>
      </c>
      <c r="AF1788" t="str">
        <f t="shared" si="480"/>
        <v xml:space="preserve"> 002 </v>
      </c>
      <c r="AG1788" t="str">
        <f t="shared" si="480"/>
        <v xml:space="preserve">     0.02 </v>
      </c>
      <c r="AH1788" t="str">
        <f t="shared" si="469"/>
        <v xml:space="preserve">    -0.13 </v>
      </c>
      <c r="AI1788" t="str">
        <f t="shared" si="470"/>
        <v xml:space="preserve">       </v>
      </c>
      <c r="AJ1788" t="str">
        <f t="shared" si="471"/>
        <v xml:space="preserve">      </v>
      </c>
    </row>
    <row r="1789" spans="1:36" x14ac:dyDescent="0.25">
      <c r="A1789" t="s">
        <v>1371</v>
      </c>
      <c r="P1789" t="str">
        <f t="shared" si="472"/>
        <v xml:space="preserve">                </v>
      </c>
      <c r="Q1789" t="str">
        <f t="shared" si="472"/>
        <v xml:space="preserve">         </v>
      </c>
      <c r="R1789" t="str">
        <f t="shared" si="465"/>
        <v xml:space="preserve">    83.0 </v>
      </c>
      <c r="S1789" t="str">
        <f t="shared" si="473"/>
        <v xml:space="preserve">   100.0 </v>
      </c>
      <c r="T1789" t="str">
        <f t="shared" si="474"/>
        <v xml:space="preserve">   100.0 </v>
      </c>
      <c r="U1789" t="str">
        <f t="shared" si="478"/>
        <v xml:space="preserve">       43.7% </v>
      </c>
      <c r="V1789" t="str">
        <f t="shared" si="466"/>
        <v xml:space="preserve">         </v>
      </c>
      <c r="W1789" t="str">
        <f t="shared" si="475"/>
        <v xml:space="preserve">         </v>
      </c>
      <c r="X1789" t="str">
        <f t="shared" si="479"/>
        <v xml:space="preserve"> 43927 </v>
      </c>
      <c r="Y1789" t="str">
        <f t="shared" si="479"/>
        <v xml:space="preserve"> JBOT-1-RS000 </v>
      </c>
      <c r="Z1789" t="str">
        <f t="shared" si="479"/>
        <v xml:space="preserve">  1 </v>
      </c>
      <c r="AA1789" t="str">
        <f t="shared" si="467"/>
        <v xml:space="preserve">   -36.8 </v>
      </c>
      <c r="AB1789" t="str">
        <f t="shared" si="476"/>
        <v xml:space="preserve">    -0.9 </v>
      </c>
      <c r="AC1789" t="str">
        <f t="shared" si="477"/>
        <v xml:space="preserve">    36.3 </v>
      </c>
      <c r="AD1789" t="str">
        <f t="shared" si="478"/>
        <v xml:space="preserve"> 1.000F </v>
      </c>
      <c r="AE1789" t="str">
        <f t="shared" si="468"/>
        <v xml:space="preserve">       </v>
      </c>
      <c r="AF1789" t="str">
        <f t="shared" si="480"/>
        <v xml:space="preserve"> 002 </v>
      </c>
      <c r="AG1789" t="str">
        <f t="shared" si="480"/>
        <v xml:space="preserve">     0.02 </v>
      </c>
      <c r="AH1789" t="str">
        <f t="shared" si="469"/>
        <v xml:space="preserve">    -0.13 </v>
      </c>
      <c r="AI1789" t="str">
        <f t="shared" si="470"/>
        <v xml:space="preserve">       </v>
      </c>
      <c r="AJ1789" t="str">
        <f t="shared" si="471"/>
        <v xml:space="preserve">      </v>
      </c>
    </row>
    <row r="1790" spans="1:36" x14ac:dyDescent="0.25">
      <c r="A1790" t="s">
        <v>14</v>
      </c>
      <c r="P1790" t="str">
        <f t="shared" si="472"/>
        <v xml:space="preserve">  ..............</v>
      </c>
      <c r="Q1790" t="str">
        <f t="shared" si="472"/>
        <v>.........</v>
      </c>
      <c r="R1790" t="str">
        <f t="shared" si="465"/>
        <v>.........</v>
      </c>
      <c r="S1790" t="str">
        <f t="shared" si="473"/>
        <v>.........</v>
      </c>
      <c r="T1790" t="str">
        <f t="shared" si="474"/>
        <v>.........</v>
      </c>
      <c r="U1790" t="str">
        <f t="shared" si="478"/>
        <v>.............</v>
      </c>
      <c r="V1790" t="str">
        <f t="shared" si="466"/>
        <v>.........</v>
      </c>
      <c r="W1790" t="str">
        <f t="shared" si="475"/>
        <v>.........</v>
      </c>
      <c r="X1790" t="str">
        <f t="shared" si="479"/>
        <v>.......</v>
      </c>
      <c r="Y1790" t="str">
        <f t="shared" si="479"/>
        <v>..............</v>
      </c>
      <c r="Z1790" t="str">
        <f t="shared" si="479"/>
        <v>....</v>
      </c>
      <c r="AA1790" t="str">
        <f t="shared" si="467"/>
        <v>.........</v>
      </c>
      <c r="AB1790" t="str">
        <f t="shared" si="476"/>
        <v>.........</v>
      </c>
      <c r="AC1790" t="str">
        <f t="shared" si="477"/>
        <v>.........</v>
      </c>
      <c r="AD1790" t="str">
        <f t="shared" si="478"/>
        <v>........</v>
      </c>
      <c r="AE1790" t="str">
        <f t="shared" si="468"/>
        <v>.......</v>
      </c>
      <c r="AF1790" t="str">
        <f t="shared" si="480"/>
        <v>.....</v>
      </c>
      <c r="AG1790" t="str">
        <f t="shared" si="480"/>
        <v>..........</v>
      </c>
      <c r="AH1790" t="str">
        <f t="shared" si="469"/>
        <v>..........</v>
      </c>
      <c r="AI1790" t="str">
        <f t="shared" si="470"/>
        <v>.......</v>
      </c>
      <c r="AJ1790" t="str">
        <f t="shared" si="471"/>
        <v>.......</v>
      </c>
    </row>
    <row r="1791" spans="1:36" x14ac:dyDescent="0.25">
      <c r="A1791" t="s">
        <v>1372</v>
      </c>
      <c r="P1791" t="str">
        <f t="shared" si="472"/>
        <v xml:space="preserve">  10022   69  0 </v>
      </c>
      <c r="Q1791" t="str">
        <f t="shared" si="472"/>
        <v xml:space="preserve">   1.007 </v>
      </c>
      <c r="R1791" t="str">
        <f t="shared" si="465"/>
        <v xml:space="preserve">     0.0 </v>
      </c>
      <c r="S1791" t="str">
        <f t="shared" si="473"/>
        <v xml:space="preserve">     0.0 </v>
      </c>
      <c r="T1791" t="str">
        <f t="shared" si="474"/>
        <v xml:space="preserve">     0.0 </v>
      </c>
      <c r="U1791" t="str">
        <f t="shared" si="478"/>
        <v xml:space="preserve">         0.0 </v>
      </c>
      <c r="V1791" t="str">
        <f t="shared" si="466"/>
        <v xml:space="preserve">     0.0 </v>
      </c>
      <c r="W1791" t="str">
        <f t="shared" si="475"/>
        <v xml:space="preserve">     0.0</v>
      </c>
      <c r="X1791" t="str">
        <f t="shared" si="479"/>
        <v/>
      </c>
      <c r="Y1791" t="str">
        <f t="shared" si="479"/>
        <v/>
      </c>
      <c r="Z1791" t="str">
        <f t="shared" si="479"/>
        <v/>
      </c>
      <c r="AA1791" t="str">
        <f t="shared" si="467"/>
        <v/>
      </c>
      <c r="AB1791" t="str">
        <f t="shared" si="476"/>
        <v/>
      </c>
      <c r="AC1791" t="str">
        <f t="shared" si="477"/>
        <v/>
      </c>
      <c r="AD1791" t="str">
        <f t="shared" si="478"/>
        <v/>
      </c>
      <c r="AE1791" t="str">
        <f t="shared" si="468"/>
        <v/>
      </c>
      <c r="AF1791" t="str">
        <f t="shared" si="480"/>
        <v/>
      </c>
      <c r="AG1791" t="str">
        <f t="shared" si="480"/>
        <v/>
      </c>
      <c r="AH1791" t="str">
        <f t="shared" si="469"/>
        <v/>
      </c>
      <c r="AI1791" t="str">
        <f t="shared" si="470"/>
        <v/>
      </c>
      <c r="AJ1791" t="str">
        <f t="shared" si="471"/>
        <v/>
      </c>
    </row>
    <row r="1792" spans="1:36" x14ac:dyDescent="0.25">
      <c r="A1792" t="s">
        <v>1373</v>
      </c>
      <c r="P1792" t="str">
        <f t="shared" si="472"/>
        <v xml:space="preserve">  COOLUZ-RS069  </v>
      </c>
      <c r="Q1792" t="str">
        <f t="shared" si="472"/>
        <v xml:space="preserve">   -48.3 </v>
      </c>
      <c r="R1792" t="str">
        <f t="shared" si="465"/>
        <v xml:space="preserve">     0.0 </v>
      </c>
      <c r="S1792" t="str">
        <f t="shared" si="473"/>
        <v xml:space="preserve">     0.0 </v>
      </c>
      <c r="T1792" t="str">
        <f t="shared" si="474"/>
        <v xml:space="preserve">     0.0 </v>
      </c>
      <c r="U1792" t="str">
        <f t="shared" si="478"/>
        <v xml:space="preserve">         0.0 </v>
      </c>
      <c r="V1792" t="str">
        <f t="shared" si="466"/>
        <v xml:space="preserve">     0.0 </v>
      </c>
      <c r="W1792" t="str">
        <f t="shared" si="475"/>
        <v xml:space="preserve">     0.0 </v>
      </c>
      <c r="X1792" t="str">
        <f t="shared" si="479"/>
        <v xml:space="preserve">       </v>
      </c>
      <c r="Y1792" t="str">
        <f t="shared" si="479"/>
        <v xml:space="preserve">              </v>
      </c>
      <c r="Z1792" t="str">
        <f t="shared" si="479"/>
        <v xml:space="preserve">    </v>
      </c>
      <c r="AA1792" t="str">
        <f t="shared" si="467"/>
        <v xml:space="preserve">         </v>
      </c>
      <c r="AB1792" t="str">
        <f t="shared" si="476"/>
        <v xml:space="preserve">         </v>
      </c>
      <c r="AC1792" t="str">
        <f t="shared" si="477"/>
        <v xml:space="preserve">    </v>
      </c>
      <c r="AD1792" t="str">
        <f t="shared" si="478"/>
        <v/>
      </c>
      <c r="AE1792" t="str">
        <f t="shared" si="468"/>
        <v/>
      </c>
      <c r="AF1792" t="str">
        <f t="shared" si="480"/>
        <v/>
      </c>
      <c r="AG1792" t="str">
        <f t="shared" si="480"/>
        <v/>
      </c>
      <c r="AH1792" t="str">
        <f t="shared" si="469"/>
        <v/>
      </c>
      <c r="AI1792" t="str">
        <f t="shared" si="470"/>
        <v/>
      </c>
      <c r="AJ1792" t="str">
        <f t="shared" si="471"/>
        <v/>
      </c>
    </row>
    <row r="1793" spans="1:36" x14ac:dyDescent="0.25">
      <c r="A1793" t="s">
        <v>1374</v>
      </c>
      <c r="P1793" t="str">
        <f t="shared" si="472"/>
        <v xml:space="preserve">                </v>
      </c>
      <c r="Q1793" t="str">
        <f t="shared" si="472"/>
        <v xml:space="preserve">         </v>
      </c>
      <c r="R1793" t="str">
        <f t="shared" si="465"/>
        <v xml:space="preserve">    60.0 </v>
      </c>
      <c r="S1793" t="str">
        <f t="shared" si="473"/>
        <v xml:space="preserve">    70.0 </v>
      </c>
      <c r="T1793" t="str">
        <f t="shared" si="474"/>
        <v xml:space="preserve">    70.0 </v>
      </c>
      <c r="U1793" t="str">
        <f t="shared" si="478"/>
        <v xml:space="preserve">       19.5% </v>
      </c>
      <c r="V1793" t="str">
        <f t="shared" si="466"/>
        <v xml:space="preserve">         </v>
      </c>
      <c r="W1793" t="str">
        <f t="shared" si="475"/>
        <v xml:space="preserve">         </v>
      </c>
      <c r="X1793" t="str">
        <f t="shared" si="479"/>
        <v xml:space="preserve">  1282 </v>
      </c>
      <c r="Y1793" t="str">
        <f t="shared" si="479"/>
        <v xml:space="preserve"> SROSA--RS069 </v>
      </c>
      <c r="Z1793" t="str">
        <f t="shared" si="479"/>
        <v xml:space="preserve">  1 </v>
      </c>
      <c r="AA1793" t="str">
        <f t="shared" si="467"/>
        <v xml:space="preserve">   -10.9 </v>
      </c>
      <c r="AB1793" t="str">
        <f t="shared" si="476"/>
        <v xml:space="preserve">    -4.5 </v>
      </c>
      <c r="AC1793" t="str">
        <f t="shared" si="477"/>
        <v xml:space="preserve">    11.7 </v>
      </c>
      <c r="AD1793" t="str">
        <f t="shared" si="478"/>
        <v xml:space="preserve">        </v>
      </c>
      <c r="AE1793" t="str">
        <f t="shared" si="468"/>
        <v xml:space="preserve">       </v>
      </c>
      <c r="AF1793" t="str">
        <f t="shared" si="480"/>
        <v xml:space="preserve">     </v>
      </c>
      <c r="AG1793" t="str">
        <f t="shared" si="480"/>
        <v xml:space="preserve">     0.01 </v>
      </c>
      <c r="AH1793" t="str">
        <f t="shared" si="469"/>
        <v xml:space="preserve">    -0.01 </v>
      </c>
      <c r="AI1793" t="str">
        <f t="shared" si="470"/>
        <v xml:space="preserve">       </v>
      </c>
      <c r="AJ1793" t="str">
        <f t="shared" si="471"/>
        <v xml:space="preserve">      </v>
      </c>
    </row>
    <row r="1794" spans="1:36" x14ac:dyDescent="0.25">
      <c r="A1794" t="s">
        <v>1375</v>
      </c>
      <c r="P1794" t="str">
        <f t="shared" si="472"/>
        <v xml:space="preserve">                </v>
      </c>
      <c r="Q1794" t="str">
        <f t="shared" si="472"/>
        <v xml:space="preserve">         </v>
      </c>
      <c r="R1794" t="str">
        <f t="shared" si="465"/>
        <v xml:space="preserve">    20.0 </v>
      </c>
      <c r="S1794" t="str">
        <f t="shared" si="473"/>
        <v xml:space="preserve">    20.0 </v>
      </c>
      <c r="T1794" t="str">
        <f t="shared" si="474"/>
        <v xml:space="preserve">    20.0 </v>
      </c>
      <c r="U1794" t="str">
        <f t="shared" si="478"/>
        <v xml:space="preserve">       58.6% </v>
      </c>
      <c r="V1794" t="str">
        <f t="shared" si="466"/>
        <v xml:space="preserve">         </v>
      </c>
      <c r="W1794" t="str">
        <f t="shared" si="475"/>
        <v xml:space="preserve">         </v>
      </c>
      <c r="X1794" t="str">
        <f t="shared" si="479"/>
        <v xml:space="preserve"> 10023 </v>
      </c>
      <c r="Y1794" t="str">
        <f t="shared" si="479"/>
        <v xml:space="preserve"> COOLUZ-RS023 </v>
      </c>
      <c r="Z1794" t="str">
        <f t="shared" si="479"/>
        <v xml:space="preserve">  1 </v>
      </c>
      <c r="AA1794" t="str">
        <f t="shared" si="467"/>
        <v xml:space="preserve">    10.9 </v>
      </c>
      <c r="AB1794" t="str">
        <f t="shared" si="476"/>
        <v xml:space="preserve">     4.5 </v>
      </c>
      <c r="AC1794" t="str">
        <f t="shared" si="477"/>
        <v xml:space="preserve">    11.7 </v>
      </c>
      <c r="AD1794" t="str">
        <f t="shared" si="478"/>
        <v xml:space="preserve"> 0.974* </v>
      </c>
      <c r="AE1794" t="str">
        <f t="shared" si="468"/>
        <v xml:space="preserve">       </v>
      </c>
      <c r="AF1794" t="str">
        <f t="shared" si="480"/>
        <v xml:space="preserve">     </v>
      </c>
      <c r="AG1794" t="str">
        <f t="shared" si="480"/>
        <v xml:space="preserve">     0.00 </v>
      </c>
      <c r="AH1794" t="str">
        <f t="shared" si="469"/>
        <v xml:space="preserve">     0.52 </v>
      </c>
      <c r="AI1794" t="str">
        <f t="shared" si="470"/>
        <v xml:space="preserve">       </v>
      </c>
      <c r="AJ1794" t="str">
        <f t="shared" si="471"/>
        <v xml:space="preserve">      </v>
      </c>
    </row>
    <row r="1795" spans="1:36" x14ac:dyDescent="0.25">
      <c r="A1795" t="s">
        <v>14</v>
      </c>
      <c r="P1795" t="str">
        <f t="shared" si="472"/>
        <v xml:space="preserve">  ..............</v>
      </c>
      <c r="Q1795" t="str">
        <f t="shared" si="472"/>
        <v>.........</v>
      </c>
      <c r="R1795" t="str">
        <f t="shared" si="465"/>
        <v>.........</v>
      </c>
      <c r="S1795" t="str">
        <f t="shared" si="473"/>
        <v>.........</v>
      </c>
      <c r="T1795" t="str">
        <f t="shared" si="474"/>
        <v>.........</v>
      </c>
      <c r="U1795" t="str">
        <f t="shared" si="478"/>
        <v>.............</v>
      </c>
      <c r="V1795" t="str">
        <f t="shared" si="466"/>
        <v>.........</v>
      </c>
      <c r="W1795" t="str">
        <f t="shared" si="475"/>
        <v>.........</v>
      </c>
      <c r="X1795" t="str">
        <f t="shared" si="479"/>
        <v>.......</v>
      </c>
      <c r="Y1795" t="str">
        <f t="shared" si="479"/>
        <v>..............</v>
      </c>
      <c r="Z1795" t="str">
        <f t="shared" si="479"/>
        <v>....</v>
      </c>
      <c r="AA1795" t="str">
        <f t="shared" si="467"/>
        <v>.........</v>
      </c>
      <c r="AB1795" t="str">
        <f t="shared" si="476"/>
        <v>.........</v>
      </c>
      <c r="AC1795" t="str">
        <f t="shared" si="477"/>
        <v>.........</v>
      </c>
      <c r="AD1795" t="str">
        <f t="shared" si="478"/>
        <v>........</v>
      </c>
      <c r="AE1795" t="str">
        <f t="shared" si="468"/>
        <v>.......</v>
      </c>
      <c r="AF1795" t="str">
        <f t="shared" si="480"/>
        <v>.....</v>
      </c>
      <c r="AG1795" t="str">
        <f t="shared" si="480"/>
        <v>..........</v>
      </c>
      <c r="AH1795" t="str">
        <f t="shared" si="469"/>
        <v>..........</v>
      </c>
      <c r="AI1795" t="str">
        <f t="shared" si="470"/>
        <v>.......</v>
      </c>
      <c r="AJ1795" t="str">
        <f t="shared" si="471"/>
        <v>.......</v>
      </c>
    </row>
    <row r="1796" spans="1:36" x14ac:dyDescent="0.25">
      <c r="A1796" t="s">
        <v>1376</v>
      </c>
      <c r="P1796" t="str">
        <f t="shared" si="472"/>
        <v xml:space="preserve">  10023   23  0 </v>
      </c>
      <c r="Q1796" t="str">
        <f t="shared" si="472"/>
        <v xml:space="preserve">   1.017 </v>
      </c>
      <c r="R1796" t="str">
        <f t="shared" si="465"/>
        <v xml:space="preserve">     4.0 </v>
      </c>
      <c r="S1796" t="str">
        <f t="shared" si="473"/>
        <v xml:space="preserve">     0.0 </v>
      </c>
      <c r="T1796" t="str">
        <f t="shared" si="474"/>
        <v xml:space="preserve">    14.9 </v>
      </c>
      <c r="U1796" t="str">
        <f t="shared" si="478"/>
        <v xml:space="preserve">         0.0 </v>
      </c>
      <c r="V1796" t="str">
        <f t="shared" si="466"/>
        <v xml:space="preserve">     0.0 </v>
      </c>
      <c r="W1796" t="str">
        <f t="shared" si="475"/>
        <v xml:space="preserve">     0.0</v>
      </c>
      <c r="X1796" t="str">
        <f t="shared" si="479"/>
        <v/>
      </c>
      <c r="Y1796" t="str">
        <f t="shared" si="479"/>
        <v/>
      </c>
      <c r="Z1796" t="str">
        <f t="shared" si="479"/>
        <v/>
      </c>
      <c r="AA1796" t="str">
        <f t="shared" si="467"/>
        <v/>
      </c>
      <c r="AB1796" t="str">
        <f t="shared" si="476"/>
        <v/>
      </c>
      <c r="AC1796" t="str">
        <f t="shared" si="477"/>
        <v/>
      </c>
      <c r="AD1796" t="str">
        <f t="shared" si="478"/>
        <v/>
      </c>
      <c r="AE1796" t="str">
        <f t="shared" si="468"/>
        <v/>
      </c>
      <c r="AF1796" t="str">
        <f t="shared" si="480"/>
        <v/>
      </c>
      <c r="AG1796" t="str">
        <f t="shared" si="480"/>
        <v/>
      </c>
      <c r="AH1796" t="str">
        <f t="shared" si="469"/>
        <v/>
      </c>
      <c r="AI1796" t="str">
        <f t="shared" si="470"/>
        <v/>
      </c>
      <c r="AJ1796" t="str">
        <f t="shared" si="471"/>
        <v/>
      </c>
    </row>
    <row r="1797" spans="1:36" x14ac:dyDescent="0.25">
      <c r="A1797" t="s">
        <v>1377</v>
      </c>
      <c r="P1797" t="str">
        <f t="shared" si="472"/>
        <v xml:space="preserve">  COOLUZ-RS023  </v>
      </c>
      <c r="Q1797" t="str">
        <f t="shared" si="472"/>
        <v xml:space="preserve">   -50.6 </v>
      </c>
      <c r="R1797" t="str">
        <f t="shared" si="465"/>
        <v xml:space="preserve">     0.0 </v>
      </c>
      <c r="S1797" t="str">
        <f t="shared" si="473"/>
        <v xml:space="preserve">     0.0 </v>
      </c>
      <c r="T1797" t="str">
        <f t="shared" si="474"/>
        <v xml:space="preserve">     4.0 </v>
      </c>
      <c r="U1797" t="str">
        <f t="shared" si="478"/>
        <v xml:space="preserve">         0.0 </v>
      </c>
      <c r="V1797" t="str">
        <f t="shared" si="466"/>
        <v xml:space="preserve">     0.0 </v>
      </c>
      <c r="W1797" t="str">
        <f t="shared" si="475"/>
        <v xml:space="preserve">     0.0 </v>
      </c>
      <c r="X1797" t="str">
        <f t="shared" si="479"/>
        <v xml:space="preserve">       </v>
      </c>
      <c r="Y1797" t="str">
        <f t="shared" si="479"/>
        <v xml:space="preserve">              </v>
      </c>
      <c r="Z1797" t="str">
        <f t="shared" si="479"/>
        <v xml:space="preserve">    </v>
      </c>
      <c r="AA1797" t="str">
        <f t="shared" si="467"/>
        <v xml:space="preserve">         </v>
      </c>
      <c r="AB1797" t="str">
        <f t="shared" si="476"/>
        <v xml:space="preserve">         </v>
      </c>
      <c r="AC1797" t="str">
        <f t="shared" si="477"/>
        <v xml:space="preserve">    </v>
      </c>
      <c r="AD1797" t="str">
        <f t="shared" si="478"/>
        <v/>
      </c>
      <c r="AE1797" t="str">
        <f t="shared" si="468"/>
        <v/>
      </c>
      <c r="AF1797" t="str">
        <f t="shared" si="480"/>
        <v/>
      </c>
      <c r="AG1797" t="str">
        <f t="shared" si="480"/>
        <v/>
      </c>
      <c r="AH1797" t="str">
        <f t="shared" si="469"/>
        <v/>
      </c>
      <c r="AI1797" t="str">
        <f t="shared" si="470"/>
        <v/>
      </c>
      <c r="AJ1797" t="str">
        <f t="shared" si="471"/>
        <v/>
      </c>
    </row>
    <row r="1798" spans="1:36" x14ac:dyDescent="0.25">
      <c r="A1798" t="s">
        <v>1378</v>
      </c>
      <c r="P1798" t="str">
        <f t="shared" si="472"/>
        <v xml:space="preserve">                </v>
      </c>
      <c r="Q1798" t="str">
        <f t="shared" si="472"/>
        <v xml:space="preserve">         </v>
      </c>
      <c r="R1798" t="str">
        <f t="shared" si="465"/>
        <v xml:space="preserve">    20.0 </v>
      </c>
      <c r="S1798" t="str">
        <f t="shared" si="473"/>
        <v xml:space="preserve">    20.0 </v>
      </c>
      <c r="T1798" t="str">
        <f t="shared" si="474"/>
        <v xml:space="preserve">    20.0 </v>
      </c>
      <c r="U1798" t="str">
        <f t="shared" si="478"/>
        <v xml:space="preserve">       57.1% </v>
      </c>
      <c r="V1798" t="str">
        <f t="shared" si="466"/>
        <v xml:space="preserve">         </v>
      </c>
      <c r="W1798" t="str">
        <f t="shared" si="475"/>
        <v xml:space="preserve">         </v>
      </c>
      <c r="X1798" t="str">
        <f t="shared" si="479"/>
        <v xml:space="preserve"> 10022 </v>
      </c>
      <c r="Y1798" t="str">
        <f t="shared" si="479"/>
        <v xml:space="preserve"> COOLUZ-RS069 </v>
      </c>
      <c r="Z1798" t="str">
        <f t="shared" si="479"/>
        <v xml:space="preserve">  1 </v>
      </c>
      <c r="AA1798" t="str">
        <f t="shared" si="467"/>
        <v xml:space="preserve">   -10.9 </v>
      </c>
      <c r="AB1798" t="str">
        <f t="shared" si="476"/>
        <v xml:space="preserve">    -4.0 </v>
      </c>
      <c r="AC1798" t="str">
        <f t="shared" si="477"/>
        <v xml:space="preserve">    11.4 </v>
      </c>
      <c r="AD1798" t="str">
        <f t="shared" si="478"/>
        <v xml:space="preserve">        </v>
      </c>
      <c r="AE1798" t="str">
        <f t="shared" si="468"/>
        <v xml:space="preserve">       </v>
      </c>
      <c r="AF1798" t="str">
        <f t="shared" si="480"/>
        <v xml:space="preserve">     </v>
      </c>
      <c r="AG1798" t="str">
        <f t="shared" si="480"/>
        <v xml:space="preserve">     0.00 </v>
      </c>
      <c r="AH1798" t="str">
        <f t="shared" si="469"/>
        <v xml:space="preserve">     0.52 </v>
      </c>
      <c r="AI1798" t="str">
        <f t="shared" si="470"/>
        <v xml:space="preserve">       </v>
      </c>
      <c r="AJ1798" t="str">
        <f t="shared" si="471"/>
        <v xml:space="preserve">      </v>
      </c>
    </row>
    <row r="1799" spans="1:36" x14ac:dyDescent="0.25">
      <c r="A1799" t="s">
        <v>14</v>
      </c>
      <c r="P1799" t="str">
        <f t="shared" si="472"/>
        <v xml:space="preserve">  ..............</v>
      </c>
      <c r="Q1799" t="str">
        <f t="shared" si="472"/>
        <v>.........</v>
      </c>
      <c r="R1799" t="str">
        <f t="shared" si="465"/>
        <v>.........</v>
      </c>
      <c r="S1799" t="str">
        <f t="shared" si="473"/>
        <v>.........</v>
      </c>
      <c r="T1799" t="str">
        <f t="shared" si="474"/>
        <v>.........</v>
      </c>
      <c r="U1799" t="str">
        <f t="shared" si="478"/>
        <v>.............</v>
      </c>
      <c r="V1799" t="str">
        <f t="shared" si="466"/>
        <v>.........</v>
      </c>
      <c r="W1799" t="str">
        <f t="shared" si="475"/>
        <v>.........</v>
      </c>
      <c r="X1799" t="str">
        <f t="shared" si="479"/>
        <v>.......</v>
      </c>
      <c r="Y1799" t="str">
        <f t="shared" si="479"/>
        <v>..............</v>
      </c>
      <c r="Z1799" t="str">
        <f t="shared" si="479"/>
        <v>....</v>
      </c>
      <c r="AA1799" t="str">
        <f t="shared" si="467"/>
        <v>.........</v>
      </c>
      <c r="AB1799" t="str">
        <f t="shared" si="476"/>
        <v>.........</v>
      </c>
      <c r="AC1799" t="str">
        <f t="shared" si="477"/>
        <v>.........</v>
      </c>
      <c r="AD1799" t="str">
        <f t="shared" si="478"/>
        <v>........</v>
      </c>
      <c r="AE1799" t="str">
        <f t="shared" si="468"/>
        <v>.......</v>
      </c>
      <c r="AF1799" t="str">
        <f t="shared" si="480"/>
        <v>.....</v>
      </c>
      <c r="AG1799" t="str">
        <f t="shared" si="480"/>
        <v>..........</v>
      </c>
      <c r="AH1799" t="str">
        <f t="shared" si="469"/>
        <v>..........</v>
      </c>
      <c r="AI1799" t="str">
        <f t="shared" si="470"/>
        <v>.......</v>
      </c>
      <c r="AJ1799" t="str">
        <f t="shared" si="471"/>
        <v>.......</v>
      </c>
    </row>
    <row r="1800" spans="1:36" x14ac:dyDescent="0.25">
      <c r="A1800" t="s">
        <v>1379</v>
      </c>
      <c r="P1800" t="str">
        <f t="shared" si="472"/>
        <v xml:space="preserve">  10024   69  0 </v>
      </c>
      <c r="Q1800" t="str">
        <f t="shared" si="472"/>
        <v xml:space="preserve">   1.013 </v>
      </c>
      <c r="R1800" t="str">
        <f t="shared" si="465"/>
        <v xml:space="preserve">     0.0 </v>
      </c>
      <c r="S1800" t="str">
        <f t="shared" si="473"/>
        <v xml:space="preserve">     0.0 </v>
      </c>
      <c r="T1800" t="str">
        <f t="shared" si="474"/>
        <v xml:space="preserve">     8.6 </v>
      </c>
      <c r="U1800" t="str">
        <f t="shared" si="478"/>
        <v xml:space="preserve">         0.0 </v>
      </c>
      <c r="V1800" t="str">
        <f t="shared" si="466"/>
        <v xml:space="preserve">     0.0 </v>
      </c>
      <c r="W1800" t="str">
        <f t="shared" si="475"/>
        <v xml:space="preserve">     0.0</v>
      </c>
      <c r="X1800" t="str">
        <f t="shared" si="479"/>
        <v/>
      </c>
      <c r="Y1800" t="str">
        <f t="shared" si="479"/>
        <v/>
      </c>
      <c r="Z1800" t="str">
        <f t="shared" si="479"/>
        <v/>
      </c>
      <c r="AA1800" t="str">
        <f t="shared" si="467"/>
        <v/>
      </c>
      <c r="AB1800" t="str">
        <f t="shared" si="476"/>
        <v/>
      </c>
      <c r="AC1800" t="str">
        <f t="shared" si="477"/>
        <v/>
      </c>
      <c r="AD1800" t="str">
        <f t="shared" si="478"/>
        <v/>
      </c>
      <c r="AE1800" t="str">
        <f t="shared" si="468"/>
        <v/>
      </c>
      <c r="AF1800" t="str">
        <f t="shared" si="480"/>
        <v/>
      </c>
      <c r="AG1800" t="str">
        <f t="shared" si="480"/>
        <v/>
      </c>
      <c r="AH1800" t="str">
        <f t="shared" si="469"/>
        <v/>
      </c>
      <c r="AI1800" t="str">
        <f t="shared" si="470"/>
        <v/>
      </c>
      <c r="AJ1800" t="str">
        <f t="shared" si="471"/>
        <v/>
      </c>
    </row>
    <row r="1801" spans="1:36" x14ac:dyDescent="0.25">
      <c r="A1801" t="s">
        <v>1380</v>
      </c>
      <c r="P1801" t="str">
        <f t="shared" si="472"/>
        <v xml:space="preserve">  HOSCLI-RS069  </v>
      </c>
      <c r="Q1801" t="str">
        <f t="shared" si="472"/>
        <v xml:space="preserve">   -55.3 </v>
      </c>
      <c r="R1801" t="str">
        <f t="shared" si="465"/>
        <v xml:space="preserve">     0.0 </v>
      </c>
      <c r="S1801" t="str">
        <f t="shared" si="473"/>
        <v xml:space="preserve">     0.0 </v>
      </c>
      <c r="T1801" t="str">
        <f t="shared" si="474"/>
        <v xml:space="preserve">     3.7 </v>
      </c>
      <c r="U1801" t="str">
        <f t="shared" si="478"/>
        <v xml:space="preserve">         0.0 </v>
      </c>
      <c r="V1801" t="str">
        <f t="shared" si="466"/>
        <v xml:space="preserve">     0.0 </v>
      </c>
      <c r="W1801" t="str">
        <f t="shared" si="475"/>
        <v xml:space="preserve">     0.0 </v>
      </c>
      <c r="X1801" t="str">
        <f t="shared" si="479"/>
        <v xml:space="preserve">       </v>
      </c>
      <c r="Y1801" t="str">
        <f t="shared" si="479"/>
        <v xml:space="preserve">              </v>
      </c>
      <c r="Z1801" t="str">
        <f t="shared" si="479"/>
        <v xml:space="preserve">    </v>
      </c>
      <c r="AA1801" t="str">
        <f t="shared" si="467"/>
        <v xml:space="preserve">         </v>
      </c>
      <c r="AB1801" t="str">
        <f t="shared" si="476"/>
        <v xml:space="preserve">         </v>
      </c>
      <c r="AC1801" t="str">
        <f t="shared" si="477"/>
        <v xml:space="preserve">    </v>
      </c>
      <c r="AD1801" t="str">
        <f t="shared" si="478"/>
        <v/>
      </c>
      <c r="AE1801" t="str">
        <f t="shared" si="468"/>
        <v/>
      </c>
      <c r="AF1801" t="str">
        <f t="shared" si="480"/>
        <v/>
      </c>
      <c r="AG1801" t="str">
        <f t="shared" si="480"/>
        <v/>
      </c>
      <c r="AH1801" t="str">
        <f t="shared" si="469"/>
        <v/>
      </c>
      <c r="AI1801" t="str">
        <f t="shared" si="470"/>
        <v/>
      </c>
      <c r="AJ1801" t="str">
        <f t="shared" si="471"/>
        <v/>
      </c>
    </row>
    <row r="1802" spans="1:36" x14ac:dyDescent="0.25">
      <c r="A1802" t="s">
        <v>1381</v>
      </c>
      <c r="P1802" t="str">
        <f t="shared" si="472"/>
        <v xml:space="preserve">                </v>
      </c>
      <c r="Q1802" t="str">
        <f t="shared" si="472"/>
        <v xml:space="preserve">         </v>
      </c>
      <c r="R1802" t="str">
        <f t="shared" si="465"/>
        <v xml:space="preserve">    80.0 </v>
      </c>
      <c r="S1802" t="str">
        <f t="shared" si="473"/>
        <v xml:space="preserve">    95.0 </v>
      </c>
      <c r="T1802" t="str">
        <f t="shared" si="474"/>
        <v xml:space="preserve">    95.0 </v>
      </c>
      <c r="U1802" t="str">
        <f t="shared" si="478"/>
        <v xml:space="preserve">       46.1% </v>
      </c>
      <c r="V1802" t="str">
        <f t="shared" si="466"/>
        <v xml:space="preserve">         </v>
      </c>
      <c r="W1802" t="str">
        <f t="shared" si="475"/>
        <v xml:space="preserve">         </v>
      </c>
      <c r="X1802" t="str">
        <f t="shared" si="479"/>
        <v xml:space="preserve">  1269 </v>
      </c>
      <c r="Y1802" t="str">
        <f t="shared" si="479"/>
        <v xml:space="preserve"> PALG10-RS069 </v>
      </c>
      <c r="Z1802" t="str">
        <f t="shared" si="479"/>
        <v xml:space="preserve">  1 </v>
      </c>
      <c r="AA1802" t="str">
        <f t="shared" si="467"/>
        <v xml:space="preserve">   -37.0 </v>
      </c>
      <c r="AB1802" t="str">
        <f t="shared" si="476"/>
        <v xml:space="preserve">    -5.4 </v>
      </c>
      <c r="AC1802" t="str">
        <f t="shared" si="477"/>
        <v xml:space="preserve">    36.9 </v>
      </c>
      <c r="AD1802" t="str">
        <f t="shared" si="478"/>
        <v xml:space="preserve">        </v>
      </c>
      <c r="AE1802" t="str">
        <f t="shared" si="468"/>
        <v xml:space="preserve">       </v>
      </c>
      <c r="AF1802" t="str">
        <f t="shared" si="480"/>
        <v xml:space="preserve">     </v>
      </c>
      <c r="AG1802" t="str">
        <f t="shared" si="480"/>
        <v xml:space="preserve">     0.04 </v>
      </c>
      <c r="AH1802" t="str">
        <f t="shared" si="469"/>
        <v xml:space="preserve">     0.11 </v>
      </c>
      <c r="AI1802" t="str">
        <f t="shared" si="470"/>
        <v xml:space="preserve">       </v>
      </c>
      <c r="AJ1802" t="str">
        <f t="shared" si="471"/>
        <v xml:space="preserve">      </v>
      </c>
    </row>
    <row r="1803" spans="1:36" x14ac:dyDescent="0.25">
      <c r="A1803" t="s">
        <v>1382</v>
      </c>
      <c r="P1803" t="str">
        <f t="shared" si="472"/>
        <v xml:space="preserve">                </v>
      </c>
      <c r="Q1803" t="str">
        <f t="shared" si="472"/>
        <v xml:space="preserve">         </v>
      </c>
      <c r="R1803" t="str">
        <f t="shared" si="465"/>
        <v xml:space="preserve">    80.0 </v>
      </c>
      <c r="S1803" t="str">
        <f t="shared" si="473"/>
        <v xml:space="preserve">    95.0 </v>
      </c>
      <c r="T1803" t="str">
        <f t="shared" si="474"/>
        <v xml:space="preserve">    95.0 </v>
      </c>
      <c r="U1803" t="str">
        <f t="shared" si="478"/>
        <v xml:space="preserve">       35.1% </v>
      </c>
      <c r="V1803" t="str">
        <f t="shared" si="466"/>
        <v xml:space="preserve">         </v>
      </c>
      <c r="W1803" t="str">
        <f t="shared" si="475"/>
        <v xml:space="preserve">         </v>
      </c>
      <c r="X1803" t="str">
        <f t="shared" si="479"/>
        <v xml:space="preserve">  9257 </v>
      </c>
      <c r="Y1803" t="str">
        <f t="shared" si="479"/>
        <v xml:space="preserve"> MENDEU-RS069 </v>
      </c>
      <c r="Z1803" t="str">
        <f t="shared" si="479"/>
        <v xml:space="preserve">  1 </v>
      </c>
      <c r="AA1803" t="str">
        <f t="shared" si="467"/>
        <v xml:space="preserve">    28.4 </v>
      </c>
      <c r="AB1803" t="str">
        <f t="shared" si="476"/>
        <v xml:space="preserve">     1.7 </v>
      </c>
      <c r="AC1803" t="str">
        <f t="shared" si="477"/>
        <v xml:space="preserve">    28.1 </v>
      </c>
      <c r="AD1803" t="str">
        <f t="shared" si="478"/>
        <v xml:space="preserve">        </v>
      </c>
      <c r="AE1803" t="str">
        <f t="shared" si="468"/>
        <v xml:space="preserve">       </v>
      </c>
      <c r="AF1803" t="str">
        <f t="shared" si="480"/>
        <v xml:space="preserve">     </v>
      </c>
      <c r="AG1803" t="str">
        <f t="shared" si="480"/>
        <v xml:space="preserve">     0.09 </v>
      </c>
      <c r="AH1803" t="str">
        <f t="shared" si="469"/>
        <v xml:space="preserve">    -1.68 </v>
      </c>
      <c r="AI1803" t="str">
        <f t="shared" si="470"/>
        <v xml:space="preserve">       </v>
      </c>
      <c r="AJ1803" t="str">
        <f t="shared" si="471"/>
        <v xml:space="preserve">      </v>
      </c>
    </row>
    <row r="1804" spans="1:36" x14ac:dyDescent="0.25">
      <c r="A1804" t="s">
        <v>14</v>
      </c>
      <c r="P1804" t="str">
        <f t="shared" si="472"/>
        <v xml:space="preserve">  ..............</v>
      </c>
      <c r="Q1804" t="str">
        <f t="shared" si="472"/>
        <v>.........</v>
      </c>
      <c r="R1804" t="str">
        <f t="shared" ref="R1804:R1867" si="481">MID($A1804,Q$8+Q$9-1,R$9)</f>
        <v>.........</v>
      </c>
      <c r="S1804" t="str">
        <f t="shared" si="473"/>
        <v>.........</v>
      </c>
      <c r="T1804" t="str">
        <f t="shared" si="474"/>
        <v>.........</v>
      </c>
      <c r="U1804" t="str">
        <f t="shared" si="478"/>
        <v>.............</v>
      </c>
      <c r="V1804" t="str">
        <f t="shared" ref="V1804:V1867" si="482">MID($A1804,U$8+U$9-1,V$9)</f>
        <v>.........</v>
      </c>
      <c r="W1804" t="str">
        <f t="shared" si="475"/>
        <v>.........</v>
      </c>
      <c r="X1804" t="str">
        <f t="shared" si="479"/>
        <v>.......</v>
      </c>
      <c r="Y1804" t="str">
        <f t="shared" si="479"/>
        <v>..............</v>
      </c>
      <c r="Z1804" t="str">
        <f t="shared" si="479"/>
        <v>....</v>
      </c>
      <c r="AA1804" t="str">
        <f t="shared" ref="AA1804:AA1867" si="483">MID($A1804,Z$8+Z$9-1,AA$9)</f>
        <v>.........</v>
      </c>
      <c r="AB1804" t="str">
        <f t="shared" si="476"/>
        <v>.........</v>
      </c>
      <c r="AC1804" t="str">
        <f t="shared" si="477"/>
        <v>.........</v>
      </c>
      <c r="AD1804" t="str">
        <f t="shared" si="478"/>
        <v>........</v>
      </c>
      <c r="AE1804" t="str">
        <f t="shared" ref="AE1804:AE1867" si="484">MID($A1804,AD$8+AD$9-1,AE$9)</f>
        <v>.......</v>
      </c>
      <c r="AF1804" t="str">
        <f t="shared" si="480"/>
        <v>.....</v>
      </c>
      <c r="AG1804" t="str">
        <f t="shared" si="480"/>
        <v>..........</v>
      </c>
      <c r="AH1804" t="str">
        <f t="shared" ref="AH1804:AH1867" si="485">MID($A1804,AG$8+AG$9-1,AH$9)</f>
        <v>..........</v>
      </c>
      <c r="AI1804" t="str">
        <f t="shared" si="470"/>
        <v>.......</v>
      </c>
      <c r="AJ1804" t="str">
        <f t="shared" si="471"/>
        <v>.......</v>
      </c>
    </row>
    <row r="1805" spans="1:36" x14ac:dyDescent="0.25">
      <c r="A1805" t="s">
        <v>1383</v>
      </c>
      <c r="P1805" t="str">
        <f t="shared" si="472"/>
        <v xml:space="preserve">  10028   23  0 </v>
      </c>
      <c r="Q1805" t="str">
        <f t="shared" si="472"/>
        <v xml:space="preserve">   1.035 </v>
      </c>
      <c r="R1805" t="str">
        <f t="shared" si="481"/>
        <v xml:space="preserve">     0.0 </v>
      </c>
      <c r="S1805" t="str">
        <f t="shared" si="473"/>
        <v xml:space="preserve">     0.0 </v>
      </c>
      <c r="T1805" t="str">
        <f t="shared" si="474"/>
        <v xml:space="preserve">     2.0 </v>
      </c>
      <c r="U1805" t="str">
        <f t="shared" si="478"/>
        <v xml:space="preserve">         0.0 </v>
      </c>
      <c r="V1805" t="str">
        <f t="shared" si="482"/>
        <v xml:space="preserve">     0.0 </v>
      </c>
      <c r="W1805" t="str">
        <f t="shared" si="475"/>
        <v xml:space="preserve">     0.0</v>
      </c>
      <c r="X1805" t="str">
        <f t="shared" si="479"/>
        <v/>
      </c>
      <c r="Y1805" t="str">
        <f t="shared" si="479"/>
        <v/>
      </c>
      <c r="Z1805" t="str">
        <f t="shared" si="479"/>
        <v/>
      </c>
      <c r="AA1805" t="str">
        <f t="shared" si="483"/>
        <v/>
      </c>
      <c r="AB1805" t="str">
        <f t="shared" si="476"/>
        <v/>
      </c>
      <c r="AC1805" t="str">
        <f t="shared" si="477"/>
        <v/>
      </c>
      <c r="AD1805" t="str">
        <f t="shared" si="478"/>
        <v/>
      </c>
      <c r="AE1805" t="str">
        <f t="shared" si="484"/>
        <v/>
      </c>
      <c r="AF1805" t="str">
        <f t="shared" si="480"/>
        <v/>
      </c>
      <c r="AG1805" t="str">
        <f t="shared" si="480"/>
        <v/>
      </c>
      <c r="AH1805" t="str">
        <f t="shared" si="485"/>
        <v/>
      </c>
      <c r="AI1805" t="str">
        <f t="shared" si="470"/>
        <v/>
      </c>
      <c r="AJ1805" t="str">
        <f t="shared" si="471"/>
        <v/>
      </c>
    </row>
    <row r="1806" spans="1:36" x14ac:dyDescent="0.25">
      <c r="A1806" t="s">
        <v>1384</v>
      </c>
      <c r="P1806" t="str">
        <f t="shared" si="472"/>
        <v xml:space="preserve">  JACUIC-RS023  </v>
      </c>
      <c r="Q1806" t="str">
        <f t="shared" si="472"/>
        <v xml:space="preserve">   -48.6 </v>
      </c>
      <c r="R1806" t="str">
        <f t="shared" si="481"/>
        <v xml:space="preserve">     0.0 </v>
      </c>
      <c r="S1806" t="str">
        <f t="shared" si="473"/>
        <v xml:space="preserve">     0.0 </v>
      </c>
      <c r="T1806" t="str">
        <f t="shared" si="474"/>
        <v xml:space="preserve">     0.8 </v>
      </c>
      <c r="U1806" t="str">
        <f t="shared" si="478"/>
        <v xml:space="preserve">         0.0 </v>
      </c>
      <c r="V1806" t="str">
        <f t="shared" si="482"/>
        <v xml:space="preserve">     0.0 </v>
      </c>
      <c r="W1806" t="str">
        <f t="shared" si="475"/>
        <v xml:space="preserve">     0.0 </v>
      </c>
      <c r="X1806" t="str">
        <f t="shared" si="479"/>
        <v xml:space="preserve">       </v>
      </c>
      <c r="Y1806" t="str">
        <f t="shared" si="479"/>
        <v xml:space="preserve">              </v>
      </c>
      <c r="Z1806" t="str">
        <f t="shared" si="479"/>
        <v xml:space="preserve">    </v>
      </c>
      <c r="AA1806" t="str">
        <f t="shared" si="483"/>
        <v xml:space="preserve">         </v>
      </c>
      <c r="AB1806" t="str">
        <f t="shared" si="476"/>
        <v xml:space="preserve">         </v>
      </c>
      <c r="AC1806" t="str">
        <f t="shared" si="477"/>
        <v xml:space="preserve">    </v>
      </c>
      <c r="AD1806" t="str">
        <f t="shared" si="478"/>
        <v/>
      </c>
      <c r="AE1806" t="str">
        <f t="shared" si="484"/>
        <v/>
      </c>
      <c r="AF1806" t="str">
        <f t="shared" si="480"/>
        <v/>
      </c>
      <c r="AG1806" t="str">
        <f t="shared" si="480"/>
        <v/>
      </c>
      <c r="AH1806" t="str">
        <f t="shared" si="485"/>
        <v/>
      </c>
      <c r="AI1806" t="str">
        <f t="shared" si="470"/>
        <v/>
      </c>
      <c r="AJ1806" t="str">
        <f t="shared" si="471"/>
        <v/>
      </c>
    </row>
    <row r="1807" spans="1:36" x14ac:dyDescent="0.25">
      <c r="A1807" t="s">
        <v>1385</v>
      </c>
      <c r="P1807" t="str">
        <f t="shared" si="472"/>
        <v xml:space="preserve">                </v>
      </c>
      <c r="Q1807" t="str">
        <f t="shared" si="472"/>
        <v xml:space="preserve">         </v>
      </c>
      <c r="R1807" t="str">
        <f t="shared" si="481"/>
        <v xml:space="preserve">  9999.0 </v>
      </c>
      <c r="S1807" t="str">
        <f t="shared" si="473"/>
        <v xml:space="preserve">  9999.0 </v>
      </c>
      <c r="T1807" t="str">
        <f t="shared" si="474"/>
        <v xml:space="preserve">  9999.0 </v>
      </c>
      <c r="U1807" t="str">
        <f t="shared" si="478"/>
        <v xml:space="preserve">        0.0% </v>
      </c>
      <c r="V1807" t="str">
        <f t="shared" si="482"/>
        <v xml:space="preserve">         </v>
      </c>
      <c r="W1807" t="str">
        <f t="shared" si="475"/>
        <v xml:space="preserve">         </v>
      </c>
      <c r="X1807" t="str">
        <f t="shared" si="479"/>
        <v xml:space="preserve">  1220 </v>
      </c>
      <c r="Y1807" t="str">
        <f t="shared" si="479"/>
        <v xml:space="preserve"> JACUIR-RS023 </v>
      </c>
      <c r="Z1807" t="str">
        <f t="shared" si="479"/>
        <v xml:space="preserve">  1 </v>
      </c>
      <c r="AA1807" t="str">
        <f t="shared" si="483"/>
        <v xml:space="preserve">    -2.0 </v>
      </c>
      <c r="AB1807" t="str">
        <f t="shared" si="476"/>
        <v xml:space="preserve">    -0.8 </v>
      </c>
      <c r="AC1807" t="str">
        <f t="shared" si="477"/>
        <v xml:space="preserve">     2.1 </v>
      </c>
      <c r="AD1807" t="str">
        <f t="shared" si="478"/>
        <v xml:space="preserve">        </v>
      </c>
      <c r="AE1807" t="str">
        <f t="shared" si="484"/>
        <v xml:space="preserve">       </v>
      </c>
      <c r="AF1807" t="str">
        <f t="shared" si="480"/>
        <v xml:space="preserve">     </v>
      </c>
      <c r="AG1807" t="str">
        <f t="shared" si="480"/>
        <v xml:space="preserve">     0.00 </v>
      </c>
      <c r="AH1807" t="str">
        <f t="shared" si="485"/>
        <v xml:space="preserve">     0.00 </v>
      </c>
      <c r="AI1807" t="str">
        <f t="shared" si="470"/>
        <v xml:space="preserve">       </v>
      </c>
      <c r="AJ1807" t="str">
        <f t="shared" si="471"/>
        <v xml:space="preserve">      </v>
      </c>
    </row>
    <row r="1808" spans="1:36" x14ac:dyDescent="0.25">
      <c r="A1808" t="s">
        <v>14</v>
      </c>
      <c r="P1808" t="str">
        <f t="shared" si="472"/>
        <v xml:space="preserve">  ..............</v>
      </c>
      <c r="Q1808" t="str">
        <f t="shared" si="472"/>
        <v>.........</v>
      </c>
      <c r="R1808" t="str">
        <f t="shared" si="481"/>
        <v>.........</v>
      </c>
      <c r="S1808" t="str">
        <f t="shared" si="473"/>
        <v>.........</v>
      </c>
      <c r="T1808" t="str">
        <f t="shared" si="474"/>
        <v>.........</v>
      </c>
      <c r="U1808" t="str">
        <f t="shared" si="478"/>
        <v>.............</v>
      </c>
      <c r="V1808" t="str">
        <f t="shared" si="482"/>
        <v>.........</v>
      </c>
      <c r="W1808" t="str">
        <f t="shared" si="475"/>
        <v>.........</v>
      </c>
      <c r="X1808" t="str">
        <f t="shared" si="479"/>
        <v>.......</v>
      </c>
      <c r="Y1808" t="str">
        <f t="shared" si="479"/>
        <v>..............</v>
      </c>
      <c r="Z1808" t="str">
        <f t="shared" si="479"/>
        <v>....</v>
      </c>
      <c r="AA1808" t="str">
        <f t="shared" si="483"/>
        <v>.........</v>
      </c>
      <c r="AB1808" t="str">
        <f t="shared" si="476"/>
        <v>.........</v>
      </c>
      <c r="AC1808" t="str">
        <f t="shared" si="477"/>
        <v>.........</v>
      </c>
      <c r="AD1808" t="str">
        <f t="shared" si="478"/>
        <v>........</v>
      </c>
      <c r="AE1808" t="str">
        <f t="shared" si="484"/>
        <v>.......</v>
      </c>
      <c r="AF1808" t="str">
        <f t="shared" si="480"/>
        <v>.....</v>
      </c>
      <c r="AG1808" t="str">
        <f t="shared" si="480"/>
        <v>..........</v>
      </c>
      <c r="AH1808" t="str">
        <f t="shared" si="485"/>
        <v>..........</v>
      </c>
      <c r="AI1808" t="str">
        <f t="shared" si="470"/>
        <v>.......</v>
      </c>
      <c r="AJ1808" t="str">
        <f t="shared" si="471"/>
        <v>.......</v>
      </c>
    </row>
    <row r="1809" spans="1:36" x14ac:dyDescent="0.25">
      <c r="A1809" t="s">
        <v>1386</v>
      </c>
      <c r="P1809" t="str">
        <f t="shared" si="472"/>
        <v xml:space="preserve">  10029  138  0 </v>
      </c>
      <c r="Q1809" t="str">
        <f t="shared" si="472"/>
        <v xml:space="preserve">   1.029 </v>
      </c>
      <c r="R1809" t="str">
        <f t="shared" si="481"/>
        <v xml:space="preserve">     0.0 </v>
      </c>
      <c r="S1809" t="str">
        <f t="shared" si="473"/>
        <v xml:space="preserve">     0.0 </v>
      </c>
      <c r="T1809" t="str">
        <f t="shared" si="474"/>
        <v xml:space="preserve">    11.8 </v>
      </c>
      <c r="U1809" t="str">
        <f t="shared" si="478"/>
        <v xml:space="preserve">         0.0 </v>
      </c>
      <c r="V1809" t="str">
        <f t="shared" si="482"/>
        <v xml:space="preserve">     0.0 </v>
      </c>
      <c r="W1809" t="str">
        <f t="shared" si="475"/>
        <v xml:space="preserve">     0.0</v>
      </c>
      <c r="X1809" t="str">
        <f t="shared" si="479"/>
        <v/>
      </c>
      <c r="Y1809" t="str">
        <f t="shared" si="479"/>
        <v/>
      </c>
      <c r="Z1809" t="str">
        <f t="shared" si="479"/>
        <v/>
      </c>
      <c r="AA1809" t="str">
        <f t="shared" si="483"/>
        <v/>
      </c>
      <c r="AB1809" t="str">
        <f t="shared" si="476"/>
        <v/>
      </c>
      <c r="AC1809" t="str">
        <f t="shared" si="477"/>
        <v/>
      </c>
      <c r="AD1809" t="str">
        <f t="shared" si="478"/>
        <v/>
      </c>
      <c r="AE1809" t="str">
        <f t="shared" si="484"/>
        <v/>
      </c>
      <c r="AF1809" t="str">
        <f t="shared" si="480"/>
        <v/>
      </c>
      <c r="AG1809" t="str">
        <f t="shared" si="480"/>
        <v/>
      </c>
      <c r="AH1809" t="str">
        <f t="shared" si="485"/>
        <v/>
      </c>
      <c r="AI1809" t="str">
        <f t="shared" si="470"/>
        <v/>
      </c>
      <c r="AJ1809" t="str">
        <f t="shared" si="471"/>
        <v/>
      </c>
    </row>
    <row r="1810" spans="1:36" x14ac:dyDescent="0.25">
      <c r="A1810" t="s">
        <v>1387</v>
      </c>
      <c r="P1810" t="str">
        <f t="shared" si="472"/>
        <v xml:space="preserve">  MARAU2-RS138  </v>
      </c>
      <c r="Q1810" t="str">
        <f t="shared" si="472"/>
        <v xml:space="preserve">   -49.5 </v>
      </c>
      <c r="R1810" t="str">
        <f t="shared" si="481"/>
        <v xml:space="preserve">     0.0 </v>
      </c>
      <c r="S1810" t="str">
        <f t="shared" si="473"/>
        <v xml:space="preserve">     0.0 </v>
      </c>
      <c r="T1810" t="str">
        <f t="shared" si="474"/>
        <v xml:space="preserve">     3.6 </v>
      </c>
      <c r="U1810" t="str">
        <f t="shared" si="478"/>
        <v xml:space="preserve">         0.0 </v>
      </c>
      <c r="V1810" t="str">
        <f t="shared" si="482"/>
        <v xml:space="preserve">     0.0 </v>
      </c>
      <c r="W1810" t="str">
        <f t="shared" si="475"/>
        <v xml:space="preserve">     0.0 </v>
      </c>
      <c r="X1810" t="str">
        <f t="shared" si="479"/>
        <v xml:space="preserve">       </v>
      </c>
      <c r="Y1810" t="str">
        <f t="shared" si="479"/>
        <v xml:space="preserve">              </v>
      </c>
      <c r="Z1810" t="str">
        <f t="shared" si="479"/>
        <v xml:space="preserve">    </v>
      </c>
      <c r="AA1810" t="str">
        <f t="shared" si="483"/>
        <v xml:space="preserve">         </v>
      </c>
      <c r="AB1810" t="str">
        <f t="shared" si="476"/>
        <v xml:space="preserve">         </v>
      </c>
      <c r="AC1810" t="str">
        <f t="shared" si="477"/>
        <v xml:space="preserve">    </v>
      </c>
      <c r="AD1810" t="str">
        <f t="shared" si="478"/>
        <v/>
      </c>
      <c r="AE1810" t="str">
        <f t="shared" si="484"/>
        <v/>
      </c>
      <c r="AF1810" t="str">
        <f t="shared" si="480"/>
        <v/>
      </c>
      <c r="AG1810" t="str">
        <f t="shared" si="480"/>
        <v/>
      </c>
      <c r="AH1810" t="str">
        <f t="shared" si="485"/>
        <v/>
      </c>
      <c r="AI1810" t="str">
        <f t="shared" si="470"/>
        <v/>
      </c>
      <c r="AJ1810" t="str">
        <f t="shared" si="471"/>
        <v/>
      </c>
    </row>
    <row r="1811" spans="1:36" x14ac:dyDescent="0.25">
      <c r="A1811" t="s">
        <v>1388</v>
      </c>
      <c r="P1811" t="str">
        <f t="shared" si="472"/>
        <v xml:space="preserve">                </v>
      </c>
      <c r="Q1811" t="str">
        <f t="shared" si="472"/>
        <v xml:space="preserve">         </v>
      </c>
      <c r="R1811" t="str">
        <f t="shared" si="481"/>
        <v xml:space="preserve">    70.0 </v>
      </c>
      <c r="S1811" t="str">
        <f t="shared" si="473"/>
        <v xml:space="preserve">    90.0 </v>
      </c>
      <c r="T1811" t="str">
        <f t="shared" si="474"/>
        <v xml:space="preserve">    90.0 </v>
      </c>
      <c r="U1811" t="str">
        <f t="shared" si="478"/>
        <v xml:space="preserve">       17.1% </v>
      </c>
      <c r="V1811" t="str">
        <f t="shared" si="482"/>
        <v xml:space="preserve">         </v>
      </c>
      <c r="W1811" t="str">
        <f t="shared" si="475"/>
        <v xml:space="preserve">         </v>
      </c>
      <c r="X1811" t="str">
        <f t="shared" si="479"/>
        <v xml:space="preserve">  9921 </v>
      </c>
      <c r="Y1811" t="str">
        <f t="shared" si="479"/>
        <v xml:space="preserve"> VILMAR-RS138 </v>
      </c>
      <c r="Z1811" t="str">
        <f t="shared" si="479"/>
        <v xml:space="preserve">  1 </v>
      </c>
      <c r="AA1811" t="str">
        <f t="shared" si="483"/>
        <v xml:space="preserve">   -11.8 </v>
      </c>
      <c r="AB1811" t="str">
        <f t="shared" si="476"/>
        <v xml:space="preserve">    -3.6 </v>
      </c>
      <c r="AC1811" t="str">
        <f t="shared" si="477"/>
        <v xml:space="preserve">    12.0 </v>
      </c>
      <c r="AD1811" t="str">
        <f t="shared" si="478"/>
        <v xml:space="preserve">        </v>
      </c>
      <c r="AE1811" t="str">
        <f t="shared" si="484"/>
        <v xml:space="preserve">       </v>
      </c>
      <c r="AF1811" t="str">
        <f t="shared" si="480"/>
        <v xml:space="preserve">     </v>
      </c>
      <c r="AG1811" t="str">
        <f t="shared" si="480"/>
        <v xml:space="preserve">     0.02 </v>
      </c>
      <c r="AH1811" t="str">
        <f t="shared" si="485"/>
        <v xml:space="preserve">    -1.05 </v>
      </c>
      <c r="AI1811" t="str">
        <f t="shared" si="470"/>
        <v xml:space="preserve">       </v>
      </c>
      <c r="AJ1811" t="str">
        <f t="shared" si="471"/>
        <v xml:space="preserve">      </v>
      </c>
    </row>
    <row r="1812" spans="1:36" x14ac:dyDescent="0.25">
      <c r="A1812" t="s">
        <v>14</v>
      </c>
      <c r="P1812" t="str">
        <f t="shared" si="472"/>
        <v xml:space="preserve">  ..............</v>
      </c>
      <c r="Q1812" t="str">
        <f t="shared" si="472"/>
        <v>.........</v>
      </c>
      <c r="R1812" t="str">
        <f t="shared" si="481"/>
        <v>.........</v>
      </c>
      <c r="S1812" t="str">
        <f t="shared" si="473"/>
        <v>.........</v>
      </c>
      <c r="T1812" t="str">
        <f t="shared" si="474"/>
        <v>.........</v>
      </c>
      <c r="U1812" t="str">
        <f t="shared" si="478"/>
        <v>.............</v>
      </c>
      <c r="V1812" t="str">
        <f t="shared" si="482"/>
        <v>.........</v>
      </c>
      <c r="W1812" t="str">
        <f t="shared" si="475"/>
        <v>.........</v>
      </c>
      <c r="X1812" t="str">
        <f t="shared" si="479"/>
        <v>.......</v>
      </c>
      <c r="Y1812" t="str">
        <f t="shared" si="479"/>
        <v>..............</v>
      </c>
      <c r="Z1812" t="str">
        <f t="shared" si="479"/>
        <v>....</v>
      </c>
      <c r="AA1812" t="str">
        <f t="shared" si="483"/>
        <v>.........</v>
      </c>
      <c r="AB1812" t="str">
        <f t="shared" si="476"/>
        <v>.........</v>
      </c>
      <c r="AC1812" t="str">
        <f t="shared" si="477"/>
        <v>.........</v>
      </c>
      <c r="AD1812" t="str">
        <f t="shared" si="478"/>
        <v>........</v>
      </c>
      <c r="AE1812" t="str">
        <f t="shared" si="484"/>
        <v>.......</v>
      </c>
      <c r="AF1812" t="str">
        <f t="shared" si="480"/>
        <v>.....</v>
      </c>
      <c r="AG1812" t="str">
        <f t="shared" si="480"/>
        <v>..........</v>
      </c>
      <c r="AH1812" t="str">
        <f t="shared" si="485"/>
        <v>..........</v>
      </c>
      <c r="AI1812" t="str">
        <f t="shared" si="470"/>
        <v>.......</v>
      </c>
      <c r="AJ1812" t="str">
        <f t="shared" si="471"/>
        <v>.......</v>
      </c>
    </row>
    <row r="1813" spans="1:36" x14ac:dyDescent="0.25">
      <c r="A1813" t="s">
        <v>1389</v>
      </c>
      <c r="P1813" t="str">
        <f t="shared" si="472"/>
        <v xml:space="preserve">  10054   69  0 </v>
      </c>
      <c r="Q1813" t="str">
        <f t="shared" si="472"/>
        <v xml:space="preserve">   1.013 </v>
      </c>
      <c r="R1813" t="str">
        <f t="shared" si="481"/>
        <v xml:space="preserve">     0.0 </v>
      </c>
      <c r="S1813" t="str">
        <f t="shared" si="473"/>
        <v xml:space="preserve">     0.0 </v>
      </c>
      <c r="T1813" t="str">
        <f t="shared" si="474"/>
        <v xml:space="preserve">     2.7 </v>
      </c>
      <c r="U1813" t="str">
        <f t="shared" si="478"/>
        <v xml:space="preserve">         0.0 </v>
      </c>
      <c r="V1813" t="str">
        <f t="shared" si="482"/>
        <v xml:space="preserve">     0.0 </v>
      </c>
      <c r="W1813" t="str">
        <f t="shared" si="475"/>
        <v xml:space="preserve">     0.0</v>
      </c>
      <c r="X1813" t="str">
        <f t="shared" si="479"/>
        <v/>
      </c>
      <c r="Y1813" t="str">
        <f t="shared" si="479"/>
        <v/>
      </c>
      <c r="Z1813" t="str">
        <f t="shared" si="479"/>
        <v/>
      </c>
      <c r="AA1813" t="str">
        <f t="shared" si="483"/>
        <v/>
      </c>
      <c r="AB1813" t="str">
        <f t="shared" si="476"/>
        <v/>
      </c>
      <c r="AC1813" t="str">
        <f t="shared" si="477"/>
        <v/>
      </c>
      <c r="AD1813" t="str">
        <f t="shared" si="478"/>
        <v/>
      </c>
      <c r="AE1813" t="str">
        <f t="shared" si="484"/>
        <v/>
      </c>
      <c r="AF1813" t="str">
        <f t="shared" si="480"/>
        <v/>
      </c>
      <c r="AG1813" t="str">
        <f t="shared" si="480"/>
        <v/>
      </c>
      <c r="AH1813" t="str">
        <f t="shared" si="485"/>
        <v/>
      </c>
      <c r="AI1813" t="str">
        <f t="shared" si="470"/>
        <v/>
      </c>
      <c r="AJ1813" t="str">
        <f t="shared" si="471"/>
        <v/>
      </c>
    </row>
    <row r="1814" spans="1:36" x14ac:dyDescent="0.25">
      <c r="A1814" t="s">
        <v>1390</v>
      </c>
      <c r="P1814" t="str">
        <f t="shared" si="472"/>
        <v xml:space="preserve">  HOCONC-RS069  </v>
      </c>
      <c r="Q1814" t="str">
        <f t="shared" si="472"/>
        <v xml:space="preserve">   -54.5 </v>
      </c>
      <c r="R1814" t="str">
        <f t="shared" si="481"/>
        <v xml:space="preserve">     0.0 </v>
      </c>
      <c r="S1814" t="str">
        <f t="shared" si="473"/>
        <v xml:space="preserve">     0.0 </v>
      </c>
      <c r="T1814" t="str">
        <f t="shared" si="474"/>
        <v xml:space="preserve">     0.9 </v>
      </c>
      <c r="U1814" t="str">
        <f t="shared" si="478"/>
        <v xml:space="preserve">         0.0 </v>
      </c>
      <c r="V1814" t="str">
        <f t="shared" si="482"/>
        <v xml:space="preserve">     0.0 </v>
      </c>
      <c r="W1814" t="str">
        <f t="shared" si="475"/>
        <v xml:space="preserve">     0.0 </v>
      </c>
      <c r="X1814" t="str">
        <f t="shared" si="479"/>
        <v xml:space="preserve">       </v>
      </c>
      <c r="Y1814" t="str">
        <f t="shared" si="479"/>
        <v xml:space="preserve">              </v>
      </c>
      <c r="Z1814" t="str">
        <f t="shared" si="479"/>
        <v xml:space="preserve">    </v>
      </c>
      <c r="AA1814" t="str">
        <f t="shared" si="483"/>
        <v xml:space="preserve">         </v>
      </c>
      <c r="AB1814" t="str">
        <f t="shared" si="476"/>
        <v xml:space="preserve">         </v>
      </c>
      <c r="AC1814" t="str">
        <f t="shared" si="477"/>
        <v xml:space="preserve">    </v>
      </c>
      <c r="AD1814" t="str">
        <f t="shared" si="478"/>
        <v/>
      </c>
      <c r="AE1814" t="str">
        <f t="shared" si="484"/>
        <v/>
      </c>
      <c r="AF1814" t="str">
        <f t="shared" si="480"/>
        <v/>
      </c>
      <c r="AG1814" t="str">
        <f t="shared" si="480"/>
        <v/>
      </c>
      <c r="AH1814" t="str">
        <f t="shared" si="485"/>
        <v/>
      </c>
      <c r="AI1814" t="str">
        <f t="shared" si="470"/>
        <v/>
      </c>
      <c r="AJ1814" t="str">
        <f t="shared" si="471"/>
        <v/>
      </c>
    </row>
    <row r="1815" spans="1:36" x14ac:dyDescent="0.25">
      <c r="A1815" t="s">
        <v>1391</v>
      </c>
      <c r="P1815" t="str">
        <f t="shared" si="472"/>
        <v xml:space="preserve">                </v>
      </c>
      <c r="Q1815" t="str">
        <f t="shared" si="472"/>
        <v xml:space="preserve">         </v>
      </c>
      <c r="R1815" t="str">
        <f t="shared" si="481"/>
        <v xml:space="preserve">    80.0 </v>
      </c>
      <c r="S1815" t="str">
        <f t="shared" si="473"/>
        <v xml:space="preserve">    95.0 </v>
      </c>
      <c r="T1815" t="str">
        <f t="shared" si="474"/>
        <v xml:space="preserve">    95.0 </v>
      </c>
      <c r="U1815" t="str">
        <f t="shared" si="478"/>
        <v xml:space="preserve">       10.0% </v>
      </c>
      <c r="V1815" t="str">
        <f t="shared" si="482"/>
        <v xml:space="preserve">         </v>
      </c>
      <c r="W1815" t="str">
        <f t="shared" si="475"/>
        <v xml:space="preserve">         </v>
      </c>
      <c r="X1815" t="str">
        <f t="shared" si="479"/>
        <v xml:space="preserve">  1271 </v>
      </c>
      <c r="Y1815" t="str">
        <f t="shared" si="479"/>
        <v xml:space="preserve"> PALGR8-RS069 </v>
      </c>
      <c r="Z1815" t="str">
        <f t="shared" si="479"/>
        <v xml:space="preserve">  1 </v>
      </c>
      <c r="AA1815" t="str">
        <f t="shared" si="483"/>
        <v xml:space="preserve">    -4.5 </v>
      </c>
      <c r="AB1815" t="str">
        <f t="shared" si="476"/>
        <v xml:space="preserve">    -6.8 </v>
      </c>
      <c r="AC1815" t="str">
        <f t="shared" si="477"/>
        <v xml:space="preserve">     8.0 </v>
      </c>
      <c r="AD1815" t="str">
        <f t="shared" si="478"/>
        <v xml:space="preserve">        </v>
      </c>
      <c r="AE1815" t="str">
        <f t="shared" si="484"/>
        <v xml:space="preserve">       </v>
      </c>
      <c r="AF1815" t="str">
        <f t="shared" si="480"/>
        <v xml:space="preserve">     </v>
      </c>
      <c r="AG1815" t="str">
        <f t="shared" si="480"/>
        <v xml:space="preserve">     0.00 </v>
      </c>
      <c r="AH1815" t="str">
        <f t="shared" si="485"/>
        <v xml:space="preserve">    -0.03 </v>
      </c>
      <c r="AI1815" t="str">
        <f t="shared" ref="AI1815:AI1878" si="486">MID($A1815,AG$8+AG$9+AH$9-2,AI$9)</f>
        <v xml:space="preserve">       </v>
      </c>
      <c r="AJ1815" t="str">
        <f t="shared" ref="AJ1815:AJ1878" si="487">MID($A1815,AG$8+AG$9+AH$9+AI$9-3,AJ$9)</f>
        <v xml:space="preserve">      </v>
      </c>
    </row>
    <row r="1816" spans="1:36" x14ac:dyDescent="0.25">
      <c r="A1816" t="s">
        <v>1392</v>
      </c>
      <c r="P1816" t="str">
        <f t="shared" si="472"/>
        <v xml:space="preserve">                </v>
      </c>
      <c r="Q1816" t="str">
        <f t="shared" si="472"/>
        <v xml:space="preserve">         </v>
      </c>
      <c r="R1816" t="str">
        <f t="shared" si="481"/>
        <v xml:space="preserve">    80.0 </v>
      </c>
      <c r="S1816" t="str">
        <f t="shared" si="473"/>
        <v xml:space="preserve">    95.0 </v>
      </c>
      <c r="T1816" t="str">
        <f t="shared" si="474"/>
        <v xml:space="preserve">    95.0 </v>
      </c>
      <c r="U1816" t="str">
        <f t="shared" si="478"/>
        <v xml:space="preserve">        7.6% </v>
      </c>
      <c r="V1816" t="str">
        <f t="shared" si="482"/>
        <v xml:space="preserve">         </v>
      </c>
      <c r="W1816" t="str">
        <f t="shared" si="475"/>
        <v xml:space="preserve">         </v>
      </c>
      <c r="X1816" t="str">
        <f t="shared" si="479"/>
        <v xml:space="preserve">  9277 </v>
      </c>
      <c r="Y1816" t="str">
        <f t="shared" si="479"/>
        <v xml:space="preserve"> ZAFFAR-RS069 </v>
      </c>
      <c r="Z1816" t="str">
        <f t="shared" si="479"/>
        <v xml:space="preserve">  1 </v>
      </c>
      <c r="AA1816" t="str">
        <f t="shared" si="483"/>
        <v xml:space="preserve">     1.8 </v>
      </c>
      <c r="AB1816" t="str">
        <f t="shared" si="476"/>
        <v xml:space="preserve">     5.9 </v>
      </c>
      <c r="AC1816" t="str">
        <f t="shared" si="477"/>
        <v xml:space="preserve">     6.1 </v>
      </c>
      <c r="AD1816" t="str">
        <f t="shared" si="478"/>
        <v xml:space="preserve">        </v>
      </c>
      <c r="AE1816" t="str">
        <f t="shared" si="484"/>
        <v xml:space="preserve">       </v>
      </c>
      <c r="AF1816" t="str">
        <f t="shared" si="480"/>
        <v xml:space="preserve">     </v>
      </c>
      <c r="AG1816" t="str">
        <f t="shared" si="480"/>
        <v xml:space="preserve">     0.00 </v>
      </c>
      <c r="AH1816" t="str">
        <f t="shared" si="485"/>
        <v xml:space="preserve">    -0.01 </v>
      </c>
      <c r="AI1816" t="str">
        <f t="shared" si="486"/>
        <v xml:space="preserve">       </v>
      </c>
      <c r="AJ1816" t="str">
        <f t="shared" si="487"/>
        <v xml:space="preserve">      </v>
      </c>
    </row>
    <row r="1817" spans="1:36" x14ac:dyDescent="0.25">
      <c r="A1817" t="s">
        <v>14</v>
      </c>
      <c r="P1817" t="str">
        <f t="shared" si="472"/>
        <v xml:space="preserve">  ..............</v>
      </c>
      <c r="Q1817" t="str">
        <f t="shared" si="472"/>
        <v>.........</v>
      </c>
      <c r="R1817" t="str">
        <f t="shared" si="481"/>
        <v>.........</v>
      </c>
      <c r="S1817" t="str">
        <f t="shared" si="473"/>
        <v>.........</v>
      </c>
      <c r="T1817" t="str">
        <f t="shared" si="474"/>
        <v>.........</v>
      </c>
      <c r="U1817" t="str">
        <f t="shared" si="478"/>
        <v>.............</v>
      </c>
      <c r="V1817" t="str">
        <f t="shared" si="482"/>
        <v>.........</v>
      </c>
      <c r="W1817" t="str">
        <f t="shared" si="475"/>
        <v>.........</v>
      </c>
      <c r="X1817" t="str">
        <f t="shared" si="479"/>
        <v>.......</v>
      </c>
      <c r="Y1817" t="str">
        <f t="shared" si="479"/>
        <v>..............</v>
      </c>
      <c r="Z1817" t="str">
        <f t="shared" si="479"/>
        <v>....</v>
      </c>
      <c r="AA1817" t="str">
        <f t="shared" si="483"/>
        <v>.........</v>
      </c>
      <c r="AB1817" t="str">
        <f t="shared" si="476"/>
        <v>.........</v>
      </c>
      <c r="AC1817" t="str">
        <f t="shared" si="477"/>
        <v>.........</v>
      </c>
      <c r="AD1817" t="str">
        <f t="shared" si="478"/>
        <v>........</v>
      </c>
      <c r="AE1817" t="str">
        <f t="shared" si="484"/>
        <v>.......</v>
      </c>
      <c r="AF1817" t="str">
        <f t="shared" si="480"/>
        <v>.....</v>
      </c>
      <c r="AG1817" t="str">
        <f t="shared" si="480"/>
        <v>..........</v>
      </c>
      <c r="AH1817" t="str">
        <f t="shared" si="485"/>
        <v>..........</v>
      </c>
      <c r="AI1817" t="str">
        <f t="shared" si="486"/>
        <v>.......</v>
      </c>
      <c r="AJ1817" t="str">
        <f t="shared" si="487"/>
        <v>.......</v>
      </c>
    </row>
    <row r="1818" spans="1:36" x14ac:dyDescent="0.25">
      <c r="A1818" t="s">
        <v>1393</v>
      </c>
      <c r="P1818" t="str">
        <f t="shared" si="472"/>
        <v xml:space="preserve">  10111   35  0 </v>
      </c>
      <c r="Q1818" t="str">
        <f t="shared" si="472"/>
        <v xml:space="preserve">   1.003 </v>
      </c>
      <c r="R1818" t="str">
        <f t="shared" si="481"/>
        <v xml:space="preserve">     0.0 </v>
      </c>
      <c r="S1818" t="str">
        <f t="shared" si="473"/>
        <v xml:space="preserve">     0.0 </v>
      </c>
      <c r="T1818" t="str">
        <f t="shared" si="474"/>
        <v xml:space="preserve">     0.0 </v>
      </c>
      <c r="U1818" t="str">
        <f t="shared" si="478"/>
        <v xml:space="preserve">         0.0 </v>
      </c>
      <c r="V1818" t="str">
        <f t="shared" si="482"/>
        <v xml:space="preserve">     0.0 </v>
      </c>
      <c r="W1818" t="str">
        <f t="shared" si="475"/>
        <v xml:space="preserve">     0.0</v>
      </c>
      <c r="X1818" t="str">
        <f t="shared" si="479"/>
        <v/>
      </c>
      <c r="Y1818" t="str">
        <f t="shared" si="479"/>
        <v/>
      </c>
      <c r="Z1818" t="str">
        <f t="shared" si="479"/>
        <v/>
      </c>
      <c r="AA1818" t="str">
        <f t="shared" si="483"/>
        <v/>
      </c>
      <c r="AB1818" t="str">
        <f t="shared" si="476"/>
        <v/>
      </c>
      <c r="AC1818" t="str">
        <f t="shared" si="477"/>
        <v/>
      </c>
      <c r="AD1818" t="str">
        <f t="shared" si="478"/>
        <v/>
      </c>
      <c r="AE1818" t="str">
        <f t="shared" si="484"/>
        <v/>
      </c>
      <c r="AF1818" t="str">
        <f t="shared" si="480"/>
        <v/>
      </c>
      <c r="AG1818" t="str">
        <f t="shared" si="480"/>
        <v/>
      </c>
      <c r="AH1818" t="str">
        <f t="shared" si="485"/>
        <v/>
      </c>
      <c r="AI1818" t="str">
        <f t="shared" si="486"/>
        <v/>
      </c>
      <c r="AJ1818" t="str">
        <f t="shared" si="487"/>
        <v/>
      </c>
    </row>
    <row r="1819" spans="1:36" x14ac:dyDescent="0.25">
      <c r="A1819" t="s">
        <v>1394</v>
      </c>
      <c r="P1819" t="str">
        <f t="shared" ref="P1819:Q1882" si="488">MID($A1819,P$8,P$9)</f>
        <v xml:space="preserve">  XANGRI-RS034  </v>
      </c>
      <c r="Q1819" t="str">
        <f t="shared" si="488"/>
        <v xml:space="preserve">   -48.1 </v>
      </c>
      <c r="R1819" t="str">
        <f t="shared" si="481"/>
        <v xml:space="preserve">     0.0 </v>
      </c>
      <c r="S1819" t="str">
        <f t="shared" ref="S1819:S1882" si="489">MID($A1819,Q$8+Q$9+R$9-2,S$9)</f>
        <v xml:space="preserve">     0.0 </v>
      </c>
      <c r="T1819" t="str">
        <f t="shared" ref="T1819:T1882" si="490">MID($A1819,Q$8+Q$9+R$9+S$9-3,T$9)</f>
        <v xml:space="preserve">     0.0 </v>
      </c>
      <c r="U1819" t="str">
        <f t="shared" si="478"/>
        <v xml:space="preserve">         0.0 </v>
      </c>
      <c r="V1819" t="str">
        <f t="shared" si="482"/>
        <v xml:space="preserve">     0.0 </v>
      </c>
      <c r="W1819" t="str">
        <f t="shared" ref="W1819:W1882" si="491">MID($A1819,U$8+U$9+V$9-2,W$9)</f>
        <v xml:space="preserve">     0.0 </v>
      </c>
      <c r="X1819" t="str">
        <f t="shared" si="479"/>
        <v xml:space="preserve">       </v>
      </c>
      <c r="Y1819" t="str">
        <f t="shared" si="479"/>
        <v xml:space="preserve">              </v>
      </c>
      <c r="Z1819" t="str">
        <f t="shared" si="479"/>
        <v xml:space="preserve">    </v>
      </c>
      <c r="AA1819" t="str">
        <f t="shared" si="483"/>
        <v xml:space="preserve">         </v>
      </c>
      <c r="AB1819" t="str">
        <f t="shared" ref="AB1819:AB1882" si="492">MID($A1819,Z$8+Z$9+AA$9-2,AB$9)</f>
        <v xml:space="preserve">         </v>
      </c>
      <c r="AC1819" t="str">
        <f t="shared" ref="AC1819:AC1882" si="493">MID($A1819,Z$8+Z$9+AA$9+AB$9-3,AC$9)</f>
        <v xml:space="preserve">    </v>
      </c>
      <c r="AD1819" t="str">
        <f t="shared" si="478"/>
        <v/>
      </c>
      <c r="AE1819" t="str">
        <f t="shared" si="484"/>
        <v/>
      </c>
      <c r="AF1819" t="str">
        <f t="shared" si="480"/>
        <v/>
      </c>
      <c r="AG1819" t="str">
        <f t="shared" si="480"/>
        <v/>
      </c>
      <c r="AH1819" t="str">
        <f t="shared" si="485"/>
        <v/>
      </c>
      <c r="AI1819" t="str">
        <f t="shared" si="486"/>
        <v/>
      </c>
      <c r="AJ1819" t="str">
        <f t="shared" si="487"/>
        <v/>
      </c>
    </row>
    <row r="1820" spans="1:36" x14ac:dyDescent="0.25">
      <c r="A1820" t="s">
        <v>1395</v>
      </c>
      <c r="P1820" t="str">
        <f t="shared" si="488"/>
        <v xml:space="preserve">                </v>
      </c>
      <c r="Q1820" t="str">
        <f t="shared" si="488"/>
        <v xml:space="preserve">         </v>
      </c>
      <c r="R1820" t="str">
        <f t="shared" si="481"/>
        <v xml:space="preserve">    33.0 </v>
      </c>
      <c r="S1820" t="str">
        <f t="shared" si="489"/>
        <v xml:space="preserve">    33.0 </v>
      </c>
      <c r="T1820" t="str">
        <f t="shared" si="490"/>
        <v xml:space="preserve">    33.0 </v>
      </c>
      <c r="U1820" t="str">
        <f t="shared" ref="U1820:AD1883" si="494">MID($A1820,U$8,U$9)</f>
        <v xml:space="preserve">       25.2% </v>
      </c>
      <c r="V1820" t="str">
        <f t="shared" si="482"/>
        <v xml:space="preserve">         </v>
      </c>
      <c r="W1820" t="str">
        <f t="shared" si="491"/>
        <v xml:space="preserve">         </v>
      </c>
      <c r="X1820" t="str">
        <f t="shared" ref="X1820:Z1883" si="495">MID($A1820,X$8,X$9)</f>
        <v xml:space="preserve">  9182 </v>
      </c>
      <c r="Y1820" t="str">
        <f t="shared" si="495"/>
        <v xml:space="preserve"> XANGRI-RS069 </v>
      </c>
      <c r="Z1820" t="str">
        <f t="shared" si="495"/>
        <v xml:space="preserve">  1 </v>
      </c>
      <c r="AA1820" t="str">
        <f t="shared" si="483"/>
        <v xml:space="preserve">     8.3 </v>
      </c>
      <c r="AB1820" t="str">
        <f t="shared" si="492"/>
        <v xml:space="preserve">    -1.0 </v>
      </c>
      <c r="AC1820" t="str">
        <f t="shared" si="493"/>
        <v xml:space="preserve">     8.3 </v>
      </c>
      <c r="AD1820" t="str">
        <f t="shared" si="494"/>
        <v xml:space="preserve">        </v>
      </c>
      <c r="AE1820" t="str">
        <f t="shared" si="484"/>
        <v xml:space="preserve">       </v>
      </c>
      <c r="AF1820" t="str">
        <f t="shared" si="480"/>
        <v xml:space="preserve">     </v>
      </c>
      <c r="AG1820" t="str">
        <f t="shared" si="480"/>
        <v xml:space="preserve">     0.01 </v>
      </c>
      <c r="AH1820" t="str">
        <f t="shared" si="485"/>
        <v xml:space="preserve">     0.27 </v>
      </c>
      <c r="AI1820" t="str">
        <f t="shared" si="486"/>
        <v xml:space="preserve">       </v>
      </c>
      <c r="AJ1820" t="str">
        <f t="shared" si="487"/>
        <v xml:space="preserve">      </v>
      </c>
    </row>
    <row r="1821" spans="1:36" x14ac:dyDescent="0.25">
      <c r="A1821" t="s">
        <v>1396</v>
      </c>
      <c r="P1821" t="str">
        <f t="shared" si="488"/>
        <v xml:space="preserve">                </v>
      </c>
      <c r="Q1821" t="str">
        <f t="shared" si="488"/>
        <v xml:space="preserve">         </v>
      </c>
      <c r="R1821" t="str">
        <f t="shared" si="481"/>
        <v xml:space="preserve">  9999.0 </v>
      </c>
      <c r="S1821" t="str">
        <f t="shared" si="489"/>
        <v xml:space="preserve">  9999.0 </v>
      </c>
      <c r="T1821" t="str">
        <f t="shared" si="490"/>
        <v xml:space="preserve">  9999.0 </v>
      </c>
      <c r="U1821" t="str">
        <f t="shared" si="494"/>
        <v xml:space="preserve">        0.0% </v>
      </c>
      <c r="V1821" t="str">
        <f t="shared" si="482"/>
        <v xml:space="preserve">         </v>
      </c>
      <c r="W1821" t="str">
        <f t="shared" si="491"/>
        <v xml:space="preserve">         </v>
      </c>
      <c r="X1821" t="str">
        <f t="shared" si="495"/>
        <v xml:space="preserve">  9183 </v>
      </c>
      <c r="Y1821" t="str">
        <f t="shared" si="495"/>
        <v xml:space="preserve"> XANGRIEOL034 </v>
      </c>
      <c r="Z1821" t="str">
        <f t="shared" si="495"/>
        <v xml:space="preserve">  1 </v>
      </c>
      <c r="AA1821" t="str">
        <f t="shared" si="483"/>
        <v xml:space="preserve">    -8.3 </v>
      </c>
      <c r="AB1821" t="str">
        <f t="shared" si="492"/>
        <v xml:space="preserve">     1.0 </v>
      </c>
      <c r="AC1821" t="str">
        <f t="shared" si="493"/>
        <v xml:space="preserve">     8.3 </v>
      </c>
      <c r="AD1821" t="str">
        <f t="shared" si="494"/>
        <v xml:space="preserve">        </v>
      </c>
      <c r="AE1821" t="str">
        <f t="shared" si="484"/>
        <v xml:space="preserve">       </v>
      </c>
      <c r="AF1821" t="str">
        <f t="shared" ref="AF1821:AG1884" si="496">MID($A1821,AF$8,AF$9)</f>
        <v xml:space="preserve">     </v>
      </c>
      <c r="AG1821" t="str">
        <f t="shared" si="496"/>
        <v xml:space="preserve">     0.02 </v>
      </c>
      <c r="AH1821" t="str">
        <f t="shared" si="485"/>
        <v xml:space="preserve">    -0.11 </v>
      </c>
      <c r="AI1821" t="str">
        <f t="shared" si="486"/>
        <v xml:space="preserve">       </v>
      </c>
      <c r="AJ1821" t="str">
        <f t="shared" si="487"/>
        <v xml:space="preserve">      </v>
      </c>
    </row>
    <row r="1822" spans="1:36" x14ac:dyDescent="0.25">
      <c r="A1822" t="s">
        <v>14</v>
      </c>
      <c r="P1822" t="str">
        <f t="shared" si="488"/>
        <v xml:space="preserve">  ..............</v>
      </c>
      <c r="Q1822" t="str">
        <f t="shared" si="488"/>
        <v>.........</v>
      </c>
      <c r="R1822" t="str">
        <f t="shared" si="481"/>
        <v>.........</v>
      </c>
      <c r="S1822" t="str">
        <f t="shared" si="489"/>
        <v>.........</v>
      </c>
      <c r="T1822" t="str">
        <f t="shared" si="490"/>
        <v>.........</v>
      </c>
      <c r="U1822" t="str">
        <f t="shared" si="494"/>
        <v>.............</v>
      </c>
      <c r="V1822" t="str">
        <f t="shared" si="482"/>
        <v>.........</v>
      </c>
      <c r="W1822" t="str">
        <f t="shared" si="491"/>
        <v>.........</v>
      </c>
      <c r="X1822" t="str">
        <f t="shared" si="495"/>
        <v>.......</v>
      </c>
      <c r="Y1822" t="str">
        <f t="shared" si="495"/>
        <v>..............</v>
      </c>
      <c r="Z1822" t="str">
        <f t="shared" si="495"/>
        <v>....</v>
      </c>
      <c r="AA1822" t="str">
        <f t="shared" si="483"/>
        <v>.........</v>
      </c>
      <c r="AB1822" t="str">
        <f t="shared" si="492"/>
        <v>.........</v>
      </c>
      <c r="AC1822" t="str">
        <f t="shared" si="493"/>
        <v>.........</v>
      </c>
      <c r="AD1822" t="str">
        <f t="shared" si="494"/>
        <v>........</v>
      </c>
      <c r="AE1822" t="str">
        <f t="shared" si="484"/>
        <v>.......</v>
      </c>
      <c r="AF1822" t="str">
        <f t="shared" si="496"/>
        <v>.....</v>
      </c>
      <c r="AG1822" t="str">
        <f t="shared" si="496"/>
        <v>..........</v>
      </c>
      <c r="AH1822" t="str">
        <f t="shared" si="485"/>
        <v>..........</v>
      </c>
      <c r="AI1822" t="str">
        <f t="shared" si="486"/>
        <v>.......</v>
      </c>
      <c r="AJ1822" t="str">
        <f t="shared" si="487"/>
        <v>.......</v>
      </c>
    </row>
    <row r="1823" spans="1:36" x14ac:dyDescent="0.25">
      <c r="A1823" t="s">
        <v>1397</v>
      </c>
      <c r="P1823" t="str">
        <f t="shared" si="488"/>
        <v xml:space="preserve">  10122   35  0 </v>
      </c>
      <c r="Q1823" t="str">
        <f t="shared" si="488"/>
        <v xml:space="preserve">   1.012 </v>
      </c>
      <c r="R1823" t="str">
        <f t="shared" si="481"/>
        <v xml:space="preserve">    17.1 </v>
      </c>
      <c r="S1823" t="str">
        <f t="shared" si="489"/>
        <v xml:space="preserve">     0.0 </v>
      </c>
      <c r="T1823" t="str">
        <f t="shared" si="490"/>
        <v xml:space="preserve">     0.0 </v>
      </c>
      <c r="U1823" t="str">
        <f t="shared" si="494"/>
        <v xml:space="preserve">         0.0 </v>
      </c>
      <c r="V1823" t="str">
        <f t="shared" si="482"/>
        <v xml:space="preserve">     0.0 </v>
      </c>
      <c r="W1823" t="str">
        <f t="shared" si="491"/>
        <v xml:space="preserve">     0.0</v>
      </c>
      <c r="X1823" t="str">
        <f t="shared" si="495"/>
        <v/>
      </c>
      <c r="Y1823" t="str">
        <f t="shared" si="495"/>
        <v/>
      </c>
      <c r="Z1823" t="str">
        <f t="shared" si="495"/>
        <v/>
      </c>
      <c r="AA1823" t="str">
        <f t="shared" si="483"/>
        <v/>
      </c>
      <c r="AB1823" t="str">
        <f t="shared" si="492"/>
        <v/>
      </c>
      <c r="AC1823" t="str">
        <f t="shared" si="493"/>
        <v/>
      </c>
      <c r="AD1823" t="str">
        <f t="shared" si="494"/>
        <v/>
      </c>
      <c r="AE1823" t="str">
        <f t="shared" si="484"/>
        <v/>
      </c>
      <c r="AF1823" t="str">
        <f t="shared" si="496"/>
        <v/>
      </c>
      <c r="AG1823" t="str">
        <f t="shared" si="496"/>
        <v/>
      </c>
      <c r="AH1823" t="str">
        <f t="shared" si="485"/>
        <v/>
      </c>
      <c r="AI1823" t="str">
        <f t="shared" si="486"/>
        <v/>
      </c>
      <c r="AJ1823" t="str">
        <f t="shared" si="487"/>
        <v/>
      </c>
    </row>
    <row r="1824" spans="1:36" x14ac:dyDescent="0.25">
      <c r="A1824" t="s">
        <v>1398</v>
      </c>
      <c r="P1824" t="str">
        <f t="shared" si="488"/>
        <v xml:space="preserve">  PALMAREOL034  </v>
      </c>
      <c r="Q1824" t="str">
        <f t="shared" si="488"/>
        <v xml:space="preserve">   -44.7 </v>
      </c>
      <c r="R1824" t="str">
        <f t="shared" si="481"/>
        <v xml:space="preserve">     0.0 </v>
      </c>
      <c r="S1824" t="str">
        <f t="shared" si="489"/>
        <v xml:space="preserve">     0.0 </v>
      </c>
      <c r="T1824" t="str">
        <f t="shared" si="490"/>
        <v xml:space="preserve">     0.0 </v>
      </c>
      <c r="U1824" t="str">
        <f t="shared" si="494"/>
        <v xml:space="preserve">         0.0 </v>
      </c>
      <c r="V1824" t="str">
        <f t="shared" si="482"/>
        <v xml:space="preserve">     0.0 </v>
      </c>
      <c r="W1824" t="str">
        <f t="shared" si="491"/>
        <v xml:space="preserve">     0.0 </v>
      </c>
      <c r="X1824" t="str">
        <f t="shared" si="495"/>
        <v xml:space="preserve">       </v>
      </c>
      <c r="Y1824" t="str">
        <f t="shared" si="495"/>
        <v xml:space="preserve">              </v>
      </c>
      <c r="Z1824" t="str">
        <f t="shared" si="495"/>
        <v xml:space="preserve">    </v>
      </c>
      <c r="AA1824" t="str">
        <f t="shared" si="483"/>
        <v xml:space="preserve">         </v>
      </c>
      <c r="AB1824" t="str">
        <f t="shared" si="492"/>
        <v xml:space="preserve">         </v>
      </c>
      <c r="AC1824" t="str">
        <f t="shared" si="493"/>
        <v xml:space="preserve">    </v>
      </c>
      <c r="AD1824" t="str">
        <f t="shared" si="494"/>
        <v/>
      </c>
      <c r="AE1824" t="str">
        <f t="shared" si="484"/>
        <v/>
      </c>
      <c r="AF1824" t="str">
        <f t="shared" si="496"/>
        <v/>
      </c>
      <c r="AG1824" t="str">
        <f t="shared" si="496"/>
        <v/>
      </c>
      <c r="AH1824" t="str">
        <f t="shared" si="485"/>
        <v/>
      </c>
      <c r="AI1824" t="str">
        <f t="shared" si="486"/>
        <v/>
      </c>
      <c r="AJ1824" t="str">
        <f t="shared" si="487"/>
        <v/>
      </c>
    </row>
    <row r="1825" spans="1:36" x14ac:dyDescent="0.25">
      <c r="A1825" t="s">
        <v>1399</v>
      </c>
      <c r="P1825" t="str">
        <f t="shared" si="488"/>
        <v xml:space="preserve">                </v>
      </c>
      <c r="Q1825" t="str">
        <f t="shared" si="488"/>
        <v xml:space="preserve">         </v>
      </c>
      <c r="R1825" t="str">
        <f t="shared" si="481"/>
        <v xml:space="preserve">  9999.0 </v>
      </c>
      <c r="S1825" t="str">
        <f t="shared" si="489"/>
        <v xml:space="preserve">  9999.0 </v>
      </c>
      <c r="T1825" t="str">
        <f t="shared" si="490"/>
        <v xml:space="preserve">  9999.0 </v>
      </c>
      <c r="U1825" t="str">
        <f t="shared" si="494"/>
        <v xml:space="preserve">        0.0% </v>
      </c>
      <c r="V1825" t="str">
        <f t="shared" si="482"/>
        <v xml:space="preserve">         </v>
      </c>
      <c r="W1825" t="str">
        <f t="shared" si="491"/>
        <v xml:space="preserve">         </v>
      </c>
      <c r="X1825" t="str">
        <f t="shared" si="495"/>
        <v xml:space="preserve">  9727 </v>
      </c>
      <c r="Y1825" t="str">
        <f t="shared" si="495"/>
        <v xml:space="preserve"> COLPAL-RS034 </v>
      </c>
      <c r="Z1825" t="str">
        <f t="shared" si="495"/>
        <v xml:space="preserve">  1 </v>
      </c>
      <c r="AA1825" t="str">
        <f t="shared" si="483"/>
        <v xml:space="preserve">    17.1 </v>
      </c>
      <c r="AB1825" t="str">
        <f t="shared" si="492"/>
        <v xml:space="preserve">     0.0 </v>
      </c>
      <c r="AC1825" t="str">
        <f t="shared" si="493"/>
        <v xml:space="preserve">    16.9 </v>
      </c>
      <c r="AD1825" t="str">
        <f t="shared" si="494"/>
        <v xml:space="preserve">        </v>
      </c>
      <c r="AE1825" t="str">
        <f t="shared" si="484"/>
        <v xml:space="preserve">       </v>
      </c>
      <c r="AF1825" t="str">
        <f t="shared" si="496"/>
        <v xml:space="preserve"> 002 </v>
      </c>
      <c r="AG1825" t="str">
        <f t="shared" si="496"/>
        <v xml:space="preserve">     0.06 </v>
      </c>
      <c r="AH1825" t="str">
        <f t="shared" si="485"/>
        <v xml:space="preserve">    -0.74 </v>
      </c>
      <c r="AI1825" t="str">
        <f t="shared" si="486"/>
        <v xml:space="preserve">       </v>
      </c>
      <c r="AJ1825" t="str">
        <f t="shared" si="487"/>
        <v xml:space="preserve">      </v>
      </c>
    </row>
    <row r="1826" spans="1:36" x14ac:dyDescent="0.25">
      <c r="A1826" t="s">
        <v>14</v>
      </c>
      <c r="P1826" t="str">
        <f t="shared" si="488"/>
        <v xml:space="preserve">  ..............</v>
      </c>
      <c r="Q1826" t="str">
        <f t="shared" si="488"/>
        <v>.........</v>
      </c>
      <c r="R1826" t="str">
        <f t="shared" si="481"/>
        <v>.........</v>
      </c>
      <c r="S1826" t="str">
        <f t="shared" si="489"/>
        <v>.........</v>
      </c>
      <c r="T1826" t="str">
        <f t="shared" si="490"/>
        <v>.........</v>
      </c>
      <c r="U1826" t="str">
        <f t="shared" si="494"/>
        <v>.............</v>
      </c>
      <c r="V1826" t="str">
        <f t="shared" si="482"/>
        <v>.........</v>
      </c>
      <c r="W1826" t="str">
        <f t="shared" si="491"/>
        <v>.........</v>
      </c>
      <c r="X1826" t="str">
        <f t="shared" si="495"/>
        <v>.......</v>
      </c>
      <c r="Y1826" t="str">
        <f t="shared" si="495"/>
        <v>..............</v>
      </c>
      <c r="Z1826" t="str">
        <f t="shared" si="495"/>
        <v>....</v>
      </c>
      <c r="AA1826" t="str">
        <f t="shared" si="483"/>
        <v>.........</v>
      </c>
      <c r="AB1826" t="str">
        <f t="shared" si="492"/>
        <v>.........</v>
      </c>
      <c r="AC1826" t="str">
        <f t="shared" si="493"/>
        <v>.........</v>
      </c>
      <c r="AD1826" t="str">
        <f t="shared" si="494"/>
        <v>........</v>
      </c>
      <c r="AE1826" t="str">
        <f t="shared" si="484"/>
        <v>.......</v>
      </c>
      <c r="AF1826" t="str">
        <f t="shared" si="496"/>
        <v>.....</v>
      </c>
      <c r="AG1826" t="str">
        <f t="shared" si="496"/>
        <v>..........</v>
      </c>
      <c r="AH1826" t="str">
        <f t="shared" si="485"/>
        <v>..........</v>
      </c>
      <c r="AI1826" t="str">
        <f t="shared" si="486"/>
        <v>.......</v>
      </c>
      <c r="AJ1826" t="str">
        <f t="shared" si="487"/>
        <v>.......</v>
      </c>
    </row>
    <row r="1827" spans="1:36" x14ac:dyDescent="0.25">
      <c r="A1827" t="s">
        <v>1400</v>
      </c>
      <c r="P1827" t="str">
        <f t="shared" si="488"/>
        <v xml:space="preserve">  10123   35  0 </v>
      </c>
      <c r="Q1827" t="str">
        <f t="shared" si="488"/>
        <v xml:space="preserve">   1.013 </v>
      </c>
      <c r="R1827" t="str">
        <f t="shared" si="481"/>
        <v xml:space="preserve">     0.0 </v>
      </c>
      <c r="S1827" t="str">
        <f t="shared" si="489"/>
        <v xml:space="preserve">     0.0 </v>
      </c>
      <c r="T1827" t="str">
        <f t="shared" si="490"/>
        <v xml:space="preserve">     0.0 </v>
      </c>
      <c r="U1827" t="str">
        <f t="shared" si="494"/>
        <v xml:space="preserve">         0.0 </v>
      </c>
      <c r="V1827" t="str">
        <f t="shared" si="482"/>
        <v xml:space="preserve">     0.0 </v>
      </c>
      <c r="W1827" t="str">
        <f t="shared" si="491"/>
        <v xml:space="preserve">     0.0</v>
      </c>
      <c r="X1827" t="str">
        <f t="shared" si="495"/>
        <v/>
      </c>
      <c r="Y1827" t="str">
        <f t="shared" si="495"/>
        <v/>
      </c>
      <c r="Z1827" t="str">
        <f t="shared" si="495"/>
        <v/>
      </c>
      <c r="AA1827" t="str">
        <f t="shared" si="483"/>
        <v/>
      </c>
      <c r="AB1827" t="str">
        <f t="shared" si="492"/>
        <v/>
      </c>
      <c r="AC1827" t="str">
        <f t="shared" si="493"/>
        <v/>
      </c>
      <c r="AD1827" t="str">
        <f t="shared" si="494"/>
        <v/>
      </c>
      <c r="AE1827" t="str">
        <f t="shared" si="484"/>
        <v/>
      </c>
      <c r="AF1827" t="str">
        <f t="shared" si="496"/>
        <v/>
      </c>
      <c r="AG1827" t="str">
        <f t="shared" si="496"/>
        <v/>
      </c>
      <c r="AH1827" t="str">
        <f t="shared" si="485"/>
        <v/>
      </c>
      <c r="AI1827" t="str">
        <f t="shared" si="486"/>
        <v/>
      </c>
      <c r="AJ1827" t="str">
        <f t="shared" si="487"/>
        <v/>
      </c>
    </row>
    <row r="1828" spans="1:36" x14ac:dyDescent="0.25">
      <c r="A1828" t="s">
        <v>1401</v>
      </c>
      <c r="P1828" t="str">
        <f t="shared" si="488"/>
        <v xml:space="preserve">  CIDREI-RS034  </v>
      </c>
      <c r="Q1828" t="str">
        <f t="shared" si="488"/>
        <v xml:space="preserve">   -45.7 </v>
      </c>
      <c r="R1828" t="str">
        <f t="shared" si="481"/>
        <v xml:space="preserve">     0.0 </v>
      </c>
      <c r="S1828" t="str">
        <f t="shared" si="489"/>
        <v xml:space="preserve">     0.0 </v>
      </c>
      <c r="T1828" t="str">
        <f t="shared" si="490"/>
        <v xml:space="preserve">     0.0 </v>
      </c>
      <c r="U1828" t="str">
        <f t="shared" si="494"/>
        <v xml:space="preserve">         0.0 </v>
      </c>
      <c r="V1828" t="str">
        <f t="shared" si="482"/>
        <v xml:space="preserve">     0.0 </v>
      </c>
      <c r="W1828" t="str">
        <f t="shared" si="491"/>
        <v xml:space="preserve">     0.0 </v>
      </c>
      <c r="X1828" t="str">
        <f t="shared" si="495"/>
        <v xml:space="preserve">       </v>
      </c>
      <c r="Y1828" t="str">
        <f t="shared" si="495"/>
        <v xml:space="preserve">              </v>
      </c>
      <c r="Z1828" t="str">
        <f t="shared" si="495"/>
        <v xml:space="preserve">    </v>
      </c>
      <c r="AA1828" t="str">
        <f t="shared" si="483"/>
        <v xml:space="preserve">         </v>
      </c>
      <c r="AB1828" t="str">
        <f t="shared" si="492"/>
        <v xml:space="preserve">         </v>
      </c>
      <c r="AC1828" t="str">
        <f t="shared" si="493"/>
        <v xml:space="preserve">    </v>
      </c>
      <c r="AD1828" t="str">
        <f t="shared" si="494"/>
        <v/>
      </c>
      <c r="AE1828" t="str">
        <f t="shared" si="484"/>
        <v/>
      </c>
      <c r="AF1828" t="str">
        <f t="shared" si="496"/>
        <v/>
      </c>
      <c r="AG1828" t="str">
        <f t="shared" si="496"/>
        <v/>
      </c>
      <c r="AH1828" t="str">
        <f t="shared" si="485"/>
        <v/>
      </c>
      <c r="AI1828" t="str">
        <f t="shared" si="486"/>
        <v/>
      </c>
      <c r="AJ1828" t="str">
        <f t="shared" si="487"/>
        <v/>
      </c>
    </row>
    <row r="1829" spans="1:36" x14ac:dyDescent="0.25">
      <c r="A1829" t="s">
        <v>1402</v>
      </c>
      <c r="P1829" t="str">
        <f t="shared" si="488"/>
        <v xml:space="preserve">                </v>
      </c>
      <c r="Q1829" t="str">
        <f t="shared" si="488"/>
        <v xml:space="preserve">         </v>
      </c>
      <c r="R1829" t="str">
        <f t="shared" si="481"/>
        <v xml:space="preserve">    82.0 </v>
      </c>
      <c r="S1829" t="str">
        <f t="shared" si="489"/>
        <v xml:space="preserve">    82.0 </v>
      </c>
      <c r="T1829" t="str">
        <f t="shared" si="490"/>
        <v xml:space="preserve">    82.0 </v>
      </c>
      <c r="U1829" t="str">
        <f t="shared" si="494"/>
        <v xml:space="preserve">       25.5% </v>
      </c>
      <c r="V1829" t="str">
        <f t="shared" si="482"/>
        <v xml:space="preserve">         </v>
      </c>
      <c r="W1829" t="str">
        <f t="shared" si="491"/>
        <v xml:space="preserve">         </v>
      </c>
      <c r="X1829" t="str">
        <f t="shared" si="495"/>
        <v xml:space="preserve">  1321 </v>
      </c>
      <c r="Y1829" t="str">
        <f t="shared" si="495"/>
        <v xml:space="preserve"> CIDR13-RS069 </v>
      </c>
      <c r="Z1829" t="str">
        <f t="shared" si="495"/>
        <v xml:space="preserve">  1 </v>
      </c>
      <c r="AA1829" t="str">
        <f t="shared" si="483"/>
        <v xml:space="preserve">    21.2 </v>
      </c>
      <c r="AB1829" t="str">
        <f t="shared" si="492"/>
        <v xml:space="preserve">     0.1 </v>
      </c>
      <c r="AC1829" t="str">
        <f t="shared" si="493"/>
        <v xml:space="preserve">    20.9 </v>
      </c>
      <c r="AD1829" t="str">
        <f t="shared" si="494"/>
        <v xml:space="preserve">        </v>
      </c>
      <c r="AE1829" t="str">
        <f t="shared" si="484"/>
        <v xml:space="preserve">       </v>
      </c>
      <c r="AF1829" t="str">
        <f t="shared" si="496"/>
        <v xml:space="preserve">     </v>
      </c>
      <c r="AG1829" t="str">
        <f t="shared" si="496"/>
        <v xml:space="preserve">     0.00 </v>
      </c>
      <c r="AH1829" t="str">
        <f t="shared" si="485"/>
        <v xml:space="preserve">     0.71 </v>
      </c>
      <c r="AI1829" t="str">
        <f t="shared" si="486"/>
        <v xml:space="preserve">       </v>
      </c>
      <c r="AJ1829" t="str">
        <f t="shared" si="487"/>
        <v xml:space="preserve">      </v>
      </c>
    </row>
    <row r="1830" spans="1:36" x14ac:dyDescent="0.25">
      <c r="A1830" t="s">
        <v>1403</v>
      </c>
      <c r="P1830" t="str">
        <f t="shared" si="488"/>
        <v xml:space="preserve">                </v>
      </c>
      <c r="Q1830" t="str">
        <f t="shared" si="488"/>
        <v xml:space="preserve">         </v>
      </c>
      <c r="R1830" t="str">
        <f t="shared" si="481"/>
        <v xml:space="preserve">  9999.0 </v>
      </c>
      <c r="S1830" t="str">
        <f t="shared" si="489"/>
        <v xml:space="preserve">  9999.0 </v>
      </c>
      <c r="T1830" t="str">
        <f t="shared" si="490"/>
        <v xml:space="preserve">  9999.0 </v>
      </c>
      <c r="U1830" t="str">
        <f t="shared" si="494"/>
        <v xml:space="preserve">        0.0% </v>
      </c>
      <c r="V1830" t="str">
        <f t="shared" si="482"/>
        <v xml:space="preserve">         </v>
      </c>
      <c r="W1830" t="str">
        <f t="shared" si="491"/>
        <v xml:space="preserve">         </v>
      </c>
      <c r="X1830" t="str">
        <f t="shared" si="495"/>
        <v xml:space="preserve">  1347 </v>
      </c>
      <c r="Y1830" t="str">
        <f t="shared" si="495"/>
        <v xml:space="preserve"> CIDREIEOL034 </v>
      </c>
      <c r="Z1830" t="str">
        <f t="shared" si="495"/>
        <v xml:space="preserve">  1 </v>
      </c>
      <c r="AA1830" t="str">
        <f t="shared" si="483"/>
        <v xml:space="preserve">   -21.2 </v>
      </c>
      <c r="AB1830" t="str">
        <f t="shared" si="492"/>
        <v xml:space="preserve">    -0.1 </v>
      </c>
      <c r="AC1830" t="str">
        <f t="shared" si="493"/>
        <v xml:space="preserve">    20.9 </v>
      </c>
      <c r="AD1830" t="str">
        <f t="shared" si="494"/>
        <v xml:space="preserve">        </v>
      </c>
      <c r="AE1830" t="str">
        <f t="shared" si="484"/>
        <v xml:space="preserve">       </v>
      </c>
      <c r="AF1830" t="str">
        <f t="shared" si="496"/>
        <v xml:space="preserve">     </v>
      </c>
      <c r="AG1830" t="str">
        <f t="shared" si="496"/>
        <v xml:space="preserve">     0.09 </v>
      </c>
      <c r="AH1830" t="str">
        <f t="shared" si="485"/>
        <v xml:space="preserve">    -2.16 </v>
      </c>
      <c r="AI1830" t="str">
        <f t="shared" si="486"/>
        <v xml:space="preserve">       </v>
      </c>
      <c r="AJ1830" t="str">
        <f t="shared" si="487"/>
        <v xml:space="preserve">      </v>
      </c>
    </row>
    <row r="1831" spans="1:36" x14ac:dyDescent="0.25">
      <c r="A1831" t="s">
        <v>14</v>
      </c>
      <c r="P1831" t="str">
        <f t="shared" si="488"/>
        <v xml:space="preserve">  ..............</v>
      </c>
      <c r="Q1831" t="str">
        <f t="shared" si="488"/>
        <v>.........</v>
      </c>
      <c r="R1831" t="str">
        <f t="shared" si="481"/>
        <v>.........</v>
      </c>
      <c r="S1831" t="str">
        <f t="shared" si="489"/>
        <v>.........</v>
      </c>
      <c r="T1831" t="str">
        <f t="shared" si="490"/>
        <v>.........</v>
      </c>
      <c r="U1831" t="str">
        <f t="shared" si="494"/>
        <v>.............</v>
      </c>
      <c r="V1831" t="str">
        <f t="shared" si="482"/>
        <v>.........</v>
      </c>
      <c r="W1831" t="str">
        <f t="shared" si="491"/>
        <v>.........</v>
      </c>
      <c r="X1831" t="str">
        <f t="shared" si="495"/>
        <v>.......</v>
      </c>
      <c r="Y1831" t="str">
        <f t="shared" si="495"/>
        <v>..............</v>
      </c>
      <c r="Z1831" t="str">
        <f t="shared" si="495"/>
        <v>....</v>
      </c>
      <c r="AA1831" t="str">
        <f t="shared" si="483"/>
        <v>.........</v>
      </c>
      <c r="AB1831" t="str">
        <f t="shared" si="492"/>
        <v>.........</v>
      </c>
      <c r="AC1831" t="str">
        <f t="shared" si="493"/>
        <v>.........</v>
      </c>
      <c r="AD1831" t="str">
        <f t="shared" si="494"/>
        <v>........</v>
      </c>
      <c r="AE1831" t="str">
        <f t="shared" si="484"/>
        <v>.......</v>
      </c>
      <c r="AF1831" t="str">
        <f t="shared" si="496"/>
        <v>.....</v>
      </c>
      <c r="AG1831" t="str">
        <f t="shared" si="496"/>
        <v>..........</v>
      </c>
      <c r="AH1831" t="str">
        <f t="shared" si="485"/>
        <v>..........</v>
      </c>
      <c r="AI1831" t="str">
        <f t="shared" si="486"/>
        <v>.......</v>
      </c>
      <c r="AJ1831" t="str">
        <f t="shared" si="487"/>
        <v>.......</v>
      </c>
    </row>
    <row r="1832" spans="1:36" x14ac:dyDescent="0.25">
      <c r="A1832" t="s">
        <v>1404</v>
      </c>
      <c r="P1832" t="str">
        <f t="shared" si="488"/>
        <v xml:space="preserve">  10142   14  0 </v>
      </c>
      <c r="Q1832" t="str">
        <f t="shared" si="488"/>
        <v xml:space="preserve">   1.043 </v>
      </c>
      <c r="R1832" t="str">
        <f t="shared" si="481"/>
        <v xml:space="preserve">     3.2 </v>
      </c>
      <c r="S1832" t="str">
        <f t="shared" si="489"/>
        <v xml:space="preserve">     0.0 </v>
      </c>
      <c r="T1832" t="str">
        <f t="shared" si="490"/>
        <v xml:space="preserve">    21.8 </v>
      </c>
      <c r="U1832" t="str">
        <f t="shared" si="494"/>
        <v xml:space="preserve">         0.0 </v>
      </c>
      <c r="V1832" t="str">
        <f t="shared" si="482"/>
        <v xml:space="preserve">     0.0 </v>
      </c>
      <c r="W1832" t="str">
        <f t="shared" si="491"/>
        <v xml:space="preserve">     0.0</v>
      </c>
      <c r="X1832" t="str">
        <f t="shared" si="495"/>
        <v/>
      </c>
      <c r="Y1832" t="str">
        <f t="shared" si="495"/>
        <v/>
      </c>
      <c r="Z1832" t="str">
        <f t="shared" si="495"/>
        <v/>
      </c>
      <c r="AA1832" t="str">
        <f t="shared" si="483"/>
        <v/>
      </c>
      <c r="AB1832" t="str">
        <f t="shared" si="492"/>
        <v/>
      </c>
      <c r="AC1832" t="str">
        <f t="shared" si="493"/>
        <v/>
      </c>
      <c r="AD1832" t="str">
        <f t="shared" si="494"/>
        <v/>
      </c>
      <c r="AE1832" t="str">
        <f t="shared" si="484"/>
        <v/>
      </c>
      <c r="AF1832" t="str">
        <f t="shared" si="496"/>
        <v/>
      </c>
      <c r="AG1832" t="str">
        <f t="shared" si="496"/>
        <v/>
      </c>
      <c r="AH1832" t="str">
        <f t="shared" si="485"/>
        <v/>
      </c>
      <c r="AI1832" t="str">
        <f t="shared" si="486"/>
        <v/>
      </c>
      <c r="AJ1832" t="str">
        <f t="shared" si="487"/>
        <v/>
      </c>
    </row>
    <row r="1833" spans="1:36" x14ac:dyDescent="0.25">
      <c r="A1833" t="s">
        <v>1405</v>
      </c>
      <c r="P1833" t="str">
        <f t="shared" si="488"/>
        <v xml:space="preserve">  LAJE2B-RS013  </v>
      </c>
      <c r="Q1833" t="str">
        <f t="shared" si="488"/>
        <v xml:space="preserve">   -58.8 </v>
      </c>
      <c r="R1833" t="str">
        <f t="shared" si="481"/>
        <v xml:space="preserve">     0.0 </v>
      </c>
      <c r="S1833" t="str">
        <f t="shared" si="489"/>
        <v xml:space="preserve">     0.0 </v>
      </c>
      <c r="T1833" t="str">
        <f t="shared" si="490"/>
        <v xml:space="preserve">     6.1 </v>
      </c>
      <c r="U1833" t="str">
        <f t="shared" si="494"/>
        <v xml:space="preserve">         0.0 </v>
      </c>
      <c r="V1833" t="str">
        <f t="shared" si="482"/>
        <v xml:space="preserve">     0.0 </v>
      </c>
      <c r="W1833" t="str">
        <f t="shared" si="491"/>
        <v xml:space="preserve">     0.0 </v>
      </c>
      <c r="X1833" t="str">
        <f t="shared" si="495"/>
        <v xml:space="preserve">       </v>
      </c>
      <c r="Y1833" t="str">
        <f t="shared" si="495"/>
        <v xml:space="preserve">              </v>
      </c>
      <c r="Z1833" t="str">
        <f t="shared" si="495"/>
        <v xml:space="preserve">    </v>
      </c>
      <c r="AA1833" t="str">
        <f t="shared" si="483"/>
        <v xml:space="preserve">         </v>
      </c>
      <c r="AB1833" t="str">
        <f t="shared" si="492"/>
        <v xml:space="preserve">         </v>
      </c>
      <c r="AC1833" t="str">
        <f t="shared" si="493"/>
        <v xml:space="preserve">    </v>
      </c>
      <c r="AD1833" t="str">
        <f t="shared" si="494"/>
        <v/>
      </c>
      <c r="AE1833" t="str">
        <f t="shared" si="484"/>
        <v/>
      </c>
      <c r="AF1833" t="str">
        <f t="shared" si="496"/>
        <v/>
      </c>
      <c r="AG1833" t="str">
        <f t="shared" si="496"/>
        <v/>
      </c>
      <c r="AH1833" t="str">
        <f t="shared" si="485"/>
        <v/>
      </c>
      <c r="AI1833" t="str">
        <f t="shared" si="486"/>
        <v/>
      </c>
      <c r="AJ1833" t="str">
        <f t="shared" si="487"/>
        <v/>
      </c>
    </row>
    <row r="1834" spans="1:36" x14ac:dyDescent="0.25">
      <c r="A1834" t="s">
        <v>1406</v>
      </c>
      <c r="P1834" t="str">
        <f t="shared" si="488"/>
        <v xml:space="preserve">                </v>
      </c>
      <c r="Q1834" t="str">
        <f t="shared" si="488"/>
        <v xml:space="preserve">         </v>
      </c>
      <c r="R1834" t="str">
        <f t="shared" si="481"/>
        <v xml:space="preserve">    25.0 </v>
      </c>
      <c r="S1834" t="str">
        <f t="shared" si="489"/>
        <v xml:space="preserve">    37.0 </v>
      </c>
      <c r="T1834" t="str">
        <f t="shared" si="490"/>
        <v xml:space="preserve">    37.0 </v>
      </c>
      <c r="U1834" t="str">
        <f t="shared" si="494"/>
        <v xml:space="preserve">       75.0% </v>
      </c>
      <c r="V1834" t="str">
        <f t="shared" si="482"/>
        <v xml:space="preserve">         </v>
      </c>
      <c r="W1834" t="str">
        <f t="shared" si="491"/>
        <v xml:space="preserve">         </v>
      </c>
      <c r="X1834" t="str">
        <f t="shared" si="495"/>
        <v xml:space="preserve">  2081 </v>
      </c>
      <c r="Y1834" t="str">
        <f t="shared" si="495"/>
        <v xml:space="preserve"> LAJEA2-RS069 </v>
      </c>
      <c r="Z1834" t="str">
        <f t="shared" si="495"/>
        <v xml:space="preserve">  5 </v>
      </c>
      <c r="AA1834" t="str">
        <f t="shared" si="483"/>
        <v xml:space="preserve">   -18.6 </v>
      </c>
      <c r="AB1834" t="str">
        <f t="shared" si="492"/>
        <v xml:space="preserve">    -6.1 </v>
      </c>
      <c r="AC1834" t="str">
        <f t="shared" si="493"/>
        <v xml:space="preserve">    18.8 </v>
      </c>
      <c r="AD1834" t="str">
        <f t="shared" si="494"/>
        <v xml:space="preserve">        </v>
      </c>
      <c r="AE1834" t="str">
        <f t="shared" si="484"/>
        <v xml:space="preserve">       </v>
      </c>
      <c r="AF1834" t="str">
        <f t="shared" si="496"/>
        <v xml:space="preserve">     </v>
      </c>
      <c r="AG1834" t="str">
        <f t="shared" si="496"/>
        <v xml:space="preserve">     0.00 </v>
      </c>
      <c r="AH1834" t="str">
        <f t="shared" si="485"/>
        <v xml:space="preserve">     1.32 </v>
      </c>
      <c r="AI1834" t="str">
        <f t="shared" si="486"/>
        <v xml:space="preserve">       </v>
      </c>
      <c r="AJ1834" t="str">
        <f t="shared" si="487"/>
        <v xml:space="preserve">      </v>
      </c>
    </row>
    <row r="1835" spans="1:36" x14ac:dyDescent="0.25">
      <c r="A1835" t="s">
        <v>1407</v>
      </c>
      <c r="P1835" t="str">
        <f t="shared" si="488"/>
        <v xml:space="preserve">              DE</v>
      </c>
      <c r="Q1835" t="str">
        <f t="shared" si="488"/>
        <v xml:space="preserve">ESLIGADO </v>
      </c>
      <c r="R1835" t="str">
        <f t="shared" si="481"/>
        <v xml:space="preserve">  9999.0 </v>
      </c>
      <c r="S1835" t="str">
        <f t="shared" si="489"/>
        <v xml:space="preserve">  9999.0 </v>
      </c>
      <c r="T1835" t="str">
        <f t="shared" si="490"/>
        <v xml:space="preserve">  9999.0 </v>
      </c>
      <c r="U1835" t="str">
        <f t="shared" si="494"/>
        <v xml:space="preserve">             </v>
      </c>
      <c r="V1835" t="str">
        <f t="shared" si="482"/>
        <v xml:space="preserve">         </v>
      </c>
      <c r="W1835" t="str">
        <f t="shared" si="491"/>
        <v xml:space="preserve">         </v>
      </c>
      <c r="X1835" t="str">
        <f t="shared" si="495"/>
        <v xml:space="preserve">  2083 </v>
      </c>
      <c r="Y1835" t="str">
        <f t="shared" si="495"/>
        <v xml:space="preserve"> LAJE2A-RS013 </v>
      </c>
      <c r="Z1835" t="str">
        <f t="shared" si="495"/>
        <v xml:space="preserve">  1 </v>
      </c>
      <c r="AA1835" t="str">
        <f t="shared" si="483"/>
        <v xml:space="preserve">     0.0 </v>
      </c>
      <c r="AB1835" t="str">
        <f t="shared" si="492"/>
        <v xml:space="preserve">     0.0 </v>
      </c>
      <c r="AC1835" t="str">
        <f t="shared" si="493"/>
        <v xml:space="preserve">     0.0 </v>
      </c>
      <c r="AD1835" t="str">
        <f t="shared" si="494"/>
        <v xml:space="preserve">        </v>
      </c>
      <c r="AE1835" t="str">
        <f t="shared" si="484"/>
        <v xml:space="preserve">       </v>
      </c>
      <c r="AF1835" t="str">
        <f t="shared" si="496"/>
        <v xml:space="preserve">     </v>
      </c>
      <c r="AG1835" t="str">
        <f t="shared" si="496"/>
        <v xml:space="preserve">     0.00 </v>
      </c>
      <c r="AH1835" t="str">
        <f t="shared" si="485"/>
        <v xml:space="preserve">     0.00 </v>
      </c>
      <c r="AI1835" t="str">
        <f t="shared" si="486"/>
        <v xml:space="preserve">       </v>
      </c>
      <c r="AJ1835" t="str">
        <f t="shared" si="487"/>
        <v xml:space="preserve">      </v>
      </c>
    </row>
    <row r="1836" spans="1:36" x14ac:dyDescent="0.25">
      <c r="A1836" t="s">
        <v>14</v>
      </c>
      <c r="P1836" t="str">
        <f t="shared" si="488"/>
        <v xml:space="preserve">  ..............</v>
      </c>
      <c r="Q1836" t="str">
        <f t="shared" si="488"/>
        <v>.........</v>
      </c>
      <c r="R1836" t="str">
        <f t="shared" si="481"/>
        <v>.........</v>
      </c>
      <c r="S1836" t="str">
        <f t="shared" si="489"/>
        <v>.........</v>
      </c>
      <c r="T1836" t="str">
        <f t="shared" si="490"/>
        <v>.........</v>
      </c>
      <c r="U1836" t="str">
        <f t="shared" si="494"/>
        <v>.............</v>
      </c>
      <c r="V1836" t="str">
        <f t="shared" si="482"/>
        <v>.........</v>
      </c>
      <c r="W1836" t="str">
        <f t="shared" si="491"/>
        <v>.........</v>
      </c>
      <c r="X1836" t="str">
        <f t="shared" si="495"/>
        <v>.......</v>
      </c>
      <c r="Y1836" t="str">
        <f t="shared" si="495"/>
        <v>..............</v>
      </c>
      <c r="Z1836" t="str">
        <f t="shared" si="495"/>
        <v>....</v>
      </c>
      <c r="AA1836" t="str">
        <f t="shared" si="483"/>
        <v>.........</v>
      </c>
      <c r="AB1836" t="str">
        <f t="shared" si="492"/>
        <v>.........</v>
      </c>
      <c r="AC1836" t="str">
        <f t="shared" si="493"/>
        <v>.........</v>
      </c>
      <c r="AD1836" t="str">
        <f t="shared" si="494"/>
        <v>........</v>
      </c>
      <c r="AE1836" t="str">
        <f t="shared" si="484"/>
        <v>.......</v>
      </c>
      <c r="AF1836" t="str">
        <f t="shared" si="496"/>
        <v>.....</v>
      </c>
      <c r="AG1836" t="str">
        <f t="shared" si="496"/>
        <v>..........</v>
      </c>
      <c r="AH1836" t="str">
        <f t="shared" si="485"/>
        <v>..........</v>
      </c>
      <c r="AI1836" t="str">
        <f t="shared" si="486"/>
        <v>.......</v>
      </c>
      <c r="AJ1836" t="str">
        <f t="shared" si="487"/>
        <v>.......</v>
      </c>
    </row>
    <row r="1837" spans="1:36" x14ac:dyDescent="0.25">
      <c r="A1837" t="s">
        <v>1408</v>
      </c>
      <c r="P1837" t="str">
        <f t="shared" si="488"/>
        <v xml:space="preserve">  10169  138  0 </v>
      </c>
      <c r="Q1837" t="str">
        <f t="shared" si="488"/>
        <v xml:space="preserve">   0.981 </v>
      </c>
      <c r="R1837" t="str">
        <f t="shared" si="481"/>
        <v xml:space="preserve">     0.0 </v>
      </c>
      <c r="S1837" t="str">
        <f t="shared" si="489"/>
        <v xml:space="preserve">     0.0 </v>
      </c>
      <c r="T1837" t="str">
        <f t="shared" si="490"/>
        <v xml:space="preserve">     0.0 </v>
      </c>
      <c r="U1837" t="str">
        <f t="shared" si="494"/>
        <v xml:space="preserve">         0.0 </v>
      </c>
      <c r="V1837" t="str">
        <f t="shared" si="482"/>
        <v xml:space="preserve">     0.0 </v>
      </c>
      <c r="W1837" t="str">
        <f t="shared" si="491"/>
        <v xml:space="preserve">     0.0</v>
      </c>
      <c r="X1837" t="str">
        <f t="shared" si="495"/>
        <v/>
      </c>
      <c r="Y1837" t="str">
        <f t="shared" si="495"/>
        <v/>
      </c>
      <c r="Z1837" t="str">
        <f t="shared" si="495"/>
        <v/>
      </c>
      <c r="AA1837" t="str">
        <f t="shared" si="483"/>
        <v/>
      </c>
      <c r="AB1837" t="str">
        <f t="shared" si="492"/>
        <v/>
      </c>
      <c r="AC1837" t="str">
        <f t="shared" si="493"/>
        <v/>
      </c>
      <c r="AD1837" t="str">
        <f t="shared" si="494"/>
        <v/>
      </c>
      <c r="AE1837" t="str">
        <f t="shared" si="484"/>
        <v/>
      </c>
      <c r="AF1837" t="str">
        <f t="shared" si="496"/>
        <v/>
      </c>
      <c r="AG1837" t="str">
        <f t="shared" si="496"/>
        <v/>
      </c>
      <c r="AH1837" t="str">
        <f t="shared" si="485"/>
        <v/>
      </c>
      <c r="AI1837" t="str">
        <f t="shared" si="486"/>
        <v/>
      </c>
      <c r="AJ1837" t="str">
        <f t="shared" si="487"/>
        <v/>
      </c>
    </row>
    <row r="1838" spans="1:36" x14ac:dyDescent="0.25">
      <c r="A1838" t="s">
        <v>1409</v>
      </c>
      <c r="P1838" t="str">
        <f t="shared" si="488"/>
        <v xml:space="preserve">  FORMIG-RS138  </v>
      </c>
      <c r="Q1838" t="str">
        <f t="shared" si="488"/>
        <v xml:space="preserve">   -51.6 </v>
      </c>
      <c r="R1838" t="str">
        <f t="shared" si="481"/>
        <v xml:space="preserve">     0.0 </v>
      </c>
      <c r="S1838" t="str">
        <f t="shared" si="489"/>
        <v xml:space="preserve">     0.0 </v>
      </c>
      <c r="T1838" t="str">
        <f t="shared" si="490"/>
        <v xml:space="preserve">     0.0 </v>
      </c>
      <c r="U1838" t="str">
        <f t="shared" si="494"/>
        <v xml:space="preserve">         0.0 </v>
      </c>
      <c r="V1838" t="str">
        <f t="shared" si="482"/>
        <v xml:space="preserve">     0.0 </v>
      </c>
      <c r="W1838" t="str">
        <f t="shared" si="491"/>
        <v xml:space="preserve">     0.0 </v>
      </c>
      <c r="X1838" t="str">
        <f t="shared" si="495"/>
        <v xml:space="preserve">       </v>
      </c>
      <c r="Y1838" t="str">
        <f t="shared" si="495"/>
        <v xml:space="preserve">              </v>
      </c>
      <c r="Z1838" t="str">
        <f t="shared" si="495"/>
        <v xml:space="preserve">    </v>
      </c>
      <c r="AA1838" t="str">
        <f t="shared" si="483"/>
        <v xml:space="preserve">         </v>
      </c>
      <c r="AB1838" t="str">
        <f t="shared" si="492"/>
        <v xml:space="preserve">         </v>
      </c>
      <c r="AC1838" t="str">
        <f t="shared" si="493"/>
        <v xml:space="preserve">    </v>
      </c>
      <c r="AD1838" t="str">
        <f t="shared" si="494"/>
        <v/>
      </c>
      <c r="AE1838" t="str">
        <f t="shared" si="484"/>
        <v/>
      </c>
      <c r="AF1838" t="str">
        <f t="shared" si="496"/>
        <v/>
      </c>
      <c r="AG1838" t="str">
        <f t="shared" si="496"/>
        <v/>
      </c>
      <c r="AH1838" t="str">
        <f t="shared" si="485"/>
        <v/>
      </c>
      <c r="AI1838" t="str">
        <f t="shared" si="486"/>
        <v/>
      </c>
      <c r="AJ1838" t="str">
        <f t="shared" si="487"/>
        <v/>
      </c>
    </row>
    <row r="1839" spans="1:36" x14ac:dyDescent="0.25">
      <c r="A1839" t="s">
        <v>1410</v>
      </c>
      <c r="P1839" t="str">
        <f t="shared" si="488"/>
        <v xml:space="preserve">                </v>
      </c>
      <c r="Q1839" t="str">
        <f t="shared" si="488"/>
        <v xml:space="preserve">         </v>
      </c>
      <c r="R1839" t="str">
        <f t="shared" si="481"/>
        <v xml:space="preserve">   134.0 </v>
      </c>
      <c r="S1839" t="str">
        <f t="shared" si="489"/>
        <v xml:space="preserve">   162.0 </v>
      </c>
      <c r="T1839" t="str">
        <f t="shared" si="490"/>
        <v xml:space="preserve">   162.0 </v>
      </c>
      <c r="U1839" t="str">
        <f t="shared" si="494"/>
        <v xml:space="preserve">       19.8% </v>
      </c>
      <c r="V1839" t="str">
        <f t="shared" si="482"/>
        <v xml:space="preserve">         </v>
      </c>
      <c r="W1839" t="str">
        <f t="shared" si="491"/>
        <v xml:space="preserve">         </v>
      </c>
      <c r="X1839" t="str">
        <f t="shared" si="495"/>
        <v xml:space="preserve">  1383 </v>
      </c>
      <c r="Y1839" t="str">
        <f t="shared" si="495"/>
        <v xml:space="preserve"> SMARI3-RS138 </v>
      </c>
      <c r="Z1839" t="str">
        <f t="shared" si="495"/>
        <v xml:space="preserve">  1 </v>
      </c>
      <c r="AA1839" t="str">
        <f t="shared" si="483"/>
        <v xml:space="preserve">   -21.6 </v>
      </c>
      <c r="AB1839" t="str">
        <f t="shared" si="492"/>
        <v xml:space="preserve">   -14.4 </v>
      </c>
      <c r="AC1839" t="str">
        <f t="shared" si="493"/>
        <v xml:space="preserve">    26.5 </v>
      </c>
      <c r="AD1839" t="str">
        <f t="shared" si="494"/>
        <v xml:space="preserve">        </v>
      </c>
      <c r="AE1839" t="str">
        <f t="shared" si="484"/>
        <v xml:space="preserve">       </v>
      </c>
      <c r="AF1839" t="str">
        <f t="shared" si="496"/>
        <v xml:space="preserve">     </v>
      </c>
      <c r="AG1839" t="str">
        <f t="shared" si="496"/>
        <v xml:space="preserve">     0.41 </v>
      </c>
      <c r="AH1839" t="str">
        <f t="shared" si="485"/>
        <v xml:space="preserve">    -3.08 </v>
      </c>
      <c r="AI1839" t="str">
        <f t="shared" si="486"/>
        <v xml:space="preserve">       </v>
      </c>
      <c r="AJ1839" t="str">
        <f t="shared" si="487"/>
        <v xml:space="preserve">      </v>
      </c>
    </row>
    <row r="1840" spans="1:36" x14ac:dyDescent="0.25">
      <c r="A1840" t="s">
        <v>1411</v>
      </c>
      <c r="P1840" t="str">
        <f t="shared" si="488"/>
        <v xml:space="preserve">                </v>
      </c>
      <c r="Q1840" t="str">
        <f t="shared" si="488"/>
        <v xml:space="preserve">         </v>
      </c>
      <c r="R1840" t="str">
        <f t="shared" si="481"/>
        <v xml:space="preserve">    37.5 </v>
      </c>
      <c r="S1840" t="str">
        <f t="shared" si="489"/>
        <v xml:space="preserve">    55.0 </v>
      </c>
      <c r="T1840" t="str">
        <f t="shared" si="490"/>
        <v xml:space="preserve">    55.0 </v>
      </c>
      <c r="U1840" t="str">
        <f t="shared" si="494"/>
        <v xml:space="preserve">       35.3% </v>
      </c>
      <c r="V1840" t="str">
        <f t="shared" si="482"/>
        <v xml:space="preserve">         </v>
      </c>
      <c r="W1840" t="str">
        <f t="shared" si="491"/>
        <v xml:space="preserve">         </v>
      </c>
      <c r="X1840" t="str">
        <f t="shared" si="495"/>
        <v xml:space="preserve"> 10170 </v>
      </c>
      <c r="Y1840" t="str">
        <f t="shared" si="495"/>
        <v xml:space="preserve"> FORMIG-RS069 </v>
      </c>
      <c r="Z1840" t="str">
        <f t="shared" si="495"/>
        <v xml:space="preserve">  1 </v>
      </c>
      <c r="AA1840" t="str">
        <f t="shared" si="483"/>
        <v xml:space="preserve">    10.8 </v>
      </c>
      <c r="AB1840" t="str">
        <f t="shared" si="492"/>
        <v xml:space="preserve">     7.2 </v>
      </c>
      <c r="AC1840" t="str">
        <f t="shared" si="493"/>
        <v xml:space="preserve">    13.2 </v>
      </c>
      <c r="AD1840" t="str">
        <f t="shared" si="494"/>
        <v xml:space="preserve"> 0.964* </v>
      </c>
      <c r="AE1840" t="str">
        <f t="shared" si="484"/>
        <v xml:space="preserve">       </v>
      </c>
      <c r="AF1840" t="str">
        <f t="shared" si="496"/>
        <v xml:space="preserve">     </v>
      </c>
      <c r="AG1840" t="str">
        <f t="shared" si="496"/>
        <v xml:space="preserve">     0.02 </v>
      </c>
      <c r="AH1840" t="str">
        <f t="shared" si="485"/>
        <v xml:space="preserve">     0.33 </v>
      </c>
      <c r="AI1840" t="str">
        <f t="shared" si="486"/>
        <v xml:space="preserve">       </v>
      </c>
      <c r="AJ1840" t="str">
        <f t="shared" si="487"/>
        <v xml:space="preserve">      </v>
      </c>
    </row>
    <row r="1841" spans="1:36" x14ac:dyDescent="0.25">
      <c r="A1841" t="s">
        <v>1412</v>
      </c>
      <c r="P1841" t="str">
        <f t="shared" si="488"/>
        <v xml:space="preserve">                </v>
      </c>
      <c r="Q1841" t="str">
        <f t="shared" si="488"/>
        <v xml:space="preserve">         </v>
      </c>
      <c r="R1841" t="str">
        <f t="shared" si="481"/>
        <v xml:space="preserve">    37.5 </v>
      </c>
      <c r="S1841" t="str">
        <f t="shared" si="489"/>
        <v xml:space="preserve">    55.0 </v>
      </c>
      <c r="T1841" t="str">
        <f t="shared" si="490"/>
        <v xml:space="preserve">    55.0 </v>
      </c>
      <c r="U1841" t="str">
        <f t="shared" si="494"/>
        <v xml:space="preserve">       35.3% </v>
      </c>
      <c r="V1841" t="str">
        <f t="shared" si="482"/>
        <v xml:space="preserve">         </v>
      </c>
      <c r="W1841" t="str">
        <f t="shared" si="491"/>
        <v xml:space="preserve">         </v>
      </c>
      <c r="X1841" t="str">
        <f t="shared" si="495"/>
        <v xml:space="preserve"> 10170 </v>
      </c>
      <c r="Y1841" t="str">
        <f t="shared" si="495"/>
        <v xml:space="preserve"> FORMIG-RS069 </v>
      </c>
      <c r="Z1841" t="str">
        <f t="shared" si="495"/>
        <v xml:space="preserve">  2 </v>
      </c>
      <c r="AA1841" t="str">
        <f t="shared" si="483"/>
        <v xml:space="preserve">    10.8 </v>
      </c>
      <c r="AB1841" t="str">
        <f t="shared" si="492"/>
        <v xml:space="preserve">     7.2 </v>
      </c>
      <c r="AC1841" t="str">
        <f t="shared" si="493"/>
        <v xml:space="preserve">    13.2 </v>
      </c>
      <c r="AD1841" t="str">
        <f t="shared" si="494"/>
        <v xml:space="preserve"> 0.964* </v>
      </c>
      <c r="AE1841" t="str">
        <f t="shared" si="484"/>
        <v xml:space="preserve">       </v>
      </c>
      <c r="AF1841" t="str">
        <f t="shared" si="496"/>
        <v xml:space="preserve">     </v>
      </c>
      <c r="AG1841" t="str">
        <f t="shared" si="496"/>
        <v xml:space="preserve">     0.02 </v>
      </c>
      <c r="AH1841" t="str">
        <f t="shared" si="485"/>
        <v xml:space="preserve">     0.33 </v>
      </c>
      <c r="AI1841" t="str">
        <f t="shared" si="486"/>
        <v xml:space="preserve">       </v>
      </c>
      <c r="AJ1841" t="str">
        <f t="shared" si="487"/>
        <v xml:space="preserve">      </v>
      </c>
    </row>
    <row r="1842" spans="1:36" x14ac:dyDescent="0.25">
      <c r="A1842" t="s">
        <v>14</v>
      </c>
      <c r="P1842" t="str">
        <f t="shared" si="488"/>
        <v xml:space="preserve">  ..............</v>
      </c>
      <c r="Q1842" t="str">
        <f t="shared" si="488"/>
        <v>.........</v>
      </c>
      <c r="R1842" t="str">
        <f t="shared" si="481"/>
        <v>.........</v>
      </c>
      <c r="S1842" t="str">
        <f t="shared" si="489"/>
        <v>.........</v>
      </c>
      <c r="T1842" t="str">
        <f t="shared" si="490"/>
        <v>.........</v>
      </c>
      <c r="U1842" t="str">
        <f t="shared" si="494"/>
        <v>.............</v>
      </c>
      <c r="V1842" t="str">
        <f t="shared" si="482"/>
        <v>.........</v>
      </c>
      <c r="W1842" t="str">
        <f t="shared" si="491"/>
        <v>.........</v>
      </c>
      <c r="X1842" t="str">
        <f t="shared" si="495"/>
        <v>.......</v>
      </c>
      <c r="Y1842" t="str">
        <f t="shared" si="495"/>
        <v>..............</v>
      </c>
      <c r="Z1842" t="str">
        <f t="shared" si="495"/>
        <v>....</v>
      </c>
      <c r="AA1842" t="str">
        <f t="shared" si="483"/>
        <v>.........</v>
      </c>
      <c r="AB1842" t="str">
        <f t="shared" si="492"/>
        <v>.........</v>
      </c>
      <c r="AC1842" t="str">
        <f t="shared" si="493"/>
        <v>.........</v>
      </c>
      <c r="AD1842" t="str">
        <f t="shared" si="494"/>
        <v>........</v>
      </c>
      <c r="AE1842" t="str">
        <f t="shared" si="484"/>
        <v>.......</v>
      </c>
      <c r="AF1842" t="str">
        <f t="shared" si="496"/>
        <v>.....</v>
      </c>
      <c r="AG1842" t="str">
        <f t="shared" si="496"/>
        <v>..........</v>
      </c>
      <c r="AH1842" t="str">
        <f t="shared" si="485"/>
        <v>..........</v>
      </c>
      <c r="AI1842" t="str">
        <f t="shared" si="486"/>
        <v>.......</v>
      </c>
      <c r="AJ1842" t="str">
        <f t="shared" si="487"/>
        <v>.......</v>
      </c>
    </row>
    <row r="1843" spans="1:36" x14ac:dyDescent="0.25">
      <c r="A1843" t="s">
        <v>1413</v>
      </c>
      <c r="P1843" t="str">
        <f t="shared" si="488"/>
        <v xml:space="preserve">  10170   69  0 </v>
      </c>
      <c r="Q1843" t="str">
        <f t="shared" si="488"/>
        <v xml:space="preserve">   1.003 </v>
      </c>
      <c r="R1843" t="str">
        <f t="shared" si="481"/>
        <v xml:space="preserve">     4.3 </v>
      </c>
      <c r="S1843" t="str">
        <f t="shared" si="489"/>
        <v xml:space="preserve">     0.0 </v>
      </c>
      <c r="T1843" t="str">
        <f t="shared" si="490"/>
        <v xml:space="preserve">    32.7 </v>
      </c>
      <c r="U1843" t="str">
        <f t="shared" si="494"/>
        <v xml:space="preserve">         0.0 </v>
      </c>
      <c r="V1843" t="str">
        <f t="shared" si="482"/>
        <v xml:space="preserve">     0.0 </v>
      </c>
      <c r="W1843" t="str">
        <f t="shared" si="491"/>
        <v xml:space="preserve">     0.0</v>
      </c>
      <c r="X1843" t="str">
        <f t="shared" si="495"/>
        <v/>
      </c>
      <c r="Y1843" t="str">
        <f t="shared" si="495"/>
        <v/>
      </c>
      <c r="Z1843" t="str">
        <f t="shared" si="495"/>
        <v/>
      </c>
      <c r="AA1843" t="str">
        <f t="shared" si="483"/>
        <v/>
      </c>
      <c r="AB1843" t="str">
        <f t="shared" si="492"/>
        <v/>
      </c>
      <c r="AC1843" t="str">
        <f t="shared" si="493"/>
        <v/>
      </c>
      <c r="AD1843" t="str">
        <f t="shared" si="494"/>
        <v/>
      </c>
      <c r="AE1843" t="str">
        <f t="shared" si="484"/>
        <v/>
      </c>
      <c r="AF1843" t="str">
        <f t="shared" si="496"/>
        <v/>
      </c>
      <c r="AG1843" t="str">
        <f t="shared" si="496"/>
        <v/>
      </c>
      <c r="AH1843" t="str">
        <f t="shared" si="485"/>
        <v/>
      </c>
      <c r="AI1843" t="str">
        <f t="shared" si="486"/>
        <v/>
      </c>
      <c r="AJ1843" t="str">
        <f t="shared" si="487"/>
        <v/>
      </c>
    </row>
    <row r="1844" spans="1:36" x14ac:dyDescent="0.25">
      <c r="A1844" t="s">
        <v>1414</v>
      </c>
      <c r="P1844" t="str">
        <f t="shared" si="488"/>
        <v xml:space="preserve">  FORMIG-RS069  </v>
      </c>
      <c r="Q1844" t="str">
        <f t="shared" si="488"/>
        <v xml:space="preserve">   -52.8 </v>
      </c>
      <c r="R1844" t="str">
        <f t="shared" si="481"/>
        <v xml:space="preserve">     0.0 </v>
      </c>
      <c r="S1844" t="str">
        <f t="shared" si="489"/>
        <v xml:space="preserve">     0.0 </v>
      </c>
      <c r="T1844" t="str">
        <f t="shared" si="490"/>
        <v xml:space="preserve">    13.7 </v>
      </c>
      <c r="U1844" t="str">
        <f t="shared" si="494"/>
        <v xml:space="preserve">         0.0 </v>
      </c>
      <c r="V1844" t="str">
        <f t="shared" si="482"/>
        <v xml:space="preserve">     0.0 </v>
      </c>
      <c r="W1844" t="str">
        <f t="shared" si="491"/>
        <v xml:space="preserve">     0.0 </v>
      </c>
      <c r="X1844" t="str">
        <f t="shared" si="495"/>
        <v xml:space="preserve">       </v>
      </c>
      <c r="Y1844" t="str">
        <f t="shared" si="495"/>
        <v xml:space="preserve">              </v>
      </c>
      <c r="Z1844" t="str">
        <f t="shared" si="495"/>
        <v xml:space="preserve">    </v>
      </c>
      <c r="AA1844" t="str">
        <f t="shared" si="483"/>
        <v xml:space="preserve">         </v>
      </c>
      <c r="AB1844" t="str">
        <f t="shared" si="492"/>
        <v xml:space="preserve">         </v>
      </c>
      <c r="AC1844" t="str">
        <f t="shared" si="493"/>
        <v xml:space="preserve">    </v>
      </c>
      <c r="AD1844" t="str">
        <f t="shared" si="494"/>
        <v/>
      </c>
      <c r="AE1844" t="str">
        <f t="shared" si="484"/>
        <v/>
      </c>
      <c r="AF1844" t="str">
        <f t="shared" si="496"/>
        <v/>
      </c>
      <c r="AG1844" t="str">
        <f t="shared" si="496"/>
        <v/>
      </c>
      <c r="AH1844" t="str">
        <f t="shared" si="485"/>
        <v/>
      </c>
      <c r="AI1844" t="str">
        <f t="shared" si="486"/>
        <v/>
      </c>
      <c r="AJ1844" t="str">
        <f t="shared" si="487"/>
        <v/>
      </c>
    </row>
    <row r="1845" spans="1:36" x14ac:dyDescent="0.25">
      <c r="A1845" t="s">
        <v>1415</v>
      </c>
      <c r="P1845" t="str">
        <f t="shared" si="488"/>
        <v xml:space="preserve">                </v>
      </c>
      <c r="Q1845" t="str">
        <f t="shared" si="488"/>
        <v xml:space="preserve">         </v>
      </c>
      <c r="R1845" t="str">
        <f t="shared" si="481"/>
        <v xml:space="preserve">    37.5 </v>
      </c>
      <c r="S1845" t="str">
        <f t="shared" si="489"/>
        <v xml:space="preserve">    55.0 </v>
      </c>
      <c r="T1845" t="str">
        <f t="shared" si="490"/>
        <v xml:space="preserve">    55.0 </v>
      </c>
      <c r="U1845" t="str">
        <f t="shared" si="494"/>
        <v xml:space="preserve">       34.0% </v>
      </c>
      <c r="V1845" t="str">
        <f t="shared" si="482"/>
        <v xml:space="preserve">         </v>
      </c>
      <c r="W1845" t="str">
        <f t="shared" si="491"/>
        <v xml:space="preserve">         </v>
      </c>
      <c r="X1845" t="str">
        <f t="shared" si="495"/>
        <v xml:space="preserve"> 10169 </v>
      </c>
      <c r="Y1845" t="str">
        <f t="shared" si="495"/>
        <v xml:space="preserve"> FORMIG-RS138 </v>
      </c>
      <c r="Z1845" t="str">
        <f t="shared" si="495"/>
        <v xml:space="preserve">  1 </v>
      </c>
      <c r="AA1845" t="str">
        <f t="shared" si="483"/>
        <v xml:space="preserve">   -10.8 </v>
      </c>
      <c r="AB1845" t="str">
        <f t="shared" si="492"/>
        <v xml:space="preserve">    -6.9 </v>
      </c>
      <c r="AC1845" t="str">
        <f t="shared" si="493"/>
        <v xml:space="preserve">    12.8 </v>
      </c>
      <c r="AD1845" t="str">
        <f t="shared" si="494"/>
        <v xml:space="preserve">        </v>
      </c>
      <c r="AE1845" t="str">
        <f t="shared" si="484"/>
        <v xml:space="preserve">       </v>
      </c>
      <c r="AF1845" t="str">
        <f t="shared" si="496"/>
        <v xml:space="preserve">     </v>
      </c>
      <c r="AG1845" t="str">
        <f t="shared" si="496"/>
        <v xml:space="preserve">     0.02 </v>
      </c>
      <c r="AH1845" t="str">
        <f t="shared" si="485"/>
        <v xml:space="preserve">     0.33 </v>
      </c>
      <c r="AI1845" t="str">
        <f t="shared" si="486"/>
        <v xml:space="preserve">       </v>
      </c>
      <c r="AJ1845" t="str">
        <f t="shared" si="487"/>
        <v xml:space="preserve">      </v>
      </c>
    </row>
    <row r="1846" spans="1:36" x14ac:dyDescent="0.25">
      <c r="A1846" t="s">
        <v>1416</v>
      </c>
      <c r="P1846" t="str">
        <f t="shared" si="488"/>
        <v xml:space="preserve">                </v>
      </c>
      <c r="Q1846" t="str">
        <f t="shared" si="488"/>
        <v xml:space="preserve">         </v>
      </c>
      <c r="R1846" t="str">
        <f t="shared" si="481"/>
        <v xml:space="preserve">    37.5 </v>
      </c>
      <c r="S1846" t="str">
        <f t="shared" si="489"/>
        <v xml:space="preserve">    55.0 </v>
      </c>
      <c r="T1846" t="str">
        <f t="shared" si="490"/>
        <v xml:space="preserve">    55.0 </v>
      </c>
      <c r="U1846" t="str">
        <f t="shared" si="494"/>
        <v xml:space="preserve">       34.0% </v>
      </c>
      <c r="V1846" t="str">
        <f t="shared" si="482"/>
        <v xml:space="preserve">         </v>
      </c>
      <c r="W1846" t="str">
        <f t="shared" si="491"/>
        <v xml:space="preserve">         </v>
      </c>
      <c r="X1846" t="str">
        <f t="shared" si="495"/>
        <v xml:space="preserve"> 10169 </v>
      </c>
      <c r="Y1846" t="str">
        <f t="shared" si="495"/>
        <v xml:space="preserve"> FORMIG-RS138 </v>
      </c>
      <c r="Z1846" t="str">
        <f t="shared" si="495"/>
        <v xml:space="preserve">  2 </v>
      </c>
      <c r="AA1846" t="str">
        <f t="shared" si="483"/>
        <v xml:space="preserve">   -10.8 </v>
      </c>
      <c r="AB1846" t="str">
        <f t="shared" si="492"/>
        <v xml:space="preserve">    -6.9 </v>
      </c>
      <c r="AC1846" t="str">
        <f t="shared" si="493"/>
        <v xml:space="preserve">    12.8 </v>
      </c>
      <c r="AD1846" t="str">
        <f t="shared" si="494"/>
        <v xml:space="preserve">        </v>
      </c>
      <c r="AE1846" t="str">
        <f t="shared" si="484"/>
        <v xml:space="preserve">       </v>
      </c>
      <c r="AF1846" t="str">
        <f t="shared" si="496"/>
        <v xml:space="preserve">     </v>
      </c>
      <c r="AG1846" t="str">
        <f t="shared" si="496"/>
        <v xml:space="preserve">     0.02 </v>
      </c>
      <c r="AH1846" t="str">
        <f t="shared" si="485"/>
        <v xml:space="preserve">     0.33 </v>
      </c>
      <c r="AI1846" t="str">
        <f t="shared" si="486"/>
        <v xml:space="preserve">       </v>
      </c>
      <c r="AJ1846" t="str">
        <f t="shared" si="487"/>
        <v xml:space="preserve">      </v>
      </c>
    </row>
    <row r="1847" spans="1:36" x14ac:dyDescent="0.25">
      <c r="A1847" t="s">
        <v>1417</v>
      </c>
      <c r="P1847" t="str">
        <f t="shared" si="488"/>
        <v xml:space="preserve">                </v>
      </c>
      <c r="Q1847" t="str">
        <f t="shared" si="488"/>
        <v xml:space="preserve">         </v>
      </c>
      <c r="R1847" t="str">
        <f t="shared" si="481"/>
        <v xml:space="preserve">  9999.0 </v>
      </c>
      <c r="S1847" t="str">
        <f t="shared" si="489"/>
        <v xml:space="preserve">  9999.0 </v>
      </c>
      <c r="T1847" t="str">
        <f t="shared" si="490"/>
        <v xml:space="preserve">  9999.0 </v>
      </c>
      <c r="U1847" t="str">
        <f t="shared" si="494"/>
        <v xml:space="preserve">        0.0% </v>
      </c>
      <c r="V1847" t="str">
        <f t="shared" si="482"/>
        <v xml:space="preserve">         </v>
      </c>
      <c r="W1847" t="str">
        <f t="shared" si="491"/>
        <v xml:space="preserve">         </v>
      </c>
      <c r="X1847" t="str">
        <f t="shared" si="495"/>
        <v xml:space="preserve"> 10314 </v>
      </c>
      <c r="Y1847" t="str">
        <f t="shared" si="495"/>
        <v xml:space="preserve"> SAOSEPUTE001 </v>
      </c>
      <c r="Z1847" t="str">
        <f t="shared" si="495"/>
        <v xml:space="preserve">  1 </v>
      </c>
      <c r="AA1847" t="str">
        <f t="shared" si="483"/>
        <v xml:space="preserve">    -6.8 </v>
      </c>
      <c r="AB1847" t="str">
        <f t="shared" si="492"/>
        <v xml:space="preserve">     0.0 </v>
      </c>
      <c r="AC1847" t="str">
        <f t="shared" si="493"/>
        <v xml:space="preserve">     6.8 </v>
      </c>
      <c r="AD1847" t="str">
        <f t="shared" si="494"/>
        <v xml:space="preserve">        </v>
      </c>
      <c r="AE1847" t="str">
        <f t="shared" si="484"/>
        <v xml:space="preserve">       </v>
      </c>
      <c r="AF1847" t="str">
        <f t="shared" si="496"/>
        <v xml:space="preserve">     </v>
      </c>
      <c r="AG1847" t="str">
        <f t="shared" si="496"/>
        <v xml:space="preserve">     0.00 </v>
      </c>
      <c r="AH1847" t="str">
        <f t="shared" si="485"/>
        <v xml:space="preserve">     0.01 </v>
      </c>
      <c r="AI1847" t="str">
        <f t="shared" si="486"/>
        <v xml:space="preserve">       </v>
      </c>
      <c r="AJ1847" t="str">
        <f t="shared" si="487"/>
        <v xml:space="preserve">      </v>
      </c>
    </row>
    <row r="1848" spans="1:36" x14ac:dyDescent="0.25">
      <c r="A1848" t="s">
        <v>14</v>
      </c>
      <c r="P1848" t="str">
        <f t="shared" si="488"/>
        <v xml:space="preserve">  ..............</v>
      </c>
      <c r="Q1848" t="str">
        <f t="shared" si="488"/>
        <v>.........</v>
      </c>
      <c r="R1848" t="str">
        <f t="shared" si="481"/>
        <v>.........</v>
      </c>
      <c r="S1848" t="str">
        <f t="shared" si="489"/>
        <v>.........</v>
      </c>
      <c r="T1848" t="str">
        <f t="shared" si="490"/>
        <v>.........</v>
      </c>
      <c r="U1848" t="str">
        <f t="shared" si="494"/>
        <v>.............</v>
      </c>
      <c r="V1848" t="str">
        <f t="shared" si="482"/>
        <v>.........</v>
      </c>
      <c r="W1848" t="str">
        <f t="shared" si="491"/>
        <v>.........</v>
      </c>
      <c r="X1848" t="str">
        <f t="shared" si="495"/>
        <v>.......</v>
      </c>
      <c r="Y1848" t="str">
        <f t="shared" si="495"/>
        <v>..............</v>
      </c>
      <c r="Z1848" t="str">
        <f t="shared" si="495"/>
        <v>....</v>
      </c>
      <c r="AA1848" t="str">
        <f t="shared" si="483"/>
        <v>.........</v>
      </c>
      <c r="AB1848" t="str">
        <f t="shared" si="492"/>
        <v>.........</v>
      </c>
      <c r="AC1848" t="str">
        <f t="shared" si="493"/>
        <v>.........</v>
      </c>
      <c r="AD1848" t="str">
        <f t="shared" si="494"/>
        <v>........</v>
      </c>
      <c r="AE1848" t="str">
        <f t="shared" si="484"/>
        <v>.......</v>
      </c>
      <c r="AF1848" t="str">
        <f t="shared" si="496"/>
        <v>.....</v>
      </c>
      <c r="AG1848" t="str">
        <f t="shared" si="496"/>
        <v>..........</v>
      </c>
      <c r="AH1848" t="str">
        <f t="shared" si="485"/>
        <v>..........</v>
      </c>
      <c r="AI1848" t="str">
        <f t="shared" si="486"/>
        <v>.......</v>
      </c>
      <c r="AJ1848" t="str">
        <f t="shared" si="487"/>
        <v>.......</v>
      </c>
    </row>
    <row r="1849" spans="1:36" x14ac:dyDescent="0.25">
      <c r="A1849" t="s">
        <v>1418</v>
      </c>
      <c r="P1849" t="str">
        <f t="shared" si="488"/>
        <v xml:space="preserve">  10206   23  0 </v>
      </c>
      <c r="Q1849" t="str">
        <f t="shared" si="488"/>
        <v xml:space="preserve">   1.123 </v>
      </c>
      <c r="R1849" t="str">
        <f t="shared" si="481"/>
        <v xml:space="preserve">     4.6 </v>
      </c>
      <c r="S1849" t="str">
        <f t="shared" si="489"/>
        <v xml:space="preserve">     0.0 </v>
      </c>
      <c r="T1849" t="str">
        <f t="shared" si="490"/>
        <v xml:space="preserve">     2.6 </v>
      </c>
      <c r="U1849" t="str">
        <f t="shared" si="494"/>
        <v xml:space="preserve">         0.0 </v>
      </c>
      <c r="V1849" t="str">
        <f t="shared" si="482"/>
        <v xml:space="preserve">     0.0 </v>
      </c>
      <c r="W1849" t="str">
        <f t="shared" si="491"/>
        <v xml:space="preserve">     0.0</v>
      </c>
      <c r="X1849" t="str">
        <f t="shared" si="495"/>
        <v/>
      </c>
      <c r="Y1849" t="str">
        <f t="shared" si="495"/>
        <v/>
      </c>
      <c r="Z1849" t="str">
        <f t="shared" si="495"/>
        <v/>
      </c>
      <c r="AA1849" t="str">
        <f t="shared" si="483"/>
        <v/>
      </c>
      <c r="AB1849" t="str">
        <f t="shared" si="492"/>
        <v/>
      </c>
      <c r="AC1849" t="str">
        <f t="shared" si="493"/>
        <v/>
      </c>
      <c r="AD1849" t="str">
        <f t="shared" si="494"/>
        <v/>
      </c>
      <c r="AE1849" t="str">
        <f t="shared" si="484"/>
        <v/>
      </c>
      <c r="AF1849" t="str">
        <f t="shared" si="496"/>
        <v/>
      </c>
      <c r="AG1849" t="str">
        <f t="shared" si="496"/>
        <v/>
      </c>
      <c r="AH1849" t="str">
        <f t="shared" si="485"/>
        <v/>
      </c>
      <c r="AI1849" t="str">
        <f t="shared" si="486"/>
        <v/>
      </c>
      <c r="AJ1849" t="str">
        <f t="shared" si="487"/>
        <v/>
      </c>
    </row>
    <row r="1850" spans="1:36" x14ac:dyDescent="0.25">
      <c r="A1850" t="s">
        <v>1419</v>
      </c>
      <c r="P1850" t="str">
        <f t="shared" si="488"/>
        <v xml:space="preserve">  CERMIS-RS023  </v>
      </c>
      <c r="Q1850" t="str">
        <f t="shared" si="488"/>
        <v xml:space="preserve">   -47.0 </v>
      </c>
      <c r="R1850" t="str">
        <f t="shared" si="481"/>
        <v xml:space="preserve">     0.0 </v>
      </c>
      <c r="S1850" t="str">
        <f t="shared" si="489"/>
        <v xml:space="preserve">     0.0 </v>
      </c>
      <c r="T1850" t="str">
        <f t="shared" si="490"/>
        <v xml:space="preserve">     1.1 </v>
      </c>
      <c r="U1850" t="str">
        <f t="shared" si="494"/>
        <v xml:space="preserve">         0.0 </v>
      </c>
      <c r="V1850" t="str">
        <f t="shared" si="482"/>
        <v xml:space="preserve">     0.0 </v>
      </c>
      <c r="W1850" t="str">
        <f t="shared" si="491"/>
        <v xml:space="preserve">     0.0 </v>
      </c>
      <c r="X1850" t="str">
        <f t="shared" si="495"/>
        <v xml:space="preserve">       </v>
      </c>
      <c r="Y1850" t="str">
        <f t="shared" si="495"/>
        <v xml:space="preserve">              </v>
      </c>
      <c r="Z1850" t="str">
        <f t="shared" si="495"/>
        <v xml:space="preserve">    </v>
      </c>
      <c r="AA1850" t="str">
        <f t="shared" si="483"/>
        <v xml:space="preserve">         </v>
      </c>
      <c r="AB1850" t="str">
        <f t="shared" si="492"/>
        <v xml:space="preserve">         </v>
      </c>
      <c r="AC1850" t="str">
        <f t="shared" si="493"/>
        <v xml:space="preserve">    </v>
      </c>
      <c r="AD1850" t="str">
        <f t="shared" si="494"/>
        <v/>
      </c>
      <c r="AE1850" t="str">
        <f t="shared" si="484"/>
        <v/>
      </c>
      <c r="AF1850" t="str">
        <f t="shared" si="496"/>
        <v/>
      </c>
      <c r="AG1850" t="str">
        <f t="shared" si="496"/>
        <v/>
      </c>
      <c r="AH1850" t="str">
        <f t="shared" si="485"/>
        <v/>
      </c>
      <c r="AI1850" t="str">
        <f t="shared" si="486"/>
        <v/>
      </c>
      <c r="AJ1850" t="str">
        <f t="shared" si="487"/>
        <v/>
      </c>
    </row>
    <row r="1851" spans="1:36" x14ac:dyDescent="0.25">
      <c r="A1851" t="s">
        <v>1420</v>
      </c>
      <c r="P1851" t="str">
        <f t="shared" si="488"/>
        <v xml:space="preserve">                </v>
      </c>
      <c r="Q1851" t="str">
        <f t="shared" si="488"/>
        <v xml:space="preserve">         </v>
      </c>
      <c r="R1851" t="str">
        <f t="shared" si="481"/>
        <v xml:space="preserve">  9999.0 </v>
      </c>
      <c r="S1851" t="str">
        <f t="shared" si="489"/>
        <v xml:space="preserve">  9999.0 </v>
      </c>
      <c r="T1851" t="str">
        <f t="shared" si="490"/>
        <v xml:space="preserve">  9999.0 </v>
      </c>
      <c r="U1851" t="str">
        <f t="shared" si="494"/>
        <v xml:space="preserve">        0.0% </v>
      </c>
      <c r="V1851" t="str">
        <f t="shared" si="482"/>
        <v xml:space="preserve">         </v>
      </c>
      <c r="W1851" t="str">
        <f t="shared" si="491"/>
        <v xml:space="preserve">         </v>
      </c>
      <c r="X1851" t="str">
        <f t="shared" si="495"/>
        <v xml:space="preserve">  9285 </v>
      </c>
      <c r="Y1851" t="str">
        <f t="shared" si="495"/>
        <v xml:space="preserve"> SANGEL-RS023 </v>
      </c>
      <c r="Z1851" t="str">
        <f t="shared" si="495"/>
        <v xml:space="preserve">  1 </v>
      </c>
      <c r="AA1851" t="str">
        <f t="shared" si="483"/>
        <v xml:space="preserve">     2.0 </v>
      </c>
      <c r="AB1851" t="str">
        <f t="shared" si="492"/>
        <v xml:space="preserve">    -1.1 </v>
      </c>
      <c r="AC1851" t="str">
        <f t="shared" si="493"/>
        <v xml:space="preserve">     2.0 </v>
      </c>
      <c r="AD1851" t="str">
        <f t="shared" si="494"/>
        <v xml:space="preserve">        </v>
      </c>
      <c r="AE1851" t="str">
        <f t="shared" si="484"/>
        <v xml:space="preserve">       </v>
      </c>
      <c r="AF1851" t="str">
        <f t="shared" si="496"/>
        <v xml:space="preserve">     </v>
      </c>
      <c r="AG1851" t="str">
        <f t="shared" si="496"/>
        <v xml:space="preserve">     0.00 </v>
      </c>
      <c r="AH1851" t="str">
        <f t="shared" si="485"/>
        <v xml:space="preserve">     0.00 </v>
      </c>
      <c r="AI1851" t="str">
        <f t="shared" si="486"/>
        <v xml:space="preserve">       </v>
      </c>
      <c r="AJ1851" t="str">
        <f t="shared" si="487"/>
        <v xml:space="preserve">      </v>
      </c>
    </row>
    <row r="1852" spans="1:36" x14ac:dyDescent="0.25">
      <c r="A1852" t="s">
        <v>14</v>
      </c>
      <c r="P1852" t="str">
        <f t="shared" si="488"/>
        <v xml:space="preserve">  ..............</v>
      </c>
      <c r="Q1852" t="str">
        <f t="shared" si="488"/>
        <v>.........</v>
      </c>
      <c r="R1852" t="str">
        <f t="shared" si="481"/>
        <v>.........</v>
      </c>
      <c r="S1852" t="str">
        <f t="shared" si="489"/>
        <v>.........</v>
      </c>
      <c r="T1852" t="str">
        <f t="shared" si="490"/>
        <v>.........</v>
      </c>
      <c r="U1852" t="str">
        <f t="shared" si="494"/>
        <v>.............</v>
      </c>
      <c r="V1852" t="str">
        <f t="shared" si="482"/>
        <v>.........</v>
      </c>
      <c r="W1852" t="str">
        <f t="shared" si="491"/>
        <v>.........</v>
      </c>
      <c r="X1852" t="str">
        <f t="shared" si="495"/>
        <v>.......</v>
      </c>
      <c r="Y1852" t="str">
        <f t="shared" si="495"/>
        <v>..............</v>
      </c>
      <c r="Z1852" t="str">
        <f t="shared" si="495"/>
        <v>....</v>
      </c>
      <c r="AA1852" t="str">
        <f t="shared" si="483"/>
        <v>.........</v>
      </c>
      <c r="AB1852" t="str">
        <f t="shared" si="492"/>
        <v>.........</v>
      </c>
      <c r="AC1852" t="str">
        <f t="shared" si="493"/>
        <v>.........</v>
      </c>
      <c r="AD1852" t="str">
        <f t="shared" si="494"/>
        <v>........</v>
      </c>
      <c r="AE1852" t="str">
        <f t="shared" si="484"/>
        <v>.......</v>
      </c>
      <c r="AF1852" t="str">
        <f t="shared" si="496"/>
        <v>.....</v>
      </c>
      <c r="AG1852" t="str">
        <f t="shared" si="496"/>
        <v>..........</v>
      </c>
      <c r="AH1852" t="str">
        <f t="shared" si="485"/>
        <v>..........</v>
      </c>
      <c r="AI1852" t="str">
        <f t="shared" si="486"/>
        <v>.......</v>
      </c>
      <c r="AJ1852" t="str">
        <f t="shared" si="487"/>
        <v>.......</v>
      </c>
    </row>
    <row r="1853" spans="1:36" x14ac:dyDescent="0.25">
      <c r="A1853" t="s">
        <v>1421</v>
      </c>
      <c r="P1853" t="str">
        <f t="shared" si="488"/>
        <v xml:space="preserve">  10208   14  0 </v>
      </c>
      <c r="Q1853" t="str">
        <f t="shared" si="488"/>
        <v xml:space="preserve">   1.028 </v>
      </c>
      <c r="R1853" t="str">
        <f t="shared" si="481"/>
        <v xml:space="preserve">     0.0 </v>
      </c>
      <c r="S1853" t="str">
        <f t="shared" si="489"/>
        <v xml:space="preserve">     0.0 </v>
      </c>
      <c r="T1853" t="str">
        <f t="shared" si="490"/>
        <v xml:space="preserve">     1.7 </v>
      </c>
      <c r="U1853" t="str">
        <f t="shared" si="494"/>
        <v xml:space="preserve">         0.0 </v>
      </c>
      <c r="V1853" t="str">
        <f t="shared" si="482"/>
        <v xml:space="preserve">     0.0 </v>
      </c>
      <c r="W1853" t="str">
        <f t="shared" si="491"/>
        <v xml:space="preserve">     0.0</v>
      </c>
      <c r="X1853" t="str">
        <f t="shared" si="495"/>
        <v/>
      </c>
      <c r="Y1853" t="str">
        <f t="shared" si="495"/>
        <v/>
      </c>
      <c r="Z1853" t="str">
        <f t="shared" si="495"/>
        <v/>
      </c>
      <c r="AA1853" t="str">
        <f t="shared" si="483"/>
        <v/>
      </c>
      <c r="AB1853" t="str">
        <f t="shared" si="492"/>
        <v/>
      </c>
      <c r="AC1853" t="str">
        <f t="shared" si="493"/>
        <v/>
      </c>
      <c r="AD1853" t="str">
        <f t="shared" si="494"/>
        <v/>
      </c>
      <c r="AE1853" t="str">
        <f t="shared" si="484"/>
        <v/>
      </c>
      <c r="AF1853" t="str">
        <f t="shared" si="496"/>
        <v/>
      </c>
      <c r="AG1853" t="str">
        <f t="shared" si="496"/>
        <v/>
      </c>
      <c r="AH1853" t="str">
        <f t="shared" si="485"/>
        <v/>
      </c>
      <c r="AI1853" t="str">
        <f t="shared" si="486"/>
        <v/>
      </c>
      <c r="AJ1853" t="str">
        <f t="shared" si="487"/>
        <v/>
      </c>
    </row>
    <row r="1854" spans="1:36" x14ac:dyDescent="0.25">
      <c r="A1854" t="s">
        <v>1422</v>
      </c>
      <c r="P1854" t="str">
        <f t="shared" si="488"/>
        <v xml:space="preserve">  SMARTA-RS013  </v>
      </c>
      <c r="Q1854" t="str">
        <f t="shared" si="488"/>
        <v xml:space="preserve">   -49.4 </v>
      </c>
      <c r="R1854" t="str">
        <f t="shared" si="481"/>
        <v xml:space="preserve">     0.0 </v>
      </c>
      <c r="S1854" t="str">
        <f t="shared" si="489"/>
        <v xml:space="preserve">     0.0 </v>
      </c>
      <c r="T1854" t="str">
        <f t="shared" si="490"/>
        <v xml:space="preserve">     0.7 </v>
      </c>
      <c r="U1854" t="str">
        <f t="shared" si="494"/>
        <v xml:space="preserve">         0.0 </v>
      </c>
      <c r="V1854" t="str">
        <f t="shared" si="482"/>
        <v xml:space="preserve">     0.0 </v>
      </c>
      <c r="W1854" t="str">
        <f t="shared" si="491"/>
        <v xml:space="preserve">     0.0 </v>
      </c>
      <c r="X1854" t="str">
        <f t="shared" si="495"/>
        <v xml:space="preserve">       </v>
      </c>
      <c r="Y1854" t="str">
        <f t="shared" si="495"/>
        <v xml:space="preserve">              </v>
      </c>
      <c r="Z1854" t="str">
        <f t="shared" si="495"/>
        <v xml:space="preserve">    </v>
      </c>
      <c r="AA1854" t="str">
        <f t="shared" si="483"/>
        <v xml:space="preserve">         </v>
      </c>
      <c r="AB1854" t="str">
        <f t="shared" si="492"/>
        <v xml:space="preserve">         </v>
      </c>
      <c r="AC1854" t="str">
        <f t="shared" si="493"/>
        <v xml:space="preserve">    </v>
      </c>
      <c r="AD1854" t="str">
        <f t="shared" si="494"/>
        <v/>
      </c>
      <c r="AE1854" t="str">
        <f t="shared" si="484"/>
        <v/>
      </c>
      <c r="AF1854" t="str">
        <f t="shared" si="496"/>
        <v/>
      </c>
      <c r="AG1854" t="str">
        <f t="shared" si="496"/>
        <v/>
      </c>
      <c r="AH1854" t="str">
        <f t="shared" si="485"/>
        <v/>
      </c>
      <c r="AI1854" t="str">
        <f t="shared" si="486"/>
        <v/>
      </c>
      <c r="AJ1854" t="str">
        <f t="shared" si="487"/>
        <v/>
      </c>
    </row>
    <row r="1855" spans="1:36" x14ac:dyDescent="0.25">
      <c r="A1855" t="s">
        <v>1423</v>
      </c>
      <c r="P1855" t="str">
        <f t="shared" si="488"/>
        <v xml:space="preserve">                </v>
      </c>
      <c r="Q1855" t="str">
        <f t="shared" si="488"/>
        <v xml:space="preserve">         </v>
      </c>
      <c r="R1855" t="str">
        <f t="shared" si="481"/>
        <v xml:space="preserve">    12.5 </v>
      </c>
      <c r="S1855" t="str">
        <f t="shared" si="489"/>
        <v xml:space="preserve">    12.5 </v>
      </c>
      <c r="T1855" t="str">
        <f t="shared" si="490"/>
        <v xml:space="preserve">    12.5 </v>
      </c>
      <c r="U1855" t="str">
        <f t="shared" si="494"/>
        <v xml:space="preserve">       14.3% </v>
      </c>
      <c r="V1855" t="str">
        <f t="shared" si="482"/>
        <v xml:space="preserve">         </v>
      </c>
      <c r="W1855" t="str">
        <f t="shared" si="491"/>
        <v xml:space="preserve">         </v>
      </c>
      <c r="X1855" t="str">
        <f t="shared" si="495"/>
        <v xml:space="preserve">  1275 </v>
      </c>
      <c r="Y1855" t="str">
        <f t="shared" si="495"/>
        <v xml:space="preserve"> SMARTA-RS138 </v>
      </c>
      <c r="Z1855" t="str">
        <f t="shared" si="495"/>
        <v xml:space="preserve">  1 </v>
      </c>
      <c r="AA1855" t="str">
        <f t="shared" si="483"/>
        <v xml:space="preserve">    -1.7 </v>
      </c>
      <c r="AB1855" t="str">
        <f t="shared" si="492"/>
        <v xml:space="preserve">    -0.7 </v>
      </c>
      <c r="AC1855" t="str">
        <f t="shared" si="493"/>
        <v xml:space="preserve">     1.8 </v>
      </c>
      <c r="AD1855" t="str">
        <f t="shared" si="494"/>
        <v xml:space="preserve">        </v>
      </c>
      <c r="AE1855" t="str">
        <f t="shared" si="484"/>
        <v xml:space="preserve">       </v>
      </c>
      <c r="AF1855" t="str">
        <f t="shared" si="496"/>
        <v xml:space="preserve">     </v>
      </c>
      <c r="AG1855" t="str">
        <f t="shared" si="496"/>
        <v xml:space="preserve">     0.00 </v>
      </c>
      <c r="AH1855" t="str">
        <f t="shared" si="485"/>
        <v xml:space="preserve">     0.02 </v>
      </c>
      <c r="AI1855" t="str">
        <f t="shared" si="486"/>
        <v xml:space="preserve">       </v>
      </c>
      <c r="AJ1855" t="str">
        <f t="shared" si="487"/>
        <v xml:space="preserve">      </v>
      </c>
    </row>
    <row r="1856" spans="1:36" x14ac:dyDescent="0.25">
      <c r="A1856" t="s">
        <v>14</v>
      </c>
      <c r="P1856" t="str">
        <f t="shared" si="488"/>
        <v xml:space="preserve">  ..............</v>
      </c>
      <c r="Q1856" t="str">
        <f t="shared" si="488"/>
        <v>.........</v>
      </c>
      <c r="R1856" t="str">
        <f t="shared" si="481"/>
        <v>.........</v>
      </c>
      <c r="S1856" t="str">
        <f t="shared" si="489"/>
        <v>.........</v>
      </c>
      <c r="T1856" t="str">
        <f t="shared" si="490"/>
        <v>.........</v>
      </c>
      <c r="U1856" t="str">
        <f t="shared" si="494"/>
        <v>.............</v>
      </c>
      <c r="V1856" t="str">
        <f t="shared" si="482"/>
        <v>.........</v>
      </c>
      <c r="W1856" t="str">
        <f t="shared" si="491"/>
        <v>.........</v>
      </c>
      <c r="X1856" t="str">
        <f t="shared" si="495"/>
        <v>.......</v>
      </c>
      <c r="Y1856" t="str">
        <f t="shared" si="495"/>
        <v>..............</v>
      </c>
      <c r="Z1856" t="str">
        <f t="shared" si="495"/>
        <v>....</v>
      </c>
      <c r="AA1856" t="str">
        <f t="shared" si="483"/>
        <v>.........</v>
      </c>
      <c r="AB1856" t="str">
        <f t="shared" si="492"/>
        <v>.........</v>
      </c>
      <c r="AC1856" t="str">
        <f t="shared" si="493"/>
        <v>.........</v>
      </c>
      <c r="AD1856" t="str">
        <f t="shared" si="494"/>
        <v>........</v>
      </c>
      <c r="AE1856" t="str">
        <f t="shared" si="484"/>
        <v>.......</v>
      </c>
      <c r="AF1856" t="str">
        <f t="shared" si="496"/>
        <v>.....</v>
      </c>
      <c r="AG1856" t="str">
        <f t="shared" si="496"/>
        <v>..........</v>
      </c>
      <c r="AH1856" t="str">
        <f t="shared" si="485"/>
        <v>..........</v>
      </c>
      <c r="AI1856" t="str">
        <f t="shared" si="486"/>
        <v>.......</v>
      </c>
      <c r="AJ1856" t="str">
        <f t="shared" si="487"/>
        <v>.......</v>
      </c>
    </row>
    <row r="1857" spans="1:36" x14ac:dyDescent="0.25">
      <c r="A1857" t="s">
        <v>1424</v>
      </c>
      <c r="P1857" t="str">
        <f t="shared" si="488"/>
        <v xml:space="preserve">  10211   69  0 </v>
      </c>
      <c r="Q1857" t="str">
        <f t="shared" si="488"/>
        <v xml:space="preserve">   1.005 </v>
      </c>
      <c r="R1857" t="str">
        <f t="shared" si="481"/>
        <v xml:space="preserve">     4.6 </v>
      </c>
      <c r="S1857" t="str">
        <f t="shared" si="489"/>
        <v xml:space="preserve">     0.0 </v>
      </c>
      <c r="T1857" t="str">
        <f t="shared" si="490"/>
        <v xml:space="preserve">    19.9 </v>
      </c>
      <c r="U1857" t="str">
        <f t="shared" si="494"/>
        <v xml:space="preserve">         0.0 </v>
      </c>
      <c r="V1857" t="str">
        <f t="shared" si="482"/>
        <v xml:space="preserve">     0.0 </v>
      </c>
      <c r="W1857" t="str">
        <f t="shared" si="491"/>
        <v xml:space="preserve">     0.0</v>
      </c>
      <c r="X1857" t="str">
        <f t="shared" si="495"/>
        <v/>
      </c>
      <c r="Y1857" t="str">
        <f t="shared" si="495"/>
        <v/>
      </c>
      <c r="Z1857" t="str">
        <f t="shared" si="495"/>
        <v/>
      </c>
      <c r="AA1857" t="str">
        <f t="shared" si="483"/>
        <v/>
      </c>
      <c r="AB1857" t="str">
        <f t="shared" si="492"/>
        <v/>
      </c>
      <c r="AC1857" t="str">
        <f t="shared" si="493"/>
        <v/>
      </c>
      <c r="AD1857" t="str">
        <f t="shared" si="494"/>
        <v/>
      </c>
      <c r="AE1857" t="str">
        <f t="shared" si="484"/>
        <v/>
      </c>
      <c r="AF1857" t="str">
        <f t="shared" si="496"/>
        <v/>
      </c>
      <c r="AG1857" t="str">
        <f t="shared" si="496"/>
        <v/>
      </c>
      <c r="AH1857" t="str">
        <f t="shared" si="485"/>
        <v/>
      </c>
      <c r="AI1857" t="str">
        <f t="shared" si="486"/>
        <v/>
      </c>
      <c r="AJ1857" t="str">
        <f t="shared" si="487"/>
        <v/>
      </c>
    </row>
    <row r="1858" spans="1:36" x14ac:dyDescent="0.25">
      <c r="A1858" t="s">
        <v>1425</v>
      </c>
      <c r="P1858" t="str">
        <f t="shared" si="488"/>
        <v xml:space="preserve">  CERMIS-RS069  </v>
      </c>
      <c r="Q1858" t="str">
        <f t="shared" si="488"/>
        <v xml:space="preserve">   -44.5 </v>
      </c>
      <c r="R1858" t="str">
        <f t="shared" si="481"/>
        <v xml:space="preserve">     0.0 </v>
      </c>
      <c r="S1858" t="str">
        <f t="shared" si="489"/>
        <v xml:space="preserve">     0.0 </v>
      </c>
      <c r="T1858" t="str">
        <f t="shared" si="490"/>
        <v xml:space="preserve">     6.6 </v>
      </c>
      <c r="U1858" t="str">
        <f t="shared" si="494"/>
        <v xml:space="preserve">         0.0 </v>
      </c>
      <c r="V1858" t="str">
        <f t="shared" si="482"/>
        <v xml:space="preserve">     0.0 </v>
      </c>
      <c r="W1858" t="str">
        <f t="shared" si="491"/>
        <v xml:space="preserve">     0.0 </v>
      </c>
      <c r="X1858" t="str">
        <f t="shared" si="495"/>
        <v xml:space="preserve">       </v>
      </c>
      <c r="Y1858" t="str">
        <f t="shared" si="495"/>
        <v xml:space="preserve">              </v>
      </c>
      <c r="Z1858" t="str">
        <f t="shared" si="495"/>
        <v xml:space="preserve">    </v>
      </c>
      <c r="AA1858" t="str">
        <f t="shared" si="483"/>
        <v xml:space="preserve">         </v>
      </c>
      <c r="AB1858" t="str">
        <f t="shared" si="492"/>
        <v xml:space="preserve">         </v>
      </c>
      <c r="AC1858" t="str">
        <f t="shared" si="493"/>
        <v xml:space="preserve">    </v>
      </c>
      <c r="AD1858" t="str">
        <f t="shared" si="494"/>
        <v/>
      </c>
      <c r="AE1858" t="str">
        <f t="shared" si="484"/>
        <v/>
      </c>
      <c r="AF1858" t="str">
        <f t="shared" si="496"/>
        <v/>
      </c>
      <c r="AG1858" t="str">
        <f t="shared" si="496"/>
        <v/>
      </c>
      <c r="AH1858" t="str">
        <f t="shared" si="485"/>
        <v/>
      </c>
      <c r="AI1858" t="str">
        <f t="shared" si="486"/>
        <v/>
      </c>
      <c r="AJ1858" t="str">
        <f t="shared" si="487"/>
        <v/>
      </c>
    </row>
    <row r="1859" spans="1:36" x14ac:dyDescent="0.25">
      <c r="A1859" t="s">
        <v>1426</v>
      </c>
      <c r="P1859" t="str">
        <f t="shared" si="488"/>
        <v xml:space="preserve">                </v>
      </c>
      <c r="Q1859" t="str">
        <f t="shared" si="488"/>
        <v xml:space="preserve">         </v>
      </c>
      <c r="R1859" t="str">
        <f t="shared" si="481"/>
        <v xml:space="preserve">  9999.0 </v>
      </c>
      <c r="S1859" t="str">
        <f t="shared" si="489"/>
        <v xml:space="preserve">  9999.0 </v>
      </c>
      <c r="T1859" t="str">
        <f t="shared" si="490"/>
        <v xml:space="preserve">  9999.0 </v>
      </c>
      <c r="U1859" t="str">
        <f t="shared" si="494"/>
        <v xml:space="preserve">        0.0% </v>
      </c>
      <c r="V1859" t="str">
        <f t="shared" si="482"/>
        <v xml:space="preserve">         </v>
      </c>
      <c r="W1859" t="str">
        <f t="shared" si="491"/>
        <v xml:space="preserve">         </v>
      </c>
      <c r="X1859" t="str">
        <f t="shared" si="495"/>
        <v xml:space="preserve">  2079 </v>
      </c>
      <c r="Y1859" t="str">
        <f t="shared" si="495"/>
        <v xml:space="preserve"> MISSOE-RS069 </v>
      </c>
      <c r="Z1859" t="str">
        <f t="shared" si="495"/>
        <v xml:space="preserve">  1 </v>
      </c>
      <c r="AA1859" t="str">
        <f t="shared" si="483"/>
        <v xml:space="preserve">   -15.3 </v>
      </c>
      <c r="AB1859" t="str">
        <f t="shared" si="492"/>
        <v xml:space="preserve">    -6.6 </v>
      </c>
      <c r="AC1859" t="str">
        <f t="shared" si="493"/>
        <v xml:space="preserve">    16.6 </v>
      </c>
      <c r="AD1859" t="str">
        <f t="shared" si="494"/>
        <v xml:space="preserve">        </v>
      </c>
      <c r="AE1859" t="str">
        <f t="shared" si="484"/>
        <v xml:space="preserve">       </v>
      </c>
      <c r="AF1859" t="str">
        <f t="shared" si="496"/>
        <v xml:space="preserve">     </v>
      </c>
      <c r="AG1859" t="str">
        <f t="shared" si="496"/>
        <v xml:space="preserve">     0.00 </v>
      </c>
      <c r="AH1859" t="str">
        <f t="shared" si="485"/>
        <v xml:space="preserve">     0.00 </v>
      </c>
      <c r="AI1859" t="str">
        <f t="shared" si="486"/>
        <v xml:space="preserve">       </v>
      </c>
      <c r="AJ1859" t="str">
        <f t="shared" si="487"/>
        <v xml:space="preserve">      </v>
      </c>
    </row>
    <row r="1860" spans="1:36" x14ac:dyDescent="0.25">
      <c r="A1860" t="s">
        <v>14</v>
      </c>
      <c r="P1860" t="str">
        <f t="shared" si="488"/>
        <v xml:space="preserve">  ..............</v>
      </c>
      <c r="Q1860" t="str">
        <f t="shared" si="488"/>
        <v>.........</v>
      </c>
      <c r="R1860" t="str">
        <f t="shared" si="481"/>
        <v>.........</v>
      </c>
      <c r="S1860" t="str">
        <f t="shared" si="489"/>
        <v>.........</v>
      </c>
      <c r="T1860" t="str">
        <f t="shared" si="490"/>
        <v>.........</v>
      </c>
      <c r="U1860" t="str">
        <f t="shared" si="494"/>
        <v>.............</v>
      </c>
      <c r="V1860" t="str">
        <f t="shared" si="482"/>
        <v>.........</v>
      </c>
      <c r="W1860" t="str">
        <f t="shared" si="491"/>
        <v>.........</v>
      </c>
      <c r="X1860" t="str">
        <f t="shared" si="495"/>
        <v>.......</v>
      </c>
      <c r="Y1860" t="str">
        <f t="shared" si="495"/>
        <v>..............</v>
      </c>
      <c r="Z1860" t="str">
        <f t="shared" si="495"/>
        <v>....</v>
      </c>
      <c r="AA1860" t="str">
        <f t="shared" si="483"/>
        <v>.........</v>
      </c>
      <c r="AB1860" t="str">
        <f t="shared" si="492"/>
        <v>.........</v>
      </c>
      <c r="AC1860" t="str">
        <f t="shared" si="493"/>
        <v>.........</v>
      </c>
      <c r="AD1860" t="str">
        <f t="shared" si="494"/>
        <v>........</v>
      </c>
      <c r="AE1860" t="str">
        <f t="shared" si="484"/>
        <v>.......</v>
      </c>
      <c r="AF1860" t="str">
        <f t="shared" si="496"/>
        <v>.....</v>
      </c>
      <c r="AG1860" t="str">
        <f t="shared" si="496"/>
        <v>..........</v>
      </c>
      <c r="AH1860" t="str">
        <f t="shared" si="485"/>
        <v>..........</v>
      </c>
      <c r="AI1860" t="str">
        <f t="shared" si="486"/>
        <v>.......</v>
      </c>
      <c r="AJ1860" t="str">
        <f t="shared" si="487"/>
        <v>.......</v>
      </c>
    </row>
    <row r="1861" spans="1:36" x14ac:dyDescent="0.25">
      <c r="A1861" t="s">
        <v>1427</v>
      </c>
      <c r="P1861" t="str">
        <f t="shared" si="488"/>
        <v xml:space="preserve">  10217  138  0 </v>
      </c>
      <c r="Q1861" t="str">
        <f t="shared" si="488"/>
        <v xml:space="preserve">   1.032 </v>
      </c>
      <c r="R1861" t="str">
        <f t="shared" si="481"/>
        <v xml:space="preserve">     0.0 </v>
      </c>
      <c r="S1861" t="str">
        <f t="shared" si="489"/>
        <v xml:space="preserve">     0.0 </v>
      </c>
      <c r="T1861" t="str">
        <f t="shared" si="490"/>
        <v xml:space="preserve">     0.0 </v>
      </c>
      <c r="U1861" t="str">
        <f t="shared" si="494"/>
        <v xml:space="preserve">         0.0 </v>
      </c>
      <c r="V1861" t="str">
        <f t="shared" si="482"/>
        <v xml:space="preserve">     0.0 </v>
      </c>
      <c r="W1861" t="str">
        <f t="shared" si="491"/>
        <v xml:space="preserve">     0.0</v>
      </c>
      <c r="X1861" t="str">
        <f t="shared" si="495"/>
        <v/>
      </c>
      <c r="Y1861" t="str">
        <f t="shared" si="495"/>
        <v/>
      </c>
      <c r="Z1861" t="str">
        <f t="shared" si="495"/>
        <v/>
      </c>
      <c r="AA1861" t="str">
        <f t="shared" si="483"/>
        <v/>
      </c>
      <c r="AB1861" t="str">
        <f t="shared" si="492"/>
        <v/>
      </c>
      <c r="AC1861" t="str">
        <f t="shared" si="493"/>
        <v/>
      </c>
      <c r="AD1861" t="str">
        <f t="shared" si="494"/>
        <v/>
      </c>
      <c r="AE1861" t="str">
        <f t="shared" si="484"/>
        <v/>
      </c>
      <c r="AF1861" t="str">
        <f t="shared" si="496"/>
        <v/>
      </c>
      <c r="AG1861" t="str">
        <f t="shared" si="496"/>
        <v/>
      </c>
      <c r="AH1861" t="str">
        <f t="shared" si="485"/>
        <v/>
      </c>
      <c r="AI1861" t="str">
        <f t="shared" si="486"/>
        <v/>
      </c>
      <c r="AJ1861" t="str">
        <f t="shared" si="487"/>
        <v/>
      </c>
    </row>
    <row r="1862" spans="1:36" x14ac:dyDescent="0.25">
      <c r="A1862" t="s">
        <v>1428</v>
      </c>
      <c r="P1862" t="str">
        <f t="shared" si="488"/>
        <v xml:space="preserve">  CAXNOR-RS138  </v>
      </c>
      <c r="Q1862" t="str">
        <f t="shared" si="488"/>
        <v xml:space="preserve">   -48.2 </v>
      </c>
      <c r="R1862" t="str">
        <f t="shared" si="481"/>
        <v xml:space="preserve">     0.0 </v>
      </c>
      <c r="S1862" t="str">
        <f t="shared" si="489"/>
        <v xml:space="preserve">     0.0 </v>
      </c>
      <c r="T1862" t="str">
        <f t="shared" si="490"/>
        <v xml:space="preserve">     0.0 </v>
      </c>
      <c r="U1862" t="str">
        <f t="shared" si="494"/>
        <v xml:space="preserve">         0.0 </v>
      </c>
      <c r="V1862" t="str">
        <f t="shared" si="482"/>
        <v xml:space="preserve">     0.0 </v>
      </c>
      <c r="W1862" t="str">
        <f t="shared" si="491"/>
        <v xml:space="preserve">     0.0 </v>
      </c>
      <c r="X1862" t="str">
        <f t="shared" si="495"/>
        <v xml:space="preserve">       </v>
      </c>
      <c r="Y1862" t="str">
        <f t="shared" si="495"/>
        <v xml:space="preserve">              </v>
      </c>
      <c r="Z1862" t="str">
        <f t="shared" si="495"/>
        <v xml:space="preserve">    </v>
      </c>
      <c r="AA1862" t="str">
        <f t="shared" si="483"/>
        <v xml:space="preserve">         </v>
      </c>
      <c r="AB1862" t="str">
        <f t="shared" si="492"/>
        <v xml:space="preserve">         </v>
      </c>
      <c r="AC1862" t="str">
        <f t="shared" si="493"/>
        <v xml:space="preserve">    </v>
      </c>
      <c r="AD1862" t="str">
        <f t="shared" si="494"/>
        <v/>
      </c>
      <c r="AE1862" t="str">
        <f t="shared" si="484"/>
        <v/>
      </c>
      <c r="AF1862" t="str">
        <f t="shared" si="496"/>
        <v/>
      </c>
      <c r="AG1862" t="str">
        <f t="shared" si="496"/>
        <v/>
      </c>
      <c r="AH1862" t="str">
        <f t="shared" si="485"/>
        <v/>
      </c>
      <c r="AI1862" t="str">
        <f t="shared" si="486"/>
        <v/>
      </c>
      <c r="AJ1862" t="str">
        <f t="shared" si="487"/>
        <v/>
      </c>
    </row>
    <row r="1863" spans="1:36" x14ac:dyDescent="0.25">
      <c r="A1863" t="s">
        <v>1429</v>
      </c>
      <c r="P1863" t="str">
        <f t="shared" si="488"/>
        <v xml:space="preserve">                </v>
      </c>
      <c r="Q1863" t="str">
        <f t="shared" si="488"/>
        <v xml:space="preserve">         </v>
      </c>
      <c r="R1863" t="str">
        <f t="shared" si="481"/>
        <v xml:space="preserve">   197.0 </v>
      </c>
      <c r="S1863" t="str">
        <f t="shared" si="489"/>
        <v xml:space="preserve">   240.0 </v>
      </c>
      <c r="T1863" t="str">
        <f t="shared" si="490"/>
        <v xml:space="preserve">   240.0 </v>
      </c>
      <c r="U1863" t="str">
        <f t="shared" si="494"/>
        <v xml:space="preserve">       22.3% </v>
      </c>
      <c r="V1863" t="str">
        <f t="shared" si="482"/>
        <v xml:space="preserve">         </v>
      </c>
      <c r="W1863" t="str">
        <f t="shared" si="491"/>
        <v xml:space="preserve">         </v>
      </c>
      <c r="X1863" t="str">
        <f t="shared" si="495"/>
        <v xml:space="preserve"> 10220 </v>
      </c>
      <c r="Y1863" t="str">
        <f t="shared" si="495"/>
        <v xml:space="preserve"> CAXIA8-RS138 </v>
      </c>
      <c r="Z1863" t="str">
        <f t="shared" si="495"/>
        <v xml:space="preserve">  1 </v>
      </c>
      <c r="AA1863" t="str">
        <f t="shared" si="483"/>
        <v xml:space="preserve">    41.5 </v>
      </c>
      <c r="AB1863" t="str">
        <f t="shared" si="492"/>
        <v xml:space="preserve">    18.1 </v>
      </c>
      <c r="AC1863" t="str">
        <f t="shared" si="493"/>
        <v xml:space="preserve">    43.8 </v>
      </c>
      <c r="AD1863" t="str">
        <f t="shared" si="494"/>
        <v xml:space="preserve">        </v>
      </c>
      <c r="AE1863" t="str">
        <f t="shared" si="484"/>
        <v xml:space="preserve">       </v>
      </c>
      <c r="AF1863" t="str">
        <f t="shared" si="496"/>
        <v xml:space="preserve">     </v>
      </c>
      <c r="AG1863" t="str">
        <f t="shared" si="496"/>
        <v xml:space="preserve">     0.15 </v>
      </c>
      <c r="AH1863" t="str">
        <f t="shared" si="485"/>
        <v xml:space="preserve">    -0.32 </v>
      </c>
      <c r="AI1863" t="str">
        <f t="shared" si="486"/>
        <v xml:space="preserve">       </v>
      </c>
      <c r="AJ1863" t="str">
        <f t="shared" si="487"/>
        <v xml:space="preserve">      </v>
      </c>
    </row>
    <row r="1864" spans="1:36" x14ac:dyDescent="0.25">
      <c r="A1864" t="s">
        <v>1430</v>
      </c>
      <c r="P1864" t="str">
        <f t="shared" si="488"/>
        <v xml:space="preserve">                </v>
      </c>
      <c r="Q1864" t="str">
        <f t="shared" si="488"/>
        <v xml:space="preserve">         </v>
      </c>
      <c r="R1864" t="str">
        <f t="shared" si="481"/>
        <v xml:space="preserve">   197.0 </v>
      </c>
      <c r="S1864" t="str">
        <f t="shared" si="489"/>
        <v xml:space="preserve">   240.0 </v>
      </c>
      <c r="T1864" t="str">
        <f t="shared" si="490"/>
        <v xml:space="preserve">   240.0 </v>
      </c>
      <c r="U1864" t="str">
        <f t="shared" si="494"/>
        <v xml:space="preserve">       22.3% </v>
      </c>
      <c r="V1864" t="str">
        <f t="shared" si="482"/>
        <v xml:space="preserve">         </v>
      </c>
      <c r="W1864" t="str">
        <f t="shared" si="491"/>
        <v xml:space="preserve">         </v>
      </c>
      <c r="X1864" t="str">
        <f t="shared" si="495"/>
        <v xml:space="preserve"> 10220 </v>
      </c>
      <c r="Y1864" t="str">
        <f t="shared" si="495"/>
        <v xml:space="preserve"> CAXIA8-RS138 </v>
      </c>
      <c r="Z1864" t="str">
        <f t="shared" si="495"/>
        <v xml:space="preserve">  2 </v>
      </c>
      <c r="AA1864" t="str">
        <f t="shared" si="483"/>
        <v xml:space="preserve">    41.5 </v>
      </c>
      <c r="AB1864" t="str">
        <f t="shared" si="492"/>
        <v xml:space="preserve">    18.1 </v>
      </c>
      <c r="AC1864" t="str">
        <f t="shared" si="493"/>
        <v xml:space="preserve">    43.8 </v>
      </c>
      <c r="AD1864" t="str">
        <f t="shared" si="494"/>
        <v xml:space="preserve">        </v>
      </c>
      <c r="AE1864" t="str">
        <f t="shared" si="484"/>
        <v xml:space="preserve">       </v>
      </c>
      <c r="AF1864" t="str">
        <f t="shared" si="496"/>
        <v xml:space="preserve">     </v>
      </c>
      <c r="AG1864" t="str">
        <f t="shared" si="496"/>
        <v xml:space="preserve">     0.15 </v>
      </c>
      <c r="AH1864" t="str">
        <f t="shared" si="485"/>
        <v xml:space="preserve">    -0.32 </v>
      </c>
      <c r="AI1864" t="str">
        <f t="shared" si="486"/>
        <v xml:space="preserve">       </v>
      </c>
      <c r="AJ1864" t="str">
        <f t="shared" si="487"/>
        <v xml:space="preserve">      </v>
      </c>
    </row>
    <row r="1865" spans="1:36" x14ac:dyDescent="0.25">
      <c r="A1865" t="s">
        <v>1431</v>
      </c>
      <c r="P1865" t="str">
        <f t="shared" si="488"/>
        <v xml:space="preserve">                </v>
      </c>
      <c r="Q1865" t="str">
        <f t="shared" si="488"/>
        <v xml:space="preserve">         </v>
      </c>
      <c r="R1865" t="str">
        <f t="shared" si="481"/>
        <v xml:space="preserve">   225.0 </v>
      </c>
      <c r="S1865" t="str">
        <f t="shared" si="489"/>
        <v xml:space="preserve">   270.0 </v>
      </c>
      <c r="T1865" t="str">
        <f t="shared" si="490"/>
        <v xml:space="preserve">   270.0 </v>
      </c>
      <c r="U1865" t="str">
        <f t="shared" si="494"/>
        <v xml:space="preserve">       13.0% </v>
      </c>
      <c r="V1865" t="str">
        <f t="shared" si="482"/>
        <v xml:space="preserve">         </v>
      </c>
      <c r="W1865" t="str">
        <f t="shared" si="491"/>
        <v xml:space="preserve">         </v>
      </c>
      <c r="X1865" t="str">
        <f t="shared" si="495"/>
        <v xml:space="preserve"> 43428 </v>
      </c>
      <c r="Y1865" t="str">
        <f t="shared" si="495"/>
        <v xml:space="preserve"> CXN--4-RS000 </v>
      </c>
      <c r="Z1865" t="str">
        <f t="shared" si="495"/>
        <v xml:space="preserve">  4 </v>
      </c>
      <c r="AA1865" t="str">
        <f t="shared" si="483"/>
        <v xml:space="preserve">   -27.6 </v>
      </c>
      <c r="AB1865" t="str">
        <f t="shared" si="492"/>
        <v xml:space="preserve">   -12.0 </v>
      </c>
      <c r="AC1865" t="str">
        <f t="shared" si="493"/>
        <v xml:space="preserve">    29.2 </v>
      </c>
      <c r="AD1865" t="str">
        <f t="shared" si="494"/>
        <v xml:space="preserve"> 1.000F </v>
      </c>
      <c r="AE1865" t="str">
        <f t="shared" si="484"/>
        <v xml:space="preserve">       </v>
      </c>
      <c r="AF1865" t="str">
        <f t="shared" si="496"/>
        <v xml:space="preserve"> 002 </v>
      </c>
      <c r="AG1865" t="str">
        <f t="shared" si="496"/>
        <v xml:space="preserve">     0.02 </v>
      </c>
      <c r="AH1865" t="str">
        <f t="shared" si="485"/>
        <v xml:space="preserve">     0.27 </v>
      </c>
      <c r="AI1865" t="str">
        <f t="shared" si="486"/>
        <v xml:space="preserve">       </v>
      </c>
      <c r="AJ1865" t="str">
        <f t="shared" si="487"/>
        <v xml:space="preserve">      </v>
      </c>
    </row>
    <row r="1866" spans="1:36" x14ac:dyDescent="0.25">
      <c r="A1866" t="s">
        <v>1432</v>
      </c>
      <c r="P1866" t="str">
        <f t="shared" si="488"/>
        <v xml:space="preserve">                </v>
      </c>
      <c r="Q1866" t="str">
        <f t="shared" si="488"/>
        <v xml:space="preserve">         </v>
      </c>
      <c r="R1866" t="str">
        <f t="shared" si="481"/>
        <v xml:space="preserve">   225.0 </v>
      </c>
      <c r="S1866" t="str">
        <f t="shared" si="489"/>
        <v xml:space="preserve">   270.0 </v>
      </c>
      <c r="T1866" t="str">
        <f t="shared" si="490"/>
        <v xml:space="preserve">   270.0 </v>
      </c>
      <c r="U1866" t="str">
        <f t="shared" si="494"/>
        <v xml:space="preserve">       13.0% </v>
      </c>
      <c r="V1866" t="str">
        <f t="shared" si="482"/>
        <v xml:space="preserve">         </v>
      </c>
      <c r="W1866" t="str">
        <f t="shared" si="491"/>
        <v xml:space="preserve">         </v>
      </c>
      <c r="X1866" t="str">
        <f t="shared" si="495"/>
        <v xml:space="preserve"> 43429 </v>
      </c>
      <c r="Y1866" t="str">
        <f t="shared" si="495"/>
        <v xml:space="preserve"> CXN--5-RS000 </v>
      </c>
      <c r="Z1866" t="str">
        <f t="shared" si="495"/>
        <v xml:space="preserve">  5 </v>
      </c>
      <c r="AA1866" t="str">
        <f t="shared" si="483"/>
        <v xml:space="preserve">   -27.6 </v>
      </c>
      <c r="AB1866" t="str">
        <f t="shared" si="492"/>
        <v xml:space="preserve">   -12.0 </v>
      </c>
      <c r="AC1866" t="str">
        <f t="shared" si="493"/>
        <v xml:space="preserve">    29.2 </v>
      </c>
      <c r="AD1866" t="str">
        <f t="shared" si="494"/>
        <v xml:space="preserve"> 1.000F </v>
      </c>
      <c r="AE1866" t="str">
        <f t="shared" si="484"/>
        <v xml:space="preserve">       </v>
      </c>
      <c r="AF1866" t="str">
        <f t="shared" si="496"/>
        <v xml:space="preserve"> 002 </v>
      </c>
      <c r="AG1866" t="str">
        <f t="shared" si="496"/>
        <v xml:space="preserve">     0.02 </v>
      </c>
      <c r="AH1866" t="str">
        <f t="shared" si="485"/>
        <v xml:space="preserve">     0.27 </v>
      </c>
      <c r="AI1866" t="str">
        <f t="shared" si="486"/>
        <v xml:space="preserve">       </v>
      </c>
      <c r="AJ1866" t="str">
        <f t="shared" si="487"/>
        <v xml:space="preserve">      </v>
      </c>
    </row>
    <row r="1867" spans="1:36" x14ac:dyDescent="0.25">
      <c r="A1867" t="s">
        <v>1433</v>
      </c>
      <c r="P1867" t="str">
        <f t="shared" si="488"/>
        <v xml:space="preserve">                </v>
      </c>
      <c r="Q1867" t="str">
        <f t="shared" si="488"/>
        <v xml:space="preserve">         </v>
      </c>
      <c r="R1867" t="str">
        <f t="shared" si="481"/>
        <v xml:space="preserve">   225.0 </v>
      </c>
      <c r="S1867" t="str">
        <f t="shared" si="489"/>
        <v xml:space="preserve">   270.0 </v>
      </c>
      <c r="T1867" t="str">
        <f t="shared" si="490"/>
        <v xml:space="preserve">   270.0 </v>
      </c>
      <c r="U1867" t="str">
        <f t="shared" si="494"/>
        <v xml:space="preserve">       13.0% </v>
      </c>
      <c r="V1867" t="str">
        <f t="shared" si="482"/>
        <v xml:space="preserve">         </v>
      </c>
      <c r="W1867" t="str">
        <f t="shared" si="491"/>
        <v xml:space="preserve">         </v>
      </c>
      <c r="X1867" t="str">
        <f t="shared" si="495"/>
        <v xml:space="preserve"> 43430 </v>
      </c>
      <c r="Y1867" t="str">
        <f t="shared" si="495"/>
        <v xml:space="preserve"> CXN--6-RS000 </v>
      </c>
      <c r="Z1867" t="str">
        <f t="shared" si="495"/>
        <v xml:space="preserve">  6 </v>
      </c>
      <c r="AA1867" t="str">
        <f t="shared" si="483"/>
        <v xml:space="preserve">   -27.6 </v>
      </c>
      <c r="AB1867" t="str">
        <f t="shared" si="492"/>
        <v xml:space="preserve">   -12.0 </v>
      </c>
      <c r="AC1867" t="str">
        <f t="shared" si="493"/>
        <v xml:space="preserve">    29.2 </v>
      </c>
      <c r="AD1867" t="str">
        <f t="shared" si="494"/>
        <v xml:space="preserve"> 1.000F </v>
      </c>
      <c r="AE1867" t="str">
        <f t="shared" si="484"/>
        <v xml:space="preserve">       </v>
      </c>
      <c r="AF1867" t="str">
        <f t="shared" si="496"/>
        <v xml:space="preserve"> 002 </v>
      </c>
      <c r="AG1867" t="str">
        <f t="shared" si="496"/>
        <v xml:space="preserve">     0.02 </v>
      </c>
      <c r="AH1867" t="str">
        <f t="shared" si="485"/>
        <v xml:space="preserve">     0.27 </v>
      </c>
      <c r="AI1867" t="str">
        <f t="shared" si="486"/>
        <v xml:space="preserve">       </v>
      </c>
      <c r="AJ1867" t="str">
        <f t="shared" si="487"/>
        <v xml:space="preserve">      </v>
      </c>
    </row>
    <row r="1868" spans="1:36" x14ac:dyDescent="0.25">
      <c r="A1868" t="s">
        <v>14</v>
      </c>
      <c r="P1868" t="str">
        <f t="shared" si="488"/>
        <v xml:space="preserve">  ..............</v>
      </c>
      <c r="Q1868" t="str">
        <f t="shared" si="488"/>
        <v>.........</v>
      </c>
      <c r="R1868" t="str">
        <f t="shared" ref="R1868:R1931" si="497">MID($A1868,Q$8+Q$9-1,R$9)</f>
        <v>.........</v>
      </c>
      <c r="S1868" t="str">
        <f t="shared" si="489"/>
        <v>.........</v>
      </c>
      <c r="T1868" t="str">
        <f t="shared" si="490"/>
        <v>.........</v>
      </c>
      <c r="U1868" t="str">
        <f t="shared" si="494"/>
        <v>.............</v>
      </c>
      <c r="V1868" t="str">
        <f t="shared" ref="V1868:V1931" si="498">MID($A1868,U$8+U$9-1,V$9)</f>
        <v>.........</v>
      </c>
      <c r="W1868" t="str">
        <f t="shared" si="491"/>
        <v>.........</v>
      </c>
      <c r="X1868" t="str">
        <f t="shared" si="495"/>
        <v>.......</v>
      </c>
      <c r="Y1868" t="str">
        <f t="shared" si="495"/>
        <v>..............</v>
      </c>
      <c r="Z1868" t="str">
        <f t="shared" si="495"/>
        <v>....</v>
      </c>
      <c r="AA1868" t="str">
        <f t="shared" ref="AA1868:AA1931" si="499">MID($A1868,Z$8+Z$9-1,AA$9)</f>
        <v>.........</v>
      </c>
      <c r="AB1868" t="str">
        <f t="shared" si="492"/>
        <v>.........</v>
      </c>
      <c r="AC1868" t="str">
        <f t="shared" si="493"/>
        <v>.........</v>
      </c>
      <c r="AD1868" t="str">
        <f t="shared" si="494"/>
        <v>........</v>
      </c>
      <c r="AE1868" t="str">
        <f t="shared" ref="AE1868:AE1931" si="500">MID($A1868,AD$8+AD$9-1,AE$9)</f>
        <v>.......</v>
      </c>
      <c r="AF1868" t="str">
        <f t="shared" si="496"/>
        <v>.....</v>
      </c>
      <c r="AG1868" t="str">
        <f t="shared" si="496"/>
        <v>..........</v>
      </c>
      <c r="AH1868" t="str">
        <f t="shared" ref="AH1868:AH1931" si="501">MID($A1868,AG$8+AG$9-1,AH$9)</f>
        <v>..........</v>
      </c>
      <c r="AI1868" t="str">
        <f t="shared" si="486"/>
        <v>.......</v>
      </c>
      <c r="AJ1868" t="str">
        <f t="shared" si="487"/>
        <v>.......</v>
      </c>
    </row>
    <row r="1869" spans="1:36" x14ac:dyDescent="0.25">
      <c r="A1869" t="s">
        <v>1434</v>
      </c>
      <c r="P1869" t="str">
        <f t="shared" si="488"/>
        <v xml:space="preserve">  10219   69  0 </v>
      </c>
      <c r="Q1869" t="str">
        <f t="shared" si="488"/>
        <v xml:space="preserve">   1.041 </v>
      </c>
      <c r="R1869" t="str">
        <f t="shared" si="497"/>
        <v xml:space="preserve">     1.7 </v>
      </c>
      <c r="S1869" t="str">
        <f t="shared" si="489"/>
        <v xml:space="preserve">     0.0 </v>
      </c>
      <c r="T1869" t="str">
        <f t="shared" si="490"/>
        <v xml:space="preserve">    21.4 </v>
      </c>
      <c r="U1869" t="str">
        <f t="shared" si="494"/>
        <v xml:space="preserve">         0.0 </v>
      </c>
      <c r="V1869" t="str">
        <f t="shared" si="498"/>
        <v xml:space="preserve">     9.7 </v>
      </c>
      <c r="W1869" t="str">
        <f t="shared" si="491"/>
        <v xml:space="preserve">     0.0</v>
      </c>
      <c r="X1869" t="str">
        <f t="shared" si="495"/>
        <v/>
      </c>
      <c r="Y1869" t="str">
        <f t="shared" si="495"/>
        <v/>
      </c>
      <c r="Z1869" t="str">
        <f t="shared" si="495"/>
        <v/>
      </c>
      <c r="AA1869" t="str">
        <f t="shared" si="499"/>
        <v/>
      </c>
      <c r="AB1869" t="str">
        <f t="shared" si="492"/>
        <v/>
      </c>
      <c r="AC1869" t="str">
        <f t="shared" si="493"/>
        <v/>
      </c>
      <c r="AD1869" t="str">
        <f t="shared" si="494"/>
        <v/>
      </c>
      <c r="AE1869" t="str">
        <f t="shared" si="500"/>
        <v/>
      </c>
      <c r="AF1869" t="str">
        <f t="shared" si="496"/>
        <v/>
      </c>
      <c r="AG1869" t="str">
        <f t="shared" si="496"/>
        <v/>
      </c>
      <c r="AH1869" t="str">
        <f t="shared" si="501"/>
        <v/>
      </c>
      <c r="AI1869" t="str">
        <f t="shared" si="486"/>
        <v/>
      </c>
      <c r="AJ1869" t="str">
        <f t="shared" si="487"/>
        <v/>
      </c>
    </row>
    <row r="1870" spans="1:36" x14ac:dyDescent="0.25">
      <c r="A1870" t="s">
        <v>1435</v>
      </c>
      <c r="P1870" t="str">
        <f t="shared" si="488"/>
        <v xml:space="preserve">  CALTA2-RS069  </v>
      </c>
      <c r="Q1870" t="str">
        <f t="shared" si="488"/>
        <v xml:space="preserve">   -49.2 </v>
      </c>
      <c r="R1870" t="str">
        <f t="shared" si="497"/>
        <v xml:space="preserve">     0.0 </v>
      </c>
      <c r="S1870" t="str">
        <f t="shared" si="489"/>
        <v xml:space="preserve">     0.0 </v>
      </c>
      <c r="T1870" t="str">
        <f t="shared" si="490"/>
        <v xml:space="preserve">     8.4 </v>
      </c>
      <c r="U1870" t="str">
        <f t="shared" si="494"/>
        <v xml:space="preserve">         0.0 </v>
      </c>
      <c r="V1870" t="str">
        <f t="shared" si="498"/>
        <v xml:space="preserve">     0.0 </v>
      </c>
      <c r="W1870" t="str">
        <f t="shared" si="491"/>
        <v xml:space="preserve">     0.0 </v>
      </c>
      <c r="X1870" t="str">
        <f t="shared" si="495"/>
        <v xml:space="preserve">       </v>
      </c>
      <c r="Y1870" t="str">
        <f t="shared" si="495"/>
        <v xml:space="preserve">              </v>
      </c>
      <c r="Z1870" t="str">
        <f t="shared" si="495"/>
        <v xml:space="preserve">    </v>
      </c>
      <c r="AA1870" t="str">
        <f t="shared" si="499"/>
        <v xml:space="preserve">         </v>
      </c>
      <c r="AB1870" t="str">
        <f t="shared" si="492"/>
        <v xml:space="preserve">         </v>
      </c>
      <c r="AC1870" t="str">
        <f t="shared" si="493"/>
        <v xml:space="preserve">    </v>
      </c>
      <c r="AD1870" t="str">
        <f t="shared" si="494"/>
        <v/>
      </c>
      <c r="AE1870" t="str">
        <f t="shared" si="500"/>
        <v/>
      </c>
      <c r="AF1870" t="str">
        <f t="shared" si="496"/>
        <v/>
      </c>
      <c r="AG1870" t="str">
        <f t="shared" si="496"/>
        <v/>
      </c>
      <c r="AH1870" t="str">
        <f t="shared" si="501"/>
        <v/>
      </c>
      <c r="AI1870" t="str">
        <f t="shared" si="486"/>
        <v/>
      </c>
      <c r="AJ1870" t="str">
        <f t="shared" si="487"/>
        <v/>
      </c>
    </row>
    <row r="1871" spans="1:36" x14ac:dyDescent="0.25">
      <c r="A1871" t="s">
        <v>1436</v>
      </c>
      <c r="P1871" t="str">
        <f t="shared" si="488"/>
        <v xml:space="preserve">                </v>
      </c>
      <c r="Q1871" t="str">
        <f t="shared" si="488"/>
        <v xml:space="preserve">         </v>
      </c>
      <c r="R1871" t="str">
        <f t="shared" si="497"/>
        <v xml:space="preserve">    84.0 </v>
      </c>
      <c r="S1871" t="str">
        <f t="shared" si="489"/>
        <v xml:space="preserve">   101.0 </v>
      </c>
      <c r="T1871" t="str">
        <f t="shared" si="490"/>
        <v xml:space="preserve">   101.0 </v>
      </c>
      <c r="U1871" t="str">
        <f t="shared" si="494"/>
        <v xml:space="preserve">       13.5% </v>
      </c>
      <c r="V1871" t="str">
        <f t="shared" si="498"/>
        <v xml:space="preserve">         </v>
      </c>
      <c r="W1871" t="str">
        <f t="shared" si="491"/>
        <v xml:space="preserve">         </v>
      </c>
      <c r="X1871" t="str">
        <f t="shared" si="495"/>
        <v xml:space="preserve">  1301 </v>
      </c>
      <c r="Y1871" t="str">
        <f t="shared" si="495"/>
        <v xml:space="preserve"> CALTA1-RS069 </v>
      </c>
      <c r="Z1871" t="str">
        <f t="shared" si="495"/>
        <v xml:space="preserve">  1 </v>
      </c>
      <c r="AA1871" t="str">
        <f t="shared" si="499"/>
        <v xml:space="preserve">    11.7 </v>
      </c>
      <c r="AB1871" t="str">
        <f t="shared" si="492"/>
        <v xml:space="preserve">    -1.0 </v>
      </c>
      <c r="AC1871" t="str">
        <f t="shared" si="493"/>
        <v xml:space="preserve">    11.3 </v>
      </c>
      <c r="AD1871" t="str">
        <f t="shared" si="494"/>
        <v xml:space="preserve">        </v>
      </c>
      <c r="AE1871" t="str">
        <f t="shared" si="500"/>
        <v xml:space="preserve">       </v>
      </c>
      <c r="AF1871" t="str">
        <f t="shared" si="496"/>
        <v xml:space="preserve">     </v>
      </c>
      <c r="AG1871" t="str">
        <f t="shared" si="496"/>
        <v xml:space="preserve">     0.03 </v>
      </c>
      <c r="AH1871" t="str">
        <f t="shared" si="501"/>
        <v xml:space="preserve">    -0.06 </v>
      </c>
      <c r="AI1871" t="str">
        <f t="shared" si="486"/>
        <v xml:space="preserve">       </v>
      </c>
      <c r="AJ1871" t="str">
        <f t="shared" si="487"/>
        <v xml:space="preserve">      </v>
      </c>
    </row>
    <row r="1872" spans="1:36" x14ac:dyDescent="0.25">
      <c r="A1872" t="s">
        <v>1437</v>
      </c>
      <c r="P1872" t="str">
        <f t="shared" si="488"/>
        <v xml:space="preserve">                </v>
      </c>
      <c r="Q1872" t="str">
        <f t="shared" si="488"/>
        <v xml:space="preserve">         </v>
      </c>
      <c r="R1872" t="str">
        <f t="shared" si="497"/>
        <v xml:space="preserve">    84.0 </v>
      </c>
      <c r="S1872" t="str">
        <f t="shared" si="489"/>
        <v xml:space="preserve">   101.0 </v>
      </c>
      <c r="T1872" t="str">
        <f t="shared" si="490"/>
        <v xml:space="preserve">   101.0 </v>
      </c>
      <c r="U1872" t="str">
        <f t="shared" si="494"/>
        <v xml:space="preserve">       13.5% </v>
      </c>
      <c r="V1872" t="str">
        <f t="shared" si="498"/>
        <v xml:space="preserve">         </v>
      </c>
      <c r="W1872" t="str">
        <f t="shared" si="491"/>
        <v xml:space="preserve">         </v>
      </c>
      <c r="X1872" t="str">
        <f t="shared" si="495"/>
        <v xml:space="preserve">  1301 </v>
      </c>
      <c r="Y1872" t="str">
        <f t="shared" si="495"/>
        <v xml:space="preserve"> CALTA1-RS069 </v>
      </c>
      <c r="Z1872" t="str">
        <f t="shared" si="495"/>
        <v xml:space="preserve">  2 </v>
      </c>
      <c r="AA1872" t="str">
        <f t="shared" si="499"/>
        <v xml:space="preserve">    11.7 </v>
      </c>
      <c r="AB1872" t="str">
        <f t="shared" si="492"/>
        <v xml:space="preserve">    -1.0 </v>
      </c>
      <c r="AC1872" t="str">
        <f t="shared" si="493"/>
        <v xml:space="preserve">    11.3 </v>
      </c>
      <c r="AD1872" t="str">
        <f t="shared" si="494"/>
        <v xml:space="preserve">        </v>
      </c>
      <c r="AE1872" t="str">
        <f t="shared" si="500"/>
        <v xml:space="preserve">       </v>
      </c>
      <c r="AF1872" t="str">
        <f t="shared" si="496"/>
        <v xml:space="preserve">     </v>
      </c>
      <c r="AG1872" t="str">
        <f t="shared" si="496"/>
        <v xml:space="preserve">     0.03 </v>
      </c>
      <c r="AH1872" t="str">
        <f t="shared" si="501"/>
        <v xml:space="preserve">    -0.06 </v>
      </c>
      <c r="AI1872" t="str">
        <f t="shared" si="486"/>
        <v xml:space="preserve">       </v>
      </c>
      <c r="AJ1872" t="str">
        <f t="shared" si="487"/>
        <v xml:space="preserve">      </v>
      </c>
    </row>
    <row r="1873" spans="1:36" x14ac:dyDescent="0.25">
      <c r="A1873" t="s">
        <v>1438</v>
      </c>
      <c r="P1873" t="str">
        <f t="shared" si="488"/>
        <v xml:space="preserve">                </v>
      </c>
      <c r="Q1873" t="str">
        <f t="shared" si="488"/>
        <v xml:space="preserve">         </v>
      </c>
      <c r="R1873" t="str">
        <f t="shared" si="497"/>
        <v xml:space="preserve">    83.0 </v>
      </c>
      <c r="S1873" t="str">
        <f t="shared" si="489"/>
        <v xml:space="preserve">   100.0 </v>
      </c>
      <c r="T1873" t="str">
        <f t="shared" si="490"/>
        <v xml:space="preserve">   100.0 </v>
      </c>
      <c r="U1873" t="str">
        <f t="shared" si="494"/>
        <v xml:space="preserve">       25.0% </v>
      </c>
      <c r="V1873" t="str">
        <f t="shared" si="498"/>
        <v xml:space="preserve">         </v>
      </c>
      <c r="W1873" t="str">
        <f t="shared" si="491"/>
        <v xml:space="preserve">         </v>
      </c>
      <c r="X1873" t="str">
        <f t="shared" si="495"/>
        <v xml:space="preserve"> 43839 </v>
      </c>
      <c r="Y1873" t="str">
        <f t="shared" si="495"/>
        <v xml:space="preserve"> CAL--1-RS000 </v>
      </c>
      <c r="Z1873" t="str">
        <f t="shared" si="495"/>
        <v xml:space="preserve">  1 </v>
      </c>
      <c r="AA1873" t="str">
        <f t="shared" si="499"/>
        <v xml:space="preserve">   -21.6 </v>
      </c>
      <c r="AB1873" t="str">
        <f t="shared" si="492"/>
        <v xml:space="preserve">     1.6 </v>
      </c>
      <c r="AC1873" t="str">
        <f t="shared" si="493"/>
        <v xml:space="preserve">    20.8 </v>
      </c>
      <c r="AD1873" t="str">
        <f t="shared" si="494"/>
        <v xml:space="preserve"> 1.000F </v>
      </c>
      <c r="AE1873" t="str">
        <f t="shared" si="500"/>
        <v xml:space="preserve">       </v>
      </c>
      <c r="AF1873" t="str">
        <f t="shared" si="496"/>
        <v xml:space="preserve"> 002 </v>
      </c>
      <c r="AG1873" t="str">
        <f t="shared" si="496"/>
        <v xml:space="preserve">     0.01 </v>
      </c>
      <c r="AH1873" t="str">
        <f t="shared" si="501"/>
        <v xml:space="preserve">    -0.04 </v>
      </c>
      <c r="AI1873" t="str">
        <f t="shared" si="486"/>
        <v xml:space="preserve">       </v>
      </c>
      <c r="AJ1873" t="str">
        <f t="shared" si="487"/>
        <v xml:space="preserve">      </v>
      </c>
    </row>
    <row r="1874" spans="1:36" x14ac:dyDescent="0.25">
      <c r="A1874" t="s">
        <v>1439</v>
      </c>
      <c r="P1874" t="str">
        <f t="shared" si="488"/>
        <v xml:space="preserve">                </v>
      </c>
      <c r="Q1874" t="str">
        <f t="shared" si="488"/>
        <v xml:space="preserve">         </v>
      </c>
      <c r="R1874" t="str">
        <f t="shared" si="497"/>
        <v xml:space="preserve">    83.0 </v>
      </c>
      <c r="S1874" t="str">
        <f t="shared" si="489"/>
        <v xml:space="preserve">   100.0 </v>
      </c>
      <c r="T1874" t="str">
        <f t="shared" si="490"/>
        <v xml:space="preserve">   100.0 </v>
      </c>
      <c r="U1874" t="str">
        <f t="shared" si="494"/>
        <v xml:space="preserve">       25.0% </v>
      </c>
      <c r="V1874" t="str">
        <f t="shared" si="498"/>
        <v xml:space="preserve">         </v>
      </c>
      <c r="W1874" t="str">
        <f t="shared" si="491"/>
        <v xml:space="preserve">         </v>
      </c>
      <c r="X1874" t="str">
        <f t="shared" si="495"/>
        <v xml:space="preserve"> 43840 </v>
      </c>
      <c r="Y1874" t="str">
        <f t="shared" si="495"/>
        <v xml:space="preserve"> CAL--2-RS000 </v>
      </c>
      <c r="Z1874" t="str">
        <f t="shared" si="495"/>
        <v xml:space="preserve">  2 </v>
      </c>
      <c r="AA1874" t="str">
        <f t="shared" si="499"/>
        <v xml:space="preserve">   -21.6 </v>
      </c>
      <c r="AB1874" t="str">
        <f t="shared" si="492"/>
        <v xml:space="preserve">     1.6 </v>
      </c>
      <c r="AC1874" t="str">
        <f t="shared" si="493"/>
        <v xml:space="preserve">    20.8 </v>
      </c>
      <c r="AD1874" t="str">
        <f t="shared" si="494"/>
        <v xml:space="preserve"> 1.000F </v>
      </c>
      <c r="AE1874" t="str">
        <f t="shared" si="500"/>
        <v xml:space="preserve">       </v>
      </c>
      <c r="AF1874" t="str">
        <f t="shared" si="496"/>
        <v xml:space="preserve"> 002 </v>
      </c>
      <c r="AG1874" t="str">
        <f t="shared" si="496"/>
        <v xml:space="preserve">     0.01 </v>
      </c>
      <c r="AH1874" t="str">
        <f t="shared" si="501"/>
        <v xml:space="preserve">    -0.04 </v>
      </c>
      <c r="AI1874" t="str">
        <f t="shared" si="486"/>
        <v xml:space="preserve">       </v>
      </c>
      <c r="AJ1874" t="str">
        <f t="shared" si="487"/>
        <v xml:space="preserve">      </v>
      </c>
    </row>
    <row r="1875" spans="1:36" x14ac:dyDescent="0.25">
      <c r="A1875" t="s">
        <v>14</v>
      </c>
      <c r="P1875" t="str">
        <f t="shared" si="488"/>
        <v xml:space="preserve">  ..............</v>
      </c>
      <c r="Q1875" t="str">
        <f t="shared" si="488"/>
        <v>.........</v>
      </c>
      <c r="R1875" t="str">
        <f t="shared" si="497"/>
        <v>.........</v>
      </c>
      <c r="S1875" t="str">
        <f t="shared" si="489"/>
        <v>.........</v>
      </c>
      <c r="T1875" t="str">
        <f t="shared" si="490"/>
        <v>.........</v>
      </c>
      <c r="U1875" t="str">
        <f t="shared" si="494"/>
        <v>.............</v>
      </c>
      <c r="V1875" t="str">
        <f t="shared" si="498"/>
        <v>.........</v>
      </c>
      <c r="W1875" t="str">
        <f t="shared" si="491"/>
        <v>.........</v>
      </c>
      <c r="X1875" t="str">
        <f t="shared" si="495"/>
        <v>.......</v>
      </c>
      <c r="Y1875" t="str">
        <f t="shared" si="495"/>
        <v>..............</v>
      </c>
      <c r="Z1875" t="str">
        <f t="shared" si="495"/>
        <v>....</v>
      </c>
      <c r="AA1875" t="str">
        <f t="shared" si="499"/>
        <v>.........</v>
      </c>
      <c r="AB1875" t="str">
        <f t="shared" si="492"/>
        <v>.........</v>
      </c>
      <c r="AC1875" t="str">
        <f t="shared" si="493"/>
        <v>.........</v>
      </c>
      <c r="AD1875" t="str">
        <f t="shared" si="494"/>
        <v>........</v>
      </c>
      <c r="AE1875" t="str">
        <f t="shared" si="500"/>
        <v>.......</v>
      </c>
      <c r="AF1875" t="str">
        <f t="shared" si="496"/>
        <v>.....</v>
      </c>
      <c r="AG1875" t="str">
        <f t="shared" si="496"/>
        <v>..........</v>
      </c>
      <c r="AH1875" t="str">
        <f t="shared" si="501"/>
        <v>..........</v>
      </c>
      <c r="AI1875" t="str">
        <f t="shared" si="486"/>
        <v>.......</v>
      </c>
      <c r="AJ1875" t="str">
        <f t="shared" si="487"/>
        <v>.......</v>
      </c>
    </row>
    <row r="1876" spans="1:36" x14ac:dyDescent="0.25">
      <c r="A1876" t="s">
        <v>1440</v>
      </c>
      <c r="P1876" t="str">
        <f t="shared" si="488"/>
        <v xml:space="preserve">_x000C_CEPEL - CENTRO </v>
      </c>
      <c r="Q1876" t="str">
        <f t="shared" si="488"/>
        <v xml:space="preserve"> DE PESQU</v>
      </c>
      <c r="R1876" t="str">
        <f t="shared" si="497"/>
        <v xml:space="preserve">UISAS DE </v>
      </c>
      <c r="S1876" t="str">
        <f t="shared" si="489"/>
        <v xml:space="preserve"> ENERGIA </v>
      </c>
      <c r="T1876" t="str">
        <f t="shared" si="490"/>
        <v xml:space="preserve"> ELETRICA</v>
      </c>
      <c r="U1876" t="str">
        <f t="shared" si="494"/>
        <v xml:space="preserve">A - PROGRAMA </v>
      </c>
      <c r="V1876" t="str">
        <f t="shared" si="498"/>
        <v xml:space="preserve"> DE ANALI</v>
      </c>
      <c r="W1876" t="str">
        <f t="shared" si="491"/>
        <v>ISE DE RE</v>
      </c>
      <c r="X1876" t="str">
        <f t="shared" si="495"/>
        <v xml:space="preserve">EDES - </v>
      </c>
      <c r="Y1876" t="str">
        <f t="shared" si="495"/>
        <v xml:space="preserve"> V11.06.02    </v>
      </c>
      <c r="Z1876" t="str">
        <f t="shared" si="495"/>
        <v xml:space="preserve">    </v>
      </c>
      <c r="AA1876" t="str">
        <f t="shared" si="499"/>
        <v xml:space="preserve">         </v>
      </c>
      <c r="AB1876" t="str">
        <f t="shared" si="492"/>
        <v xml:space="preserve">         </v>
      </c>
      <c r="AC1876" t="str">
        <f t="shared" si="493"/>
        <v xml:space="preserve">         </v>
      </c>
      <c r="AD1876" t="str">
        <f t="shared" si="494"/>
        <v xml:space="preserve">   PAG. </v>
      </c>
      <c r="AE1876" t="str">
        <f t="shared" si="500"/>
        <v xml:space="preserve">  12</v>
      </c>
      <c r="AF1876" t="str">
        <f t="shared" si="496"/>
        <v/>
      </c>
      <c r="AG1876" t="str">
        <f t="shared" si="496"/>
        <v/>
      </c>
      <c r="AH1876" t="str">
        <f t="shared" si="501"/>
        <v/>
      </c>
      <c r="AI1876" t="str">
        <f t="shared" si="486"/>
        <v/>
      </c>
      <c r="AJ1876" t="str">
        <f t="shared" si="487"/>
        <v/>
      </c>
    </row>
    <row r="1877" spans="1:36" x14ac:dyDescent="0.25">
      <c r="P1877" t="str">
        <f t="shared" si="488"/>
        <v/>
      </c>
      <c r="Q1877" t="str">
        <f t="shared" si="488"/>
        <v/>
      </c>
      <c r="R1877" t="str">
        <f t="shared" si="497"/>
        <v/>
      </c>
      <c r="S1877" t="str">
        <f t="shared" si="489"/>
        <v/>
      </c>
      <c r="T1877" t="str">
        <f t="shared" si="490"/>
        <v/>
      </c>
      <c r="U1877" t="str">
        <f t="shared" si="494"/>
        <v/>
      </c>
      <c r="V1877" t="str">
        <f t="shared" si="498"/>
        <v/>
      </c>
      <c r="W1877" t="str">
        <f t="shared" si="491"/>
        <v/>
      </c>
      <c r="X1877" t="str">
        <f t="shared" si="495"/>
        <v/>
      </c>
      <c r="Y1877" t="str">
        <f t="shared" si="495"/>
        <v/>
      </c>
      <c r="Z1877" t="str">
        <f t="shared" si="495"/>
        <v/>
      </c>
      <c r="AA1877" t="str">
        <f t="shared" si="499"/>
        <v/>
      </c>
      <c r="AB1877" t="str">
        <f t="shared" si="492"/>
        <v/>
      </c>
      <c r="AC1877" t="str">
        <f t="shared" si="493"/>
        <v/>
      </c>
      <c r="AD1877" t="str">
        <f t="shared" si="494"/>
        <v/>
      </c>
      <c r="AE1877" t="str">
        <f t="shared" si="500"/>
        <v/>
      </c>
      <c r="AF1877" t="str">
        <f t="shared" si="496"/>
        <v/>
      </c>
      <c r="AG1877" t="str">
        <f t="shared" si="496"/>
        <v/>
      </c>
      <c r="AH1877" t="str">
        <f t="shared" si="501"/>
        <v/>
      </c>
      <c r="AI1877" t="str">
        <f t="shared" si="486"/>
        <v/>
      </c>
      <c r="AJ1877" t="str">
        <f t="shared" si="487"/>
        <v/>
      </c>
    </row>
    <row r="1878" spans="1:36" x14ac:dyDescent="0.25">
      <c r="A1878" t="s">
        <v>1</v>
      </c>
      <c r="P1878" t="str">
        <f t="shared" si="488"/>
        <v xml:space="preserve"> PARPEL 23-27 * </v>
      </c>
      <c r="Q1878" t="str">
        <f t="shared" si="488"/>
        <v xml:space="preserve"> MG-GODF </v>
      </c>
      <c r="R1878" t="str">
        <f t="shared" si="497"/>
        <v xml:space="preserve"> * I27M *</v>
      </c>
      <c r="S1878" t="str">
        <f t="shared" si="489"/>
        <v>* NEexp *</v>
      </c>
      <c r="T1878" t="str">
        <f t="shared" si="490"/>
        <v>* NESE 88</v>
      </c>
      <c r="U1878" t="str">
        <f t="shared" si="494"/>
        <v>800 UFVMG 90%</v>
      </c>
      <c r="V1878" t="str">
        <f t="shared" si="498"/>
        <v>% * UFVAl</v>
      </c>
      <c r="W1878" t="str">
        <f t="shared" si="491"/>
        <v>lves120MW</v>
      </c>
      <c r="X1878" t="str">
        <f t="shared" si="495"/>
        <v xml:space="preserve">W     </v>
      </c>
      <c r="Y1878" t="str">
        <f t="shared" si="495"/>
        <v/>
      </c>
      <c r="Z1878" t="str">
        <f t="shared" si="495"/>
        <v/>
      </c>
      <c r="AA1878" t="str">
        <f t="shared" si="499"/>
        <v/>
      </c>
      <c r="AB1878" t="str">
        <f t="shared" si="492"/>
        <v/>
      </c>
      <c r="AC1878" t="str">
        <f t="shared" si="493"/>
        <v/>
      </c>
      <c r="AD1878" t="str">
        <f t="shared" si="494"/>
        <v/>
      </c>
      <c r="AE1878" t="str">
        <f t="shared" si="500"/>
        <v/>
      </c>
      <c r="AF1878" t="str">
        <f t="shared" si="496"/>
        <v/>
      </c>
      <c r="AG1878" t="str">
        <f t="shared" si="496"/>
        <v/>
      </c>
      <c r="AH1878" t="str">
        <f t="shared" si="501"/>
        <v/>
      </c>
      <c r="AI1878" t="str">
        <f t="shared" si="486"/>
        <v/>
      </c>
      <c r="AJ1878" t="str">
        <f t="shared" si="487"/>
        <v/>
      </c>
    </row>
    <row r="1879" spans="1:36" x14ac:dyDescent="0.25">
      <c r="A1879" t="s">
        <v>2</v>
      </c>
      <c r="P1879" t="str">
        <f t="shared" si="488"/>
        <v xml:space="preserve"> RELATORIO COMPL</v>
      </c>
      <c r="Q1879" t="str">
        <f t="shared" si="488"/>
        <v>LETO DO S</v>
      </c>
      <c r="R1879" t="str">
        <f t="shared" si="497"/>
        <v>SISTEMA *</v>
      </c>
      <c r="S1879" t="str">
        <f t="shared" si="489"/>
        <v xml:space="preserve">* AREA   </v>
      </c>
      <c r="T1879" t="str">
        <f t="shared" si="490"/>
        <v xml:space="preserve"> 3 * RS -</v>
      </c>
      <c r="U1879" t="str">
        <f t="shared" si="494"/>
        <v xml:space="preserve">- DIT/DIST   </v>
      </c>
      <c r="V1879" t="str">
        <f t="shared" si="498"/>
        <v xml:space="preserve">         </v>
      </c>
      <c r="W1879" t="str">
        <f t="shared" si="491"/>
        <v xml:space="preserve">         </v>
      </c>
      <c r="X1879" t="str">
        <f t="shared" si="495"/>
        <v xml:space="preserve">     </v>
      </c>
      <c r="Y1879" t="str">
        <f t="shared" si="495"/>
        <v/>
      </c>
      <c r="Z1879" t="str">
        <f t="shared" si="495"/>
        <v/>
      </c>
      <c r="AA1879" t="str">
        <f t="shared" si="499"/>
        <v/>
      </c>
      <c r="AB1879" t="str">
        <f t="shared" si="492"/>
        <v/>
      </c>
      <c r="AC1879" t="str">
        <f t="shared" si="493"/>
        <v/>
      </c>
      <c r="AD1879" t="str">
        <f t="shared" si="494"/>
        <v/>
      </c>
      <c r="AE1879" t="str">
        <f t="shared" si="500"/>
        <v/>
      </c>
      <c r="AF1879" t="str">
        <f t="shared" si="496"/>
        <v/>
      </c>
      <c r="AG1879" t="str">
        <f t="shared" si="496"/>
        <v/>
      </c>
      <c r="AH1879" t="str">
        <f t="shared" si="501"/>
        <v/>
      </c>
      <c r="AI1879" t="str">
        <f t="shared" ref="AI1879:AI1942" si="502">MID($A1879,AG$8+AG$9+AH$9-2,AI$9)</f>
        <v/>
      </c>
      <c r="AJ1879" t="str">
        <f t="shared" ref="AJ1879:AJ1942" si="503">MID($A1879,AG$8+AG$9+AH$9+AI$9-3,AJ$9)</f>
        <v/>
      </c>
    </row>
    <row r="1880" spans="1:36" x14ac:dyDescent="0.25">
      <c r="P1880" t="str">
        <f t="shared" si="488"/>
        <v/>
      </c>
      <c r="Q1880" t="str">
        <f t="shared" si="488"/>
        <v/>
      </c>
      <c r="R1880" t="str">
        <f t="shared" si="497"/>
        <v/>
      </c>
      <c r="S1880" t="str">
        <f t="shared" si="489"/>
        <v/>
      </c>
      <c r="T1880" t="str">
        <f t="shared" si="490"/>
        <v/>
      </c>
      <c r="U1880" t="str">
        <f t="shared" si="494"/>
        <v/>
      </c>
      <c r="V1880" t="str">
        <f t="shared" si="498"/>
        <v/>
      </c>
      <c r="W1880" t="str">
        <f t="shared" si="491"/>
        <v/>
      </c>
      <c r="X1880" t="str">
        <f t="shared" si="495"/>
        <v/>
      </c>
      <c r="Y1880" t="str">
        <f t="shared" si="495"/>
        <v/>
      </c>
      <c r="Z1880" t="str">
        <f t="shared" si="495"/>
        <v/>
      </c>
      <c r="AA1880" t="str">
        <f t="shared" si="499"/>
        <v/>
      </c>
      <c r="AB1880" t="str">
        <f t="shared" si="492"/>
        <v/>
      </c>
      <c r="AC1880" t="str">
        <f t="shared" si="493"/>
        <v/>
      </c>
      <c r="AD1880" t="str">
        <f t="shared" si="494"/>
        <v/>
      </c>
      <c r="AE1880" t="str">
        <f t="shared" si="500"/>
        <v/>
      </c>
      <c r="AF1880" t="str">
        <f t="shared" si="496"/>
        <v/>
      </c>
      <c r="AG1880" t="str">
        <f t="shared" si="496"/>
        <v/>
      </c>
      <c r="AH1880" t="str">
        <f t="shared" si="501"/>
        <v/>
      </c>
      <c r="AI1880" t="str">
        <f t="shared" si="502"/>
        <v/>
      </c>
      <c r="AJ1880" t="str">
        <f t="shared" si="503"/>
        <v/>
      </c>
    </row>
    <row r="1881" spans="1:36" x14ac:dyDescent="0.25">
      <c r="A1881" t="s">
        <v>3</v>
      </c>
      <c r="P1881" t="str">
        <f t="shared" si="488"/>
        <v xml:space="preserve"> X--------------</v>
      </c>
      <c r="Q1881" t="str">
        <f t="shared" si="488"/>
        <v xml:space="preserve">-------- </v>
      </c>
      <c r="R1881" t="str">
        <f t="shared" si="497"/>
        <v xml:space="preserve"> D A D O </v>
      </c>
      <c r="S1881" t="str">
        <f t="shared" si="489"/>
        <v xml:space="preserve"> S  -  B </v>
      </c>
      <c r="T1881" t="str">
        <f t="shared" si="490"/>
        <v xml:space="preserve"> A R R A </v>
      </c>
      <c r="U1881" t="str">
        <f t="shared" si="494"/>
        <v xml:space="preserve"> ------------</v>
      </c>
      <c r="V1881" t="str">
        <f t="shared" si="498"/>
        <v>---------</v>
      </c>
      <c r="W1881" t="str">
        <f t="shared" si="491"/>
        <v>--------X</v>
      </c>
      <c r="X1881" t="str">
        <f t="shared" si="495"/>
        <v>X------</v>
      </c>
      <c r="Y1881" t="str">
        <f t="shared" si="495"/>
        <v>-------- F L U</v>
      </c>
      <c r="Z1881" t="str">
        <f t="shared" si="495"/>
        <v xml:space="preserve">U X </v>
      </c>
      <c r="AA1881" t="str">
        <f t="shared" si="499"/>
        <v xml:space="preserve"> O S  -  </v>
      </c>
      <c r="AB1881" t="str">
        <f t="shared" si="492"/>
        <v xml:space="preserve"> C I R C </v>
      </c>
      <c r="AC1881" t="str">
        <f t="shared" si="493"/>
        <v xml:space="preserve"> U I T O </v>
      </c>
      <c r="AD1881" t="str">
        <f t="shared" si="494"/>
        <v xml:space="preserve"> S -----</v>
      </c>
      <c r="AE1881" t="str">
        <f t="shared" si="500"/>
        <v>-------</v>
      </c>
      <c r="AF1881" t="str">
        <f t="shared" si="496"/>
        <v>----X</v>
      </c>
      <c r="AG1881" t="str">
        <f t="shared" si="496"/>
        <v>X--------X</v>
      </c>
      <c r="AH1881" t="str">
        <f t="shared" si="501"/>
        <v>X--------X</v>
      </c>
      <c r="AI1881" t="str">
        <f t="shared" si="502"/>
        <v>X------</v>
      </c>
      <c r="AJ1881" t="str">
        <f t="shared" si="503"/>
        <v>------X</v>
      </c>
    </row>
    <row r="1882" spans="1:36" x14ac:dyDescent="0.25">
      <c r="A1882" t="s">
        <v>4</v>
      </c>
      <c r="P1882" t="str">
        <f t="shared" si="488"/>
        <v xml:space="preserve">  DA BARRA      </v>
      </c>
      <c r="Q1882" t="str">
        <f t="shared" si="488"/>
        <v xml:space="preserve">  TENSAO </v>
      </c>
      <c r="R1882" t="str">
        <f t="shared" si="497"/>
        <v xml:space="preserve"> GERACAO </v>
      </c>
      <c r="S1882" t="str">
        <f t="shared" si="489"/>
        <v xml:space="preserve"> INJ EQV </v>
      </c>
      <c r="T1882" t="str">
        <f t="shared" si="490"/>
        <v xml:space="preserve">  CARGA  </v>
      </c>
      <c r="U1882" t="str">
        <f t="shared" si="494"/>
        <v xml:space="preserve">  ELO CC  SHU</v>
      </c>
      <c r="V1882" t="str">
        <f t="shared" si="498"/>
        <v>UNT    MO</v>
      </c>
      <c r="W1882" t="str">
        <f t="shared" si="491"/>
        <v xml:space="preserve">OTOR     </v>
      </c>
      <c r="X1882" t="str">
        <f t="shared" si="495"/>
        <v xml:space="preserve">       </v>
      </c>
      <c r="Y1882" t="str">
        <f t="shared" si="495"/>
        <v xml:space="preserve">              </v>
      </c>
      <c r="Z1882" t="str">
        <f t="shared" si="495"/>
        <v xml:space="preserve">    </v>
      </c>
      <c r="AA1882" t="str">
        <f t="shared" si="499"/>
        <v xml:space="preserve">         </v>
      </c>
      <c r="AB1882" t="str">
        <f t="shared" si="492"/>
        <v xml:space="preserve">         </v>
      </c>
      <c r="AC1882" t="str">
        <f t="shared" si="493"/>
        <v xml:space="preserve">         </v>
      </c>
      <c r="AD1882" t="str">
        <f t="shared" si="494"/>
        <v xml:space="preserve">        </v>
      </c>
      <c r="AE1882" t="str">
        <f t="shared" si="500"/>
        <v xml:space="preserve">       </v>
      </c>
      <c r="AF1882" t="str">
        <f t="shared" si="496"/>
        <v xml:space="preserve">     </v>
      </c>
      <c r="AG1882" t="str">
        <f t="shared" si="496"/>
        <v xml:space="preserve">          </v>
      </c>
      <c r="AH1882" t="str">
        <f t="shared" si="501"/>
        <v xml:space="preserve">          </v>
      </c>
      <c r="AI1882" t="str">
        <f t="shared" si="502"/>
        <v xml:space="preserve">       </v>
      </c>
      <c r="AJ1882" t="str">
        <f t="shared" si="503"/>
        <v xml:space="preserve">   </v>
      </c>
    </row>
    <row r="1883" spans="1:36" x14ac:dyDescent="0.25">
      <c r="A1883" t="s">
        <v>5</v>
      </c>
      <c r="P1883" t="str">
        <f t="shared" ref="P1883:Q1946" si="504">MID($A1883,P$8,P$9)</f>
        <v xml:space="preserve">  NUM.  KV TIPO </v>
      </c>
      <c r="Q1883" t="str">
        <f t="shared" si="504"/>
        <v xml:space="preserve">   MOD/  </v>
      </c>
      <c r="R1883" t="str">
        <f t="shared" si="497"/>
        <v xml:space="preserve">    MW/  </v>
      </c>
      <c r="S1883" t="str">
        <f t="shared" ref="S1883:S1946" si="505">MID($A1883,Q$8+Q$9+R$9-2,S$9)</f>
        <v xml:space="preserve">    MW/  </v>
      </c>
      <c r="T1883" t="str">
        <f t="shared" ref="T1883:T1946" si="506">MID($A1883,Q$8+Q$9+R$9+S$9-3,T$9)</f>
        <v xml:space="preserve">    MW/  </v>
      </c>
      <c r="U1883" t="str">
        <f t="shared" si="494"/>
        <v xml:space="preserve">    MW/   Mva</v>
      </c>
      <c r="V1883" t="str">
        <f t="shared" si="498"/>
        <v>ar/     M</v>
      </c>
      <c r="W1883" t="str">
        <f t="shared" ref="W1883:W1946" si="507">MID($A1883,U$8+U$9+V$9-2,W$9)</f>
        <v xml:space="preserve">MW/      </v>
      </c>
      <c r="X1883" t="str">
        <f t="shared" si="495"/>
        <v xml:space="preserve">       </v>
      </c>
      <c r="Y1883" t="str">
        <f t="shared" si="495"/>
        <v xml:space="preserve">              </v>
      </c>
      <c r="Z1883" t="str">
        <f t="shared" si="495"/>
        <v xml:space="preserve">    </v>
      </c>
      <c r="AA1883" t="str">
        <f t="shared" si="499"/>
        <v xml:space="preserve">         </v>
      </c>
      <c r="AB1883" t="str">
        <f t="shared" ref="AB1883:AB1946" si="508">MID($A1883,Z$8+Z$9+AA$9-2,AB$9)</f>
        <v xml:space="preserve">         </v>
      </c>
      <c r="AC1883" t="str">
        <f t="shared" ref="AC1883:AC1946" si="509">MID($A1883,Z$8+Z$9+AA$9+AB$9-3,AC$9)</f>
        <v xml:space="preserve">         </v>
      </c>
      <c r="AD1883" t="str">
        <f t="shared" si="494"/>
        <v xml:space="preserve">        </v>
      </c>
      <c r="AE1883" t="str">
        <f t="shared" si="500"/>
        <v xml:space="preserve">       </v>
      </c>
      <c r="AF1883" t="str">
        <f t="shared" si="496"/>
        <v xml:space="preserve">    P</v>
      </c>
      <c r="AG1883" t="str">
        <f t="shared" si="496"/>
        <v xml:space="preserve">P E R D A </v>
      </c>
      <c r="AH1883" t="str">
        <f t="shared" si="501"/>
        <v xml:space="preserve"> S       T</v>
      </c>
      <c r="AI1883" t="str">
        <f t="shared" si="502"/>
        <v xml:space="preserve">TENSAO </v>
      </c>
      <c r="AJ1883" t="str">
        <f t="shared" si="503"/>
        <v xml:space="preserve">   </v>
      </c>
    </row>
    <row r="1884" spans="1:36" x14ac:dyDescent="0.25">
      <c r="A1884" t="s">
        <v>6</v>
      </c>
      <c r="P1884" t="str">
        <f t="shared" si="504"/>
        <v xml:space="preserve">       NOME     </v>
      </c>
      <c r="Q1884" t="str">
        <f t="shared" si="504"/>
        <v xml:space="preserve">   ANG   </v>
      </c>
      <c r="R1884" t="str">
        <f t="shared" si="497"/>
        <v xml:space="preserve">   Mvar  </v>
      </c>
      <c r="S1884" t="str">
        <f t="shared" si="505"/>
        <v xml:space="preserve">   Mvar  </v>
      </c>
      <c r="T1884" t="str">
        <f t="shared" si="506"/>
        <v xml:space="preserve">   Mvar  </v>
      </c>
      <c r="U1884" t="str">
        <f t="shared" ref="U1884:AD1947" si="510">MID($A1884,U$8,U$9)</f>
        <v xml:space="preserve">   Mvar   EQU</v>
      </c>
      <c r="V1884" t="str">
        <f t="shared" si="498"/>
        <v>UIV    Mv</v>
      </c>
      <c r="W1884" t="str">
        <f t="shared" si="507"/>
        <v>var  PARA</v>
      </c>
      <c r="X1884" t="str">
        <f t="shared" ref="X1884:Z1947" si="511">MID($A1884,X$8,X$9)</f>
        <v>A BARRA</v>
      </c>
      <c r="Y1884" t="str">
        <f t="shared" si="511"/>
        <v xml:space="preserve">A             </v>
      </c>
      <c r="Z1884" t="str">
        <f t="shared" si="511"/>
        <v xml:space="preserve">    </v>
      </c>
      <c r="AA1884" t="str">
        <f t="shared" si="499"/>
        <v xml:space="preserve">      FLU</v>
      </c>
      <c r="AB1884" t="str">
        <f t="shared" si="508"/>
        <v xml:space="preserve">UXOS     </v>
      </c>
      <c r="AC1884" t="str">
        <f t="shared" si="509"/>
        <v xml:space="preserve">         </v>
      </c>
      <c r="AD1884" t="str">
        <f t="shared" si="510"/>
        <v xml:space="preserve">        </v>
      </c>
      <c r="AE1884" t="str">
        <f t="shared" si="500"/>
        <v xml:space="preserve">       </v>
      </c>
      <c r="AF1884" t="str">
        <f t="shared" si="496"/>
        <v xml:space="preserve">  ATI</v>
      </c>
      <c r="AG1884" t="str">
        <f t="shared" si="496"/>
        <v>IVA   REAT</v>
      </c>
      <c r="AH1884" t="str">
        <f t="shared" si="501"/>
        <v>TIVA  CIR.</v>
      </c>
      <c r="AI1884" t="str">
        <f t="shared" si="502"/>
        <v>. ABERT</v>
      </c>
      <c r="AJ1884" t="str">
        <f t="shared" si="503"/>
        <v xml:space="preserve">TO </v>
      </c>
    </row>
    <row r="1885" spans="1:36" x14ac:dyDescent="0.25">
      <c r="A1885" t="s">
        <v>7</v>
      </c>
      <c r="P1885" t="str">
        <f t="shared" si="504"/>
        <v xml:space="preserve">                </v>
      </c>
      <c r="Q1885" t="str">
        <f t="shared" si="504"/>
        <v xml:space="preserve">         </v>
      </c>
      <c r="R1885" t="str">
        <f t="shared" si="497"/>
        <v xml:space="preserve"> MVA_NOM </v>
      </c>
      <c r="S1885" t="str">
        <f t="shared" si="505"/>
        <v xml:space="preserve"> MVA_EMR </v>
      </c>
      <c r="T1885" t="str">
        <f t="shared" si="506"/>
        <v xml:space="preserve"> MVA_EQP </v>
      </c>
      <c r="U1885" t="str">
        <f t="shared" si="510"/>
        <v xml:space="preserve">   FLUXO %   </v>
      </c>
      <c r="V1885" t="str">
        <f t="shared" si="498"/>
        <v xml:space="preserve"> SHUNT L </v>
      </c>
      <c r="W1885" t="str">
        <f t="shared" si="507"/>
        <v xml:space="preserve">         </v>
      </c>
      <c r="X1885" t="str">
        <f t="shared" si="511"/>
        <v xml:space="preserve"> NUM.  </v>
      </c>
      <c r="Y1885" t="str">
        <f t="shared" si="511"/>
        <v xml:space="preserve">     NOME     </v>
      </c>
      <c r="Z1885" t="str">
        <f t="shared" si="511"/>
        <v xml:space="preserve"> NC </v>
      </c>
      <c r="AA1885" t="str">
        <f t="shared" si="499"/>
        <v xml:space="preserve">    MW   </v>
      </c>
      <c r="AB1885" t="str">
        <f t="shared" si="508"/>
        <v xml:space="preserve">   Mvar  </v>
      </c>
      <c r="AC1885" t="str">
        <f t="shared" si="509"/>
        <v xml:space="preserve"> MVA/V_d </v>
      </c>
      <c r="AD1885" t="str">
        <f t="shared" si="510"/>
        <v xml:space="preserve">   TAP  </v>
      </c>
      <c r="AE1885" t="str">
        <f t="shared" si="500"/>
        <v xml:space="preserve"> DEFAS </v>
      </c>
      <c r="AF1885" t="str">
        <f t="shared" ref="AF1885:AG1948" si="512">MID($A1885,AF$8,AF$9)</f>
        <v xml:space="preserve"> TIE </v>
      </c>
      <c r="AG1885" t="str">
        <f t="shared" si="512"/>
        <v xml:space="preserve">    MW    </v>
      </c>
      <c r="AH1885" t="str">
        <f t="shared" si="501"/>
        <v xml:space="preserve">   Mvar   </v>
      </c>
      <c r="AI1885" t="str">
        <f t="shared" si="502"/>
        <v xml:space="preserve">  MOD  </v>
      </c>
      <c r="AJ1885" t="str">
        <f t="shared" si="503"/>
        <v xml:space="preserve">  ANG  </v>
      </c>
    </row>
    <row r="1886" spans="1:36" x14ac:dyDescent="0.25">
      <c r="A1886" t="s">
        <v>8</v>
      </c>
      <c r="P1886" t="str">
        <f t="shared" si="504"/>
        <v xml:space="preserve"> X-------------X</v>
      </c>
      <c r="Q1886" t="str">
        <f t="shared" si="504"/>
        <v>X-------X</v>
      </c>
      <c r="R1886" t="str">
        <f t="shared" si="497"/>
        <v>X-------X</v>
      </c>
      <c r="S1886" t="str">
        <f t="shared" si="505"/>
        <v>X-------X</v>
      </c>
      <c r="T1886" t="str">
        <f t="shared" si="506"/>
        <v>X-------X</v>
      </c>
      <c r="U1886" t="str">
        <f t="shared" si="510"/>
        <v>X-----------X</v>
      </c>
      <c r="V1886" t="str">
        <f t="shared" si="498"/>
        <v>X-------X</v>
      </c>
      <c r="W1886" t="str">
        <f t="shared" si="507"/>
        <v>X-------X</v>
      </c>
      <c r="X1886" t="str">
        <f t="shared" si="511"/>
        <v>X-----X</v>
      </c>
      <c r="Y1886" t="str">
        <f t="shared" si="511"/>
        <v>X------------X</v>
      </c>
      <c r="Z1886" t="str">
        <f t="shared" si="511"/>
        <v>X--X</v>
      </c>
      <c r="AA1886" t="str">
        <f t="shared" si="499"/>
        <v>X-------X</v>
      </c>
      <c r="AB1886" t="str">
        <f t="shared" si="508"/>
        <v>X-------X</v>
      </c>
      <c r="AC1886" t="str">
        <f t="shared" si="509"/>
        <v>X-------X</v>
      </c>
      <c r="AD1886" t="str">
        <f t="shared" si="510"/>
        <v>X------X</v>
      </c>
      <c r="AE1886" t="str">
        <f t="shared" si="500"/>
        <v>X-----X</v>
      </c>
      <c r="AF1886" t="str">
        <f t="shared" si="512"/>
        <v>X---X</v>
      </c>
      <c r="AG1886" t="str">
        <f t="shared" si="512"/>
        <v>X--------X</v>
      </c>
      <c r="AH1886" t="str">
        <f t="shared" si="501"/>
        <v>X--------X</v>
      </c>
      <c r="AI1886" t="str">
        <f t="shared" si="502"/>
        <v>X-----X</v>
      </c>
      <c r="AJ1886" t="str">
        <f t="shared" si="503"/>
        <v>X-----X</v>
      </c>
    </row>
    <row r="1887" spans="1:36" x14ac:dyDescent="0.25">
      <c r="P1887" t="str">
        <f t="shared" si="504"/>
        <v/>
      </c>
      <c r="Q1887" t="str">
        <f t="shared" si="504"/>
        <v/>
      </c>
      <c r="R1887" t="str">
        <f t="shared" si="497"/>
        <v/>
      </c>
      <c r="S1887" t="str">
        <f t="shared" si="505"/>
        <v/>
      </c>
      <c r="T1887" t="str">
        <f t="shared" si="506"/>
        <v/>
      </c>
      <c r="U1887" t="str">
        <f t="shared" si="510"/>
        <v/>
      </c>
      <c r="V1887" t="str">
        <f t="shared" si="498"/>
        <v/>
      </c>
      <c r="W1887" t="str">
        <f t="shared" si="507"/>
        <v/>
      </c>
      <c r="X1887" t="str">
        <f t="shared" si="511"/>
        <v/>
      </c>
      <c r="Y1887" t="str">
        <f t="shared" si="511"/>
        <v/>
      </c>
      <c r="Z1887" t="str">
        <f t="shared" si="511"/>
        <v/>
      </c>
      <c r="AA1887" t="str">
        <f t="shared" si="499"/>
        <v/>
      </c>
      <c r="AB1887" t="str">
        <f t="shared" si="508"/>
        <v/>
      </c>
      <c r="AC1887" t="str">
        <f t="shared" si="509"/>
        <v/>
      </c>
      <c r="AD1887" t="str">
        <f t="shared" si="510"/>
        <v/>
      </c>
      <c r="AE1887" t="str">
        <f t="shared" si="500"/>
        <v/>
      </c>
      <c r="AF1887" t="str">
        <f t="shared" si="512"/>
        <v/>
      </c>
      <c r="AG1887" t="str">
        <f t="shared" si="512"/>
        <v/>
      </c>
      <c r="AH1887" t="str">
        <f t="shared" si="501"/>
        <v/>
      </c>
      <c r="AI1887" t="str">
        <f t="shared" si="502"/>
        <v/>
      </c>
      <c r="AJ1887" t="str">
        <f t="shared" si="503"/>
        <v/>
      </c>
    </row>
    <row r="1888" spans="1:36" x14ac:dyDescent="0.25">
      <c r="A1888" t="s">
        <v>1441</v>
      </c>
      <c r="P1888" t="str">
        <f t="shared" si="504"/>
        <v xml:space="preserve">  10220  138  0 </v>
      </c>
      <c r="Q1888" t="str">
        <f t="shared" si="504"/>
        <v xml:space="preserve">   1.022 </v>
      </c>
      <c r="R1888" t="str">
        <f t="shared" si="497"/>
        <v xml:space="preserve">     2.6 </v>
      </c>
      <c r="S1888" t="str">
        <f t="shared" si="505"/>
        <v xml:space="preserve">     0.0 </v>
      </c>
      <c r="T1888" t="str">
        <f t="shared" si="506"/>
        <v xml:space="preserve">    30.6 </v>
      </c>
      <c r="U1888" t="str">
        <f t="shared" si="510"/>
        <v xml:space="preserve">         0.0 </v>
      </c>
      <c r="V1888" t="str">
        <f t="shared" si="498"/>
        <v xml:space="preserve">     7.5 </v>
      </c>
      <c r="W1888" t="str">
        <f t="shared" si="507"/>
        <v xml:space="preserve">     0.0</v>
      </c>
      <c r="X1888" t="str">
        <f t="shared" si="511"/>
        <v/>
      </c>
      <c r="Y1888" t="str">
        <f t="shared" si="511"/>
        <v/>
      </c>
      <c r="Z1888" t="str">
        <f t="shared" si="511"/>
        <v/>
      </c>
      <c r="AA1888" t="str">
        <f t="shared" si="499"/>
        <v/>
      </c>
      <c r="AB1888" t="str">
        <f t="shared" si="508"/>
        <v/>
      </c>
      <c r="AC1888" t="str">
        <f t="shared" si="509"/>
        <v/>
      </c>
      <c r="AD1888" t="str">
        <f t="shared" si="510"/>
        <v/>
      </c>
      <c r="AE1888" t="str">
        <f t="shared" si="500"/>
        <v/>
      </c>
      <c r="AF1888" t="str">
        <f t="shared" si="512"/>
        <v/>
      </c>
      <c r="AG1888" t="str">
        <f t="shared" si="512"/>
        <v/>
      </c>
      <c r="AH1888" t="str">
        <f t="shared" si="501"/>
        <v/>
      </c>
      <c r="AI1888" t="str">
        <f t="shared" si="502"/>
        <v/>
      </c>
      <c r="AJ1888" t="str">
        <f t="shared" si="503"/>
        <v/>
      </c>
    </row>
    <row r="1889" spans="1:36" x14ac:dyDescent="0.25">
      <c r="A1889" t="s">
        <v>1442</v>
      </c>
      <c r="P1889" t="str">
        <f t="shared" si="504"/>
        <v xml:space="preserve">  CAXIA8-RS138  </v>
      </c>
      <c r="Q1889" t="str">
        <f t="shared" si="504"/>
        <v xml:space="preserve">   -49.0 </v>
      </c>
      <c r="R1889" t="str">
        <f t="shared" si="497"/>
        <v xml:space="preserve">     0.0 </v>
      </c>
      <c r="S1889" t="str">
        <f t="shared" si="505"/>
        <v xml:space="preserve">     0.0 </v>
      </c>
      <c r="T1889" t="str">
        <f t="shared" si="506"/>
        <v xml:space="preserve">    13.8 </v>
      </c>
      <c r="U1889" t="str">
        <f t="shared" si="510"/>
        <v xml:space="preserve">         0.0 </v>
      </c>
      <c r="V1889" t="str">
        <f t="shared" si="498"/>
        <v xml:space="preserve">     0.0 </v>
      </c>
      <c r="W1889" t="str">
        <f t="shared" si="507"/>
        <v xml:space="preserve">     0.0 </v>
      </c>
      <c r="X1889" t="str">
        <f t="shared" si="511"/>
        <v xml:space="preserve">       </v>
      </c>
      <c r="Y1889" t="str">
        <f t="shared" si="511"/>
        <v xml:space="preserve">              </v>
      </c>
      <c r="Z1889" t="str">
        <f t="shared" si="511"/>
        <v xml:space="preserve">    </v>
      </c>
      <c r="AA1889" t="str">
        <f t="shared" si="499"/>
        <v xml:space="preserve">         </v>
      </c>
      <c r="AB1889" t="str">
        <f t="shared" si="508"/>
        <v xml:space="preserve">         </v>
      </c>
      <c r="AC1889" t="str">
        <f t="shared" si="509"/>
        <v xml:space="preserve">    </v>
      </c>
      <c r="AD1889" t="str">
        <f t="shared" si="510"/>
        <v/>
      </c>
      <c r="AE1889" t="str">
        <f t="shared" si="500"/>
        <v/>
      </c>
      <c r="AF1889" t="str">
        <f t="shared" si="512"/>
        <v/>
      </c>
      <c r="AG1889" t="str">
        <f t="shared" si="512"/>
        <v/>
      </c>
      <c r="AH1889" t="str">
        <f t="shared" si="501"/>
        <v/>
      </c>
      <c r="AI1889" t="str">
        <f t="shared" si="502"/>
        <v/>
      </c>
      <c r="AJ1889" t="str">
        <f t="shared" si="503"/>
        <v/>
      </c>
    </row>
    <row r="1890" spans="1:36" x14ac:dyDescent="0.25">
      <c r="A1890" t="s">
        <v>1443</v>
      </c>
      <c r="P1890" t="str">
        <f t="shared" si="504"/>
        <v xml:space="preserve">                </v>
      </c>
      <c r="Q1890" t="str">
        <f t="shared" si="504"/>
        <v xml:space="preserve">         </v>
      </c>
      <c r="R1890" t="str">
        <f t="shared" si="497"/>
        <v xml:space="preserve">   197.0 </v>
      </c>
      <c r="S1890" t="str">
        <f t="shared" si="505"/>
        <v xml:space="preserve">   240.0 </v>
      </c>
      <c r="T1890" t="str">
        <f t="shared" si="506"/>
        <v xml:space="preserve">   240.0 </v>
      </c>
      <c r="U1890" t="str">
        <f t="shared" si="510"/>
        <v xml:space="preserve">       22.5% </v>
      </c>
      <c r="V1890" t="str">
        <f t="shared" si="498"/>
        <v xml:space="preserve">         </v>
      </c>
      <c r="W1890" t="str">
        <f t="shared" si="507"/>
        <v xml:space="preserve">         </v>
      </c>
      <c r="X1890" t="str">
        <f t="shared" si="511"/>
        <v xml:space="preserve"> 10217 </v>
      </c>
      <c r="Y1890" t="str">
        <f t="shared" si="511"/>
        <v xml:space="preserve"> CAXNOR-RS138 </v>
      </c>
      <c r="Z1890" t="str">
        <f t="shared" si="511"/>
        <v xml:space="preserve">  1 </v>
      </c>
      <c r="AA1890" t="str">
        <f t="shared" si="499"/>
        <v xml:space="preserve">   -41.3 </v>
      </c>
      <c r="AB1890" t="str">
        <f t="shared" si="508"/>
        <v xml:space="preserve">   -18.4 </v>
      </c>
      <c r="AC1890" t="str">
        <f t="shared" si="509"/>
        <v xml:space="preserve">    44.2 </v>
      </c>
      <c r="AD1890" t="str">
        <f t="shared" si="510"/>
        <v xml:space="preserve">        </v>
      </c>
      <c r="AE1890" t="str">
        <f t="shared" si="500"/>
        <v xml:space="preserve">       </v>
      </c>
      <c r="AF1890" t="str">
        <f t="shared" si="512"/>
        <v xml:space="preserve">     </v>
      </c>
      <c r="AG1890" t="str">
        <f t="shared" si="512"/>
        <v xml:space="preserve">     0.15 </v>
      </c>
      <c r="AH1890" t="str">
        <f t="shared" si="501"/>
        <v xml:space="preserve">    -0.32 </v>
      </c>
      <c r="AI1890" t="str">
        <f t="shared" si="502"/>
        <v xml:space="preserve">       </v>
      </c>
      <c r="AJ1890" t="str">
        <f t="shared" si="503"/>
        <v xml:space="preserve">      </v>
      </c>
    </row>
    <row r="1891" spans="1:36" x14ac:dyDescent="0.25">
      <c r="A1891" t="s">
        <v>1444</v>
      </c>
      <c r="P1891" t="str">
        <f t="shared" si="504"/>
        <v xml:space="preserve">                </v>
      </c>
      <c r="Q1891" t="str">
        <f t="shared" si="504"/>
        <v xml:space="preserve">         </v>
      </c>
      <c r="R1891" t="str">
        <f t="shared" si="497"/>
        <v xml:space="preserve">   197.0 </v>
      </c>
      <c r="S1891" t="str">
        <f t="shared" si="505"/>
        <v xml:space="preserve">   240.0 </v>
      </c>
      <c r="T1891" t="str">
        <f t="shared" si="506"/>
        <v xml:space="preserve">   240.0 </v>
      </c>
      <c r="U1891" t="str">
        <f t="shared" si="510"/>
        <v xml:space="preserve">       22.5% </v>
      </c>
      <c r="V1891" t="str">
        <f t="shared" si="498"/>
        <v xml:space="preserve">         </v>
      </c>
      <c r="W1891" t="str">
        <f t="shared" si="507"/>
        <v xml:space="preserve">         </v>
      </c>
      <c r="X1891" t="str">
        <f t="shared" si="511"/>
        <v xml:space="preserve"> 10217 </v>
      </c>
      <c r="Y1891" t="str">
        <f t="shared" si="511"/>
        <v xml:space="preserve"> CAXNOR-RS138 </v>
      </c>
      <c r="Z1891" t="str">
        <f t="shared" si="511"/>
        <v xml:space="preserve">  2 </v>
      </c>
      <c r="AA1891" t="str">
        <f t="shared" si="499"/>
        <v xml:space="preserve">   -41.3 </v>
      </c>
      <c r="AB1891" t="str">
        <f t="shared" si="508"/>
        <v xml:space="preserve">   -18.4 </v>
      </c>
      <c r="AC1891" t="str">
        <f t="shared" si="509"/>
        <v xml:space="preserve">    44.2 </v>
      </c>
      <c r="AD1891" t="str">
        <f t="shared" si="510"/>
        <v xml:space="preserve">        </v>
      </c>
      <c r="AE1891" t="str">
        <f t="shared" si="500"/>
        <v xml:space="preserve">       </v>
      </c>
      <c r="AF1891" t="str">
        <f t="shared" si="512"/>
        <v xml:space="preserve">     </v>
      </c>
      <c r="AG1891" t="str">
        <f t="shared" si="512"/>
        <v xml:space="preserve">     0.15 </v>
      </c>
      <c r="AH1891" t="str">
        <f t="shared" si="501"/>
        <v xml:space="preserve">    -0.32 </v>
      </c>
      <c r="AI1891" t="str">
        <f t="shared" si="502"/>
        <v xml:space="preserve">       </v>
      </c>
      <c r="AJ1891" t="str">
        <f t="shared" si="503"/>
        <v xml:space="preserve">      </v>
      </c>
    </row>
    <row r="1892" spans="1:36" x14ac:dyDescent="0.25">
      <c r="A1892" t="s">
        <v>1445</v>
      </c>
      <c r="P1892" t="str">
        <f t="shared" si="504"/>
        <v xml:space="preserve">                </v>
      </c>
      <c r="Q1892" t="str">
        <f t="shared" si="504"/>
        <v xml:space="preserve">         </v>
      </c>
      <c r="R1892" t="str">
        <f t="shared" si="497"/>
        <v xml:space="preserve">    50.0 </v>
      </c>
      <c r="S1892" t="str">
        <f t="shared" si="505"/>
        <v xml:space="preserve">    50.0 </v>
      </c>
      <c r="T1892" t="str">
        <f t="shared" si="506"/>
        <v xml:space="preserve">    50.0 </v>
      </c>
      <c r="U1892" t="str">
        <f t="shared" si="510"/>
        <v xml:space="preserve">       61.2% </v>
      </c>
      <c r="V1892" t="str">
        <f t="shared" si="498"/>
        <v xml:space="preserve">         </v>
      </c>
      <c r="W1892" t="str">
        <f t="shared" si="507"/>
        <v xml:space="preserve">         </v>
      </c>
      <c r="X1892" t="str">
        <f t="shared" si="511"/>
        <v xml:space="preserve"> 10221 </v>
      </c>
      <c r="Y1892" t="str">
        <f t="shared" si="511"/>
        <v xml:space="preserve"> CAXIA8-RS069 </v>
      </c>
      <c r="Z1892" t="str">
        <f t="shared" si="511"/>
        <v xml:space="preserve">  1 </v>
      </c>
      <c r="AA1892" t="str">
        <f t="shared" si="499"/>
        <v xml:space="preserve">    27.3 </v>
      </c>
      <c r="AB1892" t="str">
        <f t="shared" si="508"/>
        <v xml:space="preserve">    15.2 </v>
      </c>
      <c r="AC1892" t="str">
        <f t="shared" si="509"/>
        <v xml:space="preserve">    30.6 </v>
      </c>
      <c r="AD1892" t="str">
        <f t="shared" si="510"/>
        <v xml:space="preserve"> 0.972* </v>
      </c>
      <c r="AE1892" t="str">
        <f t="shared" si="500"/>
        <v xml:space="preserve">       </v>
      </c>
      <c r="AF1892" t="str">
        <f t="shared" si="512"/>
        <v xml:space="preserve">     </v>
      </c>
      <c r="AG1892" t="str">
        <f t="shared" si="512"/>
        <v xml:space="preserve">     0.00 </v>
      </c>
      <c r="AH1892" t="str">
        <f t="shared" si="501"/>
        <v xml:space="preserve">     1.77 </v>
      </c>
      <c r="AI1892" t="str">
        <f t="shared" si="502"/>
        <v xml:space="preserve">       </v>
      </c>
      <c r="AJ1892" t="str">
        <f t="shared" si="503"/>
        <v xml:space="preserve">      </v>
      </c>
    </row>
    <row r="1893" spans="1:36" x14ac:dyDescent="0.25">
      <c r="A1893" t="s">
        <v>1446</v>
      </c>
      <c r="P1893" t="str">
        <f t="shared" si="504"/>
        <v xml:space="preserve">                </v>
      </c>
      <c r="Q1893" t="str">
        <f t="shared" si="504"/>
        <v xml:space="preserve">         </v>
      </c>
      <c r="R1893" t="str">
        <f t="shared" si="497"/>
        <v xml:space="preserve">    50.0 </v>
      </c>
      <c r="S1893" t="str">
        <f t="shared" si="505"/>
        <v xml:space="preserve">    50.0 </v>
      </c>
      <c r="T1893" t="str">
        <f t="shared" si="506"/>
        <v xml:space="preserve">    50.0 </v>
      </c>
      <c r="U1893" t="str">
        <f t="shared" si="510"/>
        <v xml:space="preserve">       61.2% </v>
      </c>
      <c r="V1893" t="str">
        <f t="shared" si="498"/>
        <v xml:space="preserve">         </v>
      </c>
      <c r="W1893" t="str">
        <f t="shared" si="507"/>
        <v xml:space="preserve">         </v>
      </c>
      <c r="X1893" t="str">
        <f t="shared" si="511"/>
        <v xml:space="preserve"> 10221 </v>
      </c>
      <c r="Y1893" t="str">
        <f t="shared" si="511"/>
        <v xml:space="preserve"> CAXIA8-RS069 </v>
      </c>
      <c r="Z1893" t="str">
        <f t="shared" si="511"/>
        <v xml:space="preserve">  2 </v>
      </c>
      <c r="AA1893" t="str">
        <f t="shared" si="499"/>
        <v xml:space="preserve">    27.3 </v>
      </c>
      <c r="AB1893" t="str">
        <f t="shared" si="508"/>
        <v xml:space="preserve">    15.2 </v>
      </c>
      <c r="AC1893" t="str">
        <f t="shared" si="509"/>
        <v xml:space="preserve">    30.6 </v>
      </c>
      <c r="AD1893" t="str">
        <f t="shared" si="510"/>
        <v xml:space="preserve"> 0.972* </v>
      </c>
      <c r="AE1893" t="str">
        <f t="shared" si="500"/>
        <v xml:space="preserve">       </v>
      </c>
      <c r="AF1893" t="str">
        <f t="shared" si="512"/>
        <v xml:space="preserve">     </v>
      </c>
      <c r="AG1893" t="str">
        <f t="shared" si="512"/>
        <v xml:space="preserve">     0.00 </v>
      </c>
      <c r="AH1893" t="str">
        <f t="shared" si="501"/>
        <v xml:space="preserve">     1.77 </v>
      </c>
      <c r="AI1893" t="str">
        <f t="shared" si="502"/>
        <v xml:space="preserve">       </v>
      </c>
      <c r="AJ1893" t="str">
        <f t="shared" si="503"/>
        <v xml:space="preserve">      </v>
      </c>
    </row>
    <row r="1894" spans="1:36" x14ac:dyDescent="0.25">
      <c r="A1894" t="s">
        <v>14</v>
      </c>
      <c r="P1894" t="str">
        <f t="shared" si="504"/>
        <v xml:space="preserve">  ..............</v>
      </c>
      <c r="Q1894" t="str">
        <f t="shared" si="504"/>
        <v>.........</v>
      </c>
      <c r="R1894" t="str">
        <f t="shared" si="497"/>
        <v>.........</v>
      </c>
      <c r="S1894" t="str">
        <f t="shared" si="505"/>
        <v>.........</v>
      </c>
      <c r="T1894" t="str">
        <f t="shared" si="506"/>
        <v>.........</v>
      </c>
      <c r="U1894" t="str">
        <f t="shared" si="510"/>
        <v>.............</v>
      </c>
      <c r="V1894" t="str">
        <f t="shared" si="498"/>
        <v>.........</v>
      </c>
      <c r="W1894" t="str">
        <f t="shared" si="507"/>
        <v>.........</v>
      </c>
      <c r="X1894" t="str">
        <f t="shared" si="511"/>
        <v>.......</v>
      </c>
      <c r="Y1894" t="str">
        <f t="shared" si="511"/>
        <v>..............</v>
      </c>
      <c r="Z1894" t="str">
        <f t="shared" si="511"/>
        <v>....</v>
      </c>
      <c r="AA1894" t="str">
        <f t="shared" si="499"/>
        <v>.........</v>
      </c>
      <c r="AB1894" t="str">
        <f t="shared" si="508"/>
        <v>.........</v>
      </c>
      <c r="AC1894" t="str">
        <f t="shared" si="509"/>
        <v>.........</v>
      </c>
      <c r="AD1894" t="str">
        <f t="shared" si="510"/>
        <v>........</v>
      </c>
      <c r="AE1894" t="str">
        <f t="shared" si="500"/>
        <v>.......</v>
      </c>
      <c r="AF1894" t="str">
        <f t="shared" si="512"/>
        <v>.....</v>
      </c>
      <c r="AG1894" t="str">
        <f t="shared" si="512"/>
        <v>..........</v>
      </c>
      <c r="AH1894" t="str">
        <f t="shared" si="501"/>
        <v>..........</v>
      </c>
      <c r="AI1894" t="str">
        <f t="shared" si="502"/>
        <v>.......</v>
      </c>
      <c r="AJ1894" t="str">
        <f t="shared" si="503"/>
        <v>.......</v>
      </c>
    </row>
    <row r="1895" spans="1:36" x14ac:dyDescent="0.25">
      <c r="A1895" t="s">
        <v>1447</v>
      </c>
      <c r="P1895" t="str">
        <f t="shared" si="504"/>
        <v xml:space="preserve">  10221   69  0 </v>
      </c>
      <c r="Q1895" t="str">
        <f t="shared" si="504"/>
        <v xml:space="preserve">   1.023 </v>
      </c>
      <c r="R1895" t="str">
        <f t="shared" si="497"/>
        <v xml:space="preserve">     0.0 </v>
      </c>
      <c r="S1895" t="str">
        <f t="shared" si="505"/>
        <v xml:space="preserve">     0.0 </v>
      </c>
      <c r="T1895" t="str">
        <f t="shared" si="506"/>
        <v xml:space="preserve">     0.0 </v>
      </c>
      <c r="U1895" t="str">
        <f t="shared" si="510"/>
        <v xml:space="preserve">         0.0 </v>
      </c>
      <c r="V1895" t="str">
        <f t="shared" si="498"/>
        <v xml:space="preserve">     0.0 </v>
      </c>
      <c r="W1895" t="str">
        <f t="shared" si="507"/>
        <v xml:space="preserve">     0.0</v>
      </c>
      <c r="X1895" t="str">
        <f t="shared" si="511"/>
        <v/>
      </c>
      <c r="Y1895" t="str">
        <f t="shared" si="511"/>
        <v/>
      </c>
      <c r="Z1895" t="str">
        <f t="shared" si="511"/>
        <v/>
      </c>
      <c r="AA1895" t="str">
        <f t="shared" si="499"/>
        <v/>
      </c>
      <c r="AB1895" t="str">
        <f t="shared" si="508"/>
        <v/>
      </c>
      <c r="AC1895" t="str">
        <f t="shared" si="509"/>
        <v/>
      </c>
      <c r="AD1895" t="str">
        <f t="shared" si="510"/>
        <v/>
      </c>
      <c r="AE1895" t="str">
        <f t="shared" si="500"/>
        <v/>
      </c>
      <c r="AF1895" t="str">
        <f t="shared" si="512"/>
        <v/>
      </c>
      <c r="AG1895" t="str">
        <f t="shared" si="512"/>
        <v/>
      </c>
      <c r="AH1895" t="str">
        <f t="shared" si="501"/>
        <v/>
      </c>
      <c r="AI1895" t="str">
        <f t="shared" si="502"/>
        <v/>
      </c>
      <c r="AJ1895" t="str">
        <f t="shared" si="503"/>
        <v/>
      </c>
    </row>
    <row r="1896" spans="1:36" x14ac:dyDescent="0.25">
      <c r="A1896" t="s">
        <v>1448</v>
      </c>
      <c r="P1896" t="str">
        <f t="shared" si="504"/>
        <v xml:space="preserve">  CAXIA8-RS069  </v>
      </c>
      <c r="Q1896" t="str">
        <f t="shared" si="504"/>
        <v xml:space="preserve">   -51.9 </v>
      </c>
      <c r="R1896" t="str">
        <f t="shared" si="497"/>
        <v xml:space="preserve">     0.0 </v>
      </c>
      <c r="S1896" t="str">
        <f t="shared" si="505"/>
        <v xml:space="preserve">     0.0 </v>
      </c>
      <c r="T1896" t="str">
        <f t="shared" si="506"/>
        <v xml:space="preserve">     0.0 </v>
      </c>
      <c r="U1896" t="str">
        <f t="shared" si="510"/>
        <v xml:space="preserve">         0.0 </v>
      </c>
      <c r="V1896" t="str">
        <f t="shared" si="498"/>
        <v xml:space="preserve">     0.0 </v>
      </c>
      <c r="W1896" t="str">
        <f t="shared" si="507"/>
        <v xml:space="preserve">     0.0 </v>
      </c>
      <c r="X1896" t="str">
        <f t="shared" si="511"/>
        <v xml:space="preserve">       </v>
      </c>
      <c r="Y1896" t="str">
        <f t="shared" si="511"/>
        <v xml:space="preserve">              </v>
      </c>
      <c r="Z1896" t="str">
        <f t="shared" si="511"/>
        <v xml:space="preserve">    </v>
      </c>
      <c r="AA1896" t="str">
        <f t="shared" si="499"/>
        <v xml:space="preserve">         </v>
      </c>
      <c r="AB1896" t="str">
        <f t="shared" si="508"/>
        <v xml:space="preserve">         </v>
      </c>
      <c r="AC1896" t="str">
        <f t="shared" si="509"/>
        <v xml:space="preserve">    </v>
      </c>
      <c r="AD1896" t="str">
        <f t="shared" si="510"/>
        <v/>
      </c>
      <c r="AE1896" t="str">
        <f t="shared" si="500"/>
        <v/>
      </c>
      <c r="AF1896" t="str">
        <f t="shared" si="512"/>
        <v/>
      </c>
      <c r="AG1896" t="str">
        <f t="shared" si="512"/>
        <v/>
      </c>
      <c r="AH1896" t="str">
        <f t="shared" si="501"/>
        <v/>
      </c>
      <c r="AI1896" t="str">
        <f t="shared" si="502"/>
        <v/>
      </c>
      <c r="AJ1896" t="str">
        <f t="shared" si="503"/>
        <v/>
      </c>
    </row>
    <row r="1897" spans="1:36" x14ac:dyDescent="0.25">
      <c r="A1897" t="s">
        <v>1449</v>
      </c>
      <c r="P1897" t="str">
        <f t="shared" si="504"/>
        <v xml:space="preserve">                </v>
      </c>
      <c r="Q1897" t="str">
        <f t="shared" si="504"/>
        <v xml:space="preserve">         </v>
      </c>
      <c r="R1897" t="str">
        <f t="shared" si="497"/>
        <v xml:space="preserve">    50.0 </v>
      </c>
      <c r="S1897" t="str">
        <f t="shared" si="505"/>
        <v xml:space="preserve">    50.0 </v>
      </c>
      <c r="T1897" t="str">
        <f t="shared" si="506"/>
        <v xml:space="preserve">    50.0 </v>
      </c>
      <c r="U1897" t="str">
        <f t="shared" si="510"/>
        <v xml:space="preserve">       59.5% </v>
      </c>
      <c r="V1897" t="str">
        <f t="shared" si="498"/>
        <v xml:space="preserve">         </v>
      </c>
      <c r="W1897" t="str">
        <f t="shared" si="507"/>
        <v xml:space="preserve">         </v>
      </c>
      <c r="X1897" t="str">
        <f t="shared" si="511"/>
        <v xml:space="preserve"> 10220 </v>
      </c>
      <c r="Y1897" t="str">
        <f t="shared" si="511"/>
        <v xml:space="preserve"> CAXIA8-RS138 </v>
      </c>
      <c r="Z1897" t="str">
        <f t="shared" si="511"/>
        <v xml:space="preserve">  1 </v>
      </c>
      <c r="AA1897" t="str">
        <f t="shared" si="499"/>
        <v xml:space="preserve">   -27.3 </v>
      </c>
      <c r="AB1897" t="str">
        <f t="shared" si="508"/>
        <v xml:space="preserve">   -13.5 </v>
      </c>
      <c r="AC1897" t="str">
        <f t="shared" si="509"/>
        <v xml:space="preserve">    29.7 </v>
      </c>
      <c r="AD1897" t="str">
        <f t="shared" si="510"/>
        <v xml:space="preserve">        </v>
      </c>
      <c r="AE1897" t="str">
        <f t="shared" si="500"/>
        <v xml:space="preserve">       </v>
      </c>
      <c r="AF1897" t="str">
        <f t="shared" si="512"/>
        <v xml:space="preserve">     </v>
      </c>
      <c r="AG1897" t="str">
        <f t="shared" si="512"/>
        <v xml:space="preserve">     0.00 </v>
      </c>
      <c r="AH1897" t="str">
        <f t="shared" si="501"/>
        <v xml:space="preserve">     1.77 </v>
      </c>
      <c r="AI1897" t="str">
        <f t="shared" si="502"/>
        <v xml:space="preserve">       </v>
      </c>
      <c r="AJ1897" t="str">
        <f t="shared" si="503"/>
        <v xml:space="preserve">      </v>
      </c>
    </row>
    <row r="1898" spans="1:36" x14ac:dyDescent="0.25">
      <c r="A1898" t="s">
        <v>1450</v>
      </c>
      <c r="P1898" t="str">
        <f t="shared" si="504"/>
        <v xml:space="preserve">                </v>
      </c>
      <c r="Q1898" t="str">
        <f t="shared" si="504"/>
        <v xml:space="preserve">         </v>
      </c>
      <c r="R1898" t="str">
        <f t="shared" si="497"/>
        <v xml:space="preserve">    50.0 </v>
      </c>
      <c r="S1898" t="str">
        <f t="shared" si="505"/>
        <v xml:space="preserve">    50.0 </v>
      </c>
      <c r="T1898" t="str">
        <f t="shared" si="506"/>
        <v xml:space="preserve">    50.0 </v>
      </c>
      <c r="U1898" t="str">
        <f t="shared" si="510"/>
        <v xml:space="preserve">       59.5% </v>
      </c>
      <c r="V1898" t="str">
        <f t="shared" si="498"/>
        <v xml:space="preserve">         </v>
      </c>
      <c r="W1898" t="str">
        <f t="shared" si="507"/>
        <v xml:space="preserve">         </v>
      </c>
      <c r="X1898" t="str">
        <f t="shared" si="511"/>
        <v xml:space="preserve"> 10220 </v>
      </c>
      <c r="Y1898" t="str">
        <f t="shared" si="511"/>
        <v xml:space="preserve"> CAXIA8-RS138 </v>
      </c>
      <c r="Z1898" t="str">
        <f t="shared" si="511"/>
        <v xml:space="preserve">  2 </v>
      </c>
      <c r="AA1898" t="str">
        <f t="shared" si="499"/>
        <v xml:space="preserve">   -27.3 </v>
      </c>
      <c r="AB1898" t="str">
        <f t="shared" si="508"/>
        <v xml:space="preserve">   -13.5 </v>
      </c>
      <c r="AC1898" t="str">
        <f t="shared" si="509"/>
        <v xml:space="preserve">    29.7 </v>
      </c>
      <c r="AD1898" t="str">
        <f t="shared" si="510"/>
        <v xml:space="preserve">        </v>
      </c>
      <c r="AE1898" t="str">
        <f t="shared" si="500"/>
        <v xml:space="preserve">       </v>
      </c>
      <c r="AF1898" t="str">
        <f t="shared" si="512"/>
        <v xml:space="preserve">     </v>
      </c>
      <c r="AG1898" t="str">
        <f t="shared" si="512"/>
        <v xml:space="preserve">     0.00 </v>
      </c>
      <c r="AH1898" t="str">
        <f t="shared" si="501"/>
        <v xml:space="preserve">     1.77 </v>
      </c>
      <c r="AI1898" t="str">
        <f t="shared" si="502"/>
        <v xml:space="preserve">       </v>
      </c>
      <c r="AJ1898" t="str">
        <f t="shared" si="503"/>
        <v xml:space="preserve">      </v>
      </c>
    </row>
    <row r="1899" spans="1:36" x14ac:dyDescent="0.25">
      <c r="A1899" t="s">
        <v>1451</v>
      </c>
      <c r="P1899" t="str">
        <f t="shared" si="504"/>
        <v xml:space="preserve">                </v>
      </c>
      <c r="Q1899" t="str">
        <f t="shared" si="504"/>
        <v xml:space="preserve">         </v>
      </c>
      <c r="R1899" t="str">
        <f t="shared" si="497"/>
        <v xml:space="preserve">    75.0 </v>
      </c>
      <c r="S1899" t="str">
        <f t="shared" si="505"/>
        <v xml:space="preserve">    90.0 </v>
      </c>
      <c r="T1899" t="str">
        <f t="shared" si="506"/>
        <v xml:space="preserve">    90.0 </v>
      </c>
      <c r="U1899" t="str">
        <f t="shared" si="510"/>
        <v xml:space="preserve">       79.3% </v>
      </c>
      <c r="V1899" t="str">
        <f t="shared" si="498"/>
        <v xml:space="preserve">         </v>
      </c>
      <c r="W1899" t="str">
        <f t="shared" si="507"/>
        <v xml:space="preserve">         </v>
      </c>
      <c r="X1899" t="str">
        <f t="shared" si="511"/>
        <v xml:space="preserve"> 10222 </v>
      </c>
      <c r="Y1899" t="str">
        <f t="shared" si="511"/>
        <v xml:space="preserve"> LUPATETAP069 </v>
      </c>
      <c r="Z1899" t="str">
        <f t="shared" si="511"/>
        <v xml:space="preserve">  1 </v>
      </c>
      <c r="AA1899" t="str">
        <f t="shared" si="499"/>
        <v xml:space="preserve">    54.6 </v>
      </c>
      <c r="AB1899" t="str">
        <f t="shared" si="508"/>
        <v xml:space="preserve">    26.9 </v>
      </c>
      <c r="AC1899" t="str">
        <f t="shared" si="509"/>
        <v xml:space="preserve">    59.5 </v>
      </c>
      <c r="AD1899" t="str">
        <f t="shared" si="510"/>
        <v xml:space="preserve">        </v>
      </c>
      <c r="AE1899" t="str">
        <f t="shared" si="500"/>
        <v xml:space="preserve">       </v>
      </c>
      <c r="AF1899" t="str">
        <f t="shared" si="512"/>
        <v xml:space="preserve">     </v>
      </c>
      <c r="AG1899" t="str">
        <f t="shared" si="512"/>
        <v xml:space="preserve">     0.11 </v>
      </c>
      <c r="AH1899" t="str">
        <f t="shared" si="501"/>
        <v xml:space="preserve">     0.34 </v>
      </c>
      <c r="AI1899" t="str">
        <f t="shared" si="502"/>
        <v xml:space="preserve">       </v>
      </c>
      <c r="AJ1899" t="str">
        <f t="shared" si="503"/>
        <v xml:space="preserve">      </v>
      </c>
    </row>
    <row r="1900" spans="1:36" x14ac:dyDescent="0.25">
      <c r="A1900" t="s">
        <v>1452</v>
      </c>
      <c r="P1900" t="str">
        <f t="shared" si="504"/>
        <v xml:space="preserve">              DE</v>
      </c>
      <c r="Q1900" t="str">
        <f t="shared" si="504"/>
        <v xml:space="preserve">ESLIGADO </v>
      </c>
      <c r="R1900" t="str">
        <f t="shared" si="497"/>
        <v xml:space="preserve">    75.0 </v>
      </c>
      <c r="S1900" t="str">
        <f t="shared" si="505"/>
        <v xml:space="preserve">    90.0 </v>
      </c>
      <c r="T1900" t="str">
        <f t="shared" si="506"/>
        <v xml:space="preserve">    90.0 </v>
      </c>
      <c r="U1900" t="str">
        <f t="shared" si="510"/>
        <v xml:space="preserve">             </v>
      </c>
      <c r="V1900" t="str">
        <f t="shared" si="498"/>
        <v xml:space="preserve">         </v>
      </c>
      <c r="W1900" t="str">
        <f t="shared" si="507"/>
        <v xml:space="preserve">         </v>
      </c>
      <c r="X1900" t="str">
        <f t="shared" si="511"/>
        <v xml:space="preserve"> 10227 </v>
      </c>
      <c r="Y1900" t="str">
        <f t="shared" si="511"/>
        <v xml:space="preserve"> TONDO-TAP069 </v>
      </c>
      <c r="Z1900" t="str">
        <f t="shared" si="511"/>
        <v xml:space="preserve">  1 </v>
      </c>
      <c r="AA1900" t="str">
        <f t="shared" si="499"/>
        <v xml:space="preserve">     0.0 </v>
      </c>
      <c r="AB1900" t="str">
        <f t="shared" si="508"/>
        <v xml:space="preserve">     0.0 </v>
      </c>
      <c r="AC1900" t="str">
        <f t="shared" si="509"/>
        <v xml:space="preserve">     0.0 </v>
      </c>
      <c r="AD1900" t="str">
        <f t="shared" si="510"/>
        <v xml:space="preserve">        </v>
      </c>
      <c r="AE1900" t="str">
        <f t="shared" si="500"/>
        <v xml:space="preserve">       </v>
      </c>
      <c r="AF1900" t="str">
        <f t="shared" si="512"/>
        <v xml:space="preserve">     </v>
      </c>
      <c r="AG1900" t="str">
        <f t="shared" si="512"/>
        <v xml:space="preserve">     0.00 </v>
      </c>
      <c r="AH1900" t="str">
        <f t="shared" si="501"/>
        <v xml:space="preserve">     0.00 </v>
      </c>
      <c r="AI1900" t="str">
        <f t="shared" si="502"/>
        <v xml:space="preserve">       </v>
      </c>
      <c r="AJ1900" t="str">
        <f t="shared" si="503"/>
        <v xml:space="preserve">      </v>
      </c>
    </row>
    <row r="1901" spans="1:36" x14ac:dyDescent="0.25">
      <c r="A1901" t="s">
        <v>14</v>
      </c>
      <c r="P1901" t="str">
        <f t="shared" si="504"/>
        <v xml:space="preserve">  ..............</v>
      </c>
      <c r="Q1901" t="str">
        <f t="shared" si="504"/>
        <v>.........</v>
      </c>
      <c r="R1901" t="str">
        <f t="shared" si="497"/>
        <v>.........</v>
      </c>
      <c r="S1901" t="str">
        <f t="shared" si="505"/>
        <v>.........</v>
      </c>
      <c r="T1901" t="str">
        <f t="shared" si="506"/>
        <v>.........</v>
      </c>
      <c r="U1901" t="str">
        <f t="shared" si="510"/>
        <v>.............</v>
      </c>
      <c r="V1901" t="str">
        <f t="shared" si="498"/>
        <v>.........</v>
      </c>
      <c r="W1901" t="str">
        <f t="shared" si="507"/>
        <v>.........</v>
      </c>
      <c r="X1901" t="str">
        <f t="shared" si="511"/>
        <v>.......</v>
      </c>
      <c r="Y1901" t="str">
        <f t="shared" si="511"/>
        <v>..............</v>
      </c>
      <c r="Z1901" t="str">
        <f t="shared" si="511"/>
        <v>....</v>
      </c>
      <c r="AA1901" t="str">
        <f t="shared" si="499"/>
        <v>.........</v>
      </c>
      <c r="AB1901" t="str">
        <f t="shared" si="508"/>
        <v>.........</v>
      </c>
      <c r="AC1901" t="str">
        <f t="shared" si="509"/>
        <v>.........</v>
      </c>
      <c r="AD1901" t="str">
        <f t="shared" si="510"/>
        <v>........</v>
      </c>
      <c r="AE1901" t="str">
        <f t="shared" si="500"/>
        <v>.......</v>
      </c>
      <c r="AF1901" t="str">
        <f t="shared" si="512"/>
        <v>.....</v>
      </c>
      <c r="AG1901" t="str">
        <f t="shared" si="512"/>
        <v>..........</v>
      </c>
      <c r="AH1901" t="str">
        <f t="shared" si="501"/>
        <v>..........</v>
      </c>
      <c r="AI1901" t="str">
        <f t="shared" si="502"/>
        <v>.......</v>
      </c>
      <c r="AJ1901" t="str">
        <f t="shared" si="503"/>
        <v>.......</v>
      </c>
    </row>
    <row r="1902" spans="1:36" x14ac:dyDescent="0.25">
      <c r="A1902" t="s">
        <v>1453</v>
      </c>
      <c r="P1902" t="str">
        <f t="shared" si="504"/>
        <v xml:space="preserve">  10222   69  0 </v>
      </c>
      <c r="Q1902" t="str">
        <f t="shared" si="504"/>
        <v xml:space="preserve">   1.019 </v>
      </c>
      <c r="R1902" t="str">
        <f t="shared" si="497"/>
        <v xml:space="preserve">     0.0 </v>
      </c>
      <c r="S1902" t="str">
        <f t="shared" si="505"/>
        <v xml:space="preserve">     0.0 </v>
      </c>
      <c r="T1902" t="str">
        <f t="shared" si="506"/>
        <v xml:space="preserve">     0.0 </v>
      </c>
      <c r="U1902" t="str">
        <f t="shared" si="510"/>
        <v xml:space="preserve">         0.0 </v>
      </c>
      <c r="V1902" t="str">
        <f t="shared" si="498"/>
        <v xml:space="preserve">     0.0 </v>
      </c>
      <c r="W1902" t="str">
        <f t="shared" si="507"/>
        <v xml:space="preserve">     0.0</v>
      </c>
      <c r="X1902" t="str">
        <f t="shared" si="511"/>
        <v/>
      </c>
      <c r="Y1902" t="str">
        <f t="shared" si="511"/>
        <v/>
      </c>
      <c r="Z1902" t="str">
        <f t="shared" si="511"/>
        <v/>
      </c>
      <c r="AA1902" t="str">
        <f t="shared" si="499"/>
        <v/>
      </c>
      <c r="AB1902" t="str">
        <f t="shared" si="508"/>
        <v/>
      </c>
      <c r="AC1902" t="str">
        <f t="shared" si="509"/>
        <v/>
      </c>
      <c r="AD1902" t="str">
        <f t="shared" si="510"/>
        <v/>
      </c>
      <c r="AE1902" t="str">
        <f t="shared" si="500"/>
        <v/>
      </c>
      <c r="AF1902" t="str">
        <f t="shared" si="512"/>
        <v/>
      </c>
      <c r="AG1902" t="str">
        <f t="shared" si="512"/>
        <v/>
      </c>
      <c r="AH1902" t="str">
        <f t="shared" si="501"/>
        <v/>
      </c>
      <c r="AI1902" t="str">
        <f t="shared" si="502"/>
        <v/>
      </c>
      <c r="AJ1902" t="str">
        <f t="shared" si="503"/>
        <v/>
      </c>
    </row>
    <row r="1903" spans="1:36" x14ac:dyDescent="0.25">
      <c r="A1903" t="s">
        <v>1454</v>
      </c>
      <c r="P1903" t="str">
        <f t="shared" si="504"/>
        <v xml:space="preserve">  LUPATETAP069  </v>
      </c>
      <c r="Q1903" t="str">
        <f t="shared" si="504"/>
        <v xml:space="preserve">   -52.1 </v>
      </c>
      <c r="R1903" t="str">
        <f t="shared" si="497"/>
        <v xml:space="preserve">     0.0 </v>
      </c>
      <c r="S1903" t="str">
        <f t="shared" si="505"/>
        <v xml:space="preserve">     0.0 </v>
      </c>
      <c r="T1903" t="str">
        <f t="shared" si="506"/>
        <v xml:space="preserve">     0.0 </v>
      </c>
      <c r="U1903" t="str">
        <f t="shared" si="510"/>
        <v xml:space="preserve">         0.0 </v>
      </c>
      <c r="V1903" t="str">
        <f t="shared" si="498"/>
        <v xml:space="preserve">     0.0 </v>
      </c>
      <c r="W1903" t="str">
        <f t="shared" si="507"/>
        <v xml:space="preserve">     0.0 </v>
      </c>
      <c r="X1903" t="str">
        <f t="shared" si="511"/>
        <v xml:space="preserve">       </v>
      </c>
      <c r="Y1903" t="str">
        <f t="shared" si="511"/>
        <v xml:space="preserve">              </v>
      </c>
      <c r="Z1903" t="str">
        <f t="shared" si="511"/>
        <v xml:space="preserve">    </v>
      </c>
      <c r="AA1903" t="str">
        <f t="shared" si="499"/>
        <v xml:space="preserve">         </v>
      </c>
      <c r="AB1903" t="str">
        <f t="shared" si="508"/>
        <v xml:space="preserve">         </v>
      </c>
      <c r="AC1903" t="str">
        <f t="shared" si="509"/>
        <v xml:space="preserve">    </v>
      </c>
      <c r="AD1903" t="str">
        <f t="shared" si="510"/>
        <v/>
      </c>
      <c r="AE1903" t="str">
        <f t="shared" si="500"/>
        <v/>
      </c>
      <c r="AF1903" t="str">
        <f t="shared" si="512"/>
        <v/>
      </c>
      <c r="AG1903" t="str">
        <f t="shared" si="512"/>
        <v/>
      </c>
      <c r="AH1903" t="str">
        <f t="shared" si="501"/>
        <v/>
      </c>
      <c r="AI1903" t="str">
        <f t="shared" si="502"/>
        <v/>
      </c>
      <c r="AJ1903" t="str">
        <f t="shared" si="503"/>
        <v/>
      </c>
    </row>
    <row r="1904" spans="1:36" x14ac:dyDescent="0.25">
      <c r="A1904" t="s">
        <v>1455</v>
      </c>
      <c r="P1904" t="str">
        <f t="shared" si="504"/>
        <v xml:space="preserve">                </v>
      </c>
      <c r="Q1904" t="str">
        <f t="shared" si="504"/>
        <v xml:space="preserve">         </v>
      </c>
      <c r="R1904" t="str">
        <f t="shared" si="497"/>
        <v xml:space="preserve">    75.0 </v>
      </c>
      <c r="S1904" t="str">
        <f t="shared" si="505"/>
        <v xml:space="preserve">    90.0 </v>
      </c>
      <c r="T1904" t="str">
        <f t="shared" si="506"/>
        <v xml:space="preserve">    90.0 </v>
      </c>
      <c r="U1904" t="str">
        <f t="shared" si="510"/>
        <v xml:space="preserve">       77.2% </v>
      </c>
      <c r="V1904" t="str">
        <f t="shared" si="498"/>
        <v xml:space="preserve">         </v>
      </c>
      <c r="W1904" t="str">
        <f t="shared" si="507"/>
        <v xml:space="preserve">         </v>
      </c>
      <c r="X1904" t="str">
        <f t="shared" si="511"/>
        <v xml:space="preserve">  1187 </v>
      </c>
      <c r="Y1904" t="str">
        <f t="shared" si="511"/>
        <v xml:space="preserve"> CAXIA1-RS069 </v>
      </c>
      <c r="Z1904" t="str">
        <f t="shared" si="511"/>
        <v xml:space="preserve">  1 </v>
      </c>
      <c r="AA1904" t="str">
        <f t="shared" si="499"/>
        <v xml:space="preserve">    52.9 </v>
      </c>
      <c r="AB1904" t="str">
        <f t="shared" si="508"/>
        <v xml:space="preserve">    26.1 </v>
      </c>
      <c r="AC1904" t="str">
        <f t="shared" si="509"/>
        <v xml:space="preserve">    57.9 </v>
      </c>
      <c r="AD1904" t="str">
        <f t="shared" si="510"/>
        <v xml:space="preserve">        </v>
      </c>
      <c r="AE1904" t="str">
        <f t="shared" si="500"/>
        <v xml:space="preserve">       </v>
      </c>
      <c r="AF1904" t="str">
        <f t="shared" si="512"/>
        <v xml:space="preserve">     </v>
      </c>
      <c r="AG1904" t="str">
        <f t="shared" si="512"/>
        <v xml:space="preserve">     0.29 </v>
      </c>
      <c r="AH1904" t="str">
        <f t="shared" si="501"/>
        <v xml:space="preserve">     0.88 </v>
      </c>
      <c r="AI1904" t="str">
        <f t="shared" si="502"/>
        <v xml:space="preserve">       </v>
      </c>
      <c r="AJ1904" t="str">
        <f t="shared" si="503"/>
        <v xml:space="preserve">      </v>
      </c>
    </row>
    <row r="1905" spans="1:36" x14ac:dyDescent="0.25">
      <c r="A1905" t="s">
        <v>1456</v>
      </c>
      <c r="P1905" t="str">
        <f t="shared" si="504"/>
        <v xml:space="preserve">                </v>
      </c>
      <c r="Q1905" t="str">
        <f t="shared" si="504"/>
        <v xml:space="preserve">         </v>
      </c>
      <c r="R1905" t="str">
        <f t="shared" si="497"/>
        <v xml:space="preserve">    75.0 </v>
      </c>
      <c r="S1905" t="str">
        <f t="shared" si="505"/>
        <v xml:space="preserve">    90.0 </v>
      </c>
      <c r="T1905" t="str">
        <f t="shared" si="506"/>
        <v xml:space="preserve">    90.0 </v>
      </c>
      <c r="U1905" t="str">
        <f t="shared" si="510"/>
        <v xml:space="preserve">       79.3% </v>
      </c>
      <c r="V1905" t="str">
        <f t="shared" si="498"/>
        <v xml:space="preserve">         </v>
      </c>
      <c r="W1905" t="str">
        <f t="shared" si="507"/>
        <v xml:space="preserve">         </v>
      </c>
      <c r="X1905" t="str">
        <f t="shared" si="511"/>
        <v xml:space="preserve"> 10221 </v>
      </c>
      <c r="Y1905" t="str">
        <f t="shared" si="511"/>
        <v xml:space="preserve"> CAXIA8-RS069 </v>
      </c>
      <c r="Z1905" t="str">
        <f t="shared" si="511"/>
        <v xml:space="preserve">  1 </v>
      </c>
      <c r="AA1905" t="str">
        <f t="shared" si="499"/>
        <v xml:space="preserve">   -54.5 </v>
      </c>
      <c r="AB1905" t="str">
        <f t="shared" si="508"/>
        <v xml:space="preserve">   -26.6 </v>
      </c>
      <c r="AC1905" t="str">
        <f t="shared" si="509"/>
        <v xml:space="preserve">    59.5 </v>
      </c>
      <c r="AD1905" t="str">
        <f t="shared" si="510"/>
        <v xml:space="preserve">        </v>
      </c>
      <c r="AE1905" t="str">
        <f t="shared" si="500"/>
        <v xml:space="preserve">       </v>
      </c>
      <c r="AF1905" t="str">
        <f t="shared" si="512"/>
        <v xml:space="preserve">     </v>
      </c>
      <c r="AG1905" t="str">
        <f t="shared" si="512"/>
        <v xml:space="preserve">     0.11 </v>
      </c>
      <c r="AH1905" t="str">
        <f t="shared" si="501"/>
        <v xml:space="preserve">     0.34 </v>
      </c>
      <c r="AI1905" t="str">
        <f t="shared" si="502"/>
        <v xml:space="preserve">       </v>
      </c>
      <c r="AJ1905" t="str">
        <f t="shared" si="503"/>
        <v xml:space="preserve">      </v>
      </c>
    </row>
    <row r="1906" spans="1:36" x14ac:dyDescent="0.25">
      <c r="A1906" t="s">
        <v>1457</v>
      </c>
      <c r="P1906" t="str">
        <f t="shared" si="504"/>
        <v xml:space="preserve">                </v>
      </c>
      <c r="Q1906" t="str">
        <f t="shared" si="504"/>
        <v xml:space="preserve">         </v>
      </c>
      <c r="R1906" t="str">
        <f t="shared" si="497"/>
        <v xml:space="preserve">    30.0 </v>
      </c>
      <c r="S1906" t="str">
        <f t="shared" si="505"/>
        <v xml:space="preserve">    43.0 </v>
      </c>
      <c r="T1906" t="str">
        <f t="shared" si="506"/>
        <v xml:space="preserve">    43.0 </v>
      </c>
      <c r="U1906" t="str">
        <f t="shared" si="510"/>
        <v xml:space="preserve">        5.5% </v>
      </c>
      <c r="V1906" t="str">
        <f t="shared" si="498"/>
        <v xml:space="preserve">         </v>
      </c>
      <c r="W1906" t="str">
        <f t="shared" si="507"/>
        <v xml:space="preserve">         </v>
      </c>
      <c r="X1906" t="str">
        <f t="shared" si="511"/>
        <v xml:space="preserve"> 10223 </v>
      </c>
      <c r="Y1906" t="str">
        <f t="shared" si="511"/>
        <v xml:space="preserve"> LUPATE-RS069 </v>
      </c>
      <c r="Z1906" t="str">
        <f t="shared" si="511"/>
        <v xml:space="preserve">  1 </v>
      </c>
      <c r="AA1906" t="str">
        <f t="shared" si="499"/>
        <v xml:space="preserve">     1.6 </v>
      </c>
      <c r="AB1906" t="str">
        <f t="shared" si="508"/>
        <v xml:space="preserve">     0.5 </v>
      </c>
      <c r="AC1906" t="str">
        <f t="shared" si="509"/>
        <v xml:space="preserve">     1.6 </v>
      </c>
      <c r="AD1906" t="str">
        <f t="shared" si="510"/>
        <v xml:space="preserve">        </v>
      </c>
      <c r="AE1906" t="str">
        <f t="shared" si="500"/>
        <v xml:space="preserve">       </v>
      </c>
      <c r="AF1906" t="str">
        <f t="shared" si="512"/>
        <v xml:space="preserve">     </v>
      </c>
      <c r="AG1906" t="str">
        <f t="shared" si="512"/>
        <v xml:space="preserve">     0.00 </v>
      </c>
      <c r="AH1906" t="str">
        <f t="shared" si="501"/>
        <v xml:space="preserve">    -0.03 </v>
      </c>
      <c r="AI1906" t="str">
        <f t="shared" si="502"/>
        <v xml:space="preserve">       </v>
      </c>
      <c r="AJ1906" t="str">
        <f t="shared" si="503"/>
        <v xml:space="preserve">      </v>
      </c>
    </row>
    <row r="1907" spans="1:36" x14ac:dyDescent="0.25">
      <c r="A1907" t="s">
        <v>14</v>
      </c>
      <c r="P1907" t="str">
        <f t="shared" si="504"/>
        <v xml:space="preserve">  ..............</v>
      </c>
      <c r="Q1907" t="str">
        <f t="shared" si="504"/>
        <v>.........</v>
      </c>
      <c r="R1907" t="str">
        <f t="shared" si="497"/>
        <v>.........</v>
      </c>
      <c r="S1907" t="str">
        <f t="shared" si="505"/>
        <v>.........</v>
      </c>
      <c r="T1907" t="str">
        <f t="shared" si="506"/>
        <v>.........</v>
      </c>
      <c r="U1907" t="str">
        <f t="shared" si="510"/>
        <v>.............</v>
      </c>
      <c r="V1907" t="str">
        <f t="shared" si="498"/>
        <v>.........</v>
      </c>
      <c r="W1907" t="str">
        <f t="shared" si="507"/>
        <v>.........</v>
      </c>
      <c r="X1907" t="str">
        <f t="shared" si="511"/>
        <v>.......</v>
      </c>
      <c r="Y1907" t="str">
        <f t="shared" si="511"/>
        <v>..............</v>
      </c>
      <c r="Z1907" t="str">
        <f t="shared" si="511"/>
        <v>....</v>
      </c>
      <c r="AA1907" t="str">
        <f t="shared" si="499"/>
        <v>.........</v>
      </c>
      <c r="AB1907" t="str">
        <f t="shared" si="508"/>
        <v>.........</v>
      </c>
      <c r="AC1907" t="str">
        <f t="shared" si="509"/>
        <v>.........</v>
      </c>
      <c r="AD1907" t="str">
        <f t="shared" si="510"/>
        <v>........</v>
      </c>
      <c r="AE1907" t="str">
        <f t="shared" si="500"/>
        <v>.......</v>
      </c>
      <c r="AF1907" t="str">
        <f t="shared" si="512"/>
        <v>.....</v>
      </c>
      <c r="AG1907" t="str">
        <f t="shared" si="512"/>
        <v>..........</v>
      </c>
      <c r="AH1907" t="str">
        <f t="shared" si="501"/>
        <v>..........</v>
      </c>
      <c r="AI1907" t="str">
        <f t="shared" si="502"/>
        <v>.......</v>
      </c>
      <c r="AJ1907" t="str">
        <f t="shared" si="503"/>
        <v>.......</v>
      </c>
    </row>
    <row r="1908" spans="1:36" x14ac:dyDescent="0.25">
      <c r="A1908" t="s">
        <v>1458</v>
      </c>
      <c r="P1908" t="str">
        <f t="shared" si="504"/>
        <v xml:space="preserve">  10223   69  0 </v>
      </c>
      <c r="Q1908" t="str">
        <f t="shared" si="504"/>
        <v xml:space="preserve">   1.019 </v>
      </c>
      <c r="R1908" t="str">
        <f t="shared" si="497"/>
        <v xml:space="preserve">     0.0 </v>
      </c>
      <c r="S1908" t="str">
        <f t="shared" si="505"/>
        <v xml:space="preserve">     0.0 </v>
      </c>
      <c r="T1908" t="str">
        <f t="shared" si="506"/>
        <v xml:space="preserve">     1.6 </v>
      </c>
      <c r="U1908" t="str">
        <f t="shared" si="510"/>
        <v xml:space="preserve">         0.0 </v>
      </c>
      <c r="V1908" t="str">
        <f t="shared" si="498"/>
        <v xml:space="preserve">     0.0 </v>
      </c>
      <c r="W1908" t="str">
        <f t="shared" si="507"/>
        <v xml:space="preserve">     0.0</v>
      </c>
      <c r="X1908" t="str">
        <f t="shared" si="511"/>
        <v/>
      </c>
      <c r="Y1908" t="str">
        <f t="shared" si="511"/>
        <v/>
      </c>
      <c r="Z1908" t="str">
        <f t="shared" si="511"/>
        <v/>
      </c>
      <c r="AA1908" t="str">
        <f t="shared" si="499"/>
        <v/>
      </c>
      <c r="AB1908" t="str">
        <f t="shared" si="508"/>
        <v/>
      </c>
      <c r="AC1908" t="str">
        <f t="shared" si="509"/>
        <v/>
      </c>
      <c r="AD1908" t="str">
        <f t="shared" si="510"/>
        <v/>
      </c>
      <c r="AE1908" t="str">
        <f t="shared" si="500"/>
        <v/>
      </c>
      <c r="AF1908" t="str">
        <f t="shared" si="512"/>
        <v/>
      </c>
      <c r="AG1908" t="str">
        <f t="shared" si="512"/>
        <v/>
      </c>
      <c r="AH1908" t="str">
        <f t="shared" si="501"/>
        <v/>
      </c>
      <c r="AI1908" t="str">
        <f t="shared" si="502"/>
        <v/>
      </c>
      <c r="AJ1908" t="str">
        <f t="shared" si="503"/>
        <v/>
      </c>
    </row>
    <row r="1909" spans="1:36" x14ac:dyDescent="0.25">
      <c r="A1909" t="s">
        <v>1459</v>
      </c>
      <c r="P1909" t="str">
        <f t="shared" si="504"/>
        <v xml:space="preserve">  LUPATE-RS069  </v>
      </c>
      <c r="Q1909" t="str">
        <f t="shared" si="504"/>
        <v xml:space="preserve">   -52.1 </v>
      </c>
      <c r="R1909" t="str">
        <f t="shared" si="497"/>
        <v xml:space="preserve">     0.0 </v>
      </c>
      <c r="S1909" t="str">
        <f t="shared" si="505"/>
        <v xml:space="preserve">     0.0 </v>
      </c>
      <c r="T1909" t="str">
        <f t="shared" si="506"/>
        <v xml:space="preserve">     0.5 </v>
      </c>
      <c r="U1909" t="str">
        <f t="shared" si="510"/>
        <v xml:space="preserve">         0.0 </v>
      </c>
      <c r="V1909" t="str">
        <f t="shared" si="498"/>
        <v xml:space="preserve">     0.0 </v>
      </c>
      <c r="W1909" t="str">
        <f t="shared" si="507"/>
        <v xml:space="preserve">     0.0 </v>
      </c>
      <c r="X1909" t="str">
        <f t="shared" si="511"/>
        <v xml:space="preserve">       </v>
      </c>
      <c r="Y1909" t="str">
        <f t="shared" si="511"/>
        <v xml:space="preserve">              </v>
      </c>
      <c r="Z1909" t="str">
        <f t="shared" si="511"/>
        <v xml:space="preserve">    </v>
      </c>
      <c r="AA1909" t="str">
        <f t="shared" si="499"/>
        <v xml:space="preserve">         </v>
      </c>
      <c r="AB1909" t="str">
        <f t="shared" si="508"/>
        <v xml:space="preserve">         </v>
      </c>
      <c r="AC1909" t="str">
        <f t="shared" si="509"/>
        <v xml:space="preserve">    </v>
      </c>
      <c r="AD1909" t="str">
        <f t="shared" si="510"/>
        <v/>
      </c>
      <c r="AE1909" t="str">
        <f t="shared" si="500"/>
        <v/>
      </c>
      <c r="AF1909" t="str">
        <f t="shared" si="512"/>
        <v/>
      </c>
      <c r="AG1909" t="str">
        <f t="shared" si="512"/>
        <v/>
      </c>
      <c r="AH1909" t="str">
        <f t="shared" si="501"/>
        <v/>
      </c>
      <c r="AI1909" t="str">
        <f t="shared" si="502"/>
        <v/>
      </c>
      <c r="AJ1909" t="str">
        <f t="shared" si="503"/>
        <v/>
      </c>
    </row>
    <row r="1910" spans="1:36" x14ac:dyDescent="0.25">
      <c r="A1910" t="s">
        <v>1460</v>
      </c>
      <c r="P1910" t="str">
        <f t="shared" si="504"/>
        <v xml:space="preserve">                </v>
      </c>
      <c r="Q1910" t="str">
        <f t="shared" si="504"/>
        <v xml:space="preserve">         </v>
      </c>
      <c r="R1910" t="str">
        <f t="shared" si="497"/>
        <v xml:space="preserve">    30.0 </v>
      </c>
      <c r="S1910" t="str">
        <f t="shared" si="505"/>
        <v xml:space="preserve">    43.0 </v>
      </c>
      <c r="T1910" t="str">
        <f t="shared" si="506"/>
        <v xml:space="preserve">    43.0 </v>
      </c>
      <c r="U1910" t="str">
        <f t="shared" si="510"/>
        <v xml:space="preserve">        5.5% </v>
      </c>
      <c r="V1910" t="str">
        <f t="shared" si="498"/>
        <v xml:space="preserve">         </v>
      </c>
      <c r="W1910" t="str">
        <f t="shared" si="507"/>
        <v xml:space="preserve">         </v>
      </c>
      <c r="X1910" t="str">
        <f t="shared" si="511"/>
        <v xml:space="preserve"> 10222 </v>
      </c>
      <c r="Y1910" t="str">
        <f t="shared" si="511"/>
        <v xml:space="preserve"> LUPATETAP069 </v>
      </c>
      <c r="Z1910" t="str">
        <f t="shared" si="511"/>
        <v xml:space="preserve">  1 </v>
      </c>
      <c r="AA1910" t="str">
        <f t="shared" si="499"/>
        <v xml:space="preserve">    -1.6 </v>
      </c>
      <c r="AB1910" t="str">
        <f t="shared" si="508"/>
        <v xml:space="preserve">    -0.5 </v>
      </c>
      <c r="AC1910" t="str">
        <f t="shared" si="509"/>
        <v xml:space="preserve">     1.6 </v>
      </c>
      <c r="AD1910" t="str">
        <f t="shared" si="510"/>
        <v xml:space="preserve">        </v>
      </c>
      <c r="AE1910" t="str">
        <f t="shared" si="500"/>
        <v xml:space="preserve">       </v>
      </c>
      <c r="AF1910" t="str">
        <f t="shared" si="512"/>
        <v xml:space="preserve">     </v>
      </c>
      <c r="AG1910" t="str">
        <f t="shared" si="512"/>
        <v xml:space="preserve">     0.00 </v>
      </c>
      <c r="AH1910" t="str">
        <f t="shared" si="501"/>
        <v xml:space="preserve">    -0.03 </v>
      </c>
      <c r="AI1910" t="str">
        <f t="shared" si="502"/>
        <v xml:space="preserve">       </v>
      </c>
      <c r="AJ1910" t="str">
        <f t="shared" si="503"/>
        <v xml:space="preserve">      </v>
      </c>
    </row>
    <row r="1911" spans="1:36" x14ac:dyDescent="0.25">
      <c r="A1911" t="s">
        <v>14</v>
      </c>
      <c r="P1911" t="str">
        <f t="shared" si="504"/>
        <v xml:space="preserve">  ..............</v>
      </c>
      <c r="Q1911" t="str">
        <f t="shared" si="504"/>
        <v>.........</v>
      </c>
      <c r="R1911" t="str">
        <f t="shared" si="497"/>
        <v>.........</v>
      </c>
      <c r="S1911" t="str">
        <f t="shared" si="505"/>
        <v>.........</v>
      </c>
      <c r="T1911" t="str">
        <f t="shared" si="506"/>
        <v>.........</v>
      </c>
      <c r="U1911" t="str">
        <f t="shared" si="510"/>
        <v>.............</v>
      </c>
      <c r="V1911" t="str">
        <f t="shared" si="498"/>
        <v>.........</v>
      </c>
      <c r="W1911" t="str">
        <f t="shared" si="507"/>
        <v>.........</v>
      </c>
      <c r="X1911" t="str">
        <f t="shared" si="511"/>
        <v>.......</v>
      </c>
      <c r="Y1911" t="str">
        <f t="shared" si="511"/>
        <v>..............</v>
      </c>
      <c r="Z1911" t="str">
        <f t="shared" si="511"/>
        <v>....</v>
      </c>
      <c r="AA1911" t="str">
        <f t="shared" si="499"/>
        <v>.........</v>
      </c>
      <c r="AB1911" t="str">
        <f t="shared" si="508"/>
        <v>.........</v>
      </c>
      <c r="AC1911" t="str">
        <f t="shared" si="509"/>
        <v>.........</v>
      </c>
      <c r="AD1911" t="str">
        <f t="shared" si="510"/>
        <v>........</v>
      </c>
      <c r="AE1911" t="str">
        <f t="shared" si="500"/>
        <v>.......</v>
      </c>
      <c r="AF1911" t="str">
        <f t="shared" si="512"/>
        <v>.....</v>
      </c>
      <c r="AG1911" t="str">
        <f t="shared" si="512"/>
        <v>..........</v>
      </c>
      <c r="AH1911" t="str">
        <f t="shared" si="501"/>
        <v>..........</v>
      </c>
      <c r="AI1911" t="str">
        <f t="shared" si="502"/>
        <v>.......</v>
      </c>
      <c r="AJ1911" t="str">
        <f t="shared" si="503"/>
        <v>.......</v>
      </c>
    </row>
    <row r="1912" spans="1:36" x14ac:dyDescent="0.25">
      <c r="A1912" t="s">
        <v>1461</v>
      </c>
      <c r="P1912" t="str">
        <f t="shared" si="504"/>
        <v xml:space="preserve">  10226   14  0 </v>
      </c>
      <c r="Q1912" t="str">
        <f t="shared" si="504"/>
        <v xml:space="preserve">   1.059 </v>
      </c>
      <c r="R1912" t="str">
        <f t="shared" si="497"/>
        <v xml:space="preserve">     0.0 </v>
      </c>
      <c r="S1912" t="str">
        <f t="shared" si="505"/>
        <v xml:space="preserve">     0.0 </v>
      </c>
      <c r="T1912" t="str">
        <f t="shared" si="506"/>
        <v xml:space="preserve">    21.5 </v>
      </c>
      <c r="U1912" t="str">
        <f t="shared" si="510"/>
        <v xml:space="preserve">         0.0 </v>
      </c>
      <c r="V1912" t="str">
        <f t="shared" si="498"/>
        <v xml:space="preserve">     0.0 </v>
      </c>
      <c r="W1912" t="str">
        <f t="shared" si="507"/>
        <v xml:space="preserve">     0.0</v>
      </c>
      <c r="X1912" t="str">
        <f t="shared" si="511"/>
        <v/>
      </c>
      <c r="Y1912" t="str">
        <f t="shared" si="511"/>
        <v/>
      </c>
      <c r="Z1912" t="str">
        <f t="shared" si="511"/>
        <v/>
      </c>
      <c r="AA1912" t="str">
        <f t="shared" si="499"/>
        <v/>
      </c>
      <c r="AB1912" t="str">
        <f t="shared" si="508"/>
        <v/>
      </c>
      <c r="AC1912" t="str">
        <f t="shared" si="509"/>
        <v/>
      </c>
      <c r="AD1912" t="str">
        <f t="shared" si="510"/>
        <v/>
      </c>
      <c r="AE1912" t="str">
        <f t="shared" si="500"/>
        <v/>
      </c>
      <c r="AF1912" t="str">
        <f t="shared" si="512"/>
        <v/>
      </c>
      <c r="AG1912" t="str">
        <f t="shared" si="512"/>
        <v/>
      </c>
      <c r="AH1912" t="str">
        <f t="shared" si="501"/>
        <v/>
      </c>
      <c r="AI1912" t="str">
        <f t="shared" si="502"/>
        <v/>
      </c>
      <c r="AJ1912" t="str">
        <f t="shared" si="503"/>
        <v/>
      </c>
    </row>
    <row r="1913" spans="1:36" x14ac:dyDescent="0.25">
      <c r="A1913" t="s">
        <v>1462</v>
      </c>
      <c r="P1913" t="str">
        <f t="shared" si="504"/>
        <v xml:space="preserve">  CAX5-C-RS013  </v>
      </c>
      <c r="Q1913" t="str">
        <f t="shared" si="504"/>
        <v xml:space="preserve">   -50.7 </v>
      </c>
      <c r="R1913" t="str">
        <f t="shared" si="497"/>
        <v xml:space="preserve">     0.0 </v>
      </c>
      <c r="S1913" t="str">
        <f t="shared" si="505"/>
        <v xml:space="preserve">     0.0 </v>
      </c>
      <c r="T1913" t="str">
        <f t="shared" si="506"/>
        <v xml:space="preserve">     6.0 </v>
      </c>
      <c r="U1913" t="str">
        <f t="shared" si="510"/>
        <v xml:space="preserve">         0.0 </v>
      </c>
      <c r="V1913" t="str">
        <f t="shared" si="498"/>
        <v xml:space="preserve">     0.0 </v>
      </c>
      <c r="W1913" t="str">
        <f t="shared" si="507"/>
        <v xml:space="preserve">     0.0 </v>
      </c>
      <c r="X1913" t="str">
        <f t="shared" si="511"/>
        <v xml:space="preserve">       </v>
      </c>
      <c r="Y1913" t="str">
        <f t="shared" si="511"/>
        <v xml:space="preserve">              </v>
      </c>
      <c r="Z1913" t="str">
        <f t="shared" si="511"/>
        <v xml:space="preserve">    </v>
      </c>
      <c r="AA1913" t="str">
        <f t="shared" si="499"/>
        <v xml:space="preserve">         </v>
      </c>
      <c r="AB1913" t="str">
        <f t="shared" si="508"/>
        <v xml:space="preserve">         </v>
      </c>
      <c r="AC1913" t="str">
        <f t="shared" si="509"/>
        <v xml:space="preserve">    </v>
      </c>
      <c r="AD1913" t="str">
        <f t="shared" si="510"/>
        <v/>
      </c>
      <c r="AE1913" t="str">
        <f t="shared" si="500"/>
        <v/>
      </c>
      <c r="AF1913" t="str">
        <f t="shared" si="512"/>
        <v/>
      </c>
      <c r="AG1913" t="str">
        <f t="shared" si="512"/>
        <v/>
      </c>
      <c r="AH1913" t="str">
        <f t="shared" si="501"/>
        <v/>
      </c>
      <c r="AI1913" t="str">
        <f t="shared" si="502"/>
        <v/>
      </c>
      <c r="AJ1913" t="str">
        <f t="shared" si="503"/>
        <v/>
      </c>
    </row>
    <row r="1914" spans="1:36" x14ac:dyDescent="0.25">
      <c r="A1914" t="s">
        <v>1463</v>
      </c>
      <c r="P1914" t="str">
        <f t="shared" si="504"/>
        <v xml:space="preserve">                </v>
      </c>
      <c r="Q1914" t="str">
        <f t="shared" si="504"/>
        <v xml:space="preserve">         </v>
      </c>
      <c r="R1914" t="str">
        <f t="shared" si="497"/>
        <v xml:space="preserve">    50.0 </v>
      </c>
      <c r="S1914" t="str">
        <f t="shared" si="505"/>
        <v xml:space="preserve">    60.0 </v>
      </c>
      <c r="T1914" t="str">
        <f t="shared" si="506"/>
        <v xml:space="preserve">    60.0 </v>
      </c>
      <c r="U1914" t="str">
        <f t="shared" si="510"/>
        <v xml:space="preserve">       42.2% </v>
      </c>
      <c r="V1914" t="str">
        <f t="shared" si="498"/>
        <v xml:space="preserve">         </v>
      </c>
      <c r="W1914" t="str">
        <f t="shared" si="507"/>
        <v xml:space="preserve">         </v>
      </c>
      <c r="X1914" t="str">
        <f t="shared" si="511"/>
        <v xml:space="preserve"> 43873 </v>
      </c>
      <c r="Y1914" t="str">
        <f t="shared" si="511"/>
        <v xml:space="preserve"> CAX5-4-RS000 </v>
      </c>
      <c r="Z1914" t="str">
        <f t="shared" si="511"/>
        <v xml:space="preserve">  4 </v>
      </c>
      <c r="AA1914" t="str">
        <f t="shared" si="499"/>
        <v xml:space="preserve">   -21.5 </v>
      </c>
      <c r="AB1914" t="str">
        <f t="shared" si="508"/>
        <v xml:space="preserve">    -6.0 </v>
      </c>
      <c r="AC1914" t="str">
        <f t="shared" si="509"/>
        <v xml:space="preserve">    21.1 </v>
      </c>
      <c r="AD1914" t="str">
        <f t="shared" si="510"/>
        <v xml:space="preserve"> 1.000F </v>
      </c>
      <c r="AE1914" t="str">
        <f t="shared" si="500"/>
        <v xml:space="preserve">       </v>
      </c>
      <c r="AF1914" t="str">
        <f t="shared" si="512"/>
        <v xml:space="preserve"> 002 </v>
      </c>
      <c r="AG1914" t="str">
        <f t="shared" si="512"/>
        <v xml:space="preserve">     0.01 </v>
      </c>
      <c r="AH1914" t="str">
        <f t="shared" si="501"/>
        <v xml:space="preserve">    -0.07 </v>
      </c>
      <c r="AI1914" t="str">
        <f t="shared" si="502"/>
        <v xml:space="preserve">       </v>
      </c>
      <c r="AJ1914" t="str">
        <f t="shared" si="503"/>
        <v xml:space="preserve">      </v>
      </c>
    </row>
    <row r="1915" spans="1:36" x14ac:dyDescent="0.25">
      <c r="A1915" t="s">
        <v>14</v>
      </c>
      <c r="P1915" t="str">
        <f t="shared" si="504"/>
        <v xml:space="preserve">  ..............</v>
      </c>
      <c r="Q1915" t="str">
        <f t="shared" si="504"/>
        <v>.........</v>
      </c>
      <c r="R1915" t="str">
        <f t="shared" si="497"/>
        <v>.........</v>
      </c>
      <c r="S1915" t="str">
        <f t="shared" si="505"/>
        <v>.........</v>
      </c>
      <c r="T1915" t="str">
        <f t="shared" si="506"/>
        <v>.........</v>
      </c>
      <c r="U1915" t="str">
        <f t="shared" si="510"/>
        <v>.............</v>
      </c>
      <c r="V1915" t="str">
        <f t="shared" si="498"/>
        <v>.........</v>
      </c>
      <c r="W1915" t="str">
        <f t="shared" si="507"/>
        <v>.........</v>
      </c>
      <c r="X1915" t="str">
        <f t="shared" si="511"/>
        <v>.......</v>
      </c>
      <c r="Y1915" t="str">
        <f t="shared" si="511"/>
        <v>..............</v>
      </c>
      <c r="Z1915" t="str">
        <f t="shared" si="511"/>
        <v>....</v>
      </c>
      <c r="AA1915" t="str">
        <f t="shared" si="499"/>
        <v>.........</v>
      </c>
      <c r="AB1915" t="str">
        <f t="shared" si="508"/>
        <v>.........</v>
      </c>
      <c r="AC1915" t="str">
        <f t="shared" si="509"/>
        <v>.........</v>
      </c>
      <c r="AD1915" t="str">
        <f t="shared" si="510"/>
        <v>........</v>
      </c>
      <c r="AE1915" t="str">
        <f t="shared" si="500"/>
        <v>.......</v>
      </c>
      <c r="AF1915" t="str">
        <f t="shared" si="512"/>
        <v>.....</v>
      </c>
      <c r="AG1915" t="str">
        <f t="shared" si="512"/>
        <v>..........</v>
      </c>
      <c r="AH1915" t="str">
        <f t="shared" si="501"/>
        <v>..........</v>
      </c>
      <c r="AI1915" t="str">
        <f t="shared" si="502"/>
        <v>.......</v>
      </c>
      <c r="AJ1915" t="str">
        <f t="shared" si="503"/>
        <v>.......</v>
      </c>
    </row>
    <row r="1916" spans="1:36" x14ac:dyDescent="0.25">
      <c r="A1916" t="s">
        <v>1464</v>
      </c>
      <c r="P1916" t="str">
        <f t="shared" si="504"/>
        <v xml:space="preserve">  10227   69  0 </v>
      </c>
      <c r="Q1916" t="str">
        <f t="shared" si="504"/>
        <v xml:space="preserve">   1.022 </v>
      </c>
      <c r="R1916" t="str">
        <f t="shared" si="497"/>
        <v xml:space="preserve">     0.0 </v>
      </c>
      <c r="S1916" t="str">
        <f t="shared" si="505"/>
        <v xml:space="preserve">     0.0 </v>
      </c>
      <c r="T1916" t="str">
        <f t="shared" si="506"/>
        <v xml:space="preserve">     0.0 </v>
      </c>
      <c r="U1916" t="str">
        <f t="shared" si="510"/>
        <v xml:space="preserve">         0.0 </v>
      </c>
      <c r="V1916" t="str">
        <f t="shared" si="498"/>
        <v xml:space="preserve">     0.0 </v>
      </c>
      <c r="W1916" t="str">
        <f t="shared" si="507"/>
        <v xml:space="preserve">     0.0</v>
      </c>
      <c r="X1916" t="str">
        <f t="shared" si="511"/>
        <v/>
      </c>
      <c r="Y1916" t="str">
        <f t="shared" si="511"/>
        <v/>
      </c>
      <c r="Z1916" t="str">
        <f t="shared" si="511"/>
        <v/>
      </c>
      <c r="AA1916" t="str">
        <f t="shared" si="499"/>
        <v/>
      </c>
      <c r="AB1916" t="str">
        <f t="shared" si="508"/>
        <v/>
      </c>
      <c r="AC1916" t="str">
        <f t="shared" si="509"/>
        <v/>
      </c>
      <c r="AD1916" t="str">
        <f t="shared" si="510"/>
        <v/>
      </c>
      <c r="AE1916" t="str">
        <f t="shared" si="500"/>
        <v/>
      </c>
      <c r="AF1916" t="str">
        <f t="shared" si="512"/>
        <v/>
      </c>
      <c r="AG1916" t="str">
        <f t="shared" si="512"/>
        <v/>
      </c>
      <c r="AH1916" t="str">
        <f t="shared" si="501"/>
        <v/>
      </c>
      <c r="AI1916" t="str">
        <f t="shared" si="502"/>
        <v/>
      </c>
      <c r="AJ1916" t="str">
        <f t="shared" si="503"/>
        <v/>
      </c>
    </row>
    <row r="1917" spans="1:36" x14ac:dyDescent="0.25">
      <c r="A1917" t="s">
        <v>1465</v>
      </c>
      <c r="P1917" t="str">
        <f t="shared" si="504"/>
        <v xml:space="preserve">  TONDO-TAP069  </v>
      </c>
      <c r="Q1917" t="str">
        <f t="shared" si="504"/>
        <v xml:space="preserve">   -50.5 </v>
      </c>
      <c r="R1917" t="str">
        <f t="shared" si="497"/>
        <v xml:space="preserve">     0.0 </v>
      </c>
      <c r="S1917" t="str">
        <f t="shared" si="505"/>
        <v xml:space="preserve">     0.0 </v>
      </c>
      <c r="T1917" t="str">
        <f t="shared" si="506"/>
        <v xml:space="preserve">     0.0 </v>
      </c>
      <c r="U1917" t="str">
        <f t="shared" si="510"/>
        <v xml:space="preserve">         0.0 </v>
      </c>
      <c r="V1917" t="str">
        <f t="shared" si="498"/>
        <v xml:space="preserve">     0.0 </v>
      </c>
      <c r="W1917" t="str">
        <f t="shared" si="507"/>
        <v xml:space="preserve">     0.0 </v>
      </c>
      <c r="X1917" t="str">
        <f t="shared" si="511"/>
        <v xml:space="preserve">       </v>
      </c>
      <c r="Y1917" t="str">
        <f t="shared" si="511"/>
        <v xml:space="preserve">              </v>
      </c>
      <c r="Z1917" t="str">
        <f t="shared" si="511"/>
        <v xml:space="preserve">    </v>
      </c>
      <c r="AA1917" t="str">
        <f t="shared" si="499"/>
        <v xml:space="preserve">         </v>
      </c>
      <c r="AB1917" t="str">
        <f t="shared" si="508"/>
        <v xml:space="preserve">         </v>
      </c>
      <c r="AC1917" t="str">
        <f t="shared" si="509"/>
        <v xml:space="preserve">    </v>
      </c>
      <c r="AD1917" t="str">
        <f t="shared" si="510"/>
        <v/>
      </c>
      <c r="AE1917" t="str">
        <f t="shared" si="500"/>
        <v/>
      </c>
      <c r="AF1917" t="str">
        <f t="shared" si="512"/>
        <v/>
      </c>
      <c r="AG1917" t="str">
        <f t="shared" si="512"/>
        <v/>
      </c>
      <c r="AH1917" t="str">
        <f t="shared" si="501"/>
        <v/>
      </c>
      <c r="AI1917" t="str">
        <f t="shared" si="502"/>
        <v/>
      </c>
      <c r="AJ1917" t="str">
        <f t="shared" si="503"/>
        <v/>
      </c>
    </row>
    <row r="1918" spans="1:36" x14ac:dyDescent="0.25">
      <c r="A1918" t="s">
        <v>1466</v>
      </c>
      <c r="P1918" t="str">
        <f t="shared" si="504"/>
        <v xml:space="preserve">                </v>
      </c>
      <c r="Q1918" t="str">
        <f t="shared" si="504"/>
        <v xml:space="preserve">         </v>
      </c>
      <c r="R1918" t="str">
        <f t="shared" si="497"/>
        <v xml:space="preserve">    75.0 </v>
      </c>
      <c r="S1918" t="str">
        <f t="shared" si="505"/>
        <v xml:space="preserve">    90.0 </v>
      </c>
      <c r="T1918" t="str">
        <f t="shared" si="506"/>
        <v xml:space="preserve">    90.0 </v>
      </c>
      <c r="U1918" t="str">
        <f t="shared" si="510"/>
        <v xml:space="preserve">        7.1% </v>
      </c>
      <c r="V1918" t="str">
        <f t="shared" si="498"/>
        <v xml:space="preserve">         </v>
      </c>
      <c r="W1918" t="str">
        <f t="shared" si="507"/>
        <v xml:space="preserve">         </v>
      </c>
      <c r="X1918" t="str">
        <f t="shared" si="511"/>
        <v xml:space="preserve">  9829 </v>
      </c>
      <c r="Y1918" t="str">
        <f t="shared" si="511"/>
        <v xml:space="preserve"> FRASLETAP069 </v>
      </c>
      <c r="Z1918" t="str">
        <f t="shared" si="511"/>
        <v xml:space="preserve">  1 </v>
      </c>
      <c r="AA1918" t="str">
        <f t="shared" si="499"/>
        <v xml:space="preserve">    -5.2 </v>
      </c>
      <c r="AB1918" t="str">
        <f t="shared" si="508"/>
        <v xml:space="preserve">    -1.6 </v>
      </c>
      <c r="AC1918" t="str">
        <f t="shared" si="509"/>
        <v xml:space="preserve">     5.3 </v>
      </c>
      <c r="AD1918" t="str">
        <f t="shared" si="510"/>
        <v xml:space="preserve">        </v>
      </c>
      <c r="AE1918" t="str">
        <f t="shared" si="500"/>
        <v xml:space="preserve">       </v>
      </c>
      <c r="AF1918" t="str">
        <f t="shared" si="512"/>
        <v xml:space="preserve">     </v>
      </c>
      <c r="AG1918" t="str">
        <f t="shared" si="512"/>
        <v xml:space="preserve">     0.00 </v>
      </c>
      <c r="AH1918" t="str">
        <f t="shared" si="501"/>
        <v xml:space="preserve">    -0.00 </v>
      </c>
      <c r="AI1918" t="str">
        <f t="shared" si="502"/>
        <v xml:space="preserve">       </v>
      </c>
      <c r="AJ1918" t="str">
        <f t="shared" si="503"/>
        <v xml:space="preserve">      </v>
      </c>
    </row>
    <row r="1919" spans="1:36" x14ac:dyDescent="0.25">
      <c r="A1919" t="s">
        <v>1467</v>
      </c>
      <c r="P1919" t="str">
        <f t="shared" si="504"/>
        <v xml:space="preserve">              DE</v>
      </c>
      <c r="Q1919" t="str">
        <f t="shared" si="504"/>
        <v xml:space="preserve">ESLIGADO </v>
      </c>
      <c r="R1919" t="str">
        <f t="shared" si="497"/>
        <v xml:space="preserve">    75.0 </v>
      </c>
      <c r="S1919" t="str">
        <f t="shared" si="505"/>
        <v xml:space="preserve">    90.0 </v>
      </c>
      <c r="T1919" t="str">
        <f t="shared" si="506"/>
        <v xml:space="preserve">    90.0 </v>
      </c>
      <c r="U1919" t="str">
        <f t="shared" si="510"/>
        <v xml:space="preserve">             </v>
      </c>
      <c r="V1919" t="str">
        <f t="shared" si="498"/>
        <v xml:space="preserve">         </v>
      </c>
      <c r="W1919" t="str">
        <f t="shared" si="507"/>
        <v xml:space="preserve">         </v>
      </c>
      <c r="X1919" t="str">
        <f t="shared" si="511"/>
        <v xml:space="preserve"> 10221 </v>
      </c>
      <c r="Y1919" t="str">
        <f t="shared" si="511"/>
        <v xml:space="preserve"> CAXIA8-RS069 </v>
      </c>
      <c r="Z1919" t="str">
        <f t="shared" si="511"/>
        <v xml:space="preserve">  1 </v>
      </c>
      <c r="AA1919" t="str">
        <f t="shared" si="499"/>
        <v xml:space="preserve">     0.0 </v>
      </c>
      <c r="AB1919" t="str">
        <f t="shared" si="508"/>
        <v xml:space="preserve">    -0.1 </v>
      </c>
      <c r="AC1919" t="str">
        <f t="shared" si="509"/>
        <v xml:space="preserve">     0.1 </v>
      </c>
      <c r="AD1919" t="str">
        <f t="shared" si="510"/>
        <v xml:space="preserve">        </v>
      </c>
      <c r="AE1919" t="str">
        <f t="shared" si="500"/>
        <v xml:space="preserve">       </v>
      </c>
      <c r="AF1919" t="str">
        <f t="shared" si="512"/>
        <v xml:space="preserve">     </v>
      </c>
      <c r="AG1919" t="str">
        <f t="shared" si="512"/>
        <v xml:space="preserve">     0.00 </v>
      </c>
      <c r="AH1919" t="str">
        <f t="shared" si="501"/>
        <v xml:space="preserve">    -0.06 </v>
      </c>
      <c r="AI1919" t="str">
        <f t="shared" si="502"/>
        <v xml:space="preserve"> 1.022 </v>
      </c>
      <c r="AJ1919" t="str">
        <f t="shared" si="503"/>
        <v xml:space="preserve"> -50.5</v>
      </c>
    </row>
    <row r="1920" spans="1:36" x14ac:dyDescent="0.25">
      <c r="A1920" t="s">
        <v>1468</v>
      </c>
      <c r="P1920" t="str">
        <f t="shared" si="504"/>
        <v xml:space="preserve">                </v>
      </c>
      <c r="Q1920" t="str">
        <f t="shared" si="504"/>
        <v xml:space="preserve">         </v>
      </c>
      <c r="R1920" t="str">
        <f t="shared" si="497"/>
        <v xml:space="preserve">    67.0 </v>
      </c>
      <c r="S1920" t="str">
        <f t="shared" si="505"/>
        <v xml:space="preserve">    81.0 </v>
      </c>
      <c r="T1920" t="str">
        <f t="shared" si="506"/>
        <v xml:space="preserve">    81.0 </v>
      </c>
      <c r="U1920" t="str">
        <f t="shared" si="510"/>
        <v xml:space="preserve">        8.0% </v>
      </c>
      <c r="V1920" t="str">
        <f t="shared" si="498"/>
        <v xml:space="preserve">         </v>
      </c>
      <c r="W1920" t="str">
        <f t="shared" si="507"/>
        <v xml:space="preserve">         </v>
      </c>
      <c r="X1920" t="str">
        <f t="shared" si="511"/>
        <v xml:space="preserve"> 10228 </v>
      </c>
      <c r="Y1920" t="str">
        <f t="shared" si="511"/>
        <v xml:space="preserve"> TONDO--RS069 </v>
      </c>
      <c r="Z1920" t="str">
        <f t="shared" si="511"/>
        <v xml:space="preserve">  1 </v>
      </c>
      <c r="AA1920" t="str">
        <f t="shared" si="499"/>
        <v xml:space="preserve">     5.2 </v>
      </c>
      <c r="AB1920" t="str">
        <f t="shared" si="508"/>
        <v xml:space="preserve">     1.7 </v>
      </c>
      <c r="AC1920" t="str">
        <f t="shared" si="509"/>
        <v xml:space="preserve">     5.3 </v>
      </c>
      <c r="AD1920" t="str">
        <f t="shared" si="510"/>
        <v xml:space="preserve">        </v>
      </c>
      <c r="AE1920" t="str">
        <f t="shared" si="500"/>
        <v xml:space="preserve">       </v>
      </c>
      <c r="AF1920" t="str">
        <f t="shared" si="512"/>
        <v xml:space="preserve">     </v>
      </c>
      <c r="AG1920" t="str">
        <f t="shared" si="512"/>
        <v xml:space="preserve">     0.00 </v>
      </c>
      <c r="AH1920" t="str">
        <f t="shared" si="501"/>
        <v xml:space="preserve">    -0.01 </v>
      </c>
      <c r="AI1920" t="str">
        <f t="shared" si="502"/>
        <v xml:space="preserve">       </v>
      </c>
      <c r="AJ1920" t="str">
        <f t="shared" si="503"/>
        <v xml:space="preserve">      </v>
      </c>
    </row>
    <row r="1921" spans="1:36" x14ac:dyDescent="0.25">
      <c r="A1921" t="s">
        <v>14</v>
      </c>
      <c r="P1921" t="str">
        <f t="shared" si="504"/>
        <v xml:space="preserve">  ..............</v>
      </c>
      <c r="Q1921" t="str">
        <f t="shared" si="504"/>
        <v>.........</v>
      </c>
      <c r="R1921" t="str">
        <f t="shared" si="497"/>
        <v>.........</v>
      </c>
      <c r="S1921" t="str">
        <f t="shared" si="505"/>
        <v>.........</v>
      </c>
      <c r="T1921" t="str">
        <f t="shared" si="506"/>
        <v>.........</v>
      </c>
      <c r="U1921" t="str">
        <f t="shared" si="510"/>
        <v>.............</v>
      </c>
      <c r="V1921" t="str">
        <f t="shared" si="498"/>
        <v>.........</v>
      </c>
      <c r="W1921" t="str">
        <f t="shared" si="507"/>
        <v>.........</v>
      </c>
      <c r="X1921" t="str">
        <f t="shared" si="511"/>
        <v>.......</v>
      </c>
      <c r="Y1921" t="str">
        <f t="shared" si="511"/>
        <v>..............</v>
      </c>
      <c r="Z1921" t="str">
        <f t="shared" si="511"/>
        <v>....</v>
      </c>
      <c r="AA1921" t="str">
        <f t="shared" si="499"/>
        <v>.........</v>
      </c>
      <c r="AB1921" t="str">
        <f t="shared" si="508"/>
        <v>.........</v>
      </c>
      <c r="AC1921" t="str">
        <f t="shared" si="509"/>
        <v>.........</v>
      </c>
      <c r="AD1921" t="str">
        <f t="shared" si="510"/>
        <v>........</v>
      </c>
      <c r="AE1921" t="str">
        <f t="shared" si="500"/>
        <v>.......</v>
      </c>
      <c r="AF1921" t="str">
        <f t="shared" si="512"/>
        <v>.....</v>
      </c>
      <c r="AG1921" t="str">
        <f t="shared" si="512"/>
        <v>..........</v>
      </c>
      <c r="AH1921" t="str">
        <f t="shared" si="501"/>
        <v>..........</v>
      </c>
      <c r="AI1921" t="str">
        <f t="shared" si="502"/>
        <v>.......</v>
      </c>
      <c r="AJ1921" t="str">
        <f t="shared" si="503"/>
        <v>.......</v>
      </c>
    </row>
    <row r="1922" spans="1:36" x14ac:dyDescent="0.25">
      <c r="A1922" t="s">
        <v>1469</v>
      </c>
      <c r="P1922" t="str">
        <f t="shared" si="504"/>
        <v xml:space="preserve">  10228   69  0 </v>
      </c>
      <c r="Q1922" t="str">
        <f t="shared" si="504"/>
        <v xml:space="preserve">   1.022 </v>
      </c>
      <c r="R1922" t="str">
        <f t="shared" si="497"/>
        <v xml:space="preserve">     0.0 </v>
      </c>
      <c r="S1922" t="str">
        <f t="shared" si="505"/>
        <v xml:space="preserve">     0.0 </v>
      </c>
      <c r="T1922" t="str">
        <f t="shared" si="506"/>
        <v xml:space="preserve">     5.2 </v>
      </c>
      <c r="U1922" t="str">
        <f t="shared" si="510"/>
        <v xml:space="preserve">         0.0 </v>
      </c>
      <c r="V1922" t="str">
        <f t="shared" si="498"/>
        <v xml:space="preserve">     0.0 </v>
      </c>
      <c r="W1922" t="str">
        <f t="shared" si="507"/>
        <v xml:space="preserve">     0.0</v>
      </c>
      <c r="X1922" t="str">
        <f t="shared" si="511"/>
        <v/>
      </c>
      <c r="Y1922" t="str">
        <f t="shared" si="511"/>
        <v/>
      </c>
      <c r="Z1922" t="str">
        <f t="shared" si="511"/>
        <v/>
      </c>
      <c r="AA1922" t="str">
        <f t="shared" si="499"/>
        <v/>
      </c>
      <c r="AB1922" t="str">
        <f t="shared" si="508"/>
        <v/>
      </c>
      <c r="AC1922" t="str">
        <f t="shared" si="509"/>
        <v/>
      </c>
      <c r="AD1922" t="str">
        <f t="shared" si="510"/>
        <v/>
      </c>
      <c r="AE1922" t="str">
        <f t="shared" si="500"/>
        <v/>
      </c>
      <c r="AF1922" t="str">
        <f t="shared" si="512"/>
        <v/>
      </c>
      <c r="AG1922" t="str">
        <f t="shared" si="512"/>
        <v/>
      </c>
      <c r="AH1922" t="str">
        <f t="shared" si="501"/>
        <v/>
      </c>
      <c r="AI1922" t="str">
        <f t="shared" si="502"/>
        <v/>
      </c>
      <c r="AJ1922" t="str">
        <f t="shared" si="503"/>
        <v/>
      </c>
    </row>
    <row r="1923" spans="1:36" x14ac:dyDescent="0.25">
      <c r="A1923" t="s">
        <v>1470</v>
      </c>
      <c r="P1923" t="str">
        <f t="shared" si="504"/>
        <v xml:space="preserve">  TONDO--RS069  </v>
      </c>
      <c r="Q1923" t="str">
        <f t="shared" si="504"/>
        <v xml:space="preserve">   -50.5 </v>
      </c>
      <c r="R1923" t="str">
        <f t="shared" si="497"/>
        <v xml:space="preserve">     0.0 </v>
      </c>
      <c r="S1923" t="str">
        <f t="shared" si="505"/>
        <v xml:space="preserve">     0.0 </v>
      </c>
      <c r="T1923" t="str">
        <f t="shared" si="506"/>
        <v xml:space="preserve">     1.7 </v>
      </c>
      <c r="U1923" t="str">
        <f t="shared" si="510"/>
        <v xml:space="preserve">         0.0 </v>
      </c>
      <c r="V1923" t="str">
        <f t="shared" si="498"/>
        <v xml:space="preserve">     0.0 </v>
      </c>
      <c r="W1923" t="str">
        <f t="shared" si="507"/>
        <v xml:space="preserve">     0.0 </v>
      </c>
      <c r="X1923" t="str">
        <f t="shared" si="511"/>
        <v xml:space="preserve">       </v>
      </c>
      <c r="Y1923" t="str">
        <f t="shared" si="511"/>
        <v xml:space="preserve">              </v>
      </c>
      <c r="Z1923" t="str">
        <f t="shared" si="511"/>
        <v xml:space="preserve">    </v>
      </c>
      <c r="AA1923" t="str">
        <f t="shared" si="499"/>
        <v xml:space="preserve">         </v>
      </c>
      <c r="AB1923" t="str">
        <f t="shared" si="508"/>
        <v xml:space="preserve">         </v>
      </c>
      <c r="AC1923" t="str">
        <f t="shared" si="509"/>
        <v xml:space="preserve">    </v>
      </c>
      <c r="AD1923" t="str">
        <f t="shared" si="510"/>
        <v/>
      </c>
      <c r="AE1923" t="str">
        <f t="shared" si="500"/>
        <v/>
      </c>
      <c r="AF1923" t="str">
        <f t="shared" si="512"/>
        <v/>
      </c>
      <c r="AG1923" t="str">
        <f t="shared" si="512"/>
        <v/>
      </c>
      <c r="AH1923" t="str">
        <f t="shared" si="501"/>
        <v/>
      </c>
      <c r="AI1923" t="str">
        <f t="shared" si="502"/>
        <v/>
      </c>
      <c r="AJ1923" t="str">
        <f t="shared" si="503"/>
        <v/>
      </c>
    </row>
    <row r="1924" spans="1:36" x14ac:dyDescent="0.25">
      <c r="A1924" t="s">
        <v>1471</v>
      </c>
      <c r="P1924" t="str">
        <f t="shared" si="504"/>
        <v xml:space="preserve">                </v>
      </c>
      <c r="Q1924" t="str">
        <f t="shared" si="504"/>
        <v xml:space="preserve">         </v>
      </c>
      <c r="R1924" t="str">
        <f t="shared" si="497"/>
        <v xml:space="preserve">    67.0 </v>
      </c>
      <c r="S1924" t="str">
        <f t="shared" si="505"/>
        <v xml:space="preserve">    81.0 </v>
      </c>
      <c r="T1924" t="str">
        <f t="shared" si="506"/>
        <v xml:space="preserve">    81.0 </v>
      </c>
      <c r="U1924" t="str">
        <f t="shared" si="510"/>
        <v xml:space="preserve">        8.0% </v>
      </c>
      <c r="V1924" t="str">
        <f t="shared" si="498"/>
        <v xml:space="preserve">         </v>
      </c>
      <c r="W1924" t="str">
        <f t="shared" si="507"/>
        <v xml:space="preserve">         </v>
      </c>
      <c r="X1924" t="str">
        <f t="shared" si="511"/>
        <v xml:space="preserve"> 10227 </v>
      </c>
      <c r="Y1924" t="str">
        <f t="shared" si="511"/>
        <v xml:space="preserve"> TONDO-TAP069 </v>
      </c>
      <c r="Z1924" t="str">
        <f t="shared" si="511"/>
        <v xml:space="preserve">  1 </v>
      </c>
      <c r="AA1924" t="str">
        <f t="shared" si="499"/>
        <v xml:space="preserve">    -5.2 </v>
      </c>
      <c r="AB1924" t="str">
        <f t="shared" si="508"/>
        <v xml:space="preserve">    -1.7 </v>
      </c>
      <c r="AC1924" t="str">
        <f t="shared" si="509"/>
        <v xml:space="preserve">     5.4 </v>
      </c>
      <c r="AD1924" t="str">
        <f t="shared" si="510"/>
        <v xml:space="preserve">        </v>
      </c>
      <c r="AE1924" t="str">
        <f t="shared" si="500"/>
        <v xml:space="preserve">       </v>
      </c>
      <c r="AF1924" t="str">
        <f t="shared" si="512"/>
        <v xml:space="preserve">     </v>
      </c>
      <c r="AG1924" t="str">
        <f t="shared" si="512"/>
        <v xml:space="preserve">     0.00 </v>
      </c>
      <c r="AH1924" t="str">
        <f t="shared" si="501"/>
        <v xml:space="preserve">    -0.01 </v>
      </c>
      <c r="AI1924" t="str">
        <f t="shared" si="502"/>
        <v xml:space="preserve">       </v>
      </c>
      <c r="AJ1924" t="str">
        <f t="shared" si="503"/>
        <v xml:space="preserve">      </v>
      </c>
    </row>
    <row r="1925" spans="1:36" x14ac:dyDescent="0.25">
      <c r="A1925" t="s">
        <v>14</v>
      </c>
      <c r="P1925" t="str">
        <f t="shared" si="504"/>
        <v xml:space="preserve">  ..............</v>
      </c>
      <c r="Q1925" t="str">
        <f t="shared" si="504"/>
        <v>.........</v>
      </c>
      <c r="R1925" t="str">
        <f t="shared" si="497"/>
        <v>.........</v>
      </c>
      <c r="S1925" t="str">
        <f t="shared" si="505"/>
        <v>.........</v>
      </c>
      <c r="T1925" t="str">
        <f t="shared" si="506"/>
        <v>.........</v>
      </c>
      <c r="U1925" t="str">
        <f t="shared" si="510"/>
        <v>.............</v>
      </c>
      <c r="V1925" t="str">
        <f t="shared" si="498"/>
        <v>.........</v>
      </c>
      <c r="W1925" t="str">
        <f t="shared" si="507"/>
        <v>.........</v>
      </c>
      <c r="X1925" t="str">
        <f t="shared" si="511"/>
        <v>.......</v>
      </c>
      <c r="Y1925" t="str">
        <f t="shared" si="511"/>
        <v>..............</v>
      </c>
      <c r="Z1925" t="str">
        <f t="shared" si="511"/>
        <v>....</v>
      </c>
      <c r="AA1925" t="str">
        <f t="shared" si="499"/>
        <v>.........</v>
      </c>
      <c r="AB1925" t="str">
        <f t="shared" si="508"/>
        <v>.........</v>
      </c>
      <c r="AC1925" t="str">
        <f t="shared" si="509"/>
        <v>.........</v>
      </c>
      <c r="AD1925" t="str">
        <f t="shared" si="510"/>
        <v>........</v>
      </c>
      <c r="AE1925" t="str">
        <f t="shared" si="500"/>
        <v>.......</v>
      </c>
      <c r="AF1925" t="str">
        <f t="shared" si="512"/>
        <v>.....</v>
      </c>
      <c r="AG1925" t="str">
        <f t="shared" si="512"/>
        <v>..........</v>
      </c>
      <c r="AH1925" t="str">
        <f t="shared" si="501"/>
        <v>..........</v>
      </c>
      <c r="AI1925" t="str">
        <f t="shared" si="502"/>
        <v>.......</v>
      </c>
      <c r="AJ1925" t="str">
        <f t="shared" si="503"/>
        <v>.......</v>
      </c>
    </row>
    <row r="1926" spans="1:36" x14ac:dyDescent="0.25">
      <c r="A1926" t="s">
        <v>1472</v>
      </c>
      <c r="P1926" t="str">
        <f t="shared" si="504"/>
        <v xml:space="preserve">  10239   69  0 </v>
      </c>
      <c r="Q1926" t="str">
        <f t="shared" si="504"/>
        <v xml:space="preserve">   1.016 </v>
      </c>
      <c r="R1926" t="str">
        <f t="shared" si="497"/>
        <v xml:space="preserve">     0.0 </v>
      </c>
      <c r="S1926" t="str">
        <f t="shared" si="505"/>
        <v xml:space="preserve">     0.0 </v>
      </c>
      <c r="T1926" t="str">
        <f t="shared" si="506"/>
        <v xml:space="preserve">     5.1 </v>
      </c>
      <c r="U1926" t="str">
        <f t="shared" si="510"/>
        <v xml:space="preserve">         0.0 </v>
      </c>
      <c r="V1926" t="str">
        <f t="shared" si="498"/>
        <v xml:space="preserve">     0.0 </v>
      </c>
      <c r="W1926" t="str">
        <f t="shared" si="507"/>
        <v xml:space="preserve">     0.0</v>
      </c>
      <c r="X1926" t="str">
        <f t="shared" si="511"/>
        <v/>
      </c>
      <c r="Y1926" t="str">
        <f t="shared" si="511"/>
        <v/>
      </c>
      <c r="Z1926" t="str">
        <f t="shared" si="511"/>
        <v/>
      </c>
      <c r="AA1926" t="str">
        <f t="shared" si="499"/>
        <v/>
      </c>
      <c r="AB1926" t="str">
        <f t="shared" si="508"/>
        <v/>
      </c>
      <c r="AC1926" t="str">
        <f t="shared" si="509"/>
        <v/>
      </c>
      <c r="AD1926" t="str">
        <f t="shared" si="510"/>
        <v/>
      </c>
      <c r="AE1926" t="str">
        <f t="shared" si="500"/>
        <v/>
      </c>
      <c r="AF1926" t="str">
        <f t="shared" si="512"/>
        <v/>
      </c>
      <c r="AG1926" t="str">
        <f t="shared" si="512"/>
        <v/>
      </c>
      <c r="AH1926" t="str">
        <f t="shared" si="501"/>
        <v/>
      </c>
      <c r="AI1926" t="str">
        <f t="shared" si="502"/>
        <v/>
      </c>
      <c r="AJ1926" t="str">
        <f t="shared" si="503"/>
        <v/>
      </c>
    </row>
    <row r="1927" spans="1:36" x14ac:dyDescent="0.25">
      <c r="A1927" t="s">
        <v>1473</v>
      </c>
      <c r="P1927" t="str">
        <f t="shared" si="504"/>
        <v xml:space="preserve">  UFRGS--RS069  </v>
      </c>
      <c r="Q1927" t="str">
        <f t="shared" si="504"/>
        <v xml:space="preserve">   -54.6 </v>
      </c>
      <c r="R1927" t="str">
        <f t="shared" si="497"/>
        <v xml:space="preserve">     0.0 </v>
      </c>
      <c r="S1927" t="str">
        <f t="shared" si="505"/>
        <v xml:space="preserve">     0.0 </v>
      </c>
      <c r="T1927" t="str">
        <f t="shared" si="506"/>
        <v xml:space="preserve">     2.2 </v>
      </c>
      <c r="U1927" t="str">
        <f t="shared" si="510"/>
        <v xml:space="preserve">         0.0 </v>
      </c>
      <c r="V1927" t="str">
        <f t="shared" si="498"/>
        <v xml:space="preserve">     0.0 </v>
      </c>
      <c r="W1927" t="str">
        <f t="shared" si="507"/>
        <v xml:space="preserve">     0.0 </v>
      </c>
      <c r="X1927" t="str">
        <f t="shared" si="511"/>
        <v xml:space="preserve">       </v>
      </c>
      <c r="Y1927" t="str">
        <f t="shared" si="511"/>
        <v xml:space="preserve">              </v>
      </c>
      <c r="Z1927" t="str">
        <f t="shared" si="511"/>
        <v xml:space="preserve">    </v>
      </c>
      <c r="AA1927" t="str">
        <f t="shared" si="499"/>
        <v xml:space="preserve">         </v>
      </c>
      <c r="AB1927" t="str">
        <f t="shared" si="508"/>
        <v xml:space="preserve">         </v>
      </c>
      <c r="AC1927" t="str">
        <f t="shared" si="509"/>
        <v xml:space="preserve">    </v>
      </c>
      <c r="AD1927" t="str">
        <f t="shared" si="510"/>
        <v/>
      </c>
      <c r="AE1927" t="str">
        <f t="shared" si="500"/>
        <v/>
      </c>
      <c r="AF1927" t="str">
        <f t="shared" si="512"/>
        <v/>
      </c>
      <c r="AG1927" t="str">
        <f t="shared" si="512"/>
        <v/>
      </c>
      <c r="AH1927" t="str">
        <f t="shared" si="501"/>
        <v/>
      </c>
      <c r="AI1927" t="str">
        <f t="shared" si="502"/>
        <v/>
      </c>
      <c r="AJ1927" t="str">
        <f t="shared" si="503"/>
        <v/>
      </c>
    </row>
    <row r="1928" spans="1:36" x14ac:dyDescent="0.25">
      <c r="A1928" t="s">
        <v>1474</v>
      </c>
      <c r="P1928" t="str">
        <f t="shared" si="504"/>
        <v xml:space="preserve">                </v>
      </c>
      <c r="Q1928" t="str">
        <f t="shared" si="504"/>
        <v xml:space="preserve">         </v>
      </c>
      <c r="R1928" t="str">
        <f t="shared" si="497"/>
        <v xml:space="preserve">    30.0 </v>
      </c>
      <c r="S1928" t="str">
        <f t="shared" si="505"/>
        <v xml:space="preserve">    35.0 </v>
      </c>
      <c r="T1928" t="str">
        <f t="shared" si="506"/>
        <v xml:space="preserve">    35.0 </v>
      </c>
      <c r="U1928" t="str">
        <f t="shared" si="510"/>
        <v xml:space="preserve">       18.2% </v>
      </c>
      <c r="V1928" t="str">
        <f t="shared" si="498"/>
        <v xml:space="preserve">         </v>
      </c>
      <c r="W1928" t="str">
        <f t="shared" si="507"/>
        <v xml:space="preserve">         </v>
      </c>
      <c r="X1928" t="str">
        <f t="shared" si="511"/>
        <v xml:space="preserve">  1262 </v>
      </c>
      <c r="Y1928" t="str">
        <f t="shared" si="511"/>
        <v xml:space="preserve"> PALGR6-RS069 </v>
      </c>
      <c r="Z1928" t="str">
        <f t="shared" si="511"/>
        <v xml:space="preserve">  1 </v>
      </c>
      <c r="AA1928" t="str">
        <f t="shared" si="499"/>
        <v xml:space="preserve">    -5.1 </v>
      </c>
      <c r="AB1928" t="str">
        <f t="shared" si="508"/>
        <v xml:space="preserve">    -2.2 </v>
      </c>
      <c r="AC1928" t="str">
        <f t="shared" si="509"/>
        <v xml:space="preserve">     5.5 </v>
      </c>
      <c r="AD1928" t="str">
        <f t="shared" si="510"/>
        <v xml:space="preserve">        </v>
      </c>
      <c r="AE1928" t="str">
        <f t="shared" si="500"/>
        <v xml:space="preserve">       </v>
      </c>
      <c r="AF1928" t="str">
        <f t="shared" si="512"/>
        <v xml:space="preserve">     </v>
      </c>
      <c r="AG1928" t="str">
        <f t="shared" si="512"/>
        <v xml:space="preserve">     0.00 </v>
      </c>
      <c r="AH1928" t="str">
        <f t="shared" si="501"/>
        <v xml:space="preserve">    -0.49 </v>
      </c>
      <c r="AI1928" t="str">
        <f t="shared" si="502"/>
        <v xml:space="preserve">       </v>
      </c>
      <c r="AJ1928" t="str">
        <f t="shared" si="503"/>
        <v xml:space="preserve">      </v>
      </c>
    </row>
    <row r="1929" spans="1:36" x14ac:dyDescent="0.25">
      <c r="A1929" t="s">
        <v>14</v>
      </c>
      <c r="P1929" t="str">
        <f t="shared" si="504"/>
        <v xml:space="preserve">  ..............</v>
      </c>
      <c r="Q1929" t="str">
        <f t="shared" si="504"/>
        <v>.........</v>
      </c>
      <c r="R1929" t="str">
        <f t="shared" si="497"/>
        <v>.........</v>
      </c>
      <c r="S1929" t="str">
        <f t="shared" si="505"/>
        <v>.........</v>
      </c>
      <c r="T1929" t="str">
        <f t="shared" si="506"/>
        <v>.........</v>
      </c>
      <c r="U1929" t="str">
        <f t="shared" si="510"/>
        <v>.............</v>
      </c>
      <c r="V1929" t="str">
        <f t="shared" si="498"/>
        <v>.........</v>
      </c>
      <c r="W1929" t="str">
        <f t="shared" si="507"/>
        <v>.........</v>
      </c>
      <c r="X1929" t="str">
        <f t="shared" si="511"/>
        <v>.......</v>
      </c>
      <c r="Y1929" t="str">
        <f t="shared" si="511"/>
        <v>..............</v>
      </c>
      <c r="Z1929" t="str">
        <f t="shared" si="511"/>
        <v>....</v>
      </c>
      <c r="AA1929" t="str">
        <f t="shared" si="499"/>
        <v>.........</v>
      </c>
      <c r="AB1929" t="str">
        <f t="shared" si="508"/>
        <v>.........</v>
      </c>
      <c r="AC1929" t="str">
        <f t="shared" si="509"/>
        <v>.........</v>
      </c>
      <c r="AD1929" t="str">
        <f t="shared" si="510"/>
        <v>........</v>
      </c>
      <c r="AE1929" t="str">
        <f t="shared" si="500"/>
        <v>.......</v>
      </c>
      <c r="AF1929" t="str">
        <f t="shared" si="512"/>
        <v>.....</v>
      </c>
      <c r="AG1929" t="str">
        <f t="shared" si="512"/>
        <v>..........</v>
      </c>
      <c r="AH1929" t="str">
        <f t="shared" si="501"/>
        <v>..........</v>
      </c>
      <c r="AI1929" t="str">
        <f t="shared" si="502"/>
        <v>.......</v>
      </c>
      <c r="AJ1929" t="str">
        <f t="shared" si="503"/>
        <v>.......</v>
      </c>
    </row>
    <row r="1930" spans="1:36" x14ac:dyDescent="0.25">
      <c r="A1930" t="s">
        <v>1475</v>
      </c>
      <c r="P1930" t="str">
        <f t="shared" si="504"/>
        <v xml:space="preserve">  10240   69  0 </v>
      </c>
      <c r="Q1930" t="str">
        <f t="shared" si="504"/>
        <v xml:space="preserve">   1.011 </v>
      </c>
      <c r="R1930" t="str">
        <f t="shared" si="497"/>
        <v xml:space="preserve">     0.0 </v>
      </c>
      <c r="S1930" t="str">
        <f t="shared" si="505"/>
        <v xml:space="preserve">     0.0 </v>
      </c>
      <c r="T1930" t="str">
        <f t="shared" si="506"/>
        <v xml:space="preserve">     5.5 </v>
      </c>
      <c r="U1930" t="str">
        <f t="shared" si="510"/>
        <v xml:space="preserve">         0.0 </v>
      </c>
      <c r="V1930" t="str">
        <f t="shared" si="498"/>
        <v xml:space="preserve">     0.0 </v>
      </c>
      <c r="W1930" t="str">
        <f t="shared" si="507"/>
        <v xml:space="preserve">     0.0</v>
      </c>
      <c r="X1930" t="str">
        <f t="shared" si="511"/>
        <v/>
      </c>
      <c r="Y1930" t="str">
        <f t="shared" si="511"/>
        <v/>
      </c>
      <c r="Z1930" t="str">
        <f t="shared" si="511"/>
        <v/>
      </c>
      <c r="AA1930" t="str">
        <f t="shared" si="499"/>
        <v/>
      </c>
      <c r="AB1930" t="str">
        <f t="shared" si="508"/>
        <v/>
      </c>
      <c r="AC1930" t="str">
        <f t="shared" si="509"/>
        <v/>
      </c>
      <c r="AD1930" t="str">
        <f t="shared" si="510"/>
        <v/>
      </c>
      <c r="AE1930" t="str">
        <f t="shared" si="500"/>
        <v/>
      </c>
      <c r="AF1930" t="str">
        <f t="shared" si="512"/>
        <v/>
      </c>
      <c r="AG1930" t="str">
        <f t="shared" si="512"/>
        <v/>
      </c>
      <c r="AH1930" t="str">
        <f t="shared" si="501"/>
        <v/>
      </c>
      <c r="AI1930" t="str">
        <f t="shared" si="502"/>
        <v/>
      </c>
      <c r="AJ1930" t="str">
        <f t="shared" si="503"/>
        <v/>
      </c>
    </row>
    <row r="1931" spans="1:36" x14ac:dyDescent="0.25">
      <c r="A1931" t="s">
        <v>1476</v>
      </c>
      <c r="P1931" t="str">
        <f t="shared" si="504"/>
        <v xml:space="preserve">  FRAPOR-RS069  </v>
      </c>
      <c r="Q1931" t="str">
        <f t="shared" si="504"/>
        <v xml:space="preserve">   -55.1 </v>
      </c>
      <c r="R1931" t="str">
        <f t="shared" si="497"/>
        <v xml:space="preserve">     0.0 </v>
      </c>
      <c r="S1931" t="str">
        <f t="shared" si="505"/>
        <v xml:space="preserve">     0.0 </v>
      </c>
      <c r="T1931" t="str">
        <f t="shared" si="506"/>
        <v xml:space="preserve">     2.2 </v>
      </c>
      <c r="U1931" t="str">
        <f t="shared" si="510"/>
        <v xml:space="preserve">         0.0 </v>
      </c>
      <c r="V1931" t="str">
        <f t="shared" si="498"/>
        <v xml:space="preserve">     0.0 </v>
      </c>
      <c r="W1931" t="str">
        <f t="shared" si="507"/>
        <v xml:space="preserve">     0.0 </v>
      </c>
      <c r="X1931" t="str">
        <f t="shared" si="511"/>
        <v xml:space="preserve">       </v>
      </c>
      <c r="Y1931" t="str">
        <f t="shared" si="511"/>
        <v xml:space="preserve">              </v>
      </c>
      <c r="Z1931" t="str">
        <f t="shared" si="511"/>
        <v xml:space="preserve">    </v>
      </c>
      <c r="AA1931" t="str">
        <f t="shared" si="499"/>
        <v xml:space="preserve">         </v>
      </c>
      <c r="AB1931" t="str">
        <f t="shared" si="508"/>
        <v xml:space="preserve">         </v>
      </c>
      <c r="AC1931" t="str">
        <f t="shared" si="509"/>
        <v xml:space="preserve">    </v>
      </c>
      <c r="AD1931" t="str">
        <f t="shared" si="510"/>
        <v/>
      </c>
      <c r="AE1931" t="str">
        <f t="shared" si="500"/>
        <v/>
      </c>
      <c r="AF1931" t="str">
        <f t="shared" si="512"/>
        <v/>
      </c>
      <c r="AG1931" t="str">
        <f t="shared" si="512"/>
        <v/>
      </c>
      <c r="AH1931" t="str">
        <f t="shared" si="501"/>
        <v/>
      </c>
      <c r="AI1931" t="str">
        <f t="shared" si="502"/>
        <v/>
      </c>
      <c r="AJ1931" t="str">
        <f t="shared" si="503"/>
        <v/>
      </c>
    </row>
    <row r="1932" spans="1:36" x14ac:dyDescent="0.25">
      <c r="A1932" t="s">
        <v>1477</v>
      </c>
      <c r="P1932" t="str">
        <f t="shared" si="504"/>
        <v xml:space="preserve">                </v>
      </c>
      <c r="Q1932" t="str">
        <f t="shared" si="504"/>
        <v xml:space="preserve">         </v>
      </c>
      <c r="R1932" t="str">
        <f t="shared" ref="R1932:R1995" si="513">MID($A1932,Q$8+Q$9-1,R$9)</f>
        <v xml:space="preserve">    80.0 </v>
      </c>
      <c r="S1932" t="str">
        <f t="shared" si="505"/>
        <v xml:space="preserve">    95.0 </v>
      </c>
      <c r="T1932" t="str">
        <f t="shared" si="506"/>
        <v xml:space="preserve">    95.0 </v>
      </c>
      <c r="U1932" t="str">
        <f t="shared" si="510"/>
        <v xml:space="preserve">        7.3% </v>
      </c>
      <c r="V1932" t="str">
        <f t="shared" ref="V1932:V1995" si="514">MID($A1932,U$8+U$9-1,V$9)</f>
        <v xml:space="preserve">         </v>
      </c>
      <c r="W1932" t="str">
        <f t="shared" si="507"/>
        <v xml:space="preserve">         </v>
      </c>
      <c r="X1932" t="str">
        <f t="shared" si="511"/>
        <v xml:space="preserve">  9256 </v>
      </c>
      <c r="Y1932" t="str">
        <f t="shared" si="511"/>
        <v xml:space="preserve"> PALE20-RS069 </v>
      </c>
      <c r="Z1932" t="str">
        <f t="shared" si="511"/>
        <v xml:space="preserve">  1 </v>
      </c>
      <c r="AA1932" t="str">
        <f t="shared" ref="AA1932:AA1995" si="515">MID($A1932,Z$8+Z$9-1,AA$9)</f>
        <v xml:space="preserve">    -5.5 </v>
      </c>
      <c r="AB1932" t="str">
        <f t="shared" si="508"/>
        <v xml:space="preserve">    -2.2 </v>
      </c>
      <c r="AC1932" t="str">
        <f t="shared" si="509"/>
        <v xml:space="preserve">     5.9 </v>
      </c>
      <c r="AD1932" t="str">
        <f t="shared" si="510"/>
        <v xml:space="preserve">        </v>
      </c>
      <c r="AE1932" t="str">
        <f t="shared" ref="AE1932:AE1995" si="516">MID($A1932,AD$8+AD$9-1,AE$9)</f>
        <v xml:space="preserve">       </v>
      </c>
      <c r="AF1932" t="str">
        <f t="shared" si="512"/>
        <v xml:space="preserve">     </v>
      </c>
      <c r="AG1932" t="str">
        <f t="shared" si="512"/>
        <v xml:space="preserve">     0.00 </v>
      </c>
      <c r="AH1932" t="str">
        <f t="shared" ref="AH1932:AH1995" si="517">MID($A1932,AG$8+AG$9-1,AH$9)</f>
        <v xml:space="preserve">    -0.05 </v>
      </c>
      <c r="AI1932" t="str">
        <f t="shared" si="502"/>
        <v xml:space="preserve">       </v>
      </c>
      <c r="AJ1932" t="str">
        <f t="shared" si="503"/>
        <v xml:space="preserve">      </v>
      </c>
    </row>
    <row r="1933" spans="1:36" x14ac:dyDescent="0.25">
      <c r="A1933" t="s">
        <v>14</v>
      </c>
      <c r="P1933" t="str">
        <f t="shared" si="504"/>
        <v xml:space="preserve">  ..............</v>
      </c>
      <c r="Q1933" t="str">
        <f t="shared" si="504"/>
        <v>.........</v>
      </c>
      <c r="R1933" t="str">
        <f t="shared" si="513"/>
        <v>.........</v>
      </c>
      <c r="S1933" t="str">
        <f t="shared" si="505"/>
        <v>.........</v>
      </c>
      <c r="T1933" t="str">
        <f t="shared" si="506"/>
        <v>.........</v>
      </c>
      <c r="U1933" t="str">
        <f t="shared" si="510"/>
        <v>.............</v>
      </c>
      <c r="V1933" t="str">
        <f t="shared" si="514"/>
        <v>.........</v>
      </c>
      <c r="W1933" t="str">
        <f t="shared" si="507"/>
        <v>.........</v>
      </c>
      <c r="X1933" t="str">
        <f t="shared" si="511"/>
        <v>.......</v>
      </c>
      <c r="Y1933" t="str">
        <f t="shared" si="511"/>
        <v>..............</v>
      </c>
      <c r="Z1933" t="str">
        <f t="shared" si="511"/>
        <v>....</v>
      </c>
      <c r="AA1933" t="str">
        <f t="shared" si="515"/>
        <v>.........</v>
      </c>
      <c r="AB1933" t="str">
        <f t="shared" si="508"/>
        <v>.........</v>
      </c>
      <c r="AC1933" t="str">
        <f t="shared" si="509"/>
        <v>.........</v>
      </c>
      <c r="AD1933" t="str">
        <f t="shared" si="510"/>
        <v>........</v>
      </c>
      <c r="AE1933" t="str">
        <f t="shared" si="516"/>
        <v>.......</v>
      </c>
      <c r="AF1933" t="str">
        <f t="shared" si="512"/>
        <v>.....</v>
      </c>
      <c r="AG1933" t="str">
        <f t="shared" si="512"/>
        <v>..........</v>
      </c>
      <c r="AH1933" t="str">
        <f t="shared" si="517"/>
        <v>..........</v>
      </c>
      <c r="AI1933" t="str">
        <f t="shared" si="502"/>
        <v>.......</v>
      </c>
      <c r="AJ1933" t="str">
        <f t="shared" si="503"/>
        <v>.......</v>
      </c>
    </row>
    <row r="1934" spans="1:36" x14ac:dyDescent="0.25">
      <c r="A1934" t="s">
        <v>1478</v>
      </c>
      <c r="P1934" t="str">
        <f t="shared" si="504"/>
        <v xml:space="preserve">  10255   69  0 </v>
      </c>
      <c r="Q1934" t="str">
        <f t="shared" si="504"/>
        <v xml:space="preserve">   1.017 </v>
      </c>
      <c r="R1934" t="str">
        <f t="shared" si="513"/>
        <v xml:space="preserve">     5.9 </v>
      </c>
      <c r="S1934" t="str">
        <f t="shared" si="505"/>
        <v xml:space="preserve">     0.0 </v>
      </c>
      <c r="T1934" t="str">
        <f t="shared" si="506"/>
        <v xml:space="preserve">    59.1 </v>
      </c>
      <c r="U1934" t="str">
        <f t="shared" si="510"/>
        <v xml:space="preserve">         0.0 </v>
      </c>
      <c r="V1934" t="str">
        <f t="shared" si="514"/>
        <v xml:space="preserve">     0.0 </v>
      </c>
      <c r="W1934" t="str">
        <f t="shared" si="507"/>
        <v xml:space="preserve">     0.0</v>
      </c>
      <c r="X1934" t="str">
        <f t="shared" si="511"/>
        <v/>
      </c>
      <c r="Y1934" t="str">
        <f t="shared" si="511"/>
        <v/>
      </c>
      <c r="Z1934" t="str">
        <f t="shared" si="511"/>
        <v/>
      </c>
      <c r="AA1934" t="str">
        <f t="shared" si="515"/>
        <v/>
      </c>
      <c r="AB1934" t="str">
        <f t="shared" si="508"/>
        <v/>
      </c>
      <c r="AC1934" t="str">
        <f t="shared" si="509"/>
        <v/>
      </c>
      <c r="AD1934" t="str">
        <f t="shared" si="510"/>
        <v/>
      </c>
      <c r="AE1934" t="str">
        <f t="shared" si="516"/>
        <v/>
      </c>
      <c r="AF1934" t="str">
        <f t="shared" si="512"/>
        <v/>
      </c>
      <c r="AG1934" t="str">
        <f t="shared" si="512"/>
        <v/>
      </c>
      <c r="AH1934" t="str">
        <f t="shared" si="517"/>
        <v/>
      </c>
      <c r="AI1934" t="str">
        <f t="shared" si="502"/>
        <v/>
      </c>
      <c r="AJ1934" t="str">
        <f t="shared" si="503"/>
        <v/>
      </c>
    </row>
    <row r="1935" spans="1:36" x14ac:dyDescent="0.25">
      <c r="A1935" t="s">
        <v>1479</v>
      </c>
      <c r="P1935" t="str">
        <f t="shared" si="504"/>
        <v xml:space="preserve">  CERTE1-RS069  </v>
      </c>
      <c r="Q1935" t="str">
        <f t="shared" si="504"/>
        <v xml:space="preserve">   -55.4 </v>
      </c>
      <c r="R1935" t="str">
        <f t="shared" si="513"/>
        <v xml:space="preserve">     0.0 </v>
      </c>
      <c r="S1935" t="str">
        <f t="shared" si="505"/>
        <v xml:space="preserve">     0.0 </v>
      </c>
      <c r="T1935" t="str">
        <f t="shared" si="506"/>
        <v xml:space="preserve">     6.4 </v>
      </c>
      <c r="U1935" t="str">
        <f t="shared" si="510"/>
        <v xml:space="preserve">         0.0 </v>
      </c>
      <c r="V1935" t="str">
        <f t="shared" si="514"/>
        <v xml:space="preserve">     0.0 </v>
      </c>
      <c r="W1935" t="str">
        <f t="shared" si="507"/>
        <v xml:space="preserve">     0.0 </v>
      </c>
      <c r="X1935" t="str">
        <f t="shared" si="511"/>
        <v xml:space="preserve">       </v>
      </c>
      <c r="Y1935" t="str">
        <f t="shared" si="511"/>
        <v xml:space="preserve">              </v>
      </c>
      <c r="Z1935" t="str">
        <f t="shared" si="511"/>
        <v xml:space="preserve">    </v>
      </c>
      <c r="AA1935" t="str">
        <f t="shared" si="515"/>
        <v xml:space="preserve">         </v>
      </c>
      <c r="AB1935" t="str">
        <f t="shared" si="508"/>
        <v xml:space="preserve">         </v>
      </c>
      <c r="AC1935" t="str">
        <f t="shared" si="509"/>
        <v xml:space="preserve">    </v>
      </c>
      <c r="AD1935" t="str">
        <f t="shared" si="510"/>
        <v/>
      </c>
      <c r="AE1935" t="str">
        <f t="shared" si="516"/>
        <v/>
      </c>
      <c r="AF1935" t="str">
        <f t="shared" si="512"/>
        <v/>
      </c>
      <c r="AG1935" t="str">
        <f t="shared" si="512"/>
        <v/>
      </c>
      <c r="AH1935" t="str">
        <f t="shared" si="517"/>
        <v/>
      </c>
      <c r="AI1935" t="str">
        <f t="shared" si="502"/>
        <v/>
      </c>
      <c r="AJ1935" t="str">
        <f t="shared" si="503"/>
        <v/>
      </c>
    </row>
    <row r="1936" spans="1:36" x14ac:dyDescent="0.25">
      <c r="A1936" t="s">
        <v>1480</v>
      </c>
      <c r="P1936" t="str">
        <f t="shared" si="504"/>
        <v xml:space="preserve">                </v>
      </c>
      <c r="Q1936" t="str">
        <f t="shared" si="504"/>
        <v xml:space="preserve">         </v>
      </c>
      <c r="R1936" t="str">
        <f t="shared" si="513"/>
        <v xml:space="preserve">    68.0 </v>
      </c>
      <c r="S1936" t="str">
        <f t="shared" si="505"/>
        <v xml:space="preserve">    68.0 </v>
      </c>
      <c r="T1936" t="str">
        <f t="shared" si="506"/>
        <v xml:space="preserve">    68.0 </v>
      </c>
      <c r="U1936" t="str">
        <f t="shared" si="510"/>
        <v xml:space="preserve">       38.7% </v>
      </c>
      <c r="V1936" t="str">
        <f t="shared" si="514"/>
        <v xml:space="preserve">         </v>
      </c>
      <c r="W1936" t="str">
        <f t="shared" si="507"/>
        <v xml:space="preserve">         </v>
      </c>
      <c r="X1936" t="str">
        <f t="shared" si="511"/>
        <v xml:space="preserve">  9782 </v>
      </c>
      <c r="Y1936" t="str">
        <f t="shared" si="511"/>
        <v xml:space="preserve"> LAJEA3-RS069 </v>
      </c>
      <c r="Z1936" t="str">
        <f t="shared" si="511"/>
        <v xml:space="preserve">  1 </v>
      </c>
      <c r="AA1936" t="str">
        <f t="shared" si="515"/>
        <v xml:space="preserve">   -26.6 </v>
      </c>
      <c r="AB1936" t="str">
        <f t="shared" si="508"/>
        <v xml:space="preserve">    -3.2 </v>
      </c>
      <c r="AC1936" t="str">
        <f t="shared" si="509"/>
        <v xml:space="preserve">    26.3 </v>
      </c>
      <c r="AD1936" t="str">
        <f t="shared" si="510"/>
        <v xml:space="preserve">        </v>
      </c>
      <c r="AE1936" t="str">
        <f t="shared" si="516"/>
        <v xml:space="preserve">       </v>
      </c>
      <c r="AF1936" t="str">
        <f t="shared" si="512"/>
        <v xml:space="preserve">     </v>
      </c>
      <c r="AG1936" t="str">
        <f t="shared" si="512"/>
        <v xml:space="preserve">     0.20 </v>
      </c>
      <c r="AH1936" t="str">
        <f t="shared" si="517"/>
        <v xml:space="preserve">     0.49 </v>
      </c>
      <c r="AI1936" t="str">
        <f t="shared" si="502"/>
        <v xml:space="preserve">       </v>
      </c>
      <c r="AJ1936" t="str">
        <f t="shared" si="503"/>
        <v xml:space="preserve">      </v>
      </c>
    </row>
    <row r="1937" spans="1:36" x14ac:dyDescent="0.25">
      <c r="A1937" t="s">
        <v>1481</v>
      </c>
      <c r="P1937" t="str">
        <f t="shared" si="504"/>
        <v xml:space="preserve">                </v>
      </c>
      <c r="Q1937" t="str">
        <f t="shared" si="504"/>
        <v xml:space="preserve">         </v>
      </c>
      <c r="R1937" t="str">
        <f t="shared" si="513"/>
        <v xml:space="preserve">    68.0 </v>
      </c>
      <c r="S1937" t="str">
        <f t="shared" si="505"/>
        <v xml:space="preserve">    68.0 </v>
      </c>
      <c r="T1937" t="str">
        <f t="shared" si="506"/>
        <v xml:space="preserve">    68.0 </v>
      </c>
      <c r="U1937" t="str">
        <f t="shared" si="510"/>
        <v xml:space="preserve">       38.7% </v>
      </c>
      <c r="V1937" t="str">
        <f t="shared" si="514"/>
        <v xml:space="preserve">         </v>
      </c>
      <c r="W1937" t="str">
        <f t="shared" si="507"/>
        <v xml:space="preserve">         </v>
      </c>
      <c r="X1937" t="str">
        <f t="shared" si="511"/>
        <v xml:space="preserve">  9782 </v>
      </c>
      <c r="Y1937" t="str">
        <f t="shared" si="511"/>
        <v xml:space="preserve"> LAJEA3-RS069 </v>
      </c>
      <c r="Z1937" t="str">
        <f t="shared" si="511"/>
        <v xml:space="preserve">  2 </v>
      </c>
      <c r="AA1937" t="str">
        <f t="shared" si="515"/>
        <v xml:space="preserve">   -26.6 </v>
      </c>
      <c r="AB1937" t="str">
        <f t="shared" si="508"/>
        <v xml:space="preserve">    -3.2 </v>
      </c>
      <c r="AC1937" t="str">
        <f t="shared" si="509"/>
        <v xml:space="preserve">    26.3 </v>
      </c>
      <c r="AD1937" t="str">
        <f t="shared" si="510"/>
        <v xml:space="preserve">        </v>
      </c>
      <c r="AE1937" t="str">
        <f t="shared" si="516"/>
        <v xml:space="preserve">       </v>
      </c>
      <c r="AF1937" t="str">
        <f t="shared" si="512"/>
        <v xml:space="preserve">     </v>
      </c>
      <c r="AG1937" t="str">
        <f t="shared" si="512"/>
        <v xml:space="preserve">     0.20 </v>
      </c>
      <c r="AH1937" t="str">
        <f t="shared" si="517"/>
        <v xml:space="preserve">     0.49 </v>
      </c>
      <c r="AI1937" t="str">
        <f t="shared" si="502"/>
        <v xml:space="preserve">       </v>
      </c>
      <c r="AJ1937" t="str">
        <f t="shared" si="503"/>
        <v xml:space="preserve">      </v>
      </c>
    </row>
    <row r="1938" spans="1:36" x14ac:dyDescent="0.25">
      <c r="A1938" t="s">
        <v>14</v>
      </c>
      <c r="P1938" t="str">
        <f t="shared" si="504"/>
        <v xml:space="preserve">  ..............</v>
      </c>
      <c r="Q1938" t="str">
        <f t="shared" si="504"/>
        <v>.........</v>
      </c>
      <c r="R1938" t="str">
        <f t="shared" si="513"/>
        <v>.........</v>
      </c>
      <c r="S1938" t="str">
        <f t="shared" si="505"/>
        <v>.........</v>
      </c>
      <c r="T1938" t="str">
        <f t="shared" si="506"/>
        <v>.........</v>
      </c>
      <c r="U1938" t="str">
        <f t="shared" si="510"/>
        <v>.............</v>
      </c>
      <c r="V1938" t="str">
        <f t="shared" si="514"/>
        <v>.........</v>
      </c>
      <c r="W1938" t="str">
        <f t="shared" si="507"/>
        <v>.........</v>
      </c>
      <c r="X1938" t="str">
        <f t="shared" si="511"/>
        <v>.......</v>
      </c>
      <c r="Y1938" t="str">
        <f t="shared" si="511"/>
        <v>..............</v>
      </c>
      <c r="Z1938" t="str">
        <f t="shared" si="511"/>
        <v>....</v>
      </c>
      <c r="AA1938" t="str">
        <f t="shared" si="515"/>
        <v>.........</v>
      </c>
      <c r="AB1938" t="str">
        <f t="shared" si="508"/>
        <v>.........</v>
      </c>
      <c r="AC1938" t="str">
        <f t="shared" si="509"/>
        <v>.........</v>
      </c>
      <c r="AD1938" t="str">
        <f t="shared" si="510"/>
        <v>........</v>
      </c>
      <c r="AE1938" t="str">
        <f t="shared" si="516"/>
        <v>.......</v>
      </c>
      <c r="AF1938" t="str">
        <f t="shared" si="512"/>
        <v>.....</v>
      </c>
      <c r="AG1938" t="str">
        <f t="shared" si="512"/>
        <v>..........</v>
      </c>
      <c r="AH1938" t="str">
        <f t="shared" si="517"/>
        <v>..........</v>
      </c>
      <c r="AI1938" t="str">
        <f t="shared" si="502"/>
        <v>.......</v>
      </c>
      <c r="AJ1938" t="str">
        <f t="shared" si="503"/>
        <v>.......</v>
      </c>
    </row>
    <row r="1939" spans="1:36" x14ac:dyDescent="0.25">
      <c r="A1939" t="s">
        <v>1482</v>
      </c>
      <c r="P1939" t="str">
        <f t="shared" si="504"/>
        <v xml:space="preserve">  10264   23  0 </v>
      </c>
      <c r="Q1939" t="str">
        <f t="shared" si="504"/>
        <v xml:space="preserve">   1.051 </v>
      </c>
      <c r="R1939" t="str">
        <f t="shared" si="513"/>
        <v xml:space="preserve">     1.1 </v>
      </c>
      <c r="S1939" t="str">
        <f t="shared" si="505"/>
        <v xml:space="preserve">     0.0 </v>
      </c>
      <c r="T1939" t="str">
        <f t="shared" si="506"/>
        <v xml:space="preserve">    13.9 </v>
      </c>
      <c r="U1939" t="str">
        <f t="shared" si="510"/>
        <v xml:space="preserve">         0.0 </v>
      </c>
      <c r="V1939" t="str">
        <f t="shared" si="514"/>
        <v xml:space="preserve">     4.0 </v>
      </c>
      <c r="W1939" t="str">
        <f t="shared" si="507"/>
        <v xml:space="preserve">     0.0</v>
      </c>
      <c r="X1939" t="str">
        <f t="shared" si="511"/>
        <v/>
      </c>
      <c r="Y1939" t="str">
        <f t="shared" si="511"/>
        <v/>
      </c>
      <c r="Z1939" t="str">
        <f t="shared" si="511"/>
        <v/>
      </c>
      <c r="AA1939" t="str">
        <f t="shared" si="515"/>
        <v/>
      </c>
      <c r="AB1939" t="str">
        <f t="shared" si="508"/>
        <v/>
      </c>
      <c r="AC1939" t="str">
        <f t="shared" si="509"/>
        <v/>
      </c>
      <c r="AD1939" t="str">
        <f t="shared" si="510"/>
        <v/>
      </c>
      <c r="AE1939" t="str">
        <f t="shared" si="516"/>
        <v/>
      </c>
      <c r="AF1939" t="str">
        <f t="shared" si="512"/>
        <v/>
      </c>
      <c r="AG1939" t="str">
        <f t="shared" si="512"/>
        <v/>
      </c>
      <c r="AH1939" t="str">
        <f t="shared" si="517"/>
        <v/>
      </c>
      <c r="AI1939" t="str">
        <f t="shared" si="502"/>
        <v/>
      </c>
      <c r="AJ1939" t="str">
        <f t="shared" si="503"/>
        <v/>
      </c>
    </row>
    <row r="1940" spans="1:36" x14ac:dyDescent="0.25">
      <c r="A1940" t="s">
        <v>1483</v>
      </c>
      <c r="P1940" t="str">
        <f t="shared" si="504"/>
        <v xml:space="preserve">  ELDO-B-RS023  </v>
      </c>
      <c r="Q1940" t="str">
        <f t="shared" si="504"/>
        <v xml:space="preserve">   -53.4 </v>
      </c>
      <c r="R1940" t="str">
        <f t="shared" si="513"/>
        <v xml:space="preserve">     0.0 </v>
      </c>
      <c r="S1940" t="str">
        <f t="shared" si="505"/>
        <v xml:space="preserve">     0.0 </v>
      </c>
      <c r="T1940" t="str">
        <f t="shared" si="506"/>
        <v xml:space="preserve">     4.7 </v>
      </c>
      <c r="U1940" t="str">
        <f t="shared" si="510"/>
        <v xml:space="preserve">         0.0 </v>
      </c>
      <c r="V1940" t="str">
        <f t="shared" si="514"/>
        <v xml:space="preserve">     0.0 </v>
      </c>
      <c r="W1940" t="str">
        <f t="shared" si="507"/>
        <v xml:space="preserve">     0.0 </v>
      </c>
      <c r="X1940" t="str">
        <f t="shared" si="511"/>
        <v xml:space="preserve">       </v>
      </c>
      <c r="Y1940" t="str">
        <f t="shared" si="511"/>
        <v xml:space="preserve">              </v>
      </c>
      <c r="Z1940" t="str">
        <f t="shared" si="511"/>
        <v xml:space="preserve">    </v>
      </c>
      <c r="AA1940" t="str">
        <f t="shared" si="515"/>
        <v xml:space="preserve">         </v>
      </c>
      <c r="AB1940" t="str">
        <f t="shared" si="508"/>
        <v xml:space="preserve">         </v>
      </c>
      <c r="AC1940" t="str">
        <f t="shared" si="509"/>
        <v xml:space="preserve">    </v>
      </c>
      <c r="AD1940" t="str">
        <f t="shared" si="510"/>
        <v/>
      </c>
      <c r="AE1940" t="str">
        <f t="shared" si="516"/>
        <v/>
      </c>
      <c r="AF1940" t="str">
        <f t="shared" si="512"/>
        <v/>
      </c>
      <c r="AG1940" t="str">
        <f t="shared" si="512"/>
        <v/>
      </c>
      <c r="AH1940" t="str">
        <f t="shared" si="517"/>
        <v/>
      </c>
      <c r="AI1940" t="str">
        <f t="shared" si="502"/>
        <v/>
      </c>
      <c r="AJ1940" t="str">
        <f t="shared" si="503"/>
        <v/>
      </c>
    </row>
    <row r="1941" spans="1:36" x14ac:dyDescent="0.25">
      <c r="A1941" t="s">
        <v>1484</v>
      </c>
      <c r="P1941" t="str">
        <f t="shared" si="504"/>
        <v xml:space="preserve">                </v>
      </c>
      <c r="Q1941" t="str">
        <f t="shared" si="504"/>
        <v xml:space="preserve">         </v>
      </c>
      <c r="R1941" t="str">
        <f t="shared" si="513"/>
        <v xml:space="preserve">    75.0 </v>
      </c>
      <c r="S1941" t="str">
        <f t="shared" si="505"/>
        <v xml:space="preserve">    90.0 </v>
      </c>
      <c r="T1941" t="str">
        <f t="shared" si="506"/>
        <v xml:space="preserve">    90.0 </v>
      </c>
      <c r="U1941" t="str">
        <f t="shared" si="510"/>
        <v xml:space="preserve">       16.3% </v>
      </c>
      <c r="V1941" t="str">
        <f t="shared" si="514"/>
        <v xml:space="preserve">         </v>
      </c>
      <c r="W1941" t="str">
        <f t="shared" si="507"/>
        <v xml:space="preserve">         </v>
      </c>
      <c r="X1941" t="str">
        <f t="shared" si="511"/>
        <v xml:space="preserve"> 43918 </v>
      </c>
      <c r="Y1941" t="str">
        <f t="shared" si="511"/>
        <v xml:space="preserve"> ELDO-2-RS000 </v>
      </c>
      <c r="Z1941" t="str">
        <f t="shared" si="511"/>
        <v xml:space="preserve">  2 </v>
      </c>
      <c r="AA1941" t="str">
        <f t="shared" si="515"/>
        <v xml:space="preserve">   -12.8 </v>
      </c>
      <c r="AB1941" t="str">
        <f t="shared" si="508"/>
        <v xml:space="preserve">    -0.7 </v>
      </c>
      <c r="AC1941" t="str">
        <f t="shared" si="509"/>
        <v xml:space="preserve">    12.2 </v>
      </c>
      <c r="AD1941" t="str">
        <f t="shared" si="510"/>
        <v xml:space="preserve"> 1.000F </v>
      </c>
      <c r="AE1941" t="str">
        <f t="shared" si="516"/>
        <v xml:space="preserve">       </v>
      </c>
      <c r="AF1941" t="str">
        <f t="shared" si="512"/>
        <v xml:space="preserve"> 002 </v>
      </c>
      <c r="AG1941" t="str">
        <f t="shared" si="512"/>
        <v xml:space="preserve">     0.00 </v>
      </c>
      <c r="AH1941" t="str">
        <f t="shared" si="517"/>
        <v xml:space="preserve">    -0.01 </v>
      </c>
      <c r="AI1941" t="str">
        <f t="shared" si="502"/>
        <v xml:space="preserve">       </v>
      </c>
      <c r="AJ1941" t="str">
        <f t="shared" si="503"/>
        <v xml:space="preserve">      </v>
      </c>
    </row>
    <row r="1942" spans="1:36" x14ac:dyDescent="0.25">
      <c r="A1942" t="s">
        <v>14</v>
      </c>
      <c r="P1942" t="str">
        <f t="shared" si="504"/>
        <v xml:space="preserve">  ..............</v>
      </c>
      <c r="Q1942" t="str">
        <f t="shared" si="504"/>
        <v>.........</v>
      </c>
      <c r="R1942" t="str">
        <f t="shared" si="513"/>
        <v>.........</v>
      </c>
      <c r="S1942" t="str">
        <f t="shared" si="505"/>
        <v>.........</v>
      </c>
      <c r="T1942" t="str">
        <f t="shared" si="506"/>
        <v>.........</v>
      </c>
      <c r="U1942" t="str">
        <f t="shared" si="510"/>
        <v>.............</v>
      </c>
      <c r="V1942" t="str">
        <f t="shared" si="514"/>
        <v>.........</v>
      </c>
      <c r="W1942" t="str">
        <f t="shared" si="507"/>
        <v>.........</v>
      </c>
      <c r="X1942" t="str">
        <f t="shared" si="511"/>
        <v>.......</v>
      </c>
      <c r="Y1942" t="str">
        <f t="shared" si="511"/>
        <v>..............</v>
      </c>
      <c r="Z1942" t="str">
        <f t="shared" si="511"/>
        <v>....</v>
      </c>
      <c r="AA1942" t="str">
        <f t="shared" si="515"/>
        <v>.........</v>
      </c>
      <c r="AB1942" t="str">
        <f t="shared" si="508"/>
        <v>.........</v>
      </c>
      <c r="AC1942" t="str">
        <f t="shared" si="509"/>
        <v>.........</v>
      </c>
      <c r="AD1942" t="str">
        <f t="shared" si="510"/>
        <v>........</v>
      </c>
      <c r="AE1942" t="str">
        <f t="shared" si="516"/>
        <v>.......</v>
      </c>
      <c r="AF1942" t="str">
        <f t="shared" si="512"/>
        <v>.....</v>
      </c>
      <c r="AG1942" t="str">
        <f t="shared" si="512"/>
        <v>..........</v>
      </c>
      <c r="AH1942" t="str">
        <f t="shared" si="517"/>
        <v>..........</v>
      </c>
      <c r="AI1942" t="str">
        <f t="shared" si="502"/>
        <v>.......</v>
      </c>
      <c r="AJ1942" t="str">
        <f t="shared" si="503"/>
        <v>.......</v>
      </c>
    </row>
    <row r="1943" spans="1:36" x14ac:dyDescent="0.25">
      <c r="A1943" t="s">
        <v>1485</v>
      </c>
      <c r="P1943" t="str">
        <f t="shared" si="504"/>
        <v xml:space="preserve">  10265   23  0 </v>
      </c>
      <c r="Q1943" t="str">
        <f t="shared" si="504"/>
        <v xml:space="preserve">   1.052 </v>
      </c>
      <c r="R1943" t="str">
        <f t="shared" si="513"/>
        <v xml:space="preserve">     0.0 </v>
      </c>
      <c r="S1943" t="str">
        <f t="shared" si="505"/>
        <v xml:space="preserve">     0.0 </v>
      </c>
      <c r="T1943" t="str">
        <f t="shared" si="506"/>
        <v xml:space="preserve">     9.5 </v>
      </c>
      <c r="U1943" t="str">
        <f t="shared" si="510"/>
        <v xml:space="preserve">         0.0 </v>
      </c>
      <c r="V1943" t="str">
        <f t="shared" si="514"/>
        <v xml:space="preserve">     8.0 </v>
      </c>
      <c r="W1943" t="str">
        <f t="shared" si="507"/>
        <v xml:space="preserve">     0.0</v>
      </c>
      <c r="X1943" t="str">
        <f t="shared" si="511"/>
        <v/>
      </c>
      <c r="Y1943" t="str">
        <f t="shared" si="511"/>
        <v/>
      </c>
      <c r="Z1943" t="str">
        <f t="shared" si="511"/>
        <v/>
      </c>
      <c r="AA1943" t="str">
        <f t="shared" si="515"/>
        <v/>
      </c>
      <c r="AB1943" t="str">
        <f t="shared" si="508"/>
        <v/>
      </c>
      <c r="AC1943" t="str">
        <f t="shared" si="509"/>
        <v/>
      </c>
      <c r="AD1943" t="str">
        <f t="shared" si="510"/>
        <v/>
      </c>
      <c r="AE1943" t="str">
        <f t="shared" si="516"/>
        <v/>
      </c>
      <c r="AF1943" t="str">
        <f t="shared" si="512"/>
        <v/>
      </c>
      <c r="AG1943" t="str">
        <f t="shared" si="512"/>
        <v/>
      </c>
      <c r="AH1943" t="str">
        <f t="shared" si="517"/>
        <v/>
      </c>
      <c r="AI1943" t="str">
        <f t="shared" ref="AI1943:AI2006" si="518">MID($A1943,AG$8+AG$9+AH$9-2,AI$9)</f>
        <v/>
      </c>
      <c r="AJ1943" t="str">
        <f t="shared" ref="AJ1943:AJ2006" si="519">MID($A1943,AG$8+AG$9+AH$9+AI$9-3,AJ$9)</f>
        <v/>
      </c>
    </row>
    <row r="1944" spans="1:36" x14ac:dyDescent="0.25">
      <c r="A1944" t="s">
        <v>1486</v>
      </c>
      <c r="P1944" t="str">
        <f t="shared" si="504"/>
        <v xml:space="preserve">  GRAV-B-RS023  </v>
      </c>
      <c r="Q1944" t="str">
        <f t="shared" si="504"/>
        <v xml:space="preserve">   -52.3 </v>
      </c>
      <c r="R1944" t="str">
        <f t="shared" si="513"/>
        <v xml:space="preserve">     0.0 </v>
      </c>
      <c r="S1944" t="str">
        <f t="shared" si="505"/>
        <v xml:space="preserve">     0.0 </v>
      </c>
      <c r="T1944" t="str">
        <f t="shared" si="506"/>
        <v xml:space="preserve">     3.6 </v>
      </c>
      <c r="U1944" t="str">
        <f t="shared" si="510"/>
        <v xml:space="preserve">         0.0 </v>
      </c>
      <c r="V1944" t="str">
        <f t="shared" si="514"/>
        <v xml:space="preserve">     0.0 </v>
      </c>
      <c r="W1944" t="str">
        <f t="shared" si="507"/>
        <v xml:space="preserve">     0.0 </v>
      </c>
      <c r="X1944" t="str">
        <f t="shared" si="511"/>
        <v xml:space="preserve">       </v>
      </c>
      <c r="Y1944" t="str">
        <f t="shared" si="511"/>
        <v xml:space="preserve">              </v>
      </c>
      <c r="Z1944" t="str">
        <f t="shared" si="511"/>
        <v xml:space="preserve">    </v>
      </c>
      <c r="AA1944" t="str">
        <f t="shared" si="515"/>
        <v xml:space="preserve">         </v>
      </c>
      <c r="AB1944" t="str">
        <f t="shared" si="508"/>
        <v xml:space="preserve">         </v>
      </c>
      <c r="AC1944" t="str">
        <f t="shared" si="509"/>
        <v xml:space="preserve">    </v>
      </c>
      <c r="AD1944" t="str">
        <f t="shared" si="510"/>
        <v/>
      </c>
      <c r="AE1944" t="str">
        <f t="shared" si="516"/>
        <v/>
      </c>
      <c r="AF1944" t="str">
        <f t="shared" si="512"/>
        <v/>
      </c>
      <c r="AG1944" t="str">
        <f t="shared" si="512"/>
        <v/>
      </c>
      <c r="AH1944" t="str">
        <f t="shared" si="517"/>
        <v/>
      </c>
      <c r="AI1944" t="str">
        <f t="shared" si="518"/>
        <v/>
      </c>
      <c r="AJ1944" t="str">
        <f t="shared" si="519"/>
        <v/>
      </c>
    </row>
    <row r="1945" spans="1:36" x14ac:dyDescent="0.25">
      <c r="A1945" t="s">
        <v>1487</v>
      </c>
      <c r="P1945" t="str">
        <f t="shared" si="504"/>
        <v xml:space="preserve">                </v>
      </c>
      <c r="Q1945" t="str">
        <f t="shared" si="504"/>
        <v xml:space="preserve">         </v>
      </c>
      <c r="R1945" t="str">
        <f t="shared" si="513"/>
        <v xml:space="preserve">    75.0 </v>
      </c>
      <c r="S1945" t="str">
        <f t="shared" si="505"/>
        <v xml:space="preserve">    90.0 </v>
      </c>
      <c r="T1945" t="str">
        <f t="shared" si="506"/>
        <v xml:space="preserve">    90.0 </v>
      </c>
      <c r="U1945" t="str">
        <f t="shared" si="510"/>
        <v xml:space="preserve">       13.3% </v>
      </c>
      <c r="V1945" t="str">
        <f t="shared" si="514"/>
        <v xml:space="preserve">         </v>
      </c>
      <c r="W1945" t="str">
        <f t="shared" si="507"/>
        <v xml:space="preserve">         </v>
      </c>
      <c r="X1945" t="str">
        <f t="shared" si="511"/>
        <v xml:space="preserve"> 43920 </v>
      </c>
      <c r="Y1945" t="str">
        <f t="shared" si="511"/>
        <v xml:space="preserve"> GRA2-4-RS000 </v>
      </c>
      <c r="Z1945" t="str">
        <f t="shared" si="511"/>
        <v xml:space="preserve">  4 </v>
      </c>
      <c r="AA1945" t="str">
        <f t="shared" si="515"/>
        <v xml:space="preserve">    -9.5 </v>
      </c>
      <c r="AB1945" t="str">
        <f t="shared" si="508"/>
        <v xml:space="preserve">     4.4 </v>
      </c>
      <c r="AC1945" t="str">
        <f t="shared" si="509"/>
        <v xml:space="preserve">     9.9 </v>
      </c>
      <c r="AD1945" t="str">
        <f t="shared" si="510"/>
        <v xml:space="preserve"> 1.000F </v>
      </c>
      <c r="AE1945" t="str">
        <f t="shared" si="516"/>
        <v xml:space="preserve">       </v>
      </c>
      <c r="AF1945" t="str">
        <f t="shared" si="512"/>
        <v xml:space="preserve"> 002 </v>
      </c>
      <c r="AG1945" t="str">
        <f t="shared" si="512"/>
        <v xml:space="preserve">     0.00 </v>
      </c>
      <c r="AH1945" t="str">
        <f t="shared" si="517"/>
        <v xml:space="preserve">    -0.01 </v>
      </c>
      <c r="AI1945" t="str">
        <f t="shared" si="518"/>
        <v xml:space="preserve">       </v>
      </c>
      <c r="AJ1945" t="str">
        <f t="shared" si="519"/>
        <v xml:space="preserve">      </v>
      </c>
    </row>
    <row r="1946" spans="1:36" x14ac:dyDescent="0.25">
      <c r="A1946" t="s">
        <v>14</v>
      </c>
      <c r="P1946" t="str">
        <f t="shared" si="504"/>
        <v xml:space="preserve">  ..............</v>
      </c>
      <c r="Q1946" t="str">
        <f t="shared" si="504"/>
        <v>.........</v>
      </c>
      <c r="R1946" t="str">
        <f t="shared" si="513"/>
        <v>.........</v>
      </c>
      <c r="S1946" t="str">
        <f t="shared" si="505"/>
        <v>.........</v>
      </c>
      <c r="T1946" t="str">
        <f t="shared" si="506"/>
        <v>.........</v>
      </c>
      <c r="U1946" t="str">
        <f t="shared" si="510"/>
        <v>.............</v>
      </c>
      <c r="V1946" t="str">
        <f t="shared" si="514"/>
        <v>.........</v>
      </c>
      <c r="W1946" t="str">
        <f t="shared" si="507"/>
        <v>.........</v>
      </c>
      <c r="X1946" t="str">
        <f t="shared" si="511"/>
        <v>.......</v>
      </c>
      <c r="Y1946" t="str">
        <f t="shared" si="511"/>
        <v>..............</v>
      </c>
      <c r="Z1946" t="str">
        <f t="shared" si="511"/>
        <v>....</v>
      </c>
      <c r="AA1946" t="str">
        <f t="shared" si="515"/>
        <v>.........</v>
      </c>
      <c r="AB1946" t="str">
        <f t="shared" si="508"/>
        <v>.........</v>
      </c>
      <c r="AC1946" t="str">
        <f t="shared" si="509"/>
        <v>.........</v>
      </c>
      <c r="AD1946" t="str">
        <f t="shared" si="510"/>
        <v>........</v>
      </c>
      <c r="AE1946" t="str">
        <f t="shared" si="516"/>
        <v>.......</v>
      </c>
      <c r="AF1946" t="str">
        <f t="shared" si="512"/>
        <v>.....</v>
      </c>
      <c r="AG1946" t="str">
        <f t="shared" si="512"/>
        <v>..........</v>
      </c>
      <c r="AH1946" t="str">
        <f t="shared" si="517"/>
        <v>..........</v>
      </c>
      <c r="AI1946" t="str">
        <f t="shared" si="518"/>
        <v>.......</v>
      </c>
      <c r="AJ1946" t="str">
        <f t="shared" si="519"/>
        <v>.......</v>
      </c>
    </row>
    <row r="1947" spans="1:36" x14ac:dyDescent="0.25">
      <c r="A1947" t="s">
        <v>1488</v>
      </c>
      <c r="P1947" t="str">
        <f t="shared" ref="P1947:Q2010" si="520">MID($A1947,P$8,P$9)</f>
        <v xml:space="preserve">  10266   14  0 </v>
      </c>
      <c r="Q1947" t="str">
        <f t="shared" si="520"/>
        <v xml:space="preserve">   1.060 </v>
      </c>
      <c r="R1947" t="str">
        <f t="shared" si="513"/>
        <v xml:space="preserve">     1.0 </v>
      </c>
      <c r="S1947" t="str">
        <f t="shared" ref="S1947:S2010" si="521">MID($A1947,Q$8+Q$9+R$9-2,S$9)</f>
        <v xml:space="preserve">     0.0 </v>
      </c>
      <c r="T1947" t="str">
        <f t="shared" ref="T1947:T2010" si="522">MID($A1947,Q$8+Q$9+R$9+S$9-3,T$9)</f>
        <v xml:space="preserve">    17.3 </v>
      </c>
      <c r="U1947" t="str">
        <f t="shared" si="510"/>
        <v xml:space="preserve">         0.0 </v>
      </c>
      <c r="V1947" t="str">
        <f t="shared" si="514"/>
        <v xml:space="preserve">     0.0 </v>
      </c>
      <c r="W1947" t="str">
        <f t="shared" ref="W1947:W2010" si="523">MID($A1947,U$8+U$9+V$9-2,W$9)</f>
        <v xml:space="preserve">     0.0</v>
      </c>
      <c r="X1947" t="str">
        <f t="shared" si="511"/>
        <v/>
      </c>
      <c r="Y1947" t="str">
        <f t="shared" si="511"/>
        <v/>
      </c>
      <c r="Z1947" t="str">
        <f t="shared" si="511"/>
        <v/>
      </c>
      <c r="AA1947" t="str">
        <f t="shared" si="515"/>
        <v/>
      </c>
      <c r="AB1947" t="str">
        <f t="shared" ref="AB1947:AB2010" si="524">MID($A1947,Z$8+Z$9+AA$9-2,AB$9)</f>
        <v/>
      </c>
      <c r="AC1947" t="str">
        <f t="shared" ref="AC1947:AC2010" si="525">MID($A1947,Z$8+Z$9+AA$9+AB$9-3,AC$9)</f>
        <v/>
      </c>
      <c r="AD1947" t="str">
        <f t="shared" si="510"/>
        <v/>
      </c>
      <c r="AE1947" t="str">
        <f t="shared" si="516"/>
        <v/>
      </c>
      <c r="AF1947" t="str">
        <f t="shared" si="512"/>
        <v/>
      </c>
      <c r="AG1947" t="str">
        <f t="shared" si="512"/>
        <v/>
      </c>
      <c r="AH1947" t="str">
        <f t="shared" si="517"/>
        <v/>
      </c>
      <c r="AI1947" t="str">
        <f t="shared" si="518"/>
        <v/>
      </c>
      <c r="AJ1947" t="str">
        <f t="shared" si="519"/>
        <v/>
      </c>
    </row>
    <row r="1948" spans="1:36" x14ac:dyDescent="0.25">
      <c r="A1948" t="s">
        <v>1489</v>
      </c>
      <c r="P1948" t="str">
        <f t="shared" si="520"/>
        <v xml:space="preserve">  PAL6-B-RS013  </v>
      </c>
      <c r="Q1948" t="str">
        <f t="shared" si="520"/>
        <v xml:space="preserve">   -57.8 </v>
      </c>
      <c r="R1948" t="str">
        <f t="shared" si="513"/>
        <v xml:space="preserve">     0.0 </v>
      </c>
      <c r="S1948" t="str">
        <f t="shared" si="521"/>
        <v xml:space="preserve">     0.0 </v>
      </c>
      <c r="T1948" t="str">
        <f t="shared" si="522"/>
        <v xml:space="preserve">     4.9 </v>
      </c>
      <c r="U1948" t="str">
        <f t="shared" ref="U1948:AD2011" si="526">MID($A1948,U$8,U$9)</f>
        <v xml:space="preserve">         0.0 </v>
      </c>
      <c r="V1948" t="str">
        <f t="shared" si="514"/>
        <v xml:space="preserve">     0.0 </v>
      </c>
      <c r="W1948" t="str">
        <f t="shared" si="523"/>
        <v xml:space="preserve">     0.0 </v>
      </c>
      <c r="X1948" t="str">
        <f t="shared" ref="X1948:Z2011" si="527">MID($A1948,X$8,X$9)</f>
        <v xml:space="preserve">       </v>
      </c>
      <c r="Y1948" t="str">
        <f t="shared" si="527"/>
        <v xml:space="preserve">              </v>
      </c>
      <c r="Z1948" t="str">
        <f t="shared" si="527"/>
        <v xml:space="preserve">    </v>
      </c>
      <c r="AA1948" t="str">
        <f t="shared" si="515"/>
        <v xml:space="preserve">         </v>
      </c>
      <c r="AB1948" t="str">
        <f t="shared" si="524"/>
        <v xml:space="preserve">         </v>
      </c>
      <c r="AC1948" t="str">
        <f t="shared" si="525"/>
        <v xml:space="preserve">    </v>
      </c>
      <c r="AD1948" t="str">
        <f t="shared" si="526"/>
        <v/>
      </c>
      <c r="AE1948" t="str">
        <f t="shared" si="516"/>
        <v/>
      </c>
      <c r="AF1948" t="str">
        <f t="shared" si="512"/>
        <v/>
      </c>
      <c r="AG1948" t="str">
        <f t="shared" si="512"/>
        <v/>
      </c>
      <c r="AH1948" t="str">
        <f t="shared" si="517"/>
        <v/>
      </c>
      <c r="AI1948" t="str">
        <f t="shared" si="518"/>
        <v/>
      </c>
      <c r="AJ1948" t="str">
        <f t="shared" si="519"/>
        <v/>
      </c>
    </row>
    <row r="1949" spans="1:36" x14ac:dyDescent="0.25">
      <c r="A1949" t="s">
        <v>1490</v>
      </c>
      <c r="P1949" t="str">
        <f t="shared" si="520"/>
        <v xml:space="preserve">                </v>
      </c>
      <c r="Q1949" t="str">
        <f t="shared" si="520"/>
        <v xml:space="preserve">         </v>
      </c>
      <c r="R1949" t="str">
        <f t="shared" si="513"/>
        <v xml:space="preserve">  9999.0 </v>
      </c>
      <c r="S1949" t="str">
        <f t="shared" si="521"/>
        <v xml:space="preserve">  9999.0 </v>
      </c>
      <c r="T1949" t="str">
        <f t="shared" si="522"/>
        <v xml:space="preserve">  9999.0 </v>
      </c>
      <c r="U1949" t="str">
        <f t="shared" si="526"/>
        <v xml:space="preserve">        0.0% </v>
      </c>
      <c r="V1949" t="str">
        <f t="shared" si="514"/>
        <v xml:space="preserve">         </v>
      </c>
      <c r="W1949" t="str">
        <f t="shared" si="523"/>
        <v xml:space="preserve">         </v>
      </c>
      <c r="X1949" t="str">
        <f t="shared" si="527"/>
        <v xml:space="preserve"> 43497 </v>
      </c>
      <c r="Y1949" t="str">
        <f t="shared" si="527"/>
        <v xml:space="preserve"> PAL6-7-RS000 </v>
      </c>
      <c r="Z1949" t="str">
        <f t="shared" si="527"/>
        <v xml:space="preserve">  7 </v>
      </c>
      <c r="AA1949" t="str">
        <f t="shared" si="515"/>
        <v xml:space="preserve">   -16.3 </v>
      </c>
      <c r="AB1949" t="str">
        <f t="shared" si="524"/>
        <v xml:space="preserve">    -4.9 </v>
      </c>
      <c r="AC1949" t="str">
        <f t="shared" si="525"/>
        <v xml:space="preserve">    16.1 </v>
      </c>
      <c r="AD1949" t="str">
        <f t="shared" si="526"/>
        <v xml:space="preserve"> 1.000F </v>
      </c>
      <c r="AE1949" t="str">
        <f t="shared" si="516"/>
        <v xml:space="preserve">       </v>
      </c>
      <c r="AF1949" t="str">
        <f t="shared" ref="AF1949:AG2012" si="528">MID($A1949,AF$8,AF$9)</f>
        <v xml:space="preserve"> 002 </v>
      </c>
      <c r="AG1949" t="str">
        <f t="shared" si="528"/>
        <v xml:space="preserve">     0.03 </v>
      </c>
      <c r="AH1949" t="str">
        <f t="shared" si="517"/>
        <v xml:space="preserve">     1.05 </v>
      </c>
      <c r="AI1949" t="str">
        <f t="shared" si="518"/>
        <v xml:space="preserve">       </v>
      </c>
      <c r="AJ1949" t="str">
        <f t="shared" si="519"/>
        <v xml:space="preserve">      </v>
      </c>
    </row>
    <row r="1950" spans="1:36" x14ac:dyDescent="0.25">
      <c r="A1950" t="s">
        <v>14</v>
      </c>
      <c r="P1950" t="str">
        <f t="shared" si="520"/>
        <v xml:space="preserve">  ..............</v>
      </c>
      <c r="Q1950" t="str">
        <f t="shared" si="520"/>
        <v>.........</v>
      </c>
      <c r="R1950" t="str">
        <f t="shared" si="513"/>
        <v>.........</v>
      </c>
      <c r="S1950" t="str">
        <f t="shared" si="521"/>
        <v>.........</v>
      </c>
      <c r="T1950" t="str">
        <f t="shared" si="522"/>
        <v>.........</v>
      </c>
      <c r="U1950" t="str">
        <f t="shared" si="526"/>
        <v>.............</v>
      </c>
      <c r="V1950" t="str">
        <f t="shared" si="514"/>
        <v>.........</v>
      </c>
      <c r="W1950" t="str">
        <f t="shared" si="523"/>
        <v>.........</v>
      </c>
      <c r="X1950" t="str">
        <f t="shared" si="527"/>
        <v>.......</v>
      </c>
      <c r="Y1950" t="str">
        <f t="shared" si="527"/>
        <v>..............</v>
      </c>
      <c r="Z1950" t="str">
        <f t="shared" si="527"/>
        <v>....</v>
      </c>
      <c r="AA1950" t="str">
        <f t="shared" si="515"/>
        <v>.........</v>
      </c>
      <c r="AB1950" t="str">
        <f t="shared" si="524"/>
        <v>.........</v>
      </c>
      <c r="AC1950" t="str">
        <f t="shared" si="525"/>
        <v>.........</v>
      </c>
      <c r="AD1950" t="str">
        <f t="shared" si="526"/>
        <v>........</v>
      </c>
      <c r="AE1950" t="str">
        <f t="shared" si="516"/>
        <v>.......</v>
      </c>
      <c r="AF1950" t="str">
        <f t="shared" si="528"/>
        <v>.....</v>
      </c>
      <c r="AG1950" t="str">
        <f t="shared" si="528"/>
        <v>..........</v>
      </c>
      <c r="AH1950" t="str">
        <f t="shared" si="517"/>
        <v>..........</v>
      </c>
      <c r="AI1950" t="str">
        <f t="shared" si="518"/>
        <v>.......</v>
      </c>
      <c r="AJ1950" t="str">
        <f t="shared" si="519"/>
        <v>.......</v>
      </c>
    </row>
    <row r="1951" spans="1:36" x14ac:dyDescent="0.25">
      <c r="A1951" t="s">
        <v>1491</v>
      </c>
      <c r="P1951" t="str">
        <f t="shared" si="520"/>
        <v xml:space="preserve">  10267   14  0 </v>
      </c>
      <c r="Q1951" t="str">
        <f t="shared" si="520"/>
        <v xml:space="preserve">   1.075 </v>
      </c>
      <c r="R1951" t="str">
        <f t="shared" si="513"/>
        <v xml:space="preserve">     1.4 </v>
      </c>
      <c r="S1951" t="str">
        <f t="shared" si="521"/>
        <v xml:space="preserve">     0.0 </v>
      </c>
      <c r="T1951" t="str">
        <f t="shared" si="522"/>
        <v xml:space="preserve">    21.0 </v>
      </c>
      <c r="U1951" t="str">
        <f t="shared" si="526"/>
        <v xml:space="preserve">         0.0 </v>
      </c>
      <c r="V1951" t="str">
        <f t="shared" si="514"/>
        <v xml:space="preserve">     4.2 </v>
      </c>
      <c r="W1951" t="str">
        <f t="shared" si="523"/>
        <v xml:space="preserve">     0.0</v>
      </c>
      <c r="X1951" t="str">
        <f t="shared" si="527"/>
        <v/>
      </c>
      <c r="Y1951" t="str">
        <f t="shared" si="527"/>
        <v/>
      </c>
      <c r="Z1951" t="str">
        <f t="shared" si="527"/>
        <v/>
      </c>
      <c r="AA1951" t="str">
        <f t="shared" si="515"/>
        <v/>
      </c>
      <c r="AB1951" t="str">
        <f t="shared" si="524"/>
        <v/>
      </c>
      <c r="AC1951" t="str">
        <f t="shared" si="525"/>
        <v/>
      </c>
      <c r="AD1951" t="str">
        <f t="shared" si="526"/>
        <v/>
      </c>
      <c r="AE1951" t="str">
        <f t="shared" si="516"/>
        <v/>
      </c>
      <c r="AF1951" t="str">
        <f t="shared" si="528"/>
        <v/>
      </c>
      <c r="AG1951" t="str">
        <f t="shared" si="528"/>
        <v/>
      </c>
      <c r="AH1951" t="str">
        <f t="shared" si="517"/>
        <v/>
      </c>
      <c r="AI1951" t="str">
        <f t="shared" si="518"/>
        <v/>
      </c>
      <c r="AJ1951" t="str">
        <f t="shared" si="519"/>
        <v/>
      </c>
    </row>
    <row r="1952" spans="1:36" x14ac:dyDescent="0.25">
      <c r="A1952" t="s">
        <v>1492</v>
      </c>
      <c r="P1952" t="str">
        <f t="shared" si="520"/>
        <v xml:space="preserve">  PAL9-B-RS013  </v>
      </c>
      <c r="Q1952" t="str">
        <f t="shared" si="520"/>
        <v xml:space="preserve">   -55.0 </v>
      </c>
      <c r="R1952" t="str">
        <f t="shared" si="513"/>
        <v xml:space="preserve">     0.0 </v>
      </c>
      <c r="S1952" t="str">
        <f t="shared" si="521"/>
        <v xml:space="preserve">     0.0 </v>
      </c>
      <c r="T1952" t="str">
        <f t="shared" si="522"/>
        <v xml:space="preserve">     4.6 </v>
      </c>
      <c r="U1952" t="str">
        <f t="shared" si="526"/>
        <v xml:space="preserve">         0.0 </v>
      </c>
      <c r="V1952" t="str">
        <f t="shared" si="514"/>
        <v xml:space="preserve">     0.0 </v>
      </c>
      <c r="W1952" t="str">
        <f t="shared" si="523"/>
        <v xml:space="preserve">     0.0 </v>
      </c>
      <c r="X1952" t="str">
        <f t="shared" si="527"/>
        <v xml:space="preserve">       </v>
      </c>
      <c r="Y1952" t="str">
        <f t="shared" si="527"/>
        <v xml:space="preserve">              </v>
      </c>
      <c r="Z1952" t="str">
        <f t="shared" si="527"/>
        <v xml:space="preserve">    </v>
      </c>
      <c r="AA1952" t="str">
        <f t="shared" si="515"/>
        <v xml:space="preserve">         </v>
      </c>
      <c r="AB1952" t="str">
        <f t="shared" si="524"/>
        <v xml:space="preserve">         </v>
      </c>
      <c r="AC1952" t="str">
        <f t="shared" si="525"/>
        <v xml:space="preserve">    </v>
      </c>
      <c r="AD1952" t="str">
        <f t="shared" si="526"/>
        <v/>
      </c>
      <c r="AE1952" t="str">
        <f t="shared" si="516"/>
        <v/>
      </c>
      <c r="AF1952" t="str">
        <f t="shared" si="528"/>
        <v/>
      </c>
      <c r="AG1952" t="str">
        <f t="shared" si="528"/>
        <v/>
      </c>
      <c r="AH1952" t="str">
        <f t="shared" si="517"/>
        <v/>
      </c>
      <c r="AI1952" t="str">
        <f t="shared" si="518"/>
        <v/>
      </c>
      <c r="AJ1952" t="str">
        <f t="shared" si="519"/>
        <v/>
      </c>
    </row>
    <row r="1953" spans="1:36" x14ac:dyDescent="0.25">
      <c r="A1953" t="s">
        <v>1493</v>
      </c>
      <c r="P1953" t="str">
        <f t="shared" si="520"/>
        <v xml:space="preserve">                </v>
      </c>
      <c r="Q1953" t="str">
        <f t="shared" si="520"/>
        <v xml:space="preserve">         </v>
      </c>
      <c r="R1953" t="str">
        <f t="shared" si="513"/>
        <v xml:space="preserve">    75.0 </v>
      </c>
      <c r="S1953" t="str">
        <f t="shared" si="521"/>
        <v xml:space="preserve">    90.0 </v>
      </c>
      <c r="T1953" t="str">
        <f t="shared" si="522"/>
        <v xml:space="preserve">    90.0 </v>
      </c>
      <c r="U1953" t="str">
        <f t="shared" si="526"/>
        <v xml:space="preserve">       24.3% </v>
      </c>
      <c r="V1953" t="str">
        <f t="shared" si="514"/>
        <v xml:space="preserve">         </v>
      </c>
      <c r="W1953" t="str">
        <f t="shared" si="523"/>
        <v xml:space="preserve">         </v>
      </c>
      <c r="X1953" t="str">
        <f t="shared" si="527"/>
        <v xml:space="preserve"> 43878 </v>
      </c>
      <c r="Y1953" t="str">
        <f t="shared" si="527"/>
        <v xml:space="preserve"> PAL9-6-RS000 </v>
      </c>
      <c r="Z1953" t="str">
        <f t="shared" si="527"/>
        <v xml:space="preserve">  6 </v>
      </c>
      <c r="AA1953" t="str">
        <f t="shared" si="515"/>
        <v xml:space="preserve">   -19.6 </v>
      </c>
      <c r="AB1953" t="str">
        <f t="shared" si="524"/>
        <v xml:space="preserve">    -0.4 </v>
      </c>
      <c r="AC1953" t="str">
        <f t="shared" si="525"/>
        <v xml:space="preserve">    18.2 </v>
      </c>
      <c r="AD1953" t="str">
        <f t="shared" si="526"/>
        <v xml:space="preserve"> 1.000F </v>
      </c>
      <c r="AE1953" t="str">
        <f t="shared" si="516"/>
        <v xml:space="preserve">       </v>
      </c>
      <c r="AF1953" t="str">
        <f t="shared" si="528"/>
        <v xml:space="preserve"> 002 </v>
      </c>
      <c r="AG1953" t="str">
        <f t="shared" si="528"/>
        <v xml:space="preserve">     0.00 </v>
      </c>
      <c r="AH1953" t="str">
        <f t="shared" si="517"/>
        <v xml:space="preserve">    -0.02 </v>
      </c>
      <c r="AI1953" t="str">
        <f t="shared" si="518"/>
        <v xml:space="preserve">       </v>
      </c>
      <c r="AJ1953" t="str">
        <f t="shared" si="519"/>
        <v xml:space="preserve">      </v>
      </c>
    </row>
    <row r="1954" spans="1:36" x14ac:dyDescent="0.25">
      <c r="A1954" t="s">
        <v>14</v>
      </c>
      <c r="P1954" t="str">
        <f t="shared" si="520"/>
        <v xml:space="preserve">  ..............</v>
      </c>
      <c r="Q1954" t="str">
        <f t="shared" si="520"/>
        <v>.........</v>
      </c>
      <c r="R1954" t="str">
        <f t="shared" si="513"/>
        <v>.........</v>
      </c>
      <c r="S1954" t="str">
        <f t="shared" si="521"/>
        <v>.........</v>
      </c>
      <c r="T1954" t="str">
        <f t="shared" si="522"/>
        <v>.........</v>
      </c>
      <c r="U1954" t="str">
        <f t="shared" si="526"/>
        <v>.............</v>
      </c>
      <c r="V1954" t="str">
        <f t="shared" si="514"/>
        <v>.........</v>
      </c>
      <c r="W1954" t="str">
        <f t="shared" si="523"/>
        <v>.........</v>
      </c>
      <c r="X1954" t="str">
        <f t="shared" si="527"/>
        <v>.......</v>
      </c>
      <c r="Y1954" t="str">
        <f t="shared" si="527"/>
        <v>..............</v>
      </c>
      <c r="Z1954" t="str">
        <f t="shared" si="527"/>
        <v>....</v>
      </c>
      <c r="AA1954" t="str">
        <f t="shared" si="515"/>
        <v>.........</v>
      </c>
      <c r="AB1954" t="str">
        <f t="shared" si="524"/>
        <v>.........</v>
      </c>
      <c r="AC1954" t="str">
        <f t="shared" si="525"/>
        <v>.........</v>
      </c>
      <c r="AD1954" t="str">
        <f t="shared" si="526"/>
        <v>........</v>
      </c>
      <c r="AE1954" t="str">
        <f t="shared" si="516"/>
        <v>.......</v>
      </c>
      <c r="AF1954" t="str">
        <f t="shared" si="528"/>
        <v>.....</v>
      </c>
      <c r="AG1954" t="str">
        <f t="shared" si="528"/>
        <v>..........</v>
      </c>
      <c r="AH1954" t="str">
        <f t="shared" si="517"/>
        <v>..........</v>
      </c>
      <c r="AI1954" t="str">
        <f t="shared" si="518"/>
        <v>.......</v>
      </c>
      <c r="AJ1954" t="str">
        <f t="shared" si="519"/>
        <v>.......</v>
      </c>
    </row>
    <row r="1955" spans="1:36" x14ac:dyDescent="0.25">
      <c r="A1955" t="s">
        <v>1494</v>
      </c>
      <c r="P1955" t="str">
        <f t="shared" si="520"/>
        <v xml:space="preserve">  10277   69  0 </v>
      </c>
      <c r="Q1955" t="str">
        <f t="shared" si="520"/>
        <v xml:space="preserve">   1.046 </v>
      </c>
      <c r="R1955" t="str">
        <f t="shared" si="513"/>
        <v xml:space="preserve">     0.0 </v>
      </c>
      <c r="S1955" t="str">
        <f t="shared" si="521"/>
        <v xml:space="preserve">     0.0 </v>
      </c>
      <c r="T1955" t="str">
        <f t="shared" si="522"/>
        <v xml:space="preserve">     0.0 </v>
      </c>
      <c r="U1955" t="str">
        <f t="shared" si="526"/>
        <v xml:space="preserve">         0.0 </v>
      </c>
      <c r="V1955" t="str">
        <f t="shared" si="514"/>
        <v xml:space="preserve">     3.9 </v>
      </c>
      <c r="W1955" t="str">
        <f t="shared" si="523"/>
        <v xml:space="preserve">     0.0</v>
      </c>
      <c r="X1955" t="str">
        <f t="shared" si="527"/>
        <v/>
      </c>
      <c r="Y1955" t="str">
        <f t="shared" si="527"/>
        <v/>
      </c>
      <c r="Z1955" t="str">
        <f t="shared" si="527"/>
        <v/>
      </c>
      <c r="AA1955" t="str">
        <f t="shared" si="515"/>
        <v/>
      </c>
      <c r="AB1955" t="str">
        <f t="shared" si="524"/>
        <v/>
      </c>
      <c r="AC1955" t="str">
        <f t="shared" si="525"/>
        <v/>
      </c>
      <c r="AD1955" t="str">
        <f t="shared" si="526"/>
        <v/>
      </c>
      <c r="AE1955" t="str">
        <f t="shared" si="516"/>
        <v/>
      </c>
      <c r="AF1955" t="str">
        <f t="shared" si="528"/>
        <v/>
      </c>
      <c r="AG1955" t="str">
        <f t="shared" si="528"/>
        <v/>
      </c>
      <c r="AH1955" t="str">
        <f t="shared" si="517"/>
        <v/>
      </c>
      <c r="AI1955" t="str">
        <f t="shared" si="518"/>
        <v/>
      </c>
      <c r="AJ1955" t="str">
        <f t="shared" si="519"/>
        <v/>
      </c>
    </row>
    <row r="1956" spans="1:36" x14ac:dyDescent="0.25">
      <c r="A1956" t="s">
        <v>1495</v>
      </c>
      <c r="P1956" t="str">
        <f t="shared" si="520"/>
        <v xml:space="preserve">  CHARQ3-RS069  </v>
      </c>
      <c r="Q1956" t="str">
        <f t="shared" si="520"/>
        <v xml:space="preserve">   -51.9 </v>
      </c>
      <c r="R1956" t="str">
        <f t="shared" si="513"/>
        <v xml:space="preserve">     0.0 </v>
      </c>
      <c r="S1956" t="str">
        <f t="shared" si="521"/>
        <v xml:space="preserve">     0.0 </v>
      </c>
      <c r="T1956" t="str">
        <f t="shared" si="522"/>
        <v xml:space="preserve">     0.0 </v>
      </c>
      <c r="U1956" t="str">
        <f t="shared" si="526"/>
        <v xml:space="preserve">         0.0 </v>
      </c>
      <c r="V1956" t="str">
        <f t="shared" si="514"/>
        <v xml:space="preserve">     0.0 </v>
      </c>
      <c r="W1956" t="str">
        <f t="shared" si="523"/>
        <v xml:space="preserve">     0.0 </v>
      </c>
      <c r="X1956" t="str">
        <f t="shared" si="527"/>
        <v xml:space="preserve">       </v>
      </c>
      <c r="Y1956" t="str">
        <f t="shared" si="527"/>
        <v xml:space="preserve">              </v>
      </c>
      <c r="Z1956" t="str">
        <f t="shared" si="527"/>
        <v xml:space="preserve">    </v>
      </c>
      <c r="AA1956" t="str">
        <f t="shared" si="515"/>
        <v xml:space="preserve">         </v>
      </c>
      <c r="AB1956" t="str">
        <f t="shared" si="524"/>
        <v xml:space="preserve">         </v>
      </c>
      <c r="AC1956" t="str">
        <f t="shared" si="525"/>
        <v xml:space="preserve">    </v>
      </c>
      <c r="AD1956" t="str">
        <f t="shared" si="526"/>
        <v/>
      </c>
      <c r="AE1956" t="str">
        <f t="shared" si="516"/>
        <v/>
      </c>
      <c r="AF1956" t="str">
        <f t="shared" si="528"/>
        <v/>
      </c>
      <c r="AG1956" t="str">
        <f t="shared" si="528"/>
        <v/>
      </c>
      <c r="AH1956" t="str">
        <f t="shared" si="517"/>
        <v/>
      </c>
      <c r="AI1956" t="str">
        <f t="shared" si="518"/>
        <v/>
      </c>
      <c r="AJ1956" t="str">
        <f t="shared" si="519"/>
        <v/>
      </c>
    </row>
    <row r="1957" spans="1:36" x14ac:dyDescent="0.25">
      <c r="A1957" t="s">
        <v>1496</v>
      </c>
      <c r="P1957" t="str">
        <f t="shared" si="520"/>
        <v xml:space="preserve">              DE</v>
      </c>
      <c r="Q1957" t="str">
        <f t="shared" si="520"/>
        <v xml:space="preserve">ESLIGADO </v>
      </c>
      <c r="R1957" t="str">
        <f t="shared" si="513"/>
        <v xml:space="preserve">    54.0 </v>
      </c>
      <c r="S1957" t="str">
        <f t="shared" si="521"/>
        <v xml:space="preserve">    79.0 </v>
      </c>
      <c r="T1957" t="str">
        <f t="shared" si="522"/>
        <v xml:space="preserve">    79.0 </v>
      </c>
      <c r="U1957" t="str">
        <f t="shared" si="526"/>
        <v xml:space="preserve">             </v>
      </c>
      <c r="V1957" t="str">
        <f t="shared" si="514"/>
        <v xml:space="preserve">         </v>
      </c>
      <c r="W1957" t="str">
        <f t="shared" si="523"/>
        <v xml:space="preserve">         </v>
      </c>
      <c r="X1957" t="str">
        <f t="shared" si="527"/>
        <v xml:space="preserve">  1197 </v>
      </c>
      <c r="Y1957" t="str">
        <f t="shared" si="527"/>
        <v xml:space="preserve"> GUAIB2-RS069 </v>
      </c>
      <c r="Z1957" t="str">
        <f t="shared" si="527"/>
        <v xml:space="preserve">  1 </v>
      </c>
      <c r="AA1957" t="str">
        <f t="shared" si="515"/>
        <v xml:space="preserve">     0.0 </v>
      </c>
      <c r="AB1957" t="str">
        <f t="shared" si="524"/>
        <v xml:space="preserve">     0.0 </v>
      </c>
      <c r="AC1957" t="str">
        <f t="shared" si="525"/>
        <v xml:space="preserve">     0.0 </v>
      </c>
      <c r="AD1957" t="str">
        <f t="shared" si="526"/>
        <v xml:space="preserve">        </v>
      </c>
      <c r="AE1957" t="str">
        <f t="shared" si="516"/>
        <v xml:space="preserve">       </v>
      </c>
      <c r="AF1957" t="str">
        <f t="shared" si="528"/>
        <v xml:space="preserve">     </v>
      </c>
      <c r="AG1957" t="str">
        <f t="shared" si="528"/>
        <v xml:space="preserve">     0.00 </v>
      </c>
      <c r="AH1957" t="str">
        <f t="shared" si="517"/>
        <v xml:space="preserve">     0.00 </v>
      </c>
      <c r="AI1957" t="str">
        <f t="shared" si="518"/>
        <v xml:space="preserve">       </v>
      </c>
      <c r="AJ1957" t="str">
        <f t="shared" si="519"/>
        <v xml:space="preserve">      </v>
      </c>
    </row>
    <row r="1958" spans="1:36" x14ac:dyDescent="0.25">
      <c r="A1958" t="s">
        <v>1497</v>
      </c>
      <c r="P1958" t="str">
        <f t="shared" si="520"/>
        <v xml:space="preserve">                </v>
      </c>
      <c r="Q1958" t="str">
        <f t="shared" si="520"/>
        <v xml:space="preserve">         </v>
      </c>
      <c r="R1958" t="str">
        <f t="shared" si="513"/>
        <v xml:space="preserve">    48.0 </v>
      </c>
      <c r="S1958" t="str">
        <f t="shared" si="521"/>
        <v xml:space="preserve">    48.0 </v>
      </c>
      <c r="T1958" t="str">
        <f t="shared" si="522"/>
        <v xml:space="preserve">    48.0 </v>
      </c>
      <c r="U1958" t="str">
        <f t="shared" si="526"/>
        <v xml:space="preserve">       29.6% </v>
      </c>
      <c r="V1958" t="str">
        <f t="shared" si="514"/>
        <v xml:space="preserve">         </v>
      </c>
      <c r="W1958" t="str">
        <f t="shared" si="523"/>
        <v xml:space="preserve">         </v>
      </c>
      <c r="X1958" t="str">
        <f t="shared" si="527"/>
        <v xml:space="preserve">  1208 </v>
      </c>
      <c r="Y1958" t="str">
        <f t="shared" si="527"/>
        <v xml:space="preserve"> TRIUNF-RS069 </v>
      </c>
      <c r="Z1958" t="str">
        <f t="shared" si="527"/>
        <v xml:space="preserve">  1 </v>
      </c>
      <c r="AA1958" t="str">
        <f t="shared" si="515"/>
        <v xml:space="preserve">    13.8 </v>
      </c>
      <c r="AB1958" t="str">
        <f t="shared" si="524"/>
        <v xml:space="preserve">     5.5 </v>
      </c>
      <c r="AC1958" t="str">
        <f t="shared" si="525"/>
        <v xml:space="preserve">    14.2 </v>
      </c>
      <c r="AD1958" t="str">
        <f t="shared" si="526"/>
        <v xml:space="preserve">        </v>
      </c>
      <c r="AE1958" t="str">
        <f t="shared" si="516"/>
        <v xml:space="preserve">       </v>
      </c>
      <c r="AF1958" t="str">
        <f t="shared" si="528"/>
        <v xml:space="preserve">     </v>
      </c>
      <c r="AG1958" t="str">
        <f t="shared" si="528"/>
        <v xml:space="preserve">     0.11 </v>
      </c>
      <c r="AH1958" t="str">
        <f t="shared" si="517"/>
        <v xml:space="preserve">     0.06 </v>
      </c>
      <c r="AI1958" t="str">
        <f t="shared" si="518"/>
        <v xml:space="preserve">       </v>
      </c>
      <c r="AJ1958" t="str">
        <f t="shared" si="519"/>
        <v xml:space="preserve">      </v>
      </c>
    </row>
    <row r="1959" spans="1:36" x14ac:dyDescent="0.25">
      <c r="A1959" t="s">
        <v>1498</v>
      </c>
      <c r="P1959" t="str">
        <f t="shared" si="520"/>
        <v xml:space="preserve">                </v>
      </c>
      <c r="Q1959" t="str">
        <f t="shared" si="520"/>
        <v xml:space="preserve">         </v>
      </c>
      <c r="R1959" t="str">
        <f t="shared" si="513"/>
        <v xml:space="preserve">    46.0 </v>
      </c>
      <c r="S1959" t="str">
        <f t="shared" si="521"/>
        <v xml:space="preserve">    55.0 </v>
      </c>
      <c r="T1959" t="str">
        <f t="shared" si="522"/>
        <v xml:space="preserve">    55.0 </v>
      </c>
      <c r="U1959" t="str">
        <f t="shared" si="526"/>
        <v xml:space="preserve">       49.6% </v>
      </c>
      <c r="V1959" t="str">
        <f t="shared" si="514"/>
        <v xml:space="preserve">         </v>
      </c>
      <c r="W1959" t="str">
        <f t="shared" si="523"/>
        <v xml:space="preserve">         </v>
      </c>
      <c r="X1959" t="str">
        <f t="shared" si="527"/>
        <v xml:space="preserve">  1304 </v>
      </c>
      <c r="Y1959" t="str">
        <f t="shared" si="527"/>
        <v xml:space="preserve"> TAQUAR-RS069 </v>
      </c>
      <c r="Z1959" t="str">
        <f t="shared" si="527"/>
        <v xml:space="preserve">  1 </v>
      </c>
      <c r="AA1959" t="str">
        <f t="shared" si="515"/>
        <v xml:space="preserve">    21.4 </v>
      </c>
      <c r="AB1959" t="str">
        <f t="shared" si="524"/>
        <v xml:space="preserve">    10.6 </v>
      </c>
      <c r="AC1959" t="str">
        <f t="shared" si="525"/>
        <v xml:space="preserve">    22.8 </v>
      </c>
      <c r="AD1959" t="str">
        <f t="shared" si="526"/>
        <v xml:space="preserve">        </v>
      </c>
      <c r="AE1959" t="str">
        <f t="shared" si="516"/>
        <v xml:space="preserve">       </v>
      </c>
      <c r="AF1959" t="str">
        <f t="shared" si="528"/>
        <v xml:space="preserve">     </v>
      </c>
      <c r="AG1959" t="str">
        <f t="shared" si="528"/>
        <v xml:space="preserve">     1.29 </v>
      </c>
      <c r="AH1959" t="str">
        <f t="shared" si="517"/>
        <v xml:space="preserve">     1.64 </v>
      </c>
      <c r="AI1959" t="str">
        <f t="shared" si="518"/>
        <v xml:space="preserve">       </v>
      </c>
      <c r="AJ1959" t="str">
        <f t="shared" si="519"/>
        <v xml:space="preserve">      </v>
      </c>
    </row>
    <row r="1960" spans="1:36" x14ac:dyDescent="0.25">
      <c r="A1960" t="s">
        <v>1499</v>
      </c>
      <c r="P1960" t="str">
        <f t="shared" si="520"/>
        <v xml:space="preserve">                </v>
      </c>
      <c r="Q1960" t="str">
        <f t="shared" si="520"/>
        <v xml:space="preserve">         </v>
      </c>
      <c r="R1960" t="str">
        <f t="shared" si="513"/>
        <v xml:space="preserve">   150.0 </v>
      </c>
      <c r="S1960" t="str">
        <f t="shared" si="521"/>
        <v xml:space="preserve">   180.0 </v>
      </c>
      <c r="T1960" t="str">
        <f t="shared" si="522"/>
        <v xml:space="preserve">   180.0 </v>
      </c>
      <c r="U1960" t="str">
        <f t="shared" si="526"/>
        <v xml:space="preserve">       22.6% </v>
      </c>
      <c r="V1960" t="str">
        <f t="shared" si="514"/>
        <v xml:space="preserve">         </v>
      </c>
      <c r="W1960" t="str">
        <f t="shared" si="523"/>
        <v xml:space="preserve">         </v>
      </c>
      <c r="X1960" t="str">
        <f t="shared" si="527"/>
        <v xml:space="preserve"> 10278 </v>
      </c>
      <c r="Y1960" t="str">
        <f t="shared" si="527"/>
        <v xml:space="preserve"> CHQ3-1-RS000 </v>
      </c>
      <c r="Z1960" t="str">
        <f t="shared" si="527"/>
        <v xml:space="preserve">  1 </v>
      </c>
      <c r="AA1960" t="str">
        <f t="shared" si="515"/>
        <v xml:space="preserve">   -33.4 </v>
      </c>
      <c r="AB1960" t="str">
        <f t="shared" si="524"/>
        <v xml:space="preserve">   -11.9 </v>
      </c>
      <c r="AC1960" t="str">
        <f t="shared" si="525"/>
        <v xml:space="preserve">    33.9 </v>
      </c>
      <c r="AD1960" t="str">
        <f t="shared" si="526"/>
        <v xml:space="preserve"> 1.000F </v>
      </c>
      <c r="AE1960" t="str">
        <f t="shared" si="516"/>
        <v xml:space="preserve">       </v>
      </c>
      <c r="AF1960" t="str">
        <f t="shared" si="528"/>
        <v xml:space="preserve"> 002 </v>
      </c>
      <c r="AG1960" t="str">
        <f t="shared" si="528"/>
        <v xml:space="preserve">     0.01 </v>
      </c>
      <c r="AH1960" t="str">
        <f t="shared" si="517"/>
        <v xml:space="preserve">    -0.05 </v>
      </c>
      <c r="AI1960" t="str">
        <f t="shared" si="518"/>
        <v xml:space="preserve">       </v>
      </c>
      <c r="AJ1960" t="str">
        <f t="shared" si="519"/>
        <v xml:space="preserve">      </v>
      </c>
    </row>
    <row r="1961" spans="1:36" x14ac:dyDescent="0.25">
      <c r="A1961" t="s">
        <v>1500</v>
      </c>
      <c r="P1961" t="str">
        <f t="shared" si="520"/>
        <v xml:space="preserve">                </v>
      </c>
      <c r="Q1961" t="str">
        <f t="shared" si="520"/>
        <v xml:space="preserve">         </v>
      </c>
      <c r="R1961" t="str">
        <f t="shared" si="513"/>
        <v xml:space="preserve">   150.0 </v>
      </c>
      <c r="S1961" t="str">
        <f t="shared" si="521"/>
        <v xml:space="preserve">   180.0 </v>
      </c>
      <c r="T1961" t="str">
        <f t="shared" si="522"/>
        <v xml:space="preserve">   180.0 </v>
      </c>
      <c r="U1961" t="str">
        <f t="shared" si="526"/>
        <v xml:space="preserve">       22.6% </v>
      </c>
      <c r="V1961" t="str">
        <f t="shared" si="514"/>
        <v xml:space="preserve">         </v>
      </c>
      <c r="W1961" t="str">
        <f t="shared" si="523"/>
        <v xml:space="preserve">         </v>
      </c>
      <c r="X1961" t="str">
        <f t="shared" si="527"/>
        <v xml:space="preserve"> 10280 </v>
      </c>
      <c r="Y1961" t="str">
        <f t="shared" si="527"/>
        <v xml:space="preserve"> CHQ3-2-RS000 </v>
      </c>
      <c r="Z1961" t="str">
        <f t="shared" si="527"/>
        <v xml:space="preserve">  2 </v>
      </c>
      <c r="AA1961" t="str">
        <f t="shared" si="515"/>
        <v xml:space="preserve">   -33.4 </v>
      </c>
      <c r="AB1961" t="str">
        <f t="shared" si="524"/>
        <v xml:space="preserve">   -11.9 </v>
      </c>
      <c r="AC1961" t="str">
        <f t="shared" si="525"/>
        <v xml:space="preserve">    33.9 </v>
      </c>
      <c r="AD1961" t="str">
        <f t="shared" si="526"/>
        <v xml:space="preserve"> 1.000F </v>
      </c>
      <c r="AE1961" t="str">
        <f t="shared" si="516"/>
        <v xml:space="preserve">       </v>
      </c>
      <c r="AF1961" t="str">
        <f t="shared" si="528"/>
        <v xml:space="preserve"> 002 </v>
      </c>
      <c r="AG1961" t="str">
        <f t="shared" si="528"/>
        <v xml:space="preserve">     0.01 </v>
      </c>
      <c r="AH1961" t="str">
        <f t="shared" si="517"/>
        <v xml:space="preserve">    -0.05 </v>
      </c>
      <c r="AI1961" t="str">
        <f t="shared" si="518"/>
        <v xml:space="preserve">       </v>
      </c>
      <c r="AJ1961" t="str">
        <f t="shared" si="519"/>
        <v xml:space="preserve">      </v>
      </c>
    </row>
    <row r="1962" spans="1:36" x14ac:dyDescent="0.25">
      <c r="A1962" t="s">
        <v>1501</v>
      </c>
      <c r="P1962" t="str">
        <f t="shared" si="520"/>
        <v xml:space="preserve">                </v>
      </c>
      <c r="Q1962" t="str">
        <f t="shared" si="520"/>
        <v xml:space="preserve">         </v>
      </c>
      <c r="R1962" t="str">
        <f t="shared" si="513"/>
        <v xml:space="preserve">    69.0 </v>
      </c>
      <c r="S1962" t="str">
        <f t="shared" si="521"/>
        <v xml:space="preserve">    88.0 </v>
      </c>
      <c r="T1962" t="str">
        <f t="shared" si="522"/>
        <v xml:space="preserve">    88.0 </v>
      </c>
      <c r="U1962" t="str">
        <f t="shared" si="526"/>
        <v xml:space="preserve">       46.7% </v>
      </c>
      <c r="V1962" t="str">
        <f t="shared" si="514"/>
        <v xml:space="preserve">         </v>
      </c>
      <c r="W1962" t="str">
        <f t="shared" si="523"/>
        <v xml:space="preserve">         </v>
      </c>
      <c r="X1962" t="str">
        <f t="shared" si="527"/>
        <v xml:space="preserve"> 10319 </v>
      </c>
      <c r="Y1962" t="str">
        <f t="shared" si="527"/>
        <v xml:space="preserve"> CHARQ2-RS069 </v>
      </c>
      <c r="Z1962" t="str">
        <f t="shared" si="527"/>
        <v xml:space="preserve">  1 </v>
      </c>
      <c r="AA1962" t="str">
        <f t="shared" si="515"/>
        <v xml:space="preserve">    31.7 </v>
      </c>
      <c r="AB1962" t="str">
        <f t="shared" si="524"/>
        <v xml:space="preserve">    11.6 </v>
      </c>
      <c r="AC1962" t="str">
        <f t="shared" si="525"/>
        <v xml:space="preserve">    32.2 </v>
      </c>
      <c r="AD1962" t="str">
        <f t="shared" si="526"/>
        <v xml:space="preserve">        </v>
      </c>
      <c r="AE1962" t="str">
        <f t="shared" si="516"/>
        <v xml:space="preserve">       </v>
      </c>
      <c r="AF1962" t="str">
        <f t="shared" si="528"/>
        <v xml:space="preserve">     </v>
      </c>
      <c r="AG1962" t="str">
        <f t="shared" si="528"/>
        <v xml:space="preserve">     0.05 </v>
      </c>
      <c r="AH1962" t="str">
        <f t="shared" si="517"/>
        <v xml:space="preserve">     0.14 </v>
      </c>
      <c r="AI1962" t="str">
        <f t="shared" si="518"/>
        <v xml:space="preserve">       </v>
      </c>
      <c r="AJ1962" t="str">
        <f t="shared" si="519"/>
        <v xml:space="preserve">      </v>
      </c>
    </row>
    <row r="1963" spans="1:36" x14ac:dyDescent="0.25">
      <c r="A1963" t="s">
        <v>14</v>
      </c>
      <c r="P1963" t="str">
        <f t="shared" si="520"/>
        <v xml:space="preserve">  ..............</v>
      </c>
      <c r="Q1963" t="str">
        <f t="shared" si="520"/>
        <v>.........</v>
      </c>
      <c r="R1963" t="str">
        <f t="shared" si="513"/>
        <v>.........</v>
      </c>
      <c r="S1963" t="str">
        <f t="shared" si="521"/>
        <v>.........</v>
      </c>
      <c r="T1963" t="str">
        <f t="shared" si="522"/>
        <v>.........</v>
      </c>
      <c r="U1963" t="str">
        <f t="shared" si="526"/>
        <v>.............</v>
      </c>
      <c r="V1963" t="str">
        <f t="shared" si="514"/>
        <v>.........</v>
      </c>
      <c r="W1963" t="str">
        <f t="shared" si="523"/>
        <v>.........</v>
      </c>
      <c r="X1963" t="str">
        <f t="shared" si="527"/>
        <v>.......</v>
      </c>
      <c r="Y1963" t="str">
        <f t="shared" si="527"/>
        <v>..............</v>
      </c>
      <c r="Z1963" t="str">
        <f t="shared" si="527"/>
        <v>....</v>
      </c>
      <c r="AA1963" t="str">
        <f t="shared" si="515"/>
        <v>.........</v>
      </c>
      <c r="AB1963" t="str">
        <f t="shared" si="524"/>
        <v>.........</v>
      </c>
      <c r="AC1963" t="str">
        <f t="shared" si="525"/>
        <v>.........</v>
      </c>
      <c r="AD1963" t="str">
        <f t="shared" si="526"/>
        <v>........</v>
      </c>
      <c r="AE1963" t="str">
        <f t="shared" si="516"/>
        <v>.......</v>
      </c>
      <c r="AF1963" t="str">
        <f t="shared" si="528"/>
        <v>.....</v>
      </c>
      <c r="AG1963" t="str">
        <f t="shared" si="528"/>
        <v>..........</v>
      </c>
      <c r="AH1963" t="str">
        <f t="shared" si="517"/>
        <v>..........</v>
      </c>
      <c r="AI1963" t="str">
        <f t="shared" si="518"/>
        <v>.......</v>
      </c>
      <c r="AJ1963" t="str">
        <f t="shared" si="519"/>
        <v>.......</v>
      </c>
    </row>
    <row r="1964" spans="1:36" x14ac:dyDescent="0.25">
      <c r="A1964" t="s">
        <v>1502</v>
      </c>
      <c r="P1964" t="str">
        <f t="shared" si="520"/>
        <v xml:space="preserve">  10299  138  0 </v>
      </c>
      <c r="Q1964" t="str">
        <f t="shared" si="520"/>
        <v xml:space="preserve">   1.013 </v>
      </c>
      <c r="R1964" t="str">
        <f t="shared" si="513"/>
        <v xml:space="preserve">     0.0 </v>
      </c>
      <c r="S1964" t="str">
        <f t="shared" si="521"/>
        <v xml:space="preserve">     0.0 </v>
      </c>
      <c r="T1964" t="str">
        <f t="shared" si="522"/>
        <v xml:space="preserve">     0.0 </v>
      </c>
      <c r="U1964" t="str">
        <f t="shared" si="526"/>
        <v xml:space="preserve">         0.0 </v>
      </c>
      <c r="V1964" t="str">
        <f t="shared" si="514"/>
        <v xml:space="preserve">     0.0 </v>
      </c>
      <c r="W1964" t="str">
        <f t="shared" si="523"/>
        <v xml:space="preserve">     0.0</v>
      </c>
      <c r="X1964" t="str">
        <f t="shared" si="527"/>
        <v/>
      </c>
      <c r="Y1964" t="str">
        <f t="shared" si="527"/>
        <v/>
      </c>
      <c r="Z1964" t="str">
        <f t="shared" si="527"/>
        <v/>
      </c>
      <c r="AA1964" t="str">
        <f t="shared" si="515"/>
        <v/>
      </c>
      <c r="AB1964" t="str">
        <f t="shared" si="524"/>
        <v/>
      </c>
      <c r="AC1964" t="str">
        <f t="shared" si="525"/>
        <v/>
      </c>
      <c r="AD1964" t="str">
        <f t="shared" si="526"/>
        <v/>
      </c>
      <c r="AE1964" t="str">
        <f t="shared" si="516"/>
        <v/>
      </c>
      <c r="AF1964" t="str">
        <f t="shared" si="528"/>
        <v/>
      </c>
      <c r="AG1964" t="str">
        <f t="shared" si="528"/>
        <v/>
      </c>
      <c r="AH1964" t="str">
        <f t="shared" si="517"/>
        <v/>
      </c>
      <c r="AI1964" t="str">
        <f t="shared" si="518"/>
        <v/>
      </c>
      <c r="AJ1964" t="str">
        <f t="shared" si="519"/>
        <v/>
      </c>
    </row>
    <row r="1965" spans="1:36" x14ac:dyDescent="0.25">
      <c r="A1965" t="s">
        <v>1503</v>
      </c>
      <c r="P1965" t="str">
        <f t="shared" si="520"/>
        <v xml:space="preserve">  IVOTI2-RS138  </v>
      </c>
      <c r="Q1965" t="str">
        <f t="shared" si="520"/>
        <v xml:space="preserve">   -52.4 </v>
      </c>
      <c r="R1965" t="str">
        <f t="shared" si="513"/>
        <v xml:space="preserve">     0.0 </v>
      </c>
      <c r="S1965" t="str">
        <f t="shared" si="521"/>
        <v xml:space="preserve">     0.0 </v>
      </c>
      <c r="T1965" t="str">
        <f t="shared" si="522"/>
        <v xml:space="preserve">     0.0 </v>
      </c>
      <c r="U1965" t="str">
        <f t="shared" si="526"/>
        <v xml:space="preserve">         0.0 </v>
      </c>
      <c r="V1965" t="str">
        <f t="shared" si="514"/>
        <v xml:space="preserve">     0.0 </v>
      </c>
      <c r="W1965" t="str">
        <f t="shared" si="523"/>
        <v xml:space="preserve">     0.0 </v>
      </c>
      <c r="X1965" t="str">
        <f t="shared" si="527"/>
        <v xml:space="preserve">       </v>
      </c>
      <c r="Y1965" t="str">
        <f t="shared" si="527"/>
        <v xml:space="preserve">              </v>
      </c>
      <c r="Z1965" t="str">
        <f t="shared" si="527"/>
        <v xml:space="preserve">    </v>
      </c>
      <c r="AA1965" t="str">
        <f t="shared" si="515"/>
        <v xml:space="preserve">         </v>
      </c>
      <c r="AB1965" t="str">
        <f t="shared" si="524"/>
        <v xml:space="preserve">         </v>
      </c>
      <c r="AC1965" t="str">
        <f t="shared" si="525"/>
        <v xml:space="preserve">    </v>
      </c>
      <c r="AD1965" t="str">
        <f t="shared" si="526"/>
        <v/>
      </c>
      <c r="AE1965" t="str">
        <f t="shared" si="516"/>
        <v/>
      </c>
      <c r="AF1965" t="str">
        <f t="shared" si="528"/>
        <v/>
      </c>
      <c r="AG1965" t="str">
        <f t="shared" si="528"/>
        <v/>
      </c>
      <c r="AH1965" t="str">
        <f t="shared" si="517"/>
        <v/>
      </c>
      <c r="AI1965" t="str">
        <f t="shared" si="518"/>
        <v/>
      </c>
      <c r="AJ1965" t="str">
        <f t="shared" si="519"/>
        <v/>
      </c>
    </row>
    <row r="1966" spans="1:36" x14ac:dyDescent="0.25">
      <c r="A1966" t="s">
        <v>1504</v>
      </c>
      <c r="P1966" t="str">
        <f t="shared" si="520"/>
        <v xml:space="preserve">                </v>
      </c>
      <c r="Q1966" t="str">
        <f t="shared" si="520"/>
        <v xml:space="preserve">         </v>
      </c>
      <c r="R1966" t="str">
        <f t="shared" si="513"/>
        <v xml:space="preserve">   197.0 </v>
      </c>
      <c r="S1966" t="str">
        <f t="shared" si="521"/>
        <v xml:space="preserve">   240.0 </v>
      </c>
      <c r="T1966" t="str">
        <f t="shared" si="522"/>
        <v xml:space="preserve">   240.0 </v>
      </c>
      <c r="U1966" t="str">
        <f t="shared" si="526"/>
        <v xml:space="preserve">       12.2% </v>
      </c>
      <c r="V1966" t="str">
        <f t="shared" si="514"/>
        <v xml:space="preserve">         </v>
      </c>
      <c r="W1966" t="str">
        <f t="shared" si="523"/>
        <v xml:space="preserve">         </v>
      </c>
      <c r="X1966" t="str">
        <f t="shared" si="527"/>
        <v xml:space="preserve">  9964 </v>
      </c>
      <c r="Y1966" t="str">
        <f t="shared" si="527"/>
        <v xml:space="preserve"> BPRINC-RS138 </v>
      </c>
      <c r="Z1966" t="str">
        <f t="shared" si="527"/>
        <v xml:space="preserve">  1 </v>
      </c>
      <c r="AA1966" t="str">
        <f t="shared" si="515"/>
        <v xml:space="preserve">    22.8 </v>
      </c>
      <c r="AB1966" t="str">
        <f t="shared" si="524"/>
        <v xml:space="preserve">     8.8 </v>
      </c>
      <c r="AC1966" t="str">
        <f t="shared" si="525"/>
        <v xml:space="preserve">    24.1 </v>
      </c>
      <c r="AD1966" t="str">
        <f t="shared" si="526"/>
        <v xml:space="preserve">        </v>
      </c>
      <c r="AE1966" t="str">
        <f t="shared" si="516"/>
        <v xml:space="preserve">       </v>
      </c>
      <c r="AF1966" t="str">
        <f t="shared" si="528"/>
        <v xml:space="preserve">     </v>
      </c>
      <c r="AG1966" t="str">
        <f t="shared" si="528"/>
        <v xml:space="preserve">     0.08 </v>
      </c>
      <c r="AH1966" t="str">
        <f t="shared" si="517"/>
        <v xml:space="preserve">    -1.19 </v>
      </c>
      <c r="AI1966" t="str">
        <f t="shared" si="518"/>
        <v xml:space="preserve">       </v>
      </c>
      <c r="AJ1966" t="str">
        <f t="shared" si="519"/>
        <v xml:space="preserve">      </v>
      </c>
    </row>
    <row r="1967" spans="1:36" x14ac:dyDescent="0.25">
      <c r="A1967" t="s">
        <v>1505</v>
      </c>
      <c r="P1967" t="str">
        <f t="shared" si="520"/>
        <v xml:space="preserve">                </v>
      </c>
      <c r="Q1967" t="str">
        <f t="shared" si="520"/>
        <v xml:space="preserve">         </v>
      </c>
      <c r="R1967" t="str">
        <f t="shared" si="513"/>
        <v xml:space="preserve">   197.0 </v>
      </c>
      <c r="S1967" t="str">
        <f t="shared" si="521"/>
        <v xml:space="preserve">   240.0 </v>
      </c>
      <c r="T1967" t="str">
        <f t="shared" si="522"/>
        <v xml:space="preserve">   240.0 </v>
      </c>
      <c r="U1967" t="str">
        <f t="shared" si="526"/>
        <v xml:space="preserve">       39.0% </v>
      </c>
      <c r="V1967" t="str">
        <f t="shared" si="514"/>
        <v xml:space="preserve">         </v>
      </c>
      <c r="W1967" t="str">
        <f t="shared" si="523"/>
        <v xml:space="preserve">         </v>
      </c>
      <c r="X1967" t="str">
        <f t="shared" si="527"/>
        <v xml:space="preserve">  9965 </v>
      </c>
      <c r="Y1967" t="str">
        <f t="shared" si="527"/>
        <v xml:space="preserve"> IVOTI--RS138 </v>
      </c>
      <c r="Z1967" t="str">
        <f t="shared" si="527"/>
        <v xml:space="preserve">  1 </v>
      </c>
      <c r="AA1967" t="str">
        <f t="shared" si="515"/>
        <v xml:space="preserve">    74.6 </v>
      </c>
      <c r="AB1967" t="str">
        <f t="shared" si="524"/>
        <v xml:space="preserve">    22.0 </v>
      </c>
      <c r="AC1967" t="str">
        <f t="shared" si="525"/>
        <v xml:space="preserve">    76.8 </v>
      </c>
      <c r="AD1967" t="str">
        <f t="shared" si="526"/>
        <v xml:space="preserve">        </v>
      </c>
      <c r="AE1967" t="str">
        <f t="shared" si="516"/>
        <v xml:space="preserve">       </v>
      </c>
      <c r="AF1967" t="str">
        <f t="shared" si="528"/>
        <v xml:space="preserve">     </v>
      </c>
      <c r="AG1967" t="str">
        <f t="shared" si="528"/>
        <v xml:space="preserve">     0.11 </v>
      </c>
      <c r="AH1967" t="str">
        <f t="shared" si="517"/>
        <v xml:space="preserve">     0.33 </v>
      </c>
      <c r="AI1967" t="str">
        <f t="shared" si="518"/>
        <v xml:space="preserve">       </v>
      </c>
      <c r="AJ1967" t="str">
        <f t="shared" si="519"/>
        <v xml:space="preserve">      </v>
      </c>
    </row>
    <row r="1968" spans="1:36" x14ac:dyDescent="0.25">
      <c r="A1968" t="s">
        <v>1506</v>
      </c>
      <c r="P1968" t="str">
        <f t="shared" si="520"/>
        <v xml:space="preserve">                </v>
      </c>
      <c r="Q1968" t="str">
        <f t="shared" si="520"/>
        <v xml:space="preserve">         </v>
      </c>
      <c r="R1968" t="str">
        <f t="shared" si="513"/>
        <v xml:space="preserve">   150.0 </v>
      </c>
      <c r="S1968" t="str">
        <f t="shared" si="521"/>
        <v xml:space="preserve">   180.0 </v>
      </c>
      <c r="T1968" t="str">
        <f t="shared" si="522"/>
        <v xml:space="preserve">   180.0 </v>
      </c>
      <c r="U1968" t="str">
        <f t="shared" si="526"/>
        <v xml:space="preserve">       33.6% </v>
      </c>
      <c r="V1968" t="str">
        <f t="shared" si="514"/>
        <v xml:space="preserve">         </v>
      </c>
      <c r="W1968" t="str">
        <f t="shared" si="523"/>
        <v xml:space="preserve">         </v>
      </c>
      <c r="X1968" t="str">
        <f t="shared" si="527"/>
        <v xml:space="preserve"> 10300 </v>
      </c>
      <c r="Y1968" t="str">
        <f t="shared" si="527"/>
        <v xml:space="preserve"> IVO2-1-RS000 </v>
      </c>
      <c r="Z1968" t="str">
        <f t="shared" si="527"/>
        <v xml:space="preserve">  1 </v>
      </c>
      <c r="AA1968" t="str">
        <f t="shared" si="515"/>
        <v xml:space="preserve">   -48.7 </v>
      </c>
      <c r="AB1968" t="str">
        <f t="shared" si="524"/>
        <v xml:space="preserve">   -15.4 </v>
      </c>
      <c r="AC1968" t="str">
        <f t="shared" si="525"/>
        <v xml:space="preserve">    50.4 </v>
      </c>
      <c r="AD1968" t="str">
        <f t="shared" si="526"/>
        <v xml:space="preserve"> 1.007* </v>
      </c>
      <c r="AE1968" t="str">
        <f t="shared" si="516"/>
        <v xml:space="preserve">       </v>
      </c>
      <c r="AF1968" t="str">
        <f t="shared" si="528"/>
        <v xml:space="preserve"> 002 </v>
      </c>
      <c r="AG1968" t="str">
        <f t="shared" si="528"/>
        <v xml:space="preserve">     0.02 </v>
      </c>
      <c r="AH1968" t="str">
        <f t="shared" si="517"/>
        <v xml:space="preserve">    -0.12 </v>
      </c>
      <c r="AI1968" t="str">
        <f t="shared" si="518"/>
        <v xml:space="preserve">       </v>
      </c>
      <c r="AJ1968" t="str">
        <f t="shared" si="519"/>
        <v xml:space="preserve">      </v>
      </c>
    </row>
    <row r="1969" spans="1:36" x14ac:dyDescent="0.25">
      <c r="A1969" t="s">
        <v>1507</v>
      </c>
      <c r="P1969" t="str">
        <f t="shared" si="520"/>
        <v xml:space="preserve">                </v>
      </c>
      <c r="Q1969" t="str">
        <f t="shared" si="520"/>
        <v xml:space="preserve">         </v>
      </c>
      <c r="R1969" t="str">
        <f t="shared" si="513"/>
        <v xml:space="preserve">   150.0 </v>
      </c>
      <c r="S1969" t="str">
        <f t="shared" si="521"/>
        <v xml:space="preserve">   180.0 </v>
      </c>
      <c r="T1969" t="str">
        <f t="shared" si="522"/>
        <v xml:space="preserve">   180.0 </v>
      </c>
      <c r="U1969" t="str">
        <f t="shared" si="526"/>
        <v xml:space="preserve">       33.6% </v>
      </c>
      <c r="V1969" t="str">
        <f t="shared" si="514"/>
        <v xml:space="preserve">         </v>
      </c>
      <c r="W1969" t="str">
        <f t="shared" si="523"/>
        <v xml:space="preserve">         </v>
      </c>
      <c r="X1969" t="str">
        <f t="shared" si="527"/>
        <v xml:space="preserve"> 10301 </v>
      </c>
      <c r="Y1969" t="str">
        <f t="shared" si="527"/>
        <v xml:space="preserve"> IVO2-2-RS000 </v>
      </c>
      <c r="Z1969" t="str">
        <f t="shared" si="527"/>
        <v xml:space="preserve">  2 </v>
      </c>
      <c r="AA1969" t="str">
        <f t="shared" si="515"/>
        <v xml:space="preserve">   -48.7 </v>
      </c>
      <c r="AB1969" t="str">
        <f t="shared" si="524"/>
        <v xml:space="preserve">   -15.4 </v>
      </c>
      <c r="AC1969" t="str">
        <f t="shared" si="525"/>
        <v xml:space="preserve">    50.4 </v>
      </c>
      <c r="AD1969" t="str">
        <f t="shared" si="526"/>
        <v xml:space="preserve"> 1.007* </v>
      </c>
      <c r="AE1969" t="str">
        <f t="shared" si="516"/>
        <v xml:space="preserve">       </v>
      </c>
      <c r="AF1969" t="str">
        <f t="shared" si="528"/>
        <v xml:space="preserve"> 002 </v>
      </c>
      <c r="AG1969" t="str">
        <f t="shared" si="528"/>
        <v xml:space="preserve">     0.02 </v>
      </c>
      <c r="AH1969" t="str">
        <f t="shared" si="517"/>
        <v xml:space="preserve">    -0.12 </v>
      </c>
      <c r="AI1969" t="str">
        <f t="shared" si="518"/>
        <v xml:space="preserve">       </v>
      </c>
      <c r="AJ1969" t="str">
        <f t="shared" si="519"/>
        <v xml:space="preserve">      </v>
      </c>
    </row>
    <row r="1970" spans="1:36" x14ac:dyDescent="0.25">
      <c r="A1970" t="s">
        <v>14</v>
      </c>
      <c r="P1970" t="str">
        <f t="shared" si="520"/>
        <v xml:space="preserve">  ..............</v>
      </c>
      <c r="Q1970" t="str">
        <f t="shared" si="520"/>
        <v>.........</v>
      </c>
      <c r="R1970" t="str">
        <f t="shared" si="513"/>
        <v>.........</v>
      </c>
      <c r="S1970" t="str">
        <f t="shared" si="521"/>
        <v>.........</v>
      </c>
      <c r="T1970" t="str">
        <f t="shared" si="522"/>
        <v>.........</v>
      </c>
      <c r="U1970" t="str">
        <f t="shared" si="526"/>
        <v>.............</v>
      </c>
      <c r="V1970" t="str">
        <f t="shared" si="514"/>
        <v>.........</v>
      </c>
      <c r="W1970" t="str">
        <f t="shared" si="523"/>
        <v>.........</v>
      </c>
      <c r="X1970" t="str">
        <f t="shared" si="527"/>
        <v>.......</v>
      </c>
      <c r="Y1970" t="str">
        <f t="shared" si="527"/>
        <v>..............</v>
      </c>
      <c r="Z1970" t="str">
        <f t="shared" si="527"/>
        <v>....</v>
      </c>
      <c r="AA1970" t="str">
        <f t="shared" si="515"/>
        <v>.........</v>
      </c>
      <c r="AB1970" t="str">
        <f t="shared" si="524"/>
        <v>.........</v>
      </c>
      <c r="AC1970" t="str">
        <f t="shared" si="525"/>
        <v>.........</v>
      </c>
      <c r="AD1970" t="str">
        <f t="shared" si="526"/>
        <v>........</v>
      </c>
      <c r="AE1970" t="str">
        <f t="shared" si="516"/>
        <v>.......</v>
      </c>
      <c r="AF1970" t="str">
        <f t="shared" si="528"/>
        <v>.....</v>
      </c>
      <c r="AG1970" t="str">
        <f t="shared" si="528"/>
        <v>..........</v>
      </c>
      <c r="AH1970" t="str">
        <f t="shared" si="517"/>
        <v>..........</v>
      </c>
      <c r="AI1970" t="str">
        <f t="shared" si="518"/>
        <v>.......</v>
      </c>
      <c r="AJ1970" t="str">
        <f t="shared" si="519"/>
        <v>.......</v>
      </c>
    </row>
    <row r="1971" spans="1:36" x14ac:dyDescent="0.25">
      <c r="A1971" t="s">
        <v>1508</v>
      </c>
      <c r="P1971" t="str">
        <f t="shared" si="520"/>
        <v xml:space="preserve">  10308  138  0 </v>
      </c>
      <c r="Q1971" t="str">
        <f t="shared" si="520"/>
        <v xml:space="preserve">   1.018 </v>
      </c>
      <c r="R1971" t="str">
        <f t="shared" si="513"/>
        <v xml:space="preserve">     0.0 </v>
      </c>
      <c r="S1971" t="str">
        <f t="shared" si="521"/>
        <v xml:space="preserve">     0.0 </v>
      </c>
      <c r="T1971" t="str">
        <f t="shared" si="522"/>
        <v xml:space="preserve">     0.0 </v>
      </c>
      <c r="U1971" t="str">
        <f t="shared" si="526"/>
        <v xml:space="preserve">         0.0 </v>
      </c>
      <c r="V1971" t="str">
        <f t="shared" si="514"/>
        <v xml:space="preserve">     0.0 </v>
      </c>
      <c r="W1971" t="str">
        <f t="shared" si="523"/>
        <v xml:space="preserve">     0.0</v>
      </c>
      <c r="X1971" t="str">
        <f t="shared" si="527"/>
        <v/>
      </c>
      <c r="Y1971" t="str">
        <f t="shared" si="527"/>
        <v/>
      </c>
      <c r="Z1971" t="str">
        <f t="shared" si="527"/>
        <v/>
      </c>
      <c r="AA1971" t="str">
        <f t="shared" si="515"/>
        <v/>
      </c>
      <c r="AB1971" t="str">
        <f t="shared" si="524"/>
        <v/>
      </c>
      <c r="AC1971" t="str">
        <f t="shared" si="525"/>
        <v/>
      </c>
      <c r="AD1971" t="str">
        <f t="shared" si="526"/>
        <v/>
      </c>
      <c r="AE1971" t="str">
        <f t="shared" si="516"/>
        <v/>
      </c>
      <c r="AF1971" t="str">
        <f t="shared" si="528"/>
        <v/>
      </c>
      <c r="AG1971" t="str">
        <f t="shared" si="528"/>
        <v/>
      </c>
      <c r="AH1971" t="str">
        <f t="shared" si="517"/>
        <v/>
      </c>
      <c r="AI1971" t="str">
        <f t="shared" si="518"/>
        <v/>
      </c>
      <c r="AJ1971" t="str">
        <f t="shared" si="519"/>
        <v/>
      </c>
    </row>
    <row r="1972" spans="1:36" x14ac:dyDescent="0.25">
      <c r="A1972" t="s">
        <v>1509</v>
      </c>
      <c r="P1972" t="str">
        <f t="shared" si="520"/>
        <v xml:space="preserve">  SSCAI2-RS138  </v>
      </c>
      <c r="Q1972" t="str">
        <f t="shared" si="520"/>
        <v xml:space="preserve">   -51.4 </v>
      </c>
      <c r="R1972" t="str">
        <f t="shared" si="513"/>
        <v xml:space="preserve">     0.0 </v>
      </c>
      <c r="S1972" t="str">
        <f t="shared" si="521"/>
        <v xml:space="preserve">     0.0 </v>
      </c>
      <c r="T1972" t="str">
        <f t="shared" si="522"/>
        <v xml:space="preserve">     0.0 </v>
      </c>
      <c r="U1972" t="str">
        <f t="shared" si="526"/>
        <v xml:space="preserve">         0.0 </v>
      </c>
      <c r="V1972" t="str">
        <f t="shared" si="514"/>
        <v xml:space="preserve">     0.0 </v>
      </c>
      <c r="W1972" t="str">
        <f t="shared" si="523"/>
        <v xml:space="preserve">     0.0 </v>
      </c>
      <c r="X1972" t="str">
        <f t="shared" si="527"/>
        <v xml:space="preserve">       </v>
      </c>
      <c r="Y1972" t="str">
        <f t="shared" si="527"/>
        <v xml:space="preserve">              </v>
      </c>
      <c r="Z1972" t="str">
        <f t="shared" si="527"/>
        <v xml:space="preserve">    </v>
      </c>
      <c r="AA1972" t="str">
        <f t="shared" si="515"/>
        <v xml:space="preserve">         </v>
      </c>
      <c r="AB1972" t="str">
        <f t="shared" si="524"/>
        <v xml:space="preserve">         </v>
      </c>
      <c r="AC1972" t="str">
        <f t="shared" si="525"/>
        <v xml:space="preserve">    </v>
      </c>
      <c r="AD1972" t="str">
        <f t="shared" si="526"/>
        <v/>
      </c>
      <c r="AE1972" t="str">
        <f t="shared" si="516"/>
        <v/>
      </c>
      <c r="AF1972" t="str">
        <f t="shared" si="528"/>
        <v/>
      </c>
      <c r="AG1972" t="str">
        <f t="shared" si="528"/>
        <v/>
      </c>
      <c r="AH1972" t="str">
        <f t="shared" si="517"/>
        <v/>
      </c>
      <c r="AI1972" t="str">
        <f t="shared" si="518"/>
        <v/>
      </c>
      <c r="AJ1972" t="str">
        <f t="shared" si="519"/>
        <v/>
      </c>
    </row>
    <row r="1973" spans="1:36" x14ac:dyDescent="0.25">
      <c r="A1973" t="s">
        <v>1510</v>
      </c>
      <c r="P1973" t="str">
        <f t="shared" si="520"/>
        <v xml:space="preserve">                </v>
      </c>
      <c r="Q1973" t="str">
        <f t="shared" si="520"/>
        <v xml:space="preserve">         </v>
      </c>
      <c r="R1973" t="str">
        <f t="shared" si="513"/>
        <v xml:space="preserve">   134.0 </v>
      </c>
      <c r="S1973" t="str">
        <f t="shared" si="521"/>
        <v xml:space="preserve">   162.0 </v>
      </c>
      <c r="T1973" t="str">
        <f t="shared" si="522"/>
        <v xml:space="preserve">   162.0 </v>
      </c>
      <c r="U1973" t="str">
        <f t="shared" si="526"/>
        <v xml:space="preserve">       30.6% </v>
      </c>
      <c r="V1973" t="str">
        <f t="shared" si="514"/>
        <v xml:space="preserve">         </v>
      </c>
      <c r="W1973" t="str">
        <f t="shared" si="523"/>
        <v xml:space="preserve">         </v>
      </c>
      <c r="X1973" t="str">
        <f t="shared" si="527"/>
        <v xml:space="preserve">  1237 </v>
      </c>
      <c r="Y1973" t="str">
        <f t="shared" si="527"/>
        <v xml:space="preserve"> MONTEN-RS138 </v>
      </c>
      <c r="Z1973" t="str">
        <f t="shared" si="527"/>
        <v xml:space="preserve">  1 </v>
      </c>
      <c r="AA1973" t="str">
        <f t="shared" si="515"/>
        <v xml:space="preserve">    40.3 </v>
      </c>
      <c r="AB1973" t="str">
        <f t="shared" si="524"/>
        <v xml:space="preserve">    11.0 </v>
      </c>
      <c r="AC1973" t="str">
        <f t="shared" si="525"/>
        <v xml:space="preserve">    41.0 </v>
      </c>
      <c r="AD1973" t="str">
        <f t="shared" si="526"/>
        <v xml:space="preserve">        </v>
      </c>
      <c r="AE1973" t="str">
        <f t="shared" si="516"/>
        <v xml:space="preserve">       </v>
      </c>
      <c r="AF1973" t="str">
        <f t="shared" si="528"/>
        <v xml:space="preserve">     </v>
      </c>
      <c r="AG1973" t="str">
        <f t="shared" si="528"/>
        <v xml:space="preserve">     0.28 </v>
      </c>
      <c r="AH1973" t="str">
        <f t="shared" si="517"/>
        <v xml:space="preserve">    -0.41 </v>
      </c>
      <c r="AI1973" t="str">
        <f t="shared" si="518"/>
        <v xml:space="preserve">       </v>
      </c>
      <c r="AJ1973" t="str">
        <f t="shared" si="519"/>
        <v xml:space="preserve">      </v>
      </c>
    </row>
    <row r="1974" spans="1:36" x14ac:dyDescent="0.25">
      <c r="A1974" t="s">
        <v>1511</v>
      </c>
      <c r="P1974" t="str">
        <f t="shared" si="520"/>
        <v xml:space="preserve">                </v>
      </c>
      <c r="Q1974" t="str">
        <f t="shared" si="520"/>
        <v xml:space="preserve">         </v>
      </c>
      <c r="R1974" t="str">
        <f t="shared" si="513"/>
        <v xml:space="preserve">   134.0 </v>
      </c>
      <c r="S1974" t="str">
        <f t="shared" si="521"/>
        <v xml:space="preserve">   162.0 </v>
      </c>
      <c r="T1974" t="str">
        <f t="shared" si="522"/>
        <v xml:space="preserve">   162.0 </v>
      </c>
      <c r="U1974" t="str">
        <f t="shared" si="526"/>
        <v xml:space="preserve">       11.3% </v>
      </c>
      <c r="V1974" t="str">
        <f t="shared" si="514"/>
        <v xml:space="preserve">         </v>
      </c>
      <c r="W1974" t="str">
        <f t="shared" si="523"/>
        <v xml:space="preserve">         </v>
      </c>
      <c r="X1974" t="str">
        <f t="shared" si="527"/>
        <v xml:space="preserve">  1280 </v>
      </c>
      <c r="Y1974" t="str">
        <f t="shared" si="527"/>
        <v xml:space="preserve"> SAOSCA-RS138 </v>
      </c>
      <c r="Z1974" t="str">
        <f t="shared" si="527"/>
        <v xml:space="preserve">  1 </v>
      </c>
      <c r="AA1974" t="str">
        <f t="shared" si="515"/>
        <v xml:space="preserve">    14.8 </v>
      </c>
      <c r="AB1974" t="str">
        <f t="shared" si="524"/>
        <v xml:space="preserve">     4.3 </v>
      </c>
      <c r="AC1974" t="str">
        <f t="shared" si="525"/>
        <v xml:space="preserve">    15.1 </v>
      </c>
      <c r="AD1974" t="str">
        <f t="shared" si="526"/>
        <v xml:space="preserve">        </v>
      </c>
      <c r="AE1974" t="str">
        <f t="shared" si="516"/>
        <v xml:space="preserve">       </v>
      </c>
      <c r="AF1974" t="str">
        <f t="shared" si="528"/>
        <v xml:space="preserve">     </v>
      </c>
      <c r="AG1974" t="str">
        <f t="shared" si="528"/>
        <v xml:space="preserve">     0.01 </v>
      </c>
      <c r="AH1974" t="str">
        <f t="shared" si="517"/>
        <v xml:space="preserve">    -0.26 </v>
      </c>
      <c r="AI1974" t="str">
        <f t="shared" si="518"/>
        <v xml:space="preserve">       </v>
      </c>
      <c r="AJ1974" t="str">
        <f t="shared" si="519"/>
        <v xml:space="preserve">      </v>
      </c>
    </row>
    <row r="1975" spans="1:36" x14ac:dyDescent="0.25">
      <c r="A1975" t="s">
        <v>1512</v>
      </c>
      <c r="P1975" t="str">
        <f t="shared" si="520"/>
        <v xml:space="preserve">                </v>
      </c>
      <c r="Q1975" t="str">
        <f t="shared" si="520"/>
        <v xml:space="preserve">         </v>
      </c>
      <c r="R1975" t="str">
        <f t="shared" si="513"/>
        <v xml:space="preserve">   134.0 </v>
      </c>
      <c r="S1975" t="str">
        <f t="shared" si="521"/>
        <v xml:space="preserve">   162.0 </v>
      </c>
      <c r="T1975" t="str">
        <f t="shared" si="522"/>
        <v xml:space="preserve">   162.0 </v>
      </c>
      <c r="U1975" t="str">
        <f t="shared" si="526"/>
        <v xml:space="preserve">       11.3% </v>
      </c>
      <c r="V1975" t="str">
        <f t="shared" si="514"/>
        <v xml:space="preserve">         </v>
      </c>
      <c r="W1975" t="str">
        <f t="shared" si="523"/>
        <v xml:space="preserve">         </v>
      </c>
      <c r="X1975" t="str">
        <f t="shared" si="527"/>
        <v xml:space="preserve">  1280 </v>
      </c>
      <c r="Y1975" t="str">
        <f t="shared" si="527"/>
        <v xml:space="preserve"> SAOSCA-RS138 </v>
      </c>
      <c r="Z1975" t="str">
        <f t="shared" si="527"/>
        <v xml:space="preserve">  2 </v>
      </c>
      <c r="AA1975" t="str">
        <f t="shared" si="515"/>
        <v xml:space="preserve">    14.8 </v>
      </c>
      <c r="AB1975" t="str">
        <f t="shared" si="524"/>
        <v xml:space="preserve">     4.3 </v>
      </c>
      <c r="AC1975" t="str">
        <f t="shared" si="525"/>
        <v xml:space="preserve">    15.1 </v>
      </c>
      <c r="AD1975" t="str">
        <f t="shared" si="526"/>
        <v xml:space="preserve">        </v>
      </c>
      <c r="AE1975" t="str">
        <f t="shared" si="516"/>
        <v xml:space="preserve">       </v>
      </c>
      <c r="AF1975" t="str">
        <f t="shared" si="528"/>
        <v xml:space="preserve">     </v>
      </c>
      <c r="AG1975" t="str">
        <f t="shared" si="528"/>
        <v xml:space="preserve">     0.01 </v>
      </c>
      <c r="AH1975" t="str">
        <f t="shared" si="517"/>
        <v xml:space="preserve">    -0.26 </v>
      </c>
      <c r="AI1975" t="str">
        <f t="shared" si="518"/>
        <v xml:space="preserve">       </v>
      </c>
      <c r="AJ1975" t="str">
        <f t="shared" si="519"/>
        <v xml:space="preserve">      </v>
      </c>
    </row>
    <row r="1976" spans="1:36" x14ac:dyDescent="0.25">
      <c r="A1976" t="s">
        <v>1513</v>
      </c>
      <c r="P1976" t="str">
        <f t="shared" si="520"/>
        <v xml:space="preserve">              DE</v>
      </c>
      <c r="Q1976" t="str">
        <f t="shared" si="520"/>
        <v xml:space="preserve">ESLIGADO </v>
      </c>
      <c r="R1976" t="str">
        <f t="shared" si="513"/>
        <v xml:space="preserve">   134.0 </v>
      </c>
      <c r="S1976" t="str">
        <f t="shared" si="521"/>
        <v xml:space="preserve">   162.0 </v>
      </c>
      <c r="T1976" t="str">
        <f t="shared" si="522"/>
        <v xml:space="preserve">   162.0 </v>
      </c>
      <c r="U1976" t="str">
        <f t="shared" si="526"/>
        <v xml:space="preserve">             </v>
      </c>
      <c r="V1976" t="str">
        <f t="shared" si="514"/>
        <v xml:space="preserve">         </v>
      </c>
      <c r="W1976" t="str">
        <f t="shared" si="523"/>
        <v xml:space="preserve">         </v>
      </c>
      <c r="X1976" t="str">
        <f t="shared" si="527"/>
        <v xml:space="preserve">  2076 </v>
      </c>
      <c r="Y1976" t="str">
        <f t="shared" si="527"/>
        <v xml:space="preserve"> PORTAO-RS138 </v>
      </c>
      <c r="Z1976" t="str">
        <f t="shared" si="527"/>
        <v xml:space="preserve">  1 </v>
      </c>
      <c r="AA1976" t="str">
        <f t="shared" si="515"/>
        <v xml:space="preserve">     0.0 </v>
      </c>
      <c r="AB1976" t="str">
        <f t="shared" si="524"/>
        <v xml:space="preserve">     0.0 </v>
      </c>
      <c r="AC1976" t="str">
        <f t="shared" si="525"/>
        <v xml:space="preserve">     0.0 </v>
      </c>
      <c r="AD1976" t="str">
        <f t="shared" si="526"/>
        <v xml:space="preserve">        </v>
      </c>
      <c r="AE1976" t="str">
        <f t="shared" si="516"/>
        <v xml:space="preserve">       </v>
      </c>
      <c r="AF1976" t="str">
        <f t="shared" si="528"/>
        <v xml:space="preserve">     </v>
      </c>
      <c r="AG1976" t="str">
        <f t="shared" si="528"/>
        <v xml:space="preserve">     0.00 </v>
      </c>
      <c r="AH1976" t="str">
        <f t="shared" si="517"/>
        <v xml:space="preserve">     0.00 </v>
      </c>
      <c r="AI1976" t="str">
        <f t="shared" si="518"/>
        <v xml:space="preserve">       </v>
      </c>
      <c r="AJ1976" t="str">
        <f t="shared" si="519"/>
        <v xml:space="preserve">      </v>
      </c>
    </row>
    <row r="1977" spans="1:36" x14ac:dyDescent="0.25">
      <c r="A1977" t="s">
        <v>1514</v>
      </c>
      <c r="P1977" t="str">
        <f t="shared" si="520"/>
        <v xml:space="preserve">                </v>
      </c>
      <c r="Q1977" t="str">
        <f t="shared" si="520"/>
        <v xml:space="preserve">         </v>
      </c>
      <c r="R1977" t="str">
        <f t="shared" si="513"/>
        <v xml:space="preserve">   150.0 </v>
      </c>
      <c r="S1977" t="str">
        <f t="shared" si="521"/>
        <v xml:space="preserve">   180.0 </v>
      </c>
      <c r="T1977" t="str">
        <f t="shared" si="522"/>
        <v xml:space="preserve">   180.0 </v>
      </c>
      <c r="U1977" t="str">
        <f t="shared" si="526"/>
        <v xml:space="preserve">       23.7% </v>
      </c>
      <c r="V1977" t="str">
        <f t="shared" si="514"/>
        <v xml:space="preserve">         </v>
      </c>
      <c r="W1977" t="str">
        <f t="shared" si="523"/>
        <v xml:space="preserve">         </v>
      </c>
      <c r="X1977" t="str">
        <f t="shared" si="527"/>
        <v xml:space="preserve"> 10309 </v>
      </c>
      <c r="Y1977" t="str">
        <f t="shared" si="527"/>
        <v xml:space="preserve"> SSC2-1-RS000 </v>
      </c>
      <c r="Z1977" t="str">
        <f t="shared" si="527"/>
        <v xml:space="preserve">  1 </v>
      </c>
      <c r="AA1977" t="str">
        <f t="shared" si="515"/>
        <v xml:space="preserve">   -34.9 </v>
      </c>
      <c r="AB1977" t="str">
        <f t="shared" si="524"/>
        <v xml:space="preserve">    -9.8 </v>
      </c>
      <c r="AC1977" t="str">
        <f t="shared" si="525"/>
        <v xml:space="preserve">    35.6 </v>
      </c>
      <c r="AD1977" t="str">
        <f t="shared" si="526"/>
        <v xml:space="preserve"> 1.007* </v>
      </c>
      <c r="AE1977" t="str">
        <f t="shared" si="516"/>
        <v xml:space="preserve">       </v>
      </c>
      <c r="AF1977" t="str">
        <f t="shared" si="528"/>
        <v xml:space="preserve"> 002 </v>
      </c>
      <c r="AG1977" t="str">
        <f t="shared" si="528"/>
        <v xml:space="preserve">     0.01 </v>
      </c>
      <c r="AH1977" t="str">
        <f t="shared" si="517"/>
        <v xml:space="preserve">    -0.06 </v>
      </c>
      <c r="AI1977" t="str">
        <f t="shared" si="518"/>
        <v xml:space="preserve">       </v>
      </c>
      <c r="AJ1977" t="str">
        <f t="shared" si="519"/>
        <v xml:space="preserve">      </v>
      </c>
    </row>
    <row r="1978" spans="1:36" x14ac:dyDescent="0.25">
      <c r="A1978" t="s">
        <v>1515</v>
      </c>
      <c r="P1978" t="str">
        <f t="shared" si="520"/>
        <v xml:space="preserve">                </v>
      </c>
      <c r="Q1978" t="str">
        <f t="shared" si="520"/>
        <v xml:space="preserve">         </v>
      </c>
      <c r="R1978" t="str">
        <f t="shared" si="513"/>
        <v xml:space="preserve">   150.0 </v>
      </c>
      <c r="S1978" t="str">
        <f t="shared" si="521"/>
        <v xml:space="preserve">   180.0 </v>
      </c>
      <c r="T1978" t="str">
        <f t="shared" si="522"/>
        <v xml:space="preserve">   180.0 </v>
      </c>
      <c r="U1978" t="str">
        <f t="shared" si="526"/>
        <v xml:space="preserve">       23.7% </v>
      </c>
      <c r="V1978" t="str">
        <f t="shared" si="514"/>
        <v xml:space="preserve">         </v>
      </c>
      <c r="W1978" t="str">
        <f t="shared" si="523"/>
        <v xml:space="preserve">         </v>
      </c>
      <c r="X1978" t="str">
        <f t="shared" si="527"/>
        <v xml:space="preserve"> 10310 </v>
      </c>
      <c r="Y1978" t="str">
        <f t="shared" si="527"/>
        <v xml:space="preserve"> SSC2-2-RS000 </v>
      </c>
      <c r="Z1978" t="str">
        <f t="shared" si="527"/>
        <v xml:space="preserve">  2 </v>
      </c>
      <c r="AA1978" t="str">
        <f t="shared" si="515"/>
        <v xml:space="preserve">   -34.9 </v>
      </c>
      <c r="AB1978" t="str">
        <f t="shared" si="524"/>
        <v xml:space="preserve">    -9.8 </v>
      </c>
      <c r="AC1978" t="str">
        <f t="shared" si="525"/>
        <v xml:space="preserve">    35.6 </v>
      </c>
      <c r="AD1978" t="str">
        <f t="shared" si="526"/>
        <v xml:space="preserve"> 1.007* </v>
      </c>
      <c r="AE1978" t="str">
        <f t="shared" si="516"/>
        <v xml:space="preserve">       </v>
      </c>
      <c r="AF1978" t="str">
        <f t="shared" si="528"/>
        <v xml:space="preserve"> 002 </v>
      </c>
      <c r="AG1978" t="str">
        <f t="shared" si="528"/>
        <v xml:space="preserve">     0.01 </v>
      </c>
      <c r="AH1978" t="str">
        <f t="shared" si="517"/>
        <v xml:space="preserve">    -0.06 </v>
      </c>
      <c r="AI1978" t="str">
        <f t="shared" si="518"/>
        <v xml:space="preserve">       </v>
      </c>
      <c r="AJ1978" t="str">
        <f t="shared" si="519"/>
        <v xml:space="preserve">      </v>
      </c>
    </row>
    <row r="1979" spans="1:36" x14ac:dyDescent="0.25">
      <c r="A1979" t="s">
        <v>14</v>
      </c>
      <c r="P1979" t="str">
        <f t="shared" si="520"/>
        <v xml:space="preserve">  ..............</v>
      </c>
      <c r="Q1979" t="str">
        <f t="shared" si="520"/>
        <v>.........</v>
      </c>
      <c r="R1979" t="str">
        <f t="shared" si="513"/>
        <v>.........</v>
      </c>
      <c r="S1979" t="str">
        <f t="shared" si="521"/>
        <v>.........</v>
      </c>
      <c r="T1979" t="str">
        <f t="shared" si="522"/>
        <v>.........</v>
      </c>
      <c r="U1979" t="str">
        <f t="shared" si="526"/>
        <v>.............</v>
      </c>
      <c r="V1979" t="str">
        <f t="shared" si="514"/>
        <v>.........</v>
      </c>
      <c r="W1979" t="str">
        <f t="shared" si="523"/>
        <v>.........</v>
      </c>
      <c r="X1979" t="str">
        <f t="shared" si="527"/>
        <v>.......</v>
      </c>
      <c r="Y1979" t="str">
        <f t="shared" si="527"/>
        <v>..............</v>
      </c>
      <c r="Z1979" t="str">
        <f t="shared" si="527"/>
        <v>....</v>
      </c>
      <c r="AA1979" t="str">
        <f t="shared" si="515"/>
        <v>.........</v>
      </c>
      <c r="AB1979" t="str">
        <f t="shared" si="524"/>
        <v>.........</v>
      </c>
      <c r="AC1979" t="str">
        <f t="shared" si="525"/>
        <v>.........</v>
      </c>
      <c r="AD1979" t="str">
        <f t="shared" si="526"/>
        <v>........</v>
      </c>
      <c r="AE1979" t="str">
        <f t="shared" si="516"/>
        <v>.......</v>
      </c>
      <c r="AF1979" t="str">
        <f t="shared" si="528"/>
        <v>.....</v>
      </c>
      <c r="AG1979" t="str">
        <f t="shared" si="528"/>
        <v>..........</v>
      </c>
      <c r="AH1979" t="str">
        <f t="shared" si="517"/>
        <v>..........</v>
      </c>
      <c r="AI1979" t="str">
        <f t="shared" si="518"/>
        <v>.......</v>
      </c>
      <c r="AJ1979" t="str">
        <f t="shared" si="519"/>
        <v>.......</v>
      </c>
    </row>
    <row r="1980" spans="1:36" x14ac:dyDescent="0.25">
      <c r="A1980" t="s">
        <v>1516</v>
      </c>
      <c r="P1980" t="str">
        <f t="shared" si="520"/>
        <v xml:space="preserve">  10313   69  0 </v>
      </c>
      <c r="Q1980" t="str">
        <f t="shared" si="520"/>
        <v xml:space="preserve">   1.012 </v>
      </c>
      <c r="R1980" t="str">
        <f t="shared" si="513"/>
        <v xml:space="preserve">     0.2 </v>
      </c>
      <c r="S1980" t="str">
        <f t="shared" si="521"/>
        <v xml:space="preserve">     0.0 </v>
      </c>
      <c r="T1980" t="str">
        <f t="shared" si="522"/>
        <v xml:space="preserve">     3.0 </v>
      </c>
      <c r="U1980" t="str">
        <f t="shared" si="526"/>
        <v xml:space="preserve">         0.0 </v>
      </c>
      <c r="V1980" t="str">
        <f t="shared" si="514"/>
        <v xml:space="preserve">     0.0 </v>
      </c>
      <c r="W1980" t="str">
        <f t="shared" si="523"/>
        <v xml:space="preserve">     0.0</v>
      </c>
      <c r="X1980" t="str">
        <f t="shared" si="527"/>
        <v/>
      </c>
      <c r="Y1980" t="str">
        <f t="shared" si="527"/>
        <v/>
      </c>
      <c r="Z1980" t="str">
        <f t="shared" si="527"/>
        <v/>
      </c>
      <c r="AA1980" t="str">
        <f t="shared" si="515"/>
        <v/>
      </c>
      <c r="AB1980" t="str">
        <f t="shared" si="524"/>
        <v/>
      </c>
      <c r="AC1980" t="str">
        <f t="shared" si="525"/>
        <v/>
      </c>
      <c r="AD1980" t="str">
        <f t="shared" si="526"/>
        <v/>
      </c>
      <c r="AE1980" t="str">
        <f t="shared" si="516"/>
        <v/>
      </c>
      <c r="AF1980" t="str">
        <f t="shared" si="528"/>
        <v/>
      </c>
      <c r="AG1980" t="str">
        <f t="shared" si="528"/>
        <v/>
      </c>
      <c r="AH1980" t="str">
        <f t="shared" si="517"/>
        <v/>
      </c>
      <c r="AI1980" t="str">
        <f t="shared" si="518"/>
        <v/>
      </c>
      <c r="AJ1980" t="str">
        <f t="shared" si="519"/>
        <v/>
      </c>
    </row>
    <row r="1981" spans="1:36" x14ac:dyDescent="0.25">
      <c r="A1981" t="s">
        <v>1517</v>
      </c>
      <c r="P1981" t="str">
        <f t="shared" si="520"/>
        <v xml:space="preserve">  CERTA3-RS069  </v>
      </c>
      <c r="Q1981" t="str">
        <f t="shared" si="520"/>
        <v xml:space="preserve">   -54.8 </v>
      </c>
      <c r="R1981" t="str">
        <f t="shared" si="513"/>
        <v xml:space="preserve">     0.0 </v>
      </c>
      <c r="S1981" t="str">
        <f t="shared" si="521"/>
        <v xml:space="preserve">     0.0 </v>
      </c>
      <c r="T1981" t="str">
        <f t="shared" si="522"/>
        <v xml:space="preserve">     0.2 </v>
      </c>
      <c r="U1981" t="str">
        <f t="shared" si="526"/>
        <v xml:space="preserve">         0.0 </v>
      </c>
      <c r="V1981" t="str">
        <f t="shared" si="514"/>
        <v xml:space="preserve">     0.0 </v>
      </c>
      <c r="W1981" t="str">
        <f t="shared" si="523"/>
        <v xml:space="preserve">     0.0 </v>
      </c>
      <c r="X1981" t="str">
        <f t="shared" si="527"/>
        <v xml:space="preserve">       </v>
      </c>
      <c r="Y1981" t="str">
        <f t="shared" si="527"/>
        <v xml:space="preserve">              </v>
      </c>
      <c r="Z1981" t="str">
        <f t="shared" si="527"/>
        <v xml:space="preserve">    </v>
      </c>
      <c r="AA1981" t="str">
        <f t="shared" si="515"/>
        <v xml:space="preserve">         </v>
      </c>
      <c r="AB1981" t="str">
        <f t="shared" si="524"/>
        <v xml:space="preserve">         </v>
      </c>
      <c r="AC1981" t="str">
        <f t="shared" si="525"/>
        <v xml:space="preserve">    </v>
      </c>
      <c r="AD1981" t="str">
        <f t="shared" si="526"/>
        <v/>
      </c>
      <c r="AE1981" t="str">
        <f t="shared" si="516"/>
        <v/>
      </c>
      <c r="AF1981" t="str">
        <f t="shared" si="528"/>
        <v/>
      </c>
      <c r="AG1981" t="str">
        <f t="shared" si="528"/>
        <v/>
      </c>
      <c r="AH1981" t="str">
        <f t="shared" si="517"/>
        <v/>
      </c>
      <c r="AI1981" t="str">
        <f t="shared" si="518"/>
        <v/>
      </c>
      <c r="AJ1981" t="str">
        <f t="shared" si="519"/>
        <v/>
      </c>
    </row>
    <row r="1982" spans="1:36" x14ac:dyDescent="0.25">
      <c r="A1982" t="s">
        <v>1518</v>
      </c>
      <c r="P1982" t="str">
        <f t="shared" si="520"/>
        <v xml:space="preserve">                </v>
      </c>
      <c r="Q1982" t="str">
        <f t="shared" si="520"/>
        <v xml:space="preserve">         </v>
      </c>
      <c r="R1982" t="str">
        <f t="shared" si="513"/>
        <v xml:space="preserve">  9999.0 </v>
      </c>
      <c r="S1982" t="str">
        <f t="shared" si="521"/>
        <v xml:space="preserve">  9999.0 </v>
      </c>
      <c r="T1982" t="str">
        <f t="shared" si="522"/>
        <v xml:space="preserve">  9999.0 </v>
      </c>
      <c r="U1982" t="str">
        <f t="shared" si="526"/>
        <v xml:space="preserve">        0.0% </v>
      </c>
      <c r="V1982" t="str">
        <f t="shared" si="514"/>
        <v xml:space="preserve">         </v>
      </c>
      <c r="W1982" t="str">
        <f t="shared" si="523"/>
        <v xml:space="preserve">         </v>
      </c>
      <c r="X1982" t="str">
        <f t="shared" si="527"/>
        <v xml:space="preserve">  1298 </v>
      </c>
      <c r="Y1982" t="str">
        <f t="shared" si="527"/>
        <v xml:space="preserve"> VENAIR-RS069 </v>
      </c>
      <c r="Z1982" t="str">
        <f t="shared" si="527"/>
        <v xml:space="preserve">  1 </v>
      </c>
      <c r="AA1982" t="str">
        <f t="shared" si="515"/>
        <v xml:space="preserve">    -2.8 </v>
      </c>
      <c r="AB1982" t="str">
        <f t="shared" si="524"/>
        <v xml:space="preserve">    -0.2 </v>
      </c>
      <c r="AC1982" t="str">
        <f t="shared" si="525"/>
        <v xml:space="preserve">     2.8 </v>
      </c>
      <c r="AD1982" t="str">
        <f t="shared" si="526"/>
        <v xml:space="preserve">        </v>
      </c>
      <c r="AE1982" t="str">
        <f t="shared" si="516"/>
        <v xml:space="preserve">       </v>
      </c>
      <c r="AF1982" t="str">
        <f t="shared" si="528"/>
        <v xml:space="preserve">     </v>
      </c>
      <c r="AG1982" t="str">
        <f t="shared" si="528"/>
        <v xml:space="preserve">     0.00 </v>
      </c>
      <c r="AH1982" t="str">
        <f t="shared" si="517"/>
        <v xml:space="preserve">     0.00 </v>
      </c>
      <c r="AI1982" t="str">
        <f t="shared" si="518"/>
        <v xml:space="preserve">       </v>
      </c>
      <c r="AJ1982" t="str">
        <f t="shared" si="519"/>
        <v xml:space="preserve">      </v>
      </c>
    </row>
    <row r="1983" spans="1:36" x14ac:dyDescent="0.25">
      <c r="A1983" t="s">
        <v>14</v>
      </c>
      <c r="P1983" t="str">
        <f t="shared" si="520"/>
        <v xml:space="preserve">  ..............</v>
      </c>
      <c r="Q1983" t="str">
        <f t="shared" si="520"/>
        <v>.........</v>
      </c>
      <c r="R1983" t="str">
        <f t="shared" si="513"/>
        <v>.........</v>
      </c>
      <c r="S1983" t="str">
        <f t="shared" si="521"/>
        <v>.........</v>
      </c>
      <c r="T1983" t="str">
        <f t="shared" si="522"/>
        <v>.........</v>
      </c>
      <c r="U1983" t="str">
        <f t="shared" si="526"/>
        <v>.............</v>
      </c>
      <c r="V1983" t="str">
        <f t="shared" si="514"/>
        <v>.........</v>
      </c>
      <c r="W1983" t="str">
        <f t="shared" si="523"/>
        <v>.........</v>
      </c>
      <c r="X1983" t="str">
        <f t="shared" si="527"/>
        <v>.......</v>
      </c>
      <c r="Y1983" t="str">
        <f t="shared" si="527"/>
        <v>..............</v>
      </c>
      <c r="Z1983" t="str">
        <f t="shared" si="527"/>
        <v>....</v>
      </c>
      <c r="AA1983" t="str">
        <f t="shared" si="515"/>
        <v>.........</v>
      </c>
      <c r="AB1983" t="str">
        <f t="shared" si="524"/>
        <v>.........</v>
      </c>
      <c r="AC1983" t="str">
        <f t="shared" si="525"/>
        <v>.........</v>
      </c>
      <c r="AD1983" t="str">
        <f t="shared" si="526"/>
        <v>........</v>
      </c>
      <c r="AE1983" t="str">
        <f t="shared" si="516"/>
        <v>.......</v>
      </c>
      <c r="AF1983" t="str">
        <f t="shared" si="528"/>
        <v>.....</v>
      </c>
      <c r="AG1983" t="str">
        <f t="shared" si="528"/>
        <v>..........</v>
      </c>
      <c r="AH1983" t="str">
        <f t="shared" si="517"/>
        <v>..........</v>
      </c>
      <c r="AI1983" t="str">
        <f t="shared" si="518"/>
        <v>.......</v>
      </c>
      <c r="AJ1983" t="str">
        <f t="shared" si="519"/>
        <v>.......</v>
      </c>
    </row>
    <row r="1984" spans="1:36" x14ac:dyDescent="0.25">
      <c r="A1984" t="s">
        <v>1519</v>
      </c>
      <c r="P1984" t="str">
        <f t="shared" si="520"/>
        <v xml:space="preserve">  10314   69  0 </v>
      </c>
      <c r="Q1984" t="str">
        <f t="shared" si="520"/>
        <v xml:space="preserve">   1.003 </v>
      </c>
      <c r="R1984" t="str">
        <f t="shared" si="513"/>
        <v xml:space="preserve">     6.8 </v>
      </c>
      <c r="S1984" t="str">
        <f t="shared" si="521"/>
        <v xml:space="preserve">     0.0 </v>
      </c>
      <c r="T1984" t="str">
        <f t="shared" si="522"/>
        <v xml:space="preserve">     0.0 </v>
      </c>
      <c r="U1984" t="str">
        <f t="shared" si="526"/>
        <v xml:space="preserve">         0.0 </v>
      </c>
      <c r="V1984" t="str">
        <f t="shared" si="514"/>
        <v xml:space="preserve">     0.0 </v>
      </c>
      <c r="W1984" t="str">
        <f t="shared" si="523"/>
        <v xml:space="preserve">     0.0</v>
      </c>
      <c r="X1984" t="str">
        <f t="shared" si="527"/>
        <v/>
      </c>
      <c r="Y1984" t="str">
        <f t="shared" si="527"/>
        <v/>
      </c>
      <c r="Z1984" t="str">
        <f t="shared" si="527"/>
        <v/>
      </c>
      <c r="AA1984" t="str">
        <f t="shared" si="515"/>
        <v/>
      </c>
      <c r="AB1984" t="str">
        <f t="shared" si="524"/>
        <v/>
      </c>
      <c r="AC1984" t="str">
        <f t="shared" si="525"/>
        <v/>
      </c>
      <c r="AD1984" t="str">
        <f t="shared" si="526"/>
        <v/>
      </c>
      <c r="AE1984" t="str">
        <f t="shared" si="516"/>
        <v/>
      </c>
      <c r="AF1984" t="str">
        <f t="shared" si="528"/>
        <v/>
      </c>
      <c r="AG1984" t="str">
        <f t="shared" si="528"/>
        <v/>
      </c>
      <c r="AH1984" t="str">
        <f t="shared" si="517"/>
        <v/>
      </c>
      <c r="AI1984" t="str">
        <f t="shared" si="518"/>
        <v/>
      </c>
      <c r="AJ1984" t="str">
        <f t="shared" si="519"/>
        <v/>
      </c>
    </row>
    <row r="1985" spans="1:36" x14ac:dyDescent="0.25">
      <c r="A1985" t="s">
        <v>1520</v>
      </c>
      <c r="P1985" t="str">
        <f t="shared" si="520"/>
        <v xml:space="preserve">  SAOSEPUTE001  </v>
      </c>
      <c r="Q1985" t="str">
        <f t="shared" si="520"/>
        <v xml:space="preserve">   -52.7 </v>
      </c>
      <c r="R1985" t="str">
        <f t="shared" si="513"/>
        <v xml:space="preserve">     0.0 </v>
      </c>
      <c r="S1985" t="str">
        <f t="shared" si="521"/>
        <v xml:space="preserve">     0.0 </v>
      </c>
      <c r="T1985" t="str">
        <f t="shared" si="522"/>
        <v xml:space="preserve">     0.0 </v>
      </c>
      <c r="U1985" t="str">
        <f t="shared" si="526"/>
        <v xml:space="preserve">         0.0 </v>
      </c>
      <c r="V1985" t="str">
        <f t="shared" si="514"/>
        <v xml:space="preserve">     0.0 </v>
      </c>
      <c r="W1985" t="str">
        <f t="shared" si="523"/>
        <v xml:space="preserve">     0.0 </v>
      </c>
      <c r="X1985" t="str">
        <f t="shared" si="527"/>
        <v xml:space="preserve">       </v>
      </c>
      <c r="Y1985" t="str">
        <f t="shared" si="527"/>
        <v xml:space="preserve">              </v>
      </c>
      <c r="Z1985" t="str">
        <f t="shared" si="527"/>
        <v xml:space="preserve">    </v>
      </c>
      <c r="AA1985" t="str">
        <f t="shared" si="515"/>
        <v xml:space="preserve">         </v>
      </c>
      <c r="AB1985" t="str">
        <f t="shared" si="524"/>
        <v xml:space="preserve">         </v>
      </c>
      <c r="AC1985" t="str">
        <f t="shared" si="525"/>
        <v xml:space="preserve">    </v>
      </c>
      <c r="AD1985" t="str">
        <f t="shared" si="526"/>
        <v/>
      </c>
      <c r="AE1985" t="str">
        <f t="shared" si="516"/>
        <v/>
      </c>
      <c r="AF1985" t="str">
        <f t="shared" si="528"/>
        <v/>
      </c>
      <c r="AG1985" t="str">
        <f t="shared" si="528"/>
        <v/>
      </c>
      <c r="AH1985" t="str">
        <f t="shared" si="517"/>
        <v/>
      </c>
      <c r="AI1985" t="str">
        <f t="shared" si="518"/>
        <v/>
      </c>
      <c r="AJ1985" t="str">
        <f t="shared" si="519"/>
        <v/>
      </c>
    </row>
    <row r="1986" spans="1:36" x14ac:dyDescent="0.25">
      <c r="A1986" t="s">
        <v>1521</v>
      </c>
      <c r="P1986" t="str">
        <f t="shared" si="520"/>
        <v xml:space="preserve">                </v>
      </c>
      <c r="Q1986" t="str">
        <f t="shared" si="520"/>
        <v xml:space="preserve">         </v>
      </c>
      <c r="R1986" t="str">
        <f t="shared" si="513"/>
        <v xml:space="preserve">  9999.0 </v>
      </c>
      <c r="S1986" t="str">
        <f t="shared" si="521"/>
        <v xml:space="preserve">  9999.0 </v>
      </c>
      <c r="T1986" t="str">
        <f t="shared" si="522"/>
        <v xml:space="preserve">  9999.0 </v>
      </c>
      <c r="U1986" t="str">
        <f t="shared" si="526"/>
        <v xml:space="preserve">        0.0% </v>
      </c>
      <c r="V1986" t="str">
        <f t="shared" si="514"/>
        <v xml:space="preserve">         </v>
      </c>
      <c r="W1986" t="str">
        <f t="shared" si="523"/>
        <v xml:space="preserve">         </v>
      </c>
      <c r="X1986" t="str">
        <f t="shared" si="527"/>
        <v xml:space="preserve"> 10170 </v>
      </c>
      <c r="Y1986" t="str">
        <f t="shared" si="527"/>
        <v xml:space="preserve"> FORMIG-RS069 </v>
      </c>
      <c r="Z1986" t="str">
        <f t="shared" si="527"/>
        <v xml:space="preserve">  1 </v>
      </c>
      <c r="AA1986" t="str">
        <f t="shared" si="515"/>
        <v xml:space="preserve">     6.8 </v>
      </c>
      <c r="AB1986" t="str">
        <f t="shared" si="524"/>
        <v xml:space="preserve">    -0.0 </v>
      </c>
      <c r="AC1986" t="str">
        <f t="shared" si="525"/>
        <v xml:space="preserve">     6.8 </v>
      </c>
      <c r="AD1986" t="str">
        <f t="shared" si="526"/>
        <v xml:space="preserve">        </v>
      </c>
      <c r="AE1986" t="str">
        <f t="shared" si="516"/>
        <v xml:space="preserve">       </v>
      </c>
      <c r="AF1986" t="str">
        <f t="shared" si="528"/>
        <v xml:space="preserve">     </v>
      </c>
      <c r="AG1986" t="str">
        <f t="shared" si="528"/>
        <v xml:space="preserve">     0.00 </v>
      </c>
      <c r="AH1986" t="str">
        <f t="shared" si="517"/>
        <v xml:space="preserve">     0.01 </v>
      </c>
      <c r="AI1986" t="str">
        <f t="shared" si="518"/>
        <v xml:space="preserve">       </v>
      </c>
      <c r="AJ1986" t="str">
        <f t="shared" si="519"/>
        <v xml:space="preserve">      </v>
      </c>
    </row>
    <row r="1987" spans="1:36" x14ac:dyDescent="0.25">
      <c r="A1987" t="s">
        <v>14</v>
      </c>
      <c r="P1987" t="str">
        <f t="shared" si="520"/>
        <v xml:space="preserve">  ..............</v>
      </c>
      <c r="Q1987" t="str">
        <f t="shared" si="520"/>
        <v>.........</v>
      </c>
      <c r="R1987" t="str">
        <f t="shared" si="513"/>
        <v>.........</v>
      </c>
      <c r="S1987" t="str">
        <f t="shared" si="521"/>
        <v>.........</v>
      </c>
      <c r="T1987" t="str">
        <f t="shared" si="522"/>
        <v>.........</v>
      </c>
      <c r="U1987" t="str">
        <f t="shared" si="526"/>
        <v>.............</v>
      </c>
      <c r="V1987" t="str">
        <f t="shared" si="514"/>
        <v>.........</v>
      </c>
      <c r="W1987" t="str">
        <f t="shared" si="523"/>
        <v>.........</v>
      </c>
      <c r="X1987" t="str">
        <f t="shared" si="527"/>
        <v>.......</v>
      </c>
      <c r="Y1987" t="str">
        <f t="shared" si="527"/>
        <v>..............</v>
      </c>
      <c r="Z1987" t="str">
        <f t="shared" si="527"/>
        <v>....</v>
      </c>
      <c r="AA1987" t="str">
        <f t="shared" si="515"/>
        <v>.........</v>
      </c>
      <c r="AB1987" t="str">
        <f t="shared" si="524"/>
        <v>.........</v>
      </c>
      <c r="AC1987" t="str">
        <f t="shared" si="525"/>
        <v>.........</v>
      </c>
      <c r="AD1987" t="str">
        <f t="shared" si="526"/>
        <v>........</v>
      </c>
      <c r="AE1987" t="str">
        <f t="shared" si="516"/>
        <v>.......</v>
      </c>
      <c r="AF1987" t="str">
        <f t="shared" si="528"/>
        <v>.....</v>
      </c>
      <c r="AG1987" t="str">
        <f t="shared" si="528"/>
        <v>..........</v>
      </c>
      <c r="AH1987" t="str">
        <f t="shared" si="517"/>
        <v>..........</v>
      </c>
      <c r="AI1987" t="str">
        <f t="shared" si="518"/>
        <v>.......</v>
      </c>
      <c r="AJ1987" t="str">
        <f t="shared" si="519"/>
        <v>.......</v>
      </c>
    </row>
    <row r="1988" spans="1:36" x14ac:dyDescent="0.25">
      <c r="A1988" t="s">
        <v>1522</v>
      </c>
      <c r="P1988" t="str">
        <f t="shared" si="520"/>
        <v xml:space="preserve">  10319   69  0 </v>
      </c>
      <c r="Q1988" t="str">
        <f t="shared" si="520"/>
        <v xml:space="preserve">   1.043 </v>
      </c>
      <c r="R1988" t="str">
        <f t="shared" si="513"/>
        <v xml:space="preserve">     6.4 </v>
      </c>
      <c r="S1988" t="str">
        <f t="shared" si="521"/>
        <v xml:space="preserve">     0.0 </v>
      </c>
      <c r="T1988" t="str">
        <f t="shared" si="522"/>
        <v xml:space="preserve">    38.0 </v>
      </c>
      <c r="U1988" t="str">
        <f t="shared" si="526"/>
        <v xml:space="preserve">         0.0 </v>
      </c>
      <c r="V1988" t="str">
        <f t="shared" si="514"/>
        <v xml:space="preserve">     3.9 </v>
      </c>
      <c r="W1988" t="str">
        <f t="shared" si="523"/>
        <v xml:space="preserve">     0.0</v>
      </c>
      <c r="X1988" t="str">
        <f t="shared" si="527"/>
        <v/>
      </c>
      <c r="Y1988" t="str">
        <f t="shared" si="527"/>
        <v/>
      </c>
      <c r="Z1988" t="str">
        <f t="shared" si="527"/>
        <v/>
      </c>
      <c r="AA1988" t="str">
        <f t="shared" si="515"/>
        <v/>
      </c>
      <c r="AB1988" t="str">
        <f t="shared" si="524"/>
        <v/>
      </c>
      <c r="AC1988" t="str">
        <f t="shared" si="525"/>
        <v/>
      </c>
      <c r="AD1988" t="str">
        <f t="shared" si="526"/>
        <v/>
      </c>
      <c r="AE1988" t="str">
        <f t="shared" si="516"/>
        <v/>
      </c>
      <c r="AF1988" t="str">
        <f t="shared" si="528"/>
        <v/>
      </c>
      <c r="AG1988" t="str">
        <f t="shared" si="528"/>
        <v/>
      </c>
      <c r="AH1988" t="str">
        <f t="shared" si="517"/>
        <v/>
      </c>
      <c r="AI1988" t="str">
        <f t="shared" si="518"/>
        <v/>
      </c>
      <c r="AJ1988" t="str">
        <f t="shared" si="519"/>
        <v/>
      </c>
    </row>
    <row r="1989" spans="1:36" x14ac:dyDescent="0.25">
      <c r="A1989" t="s">
        <v>1523</v>
      </c>
      <c r="P1989" t="str">
        <f t="shared" si="520"/>
        <v xml:space="preserve">  CHARQ2-RS069  </v>
      </c>
      <c r="Q1989" t="str">
        <f t="shared" si="520"/>
        <v xml:space="preserve">   -52.1 </v>
      </c>
      <c r="R1989" t="str">
        <f t="shared" si="513"/>
        <v xml:space="preserve">     0.0 </v>
      </c>
      <c r="S1989" t="str">
        <f t="shared" si="521"/>
        <v xml:space="preserve">     0.0 </v>
      </c>
      <c r="T1989" t="str">
        <f t="shared" si="522"/>
        <v xml:space="preserve">    15.4 </v>
      </c>
      <c r="U1989" t="str">
        <f t="shared" si="526"/>
        <v xml:space="preserve">         0.0 </v>
      </c>
      <c r="V1989" t="str">
        <f t="shared" si="514"/>
        <v xml:space="preserve">     0.0 </v>
      </c>
      <c r="W1989" t="str">
        <f t="shared" si="523"/>
        <v xml:space="preserve">     0.0 </v>
      </c>
      <c r="X1989" t="str">
        <f t="shared" si="527"/>
        <v xml:space="preserve">       </v>
      </c>
      <c r="Y1989" t="str">
        <f t="shared" si="527"/>
        <v xml:space="preserve">              </v>
      </c>
      <c r="Z1989" t="str">
        <f t="shared" si="527"/>
        <v xml:space="preserve">    </v>
      </c>
      <c r="AA1989" t="str">
        <f t="shared" si="515"/>
        <v xml:space="preserve">         </v>
      </c>
      <c r="AB1989" t="str">
        <f t="shared" si="524"/>
        <v xml:space="preserve">         </v>
      </c>
      <c r="AC1989" t="str">
        <f t="shared" si="525"/>
        <v xml:space="preserve">    </v>
      </c>
      <c r="AD1989" t="str">
        <f t="shared" si="526"/>
        <v/>
      </c>
      <c r="AE1989" t="str">
        <f t="shared" si="516"/>
        <v/>
      </c>
      <c r="AF1989" t="str">
        <f t="shared" si="528"/>
        <v/>
      </c>
      <c r="AG1989" t="str">
        <f t="shared" si="528"/>
        <v/>
      </c>
      <c r="AH1989" t="str">
        <f t="shared" si="517"/>
        <v/>
      </c>
      <c r="AI1989" t="str">
        <f t="shared" si="518"/>
        <v/>
      </c>
      <c r="AJ1989" t="str">
        <f t="shared" si="519"/>
        <v/>
      </c>
    </row>
    <row r="1990" spans="1:36" x14ac:dyDescent="0.25">
      <c r="A1990" t="s">
        <v>1524</v>
      </c>
      <c r="P1990" t="str">
        <f t="shared" si="520"/>
        <v xml:space="preserve">                </v>
      </c>
      <c r="Q1990" t="str">
        <f t="shared" si="520"/>
        <v xml:space="preserve">         </v>
      </c>
      <c r="R1990" t="str">
        <f t="shared" si="513"/>
        <v xml:space="preserve">    69.0 </v>
      </c>
      <c r="S1990" t="str">
        <f t="shared" si="521"/>
        <v xml:space="preserve">    88.0 </v>
      </c>
      <c r="T1990" t="str">
        <f t="shared" si="522"/>
        <v xml:space="preserve">    88.0 </v>
      </c>
      <c r="U1990" t="str">
        <f t="shared" si="526"/>
        <v xml:space="preserve">       46.7% </v>
      </c>
      <c r="V1990" t="str">
        <f t="shared" si="514"/>
        <v xml:space="preserve">         </v>
      </c>
      <c r="W1990" t="str">
        <f t="shared" si="523"/>
        <v xml:space="preserve">         </v>
      </c>
      <c r="X1990" t="str">
        <f t="shared" si="527"/>
        <v xml:space="preserve"> 10277 </v>
      </c>
      <c r="Y1990" t="str">
        <f t="shared" si="527"/>
        <v xml:space="preserve"> CHARQ3-RS069 </v>
      </c>
      <c r="Z1990" t="str">
        <f t="shared" si="527"/>
        <v xml:space="preserve">  1 </v>
      </c>
      <c r="AA1990" t="str">
        <f t="shared" si="515"/>
        <v xml:space="preserve">   -31.6 </v>
      </c>
      <c r="AB1990" t="str">
        <f t="shared" si="524"/>
        <v xml:space="preserve">   -11.5 </v>
      </c>
      <c r="AC1990" t="str">
        <f t="shared" si="525"/>
        <v xml:space="preserve">    32.2 </v>
      </c>
      <c r="AD1990" t="str">
        <f t="shared" si="526"/>
        <v xml:space="preserve">        </v>
      </c>
      <c r="AE1990" t="str">
        <f t="shared" si="516"/>
        <v xml:space="preserve">       </v>
      </c>
      <c r="AF1990" t="str">
        <f t="shared" si="528"/>
        <v xml:space="preserve">     </v>
      </c>
      <c r="AG1990" t="str">
        <f t="shared" si="528"/>
        <v xml:space="preserve">     0.05 </v>
      </c>
      <c r="AH1990" t="str">
        <f t="shared" si="517"/>
        <v xml:space="preserve">     0.14 </v>
      </c>
      <c r="AI1990" t="str">
        <f t="shared" si="518"/>
        <v xml:space="preserve">       </v>
      </c>
      <c r="AJ1990" t="str">
        <f t="shared" si="519"/>
        <v xml:space="preserve">      </v>
      </c>
    </row>
    <row r="1991" spans="1:36" x14ac:dyDescent="0.25">
      <c r="A1991" t="s">
        <v>14</v>
      </c>
      <c r="P1991" t="str">
        <f t="shared" si="520"/>
        <v xml:space="preserve">  ..............</v>
      </c>
      <c r="Q1991" t="str">
        <f t="shared" si="520"/>
        <v>.........</v>
      </c>
      <c r="R1991" t="str">
        <f t="shared" si="513"/>
        <v>.........</v>
      </c>
      <c r="S1991" t="str">
        <f t="shared" si="521"/>
        <v>.........</v>
      </c>
      <c r="T1991" t="str">
        <f t="shared" si="522"/>
        <v>.........</v>
      </c>
      <c r="U1991" t="str">
        <f t="shared" si="526"/>
        <v>.............</v>
      </c>
      <c r="V1991" t="str">
        <f t="shared" si="514"/>
        <v>.........</v>
      </c>
      <c r="W1991" t="str">
        <f t="shared" si="523"/>
        <v>.........</v>
      </c>
      <c r="X1991" t="str">
        <f t="shared" si="527"/>
        <v>.......</v>
      </c>
      <c r="Y1991" t="str">
        <f t="shared" si="527"/>
        <v>..............</v>
      </c>
      <c r="Z1991" t="str">
        <f t="shared" si="527"/>
        <v>....</v>
      </c>
      <c r="AA1991" t="str">
        <f t="shared" si="515"/>
        <v>.........</v>
      </c>
      <c r="AB1991" t="str">
        <f t="shared" si="524"/>
        <v>.........</v>
      </c>
      <c r="AC1991" t="str">
        <f t="shared" si="525"/>
        <v>.........</v>
      </c>
      <c r="AD1991" t="str">
        <f t="shared" si="526"/>
        <v>........</v>
      </c>
      <c r="AE1991" t="str">
        <f t="shared" si="516"/>
        <v>.......</v>
      </c>
      <c r="AF1991" t="str">
        <f t="shared" si="528"/>
        <v>.....</v>
      </c>
      <c r="AG1991" t="str">
        <f t="shared" si="528"/>
        <v>..........</v>
      </c>
      <c r="AH1991" t="str">
        <f t="shared" si="517"/>
        <v>..........</v>
      </c>
      <c r="AI1991" t="str">
        <f t="shared" si="518"/>
        <v>.......</v>
      </c>
      <c r="AJ1991" t="str">
        <f t="shared" si="519"/>
        <v>.......</v>
      </c>
    </row>
    <row r="1992" spans="1:36" x14ac:dyDescent="0.25">
      <c r="A1992" t="s">
        <v>1525</v>
      </c>
      <c r="P1992" t="str">
        <f t="shared" si="520"/>
        <v xml:space="preserve">  10321  138  0 </v>
      </c>
      <c r="Q1992" t="str">
        <f t="shared" si="520"/>
        <v xml:space="preserve">   1.019 </v>
      </c>
      <c r="R1992" t="str">
        <f t="shared" si="513"/>
        <v xml:space="preserve">     0.0 </v>
      </c>
      <c r="S1992" t="str">
        <f t="shared" si="521"/>
        <v xml:space="preserve">     0.0 </v>
      </c>
      <c r="T1992" t="str">
        <f t="shared" si="522"/>
        <v xml:space="preserve">    19.3 </v>
      </c>
      <c r="U1992" t="str">
        <f t="shared" si="526"/>
        <v xml:space="preserve">         0.0 </v>
      </c>
      <c r="V1992" t="str">
        <f t="shared" si="514"/>
        <v xml:space="preserve">     0.0 </v>
      </c>
      <c r="W1992" t="str">
        <f t="shared" si="523"/>
        <v xml:space="preserve">     0.0</v>
      </c>
      <c r="X1992" t="str">
        <f t="shared" si="527"/>
        <v/>
      </c>
      <c r="Y1992" t="str">
        <f t="shared" si="527"/>
        <v/>
      </c>
      <c r="Z1992" t="str">
        <f t="shared" si="527"/>
        <v/>
      </c>
      <c r="AA1992" t="str">
        <f t="shared" si="515"/>
        <v/>
      </c>
      <c r="AB1992" t="str">
        <f t="shared" si="524"/>
        <v/>
      </c>
      <c r="AC1992" t="str">
        <f t="shared" si="525"/>
        <v/>
      </c>
      <c r="AD1992" t="str">
        <f t="shared" si="526"/>
        <v/>
      </c>
      <c r="AE1992" t="str">
        <f t="shared" si="516"/>
        <v/>
      </c>
      <c r="AF1992" t="str">
        <f t="shared" si="528"/>
        <v/>
      </c>
      <c r="AG1992" t="str">
        <f t="shared" si="528"/>
        <v/>
      </c>
      <c r="AH1992" t="str">
        <f t="shared" si="517"/>
        <v/>
      </c>
      <c r="AI1992" t="str">
        <f t="shared" si="518"/>
        <v/>
      </c>
      <c r="AJ1992" t="str">
        <f t="shared" si="519"/>
        <v/>
      </c>
    </row>
    <row r="1993" spans="1:36" x14ac:dyDescent="0.25">
      <c r="A1993" t="s">
        <v>1526</v>
      </c>
      <c r="P1993" t="str">
        <f t="shared" si="520"/>
        <v xml:space="preserve">  ESTEI2-RS138  </v>
      </c>
      <c r="Q1993" t="str">
        <f t="shared" si="520"/>
        <v xml:space="preserve">   -52.3 </v>
      </c>
      <c r="R1993" t="str">
        <f t="shared" si="513"/>
        <v xml:space="preserve">     0.0 </v>
      </c>
      <c r="S1993" t="str">
        <f t="shared" si="521"/>
        <v xml:space="preserve">     0.0 </v>
      </c>
      <c r="T1993" t="str">
        <f t="shared" si="522"/>
        <v xml:space="preserve">     7.2 </v>
      </c>
      <c r="U1993" t="str">
        <f t="shared" si="526"/>
        <v xml:space="preserve">         0.0 </v>
      </c>
      <c r="V1993" t="str">
        <f t="shared" si="514"/>
        <v xml:space="preserve">     0.0 </v>
      </c>
      <c r="W1993" t="str">
        <f t="shared" si="523"/>
        <v xml:space="preserve">     0.0 </v>
      </c>
      <c r="X1993" t="str">
        <f t="shared" si="527"/>
        <v xml:space="preserve">       </v>
      </c>
      <c r="Y1993" t="str">
        <f t="shared" si="527"/>
        <v xml:space="preserve">              </v>
      </c>
      <c r="Z1993" t="str">
        <f t="shared" si="527"/>
        <v xml:space="preserve">    </v>
      </c>
      <c r="AA1993" t="str">
        <f t="shared" si="515"/>
        <v xml:space="preserve">         </v>
      </c>
      <c r="AB1993" t="str">
        <f t="shared" si="524"/>
        <v xml:space="preserve">         </v>
      </c>
      <c r="AC1993" t="str">
        <f t="shared" si="525"/>
        <v xml:space="preserve">    </v>
      </c>
      <c r="AD1993" t="str">
        <f t="shared" si="526"/>
        <v/>
      </c>
      <c r="AE1993" t="str">
        <f t="shared" si="516"/>
        <v/>
      </c>
      <c r="AF1993" t="str">
        <f t="shared" si="528"/>
        <v/>
      </c>
      <c r="AG1993" t="str">
        <f t="shared" si="528"/>
        <v/>
      </c>
      <c r="AH1993" t="str">
        <f t="shared" si="517"/>
        <v/>
      </c>
      <c r="AI1993" t="str">
        <f t="shared" si="518"/>
        <v/>
      </c>
      <c r="AJ1993" t="str">
        <f t="shared" si="519"/>
        <v/>
      </c>
    </row>
    <row r="1994" spans="1:36" x14ac:dyDescent="0.25">
      <c r="A1994" t="s">
        <v>1527</v>
      </c>
      <c r="P1994" t="str">
        <f t="shared" si="520"/>
        <v xml:space="preserve">                </v>
      </c>
      <c r="Q1994" t="str">
        <f t="shared" si="520"/>
        <v xml:space="preserve">         </v>
      </c>
      <c r="R1994" t="str">
        <f t="shared" si="513"/>
        <v xml:space="preserve">   167.0 </v>
      </c>
      <c r="S1994" t="str">
        <f t="shared" si="521"/>
        <v xml:space="preserve">   203.0 </v>
      </c>
      <c r="T1994" t="str">
        <f t="shared" si="522"/>
        <v xml:space="preserve">   203.0 </v>
      </c>
      <c r="U1994" t="str">
        <f t="shared" si="526"/>
        <v xml:space="preserve">        6.1% </v>
      </c>
      <c r="V1994" t="str">
        <f t="shared" si="514"/>
        <v xml:space="preserve">         </v>
      </c>
      <c r="W1994" t="str">
        <f t="shared" si="523"/>
        <v xml:space="preserve">         </v>
      </c>
      <c r="X1994" t="str">
        <f t="shared" si="527"/>
        <v xml:space="preserve">  9305 </v>
      </c>
      <c r="Y1994" t="str">
        <f t="shared" si="527"/>
        <v xml:space="preserve"> CACHO3-RS138 </v>
      </c>
      <c r="Z1994" t="str">
        <f t="shared" si="527"/>
        <v xml:space="preserve">  1 </v>
      </c>
      <c r="AA1994" t="str">
        <f t="shared" si="515"/>
        <v xml:space="preserve">    -9.6 </v>
      </c>
      <c r="AB1994" t="str">
        <f t="shared" si="524"/>
        <v xml:space="preserve">    -3.6 </v>
      </c>
      <c r="AC1994" t="str">
        <f t="shared" si="525"/>
        <v xml:space="preserve">    10.1 </v>
      </c>
      <c r="AD1994" t="str">
        <f t="shared" si="526"/>
        <v xml:space="preserve">        </v>
      </c>
      <c r="AE1994" t="str">
        <f t="shared" si="516"/>
        <v xml:space="preserve">       </v>
      </c>
      <c r="AF1994" t="str">
        <f t="shared" si="528"/>
        <v xml:space="preserve">     </v>
      </c>
      <c r="AG1994" t="str">
        <f t="shared" si="528"/>
        <v xml:space="preserve">     0.00 </v>
      </c>
      <c r="AH1994" t="str">
        <f t="shared" si="517"/>
        <v xml:space="preserve">    -0.47 </v>
      </c>
      <c r="AI1994" t="str">
        <f t="shared" si="518"/>
        <v xml:space="preserve">       </v>
      </c>
      <c r="AJ1994" t="str">
        <f t="shared" si="519"/>
        <v xml:space="preserve">      </v>
      </c>
    </row>
    <row r="1995" spans="1:36" x14ac:dyDescent="0.25">
      <c r="A1995" t="s">
        <v>1528</v>
      </c>
      <c r="P1995" t="str">
        <f t="shared" si="520"/>
        <v xml:space="preserve">                </v>
      </c>
      <c r="Q1995" t="str">
        <f t="shared" si="520"/>
        <v xml:space="preserve">         </v>
      </c>
      <c r="R1995" t="str">
        <f t="shared" si="513"/>
        <v xml:space="preserve">   167.0 </v>
      </c>
      <c r="S1995" t="str">
        <f t="shared" si="521"/>
        <v xml:space="preserve">   203.0 </v>
      </c>
      <c r="T1995" t="str">
        <f t="shared" si="522"/>
        <v xml:space="preserve">   203.0 </v>
      </c>
      <c r="U1995" t="str">
        <f t="shared" si="526"/>
        <v xml:space="preserve">        6.1% </v>
      </c>
      <c r="V1995" t="str">
        <f t="shared" si="514"/>
        <v xml:space="preserve">         </v>
      </c>
      <c r="W1995" t="str">
        <f t="shared" si="523"/>
        <v xml:space="preserve">         </v>
      </c>
      <c r="X1995" t="str">
        <f t="shared" si="527"/>
        <v xml:space="preserve">  9305 </v>
      </c>
      <c r="Y1995" t="str">
        <f t="shared" si="527"/>
        <v xml:space="preserve"> CACHO3-RS138 </v>
      </c>
      <c r="Z1995" t="str">
        <f t="shared" si="527"/>
        <v xml:space="preserve">  2 </v>
      </c>
      <c r="AA1995" t="str">
        <f t="shared" si="515"/>
        <v xml:space="preserve">    -9.6 </v>
      </c>
      <c r="AB1995" t="str">
        <f t="shared" si="524"/>
        <v xml:space="preserve">    -3.6 </v>
      </c>
      <c r="AC1995" t="str">
        <f t="shared" si="525"/>
        <v xml:space="preserve">    10.1 </v>
      </c>
      <c r="AD1995" t="str">
        <f t="shared" si="526"/>
        <v xml:space="preserve">        </v>
      </c>
      <c r="AE1995" t="str">
        <f t="shared" si="516"/>
        <v xml:space="preserve">       </v>
      </c>
      <c r="AF1995" t="str">
        <f t="shared" si="528"/>
        <v xml:space="preserve">     </v>
      </c>
      <c r="AG1995" t="str">
        <f t="shared" si="528"/>
        <v xml:space="preserve">     0.00 </v>
      </c>
      <c r="AH1995" t="str">
        <f t="shared" si="517"/>
        <v xml:space="preserve">    -0.47 </v>
      </c>
      <c r="AI1995" t="str">
        <f t="shared" si="518"/>
        <v xml:space="preserve">       </v>
      </c>
      <c r="AJ1995" t="str">
        <f t="shared" si="519"/>
        <v xml:space="preserve">      </v>
      </c>
    </row>
    <row r="1996" spans="1:36" x14ac:dyDescent="0.25">
      <c r="A1996" t="s">
        <v>14</v>
      </c>
      <c r="P1996" t="str">
        <f t="shared" si="520"/>
        <v xml:space="preserve">  ..............</v>
      </c>
      <c r="Q1996" t="str">
        <f t="shared" si="520"/>
        <v>.........</v>
      </c>
      <c r="R1996" t="str">
        <f t="shared" ref="R1996:R2044" si="529">MID($A1996,Q$8+Q$9-1,R$9)</f>
        <v>.........</v>
      </c>
      <c r="S1996" t="str">
        <f t="shared" si="521"/>
        <v>.........</v>
      </c>
      <c r="T1996" t="str">
        <f t="shared" si="522"/>
        <v>.........</v>
      </c>
      <c r="U1996" t="str">
        <f t="shared" si="526"/>
        <v>.............</v>
      </c>
      <c r="V1996" t="str">
        <f t="shared" ref="V1996:V2044" si="530">MID($A1996,U$8+U$9-1,V$9)</f>
        <v>.........</v>
      </c>
      <c r="W1996" t="str">
        <f t="shared" si="523"/>
        <v>.........</v>
      </c>
      <c r="X1996" t="str">
        <f t="shared" si="527"/>
        <v>.......</v>
      </c>
      <c r="Y1996" t="str">
        <f t="shared" si="527"/>
        <v>..............</v>
      </c>
      <c r="Z1996" t="str">
        <f t="shared" si="527"/>
        <v>....</v>
      </c>
      <c r="AA1996" t="str">
        <f t="shared" ref="AA1996:AA2044" si="531">MID($A1996,Z$8+Z$9-1,AA$9)</f>
        <v>.........</v>
      </c>
      <c r="AB1996" t="str">
        <f t="shared" si="524"/>
        <v>.........</v>
      </c>
      <c r="AC1996" t="str">
        <f t="shared" si="525"/>
        <v>.........</v>
      </c>
      <c r="AD1996" t="str">
        <f t="shared" si="526"/>
        <v>........</v>
      </c>
      <c r="AE1996" t="str">
        <f t="shared" ref="AE1996:AE2044" si="532">MID($A1996,AD$8+AD$9-1,AE$9)</f>
        <v>.......</v>
      </c>
      <c r="AF1996" t="str">
        <f t="shared" si="528"/>
        <v>.....</v>
      </c>
      <c r="AG1996" t="str">
        <f t="shared" si="528"/>
        <v>..........</v>
      </c>
      <c r="AH1996" t="str">
        <f t="shared" ref="AH1996:AH2044" si="533">MID($A1996,AG$8+AG$9-1,AH$9)</f>
        <v>..........</v>
      </c>
      <c r="AI1996" t="str">
        <f t="shared" si="518"/>
        <v>.......</v>
      </c>
      <c r="AJ1996" t="str">
        <f t="shared" si="519"/>
        <v>.......</v>
      </c>
    </row>
    <row r="1997" spans="1:36" x14ac:dyDescent="0.25">
      <c r="A1997" t="s">
        <v>1529</v>
      </c>
      <c r="P1997" t="str">
        <f t="shared" si="520"/>
        <v xml:space="preserve">  10397   69  0 </v>
      </c>
      <c r="Q1997" t="str">
        <f t="shared" si="520"/>
        <v xml:space="preserve">   1.022 </v>
      </c>
      <c r="R1997" t="str">
        <f t="shared" si="529"/>
        <v xml:space="preserve">     2.9 </v>
      </c>
      <c r="S1997" t="str">
        <f t="shared" si="521"/>
        <v xml:space="preserve">     0.0 </v>
      </c>
      <c r="T1997" t="str">
        <f t="shared" si="522"/>
        <v xml:space="preserve">     0.0 </v>
      </c>
      <c r="U1997" t="str">
        <f t="shared" si="526"/>
        <v xml:space="preserve">         0.0 </v>
      </c>
      <c r="V1997" t="str">
        <f t="shared" si="530"/>
        <v xml:space="preserve">     0.0 </v>
      </c>
      <c r="W1997" t="str">
        <f t="shared" si="523"/>
        <v xml:space="preserve">     0.0</v>
      </c>
      <c r="X1997" t="str">
        <f t="shared" si="527"/>
        <v/>
      </c>
      <c r="Y1997" t="str">
        <f t="shared" si="527"/>
        <v/>
      </c>
      <c r="Z1997" t="str">
        <f t="shared" si="527"/>
        <v/>
      </c>
      <c r="AA1997" t="str">
        <f t="shared" si="531"/>
        <v/>
      </c>
      <c r="AB1997" t="str">
        <f t="shared" si="524"/>
        <v/>
      </c>
      <c r="AC1997" t="str">
        <f t="shared" si="525"/>
        <v/>
      </c>
      <c r="AD1997" t="str">
        <f t="shared" si="526"/>
        <v/>
      </c>
      <c r="AE1997" t="str">
        <f t="shared" si="532"/>
        <v/>
      </c>
      <c r="AF1997" t="str">
        <f t="shared" si="528"/>
        <v/>
      </c>
      <c r="AG1997" t="str">
        <f t="shared" si="528"/>
        <v/>
      </c>
      <c r="AH1997" t="str">
        <f t="shared" si="533"/>
        <v/>
      </c>
      <c r="AI1997" t="str">
        <f t="shared" si="518"/>
        <v/>
      </c>
      <c r="AJ1997" t="str">
        <f t="shared" si="519"/>
        <v/>
      </c>
    </row>
    <row r="1998" spans="1:36" x14ac:dyDescent="0.25">
      <c r="A1998" t="s">
        <v>1530</v>
      </c>
      <c r="P1998" t="str">
        <f t="shared" si="520"/>
        <v xml:space="preserve">  TIOHUG-RS069  </v>
      </c>
      <c r="Q1998" t="str">
        <f t="shared" si="520"/>
        <v xml:space="preserve">   -49.3 </v>
      </c>
      <c r="R1998" t="str">
        <f t="shared" si="529"/>
        <v xml:space="preserve">     0.0 </v>
      </c>
      <c r="S1998" t="str">
        <f t="shared" si="521"/>
        <v xml:space="preserve">     0.0 </v>
      </c>
      <c r="T1998" t="str">
        <f t="shared" si="522"/>
        <v xml:space="preserve">     0.0 </v>
      </c>
      <c r="U1998" t="str">
        <f t="shared" si="526"/>
        <v xml:space="preserve">         0.0 </v>
      </c>
      <c r="V1998" t="str">
        <f t="shared" si="530"/>
        <v xml:space="preserve">     0.0 </v>
      </c>
      <c r="W1998" t="str">
        <f t="shared" si="523"/>
        <v xml:space="preserve">     0.0 </v>
      </c>
      <c r="X1998" t="str">
        <f t="shared" si="527"/>
        <v xml:space="preserve">       </v>
      </c>
      <c r="Y1998" t="str">
        <f t="shared" si="527"/>
        <v xml:space="preserve">              </v>
      </c>
      <c r="Z1998" t="str">
        <f t="shared" si="527"/>
        <v xml:space="preserve">    </v>
      </c>
      <c r="AA1998" t="str">
        <f t="shared" si="531"/>
        <v xml:space="preserve">         </v>
      </c>
      <c r="AB1998" t="str">
        <f t="shared" si="524"/>
        <v xml:space="preserve">         </v>
      </c>
      <c r="AC1998" t="str">
        <f t="shared" si="525"/>
        <v xml:space="preserve">    </v>
      </c>
      <c r="AD1998" t="str">
        <f t="shared" si="526"/>
        <v/>
      </c>
      <c r="AE1998" t="str">
        <f t="shared" si="532"/>
        <v/>
      </c>
      <c r="AF1998" t="str">
        <f t="shared" si="528"/>
        <v/>
      </c>
      <c r="AG1998" t="str">
        <f t="shared" si="528"/>
        <v/>
      </c>
      <c r="AH1998" t="str">
        <f t="shared" si="533"/>
        <v/>
      </c>
      <c r="AI1998" t="str">
        <f t="shared" si="518"/>
        <v/>
      </c>
      <c r="AJ1998" t="str">
        <f t="shared" si="519"/>
        <v/>
      </c>
    </row>
    <row r="1999" spans="1:36" x14ac:dyDescent="0.25">
      <c r="A1999" t="s">
        <v>1531</v>
      </c>
      <c r="P1999" t="str">
        <f t="shared" si="520"/>
        <v xml:space="preserve">                </v>
      </c>
      <c r="Q1999" t="str">
        <f t="shared" si="520"/>
        <v xml:space="preserve">         </v>
      </c>
      <c r="R1999" t="str">
        <f t="shared" si="529"/>
        <v xml:space="preserve">    30.0 </v>
      </c>
      <c r="S1999" t="str">
        <f t="shared" si="521"/>
        <v xml:space="preserve">    43.0 </v>
      </c>
      <c r="T1999" t="str">
        <f t="shared" si="522"/>
        <v xml:space="preserve">    30.0 </v>
      </c>
      <c r="U1999" t="str">
        <f t="shared" si="526"/>
        <v xml:space="preserve">        9.6% </v>
      </c>
      <c r="V1999" t="str">
        <f t="shared" si="530"/>
        <v xml:space="preserve">         </v>
      </c>
      <c r="W1999" t="str">
        <f t="shared" si="523"/>
        <v xml:space="preserve">         </v>
      </c>
      <c r="X1999" t="str">
        <f t="shared" si="527"/>
        <v xml:space="preserve">  1279 </v>
      </c>
      <c r="Y1999" t="str">
        <f t="shared" si="527"/>
        <v xml:space="preserve"> SMARTA-RS069 </v>
      </c>
      <c r="Z1999" t="str">
        <f t="shared" si="527"/>
        <v xml:space="preserve">  1 </v>
      </c>
      <c r="AA1999" t="str">
        <f t="shared" si="531"/>
        <v xml:space="preserve">     2.9 </v>
      </c>
      <c r="AB1999" t="str">
        <f t="shared" si="524"/>
        <v xml:space="preserve">     0.5 </v>
      </c>
      <c r="AC1999" t="str">
        <f t="shared" si="525"/>
        <v xml:space="preserve">     2.9 </v>
      </c>
      <c r="AD1999" t="str">
        <f t="shared" si="526"/>
        <v xml:space="preserve">        </v>
      </c>
      <c r="AE1999" t="str">
        <f t="shared" si="532"/>
        <v xml:space="preserve">       </v>
      </c>
      <c r="AF1999" t="str">
        <f t="shared" si="528"/>
        <v xml:space="preserve">     </v>
      </c>
      <c r="AG1999" t="str">
        <f t="shared" si="528"/>
        <v xml:space="preserve">     0.02 </v>
      </c>
      <c r="AH1999" t="str">
        <f t="shared" si="533"/>
        <v xml:space="preserve">    -0.52 </v>
      </c>
      <c r="AI1999" t="str">
        <f t="shared" si="518"/>
        <v xml:space="preserve">       </v>
      </c>
      <c r="AJ1999" t="str">
        <f t="shared" si="519"/>
        <v xml:space="preserve">      </v>
      </c>
    </row>
    <row r="2000" spans="1:36" x14ac:dyDescent="0.25">
      <c r="A2000" t="s">
        <v>1532</v>
      </c>
      <c r="P2000" t="str">
        <f t="shared" si="520"/>
        <v xml:space="preserve">              DE</v>
      </c>
      <c r="Q2000" t="str">
        <f t="shared" si="520"/>
        <v xml:space="preserve">ESLIGADO </v>
      </c>
      <c r="R2000" t="str">
        <f t="shared" si="529"/>
        <v xml:space="preserve">    30.0 </v>
      </c>
      <c r="S2000" t="str">
        <f t="shared" si="521"/>
        <v xml:space="preserve">    43.0 </v>
      </c>
      <c r="T2000" t="str">
        <f t="shared" si="522"/>
        <v xml:space="preserve">    30.0 </v>
      </c>
      <c r="U2000" t="str">
        <f t="shared" si="526"/>
        <v xml:space="preserve">             </v>
      </c>
      <c r="V2000" t="str">
        <f t="shared" si="530"/>
        <v xml:space="preserve">         </v>
      </c>
      <c r="W2000" t="str">
        <f t="shared" si="523"/>
        <v xml:space="preserve">         </v>
      </c>
      <c r="X2000" t="str">
        <f t="shared" si="527"/>
        <v xml:space="preserve"> 10398 </v>
      </c>
      <c r="Y2000" t="str">
        <f t="shared" si="527"/>
        <v xml:space="preserve"> TAPER1-RS069 </v>
      </c>
      <c r="Z2000" t="str">
        <f t="shared" si="527"/>
        <v xml:space="preserve">  1 </v>
      </c>
      <c r="AA2000" t="str">
        <f t="shared" si="531"/>
        <v xml:space="preserve">     0.0 </v>
      </c>
      <c r="AB2000" t="str">
        <f t="shared" si="524"/>
        <v xml:space="preserve">    -0.5 </v>
      </c>
      <c r="AC2000" t="str">
        <f t="shared" si="525"/>
        <v xml:space="preserve">     0.5 </v>
      </c>
      <c r="AD2000" t="str">
        <f t="shared" si="526"/>
        <v xml:space="preserve">        </v>
      </c>
      <c r="AE2000" t="str">
        <f t="shared" si="532"/>
        <v xml:space="preserve">       </v>
      </c>
      <c r="AF2000" t="str">
        <f t="shared" si="528"/>
        <v xml:space="preserve">     </v>
      </c>
      <c r="AG2000" t="str">
        <f t="shared" si="528"/>
        <v xml:space="preserve">     0.00 </v>
      </c>
      <c r="AH2000" t="str">
        <f t="shared" si="533"/>
        <v xml:space="preserve">    -0.52 </v>
      </c>
      <c r="AI2000" t="str">
        <f t="shared" si="518"/>
        <v xml:space="preserve"> 1.023 </v>
      </c>
      <c r="AJ2000" t="str">
        <f t="shared" si="519"/>
        <v xml:space="preserve"> -49.3</v>
      </c>
    </row>
    <row r="2001" spans="1:36" x14ac:dyDescent="0.25">
      <c r="A2001" t="s">
        <v>14</v>
      </c>
      <c r="P2001" t="str">
        <f t="shared" si="520"/>
        <v xml:space="preserve">  ..............</v>
      </c>
      <c r="Q2001" t="str">
        <f t="shared" si="520"/>
        <v>.........</v>
      </c>
      <c r="R2001" t="str">
        <f t="shared" si="529"/>
        <v>.........</v>
      </c>
      <c r="S2001" t="str">
        <f t="shared" si="521"/>
        <v>.........</v>
      </c>
      <c r="T2001" t="str">
        <f t="shared" si="522"/>
        <v>.........</v>
      </c>
      <c r="U2001" t="str">
        <f t="shared" si="526"/>
        <v>.............</v>
      </c>
      <c r="V2001" t="str">
        <f t="shared" si="530"/>
        <v>.........</v>
      </c>
      <c r="W2001" t="str">
        <f t="shared" si="523"/>
        <v>.........</v>
      </c>
      <c r="X2001" t="str">
        <f t="shared" si="527"/>
        <v>.......</v>
      </c>
      <c r="Y2001" t="str">
        <f t="shared" si="527"/>
        <v>..............</v>
      </c>
      <c r="Z2001" t="str">
        <f t="shared" si="527"/>
        <v>....</v>
      </c>
      <c r="AA2001" t="str">
        <f t="shared" si="531"/>
        <v>.........</v>
      </c>
      <c r="AB2001" t="str">
        <f t="shared" si="524"/>
        <v>.........</v>
      </c>
      <c r="AC2001" t="str">
        <f t="shared" si="525"/>
        <v>.........</v>
      </c>
      <c r="AD2001" t="str">
        <f t="shared" si="526"/>
        <v>........</v>
      </c>
      <c r="AE2001" t="str">
        <f t="shared" si="532"/>
        <v>.......</v>
      </c>
      <c r="AF2001" t="str">
        <f t="shared" si="528"/>
        <v>.....</v>
      </c>
      <c r="AG2001" t="str">
        <f t="shared" si="528"/>
        <v>..........</v>
      </c>
      <c r="AH2001" t="str">
        <f t="shared" si="533"/>
        <v>..........</v>
      </c>
      <c r="AI2001" t="str">
        <f t="shared" si="518"/>
        <v>.......</v>
      </c>
      <c r="AJ2001" t="str">
        <f t="shared" si="519"/>
        <v>.......</v>
      </c>
    </row>
    <row r="2002" spans="1:36" x14ac:dyDescent="0.25">
      <c r="A2002" t="s">
        <v>1533</v>
      </c>
      <c r="P2002" t="str">
        <f t="shared" si="520"/>
        <v xml:space="preserve">  10398   69  0 </v>
      </c>
      <c r="Q2002" t="str">
        <f t="shared" si="520"/>
        <v xml:space="preserve">   1.029 </v>
      </c>
      <c r="R2002" t="str">
        <f t="shared" si="529"/>
        <v xml:space="preserve">     0.0 </v>
      </c>
      <c r="S2002" t="str">
        <f t="shared" si="521"/>
        <v xml:space="preserve">     0.0 </v>
      </c>
      <c r="T2002" t="str">
        <f t="shared" si="522"/>
        <v xml:space="preserve">    13.0 </v>
      </c>
      <c r="U2002" t="str">
        <f t="shared" si="526"/>
        <v xml:space="preserve">         0.0 </v>
      </c>
      <c r="V2002" t="str">
        <f t="shared" si="530"/>
        <v xml:space="preserve">     0.0 </v>
      </c>
      <c r="W2002" t="str">
        <f t="shared" si="523"/>
        <v xml:space="preserve">     0.0</v>
      </c>
      <c r="X2002" t="str">
        <f t="shared" si="527"/>
        <v/>
      </c>
      <c r="Y2002" t="str">
        <f t="shared" si="527"/>
        <v/>
      </c>
      <c r="Z2002" t="str">
        <f t="shared" si="527"/>
        <v/>
      </c>
      <c r="AA2002" t="str">
        <f t="shared" si="531"/>
        <v/>
      </c>
      <c r="AB2002" t="str">
        <f t="shared" si="524"/>
        <v/>
      </c>
      <c r="AC2002" t="str">
        <f t="shared" si="525"/>
        <v/>
      </c>
      <c r="AD2002" t="str">
        <f t="shared" si="526"/>
        <v/>
      </c>
      <c r="AE2002" t="str">
        <f t="shared" si="532"/>
        <v/>
      </c>
      <c r="AF2002" t="str">
        <f t="shared" si="528"/>
        <v/>
      </c>
      <c r="AG2002" t="str">
        <f t="shared" si="528"/>
        <v/>
      </c>
      <c r="AH2002" t="str">
        <f t="shared" si="533"/>
        <v/>
      </c>
      <c r="AI2002" t="str">
        <f t="shared" si="518"/>
        <v/>
      </c>
      <c r="AJ2002" t="str">
        <f t="shared" si="519"/>
        <v/>
      </c>
    </row>
    <row r="2003" spans="1:36" x14ac:dyDescent="0.25">
      <c r="A2003" t="s">
        <v>1534</v>
      </c>
      <c r="P2003" t="str">
        <f t="shared" si="520"/>
        <v xml:space="preserve">  TAPER1-RS069  </v>
      </c>
      <c r="Q2003" t="str">
        <f t="shared" si="520"/>
        <v xml:space="preserve">   -51.8 </v>
      </c>
      <c r="R2003" t="str">
        <f t="shared" si="529"/>
        <v xml:space="preserve">     0.0 </v>
      </c>
      <c r="S2003" t="str">
        <f t="shared" si="521"/>
        <v xml:space="preserve">     0.0 </v>
      </c>
      <c r="T2003" t="str">
        <f t="shared" si="522"/>
        <v xml:space="preserve">     6.2 </v>
      </c>
      <c r="U2003" t="str">
        <f t="shared" si="526"/>
        <v xml:space="preserve">         0.0 </v>
      </c>
      <c r="V2003" t="str">
        <f t="shared" si="530"/>
        <v xml:space="preserve">     0.0 </v>
      </c>
      <c r="W2003" t="str">
        <f t="shared" si="523"/>
        <v xml:space="preserve">     0.0 </v>
      </c>
      <c r="X2003" t="str">
        <f t="shared" si="527"/>
        <v xml:space="preserve">       </v>
      </c>
      <c r="Y2003" t="str">
        <f t="shared" si="527"/>
        <v xml:space="preserve">              </v>
      </c>
      <c r="Z2003" t="str">
        <f t="shared" si="527"/>
        <v xml:space="preserve">    </v>
      </c>
      <c r="AA2003" t="str">
        <f t="shared" si="531"/>
        <v xml:space="preserve">         </v>
      </c>
      <c r="AB2003" t="str">
        <f t="shared" si="524"/>
        <v xml:space="preserve">         </v>
      </c>
      <c r="AC2003" t="str">
        <f t="shared" si="525"/>
        <v xml:space="preserve">    </v>
      </c>
      <c r="AD2003" t="str">
        <f t="shared" si="526"/>
        <v/>
      </c>
      <c r="AE2003" t="str">
        <f t="shared" si="532"/>
        <v/>
      </c>
      <c r="AF2003" t="str">
        <f t="shared" si="528"/>
        <v/>
      </c>
      <c r="AG2003" t="str">
        <f t="shared" si="528"/>
        <v/>
      </c>
      <c r="AH2003" t="str">
        <f t="shared" si="533"/>
        <v/>
      </c>
      <c r="AI2003" t="str">
        <f t="shared" si="518"/>
        <v/>
      </c>
      <c r="AJ2003" t="str">
        <f t="shared" si="519"/>
        <v/>
      </c>
    </row>
    <row r="2004" spans="1:36" x14ac:dyDescent="0.25">
      <c r="A2004" t="s">
        <v>1535</v>
      </c>
      <c r="P2004" t="str">
        <f t="shared" si="520"/>
        <v xml:space="preserve">                </v>
      </c>
      <c r="Q2004" t="str">
        <f t="shared" si="520"/>
        <v xml:space="preserve">         </v>
      </c>
      <c r="R2004" t="str">
        <f t="shared" si="529"/>
        <v xml:space="preserve">    48.0 </v>
      </c>
      <c r="S2004" t="str">
        <f t="shared" si="521"/>
        <v xml:space="preserve">    71.0 </v>
      </c>
      <c r="T2004" t="str">
        <f t="shared" si="522"/>
        <v xml:space="preserve">    48.0 </v>
      </c>
      <c r="U2004" t="str">
        <f t="shared" si="526"/>
        <v xml:space="preserve">       29.2% </v>
      </c>
      <c r="V2004" t="str">
        <f t="shared" si="530"/>
        <v xml:space="preserve">         </v>
      </c>
      <c r="W2004" t="str">
        <f t="shared" si="523"/>
        <v xml:space="preserve">         </v>
      </c>
      <c r="X2004" t="str">
        <f t="shared" si="527"/>
        <v xml:space="preserve">  1292 </v>
      </c>
      <c r="Y2004" t="str">
        <f t="shared" si="527"/>
        <v xml:space="preserve"> TAPERA-RS069 </v>
      </c>
      <c r="Z2004" t="str">
        <f t="shared" si="527"/>
        <v xml:space="preserve">  1 </v>
      </c>
      <c r="AA2004" t="str">
        <f t="shared" si="531"/>
        <v xml:space="preserve">   -13.0 </v>
      </c>
      <c r="AB2004" t="str">
        <f t="shared" si="524"/>
        <v xml:space="preserve">    -6.2 </v>
      </c>
      <c r="AC2004" t="str">
        <f t="shared" si="525"/>
        <v xml:space="preserve">    14.0 </v>
      </c>
      <c r="AD2004" t="str">
        <f t="shared" si="526"/>
        <v xml:space="preserve">        </v>
      </c>
      <c r="AE2004" t="str">
        <f t="shared" si="532"/>
        <v xml:space="preserve">       </v>
      </c>
      <c r="AF2004" t="str">
        <f t="shared" si="528"/>
        <v xml:space="preserve">     </v>
      </c>
      <c r="AG2004" t="str">
        <f t="shared" si="528"/>
        <v xml:space="preserve">     0.03 </v>
      </c>
      <c r="AH2004" t="str">
        <f t="shared" si="533"/>
        <v xml:space="preserve">    -0.71 </v>
      </c>
      <c r="AI2004" t="str">
        <f t="shared" si="518"/>
        <v xml:space="preserve">       </v>
      </c>
      <c r="AJ2004" t="str">
        <f t="shared" si="519"/>
        <v xml:space="preserve">      </v>
      </c>
    </row>
    <row r="2005" spans="1:36" x14ac:dyDescent="0.25">
      <c r="A2005" t="s">
        <v>1536</v>
      </c>
      <c r="P2005" t="str">
        <f t="shared" si="520"/>
        <v xml:space="preserve">              DE</v>
      </c>
      <c r="Q2005" t="str">
        <f t="shared" si="520"/>
        <v xml:space="preserve">ESLIGADO </v>
      </c>
      <c r="R2005" t="str">
        <f t="shared" si="529"/>
        <v xml:space="preserve">    30.0 </v>
      </c>
      <c r="S2005" t="str">
        <f t="shared" si="521"/>
        <v xml:space="preserve">    43.0 </v>
      </c>
      <c r="T2005" t="str">
        <f t="shared" si="522"/>
        <v xml:space="preserve">    30.0 </v>
      </c>
      <c r="U2005" t="str">
        <f t="shared" si="526"/>
        <v xml:space="preserve">             </v>
      </c>
      <c r="V2005" t="str">
        <f t="shared" si="530"/>
        <v xml:space="preserve">         </v>
      </c>
      <c r="W2005" t="str">
        <f t="shared" si="523"/>
        <v xml:space="preserve">         </v>
      </c>
      <c r="X2005" t="str">
        <f t="shared" si="527"/>
        <v xml:space="preserve"> 10397 </v>
      </c>
      <c r="Y2005" t="str">
        <f t="shared" si="527"/>
        <v xml:space="preserve"> TIOHUG-RS069 </v>
      </c>
      <c r="Z2005" t="str">
        <f t="shared" si="527"/>
        <v xml:space="preserve">  1 </v>
      </c>
      <c r="AA2005" t="str">
        <f t="shared" si="531"/>
        <v xml:space="preserve">     0.0 </v>
      </c>
      <c r="AB2005" t="str">
        <f t="shared" si="524"/>
        <v xml:space="preserve">     0.0 </v>
      </c>
      <c r="AC2005" t="str">
        <f t="shared" si="525"/>
        <v xml:space="preserve">     0.0 </v>
      </c>
      <c r="AD2005" t="str">
        <f t="shared" si="526"/>
        <v xml:space="preserve">        </v>
      </c>
      <c r="AE2005" t="str">
        <f t="shared" si="532"/>
        <v xml:space="preserve">       </v>
      </c>
      <c r="AF2005" t="str">
        <f t="shared" si="528"/>
        <v xml:space="preserve">     </v>
      </c>
      <c r="AG2005" t="str">
        <f t="shared" si="528"/>
        <v xml:space="preserve">     0.00 </v>
      </c>
      <c r="AH2005" t="str">
        <f t="shared" si="533"/>
        <v xml:space="preserve">     0.00 </v>
      </c>
      <c r="AI2005" t="str">
        <f t="shared" si="518"/>
        <v xml:space="preserve">       </v>
      </c>
      <c r="AJ2005" t="str">
        <f t="shared" si="519"/>
        <v xml:space="preserve">      </v>
      </c>
    </row>
    <row r="2006" spans="1:36" x14ac:dyDescent="0.25">
      <c r="A2006" t="s">
        <v>14</v>
      </c>
      <c r="P2006" t="str">
        <f t="shared" si="520"/>
        <v xml:space="preserve">  ..............</v>
      </c>
      <c r="Q2006" t="str">
        <f t="shared" si="520"/>
        <v>.........</v>
      </c>
      <c r="R2006" t="str">
        <f t="shared" si="529"/>
        <v>.........</v>
      </c>
      <c r="S2006" t="str">
        <f t="shared" si="521"/>
        <v>.........</v>
      </c>
      <c r="T2006" t="str">
        <f t="shared" si="522"/>
        <v>.........</v>
      </c>
      <c r="U2006" t="str">
        <f t="shared" si="526"/>
        <v>.............</v>
      </c>
      <c r="V2006" t="str">
        <f t="shared" si="530"/>
        <v>.........</v>
      </c>
      <c r="W2006" t="str">
        <f t="shared" si="523"/>
        <v>.........</v>
      </c>
      <c r="X2006" t="str">
        <f t="shared" si="527"/>
        <v>.......</v>
      </c>
      <c r="Y2006" t="str">
        <f t="shared" si="527"/>
        <v>..............</v>
      </c>
      <c r="Z2006" t="str">
        <f t="shared" si="527"/>
        <v>....</v>
      </c>
      <c r="AA2006" t="str">
        <f t="shared" si="531"/>
        <v>.........</v>
      </c>
      <c r="AB2006" t="str">
        <f t="shared" si="524"/>
        <v>.........</v>
      </c>
      <c r="AC2006" t="str">
        <f t="shared" si="525"/>
        <v>.........</v>
      </c>
      <c r="AD2006" t="str">
        <f t="shared" si="526"/>
        <v>........</v>
      </c>
      <c r="AE2006" t="str">
        <f t="shared" si="532"/>
        <v>.......</v>
      </c>
      <c r="AF2006" t="str">
        <f t="shared" si="528"/>
        <v>.....</v>
      </c>
      <c r="AG2006" t="str">
        <f t="shared" si="528"/>
        <v>..........</v>
      </c>
      <c r="AH2006" t="str">
        <f t="shared" si="533"/>
        <v>..........</v>
      </c>
      <c r="AI2006" t="str">
        <f t="shared" si="518"/>
        <v>.......</v>
      </c>
      <c r="AJ2006" t="str">
        <f t="shared" si="519"/>
        <v>.......</v>
      </c>
    </row>
    <row r="2007" spans="1:36" x14ac:dyDescent="0.25">
      <c r="A2007" t="s">
        <v>1537</v>
      </c>
      <c r="P2007" t="str">
        <f t="shared" si="520"/>
        <v xml:space="preserve">  43488   14  0 </v>
      </c>
      <c r="Q2007" t="str">
        <f t="shared" si="520"/>
        <v xml:space="preserve">   1.026 </v>
      </c>
      <c r="R2007" t="str">
        <f t="shared" si="529"/>
        <v xml:space="preserve">     0.0 </v>
      </c>
      <c r="S2007" t="str">
        <f t="shared" si="521"/>
        <v xml:space="preserve">     0.0 </v>
      </c>
      <c r="T2007" t="str">
        <f t="shared" si="522"/>
        <v xml:space="preserve">     0.0 </v>
      </c>
      <c r="U2007" t="str">
        <f t="shared" si="526"/>
        <v xml:space="preserve">         0.0 </v>
      </c>
      <c r="V2007" t="str">
        <f t="shared" si="530"/>
        <v xml:space="preserve">     0.0 </v>
      </c>
      <c r="W2007" t="str">
        <f t="shared" si="523"/>
        <v xml:space="preserve">     0.0</v>
      </c>
      <c r="X2007" t="str">
        <f t="shared" si="527"/>
        <v/>
      </c>
      <c r="Y2007" t="str">
        <f t="shared" si="527"/>
        <v/>
      </c>
      <c r="Z2007" t="str">
        <f t="shared" si="527"/>
        <v/>
      </c>
      <c r="AA2007" t="str">
        <f t="shared" si="531"/>
        <v/>
      </c>
      <c r="AB2007" t="str">
        <f t="shared" si="524"/>
        <v/>
      </c>
      <c r="AC2007" t="str">
        <f t="shared" si="525"/>
        <v/>
      </c>
      <c r="AD2007" t="str">
        <f t="shared" si="526"/>
        <v/>
      </c>
      <c r="AE2007" t="str">
        <f t="shared" si="532"/>
        <v/>
      </c>
      <c r="AF2007" t="str">
        <f t="shared" si="528"/>
        <v/>
      </c>
      <c r="AG2007" t="str">
        <f t="shared" si="528"/>
        <v/>
      </c>
      <c r="AH2007" t="str">
        <f t="shared" si="533"/>
        <v/>
      </c>
      <c r="AI2007" t="str">
        <f t="shared" ref="AI2007:AI2044" si="534">MID($A2007,AG$8+AG$9+AH$9-2,AI$9)</f>
        <v/>
      </c>
      <c r="AJ2007" t="str">
        <f t="shared" ref="AJ2007:AJ2044" si="535">MID($A2007,AG$8+AG$9+AH$9+AI$9-3,AJ$9)</f>
        <v/>
      </c>
    </row>
    <row r="2008" spans="1:36" x14ac:dyDescent="0.25">
      <c r="A2008" t="s">
        <v>1538</v>
      </c>
      <c r="P2008" t="str">
        <f t="shared" si="520"/>
        <v xml:space="preserve">  UPME-8-RS000  </v>
      </c>
      <c r="Q2008" t="str">
        <f t="shared" si="520"/>
        <v xml:space="preserve">   -47.3 </v>
      </c>
      <c r="R2008" t="str">
        <f t="shared" si="529"/>
        <v xml:space="preserve">     0.0 </v>
      </c>
      <c r="S2008" t="str">
        <f t="shared" si="521"/>
        <v xml:space="preserve">     0.0 </v>
      </c>
      <c r="T2008" t="str">
        <f t="shared" si="522"/>
        <v xml:space="preserve">     0.0 </v>
      </c>
      <c r="U2008" t="str">
        <f t="shared" si="526"/>
        <v xml:space="preserve">         0.0 </v>
      </c>
      <c r="V2008" t="str">
        <f t="shared" si="530"/>
        <v xml:space="preserve">     0.0 </v>
      </c>
      <c r="W2008" t="str">
        <f t="shared" si="523"/>
        <v xml:space="preserve">     0.0 </v>
      </c>
      <c r="X2008" t="str">
        <f t="shared" si="527"/>
        <v xml:space="preserve">       </v>
      </c>
      <c r="Y2008" t="str">
        <f t="shared" si="527"/>
        <v xml:space="preserve">              </v>
      </c>
      <c r="Z2008" t="str">
        <f t="shared" si="527"/>
        <v xml:space="preserve">    </v>
      </c>
      <c r="AA2008" t="str">
        <f t="shared" si="531"/>
        <v xml:space="preserve">         </v>
      </c>
      <c r="AB2008" t="str">
        <f t="shared" si="524"/>
        <v xml:space="preserve">         </v>
      </c>
      <c r="AC2008" t="str">
        <f t="shared" si="525"/>
        <v xml:space="preserve">    </v>
      </c>
      <c r="AD2008" t="str">
        <f t="shared" si="526"/>
        <v/>
      </c>
      <c r="AE2008" t="str">
        <f t="shared" si="532"/>
        <v/>
      </c>
      <c r="AF2008" t="str">
        <f t="shared" si="528"/>
        <v/>
      </c>
      <c r="AG2008" t="str">
        <f t="shared" si="528"/>
        <v/>
      </c>
      <c r="AH2008" t="str">
        <f t="shared" si="533"/>
        <v/>
      </c>
      <c r="AI2008" t="str">
        <f t="shared" si="534"/>
        <v/>
      </c>
      <c r="AJ2008" t="str">
        <f t="shared" si="535"/>
        <v/>
      </c>
    </row>
    <row r="2009" spans="1:36" x14ac:dyDescent="0.25">
      <c r="A2009" t="s">
        <v>1539</v>
      </c>
      <c r="P2009" t="str">
        <f t="shared" si="520"/>
        <v xml:space="preserve">                </v>
      </c>
      <c r="Q2009" t="str">
        <f t="shared" si="520"/>
        <v xml:space="preserve">         </v>
      </c>
      <c r="R2009" t="str">
        <f t="shared" si="529"/>
        <v xml:space="preserve">    33.5 </v>
      </c>
      <c r="S2009" t="str">
        <f t="shared" si="521"/>
        <v xml:space="preserve">    33.5 </v>
      </c>
      <c r="T2009" t="str">
        <f t="shared" si="522"/>
        <v xml:space="preserve">    33.5 </v>
      </c>
      <c r="U2009" t="str">
        <f t="shared" si="526"/>
        <v xml:space="preserve">        0.0% </v>
      </c>
      <c r="V2009" t="str">
        <f t="shared" si="530"/>
        <v xml:space="preserve">         </v>
      </c>
      <c r="W2009" t="str">
        <f t="shared" si="523"/>
        <v xml:space="preserve">         </v>
      </c>
      <c r="X2009" t="str">
        <f t="shared" si="527"/>
        <v xml:space="preserve">  1239 </v>
      </c>
      <c r="Y2009" t="str">
        <f t="shared" si="527"/>
        <v xml:space="preserve"> PMEDIC-RS230 </v>
      </c>
      <c r="Z2009" t="str">
        <f t="shared" si="527"/>
        <v xml:space="preserve">  8 </v>
      </c>
      <c r="AA2009" t="str">
        <f t="shared" si="531"/>
        <v xml:space="preserve">    -0.0 </v>
      </c>
      <c r="AB2009" t="str">
        <f t="shared" si="524"/>
        <v xml:space="preserve">    -0.0 </v>
      </c>
      <c r="AC2009" t="str">
        <f t="shared" si="525"/>
        <v xml:space="preserve">     0.0 </v>
      </c>
      <c r="AD2009" t="str">
        <f t="shared" si="526"/>
        <v xml:space="preserve">        </v>
      </c>
      <c r="AE2009" t="str">
        <f t="shared" si="532"/>
        <v xml:space="preserve">       </v>
      </c>
      <c r="AF2009" t="str">
        <f t="shared" si="528"/>
        <v xml:space="preserve"> 002 </v>
      </c>
      <c r="AG2009" t="str">
        <f t="shared" si="528"/>
        <v xml:space="preserve">     0.00 </v>
      </c>
      <c r="AH2009" t="str">
        <f t="shared" si="533"/>
        <v xml:space="preserve">     0.00 </v>
      </c>
      <c r="AI2009" t="str">
        <f t="shared" si="534"/>
        <v xml:space="preserve">       </v>
      </c>
      <c r="AJ2009" t="str">
        <f t="shared" si="535"/>
        <v xml:space="preserve">      </v>
      </c>
    </row>
    <row r="2010" spans="1:36" x14ac:dyDescent="0.25">
      <c r="A2010" t="s">
        <v>1540</v>
      </c>
      <c r="P2010" t="str">
        <f t="shared" si="520"/>
        <v xml:space="preserve">                </v>
      </c>
      <c r="Q2010" t="str">
        <f t="shared" si="520"/>
        <v xml:space="preserve">         </v>
      </c>
      <c r="R2010" t="str">
        <f t="shared" si="529"/>
        <v xml:space="preserve">    33.5 </v>
      </c>
      <c r="S2010" t="str">
        <f t="shared" si="521"/>
        <v xml:space="preserve">    33.5 </v>
      </c>
      <c r="T2010" t="str">
        <f t="shared" si="522"/>
        <v xml:space="preserve">    33.5 </v>
      </c>
      <c r="U2010" t="str">
        <f t="shared" si="526"/>
        <v xml:space="preserve">        0.0% </v>
      </c>
      <c r="V2010" t="str">
        <f t="shared" si="530"/>
        <v xml:space="preserve">         </v>
      </c>
      <c r="W2010" t="str">
        <f t="shared" si="523"/>
        <v xml:space="preserve">         </v>
      </c>
      <c r="X2010" t="str">
        <f t="shared" si="527"/>
        <v xml:space="preserve"> 43489 </v>
      </c>
      <c r="Y2010" t="str">
        <f t="shared" si="527"/>
        <v xml:space="preserve"> UPME-8-RS013 </v>
      </c>
      <c r="Z2010" t="str">
        <f t="shared" si="527"/>
        <v xml:space="preserve">  8 </v>
      </c>
      <c r="AA2010" t="str">
        <f t="shared" si="531"/>
        <v xml:space="preserve">     0.0 </v>
      </c>
      <c r="AB2010" t="str">
        <f t="shared" si="524"/>
        <v xml:space="preserve">     0.0 </v>
      </c>
      <c r="AC2010" t="str">
        <f t="shared" si="525"/>
        <v xml:space="preserve">     0.0 </v>
      </c>
      <c r="AD2010" t="str">
        <f t="shared" si="526"/>
        <v xml:space="preserve">        </v>
      </c>
      <c r="AE2010" t="str">
        <f t="shared" si="532"/>
        <v xml:space="preserve">       </v>
      </c>
      <c r="AF2010" t="str">
        <f t="shared" si="528"/>
        <v xml:space="preserve">     </v>
      </c>
      <c r="AG2010" t="str">
        <f t="shared" si="528"/>
        <v xml:space="preserve">     0.00 </v>
      </c>
      <c r="AH2010" t="str">
        <f t="shared" si="533"/>
        <v xml:space="preserve">     0.00 </v>
      </c>
      <c r="AI2010" t="str">
        <f t="shared" si="534"/>
        <v xml:space="preserve">       </v>
      </c>
      <c r="AJ2010" t="str">
        <f t="shared" si="535"/>
        <v xml:space="preserve">      </v>
      </c>
    </row>
    <row r="2011" spans="1:36" x14ac:dyDescent="0.25">
      <c r="A2011" t="s">
        <v>1541</v>
      </c>
      <c r="P2011" t="str">
        <f t="shared" ref="P2011:Q2044" si="536">MID($A2011,P$8,P$9)</f>
        <v xml:space="preserve">                </v>
      </c>
      <c r="Q2011" t="str">
        <f t="shared" si="536"/>
        <v xml:space="preserve">         </v>
      </c>
      <c r="R2011" t="str">
        <f t="shared" si="529"/>
        <v xml:space="preserve">    33.5 </v>
      </c>
      <c r="S2011" t="str">
        <f t="shared" ref="S2011:S2044" si="537">MID($A2011,Q$8+Q$9+R$9-2,S$9)</f>
        <v xml:space="preserve">    33.5 </v>
      </c>
      <c r="T2011" t="str">
        <f t="shared" ref="T2011:T2044" si="538">MID($A2011,Q$8+Q$9+R$9+S$9-3,T$9)</f>
        <v xml:space="preserve">    33.5 </v>
      </c>
      <c r="U2011" t="str">
        <f t="shared" si="526"/>
        <v xml:space="preserve">        0.0% </v>
      </c>
      <c r="V2011" t="str">
        <f t="shared" si="530"/>
        <v xml:space="preserve">         </v>
      </c>
      <c r="W2011" t="str">
        <f t="shared" ref="W2011:W2044" si="539">MID($A2011,U$8+U$9+V$9-2,W$9)</f>
        <v xml:space="preserve">         </v>
      </c>
      <c r="X2011" t="str">
        <f t="shared" si="527"/>
        <v xml:space="preserve"> 43490 </v>
      </c>
      <c r="Y2011" t="str">
        <f t="shared" si="527"/>
        <v xml:space="preserve"> UPME-8-RS006 </v>
      </c>
      <c r="Z2011" t="str">
        <f t="shared" si="527"/>
        <v xml:space="preserve">  8 </v>
      </c>
      <c r="AA2011" t="str">
        <f t="shared" si="531"/>
        <v xml:space="preserve">     0.0 </v>
      </c>
      <c r="AB2011" t="str">
        <f t="shared" ref="AB2011:AB2044" si="540">MID($A2011,Z$8+Z$9+AA$9-2,AB$9)</f>
        <v xml:space="preserve">     0.0 </v>
      </c>
      <c r="AC2011" t="str">
        <f t="shared" ref="AC2011:AC2044" si="541">MID($A2011,Z$8+Z$9+AA$9+AB$9-3,AC$9)</f>
        <v xml:space="preserve">     0.0 </v>
      </c>
      <c r="AD2011" t="str">
        <f t="shared" si="526"/>
        <v xml:space="preserve">        </v>
      </c>
      <c r="AE2011" t="str">
        <f t="shared" si="532"/>
        <v xml:space="preserve">       </v>
      </c>
      <c r="AF2011" t="str">
        <f t="shared" si="528"/>
        <v xml:space="preserve">     </v>
      </c>
      <c r="AG2011" t="str">
        <f t="shared" si="528"/>
        <v xml:space="preserve">     0.00 </v>
      </c>
      <c r="AH2011" t="str">
        <f t="shared" si="533"/>
        <v xml:space="preserve">     0.00 </v>
      </c>
      <c r="AI2011" t="str">
        <f t="shared" si="534"/>
        <v xml:space="preserve">       </v>
      </c>
      <c r="AJ2011" t="str">
        <f t="shared" si="535"/>
        <v xml:space="preserve">      </v>
      </c>
    </row>
    <row r="2012" spans="1:36" x14ac:dyDescent="0.25">
      <c r="A2012" t="s">
        <v>14</v>
      </c>
      <c r="P2012" t="str">
        <f t="shared" si="536"/>
        <v xml:space="preserve">  ..............</v>
      </c>
      <c r="Q2012" t="str">
        <f t="shared" si="536"/>
        <v>.........</v>
      </c>
      <c r="R2012" t="str">
        <f t="shared" si="529"/>
        <v>.........</v>
      </c>
      <c r="S2012" t="str">
        <f t="shared" si="537"/>
        <v>.........</v>
      </c>
      <c r="T2012" t="str">
        <f t="shared" si="538"/>
        <v>.........</v>
      </c>
      <c r="U2012" t="str">
        <f t="shared" ref="U2012:AD2044" si="542">MID($A2012,U$8,U$9)</f>
        <v>.............</v>
      </c>
      <c r="V2012" t="str">
        <f t="shared" si="530"/>
        <v>.........</v>
      </c>
      <c r="W2012" t="str">
        <f t="shared" si="539"/>
        <v>.........</v>
      </c>
      <c r="X2012" t="str">
        <f t="shared" ref="X2012:Z2044" si="543">MID($A2012,X$8,X$9)</f>
        <v>.......</v>
      </c>
      <c r="Y2012" t="str">
        <f t="shared" si="543"/>
        <v>..............</v>
      </c>
      <c r="Z2012" t="str">
        <f t="shared" si="543"/>
        <v>....</v>
      </c>
      <c r="AA2012" t="str">
        <f t="shared" si="531"/>
        <v>.........</v>
      </c>
      <c r="AB2012" t="str">
        <f t="shared" si="540"/>
        <v>.........</v>
      </c>
      <c r="AC2012" t="str">
        <f t="shared" si="541"/>
        <v>.........</v>
      </c>
      <c r="AD2012" t="str">
        <f t="shared" si="542"/>
        <v>........</v>
      </c>
      <c r="AE2012" t="str">
        <f t="shared" si="532"/>
        <v>.......</v>
      </c>
      <c r="AF2012" t="str">
        <f t="shared" si="528"/>
        <v>.....</v>
      </c>
      <c r="AG2012" t="str">
        <f t="shared" si="528"/>
        <v>..........</v>
      </c>
      <c r="AH2012" t="str">
        <f t="shared" si="533"/>
        <v>..........</v>
      </c>
      <c r="AI2012" t="str">
        <f t="shared" si="534"/>
        <v>.......</v>
      </c>
      <c r="AJ2012" t="str">
        <f t="shared" si="535"/>
        <v>.......</v>
      </c>
    </row>
    <row r="2013" spans="1:36" x14ac:dyDescent="0.25">
      <c r="A2013" t="s">
        <v>1542</v>
      </c>
      <c r="P2013" t="str">
        <f t="shared" si="536"/>
        <v xml:space="preserve">  43489   14  0 </v>
      </c>
      <c r="Q2013" t="str">
        <f t="shared" si="536"/>
        <v xml:space="preserve">   1.026 </v>
      </c>
      <c r="R2013" t="str">
        <f t="shared" si="529"/>
        <v xml:space="preserve">     0.0 </v>
      </c>
      <c r="S2013" t="str">
        <f t="shared" si="537"/>
        <v xml:space="preserve">     0.0 </v>
      </c>
      <c r="T2013" t="str">
        <f t="shared" si="538"/>
        <v xml:space="preserve">     0.0 </v>
      </c>
      <c r="U2013" t="str">
        <f t="shared" si="542"/>
        <v xml:space="preserve">         0.0 </v>
      </c>
      <c r="V2013" t="str">
        <f t="shared" si="530"/>
        <v xml:space="preserve">     0.0 </v>
      </c>
      <c r="W2013" t="str">
        <f t="shared" si="539"/>
        <v xml:space="preserve">     0.0</v>
      </c>
      <c r="X2013" t="str">
        <f t="shared" si="543"/>
        <v/>
      </c>
      <c r="Y2013" t="str">
        <f t="shared" si="543"/>
        <v/>
      </c>
      <c r="Z2013" t="str">
        <f t="shared" si="543"/>
        <v/>
      </c>
      <c r="AA2013" t="str">
        <f t="shared" si="531"/>
        <v/>
      </c>
      <c r="AB2013" t="str">
        <f t="shared" si="540"/>
        <v/>
      </c>
      <c r="AC2013" t="str">
        <f t="shared" si="541"/>
        <v/>
      </c>
      <c r="AD2013" t="str">
        <f t="shared" si="542"/>
        <v/>
      </c>
      <c r="AE2013" t="str">
        <f t="shared" si="532"/>
        <v/>
      </c>
      <c r="AF2013" t="str">
        <f t="shared" ref="AF2013:AG2044" si="544">MID($A2013,AF$8,AF$9)</f>
        <v/>
      </c>
      <c r="AG2013" t="str">
        <f t="shared" si="544"/>
        <v/>
      </c>
      <c r="AH2013" t="str">
        <f t="shared" si="533"/>
        <v/>
      </c>
      <c r="AI2013" t="str">
        <f t="shared" si="534"/>
        <v/>
      </c>
      <c r="AJ2013" t="str">
        <f t="shared" si="535"/>
        <v/>
      </c>
    </row>
    <row r="2014" spans="1:36" x14ac:dyDescent="0.25">
      <c r="A2014" t="s">
        <v>1543</v>
      </c>
      <c r="P2014" t="str">
        <f t="shared" si="536"/>
        <v xml:space="preserve">  UPME-8-RS013  </v>
      </c>
      <c r="Q2014" t="str">
        <f t="shared" si="536"/>
        <v xml:space="preserve">   -47.3 </v>
      </c>
      <c r="R2014" t="str">
        <f t="shared" si="529"/>
        <v xml:space="preserve">     0.0 </v>
      </c>
      <c r="S2014" t="str">
        <f t="shared" si="537"/>
        <v xml:space="preserve">     0.0 </v>
      </c>
      <c r="T2014" t="str">
        <f t="shared" si="538"/>
        <v xml:space="preserve">     0.0 </v>
      </c>
      <c r="U2014" t="str">
        <f t="shared" si="542"/>
        <v xml:space="preserve">         0.0 </v>
      </c>
      <c r="V2014" t="str">
        <f t="shared" si="530"/>
        <v xml:space="preserve">     0.0 </v>
      </c>
      <c r="W2014" t="str">
        <f t="shared" si="539"/>
        <v xml:space="preserve">     0.0 </v>
      </c>
      <c r="X2014" t="str">
        <f t="shared" si="543"/>
        <v xml:space="preserve">       </v>
      </c>
      <c r="Y2014" t="str">
        <f t="shared" si="543"/>
        <v xml:space="preserve">              </v>
      </c>
      <c r="Z2014" t="str">
        <f t="shared" si="543"/>
        <v xml:space="preserve">    </v>
      </c>
      <c r="AA2014" t="str">
        <f t="shared" si="531"/>
        <v xml:space="preserve">         </v>
      </c>
      <c r="AB2014" t="str">
        <f t="shared" si="540"/>
        <v xml:space="preserve">         </v>
      </c>
      <c r="AC2014" t="str">
        <f t="shared" si="541"/>
        <v xml:space="preserve">    </v>
      </c>
      <c r="AD2014" t="str">
        <f t="shared" si="542"/>
        <v/>
      </c>
      <c r="AE2014" t="str">
        <f t="shared" si="532"/>
        <v/>
      </c>
      <c r="AF2014" t="str">
        <f t="shared" si="544"/>
        <v/>
      </c>
      <c r="AG2014" t="str">
        <f t="shared" si="544"/>
        <v/>
      </c>
      <c r="AH2014" t="str">
        <f t="shared" si="533"/>
        <v/>
      </c>
      <c r="AI2014" t="str">
        <f t="shared" si="534"/>
        <v/>
      </c>
      <c r="AJ2014" t="str">
        <f t="shared" si="535"/>
        <v/>
      </c>
    </row>
    <row r="2015" spans="1:36" x14ac:dyDescent="0.25">
      <c r="A2015" t="s">
        <v>1544</v>
      </c>
      <c r="P2015" t="str">
        <f t="shared" si="536"/>
        <v xml:space="preserve">                </v>
      </c>
      <c r="Q2015" t="str">
        <f t="shared" si="536"/>
        <v xml:space="preserve">         </v>
      </c>
      <c r="R2015" t="str">
        <f t="shared" si="529"/>
        <v xml:space="preserve">    33.5 </v>
      </c>
      <c r="S2015" t="str">
        <f t="shared" si="537"/>
        <v xml:space="preserve">    33.5 </v>
      </c>
      <c r="T2015" t="str">
        <f t="shared" si="538"/>
        <v xml:space="preserve">    33.5 </v>
      </c>
      <c r="U2015" t="str">
        <f t="shared" si="542"/>
        <v xml:space="preserve">        0.0% </v>
      </c>
      <c r="V2015" t="str">
        <f t="shared" si="530"/>
        <v xml:space="preserve">         </v>
      </c>
      <c r="W2015" t="str">
        <f t="shared" si="539"/>
        <v xml:space="preserve">         </v>
      </c>
      <c r="X2015" t="str">
        <f t="shared" si="543"/>
        <v xml:space="preserve"> 43488 </v>
      </c>
      <c r="Y2015" t="str">
        <f t="shared" si="543"/>
        <v xml:space="preserve"> UPME-8-RS000 </v>
      </c>
      <c r="Z2015" t="str">
        <f t="shared" si="543"/>
        <v xml:space="preserve">  8 </v>
      </c>
      <c r="AA2015" t="str">
        <f t="shared" si="531"/>
        <v xml:space="preserve">     0.0 </v>
      </c>
      <c r="AB2015" t="str">
        <f t="shared" si="540"/>
        <v xml:space="preserve">     0.0 </v>
      </c>
      <c r="AC2015" t="str">
        <f t="shared" si="541"/>
        <v xml:space="preserve">     0.0 </v>
      </c>
      <c r="AD2015" t="str">
        <f t="shared" si="542"/>
        <v xml:space="preserve"> 1.000F </v>
      </c>
      <c r="AE2015" t="str">
        <f t="shared" si="532"/>
        <v xml:space="preserve">       </v>
      </c>
      <c r="AF2015" t="str">
        <f t="shared" si="544"/>
        <v xml:space="preserve">     </v>
      </c>
      <c r="AG2015" t="str">
        <f t="shared" si="544"/>
        <v xml:space="preserve">     0.00 </v>
      </c>
      <c r="AH2015" t="str">
        <f t="shared" si="533"/>
        <v xml:space="preserve">     0.00 </v>
      </c>
      <c r="AI2015" t="str">
        <f t="shared" si="534"/>
        <v xml:space="preserve">       </v>
      </c>
      <c r="AJ2015" t="str">
        <f t="shared" si="535"/>
        <v xml:space="preserve">      </v>
      </c>
    </row>
    <row r="2016" spans="1:36" x14ac:dyDescent="0.25">
      <c r="A2016" t="s">
        <v>14</v>
      </c>
      <c r="P2016" t="str">
        <f t="shared" si="536"/>
        <v xml:space="preserve">  ..............</v>
      </c>
      <c r="Q2016" t="str">
        <f t="shared" si="536"/>
        <v>.........</v>
      </c>
      <c r="R2016" t="str">
        <f t="shared" si="529"/>
        <v>.........</v>
      </c>
      <c r="S2016" t="str">
        <f t="shared" si="537"/>
        <v>.........</v>
      </c>
      <c r="T2016" t="str">
        <f t="shared" si="538"/>
        <v>.........</v>
      </c>
      <c r="U2016" t="str">
        <f t="shared" si="542"/>
        <v>.............</v>
      </c>
      <c r="V2016" t="str">
        <f t="shared" si="530"/>
        <v>.........</v>
      </c>
      <c r="W2016" t="str">
        <f t="shared" si="539"/>
        <v>.........</v>
      </c>
      <c r="X2016" t="str">
        <f t="shared" si="543"/>
        <v>.......</v>
      </c>
      <c r="Y2016" t="str">
        <f t="shared" si="543"/>
        <v>..............</v>
      </c>
      <c r="Z2016" t="str">
        <f t="shared" si="543"/>
        <v>....</v>
      </c>
      <c r="AA2016" t="str">
        <f t="shared" si="531"/>
        <v>.........</v>
      </c>
      <c r="AB2016" t="str">
        <f t="shared" si="540"/>
        <v>.........</v>
      </c>
      <c r="AC2016" t="str">
        <f t="shared" si="541"/>
        <v>.........</v>
      </c>
      <c r="AD2016" t="str">
        <f t="shared" si="542"/>
        <v>........</v>
      </c>
      <c r="AE2016" t="str">
        <f t="shared" si="532"/>
        <v>.......</v>
      </c>
      <c r="AF2016" t="str">
        <f t="shared" si="544"/>
        <v>.....</v>
      </c>
      <c r="AG2016" t="str">
        <f t="shared" si="544"/>
        <v>..........</v>
      </c>
      <c r="AH2016" t="str">
        <f t="shared" si="533"/>
        <v>..........</v>
      </c>
      <c r="AI2016" t="str">
        <f t="shared" si="534"/>
        <v>.......</v>
      </c>
      <c r="AJ2016" t="str">
        <f t="shared" si="535"/>
        <v>.......</v>
      </c>
    </row>
    <row r="2017" spans="1:36" x14ac:dyDescent="0.25">
      <c r="A2017" t="s">
        <v>1545</v>
      </c>
      <c r="P2017" t="str">
        <f t="shared" si="536"/>
        <v xml:space="preserve">  43490    1  0 </v>
      </c>
      <c r="Q2017" t="str">
        <f t="shared" si="536"/>
        <v xml:space="preserve">   1.026 </v>
      </c>
      <c r="R2017" t="str">
        <f t="shared" si="529"/>
        <v xml:space="preserve">     0.0 </v>
      </c>
      <c r="S2017" t="str">
        <f t="shared" si="537"/>
        <v xml:space="preserve">     0.0 </v>
      </c>
      <c r="T2017" t="str">
        <f t="shared" si="538"/>
        <v xml:space="preserve">     0.0 </v>
      </c>
      <c r="U2017" t="str">
        <f t="shared" si="542"/>
        <v xml:space="preserve">         0.0 </v>
      </c>
      <c r="V2017" t="str">
        <f t="shared" si="530"/>
        <v xml:space="preserve">     0.0 </v>
      </c>
      <c r="W2017" t="str">
        <f t="shared" si="539"/>
        <v xml:space="preserve">     0.0</v>
      </c>
      <c r="X2017" t="str">
        <f t="shared" si="543"/>
        <v/>
      </c>
      <c r="Y2017" t="str">
        <f t="shared" si="543"/>
        <v/>
      </c>
      <c r="Z2017" t="str">
        <f t="shared" si="543"/>
        <v/>
      </c>
      <c r="AA2017" t="str">
        <f t="shared" si="531"/>
        <v/>
      </c>
      <c r="AB2017" t="str">
        <f t="shared" si="540"/>
        <v/>
      </c>
      <c r="AC2017" t="str">
        <f t="shared" si="541"/>
        <v/>
      </c>
      <c r="AD2017" t="str">
        <f t="shared" si="542"/>
        <v/>
      </c>
      <c r="AE2017" t="str">
        <f t="shared" si="532"/>
        <v/>
      </c>
      <c r="AF2017" t="str">
        <f t="shared" si="544"/>
        <v/>
      </c>
      <c r="AG2017" t="str">
        <f t="shared" si="544"/>
        <v/>
      </c>
      <c r="AH2017" t="str">
        <f t="shared" si="533"/>
        <v/>
      </c>
      <c r="AI2017" t="str">
        <f t="shared" si="534"/>
        <v/>
      </c>
      <c r="AJ2017" t="str">
        <f t="shared" si="535"/>
        <v/>
      </c>
    </row>
    <row r="2018" spans="1:36" x14ac:dyDescent="0.25">
      <c r="A2018" t="s">
        <v>1546</v>
      </c>
      <c r="P2018" t="str">
        <f t="shared" si="536"/>
        <v xml:space="preserve">  UPME-8-RS006  </v>
      </c>
      <c r="Q2018" t="str">
        <f t="shared" si="536"/>
        <v xml:space="preserve">   -47.3 </v>
      </c>
      <c r="R2018" t="str">
        <f t="shared" si="529"/>
        <v xml:space="preserve">     0.0 </v>
      </c>
      <c r="S2018" t="str">
        <f t="shared" si="537"/>
        <v xml:space="preserve">     0.0 </v>
      </c>
      <c r="T2018" t="str">
        <f t="shared" si="538"/>
        <v xml:space="preserve">     0.0 </v>
      </c>
      <c r="U2018" t="str">
        <f t="shared" si="542"/>
        <v xml:space="preserve">         0.0 </v>
      </c>
      <c r="V2018" t="str">
        <f t="shared" si="530"/>
        <v xml:space="preserve">     0.0 </v>
      </c>
      <c r="W2018" t="str">
        <f t="shared" si="539"/>
        <v xml:space="preserve">     0.0 </v>
      </c>
      <c r="X2018" t="str">
        <f t="shared" si="543"/>
        <v xml:space="preserve">       </v>
      </c>
      <c r="Y2018" t="str">
        <f t="shared" si="543"/>
        <v xml:space="preserve">              </v>
      </c>
      <c r="Z2018" t="str">
        <f t="shared" si="543"/>
        <v xml:space="preserve">    </v>
      </c>
      <c r="AA2018" t="str">
        <f t="shared" si="531"/>
        <v xml:space="preserve">         </v>
      </c>
      <c r="AB2018" t="str">
        <f t="shared" si="540"/>
        <v xml:space="preserve">         </v>
      </c>
      <c r="AC2018" t="str">
        <f t="shared" si="541"/>
        <v xml:space="preserve">    </v>
      </c>
      <c r="AD2018" t="str">
        <f t="shared" si="542"/>
        <v/>
      </c>
      <c r="AE2018" t="str">
        <f t="shared" si="532"/>
        <v/>
      </c>
      <c r="AF2018" t="str">
        <f t="shared" si="544"/>
        <v/>
      </c>
      <c r="AG2018" t="str">
        <f t="shared" si="544"/>
        <v/>
      </c>
      <c r="AH2018" t="str">
        <f t="shared" si="533"/>
        <v/>
      </c>
      <c r="AI2018" t="str">
        <f t="shared" si="534"/>
        <v/>
      </c>
      <c r="AJ2018" t="str">
        <f t="shared" si="535"/>
        <v/>
      </c>
    </row>
    <row r="2019" spans="1:36" x14ac:dyDescent="0.25">
      <c r="A2019" t="s">
        <v>1544</v>
      </c>
      <c r="P2019" t="str">
        <f t="shared" si="536"/>
        <v xml:space="preserve">                </v>
      </c>
      <c r="Q2019" t="str">
        <f t="shared" si="536"/>
        <v xml:space="preserve">         </v>
      </c>
      <c r="R2019" t="str">
        <f t="shared" si="529"/>
        <v xml:space="preserve">    33.5 </v>
      </c>
      <c r="S2019" t="str">
        <f t="shared" si="537"/>
        <v xml:space="preserve">    33.5 </v>
      </c>
      <c r="T2019" t="str">
        <f t="shared" si="538"/>
        <v xml:space="preserve">    33.5 </v>
      </c>
      <c r="U2019" t="str">
        <f t="shared" si="542"/>
        <v xml:space="preserve">        0.0% </v>
      </c>
      <c r="V2019" t="str">
        <f t="shared" si="530"/>
        <v xml:space="preserve">         </v>
      </c>
      <c r="W2019" t="str">
        <f t="shared" si="539"/>
        <v xml:space="preserve">         </v>
      </c>
      <c r="X2019" t="str">
        <f t="shared" si="543"/>
        <v xml:space="preserve"> 43488 </v>
      </c>
      <c r="Y2019" t="str">
        <f t="shared" si="543"/>
        <v xml:space="preserve"> UPME-8-RS000 </v>
      </c>
      <c r="Z2019" t="str">
        <f t="shared" si="543"/>
        <v xml:space="preserve">  8 </v>
      </c>
      <c r="AA2019" t="str">
        <f t="shared" si="531"/>
        <v xml:space="preserve">     0.0 </v>
      </c>
      <c r="AB2019" t="str">
        <f t="shared" si="540"/>
        <v xml:space="preserve">     0.0 </v>
      </c>
      <c r="AC2019" t="str">
        <f t="shared" si="541"/>
        <v xml:space="preserve">     0.0 </v>
      </c>
      <c r="AD2019" t="str">
        <f t="shared" si="542"/>
        <v xml:space="preserve"> 1.000F </v>
      </c>
      <c r="AE2019" t="str">
        <f t="shared" si="532"/>
        <v xml:space="preserve">       </v>
      </c>
      <c r="AF2019" t="str">
        <f t="shared" si="544"/>
        <v xml:space="preserve">     </v>
      </c>
      <c r="AG2019" t="str">
        <f t="shared" si="544"/>
        <v xml:space="preserve">     0.00 </v>
      </c>
      <c r="AH2019" t="str">
        <f t="shared" si="533"/>
        <v xml:space="preserve">     0.00 </v>
      </c>
      <c r="AI2019" t="str">
        <f t="shared" si="534"/>
        <v xml:space="preserve">       </v>
      </c>
      <c r="AJ2019" t="str">
        <f t="shared" si="535"/>
        <v xml:space="preserve">      </v>
      </c>
    </row>
    <row r="2020" spans="1:36" x14ac:dyDescent="0.25">
      <c r="A2020" t="s">
        <v>14</v>
      </c>
      <c r="P2020" t="str">
        <f t="shared" si="536"/>
        <v xml:space="preserve">  ..............</v>
      </c>
      <c r="Q2020" t="str">
        <f t="shared" si="536"/>
        <v>.........</v>
      </c>
      <c r="R2020" t="str">
        <f t="shared" si="529"/>
        <v>.........</v>
      </c>
      <c r="S2020" t="str">
        <f t="shared" si="537"/>
        <v>.........</v>
      </c>
      <c r="T2020" t="str">
        <f t="shared" si="538"/>
        <v>.........</v>
      </c>
      <c r="U2020" t="str">
        <f t="shared" si="542"/>
        <v>.............</v>
      </c>
      <c r="V2020" t="str">
        <f t="shared" si="530"/>
        <v>.........</v>
      </c>
      <c r="W2020" t="str">
        <f t="shared" si="539"/>
        <v>.........</v>
      </c>
      <c r="X2020" t="str">
        <f t="shared" si="543"/>
        <v>.......</v>
      </c>
      <c r="Y2020" t="str">
        <f t="shared" si="543"/>
        <v>..............</v>
      </c>
      <c r="Z2020" t="str">
        <f t="shared" si="543"/>
        <v>....</v>
      </c>
      <c r="AA2020" t="str">
        <f t="shared" si="531"/>
        <v>.........</v>
      </c>
      <c r="AB2020" t="str">
        <f t="shared" si="540"/>
        <v>.........</v>
      </c>
      <c r="AC2020" t="str">
        <f t="shared" si="541"/>
        <v>.........</v>
      </c>
      <c r="AD2020" t="str">
        <f t="shared" si="542"/>
        <v>........</v>
      </c>
      <c r="AE2020" t="str">
        <f t="shared" si="532"/>
        <v>.......</v>
      </c>
      <c r="AF2020" t="str">
        <f t="shared" si="544"/>
        <v>.....</v>
      </c>
      <c r="AG2020" t="str">
        <f t="shared" si="544"/>
        <v>..........</v>
      </c>
      <c r="AH2020" t="str">
        <f t="shared" si="533"/>
        <v>..........</v>
      </c>
      <c r="AI2020" t="str">
        <f t="shared" si="534"/>
        <v>.......</v>
      </c>
      <c r="AJ2020" t="str">
        <f t="shared" si="535"/>
        <v>.......</v>
      </c>
    </row>
    <row r="2021" spans="1:36" x14ac:dyDescent="0.25">
      <c r="A2021" t="s">
        <v>1547</v>
      </c>
      <c r="P2021" t="str">
        <f t="shared" si="536"/>
        <v xml:space="preserve">  91017    1  0 </v>
      </c>
      <c r="Q2021" t="str">
        <f t="shared" si="536"/>
        <v xml:space="preserve">   1.025 </v>
      </c>
      <c r="R2021" t="str">
        <f t="shared" si="529"/>
        <v xml:space="preserve">     0.0 </v>
      </c>
      <c r="S2021" t="str">
        <f t="shared" si="537"/>
        <v xml:space="preserve">     0.0 </v>
      </c>
      <c r="T2021" t="str">
        <f t="shared" si="538"/>
        <v xml:space="preserve">     0.0 </v>
      </c>
      <c r="U2021" t="str">
        <f t="shared" si="542"/>
        <v xml:space="preserve">         0.0 </v>
      </c>
      <c r="V2021" t="str">
        <f t="shared" si="530"/>
        <v xml:space="preserve">     0.0 </v>
      </c>
      <c r="W2021" t="str">
        <f t="shared" si="539"/>
        <v xml:space="preserve">     0.0</v>
      </c>
      <c r="X2021" t="str">
        <f t="shared" si="543"/>
        <v/>
      </c>
      <c r="Y2021" t="str">
        <f t="shared" si="543"/>
        <v/>
      </c>
      <c r="Z2021" t="str">
        <f t="shared" si="543"/>
        <v/>
      </c>
      <c r="AA2021" t="str">
        <f t="shared" si="531"/>
        <v/>
      </c>
      <c r="AB2021" t="str">
        <f t="shared" si="540"/>
        <v/>
      </c>
      <c r="AC2021" t="str">
        <f t="shared" si="541"/>
        <v/>
      </c>
      <c r="AD2021" t="str">
        <f t="shared" si="542"/>
        <v/>
      </c>
      <c r="AE2021" t="str">
        <f t="shared" si="532"/>
        <v/>
      </c>
      <c r="AF2021" t="str">
        <f t="shared" si="544"/>
        <v/>
      </c>
      <c r="AG2021" t="str">
        <f t="shared" si="544"/>
        <v/>
      </c>
      <c r="AH2021" t="str">
        <f t="shared" si="533"/>
        <v/>
      </c>
      <c r="AI2021" t="str">
        <f t="shared" si="534"/>
        <v/>
      </c>
      <c r="AJ2021" t="str">
        <f t="shared" si="535"/>
        <v/>
      </c>
    </row>
    <row r="2022" spans="1:36" x14ac:dyDescent="0.25">
      <c r="A2022" t="s">
        <v>1548</v>
      </c>
      <c r="P2022" t="str">
        <f t="shared" si="536"/>
        <v xml:space="preserve">  ALVES-SE138   </v>
      </c>
      <c r="Q2022" t="str">
        <f t="shared" si="536"/>
        <v xml:space="preserve">    60.2 </v>
      </c>
      <c r="R2022" t="str">
        <f t="shared" si="529"/>
        <v xml:space="preserve">     0.0 </v>
      </c>
      <c r="S2022" t="str">
        <f t="shared" si="537"/>
        <v xml:space="preserve">     0.0 </v>
      </c>
      <c r="T2022" t="str">
        <f t="shared" si="538"/>
        <v xml:space="preserve">     0.0 </v>
      </c>
      <c r="U2022" t="str">
        <f t="shared" si="542"/>
        <v xml:space="preserve">         0.0 </v>
      </c>
      <c r="V2022" t="str">
        <f t="shared" si="530"/>
        <v xml:space="preserve">     0.0 </v>
      </c>
      <c r="W2022" t="str">
        <f t="shared" si="539"/>
        <v xml:space="preserve">     0.0 </v>
      </c>
      <c r="X2022" t="str">
        <f t="shared" si="543"/>
        <v xml:space="preserve">       </v>
      </c>
      <c r="Y2022" t="str">
        <f t="shared" si="543"/>
        <v xml:space="preserve">              </v>
      </c>
      <c r="Z2022" t="str">
        <f t="shared" si="543"/>
        <v xml:space="preserve">    </v>
      </c>
      <c r="AA2022" t="str">
        <f t="shared" si="531"/>
        <v xml:space="preserve">         </v>
      </c>
      <c r="AB2022" t="str">
        <f t="shared" si="540"/>
        <v xml:space="preserve">         </v>
      </c>
      <c r="AC2022" t="str">
        <f t="shared" si="541"/>
        <v xml:space="preserve">    </v>
      </c>
      <c r="AD2022" t="str">
        <f t="shared" si="542"/>
        <v/>
      </c>
      <c r="AE2022" t="str">
        <f t="shared" si="532"/>
        <v/>
      </c>
      <c r="AF2022" t="str">
        <f t="shared" si="544"/>
        <v/>
      </c>
      <c r="AG2022" t="str">
        <f t="shared" si="544"/>
        <v/>
      </c>
      <c r="AH2022" t="str">
        <f t="shared" si="533"/>
        <v/>
      </c>
      <c r="AI2022" t="str">
        <f t="shared" si="534"/>
        <v/>
      </c>
      <c r="AJ2022" t="str">
        <f t="shared" si="535"/>
        <v/>
      </c>
    </row>
    <row r="2023" spans="1:36" x14ac:dyDescent="0.25">
      <c r="A2023" t="s">
        <v>1549</v>
      </c>
      <c r="P2023" t="str">
        <f t="shared" si="536"/>
        <v xml:space="preserve">                </v>
      </c>
      <c r="Q2023" t="str">
        <f t="shared" si="536"/>
        <v xml:space="preserve">         </v>
      </c>
      <c r="R2023" t="str">
        <f t="shared" si="529"/>
        <v xml:space="preserve">   180.0 </v>
      </c>
      <c r="S2023" t="str">
        <f t="shared" si="537"/>
        <v xml:space="preserve">   180.0 </v>
      </c>
      <c r="T2023" t="str">
        <f t="shared" si="538"/>
        <v xml:space="preserve">   180.0 </v>
      </c>
      <c r="U2023" t="str">
        <f t="shared" si="542"/>
        <v xml:space="preserve">       65.2% </v>
      </c>
      <c r="V2023" t="str">
        <f t="shared" si="530"/>
        <v xml:space="preserve">         </v>
      </c>
      <c r="W2023" t="str">
        <f t="shared" si="539"/>
        <v xml:space="preserve">         </v>
      </c>
      <c r="X2023" t="str">
        <f t="shared" si="543"/>
        <v xml:space="preserve">  4081 </v>
      </c>
      <c r="Y2023" t="str">
        <f t="shared" si="543"/>
        <v xml:space="preserve"> ARACUA-MG138 </v>
      </c>
      <c r="Z2023" t="str">
        <f t="shared" si="543"/>
        <v xml:space="preserve">  1 </v>
      </c>
      <c r="AA2023" t="str">
        <f t="shared" si="531"/>
        <v xml:space="preserve">   120.0 </v>
      </c>
      <c r="AB2023" t="str">
        <f t="shared" si="540"/>
        <v xml:space="preserve">    -9.0 </v>
      </c>
      <c r="AC2023" t="str">
        <f t="shared" si="541"/>
        <v xml:space="preserve">   117.4 </v>
      </c>
      <c r="AD2023" t="str">
        <f t="shared" si="542"/>
        <v xml:space="preserve">        </v>
      </c>
      <c r="AE2023" t="str">
        <f t="shared" si="532"/>
        <v xml:space="preserve">       </v>
      </c>
      <c r="AF2023" t="str">
        <f t="shared" si="544"/>
        <v xml:space="preserve"> 356 </v>
      </c>
      <c r="AG2023" t="str">
        <f t="shared" si="544"/>
        <v xml:space="preserve">     0.99 </v>
      </c>
      <c r="AH2023" t="str">
        <f t="shared" si="533"/>
        <v xml:space="preserve">     3.60 </v>
      </c>
      <c r="AI2023" t="str">
        <f t="shared" si="534"/>
        <v xml:space="preserve">       </v>
      </c>
      <c r="AJ2023" t="str">
        <f t="shared" si="535"/>
        <v xml:space="preserve">      </v>
      </c>
    </row>
    <row r="2024" spans="1:36" x14ac:dyDescent="0.25">
      <c r="A2024" t="s">
        <v>1550</v>
      </c>
      <c r="P2024" t="str">
        <f t="shared" si="536"/>
        <v xml:space="preserve">                </v>
      </c>
      <c r="Q2024" t="str">
        <f t="shared" si="536"/>
        <v xml:space="preserve">         </v>
      </c>
      <c r="R2024" t="str">
        <f t="shared" si="529"/>
        <v xml:space="preserve">    70.0 </v>
      </c>
      <c r="S2024" t="str">
        <f t="shared" si="537"/>
        <v xml:space="preserve">    70.0 </v>
      </c>
      <c r="T2024" t="str">
        <f t="shared" si="538"/>
        <v xml:space="preserve">    70.0 </v>
      </c>
      <c r="U2024" t="str">
        <f t="shared" si="542"/>
        <v xml:space="preserve">       83.9% </v>
      </c>
      <c r="V2024" t="str">
        <f t="shared" si="530"/>
        <v xml:space="preserve">         </v>
      </c>
      <c r="W2024" t="str">
        <f t="shared" si="539"/>
        <v xml:space="preserve">         </v>
      </c>
      <c r="X2024" t="str">
        <f t="shared" si="543"/>
        <v xml:space="preserve"> 91018 </v>
      </c>
      <c r="Y2024" t="str">
        <f t="shared" si="543"/>
        <v xml:space="preserve"> ALVES-GER34  </v>
      </c>
      <c r="Z2024" t="str">
        <f t="shared" si="543"/>
        <v xml:space="preserve">  1 </v>
      </c>
      <c r="AA2024" t="str">
        <f t="shared" si="531"/>
        <v xml:space="preserve">   -60.0 </v>
      </c>
      <c r="AB2024" t="str">
        <f t="shared" si="540"/>
        <v xml:space="preserve">     4.5 </v>
      </c>
      <c r="AC2024" t="str">
        <f t="shared" si="541"/>
        <v xml:space="preserve">    58.7 </v>
      </c>
      <c r="AD2024" t="str">
        <f t="shared" si="542"/>
        <v xml:space="preserve"> 1.022* </v>
      </c>
      <c r="AE2024" t="str">
        <f t="shared" si="532"/>
        <v xml:space="preserve">       </v>
      </c>
      <c r="AF2024" t="str">
        <f t="shared" si="544"/>
        <v xml:space="preserve">     </v>
      </c>
      <c r="AG2024" t="str">
        <f t="shared" si="544"/>
        <v xml:space="preserve">     0.00 </v>
      </c>
      <c r="AH2024" t="str">
        <f t="shared" si="533"/>
        <v xml:space="preserve">     4.50 </v>
      </c>
      <c r="AI2024" t="str">
        <f t="shared" si="534"/>
        <v xml:space="preserve">       </v>
      </c>
      <c r="AJ2024" t="str">
        <f t="shared" si="535"/>
        <v xml:space="preserve">      </v>
      </c>
    </row>
    <row r="2025" spans="1:36" x14ac:dyDescent="0.25">
      <c r="A2025" t="s">
        <v>1551</v>
      </c>
      <c r="P2025" t="str">
        <f t="shared" si="536"/>
        <v xml:space="preserve">                </v>
      </c>
      <c r="Q2025" t="str">
        <f t="shared" si="536"/>
        <v xml:space="preserve">         </v>
      </c>
      <c r="R2025" t="str">
        <f t="shared" si="529"/>
        <v xml:space="preserve">    70.0 </v>
      </c>
      <c r="S2025" t="str">
        <f t="shared" si="537"/>
        <v xml:space="preserve">    70.0 </v>
      </c>
      <c r="T2025" t="str">
        <f t="shared" si="538"/>
        <v xml:space="preserve">    70.0 </v>
      </c>
      <c r="U2025" t="str">
        <f t="shared" si="542"/>
        <v xml:space="preserve">       83.9% </v>
      </c>
      <c r="V2025" t="str">
        <f t="shared" si="530"/>
        <v xml:space="preserve">         </v>
      </c>
      <c r="W2025" t="str">
        <f t="shared" si="539"/>
        <v xml:space="preserve">         </v>
      </c>
      <c r="X2025" t="str">
        <f t="shared" si="543"/>
        <v xml:space="preserve"> 91018 </v>
      </c>
      <c r="Y2025" t="str">
        <f t="shared" si="543"/>
        <v xml:space="preserve"> ALVES-GER34  </v>
      </c>
      <c r="Z2025" t="str">
        <f t="shared" si="543"/>
        <v xml:space="preserve">  2 </v>
      </c>
      <c r="AA2025" t="str">
        <f t="shared" si="531"/>
        <v xml:space="preserve">   -60.0 </v>
      </c>
      <c r="AB2025" t="str">
        <f t="shared" si="540"/>
        <v xml:space="preserve">     4.5 </v>
      </c>
      <c r="AC2025" t="str">
        <f t="shared" si="541"/>
        <v xml:space="preserve">    58.7 </v>
      </c>
      <c r="AD2025" t="str">
        <f t="shared" si="542"/>
        <v xml:space="preserve"> 1.022* </v>
      </c>
      <c r="AE2025" t="str">
        <f t="shared" si="532"/>
        <v xml:space="preserve">       </v>
      </c>
      <c r="AF2025" t="str">
        <f t="shared" si="544"/>
        <v xml:space="preserve">     </v>
      </c>
      <c r="AG2025" t="str">
        <f t="shared" si="544"/>
        <v xml:space="preserve">     0.00 </v>
      </c>
      <c r="AH2025" t="str">
        <f t="shared" si="533"/>
        <v xml:space="preserve">     4.50 </v>
      </c>
      <c r="AI2025" t="str">
        <f t="shared" si="534"/>
        <v xml:space="preserve">       </v>
      </c>
      <c r="AJ2025" t="str">
        <f t="shared" si="535"/>
        <v xml:space="preserve">      </v>
      </c>
    </row>
    <row r="2026" spans="1:36" x14ac:dyDescent="0.25">
      <c r="A2026" t="s">
        <v>14</v>
      </c>
      <c r="P2026" t="str">
        <f t="shared" si="536"/>
        <v xml:space="preserve">  ..............</v>
      </c>
      <c r="Q2026" t="str">
        <f t="shared" si="536"/>
        <v>.........</v>
      </c>
      <c r="R2026" t="str">
        <f t="shared" si="529"/>
        <v>.........</v>
      </c>
      <c r="S2026" t="str">
        <f t="shared" si="537"/>
        <v>.........</v>
      </c>
      <c r="T2026" t="str">
        <f t="shared" si="538"/>
        <v>.........</v>
      </c>
      <c r="U2026" t="str">
        <f t="shared" si="542"/>
        <v>.............</v>
      </c>
      <c r="V2026" t="str">
        <f t="shared" si="530"/>
        <v>.........</v>
      </c>
      <c r="W2026" t="str">
        <f t="shared" si="539"/>
        <v>.........</v>
      </c>
      <c r="X2026" t="str">
        <f t="shared" si="543"/>
        <v>.......</v>
      </c>
      <c r="Y2026" t="str">
        <f t="shared" si="543"/>
        <v>..............</v>
      </c>
      <c r="Z2026" t="str">
        <f t="shared" si="543"/>
        <v>....</v>
      </c>
      <c r="AA2026" t="str">
        <f t="shared" si="531"/>
        <v>.........</v>
      </c>
      <c r="AB2026" t="str">
        <f t="shared" si="540"/>
        <v>.........</v>
      </c>
      <c r="AC2026" t="str">
        <f t="shared" si="541"/>
        <v>.........</v>
      </c>
      <c r="AD2026" t="str">
        <f t="shared" si="542"/>
        <v>........</v>
      </c>
      <c r="AE2026" t="str">
        <f t="shared" si="532"/>
        <v>.......</v>
      </c>
      <c r="AF2026" t="str">
        <f t="shared" si="544"/>
        <v>.....</v>
      </c>
      <c r="AG2026" t="str">
        <f t="shared" si="544"/>
        <v>..........</v>
      </c>
      <c r="AH2026" t="str">
        <f t="shared" si="533"/>
        <v>..........</v>
      </c>
      <c r="AI2026" t="str">
        <f t="shared" si="534"/>
        <v>.......</v>
      </c>
      <c r="AJ2026" t="str">
        <f t="shared" si="535"/>
        <v>.......</v>
      </c>
    </row>
    <row r="2027" spans="1:36" x14ac:dyDescent="0.25">
      <c r="A2027" t="s">
        <v>1552</v>
      </c>
      <c r="P2027" t="str">
        <f t="shared" si="536"/>
        <v xml:space="preserve">  91018    1  0 </v>
      </c>
      <c r="Q2027" t="str">
        <f t="shared" si="536"/>
        <v xml:space="preserve">   1.000 </v>
      </c>
      <c r="R2027" t="str">
        <f t="shared" si="529"/>
        <v xml:space="preserve">   120.0 </v>
      </c>
      <c r="S2027" t="str">
        <f t="shared" si="537"/>
        <v xml:space="preserve">     0.0 </v>
      </c>
      <c r="T2027" t="str">
        <f t="shared" si="538"/>
        <v xml:space="preserve">     0.0 </v>
      </c>
      <c r="U2027" t="str">
        <f t="shared" si="542"/>
        <v xml:space="preserve">         0.0 </v>
      </c>
      <c r="V2027" t="str">
        <f t="shared" si="530"/>
        <v xml:space="preserve">     0.0 </v>
      </c>
      <c r="W2027" t="str">
        <f t="shared" si="539"/>
        <v xml:space="preserve">     0.0</v>
      </c>
      <c r="X2027" t="str">
        <f t="shared" si="543"/>
        <v/>
      </c>
      <c r="Y2027" t="str">
        <f t="shared" si="543"/>
        <v/>
      </c>
      <c r="Z2027" t="str">
        <f t="shared" si="543"/>
        <v/>
      </c>
      <c r="AA2027" t="str">
        <f t="shared" si="531"/>
        <v/>
      </c>
      <c r="AB2027" t="str">
        <f t="shared" si="540"/>
        <v/>
      </c>
      <c r="AC2027" t="str">
        <f t="shared" si="541"/>
        <v/>
      </c>
      <c r="AD2027" t="str">
        <f t="shared" si="542"/>
        <v/>
      </c>
      <c r="AE2027" t="str">
        <f t="shared" si="532"/>
        <v/>
      </c>
      <c r="AF2027" t="str">
        <f t="shared" si="544"/>
        <v/>
      </c>
      <c r="AG2027" t="str">
        <f t="shared" si="544"/>
        <v/>
      </c>
      <c r="AH2027" t="str">
        <f t="shared" si="533"/>
        <v/>
      </c>
      <c r="AI2027" t="str">
        <f t="shared" si="534"/>
        <v/>
      </c>
      <c r="AJ2027" t="str">
        <f t="shared" si="535"/>
        <v/>
      </c>
    </row>
    <row r="2028" spans="1:36" x14ac:dyDescent="0.25">
      <c r="A2028" t="s">
        <v>1553</v>
      </c>
      <c r="P2028" t="str">
        <f t="shared" si="536"/>
        <v xml:space="preserve">  ALVES-GER34   </v>
      </c>
      <c r="Q2028" t="str">
        <f t="shared" si="536"/>
        <v xml:space="preserve">    64.5 </v>
      </c>
      <c r="R2028" t="str">
        <f t="shared" si="529"/>
        <v xml:space="preserve">     0.0 </v>
      </c>
      <c r="S2028" t="str">
        <f t="shared" si="537"/>
        <v xml:space="preserve">     0.0 </v>
      </c>
      <c r="T2028" t="str">
        <f t="shared" si="538"/>
        <v xml:space="preserve">     0.0 </v>
      </c>
      <c r="U2028" t="str">
        <f t="shared" si="542"/>
        <v xml:space="preserve">         0.0 </v>
      </c>
      <c r="V2028" t="str">
        <f t="shared" si="530"/>
        <v xml:space="preserve">     0.0 </v>
      </c>
      <c r="W2028" t="str">
        <f t="shared" si="539"/>
        <v xml:space="preserve">     0.0 </v>
      </c>
      <c r="X2028" t="str">
        <f t="shared" si="543"/>
        <v xml:space="preserve">       </v>
      </c>
      <c r="Y2028" t="str">
        <f t="shared" si="543"/>
        <v xml:space="preserve">              </v>
      </c>
      <c r="Z2028" t="str">
        <f t="shared" si="543"/>
        <v xml:space="preserve">    </v>
      </c>
      <c r="AA2028" t="str">
        <f t="shared" si="531"/>
        <v xml:space="preserve">         </v>
      </c>
      <c r="AB2028" t="str">
        <f t="shared" si="540"/>
        <v xml:space="preserve">         </v>
      </c>
      <c r="AC2028" t="str">
        <f t="shared" si="541"/>
        <v xml:space="preserve">    </v>
      </c>
      <c r="AD2028" t="str">
        <f t="shared" si="542"/>
        <v/>
      </c>
      <c r="AE2028" t="str">
        <f t="shared" si="532"/>
        <v/>
      </c>
      <c r="AF2028" t="str">
        <f t="shared" si="544"/>
        <v/>
      </c>
      <c r="AG2028" t="str">
        <f t="shared" si="544"/>
        <v/>
      </c>
      <c r="AH2028" t="str">
        <f t="shared" si="533"/>
        <v/>
      </c>
      <c r="AI2028" t="str">
        <f t="shared" si="534"/>
        <v/>
      </c>
      <c r="AJ2028" t="str">
        <f t="shared" si="535"/>
        <v/>
      </c>
    </row>
    <row r="2029" spans="1:36" x14ac:dyDescent="0.25">
      <c r="A2029" t="s">
        <v>1554</v>
      </c>
      <c r="P2029" t="str">
        <f t="shared" si="536"/>
        <v xml:space="preserve">                </v>
      </c>
      <c r="Q2029" t="str">
        <f t="shared" si="536"/>
        <v xml:space="preserve">         </v>
      </c>
      <c r="R2029" t="str">
        <f t="shared" si="529"/>
        <v xml:space="preserve">    70.0 </v>
      </c>
      <c r="S2029" t="str">
        <f t="shared" si="537"/>
        <v xml:space="preserve">    70.0 </v>
      </c>
      <c r="T2029" t="str">
        <f t="shared" si="538"/>
        <v xml:space="preserve">    70.0 </v>
      </c>
      <c r="U2029" t="str">
        <f t="shared" si="542"/>
        <v xml:space="preserve">       85.7% </v>
      </c>
      <c r="V2029" t="str">
        <f t="shared" si="530"/>
        <v xml:space="preserve">         </v>
      </c>
      <c r="W2029" t="str">
        <f t="shared" si="539"/>
        <v xml:space="preserve">         </v>
      </c>
      <c r="X2029" t="str">
        <f t="shared" si="543"/>
        <v xml:space="preserve"> 91017 </v>
      </c>
      <c r="Y2029" t="str">
        <f t="shared" si="543"/>
        <v xml:space="preserve"> ALVES-SE138  </v>
      </c>
      <c r="Z2029" t="str">
        <f t="shared" si="543"/>
        <v xml:space="preserve">  1 </v>
      </c>
      <c r="AA2029" t="str">
        <f t="shared" si="531"/>
        <v xml:space="preserve">    60.0 </v>
      </c>
      <c r="AB2029" t="str">
        <f t="shared" si="540"/>
        <v xml:space="preserve">     0.0 </v>
      </c>
      <c r="AC2029" t="str">
        <f t="shared" si="541"/>
        <v xml:space="preserve">    60.0 </v>
      </c>
      <c r="AD2029" t="str">
        <f t="shared" si="542"/>
        <v xml:space="preserve">        </v>
      </c>
      <c r="AE2029" t="str">
        <f t="shared" si="532"/>
        <v xml:space="preserve">       </v>
      </c>
      <c r="AF2029" t="str">
        <f t="shared" si="544"/>
        <v xml:space="preserve">     </v>
      </c>
      <c r="AG2029" t="str">
        <f t="shared" si="544"/>
        <v xml:space="preserve">     0.00 </v>
      </c>
      <c r="AH2029" t="str">
        <f t="shared" si="533"/>
        <v xml:space="preserve">     4.50 </v>
      </c>
      <c r="AI2029" t="str">
        <f t="shared" si="534"/>
        <v xml:space="preserve">       </v>
      </c>
      <c r="AJ2029" t="str">
        <f t="shared" si="535"/>
        <v xml:space="preserve">      </v>
      </c>
    </row>
    <row r="2030" spans="1:36" x14ac:dyDescent="0.25">
      <c r="A2030" t="s">
        <v>1555</v>
      </c>
      <c r="P2030" t="str">
        <f t="shared" si="536"/>
        <v xml:space="preserve">                </v>
      </c>
      <c r="Q2030" t="str">
        <f t="shared" si="536"/>
        <v xml:space="preserve">         </v>
      </c>
      <c r="R2030" t="str">
        <f t="shared" si="529"/>
        <v xml:space="preserve">    70.0 </v>
      </c>
      <c r="S2030" t="str">
        <f t="shared" si="537"/>
        <v xml:space="preserve">    70.0 </v>
      </c>
      <c r="T2030" t="str">
        <f t="shared" si="538"/>
        <v xml:space="preserve">    70.0 </v>
      </c>
      <c r="U2030" t="str">
        <f t="shared" si="542"/>
        <v xml:space="preserve">       85.7% </v>
      </c>
      <c r="V2030" t="str">
        <f t="shared" si="530"/>
        <v xml:space="preserve">         </v>
      </c>
      <c r="W2030" t="str">
        <f t="shared" si="539"/>
        <v xml:space="preserve">         </v>
      </c>
      <c r="X2030" t="str">
        <f t="shared" si="543"/>
        <v xml:space="preserve"> 91017 </v>
      </c>
      <c r="Y2030" t="str">
        <f t="shared" si="543"/>
        <v xml:space="preserve"> ALVES-SE138  </v>
      </c>
      <c r="Z2030" t="str">
        <f t="shared" si="543"/>
        <v xml:space="preserve">  2 </v>
      </c>
      <c r="AA2030" t="str">
        <f t="shared" si="531"/>
        <v xml:space="preserve">    60.0 </v>
      </c>
      <c r="AB2030" t="str">
        <f t="shared" si="540"/>
        <v xml:space="preserve">     0.0 </v>
      </c>
      <c r="AC2030" t="str">
        <f t="shared" si="541"/>
        <v xml:space="preserve">    60.0 </v>
      </c>
      <c r="AD2030" t="str">
        <f t="shared" si="542"/>
        <v xml:space="preserve">        </v>
      </c>
      <c r="AE2030" t="str">
        <f t="shared" si="532"/>
        <v xml:space="preserve">       </v>
      </c>
      <c r="AF2030" t="str">
        <f t="shared" si="544"/>
        <v xml:space="preserve">     </v>
      </c>
      <c r="AG2030" t="str">
        <f t="shared" si="544"/>
        <v xml:space="preserve">     0.00 </v>
      </c>
      <c r="AH2030" t="str">
        <f t="shared" si="533"/>
        <v xml:space="preserve">     4.50 </v>
      </c>
      <c r="AI2030" t="str">
        <f t="shared" si="534"/>
        <v xml:space="preserve">       </v>
      </c>
      <c r="AJ2030" t="str">
        <f t="shared" si="535"/>
        <v xml:space="preserve">      </v>
      </c>
    </row>
    <row r="2031" spans="1:36" x14ac:dyDescent="0.25">
      <c r="P2031" t="str">
        <f t="shared" si="536"/>
        <v/>
      </c>
      <c r="Q2031" t="str">
        <f t="shared" si="536"/>
        <v/>
      </c>
      <c r="R2031" t="str">
        <f t="shared" si="529"/>
        <v/>
      </c>
      <c r="S2031" t="str">
        <f t="shared" si="537"/>
        <v/>
      </c>
      <c r="T2031" t="str">
        <f t="shared" si="538"/>
        <v/>
      </c>
      <c r="U2031" t="str">
        <f t="shared" si="542"/>
        <v/>
      </c>
      <c r="V2031" t="str">
        <f t="shared" si="530"/>
        <v/>
      </c>
      <c r="W2031" t="str">
        <f t="shared" si="539"/>
        <v/>
      </c>
      <c r="X2031" t="str">
        <f t="shared" si="543"/>
        <v/>
      </c>
      <c r="Y2031" t="str">
        <f t="shared" si="543"/>
        <v/>
      </c>
      <c r="Z2031" t="str">
        <f t="shared" si="543"/>
        <v/>
      </c>
      <c r="AA2031" t="str">
        <f t="shared" si="531"/>
        <v/>
      </c>
      <c r="AB2031" t="str">
        <f t="shared" si="540"/>
        <v/>
      </c>
      <c r="AC2031" t="str">
        <f t="shared" si="541"/>
        <v/>
      </c>
      <c r="AD2031" t="str">
        <f t="shared" si="542"/>
        <v/>
      </c>
      <c r="AE2031" t="str">
        <f t="shared" si="532"/>
        <v/>
      </c>
      <c r="AF2031" t="str">
        <f t="shared" si="544"/>
        <v/>
      </c>
      <c r="AG2031" t="str">
        <f t="shared" si="544"/>
        <v/>
      </c>
      <c r="AH2031" t="str">
        <f t="shared" si="533"/>
        <v/>
      </c>
      <c r="AI2031" t="str">
        <f t="shared" si="534"/>
        <v/>
      </c>
      <c r="AJ2031" t="str">
        <f t="shared" si="535"/>
        <v/>
      </c>
    </row>
    <row r="2032" spans="1:36" x14ac:dyDescent="0.25">
      <c r="P2032" t="str">
        <f t="shared" si="536"/>
        <v/>
      </c>
      <c r="Q2032" t="str">
        <f t="shared" si="536"/>
        <v/>
      </c>
      <c r="R2032" t="str">
        <f t="shared" si="529"/>
        <v/>
      </c>
      <c r="S2032" t="str">
        <f t="shared" si="537"/>
        <v/>
      </c>
      <c r="T2032" t="str">
        <f t="shared" si="538"/>
        <v/>
      </c>
      <c r="U2032" t="str">
        <f t="shared" si="542"/>
        <v/>
      </c>
      <c r="V2032" t="str">
        <f t="shared" si="530"/>
        <v/>
      </c>
      <c r="W2032" t="str">
        <f t="shared" si="539"/>
        <v/>
      </c>
      <c r="X2032" t="str">
        <f t="shared" si="543"/>
        <v/>
      </c>
      <c r="Y2032" t="str">
        <f t="shared" si="543"/>
        <v/>
      </c>
      <c r="Z2032" t="str">
        <f t="shared" si="543"/>
        <v/>
      </c>
      <c r="AA2032" t="str">
        <f t="shared" si="531"/>
        <v/>
      </c>
      <c r="AB2032" t="str">
        <f t="shared" si="540"/>
        <v/>
      </c>
      <c r="AC2032" t="str">
        <f t="shared" si="541"/>
        <v/>
      </c>
      <c r="AD2032" t="str">
        <f t="shared" si="542"/>
        <v/>
      </c>
      <c r="AE2032" t="str">
        <f t="shared" si="532"/>
        <v/>
      </c>
      <c r="AF2032" t="str">
        <f t="shared" si="544"/>
        <v/>
      </c>
      <c r="AG2032" t="str">
        <f t="shared" si="544"/>
        <v/>
      </c>
      <c r="AH2032" t="str">
        <f t="shared" si="533"/>
        <v/>
      </c>
      <c r="AI2032" t="str">
        <f t="shared" si="534"/>
        <v/>
      </c>
      <c r="AJ2032" t="str">
        <f t="shared" si="535"/>
        <v/>
      </c>
    </row>
    <row r="2033" spans="1:36" x14ac:dyDescent="0.25">
      <c r="P2033" t="str">
        <f t="shared" si="536"/>
        <v/>
      </c>
      <c r="Q2033" t="str">
        <f t="shared" si="536"/>
        <v/>
      </c>
      <c r="R2033" t="str">
        <f t="shared" si="529"/>
        <v/>
      </c>
      <c r="S2033" t="str">
        <f t="shared" si="537"/>
        <v/>
      </c>
      <c r="T2033" t="str">
        <f t="shared" si="538"/>
        <v/>
      </c>
      <c r="U2033" t="str">
        <f t="shared" si="542"/>
        <v/>
      </c>
      <c r="V2033" t="str">
        <f t="shared" si="530"/>
        <v/>
      </c>
      <c r="W2033" t="str">
        <f t="shared" si="539"/>
        <v/>
      </c>
      <c r="X2033" t="str">
        <f t="shared" si="543"/>
        <v/>
      </c>
      <c r="Y2033" t="str">
        <f t="shared" si="543"/>
        <v/>
      </c>
      <c r="Z2033" t="str">
        <f t="shared" si="543"/>
        <v/>
      </c>
      <c r="AA2033" t="str">
        <f t="shared" si="531"/>
        <v/>
      </c>
      <c r="AB2033" t="str">
        <f t="shared" si="540"/>
        <v/>
      </c>
      <c r="AC2033" t="str">
        <f t="shared" si="541"/>
        <v/>
      </c>
      <c r="AD2033" t="str">
        <f t="shared" si="542"/>
        <v/>
      </c>
      <c r="AE2033" t="str">
        <f t="shared" si="532"/>
        <v/>
      </c>
      <c r="AF2033" t="str">
        <f t="shared" si="544"/>
        <v/>
      </c>
      <c r="AG2033" t="str">
        <f t="shared" si="544"/>
        <v/>
      </c>
      <c r="AH2033" t="str">
        <f t="shared" si="533"/>
        <v/>
      </c>
      <c r="AI2033" t="str">
        <f t="shared" si="534"/>
        <v/>
      </c>
      <c r="AJ2033" t="str">
        <f t="shared" si="535"/>
        <v/>
      </c>
    </row>
    <row r="2034" spans="1:36" x14ac:dyDescent="0.25">
      <c r="A2034" t="s">
        <v>1556</v>
      </c>
      <c r="P2034" t="str">
        <f t="shared" si="536"/>
        <v xml:space="preserve"> TOTAIS DA AREA </v>
      </c>
      <c r="Q2034" t="str">
        <f t="shared" si="536"/>
        <v xml:space="preserve">   3</v>
      </c>
      <c r="R2034" t="str">
        <f t="shared" si="529"/>
        <v/>
      </c>
      <c r="S2034" t="str">
        <f t="shared" si="537"/>
        <v/>
      </c>
      <c r="T2034" t="str">
        <f t="shared" si="538"/>
        <v/>
      </c>
      <c r="U2034" t="str">
        <f t="shared" si="542"/>
        <v/>
      </c>
      <c r="V2034" t="str">
        <f t="shared" si="530"/>
        <v/>
      </c>
      <c r="W2034" t="str">
        <f t="shared" si="539"/>
        <v/>
      </c>
      <c r="X2034" t="str">
        <f t="shared" si="543"/>
        <v/>
      </c>
      <c r="Y2034" t="str">
        <f t="shared" si="543"/>
        <v/>
      </c>
      <c r="Z2034" t="str">
        <f t="shared" si="543"/>
        <v/>
      </c>
      <c r="AA2034" t="str">
        <f t="shared" si="531"/>
        <v/>
      </c>
      <c r="AB2034" t="str">
        <f t="shared" si="540"/>
        <v/>
      </c>
      <c r="AC2034" t="str">
        <f t="shared" si="541"/>
        <v/>
      </c>
      <c r="AD2034" t="str">
        <f t="shared" si="542"/>
        <v/>
      </c>
      <c r="AE2034" t="str">
        <f t="shared" si="532"/>
        <v/>
      </c>
      <c r="AF2034" t="str">
        <f t="shared" si="544"/>
        <v/>
      </c>
      <c r="AG2034" t="str">
        <f t="shared" si="544"/>
        <v/>
      </c>
      <c r="AH2034" t="str">
        <f t="shared" si="533"/>
        <v/>
      </c>
      <c r="AI2034" t="str">
        <f t="shared" si="534"/>
        <v/>
      </c>
      <c r="AJ2034" t="str">
        <f t="shared" si="535"/>
        <v/>
      </c>
    </row>
    <row r="2035" spans="1:36" x14ac:dyDescent="0.25">
      <c r="P2035" t="str">
        <f t="shared" si="536"/>
        <v/>
      </c>
      <c r="Q2035" t="str">
        <f t="shared" si="536"/>
        <v/>
      </c>
      <c r="R2035" t="str">
        <f t="shared" si="529"/>
        <v/>
      </c>
      <c r="S2035" t="str">
        <f t="shared" si="537"/>
        <v/>
      </c>
      <c r="T2035" t="str">
        <f t="shared" si="538"/>
        <v/>
      </c>
      <c r="U2035" t="str">
        <f t="shared" si="542"/>
        <v/>
      </c>
      <c r="V2035" t="str">
        <f t="shared" si="530"/>
        <v/>
      </c>
      <c r="W2035" t="str">
        <f t="shared" si="539"/>
        <v/>
      </c>
      <c r="X2035" t="str">
        <f t="shared" si="543"/>
        <v/>
      </c>
      <c r="Y2035" t="str">
        <f t="shared" si="543"/>
        <v/>
      </c>
      <c r="Z2035" t="str">
        <f t="shared" si="543"/>
        <v/>
      </c>
      <c r="AA2035" t="str">
        <f t="shared" si="531"/>
        <v/>
      </c>
      <c r="AB2035" t="str">
        <f t="shared" si="540"/>
        <v/>
      </c>
      <c r="AC2035" t="str">
        <f t="shared" si="541"/>
        <v/>
      </c>
      <c r="AD2035" t="str">
        <f t="shared" si="542"/>
        <v/>
      </c>
      <c r="AE2035" t="str">
        <f t="shared" si="532"/>
        <v/>
      </c>
      <c r="AF2035" t="str">
        <f t="shared" si="544"/>
        <v/>
      </c>
      <c r="AG2035" t="str">
        <f t="shared" si="544"/>
        <v/>
      </c>
      <c r="AH2035" t="str">
        <f t="shared" si="533"/>
        <v/>
      </c>
      <c r="AI2035" t="str">
        <f t="shared" si="534"/>
        <v/>
      </c>
      <c r="AJ2035" t="str">
        <f t="shared" si="535"/>
        <v/>
      </c>
    </row>
    <row r="2036" spans="1:36" x14ac:dyDescent="0.25">
      <c r="P2036" t="str">
        <f t="shared" si="536"/>
        <v/>
      </c>
      <c r="Q2036" t="str">
        <f t="shared" si="536"/>
        <v/>
      </c>
      <c r="R2036" t="str">
        <f t="shared" si="529"/>
        <v/>
      </c>
      <c r="S2036" t="str">
        <f t="shared" si="537"/>
        <v/>
      </c>
      <c r="T2036" t="str">
        <f t="shared" si="538"/>
        <v/>
      </c>
      <c r="U2036" t="str">
        <f t="shared" si="542"/>
        <v/>
      </c>
      <c r="V2036" t="str">
        <f t="shared" si="530"/>
        <v/>
      </c>
      <c r="W2036" t="str">
        <f t="shared" si="539"/>
        <v/>
      </c>
      <c r="X2036" t="str">
        <f t="shared" si="543"/>
        <v/>
      </c>
      <c r="Y2036" t="str">
        <f t="shared" si="543"/>
        <v/>
      </c>
      <c r="Z2036" t="str">
        <f t="shared" si="543"/>
        <v/>
      </c>
      <c r="AA2036" t="str">
        <f t="shared" si="531"/>
        <v/>
      </c>
      <c r="AB2036" t="str">
        <f t="shared" si="540"/>
        <v/>
      </c>
      <c r="AC2036" t="str">
        <f t="shared" si="541"/>
        <v/>
      </c>
      <c r="AD2036" t="str">
        <f t="shared" si="542"/>
        <v/>
      </c>
      <c r="AE2036" t="str">
        <f t="shared" si="532"/>
        <v/>
      </c>
      <c r="AF2036" t="str">
        <f t="shared" si="544"/>
        <v/>
      </c>
      <c r="AG2036" t="str">
        <f t="shared" si="544"/>
        <v/>
      </c>
      <c r="AH2036" t="str">
        <f t="shared" si="533"/>
        <v/>
      </c>
      <c r="AI2036" t="str">
        <f t="shared" si="534"/>
        <v/>
      </c>
      <c r="AJ2036" t="str">
        <f t="shared" si="535"/>
        <v/>
      </c>
    </row>
    <row r="2037" spans="1:36" x14ac:dyDescent="0.25">
      <c r="A2037" t="s">
        <v>1557</v>
      </c>
      <c r="P2037" t="str">
        <f t="shared" si="536"/>
        <v xml:space="preserve"> X--------X-----</v>
      </c>
      <c r="Q2037" t="str">
        <f t="shared" si="536"/>
        <v>----X----</v>
      </c>
      <c r="R2037" t="str">
        <f t="shared" si="529"/>
        <v>-----X---</v>
      </c>
      <c r="S2037" t="str">
        <f t="shared" si="537"/>
        <v>------X--</v>
      </c>
      <c r="T2037" t="str">
        <f t="shared" si="538"/>
        <v>-------X-</v>
      </c>
      <c r="U2037" t="str">
        <f t="shared" si="542"/>
        <v>--------X----</v>
      </c>
      <c r="V2037" t="str">
        <f t="shared" si="530"/>
        <v>-----X---</v>
      </c>
      <c r="W2037" t="str">
        <f t="shared" si="539"/>
        <v>------X</v>
      </c>
      <c r="X2037" t="str">
        <f t="shared" si="543"/>
        <v/>
      </c>
      <c r="Y2037" t="str">
        <f t="shared" si="543"/>
        <v/>
      </c>
      <c r="Z2037" t="str">
        <f t="shared" si="543"/>
        <v/>
      </c>
      <c r="AA2037" t="str">
        <f t="shared" si="531"/>
        <v/>
      </c>
      <c r="AB2037" t="str">
        <f t="shared" si="540"/>
        <v/>
      </c>
      <c r="AC2037" t="str">
        <f t="shared" si="541"/>
        <v/>
      </c>
      <c r="AD2037" t="str">
        <f t="shared" si="542"/>
        <v/>
      </c>
      <c r="AE2037" t="str">
        <f t="shared" si="532"/>
        <v/>
      </c>
      <c r="AF2037" t="str">
        <f t="shared" si="544"/>
        <v/>
      </c>
      <c r="AG2037" t="str">
        <f t="shared" si="544"/>
        <v/>
      </c>
      <c r="AH2037" t="str">
        <f t="shared" si="533"/>
        <v/>
      </c>
      <c r="AI2037" t="str">
        <f t="shared" si="534"/>
        <v/>
      </c>
      <c r="AJ2037" t="str">
        <f t="shared" si="535"/>
        <v/>
      </c>
    </row>
    <row r="2038" spans="1:36" x14ac:dyDescent="0.25">
      <c r="A2038" t="s">
        <v>1558</v>
      </c>
      <c r="P2038" t="str">
        <f t="shared" si="536"/>
        <v xml:space="preserve">   GERACAO  INJ </v>
      </c>
      <c r="Q2038" t="str">
        <f t="shared" si="536"/>
        <v xml:space="preserve"> EQV   CA</v>
      </c>
      <c r="R2038" t="str">
        <f t="shared" si="529"/>
        <v>ARGA   EL</v>
      </c>
      <c r="S2038" t="str">
        <f t="shared" si="537"/>
        <v xml:space="preserve">LO CC    </v>
      </c>
      <c r="T2038" t="str">
        <f t="shared" si="538"/>
        <v xml:space="preserve"> SHUNT   </v>
      </c>
      <c r="U2038" t="str">
        <f t="shared" si="542"/>
        <v xml:space="preserve"> EXPORT   IMP</v>
      </c>
      <c r="V2038" t="str">
        <f t="shared" si="530"/>
        <v>PORT   PE</v>
      </c>
      <c r="W2038" t="str">
        <f t="shared" si="539"/>
        <v xml:space="preserve">ERDAS  </v>
      </c>
      <c r="X2038" t="str">
        <f t="shared" si="543"/>
        <v/>
      </c>
      <c r="Y2038" t="str">
        <f t="shared" si="543"/>
        <v/>
      </c>
      <c r="Z2038" t="str">
        <f t="shared" si="543"/>
        <v/>
      </c>
      <c r="AA2038" t="str">
        <f t="shared" si="531"/>
        <v/>
      </c>
      <c r="AB2038" t="str">
        <f t="shared" si="540"/>
        <v/>
      </c>
      <c r="AC2038" t="str">
        <f t="shared" si="541"/>
        <v/>
      </c>
      <c r="AD2038" t="str">
        <f t="shared" si="542"/>
        <v/>
      </c>
      <c r="AE2038" t="str">
        <f t="shared" si="532"/>
        <v/>
      </c>
      <c r="AF2038" t="str">
        <f t="shared" si="544"/>
        <v/>
      </c>
      <c r="AG2038" t="str">
        <f t="shared" si="544"/>
        <v/>
      </c>
      <c r="AH2038" t="str">
        <f t="shared" si="533"/>
        <v/>
      </c>
      <c r="AI2038" t="str">
        <f t="shared" si="534"/>
        <v/>
      </c>
      <c r="AJ2038" t="str">
        <f t="shared" si="535"/>
        <v/>
      </c>
    </row>
    <row r="2039" spans="1:36" x14ac:dyDescent="0.25">
      <c r="A2039" t="s">
        <v>1559</v>
      </c>
      <c r="P2039" t="str">
        <f t="shared" si="536"/>
        <v xml:space="preserve">     MW/      MW</v>
      </c>
      <c r="Q2039" t="str">
        <f t="shared" si="536"/>
        <v>W/      M</v>
      </c>
      <c r="R2039" t="str">
        <f t="shared" si="529"/>
        <v xml:space="preserve">MW/      </v>
      </c>
      <c r="S2039" t="str">
        <f t="shared" si="537"/>
        <v xml:space="preserve"> MW/     </v>
      </c>
      <c r="T2039" t="str">
        <f t="shared" si="538"/>
        <v xml:space="preserve"> Mvar/   </v>
      </c>
      <c r="U2039" t="str">
        <f t="shared" si="542"/>
        <v xml:space="preserve">   MW/      M</v>
      </c>
      <c r="V2039" t="str">
        <f t="shared" si="530"/>
        <v xml:space="preserve">MW/      </v>
      </c>
      <c r="W2039" t="str">
        <f t="shared" si="539"/>
        <v xml:space="preserve"> MW/   </v>
      </c>
      <c r="X2039" t="str">
        <f t="shared" si="543"/>
        <v/>
      </c>
      <c r="Y2039" t="str">
        <f t="shared" si="543"/>
        <v/>
      </c>
      <c r="Z2039" t="str">
        <f t="shared" si="543"/>
        <v/>
      </c>
      <c r="AA2039" t="str">
        <f t="shared" si="531"/>
        <v/>
      </c>
      <c r="AB2039" t="str">
        <f t="shared" si="540"/>
        <v/>
      </c>
      <c r="AC2039" t="str">
        <f t="shared" si="541"/>
        <v/>
      </c>
      <c r="AD2039" t="str">
        <f t="shared" si="542"/>
        <v/>
      </c>
      <c r="AE2039" t="str">
        <f t="shared" si="532"/>
        <v/>
      </c>
      <c r="AF2039" t="str">
        <f t="shared" si="544"/>
        <v/>
      </c>
      <c r="AG2039" t="str">
        <f t="shared" si="544"/>
        <v/>
      </c>
      <c r="AH2039" t="str">
        <f t="shared" si="533"/>
        <v/>
      </c>
      <c r="AI2039" t="str">
        <f t="shared" si="534"/>
        <v/>
      </c>
      <c r="AJ2039" t="str">
        <f t="shared" si="535"/>
        <v/>
      </c>
    </row>
    <row r="2040" spans="1:36" x14ac:dyDescent="0.25">
      <c r="A2040" t="s">
        <v>1560</v>
      </c>
      <c r="P2040" t="str">
        <f t="shared" si="536"/>
        <v xml:space="preserve">    Mvar     Mva</v>
      </c>
      <c r="Q2040" t="str">
        <f t="shared" si="536"/>
        <v>ar     Mv</v>
      </c>
      <c r="R2040" t="str">
        <f t="shared" si="529"/>
        <v>var     M</v>
      </c>
      <c r="S2040" t="str">
        <f t="shared" si="537"/>
        <v xml:space="preserve">Mvar     </v>
      </c>
      <c r="T2040" t="str">
        <f t="shared" si="538"/>
        <v xml:space="preserve"> EQUIV   </v>
      </c>
      <c r="U2040" t="str">
        <f t="shared" si="542"/>
        <v xml:space="preserve">  Mvar     Mv</v>
      </c>
      <c r="V2040" t="str">
        <f t="shared" si="530"/>
        <v>var     M</v>
      </c>
      <c r="W2040" t="str">
        <f t="shared" si="539"/>
        <v xml:space="preserve">Mvar   </v>
      </c>
      <c r="X2040" t="str">
        <f t="shared" si="543"/>
        <v/>
      </c>
      <c r="Y2040" t="str">
        <f t="shared" si="543"/>
        <v/>
      </c>
      <c r="Z2040" t="str">
        <f t="shared" si="543"/>
        <v/>
      </c>
      <c r="AA2040" t="str">
        <f t="shared" si="531"/>
        <v/>
      </c>
      <c r="AB2040" t="str">
        <f t="shared" si="540"/>
        <v/>
      </c>
      <c r="AC2040" t="str">
        <f t="shared" si="541"/>
        <v/>
      </c>
      <c r="AD2040" t="str">
        <f t="shared" si="542"/>
        <v/>
      </c>
      <c r="AE2040" t="str">
        <f t="shared" si="532"/>
        <v/>
      </c>
      <c r="AF2040" t="str">
        <f t="shared" si="544"/>
        <v/>
      </c>
      <c r="AG2040" t="str">
        <f t="shared" si="544"/>
        <v/>
      </c>
      <c r="AH2040" t="str">
        <f t="shared" si="533"/>
        <v/>
      </c>
      <c r="AI2040" t="str">
        <f t="shared" si="534"/>
        <v/>
      </c>
      <c r="AJ2040" t="str">
        <f t="shared" si="535"/>
        <v/>
      </c>
    </row>
    <row r="2041" spans="1:36" x14ac:dyDescent="0.25">
      <c r="A2041" t="s">
        <v>1557</v>
      </c>
      <c r="P2041" t="str">
        <f t="shared" si="536"/>
        <v xml:space="preserve"> X--------X-----</v>
      </c>
      <c r="Q2041" t="str">
        <f t="shared" si="536"/>
        <v>----X----</v>
      </c>
      <c r="R2041" t="str">
        <f t="shared" si="529"/>
        <v>-----X---</v>
      </c>
      <c r="S2041" t="str">
        <f t="shared" si="537"/>
        <v>------X--</v>
      </c>
      <c r="T2041" t="str">
        <f t="shared" si="538"/>
        <v>-------X-</v>
      </c>
      <c r="U2041" t="str">
        <f t="shared" si="542"/>
        <v>--------X----</v>
      </c>
      <c r="V2041" t="str">
        <f t="shared" si="530"/>
        <v>-----X---</v>
      </c>
      <c r="W2041" t="str">
        <f t="shared" si="539"/>
        <v>------X</v>
      </c>
      <c r="X2041" t="str">
        <f t="shared" si="543"/>
        <v/>
      </c>
      <c r="Y2041" t="str">
        <f t="shared" si="543"/>
        <v/>
      </c>
      <c r="Z2041" t="str">
        <f t="shared" si="543"/>
        <v/>
      </c>
      <c r="AA2041" t="str">
        <f t="shared" si="531"/>
        <v/>
      </c>
      <c r="AB2041" t="str">
        <f t="shared" si="540"/>
        <v/>
      </c>
      <c r="AC2041" t="str">
        <f t="shared" si="541"/>
        <v/>
      </c>
      <c r="AD2041" t="str">
        <f t="shared" si="542"/>
        <v/>
      </c>
      <c r="AE2041" t="str">
        <f t="shared" si="532"/>
        <v/>
      </c>
      <c r="AF2041" t="str">
        <f t="shared" si="544"/>
        <v/>
      </c>
      <c r="AG2041" t="str">
        <f t="shared" si="544"/>
        <v/>
      </c>
      <c r="AH2041" t="str">
        <f t="shared" si="533"/>
        <v/>
      </c>
      <c r="AI2041" t="str">
        <f t="shared" si="534"/>
        <v/>
      </c>
      <c r="AJ2041" t="str">
        <f t="shared" si="535"/>
        <v/>
      </c>
    </row>
    <row r="2042" spans="1:36" x14ac:dyDescent="0.25">
      <c r="P2042" t="str">
        <f t="shared" si="536"/>
        <v/>
      </c>
      <c r="Q2042" t="str">
        <f t="shared" si="536"/>
        <v/>
      </c>
      <c r="R2042" t="str">
        <f t="shared" si="529"/>
        <v/>
      </c>
      <c r="S2042" t="str">
        <f t="shared" si="537"/>
        <v/>
      </c>
      <c r="T2042" t="str">
        <f t="shared" si="538"/>
        <v/>
      </c>
      <c r="U2042" t="str">
        <f t="shared" si="542"/>
        <v/>
      </c>
      <c r="V2042" t="str">
        <f t="shared" si="530"/>
        <v/>
      </c>
      <c r="W2042" t="str">
        <f t="shared" si="539"/>
        <v/>
      </c>
      <c r="X2042" t="str">
        <f t="shared" si="543"/>
        <v/>
      </c>
      <c r="Y2042" t="str">
        <f t="shared" si="543"/>
        <v/>
      </c>
      <c r="Z2042" t="str">
        <f t="shared" si="543"/>
        <v/>
      </c>
      <c r="AA2042" t="str">
        <f t="shared" si="531"/>
        <v/>
      </c>
      <c r="AB2042" t="str">
        <f t="shared" si="540"/>
        <v/>
      </c>
      <c r="AC2042" t="str">
        <f t="shared" si="541"/>
        <v/>
      </c>
      <c r="AD2042" t="str">
        <f t="shared" si="542"/>
        <v/>
      </c>
      <c r="AE2042" t="str">
        <f t="shared" si="532"/>
        <v/>
      </c>
      <c r="AF2042" t="str">
        <f t="shared" si="544"/>
        <v/>
      </c>
      <c r="AG2042" t="str">
        <f t="shared" si="544"/>
        <v/>
      </c>
      <c r="AH2042" t="str">
        <f t="shared" si="533"/>
        <v/>
      </c>
      <c r="AI2042" t="str">
        <f t="shared" si="534"/>
        <v/>
      </c>
      <c r="AJ2042" t="str">
        <f t="shared" si="535"/>
        <v/>
      </c>
    </row>
    <row r="2043" spans="1:36" x14ac:dyDescent="0.25">
      <c r="A2043" t="s">
        <v>1561</v>
      </c>
      <c r="P2043" t="str">
        <f t="shared" si="536"/>
        <v xml:space="preserve">    1347.1      </v>
      </c>
      <c r="Q2043" t="str">
        <f t="shared" si="536"/>
        <v xml:space="preserve"> 0.0   61</v>
      </c>
      <c r="R2043" t="str">
        <f t="shared" si="529"/>
        <v xml:space="preserve">122.9    </v>
      </c>
      <c r="S2043" t="str">
        <f t="shared" si="537"/>
        <v xml:space="preserve">   0.0   </v>
      </c>
      <c r="T2043" t="str">
        <f t="shared" si="538"/>
        <v xml:space="preserve">  881.5  </v>
      </c>
      <c r="U2043" t="str">
        <f t="shared" si="542"/>
        <v xml:space="preserve">   175.6   49</v>
      </c>
      <c r="V2043" t="str">
        <f t="shared" si="530"/>
        <v xml:space="preserve">983.2    </v>
      </c>
      <c r="W2043" t="str">
        <f t="shared" si="539"/>
        <v xml:space="preserve">  31.8</v>
      </c>
      <c r="X2043" t="str">
        <f t="shared" si="543"/>
        <v/>
      </c>
      <c r="Y2043" t="str">
        <f t="shared" si="543"/>
        <v/>
      </c>
      <c r="Z2043" t="str">
        <f t="shared" si="543"/>
        <v/>
      </c>
      <c r="AA2043" t="str">
        <f t="shared" si="531"/>
        <v/>
      </c>
      <c r="AB2043" t="str">
        <f t="shared" si="540"/>
        <v/>
      </c>
      <c r="AC2043" t="str">
        <f t="shared" si="541"/>
        <v/>
      </c>
      <c r="AD2043" t="str">
        <f t="shared" si="542"/>
        <v/>
      </c>
      <c r="AE2043" t="str">
        <f t="shared" si="532"/>
        <v/>
      </c>
      <c r="AF2043" t="str">
        <f t="shared" si="544"/>
        <v/>
      </c>
      <c r="AG2043" t="str">
        <f t="shared" si="544"/>
        <v/>
      </c>
      <c r="AH2043" t="str">
        <f t="shared" si="533"/>
        <v/>
      </c>
      <c r="AI2043" t="str">
        <f t="shared" si="534"/>
        <v/>
      </c>
      <c r="AJ2043" t="str">
        <f t="shared" si="535"/>
        <v/>
      </c>
    </row>
    <row r="2044" spans="1:36" x14ac:dyDescent="0.25">
      <c r="A2044" t="s">
        <v>1562</v>
      </c>
      <c r="P2044" t="str">
        <f t="shared" si="536"/>
        <v xml:space="preserve">      29.4      </v>
      </c>
      <c r="Q2044" t="str">
        <f t="shared" si="536"/>
        <v xml:space="preserve"> 0.0   21</v>
      </c>
      <c r="R2044" t="str">
        <f t="shared" si="529"/>
        <v xml:space="preserve">184.7    </v>
      </c>
      <c r="S2044" t="str">
        <f t="shared" si="537"/>
        <v xml:space="preserve">   0.0   </v>
      </c>
      <c r="T2044" t="str">
        <f t="shared" si="538"/>
        <v xml:space="preserve">    0.0  </v>
      </c>
      <c r="U2044" t="str">
        <f t="shared" si="542"/>
        <v xml:space="preserve">   109.4   13</v>
      </c>
      <c r="V2044" t="str">
        <f t="shared" si="530"/>
        <v xml:space="preserve">382.0    </v>
      </c>
      <c r="W2044" t="str">
        <f t="shared" si="539"/>
        <v xml:space="preserve">  -1.2</v>
      </c>
      <c r="X2044" t="str">
        <f t="shared" si="543"/>
        <v/>
      </c>
      <c r="Y2044" t="str">
        <f t="shared" si="543"/>
        <v/>
      </c>
      <c r="Z2044" t="str">
        <f t="shared" si="543"/>
        <v/>
      </c>
      <c r="AA2044" t="str">
        <f t="shared" si="531"/>
        <v/>
      </c>
      <c r="AB2044" t="str">
        <f t="shared" si="540"/>
        <v/>
      </c>
      <c r="AC2044" t="str">
        <f t="shared" si="541"/>
        <v/>
      </c>
      <c r="AD2044" t="str">
        <f t="shared" si="542"/>
        <v/>
      </c>
      <c r="AE2044" t="str">
        <f t="shared" si="532"/>
        <v/>
      </c>
      <c r="AF2044" t="str">
        <f t="shared" si="544"/>
        <v/>
      </c>
      <c r="AG2044" t="str">
        <f t="shared" si="544"/>
        <v/>
      </c>
      <c r="AH2044" t="str">
        <f t="shared" si="533"/>
        <v/>
      </c>
      <c r="AI2044" t="str">
        <f t="shared" si="534"/>
        <v/>
      </c>
      <c r="AJ2044" t="str">
        <f t="shared" si="535"/>
        <v/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65A6-81C9-4C8B-82A0-067E56F9A4FE}">
  <dimension ref="A1:Y2034"/>
  <sheetViews>
    <sheetView tabSelected="1" zoomScale="90" zoomScaleNormal="90" workbookViewId="0">
      <selection activeCell="V4" sqref="V4:Y4"/>
    </sheetView>
  </sheetViews>
  <sheetFormatPr defaultRowHeight="15" x14ac:dyDescent="0.25"/>
  <cols>
    <col min="1" max="1" width="18.28515625" bestFit="1" customWidth="1"/>
    <col min="2" max="2" width="10.5703125" bestFit="1" customWidth="1"/>
    <col min="3" max="5" width="4.7109375" customWidth="1"/>
    <col min="6" max="6" width="15.5703125" bestFit="1" customWidth="1"/>
    <col min="7" max="9" width="4.7109375" customWidth="1"/>
    <col min="10" max="10" width="16.42578125" bestFit="1" customWidth="1"/>
    <col min="11" max="21" width="4.7109375" customWidth="1"/>
    <col min="22" max="22" width="12.42578125" bestFit="1" customWidth="1"/>
    <col min="25" max="25" width="9.140625" style="1"/>
  </cols>
  <sheetData>
    <row r="1" spans="1:25" x14ac:dyDescent="0.25">
      <c r="A1" t="s">
        <v>1563</v>
      </c>
      <c r="B1" t="s">
        <v>1564</v>
      </c>
      <c r="C1" t="s">
        <v>1564</v>
      </c>
      <c r="D1" t="s">
        <v>1564</v>
      </c>
      <c r="E1" t="s">
        <v>1564</v>
      </c>
      <c r="F1" t="s">
        <v>1565</v>
      </c>
      <c r="G1" t="s">
        <v>1564</v>
      </c>
      <c r="H1" t="s">
        <v>1564</v>
      </c>
      <c r="I1" t="s">
        <v>1566</v>
      </c>
      <c r="J1" t="s">
        <v>1567</v>
      </c>
      <c r="K1" t="s">
        <v>1568</v>
      </c>
      <c r="L1" t="s">
        <v>1564</v>
      </c>
      <c r="M1" t="s">
        <v>1564</v>
      </c>
      <c r="N1" t="s">
        <v>1564</v>
      </c>
      <c r="O1" t="s">
        <v>1569</v>
      </c>
      <c r="P1" t="s">
        <v>1566</v>
      </c>
      <c r="Q1" t="s">
        <v>1570</v>
      </c>
      <c r="R1" t="s">
        <v>1571</v>
      </c>
      <c r="S1" t="s">
        <v>1571</v>
      </c>
      <c r="T1" t="s">
        <v>1566</v>
      </c>
      <c r="U1" t="s">
        <v>1566</v>
      </c>
    </row>
    <row r="2" spans="1:25" x14ac:dyDescent="0.25">
      <c r="A2" t="s">
        <v>1581</v>
      </c>
      <c r="B2" t="s">
        <v>1581</v>
      </c>
      <c r="C2" t="s">
        <v>1581</v>
      </c>
      <c r="D2" t="s">
        <v>1581</v>
      </c>
      <c r="E2" t="s">
        <v>1581</v>
      </c>
      <c r="F2" t="s">
        <v>1581</v>
      </c>
      <c r="G2" t="s">
        <v>1581</v>
      </c>
      <c r="H2" t="s">
        <v>1581</v>
      </c>
      <c r="I2" t="s">
        <v>1581</v>
      </c>
      <c r="J2" t="s">
        <v>1581</v>
      </c>
      <c r="K2" t="s">
        <v>1581</v>
      </c>
      <c r="L2" t="s">
        <v>1581</v>
      </c>
      <c r="M2" t="s">
        <v>1581</v>
      </c>
      <c r="N2" t="s">
        <v>1581</v>
      </c>
      <c r="O2" t="s">
        <v>1581</v>
      </c>
      <c r="P2" t="s">
        <v>1581</v>
      </c>
      <c r="Q2" t="s">
        <v>1581</v>
      </c>
      <c r="R2" t="s">
        <v>1581</v>
      </c>
      <c r="S2" t="s">
        <v>1581</v>
      </c>
      <c r="T2" t="s">
        <v>1581</v>
      </c>
      <c r="U2" t="s">
        <v>1581</v>
      </c>
    </row>
    <row r="3" spans="1:25" x14ac:dyDescent="0.25">
      <c r="A3" t="s">
        <v>1582</v>
      </c>
      <c r="B3">
        <v>1.0109999999999999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1581</v>
      </c>
      <c r="J3" t="s">
        <v>1581</v>
      </c>
      <c r="K3" t="s">
        <v>1581</v>
      </c>
      <c r="L3" t="s">
        <v>1581</v>
      </c>
      <c r="M3" t="s">
        <v>1581</v>
      </c>
      <c r="N3" t="s">
        <v>1581</v>
      </c>
      <c r="O3" t="s">
        <v>1581</v>
      </c>
      <c r="P3" t="s">
        <v>1581</v>
      </c>
      <c r="Q3" t="s">
        <v>1581</v>
      </c>
      <c r="R3" t="s">
        <v>1581</v>
      </c>
      <c r="S3" t="s">
        <v>1581</v>
      </c>
      <c r="T3" t="s">
        <v>1581</v>
      </c>
      <c r="U3" t="s">
        <v>1581</v>
      </c>
    </row>
    <row r="4" spans="1:25" x14ac:dyDescent="0.25">
      <c r="A4" t="s">
        <v>1583</v>
      </c>
      <c r="B4">
        <v>-50.7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1584</v>
      </c>
      <c r="J4" t="s">
        <v>1585</v>
      </c>
      <c r="K4" t="s">
        <v>1586</v>
      </c>
      <c r="L4" t="s">
        <v>1587</v>
      </c>
      <c r="M4" t="s">
        <v>1587</v>
      </c>
      <c r="N4" t="s">
        <v>1586</v>
      </c>
      <c r="O4" t="s">
        <v>1581</v>
      </c>
      <c r="P4" t="s">
        <v>1581</v>
      </c>
      <c r="Q4" t="s">
        <v>1581</v>
      </c>
      <c r="R4" t="s">
        <v>1581</v>
      </c>
      <c r="S4" t="s">
        <v>1581</v>
      </c>
      <c r="T4" t="s">
        <v>1581</v>
      </c>
      <c r="U4" t="s">
        <v>1581</v>
      </c>
      <c r="V4" t="str" cm="1">
        <f t="array" aca="1" ref="V4" ca="1">IFERROR(_xlfn.IFS(A2="  ..............",OFFSET(A2,2,0),A1=" X-------------X",OFFSET(A1,3,0),MATCH("  ..............",A4:A13,0)&gt;2,V3),"-")</f>
        <v xml:space="preserve">  ALEGRE-RS138  </v>
      </c>
      <c r="W4">
        <f t="shared" ref="W4:W67" ca="1" si="0">IFERROR(OFFSET($A$1,MATCH(V4,A:A,0)-2,1),"-")</f>
        <v>1.0109999999999999</v>
      </c>
      <c r="X4" t="str">
        <f t="shared" ref="X4:X67" ca="1" si="1">IFERROR(IF(V4=V3,OFFSET($J$1,ROW(X4),0),OFFSET($J$1,MATCH(V4,A:A,0),0)),"-")</f>
        <v xml:space="preserve"> ALEGRE-RS069 </v>
      </c>
      <c r="Y4" s="1">
        <f t="shared" ref="Y4:Y67" ca="1" si="2">IFERROR(OFFSET($F$1,MATCH(X4,J:J,0)-1,0),"-")</f>
        <v>0.13100000000000001</v>
      </c>
    </row>
    <row r="5" spans="1:25" x14ac:dyDescent="0.25">
      <c r="A5" t="s">
        <v>1588</v>
      </c>
      <c r="B5" t="s">
        <v>1587</v>
      </c>
      <c r="C5">
        <v>25</v>
      </c>
      <c r="D5">
        <v>25</v>
      </c>
      <c r="E5">
        <v>25</v>
      </c>
      <c r="F5" s="1">
        <v>0.13100000000000001</v>
      </c>
      <c r="G5" t="s">
        <v>1587</v>
      </c>
      <c r="H5" t="s">
        <v>1587</v>
      </c>
      <c r="I5">
        <v>1182</v>
      </c>
      <c r="J5" t="s">
        <v>1589</v>
      </c>
      <c r="K5">
        <v>5</v>
      </c>
      <c r="L5">
        <v>1.1000000000000001</v>
      </c>
      <c r="M5">
        <v>3.1</v>
      </c>
      <c r="N5">
        <v>3.3</v>
      </c>
      <c r="O5" t="s">
        <v>1590</v>
      </c>
      <c r="P5" t="s">
        <v>1584</v>
      </c>
      <c r="Q5" t="s">
        <v>1591</v>
      </c>
      <c r="R5">
        <v>0</v>
      </c>
      <c r="S5">
        <v>0.04</v>
      </c>
      <c r="T5" t="s">
        <v>1584</v>
      </c>
      <c r="U5" t="s">
        <v>1592</v>
      </c>
      <c r="V5" t="str" cm="1">
        <f t="array" aca="1" ref="V5" ca="1">IFERROR(_xlfn.IFS(A3="  ..............",OFFSET(A3,2,0),A2=" X-------------X",OFFSET(A2,3,0),MATCH("  ..............",A5:A14,0)&gt;2,V4),"-")</f>
        <v xml:space="preserve">  ALEGRE-RS138  </v>
      </c>
      <c r="W5">
        <f t="shared" ca="1" si="0"/>
        <v>1.0109999999999999</v>
      </c>
      <c r="X5" t="str">
        <f t="shared" ca="1" si="1"/>
        <v xml:space="preserve"> ALEGRE-RS069 </v>
      </c>
      <c r="Y5" s="1">
        <f t="shared" ca="1" si="2"/>
        <v>0.13100000000000001</v>
      </c>
    </row>
    <row r="6" spans="1:25" x14ac:dyDescent="0.25">
      <c r="A6" t="s">
        <v>1588</v>
      </c>
      <c r="B6" t="s">
        <v>1587</v>
      </c>
      <c r="C6">
        <v>25</v>
      </c>
      <c r="D6">
        <v>25</v>
      </c>
      <c r="E6">
        <v>25</v>
      </c>
      <c r="F6" s="1">
        <v>0.13100000000000001</v>
      </c>
      <c r="G6" t="s">
        <v>1587</v>
      </c>
      <c r="H6" t="s">
        <v>1587</v>
      </c>
      <c r="I6">
        <v>1182</v>
      </c>
      <c r="J6" t="s">
        <v>1589</v>
      </c>
      <c r="K6">
        <v>6</v>
      </c>
      <c r="L6">
        <v>1.1000000000000001</v>
      </c>
      <c r="M6">
        <v>3.1</v>
      </c>
      <c r="N6">
        <v>3.3</v>
      </c>
      <c r="O6" t="s">
        <v>1590</v>
      </c>
      <c r="P6" t="s">
        <v>1584</v>
      </c>
      <c r="Q6" t="s">
        <v>1591</v>
      </c>
      <c r="R6">
        <v>0</v>
      </c>
      <c r="S6">
        <v>0.04</v>
      </c>
      <c r="T6" t="s">
        <v>1584</v>
      </c>
      <c r="U6" t="s">
        <v>1592</v>
      </c>
      <c r="V6" t="str" cm="1">
        <f t="array" aca="1" ref="V6" ca="1">IFERROR(_xlfn.IFS(A4="  ..............",OFFSET(A4,2,0),A3=" X-------------X",OFFSET(A3,3,0),MATCH("  ..............",A6:A15,0)&gt;2,V5),"-")</f>
        <v xml:space="preserve">  ALEGRE-RS138  </v>
      </c>
      <c r="W6">
        <f t="shared" ca="1" si="0"/>
        <v>1.0109999999999999</v>
      </c>
      <c r="X6" t="str">
        <f t="shared" ca="1" si="1"/>
        <v xml:space="preserve"> SMARI3-RS138 </v>
      </c>
      <c r="Y6" s="1">
        <f t="shared" ca="1" si="2"/>
        <v>6.7000000000000004E-2</v>
      </c>
    </row>
    <row r="7" spans="1:25" x14ac:dyDescent="0.25">
      <c r="A7" t="s">
        <v>1588</v>
      </c>
      <c r="B7" t="s">
        <v>1587</v>
      </c>
      <c r="C7">
        <v>97</v>
      </c>
      <c r="D7">
        <v>141</v>
      </c>
      <c r="E7">
        <v>141</v>
      </c>
      <c r="F7" s="1">
        <v>6.7000000000000004E-2</v>
      </c>
      <c r="G7" t="s">
        <v>1587</v>
      </c>
      <c r="H7" t="s">
        <v>1587</v>
      </c>
      <c r="I7">
        <v>1383</v>
      </c>
      <c r="J7" t="s">
        <v>1593</v>
      </c>
      <c r="K7">
        <v>1</v>
      </c>
      <c r="L7">
        <v>-2.2000000000000002</v>
      </c>
      <c r="M7">
        <v>-6.2</v>
      </c>
      <c r="N7">
        <v>6.5</v>
      </c>
      <c r="O7" t="s">
        <v>1594</v>
      </c>
      <c r="P7" t="s">
        <v>1584</v>
      </c>
      <c r="Q7" t="s">
        <v>1591</v>
      </c>
      <c r="R7">
        <v>0.01</v>
      </c>
      <c r="S7">
        <v>-12.25</v>
      </c>
      <c r="T7" t="s">
        <v>1584</v>
      </c>
      <c r="U7" t="s">
        <v>1592</v>
      </c>
      <c r="V7" t="str" cm="1">
        <f t="array" aca="1" ref="V7" ca="1">IFERROR(_xlfn.IFS(A5="  ..............",OFFSET(A5,2,0),A4=" X-------------X",OFFSET(A4,3,0),MATCH("  ..............",A7:A16,0)&gt;2,V6),"-")</f>
        <v>-</v>
      </c>
      <c r="W7" t="str">
        <f t="shared" ca="1" si="0"/>
        <v>-</v>
      </c>
      <c r="X7" t="str">
        <f t="shared" ca="1" si="1"/>
        <v>-</v>
      </c>
      <c r="Y7" s="1" t="str">
        <f t="shared" ca="1" si="2"/>
        <v>-</v>
      </c>
    </row>
    <row r="8" spans="1:25" x14ac:dyDescent="0.25">
      <c r="A8" t="s">
        <v>1572</v>
      </c>
      <c r="B8" t="s">
        <v>1574</v>
      </c>
      <c r="C8" t="s">
        <v>1574</v>
      </c>
      <c r="D8" t="s">
        <v>1574</v>
      </c>
      <c r="E8" t="s">
        <v>1574</v>
      </c>
      <c r="F8" t="s">
        <v>1575</v>
      </c>
      <c r="G8" t="s">
        <v>1574</v>
      </c>
      <c r="H8" t="s">
        <v>1574</v>
      </c>
      <c r="I8" t="s">
        <v>1576</v>
      </c>
      <c r="J8" t="s">
        <v>1573</v>
      </c>
      <c r="K8" t="s">
        <v>1577</v>
      </c>
      <c r="L8" t="s">
        <v>1574</v>
      </c>
      <c r="M8" t="s">
        <v>1574</v>
      </c>
      <c r="N8" t="s">
        <v>1574</v>
      </c>
      <c r="O8" t="s">
        <v>1578</v>
      </c>
      <c r="P8" t="s">
        <v>1576</v>
      </c>
      <c r="Q8" t="s">
        <v>1579</v>
      </c>
      <c r="R8" t="s">
        <v>1580</v>
      </c>
      <c r="S8" t="s">
        <v>1580</v>
      </c>
      <c r="T8" t="s">
        <v>1576</v>
      </c>
      <c r="U8" t="s">
        <v>1576</v>
      </c>
      <c r="V8" t="str" cm="1">
        <f t="array" aca="1" ref="V8" ca="1">IFERROR(_xlfn.IFS(A6="  ..............",OFFSET(A6,2,0),A5=" X-------------X",OFFSET(A5,3,0),MATCH("  ..............",A8:A17,0)&gt;2,V7),"-")</f>
        <v>-</v>
      </c>
      <c r="W8" t="str">
        <f t="shared" ca="1" si="0"/>
        <v>-</v>
      </c>
      <c r="X8" t="str">
        <f t="shared" ca="1" si="1"/>
        <v/>
      </c>
      <c r="Y8" s="1" t="str">
        <f t="shared" ca="1" si="2"/>
        <v/>
      </c>
    </row>
    <row r="9" spans="1:25" x14ac:dyDescent="0.25">
      <c r="A9" t="s">
        <v>1595</v>
      </c>
      <c r="B9">
        <v>1.016</v>
      </c>
      <c r="C9">
        <v>33</v>
      </c>
      <c r="D9">
        <v>0</v>
      </c>
      <c r="E9">
        <v>0</v>
      </c>
      <c r="F9">
        <v>0</v>
      </c>
      <c r="G9">
        <v>0</v>
      </c>
      <c r="H9">
        <v>0</v>
      </c>
      <c r="I9" t="s">
        <v>1581</v>
      </c>
      <c r="J9" t="s">
        <v>1581</v>
      </c>
      <c r="K9" t="s">
        <v>1581</v>
      </c>
      <c r="L9" t="s">
        <v>1581</v>
      </c>
      <c r="M9" t="s">
        <v>1581</v>
      </c>
      <c r="N9" t="s">
        <v>1581</v>
      </c>
      <c r="O9" t="s">
        <v>1581</v>
      </c>
      <c r="P9" t="s">
        <v>1581</v>
      </c>
      <c r="Q9" t="s">
        <v>1581</v>
      </c>
      <c r="R9" t="s">
        <v>1581</v>
      </c>
      <c r="S9" t="s">
        <v>1581</v>
      </c>
      <c r="T9" t="s">
        <v>1581</v>
      </c>
      <c r="U9" t="s">
        <v>1581</v>
      </c>
      <c r="V9" t="str" cm="1">
        <f t="array" aca="1" ref="V9" ca="1">IFERROR(_xlfn.IFS(A7="  ..............",OFFSET(A7,2,0),A6=" X-------------X",OFFSET(A6,3,0),MATCH("  ..............",A9:A18,0)&gt;2,V8),"-")</f>
        <v>-</v>
      </c>
      <c r="W9" t="str">
        <f t="shared" ca="1" si="0"/>
        <v>-</v>
      </c>
      <c r="X9" t="str">
        <f t="shared" ca="1" si="1"/>
        <v xml:space="preserve">              </v>
      </c>
      <c r="Y9" s="1">
        <f t="shared" ca="1" si="2"/>
        <v>0</v>
      </c>
    </row>
    <row r="10" spans="1:25" x14ac:dyDescent="0.25">
      <c r="A10" t="s">
        <v>1596</v>
      </c>
      <c r="B10">
        <v>-37.4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1584</v>
      </c>
      <c r="J10" t="s">
        <v>1585</v>
      </c>
      <c r="K10" t="s">
        <v>1586</v>
      </c>
      <c r="L10" t="s">
        <v>1587</v>
      </c>
      <c r="M10" t="s">
        <v>1587</v>
      </c>
      <c r="N10" t="s">
        <v>1586</v>
      </c>
      <c r="O10" t="s">
        <v>1581</v>
      </c>
      <c r="P10" t="s">
        <v>1581</v>
      </c>
      <c r="Q10" t="s">
        <v>1581</v>
      </c>
      <c r="R10" t="s">
        <v>1581</v>
      </c>
      <c r="S10" t="s">
        <v>1581</v>
      </c>
      <c r="T10" t="s">
        <v>1581</v>
      </c>
      <c r="U10" t="s">
        <v>1581</v>
      </c>
      <c r="V10" t="str" cm="1">
        <f t="array" aca="1" ref="V10" ca="1">IFERROR(_xlfn.IFS(A8="  ..............",OFFSET(A8,2,0),A7=" X-------------X",OFFSET(A7,3,0),MATCH("  ..............",A10:A19,0)&gt;2,V9),"-")</f>
        <v xml:space="preserve">  MONJOLUHE001  </v>
      </c>
      <c r="W10">
        <f t="shared" ca="1" si="0"/>
        <v>1.016</v>
      </c>
      <c r="X10" t="str">
        <f t="shared" ca="1" si="1"/>
        <v xml:space="preserve"> ALZANT-RS138 </v>
      </c>
      <c r="Y10" s="1">
        <f t="shared" ca="1" si="2"/>
        <v>0.21099999999999999</v>
      </c>
    </row>
    <row r="11" spans="1:25" x14ac:dyDescent="0.25">
      <c r="A11" t="s">
        <v>1588</v>
      </c>
      <c r="B11" t="s">
        <v>1587</v>
      </c>
      <c r="C11">
        <v>154</v>
      </c>
      <c r="D11">
        <v>154</v>
      </c>
      <c r="E11">
        <v>154</v>
      </c>
      <c r="F11" s="1">
        <v>0.21099999999999999</v>
      </c>
      <c r="G11" t="s">
        <v>1587</v>
      </c>
      <c r="H11" t="s">
        <v>1587</v>
      </c>
      <c r="I11">
        <v>932</v>
      </c>
      <c r="J11" t="s">
        <v>1597</v>
      </c>
      <c r="K11">
        <v>1</v>
      </c>
      <c r="L11">
        <v>33</v>
      </c>
      <c r="M11">
        <v>0.8</v>
      </c>
      <c r="N11">
        <v>32.5</v>
      </c>
      <c r="O11" t="s">
        <v>1594</v>
      </c>
      <c r="P11" t="s">
        <v>1584</v>
      </c>
      <c r="Q11" t="s">
        <v>1591</v>
      </c>
      <c r="R11">
        <v>0</v>
      </c>
      <c r="S11">
        <v>3.1</v>
      </c>
      <c r="T11" t="s">
        <v>1584</v>
      </c>
      <c r="U11" t="s">
        <v>1592</v>
      </c>
      <c r="V11" t="str" cm="1">
        <f t="array" aca="1" ref="V11" ca="1">IFERROR(_xlfn.IFS(A9="  ..............",OFFSET(A9,2,0),A8=" X-------------X",OFFSET(A8,3,0),MATCH("  ..............",A11:A20,0)&gt;2,V10),"-")</f>
        <v>-</v>
      </c>
      <c r="W11" t="str">
        <f t="shared" ca="1" si="0"/>
        <v>-</v>
      </c>
      <c r="X11" t="str">
        <f t="shared" ca="1" si="1"/>
        <v>-</v>
      </c>
      <c r="Y11" s="1" t="str">
        <f t="shared" ca="1" si="2"/>
        <v>-</v>
      </c>
    </row>
    <row r="12" spans="1:25" x14ac:dyDescent="0.25">
      <c r="A12" t="s">
        <v>1572</v>
      </c>
      <c r="B12" t="s">
        <v>1574</v>
      </c>
      <c r="C12" t="s">
        <v>1574</v>
      </c>
      <c r="D12" t="s">
        <v>1574</v>
      </c>
      <c r="E12" t="s">
        <v>1574</v>
      </c>
      <c r="F12" t="s">
        <v>1575</v>
      </c>
      <c r="G12" t="s">
        <v>1574</v>
      </c>
      <c r="H12" t="s">
        <v>1574</v>
      </c>
      <c r="I12" t="s">
        <v>1576</v>
      </c>
      <c r="J12" t="s">
        <v>1573</v>
      </c>
      <c r="K12" t="s">
        <v>1577</v>
      </c>
      <c r="L12" t="s">
        <v>1574</v>
      </c>
      <c r="M12" t="s">
        <v>1574</v>
      </c>
      <c r="N12" t="s">
        <v>1574</v>
      </c>
      <c r="O12" t="s">
        <v>1578</v>
      </c>
      <c r="P12" t="s">
        <v>1576</v>
      </c>
      <c r="Q12" t="s">
        <v>1579</v>
      </c>
      <c r="R12" t="s">
        <v>1580</v>
      </c>
      <c r="S12" t="s">
        <v>1580</v>
      </c>
      <c r="T12" t="s">
        <v>1576</v>
      </c>
      <c r="U12" t="s">
        <v>1576</v>
      </c>
      <c r="V12" t="str" cm="1">
        <f t="array" aca="1" ref="V12" ca="1">IFERROR(_xlfn.IFS(A10="  ..............",OFFSET(A10,2,0),A9=" X-------------X",OFFSET(A9,3,0),MATCH("  ..............",A12:A21,0)&gt;2,V11),"-")</f>
        <v>-</v>
      </c>
      <c r="W12" t="str">
        <f t="shared" ca="1" si="0"/>
        <v>-</v>
      </c>
      <c r="X12" t="str">
        <f t="shared" ca="1" si="1"/>
        <v/>
      </c>
      <c r="Y12" s="1" t="str">
        <f t="shared" ca="1" si="2"/>
        <v/>
      </c>
    </row>
    <row r="13" spans="1:25" x14ac:dyDescent="0.25">
      <c r="A13" t="s">
        <v>1598</v>
      </c>
      <c r="B13">
        <v>1.0429999999999999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1581</v>
      </c>
      <c r="J13" t="s">
        <v>1581</v>
      </c>
      <c r="K13" t="s">
        <v>1581</v>
      </c>
      <c r="L13" t="s">
        <v>1581</v>
      </c>
      <c r="M13" t="s">
        <v>1581</v>
      </c>
      <c r="N13" t="s">
        <v>1581</v>
      </c>
      <c r="O13" t="s">
        <v>1581</v>
      </c>
      <c r="P13" t="s">
        <v>1581</v>
      </c>
      <c r="Q13" t="s">
        <v>1581</v>
      </c>
      <c r="R13" t="s">
        <v>1581</v>
      </c>
      <c r="S13" t="s">
        <v>1581</v>
      </c>
      <c r="T13" t="s">
        <v>1581</v>
      </c>
      <c r="U13" t="s">
        <v>1581</v>
      </c>
      <c r="V13" t="str" cm="1">
        <f t="array" aca="1" ref="V13" ca="1">IFERROR(_xlfn.IFS(A11="  ..............",OFFSET(A11,2,0),A10=" X-------------X",OFFSET(A10,3,0),MATCH("  ..............",A13:A22,0)&gt;2,V12),"-")</f>
        <v>-</v>
      </c>
      <c r="W13" t="str">
        <f t="shared" ca="1" si="0"/>
        <v>-</v>
      </c>
      <c r="X13" t="str">
        <f t="shared" ca="1" si="1"/>
        <v xml:space="preserve">              </v>
      </c>
      <c r="Y13" s="1">
        <f t="shared" ca="1" si="2"/>
        <v>0</v>
      </c>
    </row>
    <row r="14" spans="1:25" x14ac:dyDescent="0.25">
      <c r="A14" t="s">
        <v>1599</v>
      </c>
      <c r="B14">
        <v>-42.8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1584</v>
      </c>
      <c r="J14" t="s">
        <v>1585</v>
      </c>
      <c r="K14" t="s">
        <v>1586</v>
      </c>
      <c r="L14" t="s">
        <v>1587</v>
      </c>
      <c r="M14" t="s">
        <v>1587</v>
      </c>
      <c r="N14" t="s">
        <v>1586</v>
      </c>
      <c r="O14" t="s">
        <v>1581</v>
      </c>
      <c r="P14" t="s">
        <v>1581</v>
      </c>
      <c r="Q14" t="s">
        <v>1581</v>
      </c>
      <c r="R14" t="s">
        <v>1581</v>
      </c>
      <c r="S14" t="s">
        <v>1581</v>
      </c>
      <c r="T14" t="s">
        <v>1581</v>
      </c>
      <c r="U14" t="s">
        <v>1581</v>
      </c>
      <c r="V14" t="str" cm="1">
        <f t="array" aca="1" ref="V14" ca="1">IFERROR(_xlfn.IFS(A12="  ..............",OFFSET(A12,2,0),A11=" X-------------X",OFFSET(A11,3,0),MATCH("  ..............",A14:A23,0)&gt;2,V13),"-")</f>
        <v xml:space="preserve">  ALZANT-RS138  </v>
      </c>
      <c r="W14">
        <f t="shared" ca="1" si="0"/>
        <v>1.0429999999999999</v>
      </c>
      <c r="X14" t="str">
        <f t="shared" ca="1" si="1"/>
        <v xml:space="preserve"> MONJOLUHE001 </v>
      </c>
      <c r="Y14" s="1">
        <f t="shared" ca="1" si="2"/>
        <v>0.20599999999999999</v>
      </c>
    </row>
    <row r="15" spans="1:25" x14ac:dyDescent="0.25">
      <c r="A15" t="s">
        <v>1588</v>
      </c>
      <c r="B15" t="s">
        <v>1587</v>
      </c>
      <c r="C15">
        <v>154</v>
      </c>
      <c r="D15">
        <v>154</v>
      </c>
      <c r="E15">
        <v>154</v>
      </c>
      <c r="F15" s="1">
        <v>0.20599999999999999</v>
      </c>
      <c r="G15" t="s">
        <v>1587</v>
      </c>
      <c r="H15" t="s">
        <v>1587</v>
      </c>
      <c r="I15">
        <v>931</v>
      </c>
      <c r="J15" t="s">
        <v>1600</v>
      </c>
      <c r="K15">
        <v>1</v>
      </c>
      <c r="L15">
        <v>-33</v>
      </c>
      <c r="M15">
        <v>2.2999999999999998</v>
      </c>
      <c r="N15">
        <v>31.7</v>
      </c>
      <c r="O15" t="s">
        <v>1601</v>
      </c>
      <c r="P15" t="s">
        <v>1584</v>
      </c>
      <c r="Q15" t="s">
        <v>1591</v>
      </c>
      <c r="R15">
        <v>0</v>
      </c>
      <c r="S15">
        <v>3.1</v>
      </c>
      <c r="T15" t="s">
        <v>1584</v>
      </c>
      <c r="U15" t="s">
        <v>1592</v>
      </c>
      <c r="V15" t="str" cm="1">
        <f t="array" aca="1" ref="V15" ca="1">IFERROR(_xlfn.IFS(A13="  ..............",OFFSET(A13,2,0),A12=" X-------------X",OFFSET(A12,3,0),MATCH("  ..............",A15:A24,0)&gt;2,V14),"-")</f>
        <v xml:space="preserve">  ALZANT-RS138  </v>
      </c>
      <c r="W15">
        <f t="shared" ca="1" si="0"/>
        <v>1.0429999999999999</v>
      </c>
      <c r="X15" t="str">
        <f t="shared" ca="1" si="1"/>
        <v xml:space="preserve"> PFUNDO-RS138 </v>
      </c>
      <c r="Y15" s="1">
        <f t="shared" ca="1" si="2"/>
        <v>0.39100000000000001</v>
      </c>
    </row>
    <row r="16" spans="1:25" x14ac:dyDescent="0.25">
      <c r="A16" t="s">
        <v>1588</v>
      </c>
      <c r="B16" t="s">
        <v>1587</v>
      </c>
      <c r="C16">
        <v>81</v>
      </c>
      <c r="D16">
        <v>81</v>
      </c>
      <c r="E16">
        <v>81</v>
      </c>
      <c r="F16" s="1">
        <v>0.39100000000000001</v>
      </c>
      <c r="G16" t="s">
        <v>1587</v>
      </c>
      <c r="H16" t="s">
        <v>1587</v>
      </c>
      <c r="I16">
        <v>1042</v>
      </c>
      <c r="J16" t="s">
        <v>1602</v>
      </c>
      <c r="K16">
        <v>1</v>
      </c>
      <c r="L16">
        <v>33</v>
      </c>
      <c r="M16">
        <v>-2.2999999999999998</v>
      </c>
      <c r="N16">
        <v>31.7</v>
      </c>
      <c r="O16" t="s">
        <v>1594</v>
      </c>
      <c r="P16" t="s">
        <v>1584</v>
      </c>
      <c r="Q16" t="s">
        <v>1591</v>
      </c>
      <c r="R16">
        <v>0.12</v>
      </c>
      <c r="S16">
        <v>-0.81</v>
      </c>
      <c r="T16" t="s">
        <v>1584</v>
      </c>
      <c r="U16" t="s">
        <v>1592</v>
      </c>
      <c r="V16" t="str" cm="1">
        <f t="array" aca="1" ref="V16" ca="1">IFERROR(_xlfn.IFS(A14="  ..............",OFFSET(A14,2,0),A13=" X-------------X",OFFSET(A13,3,0),MATCH("  ..............",A16:A25,0)&gt;2,V15),"-")</f>
        <v>-</v>
      </c>
      <c r="W16" t="str">
        <f t="shared" ca="1" si="0"/>
        <v>-</v>
      </c>
      <c r="X16" t="str">
        <f t="shared" ca="1" si="1"/>
        <v>-</v>
      </c>
      <c r="Y16" s="1" t="str">
        <f t="shared" ca="1" si="2"/>
        <v>-</v>
      </c>
    </row>
    <row r="17" spans="1:25" x14ac:dyDescent="0.25">
      <c r="A17" t="s">
        <v>1572</v>
      </c>
      <c r="B17" t="s">
        <v>1574</v>
      </c>
      <c r="C17" t="s">
        <v>1574</v>
      </c>
      <c r="D17" t="s">
        <v>1574</v>
      </c>
      <c r="E17" t="s">
        <v>1574</v>
      </c>
      <c r="F17" t="s">
        <v>1575</v>
      </c>
      <c r="G17" t="s">
        <v>1574</v>
      </c>
      <c r="H17" t="s">
        <v>1574</v>
      </c>
      <c r="I17" t="s">
        <v>1576</v>
      </c>
      <c r="J17" t="s">
        <v>1573</v>
      </c>
      <c r="K17" t="s">
        <v>1577</v>
      </c>
      <c r="L17" t="s">
        <v>1574</v>
      </c>
      <c r="M17" t="s">
        <v>1574</v>
      </c>
      <c r="N17" t="s">
        <v>1574</v>
      </c>
      <c r="O17" t="s">
        <v>1578</v>
      </c>
      <c r="P17" t="s">
        <v>1576</v>
      </c>
      <c r="Q17" t="s">
        <v>1579</v>
      </c>
      <c r="R17" t="s">
        <v>1580</v>
      </c>
      <c r="S17" t="s">
        <v>1580</v>
      </c>
      <c r="T17" t="s">
        <v>1576</v>
      </c>
      <c r="U17" t="s">
        <v>1576</v>
      </c>
      <c r="V17" t="str" cm="1">
        <f t="array" aca="1" ref="V17" ca="1">IFERROR(_xlfn.IFS(A15="  ..............",OFFSET(A15,2,0),A14=" X-------------X",OFFSET(A14,3,0),MATCH("  ..............",A17:A26,0)&gt;2,V16),"-")</f>
        <v>-</v>
      </c>
      <c r="W17" t="str">
        <f t="shared" ca="1" si="0"/>
        <v>-</v>
      </c>
      <c r="X17" t="str">
        <f t="shared" ca="1" si="1"/>
        <v/>
      </c>
      <c r="Y17" s="1" t="str">
        <f t="shared" ca="1" si="2"/>
        <v/>
      </c>
    </row>
    <row r="18" spans="1:25" x14ac:dyDescent="0.25">
      <c r="A18" t="s">
        <v>1603</v>
      </c>
      <c r="B18">
        <v>0.998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1581</v>
      </c>
      <c r="J18" t="s">
        <v>1581</v>
      </c>
      <c r="K18" t="s">
        <v>1581</v>
      </c>
      <c r="L18" t="s">
        <v>1581</v>
      </c>
      <c r="M18" t="s">
        <v>1581</v>
      </c>
      <c r="N18" t="s">
        <v>1581</v>
      </c>
      <c r="O18" t="s">
        <v>1581</v>
      </c>
      <c r="P18" t="s">
        <v>1581</v>
      </c>
      <c r="Q18" t="s">
        <v>1581</v>
      </c>
      <c r="R18" t="s">
        <v>1581</v>
      </c>
      <c r="S18" t="s">
        <v>1581</v>
      </c>
      <c r="T18" t="s">
        <v>1581</v>
      </c>
      <c r="U18" t="s">
        <v>1581</v>
      </c>
      <c r="V18" t="str" cm="1">
        <f t="array" aca="1" ref="V18" ca="1">IFERROR(_xlfn.IFS(A16="  ..............",OFFSET(A16,2,0),A15=" X-------------X",OFFSET(A15,3,0),MATCH("  ..............",A18:A27,0)&gt;2,V17),"-")</f>
        <v>-</v>
      </c>
      <c r="W18" t="str">
        <f t="shared" ca="1" si="0"/>
        <v>-</v>
      </c>
      <c r="X18" t="str">
        <f t="shared" ca="1" si="1"/>
        <v xml:space="preserve">              </v>
      </c>
      <c r="Y18" s="1">
        <f t="shared" ca="1" si="2"/>
        <v>0</v>
      </c>
    </row>
    <row r="19" spans="1:25" x14ac:dyDescent="0.25">
      <c r="A19" t="s">
        <v>1604</v>
      </c>
      <c r="B19">
        <v>-48.6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1584</v>
      </c>
      <c r="J19" t="s">
        <v>1585</v>
      </c>
      <c r="K19" t="s">
        <v>1586</v>
      </c>
      <c r="L19" t="s">
        <v>1587</v>
      </c>
      <c r="M19" t="s">
        <v>1587</v>
      </c>
      <c r="N19" t="s">
        <v>1586</v>
      </c>
      <c r="O19" t="s">
        <v>1581</v>
      </c>
      <c r="P19" t="s">
        <v>1581</v>
      </c>
      <c r="Q19" t="s">
        <v>1581</v>
      </c>
      <c r="R19" t="s">
        <v>1581</v>
      </c>
      <c r="S19" t="s">
        <v>1581</v>
      </c>
      <c r="T19" t="s">
        <v>1581</v>
      </c>
      <c r="U19" t="s">
        <v>1581</v>
      </c>
      <c r="V19" t="str" cm="1">
        <f t="array" aca="1" ref="V19" ca="1">IFERROR(_xlfn.IFS(A17="  ..............",OFFSET(A17,2,0),A16=" X-------------X",OFFSET(A16,3,0),MATCH("  ..............",A19:A28,0)&gt;2,V18),"-")</f>
        <v xml:space="preserve">  CAPIVA-RS138  </v>
      </c>
      <c r="W19">
        <f t="shared" ca="1" si="0"/>
        <v>0.998</v>
      </c>
      <c r="X19" t="str">
        <f t="shared" ca="1" si="1"/>
        <v xml:space="preserve"> PALMAR-RS138 </v>
      </c>
      <c r="Y19" s="1">
        <f t="shared" ca="1" si="2"/>
        <v>1.6E-2</v>
      </c>
    </row>
    <row r="20" spans="1:25" x14ac:dyDescent="0.25">
      <c r="A20" t="s">
        <v>1588</v>
      </c>
      <c r="B20" t="s">
        <v>1587</v>
      </c>
      <c r="C20">
        <v>82</v>
      </c>
      <c r="D20">
        <v>118</v>
      </c>
      <c r="E20">
        <v>118</v>
      </c>
      <c r="F20" s="1">
        <v>1.6E-2</v>
      </c>
      <c r="G20" t="s">
        <v>1587</v>
      </c>
      <c r="H20" t="s">
        <v>1587</v>
      </c>
      <c r="I20">
        <v>1229</v>
      </c>
      <c r="J20" t="s">
        <v>1605</v>
      </c>
      <c r="K20">
        <v>1</v>
      </c>
      <c r="L20">
        <v>0.8</v>
      </c>
      <c r="M20">
        <v>-1</v>
      </c>
      <c r="N20">
        <v>1.3</v>
      </c>
      <c r="O20" t="s">
        <v>1594</v>
      </c>
      <c r="P20" t="s">
        <v>1584</v>
      </c>
      <c r="Q20" t="s">
        <v>1591</v>
      </c>
      <c r="R20">
        <v>0</v>
      </c>
      <c r="S20">
        <v>-1.08</v>
      </c>
      <c r="T20" t="s">
        <v>1584</v>
      </c>
      <c r="U20" t="s">
        <v>1592</v>
      </c>
      <c r="V20" t="str" cm="1">
        <f t="array" aca="1" ref="V20" ca="1">IFERROR(_xlfn.IFS(A18="  ..............",OFFSET(A18,2,0),A17=" X-------------X",OFFSET(A17,3,0),MATCH("  ..............",A20:A29,0)&gt;2,V19),"-")</f>
        <v xml:space="preserve">  CAPIVA-RS138  </v>
      </c>
      <c r="W20">
        <f t="shared" ca="1" si="0"/>
        <v>0.998</v>
      </c>
      <c r="X20" t="str">
        <f t="shared" ca="1" si="1"/>
        <v xml:space="preserve"> OSO-Y2-RS138 </v>
      </c>
      <c r="Y20" s="1">
        <f t="shared" ca="1" si="2"/>
        <v>2.8000000000000001E-2</v>
      </c>
    </row>
    <row r="21" spans="1:25" x14ac:dyDescent="0.25">
      <c r="A21" t="s">
        <v>1588</v>
      </c>
      <c r="B21" t="s">
        <v>1587</v>
      </c>
      <c r="C21">
        <v>82</v>
      </c>
      <c r="D21">
        <v>118</v>
      </c>
      <c r="E21">
        <v>118</v>
      </c>
      <c r="F21" s="1">
        <v>2.8000000000000001E-2</v>
      </c>
      <c r="G21" t="s">
        <v>1587</v>
      </c>
      <c r="H21" t="s">
        <v>1587</v>
      </c>
      <c r="I21">
        <v>1358</v>
      </c>
      <c r="J21" t="s">
        <v>1606</v>
      </c>
      <c r="K21">
        <v>1</v>
      </c>
      <c r="L21">
        <v>0</v>
      </c>
      <c r="M21">
        <v>-2.2999999999999998</v>
      </c>
      <c r="N21">
        <v>2.2999999999999998</v>
      </c>
      <c r="O21" t="s">
        <v>1594</v>
      </c>
      <c r="P21" t="s">
        <v>1584</v>
      </c>
      <c r="Q21" t="s">
        <v>1591</v>
      </c>
      <c r="R21">
        <v>0</v>
      </c>
      <c r="S21">
        <v>-2.2999999999999998</v>
      </c>
      <c r="T21" t="s">
        <v>1584</v>
      </c>
      <c r="U21" t="s">
        <v>1592</v>
      </c>
      <c r="V21" t="str" cm="1">
        <f t="array" aca="1" ref="V21" ca="1">IFERROR(_xlfn.IFS(A19="  ..............",OFFSET(A19,2,0),A18=" X-------------X",OFFSET(A18,3,0),MATCH("  ..............",A21:A30,0)&gt;2,V20),"-")</f>
        <v xml:space="preserve">  CAPIVA-RS138  </v>
      </c>
      <c r="W21">
        <f t="shared" ca="1" si="0"/>
        <v>0.998</v>
      </c>
      <c r="X21" t="str">
        <f t="shared" ca="1" si="1"/>
        <v xml:space="preserve"> CAP--3-RS000 </v>
      </c>
      <c r="Y21" s="1">
        <f t="shared" ca="1" si="2"/>
        <v>1.7000000000000001E-2</v>
      </c>
    </row>
    <row r="22" spans="1:25" x14ac:dyDescent="0.25">
      <c r="A22" t="s">
        <v>1588</v>
      </c>
      <c r="B22" t="s">
        <v>1587</v>
      </c>
      <c r="C22">
        <v>100</v>
      </c>
      <c r="D22">
        <v>120</v>
      </c>
      <c r="E22">
        <v>120</v>
      </c>
      <c r="F22" s="1">
        <v>1.7000000000000001E-2</v>
      </c>
      <c r="G22" t="s">
        <v>1587</v>
      </c>
      <c r="H22" t="s">
        <v>1587</v>
      </c>
      <c r="I22">
        <v>43830</v>
      </c>
      <c r="J22" t="s">
        <v>1607</v>
      </c>
      <c r="K22">
        <v>1</v>
      </c>
      <c r="L22">
        <v>-0.4</v>
      </c>
      <c r="M22">
        <v>1.7</v>
      </c>
      <c r="N22">
        <v>1.7</v>
      </c>
      <c r="O22" t="s">
        <v>1608</v>
      </c>
      <c r="P22" t="s">
        <v>1584</v>
      </c>
      <c r="Q22">
        <v>2</v>
      </c>
      <c r="R22">
        <v>0</v>
      </c>
      <c r="S22">
        <v>0</v>
      </c>
      <c r="T22" t="s">
        <v>1584</v>
      </c>
      <c r="U22" t="s">
        <v>1592</v>
      </c>
      <c r="V22" t="str" cm="1">
        <f t="array" aca="1" ref="V22" ca="1">IFERROR(_xlfn.IFS(A20="  ..............",OFFSET(A20,2,0),A19=" X-------------X",OFFSET(A19,3,0),MATCH("  ..............",A22:A31,0)&gt;2,V21),"-")</f>
        <v xml:space="preserve">  CAPIVA-RS138  </v>
      </c>
      <c r="W22">
        <f t="shared" ca="1" si="0"/>
        <v>0.998</v>
      </c>
      <c r="X22" t="str">
        <f t="shared" ca="1" si="1"/>
        <v xml:space="preserve"> CAP--4-RS000 </v>
      </c>
      <c r="Y22" s="1">
        <f t="shared" ca="1" si="2"/>
        <v>1.7000000000000001E-2</v>
      </c>
    </row>
    <row r="23" spans="1:25" x14ac:dyDescent="0.25">
      <c r="A23" t="s">
        <v>1588</v>
      </c>
      <c r="B23" t="s">
        <v>1587</v>
      </c>
      <c r="C23">
        <v>100</v>
      </c>
      <c r="D23">
        <v>120</v>
      </c>
      <c r="E23">
        <v>120</v>
      </c>
      <c r="F23" s="1">
        <v>1.7000000000000001E-2</v>
      </c>
      <c r="G23" t="s">
        <v>1587</v>
      </c>
      <c r="H23" t="s">
        <v>1587</v>
      </c>
      <c r="I23">
        <v>43832</v>
      </c>
      <c r="J23" t="s">
        <v>1609</v>
      </c>
      <c r="K23">
        <v>2</v>
      </c>
      <c r="L23">
        <v>-0.4</v>
      </c>
      <c r="M23">
        <v>1.7</v>
      </c>
      <c r="N23">
        <v>1.7</v>
      </c>
      <c r="O23" t="s">
        <v>1608</v>
      </c>
      <c r="P23" t="s">
        <v>1584</v>
      </c>
      <c r="Q23">
        <v>2</v>
      </c>
      <c r="R23">
        <v>0</v>
      </c>
      <c r="S23">
        <v>0</v>
      </c>
      <c r="T23" t="s">
        <v>1584</v>
      </c>
      <c r="U23" t="s">
        <v>1592</v>
      </c>
      <c r="V23" t="str" cm="1">
        <f t="array" aca="1" ref="V23" ca="1">IFERROR(_xlfn.IFS(A21="  ..............",OFFSET(A21,2,0),A20=" X-------------X",OFFSET(A20,3,0),MATCH("  ..............",A23:A32,0)&gt;2,V22),"-")</f>
        <v>-</v>
      </c>
      <c r="W23" t="str">
        <f t="shared" ca="1" si="0"/>
        <v>-</v>
      </c>
      <c r="X23" t="str">
        <f t="shared" ca="1" si="1"/>
        <v>-</v>
      </c>
      <c r="Y23" s="1" t="str">
        <f t="shared" ca="1" si="2"/>
        <v>-</v>
      </c>
    </row>
    <row r="24" spans="1:25" x14ac:dyDescent="0.25">
      <c r="A24" t="s">
        <v>1572</v>
      </c>
      <c r="B24" t="s">
        <v>1574</v>
      </c>
      <c r="C24" t="s">
        <v>1574</v>
      </c>
      <c r="D24" t="s">
        <v>1574</v>
      </c>
      <c r="E24" t="s">
        <v>1574</v>
      </c>
      <c r="F24" t="s">
        <v>1575</v>
      </c>
      <c r="G24" t="s">
        <v>1574</v>
      </c>
      <c r="H24" t="s">
        <v>1574</v>
      </c>
      <c r="I24" t="s">
        <v>1576</v>
      </c>
      <c r="J24" t="s">
        <v>1573</v>
      </c>
      <c r="K24" t="s">
        <v>1577</v>
      </c>
      <c r="L24" t="s">
        <v>1574</v>
      </c>
      <c r="M24" t="s">
        <v>1574</v>
      </c>
      <c r="N24" t="s">
        <v>1574</v>
      </c>
      <c r="O24" t="s">
        <v>1578</v>
      </c>
      <c r="P24" t="s">
        <v>1576</v>
      </c>
      <c r="Q24" t="s">
        <v>1579</v>
      </c>
      <c r="R24" t="s">
        <v>1580</v>
      </c>
      <c r="S24" t="s">
        <v>1580</v>
      </c>
      <c r="T24" t="s">
        <v>1576</v>
      </c>
      <c r="U24" t="s">
        <v>1576</v>
      </c>
      <c r="V24" t="str" cm="1">
        <f t="array" aca="1" ref="V24" ca="1">IFERROR(_xlfn.IFS(A22="  ..............",OFFSET(A22,2,0),A21=" X-------------X",OFFSET(A21,3,0),MATCH("  ..............",A24:A33,0)&gt;2,V23),"-")</f>
        <v>-</v>
      </c>
      <c r="W24" t="str">
        <f t="shared" ca="1" si="0"/>
        <v>-</v>
      </c>
      <c r="X24" t="str">
        <f t="shared" ca="1" si="1"/>
        <v/>
      </c>
      <c r="Y24" s="1" t="str">
        <f t="shared" ca="1" si="2"/>
        <v/>
      </c>
    </row>
    <row r="25" spans="1:25" x14ac:dyDescent="0.25">
      <c r="A25" t="s">
        <v>1610</v>
      </c>
      <c r="B25">
        <v>1.0069999999999999</v>
      </c>
      <c r="C25">
        <v>0</v>
      </c>
      <c r="D25">
        <v>0</v>
      </c>
      <c r="E25">
        <v>10.1</v>
      </c>
      <c r="F25">
        <v>0</v>
      </c>
      <c r="G25">
        <v>1.8</v>
      </c>
      <c r="H25">
        <v>0</v>
      </c>
      <c r="I25" t="s">
        <v>1581</v>
      </c>
      <c r="J25" t="s">
        <v>1581</v>
      </c>
      <c r="K25" t="s">
        <v>1581</v>
      </c>
      <c r="L25" t="s">
        <v>1581</v>
      </c>
      <c r="M25" t="s">
        <v>1581</v>
      </c>
      <c r="N25" t="s">
        <v>1581</v>
      </c>
      <c r="O25" t="s">
        <v>1581</v>
      </c>
      <c r="P25" t="s">
        <v>1581</v>
      </c>
      <c r="Q25" t="s">
        <v>1581</v>
      </c>
      <c r="R25" t="s">
        <v>1581</v>
      </c>
      <c r="S25" t="s">
        <v>1581</v>
      </c>
      <c r="T25" t="s">
        <v>1581</v>
      </c>
      <c r="U25" t="s">
        <v>1581</v>
      </c>
      <c r="V25" t="str" cm="1">
        <f t="array" aca="1" ref="V25" ca="1">IFERROR(_xlfn.IFS(A23="  ..............",OFFSET(A23,2,0),A22=" X-------------X",OFFSET(A22,3,0),MATCH("  ..............",A25:A34,0)&gt;2,V24),"-")</f>
        <v>-</v>
      </c>
      <c r="W25" t="str">
        <f t="shared" ca="1" si="0"/>
        <v>-</v>
      </c>
      <c r="X25" t="str">
        <f t="shared" ca="1" si="1"/>
        <v xml:space="preserve">              </v>
      </c>
      <c r="Y25" s="1">
        <f t="shared" ca="1" si="2"/>
        <v>0</v>
      </c>
    </row>
    <row r="26" spans="1:25" x14ac:dyDescent="0.25">
      <c r="A26" t="s">
        <v>1611</v>
      </c>
      <c r="B26">
        <v>-50.2</v>
      </c>
      <c r="C26">
        <v>0</v>
      </c>
      <c r="D26">
        <v>0</v>
      </c>
      <c r="E26">
        <v>3.1</v>
      </c>
      <c r="F26">
        <v>0</v>
      </c>
      <c r="G26">
        <v>0</v>
      </c>
      <c r="H26">
        <v>0</v>
      </c>
      <c r="I26" t="s">
        <v>1584</v>
      </c>
      <c r="J26" t="s">
        <v>1585</v>
      </c>
      <c r="K26" t="s">
        <v>1586</v>
      </c>
      <c r="L26" t="s">
        <v>1587</v>
      </c>
      <c r="M26" t="s">
        <v>1587</v>
      </c>
      <c r="N26" t="s">
        <v>1586</v>
      </c>
      <c r="O26" t="s">
        <v>1581</v>
      </c>
      <c r="P26" t="s">
        <v>1581</v>
      </c>
      <c r="Q26" t="s">
        <v>1581</v>
      </c>
      <c r="R26" t="s">
        <v>1581</v>
      </c>
      <c r="S26" t="s">
        <v>1581</v>
      </c>
      <c r="T26" t="s">
        <v>1581</v>
      </c>
      <c r="U26" t="s">
        <v>1581</v>
      </c>
      <c r="V26" t="str" cm="1">
        <f t="array" aca="1" ref="V26" ca="1">IFERROR(_xlfn.IFS(A24="  ..............",OFFSET(A24,2,0),A23=" X-------------X",OFFSET(A23,3,0),MATCH("  ..............",A26:A35,0)&gt;2,V25),"-")</f>
        <v xml:space="preserve">  PFUND2-RS069  </v>
      </c>
      <c r="W26">
        <f t="shared" ca="1" si="0"/>
        <v>1.0069999999999999</v>
      </c>
      <c r="X26" t="str">
        <f t="shared" ca="1" si="1"/>
        <v xml:space="preserve"> SMARTA-RS069 </v>
      </c>
      <c r="Y26" s="1">
        <f t="shared" ca="1" si="2"/>
        <v>0.33700000000000002</v>
      </c>
    </row>
    <row r="27" spans="1:25" x14ac:dyDescent="0.25">
      <c r="A27" t="s">
        <v>1588</v>
      </c>
      <c r="B27" t="s">
        <v>1587</v>
      </c>
      <c r="C27">
        <v>30</v>
      </c>
      <c r="D27">
        <v>36</v>
      </c>
      <c r="E27">
        <v>36</v>
      </c>
      <c r="F27" s="1">
        <v>0.33700000000000002</v>
      </c>
      <c r="G27" t="s">
        <v>1587</v>
      </c>
      <c r="H27" t="s">
        <v>1587</v>
      </c>
      <c r="I27">
        <v>1279</v>
      </c>
      <c r="J27" t="s">
        <v>1612</v>
      </c>
      <c r="K27">
        <v>1</v>
      </c>
      <c r="L27">
        <v>-10.1</v>
      </c>
      <c r="M27">
        <v>-1.3</v>
      </c>
      <c r="N27">
        <v>10.1</v>
      </c>
      <c r="O27" t="s">
        <v>1594</v>
      </c>
      <c r="P27" t="s">
        <v>1584</v>
      </c>
      <c r="Q27" t="s">
        <v>1591</v>
      </c>
      <c r="R27">
        <v>0.04</v>
      </c>
      <c r="S27">
        <v>-0.11</v>
      </c>
      <c r="T27" t="s">
        <v>1584</v>
      </c>
      <c r="U27" t="s">
        <v>1592</v>
      </c>
      <c r="V27" t="str" cm="1">
        <f t="array" aca="1" ref="V27" ca="1">IFERROR(_xlfn.IFS(A25="  ..............",OFFSET(A25,2,0),A24=" X-------------X",OFFSET(A24,3,0),MATCH("  ..............",A27:A36,0)&gt;2,V26),"-")</f>
        <v>-</v>
      </c>
      <c r="W27" t="str">
        <f t="shared" ca="1" si="0"/>
        <v>-</v>
      </c>
      <c r="X27" t="str">
        <f t="shared" ca="1" si="1"/>
        <v>-</v>
      </c>
      <c r="Y27" s="1" t="str">
        <f t="shared" ca="1" si="2"/>
        <v>-</v>
      </c>
    </row>
    <row r="28" spans="1:25" x14ac:dyDescent="0.25">
      <c r="A28" t="s">
        <v>1572</v>
      </c>
      <c r="B28" t="s">
        <v>1574</v>
      </c>
      <c r="C28" t="s">
        <v>1574</v>
      </c>
      <c r="D28" t="s">
        <v>1574</v>
      </c>
      <c r="E28" t="s">
        <v>1574</v>
      </c>
      <c r="F28" t="s">
        <v>1575</v>
      </c>
      <c r="G28" t="s">
        <v>1574</v>
      </c>
      <c r="H28" t="s">
        <v>1574</v>
      </c>
      <c r="I28" t="s">
        <v>1576</v>
      </c>
      <c r="J28" t="s">
        <v>1573</v>
      </c>
      <c r="K28" t="s">
        <v>1577</v>
      </c>
      <c r="L28" t="s">
        <v>1574</v>
      </c>
      <c r="M28" t="s">
        <v>1574</v>
      </c>
      <c r="N28" t="s">
        <v>1574</v>
      </c>
      <c r="O28" t="s">
        <v>1578</v>
      </c>
      <c r="P28" t="s">
        <v>1576</v>
      </c>
      <c r="Q28" t="s">
        <v>1579</v>
      </c>
      <c r="R28" t="s">
        <v>1580</v>
      </c>
      <c r="S28" t="s">
        <v>1580</v>
      </c>
      <c r="T28" t="s">
        <v>1576</v>
      </c>
      <c r="U28" t="s">
        <v>1576</v>
      </c>
      <c r="V28" t="str" cm="1">
        <f t="array" aca="1" ref="V28" ca="1">IFERROR(_xlfn.IFS(A26="  ..............",OFFSET(A26,2,0),A25=" X-------------X",OFFSET(A25,3,0),MATCH("  ..............",A28:A37,0)&gt;2,V27),"-")</f>
        <v>-</v>
      </c>
      <c r="W28" t="str">
        <f t="shared" ca="1" si="0"/>
        <v>-</v>
      </c>
      <c r="X28" t="str">
        <f t="shared" ca="1" si="1"/>
        <v/>
      </c>
      <c r="Y28" s="1" t="str">
        <f t="shared" ca="1" si="2"/>
        <v/>
      </c>
    </row>
    <row r="29" spans="1:25" x14ac:dyDescent="0.25">
      <c r="A29" t="s">
        <v>1613</v>
      </c>
      <c r="B29">
        <v>1.04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t="s">
        <v>1581</v>
      </c>
      <c r="J29" t="s">
        <v>1581</v>
      </c>
      <c r="K29" t="s">
        <v>1581</v>
      </c>
      <c r="L29" t="s">
        <v>1581</v>
      </c>
      <c r="M29" t="s">
        <v>1581</v>
      </c>
      <c r="N29" t="s">
        <v>1581</v>
      </c>
      <c r="O29" t="s">
        <v>1581</v>
      </c>
      <c r="P29" t="s">
        <v>1581</v>
      </c>
      <c r="Q29" t="s">
        <v>1581</v>
      </c>
      <c r="R29" t="s">
        <v>1581</v>
      </c>
      <c r="S29" t="s">
        <v>1581</v>
      </c>
      <c r="T29" t="s">
        <v>1581</v>
      </c>
      <c r="U29" t="s">
        <v>1581</v>
      </c>
      <c r="V29" t="str" cm="1">
        <f t="array" aca="1" ref="V29" ca="1">IFERROR(_xlfn.IFS(A27="  ..............",OFFSET(A27,2,0),A26=" X-------------X",OFFSET(A26,3,0),MATCH("  ..............",A29:A38,0)&gt;2,V28),"-")</f>
        <v>-</v>
      </c>
      <c r="W29" t="str">
        <f t="shared" ca="1" si="0"/>
        <v>-</v>
      </c>
      <c r="X29" t="str">
        <f t="shared" ca="1" si="1"/>
        <v xml:space="preserve">              </v>
      </c>
      <c r="Y29" s="1">
        <f t="shared" ca="1" si="2"/>
        <v>0</v>
      </c>
    </row>
    <row r="30" spans="1:25" x14ac:dyDescent="0.25">
      <c r="A30" t="s">
        <v>1614</v>
      </c>
      <c r="B30">
        <v>-43.6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1584</v>
      </c>
      <c r="J30" t="s">
        <v>1585</v>
      </c>
      <c r="K30" t="s">
        <v>1586</v>
      </c>
      <c r="L30" t="s">
        <v>1587</v>
      </c>
      <c r="M30" t="s">
        <v>1587</v>
      </c>
      <c r="N30" t="s">
        <v>1586</v>
      </c>
      <c r="O30" t="s">
        <v>1581</v>
      </c>
      <c r="P30" t="s">
        <v>1581</v>
      </c>
      <c r="Q30" t="s">
        <v>1581</v>
      </c>
      <c r="R30" t="s">
        <v>1581</v>
      </c>
      <c r="S30" t="s">
        <v>1581</v>
      </c>
      <c r="T30" t="s">
        <v>1581</v>
      </c>
      <c r="U30" t="s">
        <v>1581</v>
      </c>
      <c r="V30" t="str" cm="1">
        <f t="array" aca="1" ref="V30" ca="1">IFERROR(_xlfn.IFS(A28="  ..............",OFFSET(A28,2,0),A27=" X-------------X",OFFSET(A27,3,0),MATCH("  ..............",A30:A39,0)&gt;2,V29),"-")</f>
        <v xml:space="preserve">  PFUNDO-RS138  </v>
      </c>
      <c r="W30">
        <f t="shared" ca="1" si="0"/>
        <v>1.04</v>
      </c>
      <c r="X30" t="str">
        <f t="shared" ca="1" si="1"/>
        <v xml:space="preserve"> ALZANT-RS138 </v>
      </c>
      <c r="Y30" s="1">
        <f t="shared" ca="1" si="2"/>
        <v>0.21099999999999999</v>
      </c>
    </row>
    <row r="31" spans="1:25" x14ac:dyDescent="0.25">
      <c r="A31" t="s">
        <v>1588</v>
      </c>
      <c r="B31" t="s">
        <v>1587</v>
      </c>
      <c r="C31">
        <v>81</v>
      </c>
      <c r="D31">
        <v>81</v>
      </c>
      <c r="E31">
        <v>81</v>
      </c>
      <c r="F31" s="1">
        <v>0.39100000000000001</v>
      </c>
      <c r="G31" t="s">
        <v>1587</v>
      </c>
      <c r="H31" t="s">
        <v>1587</v>
      </c>
      <c r="I31">
        <v>932</v>
      </c>
      <c r="J31" t="s">
        <v>1597</v>
      </c>
      <c r="K31">
        <v>1</v>
      </c>
      <c r="L31">
        <v>-32.9</v>
      </c>
      <c r="M31">
        <v>1.5</v>
      </c>
      <c r="N31">
        <v>31.6</v>
      </c>
      <c r="O31" t="s">
        <v>1594</v>
      </c>
      <c r="P31" t="s">
        <v>1584</v>
      </c>
      <c r="Q31" t="s">
        <v>1591</v>
      </c>
      <c r="R31">
        <v>0.12</v>
      </c>
      <c r="S31">
        <v>-0.81</v>
      </c>
      <c r="T31" t="s">
        <v>1584</v>
      </c>
      <c r="U31" t="s">
        <v>1592</v>
      </c>
      <c r="V31" t="str" cm="1">
        <f t="array" aca="1" ref="V31" ca="1">IFERROR(_xlfn.IFS(A29="  ..............",OFFSET(A29,2,0),A28=" X-------------X",OFFSET(A28,3,0),MATCH("  ..............",A31:A40,0)&gt;2,V30),"-")</f>
        <v xml:space="preserve">  PFUNDO-RS138  </v>
      </c>
      <c r="W31">
        <f t="shared" ca="1" si="0"/>
        <v>1.04</v>
      </c>
      <c r="X31" t="str">
        <f t="shared" ca="1" si="1"/>
        <v xml:space="preserve"> EREXIM-RS138 </v>
      </c>
      <c r="Y31" s="1">
        <f t="shared" ca="1" si="2"/>
        <v>0.38500000000000001</v>
      </c>
    </row>
    <row r="32" spans="1:25" x14ac:dyDescent="0.25">
      <c r="A32" t="s">
        <v>1588</v>
      </c>
      <c r="B32" t="s">
        <v>1587</v>
      </c>
      <c r="C32">
        <v>167</v>
      </c>
      <c r="D32">
        <v>167</v>
      </c>
      <c r="E32">
        <v>167</v>
      </c>
      <c r="F32" s="1">
        <v>0.38500000000000001</v>
      </c>
      <c r="G32" t="s">
        <v>1587</v>
      </c>
      <c r="H32" t="s">
        <v>1587</v>
      </c>
      <c r="I32">
        <v>2069</v>
      </c>
      <c r="J32" t="s">
        <v>1615</v>
      </c>
      <c r="K32">
        <v>1</v>
      </c>
      <c r="L32">
        <v>66.7</v>
      </c>
      <c r="M32">
        <v>-3.8</v>
      </c>
      <c r="N32">
        <v>64.2</v>
      </c>
      <c r="O32" t="s">
        <v>1594</v>
      </c>
      <c r="P32" t="s">
        <v>1584</v>
      </c>
      <c r="Q32" t="s">
        <v>1591</v>
      </c>
      <c r="R32">
        <v>2.1</v>
      </c>
      <c r="S32">
        <v>2.0499999999999998</v>
      </c>
      <c r="T32" t="s">
        <v>1584</v>
      </c>
      <c r="U32" t="s">
        <v>1592</v>
      </c>
      <c r="V32" t="str" cm="1">
        <f t="array" aca="1" ref="V32" ca="1">IFERROR(_xlfn.IFS(A30="  ..............",OFFSET(A30,2,0),A29=" X-------------X",OFFSET(A29,3,0),MATCH("  ..............",A32:A41,0)&gt;2,V31),"-")</f>
        <v xml:space="preserve">  PFUNDO-RS138  </v>
      </c>
      <c r="W32">
        <f t="shared" ca="1" si="0"/>
        <v>1.04</v>
      </c>
      <c r="X32" t="str">
        <f t="shared" ca="1" si="1"/>
        <v xml:space="preserve"> PFUNDO-RS023 </v>
      </c>
      <c r="Y32" s="1">
        <f t="shared" ca="1" si="2"/>
        <v>0.65400000000000003</v>
      </c>
    </row>
    <row r="33" spans="1:25" x14ac:dyDescent="0.25">
      <c r="A33" t="s">
        <v>1588</v>
      </c>
      <c r="B33" t="s">
        <v>1587</v>
      </c>
      <c r="C33">
        <v>25</v>
      </c>
      <c r="D33">
        <v>25</v>
      </c>
      <c r="E33">
        <v>25</v>
      </c>
      <c r="F33" s="1">
        <v>0.65400000000000003</v>
      </c>
      <c r="G33" t="s">
        <v>1587</v>
      </c>
      <c r="H33" t="s">
        <v>1587</v>
      </c>
      <c r="I33">
        <v>2095</v>
      </c>
      <c r="J33" t="s">
        <v>1616</v>
      </c>
      <c r="K33">
        <v>4</v>
      </c>
      <c r="L33">
        <v>12.6</v>
      </c>
      <c r="M33">
        <v>11.4</v>
      </c>
      <c r="N33">
        <v>16.399999999999999</v>
      </c>
      <c r="O33" t="s">
        <v>1617</v>
      </c>
      <c r="P33" t="s">
        <v>1584</v>
      </c>
      <c r="Q33" t="s">
        <v>1591</v>
      </c>
      <c r="R33">
        <v>0</v>
      </c>
      <c r="S33">
        <v>0.83</v>
      </c>
      <c r="T33" t="s">
        <v>1584</v>
      </c>
      <c r="U33" t="s">
        <v>1592</v>
      </c>
      <c r="V33" t="str" cm="1">
        <f t="array" aca="1" ref="V33" ca="1">IFERROR(_xlfn.IFS(A31="  ..............",OFFSET(A31,2,0),A30=" X-------------X",OFFSET(A30,3,0),MATCH("  ..............",A33:A42,0)&gt;2,V32),"-")</f>
        <v xml:space="preserve">  PFUNDO-RS138  </v>
      </c>
      <c r="W33">
        <f t="shared" ca="1" si="0"/>
        <v>1.04</v>
      </c>
      <c r="X33" t="str">
        <f t="shared" ca="1" si="1"/>
        <v xml:space="preserve"> PFU--3-RS000 </v>
      </c>
      <c r="Y33" s="1">
        <f t="shared" ca="1" si="2"/>
        <v>0.26400000000000001</v>
      </c>
    </row>
    <row r="34" spans="1:25" x14ac:dyDescent="0.25">
      <c r="A34" t="s">
        <v>1588</v>
      </c>
      <c r="B34" t="s">
        <v>1587</v>
      </c>
      <c r="C34">
        <v>84</v>
      </c>
      <c r="D34">
        <v>91</v>
      </c>
      <c r="E34">
        <v>91</v>
      </c>
      <c r="F34" s="1">
        <v>0.26400000000000001</v>
      </c>
      <c r="G34" t="s">
        <v>1587</v>
      </c>
      <c r="H34" t="s">
        <v>1587</v>
      </c>
      <c r="I34">
        <v>41332</v>
      </c>
      <c r="J34" t="s">
        <v>1618</v>
      </c>
      <c r="K34">
        <v>3</v>
      </c>
      <c r="L34">
        <v>-22.8</v>
      </c>
      <c r="M34">
        <v>-3.9</v>
      </c>
      <c r="N34">
        <v>22.2</v>
      </c>
      <c r="O34" t="s">
        <v>1619</v>
      </c>
      <c r="P34" t="s">
        <v>1584</v>
      </c>
      <c r="Q34">
        <v>2</v>
      </c>
      <c r="R34">
        <v>0.03</v>
      </c>
      <c r="S34">
        <v>-0.03</v>
      </c>
      <c r="T34" t="s">
        <v>1584</v>
      </c>
      <c r="U34" t="s">
        <v>1592</v>
      </c>
      <c r="V34" t="str" cm="1">
        <f t="array" aca="1" ref="V34" ca="1">IFERROR(_xlfn.IFS(A32="  ..............",OFFSET(A32,2,0),A31=" X-------------X",OFFSET(A31,3,0),MATCH("  ..............",A34:A43,0)&gt;2,V33),"-")</f>
        <v xml:space="preserve">  PFUNDO-RS138  </v>
      </c>
      <c r="W34">
        <f t="shared" ca="1" si="0"/>
        <v>1.04</v>
      </c>
      <c r="X34" t="str">
        <f t="shared" ca="1" si="1"/>
        <v xml:space="preserve"> PFU--5-RS000 </v>
      </c>
      <c r="Y34" s="1">
        <f t="shared" ca="1" si="2"/>
        <v>0.27700000000000002</v>
      </c>
    </row>
    <row r="35" spans="1:25" x14ac:dyDescent="0.25">
      <c r="A35" t="s">
        <v>1588</v>
      </c>
      <c r="B35" t="s">
        <v>1587</v>
      </c>
      <c r="C35">
        <v>84</v>
      </c>
      <c r="D35">
        <v>91</v>
      </c>
      <c r="E35">
        <v>91</v>
      </c>
      <c r="F35" s="1">
        <v>0.27700000000000002</v>
      </c>
      <c r="G35" t="s">
        <v>1587</v>
      </c>
      <c r="H35" t="s">
        <v>1587</v>
      </c>
      <c r="I35">
        <v>41333</v>
      </c>
      <c r="J35" t="s">
        <v>1620</v>
      </c>
      <c r="K35">
        <v>5</v>
      </c>
      <c r="L35">
        <v>-23.7</v>
      </c>
      <c r="M35">
        <v>-5.2</v>
      </c>
      <c r="N35">
        <v>23.3</v>
      </c>
      <c r="O35" t="s">
        <v>1619</v>
      </c>
      <c r="P35" t="s">
        <v>1584</v>
      </c>
      <c r="Q35">
        <v>2</v>
      </c>
      <c r="R35">
        <v>0.02</v>
      </c>
      <c r="S35">
        <v>-0.01</v>
      </c>
      <c r="T35" t="s">
        <v>1584</v>
      </c>
      <c r="U35" t="s">
        <v>1592</v>
      </c>
      <c r="V35" t="str" cm="1">
        <f t="array" aca="1" ref="V35" ca="1">IFERROR(_xlfn.IFS(A33="  ..............",OFFSET(A33,2,0),A32=" X-------------X",OFFSET(A32,3,0),MATCH("  ..............",A35:A44,0)&gt;2,V34),"-")</f>
        <v>-</v>
      </c>
      <c r="W35" t="str">
        <f t="shared" ca="1" si="0"/>
        <v>-</v>
      </c>
      <c r="X35" t="str">
        <f t="shared" ca="1" si="1"/>
        <v>-</v>
      </c>
      <c r="Y35" s="1" t="str">
        <f t="shared" ca="1" si="2"/>
        <v>-</v>
      </c>
    </row>
    <row r="36" spans="1:25" x14ac:dyDescent="0.25">
      <c r="A36" t="s">
        <v>1572</v>
      </c>
      <c r="B36" t="s">
        <v>1574</v>
      </c>
      <c r="C36" t="s">
        <v>1574</v>
      </c>
      <c r="D36" t="s">
        <v>1574</v>
      </c>
      <c r="E36" t="s">
        <v>1574</v>
      </c>
      <c r="F36" t="s">
        <v>1575</v>
      </c>
      <c r="G36" t="s">
        <v>1574</v>
      </c>
      <c r="H36" t="s">
        <v>1574</v>
      </c>
      <c r="I36" t="s">
        <v>1576</v>
      </c>
      <c r="J36" t="s">
        <v>1573</v>
      </c>
      <c r="K36" t="s">
        <v>1577</v>
      </c>
      <c r="L36" t="s">
        <v>1574</v>
      </c>
      <c r="M36" t="s">
        <v>1574</v>
      </c>
      <c r="N36" t="s">
        <v>1574</v>
      </c>
      <c r="O36" t="s">
        <v>1578</v>
      </c>
      <c r="P36" t="s">
        <v>1576</v>
      </c>
      <c r="Q36" t="s">
        <v>1579</v>
      </c>
      <c r="R36" t="s">
        <v>1580</v>
      </c>
      <c r="S36" t="s">
        <v>1580</v>
      </c>
      <c r="T36" t="s">
        <v>1576</v>
      </c>
      <c r="U36" t="s">
        <v>1576</v>
      </c>
      <c r="V36" t="str" cm="1">
        <f t="array" aca="1" ref="V36" ca="1">IFERROR(_xlfn.IFS(A34="  ..............",OFFSET(A34,2,0),A33=" X-------------X",OFFSET(A33,3,0),MATCH("  ..............",A36:A45,0)&gt;2,V35),"-")</f>
        <v>-</v>
      </c>
      <c r="W36" t="str">
        <f t="shared" ca="1" si="0"/>
        <v>-</v>
      </c>
      <c r="X36" t="str">
        <f t="shared" ca="1" si="1"/>
        <v/>
      </c>
      <c r="Y36" s="1" t="str">
        <f t="shared" ca="1" si="2"/>
        <v/>
      </c>
    </row>
    <row r="37" spans="1:25" x14ac:dyDescent="0.25">
      <c r="A37" t="s">
        <v>1621</v>
      </c>
      <c r="B37">
        <v>0.96599999999999997</v>
      </c>
      <c r="C37">
        <v>81</v>
      </c>
      <c r="D37">
        <v>0</v>
      </c>
      <c r="E37">
        <v>0</v>
      </c>
      <c r="F37">
        <v>0</v>
      </c>
      <c r="G37">
        <v>0</v>
      </c>
      <c r="H37">
        <v>0</v>
      </c>
      <c r="I37" t="s">
        <v>1581</v>
      </c>
      <c r="J37" t="s">
        <v>1581</v>
      </c>
      <c r="K37" t="s">
        <v>1581</v>
      </c>
      <c r="L37" t="s">
        <v>1581</v>
      </c>
      <c r="M37" t="s">
        <v>1581</v>
      </c>
      <c r="N37" t="s">
        <v>1581</v>
      </c>
      <c r="O37" t="s">
        <v>1581</v>
      </c>
      <c r="P37" t="s">
        <v>1581</v>
      </c>
      <c r="Q37" t="s">
        <v>1581</v>
      </c>
      <c r="R37" t="s">
        <v>1581</v>
      </c>
      <c r="S37" t="s">
        <v>1581</v>
      </c>
      <c r="T37" t="s">
        <v>1581</v>
      </c>
      <c r="U37" t="s">
        <v>1581</v>
      </c>
      <c r="V37" t="str" cm="1">
        <f t="array" aca="1" ref="V37" ca="1">IFERROR(_xlfn.IFS(A35="  ..............",OFFSET(A35,2,0),A34=" X-------------X",OFFSET(A34,3,0),MATCH("  ..............",A37:A46,0)&gt;2,V36),"-")</f>
        <v>-</v>
      </c>
      <c r="W37" t="str">
        <f t="shared" ca="1" si="0"/>
        <v>-</v>
      </c>
      <c r="X37" t="str">
        <f t="shared" ca="1" si="1"/>
        <v xml:space="preserve">              </v>
      </c>
      <c r="Y37" s="1">
        <f t="shared" ca="1" si="2"/>
        <v>0</v>
      </c>
    </row>
    <row r="38" spans="1:25" x14ac:dyDescent="0.25">
      <c r="A38" t="s">
        <v>1622</v>
      </c>
      <c r="B38">
        <v>-38.5</v>
      </c>
      <c r="C38">
        <v>13.7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1584</v>
      </c>
      <c r="J38" t="s">
        <v>1585</v>
      </c>
      <c r="K38" t="s">
        <v>1586</v>
      </c>
      <c r="L38" t="s">
        <v>1587</v>
      </c>
      <c r="M38" t="s">
        <v>1587</v>
      </c>
      <c r="N38" t="s">
        <v>1586</v>
      </c>
      <c r="O38" t="s">
        <v>1581</v>
      </c>
      <c r="P38" t="s">
        <v>1581</v>
      </c>
      <c r="Q38" t="s">
        <v>1581</v>
      </c>
      <c r="R38" t="s">
        <v>1581</v>
      </c>
      <c r="S38" t="s">
        <v>1581</v>
      </c>
      <c r="T38" t="s">
        <v>1581</v>
      </c>
      <c r="U38" t="s">
        <v>1581</v>
      </c>
      <c r="V38" t="str" cm="1">
        <f t="array" aca="1" ref="V38" ca="1">IFERROR(_xlfn.IFS(A36="  ..............",OFFSET(A36,2,0),A35=" X-------------X",OFFSET(A35,3,0),MATCH("  ..............",A38:A47,0)&gt;2,V37),"-")</f>
        <v xml:space="preserve">  JACUI-UHE003  </v>
      </c>
      <c r="W38">
        <f t="shared" ca="1" si="0"/>
        <v>0.96599999999999997</v>
      </c>
      <c r="X38" t="str">
        <f t="shared" ca="1" si="1"/>
        <v xml:space="preserve"> JACUI--RS138 </v>
      </c>
      <c r="Y38" s="1">
        <f t="shared" ca="1" si="2"/>
        <v>0.43</v>
      </c>
    </row>
    <row r="39" spans="1:25" x14ac:dyDescent="0.25">
      <c r="A39" t="s">
        <v>1588</v>
      </c>
      <c r="B39" t="s">
        <v>1587</v>
      </c>
      <c r="C39">
        <v>198</v>
      </c>
      <c r="D39">
        <v>198</v>
      </c>
      <c r="E39">
        <v>198</v>
      </c>
      <c r="F39" s="1">
        <v>0.43</v>
      </c>
      <c r="G39" t="s">
        <v>1587</v>
      </c>
      <c r="H39" t="s">
        <v>1587</v>
      </c>
      <c r="I39">
        <v>1216</v>
      </c>
      <c r="J39" t="s">
        <v>1623</v>
      </c>
      <c r="K39">
        <v>1</v>
      </c>
      <c r="L39">
        <v>81</v>
      </c>
      <c r="M39">
        <v>13.7</v>
      </c>
      <c r="N39">
        <v>85.1</v>
      </c>
      <c r="O39" t="s">
        <v>1594</v>
      </c>
      <c r="P39" t="s">
        <v>1584</v>
      </c>
      <c r="Q39" t="s">
        <v>1591</v>
      </c>
      <c r="R39">
        <v>0</v>
      </c>
      <c r="S39">
        <v>12.2</v>
      </c>
      <c r="T39" t="s">
        <v>1584</v>
      </c>
      <c r="U39" t="s">
        <v>1592</v>
      </c>
      <c r="V39" t="str" cm="1">
        <f t="array" aca="1" ref="V39" ca="1">IFERROR(_xlfn.IFS(A37="  ..............",OFFSET(A37,2,0),A36=" X-------------X",OFFSET(A36,3,0),MATCH("  ..............",A39:A48,0)&gt;2,V38),"-")</f>
        <v>-</v>
      </c>
      <c r="W39" t="str">
        <f t="shared" ca="1" si="0"/>
        <v>-</v>
      </c>
      <c r="X39" t="str">
        <f t="shared" ca="1" si="1"/>
        <v>-</v>
      </c>
      <c r="Y39" s="1" t="str">
        <f t="shared" ca="1" si="2"/>
        <v>-</v>
      </c>
    </row>
    <row r="40" spans="1:25" x14ac:dyDescent="0.25">
      <c r="A40" t="s">
        <v>1572</v>
      </c>
      <c r="B40" t="s">
        <v>1574</v>
      </c>
      <c r="C40" t="s">
        <v>1574</v>
      </c>
      <c r="D40" t="s">
        <v>1574</v>
      </c>
      <c r="E40" t="s">
        <v>1574</v>
      </c>
      <c r="F40" t="s">
        <v>1575</v>
      </c>
      <c r="G40" t="s">
        <v>1574</v>
      </c>
      <c r="H40" t="s">
        <v>1574</v>
      </c>
      <c r="I40" t="s">
        <v>1576</v>
      </c>
      <c r="J40" t="s">
        <v>1573</v>
      </c>
      <c r="K40" t="s">
        <v>1577</v>
      </c>
      <c r="L40" t="s">
        <v>1574</v>
      </c>
      <c r="M40" t="s">
        <v>1574</v>
      </c>
      <c r="N40" t="s">
        <v>1574</v>
      </c>
      <c r="O40" t="s">
        <v>1578</v>
      </c>
      <c r="P40" t="s">
        <v>1576</v>
      </c>
      <c r="Q40" t="s">
        <v>1579</v>
      </c>
      <c r="R40" t="s">
        <v>1580</v>
      </c>
      <c r="S40" t="s">
        <v>1580</v>
      </c>
      <c r="T40" t="s">
        <v>1576</v>
      </c>
      <c r="U40" t="s">
        <v>1576</v>
      </c>
      <c r="V40" t="str" cm="1">
        <f t="array" aca="1" ref="V40" ca="1">IFERROR(_xlfn.IFS(A38="  ..............",OFFSET(A38,2,0),A37=" X-------------X",OFFSET(A37,3,0),MATCH("  ..............",A40:A49,0)&gt;2,V39),"-")</f>
        <v>-</v>
      </c>
      <c r="W40" t="str">
        <f t="shared" ca="1" si="0"/>
        <v>-</v>
      </c>
      <c r="X40" t="str">
        <f t="shared" ca="1" si="1"/>
        <v/>
      </c>
      <c r="Y40" s="1" t="str">
        <f t="shared" ca="1" si="2"/>
        <v/>
      </c>
    </row>
    <row r="41" spans="1:25" x14ac:dyDescent="0.25">
      <c r="A41" t="s">
        <v>1624</v>
      </c>
      <c r="B41">
        <v>1.0169999999999999</v>
      </c>
      <c r="C41">
        <v>3.2</v>
      </c>
      <c r="D41">
        <v>0</v>
      </c>
      <c r="E41">
        <v>27.2</v>
      </c>
      <c r="F41">
        <v>0</v>
      </c>
      <c r="G41">
        <v>3.7</v>
      </c>
      <c r="H41">
        <v>0</v>
      </c>
      <c r="I41" t="s">
        <v>1581</v>
      </c>
      <c r="J41" t="s">
        <v>1581</v>
      </c>
      <c r="K41" t="s">
        <v>1581</v>
      </c>
      <c r="L41" t="s">
        <v>1581</v>
      </c>
      <c r="M41" t="s">
        <v>1581</v>
      </c>
      <c r="N41" t="s">
        <v>1581</v>
      </c>
      <c r="O41" t="s">
        <v>1581</v>
      </c>
      <c r="P41" t="s">
        <v>1581</v>
      </c>
      <c r="Q41" t="s">
        <v>1581</v>
      </c>
      <c r="R41" t="s">
        <v>1581</v>
      </c>
      <c r="S41" t="s">
        <v>1581</v>
      </c>
      <c r="T41" t="s">
        <v>1581</v>
      </c>
      <c r="U41" t="s">
        <v>1581</v>
      </c>
      <c r="V41" t="str" cm="1">
        <f t="array" aca="1" ref="V41" ca="1">IFERROR(_xlfn.IFS(A39="  ..............",OFFSET(A39,2,0),A38=" X-------------X",OFFSET(A38,3,0),MATCH("  ..............",A41:A50,0)&gt;2,V40),"-")</f>
        <v>-</v>
      </c>
      <c r="W41" t="str">
        <f t="shared" ca="1" si="0"/>
        <v>-</v>
      </c>
      <c r="X41" t="str">
        <f t="shared" ca="1" si="1"/>
        <v xml:space="preserve">              </v>
      </c>
      <c r="Y41" s="1">
        <f t="shared" ca="1" si="2"/>
        <v>0</v>
      </c>
    </row>
    <row r="42" spans="1:25" x14ac:dyDescent="0.25">
      <c r="A42" t="s">
        <v>1625</v>
      </c>
      <c r="B42">
        <v>-50.9</v>
      </c>
      <c r="C42">
        <v>0</v>
      </c>
      <c r="D42">
        <v>0</v>
      </c>
      <c r="E42">
        <v>6.4</v>
      </c>
      <c r="F42">
        <v>0</v>
      </c>
      <c r="G42">
        <v>0</v>
      </c>
      <c r="H42">
        <v>0</v>
      </c>
      <c r="I42" t="s">
        <v>1584</v>
      </c>
      <c r="J42" t="s">
        <v>1585</v>
      </c>
      <c r="K42" t="s">
        <v>1586</v>
      </c>
      <c r="L42" t="s">
        <v>1587</v>
      </c>
      <c r="M42" t="s">
        <v>1587</v>
      </c>
      <c r="N42" t="s">
        <v>1586</v>
      </c>
      <c r="O42" t="s">
        <v>1581</v>
      </c>
      <c r="P42" t="s">
        <v>1581</v>
      </c>
      <c r="Q42" t="s">
        <v>1581</v>
      </c>
      <c r="R42" t="s">
        <v>1581</v>
      </c>
      <c r="S42" t="s">
        <v>1581</v>
      </c>
      <c r="T42" t="s">
        <v>1581</v>
      </c>
      <c r="U42" t="s">
        <v>1581</v>
      </c>
      <c r="V42" t="str" cm="1">
        <f t="array" aca="1" ref="V42" ca="1">IFERROR(_xlfn.IFS(A40="  ..............",OFFSET(A40,2,0),A39=" X-------------X",OFFSET(A39,3,0),MATCH("  ..............",A42:A51,0)&gt;2,V41),"-")</f>
        <v xml:space="preserve">  ALEGRE-RS069  </v>
      </c>
      <c r="W42">
        <f t="shared" ca="1" si="0"/>
        <v>1.0169999999999999</v>
      </c>
      <c r="X42" t="str">
        <f t="shared" ca="1" si="1"/>
        <v xml:space="preserve"> ALEGRE-RS138 </v>
      </c>
      <c r="Y42" s="1">
        <f t="shared" ca="1" si="2"/>
        <v>0.128</v>
      </c>
    </row>
    <row r="43" spans="1:25" x14ac:dyDescent="0.25">
      <c r="A43" t="s">
        <v>1588</v>
      </c>
      <c r="B43" t="s">
        <v>1587</v>
      </c>
      <c r="C43">
        <v>25</v>
      </c>
      <c r="D43">
        <v>25</v>
      </c>
      <c r="E43">
        <v>25</v>
      </c>
      <c r="F43" s="1">
        <v>0.128</v>
      </c>
      <c r="G43" t="s">
        <v>1587</v>
      </c>
      <c r="H43" t="s">
        <v>1587</v>
      </c>
      <c r="I43">
        <v>930</v>
      </c>
      <c r="J43" t="s">
        <v>1626</v>
      </c>
      <c r="K43">
        <v>5</v>
      </c>
      <c r="L43">
        <v>-1.1000000000000001</v>
      </c>
      <c r="M43">
        <v>-3.1</v>
      </c>
      <c r="N43">
        <v>3.2</v>
      </c>
      <c r="O43" t="s">
        <v>1594</v>
      </c>
      <c r="P43" t="s">
        <v>1584</v>
      </c>
      <c r="Q43" t="s">
        <v>1591</v>
      </c>
      <c r="R43">
        <v>0</v>
      </c>
      <c r="S43">
        <v>0.04</v>
      </c>
      <c r="T43" t="s">
        <v>1584</v>
      </c>
      <c r="U43" t="s">
        <v>1592</v>
      </c>
      <c r="V43" t="str" cm="1">
        <f t="array" aca="1" ref="V43" ca="1">IFERROR(_xlfn.IFS(A41="  ..............",OFFSET(A41,2,0),A40=" X-------------X",OFFSET(A40,3,0),MATCH("  ..............",A43:A52,0)&gt;2,V42),"-")</f>
        <v xml:space="preserve">  ALEGRE-RS069  </v>
      </c>
      <c r="W43">
        <f t="shared" ca="1" si="0"/>
        <v>1.0169999999999999</v>
      </c>
      <c r="X43" t="str">
        <f t="shared" ca="1" si="1"/>
        <v xml:space="preserve"> ALEGRE-RS138 </v>
      </c>
      <c r="Y43" s="1">
        <f t="shared" ca="1" si="2"/>
        <v>0.128</v>
      </c>
    </row>
    <row r="44" spans="1:25" x14ac:dyDescent="0.25">
      <c r="A44" t="s">
        <v>1588</v>
      </c>
      <c r="B44" t="s">
        <v>1587</v>
      </c>
      <c r="C44">
        <v>25</v>
      </c>
      <c r="D44">
        <v>25</v>
      </c>
      <c r="E44">
        <v>25</v>
      </c>
      <c r="F44" s="1">
        <v>0.128</v>
      </c>
      <c r="G44" t="s">
        <v>1587</v>
      </c>
      <c r="H44" t="s">
        <v>1587</v>
      </c>
      <c r="I44">
        <v>930</v>
      </c>
      <c r="J44" t="s">
        <v>1626</v>
      </c>
      <c r="K44">
        <v>6</v>
      </c>
      <c r="L44">
        <v>-1.1000000000000001</v>
      </c>
      <c r="M44">
        <v>-3.1</v>
      </c>
      <c r="N44">
        <v>3.2</v>
      </c>
      <c r="O44" t="s">
        <v>1594</v>
      </c>
      <c r="P44" t="s">
        <v>1584</v>
      </c>
      <c r="Q44" t="s">
        <v>1591</v>
      </c>
      <c r="R44">
        <v>0</v>
      </c>
      <c r="S44">
        <v>0.04</v>
      </c>
      <c r="T44" t="s">
        <v>1584</v>
      </c>
      <c r="U44" t="s">
        <v>1592</v>
      </c>
      <c r="V44" t="str" cm="1">
        <f t="array" aca="1" ref="V44" ca="1">IFERROR(_xlfn.IFS(A42="  ..............",OFFSET(A42,2,0),A41=" X-------------X",OFFSET(A41,3,0),MATCH("  ..............",A44:A53,0)&gt;2,V43),"-")</f>
        <v xml:space="preserve">  ALEGRE-RS069  </v>
      </c>
      <c r="W44">
        <f t="shared" ca="1" si="0"/>
        <v>1.0169999999999999</v>
      </c>
      <c r="X44" t="str">
        <f t="shared" ca="1" si="1"/>
        <v xml:space="preserve"> ALEGR2-RS069 </v>
      </c>
      <c r="Y44" s="1">
        <f t="shared" ca="1" si="2"/>
        <v>0.45200000000000001</v>
      </c>
    </row>
    <row r="45" spans="1:25" x14ac:dyDescent="0.25">
      <c r="A45" t="s">
        <v>1588</v>
      </c>
      <c r="B45" t="s">
        <v>1587</v>
      </c>
      <c r="C45">
        <v>48</v>
      </c>
      <c r="D45">
        <v>48</v>
      </c>
      <c r="E45">
        <v>48</v>
      </c>
      <c r="F45" s="1">
        <v>0.45200000000000001</v>
      </c>
      <c r="G45" t="s">
        <v>1587</v>
      </c>
      <c r="H45" t="s">
        <v>1587</v>
      </c>
      <c r="I45">
        <v>1185</v>
      </c>
      <c r="J45" t="s">
        <v>1627</v>
      </c>
      <c r="K45">
        <v>1</v>
      </c>
      <c r="L45">
        <v>-21.8</v>
      </c>
      <c r="M45">
        <v>3.5</v>
      </c>
      <c r="N45">
        <v>21.7</v>
      </c>
      <c r="O45" t="s">
        <v>1594</v>
      </c>
      <c r="P45" t="s">
        <v>1584</v>
      </c>
      <c r="Q45" t="s">
        <v>1591</v>
      </c>
      <c r="R45">
        <v>7.0000000000000007E-2</v>
      </c>
      <c r="S45">
        <v>0.13</v>
      </c>
      <c r="T45" t="s">
        <v>1584</v>
      </c>
      <c r="U45" t="s">
        <v>1592</v>
      </c>
      <c r="V45" t="str" cm="1">
        <f t="array" aca="1" ref="V45" ca="1">IFERROR(_xlfn.IFS(A43="  ..............",OFFSET(A43,2,0),A42=" X-------------X",OFFSET(A42,3,0),MATCH("  ..............",A45:A54,0)&gt;2,V44),"-")</f>
        <v>-</v>
      </c>
      <c r="W45" t="str">
        <f t="shared" ca="1" si="0"/>
        <v>-</v>
      </c>
      <c r="X45" t="str">
        <f t="shared" ca="1" si="1"/>
        <v>-</v>
      </c>
      <c r="Y45" s="1" t="str">
        <f t="shared" ca="1" si="2"/>
        <v>-</v>
      </c>
    </row>
    <row r="46" spans="1:25" x14ac:dyDescent="0.25">
      <c r="A46" t="s">
        <v>1572</v>
      </c>
      <c r="B46" t="s">
        <v>1574</v>
      </c>
      <c r="C46" t="s">
        <v>1574</v>
      </c>
      <c r="D46" t="s">
        <v>1574</v>
      </c>
      <c r="E46" t="s">
        <v>1574</v>
      </c>
      <c r="F46" t="s">
        <v>1575</v>
      </c>
      <c r="G46" t="s">
        <v>1574</v>
      </c>
      <c r="H46" t="s">
        <v>1574</v>
      </c>
      <c r="I46" t="s">
        <v>1576</v>
      </c>
      <c r="J46" t="s">
        <v>1573</v>
      </c>
      <c r="K46" t="s">
        <v>1577</v>
      </c>
      <c r="L46" t="s">
        <v>1574</v>
      </c>
      <c r="M46" t="s">
        <v>1574</v>
      </c>
      <c r="N46" t="s">
        <v>1574</v>
      </c>
      <c r="O46" t="s">
        <v>1578</v>
      </c>
      <c r="P46" t="s">
        <v>1576</v>
      </c>
      <c r="Q46" t="s">
        <v>1579</v>
      </c>
      <c r="R46" t="s">
        <v>1580</v>
      </c>
      <c r="S46" t="s">
        <v>1580</v>
      </c>
      <c r="T46" t="s">
        <v>1576</v>
      </c>
      <c r="U46" t="s">
        <v>1576</v>
      </c>
      <c r="V46" t="str" cm="1">
        <f t="array" aca="1" ref="V46" ca="1">IFERROR(_xlfn.IFS(A44="  ..............",OFFSET(A44,2,0),A43=" X-------------X",OFFSET(A43,3,0),MATCH("  ..............",A46:A55,0)&gt;2,V45),"-")</f>
        <v>-</v>
      </c>
      <c r="W46" t="str">
        <f t="shared" ca="1" si="0"/>
        <v>-</v>
      </c>
      <c r="X46" t="str">
        <f t="shared" ca="1" si="1"/>
        <v/>
      </c>
      <c r="Y46" s="1" t="str">
        <f t="shared" ca="1" si="2"/>
        <v/>
      </c>
    </row>
    <row r="47" spans="1:25" x14ac:dyDescent="0.25">
      <c r="A47" t="s">
        <v>1628</v>
      </c>
      <c r="B47">
        <v>1.0049999999999999</v>
      </c>
      <c r="C47">
        <v>9.9</v>
      </c>
      <c r="D47">
        <v>0</v>
      </c>
      <c r="E47">
        <v>37.1</v>
      </c>
      <c r="F47">
        <v>0</v>
      </c>
      <c r="G47">
        <v>3.6</v>
      </c>
      <c r="H47">
        <v>0</v>
      </c>
      <c r="I47" t="s">
        <v>1581</v>
      </c>
      <c r="J47" t="s">
        <v>1581</v>
      </c>
      <c r="K47" t="s">
        <v>1581</v>
      </c>
      <c r="L47" t="s">
        <v>1581</v>
      </c>
      <c r="M47" t="s">
        <v>1581</v>
      </c>
      <c r="N47" t="s">
        <v>1581</v>
      </c>
      <c r="O47" t="s">
        <v>1581</v>
      </c>
      <c r="P47" t="s">
        <v>1581</v>
      </c>
      <c r="Q47" t="s">
        <v>1581</v>
      </c>
      <c r="R47" t="s">
        <v>1581</v>
      </c>
      <c r="S47" t="s">
        <v>1581</v>
      </c>
      <c r="T47" t="s">
        <v>1581</v>
      </c>
      <c r="U47" t="s">
        <v>1581</v>
      </c>
      <c r="V47" t="str" cm="1">
        <f t="array" aca="1" ref="V47" ca="1">IFERROR(_xlfn.IFS(A45="  ..............",OFFSET(A45,2,0),A44=" X-------------X",OFFSET(A44,3,0),MATCH("  ..............",A47:A56,0)&gt;2,V46),"-")</f>
        <v>-</v>
      </c>
      <c r="W47" t="str">
        <f t="shared" ca="1" si="0"/>
        <v>-</v>
      </c>
      <c r="X47" t="str">
        <f t="shared" ca="1" si="1"/>
        <v xml:space="preserve">              </v>
      </c>
      <c r="Y47" s="1">
        <f t="shared" ca="1" si="2"/>
        <v>0</v>
      </c>
    </row>
    <row r="48" spans="1:25" x14ac:dyDescent="0.25">
      <c r="A48" t="s">
        <v>1629</v>
      </c>
      <c r="B48">
        <v>-52.9</v>
      </c>
      <c r="C48">
        <v>0</v>
      </c>
      <c r="D48">
        <v>0</v>
      </c>
      <c r="E48">
        <v>17.8</v>
      </c>
      <c r="F48">
        <v>0</v>
      </c>
      <c r="G48">
        <v>0</v>
      </c>
      <c r="H48">
        <v>0</v>
      </c>
      <c r="I48" t="s">
        <v>1584</v>
      </c>
      <c r="J48" t="s">
        <v>1585</v>
      </c>
      <c r="K48" t="s">
        <v>1586</v>
      </c>
      <c r="L48" t="s">
        <v>1587</v>
      </c>
      <c r="M48" t="s">
        <v>1587</v>
      </c>
      <c r="N48" t="s">
        <v>1586</v>
      </c>
      <c r="O48" t="s">
        <v>1581</v>
      </c>
      <c r="P48" t="s">
        <v>1581</v>
      </c>
      <c r="Q48" t="s">
        <v>1581</v>
      </c>
      <c r="R48" t="s">
        <v>1581</v>
      </c>
      <c r="S48" t="s">
        <v>1581</v>
      </c>
      <c r="T48" t="s">
        <v>1581</v>
      </c>
      <c r="U48" t="s">
        <v>1581</v>
      </c>
      <c r="V48" t="str" cm="1">
        <f t="array" aca="1" ref="V48" ca="1">IFERROR(_xlfn.IFS(A46="  ..............",OFFSET(A46,2,0),A45=" X-------------X",OFFSET(A45,3,0),MATCH("  ..............",A48:A57,0)&gt;2,V47),"-")</f>
        <v xml:space="preserve">  2IRMAO-RS138  </v>
      </c>
      <c r="W48">
        <f t="shared" ca="1" si="0"/>
        <v>1.0049999999999999</v>
      </c>
      <c r="X48" t="str">
        <f t="shared" ca="1" si="1"/>
        <v xml:space="preserve"> IVOTI--RS138 </v>
      </c>
      <c r="Y48" s="1">
        <f t="shared" ca="1" si="2"/>
        <v>0.22800000000000001</v>
      </c>
    </row>
    <row r="49" spans="1:25" x14ac:dyDescent="0.25">
      <c r="A49" t="s">
        <v>1588</v>
      </c>
      <c r="B49" t="s">
        <v>1587</v>
      </c>
      <c r="C49">
        <v>134</v>
      </c>
      <c r="D49">
        <v>162</v>
      </c>
      <c r="E49">
        <v>162</v>
      </c>
      <c r="F49" s="1">
        <v>0.22800000000000001</v>
      </c>
      <c r="G49" t="s">
        <v>1587</v>
      </c>
      <c r="H49" t="s">
        <v>1587</v>
      </c>
      <c r="I49">
        <v>9965</v>
      </c>
      <c r="J49" t="s">
        <v>1630</v>
      </c>
      <c r="K49">
        <v>1</v>
      </c>
      <c r="L49">
        <v>-27.2</v>
      </c>
      <c r="M49">
        <v>-14.2</v>
      </c>
      <c r="N49">
        <v>30.5</v>
      </c>
      <c r="O49" t="s">
        <v>1594</v>
      </c>
      <c r="P49" t="s">
        <v>1584</v>
      </c>
      <c r="Q49" t="s">
        <v>1591</v>
      </c>
      <c r="R49">
        <v>0.06</v>
      </c>
      <c r="S49">
        <v>-0.3</v>
      </c>
      <c r="T49" t="s">
        <v>1584</v>
      </c>
      <c r="U49" t="s">
        <v>1592</v>
      </c>
      <c r="V49" t="str" cm="1">
        <f t="array" aca="1" ref="V49" ca="1">IFERROR(_xlfn.IFS(A47="  ..............",OFFSET(A47,2,0),A46=" X-------------X",OFFSET(A46,3,0),MATCH("  ..............",A49:A58,0)&gt;2,V48),"-")</f>
        <v>-</v>
      </c>
      <c r="W49" t="str">
        <f t="shared" ca="1" si="0"/>
        <v>-</v>
      </c>
      <c r="X49" t="str">
        <f t="shared" ca="1" si="1"/>
        <v>-</v>
      </c>
      <c r="Y49" s="1" t="str">
        <f t="shared" ca="1" si="2"/>
        <v>-</v>
      </c>
    </row>
    <row r="50" spans="1:25" x14ac:dyDescent="0.25">
      <c r="A50" t="s">
        <v>1572</v>
      </c>
      <c r="B50" t="s">
        <v>1574</v>
      </c>
      <c r="C50" t="s">
        <v>1574</v>
      </c>
      <c r="D50" t="s">
        <v>1574</v>
      </c>
      <c r="E50" t="s">
        <v>1574</v>
      </c>
      <c r="F50" t="s">
        <v>1575</v>
      </c>
      <c r="G50" t="s">
        <v>1574</v>
      </c>
      <c r="H50" t="s">
        <v>1574</v>
      </c>
      <c r="I50" t="s">
        <v>1576</v>
      </c>
      <c r="J50" t="s">
        <v>1573</v>
      </c>
      <c r="K50" t="s">
        <v>1577</v>
      </c>
      <c r="L50" t="s">
        <v>1574</v>
      </c>
      <c r="M50" t="s">
        <v>1574</v>
      </c>
      <c r="N50" t="s">
        <v>1574</v>
      </c>
      <c r="O50" t="s">
        <v>1578</v>
      </c>
      <c r="P50" t="s">
        <v>1576</v>
      </c>
      <c r="Q50" t="s">
        <v>1579</v>
      </c>
      <c r="R50" t="s">
        <v>1580</v>
      </c>
      <c r="S50" t="s">
        <v>1580</v>
      </c>
      <c r="T50" t="s">
        <v>1576</v>
      </c>
      <c r="U50" t="s">
        <v>1576</v>
      </c>
      <c r="V50" t="str" cm="1">
        <f t="array" aca="1" ref="V50" ca="1">IFERROR(_xlfn.IFS(A48="  ..............",OFFSET(A48,2,0),A47=" X-------------X",OFFSET(A47,3,0),MATCH("  ..............",A50:A59,0)&gt;2,V49),"-")</f>
        <v>-</v>
      </c>
      <c r="W50" t="str">
        <f t="shared" ca="1" si="0"/>
        <v>-</v>
      </c>
      <c r="X50" t="str">
        <f t="shared" ca="1" si="1"/>
        <v/>
      </c>
      <c r="Y50" s="1" t="str">
        <f t="shared" ca="1" si="2"/>
        <v/>
      </c>
    </row>
    <row r="51" spans="1:25" x14ac:dyDescent="0.25">
      <c r="A51" t="s">
        <v>1631</v>
      </c>
      <c r="B51">
        <v>1.0189999999999999</v>
      </c>
      <c r="C51">
        <v>4.9000000000000004</v>
      </c>
      <c r="D51">
        <v>0</v>
      </c>
      <c r="E51">
        <v>13.7</v>
      </c>
      <c r="F51">
        <v>0</v>
      </c>
      <c r="G51">
        <v>3.7</v>
      </c>
      <c r="H51">
        <v>0</v>
      </c>
      <c r="I51" t="s">
        <v>1581</v>
      </c>
      <c r="J51" t="s">
        <v>1581</v>
      </c>
      <c r="K51" t="s">
        <v>1581</v>
      </c>
      <c r="L51" t="s">
        <v>1581</v>
      </c>
      <c r="M51" t="s">
        <v>1581</v>
      </c>
      <c r="N51" t="s">
        <v>1581</v>
      </c>
      <c r="O51" t="s">
        <v>1581</v>
      </c>
      <c r="P51" t="s">
        <v>1581</v>
      </c>
      <c r="Q51" t="s">
        <v>1581</v>
      </c>
      <c r="R51" t="s">
        <v>1581</v>
      </c>
      <c r="S51" t="s">
        <v>1581</v>
      </c>
      <c r="T51" t="s">
        <v>1581</v>
      </c>
      <c r="U51" t="s">
        <v>1581</v>
      </c>
      <c r="V51" t="str" cm="1">
        <f t="array" aca="1" ref="V51" ca="1">IFERROR(_xlfn.IFS(A49="  ..............",OFFSET(A49,2,0),A48=" X-------------X",OFFSET(A48,3,0),MATCH("  ..............",A51:A60,0)&gt;2,V50),"-")</f>
        <v>-</v>
      </c>
      <c r="W51" t="str">
        <f t="shared" ca="1" si="0"/>
        <v>-</v>
      </c>
      <c r="X51" t="str">
        <f t="shared" ca="1" si="1"/>
        <v xml:space="preserve">              </v>
      </c>
      <c r="Y51" s="1">
        <f t="shared" ca="1" si="2"/>
        <v>0</v>
      </c>
    </row>
    <row r="52" spans="1:25" x14ac:dyDescent="0.25">
      <c r="A52" t="s">
        <v>1632</v>
      </c>
      <c r="B52">
        <v>-50.3</v>
      </c>
      <c r="C52">
        <v>0</v>
      </c>
      <c r="D52">
        <v>0</v>
      </c>
      <c r="E52">
        <v>3</v>
      </c>
      <c r="F52">
        <v>0</v>
      </c>
      <c r="G52">
        <v>0</v>
      </c>
      <c r="H52">
        <v>0</v>
      </c>
      <c r="I52" t="s">
        <v>1584</v>
      </c>
      <c r="J52" t="s">
        <v>1585</v>
      </c>
      <c r="K52" t="s">
        <v>1586</v>
      </c>
      <c r="L52" t="s">
        <v>1587</v>
      </c>
      <c r="M52" t="s">
        <v>1587</v>
      </c>
      <c r="N52" t="s">
        <v>1586</v>
      </c>
      <c r="O52" t="s">
        <v>1581</v>
      </c>
      <c r="P52" t="s">
        <v>1581</v>
      </c>
      <c r="Q52" t="s">
        <v>1581</v>
      </c>
      <c r="R52" t="s">
        <v>1581</v>
      </c>
      <c r="S52" t="s">
        <v>1581</v>
      </c>
      <c r="T52" t="s">
        <v>1581</v>
      </c>
      <c r="U52" t="s">
        <v>1581</v>
      </c>
      <c r="V52" t="str" cm="1">
        <f t="array" aca="1" ref="V52" ca="1">IFERROR(_xlfn.IFS(A50="  ..............",OFFSET(A50,2,0),A49=" X-------------X",OFFSET(A49,3,0),MATCH("  ..............",A52:A61,0)&gt;2,V51),"-")</f>
        <v xml:space="preserve">  ALEGR2-RS069  </v>
      </c>
      <c r="W52">
        <f t="shared" ca="1" si="0"/>
        <v>1.0189999999999999</v>
      </c>
      <c r="X52" t="str">
        <f t="shared" ca="1" si="1"/>
        <v xml:space="preserve"> ALEGRE-RS069 </v>
      </c>
      <c r="Y52" s="1">
        <f t="shared" ca="1" si="2"/>
        <v>0.13100000000000001</v>
      </c>
    </row>
    <row r="53" spans="1:25" x14ac:dyDescent="0.25">
      <c r="A53" t="s">
        <v>1588</v>
      </c>
      <c r="B53" t="s">
        <v>1587</v>
      </c>
      <c r="C53">
        <v>48</v>
      </c>
      <c r="D53">
        <v>48</v>
      </c>
      <c r="E53">
        <v>48</v>
      </c>
      <c r="F53" s="1">
        <v>0.45200000000000001</v>
      </c>
      <c r="G53" t="s">
        <v>1587</v>
      </c>
      <c r="H53" t="s">
        <v>1587</v>
      </c>
      <c r="I53">
        <v>1182</v>
      </c>
      <c r="J53" t="s">
        <v>1589</v>
      </c>
      <c r="K53">
        <v>1</v>
      </c>
      <c r="L53">
        <v>21.9</v>
      </c>
      <c r="M53">
        <v>-3.3</v>
      </c>
      <c r="N53">
        <v>21.7</v>
      </c>
      <c r="O53" t="s">
        <v>1594</v>
      </c>
      <c r="P53" t="s">
        <v>1584</v>
      </c>
      <c r="Q53" t="s">
        <v>1591</v>
      </c>
      <c r="R53">
        <v>7.0000000000000007E-2</v>
      </c>
      <c r="S53">
        <v>0.13</v>
      </c>
      <c r="T53" t="s">
        <v>1584</v>
      </c>
      <c r="U53" t="s">
        <v>1592</v>
      </c>
      <c r="V53" t="str" cm="1">
        <f t="array" aca="1" ref="V53" ca="1">IFERROR(_xlfn.IFS(A51="  ..............",OFFSET(A51,2,0),A50=" X-------------X",OFFSET(A50,3,0),MATCH("  ..............",A53:A62,0)&gt;2,V52),"-")</f>
        <v xml:space="preserve">  ALEGR2-RS069  </v>
      </c>
      <c r="W53">
        <f t="shared" ca="1" si="0"/>
        <v>1.0189999999999999</v>
      </c>
      <c r="X53" t="str">
        <f t="shared" ca="1" si="1"/>
        <v xml:space="preserve"> ALEG-1-RS000 </v>
      </c>
      <c r="Y53" s="1">
        <f t="shared" ca="1" si="2"/>
        <v>0.18099999999999999</v>
      </c>
    </row>
    <row r="54" spans="1:25" x14ac:dyDescent="0.25">
      <c r="A54" t="s">
        <v>1588</v>
      </c>
      <c r="B54" t="s">
        <v>1587</v>
      </c>
      <c r="C54">
        <v>83</v>
      </c>
      <c r="D54">
        <v>125</v>
      </c>
      <c r="E54">
        <v>125</v>
      </c>
      <c r="F54" s="1">
        <v>0.18099999999999999</v>
      </c>
      <c r="G54" t="s">
        <v>1587</v>
      </c>
      <c r="H54" t="s">
        <v>1587</v>
      </c>
      <c r="I54">
        <v>41211</v>
      </c>
      <c r="J54" t="s">
        <v>1633</v>
      </c>
      <c r="K54">
        <v>1</v>
      </c>
      <c r="L54">
        <v>-15.1</v>
      </c>
      <c r="M54">
        <v>2.1</v>
      </c>
      <c r="N54">
        <v>15</v>
      </c>
      <c r="O54" t="s">
        <v>1608</v>
      </c>
      <c r="P54" t="s">
        <v>1584</v>
      </c>
      <c r="Q54">
        <v>2</v>
      </c>
      <c r="R54">
        <v>0</v>
      </c>
      <c r="S54">
        <v>-0.02</v>
      </c>
      <c r="T54" t="s">
        <v>1584</v>
      </c>
      <c r="U54" t="s">
        <v>1592</v>
      </c>
      <c r="V54" t="str" cm="1">
        <f t="array" aca="1" ref="V54" ca="1">IFERROR(_xlfn.IFS(A52="  ..............",OFFSET(A52,2,0),A51=" X-------------X",OFFSET(A51,3,0),MATCH("  ..............",A54:A63,0)&gt;2,V53),"-")</f>
        <v xml:space="preserve">  ALEGR2-RS069  </v>
      </c>
      <c r="W54">
        <f t="shared" ca="1" si="0"/>
        <v>1.0189999999999999</v>
      </c>
      <c r="X54" t="str">
        <f t="shared" ca="1" si="1"/>
        <v xml:space="preserve"> ALEG-2-RS000 </v>
      </c>
      <c r="Y54" s="1">
        <f t="shared" ca="1" si="2"/>
        <v>0.185</v>
      </c>
    </row>
    <row r="55" spans="1:25" x14ac:dyDescent="0.25">
      <c r="A55" t="s">
        <v>1588</v>
      </c>
      <c r="B55" t="s">
        <v>1587</v>
      </c>
      <c r="C55">
        <v>83</v>
      </c>
      <c r="D55">
        <v>100</v>
      </c>
      <c r="E55">
        <v>100</v>
      </c>
      <c r="F55" s="1">
        <v>0.185</v>
      </c>
      <c r="G55" t="s">
        <v>1587</v>
      </c>
      <c r="H55" t="s">
        <v>1587</v>
      </c>
      <c r="I55">
        <v>41212</v>
      </c>
      <c r="J55" t="s">
        <v>1634</v>
      </c>
      <c r="K55">
        <v>2</v>
      </c>
      <c r="L55">
        <v>-15.5</v>
      </c>
      <c r="M55">
        <v>2</v>
      </c>
      <c r="N55">
        <v>15.4</v>
      </c>
      <c r="O55" t="s">
        <v>1608</v>
      </c>
      <c r="P55" t="s">
        <v>1584</v>
      </c>
      <c r="Q55">
        <v>2</v>
      </c>
      <c r="R55">
        <v>0</v>
      </c>
      <c r="S55">
        <v>-0.02</v>
      </c>
      <c r="T55" t="s">
        <v>1584</v>
      </c>
      <c r="U55" t="s">
        <v>1592</v>
      </c>
      <c r="V55" t="str" cm="1">
        <f t="array" aca="1" ref="V55" ca="1">IFERROR(_xlfn.IFS(A53="  ..............",OFFSET(A53,2,0),A52=" X-------------X",OFFSET(A52,3,0),MATCH("  ..............",A55:A64,0)&gt;2,V54),"-")</f>
        <v>-</v>
      </c>
      <c r="W55" t="str">
        <f t="shared" ca="1" si="0"/>
        <v>-</v>
      </c>
      <c r="X55" t="str">
        <f t="shared" ca="1" si="1"/>
        <v>-</v>
      </c>
      <c r="Y55" s="1" t="str">
        <f t="shared" ca="1" si="2"/>
        <v>-</v>
      </c>
    </row>
    <row r="56" spans="1:25" x14ac:dyDescent="0.25">
      <c r="A56" t="s">
        <v>1572</v>
      </c>
      <c r="B56" t="s">
        <v>1574</v>
      </c>
      <c r="C56" t="s">
        <v>1574</v>
      </c>
      <c r="D56" t="s">
        <v>1574</v>
      </c>
      <c r="E56" t="s">
        <v>1574</v>
      </c>
      <c r="F56" t="s">
        <v>1575</v>
      </c>
      <c r="G56" t="s">
        <v>1574</v>
      </c>
      <c r="H56" t="s">
        <v>1574</v>
      </c>
      <c r="I56" t="s">
        <v>1576</v>
      </c>
      <c r="J56" t="s">
        <v>1573</v>
      </c>
      <c r="K56" t="s">
        <v>1577</v>
      </c>
      <c r="L56" t="s">
        <v>1574</v>
      </c>
      <c r="M56" t="s">
        <v>1574</v>
      </c>
      <c r="N56" t="s">
        <v>1574</v>
      </c>
      <c r="O56" t="s">
        <v>1578</v>
      </c>
      <c r="P56" t="s">
        <v>1576</v>
      </c>
      <c r="Q56" t="s">
        <v>1579</v>
      </c>
      <c r="R56" t="s">
        <v>1580</v>
      </c>
      <c r="S56" t="s">
        <v>1580</v>
      </c>
      <c r="T56" t="s">
        <v>1576</v>
      </c>
      <c r="U56" t="s">
        <v>1576</v>
      </c>
      <c r="V56" t="str" cm="1">
        <f t="array" aca="1" ref="V56" ca="1">IFERROR(_xlfn.IFS(A54="  ..............",OFFSET(A54,2,0),A53=" X-------------X",OFFSET(A53,3,0),MATCH("  ..............",A56:A65,0)&gt;2,V55),"-")</f>
        <v>-</v>
      </c>
      <c r="W56" t="str">
        <f t="shared" ca="1" si="0"/>
        <v>-</v>
      </c>
      <c r="X56" t="str">
        <f t="shared" ca="1" si="1"/>
        <v/>
      </c>
      <c r="Y56" s="1" t="str">
        <f t="shared" ca="1" si="2"/>
        <v/>
      </c>
    </row>
    <row r="57" spans="1:25" x14ac:dyDescent="0.25">
      <c r="A57" t="s">
        <v>1635</v>
      </c>
      <c r="B57">
        <v>1.008</v>
      </c>
      <c r="C57">
        <v>4.5999999999999996</v>
      </c>
      <c r="D57">
        <v>0</v>
      </c>
      <c r="E57">
        <v>57.2</v>
      </c>
      <c r="F57">
        <v>0</v>
      </c>
      <c r="G57">
        <v>11</v>
      </c>
      <c r="H57">
        <v>0</v>
      </c>
      <c r="I57" t="s">
        <v>1581</v>
      </c>
      <c r="J57" t="s">
        <v>1581</v>
      </c>
      <c r="K57" t="s">
        <v>1581</v>
      </c>
      <c r="L57" t="s">
        <v>1581</v>
      </c>
      <c r="M57" t="s">
        <v>1581</v>
      </c>
      <c r="N57" t="s">
        <v>1581</v>
      </c>
      <c r="O57" t="s">
        <v>1581</v>
      </c>
      <c r="P57" t="s">
        <v>1581</v>
      </c>
      <c r="Q57" t="s">
        <v>1581</v>
      </c>
      <c r="R57" t="s">
        <v>1581</v>
      </c>
      <c r="S57" t="s">
        <v>1581</v>
      </c>
      <c r="T57" t="s">
        <v>1581</v>
      </c>
      <c r="U57" t="s">
        <v>1581</v>
      </c>
      <c r="V57" t="str" cm="1">
        <f t="array" aca="1" ref="V57" ca="1">IFERROR(_xlfn.IFS(A55="  ..............",OFFSET(A55,2,0),A54=" X-------------X",OFFSET(A54,3,0),MATCH("  ..............",A57:A66,0)&gt;2,V56),"-")</f>
        <v>-</v>
      </c>
      <c r="W57" t="str">
        <f t="shared" ca="1" si="0"/>
        <v>-</v>
      </c>
      <c r="X57" t="str">
        <f t="shared" ca="1" si="1"/>
        <v xml:space="preserve">              </v>
      </c>
      <c r="Y57" s="1">
        <f t="shared" ca="1" si="2"/>
        <v>0</v>
      </c>
    </row>
    <row r="58" spans="1:25" x14ac:dyDescent="0.25">
      <c r="A58" t="s">
        <v>1636</v>
      </c>
      <c r="B58">
        <v>-52.8</v>
      </c>
      <c r="C58">
        <v>0</v>
      </c>
      <c r="D58">
        <v>0</v>
      </c>
      <c r="E58">
        <v>36.200000000000003</v>
      </c>
      <c r="F58">
        <v>0</v>
      </c>
      <c r="G58">
        <v>0</v>
      </c>
      <c r="H58">
        <v>0</v>
      </c>
      <c r="I58" t="s">
        <v>1584</v>
      </c>
      <c r="J58" t="s">
        <v>1585</v>
      </c>
      <c r="K58" t="s">
        <v>1586</v>
      </c>
      <c r="L58" t="s">
        <v>1587</v>
      </c>
      <c r="M58" t="s">
        <v>1587</v>
      </c>
      <c r="N58" t="s">
        <v>1586</v>
      </c>
      <c r="O58" t="s">
        <v>1581</v>
      </c>
      <c r="P58" t="s">
        <v>1581</v>
      </c>
      <c r="Q58" t="s">
        <v>1581</v>
      </c>
      <c r="R58" t="s">
        <v>1581</v>
      </c>
      <c r="S58" t="s">
        <v>1581</v>
      </c>
      <c r="T58" t="s">
        <v>1581</v>
      </c>
      <c r="U58" t="s">
        <v>1581</v>
      </c>
      <c r="V58" t="str" cm="1">
        <f t="array" aca="1" ref="V58" ca="1">IFERROR(_xlfn.IFS(A56="  ..............",OFFSET(A56,2,0),A55=" X-------------X",OFFSET(A55,3,0),MATCH("  ..............",A58:A67,0)&gt;2,V57),"-")</f>
        <v xml:space="preserve">  CAXIA1-RS069  </v>
      </c>
      <c r="W58">
        <f t="shared" ca="1" si="0"/>
        <v>1.008</v>
      </c>
      <c r="X58" t="str">
        <f t="shared" ca="1" si="1"/>
        <v xml:space="preserve"> CAXIA5-RS069 </v>
      </c>
      <c r="Y58" s="1" t="str">
        <f t="shared" ca="1" si="2"/>
        <v xml:space="preserve">             </v>
      </c>
    </row>
    <row r="59" spans="1:25" x14ac:dyDescent="0.25">
      <c r="A59" t="s">
        <v>1637</v>
      </c>
      <c r="B59" t="s">
        <v>1638</v>
      </c>
      <c r="C59">
        <v>75</v>
      </c>
      <c r="D59">
        <v>90</v>
      </c>
      <c r="E59">
        <v>90</v>
      </c>
      <c r="F59" t="s">
        <v>1639</v>
      </c>
      <c r="G59" t="s">
        <v>1587</v>
      </c>
      <c r="H59" t="s">
        <v>1587</v>
      </c>
      <c r="I59">
        <v>1193</v>
      </c>
      <c r="J59" t="s">
        <v>1640</v>
      </c>
      <c r="K59">
        <v>1</v>
      </c>
      <c r="L59">
        <v>0</v>
      </c>
      <c r="M59">
        <v>0</v>
      </c>
      <c r="N59">
        <v>0</v>
      </c>
      <c r="O59" t="s">
        <v>1594</v>
      </c>
      <c r="P59" t="s">
        <v>1584</v>
      </c>
      <c r="Q59" t="s">
        <v>1591</v>
      </c>
      <c r="R59">
        <v>0</v>
      </c>
      <c r="S59">
        <v>0</v>
      </c>
      <c r="T59" t="s">
        <v>1584</v>
      </c>
      <c r="U59" t="s">
        <v>1592</v>
      </c>
      <c r="V59" t="str" cm="1">
        <f t="array" aca="1" ref="V59" ca="1">IFERROR(_xlfn.IFS(A57="  ..............",OFFSET(A57,2,0),A56=" X-------------X",OFFSET(A56,3,0),MATCH("  ..............",A59:A68,0)&gt;2,V58),"-")</f>
        <v xml:space="preserve">  CAXIA1-RS069  </v>
      </c>
      <c r="W59">
        <f t="shared" ca="1" si="0"/>
        <v>1.008</v>
      </c>
      <c r="X59" t="str">
        <f t="shared" ca="1" si="1"/>
        <v xml:space="preserve"> LUPATETAP069 </v>
      </c>
      <c r="Y59" s="1">
        <f t="shared" ca="1" si="2"/>
        <v>0.77200000000000002</v>
      </c>
    </row>
    <row r="60" spans="1:25" x14ac:dyDescent="0.25">
      <c r="A60" t="s">
        <v>1588</v>
      </c>
      <c r="B60" t="s">
        <v>1587</v>
      </c>
      <c r="C60">
        <v>75</v>
      </c>
      <c r="D60">
        <v>90</v>
      </c>
      <c r="E60">
        <v>90</v>
      </c>
      <c r="F60" s="1">
        <v>0.77200000000000002</v>
      </c>
      <c r="G60" t="s">
        <v>1587</v>
      </c>
      <c r="H60" t="s">
        <v>1587</v>
      </c>
      <c r="I60">
        <v>10222</v>
      </c>
      <c r="J60" t="s">
        <v>1641</v>
      </c>
      <c r="K60">
        <v>1</v>
      </c>
      <c r="L60">
        <v>-52.6</v>
      </c>
      <c r="M60">
        <v>-25.2</v>
      </c>
      <c r="N60">
        <v>57.9</v>
      </c>
      <c r="O60" t="s">
        <v>1594</v>
      </c>
      <c r="P60" t="s">
        <v>1584</v>
      </c>
      <c r="Q60" t="s">
        <v>1591</v>
      </c>
      <c r="R60">
        <v>0.28999999999999998</v>
      </c>
      <c r="S60">
        <v>0.88</v>
      </c>
      <c r="T60" t="s">
        <v>1584</v>
      </c>
      <c r="U60" t="s">
        <v>1592</v>
      </c>
      <c r="V60" t="str" cm="1">
        <f t="array" aca="1" ref="V60" ca="1">IFERROR(_xlfn.IFS(A58="  ..............",OFFSET(A58,2,0),A57=" X-------------X",OFFSET(A57,3,0),MATCH("  ..............",A60:A69,0)&gt;2,V59),"-")</f>
        <v>-</v>
      </c>
      <c r="W60" t="str">
        <f t="shared" ca="1" si="0"/>
        <v>-</v>
      </c>
      <c r="X60" t="str">
        <f t="shared" ca="1" si="1"/>
        <v>-</v>
      </c>
      <c r="Y60" s="1" t="str">
        <f t="shared" ca="1" si="2"/>
        <v>-</v>
      </c>
    </row>
    <row r="61" spans="1:25" x14ac:dyDescent="0.25">
      <c r="A61" t="s">
        <v>1572</v>
      </c>
      <c r="B61" t="s">
        <v>1574</v>
      </c>
      <c r="C61" t="s">
        <v>1574</v>
      </c>
      <c r="D61" t="s">
        <v>1574</v>
      </c>
      <c r="E61" t="s">
        <v>1574</v>
      </c>
      <c r="F61" t="s">
        <v>1575</v>
      </c>
      <c r="G61" t="s">
        <v>1574</v>
      </c>
      <c r="H61" t="s">
        <v>1574</v>
      </c>
      <c r="I61" t="s">
        <v>1576</v>
      </c>
      <c r="J61" t="s">
        <v>1573</v>
      </c>
      <c r="K61" t="s">
        <v>1577</v>
      </c>
      <c r="L61" t="s">
        <v>1574</v>
      </c>
      <c r="M61" t="s">
        <v>1574</v>
      </c>
      <c r="N61" t="s">
        <v>1574</v>
      </c>
      <c r="O61" t="s">
        <v>1578</v>
      </c>
      <c r="P61" t="s">
        <v>1576</v>
      </c>
      <c r="Q61" t="s">
        <v>1579</v>
      </c>
      <c r="R61" t="s">
        <v>1580</v>
      </c>
      <c r="S61" t="s">
        <v>1580</v>
      </c>
      <c r="T61" t="s">
        <v>1576</v>
      </c>
      <c r="U61" t="s">
        <v>1576</v>
      </c>
      <c r="V61" t="str" cm="1">
        <f t="array" aca="1" ref="V61" ca="1">IFERROR(_xlfn.IFS(A59="  ..............",OFFSET(A59,2,0),A58=" X-------------X",OFFSET(A58,3,0),MATCH("  ..............",A61:A70,0)&gt;2,V60),"-")</f>
        <v>-</v>
      </c>
      <c r="W61" t="str">
        <f t="shared" ca="1" si="0"/>
        <v>-</v>
      </c>
      <c r="X61" t="str">
        <f t="shared" ca="1" si="1"/>
        <v/>
      </c>
      <c r="Y61" s="1" t="str">
        <f t="shared" ca="1" si="2"/>
        <v/>
      </c>
    </row>
    <row r="62" spans="1:25" x14ac:dyDescent="0.25">
      <c r="A62" t="s">
        <v>1642</v>
      </c>
      <c r="B62">
        <v>1.012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1581</v>
      </c>
      <c r="J62" t="s">
        <v>1581</v>
      </c>
      <c r="K62" t="s">
        <v>1581</v>
      </c>
      <c r="L62" t="s">
        <v>1581</v>
      </c>
      <c r="M62" t="s">
        <v>1581</v>
      </c>
      <c r="N62" t="s">
        <v>1581</v>
      </c>
      <c r="O62" t="s">
        <v>1581</v>
      </c>
      <c r="P62" t="s">
        <v>1581</v>
      </c>
      <c r="Q62" t="s">
        <v>1581</v>
      </c>
      <c r="R62" t="s">
        <v>1581</v>
      </c>
      <c r="S62" t="s">
        <v>1581</v>
      </c>
      <c r="T62" t="s">
        <v>1581</v>
      </c>
      <c r="U62" t="s">
        <v>1581</v>
      </c>
      <c r="V62" t="str" cm="1">
        <f t="array" aca="1" ref="V62" ca="1">IFERROR(_xlfn.IFS(A60="  ..............",OFFSET(A60,2,0),A59=" X-------------X",OFFSET(A59,3,0),MATCH("  ..............",A62:A71,0)&gt;2,V61),"-")</f>
        <v>-</v>
      </c>
      <c r="W62" t="str">
        <f t="shared" ca="1" si="0"/>
        <v>-</v>
      </c>
      <c r="X62" t="str">
        <f t="shared" ca="1" si="1"/>
        <v xml:space="preserve">              </v>
      </c>
      <c r="Y62" s="1">
        <f t="shared" ca="1" si="2"/>
        <v>0</v>
      </c>
    </row>
    <row r="63" spans="1:25" x14ac:dyDescent="0.25">
      <c r="A63" t="s">
        <v>1643</v>
      </c>
      <c r="B63">
        <v>-50.5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 t="s">
        <v>1584</v>
      </c>
      <c r="J63" t="s">
        <v>1585</v>
      </c>
      <c r="K63" t="s">
        <v>1586</v>
      </c>
      <c r="L63" t="s">
        <v>1587</v>
      </c>
      <c r="M63" t="s">
        <v>1587</v>
      </c>
      <c r="N63" t="s">
        <v>1586</v>
      </c>
      <c r="O63" t="s">
        <v>1581</v>
      </c>
      <c r="P63" t="s">
        <v>1581</v>
      </c>
      <c r="Q63" t="s">
        <v>1581</v>
      </c>
      <c r="R63" t="s">
        <v>1581</v>
      </c>
      <c r="S63" t="s">
        <v>1581</v>
      </c>
      <c r="T63" t="s">
        <v>1581</v>
      </c>
      <c r="U63" t="s">
        <v>1581</v>
      </c>
      <c r="V63" t="str" cm="1">
        <f t="array" aca="1" ref="V63" ca="1">IFERROR(_xlfn.IFS(A61="  ..............",OFFSET(A61,2,0),A60=" X-------------X",OFFSET(A60,3,0),MATCH("  ..............",A63:A72,0)&gt;2,V62),"-")</f>
        <v xml:space="preserve">  CAXIA5-RS069  </v>
      </c>
      <c r="W63">
        <f t="shared" ca="1" si="0"/>
        <v>1.012</v>
      </c>
      <c r="X63" t="str">
        <f t="shared" ca="1" si="1"/>
        <v xml:space="preserve"> CAXIA1-RS069 </v>
      </c>
      <c r="Y63" s="1" t="str">
        <f t="shared" ca="1" si="2"/>
        <v xml:space="preserve">             </v>
      </c>
    </row>
    <row r="64" spans="1:25" x14ac:dyDescent="0.25">
      <c r="A64" t="s">
        <v>1637</v>
      </c>
      <c r="B64" t="s">
        <v>1638</v>
      </c>
      <c r="C64">
        <v>75</v>
      </c>
      <c r="D64">
        <v>90</v>
      </c>
      <c r="E64">
        <v>90</v>
      </c>
      <c r="F64" t="s">
        <v>1639</v>
      </c>
      <c r="G64" t="s">
        <v>1587</v>
      </c>
      <c r="H64" t="s">
        <v>1587</v>
      </c>
      <c r="I64">
        <v>1187</v>
      </c>
      <c r="J64" t="s">
        <v>1644</v>
      </c>
      <c r="K64">
        <v>1</v>
      </c>
      <c r="L64">
        <v>0</v>
      </c>
      <c r="M64">
        <v>-0.1</v>
      </c>
      <c r="N64">
        <v>0.1</v>
      </c>
      <c r="O64" t="s">
        <v>1594</v>
      </c>
      <c r="P64" t="s">
        <v>1584</v>
      </c>
      <c r="Q64" t="s">
        <v>1591</v>
      </c>
      <c r="R64">
        <v>0</v>
      </c>
      <c r="S64">
        <v>-0.13</v>
      </c>
      <c r="T64">
        <v>1.012</v>
      </c>
      <c r="U64">
        <v>-50.5</v>
      </c>
      <c r="V64" t="str" cm="1">
        <f t="array" aca="1" ref="V64" ca="1">IFERROR(_xlfn.IFS(A62="  ..............",OFFSET(A62,2,0),A61=" X-------------X",OFFSET(A61,3,0),MATCH("  ..............",A64:A73,0)&gt;2,V63),"-")</f>
        <v xml:space="preserve">  CAXIA5-RS069  </v>
      </c>
      <c r="W64">
        <f t="shared" ca="1" si="0"/>
        <v>1.012</v>
      </c>
      <c r="X64" t="str">
        <f t="shared" ca="1" si="1"/>
        <v xml:space="preserve"> CAXIA2-RS069 </v>
      </c>
      <c r="Y64" s="1">
        <f t="shared" ca="1" si="2"/>
        <v>2E-3</v>
      </c>
    </row>
    <row r="65" spans="1:25" x14ac:dyDescent="0.25">
      <c r="A65" t="s">
        <v>1588</v>
      </c>
      <c r="B65" t="s">
        <v>1587</v>
      </c>
      <c r="C65">
        <v>84</v>
      </c>
      <c r="D65">
        <v>101</v>
      </c>
      <c r="E65">
        <v>101</v>
      </c>
      <c r="F65" s="1">
        <v>2E-3</v>
      </c>
      <c r="G65" t="s">
        <v>1587</v>
      </c>
      <c r="H65" t="s">
        <v>1587</v>
      </c>
      <c r="I65">
        <v>1201</v>
      </c>
      <c r="J65" t="s">
        <v>1645</v>
      </c>
      <c r="K65">
        <v>1</v>
      </c>
      <c r="L65">
        <v>0</v>
      </c>
      <c r="M65">
        <v>0.1</v>
      </c>
      <c r="N65">
        <v>0.1</v>
      </c>
      <c r="O65" t="s">
        <v>1594</v>
      </c>
      <c r="P65" t="s">
        <v>1584</v>
      </c>
      <c r="Q65" t="s">
        <v>1591</v>
      </c>
      <c r="R65">
        <v>0</v>
      </c>
      <c r="S65">
        <v>-0.08</v>
      </c>
      <c r="T65" t="s">
        <v>1584</v>
      </c>
      <c r="U65" t="s">
        <v>1592</v>
      </c>
      <c r="V65" t="str" cm="1">
        <f t="array" aca="1" ref="V65" ca="1">IFERROR(_xlfn.IFS(A63="  ..............",OFFSET(A63,2,0),A62=" X-------------X",OFFSET(A62,3,0),MATCH("  ..............",A65:A74,0)&gt;2,V64),"-")</f>
        <v>-</v>
      </c>
      <c r="W65" t="str">
        <f t="shared" ca="1" si="0"/>
        <v>-</v>
      </c>
      <c r="X65" t="str">
        <f t="shared" ca="1" si="1"/>
        <v>-</v>
      </c>
      <c r="Y65" s="1" t="str">
        <f t="shared" ca="1" si="2"/>
        <v>-</v>
      </c>
    </row>
    <row r="66" spans="1:25" x14ac:dyDescent="0.25">
      <c r="A66" t="s">
        <v>1572</v>
      </c>
      <c r="B66" t="s">
        <v>1574</v>
      </c>
      <c r="C66" t="s">
        <v>1574</v>
      </c>
      <c r="D66" t="s">
        <v>1574</v>
      </c>
      <c r="E66" t="s">
        <v>1574</v>
      </c>
      <c r="F66" t="s">
        <v>1575</v>
      </c>
      <c r="G66" t="s">
        <v>1574</v>
      </c>
      <c r="H66" t="s">
        <v>1574</v>
      </c>
      <c r="I66" t="s">
        <v>1576</v>
      </c>
      <c r="J66" t="s">
        <v>1573</v>
      </c>
      <c r="K66" t="s">
        <v>1577</v>
      </c>
      <c r="L66" t="s">
        <v>1574</v>
      </c>
      <c r="M66" t="s">
        <v>1574</v>
      </c>
      <c r="N66" t="s">
        <v>1574</v>
      </c>
      <c r="O66" t="s">
        <v>1578</v>
      </c>
      <c r="P66" t="s">
        <v>1576</v>
      </c>
      <c r="Q66" t="s">
        <v>1579</v>
      </c>
      <c r="R66" t="s">
        <v>1580</v>
      </c>
      <c r="S66" t="s">
        <v>1580</v>
      </c>
      <c r="T66" t="s">
        <v>1576</v>
      </c>
      <c r="U66" t="s">
        <v>1576</v>
      </c>
      <c r="V66" t="str" cm="1">
        <f t="array" aca="1" ref="V66" ca="1">IFERROR(_xlfn.IFS(A64="  ..............",OFFSET(A64,2,0),A63=" X-------------X",OFFSET(A63,3,0),MATCH("  ..............",A66:A75,0)&gt;2,V65),"-")</f>
        <v>-</v>
      </c>
      <c r="W66" t="str">
        <f t="shared" ca="1" si="0"/>
        <v>-</v>
      </c>
      <c r="X66" t="str">
        <f t="shared" ca="1" si="1"/>
        <v/>
      </c>
      <c r="Y66" s="1" t="str">
        <f t="shared" ca="1" si="2"/>
        <v/>
      </c>
    </row>
    <row r="67" spans="1:25" x14ac:dyDescent="0.25">
      <c r="A67" t="s">
        <v>1646</v>
      </c>
      <c r="B67">
        <v>1.0089999999999999</v>
      </c>
      <c r="C67">
        <v>22</v>
      </c>
      <c r="D67">
        <v>0</v>
      </c>
      <c r="E67">
        <v>85.1</v>
      </c>
      <c r="F67">
        <v>0</v>
      </c>
      <c r="G67">
        <v>11</v>
      </c>
      <c r="H67">
        <v>0</v>
      </c>
      <c r="I67" t="s">
        <v>1581</v>
      </c>
      <c r="J67" t="s">
        <v>1581</v>
      </c>
      <c r="K67" t="s">
        <v>1581</v>
      </c>
      <c r="L67" t="s">
        <v>1581</v>
      </c>
      <c r="M67" t="s">
        <v>1581</v>
      </c>
      <c r="N67" t="s">
        <v>1581</v>
      </c>
      <c r="O67" t="s">
        <v>1581</v>
      </c>
      <c r="P67" t="s">
        <v>1581</v>
      </c>
      <c r="Q67" t="s">
        <v>1581</v>
      </c>
      <c r="R67" t="s">
        <v>1581</v>
      </c>
      <c r="S67" t="s">
        <v>1581</v>
      </c>
      <c r="T67" t="s">
        <v>1581</v>
      </c>
      <c r="U67" t="s">
        <v>1581</v>
      </c>
      <c r="V67" t="str" cm="1">
        <f t="array" aca="1" ref="V67" ca="1">IFERROR(_xlfn.IFS(A65="  ..............",OFFSET(A65,2,0),A64=" X-------------X",OFFSET(A64,3,0),MATCH("  ..............",A67:A76,0)&gt;2,V66),"-")</f>
        <v>-</v>
      </c>
      <c r="W67" t="str">
        <f t="shared" ca="1" si="0"/>
        <v>-</v>
      </c>
      <c r="X67" t="str">
        <f t="shared" ca="1" si="1"/>
        <v xml:space="preserve">              </v>
      </c>
      <c r="Y67" s="1">
        <f t="shared" ca="1" si="2"/>
        <v>0</v>
      </c>
    </row>
    <row r="68" spans="1:25" x14ac:dyDescent="0.25">
      <c r="A68" t="s">
        <v>1647</v>
      </c>
      <c r="B68">
        <v>-52.5</v>
      </c>
      <c r="C68">
        <v>0</v>
      </c>
      <c r="D68">
        <v>0</v>
      </c>
      <c r="E68">
        <v>26.6</v>
      </c>
      <c r="F68">
        <v>0</v>
      </c>
      <c r="G68">
        <v>0</v>
      </c>
      <c r="H68">
        <v>0</v>
      </c>
      <c r="I68" t="s">
        <v>1584</v>
      </c>
      <c r="J68" t="s">
        <v>1585</v>
      </c>
      <c r="K68" t="s">
        <v>1586</v>
      </c>
      <c r="L68" t="s">
        <v>1587</v>
      </c>
      <c r="M68" t="s">
        <v>1587</v>
      </c>
      <c r="N68" t="s">
        <v>1586</v>
      </c>
      <c r="O68" t="s">
        <v>1581</v>
      </c>
      <c r="P68" t="s">
        <v>1581</v>
      </c>
      <c r="Q68" t="s">
        <v>1581</v>
      </c>
      <c r="R68" t="s">
        <v>1581</v>
      </c>
      <c r="S68" t="s">
        <v>1581</v>
      </c>
      <c r="T68" t="s">
        <v>1581</v>
      </c>
      <c r="U68" t="s">
        <v>1581</v>
      </c>
      <c r="V68" t="str" cm="1">
        <f t="array" aca="1" ref="V68" ca="1">IFERROR(_xlfn.IFS(A66="  ..............",OFFSET(A66,2,0),A65=" X-------------X",OFFSET(A65,3,0),MATCH("  ..............",A68:A77,0)&gt;2,V67),"-")</f>
        <v xml:space="preserve">  CAMAQU-RS069  </v>
      </c>
      <c r="W68">
        <f t="shared" ref="W68:W131" ca="1" si="3">IFERROR(OFFSET($A$1,MATCH(V68,A:A,0)-2,1),"-")</f>
        <v>1.0089999999999999</v>
      </c>
      <c r="X68" t="str">
        <f t="shared" ref="X68:X131" ca="1" si="4">IFERROR(IF(V68=V67,OFFSET($J$1,ROW(X68),0),OFFSET($J$1,MATCH(V68,A:A,0),0)),"-")</f>
        <v xml:space="preserve"> CAMAQ3-RS069 </v>
      </c>
      <c r="Y68" s="1">
        <f t="shared" ref="Y68:Y131" ca="1" si="5">IFERROR(OFFSET($F$1,MATCH(X68,J:J,0)-1,0),"-")</f>
        <v>0.33400000000000002</v>
      </c>
    </row>
    <row r="69" spans="1:25" x14ac:dyDescent="0.25">
      <c r="A69" t="s">
        <v>1588</v>
      </c>
      <c r="B69" t="s">
        <v>1587</v>
      </c>
      <c r="C69">
        <v>75</v>
      </c>
      <c r="D69">
        <v>90</v>
      </c>
      <c r="E69">
        <v>90</v>
      </c>
      <c r="F69" s="1">
        <v>0.33400000000000002</v>
      </c>
      <c r="G69" t="s">
        <v>1587</v>
      </c>
      <c r="H69" t="s">
        <v>1587</v>
      </c>
      <c r="I69">
        <v>9570</v>
      </c>
      <c r="J69" t="s">
        <v>1648</v>
      </c>
      <c r="K69">
        <v>1</v>
      </c>
      <c r="L69">
        <v>-25.1</v>
      </c>
      <c r="M69">
        <v>-3.5</v>
      </c>
      <c r="N69">
        <v>25.1</v>
      </c>
      <c r="O69" t="s">
        <v>1594</v>
      </c>
      <c r="P69" t="s">
        <v>1584</v>
      </c>
      <c r="Q69" t="s">
        <v>1591</v>
      </c>
      <c r="R69">
        <v>0.05</v>
      </c>
      <c r="S69">
        <v>0.14000000000000001</v>
      </c>
      <c r="T69" t="s">
        <v>1584</v>
      </c>
      <c r="U69" t="s">
        <v>1592</v>
      </c>
      <c r="V69" t="str" cm="1">
        <f t="array" aca="1" ref="V69" ca="1">IFERROR(_xlfn.IFS(A67="  ..............",OFFSET(A67,2,0),A66=" X-------------X",OFFSET(A66,3,0),MATCH("  ..............",A69:A78,0)&gt;2,V68),"-")</f>
        <v xml:space="preserve">  CAMAQU-RS069  </v>
      </c>
      <c r="W69">
        <f t="shared" ca="1" si="3"/>
        <v>1.0089999999999999</v>
      </c>
      <c r="X69" t="str">
        <f t="shared" ca="1" si="4"/>
        <v xml:space="preserve"> CAMA-1-RS000 </v>
      </c>
      <c r="Y69" s="1">
        <f t="shared" ca="1" si="5"/>
        <v>0.23899999999999999</v>
      </c>
    </row>
    <row r="70" spans="1:25" x14ac:dyDescent="0.25">
      <c r="A70" t="s">
        <v>1588</v>
      </c>
      <c r="B70" t="s">
        <v>1587</v>
      </c>
      <c r="C70">
        <v>83</v>
      </c>
      <c r="D70">
        <v>124</v>
      </c>
      <c r="E70">
        <v>124</v>
      </c>
      <c r="F70" s="1">
        <v>0.23899999999999999</v>
      </c>
      <c r="G70" t="s">
        <v>1587</v>
      </c>
      <c r="H70" t="s">
        <v>1587</v>
      </c>
      <c r="I70">
        <v>41221</v>
      </c>
      <c r="J70" t="s">
        <v>1649</v>
      </c>
      <c r="K70">
        <v>1</v>
      </c>
      <c r="L70">
        <v>-19.100000000000001</v>
      </c>
      <c r="M70">
        <v>-6.1</v>
      </c>
      <c r="N70">
        <v>19.8</v>
      </c>
      <c r="O70" t="s">
        <v>1608</v>
      </c>
      <c r="P70" t="s">
        <v>1584</v>
      </c>
      <c r="Q70">
        <v>2</v>
      </c>
      <c r="R70">
        <v>0.01</v>
      </c>
      <c r="S70">
        <v>-0.04</v>
      </c>
      <c r="T70" t="s">
        <v>1584</v>
      </c>
      <c r="U70" t="s">
        <v>1592</v>
      </c>
      <c r="V70" t="str" cm="1">
        <f t="array" aca="1" ref="V70" ca="1">IFERROR(_xlfn.IFS(A68="  ..............",OFFSET(A68,2,0),A67=" X-------------X",OFFSET(A67,3,0),MATCH("  ..............",A70:A79,0)&gt;2,V69),"-")</f>
        <v xml:space="preserve">  CAMAQU-RS069  </v>
      </c>
      <c r="W70">
        <f t="shared" ca="1" si="3"/>
        <v>1.0089999999999999</v>
      </c>
      <c r="X70" t="str">
        <f t="shared" ca="1" si="4"/>
        <v xml:space="preserve"> CAMA-5-RS000 </v>
      </c>
      <c r="Y70" s="1">
        <f t="shared" ca="1" si="5"/>
        <v>0.23799999999999999</v>
      </c>
    </row>
    <row r="71" spans="1:25" x14ac:dyDescent="0.25">
      <c r="A71" t="s">
        <v>1588</v>
      </c>
      <c r="B71" t="s">
        <v>1587</v>
      </c>
      <c r="C71">
        <v>83</v>
      </c>
      <c r="D71">
        <v>83</v>
      </c>
      <c r="E71">
        <v>83</v>
      </c>
      <c r="F71" s="1">
        <v>0.23799999999999999</v>
      </c>
      <c r="G71" t="s">
        <v>1587</v>
      </c>
      <c r="H71" t="s">
        <v>1587</v>
      </c>
      <c r="I71">
        <v>41222</v>
      </c>
      <c r="J71" t="s">
        <v>1650</v>
      </c>
      <c r="K71">
        <v>5</v>
      </c>
      <c r="L71">
        <v>-19</v>
      </c>
      <c r="M71">
        <v>-6</v>
      </c>
      <c r="N71">
        <v>19.7</v>
      </c>
      <c r="O71" t="s">
        <v>1608</v>
      </c>
      <c r="P71" t="s">
        <v>1584</v>
      </c>
      <c r="Q71">
        <v>2</v>
      </c>
      <c r="R71">
        <v>0.01</v>
      </c>
      <c r="S71">
        <v>-0.03</v>
      </c>
      <c r="T71" t="s">
        <v>1584</v>
      </c>
      <c r="U71" t="s">
        <v>1592</v>
      </c>
      <c r="V71" t="str" cm="1">
        <f t="array" aca="1" ref="V71" ca="1">IFERROR(_xlfn.IFS(A69="  ..............",OFFSET(A69,2,0),A68=" X-------------X",OFFSET(A68,3,0),MATCH("  ..............",A71:A80,0)&gt;2,V70),"-")</f>
        <v>-</v>
      </c>
      <c r="W71" t="str">
        <f t="shared" ca="1" si="3"/>
        <v>-</v>
      </c>
      <c r="X71" t="str">
        <f t="shared" ca="1" si="4"/>
        <v>-</v>
      </c>
      <c r="Y71" s="1" t="str">
        <f t="shared" ca="1" si="5"/>
        <v>-</v>
      </c>
    </row>
    <row r="72" spans="1:25" x14ac:dyDescent="0.25">
      <c r="A72" t="s">
        <v>1572</v>
      </c>
      <c r="B72" t="s">
        <v>1574</v>
      </c>
      <c r="C72" t="s">
        <v>1574</v>
      </c>
      <c r="D72" t="s">
        <v>1574</v>
      </c>
      <c r="E72" t="s">
        <v>1574</v>
      </c>
      <c r="F72" t="s">
        <v>1575</v>
      </c>
      <c r="G72" t="s">
        <v>1574</v>
      </c>
      <c r="H72" t="s">
        <v>1574</v>
      </c>
      <c r="I72" t="s">
        <v>1576</v>
      </c>
      <c r="J72" t="s">
        <v>1573</v>
      </c>
      <c r="K72" t="s">
        <v>1577</v>
      </c>
      <c r="L72" t="s">
        <v>1574</v>
      </c>
      <c r="M72" t="s">
        <v>1574</v>
      </c>
      <c r="N72" t="s">
        <v>1574</v>
      </c>
      <c r="O72" t="s">
        <v>1578</v>
      </c>
      <c r="P72" t="s">
        <v>1576</v>
      </c>
      <c r="Q72" t="s">
        <v>1579</v>
      </c>
      <c r="R72" t="s">
        <v>1580</v>
      </c>
      <c r="S72" t="s">
        <v>1580</v>
      </c>
      <c r="T72" t="s">
        <v>1576</v>
      </c>
      <c r="U72" t="s">
        <v>1576</v>
      </c>
      <c r="V72" t="str" cm="1">
        <f t="array" aca="1" ref="V72" ca="1">IFERROR(_xlfn.IFS(A70="  ..............",OFFSET(A70,2,0),A69=" X-------------X",OFFSET(A69,3,0),MATCH("  ..............",A72:A81,0)&gt;2,V71),"-")</f>
        <v>-</v>
      </c>
      <c r="W72" t="str">
        <f t="shared" ca="1" si="3"/>
        <v>-</v>
      </c>
      <c r="X72" t="str">
        <f t="shared" ca="1" si="4"/>
        <v/>
      </c>
      <c r="Y72" s="1" t="str">
        <f t="shared" ca="1" si="5"/>
        <v/>
      </c>
    </row>
    <row r="73" spans="1:25" x14ac:dyDescent="0.25">
      <c r="A73" t="s">
        <v>1651</v>
      </c>
      <c r="B73">
        <v>1.0209999999999999</v>
      </c>
      <c r="C73">
        <v>14.1</v>
      </c>
      <c r="D73">
        <v>0</v>
      </c>
      <c r="E73">
        <v>126.7</v>
      </c>
      <c r="F73">
        <v>0</v>
      </c>
      <c r="G73">
        <v>33.799999999999997</v>
      </c>
      <c r="H73">
        <v>0</v>
      </c>
      <c r="I73" t="s">
        <v>1581</v>
      </c>
      <c r="J73" t="s">
        <v>1581</v>
      </c>
      <c r="K73" t="s">
        <v>1581</v>
      </c>
      <c r="L73" t="s">
        <v>1581</v>
      </c>
      <c r="M73" t="s">
        <v>1581</v>
      </c>
      <c r="N73" t="s">
        <v>1581</v>
      </c>
      <c r="O73" t="s">
        <v>1581</v>
      </c>
      <c r="P73" t="s">
        <v>1581</v>
      </c>
      <c r="Q73" t="s">
        <v>1581</v>
      </c>
      <c r="R73" t="s">
        <v>1581</v>
      </c>
      <c r="S73" t="s">
        <v>1581</v>
      </c>
      <c r="T73" t="s">
        <v>1581</v>
      </c>
      <c r="U73" t="s">
        <v>1581</v>
      </c>
      <c r="V73" t="str" cm="1">
        <f t="array" aca="1" ref="V73" ca="1">IFERROR(_xlfn.IFS(A71="  ..............",OFFSET(A71,2,0),A70=" X-------------X",OFFSET(A70,3,0),MATCH("  ..............",A73:A82,0)&gt;2,V72),"-")</f>
        <v>-</v>
      </c>
      <c r="W73" t="str">
        <f t="shared" ca="1" si="3"/>
        <v>-</v>
      </c>
      <c r="X73" t="str">
        <f t="shared" ca="1" si="4"/>
        <v xml:space="preserve">              </v>
      </c>
      <c r="Y73" s="1">
        <f t="shared" ca="1" si="5"/>
        <v>0</v>
      </c>
    </row>
    <row r="74" spans="1:25" x14ac:dyDescent="0.25">
      <c r="A74" t="s">
        <v>1652</v>
      </c>
      <c r="B74">
        <v>-54</v>
      </c>
      <c r="C74">
        <v>0</v>
      </c>
      <c r="D74">
        <v>0</v>
      </c>
      <c r="E74">
        <v>60.9</v>
      </c>
      <c r="F74">
        <v>0</v>
      </c>
      <c r="G74">
        <v>0</v>
      </c>
      <c r="H74">
        <v>0</v>
      </c>
      <c r="I74" t="s">
        <v>1584</v>
      </c>
      <c r="J74" t="s">
        <v>1585</v>
      </c>
      <c r="K74" t="s">
        <v>1586</v>
      </c>
      <c r="L74" t="s">
        <v>1587</v>
      </c>
      <c r="M74" t="s">
        <v>1587</v>
      </c>
      <c r="N74" t="s">
        <v>1586</v>
      </c>
      <c r="O74" t="s">
        <v>1581</v>
      </c>
      <c r="P74" t="s">
        <v>1581</v>
      </c>
      <c r="Q74" t="s">
        <v>1581</v>
      </c>
      <c r="R74" t="s">
        <v>1581</v>
      </c>
      <c r="S74" t="s">
        <v>1581</v>
      </c>
      <c r="T74" t="s">
        <v>1581</v>
      </c>
      <c r="U74" t="s">
        <v>1581</v>
      </c>
      <c r="V74" t="str" cm="1">
        <f t="array" aca="1" ref="V74" ca="1">IFERROR(_xlfn.IFS(A72="  ..............",OFFSET(A72,2,0),A71=" X-------------X",OFFSET(A71,3,0),MATCH("  ..............",A74:A83,0)&gt;2,V73),"-")</f>
        <v xml:space="preserve">  CAMPOB-RS069  </v>
      </c>
      <c r="W74">
        <f t="shared" ca="1" si="3"/>
        <v>1.0209999999999999</v>
      </c>
      <c r="X74" t="str">
        <f t="shared" ca="1" si="4"/>
        <v xml:space="preserve"> CBOM-1-RS000 </v>
      </c>
      <c r="Y74" s="1">
        <f t="shared" ca="1" si="5"/>
        <v>0.45</v>
      </c>
    </row>
    <row r="75" spans="1:25" x14ac:dyDescent="0.25">
      <c r="A75" t="s">
        <v>1588</v>
      </c>
      <c r="B75" t="s">
        <v>1587</v>
      </c>
      <c r="C75">
        <v>83</v>
      </c>
      <c r="D75">
        <v>125</v>
      </c>
      <c r="E75">
        <v>125</v>
      </c>
      <c r="F75" s="1">
        <v>0.45</v>
      </c>
      <c r="G75" t="s">
        <v>1587</v>
      </c>
      <c r="H75" t="s">
        <v>1587</v>
      </c>
      <c r="I75">
        <v>41232</v>
      </c>
      <c r="J75" t="s">
        <v>1653</v>
      </c>
      <c r="K75">
        <v>1</v>
      </c>
      <c r="L75">
        <v>-37.1</v>
      </c>
      <c r="M75">
        <v>-8.9</v>
      </c>
      <c r="N75">
        <v>37.299999999999997</v>
      </c>
      <c r="O75" t="s">
        <v>1608</v>
      </c>
      <c r="P75" t="s">
        <v>1584</v>
      </c>
      <c r="Q75">
        <v>2</v>
      </c>
      <c r="R75">
        <v>0.02</v>
      </c>
      <c r="S75">
        <v>-0.1</v>
      </c>
      <c r="T75" t="s">
        <v>1584</v>
      </c>
      <c r="U75" t="s">
        <v>1592</v>
      </c>
      <c r="V75" t="str" cm="1">
        <f t="array" aca="1" ref="V75" ca="1">IFERROR(_xlfn.IFS(A73="  ..............",OFFSET(A73,2,0),A72=" X-------------X",OFFSET(A72,3,0),MATCH("  ..............",A75:A84,0)&gt;2,V74),"-")</f>
        <v xml:space="preserve">  CAMPOB-RS069  </v>
      </c>
      <c r="W75">
        <f t="shared" ca="1" si="3"/>
        <v>1.0209999999999999</v>
      </c>
      <c r="X75" t="str">
        <f t="shared" ca="1" si="4"/>
        <v xml:space="preserve"> CBOM-2-RS000 </v>
      </c>
      <c r="Y75" s="1">
        <f t="shared" ca="1" si="5"/>
        <v>0.44800000000000001</v>
      </c>
    </row>
    <row r="76" spans="1:25" x14ac:dyDescent="0.25">
      <c r="A76" t="s">
        <v>1588</v>
      </c>
      <c r="B76" t="s">
        <v>1587</v>
      </c>
      <c r="C76">
        <v>83</v>
      </c>
      <c r="D76">
        <v>120</v>
      </c>
      <c r="E76">
        <v>120</v>
      </c>
      <c r="F76" s="1">
        <v>0.44800000000000001</v>
      </c>
      <c r="G76" t="s">
        <v>1587</v>
      </c>
      <c r="H76" t="s">
        <v>1587</v>
      </c>
      <c r="I76">
        <v>41233</v>
      </c>
      <c r="J76" t="s">
        <v>1654</v>
      </c>
      <c r="K76">
        <v>2</v>
      </c>
      <c r="L76">
        <v>-36.9</v>
      </c>
      <c r="M76">
        <v>-8.9</v>
      </c>
      <c r="N76">
        <v>37.200000000000003</v>
      </c>
      <c r="O76" t="s">
        <v>1608</v>
      </c>
      <c r="P76" t="s">
        <v>1584</v>
      </c>
      <c r="Q76">
        <v>2</v>
      </c>
      <c r="R76">
        <v>0.02</v>
      </c>
      <c r="S76">
        <v>-0.12</v>
      </c>
      <c r="T76" t="s">
        <v>1584</v>
      </c>
      <c r="U76" t="s">
        <v>1592</v>
      </c>
      <c r="V76" t="str" cm="1">
        <f t="array" aca="1" ref="V76" ca="1">IFERROR(_xlfn.IFS(A74="  ..............",OFFSET(A74,2,0),A73=" X-------------X",OFFSET(A73,3,0),MATCH("  ..............",A76:A85,0)&gt;2,V75),"-")</f>
        <v xml:space="preserve">  CAMPOB-RS069  </v>
      </c>
      <c r="W76">
        <f t="shared" ca="1" si="3"/>
        <v>1.0209999999999999</v>
      </c>
      <c r="X76" t="str">
        <f t="shared" ca="1" si="4"/>
        <v xml:space="preserve"> CBOM-7-RS000 </v>
      </c>
      <c r="Y76" s="1">
        <f t="shared" ca="1" si="5"/>
        <v>0.46899999999999997</v>
      </c>
    </row>
    <row r="77" spans="1:25" x14ac:dyDescent="0.25">
      <c r="A77" t="s">
        <v>1588</v>
      </c>
      <c r="B77" t="s">
        <v>1587</v>
      </c>
      <c r="C77">
        <v>83</v>
      </c>
      <c r="D77">
        <v>83</v>
      </c>
      <c r="E77">
        <v>83</v>
      </c>
      <c r="F77" s="1">
        <v>0.46899999999999997</v>
      </c>
      <c r="G77" t="s">
        <v>1587</v>
      </c>
      <c r="H77" t="s">
        <v>1587</v>
      </c>
      <c r="I77">
        <v>41234</v>
      </c>
      <c r="J77" t="s">
        <v>1655</v>
      </c>
      <c r="K77">
        <v>7</v>
      </c>
      <c r="L77">
        <v>-38.6</v>
      </c>
      <c r="M77">
        <v>-9.1999999999999993</v>
      </c>
      <c r="N77">
        <v>38.9</v>
      </c>
      <c r="O77" t="s">
        <v>1608</v>
      </c>
      <c r="P77" t="s">
        <v>1584</v>
      </c>
      <c r="Q77">
        <v>2</v>
      </c>
      <c r="R77">
        <v>0.03</v>
      </c>
      <c r="S77">
        <v>-0.15</v>
      </c>
      <c r="T77" t="s">
        <v>1584</v>
      </c>
      <c r="U77" t="s">
        <v>1592</v>
      </c>
      <c r="V77" t="str" cm="1">
        <f t="array" aca="1" ref="V77" ca="1">IFERROR(_xlfn.IFS(A75="  ..............",OFFSET(A75,2,0),A74=" X-------------X",OFFSET(A74,3,0),MATCH("  ..............",A77:A86,0)&gt;2,V76),"-")</f>
        <v>-</v>
      </c>
      <c r="W77" t="str">
        <f t="shared" ca="1" si="3"/>
        <v>-</v>
      </c>
      <c r="X77" t="str">
        <f t="shared" ca="1" si="4"/>
        <v>-</v>
      </c>
      <c r="Y77" s="1" t="str">
        <f t="shared" ca="1" si="5"/>
        <v>-</v>
      </c>
    </row>
    <row r="78" spans="1:25" x14ac:dyDescent="0.25">
      <c r="A78" t="s">
        <v>1572</v>
      </c>
      <c r="B78" t="s">
        <v>1574</v>
      </c>
      <c r="C78" t="s">
        <v>1574</v>
      </c>
      <c r="D78" t="s">
        <v>1574</v>
      </c>
      <c r="E78" t="s">
        <v>1574</v>
      </c>
      <c r="F78" t="s">
        <v>1575</v>
      </c>
      <c r="G78" t="s">
        <v>1574</v>
      </c>
      <c r="H78" t="s">
        <v>1574</v>
      </c>
      <c r="I78" t="s">
        <v>1576</v>
      </c>
      <c r="J78" t="s">
        <v>1573</v>
      </c>
      <c r="K78" t="s">
        <v>1577</v>
      </c>
      <c r="L78" t="s">
        <v>1574</v>
      </c>
      <c r="M78" t="s">
        <v>1574</v>
      </c>
      <c r="N78" t="s">
        <v>1574</v>
      </c>
      <c r="O78" t="s">
        <v>1578</v>
      </c>
      <c r="P78" t="s">
        <v>1576</v>
      </c>
      <c r="Q78" t="s">
        <v>1579</v>
      </c>
      <c r="R78" t="s">
        <v>1580</v>
      </c>
      <c r="S78" t="s">
        <v>1580</v>
      </c>
      <c r="T78" t="s">
        <v>1576</v>
      </c>
      <c r="U78" t="s">
        <v>1576</v>
      </c>
      <c r="V78" t="str" cm="1">
        <f t="array" aca="1" ref="V78" ca="1">IFERROR(_xlfn.IFS(A76="  ..............",OFFSET(A76,2,0),A75=" X-------------X",OFFSET(A75,3,0),MATCH("  ..............",A78:A87,0)&gt;2,V77),"-")</f>
        <v>-</v>
      </c>
      <c r="W78" t="str">
        <f t="shared" ca="1" si="3"/>
        <v>-</v>
      </c>
      <c r="X78" t="str">
        <f t="shared" ca="1" si="4"/>
        <v/>
      </c>
      <c r="Y78" s="1" t="str">
        <f t="shared" ca="1" si="5"/>
        <v/>
      </c>
    </row>
    <row r="79" spans="1:25" x14ac:dyDescent="0.25">
      <c r="A79" t="s">
        <v>1656</v>
      </c>
      <c r="B79">
        <v>1.0169999999999999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 t="s">
        <v>1581</v>
      </c>
      <c r="J79" t="s">
        <v>1581</v>
      </c>
      <c r="K79" t="s">
        <v>1581</v>
      </c>
      <c r="L79" t="s">
        <v>1581</v>
      </c>
      <c r="M79" t="s">
        <v>1581</v>
      </c>
      <c r="N79" t="s">
        <v>1581</v>
      </c>
      <c r="O79" t="s">
        <v>1581</v>
      </c>
      <c r="P79" t="s">
        <v>1581</v>
      </c>
      <c r="Q79" t="s">
        <v>1581</v>
      </c>
      <c r="R79" t="s">
        <v>1581</v>
      </c>
      <c r="S79" t="s">
        <v>1581</v>
      </c>
      <c r="T79" t="s">
        <v>1581</v>
      </c>
      <c r="U79" t="s">
        <v>1581</v>
      </c>
      <c r="V79" t="str" cm="1">
        <f t="array" aca="1" ref="V79" ca="1">IFERROR(_xlfn.IFS(A77="  ..............",OFFSET(A77,2,0),A76=" X-------------X",OFFSET(A76,3,0),MATCH("  ..............",A79:A88,0)&gt;2,V78),"-")</f>
        <v>-</v>
      </c>
      <c r="W79" t="str">
        <f t="shared" ca="1" si="3"/>
        <v>-</v>
      </c>
      <c r="X79" t="str">
        <f t="shared" ca="1" si="4"/>
        <v xml:space="preserve">              </v>
      </c>
      <c r="Y79" s="1">
        <f t="shared" ca="1" si="5"/>
        <v>0</v>
      </c>
    </row>
    <row r="80" spans="1:25" x14ac:dyDescent="0.25">
      <c r="A80" t="s">
        <v>1657</v>
      </c>
      <c r="B80">
        <v>-53.2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1584</v>
      </c>
      <c r="J80" t="s">
        <v>1585</v>
      </c>
      <c r="K80" t="s">
        <v>1586</v>
      </c>
      <c r="L80" t="s">
        <v>1587</v>
      </c>
      <c r="M80" t="s">
        <v>1587</v>
      </c>
      <c r="N80" t="s">
        <v>1586</v>
      </c>
      <c r="O80" t="s">
        <v>1581</v>
      </c>
      <c r="P80" t="s">
        <v>1581</v>
      </c>
      <c r="Q80" t="s">
        <v>1581</v>
      </c>
      <c r="R80" t="s">
        <v>1581</v>
      </c>
      <c r="S80" t="s">
        <v>1581</v>
      </c>
      <c r="T80" t="s">
        <v>1581</v>
      </c>
      <c r="U80" t="s">
        <v>1581</v>
      </c>
      <c r="V80" t="str" cm="1">
        <f t="array" aca="1" ref="V80" ca="1">IFERROR(_xlfn.IFS(A78="  ..............",OFFSET(A78,2,0),A77=" X-------------X",OFFSET(A77,3,0),MATCH("  ..............",A80:A89,0)&gt;2,V79),"-")</f>
        <v xml:space="preserve">  GUAIB2-RS069  </v>
      </c>
      <c r="W80">
        <f t="shared" ca="1" si="3"/>
        <v>1.0169999999999999</v>
      </c>
      <c r="X80" t="str">
        <f t="shared" ca="1" si="4"/>
        <v xml:space="preserve"> STHGUATAP069 </v>
      </c>
      <c r="Y80" s="1">
        <f t="shared" ca="1" si="5"/>
        <v>0.42499999999999999</v>
      </c>
    </row>
    <row r="81" spans="1:25" x14ac:dyDescent="0.25">
      <c r="A81" t="s">
        <v>1588</v>
      </c>
      <c r="B81" t="s">
        <v>1587</v>
      </c>
      <c r="C81">
        <v>48</v>
      </c>
      <c r="D81">
        <v>71</v>
      </c>
      <c r="E81">
        <v>71</v>
      </c>
      <c r="F81" s="1">
        <v>0.42499999999999999</v>
      </c>
      <c r="G81" t="s">
        <v>1587</v>
      </c>
      <c r="H81" t="s">
        <v>1587</v>
      </c>
      <c r="I81">
        <v>9773</v>
      </c>
      <c r="J81" t="s">
        <v>1658</v>
      </c>
      <c r="K81">
        <v>1</v>
      </c>
      <c r="L81">
        <v>19.100000000000001</v>
      </c>
      <c r="M81">
        <v>8.1999999999999993</v>
      </c>
      <c r="N81">
        <v>20.399999999999999</v>
      </c>
      <c r="O81" t="s">
        <v>1594</v>
      </c>
      <c r="P81" t="s">
        <v>1584</v>
      </c>
      <c r="Q81" t="s">
        <v>1591</v>
      </c>
      <c r="R81">
        <v>7.0000000000000007E-2</v>
      </c>
      <c r="S81">
        <v>0.12</v>
      </c>
      <c r="T81" t="s">
        <v>1584</v>
      </c>
      <c r="U81" t="s">
        <v>1592</v>
      </c>
      <c r="V81" t="str" cm="1">
        <f t="array" aca="1" ref="V81" ca="1">IFERROR(_xlfn.IFS(A79="  ..............",OFFSET(A79,2,0),A78=" X-------------X",OFFSET(A78,3,0),MATCH("  ..............",A81:A90,0)&gt;2,V80),"-")</f>
        <v xml:space="preserve">  GUAIB2-RS069  </v>
      </c>
      <c r="W81">
        <f t="shared" ca="1" si="3"/>
        <v>1.0169999999999999</v>
      </c>
      <c r="X81" t="str">
        <f t="shared" ca="1" si="4"/>
        <v xml:space="preserve"> GUA1-A-RS069 </v>
      </c>
      <c r="Y81" s="1">
        <f t="shared" ca="1" si="5"/>
        <v>0.77400000000000002</v>
      </c>
    </row>
    <row r="82" spans="1:25" x14ac:dyDescent="0.25">
      <c r="A82" t="s">
        <v>1588</v>
      </c>
      <c r="B82" t="s">
        <v>1587</v>
      </c>
      <c r="C82">
        <v>54</v>
      </c>
      <c r="D82">
        <v>79</v>
      </c>
      <c r="E82">
        <v>79</v>
      </c>
      <c r="F82" s="1">
        <v>0.77400000000000002</v>
      </c>
      <c r="G82" t="s">
        <v>1587</v>
      </c>
      <c r="H82" t="s">
        <v>1587</v>
      </c>
      <c r="I82">
        <v>9775</v>
      </c>
      <c r="J82" t="s">
        <v>1659</v>
      </c>
      <c r="K82">
        <v>1</v>
      </c>
      <c r="L82">
        <v>40.1</v>
      </c>
      <c r="M82">
        <v>14</v>
      </c>
      <c r="N82">
        <v>41.8</v>
      </c>
      <c r="O82" t="s">
        <v>1594</v>
      </c>
      <c r="P82" t="s">
        <v>1584</v>
      </c>
      <c r="Q82" t="s">
        <v>1591</v>
      </c>
      <c r="R82">
        <v>0.24</v>
      </c>
      <c r="S82">
        <v>0.74</v>
      </c>
      <c r="T82" t="s">
        <v>1584</v>
      </c>
      <c r="U82" t="s">
        <v>1592</v>
      </c>
      <c r="V82" t="str" cm="1">
        <f t="array" aca="1" ref="V82" ca="1">IFERROR(_xlfn.IFS(A80="  ..............",OFFSET(A80,2,0),A79=" X-------------X",OFFSET(A79,3,0),MATCH("  ..............",A82:A91,0)&gt;2,V81),"-")</f>
        <v xml:space="preserve">  GUAIB2-RS069  </v>
      </c>
      <c r="W82">
        <f t="shared" ca="1" si="3"/>
        <v>1.0169999999999999</v>
      </c>
      <c r="X82" t="str">
        <f t="shared" ca="1" si="4"/>
        <v xml:space="preserve"> CHARQ3-RS069 </v>
      </c>
      <c r="Y82" s="1" t="str">
        <f t="shared" ca="1" si="5"/>
        <v xml:space="preserve">             </v>
      </c>
    </row>
    <row r="83" spans="1:25" x14ac:dyDescent="0.25">
      <c r="A83" t="s">
        <v>1637</v>
      </c>
      <c r="B83" t="s">
        <v>1638</v>
      </c>
      <c r="C83">
        <v>54</v>
      </c>
      <c r="D83">
        <v>79</v>
      </c>
      <c r="E83">
        <v>79</v>
      </c>
      <c r="F83" t="s">
        <v>1639</v>
      </c>
      <c r="G83" t="s">
        <v>1587</v>
      </c>
      <c r="H83" t="s">
        <v>1587</v>
      </c>
      <c r="I83">
        <v>10277</v>
      </c>
      <c r="J83" t="s">
        <v>1660</v>
      </c>
      <c r="K83">
        <v>1</v>
      </c>
      <c r="L83">
        <v>0</v>
      </c>
      <c r="M83">
        <v>0</v>
      </c>
      <c r="N83">
        <v>0</v>
      </c>
      <c r="O83" t="s">
        <v>1594</v>
      </c>
      <c r="P83" t="s">
        <v>1584</v>
      </c>
      <c r="Q83" t="s">
        <v>1591</v>
      </c>
      <c r="R83">
        <v>0</v>
      </c>
      <c r="S83">
        <v>0</v>
      </c>
      <c r="T83" t="s">
        <v>1584</v>
      </c>
      <c r="U83" t="s">
        <v>1592</v>
      </c>
      <c r="V83" t="str" cm="1">
        <f t="array" aca="1" ref="V83" ca="1">IFERROR(_xlfn.IFS(A81="  ..............",OFFSET(A81,2,0),A80=" X-------------X",OFFSET(A80,3,0),MATCH("  ..............",A83:A92,0)&gt;2,V82),"-")</f>
        <v xml:space="preserve">  GUAIB2-RS069  </v>
      </c>
      <c r="W83">
        <f t="shared" ca="1" si="3"/>
        <v>1.0169999999999999</v>
      </c>
      <c r="X83" t="str">
        <f t="shared" ca="1" si="4"/>
        <v xml:space="preserve"> GUA2-1-RS000 </v>
      </c>
      <c r="Y83" s="1">
        <f t="shared" ca="1" si="5"/>
        <v>0.41399999999999998</v>
      </c>
    </row>
    <row r="84" spans="1:25" x14ac:dyDescent="0.25">
      <c r="A84" t="s">
        <v>1588</v>
      </c>
      <c r="B84" t="s">
        <v>1587</v>
      </c>
      <c r="C84">
        <v>50</v>
      </c>
      <c r="D84">
        <v>75</v>
      </c>
      <c r="E84">
        <v>75</v>
      </c>
      <c r="F84" s="1">
        <v>0.41399999999999998</v>
      </c>
      <c r="G84" t="s">
        <v>1587</v>
      </c>
      <c r="H84" t="s">
        <v>1587</v>
      </c>
      <c r="I84">
        <v>41277</v>
      </c>
      <c r="J84" t="s">
        <v>1661</v>
      </c>
      <c r="K84">
        <v>1</v>
      </c>
      <c r="L84">
        <v>-19.7</v>
      </c>
      <c r="M84">
        <v>-7.4</v>
      </c>
      <c r="N84">
        <v>20.7</v>
      </c>
      <c r="O84" t="s">
        <v>1608</v>
      </c>
      <c r="P84" t="s">
        <v>1584</v>
      </c>
      <c r="Q84">
        <v>2</v>
      </c>
      <c r="R84">
        <v>0.01</v>
      </c>
      <c r="S84">
        <v>-0.1</v>
      </c>
      <c r="T84" t="s">
        <v>1584</v>
      </c>
      <c r="U84" t="s">
        <v>1592</v>
      </c>
      <c r="V84" t="str" cm="1">
        <f t="array" aca="1" ref="V84" ca="1">IFERROR(_xlfn.IFS(A82="  ..............",OFFSET(A82,2,0),A81=" X-------------X",OFFSET(A81,3,0),MATCH("  ..............",A84:A93,0)&gt;2,V83),"-")</f>
        <v xml:space="preserve">  GUAIB2-RS069  </v>
      </c>
      <c r="W84">
        <f t="shared" ca="1" si="3"/>
        <v>1.0169999999999999</v>
      </c>
      <c r="X84" t="str">
        <f t="shared" ca="1" si="4"/>
        <v xml:space="preserve"> GUA2-2-RS000 </v>
      </c>
      <c r="Y84" s="1">
        <f t="shared" ca="1" si="5"/>
        <v>0.41699999999999998</v>
      </c>
    </row>
    <row r="85" spans="1:25" x14ac:dyDescent="0.25">
      <c r="A85" t="s">
        <v>1588</v>
      </c>
      <c r="B85" t="s">
        <v>1587</v>
      </c>
      <c r="C85">
        <v>50</v>
      </c>
      <c r="D85">
        <v>75</v>
      </c>
      <c r="E85">
        <v>75</v>
      </c>
      <c r="F85" s="1">
        <v>0.41699999999999998</v>
      </c>
      <c r="G85" t="s">
        <v>1587</v>
      </c>
      <c r="H85" t="s">
        <v>1587</v>
      </c>
      <c r="I85">
        <v>41278</v>
      </c>
      <c r="J85" t="s">
        <v>1662</v>
      </c>
      <c r="K85">
        <v>2</v>
      </c>
      <c r="L85">
        <v>-19.899999999999999</v>
      </c>
      <c r="M85">
        <v>-7.4</v>
      </c>
      <c r="N85">
        <v>20.8</v>
      </c>
      <c r="O85" t="s">
        <v>1608</v>
      </c>
      <c r="P85" t="s">
        <v>1584</v>
      </c>
      <c r="Q85">
        <v>2</v>
      </c>
      <c r="R85">
        <v>0.01</v>
      </c>
      <c r="S85">
        <v>-0.02</v>
      </c>
      <c r="T85" t="s">
        <v>1584</v>
      </c>
      <c r="U85" t="s">
        <v>1592</v>
      </c>
      <c r="V85" t="str" cm="1">
        <f t="array" aca="1" ref="V85" ca="1">IFERROR(_xlfn.IFS(A83="  ..............",OFFSET(A83,2,0),A82=" X-------------X",OFFSET(A82,3,0),MATCH("  ..............",A85:A94,0)&gt;2,V84),"-")</f>
        <v xml:space="preserve">  GUAIB2-RS069  </v>
      </c>
      <c r="W85">
        <f t="shared" ca="1" si="3"/>
        <v>1.0169999999999999</v>
      </c>
      <c r="X85" t="str">
        <f t="shared" ca="1" si="4"/>
        <v xml:space="preserve"> GUA2-3-RS000 </v>
      </c>
      <c r="Y85" s="1">
        <f t="shared" ca="1" si="5"/>
        <v>0.41299999999999998</v>
      </c>
    </row>
    <row r="86" spans="1:25" x14ac:dyDescent="0.25">
      <c r="A86" t="s">
        <v>1588</v>
      </c>
      <c r="B86" t="s">
        <v>1587</v>
      </c>
      <c r="C86">
        <v>50</v>
      </c>
      <c r="D86">
        <v>60</v>
      </c>
      <c r="E86">
        <v>60</v>
      </c>
      <c r="F86" s="1">
        <v>0.41299999999999998</v>
      </c>
      <c r="G86" t="s">
        <v>1587</v>
      </c>
      <c r="H86" t="s">
        <v>1587</v>
      </c>
      <c r="I86">
        <v>41279</v>
      </c>
      <c r="J86" t="s">
        <v>1663</v>
      </c>
      <c r="K86">
        <v>3</v>
      </c>
      <c r="L86">
        <v>-19.7</v>
      </c>
      <c r="M86">
        <v>-7.3</v>
      </c>
      <c r="N86">
        <v>20.7</v>
      </c>
      <c r="O86" t="s">
        <v>1608</v>
      </c>
      <c r="P86" t="s">
        <v>1584</v>
      </c>
      <c r="Q86">
        <v>2</v>
      </c>
      <c r="R86">
        <v>0.01</v>
      </c>
      <c r="S86">
        <v>-0.04</v>
      </c>
      <c r="T86" t="s">
        <v>1584</v>
      </c>
      <c r="U86" t="s">
        <v>1592</v>
      </c>
      <c r="V86" t="str" cm="1">
        <f t="array" aca="1" ref="V86" ca="1">IFERROR(_xlfn.IFS(A84="  ..............",OFFSET(A84,2,0),A83=" X-------------X",OFFSET(A83,3,0),MATCH("  ..............",A86:A95,0)&gt;2,V85),"-")</f>
        <v>-</v>
      </c>
      <c r="W86" t="str">
        <f t="shared" ca="1" si="3"/>
        <v>-</v>
      </c>
      <c r="X86" t="str">
        <f t="shared" ca="1" si="4"/>
        <v>-</v>
      </c>
      <c r="Y86" s="1" t="str">
        <f t="shared" ca="1" si="5"/>
        <v>-</v>
      </c>
    </row>
    <row r="87" spans="1:25" x14ac:dyDescent="0.25">
      <c r="A87" t="s">
        <v>1572</v>
      </c>
      <c r="B87" t="s">
        <v>1574</v>
      </c>
      <c r="C87" t="s">
        <v>1574</v>
      </c>
      <c r="D87" t="s">
        <v>1574</v>
      </c>
      <c r="E87" t="s">
        <v>1574</v>
      </c>
      <c r="F87" t="s">
        <v>1575</v>
      </c>
      <c r="G87" t="s">
        <v>1574</v>
      </c>
      <c r="H87" t="s">
        <v>1574</v>
      </c>
      <c r="I87" t="s">
        <v>1576</v>
      </c>
      <c r="J87" t="s">
        <v>1573</v>
      </c>
      <c r="K87" t="s">
        <v>1577</v>
      </c>
      <c r="L87" t="s">
        <v>1574</v>
      </c>
      <c r="M87" t="s">
        <v>1574</v>
      </c>
      <c r="N87" t="s">
        <v>1574</v>
      </c>
      <c r="O87" t="s">
        <v>1578</v>
      </c>
      <c r="P87" t="s">
        <v>1576</v>
      </c>
      <c r="Q87" t="s">
        <v>1579</v>
      </c>
      <c r="R87" t="s">
        <v>1580</v>
      </c>
      <c r="S87" t="s">
        <v>1580</v>
      </c>
      <c r="T87" t="s">
        <v>1576</v>
      </c>
      <c r="U87" t="s">
        <v>1576</v>
      </c>
      <c r="V87" t="str" cm="1">
        <f t="array" aca="1" ref="V87" ca="1">IFERROR(_xlfn.IFS(A85="  ..............",OFFSET(A85,2,0),A84=" X-------------X",OFFSET(A84,3,0),MATCH("  ..............",A87:A96,0)&gt;2,V86),"-")</f>
        <v>-</v>
      </c>
      <c r="W87" t="str">
        <f t="shared" ca="1" si="3"/>
        <v>-</v>
      </c>
      <c r="X87" t="str">
        <f t="shared" ca="1" si="4"/>
        <v/>
      </c>
      <c r="Y87" s="1" t="str">
        <f t="shared" ca="1" si="5"/>
        <v/>
      </c>
    </row>
    <row r="88" spans="1:25" x14ac:dyDescent="0.25">
      <c r="A88" t="s">
        <v>1664</v>
      </c>
      <c r="B88">
        <v>1.0109999999999999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1581</v>
      </c>
      <c r="J88" t="s">
        <v>1581</v>
      </c>
      <c r="K88" t="s">
        <v>1581</v>
      </c>
      <c r="L88" t="s">
        <v>1581</v>
      </c>
      <c r="M88" t="s">
        <v>1581</v>
      </c>
      <c r="N88" t="s">
        <v>1581</v>
      </c>
      <c r="O88" t="s">
        <v>1581</v>
      </c>
      <c r="P88" t="s">
        <v>1581</v>
      </c>
      <c r="Q88" t="s">
        <v>1581</v>
      </c>
      <c r="R88" t="s">
        <v>1581</v>
      </c>
      <c r="S88" t="s">
        <v>1581</v>
      </c>
      <c r="T88" t="s">
        <v>1581</v>
      </c>
      <c r="U88" t="s">
        <v>1581</v>
      </c>
      <c r="V88" t="str" cm="1">
        <f t="array" aca="1" ref="V88" ca="1">IFERROR(_xlfn.IFS(A86="  ..............",OFFSET(A86,2,0),A85=" X-------------X",OFFSET(A85,3,0),MATCH("  ..............",A88:A97,0)&gt;2,V87),"-")</f>
        <v>-</v>
      </c>
      <c r="W88" t="str">
        <f t="shared" ca="1" si="3"/>
        <v>-</v>
      </c>
      <c r="X88" t="str">
        <f t="shared" ca="1" si="4"/>
        <v xml:space="preserve">              </v>
      </c>
      <c r="Y88" s="1">
        <f t="shared" ca="1" si="5"/>
        <v>0</v>
      </c>
    </row>
    <row r="89" spans="1:25" x14ac:dyDescent="0.25">
      <c r="A89" t="s">
        <v>1665</v>
      </c>
      <c r="B89">
        <v>-50.5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 t="s">
        <v>1584</v>
      </c>
      <c r="J89" t="s">
        <v>1585</v>
      </c>
      <c r="K89" t="s">
        <v>1586</v>
      </c>
      <c r="L89" t="s">
        <v>1587</v>
      </c>
      <c r="M89" t="s">
        <v>1587</v>
      </c>
      <c r="N89" t="s">
        <v>1586</v>
      </c>
      <c r="O89" t="s">
        <v>1581</v>
      </c>
      <c r="P89" t="s">
        <v>1581</v>
      </c>
      <c r="Q89" t="s">
        <v>1581</v>
      </c>
      <c r="R89" t="s">
        <v>1581</v>
      </c>
      <c r="S89" t="s">
        <v>1581</v>
      </c>
      <c r="T89" t="s">
        <v>1581</v>
      </c>
      <c r="U89" t="s">
        <v>1581</v>
      </c>
      <c r="V89" t="str" cm="1">
        <f t="array" aca="1" ref="V89" ca="1">IFERROR(_xlfn.IFS(A87="  ..............",OFFSET(A87,2,0),A86=" X-------------X",OFFSET(A86,3,0),MATCH("  ..............",A89:A98,0)&gt;2,V88),"-")</f>
        <v xml:space="preserve">  CAXIA2-RS069  </v>
      </c>
      <c r="W89">
        <f t="shared" ca="1" si="3"/>
        <v>1.0109999999999999</v>
      </c>
      <c r="X89" t="str">
        <f t="shared" ca="1" si="4"/>
        <v xml:space="preserve"> CAXIA5-RS069 </v>
      </c>
      <c r="Y89" s="1" t="str">
        <f t="shared" ca="1" si="5"/>
        <v xml:space="preserve">             </v>
      </c>
    </row>
    <row r="90" spans="1:25" x14ac:dyDescent="0.25">
      <c r="A90" t="s">
        <v>1588</v>
      </c>
      <c r="B90" t="s">
        <v>1587</v>
      </c>
      <c r="C90">
        <v>84</v>
      </c>
      <c r="D90">
        <v>101</v>
      </c>
      <c r="E90">
        <v>101</v>
      </c>
      <c r="F90" s="1">
        <v>2E-3</v>
      </c>
      <c r="G90" t="s">
        <v>1587</v>
      </c>
      <c r="H90" t="s">
        <v>1587</v>
      </c>
      <c r="I90">
        <v>1193</v>
      </c>
      <c r="J90" t="s">
        <v>1640</v>
      </c>
      <c r="K90">
        <v>1</v>
      </c>
      <c r="L90">
        <v>0</v>
      </c>
      <c r="M90">
        <v>-0.2</v>
      </c>
      <c r="N90">
        <v>0.2</v>
      </c>
      <c r="O90" t="s">
        <v>1594</v>
      </c>
      <c r="P90" t="s">
        <v>1584</v>
      </c>
      <c r="Q90" t="s">
        <v>1591</v>
      </c>
      <c r="R90">
        <v>0</v>
      </c>
      <c r="S90">
        <v>-0.08</v>
      </c>
      <c r="T90" t="s">
        <v>1584</v>
      </c>
      <c r="U90" t="s">
        <v>1592</v>
      </c>
      <c r="V90" t="str" cm="1">
        <f t="array" aca="1" ref="V90" ca="1">IFERROR(_xlfn.IFS(A88="  ..............",OFFSET(A88,2,0),A87=" X-------------X",OFFSET(A87,3,0),MATCH("  ..............",A90:A99,0)&gt;2,V89),"-")</f>
        <v xml:space="preserve">  CAXIA2-RS069  </v>
      </c>
      <c r="W90">
        <f t="shared" ca="1" si="3"/>
        <v>1.0109999999999999</v>
      </c>
      <c r="X90" t="str">
        <f t="shared" ca="1" si="4"/>
        <v xml:space="preserve"> CAXIA4-RS069 </v>
      </c>
      <c r="Y90" s="1" t="str">
        <f t="shared" ca="1" si="5"/>
        <v xml:space="preserve">             </v>
      </c>
    </row>
    <row r="91" spans="1:25" x14ac:dyDescent="0.25">
      <c r="A91" t="s">
        <v>1637</v>
      </c>
      <c r="B91" t="s">
        <v>1638</v>
      </c>
      <c r="C91">
        <v>84</v>
      </c>
      <c r="D91">
        <v>101</v>
      </c>
      <c r="E91">
        <v>101</v>
      </c>
      <c r="F91" t="s">
        <v>1639</v>
      </c>
      <c r="G91" t="s">
        <v>1587</v>
      </c>
      <c r="H91" t="s">
        <v>1587</v>
      </c>
      <c r="I91">
        <v>1389</v>
      </c>
      <c r="J91" t="s">
        <v>1666</v>
      </c>
      <c r="K91">
        <v>1</v>
      </c>
      <c r="L91">
        <v>0</v>
      </c>
      <c r="M91">
        <v>0</v>
      </c>
      <c r="N91">
        <v>0</v>
      </c>
      <c r="O91" t="s">
        <v>1594</v>
      </c>
      <c r="P91" t="s">
        <v>1584</v>
      </c>
      <c r="Q91" t="s">
        <v>1591</v>
      </c>
      <c r="R91">
        <v>0</v>
      </c>
      <c r="S91">
        <v>0</v>
      </c>
      <c r="T91" t="s">
        <v>1584</v>
      </c>
      <c r="U91" t="s">
        <v>1592</v>
      </c>
      <c r="V91" t="str" cm="1">
        <f t="array" aca="1" ref="V91" ca="1">IFERROR(_xlfn.IFS(A89="  ..............",OFFSET(A89,2,0),A88=" X-------------X",OFFSET(A88,3,0),MATCH("  ..............",A91:A100,0)&gt;2,V90),"-")</f>
        <v xml:space="preserve">  CAXIA2-RS069  </v>
      </c>
      <c r="W91">
        <f t="shared" ca="1" si="3"/>
        <v>1.0109999999999999</v>
      </c>
      <c r="X91" t="str">
        <f t="shared" ca="1" si="4"/>
        <v xml:space="preserve"> CAXIA2-RS013 </v>
      </c>
      <c r="Y91" s="1">
        <f t="shared" ca="1" si="5"/>
        <v>0.67300000000000004</v>
      </c>
    </row>
    <row r="92" spans="1:25" x14ac:dyDescent="0.25">
      <c r="A92" t="s">
        <v>1588</v>
      </c>
      <c r="B92" t="s">
        <v>1587</v>
      </c>
      <c r="C92">
        <v>42</v>
      </c>
      <c r="D92">
        <v>63</v>
      </c>
      <c r="E92">
        <v>63</v>
      </c>
      <c r="F92" s="1">
        <v>0.67300000000000004</v>
      </c>
      <c r="G92" t="s">
        <v>1587</v>
      </c>
      <c r="H92" t="s">
        <v>1587</v>
      </c>
      <c r="I92">
        <v>9281</v>
      </c>
      <c r="J92" t="s">
        <v>1667</v>
      </c>
      <c r="K92">
        <v>2</v>
      </c>
      <c r="L92">
        <v>28.5</v>
      </c>
      <c r="M92">
        <v>-2.7</v>
      </c>
      <c r="N92">
        <v>28.3</v>
      </c>
      <c r="O92" t="s">
        <v>1668</v>
      </c>
      <c r="P92" t="s">
        <v>1584</v>
      </c>
      <c r="Q92" t="s">
        <v>1591</v>
      </c>
      <c r="R92">
        <v>0.05</v>
      </c>
      <c r="S92">
        <v>1.76</v>
      </c>
      <c r="T92" t="s">
        <v>1584</v>
      </c>
      <c r="U92" t="s">
        <v>1592</v>
      </c>
      <c r="V92" t="str" cm="1">
        <f t="array" aca="1" ref="V92" ca="1">IFERROR(_xlfn.IFS(A90="  ..............",OFFSET(A90,2,0),A89=" X-------------X",OFFSET(A89,3,0),MATCH("  ..............",A92:A101,0)&gt;2,V91),"-")</f>
        <v xml:space="preserve">  CAXIA2-RS069  </v>
      </c>
      <c r="W92">
        <f t="shared" ca="1" si="3"/>
        <v>1.0109999999999999</v>
      </c>
      <c r="X92" t="str">
        <f t="shared" ca="1" si="4"/>
        <v xml:space="preserve"> RANDONTAP069 </v>
      </c>
      <c r="Y92" s="1">
        <f t="shared" ca="1" si="5"/>
        <v>9.7000000000000003E-2</v>
      </c>
    </row>
    <row r="93" spans="1:25" x14ac:dyDescent="0.25">
      <c r="A93" t="s">
        <v>1588</v>
      </c>
      <c r="B93" t="s">
        <v>1587</v>
      </c>
      <c r="C93">
        <v>94</v>
      </c>
      <c r="D93">
        <v>108</v>
      </c>
      <c r="E93">
        <v>108</v>
      </c>
      <c r="F93" s="1">
        <v>9.7000000000000003E-2</v>
      </c>
      <c r="G93" t="s">
        <v>1587</v>
      </c>
      <c r="H93" t="s">
        <v>1587</v>
      </c>
      <c r="I93">
        <v>9297</v>
      </c>
      <c r="J93" t="s">
        <v>1669</v>
      </c>
      <c r="K93">
        <v>1</v>
      </c>
      <c r="L93">
        <v>8.5</v>
      </c>
      <c r="M93">
        <v>3.5</v>
      </c>
      <c r="N93">
        <v>9.1</v>
      </c>
      <c r="O93" t="s">
        <v>1594</v>
      </c>
      <c r="P93" t="s">
        <v>1584</v>
      </c>
      <c r="Q93" t="s">
        <v>1591</v>
      </c>
      <c r="R93">
        <v>0</v>
      </c>
      <c r="S93">
        <v>0</v>
      </c>
      <c r="T93" t="s">
        <v>1584</v>
      </c>
      <c r="U93" t="s">
        <v>1592</v>
      </c>
      <c r="V93" t="str" cm="1">
        <f t="array" aca="1" ref="V93" ca="1">IFERROR(_xlfn.IFS(A91="  ..............",OFFSET(A91,2,0),A90=" X-------------X",OFFSET(A90,3,0),MATCH("  ..............",A93:A102,0)&gt;2,V92),"-")</f>
        <v xml:space="preserve">  CAXIA2-RS069  </v>
      </c>
      <c r="W93">
        <f t="shared" ca="1" si="3"/>
        <v>1.0109999999999999</v>
      </c>
      <c r="X93" t="str">
        <f t="shared" ca="1" si="4"/>
        <v xml:space="preserve"> FCUNHA-RS069 </v>
      </c>
      <c r="Y93" s="1">
        <f t="shared" ca="1" si="5"/>
        <v>0.30199999999999999</v>
      </c>
    </row>
    <row r="94" spans="1:25" x14ac:dyDescent="0.25">
      <c r="A94" t="s">
        <v>1588</v>
      </c>
      <c r="B94" t="s">
        <v>1587</v>
      </c>
      <c r="C94">
        <v>84</v>
      </c>
      <c r="D94">
        <v>101</v>
      </c>
      <c r="E94">
        <v>101</v>
      </c>
      <c r="F94" s="1">
        <v>0.30199999999999999</v>
      </c>
      <c r="G94" t="s">
        <v>1587</v>
      </c>
      <c r="H94" t="s">
        <v>1587</v>
      </c>
      <c r="I94">
        <v>9299</v>
      </c>
      <c r="J94" t="s">
        <v>1670</v>
      </c>
      <c r="K94">
        <v>1</v>
      </c>
      <c r="L94">
        <v>23.5</v>
      </c>
      <c r="M94">
        <v>10.199999999999999</v>
      </c>
      <c r="N94">
        <v>25.4</v>
      </c>
      <c r="O94" t="s">
        <v>1594</v>
      </c>
      <c r="P94" t="s">
        <v>1584</v>
      </c>
      <c r="Q94" t="s">
        <v>1591</v>
      </c>
      <c r="R94">
        <v>0.25</v>
      </c>
      <c r="S94">
        <v>0.7</v>
      </c>
      <c r="T94" t="s">
        <v>1584</v>
      </c>
      <c r="U94" t="s">
        <v>1592</v>
      </c>
      <c r="V94" t="str" cm="1">
        <f t="array" aca="1" ref="V94" ca="1">IFERROR(_xlfn.IFS(A92="  ..............",OFFSET(A92,2,0),A91=" X-------------X",OFFSET(A91,3,0),MATCH("  ..............",A94:A103,0)&gt;2,V93),"-")</f>
        <v xml:space="preserve">  CAXIA2-RS069  </v>
      </c>
      <c r="W94">
        <f t="shared" ca="1" si="3"/>
        <v>1.0109999999999999</v>
      </c>
      <c r="X94" t="str">
        <f t="shared" ca="1" si="4"/>
        <v xml:space="preserve"> CAX2-1-RS000 </v>
      </c>
      <c r="Y94" s="1">
        <f t="shared" ca="1" si="5"/>
        <v>0.184</v>
      </c>
    </row>
    <row r="95" spans="1:25" x14ac:dyDescent="0.25">
      <c r="A95" t="s">
        <v>1588</v>
      </c>
      <c r="B95" t="s">
        <v>1587</v>
      </c>
      <c r="C95">
        <v>165</v>
      </c>
      <c r="D95">
        <v>165</v>
      </c>
      <c r="E95">
        <v>165</v>
      </c>
      <c r="F95" s="1">
        <v>0.184</v>
      </c>
      <c r="G95" t="s">
        <v>1587</v>
      </c>
      <c r="H95" t="s">
        <v>1587</v>
      </c>
      <c r="I95">
        <v>41225</v>
      </c>
      <c r="J95" t="s">
        <v>1671</v>
      </c>
      <c r="K95">
        <v>1</v>
      </c>
      <c r="L95">
        <v>-30.3</v>
      </c>
      <c r="M95">
        <v>-5.4</v>
      </c>
      <c r="N95">
        <v>30.4</v>
      </c>
      <c r="O95" t="s">
        <v>1608</v>
      </c>
      <c r="P95" t="s">
        <v>1584</v>
      </c>
      <c r="Q95">
        <v>2</v>
      </c>
      <c r="R95">
        <v>0</v>
      </c>
      <c r="S95">
        <v>-0.05</v>
      </c>
      <c r="T95" t="s">
        <v>1584</v>
      </c>
      <c r="U95" t="s">
        <v>1592</v>
      </c>
      <c r="V95" t="str" cm="1">
        <f t="array" aca="1" ref="V95" ca="1">IFERROR(_xlfn.IFS(A93="  ..............",OFFSET(A93,2,0),A92=" X-------------X",OFFSET(A92,3,0),MATCH("  ..............",A95:A104,0)&gt;2,V94),"-")</f>
        <v xml:space="preserve">  CAXIA2-RS069  </v>
      </c>
      <c r="W95">
        <f t="shared" ca="1" si="3"/>
        <v>1.0109999999999999</v>
      </c>
      <c r="X95" t="str">
        <f t="shared" ca="1" si="4"/>
        <v xml:space="preserve"> CAX2-2-RS000 </v>
      </c>
      <c r="Y95" s="1">
        <f t="shared" ca="1" si="5"/>
        <v>0.184</v>
      </c>
    </row>
    <row r="96" spans="1:25" x14ac:dyDescent="0.25">
      <c r="A96" t="s">
        <v>1588</v>
      </c>
      <c r="B96" t="s">
        <v>1587</v>
      </c>
      <c r="C96">
        <v>165</v>
      </c>
      <c r="D96">
        <v>198</v>
      </c>
      <c r="E96">
        <v>198</v>
      </c>
      <c r="F96" s="1">
        <v>0.184</v>
      </c>
      <c r="G96" t="s">
        <v>1587</v>
      </c>
      <c r="H96" t="s">
        <v>1587</v>
      </c>
      <c r="I96">
        <v>43463</v>
      </c>
      <c r="J96" t="s">
        <v>1672</v>
      </c>
      <c r="K96">
        <v>2</v>
      </c>
      <c r="L96">
        <v>-30.3</v>
      </c>
      <c r="M96">
        <v>-5.4</v>
      </c>
      <c r="N96">
        <v>30.4</v>
      </c>
      <c r="O96" t="s">
        <v>1608</v>
      </c>
      <c r="P96" t="s">
        <v>1584</v>
      </c>
      <c r="Q96">
        <v>2</v>
      </c>
      <c r="R96">
        <v>0</v>
      </c>
      <c r="S96">
        <v>-0.05</v>
      </c>
      <c r="T96" t="s">
        <v>1584</v>
      </c>
      <c r="U96" t="s">
        <v>1592</v>
      </c>
      <c r="V96" t="str" cm="1">
        <f t="array" aca="1" ref="V96" ca="1">IFERROR(_xlfn.IFS(A94="  ..............",OFFSET(A94,2,0),A93=" X-------------X",OFFSET(A93,3,0),MATCH("  ..............",A96:A105,0)&gt;2,V95),"-")</f>
        <v>-</v>
      </c>
      <c r="W96" t="str">
        <f t="shared" ca="1" si="3"/>
        <v>-</v>
      </c>
      <c r="X96" t="str">
        <f t="shared" ca="1" si="4"/>
        <v>-</v>
      </c>
      <c r="Y96" s="1" t="str">
        <f t="shared" ca="1" si="5"/>
        <v>-</v>
      </c>
    </row>
    <row r="97" spans="1:25" x14ac:dyDescent="0.25">
      <c r="A97" t="s">
        <v>1572</v>
      </c>
      <c r="B97" t="s">
        <v>1574</v>
      </c>
      <c r="C97" t="s">
        <v>1574</v>
      </c>
      <c r="D97" t="s">
        <v>1574</v>
      </c>
      <c r="E97" t="s">
        <v>1574</v>
      </c>
      <c r="F97" t="s">
        <v>1575</v>
      </c>
      <c r="G97" t="s">
        <v>1574</v>
      </c>
      <c r="H97" t="s">
        <v>1574</v>
      </c>
      <c r="I97" t="s">
        <v>1576</v>
      </c>
      <c r="J97" t="s">
        <v>1573</v>
      </c>
      <c r="K97" t="s">
        <v>1577</v>
      </c>
      <c r="L97" t="s">
        <v>1574</v>
      </c>
      <c r="M97" t="s">
        <v>1574</v>
      </c>
      <c r="N97" t="s">
        <v>1574</v>
      </c>
      <c r="O97" t="s">
        <v>1578</v>
      </c>
      <c r="P97" t="s">
        <v>1576</v>
      </c>
      <c r="Q97" t="s">
        <v>1579</v>
      </c>
      <c r="R97" t="s">
        <v>1580</v>
      </c>
      <c r="S97" t="s">
        <v>1580</v>
      </c>
      <c r="T97" t="s">
        <v>1576</v>
      </c>
      <c r="U97" t="s">
        <v>1576</v>
      </c>
      <c r="V97" t="str" cm="1">
        <f t="array" aca="1" ref="V97" ca="1">IFERROR(_xlfn.IFS(A95="  ..............",OFFSET(A95,2,0),A94=" X-------------X",OFFSET(A94,3,0),MATCH("  ..............",A97:A106,0)&gt;2,V96),"-")</f>
        <v>-</v>
      </c>
      <c r="W97" t="str">
        <f t="shared" ca="1" si="3"/>
        <v>-</v>
      </c>
      <c r="X97" t="str">
        <f t="shared" ca="1" si="4"/>
        <v/>
      </c>
      <c r="Y97" s="1" t="str">
        <f t="shared" ca="1" si="5"/>
        <v/>
      </c>
    </row>
    <row r="98" spans="1:25" x14ac:dyDescent="0.25">
      <c r="A98" t="s">
        <v>1673</v>
      </c>
      <c r="B98">
        <v>1.0169999999999999</v>
      </c>
      <c r="C98">
        <v>9.6999999999999993</v>
      </c>
      <c r="D98">
        <v>0</v>
      </c>
      <c r="E98">
        <v>106.4</v>
      </c>
      <c r="F98">
        <v>0</v>
      </c>
      <c r="G98">
        <v>11.2</v>
      </c>
      <c r="H98">
        <v>0</v>
      </c>
      <c r="I98" t="s">
        <v>1581</v>
      </c>
      <c r="J98" t="s">
        <v>1581</v>
      </c>
      <c r="K98" t="s">
        <v>1581</v>
      </c>
      <c r="L98" t="s">
        <v>1581</v>
      </c>
      <c r="M98" t="s">
        <v>1581</v>
      </c>
      <c r="N98" t="s">
        <v>1581</v>
      </c>
      <c r="O98" t="s">
        <v>1581</v>
      </c>
      <c r="P98" t="s">
        <v>1581</v>
      </c>
      <c r="Q98" t="s">
        <v>1581</v>
      </c>
      <c r="R98" t="s">
        <v>1581</v>
      </c>
      <c r="S98" t="s">
        <v>1581</v>
      </c>
      <c r="T98" t="s">
        <v>1581</v>
      </c>
      <c r="U98" t="s">
        <v>1581</v>
      </c>
      <c r="V98" t="str" cm="1">
        <f t="array" aca="1" ref="V98" ca="1">IFERROR(_xlfn.IFS(A96="  ..............",OFFSET(A96,2,0),A95=" X-------------X",OFFSET(A95,3,0),MATCH("  ..............",A98:A107,0)&gt;2,V97),"-")</f>
        <v>-</v>
      </c>
      <c r="W98" t="str">
        <f t="shared" ca="1" si="3"/>
        <v>-</v>
      </c>
      <c r="X98" t="str">
        <f t="shared" ca="1" si="4"/>
        <v xml:space="preserve">              </v>
      </c>
      <c r="Y98" s="1">
        <f t="shared" ca="1" si="5"/>
        <v>0</v>
      </c>
    </row>
    <row r="99" spans="1:25" x14ac:dyDescent="0.25">
      <c r="A99" t="s">
        <v>1674</v>
      </c>
      <c r="B99">
        <v>-51.3</v>
      </c>
      <c r="C99">
        <v>0</v>
      </c>
      <c r="D99">
        <v>0</v>
      </c>
      <c r="E99">
        <v>52.4</v>
      </c>
      <c r="F99">
        <v>0</v>
      </c>
      <c r="G99">
        <v>0</v>
      </c>
      <c r="H99">
        <v>0</v>
      </c>
      <c r="I99" t="s">
        <v>1584</v>
      </c>
      <c r="J99" t="s">
        <v>1585</v>
      </c>
      <c r="K99" t="s">
        <v>1586</v>
      </c>
      <c r="L99" t="s">
        <v>1587</v>
      </c>
      <c r="M99" t="s">
        <v>1587</v>
      </c>
      <c r="N99" t="s">
        <v>1586</v>
      </c>
      <c r="O99" t="s">
        <v>1581</v>
      </c>
      <c r="P99" t="s">
        <v>1581</v>
      </c>
      <c r="Q99" t="s">
        <v>1581</v>
      </c>
      <c r="R99" t="s">
        <v>1581</v>
      </c>
      <c r="S99" t="s">
        <v>1581</v>
      </c>
      <c r="T99" t="s">
        <v>1581</v>
      </c>
      <c r="U99" t="s">
        <v>1581</v>
      </c>
      <c r="V99" t="str" cm="1">
        <f t="array" aca="1" ref="V99" ca="1">IFERROR(_xlfn.IFS(A97="  ..............",OFFSET(A97,2,0),A96=" X-------------X",OFFSET(A96,3,0),MATCH("  ..............",A99:A108,0)&gt;2,V98),"-")</f>
        <v xml:space="preserve">  GARIBA-RS069  </v>
      </c>
      <c r="W99">
        <f t="shared" ca="1" si="3"/>
        <v>1.0169999999999999</v>
      </c>
      <c r="X99" t="str">
        <f t="shared" ca="1" si="4"/>
        <v xml:space="preserve"> GAR-1--RS000 </v>
      </c>
      <c r="Y99" s="1">
        <f t="shared" ca="1" si="5"/>
        <v>0.312</v>
      </c>
    </row>
    <row r="100" spans="1:25" x14ac:dyDescent="0.25">
      <c r="A100" t="s">
        <v>1588</v>
      </c>
      <c r="B100" t="s">
        <v>1587</v>
      </c>
      <c r="C100">
        <v>165</v>
      </c>
      <c r="D100">
        <v>198</v>
      </c>
      <c r="E100">
        <v>198</v>
      </c>
      <c r="F100" s="1">
        <v>0.312</v>
      </c>
      <c r="G100" t="s">
        <v>1587</v>
      </c>
      <c r="H100" t="s">
        <v>1587</v>
      </c>
      <c r="I100">
        <v>41265</v>
      </c>
      <c r="J100" t="s">
        <v>1675</v>
      </c>
      <c r="K100">
        <v>1</v>
      </c>
      <c r="L100">
        <v>-48.1</v>
      </c>
      <c r="M100">
        <v>-20.5</v>
      </c>
      <c r="N100">
        <v>51.4</v>
      </c>
      <c r="O100" t="s">
        <v>1608</v>
      </c>
      <c r="P100" t="s">
        <v>1584</v>
      </c>
      <c r="Q100">
        <v>2</v>
      </c>
      <c r="R100">
        <v>0.02</v>
      </c>
      <c r="S100">
        <v>-0.2</v>
      </c>
      <c r="T100" t="s">
        <v>1584</v>
      </c>
      <c r="U100" t="s">
        <v>1592</v>
      </c>
      <c r="V100" t="str" cm="1">
        <f t="array" aca="1" ref="V100" ca="1">IFERROR(_xlfn.IFS(A98="  ..............",OFFSET(A98,2,0),A97=" X-------------X",OFFSET(A97,3,0),MATCH("  ..............",A100:A109,0)&gt;2,V99),"-")</f>
        <v xml:space="preserve">  GARIBA-RS069  </v>
      </c>
      <c r="W100">
        <f t="shared" ca="1" si="3"/>
        <v>1.0169999999999999</v>
      </c>
      <c r="X100" t="str">
        <f t="shared" ca="1" si="4"/>
        <v xml:space="preserve"> GAR-2--RS000 </v>
      </c>
      <c r="Y100" s="1">
        <f t="shared" ca="1" si="5"/>
        <v>0.315</v>
      </c>
    </row>
    <row r="101" spans="1:25" x14ac:dyDescent="0.25">
      <c r="A101" t="s">
        <v>1588</v>
      </c>
      <c r="B101" t="s">
        <v>1587</v>
      </c>
      <c r="C101">
        <v>165</v>
      </c>
      <c r="D101">
        <v>198</v>
      </c>
      <c r="E101">
        <v>198</v>
      </c>
      <c r="F101" s="1">
        <v>0.315</v>
      </c>
      <c r="G101" t="s">
        <v>1587</v>
      </c>
      <c r="H101" t="s">
        <v>1587</v>
      </c>
      <c r="I101">
        <v>41266</v>
      </c>
      <c r="J101" t="s">
        <v>1676</v>
      </c>
      <c r="K101">
        <v>2</v>
      </c>
      <c r="L101">
        <v>-48.6</v>
      </c>
      <c r="M101">
        <v>-20.7</v>
      </c>
      <c r="N101">
        <v>51.9</v>
      </c>
      <c r="O101" t="s">
        <v>1608</v>
      </c>
      <c r="P101" t="s">
        <v>1584</v>
      </c>
      <c r="Q101">
        <v>2</v>
      </c>
      <c r="R101">
        <v>0.02</v>
      </c>
      <c r="S101">
        <v>-0.2</v>
      </c>
      <c r="T101" t="s">
        <v>1584</v>
      </c>
      <c r="U101" t="s">
        <v>1592</v>
      </c>
      <c r="V101" t="str" cm="1">
        <f t="array" aca="1" ref="V101" ca="1">IFERROR(_xlfn.IFS(A99="  ..............",OFFSET(A99,2,0),A98=" X-------------X",OFFSET(A98,3,0),MATCH("  ..............",A101:A110,0)&gt;2,V100),"-")</f>
        <v>-</v>
      </c>
      <c r="W101" t="str">
        <f t="shared" ca="1" si="3"/>
        <v>-</v>
      </c>
      <c r="X101" t="str">
        <f t="shared" ca="1" si="4"/>
        <v>-</v>
      </c>
      <c r="Y101" s="1" t="str">
        <f t="shared" ca="1" si="5"/>
        <v>-</v>
      </c>
    </row>
    <row r="102" spans="1:25" x14ac:dyDescent="0.25">
      <c r="A102" t="s">
        <v>1572</v>
      </c>
      <c r="B102" t="s">
        <v>1574</v>
      </c>
      <c r="C102" t="s">
        <v>1574</v>
      </c>
      <c r="D102" t="s">
        <v>1574</v>
      </c>
      <c r="E102" t="s">
        <v>1574</v>
      </c>
      <c r="F102" t="s">
        <v>1575</v>
      </c>
      <c r="G102" t="s">
        <v>1574</v>
      </c>
      <c r="H102" t="s">
        <v>1574</v>
      </c>
      <c r="I102" t="s">
        <v>1576</v>
      </c>
      <c r="J102" t="s">
        <v>1573</v>
      </c>
      <c r="K102" t="s">
        <v>1577</v>
      </c>
      <c r="L102" t="s">
        <v>1574</v>
      </c>
      <c r="M102" t="s">
        <v>1574</v>
      </c>
      <c r="N102" t="s">
        <v>1574</v>
      </c>
      <c r="O102" t="s">
        <v>1578</v>
      </c>
      <c r="P102" t="s">
        <v>1576</v>
      </c>
      <c r="Q102" t="s">
        <v>1579</v>
      </c>
      <c r="R102" t="s">
        <v>1580</v>
      </c>
      <c r="S102" t="s">
        <v>1580</v>
      </c>
      <c r="T102" t="s">
        <v>1576</v>
      </c>
      <c r="U102" t="s">
        <v>1576</v>
      </c>
      <c r="V102" t="str" cm="1">
        <f t="array" aca="1" ref="V102" ca="1">IFERROR(_xlfn.IFS(A100="  ..............",OFFSET(A100,2,0),A99=" X-------------X",OFFSET(A99,3,0),MATCH("  ..............",A102:A111,0)&gt;2,V101),"-")</f>
        <v>-</v>
      </c>
      <c r="W102" t="str">
        <f t="shared" ca="1" si="3"/>
        <v>-</v>
      </c>
      <c r="X102" t="str">
        <f t="shared" ca="1" si="4"/>
        <v/>
      </c>
      <c r="Y102" s="1" t="str">
        <f t="shared" ca="1" si="5"/>
        <v/>
      </c>
    </row>
    <row r="103" spans="1:25" x14ac:dyDescent="0.25">
      <c r="A103" t="s">
        <v>1677</v>
      </c>
      <c r="B103">
        <v>1.026</v>
      </c>
      <c r="C103">
        <v>10.3</v>
      </c>
      <c r="D103">
        <v>0</v>
      </c>
      <c r="E103">
        <v>71.099999999999994</v>
      </c>
      <c r="F103">
        <v>0</v>
      </c>
      <c r="G103">
        <v>7.6</v>
      </c>
      <c r="H103">
        <v>0</v>
      </c>
      <c r="I103" t="s">
        <v>1581</v>
      </c>
      <c r="J103" t="s">
        <v>1581</v>
      </c>
      <c r="K103" t="s">
        <v>1581</v>
      </c>
      <c r="L103" t="s">
        <v>1581</v>
      </c>
      <c r="M103" t="s">
        <v>1581</v>
      </c>
      <c r="N103" t="s">
        <v>1581</v>
      </c>
      <c r="O103" t="s">
        <v>1581</v>
      </c>
      <c r="P103" t="s">
        <v>1581</v>
      </c>
      <c r="Q103" t="s">
        <v>1581</v>
      </c>
      <c r="R103" t="s">
        <v>1581</v>
      </c>
      <c r="S103" t="s">
        <v>1581</v>
      </c>
      <c r="T103" t="s">
        <v>1581</v>
      </c>
      <c r="U103" t="s">
        <v>1581</v>
      </c>
      <c r="V103" t="str" cm="1">
        <f t="array" aca="1" ref="V103" ca="1">IFERROR(_xlfn.IFS(A101="  ..............",OFFSET(A101,2,0),A100=" X-------------X",OFFSET(A100,3,0),MATCH("  ..............",A103:A112,0)&gt;2,V102),"-")</f>
        <v>-</v>
      </c>
      <c r="W103" t="str">
        <f t="shared" ca="1" si="3"/>
        <v>-</v>
      </c>
      <c r="X103" t="str">
        <f t="shared" ca="1" si="4"/>
        <v xml:space="preserve">              </v>
      </c>
      <c r="Y103" s="1">
        <f t="shared" ca="1" si="5"/>
        <v>0</v>
      </c>
    </row>
    <row r="104" spans="1:25" x14ac:dyDescent="0.25">
      <c r="A104" t="s">
        <v>1678</v>
      </c>
      <c r="B104">
        <v>-50.2</v>
      </c>
      <c r="C104">
        <v>0</v>
      </c>
      <c r="D104">
        <v>0</v>
      </c>
      <c r="E104">
        <v>31.6</v>
      </c>
      <c r="F104">
        <v>0</v>
      </c>
      <c r="G104">
        <v>0</v>
      </c>
      <c r="H104">
        <v>0</v>
      </c>
      <c r="I104" t="s">
        <v>1584</v>
      </c>
      <c r="J104" t="s">
        <v>1585</v>
      </c>
      <c r="K104" t="s">
        <v>1586</v>
      </c>
      <c r="L104" t="s">
        <v>1587</v>
      </c>
      <c r="M104" t="s">
        <v>1587</v>
      </c>
      <c r="N104" t="s">
        <v>1586</v>
      </c>
      <c r="O104" t="s">
        <v>1581</v>
      </c>
      <c r="P104" t="s">
        <v>1581</v>
      </c>
      <c r="Q104" t="s">
        <v>1581</v>
      </c>
      <c r="R104" t="s">
        <v>1581</v>
      </c>
      <c r="S104" t="s">
        <v>1581</v>
      </c>
      <c r="T104" t="s">
        <v>1581</v>
      </c>
      <c r="U104" t="s">
        <v>1581</v>
      </c>
      <c r="V104" t="str" cm="1">
        <f t="array" aca="1" ref="V104" ca="1">IFERROR(_xlfn.IFS(A102="  ..............",OFFSET(A102,2,0),A101=" X-------------X",OFFSET(A101,3,0),MATCH("  ..............",A104:A113,0)&gt;2,V103),"-")</f>
        <v xml:space="preserve">  FARROU-RS069  </v>
      </c>
      <c r="W104">
        <f t="shared" ca="1" si="3"/>
        <v>1.026</v>
      </c>
      <c r="X104" t="str">
        <f t="shared" ca="1" si="4"/>
        <v xml:space="preserve"> FELIZ--RS069 </v>
      </c>
      <c r="Y104" s="1">
        <f t="shared" ca="1" si="5"/>
        <v>0.51600000000000001</v>
      </c>
    </row>
    <row r="105" spans="1:25" x14ac:dyDescent="0.25">
      <c r="A105" t="s">
        <v>1588</v>
      </c>
      <c r="B105" t="s">
        <v>1587</v>
      </c>
      <c r="C105">
        <v>48</v>
      </c>
      <c r="D105">
        <v>71</v>
      </c>
      <c r="E105">
        <v>71</v>
      </c>
      <c r="F105" s="1">
        <v>0.51600000000000001</v>
      </c>
      <c r="G105" t="s">
        <v>1587</v>
      </c>
      <c r="H105" t="s">
        <v>1587</v>
      </c>
      <c r="I105">
        <v>9714</v>
      </c>
      <c r="J105" t="s">
        <v>1679</v>
      </c>
      <c r="K105">
        <v>1</v>
      </c>
      <c r="L105">
        <v>23.5</v>
      </c>
      <c r="M105">
        <v>9.5</v>
      </c>
      <c r="N105">
        <v>24.7</v>
      </c>
      <c r="O105" t="s">
        <v>1594</v>
      </c>
      <c r="P105" t="s">
        <v>1584</v>
      </c>
      <c r="Q105" t="s">
        <v>1591</v>
      </c>
      <c r="R105">
        <v>0.54</v>
      </c>
      <c r="S105">
        <v>1.31</v>
      </c>
      <c r="T105" t="s">
        <v>1584</v>
      </c>
      <c r="U105" t="s">
        <v>1592</v>
      </c>
      <c r="V105" t="str" cm="1">
        <f t="array" aca="1" ref="V105" ca="1">IFERROR(_xlfn.IFS(A103="  ..............",OFFSET(A103,2,0),A102=" X-------------X",OFFSET(A102,3,0),MATCH("  ..............",A105:A114,0)&gt;2,V104),"-")</f>
        <v xml:space="preserve">  FARROU-RS069  </v>
      </c>
      <c r="W105">
        <f t="shared" ca="1" si="3"/>
        <v>1.026</v>
      </c>
      <c r="X105" t="str">
        <f t="shared" ca="1" si="4"/>
        <v xml:space="preserve"> FRASLETAP069 </v>
      </c>
      <c r="Y105" s="1">
        <f t="shared" ca="1" si="5"/>
        <v>0.19700000000000001</v>
      </c>
    </row>
    <row r="106" spans="1:25" x14ac:dyDescent="0.25">
      <c r="A106" t="s">
        <v>1588</v>
      </c>
      <c r="B106" t="s">
        <v>1587</v>
      </c>
      <c r="C106">
        <v>75</v>
      </c>
      <c r="D106">
        <v>90</v>
      </c>
      <c r="E106">
        <v>90</v>
      </c>
      <c r="F106" s="1">
        <v>0.19700000000000001</v>
      </c>
      <c r="G106" t="s">
        <v>1587</v>
      </c>
      <c r="H106" t="s">
        <v>1587</v>
      </c>
      <c r="I106">
        <v>9829</v>
      </c>
      <c r="J106" t="s">
        <v>1680</v>
      </c>
      <c r="K106">
        <v>1</v>
      </c>
      <c r="L106">
        <v>14.4</v>
      </c>
      <c r="M106">
        <v>4.5999999999999996</v>
      </c>
      <c r="N106">
        <v>14.8</v>
      </c>
      <c r="O106" t="s">
        <v>1594</v>
      </c>
      <c r="P106" t="s">
        <v>1584</v>
      </c>
      <c r="Q106" t="s">
        <v>1591</v>
      </c>
      <c r="R106">
        <v>0.03</v>
      </c>
      <c r="S106">
        <v>0.03</v>
      </c>
      <c r="T106" t="s">
        <v>1584</v>
      </c>
      <c r="U106" t="s">
        <v>1592</v>
      </c>
      <c r="V106" t="str" cm="1">
        <f t="array" aca="1" ref="V106" ca="1">IFERROR(_xlfn.IFS(A104="  ..............",OFFSET(A104,2,0),A103=" X-------------X",OFFSET(A103,3,0),MATCH("  ..............",A106:A115,0)&gt;2,V105),"-")</f>
        <v xml:space="preserve">  FARROU-RS069  </v>
      </c>
      <c r="W106">
        <f t="shared" ca="1" si="3"/>
        <v>1.026</v>
      </c>
      <c r="X106" t="str">
        <f t="shared" ca="1" si="4"/>
        <v xml:space="preserve"> FARR-1-RS000 </v>
      </c>
      <c r="Y106" s="1">
        <f t="shared" ca="1" si="5"/>
        <v>0.40300000000000002</v>
      </c>
    </row>
    <row r="107" spans="1:25" x14ac:dyDescent="0.25">
      <c r="A107" t="s">
        <v>1588</v>
      </c>
      <c r="B107" t="s">
        <v>1587</v>
      </c>
      <c r="C107">
        <v>88</v>
      </c>
      <c r="D107">
        <v>95</v>
      </c>
      <c r="E107">
        <v>95</v>
      </c>
      <c r="F107" s="1">
        <v>0.40300000000000002</v>
      </c>
      <c r="G107" t="s">
        <v>1587</v>
      </c>
      <c r="H107" t="s">
        <v>1587</v>
      </c>
      <c r="I107">
        <v>41258</v>
      </c>
      <c r="J107" t="s">
        <v>1681</v>
      </c>
      <c r="K107">
        <v>1</v>
      </c>
      <c r="L107">
        <v>-33.9</v>
      </c>
      <c r="M107">
        <v>-13.1</v>
      </c>
      <c r="N107">
        <v>35.4</v>
      </c>
      <c r="O107" t="s">
        <v>1608</v>
      </c>
      <c r="P107" t="s">
        <v>1584</v>
      </c>
      <c r="Q107">
        <v>2</v>
      </c>
      <c r="R107">
        <v>0.02</v>
      </c>
      <c r="S107">
        <v>-0.04</v>
      </c>
      <c r="T107" t="s">
        <v>1584</v>
      </c>
      <c r="U107" t="s">
        <v>1592</v>
      </c>
      <c r="V107" t="str" cm="1">
        <f t="array" aca="1" ref="V107" ca="1">IFERROR(_xlfn.IFS(A105="  ..............",OFFSET(A105,2,0),A104=" X-------------X",OFFSET(A104,3,0),MATCH("  ..............",A107:A116,0)&gt;2,V106),"-")</f>
        <v xml:space="preserve">  FARROU-RS069  </v>
      </c>
      <c r="W107">
        <f t="shared" ca="1" si="3"/>
        <v>1.026</v>
      </c>
      <c r="X107" t="str">
        <f t="shared" ca="1" si="4"/>
        <v xml:space="preserve"> FARR-2-RS000 </v>
      </c>
      <c r="Y107" s="1">
        <f t="shared" ca="1" si="5"/>
        <v>0.39700000000000002</v>
      </c>
    </row>
    <row r="108" spans="1:25" x14ac:dyDescent="0.25">
      <c r="A108" t="s">
        <v>1588</v>
      </c>
      <c r="B108" t="s">
        <v>1587</v>
      </c>
      <c r="C108">
        <v>88</v>
      </c>
      <c r="D108">
        <v>97</v>
      </c>
      <c r="E108">
        <v>97</v>
      </c>
      <c r="F108" s="1">
        <v>0.39700000000000002</v>
      </c>
      <c r="G108" t="s">
        <v>1587</v>
      </c>
      <c r="H108" t="s">
        <v>1587</v>
      </c>
      <c r="I108">
        <v>41259</v>
      </c>
      <c r="J108" t="s">
        <v>1682</v>
      </c>
      <c r="K108">
        <v>2</v>
      </c>
      <c r="L108">
        <v>-33.4</v>
      </c>
      <c r="M108">
        <v>-13</v>
      </c>
      <c r="N108">
        <v>35</v>
      </c>
      <c r="O108" t="s">
        <v>1608</v>
      </c>
      <c r="P108" t="s">
        <v>1584</v>
      </c>
      <c r="Q108">
        <v>2</v>
      </c>
      <c r="R108">
        <v>0.02</v>
      </c>
      <c r="S108">
        <v>0.05</v>
      </c>
      <c r="T108" t="s">
        <v>1584</v>
      </c>
      <c r="U108" t="s">
        <v>1592</v>
      </c>
      <c r="V108" t="str" cm="1">
        <f t="array" aca="1" ref="V108" ca="1">IFERROR(_xlfn.IFS(A106="  ..............",OFFSET(A106,2,0),A105=" X-------------X",OFFSET(A105,3,0),MATCH("  ..............",A108:A117,0)&gt;2,V107),"-")</f>
        <v xml:space="preserve">  FARROU-RS069  </v>
      </c>
      <c r="W108">
        <f t="shared" ca="1" si="3"/>
        <v>1.026</v>
      </c>
      <c r="X108" t="str">
        <f t="shared" ca="1" si="4"/>
        <v xml:space="preserve"> FARR-3-RS000 </v>
      </c>
      <c r="Y108" s="1">
        <f t="shared" ca="1" si="5"/>
        <v>0.373</v>
      </c>
    </row>
    <row r="109" spans="1:25" x14ac:dyDescent="0.25">
      <c r="A109" t="s">
        <v>1588</v>
      </c>
      <c r="B109" t="s">
        <v>1587</v>
      </c>
      <c r="C109">
        <v>88</v>
      </c>
      <c r="D109">
        <v>106</v>
      </c>
      <c r="E109">
        <v>106</v>
      </c>
      <c r="F109" s="1">
        <v>0.373</v>
      </c>
      <c r="G109" t="s">
        <v>1587</v>
      </c>
      <c r="H109" t="s">
        <v>1587</v>
      </c>
      <c r="I109">
        <v>43804</v>
      </c>
      <c r="J109" t="s">
        <v>1683</v>
      </c>
      <c r="K109">
        <v>3</v>
      </c>
      <c r="L109">
        <v>-31.4</v>
      </c>
      <c r="M109">
        <v>-12.1</v>
      </c>
      <c r="N109">
        <v>32.799999999999997</v>
      </c>
      <c r="O109" t="s">
        <v>1608</v>
      </c>
      <c r="P109" t="s">
        <v>1584</v>
      </c>
      <c r="Q109">
        <v>2</v>
      </c>
      <c r="R109">
        <v>0.02</v>
      </c>
      <c r="S109">
        <v>-0.09</v>
      </c>
      <c r="T109" t="s">
        <v>1584</v>
      </c>
      <c r="U109" t="s">
        <v>1592</v>
      </c>
      <c r="V109" t="str" cm="1">
        <f t="array" aca="1" ref="V109" ca="1">IFERROR(_xlfn.IFS(A107="  ..............",OFFSET(A107,2,0),A106=" X-------------X",OFFSET(A106,3,0),MATCH("  ..............",A109:A118,0)&gt;2,V108),"-")</f>
        <v>-</v>
      </c>
      <c r="W109" t="str">
        <f t="shared" ca="1" si="3"/>
        <v>-</v>
      </c>
      <c r="X109" t="str">
        <f t="shared" ca="1" si="4"/>
        <v>-</v>
      </c>
      <c r="Y109" s="1" t="str">
        <f t="shared" ca="1" si="5"/>
        <v>-</v>
      </c>
    </row>
    <row r="110" spans="1:25" x14ac:dyDescent="0.25">
      <c r="A110" t="s">
        <v>1572</v>
      </c>
      <c r="B110" t="s">
        <v>1574</v>
      </c>
      <c r="C110" t="s">
        <v>1574</v>
      </c>
      <c r="D110" t="s">
        <v>1574</v>
      </c>
      <c r="E110" t="s">
        <v>1574</v>
      </c>
      <c r="F110" t="s">
        <v>1575</v>
      </c>
      <c r="G110" t="s">
        <v>1574</v>
      </c>
      <c r="H110" t="s">
        <v>1574</v>
      </c>
      <c r="I110" t="s">
        <v>1576</v>
      </c>
      <c r="J110" t="s">
        <v>1573</v>
      </c>
      <c r="K110" t="s">
        <v>1577</v>
      </c>
      <c r="L110" t="s">
        <v>1574</v>
      </c>
      <c r="M110" t="s">
        <v>1574</v>
      </c>
      <c r="N110" t="s">
        <v>1574</v>
      </c>
      <c r="O110" t="s">
        <v>1578</v>
      </c>
      <c r="P110" t="s">
        <v>1576</v>
      </c>
      <c r="Q110" t="s">
        <v>1579</v>
      </c>
      <c r="R110" t="s">
        <v>1580</v>
      </c>
      <c r="S110" t="s">
        <v>1580</v>
      </c>
      <c r="T110" t="s">
        <v>1576</v>
      </c>
      <c r="U110" t="s">
        <v>1576</v>
      </c>
      <c r="V110" t="str" cm="1">
        <f t="array" aca="1" ref="V110" ca="1">IFERROR(_xlfn.IFS(A108="  ..............",OFFSET(A108,2,0),A107=" X-------------X",OFFSET(A107,3,0),MATCH("  ..............",A110:A119,0)&gt;2,V109),"-")</f>
        <v>-</v>
      </c>
      <c r="W110" t="str">
        <f t="shared" ca="1" si="3"/>
        <v>-</v>
      </c>
      <c r="X110" t="str">
        <f t="shared" ca="1" si="4"/>
        <v/>
      </c>
      <c r="Y110" s="1" t="str">
        <f t="shared" ca="1" si="5"/>
        <v/>
      </c>
    </row>
    <row r="111" spans="1:25" x14ac:dyDescent="0.25">
      <c r="A111" t="s">
        <v>1684</v>
      </c>
      <c r="B111">
        <v>1.03</v>
      </c>
      <c r="C111">
        <v>1.3</v>
      </c>
      <c r="D111">
        <v>0</v>
      </c>
      <c r="E111">
        <v>7.1</v>
      </c>
      <c r="F111">
        <v>0</v>
      </c>
      <c r="G111">
        <v>0</v>
      </c>
      <c r="H111">
        <v>0</v>
      </c>
      <c r="I111" t="s">
        <v>1581</v>
      </c>
      <c r="J111" t="s">
        <v>1581</v>
      </c>
      <c r="K111" t="s">
        <v>1581</v>
      </c>
      <c r="L111" t="s">
        <v>1581</v>
      </c>
      <c r="M111" t="s">
        <v>1581</v>
      </c>
      <c r="N111" t="s">
        <v>1581</v>
      </c>
      <c r="O111" t="s">
        <v>1581</v>
      </c>
      <c r="P111" t="s">
        <v>1581</v>
      </c>
      <c r="Q111" t="s">
        <v>1581</v>
      </c>
      <c r="R111" t="s">
        <v>1581</v>
      </c>
      <c r="S111" t="s">
        <v>1581</v>
      </c>
      <c r="T111" t="s">
        <v>1581</v>
      </c>
      <c r="U111" t="s">
        <v>1581</v>
      </c>
      <c r="V111" t="str" cm="1">
        <f t="array" aca="1" ref="V111" ca="1">IFERROR(_xlfn.IFS(A109="  ..............",OFFSET(A109,2,0),A108=" X-------------X",OFFSET(A108,3,0),MATCH("  ..............",A111:A120,0)&gt;2,V110),"-")</f>
        <v>-</v>
      </c>
      <c r="W111" t="str">
        <f t="shared" ca="1" si="3"/>
        <v>-</v>
      </c>
      <c r="X111" t="str">
        <f t="shared" ca="1" si="4"/>
        <v xml:space="preserve">              </v>
      </c>
      <c r="Y111" s="1">
        <f t="shared" ca="1" si="5"/>
        <v>0</v>
      </c>
    </row>
    <row r="112" spans="1:25" x14ac:dyDescent="0.25">
      <c r="A112" t="s">
        <v>1685</v>
      </c>
      <c r="B112">
        <v>-53</v>
      </c>
      <c r="C112">
        <v>0</v>
      </c>
      <c r="D112">
        <v>0</v>
      </c>
      <c r="E112">
        <v>2.4</v>
      </c>
      <c r="F112">
        <v>0</v>
      </c>
      <c r="G112">
        <v>0</v>
      </c>
      <c r="H112">
        <v>0</v>
      </c>
      <c r="I112" t="s">
        <v>1584</v>
      </c>
      <c r="J112" t="s">
        <v>1585</v>
      </c>
      <c r="K112" t="s">
        <v>1586</v>
      </c>
      <c r="L112" t="s">
        <v>1587</v>
      </c>
      <c r="M112" t="s">
        <v>1587</v>
      </c>
      <c r="N112" t="s">
        <v>1586</v>
      </c>
      <c r="O112" t="s">
        <v>1581</v>
      </c>
      <c r="P112" t="s">
        <v>1581</v>
      </c>
      <c r="Q112" t="s">
        <v>1581</v>
      </c>
      <c r="R112" t="s">
        <v>1581</v>
      </c>
      <c r="S112" t="s">
        <v>1581</v>
      </c>
      <c r="T112" t="s">
        <v>1581</v>
      </c>
      <c r="U112" t="s">
        <v>1581</v>
      </c>
      <c r="V112" t="str" cm="1">
        <f t="array" aca="1" ref="V112" ca="1">IFERROR(_xlfn.IFS(A110="  ..............",OFFSET(A110,2,0),A109=" X-------------X",OFFSET(A109,3,0),MATCH("  ..............",A112:A121,0)&gt;2,V111),"-")</f>
        <v xml:space="preserve">  TRIUNF-RS069  </v>
      </c>
      <c r="W112">
        <f t="shared" ca="1" si="3"/>
        <v>1.03</v>
      </c>
      <c r="X112" t="str">
        <f t="shared" ca="1" si="4"/>
        <v xml:space="preserve"> SJERO--RS069 </v>
      </c>
      <c r="Y112" s="1">
        <f t="shared" ca="1" si="5"/>
        <v>0.17199999999999999</v>
      </c>
    </row>
    <row r="113" spans="1:25" x14ac:dyDescent="0.25">
      <c r="A113" t="s">
        <v>1588</v>
      </c>
      <c r="B113" t="s">
        <v>1587</v>
      </c>
      <c r="C113">
        <v>48</v>
      </c>
      <c r="D113">
        <v>48</v>
      </c>
      <c r="E113">
        <v>48</v>
      </c>
      <c r="F113" s="1">
        <v>0.17199999999999999</v>
      </c>
      <c r="G113" t="s">
        <v>1587</v>
      </c>
      <c r="H113" t="s">
        <v>1587</v>
      </c>
      <c r="I113">
        <v>2053</v>
      </c>
      <c r="J113" t="s">
        <v>1686</v>
      </c>
      <c r="K113">
        <v>1</v>
      </c>
      <c r="L113">
        <v>7.9</v>
      </c>
      <c r="M113">
        <v>3.1</v>
      </c>
      <c r="N113">
        <v>8.1999999999999993</v>
      </c>
      <c r="O113" t="s">
        <v>1594</v>
      </c>
      <c r="P113" t="s">
        <v>1584</v>
      </c>
      <c r="Q113" t="s">
        <v>1591</v>
      </c>
      <c r="R113">
        <v>0.01</v>
      </c>
      <c r="S113">
        <v>-0.04</v>
      </c>
      <c r="T113" t="s">
        <v>1584</v>
      </c>
      <c r="U113" t="s">
        <v>1592</v>
      </c>
      <c r="V113" t="str" cm="1">
        <f t="array" aca="1" ref="V113" ca="1">IFERROR(_xlfn.IFS(A111="  ..............",OFFSET(A111,2,0),A110=" X-------------X",OFFSET(A110,3,0),MATCH("  ..............",A113:A122,0)&gt;2,V112),"-")</f>
        <v xml:space="preserve">  TRIUNF-RS069  </v>
      </c>
      <c r="W113">
        <f t="shared" ca="1" si="3"/>
        <v>1.03</v>
      </c>
      <c r="X113" t="str">
        <f t="shared" ca="1" si="4"/>
        <v xml:space="preserve"> CHARQ3-RS069 </v>
      </c>
      <c r="Y113" s="1" t="str">
        <f t="shared" ca="1" si="5"/>
        <v xml:space="preserve">             </v>
      </c>
    </row>
    <row r="114" spans="1:25" x14ac:dyDescent="0.25">
      <c r="A114" t="s">
        <v>1588</v>
      </c>
      <c r="B114" t="s">
        <v>1587</v>
      </c>
      <c r="C114">
        <v>48</v>
      </c>
      <c r="D114">
        <v>48</v>
      </c>
      <c r="E114">
        <v>48</v>
      </c>
      <c r="F114" s="1">
        <v>0.29899999999999999</v>
      </c>
      <c r="G114" t="s">
        <v>1587</v>
      </c>
      <c r="H114" t="s">
        <v>1587</v>
      </c>
      <c r="I114">
        <v>10277</v>
      </c>
      <c r="J114" t="s">
        <v>1660</v>
      </c>
      <c r="K114">
        <v>1</v>
      </c>
      <c r="L114">
        <v>-13.7</v>
      </c>
      <c r="M114">
        <v>-5.5</v>
      </c>
      <c r="N114">
        <v>14.3</v>
      </c>
      <c r="O114" t="s">
        <v>1594</v>
      </c>
      <c r="P114" t="s">
        <v>1584</v>
      </c>
      <c r="Q114" t="s">
        <v>1591</v>
      </c>
      <c r="R114">
        <v>0.11</v>
      </c>
      <c r="S114">
        <v>0.06</v>
      </c>
      <c r="T114" t="s">
        <v>1584</v>
      </c>
      <c r="U114" t="s">
        <v>1592</v>
      </c>
      <c r="V114" t="str" cm="1">
        <f t="array" aca="1" ref="V114" ca="1">IFERROR(_xlfn.IFS(A112="  ..............",OFFSET(A112,2,0),A111=" X-------------X",OFFSET(A111,3,0),MATCH("  ..............",A114:A123,0)&gt;2,V113),"-")</f>
        <v>-</v>
      </c>
      <c r="W114" t="str">
        <f t="shared" ca="1" si="3"/>
        <v>-</v>
      </c>
      <c r="X114" t="str">
        <f t="shared" ca="1" si="4"/>
        <v>-</v>
      </c>
      <c r="Y114" s="1" t="str">
        <f t="shared" ca="1" si="5"/>
        <v>-</v>
      </c>
    </row>
    <row r="115" spans="1:25" x14ac:dyDescent="0.25">
      <c r="A115" t="s">
        <v>1572</v>
      </c>
      <c r="B115" t="s">
        <v>1574</v>
      </c>
      <c r="C115" t="s">
        <v>1574</v>
      </c>
      <c r="D115" t="s">
        <v>1574</v>
      </c>
      <c r="E115" t="s">
        <v>1574</v>
      </c>
      <c r="F115" t="s">
        <v>1575</v>
      </c>
      <c r="G115" t="s">
        <v>1574</v>
      </c>
      <c r="H115" t="s">
        <v>1574</v>
      </c>
      <c r="I115" t="s">
        <v>1576</v>
      </c>
      <c r="J115" t="s">
        <v>1573</v>
      </c>
      <c r="K115" t="s">
        <v>1577</v>
      </c>
      <c r="L115" t="s">
        <v>1574</v>
      </c>
      <c r="M115" t="s">
        <v>1574</v>
      </c>
      <c r="N115" t="s">
        <v>1574</v>
      </c>
      <c r="O115" t="s">
        <v>1578</v>
      </c>
      <c r="P115" t="s">
        <v>1576</v>
      </c>
      <c r="Q115" t="s">
        <v>1579</v>
      </c>
      <c r="R115" t="s">
        <v>1580</v>
      </c>
      <c r="S115" t="s">
        <v>1580</v>
      </c>
      <c r="T115" t="s">
        <v>1576</v>
      </c>
      <c r="U115" t="s">
        <v>1576</v>
      </c>
      <c r="V115" t="str" cm="1">
        <f t="array" aca="1" ref="V115" ca="1">IFERROR(_xlfn.IFS(A113="  ..............",OFFSET(A113,2,0),A112=" X-------------X",OFFSET(A112,3,0),MATCH("  ..............",A115:A124,0)&gt;2,V114),"-")</f>
        <v>-</v>
      </c>
      <c r="W115" t="str">
        <f t="shared" ca="1" si="3"/>
        <v>-</v>
      </c>
      <c r="X115" t="str">
        <f t="shared" ca="1" si="4"/>
        <v/>
      </c>
      <c r="Y115" s="1" t="str">
        <f t="shared" ca="1" si="5"/>
        <v/>
      </c>
    </row>
    <row r="116" spans="1:25" x14ac:dyDescent="0.25">
      <c r="A116" t="s">
        <v>1687</v>
      </c>
      <c r="B116">
        <v>1.024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 t="s">
        <v>1581</v>
      </c>
      <c r="J116" t="s">
        <v>1581</v>
      </c>
      <c r="K116" t="s">
        <v>1581</v>
      </c>
      <c r="L116" t="s">
        <v>1581</v>
      </c>
      <c r="M116" t="s">
        <v>1581</v>
      </c>
      <c r="N116" t="s">
        <v>1581</v>
      </c>
      <c r="O116" t="s">
        <v>1581</v>
      </c>
      <c r="P116" t="s">
        <v>1581</v>
      </c>
      <c r="Q116" t="s">
        <v>1581</v>
      </c>
      <c r="R116" t="s">
        <v>1581</v>
      </c>
      <c r="S116" t="s">
        <v>1581</v>
      </c>
      <c r="T116" t="s">
        <v>1581</v>
      </c>
      <c r="U116" t="s">
        <v>1581</v>
      </c>
      <c r="V116" t="str" cm="1">
        <f t="array" aca="1" ref="V116" ca="1">IFERROR(_xlfn.IFS(A114="  ..............",OFFSET(A114,2,0),A113=" X-------------X",OFFSET(A113,3,0),MATCH("  ..............",A116:A125,0)&gt;2,V115),"-")</f>
        <v>-</v>
      </c>
      <c r="W116" t="str">
        <f t="shared" ca="1" si="3"/>
        <v>-</v>
      </c>
      <c r="X116" t="str">
        <f t="shared" ca="1" si="4"/>
        <v xml:space="preserve">              </v>
      </c>
      <c r="Y116" s="1">
        <f t="shared" ca="1" si="5"/>
        <v>0</v>
      </c>
    </row>
    <row r="117" spans="1:25" x14ac:dyDescent="0.25">
      <c r="A117" t="s">
        <v>1688</v>
      </c>
      <c r="B117">
        <v>-54.2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1584</v>
      </c>
      <c r="J117" t="s">
        <v>1585</v>
      </c>
      <c r="K117" t="s">
        <v>1586</v>
      </c>
      <c r="L117" t="s">
        <v>1587</v>
      </c>
      <c r="M117" t="s">
        <v>1587</v>
      </c>
      <c r="N117" t="s">
        <v>1586</v>
      </c>
      <c r="O117" t="s">
        <v>1581</v>
      </c>
      <c r="P117" t="s">
        <v>1581</v>
      </c>
      <c r="Q117" t="s">
        <v>1581</v>
      </c>
      <c r="R117" t="s">
        <v>1581</v>
      </c>
      <c r="S117" t="s">
        <v>1581</v>
      </c>
      <c r="T117" t="s">
        <v>1581</v>
      </c>
      <c r="U117" t="s">
        <v>1581</v>
      </c>
      <c r="V117" t="str" cm="1">
        <f t="array" aca="1" ref="V117" ca="1">IFERROR(_xlfn.IFS(A115="  ..............",OFFSET(A115,2,0),A114=" X-------------X",OFFSET(A114,3,0),MATCH("  ..............",A117:A126,0)&gt;2,V116),"-")</f>
        <v xml:space="preserve">  GRAVA2-RS069  </v>
      </c>
      <c r="W117">
        <f t="shared" ca="1" si="3"/>
        <v>1.024</v>
      </c>
      <c r="X117" t="str">
        <f t="shared" ca="1" si="4"/>
        <v xml:space="preserve"> CACHO2-RS069 </v>
      </c>
      <c r="Y117" s="1">
        <f t="shared" ca="1" si="5"/>
        <v>0.47199999999999998</v>
      </c>
    </row>
    <row r="118" spans="1:25" x14ac:dyDescent="0.25">
      <c r="A118" t="s">
        <v>1588</v>
      </c>
      <c r="B118" t="s">
        <v>1587</v>
      </c>
      <c r="C118">
        <v>84</v>
      </c>
      <c r="D118">
        <v>101</v>
      </c>
      <c r="E118">
        <v>101</v>
      </c>
      <c r="F118" s="1">
        <v>0.47199999999999998</v>
      </c>
      <c r="G118" t="s">
        <v>1587</v>
      </c>
      <c r="H118" t="s">
        <v>1587</v>
      </c>
      <c r="I118">
        <v>1360</v>
      </c>
      <c r="J118" t="s">
        <v>1689</v>
      </c>
      <c r="K118">
        <v>1</v>
      </c>
      <c r="L118">
        <v>37.9</v>
      </c>
      <c r="M118">
        <v>14.6</v>
      </c>
      <c r="N118">
        <v>39.700000000000003</v>
      </c>
      <c r="O118" t="s">
        <v>1594</v>
      </c>
      <c r="P118" t="s">
        <v>1584</v>
      </c>
      <c r="Q118" t="s">
        <v>1591</v>
      </c>
      <c r="R118">
        <v>0.3</v>
      </c>
      <c r="S118">
        <v>0.88</v>
      </c>
      <c r="T118" t="s">
        <v>1584</v>
      </c>
      <c r="U118" t="s">
        <v>1592</v>
      </c>
      <c r="V118" t="str" cm="1">
        <f t="array" aca="1" ref="V118" ca="1">IFERROR(_xlfn.IFS(A116="  ..............",OFFSET(A116,2,0),A115=" X-------------X",OFFSET(A115,3,0),MATCH("  ..............",A118:A127,0)&gt;2,V117),"-")</f>
        <v xml:space="preserve">  GRAVA2-RS069  </v>
      </c>
      <c r="W118">
        <f t="shared" ca="1" si="3"/>
        <v>1.024</v>
      </c>
      <c r="X118" t="str">
        <f t="shared" ca="1" si="4"/>
        <v xml:space="preserve"> CACHO2-RS069 </v>
      </c>
      <c r="Y118" s="1">
        <f t="shared" ca="1" si="5"/>
        <v>0.47199999999999998</v>
      </c>
    </row>
    <row r="119" spans="1:25" x14ac:dyDescent="0.25">
      <c r="A119" t="s">
        <v>1588</v>
      </c>
      <c r="B119" t="s">
        <v>1587</v>
      </c>
      <c r="C119">
        <v>84</v>
      </c>
      <c r="D119">
        <v>101</v>
      </c>
      <c r="E119">
        <v>101</v>
      </c>
      <c r="F119" s="1">
        <v>0.47199999999999998</v>
      </c>
      <c r="G119" t="s">
        <v>1587</v>
      </c>
      <c r="H119" t="s">
        <v>1587</v>
      </c>
      <c r="I119">
        <v>1360</v>
      </c>
      <c r="J119" t="s">
        <v>1689</v>
      </c>
      <c r="K119">
        <v>2</v>
      </c>
      <c r="L119">
        <v>37.9</v>
      </c>
      <c r="M119">
        <v>14.6</v>
      </c>
      <c r="N119">
        <v>39.700000000000003</v>
      </c>
      <c r="O119" t="s">
        <v>1594</v>
      </c>
      <c r="P119" t="s">
        <v>1584</v>
      </c>
      <c r="Q119" t="s">
        <v>1591</v>
      </c>
      <c r="R119">
        <v>0.3</v>
      </c>
      <c r="S119">
        <v>0.88</v>
      </c>
      <c r="T119" t="s">
        <v>1584</v>
      </c>
      <c r="U119" t="s">
        <v>1592</v>
      </c>
      <c r="V119" t="str" cm="1">
        <f t="array" aca="1" ref="V119" ca="1">IFERROR(_xlfn.IFS(A117="  ..............",OFFSET(A117,2,0),A116=" X-------------X",OFFSET(A116,3,0),MATCH("  ..............",A119:A128,0)&gt;2,V118),"-")</f>
        <v xml:space="preserve">  GRAVA2-RS069  </v>
      </c>
      <c r="W119">
        <f t="shared" ca="1" si="3"/>
        <v>1.024</v>
      </c>
      <c r="X119" t="str">
        <f t="shared" ca="1" si="4"/>
        <v xml:space="preserve"> ALVORA-RS069 </v>
      </c>
      <c r="Y119" s="1">
        <f t="shared" ca="1" si="5"/>
        <v>0.40200000000000002</v>
      </c>
    </row>
    <row r="120" spans="1:25" x14ac:dyDescent="0.25">
      <c r="A120" t="s">
        <v>1588</v>
      </c>
      <c r="B120" t="s">
        <v>1587</v>
      </c>
      <c r="C120">
        <v>54</v>
      </c>
      <c r="D120">
        <v>79</v>
      </c>
      <c r="E120">
        <v>79</v>
      </c>
      <c r="F120" s="1">
        <v>0.40200000000000002</v>
      </c>
      <c r="G120" t="s">
        <v>1587</v>
      </c>
      <c r="H120" t="s">
        <v>1587</v>
      </c>
      <c r="I120">
        <v>9232</v>
      </c>
      <c r="J120" t="s">
        <v>1690</v>
      </c>
      <c r="K120">
        <v>1</v>
      </c>
      <c r="L120">
        <v>22.2</v>
      </c>
      <c r="M120">
        <v>0.4</v>
      </c>
      <c r="N120">
        <v>21.7</v>
      </c>
      <c r="O120" t="s">
        <v>1594</v>
      </c>
      <c r="P120" t="s">
        <v>1584</v>
      </c>
      <c r="Q120" t="s">
        <v>1591</v>
      </c>
      <c r="R120">
        <v>0.22</v>
      </c>
      <c r="S120">
        <v>0.63</v>
      </c>
      <c r="T120" t="s">
        <v>1584</v>
      </c>
      <c r="U120" t="s">
        <v>1592</v>
      </c>
      <c r="V120" t="str" cm="1">
        <f t="array" aca="1" ref="V120" ca="1">IFERROR(_xlfn.IFS(A118="  ..............",OFFSET(A118,2,0),A117=" X-------------X",OFFSET(A117,3,0),MATCH("  ..............",A120:A129,0)&gt;2,V119),"-")</f>
        <v xml:space="preserve">  GRAVA2-RS069  </v>
      </c>
      <c r="W120">
        <f t="shared" ca="1" si="3"/>
        <v>1.024</v>
      </c>
      <c r="X120" t="str">
        <f t="shared" ca="1" si="4"/>
        <v xml:space="preserve"> ALVOR2-RS069 </v>
      </c>
      <c r="Y120" s="1">
        <f t="shared" ca="1" si="5"/>
        <v>0.21299999999999999</v>
      </c>
    </row>
    <row r="121" spans="1:25" x14ac:dyDescent="0.25">
      <c r="A121" t="s">
        <v>1588</v>
      </c>
      <c r="B121" t="s">
        <v>1587</v>
      </c>
      <c r="C121">
        <v>54</v>
      </c>
      <c r="D121">
        <v>79</v>
      </c>
      <c r="E121">
        <v>79</v>
      </c>
      <c r="F121" s="1">
        <v>0.21299999999999999</v>
      </c>
      <c r="G121" t="s">
        <v>1587</v>
      </c>
      <c r="H121" t="s">
        <v>1587</v>
      </c>
      <c r="I121">
        <v>9258</v>
      </c>
      <c r="J121" t="s">
        <v>1691</v>
      </c>
      <c r="K121">
        <v>1</v>
      </c>
      <c r="L121">
        <v>11.8</v>
      </c>
      <c r="M121">
        <v>0.4</v>
      </c>
      <c r="N121">
        <v>11.5</v>
      </c>
      <c r="O121" t="s">
        <v>1594</v>
      </c>
      <c r="P121" t="s">
        <v>1584</v>
      </c>
      <c r="Q121" t="s">
        <v>1591</v>
      </c>
      <c r="R121">
        <v>0.06</v>
      </c>
      <c r="S121">
        <v>-0.49</v>
      </c>
      <c r="T121" t="s">
        <v>1584</v>
      </c>
      <c r="U121" t="s">
        <v>1592</v>
      </c>
      <c r="V121" t="str" cm="1">
        <f t="array" aca="1" ref="V121" ca="1">IFERROR(_xlfn.IFS(A119="  ..............",OFFSET(A119,2,0),A118=" X-------------X",OFFSET(A118,3,0),MATCH("  ..............",A121:A130,0)&gt;2,V120),"-")</f>
        <v xml:space="preserve">  GRAVA2-RS069  </v>
      </c>
      <c r="W121">
        <f t="shared" ca="1" si="3"/>
        <v>1.024</v>
      </c>
      <c r="X121" t="str">
        <f t="shared" ca="1" si="4"/>
        <v xml:space="preserve"> VONPA1TAP069 </v>
      </c>
      <c r="Y121" s="1">
        <f t="shared" ca="1" si="5"/>
        <v>0.161</v>
      </c>
    </row>
    <row r="122" spans="1:25" x14ac:dyDescent="0.25">
      <c r="A122" t="s">
        <v>1588</v>
      </c>
      <c r="B122" t="s">
        <v>1587</v>
      </c>
      <c r="C122">
        <v>48</v>
      </c>
      <c r="D122">
        <v>71</v>
      </c>
      <c r="E122">
        <v>71</v>
      </c>
      <c r="F122" s="1">
        <v>0.161</v>
      </c>
      <c r="G122" t="s">
        <v>1587</v>
      </c>
      <c r="H122" t="s">
        <v>1587</v>
      </c>
      <c r="I122">
        <v>9273</v>
      </c>
      <c r="J122" t="s">
        <v>1692</v>
      </c>
      <c r="K122">
        <v>1</v>
      </c>
      <c r="L122">
        <v>6.3</v>
      </c>
      <c r="M122">
        <v>4.7</v>
      </c>
      <c r="N122">
        <v>7.7</v>
      </c>
      <c r="O122" t="s">
        <v>1594</v>
      </c>
      <c r="P122" t="s">
        <v>1584</v>
      </c>
      <c r="Q122" t="s">
        <v>1591</v>
      </c>
      <c r="R122">
        <v>0.02</v>
      </c>
      <c r="S122">
        <v>-0.13</v>
      </c>
      <c r="T122" t="s">
        <v>1584</v>
      </c>
      <c r="U122" t="s">
        <v>1592</v>
      </c>
      <c r="V122" t="str" cm="1">
        <f t="array" aca="1" ref="V122" ca="1">IFERROR(_xlfn.IFS(A120="  ..............",OFFSET(A120,2,0),A119=" X-------------X",OFFSET(A119,3,0),MATCH("  ..............",A122:A131,0)&gt;2,V121),"-")</f>
        <v xml:space="preserve">  GRAVA2-RS069  </v>
      </c>
      <c r="W122">
        <f t="shared" ca="1" si="3"/>
        <v>1.024</v>
      </c>
      <c r="X122" t="str">
        <f t="shared" ca="1" si="4"/>
        <v xml:space="preserve"> GRA2-1-RS000 </v>
      </c>
      <c r="Y122" s="1">
        <f t="shared" ca="1" si="5"/>
        <v>0.35199999999999998</v>
      </c>
    </row>
    <row r="123" spans="1:25" x14ac:dyDescent="0.25">
      <c r="A123" t="s">
        <v>1588</v>
      </c>
      <c r="B123" t="s">
        <v>1587</v>
      </c>
      <c r="C123">
        <v>165</v>
      </c>
      <c r="D123">
        <v>214</v>
      </c>
      <c r="E123">
        <v>214</v>
      </c>
      <c r="F123" s="1">
        <v>0.35199999999999998</v>
      </c>
      <c r="G123" t="s">
        <v>1587</v>
      </c>
      <c r="H123" t="s">
        <v>1587</v>
      </c>
      <c r="I123">
        <v>41267</v>
      </c>
      <c r="J123" t="s">
        <v>1693</v>
      </c>
      <c r="K123">
        <v>1</v>
      </c>
      <c r="L123">
        <v>-56.9</v>
      </c>
      <c r="M123">
        <v>-17</v>
      </c>
      <c r="N123">
        <v>58</v>
      </c>
      <c r="O123" t="s">
        <v>1608</v>
      </c>
      <c r="P123" t="s">
        <v>1584</v>
      </c>
      <c r="Q123">
        <v>2</v>
      </c>
      <c r="R123">
        <v>0.01</v>
      </c>
      <c r="S123">
        <v>-0.2</v>
      </c>
      <c r="T123" t="s">
        <v>1584</v>
      </c>
      <c r="U123" t="s">
        <v>1592</v>
      </c>
      <c r="V123" t="str" cm="1">
        <f t="array" aca="1" ref="V123" ca="1">IFERROR(_xlfn.IFS(A121="  ..............",OFFSET(A121,2,0),A120=" X-------------X",OFFSET(A120,3,0),MATCH("  ..............",A123:A132,0)&gt;2,V122),"-")</f>
        <v xml:space="preserve">  GRAVA2-RS069  </v>
      </c>
      <c r="W123">
        <f t="shared" ca="1" si="3"/>
        <v>1.024</v>
      </c>
      <c r="X123" t="str">
        <f t="shared" ca="1" si="4"/>
        <v xml:space="preserve"> GRA2-2-RS000 </v>
      </c>
      <c r="Y123" s="1">
        <f t="shared" ca="1" si="5"/>
        <v>0.36599999999999999</v>
      </c>
    </row>
    <row r="124" spans="1:25" x14ac:dyDescent="0.25">
      <c r="A124" t="s">
        <v>1588</v>
      </c>
      <c r="B124" t="s">
        <v>1587</v>
      </c>
      <c r="C124">
        <v>165</v>
      </c>
      <c r="D124">
        <v>165</v>
      </c>
      <c r="E124">
        <v>165</v>
      </c>
      <c r="F124" s="1">
        <v>0.36599999999999999</v>
      </c>
      <c r="G124" t="s">
        <v>1587</v>
      </c>
      <c r="H124" t="s">
        <v>1587</v>
      </c>
      <c r="I124">
        <v>41268</v>
      </c>
      <c r="J124" t="s">
        <v>1694</v>
      </c>
      <c r="K124">
        <v>2</v>
      </c>
      <c r="L124">
        <v>-59.2</v>
      </c>
      <c r="M124">
        <v>-17.7</v>
      </c>
      <c r="N124">
        <v>60.3</v>
      </c>
      <c r="O124" t="s">
        <v>1608</v>
      </c>
      <c r="P124" t="s">
        <v>1584</v>
      </c>
      <c r="Q124">
        <v>2</v>
      </c>
      <c r="R124">
        <v>0.01</v>
      </c>
      <c r="S124">
        <v>-0.43</v>
      </c>
      <c r="T124" t="s">
        <v>1584</v>
      </c>
      <c r="U124" t="s">
        <v>1592</v>
      </c>
      <c r="V124" t="str" cm="1">
        <f t="array" aca="1" ref="V124" ca="1">IFERROR(_xlfn.IFS(A122="  ..............",OFFSET(A122,2,0),A121=" X-------------X",OFFSET(A121,3,0),MATCH("  ..............",A124:A133,0)&gt;2,V123),"-")</f>
        <v>-</v>
      </c>
      <c r="W124" t="str">
        <f t="shared" ca="1" si="3"/>
        <v>-</v>
      </c>
      <c r="X124" t="str">
        <f t="shared" ca="1" si="4"/>
        <v>-</v>
      </c>
      <c r="Y124" s="1" t="str">
        <f t="shared" ca="1" si="5"/>
        <v>-</v>
      </c>
    </row>
    <row r="125" spans="1:25" x14ac:dyDescent="0.25">
      <c r="A125" t="s">
        <v>1572</v>
      </c>
      <c r="B125" t="s">
        <v>1574</v>
      </c>
      <c r="C125" t="s">
        <v>1574</v>
      </c>
      <c r="D125" t="s">
        <v>1574</v>
      </c>
      <c r="E125" t="s">
        <v>1574</v>
      </c>
      <c r="F125" t="s">
        <v>1575</v>
      </c>
      <c r="G125" t="s">
        <v>1574</v>
      </c>
      <c r="H125" t="s">
        <v>1574</v>
      </c>
      <c r="I125" t="s">
        <v>1576</v>
      </c>
      <c r="J125" t="s">
        <v>1573</v>
      </c>
      <c r="K125" t="s">
        <v>1577</v>
      </c>
      <c r="L125" t="s">
        <v>1574</v>
      </c>
      <c r="M125" t="s">
        <v>1574</v>
      </c>
      <c r="N125" t="s">
        <v>1574</v>
      </c>
      <c r="O125" t="s">
        <v>1578</v>
      </c>
      <c r="P125" t="s">
        <v>1576</v>
      </c>
      <c r="Q125" t="s">
        <v>1579</v>
      </c>
      <c r="R125" t="s">
        <v>1580</v>
      </c>
      <c r="S125" t="s">
        <v>1580</v>
      </c>
      <c r="T125" t="s">
        <v>1576</v>
      </c>
      <c r="U125" t="s">
        <v>1576</v>
      </c>
      <c r="V125" t="str" cm="1">
        <f t="array" aca="1" ref="V125" ca="1">IFERROR(_xlfn.IFS(A123="  ..............",OFFSET(A123,2,0),A122=" X-------------X",OFFSET(A122,3,0),MATCH("  ..............",A125:A134,0)&gt;2,V124),"-")</f>
        <v>-</v>
      </c>
      <c r="W125" t="str">
        <f t="shared" ca="1" si="3"/>
        <v>-</v>
      </c>
      <c r="X125" t="str">
        <f t="shared" ca="1" si="4"/>
        <v/>
      </c>
      <c r="Y125" s="1" t="str">
        <f t="shared" ca="1" si="5"/>
        <v/>
      </c>
    </row>
    <row r="126" spans="1:25" x14ac:dyDescent="0.25">
      <c r="A126" t="s">
        <v>1695</v>
      </c>
      <c r="B126">
        <v>1.0349999999999999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1581</v>
      </c>
      <c r="J126" t="s">
        <v>1581</v>
      </c>
      <c r="K126" t="s">
        <v>1581</v>
      </c>
      <c r="L126" t="s">
        <v>1581</v>
      </c>
      <c r="M126" t="s">
        <v>1581</v>
      </c>
      <c r="N126" t="s">
        <v>1581</v>
      </c>
      <c r="O126" t="s">
        <v>1581</v>
      </c>
      <c r="P126" t="s">
        <v>1581</v>
      </c>
      <c r="Q126" t="s">
        <v>1581</v>
      </c>
      <c r="R126" t="s">
        <v>1581</v>
      </c>
      <c r="S126" t="s">
        <v>1581</v>
      </c>
      <c r="T126" t="s">
        <v>1581</v>
      </c>
      <c r="U126" t="s">
        <v>1581</v>
      </c>
      <c r="V126" t="str" cm="1">
        <f t="array" aca="1" ref="V126" ca="1">IFERROR(_xlfn.IFS(A124="  ..............",OFFSET(A124,2,0),A123=" X-------------X",OFFSET(A123,3,0),MATCH("  ..............",A126:A135,0)&gt;2,V125),"-")</f>
        <v>-</v>
      </c>
      <c r="W126" t="str">
        <f t="shared" ca="1" si="3"/>
        <v>-</v>
      </c>
      <c r="X126" t="str">
        <f t="shared" ca="1" si="4"/>
        <v xml:space="preserve">              </v>
      </c>
      <c r="Y126" s="1">
        <f t="shared" ca="1" si="5"/>
        <v>0</v>
      </c>
    </row>
    <row r="127" spans="1:25" x14ac:dyDescent="0.25">
      <c r="A127" t="s">
        <v>1696</v>
      </c>
      <c r="B127">
        <v>-48.6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1584</v>
      </c>
      <c r="J127" t="s">
        <v>1585</v>
      </c>
      <c r="K127" t="s">
        <v>1586</v>
      </c>
      <c r="L127" t="s">
        <v>1587</v>
      </c>
      <c r="M127" t="s">
        <v>1587</v>
      </c>
      <c r="N127" t="s">
        <v>1586</v>
      </c>
      <c r="O127" t="s">
        <v>1581</v>
      </c>
      <c r="P127" t="s">
        <v>1581</v>
      </c>
      <c r="Q127" t="s">
        <v>1581</v>
      </c>
      <c r="R127" t="s">
        <v>1581</v>
      </c>
      <c r="S127" t="s">
        <v>1581</v>
      </c>
      <c r="T127" t="s">
        <v>1581</v>
      </c>
      <c r="U127" t="s">
        <v>1581</v>
      </c>
      <c r="V127" t="str" cm="1">
        <f t="array" aca="1" ref="V127" ca="1">IFERROR(_xlfn.IFS(A125="  ..............",OFFSET(A125,2,0),A124=" X-------------X",OFFSET(A124,3,0),MATCH("  ..............",A127:A136,0)&gt;2,V126),"-")</f>
        <v xml:space="preserve">  JACUIA-RS023  </v>
      </c>
      <c r="W127">
        <f t="shared" ca="1" si="3"/>
        <v>1.0349999999999999</v>
      </c>
      <c r="X127" t="str">
        <f t="shared" ca="1" si="4"/>
        <v xml:space="preserve"> JACUIR-RS023 </v>
      </c>
      <c r="Y127" s="1">
        <f t="shared" ca="1" si="5"/>
        <v>0</v>
      </c>
    </row>
    <row r="128" spans="1:25" x14ac:dyDescent="0.25">
      <c r="A128" t="s">
        <v>1588</v>
      </c>
      <c r="B128" t="s">
        <v>1587</v>
      </c>
      <c r="C128">
        <v>9999</v>
      </c>
      <c r="D128">
        <v>9999</v>
      </c>
      <c r="E128">
        <v>9999</v>
      </c>
      <c r="F128" s="1">
        <v>0</v>
      </c>
      <c r="G128" t="s">
        <v>1587</v>
      </c>
      <c r="H128" t="s">
        <v>1587</v>
      </c>
      <c r="I128">
        <v>1220</v>
      </c>
      <c r="J128" t="s">
        <v>1697</v>
      </c>
      <c r="K128">
        <v>1</v>
      </c>
      <c r="L128">
        <v>0</v>
      </c>
      <c r="M128">
        <v>0</v>
      </c>
      <c r="N128">
        <v>0</v>
      </c>
      <c r="O128" t="s">
        <v>1594</v>
      </c>
      <c r="P128" t="s">
        <v>1584</v>
      </c>
      <c r="Q128" t="s">
        <v>1591</v>
      </c>
      <c r="R128">
        <v>0</v>
      </c>
      <c r="S128">
        <v>0</v>
      </c>
      <c r="T128" t="s">
        <v>1584</v>
      </c>
      <c r="U128" t="s">
        <v>1592</v>
      </c>
      <c r="V128" t="str" cm="1">
        <f t="array" aca="1" ref="V128" ca="1">IFERROR(_xlfn.IFS(A126="  ..............",OFFSET(A126,2,0),A125=" X-------------X",OFFSET(A125,3,0),MATCH("  ..............",A128:A137,0)&gt;2,V127),"-")</f>
        <v>-</v>
      </c>
      <c r="W128" t="str">
        <f t="shared" ca="1" si="3"/>
        <v>-</v>
      </c>
      <c r="X128" t="str">
        <f t="shared" ca="1" si="4"/>
        <v>-</v>
      </c>
      <c r="Y128" s="1" t="str">
        <f t="shared" ca="1" si="5"/>
        <v>-</v>
      </c>
    </row>
    <row r="129" spans="1:25" x14ac:dyDescent="0.25">
      <c r="A129" t="s">
        <v>1572</v>
      </c>
      <c r="B129" t="s">
        <v>1574</v>
      </c>
      <c r="C129" t="s">
        <v>1574</v>
      </c>
      <c r="D129" t="s">
        <v>1574</v>
      </c>
      <c r="E129" t="s">
        <v>1574</v>
      </c>
      <c r="F129" t="s">
        <v>1575</v>
      </c>
      <c r="G129" t="s">
        <v>1574</v>
      </c>
      <c r="H129" t="s">
        <v>1574</v>
      </c>
      <c r="I129" t="s">
        <v>1576</v>
      </c>
      <c r="J129" t="s">
        <v>1573</v>
      </c>
      <c r="K129" t="s">
        <v>1577</v>
      </c>
      <c r="L129" t="s">
        <v>1574</v>
      </c>
      <c r="M129" t="s">
        <v>1574</v>
      </c>
      <c r="N129" t="s">
        <v>1574</v>
      </c>
      <c r="O129" t="s">
        <v>1578</v>
      </c>
      <c r="P129" t="s">
        <v>1576</v>
      </c>
      <c r="Q129" t="s">
        <v>1579</v>
      </c>
      <c r="R129" t="s">
        <v>1580</v>
      </c>
      <c r="S129" t="s">
        <v>1580</v>
      </c>
      <c r="T129" t="s">
        <v>1576</v>
      </c>
      <c r="U129" t="s">
        <v>1576</v>
      </c>
      <c r="V129" t="str" cm="1">
        <f t="array" aca="1" ref="V129" ca="1">IFERROR(_xlfn.IFS(A127="  ..............",OFFSET(A127,2,0),A126=" X-------------X",OFFSET(A126,3,0),MATCH("  ..............",A129:A138,0)&gt;2,V128),"-")</f>
        <v>-</v>
      </c>
      <c r="W129" t="str">
        <f t="shared" ca="1" si="3"/>
        <v>-</v>
      </c>
      <c r="X129" t="str">
        <f t="shared" ca="1" si="4"/>
        <v/>
      </c>
      <c r="Y129" s="1" t="str">
        <f t="shared" ca="1" si="5"/>
        <v/>
      </c>
    </row>
    <row r="130" spans="1:25" x14ac:dyDescent="0.25">
      <c r="A130" t="s">
        <v>1698</v>
      </c>
      <c r="B130">
        <v>1.026</v>
      </c>
      <c r="C130">
        <v>60.6</v>
      </c>
      <c r="D130">
        <v>0</v>
      </c>
      <c r="E130">
        <v>197.3</v>
      </c>
      <c r="F130">
        <v>0</v>
      </c>
      <c r="G130">
        <v>7.6</v>
      </c>
      <c r="H130">
        <v>0</v>
      </c>
      <c r="I130" t="s">
        <v>1581</v>
      </c>
      <c r="J130" t="s">
        <v>1581</v>
      </c>
      <c r="K130" t="s">
        <v>1581</v>
      </c>
      <c r="L130" t="s">
        <v>1581</v>
      </c>
      <c r="M130" t="s">
        <v>1581</v>
      </c>
      <c r="N130" t="s">
        <v>1581</v>
      </c>
      <c r="O130" t="s">
        <v>1581</v>
      </c>
      <c r="P130" t="s">
        <v>1581</v>
      </c>
      <c r="Q130" t="s">
        <v>1581</v>
      </c>
      <c r="R130" t="s">
        <v>1581</v>
      </c>
      <c r="S130" t="s">
        <v>1581</v>
      </c>
      <c r="T130" t="s">
        <v>1581</v>
      </c>
      <c r="U130" t="s">
        <v>1581</v>
      </c>
      <c r="V130" t="str" cm="1">
        <f t="array" aca="1" ref="V130" ca="1">IFERROR(_xlfn.IFS(A128="  ..............",OFFSET(A128,2,0),A127=" X-------------X",OFFSET(A127,3,0),MATCH("  ..............",A130:A139,0)&gt;2,V129),"-")</f>
        <v>-</v>
      </c>
      <c r="W130" t="str">
        <f t="shared" ca="1" si="3"/>
        <v>-</v>
      </c>
      <c r="X130" t="str">
        <f t="shared" ca="1" si="4"/>
        <v xml:space="preserve">              </v>
      </c>
      <c r="Y130" s="1">
        <f t="shared" ca="1" si="5"/>
        <v>0</v>
      </c>
    </row>
    <row r="131" spans="1:25" x14ac:dyDescent="0.25">
      <c r="A131" t="s">
        <v>1699</v>
      </c>
      <c r="B131">
        <v>-47.3</v>
      </c>
      <c r="C131">
        <v>0</v>
      </c>
      <c r="D131">
        <v>0</v>
      </c>
      <c r="E131">
        <v>96.8</v>
      </c>
      <c r="F131">
        <v>0</v>
      </c>
      <c r="G131">
        <v>0</v>
      </c>
      <c r="H131">
        <v>0</v>
      </c>
      <c r="I131" t="s">
        <v>1584</v>
      </c>
      <c r="J131" t="s">
        <v>1585</v>
      </c>
      <c r="K131" t="s">
        <v>1586</v>
      </c>
      <c r="L131" t="s">
        <v>1587</v>
      </c>
      <c r="M131" t="s">
        <v>1587</v>
      </c>
      <c r="N131" t="s">
        <v>1586</v>
      </c>
      <c r="O131" t="s">
        <v>1581</v>
      </c>
      <c r="P131" t="s">
        <v>1581</v>
      </c>
      <c r="Q131" t="s">
        <v>1581</v>
      </c>
      <c r="R131" t="s">
        <v>1581</v>
      </c>
      <c r="S131" t="s">
        <v>1581</v>
      </c>
      <c r="T131" t="s">
        <v>1581</v>
      </c>
      <c r="U131" t="s">
        <v>1581</v>
      </c>
      <c r="V131" t="str" cm="1">
        <f t="array" aca="1" ref="V131" ca="1">IFERROR(_xlfn.IFS(A129="  ..............",OFFSET(A129,2,0),A128=" X-------------X",OFFSET(A128,3,0),MATCH("  ..............",A131:A140,0)&gt;2,V130),"-")</f>
        <v xml:space="preserve">  GUARIT-RS069  </v>
      </c>
      <c r="W131">
        <f t="shared" ca="1" si="3"/>
        <v>1.026</v>
      </c>
      <c r="X131" t="str">
        <f t="shared" ca="1" si="4"/>
        <v xml:space="preserve"> CGONZAPCH069 </v>
      </c>
      <c r="Y131" s="1">
        <f t="shared" ca="1" si="5"/>
        <v>0.114</v>
      </c>
    </row>
    <row r="132" spans="1:25" x14ac:dyDescent="0.25">
      <c r="A132" t="s">
        <v>1588</v>
      </c>
      <c r="B132" t="s">
        <v>1587</v>
      </c>
      <c r="C132">
        <v>23</v>
      </c>
      <c r="D132">
        <v>23</v>
      </c>
      <c r="E132">
        <v>23</v>
      </c>
      <c r="F132" s="1">
        <v>0.114</v>
      </c>
      <c r="G132" t="s">
        <v>1587</v>
      </c>
      <c r="H132" t="s">
        <v>1587</v>
      </c>
      <c r="I132">
        <v>1319</v>
      </c>
      <c r="J132" t="s">
        <v>1700</v>
      </c>
      <c r="K132">
        <v>1</v>
      </c>
      <c r="L132">
        <v>-2.7</v>
      </c>
      <c r="M132">
        <v>-0.1</v>
      </c>
      <c r="N132">
        <v>2.6</v>
      </c>
      <c r="O132" t="s">
        <v>1594</v>
      </c>
      <c r="P132" t="s">
        <v>1584</v>
      </c>
      <c r="Q132" t="s">
        <v>1591</v>
      </c>
      <c r="R132">
        <v>0</v>
      </c>
      <c r="S132">
        <v>-0.14000000000000001</v>
      </c>
      <c r="T132" t="s">
        <v>1584</v>
      </c>
      <c r="U132" t="s">
        <v>1592</v>
      </c>
      <c r="V132" t="str" cm="1">
        <f t="array" aca="1" ref="V132" ca="1">IFERROR(_xlfn.IFS(A130="  ..............",OFFSET(A130,2,0),A129=" X-------------X",OFFSET(A129,3,0),MATCH("  ..............",A132:A141,0)&gt;2,V131),"-")</f>
        <v xml:space="preserve">  GUARIT-RS069  </v>
      </c>
      <c r="W132">
        <f t="shared" ref="W132:W195" ca="1" si="6">IFERROR(OFFSET($A$1,MATCH(V132,A:A,0)-2,1),"-")</f>
        <v>1.026</v>
      </c>
      <c r="X132" t="str">
        <f t="shared" ref="X132:X195" ca="1" si="7">IFERROR(IF(V132=V131,OFFSET($J$1,ROW(X132),0),OFFSET($J$1,MATCH(V132,A:A,0),0)),"-")</f>
        <v xml:space="preserve"> GRT--1-RS000 </v>
      </c>
      <c r="Y132" s="1">
        <f t="shared" ref="Y132:Y195" ca="1" si="8">IFERROR(OFFSET($F$1,MATCH(X132,J:J,0)-1,0),"-")</f>
        <v>0.627</v>
      </c>
    </row>
    <row r="133" spans="1:25" x14ac:dyDescent="0.25">
      <c r="A133" t="s">
        <v>1588</v>
      </c>
      <c r="B133" t="s">
        <v>1587</v>
      </c>
      <c r="C133">
        <v>83</v>
      </c>
      <c r="D133">
        <v>83</v>
      </c>
      <c r="E133">
        <v>83</v>
      </c>
      <c r="F133" s="1">
        <v>0.627</v>
      </c>
      <c r="G133" t="s">
        <v>1587</v>
      </c>
      <c r="H133" t="s">
        <v>1587</v>
      </c>
      <c r="I133">
        <v>41274</v>
      </c>
      <c r="J133" t="s">
        <v>1701</v>
      </c>
      <c r="K133">
        <v>1</v>
      </c>
      <c r="L133">
        <v>-44.5</v>
      </c>
      <c r="M133">
        <v>-29.5</v>
      </c>
      <c r="N133">
        <v>52</v>
      </c>
      <c r="O133" t="s">
        <v>1608</v>
      </c>
      <c r="P133" t="s">
        <v>1584</v>
      </c>
      <c r="Q133">
        <v>2</v>
      </c>
      <c r="R133">
        <v>0.04</v>
      </c>
      <c r="S133">
        <v>-0.26</v>
      </c>
      <c r="T133" t="s">
        <v>1584</v>
      </c>
      <c r="U133" t="s">
        <v>1592</v>
      </c>
      <c r="V133" t="str" cm="1">
        <f t="array" aca="1" ref="V133" ca="1">IFERROR(_xlfn.IFS(A131="  ..............",OFFSET(A131,2,0),A130=" X-------------X",OFFSET(A130,3,0),MATCH("  ..............",A133:A142,0)&gt;2,V132),"-")</f>
        <v xml:space="preserve">  GUARIT-RS069  </v>
      </c>
      <c r="W133">
        <f t="shared" ca="1" si="6"/>
        <v>1.026</v>
      </c>
      <c r="X133" t="str">
        <f t="shared" ca="1" si="7"/>
        <v xml:space="preserve"> GRT--2-RS000 </v>
      </c>
      <c r="Y133" s="1">
        <f t="shared" ca="1" si="8"/>
        <v>0.62</v>
      </c>
    </row>
    <row r="134" spans="1:25" x14ac:dyDescent="0.25">
      <c r="A134" t="s">
        <v>1588</v>
      </c>
      <c r="B134" t="s">
        <v>1587</v>
      </c>
      <c r="C134">
        <v>83</v>
      </c>
      <c r="D134">
        <v>83</v>
      </c>
      <c r="E134">
        <v>83</v>
      </c>
      <c r="F134" s="1">
        <v>0.62</v>
      </c>
      <c r="G134" t="s">
        <v>1587</v>
      </c>
      <c r="H134" t="s">
        <v>1587</v>
      </c>
      <c r="I134">
        <v>41275</v>
      </c>
      <c r="J134" t="s">
        <v>1702</v>
      </c>
      <c r="K134">
        <v>2</v>
      </c>
      <c r="L134">
        <v>-44.1</v>
      </c>
      <c r="M134">
        <v>-29.1</v>
      </c>
      <c r="N134">
        <v>51.5</v>
      </c>
      <c r="O134" t="s">
        <v>1608</v>
      </c>
      <c r="P134" t="s">
        <v>1584</v>
      </c>
      <c r="Q134">
        <v>2</v>
      </c>
      <c r="R134">
        <v>0.04</v>
      </c>
      <c r="S134">
        <v>-0.27</v>
      </c>
      <c r="T134" t="s">
        <v>1584</v>
      </c>
      <c r="U134" t="s">
        <v>1592</v>
      </c>
      <c r="V134" t="str" cm="1">
        <f t="array" aca="1" ref="V134" ca="1">IFERROR(_xlfn.IFS(A132="  ..............",OFFSET(A132,2,0),A131=" X-------------X",OFFSET(A131,3,0),MATCH("  ..............",A134:A143,0)&gt;2,V133),"-")</f>
        <v xml:space="preserve">  GUARIT-RS069  </v>
      </c>
      <c r="W134">
        <f t="shared" ca="1" si="6"/>
        <v>1.026</v>
      </c>
      <c r="X134" t="str">
        <f t="shared" ca="1" si="7"/>
        <v xml:space="preserve"> GRT--7-RS000 </v>
      </c>
      <c r="Y134" s="1">
        <f t="shared" ca="1" si="8"/>
        <v>0.64200000000000002</v>
      </c>
    </row>
    <row r="135" spans="1:25" x14ac:dyDescent="0.25">
      <c r="A135" t="s">
        <v>1588</v>
      </c>
      <c r="B135" t="s">
        <v>1587</v>
      </c>
      <c r="C135">
        <v>83</v>
      </c>
      <c r="D135">
        <v>83</v>
      </c>
      <c r="E135">
        <v>83</v>
      </c>
      <c r="F135" s="1">
        <v>0.64200000000000002</v>
      </c>
      <c r="G135" t="s">
        <v>1587</v>
      </c>
      <c r="H135" t="s">
        <v>1587</v>
      </c>
      <c r="I135">
        <v>41276</v>
      </c>
      <c r="J135" t="s">
        <v>1703</v>
      </c>
      <c r="K135">
        <v>7</v>
      </c>
      <c r="L135">
        <v>-45.4</v>
      </c>
      <c r="M135">
        <v>-30.5</v>
      </c>
      <c r="N135">
        <v>53.3</v>
      </c>
      <c r="O135" t="s">
        <v>1608</v>
      </c>
      <c r="P135" t="s">
        <v>1584</v>
      </c>
      <c r="Q135">
        <v>2</v>
      </c>
      <c r="R135">
        <v>0.31</v>
      </c>
      <c r="S135">
        <v>-0.35</v>
      </c>
      <c r="T135" t="s">
        <v>1584</v>
      </c>
      <c r="U135" t="s">
        <v>1592</v>
      </c>
      <c r="V135" t="str" cm="1">
        <f t="array" aca="1" ref="V135" ca="1">IFERROR(_xlfn.IFS(A133="  ..............",OFFSET(A133,2,0),A132=" X-------------X",OFFSET(A132,3,0),MATCH("  ..............",A135:A144,0)&gt;2,V134),"-")</f>
        <v>-</v>
      </c>
      <c r="W135" t="str">
        <f t="shared" ca="1" si="6"/>
        <v>-</v>
      </c>
      <c r="X135" t="str">
        <f t="shared" ca="1" si="7"/>
        <v>-</v>
      </c>
      <c r="Y135" s="1" t="str">
        <f t="shared" ca="1" si="8"/>
        <v>-</v>
      </c>
    </row>
    <row r="136" spans="1:25" x14ac:dyDescent="0.25">
      <c r="A136" t="s">
        <v>1572</v>
      </c>
      <c r="B136" t="s">
        <v>1574</v>
      </c>
      <c r="C136" t="s">
        <v>1574</v>
      </c>
      <c r="D136" t="s">
        <v>1574</v>
      </c>
      <c r="E136" t="s">
        <v>1574</v>
      </c>
      <c r="F136" t="s">
        <v>1575</v>
      </c>
      <c r="G136" t="s">
        <v>1574</v>
      </c>
      <c r="H136" t="s">
        <v>1574</v>
      </c>
      <c r="I136" t="s">
        <v>1576</v>
      </c>
      <c r="J136" t="s">
        <v>1573</v>
      </c>
      <c r="K136" t="s">
        <v>1577</v>
      </c>
      <c r="L136" t="s">
        <v>1574</v>
      </c>
      <c r="M136" t="s">
        <v>1574</v>
      </c>
      <c r="N136" t="s">
        <v>1574</v>
      </c>
      <c r="O136" t="s">
        <v>1578</v>
      </c>
      <c r="P136" t="s">
        <v>1576</v>
      </c>
      <c r="Q136" t="s">
        <v>1579</v>
      </c>
      <c r="R136" t="s">
        <v>1580</v>
      </c>
      <c r="S136" t="s">
        <v>1580</v>
      </c>
      <c r="T136" t="s">
        <v>1576</v>
      </c>
      <c r="U136" t="s">
        <v>1576</v>
      </c>
      <c r="V136" t="str" cm="1">
        <f t="array" aca="1" ref="V136" ca="1">IFERROR(_xlfn.IFS(A134="  ..............",OFFSET(A134,2,0),A133=" X-------------X",OFFSET(A133,3,0),MATCH("  ..............",A136:A145,0)&gt;2,V135),"-")</f>
        <v>-</v>
      </c>
      <c r="W136" t="str">
        <f t="shared" ca="1" si="6"/>
        <v>-</v>
      </c>
      <c r="X136" t="str">
        <f t="shared" ca="1" si="7"/>
        <v/>
      </c>
      <c r="Y136" s="1" t="str">
        <f t="shared" ca="1" si="8"/>
        <v/>
      </c>
    </row>
    <row r="137" spans="1:25" x14ac:dyDescent="0.25">
      <c r="A137" t="s">
        <v>1704</v>
      </c>
      <c r="B137">
        <v>1.0229999999999999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1581</v>
      </c>
      <c r="J137" t="s">
        <v>1581</v>
      </c>
      <c r="K137" t="s">
        <v>1581</v>
      </c>
      <c r="L137" t="s">
        <v>1581</v>
      </c>
      <c r="M137" t="s">
        <v>1581</v>
      </c>
      <c r="N137" t="s">
        <v>1581</v>
      </c>
      <c r="O137" t="s">
        <v>1581</v>
      </c>
      <c r="P137" t="s">
        <v>1581</v>
      </c>
      <c r="Q137" t="s">
        <v>1581</v>
      </c>
      <c r="R137" t="s">
        <v>1581</v>
      </c>
      <c r="S137" t="s">
        <v>1581</v>
      </c>
      <c r="T137" t="s">
        <v>1581</v>
      </c>
      <c r="U137" t="s">
        <v>1581</v>
      </c>
      <c r="V137" t="str" cm="1">
        <f t="array" aca="1" ref="V137" ca="1">IFERROR(_xlfn.IFS(A135="  ..............",OFFSET(A135,2,0),A134=" X-------------X",OFFSET(A134,3,0),MATCH("  ..............",A137:A146,0)&gt;2,V136),"-")</f>
        <v>-</v>
      </c>
      <c r="W137" t="str">
        <f t="shared" ca="1" si="6"/>
        <v>-</v>
      </c>
      <c r="X137" t="str">
        <f t="shared" ca="1" si="7"/>
        <v xml:space="preserve">              </v>
      </c>
      <c r="Y137" s="1">
        <f t="shared" ca="1" si="8"/>
        <v>0</v>
      </c>
    </row>
    <row r="138" spans="1:25" x14ac:dyDescent="0.25">
      <c r="A138" t="s">
        <v>1705</v>
      </c>
      <c r="B138">
        <v>-47.1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1584</v>
      </c>
      <c r="J138" t="s">
        <v>1585</v>
      </c>
      <c r="K138" t="s">
        <v>1586</v>
      </c>
      <c r="L138" t="s">
        <v>1587</v>
      </c>
      <c r="M138" t="s">
        <v>1587</v>
      </c>
      <c r="N138" t="s">
        <v>1586</v>
      </c>
      <c r="O138" t="s">
        <v>1581</v>
      </c>
      <c r="P138" t="s">
        <v>1581</v>
      </c>
      <c r="Q138" t="s">
        <v>1581</v>
      </c>
      <c r="R138" t="s">
        <v>1581</v>
      </c>
      <c r="S138" t="s">
        <v>1581</v>
      </c>
      <c r="T138" t="s">
        <v>1581</v>
      </c>
      <c r="U138" t="s">
        <v>1581</v>
      </c>
      <c r="V138" t="str" cm="1">
        <f t="array" aca="1" ref="V138" ca="1">IFERROR(_xlfn.IFS(A136="  ..............",OFFSET(A136,2,0),A135=" X-------------X",OFFSET(A135,3,0),MATCH("  ..............",A138:A147,0)&gt;2,V137),"-")</f>
        <v xml:space="preserve">  JACUI--RS138  </v>
      </c>
      <c r="W138">
        <f t="shared" ca="1" si="6"/>
        <v>1.0229999999999999</v>
      </c>
      <c r="X138" t="str">
        <f t="shared" ca="1" si="7"/>
        <v xml:space="preserve"> JACUI-UHE003 </v>
      </c>
      <c r="Y138" s="1">
        <f t="shared" ca="1" si="8"/>
        <v>0.4</v>
      </c>
    </row>
    <row r="139" spans="1:25" x14ac:dyDescent="0.25">
      <c r="A139" t="s">
        <v>1588</v>
      </c>
      <c r="B139" t="s">
        <v>1587</v>
      </c>
      <c r="C139">
        <v>198</v>
      </c>
      <c r="D139">
        <v>198</v>
      </c>
      <c r="E139">
        <v>198</v>
      </c>
      <c r="F139" s="1">
        <v>0.4</v>
      </c>
      <c r="G139" t="s">
        <v>1587</v>
      </c>
      <c r="H139" t="s">
        <v>1587</v>
      </c>
      <c r="I139">
        <v>1162</v>
      </c>
      <c r="J139" t="s">
        <v>1706</v>
      </c>
      <c r="K139">
        <v>1</v>
      </c>
      <c r="L139">
        <v>-81</v>
      </c>
      <c r="M139">
        <v>-1.5</v>
      </c>
      <c r="N139">
        <v>79.2</v>
      </c>
      <c r="O139" t="s">
        <v>1707</v>
      </c>
      <c r="P139" t="s">
        <v>1584</v>
      </c>
      <c r="Q139" t="s">
        <v>1591</v>
      </c>
      <c r="R139">
        <v>0</v>
      </c>
      <c r="S139">
        <v>12.2</v>
      </c>
      <c r="T139" t="s">
        <v>1584</v>
      </c>
      <c r="U139" t="s">
        <v>1592</v>
      </c>
      <c r="V139" t="str" cm="1">
        <f t="array" aca="1" ref="V139" ca="1">IFERROR(_xlfn.IFS(A137="  ..............",OFFSET(A137,2,0),A136=" X-------------X",OFFSET(A136,3,0),MATCH("  ..............",A139:A148,0)&gt;2,V138),"-")</f>
        <v xml:space="preserve">  JACUI--RS138  </v>
      </c>
      <c r="W139">
        <f t="shared" ca="1" si="6"/>
        <v>1.0229999999999999</v>
      </c>
      <c r="X139" t="str">
        <f t="shared" ca="1" si="7"/>
        <v xml:space="preserve"> JACUIR-RS023 </v>
      </c>
      <c r="Y139" s="1">
        <f t="shared" ca="1" si="8"/>
        <v>0</v>
      </c>
    </row>
    <row r="140" spans="1:25" x14ac:dyDescent="0.25">
      <c r="A140" t="s">
        <v>1588</v>
      </c>
      <c r="B140" t="s">
        <v>1587</v>
      </c>
      <c r="C140">
        <v>25</v>
      </c>
      <c r="D140">
        <v>37</v>
      </c>
      <c r="E140">
        <v>37</v>
      </c>
      <c r="F140" s="1">
        <v>0.32500000000000001</v>
      </c>
      <c r="G140" t="s">
        <v>1587</v>
      </c>
      <c r="H140" t="s">
        <v>1587</v>
      </c>
      <c r="I140">
        <v>1220</v>
      </c>
      <c r="J140" t="s">
        <v>1697</v>
      </c>
      <c r="K140">
        <v>7</v>
      </c>
      <c r="L140">
        <v>7.3</v>
      </c>
      <c r="M140">
        <v>4</v>
      </c>
      <c r="N140">
        <v>8.1</v>
      </c>
      <c r="O140" t="s">
        <v>1708</v>
      </c>
      <c r="P140" t="s">
        <v>1584</v>
      </c>
      <c r="Q140" t="s">
        <v>1591</v>
      </c>
      <c r="R140">
        <v>0.01</v>
      </c>
      <c r="S140">
        <v>0.26</v>
      </c>
      <c r="T140" t="s">
        <v>1584</v>
      </c>
      <c r="U140" t="s">
        <v>1592</v>
      </c>
      <c r="V140" t="str" cm="1">
        <f t="array" aca="1" ref="V140" ca="1">IFERROR(_xlfn.IFS(A138="  ..............",OFFSET(A138,2,0),A137=" X-------------X",OFFSET(A137,3,0),MATCH("  ..............",A140:A149,0)&gt;2,V139),"-")</f>
        <v xml:space="preserve">  JACUI--RS138  </v>
      </c>
      <c r="W140">
        <f t="shared" ca="1" si="6"/>
        <v>1.0229999999999999</v>
      </c>
      <c r="X140" t="str">
        <f t="shared" ca="1" si="7"/>
        <v xml:space="preserve"> PREAL--RS138 </v>
      </c>
      <c r="Y140" s="1">
        <f t="shared" ca="1" si="8"/>
        <v>0.20200000000000001</v>
      </c>
    </row>
    <row r="141" spans="1:25" x14ac:dyDescent="0.25">
      <c r="A141" t="s">
        <v>1588</v>
      </c>
      <c r="B141" t="s">
        <v>1587</v>
      </c>
      <c r="C141">
        <v>96</v>
      </c>
      <c r="D141">
        <v>96</v>
      </c>
      <c r="E141">
        <v>96</v>
      </c>
      <c r="F141" s="1">
        <v>0.20200000000000001</v>
      </c>
      <c r="G141" t="s">
        <v>1587</v>
      </c>
      <c r="H141" t="s">
        <v>1587</v>
      </c>
      <c r="I141">
        <v>1242</v>
      </c>
      <c r="J141" t="s">
        <v>1709</v>
      </c>
      <c r="K141">
        <v>1</v>
      </c>
      <c r="L141">
        <v>19.8</v>
      </c>
      <c r="M141">
        <v>1.8</v>
      </c>
      <c r="N141">
        <v>19.399999999999999</v>
      </c>
      <c r="O141" t="s">
        <v>1594</v>
      </c>
      <c r="P141" t="s">
        <v>1584</v>
      </c>
      <c r="Q141" t="s">
        <v>1591</v>
      </c>
      <c r="R141">
        <v>0.02</v>
      </c>
      <c r="S141">
        <v>-0.49</v>
      </c>
      <c r="T141" t="s">
        <v>1584</v>
      </c>
      <c r="U141" t="s">
        <v>1592</v>
      </c>
      <c r="V141" t="str" cm="1">
        <f t="array" aca="1" ref="V141" ca="1">IFERROR(_xlfn.IFS(A139="  ..............",OFFSET(A139,2,0),A138=" X-------------X",OFFSET(A138,3,0),MATCH("  ..............",A141:A150,0)&gt;2,V140),"-")</f>
        <v xml:space="preserve">  JACUI--RS138  </v>
      </c>
      <c r="W141">
        <f t="shared" ca="1" si="6"/>
        <v>1.0229999999999999</v>
      </c>
      <c r="X141" t="str">
        <f t="shared" ca="1" si="7"/>
        <v xml:space="preserve"> PREAL--RS138 </v>
      </c>
      <c r="Y141" s="1">
        <f t="shared" ca="1" si="8"/>
        <v>0.20200000000000001</v>
      </c>
    </row>
    <row r="142" spans="1:25" x14ac:dyDescent="0.25">
      <c r="A142" t="s">
        <v>1588</v>
      </c>
      <c r="B142" t="s">
        <v>1587</v>
      </c>
      <c r="C142">
        <v>108</v>
      </c>
      <c r="D142">
        <v>108</v>
      </c>
      <c r="E142">
        <v>108</v>
      </c>
      <c r="F142" s="1">
        <v>0.18</v>
      </c>
      <c r="G142" t="s">
        <v>1587</v>
      </c>
      <c r="H142" t="s">
        <v>1587</v>
      </c>
      <c r="I142">
        <v>1242</v>
      </c>
      <c r="J142" t="s">
        <v>1709</v>
      </c>
      <c r="K142">
        <v>2</v>
      </c>
      <c r="L142">
        <v>19.8</v>
      </c>
      <c r="M142">
        <v>1.8</v>
      </c>
      <c r="N142">
        <v>19.399999999999999</v>
      </c>
      <c r="O142" t="s">
        <v>1594</v>
      </c>
      <c r="P142" t="s">
        <v>1584</v>
      </c>
      <c r="Q142" t="s">
        <v>1591</v>
      </c>
      <c r="R142">
        <v>0.02</v>
      </c>
      <c r="S142">
        <v>-0.49</v>
      </c>
      <c r="T142" t="s">
        <v>1584</v>
      </c>
      <c r="U142" t="s">
        <v>1592</v>
      </c>
      <c r="V142" t="str" cm="1">
        <f t="array" aca="1" ref="V142" ca="1">IFERROR(_xlfn.IFS(A140="  ..............",OFFSET(A140,2,0),A139=" X-------------X",OFFSET(A139,3,0),MATCH("  ..............",A142:A151,0)&gt;2,V141),"-")</f>
        <v xml:space="preserve">  JACUI--RS138  </v>
      </c>
      <c r="W142">
        <f t="shared" ca="1" si="6"/>
        <v>1.0229999999999999</v>
      </c>
      <c r="X142" t="str">
        <f t="shared" ca="1" si="7"/>
        <v xml:space="preserve"> CRUZAL-RS138 </v>
      </c>
      <c r="Y142" s="1">
        <f t="shared" ca="1" si="8"/>
        <v>0.187</v>
      </c>
    </row>
    <row r="143" spans="1:25" x14ac:dyDescent="0.25">
      <c r="A143" t="s">
        <v>1588</v>
      </c>
      <c r="B143" t="s">
        <v>1587</v>
      </c>
      <c r="C143">
        <v>96</v>
      </c>
      <c r="D143">
        <v>96</v>
      </c>
      <c r="E143">
        <v>96</v>
      </c>
      <c r="F143" s="1">
        <v>0.187</v>
      </c>
      <c r="G143" t="s">
        <v>1587</v>
      </c>
      <c r="H143" t="s">
        <v>1587</v>
      </c>
      <c r="I143">
        <v>2061</v>
      </c>
      <c r="J143" t="s">
        <v>1710</v>
      </c>
      <c r="K143">
        <v>1</v>
      </c>
      <c r="L143">
        <v>18.2</v>
      </c>
      <c r="M143">
        <v>-1.5</v>
      </c>
      <c r="N143">
        <v>17.899999999999999</v>
      </c>
      <c r="O143" t="s">
        <v>1594</v>
      </c>
      <c r="P143" t="s">
        <v>1584</v>
      </c>
      <c r="Q143" t="s">
        <v>1591</v>
      </c>
      <c r="R143">
        <v>0.15</v>
      </c>
      <c r="S143">
        <v>-3.66</v>
      </c>
      <c r="T143" t="s">
        <v>1584</v>
      </c>
      <c r="U143" t="s">
        <v>1592</v>
      </c>
      <c r="V143" t="str" cm="1">
        <f t="array" aca="1" ref="V143" ca="1">IFERROR(_xlfn.IFS(A141="  ..............",OFFSET(A141,2,0),A140=" X-------------X",OFFSET(A140,3,0),MATCH("  ..............",A143:A152,0)&gt;2,V142),"-")</f>
        <v xml:space="preserve">  JACUI--RS138  </v>
      </c>
      <c r="W143">
        <f t="shared" ca="1" si="6"/>
        <v>1.0229999999999999</v>
      </c>
      <c r="X143" t="str">
        <f t="shared" ca="1" si="7"/>
        <v xml:space="preserve"> KOTZIA-RS138 </v>
      </c>
      <c r="Y143" s="1">
        <f t="shared" ca="1" si="8"/>
        <v>9.9000000000000005E-2</v>
      </c>
    </row>
    <row r="144" spans="1:25" x14ac:dyDescent="0.25">
      <c r="A144" t="s">
        <v>1588</v>
      </c>
      <c r="B144" t="s">
        <v>1587</v>
      </c>
      <c r="C144">
        <v>91</v>
      </c>
      <c r="D144">
        <v>91</v>
      </c>
      <c r="E144">
        <v>91</v>
      </c>
      <c r="F144" s="1">
        <v>9.9000000000000005E-2</v>
      </c>
      <c r="G144" t="s">
        <v>1587</v>
      </c>
      <c r="H144" t="s">
        <v>1587</v>
      </c>
      <c r="I144">
        <v>9223</v>
      </c>
      <c r="J144" t="s">
        <v>1711</v>
      </c>
      <c r="K144">
        <v>1</v>
      </c>
      <c r="L144">
        <v>-9.1</v>
      </c>
      <c r="M144">
        <v>1.6</v>
      </c>
      <c r="N144">
        <v>9</v>
      </c>
      <c r="O144" t="s">
        <v>1594</v>
      </c>
      <c r="P144" t="s">
        <v>1584</v>
      </c>
      <c r="Q144" t="s">
        <v>1591</v>
      </c>
      <c r="R144">
        <v>0.02</v>
      </c>
      <c r="S144">
        <v>-0.66</v>
      </c>
      <c r="T144" t="s">
        <v>1584</v>
      </c>
      <c r="U144" t="s">
        <v>1592</v>
      </c>
      <c r="V144" t="str" cm="1">
        <f t="array" aca="1" ref="V144" ca="1">IFERROR(_xlfn.IFS(A142="  ..............",OFFSET(A142,2,0),A141=" X-------------X",OFFSET(A141,3,0),MATCH("  ..............",A144:A153,0)&gt;2,V143),"-")</f>
        <v xml:space="preserve">  JACUI--RS138  </v>
      </c>
      <c r="W144">
        <f t="shared" ca="1" si="6"/>
        <v>1.0229999999999999</v>
      </c>
      <c r="X144" t="str">
        <f t="shared" ca="1" si="7"/>
        <v xml:space="preserve"> JCASTI-RS138 </v>
      </c>
      <c r="Y144" s="1">
        <f t="shared" ca="1" si="8"/>
        <v>0.307</v>
      </c>
    </row>
    <row r="145" spans="1:25" x14ac:dyDescent="0.25">
      <c r="A145" t="s">
        <v>1588</v>
      </c>
      <c r="B145" t="s">
        <v>1587</v>
      </c>
      <c r="C145">
        <v>82</v>
      </c>
      <c r="D145">
        <v>82</v>
      </c>
      <c r="E145">
        <v>82</v>
      </c>
      <c r="F145" s="1">
        <v>0.307</v>
      </c>
      <c r="G145" t="s">
        <v>1587</v>
      </c>
      <c r="H145" t="s">
        <v>1587</v>
      </c>
      <c r="I145">
        <v>9918</v>
      </c>
      <c r="J145" t="s">
        <v>1712</v>
      </c>
      <c r="K145">
        <v>1</v>
      </c>
      <c r="L145">
        <v>25</v>
      </c>
      <c r="M145">
        <v>-6.2</v>
      </c>
      <c r="N145">
        <v>25.2</v>
      </c>
      <c r="O145" t="s">
        <v>1594</v>
      </c>
      <c r="P145" t="s">
        <v>1584</v>
      </c>
      <c r="Q145" t="s">
        <v>1591</v>
      </c>
      <c r="R145">
        <v>0.24</v>
      </c>
      <c r="S145">
        <v>-1.58</v>
      </c>
      <c r="T145" t="s">
        <v>1584</v>
      </c>
      <c r="U145" t="s">
        <v>1592</v>
      </c>
      <c r="V145" t="str" cm="1">
        <f t="array" aca="1" ref="V145" ca="1">IFERROR(_xlfn.IFS(A143="  ..............",OFFSET(A143,2,0),A142=" X-------------X",OFFSET(A142,3,0),MATCH("  ..............",A145:A154,0)&gt;2,V144),"-")</f>
        <v>-</v>
      </c>
      <c r="W145" t="str">
        <f t="shared" ca="1" si="6"/>
        <v>-</v>
      </c>
      <c r="X145" t="str">
        <f t="shared" ca="1" si="7"/>
        <v>-</v>
      </c>
      <c r="Y145" s="1" t="str">
        <f t="shared" ca="1" si="8"/>
        <v>-</v>
      </c>
    </row>
    <row r="146" spans="1:25" x14ac:dyDescent="0.25">
      <c r="A146" t="s">
        <v>1572</v>
      </c>
      <c r="B146" t="s">
        <v>1574</v>
      </c>
      <c r="C146" t="s">
        <v>1574</v>
      </c>
      <c r="D146" t="s">
        <v>1574</v>
      </c>
      <c r="E146" t="s">
        <v>1574</v>
      </c>
      <c r="F146" t="s">
        <v>1575</v>
      </c>
      <c r="G146" t="s">
        <v>1574</v>
      </c>
      <c r="H146" t="s">
        <v>1574</v>
      </c>
      <c r="I146" t="s">
        <v>1576</v>
      </c>
      <c r="J146" t="s">
        <v>1573</v>
      </c>
      <c r="K146" t="s">
        <v>1577</v>
      </c>
      <c r="L146" t="s">
        <v>1574</v>
      </c>
      <c r="M146" t="s">
        <v>1574</v>
      </c>
      <c r="N146" t="s">
        <v>1574</v>
      </c>
      <c r="O146" t="s">
        <v>1578</v>
      </c>
      <c r="P146" t="s">
        <v>1576</v>
      </c>
      <c r="Q146" t="s">
        <v>1579</v>
      </c>
      <c r="R146" t="s">
        <v>1580</v>
      </c>
      <c r="S146" t="s">
        <v>1580</v>
      </c>
      <c r="T146" t="s">
        <v>1576</v>
      </c>
      <c r="U146" t="s">
        <v>1576</v>
      </c>
      <c r="V146" t="str" cm="1">
        <f t="array" aca="1" ref="V146" ca="1">IFERROR(_xlfn.IFS(A144="  ..............",OFFSET(A144,2,0),A143=" X-------------X",OFFSET(A143,3,0),MATCH("  ..............",A146:A155,0)&gt;2,V145),"-")</f>
        <v>-</v>
      </c>
      <c r="W146" t="str">
        <f t="shared" ca="1" si="6"/>
        <v>-</v>
      </c>
      <c r="X146" t="str">
        <f t="shared" ca="1" si="7"/>
        <v/>
      </c>
      <c r="Y146" s="1" t="str">
        <f t="shared" ca="1" si="8"/>
        <v/>
      </c>
    </row>
    <row r="147" spans="1:25" x14ac:dyDescent="0.25">
      <c r="A147" t="s">
        <v>1713</v>
      </c>
      <c r="B147">
        <v>1.018</v>
      </c>
      <c r="C147">
        <v>0</v>
      </c>
      <c r="D147">
        <v>0</v>
      </c>
      <c r="E147">
        <v>4.8</v>
      </c>
      <c r="F147">
        <v>0</v>
      </c>
      <c r="G147">
        <v>0</v>
      </c>
      <c r="H147">
        <v>0</v>
      </c>
      <c r="I147" t="s">
        <v>1581</v>
      </c>
      <c r="J147" t="s">
        <v>1581</v>
      </c>
      <c r="K147" t="s">
        <v>1581</v>
      </c>
      <c r="L147" t="s">
        <v>1581</v>
      </c>
      <c r="M147" t="s">
        <v>1581</v>
      </c>
      <c r="N147" t="s">
        <v>1581</v>
      </c>
      <c r="O147" t="s">
        <v>1581</v>
      </c>
      <c r="P147" t="s">
        <v>1581</v>
      </c>
      <c r="Q147" t="s">
        <v>1581</v>
      </c>
      <c r="R147" t="s">
        <v>1581</v>
      </c>
      <c r="S147" t="s">
        <v>1581</v>
      </c>
      <c r="T147" t="s">
        <v>1581</v>
      </c>
      <c r="U147" t="s">
        <v>1581</v>
      </c>
      <c r="V147" t="str" cm="1">
        <f t="array" aca="1" ref="V147" ca="1">IFERROR(_xlfn.IFS(A145="  ..............",OFFSET(A145,2,0),A144=" X-------------X",OFFSET(A144,3,0),MATCH("  ..............",A147:A156,0)&gt;2,V146),"-")</f>
        <v>-</v>
      </c>
      <c r="W147" t="str">
        <f t="shared" ca="1" si="6"/>
        <v>-</v>
      </c>
      <c r="X147" t="str">
        <f t="shared" ca="1" si="7"/>
        <v xml:space="preserve">              </v>
      </c>
      <c r="Y147" s="1">
        <f t="shared" ca="1" si="8"/>
        <v>0</v>
      </c>
    </row>
    <row r="148" spans="1:25" x14ac:dyDescent="0.25">
      <c r="A148" t="s">
        <v>1714</v>
      </c>
      <c r="B148">
        <v>-52.6</v>
      </c>
      <c r="C148">
        <v>0</v>
      </c>
      <c r="D148">
        <v>0</v>
      </c>
      <c r="E148">
        <v>2</v>
      </c>
      <c r="F148">
        <v>0</v>
      </c>
      <c r="G148">
        <v>0</v>
      </c>
      <c r="H148">
        <v>0</v>
      </c>
      <c r="I148" t="s">
        <v>1584</v>
      </c>
      <c r="J148" t="s">
        <v>1585</v>
      </c>
      <c r="K148" t="s">
        <v>1586</v>
      </c>
      <c r="L148" t="s">
        <v>1587</v>
      </c>
      <c r="M148" t="s">
        <v>1587</v>
      </c>
      <c r="N148" t="s">
        <v>1586</v>
      </c>
      <c r="O148" t="s">
        <v>1581</v>
      </c>
      <c r="P148" t="s">
        <v>1581</v>
      </c>
      <c r="Q148" t="s">
        <v>1581</v>
      </c>
      <c r="R148" t="s">
        <v>1581</v>
      </c>
      <c r="S148" t="s">
        <v>1581</v>
      </c>
      <c r="T148" t="s">
        <v>1581</v>
      </c>
      <c r="U148" t="s">
        <v>1581</v>
      </c>
      <c r="V148" t="str" cm="1">
        <f t="array" aca="1" ref="V148" ca="1">IFERROR(_xlfn.IFS(A146="  ..............",OFFSET(A146,2,0),A145=" X-------------X",OFFSET(A145,3,0),MATCH("  ..............",A148:A157,0)&gt;2,V147),"-")</f>
        <v xml:space="preserve">  LANSUL-RS138  </v>
      </c>
      <c r="W148">
        <f t="shared" ca="1" si="6"/>
        <v>1.018</v>
      </c>
      <c r="X148" t="str">
        <f t="shared" ca="1" si="7"/>
        <v xml:space="preserve"> SANREM-RS138 </v>
      </c>
      <c r="Y148" s="1">
        <f t="shared" ca="1" si="8"/>
        <v>0.18099999999999999</v>
      </c>
    </row>
    <row r="149" spans="1:25" x14ac:dyDescent="0.25">
      <c r="A149" t="s">
        <v>1588</v>
      </c>
      <c r="B149" t="s">
        <v>1587</v>
      </c>
      <c r="C149">
        <v>108</v>
      </c>
      <c r="D149">
        <v>108</v>
      </c>
      <c r="E149">
        <v>108</v>
      </c>
      <c r="F149" s="1">
        <v>0.18099999999999999</v>
      </c>
      <c r="G149" t="s">
        <v>1587</v>
      </c>
      <c r="H149" t="s">
        <v>1587</v>
      </c>
      <c r="I149">
        <v>1265</v>
      </c>
      <c r="J149" t="s">
        <v>1715</v>
      </c>
      <c r="K149">
        <v>1</v>
      </c>
      <c r="L149">
        <v>-19.2</v>
      </c>
      <c r="M149">
        <v>5</v>
      </c>
      <c r="N149">
        <v>19.5</v>
      </c>
      <c r="O149" t="s">
        <v>1594</v>
      </c>
      <c r="P149" t="s">
        <v>1584</v>
      </c>
      <c r="Q149" t="s">
        <v>1591</v>
      </c>
      <c r="R149">
        <v>0.01</v>
      </c>
      <c r="S149">
        <v>-0.28000000000000003</v>
      </c>
      <c r="T149" t="s">
        <v>1584</v>
      </c>
      <c r="U149" t="s">
        <v>1592</v>
      </c>
      <c r="V149" t="str" cm="1">
        <f t="array" aca="1" ref="V149" ca="1">IFERROR(_xlfn.IFS(A147="  ..............",OFFSET(A147,2,0),A146=" X-------------X",OFFSET(A146,3,0),MATCH("  ..............",A149:A158,0)&gt;2,V148),"-")</f>
        <v xml:space="preserve">  LANSUL-RS138  </v>
      </c>
      <c r="W149">
        <f t="shared" ca="1" si="6"/>
        <v>1.018</v>
      </c>
      <c r="X149" t="str">
        <f t="shared" ca="1" si="7"/>
        <v xml:space="preserve"> PEPSI--RS138 </v>
      </c>
      <c r="Y149" s="1">
        <f t="shared" ca="1" si="8"/>
        <v>0.14599999999999999</v>
      </c>
    </row>
    <row r="150" spans="1:25" x14ac:dyDescent="0.25">
      <c r="A150" t="s">
        <v>1588</v>
      </c>
      <c r="B150" t="s">
        <v>1587</v>
      </c>
      <c r="C150">
        <v>108</v>
      </c>
      <c r="D150">
        <v>108</v>
      </c>
      <c r="E150">
        <v>108</v>
      </c>
      <c r="F150" s="1">
        <v>0.14599999999999999</v>
      </c>
      <c r="G150" t="s">
        <v>1587</v>
      </c>
      <c r="H150" t="s">
        <v>1587</v>
      </c>
      <c r="I150">
        <v>2084</v>
      </c>
      <c r="J150" t="s">
        <v>1716</v>
      </c>
      <c r="K150">
        <v>1</v>
      </c>
      <c r="L150">
        <v>14.4</v>
      </c>
      <c r="M150">
        <v>-7</v>
      </c>
      <c r="N150">
        <v>15.8</v>
      </c>
      <c r="O150" t="s">
        <v>1594</v>
      </c>
      <c r="P150" t="s">
        <v>1584</v>
      </c>
      <c r="Q150" t="s">
        <v>1591</v>
      </c>
      <c r="R150">
        <v>0</v>
      </c>
      <c r="S150">
        <v>-0.12</v>
      </c>
      <c r="T150" t="s">
        <v>1584</v>
      </c>
      <c r="U150" t="s">
        <v>1592</v>
      </c>
      <c r="V150" t="str" cm="1">
        <f t="array" aca="1" ref="V150" ca="1">IFERROR(_xlfn.IFS(A148="  ..............",OFFSET(A148,2,0),A147=" X-------------X",OFFSET(A147,3,0),MATCH("  ..............",A150:A159,0)&gt;2,V149),"-")</f>
        <v>-</v>
      </c>
      <c r="W150" t="str">
        <f t="shared" ca="1" si="6"/>
        <v>-</v>
      </c>
      <c r="X150" t="str">
        <f t="shared" ca="1" si="7"/>
        <v>-</v>
      </c>
      <c r="Y150" s="1" t="str">
        <f t="shared" ca="1" si="8"/>
        <v>-</v>
      </c>
    </row>
    <row r="151" spans="1:25" x14ac:dyDescent="0.25">
      <c r="A151" t="s">
        <v>1572</v>
      </c>
      <c r="B151" t="s">
        <v>1574</v>
      </c>
      <c r="C151" t="s">
        <v>1574</v>
      </c>
      <c r="D151" t="s">
        <v>1574</v>
      </c>
      <c r="E151" t="s">
        <v>1574</v>
      </c>
      <c r="F151" t="s">
        <v>1575</v>
      </c>
      <c r="G151" t="s">
        <v>1574</v>
      </c>
      <c r="H151" t="s">
        <v>1574</v>
      </c>
      <c r="I151" t="s">
        <v>1576</v>
      </c>
      <c r="J151" t="s">
        <v>1573</v>
      </c>
      <c r="K151" t="s">
        <v>1577</v>
      </c>
      <c r="L151" t="s">
        <v>1574</v>
      </c>
      <c r="M151" t="s">
        <v>1574</v>
      </c>
      <c r="N151" t="s">
        <v>1574</v>
      </c>
      <c r="O151" t="s">
        <v>1578</v>
      </c>
      <c r="P151" t="s">
        <v>1576</v>
      </c>
      <c r="Q151" t="s">
        <v>1579</v>
      </c>
      <c r="R151" t="s">
        <v>1580</v>
      </c>
      <c r="S151" t="s">
        <v>1580</v>
      </c>
      <c r="T151" t="s">
        <v>1576</v>
      </c>
      <c r="U151" t="s">
        <v>1576</v>
      </c>
      <c r="V151" t="str" cm="1">
        <f t="array" aca="1" ref="V151" ca="1">IFERROR(_xlfn.IFS(A149="  ..............",OFFSET(A149,2,0),A148=" X-------------X",OFFSET(A148,3,0),MATCH("  ..............",A151:A160,0)&gt;2,V150),"-")</f>
        <v>-</v>
      </c>
      <c r="W151" t="str">
        <f t="shared" ca="1" si="6"/>
        <v>-</v>
      </c>
      <c r="X151" t="str">
        <f t="shared" ca="1" si="7"/>
        <v/>
      </c>
      <c r="Y151" s="1" t="str">
        <f t="shared" ca="1" si="8"/>
        <v/>
      </c>
    </row>
    <row r="152" spans="1:25" x14ac:dyDescent="0.25">
      <c r="A152" t="s">
        <v>1717</v>
      </c>
      <c r="B152">
        <v>1.0349999999999999</v>
      </c>
      <c r="C152">
        <v>0.9</v>
      </c>
      <c r="D152">
        <v>0</v>
      </c>
      <c r="E152">
        <v>6.2</v>
      </c>
      <c r="F152">
        <v>0</v>
      </c>
      <c r="G152">
        <v>0</v>
      </c>
      <c r="H152">
        <v>0</v>
      </c>
      <c r="I152" t="s">
        <v>1581</v>
      </c>
      <c r="J152" t="s">
        <v>1581</v>
      </c>
      <c r="K152" t="s">
        <v>1581</v>
      </c>
      <c r="L152" t="s">
        <v>1581</v>
      </c>
      <c r="M152" t="s">
        <v>1581</v>
      </c>
      <c r="N152" t="s">
        <v>1581</v>
      </c>
      <c r="O152" t="s">
        <v>1581</v>
      </c>
      <c r="P152" t="s">
        <v>1581</v>
      </c>
      <c r="Q152" t="s">
        <v>1581</v>
      </c>
      <c r="R152" t="s">
        <v>1581</v>
      </c>
      <c r="S152" t="s">
        <v>1581</v>
      </c>
      <c r="T152" t="s">
        <v>1581</v>
      </c>
      <c r="U152" t="s">
        <v>1581</v>
      </c>
      <c r="V152" t="str" cm="1">
        <f t="array" aca="1" ref="V152" ca="1">IFERROR(_xlfn.IFS(A150="  ..............",OFFSET(A150,2,0),A149=" X-------------X",OFFSET(A149,3,0),MATCH("  ..............",A152:A161,0)&gt;2,V151),"-")</f>
        <v>-</v>
      </c>
      <c r="W152" t="str">
        <f t="shared" ca="1" si="6"/>
        <v>-</v>
      </c>
      <c r="X152" t="str">
        <f t="shared" ca="1" si="7"/>
        <v xml:space="preserve">              </v>
      </c>
      <c r="Y152" s="1">
        <f t="shared" ca="1" si="8"/>
        <v>0</v>
      </c>
    </row>
    <row r="153" spans="1:25" x14ac:dyDescent="0.25">
      <c r="A153" t="s">
        <v>1718</v>
      </c>
      <c r="B153">
        <v>-48.6</v>
      </c>
      <c r="C153">
        <v>0</v>
      </c>
      <c r="D153">
        <v>0</v>
      </c>
      <c r="E153">
        <v>2.9</v>
      </c>
      <c r="F153">
        <v>0</v>
      </c>
      <c r="G153">
        <v>0</v>
      </c>
      <c r="H153">
        <v>0</v>
      </c>
      <c r="I153" t="s">
        <v>1584</v>
      </c>
      <c r="J153" t="s">
        <v>1585</v>
      </c>
      <c r="K153" t="s">
        <v>1586</v>
      </c>
      <c r="L153" t="s">
        <v>1587</v>
      </c>
      <c r="M153" t="s">
        <v>1587</v>
      </c>
      <c r="N153" t="s">
        <v>1586</v>
      </c>
      <c r="O153" t="s">
        <v>1581</v>
      </c>
      <c r="P153" t="s">
        <v>1581</v>
      </c>
      <c r="Q153" t="s">
        <v>1581</v>
      </c>
      <c r="R153" t="s">
        <v>1581</v>
      </c>
      <c r="S153" t="s">
        <v>1581</v>
      </c>
      <c r="T153" t="s">
        <v>1581</v>
      </c>
      <c r="U153" t="s">
        <v>1581</v>
      </c>
      <c r="V153" t="str" cm="1">
        <f t="array" aca="1" ref="V153" ca="1">IFERROR(_xlfn.IFS(A151="  ..............",OFFSET(A151,2,0),A150=" X-------------X",OFFSET(A150,3,0),MATCH("  ..............",A153:A162,0)&gt;2,V152),"-")</f>
        <v xml:space="preserve">  JACUIR-RS023  </v>
      </c>
      <c r="W153">
        <f t="shared" ca="1" si="6"/>
        <v>1.0349999999999999</v>
      </c>
      <c r="X153" t="str">
        <f t="shared" ca="1" si="7"/>
        <v xml:space="preserve"> JACUIA-RS023 </v>
      </c>
      <c r="Y153" s="1">
        <f t="shared" ca="1" si="8"/>
        <v>0</v>
      </c>
    </row>
    <row r="154" spans="1:25" x14ac:dyDescent="0.25">
      <c r="A154" t="s">
        <v>1588</v>
      </c>
      <c r="B154" t="s">
        <v>1587</v>
      </c>
      <c r="C154">
        <v>9999</v>
      </c>
      <c r="D154">
        <v>9999</v>
      </c>
      <c r="E154">
        <v>9999</v>
      </c>
      <c r="F154" s="1">
        <v>0</v>
      </c>
      <c r="G154" t="s">
        <v>1587</v>
      </c>
      <c r="H154" t="s">
        <v>1587</v>
      </c>
      <c r="I154">
        <v>1211</v>
      </c>
      <c r="J154" t="s">
        <v>1719</v>
      </c>
      <c r="K154">
        <v>1</v>
      </c>
      <c r="L154">
        <v>0</v>
      </c>
      <c r="M154">
        <v>0</v>
      </c>
      <c r="N154">
        <v>0</v>
      </c>
      <c r="O154" t="s">
        <v>1594</v>
      </c>
      <c r="P154" t="s">
        <v>1584</v>
      </c>
      <c r="Q154" t="s">
        <v>1591</v>
      </c>
      <c r="R154">
        <v>0</v>
      </c>
      <c r="S154">
        <v>0</v>
      </c>
      <c r="T154" t="s">
        <v>1584</v>
      </c>
      <c r="U154" t="s">
        <v>1592</v>
      </c>
      <c r="V154" t="str" cm="1">
        <f t="array" aca="1" ref="V154" ca="1">IFERROR(_xlfn.IFS(A152="  ..............",OFFSET(A152,2,0),A151=" X-------------X",OFFSET(A151,3,0),MATCH("  ..............",A154:A163,0)&gt;2,V153),"-")</f>
        <v xml:space="preserve">  JACUIR-RS023  </v>
      </c>
      <c r="W154">
        <f t="shared" ca="1" si="6"/>
        <v>1.0349999999999999</v>
      </c>
      <c r="X154" t="str">
        <f t="shared" ca="1" si="7"/>
        <v xml:space="preserve"> JACUI--RS138 </v>
      </c>
      <c r="Y154" s="1">
        <f t="shared" ca="1" si="8"/>
        <v>0.43</v>
      </c>
    </row>
    <row r="155" spans="1:25" x14ac:dyDescent="0.25">
      <c r="A155" t="s">
        <v>1588</v>
      </c>
      <c r="B155" t="s">
        <v>1587</v>
      </c>
      <c r="C155">
        <v>25</v>
      </c>
      <c r="D155">
        <v>37</v>
      </c>
      <c r="E155">
        <v>37</v>
      </c>
      <c r="F155" s="1">
        <v>0.316</v>
      </c>
      <c r="G155" t="s">
        <v>1587</v>
      </c>
      <c r="H155" t="s">
        <v>1587</v>
      </c>
      <c r="I155">
        <v>1216</v>
      </c>
      <c r="J155" t="s">
        <v>1623</v>
      </c>
      <c r="K155">
        <v>7</v>
      </c>
      <c r="L155">
        <v>-7.3</v>
      </c>
      <c r="M155">
        <v>-3.7</v>
      </c>
      <c r="N155">
        <v>7.9</v>
      </c>
      <c r="O155" t="s">
        <v>1594</v>
      </c>
      <c r="P155" t="s">
        <v>1584</v>
      </c>
      <c r="Q155" t="s">
        <v>1591</v>
      </c>
      <c r="R155">
        <v>0.01</v>
      </c>
      <c r="S155">
        <v>0.26</v>
      </c>
      <c r="T155" t="s">
        <v>1584</v>
      </c>
      <c r="U155" t="s">
        <v>1592</v>
      </c>
      <c r="V155" t="str" cm="1">
        <f t="array" aca="1" ref="V155" ca="1">IFERROR(_xlfn.IFS(A153="  ..............",OFFSET(A153,2,0),A152=" X-------------X",OFFSET(A152,3,0),MATCH("  ..............",A155:A164,0)&gt;2,V154),"-")</f>
        <v xml:space="preserve">  JACUIR-RS023  </v>
      </c>
      <c r="W155">
        <f t="shared" ca="1" si="6"/>
        <v>1.0349999999999999</v>
      </c>
      <c r="X155" t="str">
        <f t="shared" ca="1" si="7"/>
        <v xml:space="preserve"> JACUIC-RS023 </v>
      </c>
      <c r="Y155" s="1">
        <f t="shared" ca="1" si="8"/>
        <v>0</v>
      </c>
    </row>
    <row r="156" spans="1:25" x14ac:dyDescent="0.25">
      <c r="A156" t="s">
        <v>1588</v>
      </c>
      <c r="B156" t="s">
        <v>1587</v>
      </c>
      <c r="C156">
        <v>9999</v>
      </c>
      <c r="D156">
        <v>9999</v>
      </c>
      <c r="E156">
        <v>9999</v>
      </c>
      <c r="F156" s="1">
        <v>0</v>
      </c>
      <c r="G156" t="s">
        <v>1587</v>
      </c>
      <c r="H156" t="s">
        <v>1587</v>
      </c>
      <c r="I156">
        <v>10028</v>
      </c>
      <c r="J156" t="s">
        <v>1720</v>
      </c>
      <c r="K156">
        <v>1</v>
      </c>
      <c r="L156">
        <v>2</v>
      </c>
      <c r="M156">
        <v>0.8</v>
      </c>
      <c r="N156">
        <v>2.1</v>
      </c>
      <c r="O156" t="s">
        <v>1594</v>
      </c>
      <c r="P156" t="s">
        <v>1584</v>
      </c>
      <c r="Q156" t="s">
        <v>1591</v>
      </c>
      <c r="R156">
        <v>0</v>
      </c>
      <c r="S156">
        <v>0</v>
      </c>
      <c r="T156" t="s">
        <v>1584</v>
      </c>
      <c r="U156" t="s">
        <v>1592</v>
      </c>
      <c r="V156" t="str" cm="1">
        <f t="array" aca="1" ref="V156" ca="1">IFERROR(_xlfn.IFS(A154="  ..............",OFFSET(A154,2,0),A153=" X-------------X",OFFSET(A153,3,0),MATCH("  ..............",A156:A165,0)&gt;2,V155),"-")</f>
        <v>-</v>
      </c>
      <c r="W156" t="str">
        <f t="shared" ca="1" si="6"/>
        <v>-</v>
      </c>
      <c r="X156" t="str">
        <f t="shared" ca="1" si="7"/>
        <v>-</v>
      </c>
      <c r="Y156" s="1" t="str">
        <f t="shared" ca="1" si="8"/>
        <v>-</v>
      </c>
    </row>
    <row r="157" spans="1:25" x14ac:dyDescent="0.25">
      <c r="A157" t="s">
        <v>1572</v>
      </c>
      <c r="B157" t="s">
        <v>1574</v>
      </c>
      <c r="C157" t="s">
        <v>1574</v>
      </c>
      <c r="D157" t="s">
        <v>1574</v>
      </c>
      <c r="E157" t="s">
        <v>1574</v>
      </c>
      <c r="F157" t="s">
        <v>1575</v>
      </c>
      <c r="G157" t="s">
        <v>1574</v>
      </c>
      <c r="H157" t="s">
        <v>1574</v>
      </c>
      <c r="I157" t="s">
        <v>1576</v>
      </c>
      <c r="J157" t="s">
        <v>1573</v>
      </c>
      <c r="K157" t="s">
        <v>1577</v>
      </c>
      <c r="L157" t="s">
        <v>1574</v>
      </c>
      <c r="M157" t="s">
        <v>1574</v>
      </c>
      <c r="N157" t="s">
        <v>1574</v>
      </c>
      <c r="O157" t="s">
        <v>1578</v>
      </c>
      <c r="P157" t="s">
        <v>1576</v>
      </c>
      <c r="Q157" t="s">
        <v>1579</v>
      </c>
      <c r="R157" t="s">
        <v>1580</v>
      </c>
      <c r="S157" t="s">
        <v>1580</v>
      </c>
      <c r="T157" t="s">
        <v>1576</v>
      </c>
      <c r="U157" t="s">
        <v>1576</v>
      </c>
      <c r="V157" t="str" cm="1">
        <f t="array" aca="1" ref="V157" ca="1">IFERROR(_xlfn.IFS(A155="  ..............",OFFSET(A155,2,0),A154=" X-------------X",OFFSET(A154,3,0),MATCH("  ..............",A157:A166,0)&gt;2,V156),"-")</f>
        <v>-</v>
      </c>
      <c r="W157" t="str">
        <f t="shared" ca="1" si="6"/>
        <v>-</v>
      </c>
      <c r="X157" t="str">
        <f t="shared" ca="1" si="7"/>
        <v/>
      </c>
      <c r="Y157" s="1" t="str">
        <f t="shared" ca="1" si="8"/>
        <v/>
      </c>
    </row>
    <row r="158" spans="1:25" x14ac:dyDescent="0.25">
      <c r="A158" t="s">
        <v>1721</v>
      </c>
      <c r="B158">
        <v>1.0449999999999999</v>
      </c>
      <c r="C158">
        <v>5.6</v>
      </c>
      <c r="D158">
        <v>0</v>
      </c>
      <c r="E158">
        <v>30.2</v>
      </c>
      <c r="F158">
        <v>0</v>
      </c>
      <c r="G158">
        <v>3.9</v>
      </c>
      <c r="H158">
        <v>0</v>
      </c>
      <c r="I158" t="s">
        <v>1581</v>
      </c>
      <c r="J158" t="s">
        <v>1581</v>
      </c>
      <c r="K158" t="s">
        <v>1581</v>
      </c>
      <c r="L158" t="s">
        <v>1581</v>
      </c>
      <c r="M158" t="s">
        <v>1581</v>
      </c>
      <c r="N158" t="s">
        <v>1581</v>
      </c>
      <c r="O158" t="s">
        <v>1581</v>
      </c>
      <c r="P158" t="s">
        <v>1581</v>
      </c>
      <c r="Q158" t="s">
        <v>1581</v>
      </c>
      <c r="R158" t="s">
        <v>1581</v>
      </c>
      <c r="S158" t="s">
        <v>1581</v>
      </c>
      <c r="T158" t="s">
        <v>1581</v>
      </c>
      <c r="U158" t="s">
        <v>1581</v>
      </c>
      <c r="V158" t="str" cm="1">
        <f t="array" aca="1" ref="V158" ca="1">IFERROR(_xlfn.IFS(A156="  ..............",OFFSET(A156,2,0),A155=" X-------------X",OFFSET(A155,3,0),MATCH("  ..............",A158:A167,0)&gt;2,V157),"-")</f>
        <v>-</v>
      </c>
      <c r="W158" t="str">
        <f t="shared" ca="1" si="6"/>
        <v>-</v>
      </c>
      <c r="X158" t="str">
        <f t="shared" ca="1" si="7"/>
        <v xml:space="preserve">              </v>
      </c>
      <c r="Y158" s="1">
        <f t="shared" ca="1" si="8"/>
        <v>0</v>
      </c>
    </row>
    <row r="159" spans="1:25" x14ac:dyDescent="0.25">
      <c r="A159" t="s">
        <v>1722</v>
      </c>
      <c r="B159">
        <v>-44.3</v>
      </c>
      <c r="C159">
        <v>0</v>
      </c>
      <c r="D159">
        <v>0</v>
      </c>
      <c r="E159">
        <v>11.3</v>
      </c>
      <c r="F159">
        <v>0</v>
      </c>
      <c r="G159">
        <v>0</v>
      </c>
      <c r="H159">
        <v>0</v>
      </c>
      <c r="I159" t="s">
        <v>1584</v>
      </c>
      <c r="J159" t="s">
        <v>1585</v>
      </c>
      <c r="K159" t="s">
        <v>1586</v>
      </c>
      <c r="L159" t="s">
        <v>1587</v>
      </c>
      <c r="M159" t="s">
        <v>1587</v>
      </c>
      <c r="N159" t="s">
        <v>1586</v>
      </c>
      <c r="O159" t="s">
        <v>1581</v>
      </c>
      <c r="P159" t="s">
        <v>1581</v>
      </c>
      <c r="Q159" t="s">
        <v>1581</v>
      </c>
      <c r="R159" t="s">
        <v>1581</v>
      </c>
      <c r="S159" t="s">
        <v>1581</v>
      </c>
      <c r="T159" t="s">
        <v>1581</v>
      </c>
      <c r="U159" t="s">
        <v>1581</v>
      </c>
      <c r="V159" t="str" cm="1">
        <f t="array" aca="1" ref="V159" ca="1">IFERROR(_xlfn.IFS(A157="  ..............",OFFSET(A157,2,0),A156=" X-------------X",OFFSET(A156,3,0),MATCH("  ..............",A159:A168,0)&gt;2,V158),"-")</f>
        <v xml:space="preserve">  LVERM1-RS138  </v>
      </c>
      <c r="W159">
        <f t="shared" ca="1" si="6"/>
        <v>1.0449999999999999</v>
      </c>
      <c r="X159" t="str">
        <f t="shared" ca="1" si="7"/>
        <v xml:space="preserve"> PFUND1-RS138 </v>
      </c>
      <c r="Y159" s="1" t="str">
        <f t="shared" ca="1" si="8"/>
        <v xml:space="preserve">             </v>
      </c>
    </row>
    <row r="160" spans="1:25" x14ac:dyDescent="0.25">
      <c r="A160" t="s">
        <v>1637</v>
      </c>
      <c r="B160" t="s">
        <v>1638</v>
      </c>
      <c r="C160">
        <v>82</v>
      </c>
      <c r="D160">
        <v>82</v>
      </c>
      <c r="E160">
        <v>82</v>
      </c>
      <c r="F160" t="s">
        <v>1639</v>
      </c>
      <c r="G160" t="s">
        <v>1587</v>
      </c>
      <c r="H160" t="s">
        <v>1587</v>
      </c>
      <c r="I160">
        <v>1277</v>
      </c>
      <c r="J160" t="s">
        <v>1723</v>
      </c>
      <c r="K160">
        <v>1</v>
      </c>
      <c r="L160">
        <v>0</v>
      </c>
      <c r="M160">
        <v>0</v>
      </c>
      <c r="N160">
        <v>0</v>
      </c>
      <c r="O160" t="s">
        <v>1594</v>
      </c>
      <c r="P160" t="s">
        <v>1584</v>
      </c>
      <c r="Q160" t="s">
        <v>1591</v>
      </c>
      <c r="R160">
        <v>0</v>
      </c>
      <c r="S160">
        <v>0</v>
      </c>
      <c r="T160" t="s">
        <v>1584</v>
      </c>
      <c r="U160" t="s">
        <v>1592</v>
      </c>
      <c r="V160" t="str" cm="1">
        <f t="array" aca="1" ref="V160" ca="1">IFERROR(_xlfn.IFS(A158="  ..............",OFFSET(A158,2,0),A157=" X-------------X",OFFSET(A157,3,0),MATCH("  ..............",A160:A169,0)&gt;2,V159),"-")</f>
        <v xml:space="preserve">  LVERM1-RS138  </v>
      </c>
      <c r="W160">
        <f t="shared" ca="1" si="6"/>
        <v>1.0449999999999999</v>
      </c>
      <c r="X160" t="str">
        <f t="shared" ca="1" si="7"/>
        <v xml:space="preserve"> LVERM2-RS138 </v>
      </c>
      <c r="Y160" s="1">
        <f t="shared" ca="1" si="8"/>
        <v>0.17199999999999999</v>
      </c>
    </row>
    <row r="161" spans="1:25" x14ac:dyDescent="0.25">
      <c r="A161" t="s">
        <v>1588</v>
      </c>
      <c r="B161" t="s">
        <v>1587</v>
      </c>
      <c r="C161">
        <v>143</v>
      </c>
      <c r="D161">
        <v>143</v>
      </c>
      <c r="E161">
        <v>143</v>
      </c>
      <c r="F161" s="1">
        <v>0.17199999999999999</v>
      </c>
      <c r="G161" t="s">
        <v>1587</v>
      </c>
      <c r="H161" t="s">
        <v>1587</v>
      </c>
      <c r="I161">
        <v>1326</v>
      </c>
      <c r="J161" t="s">
        <v>1724</v>
      </c>
      <c r="K161">
        <v>1</v>
      </c>
      <c r="L161">
        <v>-24.6</v>
      </c>
      <c r="M161">
        <v>-7.4</v>
      </c>
      <c r="N161">
        <v>24.6</v>
      </c>
      <c r="O161" t="s">
        <v>1594</v>
      </c>
      <c r="P161" t="s">
        <v>1584</v>
      </c>
      <c r="Q161" t="s">
        <v>1591</v>
      </c>
      <c r="R161">
        <v>0.03</v>
      </c>
      <c r="S161">
        <v>-0.34</v>
      </c>
      <c r="T161" t="s">
        <v>1584</v>
      </c>
      <c r="U161" t="s">
        <v>1592</v>
      </c>
      <c r="V161" t="str" cm="1">
        <f t="array" aca="1" ref="V161" ca="1">IFERROR(_xlfn.IFS(A159="  ..............",OFFSET(A159,2,0),A158=" X-------------X",OFFSET(A158,3,0),MATCH("  ..............",A161:A170,0)&gt;2,V160),"-")</f>
        <v>-</v>
      </c>
      <c r="W161" t="str">
        <f t="shared" ca="1" si="6"/>
        <v>-</v>
      </c>
      <c r="X161" t="str">
        <f t="shared" ca="1" si="7"/>
        <v>-</v>
      </c>
      <c r="Y161" s="1" t="str">
        <f t="shared" ca="1" si="8"/>
        <v>-</v>
      </c>
    </row>
    <row r="162" spans="1:25" x14ac:dyDescent="0.25">
      <c r="A162" t="s">
        <v>1572</v>
      </c>
      <c r="B162" t="s">
        <v>1574</v>
      </c>
      <c r="C162" t="s">
        <v>1574</v>
      </c>
      <c r="D162" t="s">
        <v>1574</v>
      </c>
      <c r="E162" t="s">
        <v>1574</v>
      </c>
      <c r="F162" t="s">
        <v>1575</v>
      </c>
      <c r="G162" t="s">
        <v>1574</v>
      </c>
      <c r="H162" t="s">
        <v>1574</v>
      </c>
      <c r="I162" t="s">
        <v>1576</v>
      </c>
      <c r="J162" t="s">
        <v>1573</v>
      </c>
      <c r="K162" t="s">
        <v>1577</v>
      </c>
      <c r="L162" t="s">
        <v>1574</v>
      </c>
      <c r="M162" t="s">
        <v>1574</v>
      </c>
      <c r="N162" t="s">
        <v>1574</v>
      </c>
      <c r="O162" t="s">
        <v>1578</v>
      </c>
      <c r="P162" t="s">
        <v>1576</v>
      </c>
      <c r="Q162" t="s">
        <v>1579</v>
      </c>
      <c r="R162" t="s">
        <v>1580</v>
      </c>
      <c r="S162" t="s">
        <v>1580</v>
      </c>
      <c r="T162" t="s">
        <v>1576</v>
      </c>
      <c r="U162" t="s">
        <v>1576</v>
      </c>
      <c r="V162" t="str" cm="1">
        <f t="array" aca="1" ref="V162" ca="1">IFERROR(_xlfn.IFS(A160="  ..............",OFFSET(A160,2,0),A159=" X-------------X",OFFSET(A159,3,0),MATCH("  ..............",A162:A171,0)&gt;2,V161),"-")</f>
        <v>-</v>
      </c>
      <c r="W162" t="str">
        <f t="shared" ca="1" si="6"/>
        <v>-</v>
      </c>
      <c r="X162" t="str">
        <f t="shared" ca="1" si="7"/>
        <v xml:space="preserve"> V11.06.02    </v>
      </c>
      <c r="Y162" s="1" t="str">
        <f t="shared" ca="1" si="8"/>
        <v xml:space="preserve">A - PROGRAMA </v>
      </c>
    </row>
    <row r="163" spans="1:25" x14ac:dyDescent="0.25">
      <c r="A163" t="s">
        <v>1725</v>
      </c>
      <c r="B163" t="s">
        <v>1726</v>
      </c>
      <c r="C163" t="s">
        <v>1727</v>
      </c>
      <c r="D163" t="s">
        <v>1728</v>
      </c>
      <c r="E163" t="s">
        <v>1729</v>
      </c>
      <c r="F163" t="s">
        <v>1730</v>
      </c>
      <c r="G163" t="s">
        <v>1731</v>
      </c>
      <c r="H163" t="s">
        <v>1732</v>
      </c>
      <c r="I163" t="s">
        <v>1733</v>
      </c>
      <c r="J163" t="s">
        <v>1734</v>
      </c>
      <c r="K163" t="s">
        <v>1586</v>
      </c>
      <c r="L163" t="s">
        <v>1587</v>
      </c>
      <c r="M163" t="s">
        <v>1587</v>
      </c>
      <c r="N163" t="s">
        <v>1587</v>
      </c>
      <c r="O163" t="s">
        <v>1735</v>
      </c>
      <c r="P163">
        <v>2</v>
      </c>
      <c r="Q163" t="s">
        <v>1581</v>
      </c>
      <c r="R163" t="s">
        <v>1581</v>
      </c>
      <c r="S163" t="s">
        <v>1581</v>
      </c>
      <c r="T163" t="s">
        <v>1581</v>
      </c>
      <c r="U163" t="s">
        <v>1581</v>
      </c>
      <c r="V163" t="str" cm="1">
        <f t="array" aca="1" ref="V163" ca="1">IFERROR(_xlfn.IFS(A161="  ..............",OFFSET(A161,2,0),A160=" X-------------X",OFFSET(A160,3,0),MATCH("  ..............",A163:A172,0)&gt;2,V162),"-")</f>
        <v>-</v>
      </c>
      <c r="W163" t="str">
        <f t="shared" ca="1" si="6"/>
        <v>-</v>
      </c>
      <c r="X163" t="str">
        <f t="shared" ca="1" si="7"/>
        <v/>
      </c>
      <c r="Y163" s="1" t="str">
        <f t="shared" ca="1" si="8"/>
        <v/>
      </c>
    </row>
    <row r="164" spans="1:25" x14ac:dyDescent="0.25">
      <c r="A164" t="s">
        <v>1581</v>
      </c>
      <c r="B164" t="s">
        <v>1581</v>
      </c>
      <c r="C164" t="s">
        <v>1581</v>
      </c>
      <c r="D164" t="s">
        <v>1581</v>
      </c>
      <c r="E164" t="s">
        <v>1581</v>
      </c>
      <c r="F164" t="s">
        <v>1581</v>
      </c>
      <c r="G164" t="s">
        <v>1581</v>
      </c>
      <c r="H164" t="s">
        <v>1581</v>
      </c>
      <c r="I164" t="s">
        <v>1581</v>
      </c>
      <c r="J164" t="s">
        <v>1581</v>
      </c>
      <c r="K164" t="s">
        <v>1581</v>
      </c>
      <c r="L164" t="s">
        <v>1581</v>
      </c>
      <c r="M164" t="s">
        <v>1581</v>
      </c>
      <c r="N164" t="s">
        <v>1581</v>
      </c>
      <c r="O164" t="s">
        <v>1581</v>
      </c>
      <c r="P164" t="s">
        <v>1581</v>
      </c>
      <c r="Q164" t="s">
        <v>1581</v>
      </c>
      <c r="R164" t="s">
        <v>1581</v>
      </c>
      <c r="S164" t="s">
        <v>1581</v>
      </c>
      <c r="T164" t="s">
        <v>1581</v>
      </c>
      <c r="U164" t="s">
        <v>1581</v>
      </c>
      <c r="V164" t="str" cm="1">
        <f t="array" aca="1" ref="V164" ca="1">IFERROR(_xlfn.IFS(A162="  ..............",OFFSET(A162,2,0),A161=" X-------------X",OFFSET(A161,3,0),MATCH("  ..............",A164:A173,0)&gt;2,V163),"-")</f>
        <v/>
      </c>
      <c r="W164" t="str">
        <f t="shared" ca="1" si="6"/>
        <v>X-------X</v>
      </c>
      <c r="X164" t="str">
        <f t="shared" ca="1" si="7"/>
        <v/>
      </c>
      <c r="Y164" s="1" t="str">
        <f t="shared" ca="1" si="8"/>
        <v/>
      </c>
    </row>
    <row r="165" spans="1:25" x14ac:dyDescent="0.25">
      <c r="A165" t="s">
        <v>1736</v>
      </c>
      <c r="B165" t="s">
        <v>1737</v>
      </c>
      <c r="C165" t="s">
        <v>1738</v>
      </c>
      <c r="D165" t="s">
        <v>1739</v>
      </c>
      <c r="E165" t="s">
        <v>1740</v>
      </c>
      <c r="F165" t="s">
        <v>1741</v>
      </c>
      <c r="G165" t="s">
        <v>1742</v>
      </c>
      <c r="H165" t="s">
        <v>1743</v>
      </c>
      <c r="I165" t="s">
        <v>1744</v>
      </c>
      <c r="J165" t="s">
        <v>1581</v>
      </c>
      <c r="K165" t="s">
        <v>1581</v>
      </c>
      <c r="L165" t="s">
        <v>1581</v>
      </c>
      <c r="M165" t="s">
        <v>1581</v>
      </c>
      <c r="N165" t="s">
        <v>1581</v>
      </c>
      <c r="O165" t="s">
        <v>1581</v>
      </c>
      <c r="P165" t="s">
        <v>1581</v>
      </c>
      <c r="Q165" t="s">
        <v>1581</v>
      </c>
      <c r="R165" t="s">
        <v>1581</v>
      </c>
      <c r="S165" t="s">
        <v>1581</v>
      </c>
      <c r="T165" t="s">
        <v>1581</v>
      </c>
      <c r="U165" t="s">
        <v>1581</v>
      </c>
      <c r="V165" t="str" cm="1">
        <f t="array" aca="1" ref="V165" ca="1">IFERROR(_xlfn.IFS(A163="  ..............",OFFSET(A163,2,0),A162=" X-------------X",OFFSET(A162,3,0),MATCH("  ..............",A165:A174,0)&gt;2,V164),"-")</f>
        <v>-</v>
      </c>
      <c r="W165" t="str">
        <f t="shared" ca="1" si="6"/>
        <v>-</v>
      </c>
      <c r="X165" t="str">
        <f t="shared" ca="1" si="7"/>
        <v>-</v>
      </c>
      <c r="Y165" s="1" t="str">
        <f t="shared" ca="1" si="8"/>
        <v>-</v>
      </c>
    </row>
    <row r="166" spans="1:25" x14ac:dyDescent="0.25">
      <c r="A166" t="s">
        <v>1745</v>
      </c>
      <c r="B166" t="s">
        <v>1746</v>
      </c>
      <c r="C166" t="s">
        <v>1747</v>
      </c>
      <c r="D166" t="s">
        <v>1748</v>
      </c>
      <c r="E166" t="s">
        <v>1749</v>
      </c>
      <c r="F166" t="s">
        <v>1750</v>
      </c>
      <c r="G166" t="s">
        <v>1587</v>
      </c>
      <c r="H166" t="s">
        <v>1587</v>
      </c>
      <c r="I166" t="s">
        <v>1591</v>
      </c>
      <c r="J166" t="s">
        <v>1581</v>
      </c>
      <c r="K166" t="s">
        <v>1581</v>
      </c>
      <c r="L166" t="s">
        <v>1581</v>
      </c>
      <c r="M166" t="s">
        <v>1581</v>
      </c>
      <c r="N166" t="s">
        <v>1581</v>
      </c>
      <c r="O166" t="s">
        <v>1581</v>
      </c>
      <c r="P166" t="s">
        <v>1581</v>
      </c>
      <c r="Q166" t="s">
        <v>1581</v>
      </c>
      <c r="R166" t="s">
        <v>1581</v>
      </c>
      <c r="S166" t="s">
        <v>1581</v>
      </c>
      <c r="T166" t="s">
        <v>1581</v>
      </c>
      <c r="U166" t="s">
        <v>1581</v>
      </c>
      <c r="V166" t="str" cm="1">
        <f t="array" aca="1" ref="V166" ca="1">IFERROR(_xlfn.IFS(A164="  ..............",OFFSET(A164,2,0),A163=" X-------------X",OFFSET(A163,3,0),MATCH("  ..............",A166:A175,0)&gt;2,V165),"-")</f>
        <v>-</v>
      </c>
      <c r="W166" t="str">
        <f t="shared" ca="1" si="6"/>
        <v>-</v>
      </c>
      <c r="X166" t="str">
        <f t="shared" ca="1" si="7"/>
        <v/>
      </c>
      <c r="Y166" s="1" t="str">
        <f t="shared" ca="1" si="8"/>
        <v/>
      </c>
    </row>
    <row r="167" spans="1:25" x14ac:dyDescent="0.25">
      <c r="A167" t="s">
        <v>1581</v>
      </c>
      <c r="B167" t="s">
        <v>1581</v>
      </c>
      <c r="C167" t="s">
        <v>1581</v>
      </c>
      <c r="D167" t="s">
        <v>1581</v>
      </c>
      <c r="E167" t="s">
        <v>1581</v>
      </c>
      <c r="F167" t="s">
        <v>1581</v>
      </c>
      <c r="G167" t="s">
        <v>1581</v>
      </c>
      <c r="H167" t="s">
        <v>1581</v>
      </c>
      <c r="I167" t="s">
        <v>1581</v>
      </c>
      <c r="J167" t="s">
        <v>1581</v>
      </c>
      <c r="K167" t="s">
        <v>1581</v>
      </c>
      <c r="L167" t="s">
        <v>1581</v>
      </c>
      <c r="M167" t="s">
        <v>1581</v>
      </c>
      <c r="N167" t="s">
        <v>1581</v>
      </c>
      <c r="O167" t="s">
        <v>1581</v>
      </c>
      <c r="P167" t="s">
        <v>1581</v>
      </c>
      <c r="Q167" t="s">
        <v>1581</v>
      </c>
      <c r="R167" t="s">
        <v>1581</v>
      </c>
      <c r="S167" t="s">
        <v>1581</v>
      </c>
      <c r="T167" t="s">
        <v>1581</v>
      </c>
      <c r="U167" t="s">
        <v>1581</v>
      </c>
      <c r="V167" t="str" cm="1">
        <f t="array" aca="1" ref="V167" ca="1">IFERROR(_xlfn.IFS(A165="  ..............",OFFSET(A165,2,0),A164=" X-------------X",OFFSET(A164,3,0),MATCH("  ..............",A167:A176,0)&gt;2,V166),"-")</f>
        <v>-</v>
      </c>
      <c r="W167" t="str">
        <f t="shared" ca="1" si="6"/>
        <v>-</v>
      </c>
      <c r="X167" t="str">
        <f t="shared" ca="1" si="7"/>
        <v>-------- F L U</v>
      </c>
      <c r="Y167" s="1" t="str">
        <f t="shared" ca="1" si="8"/>
        <v xml:space="preserve"> ------------</v>
      </c>
    </row>
    <row r="168" spans="1:25" x14ac:dyDescent="0.25">
      <c r="A168" t="s">
        <v>1751</v>
      </c>
      <c r="B168" t="s">
        <v>1752</v>
      </c>
      <c r="C168" t="s">
        <v>1753</v>
      </c>
      <c r="D168" t="s">
        <v>1754</v>
      </c>
      <c r="E168" t="s">
        <v>1755</v>
      </c>
      <c r="F168" t="s">
        <v>1756</v>
      </c>
      <c r="G168" t="s">
        <v>1757</v>
      </c>
      <c r="H168" t="s">
        <v>1758</v>
      </c>
      <c r="I168" t="s">
        <v>1759</v>
      </c>
      <c r="J168" t="s">
        <v>1760</v>
      </c>
      <c r="K168" t="s">
        <v>1761</v>
      </c>
      <c r="L168" t="s">
        <v>1762</v>
      </c>
      <c r="M168" t="s">
        <v>1763</v>
      </c>
      <c r="N168" t="s">
        <v>1764</v>
      </c>
      <c r="O168" t="s">
        <v>1765</v>
      </c>
      <c r="P168" t="s">
        <v>1766</v>
      </c>
      <c r="Q168" t="s">
        <v>1767</v>
      </c>
      <c r="R168" t="s">
        <v>1571</v>
      </c>
      <c r="S168" t="s">
        <v>1571</v>
      </c>
      <c r="T168" t="s">
        <v>1759</v>
      </c>
      <c r="U168" t="s">
        <v>1768</v>
      </c>
      <c r="V168" t="str" cm="1">
        <f t="array" aca="1" ref="V168" ca="1">IFERROR(_xlfn.IFS(A166="  ..............",OFFSET(A166,2,0),A165=" X-------------X",OFFSET(A165,3,0),MATCH("  ..............",A168:A177,0)&gt;2,V167),"-")</f>
        <v>-</v>
      </c>
      <c r="W168" t="str">
        <f t="shared" ca="1" si="6"/>
        <v>-</v>
      </c>
      <c r="X168" t="str">
        <f t="shared" ca="1" si="7"/>
        <v xml:space="preserve">              </v>
      </c>
      <c r="Y168" s="1">
        <f t="shared" ca="1" si="8"/>
        <v>0</v>
      </c>
    </row>
    <row r="169" spans="1:25" x14ac:dyDescent="0.25">
      <c r="A169" t="s">
        <v>1769</v>
      </c>
      <c r="B169" t="s">
        <v>1770</v>
      </c>
      <c r="C169" t="s">
        <v>1771</v>
      </c>
      <c r="D169" t="s">
        <v>1772</v>
      </c>
      <c r="E169" t="s">
        <v>1773</v>
      </c>
      <c r="F169" t="s">
        <v>1774</v>
      </c>
      <c r="G169" t="s">
        <v>1775</v>
      </c>
      <c r="H169" t="s">
        <v>1776</v>
      </c>
      <c r="I169" t="s">
        <v>1584</v>
      </c>
      <c r="J169" t="s">
        <v>1585</v>
      </c>
      <c r="K169" t="s">
        <v>1586</v>
      </c>
      <c r="L169" t="s">
        <v>1587</v>
      </c>
      <c r="M169" t="s">
        <v>1587</v>
      </c>
      <c r="N169" t="s">
        <v>1587</v>
      </c>
      <c r="O169" t="s">
        <v>1594</v>
      </c>
      <c r="P169" t="s">
        <v>1584</v>
      </c>
      <c r="Q169" t="s">
        <v>1591</v>
      </c>
      <c r="R169" t="s">
        <v>1777</v>
      </c>
      <c r="S169" t="s">
        <v>1777</v>
      </c>
      <c r="T169" t="s">
        <v>1584</v>
      </c>
      <c r="U169" t="s">
        <v>1778</v>
      </c>
      <c r="V169" t="str" cm="1">
        <f t="array" aca="1" ref="V169" ca="1">IFERROR(_xlfn.IFS(A167="  ..............",OFFSET(A167,2,0),A166=" X-------------X",OFFSET(A166,3,0),MATCH("  ..............",A169:A178,0)&gt;2,V168),"-")</f>
        <v>-</v>
      </c>
      <c r="W169" t="str">
        <f t="shared" ca="1" si="6"/>
        <v>-</v>
      </c>
      <c r="X169" t="str">
        <f t="shared" ca="1" si="7"/>
        <v xml:space="preserve">              </v>
      </c>
      <c r="Y169" s="1">
        <f t="shared" ca="1" si="8"/>
        <v>0</v>
      </c>
    </row>
    <row r="170" spans="1:25" x14ac:dyDescent="0.25">
      <c r="A170" t="s">
        <v>1779</v>
      </c>
      <c r="B170" t="s">
        <v>1780</v>
      </c>
      <c r="C170" t="s">
        <v>1781</v>
      </c>
      <c r="D170" t="s">
        <v>1781</v>
      </c>
      <c r="E170" t="s">
        <v>1781</v>
      </c>
      <c r="F170" t="s">
        <v>1782</v>
      </c>
      <c r="G170" t="s">
        <v>1783</v>
      </c>
      <c r="H170" t="s">
        <v>1784</v>
      </c>
      <c r="I170" t="s">
        <v>1584</v>
      </c>
      <c r="J170" t="s">
        <v>1585</v>
      </c>
      <c r="K170" t="s">
        <v>1586</v>
      </c>
      <c r="L170" t="s">
        <v>1587</v>
      </c>
      <c r="M170" t="s">
        <v>1587</v>
      </c>
      <c r="N170" t="s">
        <v>1587</v>
      </c>
      <c r="O170" t="s">
        <v>1594</v>
      </c>
      <c r="P170" t="s">
        <v>1584</v>
      </c>
      <c r="Q170" t="s">
        <v>1785</v>
      </c>
      <c r="R170" t="s">
        <v>1786</v>
      </c>
      <c r="S170" t="s">
        <v>1787</v>
      </c>
      <c r="T170" t="s">
        <v>1788</v>
      </c>
      <c r="U170" t="s">
        <v>1778</v>
      </c>
      <c r="V170" t="str" cm="1">
        <f t="array" aca="1" ref="V170" ca="1">IFERROR(_xlfn.IFS(A168="  ..............",OFFSET(A168,2,0),A167=" X-------------X",OFFSET(A167,3,0),MATCH("  ..............",A170:A179,0)&gt;2,V169),"-")</f>
        <v>-</v>
      </c>
      <c r="W170" t="str">
        <f t="shared" ca="1" si="6"/>
        <v>-</v>
      </c>
      <c r="X170" t="str">
        <f t="shared" ca="1" si="7"/>
        <v xml:space="preserve">A             </v>
      </c>
      <c r="Y170" s="1" t="str">
        <f t="shared" ca="1" si="8"/>
        <v xml:space="preserve">   Mvar   EQU</v>
      </c>
    </row>
    <row r="171" spans="1:25" x14ac:dyDescent="0.25">
      <c r="A171" t="s">
        <v>1789</v>
      </c>
      <c r="B171" t="s">
        <v>1790</v>
      </c>
      <c r="C171" t="s">
        <v>1791</v>
      </c>
      <c r="D171" t="s">
        <v>1791</v>
      </c>
      <c r="E171" t="s">
        <v>1791</v>
      </c>
      <c r="F171" t="s">
        <v>1792</v>
      </c>
      <c r="G171" t="s">
        <v>1793</v>
      </c>
      <c r="H171" t="s">
        <v>1794</v>
      </c>
      <c r="I171" t="s">
        <v>1795</v>
      </c>
      <c r="J171" t="s">
        <v>1796</v>
      </c>
      <c r="K171" t="s">
        <v>1586</v>
      </c>
      <c r="L171" t="s">
        <v>1797</v>
      </c>
      <c r="M171" t="s">
        <v>1798</v>
      </c>
      <c r="N171" t="s">
        <v>1587</v>
      </c>
      <c r="O171" t="s">
        <v>1594</v>
      </c>
      <c r="P171" t="s">
        <v>1584</v>
      </c>
      <c r="Q171" t="s">
        <v>1799</v>
      </c>
      <c r="R171" t="s">
        <v>1800</v>
      </c>
      <c r="S171" t="s">
        <v>1801</v>
      </c>
      <c r="T171" t="s">
        <v>1802</v>
      </c>
      <c r="U171" t="s">
        <v>1803</v>
      </c>
      <c r="V171" t="str" cm="1">
        <f t="array" aca="1" ref="V171" ca="1">IFERROR(_xlfn.IFS(A169="  ..............",OFFSET(A169,2,0),A168=" X-------------X",OFFSET(A168,3,0),MATCH("  ..............",A171:A180,0)&gt;2,V170),"-")</f>
        <v>-</v>
      </c>
      <c r="W171" t="str">
        <f t="shared" ca="1" si="6"/>
        <v>-</v>
      </c>
      <c r="X171" t="str">
        <f t="shared" ca="1" si="7"/>
        <v xml:space="preserve">     NOME     </v>
      </c>
      <c r="Y171" s="1" t="str">
        <f t="shared" ca="1" si="8"/>
        <v xml:space="preserve">   FLUXO %   </v>
      </c>
    </row>
    <row r="172" spans="1:25" x14ac:dyDescent="0.25">
      <c r="A172" t="s">
        <v>1588</v>
      </c>
      <c r="B172" t="s">
        <v>1587</v>
      </c>
      <c r="C172" t="s">
        <v>1804</v>
      </c>
      <c r="D172" t="s">
        <v>1805</v>
      </c>
      <c r="E172" t="s">
        <v>1806</v>
      </c>
      <c r="F172" t="s">
        <v>1807</v>
      </c>
      <c r="G172" t="s">
        <v>1808</v>
      </c>
      <c r="H172" t="s">
        <v>1587</v>
      </c>
      <c r="I172" t="s">
        <v>1809</v>
      </c>
      <c r="J172" t="s">
        <v>1810</v>
      </c>
      <c r="K172" t="s">
        <v>1811</v>
      </c>
      <c r="L172" t="s">
        <v>1812</v>
      </c>
      <c r="M172" t="s">
        <v>1791</v>
      </c>
      <c r="N172" t="s">
        <v>1813</v>
      </c>
      <c r="O172" t="s">
        <v>1814</v>
      </c>
      <c r="P172" t="s">
        <v>1815</v>
      </c>
      <c r="Q172" t="s">
        <v>1816</v>
      </c>
      <c r="R172" t="s">
        <v>1817</v>
      </c>
      <c r="S172" t="s">
        <v>1818</v>
      </c>
      <c r="T172" t="s">
        <v>1819</v>
      </c>
      <c r="U172" t="s">
        <v>1820</v>
      </c>
      <c r="V172" t="str" cm="1">
        <f t="array" aca="1" ref="V172" ca="1">IFERROR(_xlfn.IFS(A170="  ..............",OFFSET(A170,2,0),A169=" X-------------X",OFFSET(A169,3,0),MATCH("  ..............",A172:A181,0)&gt;2,V171),"-")</f>
        <v>-</v>
      </c>
      <c r="W172" t="str">
        <f t="shared" ca="1" si="6"/>
        <v>-</v>
      </c>
      <c r="X172" t="str">
        <f t="shared" ca="1" si="7"/>
        <v>X------------X</v>
      </c>
      <c r="Y172" s="1" t="str">
        <f t="shared" ca="1" si="8"/>
        <v>X-----------X</v>
      </c>
    </row>
    <row r="173" spans="1:25" x14ac:dyDescent="0.25">
      <c r="A173" t="s">
        <v>1563</v>
      </c>
      <c r="B173" t="s">
        <v>1564</v>
      </c>
      <c r="C173" t="s">
        <v>1564</v>
      </c>
      <c r="D173" t="s">
        <v>1564</v>
      </c>
      <c r="E173" t="s">
        <v>1564</v>
      </c>
      <c r="F173" t="s">
        <v>1565</v>
      </c>
      <c r="G173" t="s">
        <v>1564</v>
      </c>
      <c r="H173" t="s">
        <v>1564</v>
      </c>
      <c r="I173" t="s">
        <v>1566</v>
      </c>
      <c r="J173" t="s">
        <v>1567</v>
      </c>
      <c r="K173" t="s">
        <v>1568</v>
      </c>
      <c r="L173" t="s">
        <v>1564</v>
      </c>
      <c r="M173" t="s">
        <v>1564</v>
      </c>
      <c r="N173" t="s">
        <v>1564</v>
      </c>
      <c r="O173" t="s">
        <v>1569</v>
      </c>
      <c r="P173" t="s">
        <v>1566</v>
      </c>
      <c r="Q173" t="s">
        <v>1570</v>
      </c>
      <c r="R173" t="s">
        <v>1571</v>
      </c>
      <c r="S173" t="s">
        <v>1571</v>
      </c>
      <c r="T173" t="s">
        <v>1566</v>
      </c>
      <c r="U173" t="s">
        <v>1566</v>
      </c>
      <c r="V173" t="str" cm="1">
        <f t="array" aca="1" ref="V173" ca="1">IFERROR(_xlfn.IFS(A171="  ..............",OFFSET(A171,2,0),A170=" X-------------X",OFFSET(A170,3,0),MATCH("  ..............",A173:A182,0)&gt;2,V172),"-")</f>
        <v>-</v>
      </c>
      <c r="W173" t="str">
        <f t="shared" ca="1" si="6"/>
        <v>-</v>
      </c>
      <c r="X173" t="str">
        <f t="shared" ca="1" si="7"/>
        <v/>
      </c>
      <c r="Y173" s="1" t="str">
        <f t="shared" ca="1" si="8"/>
        <v/>
      </c>
    </row>
    <row r="174" spans="1:25" x14ac:dyDescent="0.25">
      <c r="A174" t="s">
        <v>1581</v>
      </c>
      <c r="B174" t="s">
        <v>1581</v>
      </c>
      <c r="C174" t="s">
        <v>1581</v>
      </c>
      <c r="D174" t="s">
        <v>1581</v>
      </c>
      <c r="E174" t="s">
        <v>1581</v>
      </c>
      <c r="F174" t="s">
        <v>1581</v>
      </c>
      <c r="G174" t="s">
        <v>1581</v>
      </c>
      <c r="H174" t="s">
        <v>1581</v>
      </c>
      <c r="I174" t="s">
        <v>1581</v>
      </c>
      <c r="J174" t="s">
        <v>1581</v>
      </c>
      <c r="K174" t="s">
        <v>1581</v>
      </c>
      <c r="L174" t="s">
        <v>1581</v>
      </c>
      <c r="M174" t="s">
        <v>1581</v>
      </c>
      <c r="N174" t="s">
        <v>1581</v>
      </c>
      <c r="O174" t="s">
        <v>1581</v>
      </c>
      <c r="P174" t="s">
        <v>1581</v>
      </c>
      <c r="Q174" t="s">
        <v>1581</v>
      </c>
      <c r="R174" t="s">
        <v>1581</v>
      </c>
      <c r="S174" t="s">
        <v>1581</v>
      </c>
      <c r="T174" t="s">
        <v>1581</v>
      </c>
      <c r="U174" t="s">
        <v>1581</v>
      </c>
      <c r="V174" t="str" cm="1">
        <f t="array" aca="1" ref="V174" ca="1">IFERROR(_xlfn.IFS(A172="  ..............",OFFSET(A172,2,0),A171=" X-------------X",OFFSET(A171,3,0),MATCH("  ..............",A174:A183,0)&gt;2,V173),"-")</f>
        <v>-</v>
      </c>
      <c r="W174" t="str">
        <f t="shared" ca="1" si="6"/>
        <v>-</v>
      </c>
      <c r="X174" t="str">
        <f t="shared" ca="1" si="7"/>
        <v/>
      </c>
      <c r="Y174" s="1" t="str">
        <f t="shared" ca="1" si="8"/>
        <v/>
      </c>
    </row>
    <row r="175" spans="1:25" x14ac:dyDescent="0.25">
      <c r="A175" t="s">
        <v>1821</v>
      </c>
      <c r="B175">
        <v>1.02</v>
      </c>
      <c r="C175">
        <v>26.5</v>
      </c>
      <c r="D175">
        <v>0</v>
      </c>
      <c r="E175">
        <v>104.1</v>
      </c>
      <c r="F175">
        <v>0</v>
      </c>
      <c r="G175">
        <v>18.7</v>
      </c>
      <c r="H175">
        <v>0</v>
      </c>
      <c r="I175" t="s">
        <v>1581</v>
      </c>
      <c r="J175" t="s">
        <v>1581</v>
      </c>
      <c r="K175" t="s">
        <v>1581</v>
      </c>
      <c r="L175" t="s">
        <v>1581</v>
      </c>
      <c r="M175" t="s">
        <v>1581</v>
      </c>
      <c r="N175" t="s">
        <v>1581</v>
      </c>
      <c r="O175" t="s">
        <v>1581</v>
      </c>
      <c r="P175" t="s">
        <v>1581</v>
      </c>
      <c r="Q175" t="s">
        <v>1581</v>
      </c>
      <c r="R175" t="s">
        <v>1581</v>
      </c>
      <c r="S175" t="s">
        <v>1581</v>
      </c>
      <c r="T175" t="s">
        <v>1581</v>
      </c>
      <c r="U175" t="s">
        <v>1581</v>
      </c>
      <c r="V175" t="str" cm="1">
        <f t="array" aca="1" ref="V175" ca="1">IFERROR(_xlfn.IFS(A173="  ..............",OFFSET(A173,2,0),A172=" X-------------X",OFFSET(A172,3,0),MATCH("  ..............",A175:A184,0)&gt;2,V174),"-")</f>
        <v>-</v>
      </c>
      <c r="W175" t="str">
        <f t="shared" ca="1" si="6"/>
        <v>-</v>
      </c>
      <c r="X175" t="str">
        <f t="shared" ca="1" si="7"/>
        <v xml:space="preserve">              </v>
      </c>
      <c r="Y175" s="1">
        <f t="shared" ca="1" si="8"/>
        <v>0</v>
      </c>
    </row>
    <row r="176" spans="1:25" x14ac:dyDescent="0.25">
      <c r="A176" t="s">
        <v>1822</v>
      </c>
      <c r="B176">
        <v>-48</v>
      </c>
      <c r="C176">
        <v>0</v>
      </c>
      <c r="D176">
        <v>0</v>
      </c>
      <c r="E176">
        <v>42.6</v>
      </c>
      <c r="F176">
        <v>0</v>
      </c>
      <c r="G176">
        <v>0</v>
      </c>
      <c r="H176">
        <v>0</v>
      </c>
      <c r="I176" t="s">
        <v>1584</v>
      </c>
      <c r="J176" t="s">
        <v>1585</v>
      </c>
      <c r="K176" t="s">
        <v>1586</v>
      </c>
      <c r="L176" t="s">
        <v>1587</v>
      </c>
      <c r="M176" t="s">
        <v>1587</v>
      </c>
      <c r="N176" t="s">
        <v>1586</v>
      </c>
      <c r="O176" t="s">
        <v>1581</v>
      </c>
      <c r="P176" t="s">
        <v>1581</v>
      </c>
      <c r="Q17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tr" cm="1">
        <f t="array" aca="1" ref="V176" ca="1">IFERROR(_xlfn.IFS(A174="  ..............",OFFSET(A174,2,0),A173=" X-------------X",OFFSET(A173,3,0),MATCH("  ..............",A176:A185,0)&gt;2,V175),"-")</f>
        <v xml:space="preserve">  NPRAT2-RS069  </v>
      </c>
      <c r="W176">
        <f t="shared" ca="1" si="6"/>
        <v>1.02</v>
      </c>
      <c r="X176" t="str">
        <f t="shared" ca="1" si="7"/>
        <v xml:space="preserve"> NPR2P2PCH069 </v>
      </c>
      <c r="Y176" s="1">
        <f t="shared" ca="1" si="8"/>
        <v>0.379</v>
      </c>
    </row>
    <row r="177" spans="1:25" x14ac:dyDescent="0.25">
      <c r="A177" t="s">
        <v>1588</v>
      </c>
      <c r="B177" t="s">
        <v>1587</v>
      </c>
      <c r="C177">
        <v>84</v>
      </c>
      <c r="D177">
        <v>84</v>
      </c>
      <c r="E177">
        <v>84</v>
      </c>
      <c r="F177" s="1">
        <v>0.379</v>
      </c>
      <c r="G177" t="s">
        <v>1587</v>
      </c>
      <c r="H177" t="s">
        <v>1587</v>
      </c>
      <c r="I177">
        <v>1316</v>
      </c>
      <c r="J177" t="s">
        <v>1823</v>
      </c>
      <c r="K177">
        <v>1</v>
      </c>
      <c r="L177">
        <v>-32.4</v>
      </c>
      <c r="M177">
        <v>1.8</v>
      </c>
      <c r="N177">
        <v>31.8</v>
      </c>
      <c r="O177" t="s">
        <v>1594</v>
      </c>
      <c r="P177" t="s">
        <v>1584</v>
      </c>
      <c r="Q177" t="s">
        <v>1591</v>
      </c>
      <c r="R177">
        <v>0.56999999999999995</v>
      </c>
      <c r="S177">
        <v>1.79</v>
      </c>
      <c r="T177" t="s">
        <v>1584</v>
      </c>
      <c r="U177" t="s">
        <v>1592</v>
      </c>
      <c r="V177" t="str" cm="1">
        <f t="array" aca="1" ref="V177" ca="1">IFERROR(_xlfn.IFS(A175="  ..............",OFFSET(A175,2,0),A174=" X-------------X",OFFSET(A174,3,0),MATCH("  ..............",A177:A186,0)&gt;2,V176),"-")</f>
        <v xml:space="preserve">  NPRAT2-RS069  </v>
      </c>
      <c r="W177">
        <f t="shared" ca="1" si="6"/>
        <v>1.02</v>
      </c>
      <c r="X177" t="str">
        <f t="shared" ca="1" si="7"/>
        <v xml:space="preserve"> NPR2P1PCH069 </v>
      </c>
      <c r="Y177" s="1">
        <f t="shared" ca="1" si="8"/>
        <v>0.373</v>
      </c>
    </row>
    <row r="178" spans="1:25" x14ac:dyDescent="0.25">
      <c r="A178" t="s">
        <v>1588</v>
      </c>
      <c r="B178" t="s">
        <v>1587</v>
      </c>
      <c r="C178">
        <v>84</v>
      </c>
      <c r="D178">
        <v>84</v>
      </c>
      <c r="E178">
        <v>84</v>
      </c>
      <c r="F178" s="1">
        <v>0.373</v>
      </c>
      <c r="G178" t="s">
        <v>1587</v>
      </c>
      <c r="H178" t="s">
        <v>1587</v>
      </c>
      <c r="I178">
        <v>1317</v>
      </c>
      <c r="J178" t="s">
        <v>1824</v>
      </c>
      <c r="K178">
        <v>1</v>
      </c>
      <c r="L178">
        <v>-31.9</v>
      </c>
      <c r="M178">
        <v>1.6</v>
      </c>
      <c r="N178">
        <v>31.3</v>
      </c>
      <c r="O178" t="s">
        <v>1594</v>
      </c>
      <c r="P178" t="s">
        <v>1584</v>
      </c>
      <c r="Q178" t="s">
        <v>1591</v>
      </c>
      <c r="R178">
        <v>0.5</v>
      </c>
      <c r="S178">
        <v>1.55</v>
      </c>
      <c r="T178" t="s">
        <v>1584</v>
      </c>
      <c r="U178" t="s">
        <v>1592</v>
      </c>
      <c r="V178" t="str" cm="1">
        <f t="array" aca="1" ref="V178" ca="1">IFERROR(_xlfn.IFS(A176="  ..............",OFFSET(A176,2,0),A175=" X-------------X",OFFSET(A175,3,0),MATCH("  ..............",A178:A187,0)&gt;2,V177),"-")</f>
        <v xml:space="preserve">  NPRAT2-RS069  </v>
      </c>
      <c r="W178">
        <f t="shared" ca="1" si="6"/>
        <v>1.02</v>
      </c>
      <c r="X178" t="str">
        <f t="shared" ca="1" si="7"/>
        <v xml:space="preserve"> NPR2-1-RS000 </v>
      </c>
      <c r="Y178" s="1">
        <f t="shared" ca="1" si="8"/>
        <v>0.09</v>
      </c>
    </row>
    <row r="179" spans="1:25" x14ac:dyDescent="0.25">
      <c r="A179" t="s">
        <v>1588</v>
      </c>
      <c r="B179" t="s">
        <v>1587</v>
      </c>
      <c r="C179">
        <v>165</v>
      </c>
      <c r="D179">
        <v>198</v>
      </c>
      <c r="E179">
        <v>198</v>
      </c>
      <c r="F179" s="1">
        <v>0.09</v>
      </c>
      <c r="G179" t="s">
        <v>1587</v>
      </c>
      <c r="H179" t="s">
        <v>1587</v>
      </c>
      <c r="I179">
        <v>41298</v>
      </c>
      <c r="J179" t="s">
        <v>1825</v>
      </c>
      <c r="K179">
        <v>1</v>
      </c>
      <c r="L179">
        <v>-6.6</v>
      </c>
      <c r="M179">
        <v>-13.6</v>
      </c>
      <c r="N179">
        <v>14.8</v>
      </c>
      <c r="O179" t="s">
        <v>1608</v>
      </c>
      <c r="P179" t="s">
        <v>1584</v>
      </c>
      <c r="Q179">
        <v>2</v>
      </c>
      <c r="R179">
        <v>0</v>
      </c>
      <c r="S179">
        <v>-0.01</v>
      </c>
      <c r="T179" t="s">
        <v>1584</v>
      </c>
      <c r="U179" t="s">
        <v>1592</v>
      </c>
      <c r="V179" t="str" cm="1">
        <f t="array" aca="1" ref="V179" ca="1">IFERROR(_xlfn.IFS(A177="  ..............",OFFSET(A177,2,0),A176=" X-------------X",OFFSET(A176,3,0),MATCH("  ..............",A179:A188,0)&gt;2,V178),"-")</f>
        <v xml:space="preserve">  NPRAT2-RS069  </v>
      </c>
      <c r="W179">
        <f t="shared" ca="1" si="6"/>
        <v>1.02</v>
      </c>
      <c r="X179" t="str">
        <f t="shared" ca="1" si="7"/>
        <v xml:space="preserve"> NPR2-2-RS000 </v>
      </c>
      <c r="Y179" s="1">
        <f t="shared" ca="1" si="8"/>
        <v>0.09</v>
      </c>
    </row>
    <row r="180" spans="1:25" x14ac:dyDescent="0.25">
      <c r="A180" t="s">
        <v>1588</v>
      </c>
      <c r="B180" t="s">
        <v>1587</v>
      </c>
      <c r="C180">
        <v>165</v>
      </c>
      <c r="D180">
        <v>198</v>
      </c>
      <c r="E180">
        <v>198</v>
      </c>
      <c r="F180" s="1">
        <v>0.09</v>
      </c>
      <c r="G180" t="s">
        <v>1587</v>
      </c>
      <c r="H180" t="s">
        <v>1587</v>
      </c>
      <c r="I180">
        <v>41299</v>
      </c>
      <c r="J180" t="s">
        <v>1826</v>
      </c>
      <c r="K180">
        <v>2</v>
      </c>
      <c r="L180">
        <v>-6.6</v>
      </c>
      <c r="M180">
        <v>-13.6</v>
      </c>
      <c r="N180">
        <v>14.8</v>
      </c>
      <c r="O180" t="s">
        <v>1608</v>
      </c>
      <c r="P180" t="s">
        <v>1584</v>
      </c>
      <c r="Q180">
        <v>2</v>
      </c>
      <c r="R180">
        <v>0</v>
      </c>
      <c r="S180">
        <v>-0.01</v>
      </c>
      <c r="T180" t="s">
        <v>1584</v>
      </c>
      <c r="U180" t="s">
        <v>1592</v>
      </c>
      <c r="V180" t="str" cm="1">
        <f t="array" aca="1" ref="V180" ca="1">IFERROR(_xlfn.IFS(A178="  ..............",OFFSET(A178,2,0),A177=" X-------------X",OFFSET(A177,3,0),MATCH("  ..............",A180:A189,0)&gt;2,V179),"-")</f>
        <v>-</v>
      </c>
      <c r="W180" t="str">
        <f t="shared" ca="1" si="6"/>
        <v>-</v>
      </c>
      <c r="X180" t="str">
        <f t="shared" ca="1" si="7"/>
        <v>-</v>
      </c>
      <c r="Y180" s="1" t="str">
        <f t="shared" ca="1" si="8"/>
        <v>-</v>
      </c>
    </row>
    <row r="181" spans="1:25" x14ac:dyDescent="0.25">
      <c r="A181" t="s">
        <v>1572</v>
      </c>
      <c r="B181" t="s">
        <v>1574</v>
      </c>
      <c r="C181" t="s">
        <v>1574</v>
      </c>
      <c r="D181" t="s">
        <v>1574</v>
      </c>
      <c r="E181" t="s">
        <v>1574</v>
      </c>
      <c r="F181" t="s">
        <v>1575</v>
      </c>
      <c r="G181" t="s">
        <v>1574</v>
      </c>
      <c r="H181" t="s">
        <v>1574</v>
      </c>
      <c r="I181" t="s">
        <v>1576</v>
      </c>
      <c r="J181" t="s">
        <v>1573</v>
      </c>
      <c r="K181" t="s">
        <v>1577</v>
      </c>
      <c r="L181" t="s">
        <v>1574</v>
      </c>
      <c r="M181" t="s">
        <v>1574</v>
      </c>
      <c r="N181" t="s">
        <v>1574</v>
      </c>
      <c r="O181" t="s">
        <v>1578</v>
      </c>
      <c r="P181" t="s">
        <v>1576</v>
      </c>
      <c r="Q181" t="s">
        <v>1579</v>
      </c>
      <c r="R181" t="s">
        <v>1580</v>
      </c>
      <c r="S181" t="s">
        <v>1580</v>
      </c>
      <c r="T181" t="s">
        <v>1576</v>
      </c>
      <c r="U181" t="s">
        <v>1576</v>
      </c>
      <c r="V181" t="str" cm="1">
        <f t="array" aca="1" ref="V181" ca="1">IFERROR(_xlfn.IFS(A179="  ..............",OFFSET(A179,2,0),A178=" X-------------X",OFFSET(A178,3,0),MATCH("  ..............",A181:A190,0)&gt;2,V180),"-")</f>
        <v>-</v>
      </c>
      <c r="W181" t="str">
        <f t="shared" ca="1" si="6"/>
        <v>-</v>
      </c>
      <c r="X181" t="str">
        <f t="shared" ca="1" si="7"/>
        <v/>
      </c>
      <c r="Y181" s="1" t="str">
        <f t="shared" ca="1" si="8"/>
        <v/>
      </c>
    </row>
    <row r="182" spans="1:25" x14ac:dyDescent="0.25">
      <c r="A182" t="s">
        <v>1827</v>
      </c>
      <c r="B182">
        <v>1.018</v>
      </c>
      <c r="C182">
        <v>0</v>
      </c>
      <c r="D182">
        <v>0</v>
      </c>
      <c r="E182">
        <v>5.4</v>
      </c>
      <c r="F182">
        <v>0</v>
      </c>
      <c r="G182">
        <v>0</v>
      </c>
      <c r="H182">
        <v>0</v>
      </c>
      <c r="I182" t="s">
        <v>1581</v>
      </c>
      <c r="J182" t="s">
        <v>1581</v>
      </c>
      <c r="K182" t="s">
        <v>1581</v>
      </c>
      <c r="L182" t="s">
        <v>1581</v>
      </c>
      <c r="M182" t="s">
        <v>1581</v>
      </c>
      <c r="N182" t="s">
        <v>1581</v>
      </c>
      <c r="O182" t="s">
        <v>1581</v>
      </c>
      <c r="P182" t="s">
        <v>1581</v>
      </c>
      <c r="Q182" t="s">
        <v>1581</v>
      </c>
      <c r="R182" t="s">
        <v>1581</v>
      </c>
      <c r="S182" t="s">
        <v>1581</v>
      </c>
      <c r="T182" t="s">
        <v>1581</v>
      </c>
      <c r="U182" t="s">
        <v>1581</v>
      </c>
      <c r="V182" t="str" cm="1">
        <f t="array" aca="1" ref="V182" ca="1">IFERROR(_xlfn.IFS(A180="  ..............",OFFSET(A180,2,0),A179=" X-------------X",OFFSET(A179,3,0),MATCH("  ..............",A182:A191,0)&gt;2,V181),"-")</f>
        <v>-</v>
      </c>
      <c r="W182" t="str">
        <f t="shared" ca="1" si="6"/>
        <v>-</v>
      </c>
      <c r="X182" t="str">
        <f t="shared" ca="1" si="7"/>
        <v xml:space="preserve">              </v>
      </c>
      <c r="Y182" s="1">
        <f t="shared" ca="1" si="8"/>
        <v>0</v>
      </c>
    </row>
    <row r="183" spans="1:25" x14ac:dyDescent="0.25">
      <c r="A183" t="s">
        <v>1828</v>
      </c>
      <c r="B183">
        <v>-52.4</v>
      </c>
      <c r="C183">
        <v>0</v>
      </c>
      <c r="D183">
        <v>0</v>
      </c>
      <c r="E183">
        <v>2.2999999999999998</v>
      </c>
      <c r="F183">
        <v>0</v>
      </c>
      <c r="G183">
        <v>0</v>
      </c>
      <c r="H183">
        <v>0</v>
      </c>
      <c r="I183" t="s">
        <v>1584</v>
      </c>
      <c r="J183" t="s">
        <v>1585</v>
      </c>
      <c r="K183" t="s">
        <v>1586</v>
      </c>
      <c r="L183" t="s">
        <v>1587</v>
      </c>
      <c r="M183" t="s">
        <v>1587</v>
      </c>
      <c r="N183" t="s">
        <v>1586</v>
      </c>
      <c r="O183" t="s">
        <v>1581</v>
      </c>
      <c r="P183" t="s">
        <v>1581</v>
      </c>
      <c r="Q183" t="s">
        <v>1581</v>
      </c>
      <c r="R183" t="s">
        <v>1581</v>
      </c>
      <c r="S183" t="s">
        <v>1581</v>
      </c>
      <c r="T183" t="s">
        <v>1581</v>
      </c>
      <c r="U183" t="s">
        <v>1581</v>
      </c>
      <c r="V183" t="str" cm="1">
        <f t="array" aca="1" ref="V183" ca="1">IFERROR(_xlfn.IFS(A181="  ..............",OFFSET(A181,2,0),A180=" X-------------X",OFFSET(A180,3,0),MATCH("  ..............",A183:A192,0)&gt;2,V182),"-")</f>
        <v xml:space="preserve">  MAXSPR-RS138  </v>
      </c>
      <c r="W183">
        <f t="shared" ca="1" si="6"/>
        <v>1.018</v>
      </c>
      <c r="X183" t="str">
        <f t="shared" ca="1" si="7"/>
        <v xml:space="preserve"> SLUIZ--RS138 </v>
      </c>
      <c r="Y183" s="1">
        <f t="shared" ca="1" si="8"/>
        <v>0.309</v>
      </c>
    </row>
    <row r="184" spans="1:25" x14ac:dyDescent="0.25">
      <c r="A184" t="s">
        <v>1588</v>
      </c>
      <c r="B184" t="s">
        <v>1587</v>
      </c>
      <c r="C184">
        <v>108</v>
      </c>
      <c r="D184">
        <v>108</v>
      </c>
      <c r="E184">
        <v>108</v>
      </c>
      <c r="F184" s="1">
        <v>0.309</v>
      </c>
      <c r="G184" t="s">
        <v>1587</v>
      </c>
      <c r="H184" t="s">
        <v>1587</v>
      </c>
      <c r="I184">
        <v>1252</v>
      </c>
      <c r="J184" t="s">
        <v>1829</v>
      </c>
      <c r="K184">
        <v>1</v>
      </c>
      <c r="L184">
        <v>-34</v>
      </c>
      <c r="M184">
        <v>1</v>
      </c>
      <c r="N184">
        <v>33.4</v>
      </c>
      <c r="O184" t="s">
        <v>1594</v>
      </c>
      <c r="P184" t="s">
        <v>1584</v>
      </c>
      <c r="Q184" t="s">
        <v>1591</v>
      </c>
      <c r="R184">
        <v>0.02</v>
      </c>
      <c r="S184">
        <v>-0.12</v>
      </c>
      <c r="T184" t="s">
        <v>1584</v>
      </c>
      <c r="U184" t="s">
        <v>1592</v>
      </c>
      <c r="V184" t="str" cm="1">
        <f t="array" aca="1" ref="V184" ca="1">IFERROR(_xlfn.IFS(A182="  ..............",OFFSET(A182,2,0),A181=" X-------------X",OFFSET(A181,3,0),MATCH("  ..............",A184:A193,0)&gt;2,V183),"-")</f>
        <v xml:space="preserve">  MAXSPR-RS138  </v>
      </c>
      <c r="W184">
        <f t="shared" ca="1" si="6"/>
        <v>1.018</v>
      </c>
      <c r="X184" t="str">
        <f t="shared" ca="1" si="7"/>
        <v xml:space="preserve"> ZOOLOG-RS138 </v>
      </c>
      <c r="Y184" s="1">
        <f t="shared" ca="1" si="8"/>
        <v>0.26200000000000001</v>
      </c>
    </row>
    <row r="185" spans="1:25" x14ac:dyDescent="0.25">
      <c r="A185" t="s">
        <v>1588</v>
      </c>
      <c r="B185" t="s">
        <v>1587</v>
      </c>
      <c r="C185">
        <v>108</v>
      </c>
      <c r="D185">
        <v>108</v>
      </c>
      <c r="E185">
        <v>108</v>
      </c>
      <c r="F185" s="1">
        <v>0.26200000000000001</v>
      </c>
      <c r="G185" t="s">
        <v>1587</v>
      </c>
      <c r="H185" t="s">
        <v>1587</v>
      </c>
      <c r="I185">
        <v>2099</v>
      </c>
      <c r="J185" t="s">
        <v>1830</v>
      </c>
      <c r="K185">
        <v>1</v>
      </c>
      <c r="L185">
        <v>28.6</v>
      </c>
      <c r="M185">
        <v>-3.3</v>
      </c>
      <c r="N185">
        <v>28.3</v>
      </c>
      <c r="O185" t="s">
        <v>1594</v>
      </c>
      <c r="P185" t="s">
        <v>1584</v>
      </c>
      <c r="Q185" t="s">
        <v>1591</v>
      </c>
      <c r="R185">
        <v>7.0000000000000007E-2</v>
      </c>
      <c r="S185">
        <v>-0.65</v>
      </c>
      <c r="T185" t="s">
        <v>1584</v>
      </c>
      <c r="U185" t="s">
        <v>1592</v>
      </c>
      <c r="V185" t="str" cm="1">
        <f t="array" aca="1" ref="V185" ca="1">IFERROR(_xlfn.IFS(A183="  ..............",OFFSET(A183,2,0),A182=" X-------------X",OFFSET(A182,3,0),MATCH("  ..............",A185:A194,0)&gt;2,V184),"-")</f>
        <v>-</v>
      </c>
      <c r="W185" t="str">
        <f t="shared" ca="1" si="6"/>
        <v>-</v>
      </c>
      <c r="X185" t="str">
        <f t="shared" ca="1" si="7"/>
        <v>-</v>
      </c>
      <c r="Y185" s="1" t="str">
        <f t="shared" ca="1" si="8"/>
        <v>-</v>
      </c>
    </row>
    <row r="186" spans="1:25" x14ac:dyDescent="0.25">
      <c r="A186" t="s">
        <v>1572</v>
      </c>
      <c r="B186" t="s">
        <v>1574</v>
      </c>
      <c r="C186" t="s">
        <v>1574</v>
      </c>
      <c r="D186" t="s">
        <v>1574</v>
      </c>
      <c r="E186" t="s">
        <v>1574</v>
      </c>
      <c r="F186" t="s">
        <v>1575</v>
      </c>
      <c r="G186" t="s">
        <v>1574</v>
      </c>
      <c r="H186" t="s">
        <v>1574</v>
      </c>
      <c r="I186" t="s">
        <v>1576</v>
      </c>
      <c r="J186" t="s">
        <v>1573</v>
      </c>
      <c r="K186" t="s">
        <v>1577</v>
      </c>
      <c r="L186" t="s">
        <v>1574</v>
      </c>
      <c r="M186" t="s">
        <v>1574</v>
      </c>
      <c r="N186" t="s">
        <v>1574</v>
      </c>
      <c r="O186" t="s">
        <v>1578</v>
      </c>
      <c r="P186" t="s">
        <v>1576</v>
      </c>
      <c r="Q186" t="s">
        <v>1579</v>
      </c>
      <c r="R186" t="s">
        <v>1580</v>
      </c>
      <c r="S186" t="s">
        <v>1580</v>
      </c>
      <c r="T186" t="s">
        <v>1576</v>
      </c>
      <c r="U186" t="s">
        <v>1576</v>
      </c>
      <c r="V186" t="str" cm="1">
        <f t="array" aca="1" ref="V186" ca="1">IFERROR(_xlfn.IFS(A184="  ..............",OFFSET(A184,2,0),A183=" X-------------X",OFFSET(A183,3,0),MATCH("  ..............",A186:A195,0)&gt;2,V185),"-")</f>
        <v>-</v>
      </c>
      <c r="W186" t="str">
        <f t="shared" ca="1" si="6"/>
        <v>-</v>
      </c>
      <c r="X186" t="str">
        <f t="shared" ca="1" si="7"/>
        <v/>
      </c>
      <c r="Y186" s="1" t="str">
        <f t="shared" ca="1" si="8"/>
        <v/>
      </c>
    </row>
    <row r="187" spans="1:25" x14ac:dyDescent="0.25">
      <c r="A187" t="s">
        <v>1831</v>
      </c>
      <c r="B187">
        <v>0.998</v>
      </c>
      <c r="C187">
        <v>1.3</v>
      </c>
      <c r="D187">
        <v>0</v>
      </c>
      <c r="E187">
        <v>12.4</v>
      </c>
      <c r="F187">
        <v>0</v>
      </c>
      <c r="G187">
        <v>0</v>
      </c>
      <c r="H187">
        <v>0</v>
      </c>
      <c r="I187" t="s">
        <v>1581</v>
      </c>
      <c r="J187" t="s">
        <v>1581</v>
      </c>
      <c r="K187" t="s">
        <v>1581</v>
      </c>
      <c r="L187" t="s">
        <v>1581</v>
      </c>
      <c r="M187" t="s">
        <v>1581</v>
      </c>
      <c r="N187" t="s">
        <v>1581</v>
      </c>
      <c r="O187" t="s">
        <v>1581</v>
      </c>
      <c r="P187" t="s">
        <v>1581</v>
      </c>
      <c r="Q187" t="s">
        <v>1581</v>
      </c>
      <c r="R187" t="s">
        <v>1581</v>
      </c>
      <c r="S187" t="s">
        <v>1581</v>
      </c>
      <c r="T187" t="s">
        <v>1581</v>
      </c>
      <c r="U187" t="s">
        <v>1581</v>
      </c>
      <c r="V187" t="str" cm="1">
        <f t="array" aca="1" ref="V187" ca="1">IFERROR(_xlfn.IFS(A185="  ..............",OFFSET(A185,2,0),A184=" X-------------X",OFFSET(A184,3,0),MATCH("  ..............",A187:A196,0)&gt;2,V186),"-")</f>
        <v>-</v>
      </c>
      <c r="W187" t="str">
        <f t="shared" ca="1" si="6"/>
        <v>-</v>
      </c>
      <c r="X187" t="str">
        <f t="shared" ca="1" si="7"/>
        <v xml:space="preserve">              </v>
      </c>
      <c r="Y187" s="1">
        <f t="shared" ca="1" si="8"/>
        <v>0</v>
      </c>
    </row>
    <row r="188" spans="1:25" x14ac:dyDescent="0.25">
      <c r="A188" t="s">
        <v>1832</v>
      </c>
      <c r="B188">
        <v>-48.6</v>
      </c>
      <c r="C188">
        <v>0</v>
      </c>
      <c r="D188">
        <v>0</v>
      </c>
      <c r="E188">
        <v>4.7</v>
      </c>
      <c r="F188">
        <v>0</v>
      </c>
      <c r="G188">
        <v>0</v>
      </c>
      <c r="H188">
        <v>0</v>
      </c>
      <c r="I188" t="s">
        <v>1584</v>
      </c>
      <c r="J188" t="s">
        <v>1585</v>
      </c>
      <c r="K188" t="s">
        <v>1586</v>
      </c>
      <c r="L188" t="s">
        <v>1587</v>
      </c>
      <c r="M188" t="s">
        <v>1587</v>
      </c>
      <c r="N188" t="s">
        <v>1586</v>
      </c>
      <c r="O188" t="s">
        <v>1581</v>
      </c>
      <c r="P188" t="s">
        <v>1581</v>
      </c>
      <c r="Q188" t="s">
        <v>1581</v>
      </c>
      <c r="R188" t="s">
        <v>1581</v>
      </c>
      <c r="S188" t="s">
        <v>1581</v>
      </c>
      <c r="T188" t="s">
        <v>1581</v>
      </c>
      <c r="U188" t="s">
        <v>1581</v>
      </c>
      <c r="V188" t="str" cm="1">
        <f t="array" aca="1" ref="V188" ca="1">IFERROR(_xlfn.IFS(A186="  ..............",OFFSET(A186,2,0),A185=" X-------------X",OFFSET(A185,3,0),MATCH("  ..............",A188:A197,0)&gt;2,V187),"-")</f>
        <v xml:space="preserve">  PALMAR-RS138  </v>
      </c>
      <c r="W188">
        <f t="shared" ca="1" si="6"/>
        <v>0.998</v>
      </c>
      <c r="X188" t="str">
        <f t="shared" ca="1" si="7"/>
        <v xml:space="preserve"> CAPIVA-RS138 </v>
      </c>
      <c r="Y188" s="1">
        <f t="shared" ca="1" si="8"/>
        <v>8.9999999999999993E-3</v>
      </c>
    </row>
    <row r="189" spans="1:25" x14ac:dyDescent="0.25">
      <c r="A189" t="s">
        <v>1588</v>
      </c>
      <c r="B189" t="s">
        <v>1587</v>
      </c>
      <c r="C189">
        <v>82</v>
      </c>
      <c r="D189">
        <v>118</v>
      </c>
      <c r="E189">
        <v>118</v>
      </c>
      <c r="F189" s="1">
        <v>8.9999999999999993E-3</v>
      </c>
      <c r="G189" t="s">
        <v>1587</v>
      </c>
      <c r="H189" t="s">
        <v>1587</v>
      </c>
      <c r="I189">
        <v>1038</v>
      </c>
      <c r="J189" t="s">
        <v>1833</v>
      </c>
      <c r="K189">
        <v>1</v>
      </c>
      <c r="L189">
        <v>-0.8</v>
      </c>
      <c r="M189">
        <v>0</v>
      </c>
      <c r="N189">
        <v>0.8</v>
      </c>
      <c r="O189" t="s">
        <v>1594</v>
      </c>
      <c r="P189" t="s">
        <v>1584</v>
      </c>
      <c r="Q189" t="s">
        <v>1591</v>
      </c>
      <c r="R189">
        <v>0</v>
      </c>
      <c r="S189">
        <v>-1.08</v>
      </c>
      <c r="T189" t="s">
        <v>1584</v>
      </c>
      <c r="U189" t="s">
        <v>1592</v>
      </c>
      <c r="V189" t="str" cm="1">
        <f t="array" aca="1" ref="V189" ca="1">IFERROR(_xlfn.IFS(A187="  ..............",OFFSET(A187,2,0),A186=" X-------------X",OFFSET(A186,3,0),MATCH("  ..............",A189:A198,0)&gt;2,V188),"-")</f>
        <v xml:space="preserve">  PALMAR-RS138  </v>
      </c>
      <c r="W189">
        <f t="shared" ca="1" si="6"/>
        <v>0.998</v>
      </c>
      <c r="X189" t="str">
        <f t="shared" ca="1" si="7"/>
        <v xml:space="preserve"> PALMARTAP138 </v>
      </c>
      <c r="Y189" s="1">
        <f t="shared" ca="1" si="8"/>
        <v>0.11</v>
      </c>
    </row>
    <row r="190" spans="1:25" x14ac:dyDescent="0.25">
      <c r="A190" t="s">
        <v>1588</v>
      </c>
      <c r="B190" t="s">
        <v>1587</v>
      </c>
      <c r="C190">
        <v>103</v>
      </c>
      <c r="D190">
        <v>131</v>
      </c>
      <c r="E190">
        <v>131</v>
      </c>
      <c r="F190" s="1">
        <v>0.11</v>
      </c>
      <c r="G190" t="s">
        <v>1587</v>
      </c>
      <c r="H190" t="s">
        <v>1587</v>
      </c>
      <c r="I190">
        <v>9730</v>
      </c>
      <c r="J190" t="s">
        <v>1834</v>
      </c>
      <c r="K190">
        <v>1</v>
      </c>
      <c r="L190">
        <v>-10.3</v>
      </c>
      <c r="M190">
        <v>-4.7</v>
      </c>
      <c r="N190">
        <v>11.4</v>
      </c>
      <c r="O190" t="s">
        <v>1594</v>
      </c>
      <c r="P190" t="s">
        <v>1584</v>
      </c>
      <c r="Q190" t="s">
        <v>1591</v>
      </c>
      <c r="R190">
        <v>0.03</v>
      </c>
      <c r="S190">
        <v>-1.1499999999999999</v>
      </c>
      <c r="T190" t="s">
        <v>1584</v>
      </c>
      <c r="U190" t="s">
        <v>1592</v>
      </c>
      <c r="V190" t="str" cm="1">
        <f t="array" aca="1" ref="V190" ca="1">IFERROR(_xlfn.IFS(A188="  ..............",OFFSET(A188,2,0),A187=" X-------------X",OFFSET(A187,3,0),MATCH("  ..............",A190:A199,0)&gt;2,V189),"-")</f>
        <v>-</v>
      </c>
      <c r="W190" t="str">
        <f t="shared" ca="1" si="6"/>
        <v>-</v>
      </c>
      <c r="X190" t="str">
        <f t="shared" ca="1" si="7"/>
        <v>-</v>
      </c>
      <c r="Y190" s="1" t="str">
        <f t="shared" ca="1" si="8"/>
        <v>-</v>
      </c>
    </row>
    <row r="191" spans="1:25" x14ac:dyDescent="0.25">
      <c r="A191" t="s">
        <v>1572</v>
      </c>
      <c r="B191" t="s">
        <v>1574</v>
      </c>
      <c r="C191" t="s">
        <v>1574</v>
      </c>
      <c r="D191" t="s">
        <v>1574</v>
      </c>
      <c r="E191" t="s">
        <v>1574</v>
      </c>
      <c r="F191" t="s">
        <v>1575</v>
      </c>
      <c r="G191" t="s">
        <v>1574</v>
      </c>
      <c r="H191" t="s">
        <v>1574</v>
      </c>
      <c r="I191" t="s">
        <v>1576</v>
      </c>
      <c r="J191" t="s">
        <v>1573</v>
      </c>
      <c r="K191" t="s">
        <v>1577</v>
      </c>
      <c r="L191" t="s">
        <v>1574</v>
      </c>
      <c r="M191" t="s">
        <v>1574</v>
      </c>
      <c r="N191" t="s">
        <v>1574</v>
      </c>
      <c r="O191" t="s">
        <v>1578</v>
      </c>
      <c r="P191" t="s">
        <v>1576</v>
      </c>
      <c r="Q191" t="s">
        <v>1579</v>
      </c>
      <c r="R191" t="s">
        <v>1580</v>
      </c>
      <c r="S191" t="s">
        <v>1580</v>
      </c>
      <c r="T191" t="s">
        <v>1576</v>
      </c>
      <c r="U191" t="s">
        <v>1576</v>
      </c>
      <c r="V191" t="str" cm="1">
        <f t="array" aca="1" ref="V191" ca="1">IFERROR(_xlfn.IFS(A189="  ..............",OFFSET(A189,2,0),A188=" X-------------X",OFFSET(A188,3,0),MATCH("  ..............",A191:A200,0)&gt;2,V190),"-")</f>
        <v>-</v>
      </c>
      <c r="W191" t="str">
        <f t="shared" ca="1" si="6"/>
        <v>-</v>
      </c>
      <c r="X191" t="str">
        <f t="shared" ca="1" si="7"/>
        <v/>
      </c>
      <c r="Y191" s="1" t="str">
        <f t="shared" ca="1" si="8"/>
        <v/>
      </c>
    </row>
    <row r="192" spans="1:25" x14ac:dyDescent="0.25">
      <c r="A192" t="s">
        <v>1835</v>
      </c>
      <c r="B192">
        <v>1.006</v>
      </c>
      <c r="C192">
        <v>6.6</v>
      </c>
      <c r="D192">
        <v>0</v>
      </c>
      <c r="E192">
        <v>58.9</v>
      </c>
      <c r="F192">
        <v>0</v>
      </c>
      <c r="G192">
        <v>3.6</v>
      </c>
      <c r="H192">
        <v>0</v>
      </c>
      <c r="I192" t="s">
        <v>1581</v>
      </c>
      <c r="J192" t="s">
        <v>1581</v>
      </c>
      <c r="K192" t="s">
        <v>1581</v>
      </c>
      <c r="L192" t="s">
        <v>1581</v>
      </c>
      <c r="M192" t="s">
        <v>1581</v>
      </c>
      <c r="N192" t="s">
        <v>1581</v>
      </c>
      <c r="O192" t="s">
        <v>1581</v>
      </c>
      <c r="P192" t="s">
        <v>1581</v>
      </c>
      <c r="Q192" t="s">
        <v>1581</v>
      </c>
      <c r="R192" t="s">
        <v>1581</v>
      </c>
      <c r="S192" t="s">
        <v>1581</v>
      </c>
      <c r="T192" t="s">
        <v>1581</v>
      </c>
      <c r="U192" t="s">
        <v>1581</v>
      </c>
      <c r="V192" t="str" cm="1">
        <f t="array" aca="1" ref="V192" ca="1">IFERROR(_xlfn.IFS(A190="  ..............",OFFSET(A190,2,0),A189=" X-------------X",OFFSET(A189,3,0),MATCH("  ..............",A192:A201,0)&gt;2,V191),"-")</f>
        <v>-</v>
      </c>
      <c r="W192" t="str">
        <f t="shared" ca="1" si="6"/>
        <v>-</v>
      </c>
      <c r="X192" t="str">
        <f t="shared" ca="1" si="7"/>
        <v xml:space="preserve">              </v>
      </c>
      <c r="Y192" s="1">
        <f t="shared" ca="1" si="8"/>
        <v>0</v>
      </c>
    </row>
    <row r="193" spans="1:25" x14ac:dyDescent="0.25">
      <c r="A193" t="s">
        <v>1836</v>
      </c>
      <c r="B193">
        <v>-50.1</v>
      </c>
      <c r="C193">
        <v>0</v>
      </c>
      <c r="D193">
        <v>0</v>
      </c>
      <c r="E193">
        <v>21.9</v>
      </c>
      <c r="F193">
        <v>0</v>
      </c>
      <c r="G193">
        <v>0</v>
      </c>
      <c r="H193">
        <v>0</v>
      </c>
      <c r="I193" t="s">
        <v>1584</v>
      </c>
      <c r="J193" t="s">
        <v>1585</v>
      </c>
      <c r="K193" t="s">
        <v>1586</v>
      </c>
      <c r="L193" t="s">
        <v>1587</v>
      </c>
      <c r="M193" t="s">
        <v>1587</v>
      </c>
      <c r="N193" t="s">
        <v>1586</v>
      </c>
      <c r="O193" t="s">
        <v>1581</v>
      </c>
      <c r="P193" t="s">
        <v>1581</v>
      </c>
      <c r="Q193" t="s">
        <v>1581</v>
      </c>
      <c r="R193" t="s">
        <v>1581</v>
      </c>
      <c r="S193" t="s">
        <v>1581</v>
      </c>
      <c r="T193" t="s">
        <v>1581</v>
      </c>
      <c r="U193" t="s">
        <v>1581</v>
      </c>
      <c r="V193" t="str" cm="1">
        <f t="array" aca="1" ref="V193" ca="1">IFERROR(_xlfn.IFS(A191="  ..............",OFFSET(A191,2,0),A190=" X-------------X",OFFSET(A190,3,0),MATCH("  ..............",A193:A202,0)&gt;2,V192),"-")</f>
        <v xml:space="preserve">  OSORI2-RS069  </v>
      </c>
      <c r="W193">
        <f t="shared" ca="1" si="6"/>
        <v>1.006</v>
      </c>
      <c r="X193" t="str">
        <f t="shared" ca="1" si="7"/>
        <v xml:space="preserve"> OSORI2-RS138 </v>
      </c>
      <c r="Y193" s="1" t="str">
        <f t="shared" ca="1" si="8"/>
        <v xml:space="preserve">             </v>
      </c>
    </row>
    <row r="194" spans="1:25" x14ac:dyDescent="0.25">
      <c r="A194" t="s">
        <v>1637</v>
      </c>
      <c r="B194" t="s">
        <v>1638</v>
      </c>
      <c r="C194">
        <v>54</v>
      </c>
      <c r="D194">
        <v>54</v>
      </c>
      <c r="E194">
        <v>54</v>
      </c>
      <c r="F194" t="s">
        <v>1639</v>
      </c>
      <c r="G194" t="s">
        <v>1587</v>
      </c>
      <c r="H194" t="s">
        <v>1587</v>
      </c>
      <c r="I194">
        <v>1244</v>
      </c>
      <c r="J194" t="s">
        <v>1837</v>
      </c>
      <c r="K194">
        <v>3</v>
      </c>
      <c r="L194">
        <v>0</v>
      </c>
      <c r="M194">
        <v>0</v>
      </c>
      <c r="N194">
        <v>0</v>
      </c>
      <c r="O194" t="s">
        <v>1838</v>
      </c>
      <c r="P194" t="s">
        <v>1584</v>
      </c>
      <c r="Q194" t="s">
        <v>1591</v>
      </c>
      <c r="R194">
        <v>0</v>
      </c>
      <c r="S194">
        <v>0</v>
      </c>
      <c r="T194" t="s">
        <v>1584</v>
      </c>
      <c r="U194" t="s">
        <v>1592</v>
      </c>
      <c r="V194" t="str" cm="1">
        <f t="array" aca="1" ref="V194" ca="1">IFERROR(_xlfn.IFS(A192="  ..............",OFFSET(A192,2,0),A191=" X-------------X",OFFSET(A191,3,0),MATCH("  ..............",A194:A203,0)&gt;2,V193),"-")</f>
        <v xml:space="preserve">  OSORI2-RS069  </v>
      </c>
      <c r="W194">
        <f t="shared" ca="1" si="6"/>
        <v>1.006</v>
      </c>
      <c r="X194" t="str">
        <f t="shared" ca="1" si="7"/>
        <v xml:space="preserve"> CIDR13-RS069 </v>
      </c>
      <c r="Y194" s="1">
        <f t="shared" ca="1" si="8"/>
        <v>0.249</v>
      </c>
    </row>
    <row r="195" spans="1:25" x14ac:dyDescent="0.25">
      <c r="A195" t="s">
        <v>1588</v>
      </c>
      <c r="B195" t="s">
        <v>1587</v>
      </c>
      <c r="C195">
        <v>84</v>
      </c>
      <c r="D195">
        <v>94</v>
      </c>
      <c r="E195">
        <v>94</v>
      </c>
      <c r="F195" s="1">
        <v>0.249</v>
      </c>
      <c r="G195" t="s">
        <v>1587</v>
      </c>
      <c r="H195" t="s">
        <v>1587</v>
      </c>
      <c r="I195">
        <v>1321</v>
      </c>
      <c r="J195" t="s">
        <v>1839</v>
      </c>
      <c r="K195">
        <v>1</v>
      </c>
      <c r="L195">
        <v>-21</v>
      </c>
      <c r="M195">
        <v>1.1000000000000001</v>
      </c>
      <c r="N195">
        <v>20.9</v>
      </c>
      <c r="O195" t="s">
        <v>1594</v>
      </c>
      <c r="P195" t="s">
        <v>1584</v>
      </c>
      <c r="Q195" t="s">
        <v>1591</v>
      </c>
      <c r="R195">
        <v>0.19</v>
      </c>
      <c r="S195">
        <v>0.53</v>
      </c>
      <c r="T195" t="s">
        <v>1584</v>
      </c>
      <c r="U195" t="s">
        <v>1592</v>
      </c>
      <c r="V195" t="str" cm="1">
        <f t="array" aca="1" ref="V195" ca="1">IFERROR(_xlfn.IFS(A193="  ..............",OFFSET(A193,2,0),A192=" X-------------X",OFFSET(A192,3,0),MATCH("  ..............",A195:A204,0)&gt;2,V194),"-")</f>
        <v xml:space="preserve">  OSORI2-RS069  </v>
      </c>
      <c r="W195">
        <f t="shared" ca="1" si="6"/>
        <v>1.006</v>
      </c>
      <c r="X195" t="str">
        <f t="shared" ca="1" si="7"/>
        <v xml:space="preserve"> OSO2-1-RS000 </v>
      </c>
      <c r="Y195" s="1">
        <f t="shared" ca="1" si="8"/>
        <v>0.14699999999999999</v>
      </c>
    </row>
    <row r="196" spans="1:25" x14ac:dyDescent="0.25">
      <c r="A196" t="s">
        <v>1588</v>
      </c>
      <c r="B196" t="s">
        <v>1587</v>
      </c>
      <c r="C196">
        <v>83</v>
      </c>
      <c r="D196">
        <v>125</v>
      </c>
      <c r="E196">
        <v>125</v>
      </c>
      <c r="F196" s="1">
        <v>0.14699999999999999</v>
      </c>
      <c r="G196" t="s">
        <v>1587</v>
      </c>
      <c r="H196" t="s">
        <v>1587</v>
      </c>
      <c r="I196">
        <v>41306</v>
      </c>
      <c r="J196" t="s">
        <v>1840</v>
      </c>
      <c r="K196">
        <v>1</v>
      </c>
      <c r="L196">
        <v>-10.4</v>
      </c>
      <c r="M196">
        <v>-6.5</v>
      </c>
      <c r="N196">
        <v>12.2</v>
      </c>
      <c r="O196" t="s">
        <v>1608</v>
      </c>
      <c r="P196" t="s">
        <v>1584</v>
      </c>
      <c r="Q196">
        <v>2</v>
      </c>
      <c r="R196">
        <v>0</v>
      </c>
      <c r="S196">
        <v>-0.02</v>
      </c>
      <c r="T196" t="s">
        <v>1584</v>
      </c>
      <c r="U196" t="s">
        <v>1592</v>
      </c>
      <c r="V196" t="str" cm="1">
        <f t="array" aca="1" ref="V196" ca="1">IFERROR(_xlfn.IFS(A194="  ..............",OFFSET(A194,2,0),A193=" X-------------X",OFFSET(A193,3,0),MATCH("  ..............",A196:A205,0)&gt;2,V195),"-")</f>
        <v xml:space="preserve">  OSORI2-RS069  </v>
      </c>
      <c r="W196">
        <f t="shared" ref="W196:W259" ca="1" si="9">IFERROR(OFFSET($A$1,MATCH(V196,A:A,0)-2,1),"-")</f>
        <v>1.006</v>
      </c>
      <c r="X196" t="str">
        <f t="shared" ref="X196:X259" ca="1" si="10">IFERROR(IF(V196=V195,OFFSET($J$1,ROW(X196),0),OFFSET($J$1,MATCH(V196,A:A,0),0)),"-")</f>
        <v xml:space="preserve"> OSO2-2-RS000 </v>
      </c>
      <c r="Y196" s="1">
        <f t="shared" ref="Y196:Y259" ca="1" si="11">IFERROR(OFFSET($F$1,MATCH(X196,J:J,0)-1,0),"-")</f>
        <v>0.14599999999999999</v>
      </c>
    </row>
    <row r="197" spans="1:25" x14ac:dyDescent="0.25">
      <c r="A197" t="s">
        <v>1588</v>
      </c>
      <c r="B197" t="s">
        <v>1587</v>
      </c>
      <c r="C197">
        <v>83</v>
      </c>
      <c r="D197">
        <v>125</v>
      </c>
      <c r="E197">
        <v>125</v>
      </c>
      <c r="F197" s="1">
        <v>0.14599999999999999</v>
      </c>
      <c r="G197" t="s">
        <v>1587</v>
      </c>
      <c r="H197" t="s">
        <v>1587</v>
      </c>
      <c r="I197">
        <v>41307</v>
      </c>
      <c r="J197" t="s">
        <v>1841</v>
      </c>
      <c r="K197">
        <v>2</v>
      </c>
      <c r="L197">
        <v>-10.4</v>
      </c>
      <c r="M197">
        <v>-6.4</v>
      </c>
      <c r="N197">
        <v>12.2</v>
      </c>
      <c r="O197" t="s">
        <v>1608</v>
      </c>
      <c r="P197" t="s">
        <v>1584</v>
      </c>
      <c r="Q197">
        <v>2</v>
      </c>
      <c r="R197">
        <v>0</v>
      </c>
      <c r="S197">
        <v>0.01</v>
      </c>
      <c r="T197" t="s">
        <v>1584</v>
      </c>
      <c r="U197" t="s">
        <v>1592</v>
      </c>
      <c r="V197" t="str" cm="1">
        <f t="array" aca="1" ref="V197" ca="1">IFERROR(_xlfn.IFS(A195="  ..............",OFFSET(A195,2,0),A194=" X-------------X",OFFSET(A194,3,0),MATCH("  ..............",A197:A206,0)&gt;2,V196),"-")</f>
        <v xml:space="preserve">  OSORI2-RS069  </v>
      </c>
      <c r="W197">
        <f t="shared" ca="1" si="9"/>
        <v>1.006</v>
      </c>
      <c r="X197" t="str">
        <f t="shared" ca="1" si="10"/>
        <v xml:space="preserve"> OSO2-5-RS000 </v>
      </c>
      <c r="Y197" s="1">
        <f t="shared" ca="1" si="11"/>
        <v>0.14699999999999999</v>
      </c>
    </row>
    <row r="198" spans="1:25" x14ac:dyDescent="0.25">
      <c r="A198" t="s">
        <v>1588</v>
      </c>
      <c r="B198" t="s">
        <v>1587</v>
      </c>
      <c r="C198">
        <v>83</v>
      </c>
      <c r="D198">
        <v>125</v>
      </c>
      <c r="E198">
        <v>125</v>
      </c>
      <c r="F198" s="1">
        <v>0.14699999999999999</v>
      </c>
      <c r="G198" t="s">
        <v>1587</v>
      </c>
      <c r="H198" t="s">
        <v>1587</v>
      </c>
      <c r="I198">
        <v>41308</v>
      </c>
      <c r="J198" t="s">
        <v>1842</v>
      </c>
      <c r="K198">
        <v>5</v>
      </c>
      <c r="L198">
        <v>-10.4</v>
      </c>
      <c r="M198">
        <v>-6.5</v>
      </c>
      <c r="N198">
        <v>12.2</v>
      </c>
      <c r="O198" t="s">
        <v>1608</v>
      </c>
      <c r="P198" t="s">
        <v>1584</v>
      </c>
      <c r="Q198">
        <v>2</v>
      </c>
      <c r="R198">
        <v>0</v>
      </c>
      <c r="S198">
        <v>-0.02</v>
      </c>
      <c r="T198" t="s">
        <v>1584</v>
      </c>
      <c r="U198" t="s">
        <v>1592</v>
      </c>
      <c r="V198" t="str" cm="1">
        <f t="array" aca="1" ref="V198" ca="1">IFERROR(_xlfn.IFS(A196="  ..............",OFFSET(A196,2,0),A195=" X-------------X",OFFSET(A195,3,0),MATCH("  ..............",A198:A207,0)&gt;2,V197),"-")</f>
        <v>-</v>
      </c>
      <c r="W198" t="str">
        <f t="shared" ca="1" si="9"/>
        <v>-</v>
      </c>
      <c r="X198" t="str">
        <f t="shared" ca="1" si="10"/>
        <v>-</v>
      </c>
      <c r="Y198" s="1" t="str">
        <f t="shared" ca="1" si="11"/>
        <v>-</v>
      </c>
    </row>
    <row r="199" spans="1:25" x14ac:dyDescent="0.25">
      <c r="A199" t="s">
        <v>1572</v>
      </c>
      <c r="B199" t="s">
        <v>1574</v>
      </c>
      <c r="C199" t="s">
        <v>1574</v>
      </c>
      <c r="D199" t="s">
        <v>1574</v>
      </c>
      <c r="E199" t="s">
        <v>1574</v>
      </c>
      <c r="F199" t="s">
        <v>1575</v>
      </c>
      <c r="G199" t="s">
        <v>1574</v>
      </c>
      <c r="H199" t="s">
        <v>1574</v>
      </c>
      <c r="I199" t="s">
        <v>1576</v>
      </c>
      <c r="J199" t="s">
        <v>1573</v>
      </c>
      <c r="K199" t="s">
        <v>1577</v>
      </c>
      <c r="L199" t="s">
        <v>1574</v>
      </c>
      <c r="M199" t="s">
        <v>1574</v>
      </c>
      <c r="N199" t="s">
        <v>1574</v>
      </c>
      <c r="O199" t="s">
        <v>1578</v>
      </c>
      <c r="P199" t="s">
        <v>1576</v>
      </c>
      <c r="Q199" t="s">
        <v>1579</v>
      </c>
      <c r="R199" t="s">
        <v>1580</v>
      </c>
      <c r="S199" t="s">
        <v>1580</v>
      </c>
      <c r="T199" t="s">
        <v>1576</v>
      </c>
      <c r="U199" t="s">
        <v>1576</v>
      </c>
      <c r="V199" t="str" cm="1">
        <f t="array" aca="1" ref="V199" ca="1">IFERROR(_xlfn.IFS(A197="  ..............",OFFSET(A197,2,0),A196=" X-------------X",OFFSET(A196,3,0),MATCH("  ..............",A199:A208,0)&gt;2,V198),"-")</f>
        <v>-</v>
      </c>
      <c r="W199" t="str">
        <f t="shared" ca="1" si="9"/>
        <v>-</v>
      </c>
      <c r="X199" t="str">
        <f t="shared" ca="1" si="10"/>
        <v/>
      </c>
      <c r="Y199" s="1" t="str">
        <f t="shared" ca="1" si="11"/>
        <v/>
      </c>
    </row>
    <row r="200" spans="1:25" x14ac:dyDescent="0.25">
      <c r="A200" t="s">
        <v>1843</v>
      </c>
      <c r="B200">
        <v>0.998</v>
      </c>
      <c r="C200">
        <v>1.8</v>
      </c>
      <c r="D200">
        <v>0</v>
      </c>
      <c r="E200">
        <v>8.4</v>
      </c>
      <c r="F200">
        <v>0</v>
      </c>
      <c r="G200">
        <v>0</v>
      </c>
      <c r="H200">
        <v>0</v>
      </c>
      <c r="I200" t="s">
        <v>1581</v>
      </c>
      <c r="J200" t="s">
        <v>1581</v>
      </c>
      <c r="K200" t="s">
        <v>1581</v>
      </c>
      <c r="L200" t="s">
        <v>1581</v>
      </c>
      <c r="M200" t="s">
        <v>1581</v>
      </c>
      <c r="N200" t="s">
        <v>1581</v>
      </c>
      <c r="O200" t="s">
        <v>1581</v>
      </c>
      <c r="P200" t="s">
        <v>1581</v>
      </c>
      <c r="Q200" t="s">
        <v>1581</v>
      </c>
      <c r="R200" t="s">
        <v>1581</v>
      </c>
      <c r="S200" t="s">
        <v>1581</v>
      </c>
      <c r="T200" t="s">
        <v>1581</v>
      </c>
      <c r="U200" t="s">
        <v>1581</v>
      </c>
      <c r="V200" t="str" cm="1">
        <f t="array" aca="1" ref="V200" ca="1">IFERROR(_xlfn.IFS(A198="  ..............",OFFSET(A198,2,0),A197=" X-------------X",OFFSET(A197,3,0),MATCH("  ..............",A200:A209,0)&gt;2,V199),"-")</f>
        <v>-</v>
      </c>
      <c r="W200" t="str">
        <f t="shared" ca="1" si="9"/>
        <v>-</v>
      </c>
      <c r="X200" t="str">
        <f t="shared" ca="1" si="10"/>
        <v xml:space="preserve">              </v>
      </c>
      <c r="Y200" s="1">
        <f t="shared" ca="1" si="11"/>
        <v>0</v>
      </c>
    </row>
    <row r="201" spans="1:25" x14ac:dyDescent="0.25">
      <c r="A201" t="s">
        <v>1844</v>
      </c>
      <c r="B201">
        <v>-48.7</v>
      </c>
      <c r="C201">
        <v>0</v>
      </c>
      <c r="D201">
        <v>0</v>
      </c>
      <c r="E201">
        <v>2.9</v>
      </c>
      <c r="F201">
        <v>0</v>
      </c>
      <c r="G201">
        <v>0</v>
      </c>
      <c r="H201">
        <v>0</v>
      </c>
      <c r="I201" t="s">
        <v>1584</v>
      </c>
      <c r="J201" t="s">
        <v>1585</v>
      </c>
      <c r="K201" t="s">
        <v>1586</v>
      </c>
      <c r="L201" t="s">
        <v>1587</v>
      </c>
      <c r="M201" t="s">
        <v>1587</v>
      </c>
      <c r="N201" t="s">
        <v>1586</v>
      </c>
      <c r="O201" t="s">
        <v>1581</v>
      </c>
      <c r="P201" t="s">
        <v>1581</v>
      </c>
      <c r="Q201" t="s">
        <v>1581</v>
      </c>
      <c r="R201" t="s">
        <v>1581</v>
      </c>
      <c r="S201" t="s">
        <v>1581</v>
      </c>
      <c r="T201" t="s">
        <v>1581</v>
      </c>
      <c r="U201" t="s">
        <v>1581</v>
      </c>
      <c r="V201" t="str" cm="1">
        <f t="array" aca="1" ref="V201" ca="1">IFERROR(_xlfn.IFS(A199="  ..............",OFFSET(A199,2,0),A198=" X-------------X",OFFSET(A198,3,0),MATCH("  ..............",A201:A210,0)&gt;2,V200),"-")</f>
        <v xml:space="preserve">  MOSTAR-RS138  </v>
      </c>
      <c r="W201">
        <f t="shared" ca="1" si="9"/>
        <v>0.998</v>
      </c>
      <c r="X201" t="str">
        <f t="shared" ca="1" si="10"/>
        <v xml:space="preserve"> PALMA1-RS138 </v>
      </c>
      <c r="Y201" s="1">
        <f t="shared" ca="1" si="11"/>
        <v>7.0000000000000007E-2</v>
      </c>
    </row>
    <row r="202" spans="1:25" x14ac:dyDescent="0.25">
      <c r="A202" t="s">
        <v>1588</v>
      </c>
      <c r="B202" t="s">
        <v>1587</v>
      </c>
      <c r="C202">
        <v>103</v>
      </c>
      <c r="D202">
        <v>131</v>
      </c>
      <c r="E202">
        <v>131</v>
      </c>
      <c r="F202" s="1">
        <v>7.0000000000000007E-2</v>
      </c>
      <c r="G202" t="s">
        <v>1587</v>
      </c>
      <c r="H202" t="s">
        <v>1587</v>
      </c>
      <c r="I202">
        <v>9728</v>
      </c>
      <c r="J202" t="s">
        <v>1845</v>
      </c>
      <c r="K202">
        <v>1</v>
      </c>
      <c r="L202">
        <v>-6.6</v>
      </c>
      <c r="M202">
        <v>-2.9</v>
      </c>
      <c r="N202">
        <v>7.2</v>
      </c>
      <c r="O202" t="s">
        <v>1594</v>
      </c>
      <c r="P202" t="s">
        <v>1584</v>
      </c>
      <c r="Q202" t="s">
        <v>1591</v>
      </c>
      <c r="R202">
        <v>0.03</v>
      </c>
      <c r="S202">
        <v>-2.13</v>
      </c>
      <c r="T202" t="s">
        <v>1584</v>
      </c>
      <c r="U202" t="s">
        <v>1592</v>
      </c>
      <c r="V202" t="str" cm="1">
        <f t="array" aca="1" ref="V202" ca="1">IFERROR(_xlfn.IFS(A200="  ..............",OFFSET(A200,2,0),A199=" X-------------X",OFFSET(A199,3,0),MATCH("  ..............",A202:A211,0)&gt;2,V201),"-")</f>
        <v>-</v>
      </c>
      <c r="W202" t="str">
        <f t="shared" ca="1" si="9"/>
        <v>-</v>
      </c>
      <c r="X202" t="str">
        <f t="shared" ca="1" si="10"/>
        <v>-</v>
      </c>
      <c r="Y202" s="1" t="str">
        <f t="shared" ca="1" si="11"/>
        <v>-</v>
      </c>
    </row>
    <row r="203" spans="1:25" x14ac:dyDescent="0.25">
      <c r="A203" t="s">
        <v>1572</v>
      </c>
      <c r="B203" t="s">
        <v>1574</v>
      </c>
      <c r="C203" t="s">
        <v>1574</v>
      </c>
      <c r="D203" t="s">
        <v>1574</v>
      </c>
      <c r="E203" t="s">
        <v>1574</v>
      </c>
      <c r="F203" t="s">
        <v>1575</v>
      </c>
      <c r="G203" t="s">
        <v>1574</v>
      </c>
      <c r="H203" t="s">
        <v>1574</v>
      </c>
      <c r="I203" t="s">
        <v>1576</v>
      </c>
      <c r="J203" t="s">
        <v>1573</v>
      </c>
      <c r="K203" t="s">
        <v>1577</v>
      </c>
      <c r="L203" t="s">
        <v>1574</v>
      </c>
      <c r="M203" t="s">
        <v>1574</v>
      </c>
      <c r="N203" t="s">
        <v>1574</v>
      </c>
      <c r="O203" t="s">
        <v>1578</v>
      </c>
      <c r="P203" t="s">
        <v>1576</v>
      </c>
      <c r="Q203" t="s">
        <v>1579</v>
      </c>
      <c r="R203" t="s">
        <v>1580</v>
      </c>
      <c r="S203" t="s">
        <v>1580</v>
      </c>
      <c r="T203" t="s">
        <v>1576</v>
      </c>
      <c r="U203" t="s">
        <v>1576</v>
      </c>
      <c r="V203" t="str" cm="1">
        <f t="array" aca="1" ref="V203" ca="1">IFERROR(_xlfn.IFS(A201="  ..............",OFFSET(A201,2,0),A200=" X-------------X",OFFSET(A200,3,0),MATCH("  ..............",A203:A212,0)&gt;2,V202),"-")</f>
        <v>-</v>
      </c>
      <c r="W203" t="str">
        <f t="shared" ca="1" si="9"/>
        <v>-</v>
      </c>
      <c r="X203" t="str">
        <f t="shared" ca="1" si="10"/>
        <v/>
      </c>
      <c r="Y203" s="1" t="str">
        <f t="shared" ca="1" si="11"/>
        <v/>
      </c>
    </row>
    <row r="204" spans="1:25" x14ac:dyDescent="0.25">
      <c r="A204" t="s">
        <v>1846</v>
      </c>
      <c r="B204">
        <v>1.0069999999999999</v>
      </c>
      <c r="C204">
        <v>3.9</v>
      </c>
      <c r="D204">
        <v>0</v>
      </c>
      <c r="E204">
        <v>27.6</v>
      </c>
      <c r="F204">
        <v>0</v>
      </c>
      <c r="G204">
        <v>14.6</v>
      </c>
      <c r="H204">
        <v>0</v>
      </c>
      <c r="I204" t="s">
        <v>1581</v>
      </c>
      <c r="J204" t="s">
        <v>1581</v>
      </c>
      <c r="K204" t="s">
        <v>1581</v>
      </c>
      <c r="L204" t="s">
        <v>1581</v>
      </c>
      <c r="M204" t="s">
        <v>1581</v>
      </c>
      <c r="N204" t="s">
        <v>1581</v>
      </c>
      <c r="O204" t="s">
        <v>1581</v>
      </c>
      <c r="P204" t="s">
        <v>1581</v>
      </c>
      <c r="Q204" t="s">
        <v>1581</v>
      </c>
      <c r="R204" t="s">
        <v>1581</v>
      </c>
      <c r="S204" t="s">
        <v>1581</v>
      </c>
      <c r="T204" t="s">
        <v>1581</v>
      </c>
      <c r="U204" t="s">
        <v>1581</v>
      </c>
      <c r="V204" t="str" cm="1">
        <f t="array" aca="1" ref="V204" ca="1">IFERROR(_xlfn.IFS(A202="  ..............",OFFSET(A202,2,0),A201=" X-------------X",OFFSET(A201,3,0),MATCH("  ..............",A204:A213,0)&gt;2,V203),"-")</f>
        <v>-</v>
      </c>
      <c r="W204" t="str">
        <f t="shared" ca="1" si="9"/>
        <v>-</v>
      </c>
      <c r="X204" t="str">
        <f t="shared" ca="1" si="10"/>
        <v xml:space="preserve">              </v>
      </c>
      <c r="Y204" s="1">
        <f t="shared" ca="1" si="11"/>
        <v>0</v>
      </c>
    </row>
    <row r="205" spans="1:25" x14ac:dyDescent="0.25">
      <c r="A205" t="s">
        <v>1847</v>
      </c>
      <c r="B205">
        <v>-48.3</v>
      </c>
      <c r="C205">
        <v>0</v>
      </c>
      <c r="D205">
        <v>0</v>
      </c>
      <c r="E205">
        <v>1.2</v>
      </c>
      <c r="F205">
        <v>0</v>
      </c>
      <c r="G205">
        <v>0</v>
      </c>
      <c r="H205">
        <v>0</v>
      </c>
      <c r="I205" t="s">
        <v>1584</v>
      </c>
      <c r="J205" t="s">
        <v>1585</v>
      </c>
      <c r="K205" t="s">
        <v>1586</v>
      </c>
      <c r="L205" t="s">
        <v>1587</v>
      </c>
      <c r="M205" t="s">
        <v>1587</v>
      </c>
      <c r="N205" t="s">
        <v>1586</v>
      </c>
      <c r="O205" t="s">
        <v>1581</v>
      </c>
      <c r="P205" t="s">
        <v>1581</v>
      </c>
      <c r="Q205" t="s">
        <v>1581</v>
      </c>
      <c r="R205" t="s">
        <v>1581</v>
      </c>
      <c r="S205" t="s">
        <v>1581</v>
      </c>
      <c r="T205" t="s">
        <v>1581</v>
      </c>
      <c r="U205" t="s">
        <v>1581</v>
      </c>
      <c r="V205" t="str" cm="1">
        <f t="array" aca="1" ref="V205" ca="1">IFERROR(_xlfn.IFS(A203="  ..............",OFFSET(A203,2,0),A202=" X-------------X",OFFSET(A202,3,0),MATCH("  ..............",A205:A214,0)&gt;2,V204),"-")</f>
        <v xml:space="preserve">  MACAMB-RS069  </v>
      </c>
      <c r="W205">
        <f t="shared" ca="1" si="9"/>
        <v>1.0069999999999999</v>
      </c>
      <c r="X205" t="str">
        <f t="shared" ca="1" si="10"/>
        <v xml:space="preserve"> MACAMB-RS023 </v>
      </c>
      <c r="Y205" s="1">
        <f t="shared" ca="1" si="11"/>
        <v>0.109</v>
      </c>
    </row>
    <row r="206" spans="1:25" x14ac:dyDescent="0.25">
      <c r="A206" t="s">
        <v>1588</v>
      </c>
      <c r="B206" t="s">
        <v>1587</v>
      </c>
      <c r="C206">
        <v>25</v>
      </c>
      <c r="D206">
        <v>37</v>
      </c>
      <c r="E206">
        <v>37</v>
      </c>
      <c r="F206" s="1">
        <v>0.109</v>
      </c>
      <c r="G206" t="s">
        <v>1587</v>
      </c>
      <c r="H206" t="s">
        <v>1587</v>
      </c>
      <c r="I206">
        <v>9205</v>
      </c>
      <c r="J206" t="s">
        <v>1848</v>
      </c>
      <c r="K206">
        <v>2</v>
      </c>
      <c r="L206">
        <v>2.4</v>
      </c>
      <c r="M206">
        <v>-1.4</v>
      </c>
      <c r="N206">
        <v>2.7</v>
      </c>
      <c r="O206" t="s">
        <v>1849</v>
      </c>
      <c r="P206" t="s">
        <v>1584</v>
      </c>
      <c r="Q206" t="s">
        <v>1591</v>
      </c>
      <c r="R206">
        <v>0</v>
      </c>
      <c r="S206">
        <v>0.03</v>
      </c>
      <c r="T206" t="s">
        <v>1584</v>
      </c>
      <c r="U206" t="s">
        <v>1592</v>
      </c>
      <c r="V206" t="str" cm="1">
        <f t="array" aca="1" ref="V206" ca="1">IFERROR(_xlfn.IFS(A204="  ..............",OFFSET(A204,2,0),A203=" X-------------X",OFFSET(A203,3,0),MATCH("  ..............",A206:A215,0)&gt;2,V205),"-")</f>
        <v xml:space="preserve">  MACAMB-RS069  </v>
      </c>
      <c r="W206">
        <f t="shared" ca="1" si="9"/>
        <v>1.0069999999999999</v>
      </c>
      <c r="X206" t="str">
        <f t="shared" ca="1" si="10"/>
        <v xml:space="preserve"> MACAMB-RS023 </v>
      </c>
      <c r="Y206" s="1">
        <f t="shared" ca="1" si="11"/>
        <v>0.109</v>
      </c>
    </row>
    <row r="207" spans="1:25" x14ac:dyDescent="0.25">
      <c r="A207" t="s">
        <v>1588</v>
      </c>
      <c r="B207" t="s">
        <v>1587</v>
      </c>
      <c r="C207">
        <v>25</v>
      </c>
      <c r="D207">
        <v>25</v>
      </c>
      <c r="E207">
        <v>25</v>
      </c>
      <c r="F207" s="1">
        <v>0.113</v>
      </c>
      <c r="G207" t="s">
        <v>1587</v>
      </c>
      <c r="H207" t="s">
        <v>1587</v>
      </c>
      <c r="I207">
        <v>9205</v>
      </c>
      <c r="J207" t="s">
        <v>1848</v>
      </c>
      <c r="K207">
        <v>8</v>
      </c>
      <c r="L207">
        <v>2.4</v>
      </c>
      <c r="M207">
        <v>-1.5</v>
      </c>
      <c r="N207">
        <v>2.8</v>
      </c>
      <c r="O207" t="s">
        <v>1849</v>
      </c>
      <c r="P207" t="s">
        <v>1584</v>
      </c>
      <c r="Q207" t="s">
        <v>1591</v>
      </c>
      <c r="R207">
        <v>0</v>
      </c>
      <c r="S207">
        <v>0.03</v>
      </c>
      <c r="T207" t="s">
        <v>1584</v>
      </c>
      <c r="U207" t="s">
        <v>1592</v>
      </c>
      <c r="V207" t="str" cm="1">
        <f t="array" aca="1" ref="V207" ca="1">IFERROR(_xlfn.IFS(A205="  ..............",OFFSET(A205,2,0),A204=" X-------------X",OFFSET(A204,3,0),MATCH("  ..............",A207:A216,0)&gt;2,V206),"-")</f>
        <v xml:space="preserve">  MACAMB-RS069  </v>
      </c>
      <c r="W207">
        <f t="shared" ca="1" si="9"/>
        <v>1.0069999999999999</v>
      </c>
      <c r="X207" t="str">
        <f t="shared" ca="1" si="10"/>
        <v xml:space="preserve"> MBR-1--RS000 </v>
      </c>
      <c r="Y207" s="1">
        <f t="shared" ca="1" si="11"/>
        <v>0.13</v>
      </c>
    </row>
    <row r="208" spans="1:25" x14ac:dyDescent="0.25">
      <c r="A208" t="s">
        <v>1588</v>
      </c>
      <c r="B208" t="s">
        <v>1587</v>
      </c>
      <c r="C208">
        <v>83</v>
      </c>
      <c r="D208">
        <v>83</v>
      </c>
      <c r="E208">
        <v>83</v>
      </c>
      <c r="F208" s="1">
        <v>0.13</v>
      </c>
      <c r="G208" t="s">
        <v>1587</v>
      </c>
      <c r="H208" t="s">
        <v>1587</v>
      </c>
      <c r="I208">
        <v>41291</v>
      </c>
      <c r="J208" t="s">
        <v>1850</v>
      </c>
      <c r="K208">
        <v>1</v>
      </c>
      <c r="L208">
        <v>-9.5</v>
      </c>
      <c r="M208">
        <v>5.4</v>
      </c>
      <c r="N208">
        <v>10.8</v>
      </c>
      <c r="O208" t="s">
        <v>1608</v>
      </c>
      <c r="P208" t="s">
        <v>1584</v>
      </c>
      <c r="Q208">
        <v>2</v>
      </c>
      <c r="R208">
        <v>0</v>
      </c>
      <c r="S208">
        <v>-0.01</v>
      </c>
      <c r="T208" t="s">
        <v>1584</v>
      </c>
      <c r="U208" t="s">
        <v>1592</v>
      </c>
      <c r="V208" t="str" cm="1">
        <f t="array" aca="1" ref="V208" ca="1">IFERROR(_xlfn.IFS(A206="  ..............",OFFSET(A206,2,0),A205=" X-------------X",OFFSET(A205,3,0),MATCH("  ..............",A208:A217,0)&gt;2,V207),"-")</f>
        <v xml:space="preserve">  MACAMB-RS069  </v>
      </c>
      <c r="W208">
        <f t="shared" ca="1" si="9"/>
        <v>1.0069999999999999</v>
      </c>
      <c r="X208" t="str">
        <f t="shared" ca="1" si="10"/>
        <v xml:space="preserve"> MBR-7--RS000 </v>
      </c>
      <c r="Y208" s="1">
        <f t="shared" ca="1" si="11"/>
        <v>0.127</v>
      </c>
    </row>
    <row r="209" spans="1:25" x14ac:dyDescent="0.25">
      <c r="A209" t="s">
        <v>1588</v>
      </c>
      <c r="B209" t="s">
        <v>1587</v>
      </c>
      <c r="C209">
        <v>83</v>
      </c>
      <c r="D209">
        <v>83</v>
      </c>
      <c r="E209">
        <v>83</v>
      </c>
      <c r="F209" s="1">
        <v>0.127</v>
      </c>
      <c r="G209" t="s">
        <v>1587</v>
      </c>
      <c r="H209" t="s">
        <v>1587</v>
      </c>
      <c r="I209">
        <v>41292</v>
      </c>
      <c r="J209" t="s">
        <v>1851</v>
      </c>
      <c r="K209">
        <v>7</v>
      </c>
      <c r="L209">
        <v>-9.1999999999999993</v>
      </c>
      <c r="M209">
        <v>5.2</v>
      </c>
      <c r="N209">
        <v>10.5</v>
      </c>
      <c r="O209" t="s">
        <v>1608</v>
      </c>
      <c r="P209" t="s">
        <v>1584</v>
      </c>
      <c r="Q209">
        <v>2</v>
      </c>
      <c r="R209">
        <v>0</v>
      </c>
      <c r="S209">
        <v>-0.01</v>
      </c>
      <c r="T209" t="s">
        <v>1584</v>
      </c>
      <c r="U209" t="s">
        <v>1592</v>
      </c>
      <c r="V209" t="str" cm="1">
        <f t="array" aca="1" ref="V209" ca="1">IFERROR(_xlfn.IFS(A207="  ..............",OFFSET(A207,2,0),A206=" X-------------X",OFFSET(A206,3,0),MATCH("  ..............",A209:A218,0)&gt;2,V208),"-")</f>
        <v xml:space="preserve">  MACAMB-RS069  </v>
      </c>
      <c r="W209">
        <f t="shared" ca="1" si="9"/>
        <v>1.0069999999999999</v>
      </c>
      <c r="X209" t="str">
        <f t="shared" ca="1" si="10"/>
        <v xml:space="preserve"> MBR-9--RS000 </v>
      </c>
      <c r="Y209" s="1">
        <f t="shared" ca="1" si="11"/>
        <v>0.13600000000000001</v>
      </c>
    </row>
    <row r="210" spans="1:25" x14ac:dyDescent="0.25">
      <c r="A210" t="s">
        <v>1588</v>
      </c>
      <c r="B210" t="s">
        <v>1587</v>
      </c>
      <c r="C210">
        <v>83</v>
      </c>
      <c r="D210">
        <v>83</v>
      </c>
      <c r="E210">
        <v>83</v>
      </c>
      <c r="F210" s="1">
        <v>0.13600000000000001</v>
      </c>
      <c r="G210" t="s">
        <v>1587</v>
      </c>
      <c r="H210" t="s">
        <v>1587</v>
      </c>
      <c r="I210">
        <v>41293</v>
      </c>
      <c r="J210" t="s">
        <v>1852</v>
      </c>
      <c r="K210">
        <v>9</v>
      </c>
      <c r="L210">
        <v>-9.9</v>
      </c>
      <c r="M210">
        <v>5.6</v>
      </c>
      <c r="N210">
        <v>11.3</v>
      </c>
      <c r="O210" t="s">
        <v>1608</v>
      </c>
      <c r="P210" t="s">
        <v>1584</v>
      </c>
      <c r="Q210">
        <v>2</v>
      </c>
      <c r="R210">
        <v>0</v>
      </c>
      <c r="S210">
        <v>-0.01</v>
      </c>
      <c r="T210" t="s">
        <v>1584</v>
      </c>
      <c r="U210" t="s">
        <v>1592</v>
      </c>
      <c r="V210" t="str" cm="1">
        <f t="array" aca="1" ref="V210" ca="1">IFERROR(_xlfn.IFS(A208="  ..............",OFFSET(A208,2,0),A207=" X-------------X",OFFSET(A207,3,0),MATCH("  ..............",A210:A219,0)&gt;2,V209),"-")</f>
        <v>-</v>
      </c>
      <c r="W210" t="str">
        <f t="shared" ca="1" si="9"/>
        <v>-</v>
      </c>
      <c r="X210" t="str">
        <f t="shared" ca="1" si="10"/>
        <v>-</v>
      </c>
      <c r="Y210" s="1" t="str">
        <f t="shared" ca="1" si="11"/>
        <v>-</v>
      </c>
    </row>
    <row r="211" spans="1:25" x14ac:dyDescent="0.25">
      <c r="A211" t="s">
        <v>1572</v>
      </c>
      <c r="B211" t="s">
        <v>1574</v>
      </c>
      <c r="C211" t="s">
        <v>1574</v>
      </c>
      <c r="D211" t="s">
        <v>1574</v>
      </c>
      <c r="E211" t="s">
        <v>1574</v>
      </c>
      <c r="F211" t="s">
        <v>1575</v>
      </c>
      <c r="G211" t="s">
        <v>1574</v>
      </c>
      <c r="H211" t="s">
        <v>1574</v>
      </c>
      <c r="I211" t="s">
        <v>1576</v>
      </c>
      <c r="J211" t="s">
        <v>1573</v>
      </c>
      <c r="K211" t="s">
        <v>1577</v>
      </c>
      <c r="L211" t="s">
        <v>1574</v>
      </c>
      <c r="M211" t="s">
        <v>1574</v>
      </c>
      <c r="N211" t="s">
        <v>1574</v>
      </c>
      <c r="O211" t="s">
        <v>1578</v>
      </c>
      <c r="P211" t="s">
        <v>1576</v>
      </c>
      <c r="Q211" t="s">
        <v>1579</v>
      </c>
      <c r="R211" t="s">
        <v>1580</v>
      </c>
      <c r="S211" t="s">
        <v>1580</v>
      </c>
      <c r="T211" t="s">
        <v>1576</v>
      </c>
      <c r="U211" t="s">
        <v>1576</v>
      </c>
      <c r="V211" t="str" cm="1">
        <f t="array" aca="1" ref="V211" ca="1">IFERROR(_xlfn.IFS(A209="  ..............",OFFSET(A209,2,0),A208=" X-------------X",OFFSET(A208,3,0),MATCH("  ..............",A211:A220,0)&gt;2,V210),"-")</f>
        <v>-</v>
      </c>
      <c r="W211" t="str">
        <f t="shared" ca="1" si="9"/>
        <v>-</v>
      </c>
      <c r="X211" t="str">
        <f t="shared" ca="1" si="10"/>
        <v/>
      </c>
      <c r="Y211" s="1" t="str">
        <f t="shared" ca="1" si="11"/>
        <v/>
      </c>
    </row>
    <row r="212" spans="1:25" x14ac:dyDescent="0.25">
      <c r="A212" t="s">
        <v>1853</v>
      </c>
      <c r="B212">
        <v>1.0069999999999999</v>
      </c>
      <c r="C212">
        <v>8.8000000000000007</v>
      </c>
      <c r="D212">
        <v>0</v>
      </c>
      <c r="E212">
        <v>48.8</v>
      </c>
      <c r="F212">
        <v>0</v>
      </c>
      <c r="G212">
        <v>7.3</v>
      </c>
      <c r="H212">
        <v>0</v>
      </c>
      <c r="I212" t="s">
        <v>1581</v>
      </c>
      <c r="J212" t="s">
        <v>1581</v>
      </c>
      <c r="K212" t="s">
        <v>1581</v>
      </c>
      <c r="L212" t="s">
        <v>1581</v>
      </c>
      <c r="M212" t="s">
        <v>1581</v>
      </c>
      <c r="N212" t="s">
        <v>1581</v>
      </c>
      <c r="O212" t="s">
        <v>1581</v>
      </c>
      <c r="P212" t="s">
        <v>1581</v>
      </c>
      <c r="Q212" t="s">
        <v>1581</v>
      </c>
      <c r="R212" t="s">
        <v>1581</v>
      </c>
      <c r="S212" t="s">
        <v>1581</v>
      </c>
      <c r="T212" t="s">
        <v>1581</v>
      </c>
      <c r="U212" t="s">
        <v>1581</v>
      </c>
      <c r="V212" t="str" cm="1">
        <f t="array" aca="1" ref="V212" ca="1">IFERROR(_xlfn.IFS(A210="  ..............",OFFSET(A210,2,0),A209=" X-------------X",OFFSET(A209,3,0),MATCH("  ..............",A212:A221,0)&gt;2,V211),"-")</f>
        <v>-</v>
      </c>
      <c r="W212" t="str">
        <f t="shared" ca="1" si="9"/>
        <v>-</v>
      </c>
      <c r="X212" t="str">
        <f t="shared" ca="1" si="10"/>
        <v xml:space="preserve">              </v>
      </c>
      <c r="Y212" s="1">
        <f t="shared" ca="1" si="11"/>
        <v>0</v>
      </c>
    </row>
    <row r="213" spans="1:25" x14ac:dyDescent="0.25">
      <c r="A213" t="s">
        <v>1854</v>
      </c>
      <c r="B213">
        <v>-52.2</v>
      </c>
      <c r="C213">
        <v>0</v>
      </c>
      <c r="D213">
        <v>0</v>
      </c>
      <c r="E213">
        <v>18.7</v>
      </c>
      <c r="F213">
        <v>0</v>
      </c>
      <c r="G213">
        <v>0</v>
      </c>
      <c r="H213">
        <v>0</v>
      </c>
      <c r="I213" t="s">
        <v>1584</v>
      </c>
      <c r="J213" t="s">
        <v>1585</v>
      </c>
      <c r="K213" t="s">
        <v>1586</v>
      </c>
      <c r="L213" t="s">
        <v>1587</v>
      </c>
      <c r="M213" t="s">
        <v>1587</v>
      </c>
      <c r="N213" t="s">
        <v>1586</v>
      </c>
      <c r="O213" t="s">
        <v>1581</v>
      </c>
      <c r="P213" t="s">
        <v>1581</v>
      </c>
      <c r="Q213" t="s">
        <v>1581</v>
      </c>
      <c r="R213" t="s">
        <v>1581</v>
      </c>
      <c r="S213" t="s">
        <v>1581</v>
      </c>
      <c r="T213" t="s">
        <v>1581</v>
      </c>
      <c r="U213" t="s">
        <v>1581</v>
      </c>
      <c r="V213" t="str" cm="1">
        <f t="array" aca="1" ref="V213" ca="1">IFERROR(_xlfn.IFS(A211="  ..............",OFFSET(A211,2,0),A210=" X-------------X",OFFSET(A210,3,0),MATCH("  ..............",A213:A222,0)&gt;2,V212),"-")</f>
        <v xml:space="preserve">  MONTEN-RS138  </v>
      </c>
      <c r="W213">
        <f t="shared" ca="1" si="9"/>
        <v>1.0069999999999999</v>
      </c>
      <c r="X213" t="str">
        <f t="shared" ca="1" si="10"/>
        <v xml:space="preserve"> SSCAI2-RS138 </v>
      </c>
      <c r="Y213" s="1">
        <f t="shared" ca="1" si="11"/>
        <v>0.308</v>
      </c>
    </row>
    <row r="214" spans="1:25" x14ac:dyDescent="0.25">
      <c r="A214" t="s">
        <v>1588</v>
      </c>
      <c r="B214" t="s">
        <v>1587</v>
      </c>
      <c r="C214">
        <v>134</v>
      </c>
      <c r="D214">
        <v>162</v>
      </c>
      <c r="E214">
        <v>162</v>
      </c>
      <c r="F214" s="1">
        <v>0.308</v>
      </c>
      <c r="G214" t="s">
        <v>1587</v>
      </c>
      <c r="H214" t="s">
        <v>1587</v>
      </c>
      <c r="I214">
        <v>10308</v>
      </c>
      <c r="J214" t="s">
        <v>1855</v>
      </c>
      <c r="K214">
        <v>1</v>
      </c>
      <c r="L214">
        <v>-40</v>
      </c>
      <c r="M214">
        <v>-11.4</v>
      </c>
      <c r="N214">
        <v>41.3</v>
      </c>
      <c r="O214" t="s">
        <v>1594</v>
      </c>
      <c r="P214" t="s">
        <v>1584</v>
      </c>
      <c r="Q214" t="s">
        <v>1591</v>
      </c>
      <c r="R214">
        <v>0.28000000000000003</v>
      </c>
      <c r="S214">
        <v>-0.41</v>
      </c>
      <c r="T214" t="s">
        <v>1584</v>
      </c>
      <c r="U214" t="s">
        <v>1592</v>
      </c>
      <c r="V214" t="str" cm="1">
        <f t="array" aca="1" ref="V214" ca="1">IFERROR(_xlfn.IFS(A212="  ..............",OFFSET(A212,2,0),A211=" X-------------X",OFFSET(A211,3,0),MATCH("  ..............",A214:A223,0)&gt;2,V213),"-")</f>
        <v>-</v>
      </c>
      <c r="W214" t="str">
        <f t="shared" ca="1" si="9"/>
        <v>-</v>
      </c>
      <c r="X214" t="str">
        <f t="shared" ca="1" si="10"/>
        <v>-</v>
      </c>
      <c r="Y214" s="1" t="str">
        <f t="shared" ca="1" si="11"/>
        <v>-</v>
      </c>
    </row>
    <row r="215" spans="1:25" x14ac:dyDescent="0.25">
      <c r="A215" t="s">
        <v>1572</v>
      </c>
      <c r="B215" t="s">
        <v>1574</v>
      </c>
      <c r="C215" t="s">
        <v>1574</v>
      </c>
      <c r="D215" t="s">
        <v>1574</v>
      </c>
      <c r="E215" t="s">
        <v>1574</v>
      </c>
      <c r="F215" t="s">
        <v>1575</v>
      </c>
      <c r="G215" t="s">
        <v>1574</v>
      </c>
      <c r="H215" t="s">
        <v>1574</v>
      </c>
      <c r="I215" t="s">
        <v>1576</v>
      </c>
      <c r="J215" t="s">
        <v>1573</v>
      </c>
      <c r="K215" t="s">
        <v>1577</v>
      </c>
      <c r="L215" t="s">
        <v>1574</v>
      </c>
      <c r="M215" t="s">
        <v>1574</v>
      </c>
      <c r="N215" t="s">
        <v>1574</v>
      </c>
      <c r="O215" t="s">
        <v>1578</v>
      </c>
      <c r="P215" t="s">
        <v>1576</v>
      </c>
      <c r="Q215" t="s">
        <v>1579</v>
      </c>
      <c r="R215" t="s">
        <v>1580</v>
      </c>
      <c r="S215" t="s">
        <v>1580</v>
      </c>
      <c r="T215" t="s">
        <v>1576</v>
      </c>
      <c r="U215" t="s">
        <v>1576</v>
      </c>
      <c r="V215" t="str" cm="1">
        <f t="array" aca="1" ref="V215" ca="1">IFERROR(_xlfn.IFS(A213="  ..............",OFFSET(A213,2,0),A212=" X-------------X",OFFSET(A212,3,0),MATCH("  ..............",A215:A224,0)&gt;2,V214),"-")</f>
        <v>-</v>
      </c>
      <c r="W215" t="str">
        <f t="shared" ca="1" si="9"/>
        <v>-</v>
      </c>
      <c r="X215" t="str">
        <f t="shared" ca="1" si="10"/>
        <v/>
      </c>
      <c r="Y215" s="1" t="str">
        <f t="shared" ca="1" si="11"/>
        <v/>
      </c>
    </row>
    <row r="216" spans="1:25" x14ac:dyDescent="0.25">
      <c r="A216" t="s">
        <v>1856</v>
      </c>
      <c r="B216">
        <v>1.0089999999999999</v>
      </c>
      <c r="C216">
        <v>6.2</v>
      </c>
      <c r="D216">
        <v>0</v>
      </c>
      <c r="E216">
        <v>36.6</v>
      </c>
      <c r="F216">
        <v>0</v>
      </c>
      <c r="G216">
        <v>7.3</v>
      </c>
      <c r="H216">
        <v>0</v>
      </c>
      <c r="I216" t="s">
        <v>1581</v>
      </c>
      <c r="J216" t="s">
        <v>1581</v>
      </c>
      <c r="K216" t="s">
        <v>1581</v>
      </c>
      <c r="L216" t="s">
        <v>1581</v>
      </c>
      <c r="M216" t="s">
        <v>1581</v>
      </c>
      <c r="N216" t="s">
        <v>1581</v>
      </c>
      <c r="O216" t="s">
        <v>1581</v>
      </c>
      <c r="P216" t="s">
        <v>1581</v>
      </c>
      <c r="Q216" t="s">
        <v>1581</v>
      </c>
      <c r="R216" t="s">
        <v>1581</v>
      </c>
      <c r="S216" t="s">
        <v>1581</v>
      </c>
      <c r="T216" t="s">
        <v>1581</v>
      </c>
      <c r="U216" t="s">
        <v>1581</v>
      </c>
      <c r="V216" t="str" cm="1">
        <f t="array" aca="1" ref="V216" ca="1">IFERROR(_xlfn.IFS(A214="  ..............",OFFSET(A214,2,0),A213=" X-------------X",OFFSET(A213,3,0),MATCH("  ..............",A216:A225,0)&gt;2,V215),"-")</f>
        <v>-</v>
      </c>
      <c r="W216" t="str">
        <f t="shared" ca="1" si="9"/>
        <v>-</v>
      </c>
      <c r="X216" t="str">
        <f t="shared" ca="1" si="10"/>
        <v xml:space="preserve">              </v>
      </c>
      <c r="Y216" s="1">
        <f t="shared" ca="1" si="11"/>
        <v>0</v>
      </c>
    </row>
    <row r="217" spans="1:25" x14ac:dyDescent="0.25">
      <c r="A217" t="s">
        <v>1857</v>
      </c>
      <c r="B217">
        <v>-53</v>
      </c>
      <c r="C217">
        <v>0</v>
      </c>
      <c r="D217">
        <v>0</v>
      </c>
      <c r="E217">
        <v>8.6</v>
      </c>
      <c r="F217">
        <v>0</v>
      </c>
      <c r="G217">
        <v>0</v>
      </c>
      <c r="H217">
        <v>0</v>
      </c>
      <c r="I217" t="s">
        <v>1584</v>
      </c>
      <c r="J217" t="s">
        <v>1585</v>
      </c>
      <c r="K217" t="s">
        <v>1586</v>
      </c>
      <c r="L217" t="s">
        <v>1587</v>
      </c>
      <c r="M217" t="s">
        <v>1587</v>
      </c>
      <c r="N217" t="s">
        <v>1586</v>
      </c>
      <c r="O217" t="s">
        <v>1581</v>
      </c>
      <c r="P217" t="s">
        <v>1581</v>
      </c>
      <c r="Q217" t="s">
        <v>1581</v>
      </c>
      <c r="R217" t="s">
        <v>1581</v>
      </c>
      <c r="S217" t="s">
        <v>1581</v>
      </c>
      <c r="T217" t="s">
        <v>1581</v>
      </c>
      <c r="U217" t="s">
        <v>1581</v>
      </c>
      <c r="V217" t="str" cm="1">
        <f t="array" aca="1" ref="V217" ca="1">IFERROR(_xlfn.IFS(A215="  ..............",OFFSET(A215,2,0),A214=" X-------------X",OFFSET(A214,3,0),MATCH("  ..............",A217:A226,0)&gt;2,V216),"-")</f>
        <v xml:space="preserve">  EVELHA-RS138  </v>
      </c>
      <c r="W217">
        <f t="shared" ca="1" si="9"/>
        <v>1.0089999999999999</v>
      </c>
      <c r="X217" t="str">
        <f t="shared" ca="1" si="10"/>
        <v xml:space="preserve"> SCHARL-RS138 </v>
      </c>
      <c r="Y217" s="1" t="str">
        <f t="shared" ca="1" si="11"/>
        <v xml:space="preserve">             </v>
      </c>
    </row>
    <row r="218" spans="1:25" x14ac:dyDescent="0.25">
      <c r="A218" t="s">
        <v>1637</v>
      </c>
      <c r="B218" t="s">
        <v>1638</v>
      </c>
      <c r="C218">
        <v>137</v>
      </c>
      <c r="D218">
        <v>175</v>
      </c>
      <c r="E218">
        <v>175</v>
      </c>
      <c r="F218" t="s">
        <v>1639</v>
      </c>
      <c r="G218" t="s">
        <v>1587</v>
      </c>
      <c r="H218" t="s">
        <v>1587</v>
      </c>
      <c r="I218">
        <v>2090</v>
      </c>
      <c r="J218" t="s">
        <v>1858</v>
      </c>
      <c r="K218">
        <v>1</v>
      </c>
      <c r="L218">
        <v>0</v>
      </c>
      <c r="M218">
        <v>0</v>
      </c>
      <c r="N218">
        <v>0</v>
      </c>
      <c r="O218" t="s">
        <v>1594</v>
      </c>
      <c r="P218" t="s">
        <v>1584</v>
      </c>
      <c r="Q218" t="s">
        <v>1591</v>
      </c>
      <c r="R218">
        <v>0</v>
      </c>
      <c r="S218">
        <v>0</v>
      </c>
      <c r="T218" t="s">
        <v>1584</v>
      </c>
      <c r="U218" t="s">
        <v>1592</v>
      </c>
      <c r="V218" t="str" cm="1">
        <f t="array" aca="1" ref="V218" ca="1">IFERROR(_xlfn.IFS(A216="  ..............",OFFSET(A216,2,0),A215=" X-------------X",OFFSET(A215,3,0),MATCH("  ..............",A218:A227,0)&gt;2,V217),"-")</f>
        <v xml:space="preserve">  EVELHA-RS138  </v>
      </c>
      <c r="W218">
        <f t="shared" ca="1" si="9"/>
        <v>1.0089999999999999</v>
      </c>
      <c r="X218" t="str">
        <f t="shared" ca="1" si="10"/>
        <v xml:space="preserve"> IVOTI--RS138 </v>
      </c>
      <c r="Y218" s="1">
        <f t="shared" ca="1" si="11"/>
        <v>0.22800000000000001</v>
      </c>
    </row>
    <row r="219" spans="1:25" x14ac:dyDescent="0.25">
      <c r="A219" t="s">
        <v>1588</v>
      </c>
      <c r="B219" t="s">
        <v>1587</v>
      </c>
      <c r="C219">
        <v>134</v>
      </c>
      <c r="D219">
        <v>162</v>
      </c>
      <c r="E219">
        <v>162</v>
      </c>
      <c r="F219" s="1">
        <v>0.22500000000000001</v>
      </c>
      <c r="G219" t="s">
        <v>1587</v>
      </c>
      <c r="H219" t="s">
        <v>1587</v>
      </c>
      <c r="I219">
        <v>9965</v>
      </c>
      <c r="J219" t="s">
        <v>1630</v>
      </c>
      <c r="K219">
        <v>1</v>
      </c>
      <c r="L219">
        <v>-30.4</v>
      </c>
      <c r="M219">
        <v>-1.3</v>
      </c>
      <c r="N219">
        <v>30.2</v>
      </c>
      <c r="O219" t="s">
        <v>1594</v>
      </c>
      <c r="P219" t="s">
        <v>1584</v>
      </c>
      <c r="Q219" t="s">
        <v>1591</v>
      </c>
      <c r="R219">
        <v>0.02</v>
      </c>
      <c r="S219">
        <v>0.05</v>
      </c>
      <c r="T219" t="s">
        <v>1584</v>
      </c>
      <c r="U219" t="s">
        <v>1592</v>
      </c>
      <c r="V219" t="str" cm="1">
        <f t="array" aca="1" ref="V219" ca="1">IFERROR(_xlfn.IFS(A217="  ..............",OFFSET(A217,2,0),A216=" X-------------X",OFFSET(A216,3,0),MATCH("  ..............",A219:A228,0)&gt;2,V218),"-")</f>
        <v>-</v>
      </c>
      <c r="W219" t="str">
        <f t="shared" ca="1" si="9"/>
        <v>-</v>
      </c>
      <c r="X219" t="str">
        <f t="shared" ca="1" si="10"/>
        <v>-</v>
      </c>
      <c r="Y219" s="1" t="str">
        <f t="shared" ca="1" si="11"/>
        <v>-</v>
      </c>
    </row>
    <row r="220" spans="1:25" x14ac:dyDescent="0.25">
      <c r="A220" t="s">
        <v>1572</v>
      </c>
      <c r="B220" t="s">
        <v>1574</v>
      </c>
      <c r="C220" t="s">
        <v>1574</v>
      </c>
      <c r="D220" t="s">
        <v>1574</v>
      </c>
      <c r="E220" t="s">
        <v>1574</v>
      </c>
      <c r="F220" t="s">
        <v>1575</v>
      </c>
      <c r="G220" t="s">
        <v>1574</v>
      </c>
      <c r="H220" t="s">
        <v>1574</v>
      </c>
      <c r="I220" t="s">
        <v>1576</v>
      </c>
      <c r="J220" t="s">
        <v>1573</v>
      </c>
      <c r="K220" t="s">
        <v>1577</v>
      </c>
      <c r="L220" t="s">
        <v>1574</v>
      </c>
      <c r="M220" t="s">
        <v>1574</v>
      </c>
      <c r="N220" t="s">
        <v>1574</v>
      </c>
      <c r="O220" t="s">
        <v>1578</v>
      </c>
      <c r="P220" t="s">
        <v>1576</v>
      </c>
      <c r="Q220" t="s">
        <v>1579</v>
      </c>
      <c r="R220" t="s">
        <v>1580</v>
      </c>
      <c r="S220" t="s">
        <v>1580</v>
      </c>
      <c r="T220" t="s">
        <v>1576</v>
      </c>
      <c r="U220" t="s">
        <v>1576</v>
      </c>
      <c r="V220" t="str" cm="1">
        <f t="array" aca="1" ref="V220" ca="1">IFERROR(_xlfn.IFS(A218="  ..............",OFFSET(A218,2,0),A217=" X-------------X",OFFSET(A217,3,0),MATCH("  ..............",A220:A229,0)&gt;2,V219),"-")</f>
        <v>-</v>
      </c>
      <c r="W220" t="str">
        <f t="shared" ca="1" si="9"/>
        <v>-</v>
      </c>
      <c r="X220" t="str">
        <f t="shared" ca="1" si="10"/>
        <v/>
      </c>
      <c r="Y220" s="1" t="str">
        <f t="shared" ca="1" si="11"/>
        <v/>
      </c>
    </row>
    <row r="221" spans="1:25" x14ac:dyDescent="0.25">
      <c r="A221" t="s">
        <v>1859</v>
      </c>
      <c r="B221">
        <v>1.0209999999999999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1581</v>
      </c>
      <c r="J221" t="s">
        <v>1581</v>
      </c>
      <c r="K221" t="s">
        <v>1581</v>
      </c>
      <c r="L221" t="s">
        <v>1581</v>
      </c>
      <c r="M221" t="s">
        <v>1581</v>
      </c>
      <c r="N221" t="s">
        <v>1581</v>
      </c>
      <c r="O221" t="s">
        <v>1581</v>
      </c>
      <c r="P221" t="s">
        <v>1581</v>
      </c>
      <c r="Q221" t="s">
        <v>1581</v>
      </c>
      <c r="R221" t="s">
        <v>1581</v>
      </c>
      <c r="S221" t="s">
        <v>1581</v>
      </c>
      <c r="T221" t="s">
        <v>1581</v>
      </c>
      <c r="U221" t="s">
        <v>1581</v>
      </c>
      <c r="V221" t="str" cm="1">
        <f t="array" aca="1" ref="V221" ca="1">IFERROR(_xlfn.IFS(A219="  ..............",OFFSET(A219,2,0),A218=" X-------------X",OFFSET(A218,3,0),MATCH("  ..............",A221:A230,0)&gt;2,V220),"-")</f>
        <v>-</v>
      </c>
      <c r="W221" t="str">
        <f t="shared" ca="1" si="9"/>
        <v>-</v>
      </c>
      <c r="X221" t="str">
        <f t="shared" ca="1" si="10"/>
        <v xml:space="preserve">              </v>
      </c>
      <c r="Y221" s="1">
        <f t="shared" ca="1" si="11"/>
        <v>0</v>
      </c>
    </row>
    <row r="222" spans="1:25" x14ac:dyDescent="0.25">
      <c r="A222" t="s">
        <v>1860</v>
      </c>
      <c r="B222">
        <v>-47.3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1584</v>
      </c>
      <c r="J222" t="s">
        <v>1585</v>
      </c>
      <c r="K222" t="s">
        <v>1586</v>
      </c>
      <c r="L222" t="s">
        <v>1587</v>
      </c>
      <c r="M222" t="s">
        <v>1587</v>
      </c>
      <c r="N222" t="s">
        <v>1586</v>
      </c>
      <c r="O222" t="s">
        <v>1581</v>
      </c>
      <c r="P222" t="s">
        <v>1581</v>
      </c>
      <c r="Q222" t="s">
        <v>1581</v>
      </c>
      <c r="R222" t="s">
        <v>1581</v>
      </c>
      <c r="S222" t="s">
        <v>1581</v>
      </c>
      <c r="T222" t="s">
        <v>1581</v>
      </c>
      <c r="U222" t="s">
        <v>1581</v>
      </c>
      <c r="V222" t="str" cm="1">
        <f t="array" aca="1" ref="V222" ca="1">IFERROR(_xlfn.IFS(A220="  ..............",OFFSET(A220,2,0),A219=" X-------------X",OFFSET(A219,3,0),MATCH("  ..............",A222:A231,0)&gt;2,V221),"-")</f>
        <v xml:space="preserve">  PREAL--RS138  </v>
      </c>
      <c r="W222">
        <f t="shared" ca="1" si="9"/>
        <v>1.0209999999999999</v>
      </c>
      <c r="X222" t="str">
        <f t="shared" ca="1" si="10"/>
        <v xml:space="preserve"> JACUI--RS138 </v>
      </c>
      <c r="Y222" s="1">
        <f t="shared" ca="1" si="11"/>
        <v>0.43</v>
      </c>
    </row>
    <row r="223" spans="1:25" x14ac:dyDescent="0.25">
      <c r="A223" t="s">
        <v>1588</v>
      </c>
      <c r="B223" t="s">
        <v>1587</v>
      </c>
      <c r="C223">
        <v>96</v>
      </c>
      <c r="D223">
        <v>96</v>
      </c>
      <c r="E223">
        <v>96</v>
      </c>
      <c r="F223" s="1">
        <v>0.20300000000000001</v>
      </c>
      <c r="G223" t="s">
        <v>1587</v>
      </c>
      <c r="H223" t="s">
        <v>1587</v>
      </c>
      <c r="I223">
        <v>1216</v>
      </c>
      <c r="J223" t="s">
        <v>1623</v>
      </c>
      <c r="K223">
        <v>1</v>
      </c>
      <c r="L223">
        <v>-19.7</v>
      </c>
      <c r="M223">
        <v>-2.2999999999999998</v>
      </c>
      <c r="N223">
        <v>19.5</v>
      </c>
      <c r="O223" t="s">
        <v>1594</v>
      </c>
      <c r="P223" t="s">
        <v>1584</v>
      </c>
      <c r="Q223" t="s">
        <v>1591</v>
      </c>
      <c r="R223">
        <v>0.02</v>
      </c>
      <c r="S223">
        <v>-0.49</v>
      </c>
      <c r="T223" t="s">
        <v>1584</v>
      </c>
      <c r="U223" t="s">
        <v>1592</v>
      </c>
      <c r="V223" t="str" cm="1">
        <f t="array" aca="1" ref="V223" ca="1">IFERROR(_xlfn.IFS(A221="  ..............",OFFSET(A221,2,0),A220=" X-------------X",OFFSET(A220,3,0),MATCH("  ..............",A223:A232,0)&gt;2,V222),"-")</f>
        <v xml:space="preserve">  PREAL--RS138  </v>
      </c>
      <c r="W223">
        <f t="shared" ca="1" si="9"/>
        <v>1.0209999999999999</v>
      </c>
      <c r="X223" t="str">
        <f t="shared" ca="1" si="10"/>
        <v xml:space="preserve"> JACUI--RS138 </v>
      </c>
      <c r="Y223" s="1">
        <f t="shared" ca="1" si="11"/>
        <v>0.43</v>
      </c>
    </row>
    <row r="224" spans="1:25" x14ac:dyDescent="0.25">
      <c r="A224" t="s">
        <v>1588</v>
      </c>
      <c r="B224" t="s">
        <v>1587</v>
      </c>
      <c r="C224">
        <v>108</v>
      </c>
      <c r="D224">
        <v>108</v>
      </c>
      <c r="E224">
        <v>108</v>
      </c>
      <c r="F224" s="1">
        <v>0.18</v>
      </c>
      <c r="G224" t="s">
        <v>1587</v>
      </c>
      <c r="H224" t="s">
        <v>1587</v>
      </c>
      <c r="I224">
        <v>1216</v>
      </c>
      <c r="J224" t="s">
        <v>1623</v>
      </c>
      <c r="K224">
        <v>2</v>
      </c>
      <c r="L224">
        <v>-19.7</v>
      </c>
      <c r="M224">
        <v>-2.2999999999999998</v>
      </c>
      <c r="N224">
        <v>19.5</v>
      </c>
      <c r="O224" t="s">
        <v>1594</v>
      </c>
      <c r="P224" t="s">
        <v>1584</v>
      </c>
      <c r="Q224" t="s">
        <v>1591</v>
      </c>
      <c r="R224">
        <v>0.02</v>
      </c>
      <c r="S224">
        <v>-0.49</v>
      </c>
      <c r="T224" t="s">
        <v>1584</v>
      </c>
      <c r="U224" t="s">
        <v>1592</v>
      </c>
      <c r="V224" t="str" cm="1">
        <f t="array" aca="1" ref="V224" ca="1">IFERROR(_xlfn.IFS(A222="  ..............",OFFSET(A222,2,0),A221=" X-------------X",OFFSET(A221,3,0),MATCH("  ..............",A224:A233,0)&gt;2,V223),"-")</f>
        <v xml:space="preserve">  PREAL--RS138  </v>
      </c>
      <c r="W224">
        <f t="shared" ca="1" si="9"/>
        <v>1.0209999999999999</v>
      </c>
      <c r="X224" t="str">
        <f t="shared" ca="1" si="10"/>
        <v xml:space="preserve"> PRE--1-RS000 </v>
      </c>
      <c r="Y224" s="1">
        <f t="shared" ca="1" si="11"/>
        <v>0.126</v>
      </c>
    </row>
    <row r="225" spans="1:25" x14ac:dyDescent="0.25">
      <c r="A225" t="s">
        <v>1588</v>
      </c>
      <c r="B225" t="s">
        <v>1587</v>
      </c>
      <c r="C225">
        <v>150</v>
      </c>
      <c r="D225">
        <v>195</v>
      </c>
      <c r="E225">
        <v>195</v>
      </c>
      <c r="F225" s="1">
        <v>0.126</v>
      </c>
      <c r="G225" t="s">
        <v>1587</v>
      </c>
      <c r="H225" t="s">
        <v>1587</v>
      </c>
      <c r="I225">
        <v>41344</v>
      </c>
      <c r="J225" t="s">
        <v>1861</v>
      </c>
      <c r="K225">
        <v>1</v>
      </c>
      <c r="L225">
        <v>19.2</v>
      </c>
      <c r="M225">
        <v>2.2000000000000002</v>
      </c>
      <c r="N225">
        <v>18.899999999999999</v>
      </c>
      <c r="O225" t="s">
        <v>1862</v>
      </c>
      <c r="P225" t="s">
        <v>1584</v>
      </c>
      <c r="Q225">
        <v>2</v>
      </c>
      <c r="R225">
        <v>0</v>
      </c>
      <c r="S225">
        <v>-0.03</v>
      </c>
      <c r="T225" t="s">
        <v>1584</v>
      </c>
      <c r="U225" t="s">
        <v>1592</v>
      </c>
      <c r="V225" t="str" cm="1">
        <f t="array" aca="1" ref="V225" ca="1">IFERROR(_xlfn.IFS(A223="  ..............",OFFSET(A223,2,0),A222=" X-------------X",OFFSET(A222,3,0),MATCH("  ..............",A225:A234,0)&gt;2,V224),"-")</f>
        <v xml:space="preserve">  PREAL--RS138  </v>
      </c>
      <c r="W225">
        <f t="shared" ca="1" si="9"/>
        <v>1.0209999999999999</v>
      </c>
      <c r="X225" t="str">
        <f t="shared" ca="1" si="10"/>
        <v xml:space="preserve"> PRE--2-RS000 </v>
      </c>
      <c r="Y225" s="1">
        <f t="shared" ca="1" si="11"/>
        <v>0.13300000000000001</v>
      </c>
    </row>
    <row r="226" spans="1:25" x14ac:dyDescent="0.25">
      <c r="A226" t="s">
        <v>1588</v>
      </c>
      <c r="B226" t="s">
        <v>1587</v>
      </c>
      <c r="C226">
        <v>150</v>
      </c>
      <c r="D226">
        <v>150</v>
      </c>
      <c r="E226">
        <v>150</v>
      </c>
      <c r="F226" s="1">
        <v>0.13300000000000001</v>
      </c>
      <c r="G226" t="s">
        <v>1587</v>
      </c>
      <c r="H226" t="s">
        <v>1587</v>
      </c>
      <c r="I226">
        <v>41345</v>
      </c>
      <c r="J226" t="s">
        <v>1863</v>
      </c>
      <c r="K226">
        <v>2</v>
      </c>
      <c r="L226">
        <v>20.3</v>
      </c>
      <c r="M226">
        <v>2.4</v>
      </c>
      <c r="N226">
        <v>20</v>
      </c>
      <c r="O226" t="s">
        <v>1862</v>
      </c>
      <c r="P226" t="s">
        <v>1584</v>
      </c>
      <c r="Q226">
        <v>2</v>
      </c>
      <c r="R226">
        <v>0</v>
      </c>
      <c r="S226">
        <v>-0.02</v>
      </c>
      <c r="T226" t="s">
        <v>1584</v>
      </c>
      <c r="U226" t="s">
        <v>1592</v>
      </c>
      <c r="V226" t="str" cm="1">
        <f t="array" aca="1" ref="V226" ca="1">IFERROR(_xlfn.IFS(A224="  ..............",OFFSET(A224,2,0),A223=" X-------------X",OFFSET(A223,3,0),MATCH("  ..............",A226:A235,0)&gt;2,V225),"-")</f>
        <v>-</v>
      </c>
      <c r="W226" t="str">
        <f t="shared" ca="1" si="9"/>
        <v>-</v>
      </c>
      <c r="X226" t="str">
        <f t="shared" ca="1" si="10"/>
        <v>-</v>
      </c>
      <c r="Y226" s="1" t="str">
        <f t="shared" ca="1" si="11"/>
        <v>-</v>
      </c>
    </row>
    <row r="227" spans="1:25" x14ac:dyDescent="0.25">
      <c r="A227" t="s">
        <v>1572</v>
      </c>
      <c r="B227" t="s">
        <v>1574</v>
      </c>
      <c r="C227" t="s">
        <v>1574</v>
      </c>
      <c r="D227" t="s">
        <v>1574</v>
      </c>
      <c r="E227" t="s">
        <v>1574</v>
      </c>
      <c r="F227" t="s">
        <v>1575</v>
      </c>
      <c r="G227" t="s">
        <v>1574</v>
      </c>
      <c r="H227" t="s">
        <v>1574</v>
      </c>
      <c r="I227" t="s">
        <v>1576</v>
      </c>
      <c r="J227" t="s">
        <v>1573</v>
      </c>
      <c r="K227" t="s">
        <v>1577</v>
      </c>
      <c r="L227" t="s">
        <v>1574</v>
      </c>
      <c r="M227" t="s">
        <v>1574</v>
      </c>
      <c r="N227" t="s">
        <v>1574</v>
      </c>
      <c r="O227" t="s">
        <v>1578</v>
      </c>
      <c r="P227" t="s">
        <v>1576</v>
      </c>
      <c r="Q227" t="s">
        <v>1579</v>
      </c>
      <c r="R227" t="s">
        <v>1580</v>
      </c>
      <c r="S227" t="s">
        <v>1580</v>
      </c>
      <c r="T227" t="s">
        <v>1576</v>
      </c>
      <c r="U227" t="s">
        <v>1576</v>
      </c>
      <c r="V227" t="str" cm="1">
        <f t="array" aca="1" ref="V227" ca="1">IFERROR(_xlfn.IFS(A225="  ..............",OFFSET(A225,2,0),A224=" X-------------X",OFFSET(A224,3,0),MATCH("  ..............",A227:A236,0)&gt;2,V226),"-")</f>
        <v>-</v>
      </c>
      <c r="W227" t="str">
        <f t="shared" ca="1" si="9"/>
        <v>-</v>
      </c>
      <c r="X227" t="str">
        <f t="shared" ca="1" si="10"/>
        <v/>
      </c>
      <c r="Y227" s="1" t="str">
        <f t="shared" ca="1" si="11"/>
        <v/>
      </c>
    </row>
    <row r="228" spans="1:25" x14ac:dyDescent="0.25">
      <c r="A228" t="s">
        <v>1864</v>
      </c>
      <c r="B228">
        <v>0.999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1581</v>
      </c>
      <c r="J228" t="s">
        <v>1581</v>
      </c>
      <c r="K228" t="s">
        <v>1581</v>
      </c>
      <c r="L228" t="s">
        <v>1581</v>
      </c>
      <c r="M228" t="s">
        <v>1581</v>
      </c>
      <c r="N228" t="s">
        <v>1581</v>
      </c>
      <c r="O228" t="s">
        <v>1581</v>
      </c>
      <c r="P228" t="s">
        <v>1581</v>
      </c>
      <c r="Q228" t="s">
        <v>1581</v>
      </c>
      <c r="R228" t="s">
        <v>1581</v>
      </c>
      <c r="S228" t="s">
        <v>1581</v>
      </c>
      <c r="T228" t="s">
        <v>1581</v>
      </c>
      <c r="U228" t="s">
        <v>1581</v>
      </c>
      <c r="V228" t="str" cm="1">
        <f t="array" aca="1" ref="V228" ca="1">IFERROR(_xlfn.IFS(A226="  ..............",OFFSET(A226,2,0),A225=" X-------------X",OFFSET(A225,3,0),MATCH("  ..............",A228:A237,0)&gt;2,V227),"-")</f>
        <v>-</v>
      </c>
      <c r="W228" t="str">
        <f t="shared" ca="1" si="9"/>
        <v>-</v>
      </c>
      <c r="X228" t="str">
        <f t="shared" ca="1" si="10"/>
        <v xml:space="preserve">              </v>
      </c>
      <c r="Y228" s="1">
        <f t="shared" ca="1" si="11"/>
        <v>0</v>
      </c>
    </row>
    <row r="229" spans="1:25" x14ac:dyDescent="0.25">
      <c r="A229" t="s">
        <v>1865</v>
      </c>
      <c r="B229">
        <v>-48.6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1584</v>
      </c>
      <c r="J229" t="s">
        <v>1585</v>
      </c>
      <c r="K229" t="s">
        <v>1586</v>
      </c>
      <c r="L229" t="s">
        <v>1587</v>
      </c>
      <c r="M229" t="s">
        <v>1587</v>
      </c>
      <c r="N229" t="s">
        <v>1586</v>
      </c>
      <c r="O229" t="s">
        <v>1581</v>
      </c>
      <c r="P229" t="s">
        <v>1581</v>
      </c>
      <c r="Q229" t="s">
        <v>1581</v>
      </c>
      <c r="R229" t="s">
        <v>1581</v>
      </c>
      <c r="S229" t="s">
        <v>1581</v>
      </c>
      <c r="T229" t="s">
        <v>1581</v>
      </c>
      <c r="U229" t="s">
        <v>1581</v>
      </c>
      <c r="V229" t="str" cm="1">
        <f t="array" aca="1" ref="V229" ca="1">IFERROR(_xlfn.IFS(A227="  ..............",OFFSET(A227,2,0),A226=" X-------------X",OFFSET(A226,3,0),MATCH("  ..............",A229:A238,0)&gt;2,V228),"-")</f>
        <v xml:space="preserve">  OSORI2-RS138  </v>
      </c>
      <c r="W229">
        <f t="shared" ca="1" si="9"/>
        <v>0.999</v>
      </c>
      <c r="X229" t="str">
        <f t="shared" ca="1" si="10"/>
        <v xml:space="preserve"> OSORI2-RS069 </v>
      </c>
      <c r="Y229" s="1" t="str">
        <f t="shared" ca="1" si="11"/>
        <v xml:space="preserve">             </v>
      </c>
    </row>
    <row r="230" spans="1:25" x14ac:dyDescent="0.25">
      <c r="A230" t="s">
        <v>1637</v>
      </c>
      <c r="B230" t="s">
        <v>1638</v>
      </c>
      <c r="C230">
        <v>54</v>
      </c>
      <c r="D230">
        <v>54</v>
      </c>
      <c r="E230">
        <v>54</v>
      </c>
      <c r="F230" t="s">
        <v>1639</v>
      </c>
      <c r="G230" t="s">
        <v>1587</v>
      </c>
      <c r="H230" t="s">
        <v>1587</v>
      </c>
      <c r="I230">
        <v>1232</v>
      </c>
      <c r="J230" t="s">
        <v>1866</v>
      </c>
      <c r="K230">
        <v>3</v>
      </c>
      <c r="L230">
        <v>0</v>
      </c>
      <c r="M230">
        <v>0</v>
      </c>
      <c r="N230">
        <v>0</v>
      </c>
      <c r="O230" t="s">
        <v>1594</v>
      </c>
      <c r="P230" t="s">
        <v>1584</v>
      </c>
      <c r="Q230" t="s">
        <v>1591</v>
      </c>
      <c r="R230">
        <v>0</v>
      </c>
      <c r="S230">
        <v>0</v>
      </c>
      <c r="T230" t="s">
        <v>1584</v>
      </c>
      <c r="U230" t="s">
        <v>1592</v>
      </c>
      <c r="V230" t="str" cm="1">
        <f t="array" aca="1" ref="V230" ca="1">IFERROR(_xlfn.IFS(A228="  ..............",OFFSET(A228,2,0),A227=" X-------------X",OFFSET(A227,3,0),MATCH("  ..............",A230:A239,0)&gt;2,V229),"-")</f>
        <v xml:space="preserve">  OSORI2-RS138  </v>
      </c>
      <c r="W230">
        <f t="shared" ca="1" si="9"/>
        <v>0.999</v>
      </c>
      <c r="X230" t="str">
        <f t="shared" ca="1" si="10"/>
        <v xml:space="preserve"> OSO-Y2-RS138 </v>
      </c>
      <c r="Y230" s="1">
        <f t="shared" ca="1" si="11"/>
        <v>2.8000000000000001E-2</v>
      </c>
    </row>
    <row r="231" spans="1:25" x14ac:dyDescent="0.25">
      <c r="A231" t="s">
        <v>1588</v>
      </c>
      <c r="B231" t="s">
        <v>1587</v>
      </c>
      <c r="C231">
        <v>9999</v>
      </c>
      <c r="D231">
        <v>9999</v>
      </c>
      <c r="E231">
        <v>9999</v>
      </c>
      <c r="F231" s="1">
        <v>0</v>
      </c>
      <c r="G231" t="s">
        <v>1587</v>
      </c>
      <c r="H231" t="s">
        <v>1587</v>
      </c>
      <c r="I231">
        <v>1358</v>
      </c>
      <c r="J231" t="s">
        <v>1606</v>
      </c>
      <c r="K231">
        <v>1</v>
      </c>
      <c r="L231">
        <v>0</v>
      </c>
      <c r="M231">
        <v>0</v>
      </c>
      <c r="N231">
        <v>0</v>
      </c>
      <c r="O231" t="s">
        <v>1594</v>
      </c>
      <c r="P231" t="s">
        <v>1584</v>
      </c>
      <c r="Q231" t="s">
        <v>1591</v>
      </c>
      <c r="R231">
        <v>0</v>
      </c>
      <c r="S231">
        <v>0</v>
      </c>
      <c r="T231" t="s">
        <v>1584</v>
      </c>
      <c r="U231" t="s">
        <v>1592</v>
      </c>
      <c r="V231" t="str" cm="1">
        <f t="array" aca="1" ref="V231" ca="1">IFERROR(_xlfn.IFS(A229="  ..............",OFFSET(A229,2,0),A228=" X-------------X",OFFSET(A228,3,0),MATCH("  ..............",A231:A240,0)&gt;2,V230),"-")</f>
        <v>-</v>
      </c>
      <c r="W231" t="str">
        <f t="shared" ca="1" si="9"/>
        <v>-</v>
      </c>
      <c r="X231" t="str">
        <f t="shared" ca="1" si="10"/>
        <v>-</v>
      </c>
      <c r="Y231" s="1" t="str">
        <f t="shared" ca="1" si="11"/>
        <v>-</v>
      </c>
    </row>
    <row r="232" spans="1:25" x14ac:dyDescent="0.25">
      <c r="A232" t="s">
        <v>1572</v>
      </c>
      <c r="B232" t="s">
        <v>1574</v>
      </c>
      <c r="C232" t="s">
        <v>1574</v>
      </c>
      <c r="D232" t="s">
        <v>1574</v>
      </c>
      <c r="E232" t="s">
        <v>1574</v>
      </c>
      <c r="F232" t="s">
        <v>1575</v>
      </c>
      <c r="G232" t="s">
        <v>1574</v>
      </c>
      <c r="H232" t="s">
        <v>1574</v>
      </c>
      <c r="I232" t="s">
        <v>1576</v>
      </c>
      <c r="J232" t="s">
        <v>1573</v>
      </c>
      <c r="K232" t="s">
        <v>1577</v>
      </c>
      <c r="L232" t="s">
        <v>1574</v>
      </c>
      <c r="M232" t="s">
        <v>1574</v>
      </c>
      <c r="N232" t="s">
        <v>1574</v>
      </c>
      <c r="O232" t="s">
        <v>1578</v>
      </c>
      <c r="P232" t="s">
        <v>1576</v>
      </c>
      <c r="Q232" t="s">
        <v>1579</v>
      </c>
      <c r="R232" t="s">
        <v>1580</v>
      </c>
      <c r="S232" t="s">
        <v>1580</v>
      </c>
      <c r="T232" t="s">
        <v>1576</v>
      </c>
      <c r="U232" t="s">
        <v>1576</v>
      </c>
      <c r="V232" t="str" cm="1">
        <f t="array" aca="1" ref="V232" ca="1">IFERROR(_xlfn.IFS(A230="  ..............",OFFSET(A230,2,0),A229=" X-------------X",OFFSET(A229,3,0),MATCH("  ..............",A232:A241,0)&gt;2,V231),"-")</f>
        <v>-</v>
      </c>
      <c r="W232" t="str">
        <f t="shared" ca="1" si="9"/>
        <v>-</v>
      </c>
      <c r="X232" t="str">
        <f t="shared" ca="1" si="10"/>
        <v/>
      </c>
      <c r="Y232" s="1" t="str">
        <f t="shared" ca="1" si="11"/>
        <v/>
      </c>
    </row>
    <row r="233" spans="1:25" x14ac:dyDescent="0.25">
      <c r="A233" t="s">
        <v>1867</v>
      </c>
      <c r="B233">
        <v>1.0269999999999999</v>
      </c>
      <c r="C233">
        <v>0</v>
      </c>
      <c r="D233">
        <v>0</v>
      </c>
      <c r="E233">
        <v>16.600000000000001</v>
      </c>
      <c r="F233">
        <v>0</v>
      </c>
      <c r="G233">
        <v>0</v>
      </c>
      <c r="H233">
        <v>0</v>
      </c>
      <c r="I233" t="s">
        <v>1581</v>
      </c>
      <c r="J233" t="s">
        <v>1581</v>
      </c>
      <c r="K233" t="s">
        <v>1581</v>
      </c>
      <c r="L233" t="s">
        <v>1581</v>
      </c>
      <c r="M233" t="s">
        <v>1581</v>
      </c>
      <c r="N233" t="s">
        <v>1581</v>
      </c>
      <c r="O233" t="s">
        <v>1581</v>
      </c>
      <c r="P233" t="s">
        <v>1581</v>
      </c>
      <c r="Q233" t="s">
        <v>1581</v>
      </c>
      <c r="R233" t="s">
        <v>1581</v>
      </c>
      <c r="S233" t="s">
        <v>1581</v>
      </c>
      <c r="T233" t="s">
        <v>1581</v>
      </c>
      <c r="U233" t="s">
        <v>1581</v>
      </c>
      <c r="V233" t="str" cm="1">
        <f t="array" aca="1" ref="V233" ca="1">IFERROR(_xlfn.IFS(A231="  ..............",OFFSET(A231,2,0),A230=" X-------------X",OFFSET(A230,3,0),MATCH("  ..............",A233:A242,0)&gt;2,V232),"-")</f>
        <v>-</v>
      </c>
      <c r="W233" t="str">
        <f t="shared" ca="1" si="9"/>
        <v>-</v>
      </c>
      <c r="X233" t="str">
        <f t="shared" ca="1" si="10"/>
        <v xml:space="preserve">              </v>
      </c>
      <c r="Y233" s="1">
        <f t="shared" ca="1" si="11"/>
        <v>0</v>
      </c>
    </row>
    <row r="234" spans="1:25" x14ac:dyDescent="0.25">
      <c r="A234" t="s">
        <v>1868</v>
      </c>
      <c r="B234">
        <v>-45.7</v>
      </c>
      <c r="C234">
        <v>0</v>
      </c>
      <c r="D234">
        <v>0</v>
      </c>
      <c r="E234">
        <v>6.7</v>
      </c>
      <c r="F234">
        <v>0</v>
      </c>
      <c r="G234">
        <v>0</v>
      </c>
      <c r="H234">
        <v>0</v>
      </c>
      <c r="I234" t="s">
        <v>1584</v>
      </c>
      <c r="J234" t="s">
        <v>1585</v>
      </c>
      <c r="K234" t="s">
        <v>1586</v>
      </c>
      <c r="L234" t="s">
        <v>1587</v>
      </c>
      <c r="M234" t="s">
        <v>1587</v>
      </c>
      <c r="N234" t="s">
        <v>1586</v>
      </c>
      <c r="O234" t="s">
        <v>1581</v>
      </c>
      <c r="P234" t="s">
        <v>1581</v>
      </c>
      <c r="Q234" t="s">
        <v>1581</v>
      </c>
      <c r="R234" t="s">
        <v>1581</v>
      </c>
      <c r="S234" t="s">
        <v>1581</v>
      </c>
      <c r="T234" t="s">
        <v>1581</v>
      </c>
      <c r="U234" t="s">
        <v>1581</v>
      </c>
      <c r="V234" t="str" cm="1">
        <f t="array" aca="1" ref="V234" ca="1">IFERROR(_xlfn.IFS(A232="  ..............",OFFSET(A232,2,0),A231=" X-------------X",OFFSET(A231,3,0),MATCH("  ..............",A234:A243,0)&gt;2,V233),"-")</f>
        <v xml:space="preserve">  SANGEL-RS069  </v>
      </c>
      <c r="W234">
        <f t="shared" ca="1" si="9"/>
        <v>1.0269999999999999</v>
      </c>
      <c r="X234" t="str">
        <f t="shared" ca="1" si="10"/>
        <v xml:space="preserve"> SANGE1-RS069 </v>
      </c>
      <c r="Y234" s="1">
        <f t="shared" ca="1" si="11"/>
        <v>0.312</v>
      </c>
    </row>
    <row r="235" spans="1:25" x14ac:dyDescent="0.25">
      <c r="A235" t="s">
        <v>1588</v>
      </c>
      <c r="B235" t="s">
        <v>1587</v>
      </c>
      <c r="C235">
        <v>69</v>
      </c>
      <c r="D235">
        <v>69</v>
      </c>
      <c r="E235">
        <v>69</v>
      </c>
      <c r="F235" s="1">
        <v>0.312</v>
      </c>
      <c r="G235" t="s">
        <v>1587</v>
      </c>
      <c r="H235" t="s">
        <v>1587</v>
      </c>
      <c r="I235">
        <v>1311</v>
      </c>
      <c r="J235" t="s">
        <v>1869</v>
      </c>
      <c r="K235">
        <v>1</v>
      </c>
      <c r="L235">
        <v>20.9</v>
      </c>
      <c r="M235">
        <v>7.3</v>
      </c>
      <c r="N235">
        <v>21.5</v>
      </c>
      <c r="O235" t="s">
        <v>1594</v>
      </c>
      <c r="P235" t="s">
        <v>1584</v>
      </c>
      <c r="Q235" t="s">
        <v>1591</v>
      </c>
      <c r="R235">
        <v>0.17</v>
      </c>
      <c r="S235">
        <v>0.4</v>
      </c>
      <c r="T235" t="s">
        <v>1584</v>
      </c>
      <c r="U235" t="s">
        <v>1592</v>
      </c>
      <c r="V235" t="str" cm="1">
        <f t="array" aca="1" ref="V235" ca="1">IFERROR(_xlfn.IFS(A233="  ..............",OFFSET(A233,2,0),A232=" X-------------X",OFFSET(A232,3,0),MATCH("  ..............",A235:A244,0)&gt;2,V234),"-")</f>
        <v xml:space="preserve">  SANGEL-RS069  </v>
      </c>
      <c r="W235">
        <f t="shared" ca="1" si="9"/>
        <v>1.0269999999999999</v>
      </c>
      <c r="X235" t="str">
        <f t="shared" ca="1" si="10"/>
        <v xml:space="preserve"> SANGEL-RS023 </v>
      </c>
      <c r="Y235" s="1">
        <f t="shared" ca="1" si="11"/>
        <v>0.38500000000000001</v>
      </c>
    </row>
    <row r="236" spans="1:25" x14ac:dyDescent="0.25">
      <c r="A236" t="s">
        <v>1588</v>
      </c>
      <c r="B236" t="s">
        <v>1587</v>
      </c>
      <c r="C236">
        <v>25</v>
      </c>
      <c r="D236">
        <v>37</v>
      </c>
      <c r="E236">
        <v>37</v>
      </c>
      <c r="F236" s="1">
        <v>0.38500000000000001</v>
      </c>
      <c r="G236" t="s">
        <v>1587</v>
      </c>
      <c r="H236" t="s">
        <v>1587</v>
      </c>
      <c r="I236">
        <v>9285</v>
      </c>
      <c r="J236" t="s">
        <v>1870</v>
      </c>
      <c r="K236">
        <v>3</v>
      </c>
      <c r="L236">
        <v>8.4</v>
      </c>
      <c r="M236">
        <v>5.2</v>
      </c>
      <c r="N236">
        <v>9.6</v>
      </c>
      <c r="O236" t="s">
        <v>1871</v>
      </c>
      <c r="P236" t="s">
        <v>1584</v>
      </c>
      <c r="Q236" t="s">
        <v>1591</v>
      </c>
      <c r="R236">
        <v>0.03</v>
      </c>
      <c r="S236">
        <v>0.28000000000000003</v>
      </c>
      <c r="T236" t="s">
        <v>1584</v>
      </c>
      <c r="U236" t="s">
        <v>1592</v>
      </c>
      <c r="V236" t="str" cm="1">
        <f t="array" aca="1" ref="V236" ca="1">IFERROR(_xlfn.IFS(A234="  ..............",OFFSET(A234,2,0),A233=" X-------------X",OFFSET(A233,3,0),MATCH("  ..............",A236:A245,0)&gt;2,V235),"-")</f>
        <v xml:space="preserve">  SANGEL-RS069  </v>
      </c>
      <c r="W236">
        <f t="shared" ca="1" si="9"/>
        <v>1.0269999999999999</v>
      </c>
      <c r="X236" t="str">
        <f t="shared" ca="1" si="10"/>
        <v xml:space="preserve"> SANGEL-RS023 </v>
      </c>
      <c r="Y236" s="1">
        <f t="shared" ca="1" si="11"/>
        <v>0.38500000000000001</v>
      </c>
    </row>
    <row r="237" spans="1:25" x14ac:dyDescent="0.25">
      <c r="A237" t="s">
        <v>1588</v>
      </c>
      <c r="B237" t="s">
        <v>1587</v>
      </c>
      <c r="C237">
        <v>25</v>
      </c>
      <c r="D237">
        <v>30</v>
      </c>
      <c r="E237">
        <v>30</v>
      </c>
      <c r="F237" s="1">
        <v>0.38300000000000001</v>
      </c>
      <c r="G237" t="s">
        <v>1587</v>
      </c>
      <c r="H237" t="s">
        <v>1587</v>
      </c>
      <c r="I237">
        <v>9285</v>
      </c>
      <c r="J237" t="s">
        <v>1870</v>
      </c>
      <c r="K237">
        <v>4</v>
      </c>
      <c r="L237">
        <v>8</v>
      </c>
      <c r="M237">
        <v>5.7</v>
      </c>
      <c r="N237">
        <v>9.6</v>
      </c>
      <c r="O237" t="s">
        <v>1871</v>
      </c>
      <c r="P237" t="s">
        <v>1584</v>
      </c>
      <c r="Q237" t="s">
        <v>1591</v>
      </c>
      <c r="R237">
        <v>0.02</v>
      </c>
      <c r="S237">
        <v>0.28000000000000003</v>
      </c>
      <c r="T237" t="s">
        <v>1584</v>
      </c>
      <c r="U237" t="s">
        <v>1592</v>
      </c>
      <c r="V237" t="str" cm="1">
        <f t="array" aca="1" ref="V237" ca="1">IFERROR(_xlfn.IFS(A235="  ..............",OFFSET(A235,2,0),A234=" X-------------X",OFFSET(A234,3,0),MATCH("  ..............",A237:A246,0)&gt;2,V236),"-")</f>
        <v xml:space="preserve">  SANGEL-RS069  </v>
      </c>
      <c r="W237">
        <f t="shared" ca="1" si="9"/>
        <v>1.0269999999999999</v>
      </c>
      <c r="X237" t="str">
        <f t="shared" ca="1" si="10"/>
        <v xml:space="preserve"> SAG2-1-RS000 </v>
      </c>
      <c r="Y237" s="1">
        <f t="shared" ca="1" si="11"/>
        <v>0.34899999999999998</v>
      </c>
    </row>
    <row r="238" spans="1:25" x14ac:dyDescent="0.25">
      <c r="A238" t="s">
        <v>1588</v>
      </c>
      <c r="B238" t="s">
        <v>1587</v>
      </c>
      <c r="C238">
        <v>83</v>
      </c>
      <c r="D238">
        <v>125</v>
      </c>
      <c r="E238">
        <v>125</v>
      </c>
      <c r="F238" s="1">
        <v>0.34899999999999998</v>
      </c>
      <c r="G238" t="s">
        <v>1587</v>
      </c>
      <c r="H238" t="s">
        <v>1587</v>
      </c>
      <c r="I238">
        <v>41352</v>
      </c>
      <c r="J238" t="s">
        <v>1872</v>
      </c>
      <c r="K238">
        <v>1</v>
      </c>
      <c r="L238">
        <v>-27</v>
      </c>
      <c r="M238">
        <v>-12.5</v>
      </c>
      <c r="N238">
        <v>29</v>
      </c>
      <c r="O238" t="s">
        <v>1608</v>
      </c>
      <c r="P238" t="s">
        <v>1584</v>
      </c>
      <c r="Q238">
        <v>2</v>
      </c>
      <c r="R238">
        <v>0.03</v>
      </c>
      <c r="S238">
        <v>-0.1</v>
      </c>
      <c r="T238" t="s">
        <v>1584</v>
      </c>
      <c r="U238" t="s">
        <v>1592</v>
      </c>
      <c r="V238" t="str" cm="1">
        <f t="array" aca="1" ref="V238" ca="1">IFERROR(_xlfn.IFS(A236="  ..............",OFFSET(A236,2,0),A235=" X-------------X",OFFSET(A235,3,0),MATCH("  ..............",A238:A247,0)&gt;2,V237),"-")</f>
        <v xml:space="preserve">  SANGEL-RS069  </v>
      </c>
      <c r="W238">
        <f t="shared" ca="1" si="9"/>
        <v>1.0269999999999999</v>
      </c>
      <c r="X238" t="str">
        <f t="shared" ca="1" si="10"/>
        <v xml:space="preserve"> SAG2-2-RS000 </v>
      </c>
      <c r="Y238" s="1">
        <f t="shared" ca="1" si="11"/>
        <v>0.34699999999999998</v>
      </c>
    </row>
    <row r="239" spans="1:25" x14ac:dyDescent="0.25">
      <c r="A239" t="s">
        <v>1588</v>
      </c>
      <c r="B239" t="s">
        <v>1587</v>
      </c>
      <c r="C239">
        <v>83</v>
      </c>
      <c r="D239">
        <v>125</v>
      </c>
      <c r="E239">
        <v>125</v>
      </c>
      <c r="F239" s="1">
        <v>0.34699999999999998</v>
      </c>
      <c r="G239" t="s">
        <v>1587</v>
      </c>
      <c r="H239" t="s">
        <v>1587</v>
      </c>
      <c r="I239">
        <v>41353</v>
      </c>
      <c r="J239" t="s">
        <v>1873</v>
      </c>
      <c r="K239">
        <v>2</v>
      </c>
      <c r="L239">
        <v>-26.9</v>
      </c>
      <c r="M239">
        <v>-12.4</v>
      </c>
      <c r="N239">
        <v>28.8</v>
      </c>
      <c r="O239" t="s">
        <v>1608</v>
      </c>
      <c r="P239" t="s">
        <v>1584</v>
      </c>
      <c r="Q239">
        <v>2</v>
      </c>
      <c r="R239">
        <v>0.03</v>
      </c>
      <c r="S239">
        <v>-0.09</v>
      </c>
      <c r="T239" t="s">
        <v>1584</v>
      </c>
      <c r="U239" t="s">
        <v>1592</v>
      </c>
      <c r="V239" t="str" cm="1">
        <f t="array" aca="1" ref="V239" ca="1">IFERROR(_xlfn.IFS(A237="  ..............",OFFSET(A237,2,0),A236=" X-------------X",OFFSET(A236,3,0),MATCH("  ..............",A239:A248,0)&gt;2,V238),"-")</f>
        <v>-</v>
      </c>
      <c r="W239" t="str">
        <f t="shared" ca="1" si="9"/>
        <v>-</v>
      </c>
      <c r="X239" t="str">
        <f t="shared" ca="1" si="10"/>
        <v>-</v>
      </c>
      <c r="Y239" s="1" t="str">
        <f t="shared" ca="1" si="11"/>
        <v>-</v>
      </c>
    </row>
    <row r="240" spans="1:25" x14ac:dyDescent="0.25">
      <c r="A240" t="s">
        <v>1572</v>
      </c>
      <c r="B240" t="s">
        <v>1574</v>
      </c>
      <c r="C240" t="s">
        <v>1574</v>
      </c>
      <c r="D240" t="s">
        <v>1574</v>
      </c>
      <c r="E240" t="s">
        <v>1574</v>
      </c>
      <c r="F240" t="s">
        <v>1575</v>
      </c>
      <c r="G240" t="s">
        <v>1574</v>
      </c>
      <c r="H240" t="s">
        <v>1574</v>
      </c>
      <c r="I240" t="s">
        <v>1576</v>
      </c>
      <c r="J240" t="s">
        <v>1573</v>
      </c>
      <c r="K240" t="s">
        <v>1577</v>
      </c>
      <c r="L240" t="s">
        <v>1574</v>
      </c>
      <c r="M240" t="s">
        <v>1574</v>
      </c>
      <c r="N240" t="s">
        <v>1574</v>
      </c>
      <c r="O240" t="s">
        <v>1578</v>
      </c>
      <c r="P240" t="s">
        <v>1576</v>
      </c>
      <c r="Q240" t="s">
        <v>1579</v>
      </c>
      <c r="R240" t="s">
        <v>1580</v>
      </c>
      <c r="S240" t="s">
        <v>1580</v>
      </c>
      <c r="T240" t="s">
        <v>1576</v>
      </c>
      <c r="U240" t="s">
        <v>1576</v>
      </c>
      <c r="V240" t="str" cm="1">
        <f t="array" aca="1" ref="V240" ca="1">IFERROR(_xlfn.IFS(A238="  ..............",OFFSET(A238,2,0),A237=" X-------------X",OFFSET(A237,3,0),MATCH("  ..............",A240:A249,0)&gt;2,V239),"-")</f>
        <v>-</v>
      </c>
      <c r="W240" t="str">
        <f t="shared" ca="1" si="9"/>
        <v>-</v>
      </c>
      <c r="X240" t="str">
        <f t="shared" ca="1" si="10"/>
        <v/>
      </c>
      <c r="Y240" s="1" t="str">
        <f t="shared" ca="1" si="11"/>
        <v/>
      </c>
    </row>
    <row r="241" spans="1:25" x14ac:dyDescent="0.25">
      <c r="A241" t="s">
        <v>1874</v>
      </c>
      <c r="B241">
        <v>1.018</v>
      </c>
      <c r="C241">
        <v>0</v>
      </c>
      <c r="D241">
        <v>0</v>
      </c>
      <c r="E241">
        <v>5.6</v>
      </c>
      <c r="F241">
        <v>0</v>
      </c>
      <c r="G241">
        <v>0</v>
      </c>
      <c r="H241">
        <v>0</v>
      </c>
      <c r="I241" t="s">
        <v>1581</v>
      </c>
      <c r="J241" t="s">
        <v>1581</v>
      </c>
      <c r="K241" t="s">
        <v>1581</v>
      </c>
      <c r="L241" t="s">
        <v>1581</v>
      </c>
      <c r="M241" t="s">
        <v>1581</v>
      </c>
      <c r="N241" t="s">
        <v>1581</v>
      </c>
      <c r="O241" t="s">
        <v>1581</v>
      </c>
      <c r="P241" t="s">
        <v>1581</v>
      </c>
      <c r="Q241" t="s">
        <v>1581</v>
      </c>
      <c r="R241" t="s">
        <v>1581</v>
      </c>
      <c r="S241" t="s">
        <v>1581</v>
      </c>
      <c r="T241" t="s">
        <v>1581</v>
      </c>
      <c r="U241" t="s">
        <v>1581</v>
      </c>
      <c r="V241" t="str" cm="1">
        <f t="array" aca="1" ref="V241" ca="1">IFERROR(_xlfn.IFS(A239="  ..............",OFFSET(A239,2,0),A238=" X-------------X",OFFSET(A238,3,0),MATCH("  ..............",A241:A250,0)&gt;2,V240),"-")</f>
        <v>-</v>
      </c>
      <c r="W241" t="str">
        <f t="shared" ca="1" si="9"/>
        <v>-</v>
      </c>
      <c r="X241" t="str">
        <f t="shared" ca="1" si="10"/>
        <v xml:space="preserve">              </v>
      </c>
      <c r="Y241" s="1">
        <f t="shared" ca="1" si="11"/>
        <v>0</v>
      </c>
    </row>
    <row r="242" spans="1:25" x14ac:dyDescent="0.25">
      <c r="A242" t="s">
        <v>1875</v>
      </c>
      <c r="B242">
        <v>-52.3</v>
      </c>
      <c r="C242">
        <v>0</v>
      </c>
      <c r="D242">
        <v>0</v>
      </c>
      <c r="E242">
        <v>2.4</v>
      </c>
      <c r="F242">
        <v>0</v>
      </c>
      <c r="G242">
        <v>0</v>
      </c>
      <c r="H242">
        <v>0</v>
      </c>
      <c r="I242" t="s">
        <v>1584</v>
      </c>
      <c r="J242" t="s">
        <v>1585</v>
      </c>
      <c r="K242" t="s">
        <v>1586</v>
      </c>
      <c r="L242" t="s">
        <v>1587</v>
      </c>
      <c r="M242" t="s">
        <v>1587</v>
      </c>
      <c r="N242" t="s">
        <v>1586</v>
      </c>
      <c r="O242" t="s">
        <v>1581</v>
      </c>
      <c r="P242" t="s">
        <v>1581</v>
      </c>
      <c r="Q242" t="s">
        <v>1581</v>
      </c>
      <c r="R242" t="s">
        <v>1581</v>
      </c>
      <c r="S242" t="s">
        <v>1581</v>
      </c>
      <c r="T242" t="s">
        <v>1581</v>
      </c>
      <c r="U242" t="s">
        <v>1581</v>
      </c>
      <c r="V242" t="str" cm="1">
        <f t="array" aca="1" ref="V242" ca="1">IFERROR(_xlfn.IFS(A240="  ..............",OFFSET(A240,2,0),A239=" X-------------X",OFFSET(A239,3,0),MATCH("  ..............",A242:A251,0)&gt;2,V241),"-")</f>
        <v xml:space="preserve">  SLUIZ--RS138  </v>
      </c>
      <c r="W242">
        <f t="shared" ca="1" si="9"/>
        <v>1.018</v>
      </c>
      <c r="X242" t="str">
        <f t="shared" ca="1" si="10"/>
        <v xml:space="preserve"> MAXSPR-RS138 </v>
      </c>
      <c r="Y242" s="1">
        <f t="shared" ca="1" si="11"/>
        <v>0.31</v>
      </c>
    </row>
    <row r="243" spans="1:25" x14ac:dyDescent="0.25">
      <c r="A243" t="s">
        <v>1588</v>
      </c>
      <c r="B243" t="s">
        <v>1587</v>
      </c>
      <c r="C243">
        <v>108</v>
      </c>
      <c r="D243">
        <v>108</v>
      </c>
      <c r="E243">
        <v>108</v>
      </c>
      <c r="F243" s="1">
        <v>0.31</v>
      </c>
      <c r="G243" t="s">
        <v>1587</v>
      </c>
      <c r="H243" t="s">
        <v>1587</v>
      </c>
      <c r="I243">
        <v>1227</v>
      </c>
      <c r="J243" t="s">
        <v>1876</v>
      </c>
      <c r="K243">
        <v>1</v>
      </c>
      <c r="L243">
        <v>34</v>
      </c>
      <c r="M243">
        <v>-1.1000000000000001</v>
      </c>
      <c r="N243">
        <v>33.4</v>
      </c>
      <c r="O243" t="s">
        <v>1594</v>
      </c>
      <c r="P243" t="s">
        <v>1584</v>
      </c>
      <c r="Q243" t="s">
        <v>1591</v>
      </c>
      <c r="R243">
        <v>0.02</v>
      </c>
      <c r="S243">
        <v>-0.12</v>
      </c>
      <c r="T243" t="s">
        <v>1584</v>
      </c>
      <c r="U243" t="s">
        <v>1592</v>
      </c>
      <c r="V243" t="str" cm="1">
        <f t="array" aca="1" ref="V243" ca="1">IFERROR(_xlfn.IFS(A241="  ..............",OFFSET(A241,2,0),A240=" X-------------X",OFFSET(A240,3,0),MATCH("  ..............",A243:A252,0)&gt;2,V242),"-")</f>
        <v xml:space="preserve">  SLUIZ--RS138  </v>
      </c>
      <c r="W243">
        <f t="shared" ca="1" si="9"/>
        <v>1.018</v>
      </c>
      <c r="X243" t="str">
        <f t="shared" ca="1" si="10"/>
        <v xml:space="preserve"> CINPAL-RS138 </v>
      </c>
      <c r="Y243" s="1">
        <f t="shared" ca="1" si="11"/>
        <v>0.36</v>
      </c>
    </row>
    <row r="244" spans="1:25" x14ac:dyDescent="0.25">
      <c r="A244" t="s">
        <v>1588</v>
      </c>
      <c r="B244" t="s">
        <v>1587</v>
      </c>
      <c r="C244">
        <v>108</v>
      </c>
      <c r="D244">
        <v>108</v>
      </c>
      <c r="E244">
        <v>108</v>
      </c>
      <c r="F244" s="1">
        <v>0.36</v>
      </c>
      <c r="G244" t="s">
        <v>1587</v>
      </c>
      <c r="H244" t="s">
        <v>1587</v>
      </c>
      <c r="I244">
        <v>1257</v>
      </c>
      <c r="J244" t="s">
        <v>1877</v>
      </c>
      <c r="K244">
        <v>1</v>
      </c>
      <c r="L244">
        <v>-39.6</v>
      </c>
      <c r="M244">
        <v>-1.3</v>
      </c>
      <c r="N244">
        <v>38.9</v>
      </c>
      <c r="O244" t="s">
        <v>1594</v>
      </c>
      <c r="P244" t="s">
        <v>1584</v>
      </c>
      <c r="Q244" t="s">
        <v>1591</v>
      </c>
      <c r="R244">
        <v>0</v>
      </c>
      <c r="S244">
        <v>-0.01</v>
      </c>
      <c r="T244" t="s">
        <v>1584</v>
      </c>
      <c r="U244" t="s">
        <v>1592</v>
      </c>
      <c r="V244" t="str" cm="1">
        <f t="array" aca="1" ref="V244" ca="1">IFERROR(_xlfn.IFS(A242="  ..............",OFFSET(A242,2,0),A241=" X-------------X",OFFSET(A241,3,0),MATCH("  ..............",A244:A253,0)&gt;2,V243),"-")</f>
        <v>-</v>
      </c>
      <c r="W244" t="str">
        <f t="shared" ca="1" si="9"/>
        <v>-</v>
      </c>
      <c r="X244" t="str">
        <f t="shared" ca="1" si="10"/>
        <v>-</v>
      </c>
      <c r="Y244" s="1" t="str">
        <f t="shared" ca="1" si="11"/>
        <v>-</v>
      </c>
    </row>
    <row r="245" spans="1:25" x14ac:dyDescent="0.25">
      <c r="A245" t="s">
        <v>1572</v>
      </c>
      <c r="B245" t="s">
        <v>1574</v>
      </c>
      <c r="C245" t="s">
        <v>1574</v>
      </c>
      <c r="D245" t="s">
        <v>1574</v>
      </c>
      <c r="E245" t="s">
        <v>1574</v>
      </c>
      <c r="F245" t="s">
        <v>1575</v>
      </c>
      <c r="G245" t="s">
        <v>1574</v>
      </c>
      <c r="H245" t="s">
        <v>1574</v>
      </c>
      <c r="I245" t="s">
        <v>1576</v>
      </c>
      <c r="J245" t="s">
        <v>1573</v>
      </c>
      <c r="K245" t="s">
        <v>1577</v>
      </c>
      <c r="L245" t="s">
        <v>1574</v>
      </c>
      <c r="M245" t="s">
        <v>1574</v>
      </c>
      <c r="N245" t="s">
        <v>1574</v>
      </c>
      <c r="O245" t="s">
        <v>1578</v>
      </c>
      <c r="P245" t="s">
        <v>1576</v>
      </c>
      <c r="Q245" t="s">
        <v>1579</v>
      </c>
      <c r="R245" t="s">
        <v>1580</v>
      </c>
      <c r="S245" t="s">
        <v>1580</v>
      </c>
      <c r="T245" t="s">
        <v>1576</v>
      </c>
      <c r="U245" t="s">
        <v>1576</v>
      </c>
      <c r="V245" t="str" cm="1">
        <f t="array" aca="1" ref="V245" ca="1">IFERROR(_xlfn.IFS(A243="  ..............",OFFSET(A243,2,0),A242=" X-------------X",OFFSET(A242,3,0),MATCH("  ..............",A245:A254,0)&gt;2,V244),"-")</f>
        <v>-</v>
      </c>
      <c r="W245" t="str">
        <f t="shared" ca="1" si="9"/>
        <v>-</v>
      </c>
      <c r="X245" t="str">
        <f t="shared" ca="1" si="10"/>
        <v/>
      </c>
      <c r="Y245" s="1" t="str">
        <f t="shared" ca="1" si="11"/>
        <v/>
      </c>
    </row>
    <row r="246" spans="1:25" x14ac:dyDescent="0.25">
      <c r="A246" t="s">
        <v>1878</v>
      </c>
      <c r="B246">
        <v>1.0069999999999999</v>
      </c>
      <c r="C246">
        <v>8.9</v>
      </c>
      <c r="D246">
        <v>0</v>
      </c>
      <c r="E246">
        <v>18.100000000000001</v>
      </c>
      <c r="F246">
        <v>0</v>
      </c>
      <c r="G246">
        <v>7.3</v>
      </c>
      <c r="H246">
        <v>0</v>
      </c>
      <c r="I246" t="s">
        <v>1581</v>
      </c>
      <c r="J246" t="s">
        <v>1581</v>
      </c>
      <c r="K246" t="s">
        <v>1581</v>
      </c>
      <c r="L246" t="s">
        <v>1581</v>
      </c>
      <c r="M246" t="s">
        <v>1581</v>
      </c>
      <c r="N246" t="s">
        <v>1581</v>
      </c>
      <c r="O246" t="s">
        <v>1581</v>
      </c>
      <c r="P246" t="s">
        <v>1581</v>
      </c>
      <c r="Q246" t="s">
        <v>1581</v>
      </c>
      <c r="R246" t="s">
        <v>1581</v>
      </c>
      <c r="S246" t="s">
        <v>1581</v>
      </c>
      <c r="T246" t="s">
        <v>1581</v>
      </c>
      <c r="U246" t="s">
        <v>1581</v>
      </c>
      <c r="V246" t="str" cm="1">
        <f t="array" aca="1" ref="V246" ca="1">IFERROR(_xlfn.IFS(A244="  ..............",OFFSET(A244,2,0),A243=" X-------------X",OFFSET(A243,3,0),MATCH("  ..............",A246:A255,0)&gt;2,V245),"-")</f>
        <v>-</v>
      </c>
      <c r="W246" t="str">
        <f t="shared" ca="1" si="9"/>
        <v>-</v>
      </c>
      <c r="X246" t="str">
        <f t="shared" ca="1" si="10"/>
        <v xml:space="preserve">              </v>
      </c>
      <c r="Y246" s="1">
        <f t="shared" ca="1" si="11"/>
        <v>0</v>
      </c>
    </row>
    <row r="247" spans="1:25" x14ac:dyDescent="0.25">
      <c r="A247" t="s">
        <v>1879</v>
      </c>
      <c r="B247">
        <v>-47.9</v>
      </c>
      <c r="C247">
        <v>0</v>
      </c>
      <c r="D247">
        <v>0</v>
      </c>
      <c r="E247">
        <v>4.2</v>
      </c>
      <c r="F247">
        <v>0</v>
      </c>
      <c r="G247">
        <v>0</v>
      </c>
      <c r="H247">
        <v>0</v>
      </c>
      <c r="I247" t="s">
        <v>1584</v>
      </c>
      <c r="J247" t="s">
        <v>1585</v>
      </c>
      <c r="K247" t="s">
        <v>1586</v>
      </c>
      <c r="L247" t="s">
        <v>1587</v>
      </c>
      <c r="M247" t="s">
        <v>1587</v>
      </c>
      <c r="N247" t="s">
        <v>1586</v>
      </c>
      <c r="O247" t="s">
        <v>1581</v>
      </c>
      <c r="P247" t="s">
        <v>1581</v>
      </c>
      <c r="Q247" t="s">
        <v>1581</v>
      </c>
      <c r="R247" t="s">
        <v>1581</v>
      </c>
      <c r="S247" t="s">
        <v>1581</v>
      </c>
      <c r="T247" t="s">
        <v>1581</v>
      </c>
      <c r="U247" t="s">
        <v>1581</v>
      </c>
      <c r="V247" t="str" cm="1">
        <f t="array" aca="1" ref="V247" ca="1">IFERROR(_xlfn.IFS(A245="  ..............",OFFSET(A245,2,0),A244=" X-------------X",OFFSET(A244,3,0),MATCH("  ..............",A247:A256,0)&gt;2,V246),"-")</f>
        <v xml:space="preserve">  SBORJ2-RS069  </v>
      </c>
      <c r="W247">
        <f t="shared" ca="1" si="9"/>
        <v>1.0069999999999999</v>
      </c>
      <c r="X247" t="str">
        <f t="shared" ca="1" si="10"/>
        <v xml:space="preserve"> SBORJA-RS023 </v>
      </c>
      <c r="Y247" s="1">
        <f t="shared" ca="1" si="11"/>
        <v>0.23200000000000001</v>
      </c>
    </row>
    <row r="248" spans="1:25" x14ac:dyDescent="0.25">
      <c r="A248" t="s">
        <v>1588</v>
      </c>
      <c r="B248" t="s">
        <v>1587</v>
      </c>
      <c r="C248">
        <v>25</v>
      </c>
      <c r="D248">
        <v>37</v>
      </c>
      <c r="E248">
        <v>37</v>
      </c>
      <c r="F248" s="1">
        <v>0.23200000000000001</v>
      </c>
      <c r="G248" t="s">
        <v>1587</v>
      </c>
      <c r="H248" t="s">
        <v>1587</v>
      </c>
      <c r="I248">
        <v>9206</v>
      </c>
      <c r="J248" t="s">
        <v>1880</v>
      </c>
      <c r="K248">
        <v>2</v>
      </c>
      <c r="L248">
        <v>5.8</v>
      </c>
      <c r="M248">
        <v>-0.1</v>
      </c>
      <c r="N248">
        <v>5.8</v>
      </c>
      <c r="O248" t="s">
        <v>1881</v>
      </c>
      <c r="P248" t="s">
        <v>1584</v>
      </c>
      <c r="Q248" t="s">
        <v>1591</v>
      </c>
      <c r="R248">
        <v>0</v>
      </c>
      <c r="S248">
        <v>0.13</v>
      </c>
      <c r="T248" t="s">
        <v>1584</v>
      </c>
      <c r="U248" t="s">
        <v>1592</v>
      </c>
      <c r="V248" t="str" cm="1">
        <f t="array" aca="1" ref="V248" ca="1">IFERROR(_xlfn.IFS(A246="  ..............",OFFSET(A246,2,0),A245=" X-------------X",OFFSET(A245,3,0),MATCH("  ..............",A248:A257,0)&gt;2,V247),"-")</f>
        <v xml:space="preserve">  SBORJ2-RS069  </v>
      </c>
      <c r="W248">
        <f t="shared" ca="1" si="9"/>
        <v>1.0069999999999999</v>
      </c>
      <c r="X248" t="str">
        <f t="shared" ca="1" si="10"/>
        <v xml:space="preserve"> SBORJA-RS023 </v>
      </c>
      <c r="Y248" s="1">
        <f t="shared" ca="1" si="11"/>
        <v>0.23200000000000001</v>
      </c>
    </row>
    <row r="249" spans="1:25" x14ac:dyDescent="0.25">
      <c r="A249" t="s">
        <v>1588</v>
      </c>
      <c r="B249" t="s">
        <v>1587</v>
      </c>
      <c r="C249">
        <v>25</v>
      </c>
      <c r="D249">
        <v>37</v>
      </c>
      <c r="E249">
        <v>37</v>
      </c>
      <c r="F249" s="1">
        <v>0.24099999999999999</v>
      </c>
      <c r="G249" t="s">
        <v>1587</v>
      </c>
      <c r="H249" t="s">
        <v>1587</v>
      </c>
      <c r="I249">
        <v>9206</v>
      </c>
      <c r="J249" t="s">
        <v>1880</v>
      </c>
      <c r="K249">
        <v>5</v>
      </c>
      <c r="L249">
        <v>6.1</v>
      </c>
      <c r="M249">
        <v>-0.1</v>
      </c>
      <c r="N249">
        <v>6</v>
      </c>
      <c r="O249" t="s">
        <v>1881</v>
      </c>
      <c r="P249" t="s">
        <v>1584</v>
      </c>
      <c r="Q249" t="s">
        <v>1591</v>
      </c>
      <c r="R249">
        <v>0</v>
      </c>
      <c r="S249">
        <v>0.14000000000000001</v>
      </c>
      <c r="T249" t="s">
        <v>1584</v>
      </c>
      <c r="U249" t="s">
        <v>1592</v>
      </c>
      <c r="V249" t="str" cm="1">
        <f t="array" aca="1" ref="V249" ca="1">IFERROR(_xlfn.IFS(A247="  ..............",OFFSET(A247,2,0),A246=" X-------------X",OFFSET(A246,3,0),MATCH("  ..............",A249:A258,0)&gt;2,V248),"-")</f>
        <v xml:space="preserve">  SBORJ2-RS069  </v>
      </c>
      <c r="W249">
        <f t="shared" ca="1" si="9"/>
        <v>1.0069999999999999</v>
      </c>
      <c r="X249" t="str">
        <f t="shared" ca="1" si="10"/>
        <v xml:space="preserve"> SBO2-1-RS000 </v>
      </c>
      <c r="Y249" s="1">
        <f t="shared" ca="1" si="11"/>
        <v>0.14299999999999999</v>
      </c>
    </row>
    <row r="250" spans="1:25" x14ac:dyDescent="0.25">
      <c r="A250" t="s">
        <v>1588</v>
      </c>
      <c r="B250" t="s">
        <v>1587</v>
      </c>
      <c r="C250">
        <v>50</v>
      </c>
      <c r="D250">
        <v>75</v>
      </c>
      <c r="E250">
        <v>75</v>
      </c>
      <c r="F250" s="1">
        <v>0.14299999999999999</v>
      </c>
      <c r="G250" t="s">
        <v>1587</v>
      </c>
      <c r="H250" t="s">
        <v>1587</v>
      </c>
      <c r="I250">
        <v>41357</v>
      </c>
      <c r="J250" t="s">
        <v>1882</v>
      </c>
      <c r="K250">
        <v>1</v>
      </c>
      <c r="L250">
        <v>-7.1</v>
      </c>
      <c r="M250">
        <v>1.1000000000000001</v>
      </c>
      <c r="N250">
        <v>7.2</v>
      </c>
      <c r="O250" t="s">
        <v>1608</v>
      </c>
      <c r="P250" t="s">
        <v>1584</v>
      </c>
      <c r="Q250">
        <v>2</v>
      </c>
      <c r="R250">
        <v>0</v>
      </c>
      <c r="S250">
        <v>0</v>
      </c>
      <c r="T250" t="s">
        <v>1584</v>
      </c>
      <c r="U250" t="s">
        <v>1592</v>
      </c>
      <c r="V250" t="str" cm="1">
        <f t="array" aca="1" ref="V250" ca="1">IFERROR(_xlfn.IFS(A248="  ..............",OFFSET(A248,2,0),A247=" X-------------X",OFFSET(A247,3,0),MATCH("  ..............",A250:A259,0)&gt;2,V249),"-")</f>
        <v xml:space="preserve">  SBORJ2-RS069  </v>
      </c>
      <c r="W250">
        <f t="shared" ca="1" si="9"/>
        <v>1.0069999999999999</v>
      </c>
      <c r="X250" t="str">
        <f t="shared" ca="1" si="10"/>
        <v xml:space="preserve"> SBO2-6-RS000 </v>
      </c>
      <c r="Y250" s="1">
        <f t="shared" ca="1" si="11"/>
        <v>0.14199999999999999</v>
      </c>
    </row>
    <row r="251" spans="1:25" x14ac:dyDescent="0.25">
      <c r="A251" t="s">
        <v>1588</v>
      </c>
      <c r="B251" t="s">
        <v>1587</v>
      </c>
      <c r="C251">
        <v>50</v>
      </c>
      <c r="D251">
        <v>50</v>
      </c>
      <c r="E251">
        <v>50</v>
      </c>
      <c r="F251" s="1">
        <v>0.14199999999999999</v>
      </c>
      <c r="G251" t="s">
        <v>1587</v>
      </c>
      <c r="H251" t="s">
        <v>1587</v>
      </c>
      <c r="I251">
        <v>41358</v>
      </c>
      <c r="J251" t="s">
        <v>1883</v>
      </c>
      <c r="K251">
        <v>6</v>
      </c>
      <c r="L251">
        <v>-7.1</v>
      </c>
      <c r="M251">
        <v>1.1000000000000001</v>
      </c>
      <c r="N251">
        <v>7.1</v>
      </c>
      <c r="O251" t="s">
        <v>1608</v>
      </c>
      <c r="P251" t="s">
        <v>1584</v>
      </c>
      <c r="Q251">
        <v>2</v>
      </c>
      <c r="R251">
        <v>0</v>
      </c>
      <c r="S251">
        <v>0</v>
      </c>
      <c r="T251" t="s">
        <v>1584</v>
      </c>
      <c r="U251" t="s">
        <v>1592</v>
      </c>
      <c r="V251" t="str" cm="1">
        <f t="array" aca="1" ref="V251" ca="1">IFERROR(_xlfn.IFS(A249="  ..............",OFFSET(A249,2,0),A248=" X-------------X",OFFSET(A248,3,0),MATCH("  ..............",A251:A260,0)&gt;2,V250),"-")</f>
        <v xml:space="preserve">  SBORJ2-RS069  </v>
      </c>
      <c r="W251">
        <f t="shared" ca="1" si="9"/>
        <v>1.0069999999999999</v>
      </c>
      <c r="X251" t="str">
        <f t="shared" ca="1" si="10"/>
        <v xml:space="preserve"> SBO2-7-RS000 </v>
      </c>
      <c r="Y251" s="1">
        <f t="shared" ca="1" si="11"/>
        <v>0.13900000000000001</v>
      </c>
    </row>
    <row r="252" spans="1:25" x14ac:dyDescent="0.25">
      <c r="A252" t="s">
        <v>1588</v>
      </c>
      <c r="B252" t="s">
        <v>1587</v>
      </c>
      <c r="C252">
        <v>50</v>
      </c>
      <c r="D252">
        <v>60</v>
      </c>
      <c r="E252">
        <v>60</v>
      </c>
      <c r="F252" s="1">
        <v>0.13900000000000001</v>
      </c>
      <c r="G252" t="s">
        <v>1587</v>
      </c>
      <c r="H252" t="s">
        <v>1587</v>
      </c>
      <c r="I252">
        <v>41359</v>
      </c>
      <c r="J252" t="s">
        <v>1884</v>
      </c>
      <c r="K252">
        <v>7</v>
      </c>
      <c r="L252">
        <v>-6.9</v>
      </c>
      <c r="M252">
        <v>1.1000000000000001</v>
      </c>
      <c r="N252">
        <v>6.9</v>
      </c>
      <c r="O252" t="s">
        <v>1608</v>
      </c>
      <c r="P252" t="s">
        <v>1584</v>
      </c>
      <c r="Q252">
        <v>2</v>
      </c>
      <c r="R252">
        <v>0</v>
      </c>
      <c r="S252">
        <v>0.14000000000000001</v>
      </c>
      <c r="T252" t="s">
        <v>1584</v>
      </c>
      <c r="U252" t="s">
        <v>1592</v>
      </c>
      <c r="V252" t="str" cm="1">
        <f t="array" aca="1" ref="V252" ca="1">IFERROR(_xlfn.IFS(A250="  ..............",OFFSET(A250,2,0),A249=" X-------------X",OFFSET(A249,3,0),MATCH("  ..............",A252:A261,0)&gt;2,V251),"-")</f>
        <v>-</v>
      </c>
      <c r="W252" t="str">
        <f t="shared" ca="1" si="9"/>
        <v>-</v>
      </c>
      <c r="X252" t="str">
        <f t="shared" ca="1" si="10"/>
        <v>-</v>
      </c>
      <c r="Y252" s="1" t="str">
        <f t="shared" ca="1" si="11"/>
        <v>-</v>
      </c>
    </row>
    <row r="253" spans="1:25" x14ac:dyDescent="0.25">
      <c r="A253" t="s">
        <v>1572</v>
      </c>
      <c r="B253" t="s">
        <v>1574</v>
      </c>
      <c r="C253" t="s">
        <v>1574</v>
      </c>
      <c r="D253" t="s">
        <v>1574</v>
      </c>
      <c r="E253" t="s">
        <v>1574</v>
      </c>
      <c r="F253" t="s">
        <v>1575</v>
      </c>
      <c r="G253" t="s">
        <v>1574</v>
      </c>
      <c r="H253" t="s">
        <v>1574</v>
      </c>
      <c r="I253" t="s">
        <v>1576</v>
      </c>
      <c r="J253" t="s">
        <v>1573</v>
      </c>
      <c r="K253" t="s">
        <v>1577</v>
      </c>
      <c r="L253" t="s">
        <v>1574</v>
      </c>
      <c r="M253" t="s">
        <v>1574</v>
      </c>
      <c r="N253" t="s">
        <v>1574</v>
      </c>
      <c r="O253" t="s">
        <v>1578</v>
      </c>
      <c r="P253" t="s">
        <v>1576</v>
      </c>
      <c r="Q253" t="s">
        <v>1579</v>
      </c>
      <c r="R253" t="s">
        <v>1580</v>
      </c>
      <c r="S253" t="s">
        <v>1580</v>
      </c>
      <c r="T253" t="s">
        <v>1576</v>
      </c>
      <c r="U253" t="s">
        <v>1576</v>
      </c>
      <c r="V253" t="str" cm="1">
        <f t="array" aca="1" ref="V253" ca="1">IFERROR(_xlfn.IFS(A251="  ..............",OFFSET(A251,2,0),A250=" X-------------X",OFFSET(A250,3,0),MATCH("  ..............",A253:A262,0)&gt;2,V252),"-")</f>
        <v>-</v>
      </c>
      <c r="W253" t="str">
        <f t="shared" ca="1" si="9"/>
        <v>-</v>
      </c>
      <c r="X253" t="str">
        <f t="shared" ca="1" si="10"/>
        <v/>
      </c>
      <c r="Y253" s="1" t="str">
        <f t="shared" ca="1" si="11"/>
        <v/>
      </c>
    </row>
    <row r="254" spans="1:25" x14ac:dyDescent="0.25">
      <c r="A254" t="s">
        <v>1885</v>
      </c>
      <c r="B254">
        <v>1.0189999999999999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 t="s">
        <v>1581</v>
      </c>
      <c r="J254" t="s">
        <v>1581</v>
      </c>
      <c r="K254" t="s">
        <v>1581</v>
      </c>
      <c r="L254" t="s">
        <v>1581</v>
      </c>
      <c r="M254" t="s">
        <v>1581</v>
      </c>
      <c r="N254" t="s">
        <v>1581</v>
      </c>
      <c r="O254" t="s">
        <v>1581</v>
      </c>
      <c r="P254" t="s">
        <v>1581</v>
      </c>
      <c r="Q254" t="s">
        <v>1581</v>
      </c>
      <c r="R254" t="s">
        <v>1581</v>
      </c>
      <c r="S254" t="s">
        <v>1581</v>
      </c>
      <c r="T254" t="s">
        <v>1581</v>
      </c>
      <c r="U254" t="s">
        <v>1581</v>
      </c>
      <c r="V254" t="str" cm="1">
        <f t="array" aca="1" ref="V254" ca="1">IFERROR(_xlfn.IFS(A252="  ..............",OFFSET(A252,2,0),A251=" X-------------X",OFFSET(A251,3,0),MATCH("  ..............",A254:A263,0)&gt;2,V253),"-")</f>
        <v>-</v>
      </c>
      <c r="W254" t="str">
        <f t="shared" ca="1" si="9"/>
        <v>-</v>
      </c>
      <c r="X254" t="str">
        <f t="shared" ca="1" si="10"/>
        <v xml:space="preserve">              </v>
      </c>
      <c r="Y254" s="1">
        <f t="shared" ca="1" si="11"/>
        <v>0</v>
      </c>
    </row>
    <row r="255" spans="1:25" x14ac:dyDescent="0.25">
      <c r="A255" t="s">
        <v>1886</v>
      </c>
      <c r="B255">
        <v>-52.3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 t="s">
        <v>1584</v>
      </c>
      <c r="J255" t="s">
        <v>1585</v>
      </c>
      <c r="K255" t="s">
        <v>1586</v>
      </c>
      <c r="L255" t="s">
        <v>1587</v>
      </c>
      <c r="M255" t="s">
        <v>1587</v>
      </c>
      <c r="N255" t="s">
        <v>1586</v>
      </c>
      <c r="O255" t="s">
        <v>1581</v>
      </c>
      <c r="P255" t="s">
        <v>1581</v>
      </c>
      <c r="Q255" t="s">
        <v>1581</v>
      </c>
      <c r="R255" t="s">
        <v>1581</v>
      </c>
      <c r="S255" t="s">
        <v>1581</v>
      </c>
      <c r="T255" t="s">
        <v>1581</v>
      </c>
      <c r="U255" t="s">
        <v>1581</v>
      </c>
      <c r="V255" t="str" cm="1">
        <f t="array" aca="1" ref="V255" ca="1">IFERROR(_xlfn.IFS(A253="  ..............",OFFSET(A253,2,0),A252=" X-------------X",OFFSET(A252,3,0),MATCH("  ..............",A255:A264,0)&gt;2,V254),"-")</f>
        <v xml:space="preserve">  CINPAL-RS138  </v>
      </c>
      <c r="W255">
        <f t="shared" ca="1" si="9"/>
        <v>1.0189999999999999</v>
      </c>
      <c r="X255" t="str">
        <f t="shared" ca="1" si="10"/>
        <v xml:space="preserve"> SLUIZ--RS138 </v>
      </c>
      <c r="Y255" s="1">
        <f t="shared" ca="1" si="11"/>
        <v>0.309</v>
      </c>
    </row>
    <row r="256" spans="1:25" x14ac:dyDescent="0.25">
      <c r="A256" t="s">
        <v>1588</v>
      </c>
      <c r="B256" t="s">
        <v>1587</v>
      </c>
      <c r="C256">
        <v>108</v>
      </c>
      <c r="D256">
        <v>108</v>
      </c>
      <c r="E256">
        <v>108</v>
      </c>
      <c r="F256" s="1">
        <v>0.36</v>
      </c>
      <c r="G256" t="s">
        <v>1587</v>
      </c>
      <c r="H256" t="s">
        <v>1587</v>
      </c>
      <c r="I256">
        <v>1252</v>
      </c>
      <c r="J256" t="s">
        <v>1829</v>
      </c>
      <c r="K256">
        <v>1</v>
      </c>
      <c r="L256">
        <v>39.6</v>
      </c>
      <c r="M256">
        <v>1.3</v>
      </c>
      <c r="N256">
        <v>38.9</v>
      </c>
      <c r="O256" t="s">
        <v>1594</v>
      </c>
      <c r="P256" t="s">
        <v>1584</v>
      </c>
      <c r="Q256" t="s">
        <v>1591</v>
      </c>
      <c r="R256">
        <v>0</v>
      </c>
      <c r="S256">
        <v>-0.01</v>
      </c>
      <c r="T256" t="s">
        <v>1584</v>
      </c>
      <c r="U256" t="s">
        <v>1592</v>
      </c>
      <c r="V256" t="str" cm="1">
        <f t="array" aca="1" ref="V256" ca="1">IFERROR(_xlfn.IFS(A254="  ..............",OFFSET(A254,2,0),A253=" X-------------X",OFFSET(A253,3,0),MATCH("  ..............",A256:A265,0)&gt;2,V255),"-")</f>
        <v xml:space="preserve">  CINPAL-RS138  </v>
      </c>
      <c r="W256">
        <f t="shared" ca="1" si="9"/>
        <v>1.0189999999999999</v>
      </c>
      <c r="X256" t="str">
        <f t="shared" ca="1" si="10"/>
        <v xml:space="preserve"> SANREM-RS138 </v>
      </c>
      <c r="Y256" s="1">
        <f t="shared" ca="1" si="11"/>
        <v>0.18099999999999999</v>
      </c>
    </row>
    <row r="257" spans="1:25" x14ac:dyDescent="0.25">
      <c r="A257" t="s">
        <v>1588</v>
      </c>
      <c r="B257" t="s">
        <v>1587</v>
      </c>
      <c r="C257">
        <v>108</v>
      </c>
      <c r="D257">
        <v>108</v>
      </c>
      <c r="E257">
        <v>108</v>
      </c>
      <c r="F257" s="1">
        <v>0.22500000000000001</v>
      </c>
      <c r="G257" t="s">
        <v>1587</v>
      </c>
      <c r="H257" t="s">
        <v>1587</v>
      </c>
      <c r="I257">
        <v>1265</v>
      </c>
      <c r="J257" t="s">
        <v>1715</v>
      </c>
      <c r="K257">
        <v>1</v>
      </c>
      <c r="L257">
        <v>24.5</v>
      </c>
      <c r="M257">
        <v>-3.9</v>
      </c>
      <c r="N257">
        <v>24.3</v>
      </c>
      <c r="O257" t="s">
        <v>1594</v>
      </c>
      <c r="P257" t="s">
        <v>1584</v>
      </c>
      <c r="Q257" t="s">
        <v>1591</v>
      </c>
      <c r="R257">
        <v>0.02</v>
      </c>
      <c r="S257">
        <v>-0.3</v>
      </c>
      <c r="T257" t="s">
        <v>1584</v>
      </c>
      <c r="U257" t="s">
        <v>1592</v>
      </c>
      <c r="V257" t="str" cm="1">
        <f t="array" aca="1" ref="V257" ca="1">IFERROR(_xlfn.IFS(A255="  ..............",OFFSET(A255,2,0),A254=" X-------------X",OFFSET(A254,3,0),MATCH("  ..............",A257:A266,0)&gt;2,V256),"-")</f>
        <v xml:space="preserve">  CINPAL-RS138  </v>
      </c>
      <c r="W257">
        <f t="shared" ca="1" si="9"/>
        <v>1.0189999999999999</v>
      </c>
      <c r="X257" t="str">
        <f t="shared" ca="1" si="10"/>
        <v xml:space="preserve"> NSRIT2-RS138 </v>
      </c>
      <c r="Y257" s="1">
        <f t="shared" ca="1" si="11"/>
        <v>5.3999999999999999E-2</v>
      </c>
    </row>
    <row r="258" spans="1:25" x14ac:dyDescent="0.25">
      <c r="A258" t="s">
        <v>1588</v>
      </c>
      <c r="B258" t="s">
        <v>1587</v>
      </c>
      <c r="C258">
        <v>134</v>
      </c>
      <c r="D258">
        <v>162</v>
      </c>
      <c r="E258">
        <v>162</v>
      </c>
      <c r="F258" s="1">
        <v>5.3999999999999999E-2</v>
      </c>
      <c r="G258" t="s">
        <v>1587</v>
      </c>
      <c r="H258" t="s">
        <v>1587</v>
      </c>
      <c r="I258">
        <v>1338</v>
      </c>
      <c r="J258" t="s">
        <v>1887</v>
      </c>
      <c r="K258">
        <v>1</v>
      </c>
      <c r="L258">
        <v>7.1</v>
      </c>
      <c r="M258">
        <v>1.9</v>
      </c>
      <c r="N258">
        <v>7.2</v>
      </c>
      <c r="O258" t="s">
        <v>1594</v>
      </c>
      <c r="P258" t="s">
        <v>1584</v>
      </c>
      <c r="Q258" t="s">
        <v>1591</v>
      </c>
      <c r="R258">
        <v>0.01</v>
      </c>
      <c r="S258">
        <v>-0.66</v>
      </c>
      <c r="T258" t="s">
        <v>1584</v>
      </c>
      <c r="U258" t="s">
        <v>1592</v>
      </c>
      <c r="V258" t="str" cm="1">
        <f t="array" aca="1" ref="V258" ca="1">IFERROR(_xlfn.IFS(A256="  ..............",OFFSET(A256,2,0),A255=" X-------------X",OFFSET(A255,3,0),MATCH("  ..............",A258:A267,0)&gt;2,V257),"-")</f>
        <v xml:space="preserve">  CINPAL-RS138  </v>
      </c>
      <c r="W258">
        <f t="shared" ca="1" si="9"/>
        <v>1.0189999999999999</v>
      </c>
      <c r="X258" t="str">
        <f t="shared" ca="1" si="10"/>
        <v xml:space="preserve"> NSRIT2-RS138 </v>
      </c>
      <c r="Y258" s="1">
        <f t="shared" ca="1" si="11"/>
        <v>5.3999999999999999E-2</v>
      </c>
    </row>
    <row r="259" spans="1:25" x14ac:dyDescent="0.25">
      <c r="A259" t="s">
        <v>1588</v>
      </c>
      <c r="B259" t="s">
        <v>1587</v>
      </c>
      <c r="C259">
        <v>134</v>
      </c>
      <c r="D259">
        <v>162</v>
      </c>
      <c r="E259">
        <v>162</v>
      </c>
      <c r="F259" s="1">
        <v>5.3999999999999999E-2</v>
      </c>
      <c r="G259" t="s">
        <v>1587</v>
      </c>
      <c r="H259" t="s">
        <v>1587</v>
      </c>
      <c r="I259">
        <v>1338</v>
      </c>
      <c r="J259" t="s">
        <v>1887</v>
      </c>
      <c r="K259">
        <v>2</v>
      </c>
      <c r="L259">
        <v>7.1</v>
      </c>
      <c r="M259">
        <v>1.9</v>
      </c>
      <c r="N259">
        <v>7.2</v>
      </c>
      <c r="O259" t="s">
        <v>1594</v>
      </c>
      <c r="P259" t="s">
        <v>1584</v>
      </c>
      <c r="Q259" t="s">
        <v>1591</v>
      </c>
      <c r="R259">
        <v>0.01</v>
      </c>
      <c r="S259">
        <v>-0.66</v>
      </c>
      <c r="T259" t="s">
        <v>1584</v>
      </c>
      <c r="U259" t="s">
        <v>1592</v>
      </c>
      <c r="V259" t="str" cm="1">
        <f t="array" aca="1" ref="V259" ca="1">IFERROR(_xlfn.IFS(A257="  ..............",OFFSET(A257,2,0),A256=" X-------------X",OFFSET(A256,3,0),MATCH("  ..............",A259:A268,0)&gt;2,V258),"-")</f>
        <v xml:space="preserve">  CINPAL-RS138  </v>
      </c>
      <c r="W259">
        <f t="shared" ca="1" si="9"/>
        <v>1.0189999999999999</v>
      </c>
      <c r="X259" t="str">
        <f t="shared" ca="1" si="10"/>
        <v xml:space="preserve"> CANOA3-RS138 </v>
      </c>
      <c r="Y259" s="1">
        <f t="shared" ca="1" si="11"/>
        <v>0.34100000000000003</v>
      </c>
    </row>
    <row r="260" spans="1:25" x14ac:dyDescent="0.25">
      <c r="A260" t="s">
        <v>1588</v>
      </c>
      <c r="B260" t="s">
        <v>1587</v>
      </c>
      <c r="C260">
        <v>143</v>
      </c>
      <c r="D260">
        <v>167</v>
      </c>
      <c r="E260">
        <v>167</v>
      </c>
      <c r="F260" s="1">
        <v>0.34100000000000003</v>
      </c>
      <c r="G260" t="s">
        <v>1587</v>
      </c>
      <c r="H260" t="s">
        <v>1587</v>
      </c>
      <c r="I260">
        <v>9214</v>
      </c>
      <c r="J260" t="s">
        <v>1888</v>
      </c>
      <c r="K260">
        <v>1</v>
      </c>
      <c r="L260">
        <v>44.2</v>
      </c>
      <c r="M260">
        <v>22.7</v>
      </c>
      <c r="N260">
        <v>48.7</v>
      </c>
      <c r="O260" t="s">
        <v>1594</v>
      </c>
      <c r="P260" t="s">
        <v>1584</v>
      </c>
      <c r="Q260" t="s">
        <v>1591</v>
      </c>
      <c r="R260">
        <v>7.0000000000000007E-2</v>
      </c>
      <c r="S260">
        <v>-0.04</v>
      </c>
      <c r="T260" t="s">
        <v>1584</v>
      </c>
      <c r="U260" t="s">
        <v>1592</v>
      </c>
      <c r="V260" t="str" cm="1">
        <f t="array" aca="1" ref="V260" ca="1">IFERROR(_xlfn.IFS(A258="  ..............",OFFSET(A258,2,0),A257=" X-------------X",OFFSET(A257,3,0),MATCH("  ..............",A260:A269,0)&gt;2,V259),"-")</f>
        <v xml:space="preserve">  CINPAL-RS138  </v>
      </c>
      <c r="W260">
        <f t="shared" ref="W260:W323" ca="1" si="12">IFERROR(OFFSET($A$1,MATCH(V260,A:A,0)-2,1),"-")</f>
        <v>1.0189999999999999</v>
      </c>
      <c r="X260" t="str">
        <f t="shared" ref="X260:X323" ca="1" si="13">IFERROR(IF(V260=V259,OFFSET($J$1,ROW(X260),0),OFFSET($J$1,MATCH(V260,A:A,0),0)),"-")</f>
        <v xml:space="preserve"> CIN-1--RS000 </v>
      </c>
      <c r="Y260" s="1">
        <f t="shared" ref="Y260:Y323" ca="1" si="14">IFERROR(OFFSET($F$1,MATCH(X260,J:J,0)-1,0),"-")</f>
        <v>0.27200000000000002</v>
      </c>
    </row>
    <row r="261" spans="1:25" x14ac:dyDescent="0.25">
      <c r="A261" t="s">
        <v>1588</v>
      </c>
      <c r="B261" t="s">
        <v>1587</v>
      </c>
      <c r="C261">
        <v>225</v>
      </c>
      <c r="D261">
        <v>270</v>
      </c>
      <c r="E261">
        <v>270</v>
      </c>
      <c r="F261" s="1">
        <v>0.27200000000000002</v>
      </c>
      <c r="G261" t="s">
        <v>1587</v>
      </c>
      <c r="H261" t="s">
        <v>1587</v>
      </c>
      <c r="I261">
        <v>41250</v>
      </c>
      <c r="J261" t="s">
        <v>1889</v>
      </c>
      <c r="K261">
        <v>1</v>
      </c>
      <c r="L261">
        <v>-61.2</v>
      </c>
      <c r="M261">
        <v>-12</v>
      </c>
      <c r="N261">
        <v>61.2</v>
      </c>
      <c r="O261" t="s">
        <v>1608</v>
      </c>
      <c r="P261" t="s">
        <v>1584</v>
      </c>
      <c r="Q261">
        <v>2</v>
      </c>
      <c r="R261">
        <v>0.1</v>
      </c>
      <c r="S261">
        <v>1.18</v>
      </c>
      <c r="T261" t="s">
        <v>1584</v>
      </c>
      <c r="U261" t="s">
        <v>1592</v>
      </c>
      <c r="V261" t="str" cm="1">
        <f t="array" aca="1" ref="V261" ca="1">IFERROR(_xlfn.IFS(A259="  ..............",OFFSET(A259,2,0),A258=" X-------------X",OFFSET(A258,3,0),MATCH("  ..............",A261:A270,0)&gt;2,V260),"-")</f>
        <v xml:space="preserve">  CINPAL-RS138  </v>
      </c>
      <c r="W261">
        <f t="shared" ca="1" si="12"/>
        <v>1.0189999999999999</v>
      </c>
      <c r="X261" t="str">
        <f t="shared" ca="1" si="13"/>
        <v xml:space="preserve"> CIN-2--RS000 </v>
      </c>
      <c r="Y261" s="1">
        <f t="shared" ca="1" si="14"/>
        <v>0.27200000000000002</v>
      </c>
    </row>
    <row r="262" spans="1:25" x14ac:dyDescent="0.25">
      <c r="A262" t="s">
        <v>1588</v>
      </c>
      <c r="B262" t="s">
        <v>1587</v>
      </c>
      <c r="C262">
        <v>225</v>
      </c>
      <c r="D262">
        <v>270</v>
      </c>
      <c r="E262">
        <v>270</v>
      </c>
      <c r="F262" s="1">
        <v>0.27200000000000002</v>
      </c>
      <c r="G262" t="s">
        <v>1587</v>
      </c>
      <c r="H262" t="s">
        <v>1587</v>
      </c>
      <c r="I262">
        <v>41252</v>
      </c>
      <c r="J262" t="s">
        <v>1890</v>
      </c>
      <c r="K262">
        <v>2</v>
      </c>
      <c r="L262">
        <v>-61.2</v>
      </c>
      <c r="M262">
        <v>-12</v>
      </c>
      <c r="N262">
        <v>61.2</v>
      </c>
      <c r="O262" t="s">
        <v>1608</v>
      </c>
      <c r="P262" t="s">
        <v>1584</v>
      </c>
      <c r="Q262">
        <v>2</v>
      </c>
      <c r="R262">
        <v>0.1</v>
      </c>
      <c r="S262">
        <v>1.18</v>
      </c>
      <c r="T262" t="s">
        <v>1584</v>
      </c>
      <c r="U262" t="s">
        <v>1592</v>
      </c>
      <c r="V262" t="str" cm="1">
        <f t="array" aca="1" ref="V262" ca="1">IFERROR(_xlfn.IFS(A260="  ..............",OFFSET(A260,2,0),A259=" X-------------X",OFFSET(A259,3,0),MATCH("  ..............",A262:A271,0)&gt;2,V261),"-")</f>
        <v>-</v>
      </c>
      <c r="W262" t="str">
        <f t="shared" ca="1" si="12"/>
        <v>-</v>
      </c>
      <c r="X262" t="str">
        <f t="shared" ca="1" si="13"/>
        <v>-</v>
      </c>
      <c r="Y262" s="1" t="str">
        <f t="shared" ca="1" si="14"/>
        <v>-</v>
      </c>
    </row>
    <row r="263" spans="1:25" x14ac:dyDescent="0.25">
      <c r="A263" t="s">
        <v>1572</v>
      </c>
      <c r="B263" t="s">
        <v>1574</v>
      </c>
      <c r="C263" t="s">
        <v>1574</v>
      </c>
      <c r="D263" t="s">
        <v>1574</v>
      </c>
      <c r="E263" t="s">
        <v>1574</v>
      </c>
      <c r="F263" t="s">
        <v>1575</v>
      </c>
      <c r="G263" t="s">
        <v>1574</v>
      </c>
      <c r="H263" t="s">
        <v>1574</v>
      </c>
      <c r="I263" t="s">
        <v>1576</v>
      </c>
      <c r="J263" t="s">
        <v>1573</v>
      </c>
      <c r="K263" t="s">
        <v>1577</v>
      </c>
      <c r="L263" t="s">
        <v>1574</v>
      </c>
      <c r="M263" t="s">
        <v>1574</v>
      </c>
      <c r="N263" t="s">
        <v>1574</v>
      </c>
      <c r="O263" t="s">
        <v>1578</v>
      </c>
      <c r="P263" t="s">
        <v>1576</v>
      </c>
      <c r="Q263" t="s">
        <v>1579</v>
      </c>
      <c r="R263" t="s">
        <v>1580</v>
      </c>
      <c r="S263" t="s">
        <v>1580</v>
      </c>
      <c r="T263" t="s">
        <v>1576</v>
      </c>
      <c r="U263" t="s">
        <v>1576</v>
      </c>
      <c r="V263" t="str" cm="1">
        <f t="array" aca="1" ref="V263" ca="1">IFERROR(_xlfn.IFS(A261="  ..............",OFFSET(A261,2,0),A260=" X-------------X",OFFSET(A260,3,0),MATCH("  ..............",A263:A272,0)&gt;2,V262),"-")</f>
        <v>-</v>
      </c>
      <c r="W263" t="str">
        <f t="shared" ca="1" si="12"/>
        <v>-</v>
      </c>
      <c r="X263" t="str">
        <f t="shared" ca="1" si="13"/>
        <v/>
      </c>
      <c r="Y263" s="1" t="str">
        <f t="shared" ca="1" si="14"/>
        <v/>
      </c>
    </row>
    <row r="264" spans="1:25" x14ac:dyDescent="0.25">
      <c r="A264" t="s">
        <v>1891</v>
      </c>
      <c r="B264">
        <v>1.0169999999999999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1581</v>
      </c>
      <c r="J264" t="s">
        <v>1581</v>
      </c>
      <c r="K264" t="s">
        <v>1581</v>
      </c>
      <c r="L264" t="s">
        <v>1581</v>
      </c>
      <c r="M264" t="s">
        <v>1581</v>
      </c>
      <c r="N264" t="s">
        <v>1581</v>
      </c>
      <c r="O264" t="s">
        <v>1581</v>
      </c>
      <c r="P264" t="s">
        <v>1581</v>
      </c>
      <c r="Q264" t="s">
        <v>1581</v>
      </c>
      <c r="R264" t="s">
        <v>1581</v>
      </c>
      <c r="S264" t="s">
        <v>1581</v>
      </c>
      <c r="T264" t="s">
        <v>1581</v>
      </c>
      <c r="U264" t="s">
        <v>1581</v>
      </c>
      <c r="V264" t="str" cm="1">
        <f t="array" aca="1" ref="V264" ca="1">IFERROR(_xlfn.IFS(A262="  ..............",OFFSET(A262,2,0),A261=" X-------------X",OFFSET(A261,3,0),MATCH("  ..............",A264:A273,0)&gt;2,V263),"-")</f>
        <v>-</v>
      </c>
      <c r="W264" t="str">
        <f t="shared" ca="1" si="12"/>
        <v>-</v>
      </c>
      <c r="X264" t="str">
        <f t="shared" ca="1" si="13"/>
        <v xml:space="preserve">              </v>
      </c>
      <c r="Y264" s="1">
        <f t="shared" ca="1" si="14"/>
        <v>0</v>
      </c>
    </row>
    <row r="265" spans="1:25" x14ac:dyDescent="0.25">
      <c r="A265" t="s">
        <v>1892</v>
      </c>
      <c r="B265">
        <v>-54.5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 t="s">
        <v>1584</v>
      </c>
      <c r="J265" t="s">
        <v>1585</v>
      </c>
      <c r="K265" t="s">
        <v>1586</v>
      </c>
      <c r="L265" t="s">
        <v>1587</v>
      </c>
      <c r="M265" t="s">
        <v>1587</v>
      </c>
      <c r="N265" t="s">
        <v>1586</v>
      </c>
      <c r="O265" t="s">
        <v>1581</v>
      </c>
      <c r="P265" t="s">
        <v>1581</v>
      </c>
      <c r="Q265" t="s">
        <v>1581</v>
      </c>
      <c r="R265" t="s">
        <v>1581</v>
      </c>
      <c r="S265" t="s">
        <v>1581</v>
      </c>
      <c r="T265" t="s">
        <v>1581</v>
      </c>
      <c r="U265" t="s">
        <v>1581</v>
      </c>
      <c r="V265" t="str" cm="1">
        <f t="array" aca="1" ref="V265" ca="1">IFERROR(_xlfn.IFS(A263="  ..............",OFFSET(A263,2,0),A262=" X-------------X",OFFSET(A262,3,0),MATCH("  ..............",A265:A274,0)&gt;2,V264),"-")</f>
        <v xml:space="preserve">  PALGR6-RS069  </v>
      </c>
      <c r="W265">
        <f t="shared" ca="1" si="12"/>
        <v>1.0169999999999999</v>
      </c>
      <c r="X265" t="str">
        <f t="shared" ca="1" si="13"/>
        <v xml:space="preserve"> P12-1Y-RS069 </v>
      </c>
      <c r="Y265" s="1">
        <f t="shared" ca="1" si="14"/>
        <v>0.185</v>
      </c>
    </row>
    <row r="266" spans="1:25" x14ac:dyDescent="0.25">
      <c r="A266" t="s">
        <v>1588</v>
      </c>
      <c r="B266" t="s">
        <v>1587</v>
      </c>
      <c r="C266">
        <v>54</v>
      </c>
      <c r="D266">
        <v>79</v>
      </c>
      <c r="E266">
        <v>79</v>
      </c>
      <c r="F266" s="1">
        <v>0.185</v>
      </c>
      <c r="G266" t="s">
        <v>1587</v>
      </c>
      <c r="H266" t="s">
        <v>1587</v>
      </c>
      <c r="I266">
        <v>9249</v>
      </c>
      <c r="J266" t="s">
        <v>1893</v>
      </c>
      <c r="K266">
        <v>1</v>
      </c>
      <c r="L266">
        <v>9.9</v>
      </c>
      <c r="M266">
        <v>-2.2000000000000002</v>
      </c>
      <c r="N266">
        <v>10</v>
      </c>
      <c r="O266" t="s">
        <v>1594</v>
      </c>
      <c r="P266" t="s">
        <v>1584</v>
      </c>
      <c r="Q266" t="s">
        <v>1591</v>
      </c>
      <c r="R266">
        <v>0.01</v>
      </c>
      <c r="S266">
        <v>-0.14000000000000001</v>
      </c>
      <c r="T266" t="s">
        <v>1584</v>
      </c>
      <c r="U266" t="s">
        <v>1592</v>
      </c>
      <c r="V266" t="str" cm="1">
        <f t="array" aca="1" ref="V266" ca="1">IFERROR(_xlfn.IFS(A264="  ..............",OFFSET(A264,2,0),A263=" X-------------X",OFFSET(A263,3,0),MATCH("  ..............",A266:A275,0)&gt;2,V265),"-")</f>
        <v xml:space="preserve">  PALGR6-RS069  </v>
      </c>
      <c r="W266">
        <f t="shared" ca="1" si="12"/>
        <v>1.0169999999999999</v>
      </c>
      <c r="X266" t="str">
        <f t="shared" ca="1" si="13"/>
        <v xml:space="preserve"> VIAMO2-RS069 </v>
      </c>
      <c r="Y266" s="1" t="str">
        <f t="shared" ca="1" si="14"/>
        <v xml:space="preserve">             </v>
      </c>
    </row>
    <row r="267" spans="1:25" x14ac:dyDescent="0.25">
      <c r="A267" t="s">
        <v>1637</v>
      </c>
      <c r="B267" t="s">
        <v>1638</v>
      </c>
      <c r="C267">
        <v>54</v>
      </c>
      <c r="D267">
        <v>79</v>
      </c>
      <c r="E267">
        <v>79</v>
      </c>
      <c r="F267" t="s">
        <v>1639</v>
      </c>
      <c r="G267" t="s">
        <v>1587</v>
      </c>
      <c r="H267" t="s">
        <v>1587</v>
      </c>
      <c r="I267">
        <v>9270</v>
      </c>
      <c r="J267" t="s">
        <v>1894</v>
      </c>
      <c r="K267">
        <v>1</v>
      </c>
      <c r="L267">
        <v>0</v>
      </c>
      <c r="M267">
        <v>0</v>
      </c>
      <c r="N267">
        <v>0</v>
      </c>
      <c r="O267" t="s">
        <v>1594</v>
      </c>
      <c r="P267" t="s">
        <v>1584</v>
      </c>
      <c r="Q267" t="s">
        <v>1591</v>
      </c>
      <c r="R267">
        <v>0</v>
      </c>
      <c r="S267">
        <v>0</v>
      </c>
      <c r="T267" t="s">
        <v>1584</v>
      </c>
      <c r="U267" t="s">
        <v>1592</v>
      </c>
      <c r="V267" t="str" cm="1">
        <f t="array" aca="1" ref="V267" ca="1">IFERROR(_xlfn.IFS(A265="  ..............",OFFSET(A265,2,0),A264=" X-------------X",OFFSET(A264,3,0),MATCH("  ..............",A267:A276,0)&gt;2,V266),"-")</f>
        <v xml:space="preserve">  PALGR6-RS069  </v>
      </c>
      <c r="W267">
        <f t="shared" ca="1" si="12"/>
        <v>1.0169999999999999</v>
      </c>
      <c r="X267" t="str">
        <f t="shared" ca="1" si="13"/>
        <v xml:space="preserve"> PUCPAL-RS069 </v>
      </c>
      <c r="Y267" s="1">
        <f t="shared" ca="1" si="14"/>
        <v>0.33700000000000002</v>
      </c>
    </row>
    <row r="268" spans="1:25" x14ac:dyDescent="0.25">
      <c r="A268" t="s">
        <v>1588</v>
      </c>
      <c r="B268" t="s">
        <v>1587</v>
      </c>
      <c r="C268">
        <v>54</v>
      </c>
      <c r="D268">
        <v>79</v>
      </c>
      <c r="E268">
        <v>79</v>
      </c>
      <c r="F268" s="1">
        <v>0.33700000000000002</v>
      </c>
      <c r="G268" t="s">
        <v>1587</v>
      </c>
      <c r="H268" t="s">
        <v>1587</v>
      </c>
      <c r="I268">
        <v>9290</v>
      </c>
      <c r="J268" t="s">
        <v>1895</v>
      </c>
      <c r="K268">
        <v>1</v>
      </c>
      <c r="L268">
        <v>18.5</v>
      </c>
      <c r="M268">
        <v>0.5</v>
      </c>
      <c r="N268">
        <v>18.2</v>
      </c>
      <c r="O268" t="s">
        <v>1594</v>
      </c>
      <c r="P268" t="s">
        <v>1584</v>
      </c>
      <c r="Q268" t="s">
        <v>1591</v>
      </c>
      <c r="R268">
        <v>0.04</v>
      </c>
      <c r="S268">
        <v>-0.06</v>
      </c>
      <c r="T268" t="s">
        <v>1584</v>
      </c>
      <c r="U268" t="s">
        <v>1592</v>
      </c>
      <c r="V268" t="str" cm="1">
        <f t="array" aca="1" ref="V268" ca="1">IFERROR(_xlfn.IFS(A266="  ..............",OFFSET(A266,2,0),A265=" X-------------X",OFFSET(A265,3,0),MATCH("  ..............",A268:A277,0)&gt;2,V267),"-")</f>
        <v xml:space="preserve">  PALGR6-RS069  </v>
      </c>
      <c r="W268">
        <f t="shared" ca="1" si="12"/>
        <v>1.0169999999999999</v>
      </c>
      <c r="X268" t="str">
        <f t="shared" ca="1" si="13"/>
        <v xml:space="preserve"> PALE6B-RS013 </v>
      </c>
      <c r="Y268" s="1">
        <f t="shared" ca="1" si="14"/>
        <v>8.7999999999999995E-2</v>
      </c>
    </row>
    <row r="269" spans="1:25" x14ac:dyDescent="0.25">
      <c r="A269" t="s">
        <v>1588</v>
      </c>
      <c r="B269" t="s">
        <v>1587</v>
      </c>
      <c r="C269">
        <v>31</v>
      </c>
      <c r="D269">
        <v>31</v>
      </c>
      <c r="E269">
        <v>31</v>
      </c>
      <c r="F269" s="1">
        <v>8.7999999999999995E-2</v>
      </c>
      <c r="G269" t="s">
        <v>1587</v>
      </c>
      <c r="H269" t="s">
        <v>1587</v>
      </c>
      <c r="I269">
        <v>9300</v>
      </c>
      <c r="J269" t="s">
        <v>1896</v>
      </c>
      <c r="K269">
        <v>1</v>
      </c>
      <c r="L269">
        <v>2.5</v>
      </c>
      <c r="M269">
        <v>1.2</v>
      </c>
      <c r="N269">
        <v>2.7</v>
      </c>
      <c r="O269" t="s">
        <v>1897</v>
      </c>
      <c r="P269" t="s">
        <v>1584</v>
      </c>
      <c r="Q269" t="s">
        <v>1591</v>
      </c>
      <c r="R269">
        <v>0</v>
      </c>
      <c r="S269">
        <v>0.03</v>
      </c>
      <c r="T269" t="s">
        <v>1584</v>
      </c>
      <c r="U269" t="s">
        <v>1592</v>
      </c>
      <c r="V269" t="str" cm="1">
        <f t="array" aca="1" ref="V269" ca="1">IFERROR(_xlfn.IFS(A267="  ..............",OFFSET(A267,2,0),A266=" X-------------X",OFFSET(A266,3,0),MATCH("  ..............",A269:A278,0)&gt;2,V268),"-")</f>
        <v xml:space="preserve">  PALGR6-RS069  </v>
      </c>
      <c r="W269">
        <f t="shared" ca="1" si="12"/>
        <v>1.0169999999999999</v>
      </c>
      <c r="X269" t="str">
        <f t="shared" ca="1" si="13"/>
        <v xml:space="preserve"> ENT874-RS069 </v>
      </c>
      <c r="Y269" s="1">
        <f t="shared" ca="1" si="14"/>
        <v>0.13900000000000001</v>
      </c>
    </row>
    <row r="270" spans="1:25" x14ac:dyDescent="0.25">
      <c r="A270" t="s">
        <v>1588</v>
      </c>
      <c r="B270" t="s">
        <v>1587</v>
      </c>
      <c r="C270">
        <v>99</v>
      </c>
      <c r="D270">
        <v>112</v>
      </c>
      <c r="E270">
        <v>112</v>
      </c>
      <c r="F270" s="1">
        <v>0.13900000000000001</v>
      </c>
      <c r="G270" t="s">
        <v>1587</v>
      </c>
      <c r="H270" t="s">
        <v>1587</v>
      </c>
      <c r="I270">
        <v>9392</v>
      </c>
      <c r="J270" t="s">
        <v>1898</v>
      </c>
      <c r="K270">
        <v>1</v>
      </c>
      <c r="L270">
        <v>13.9</v>
      </c>
      <c r="M270">
        <v>0.7</v>
      </c>
      <c r="N270">
        <v>13.7</v>
      </c>
      <c r="O270" t="s">
        <v>1594</v>
      </c>
      <c r="P270" t="s">
        <v>1584</v>
      </c>
      <c r="Q270" t="s">
        <v>1591</v>
      </c>
      <c r="R270">
        <v>0.01</v>
      </c>
      <c r="S270">
        <v>-0.05</v>
      </c>
      <c r="T270" t="s">
        <v>1584</v>
      </c>
      <c r="U270" t="s">
        <v>1592</v>
      </c>
      <c r="V270" t="str" cm="1">
        <f t="array" aca="1" ref="V270" ca="1">IFERROR(_xlfn.IFS(A268="  ..............",OFFSET(A268,2,0),A267=" X-------------X",OFFSET(A267,3,0),MATCH("  ..............",A270:A279,0)&gt;2,V269),"-")</f>
        <v xml:space="preserve">  PALGR6-RS069  </v>
      </c>
      <c r="W270">
        <f t="shared" ca="1" si="12"/>
        <v>1.0169999999999999</v>
      </c>
      <c r="X270" t="str">
        <f t="shared" ca="1" si="13"/>
        <v xml:space="preserve"> PA16-2TAP069 </v>
      </c>
      <c r="Y270" s="1">
        <f t="shared" ca="1" si="14"/>
        <v>0.313</v>
      </c>
    </row>
    <row r="271" spans="1:25" x14ac:dyDescent="0.25">
      <c r="A271" t="s">
        <v>1588</v>
      </c>
      <c r="B271" t="s">
        <v>1587</v>
      </c>
      <c r="C271">
        <v>54</v>
      </c>
      <c r="D271">
        <v>79</v>
      </c>
      <c r="E271">
        <v>79</v>
      </c>
      <c r="F271" s="1">
        <v>0.313</v>
      </c>
      <c r="G271" t="s">
        <v>1587</v>
      </c>
      <c r="H271" t="s">
        <v>1587</v>
      </c>
      <c r="I271">
        <v>9967</v>
      </c>
      <c r="J271" t="s">
        <v>1899</v>
      </c>
      <c r="K271">
        <v>1</v>
      </c>
      <c r="L271">
        <v>17.2</v>
      </c>
      <c r="M271">
        <v>1.4</v>
      </c>
      <c r="N271">
        <v>16.899999999999999</v>
      </c>
      <c r="O271" t="s">
        <v>1594</v>
      </c>
      <c r="P271" t="s">
        <v>1584</v>
      </c>
      <c r="Q271" t="s">
        <v>1591</v>
      </c>
      <c r="R271">
        <v>0.05</v>
      </c>
      <c r="S271">
        <v>0.1</v>
      </c>
      <c r="T271" t="s">
        <v>1584</v>
      </c>
      <c r="U271" t="s">
        <v>1592</v>
      </c>
      <c r="V271" t="str" cm="1">
        <f t="array" aca="1" ref="V271" ca="1">IFERROR(_xlfn.IFS(A269="  ..............",OFFSET(A269,2,0),A268=" X-------------X",OFFSET(A268,3,0),MATCH("  ..............",A271:A280,0)&gt;2,V270),"-")</f>
        <v xml:space="preserve">  PALGR6-RS069  </v>
      </c>
      <c r="W271">
        <f t="shared" ca="1" si="12"/>
        <v>1.0169999999999999</v>
      </c>
      <c r="X271" t="str">
        <f t="shared" ca="1" si="13"/>
        <v xml:space="preserve"> UFRGS--RS069 </v>
      </c>
      <c r="Y271" s="1">
        <f t="shared" ca="1" si="14"/>
        <v>0.17599999999999999</v>
      </c>
    </row>
    <row r="272" spans="1:25" x14ac:dyDescent="0.25">
      <c r="A272" t="s">
        <v>1588</v>
      </c>
      <c r="B272" t="s">
        <v>1587</v>
      </c>
      <c r="C272">
        <v>30</v>
      </c>
      <c r="D272">
        <v>35</v>
      </c>
      <c r="E272">
        <v>35</v>
      </c>
      <c r="F272" s="1">
        <v>0.17599999999999999</v>
      </c>
      <c r="G272" t="s">
        <v>1587</v>
      </c>
      <c r="H272" t="s">
        <v>1587</v>
      </c>
      <c r="I272">
        <v>10239</v>
      </c>
      <c r="J272" t="s">
        <v>1900</v>
      </c>
      <c r="K272">
        <v>1</v>
      </c>
      <c r="L272">
        <v>5.0999999999999996</v>
      </c>
      <c r="M272">
        <v>1.7</v>
      </c>
      <c r="N272">
        <v>5.3</v>
      </c>
      <c r="O272" t="s">
        <v>1594</v>
      </c>
      <c r="P272" t="s">
        <v>1584</v>
      </c>
      <c r="Q272" t="s">
        <v>1591</v>
      </c>
      <c r="R272">
        <v>0</v>
      </c>
      <c r="S272">
        <v>-0.49</v>
      </c>
      <c r="T272" t="s">
        <v>1584</v>
      </c>
      <c r="U272" t="s">
        <v>1592</v>
      </c>
      <c r="V272" t="str" cm="1">
        <f t="array" aca="1" ref="V272" ca="1">IFERROR(_xlfn.IFS(A270="  ..............",OFFSET(A270,2,0),A269=" X-------------X",OFFSET(A269,3,0),MATCH("  ..............",A272:A281,0)&gt;2,V271),"-")</f>
        <v xml:space="preserve">  PALGR6-RS069  </v>
      </c>
      <c r="W272">
        <f t="shared" ca="1" si="12"/>
        <v>1.0169999999999999</v>
      </c>
      <c r="X272" t="str">
        <f t="shared" ca="1" si="13"/>
        <v xml:space="preserve"> PAL6-1-RS000 </v>
      </c>
      <c r="Y272" s="1">
        <f t="shared" ca="1" si="14"/>
        <v>0.39800000000000002</v>
      </c>
    </row>
    <row r="273" spans="1:25" x14ac:dyDescent="0.25">
      <c r="A273" t="s">
        <v>1588</v>
      </c>
      <c r="B273" t="s">
        <v>1587</v>
      </c>
      <c r="C273">
        <v>83</v>
      </c>
      <c r="D273">
        <v>83</v>
      </c>
      <c r="E273">
        <v>83</v>
      </c>
      <c r="F273" s="1">
        <v>0.39800000000000002</v>
      </c>
      <c r="G273" t="s">
        <v>1587</v>
      </c>
      <c r="H273" t="s">
        <v>1587</v>
      </c>
      <c r="I273">
        <v>41319</v>
      </c>
      <c r="J273" t="s">
        <v>1901</v>
      </c>
      <c r="K273">
        <v>1</v>
      </c>
      <c r="L273">
        <v>-33.6</v>
      </c>
      <c r="M273">
        <v>-1.6</v>
      </c>
      <c r="N273">
        <v>33</v>
      </c>
      <c r="O273" t="s">
        <v>1608</v>
      </c>
      <c r="P273" t="s">
        <v>1584</v>
      </c>
      <c r="Q273">
        <v>2</v>
      </c>
      <c r="R273">
        <v>0.02</v>
      </c>
      <c r="S273">
        <v>-0.1</v>
      </c>
      <c r="T273" t="s">
        <v>1584</v>
      </c>
      <c r="U273" t="s">
        <v>1592</v>
      </c>
      <c r="V273" t="str" cm="1">
        <f t="array" aca="1" ref="V273" ca="1">IFERROR(_xlfn.IFS(A271="  ..............",OFFSET(A271,2,0),A270=" X-------------X",OFFSET(A270,3,0),MATCH("  ..............",A273:A282,0)&gt;2,V272),"-")</f>
        <v xml:space="preserve">  PALGR6-RS069  </v>
      </c>
      <c r="W273">
        <f t="shared" ca="1" si="12"/>
        <v>1.0169999999999999</v>
      </c>
      <c r="X273" t="str">
        <f t="shared" ca="1" si="13"/>
        <v xml:space="preserve"> PAL6-2-RS000 </v>
      </c>
      <c r="Y273" s="1">
        <f t="shared" ca="1" si="14"/>
        <v>0.39800000000000002</v>
      </c>
    </row>
    <row r="274" spans="1:25" x14ac:dyDescent="0.25">
      <c r="A274" t="s">
        <v>1588</v>
      </c>
      <c r="B274" t="s">
        <v>1587</v>
      </c>
      <c r="C274">
        <v>83</v>
      </c>
      <c r="D274">
        <v>83</v>
      </c>
      <c r="E274">
        <v>83</v>
      </c>
      <c r="F274" s="1">
        <v>0.39800000000000002</v>
      </c>
      <c r="G274" t="s">
        <v>1587</v>
      </c>
      <c r="H274" t="s">
        <v>1587</v>
      </c>
      <c r="I274">
        <v>41320</v>
      </c>
      <c r="J274" t="s">
        <v>1902</v>
      </c>
      <c r="K274">
        <v>2</v>
      </c>
      <c r="L274">
        <v>-33.6</v>
      </c>
      <c r="M274">
        <v>-1.7</v>
      </c>
      <c r="N274">
        <v>33.1</v>
      </c>
      <c r="O274" t="s">
        <v>1608</v>
      </c>
      <c r="P274" t="s">
        <v>1584</v>
      </c>
      <c r="Q274">
        <v>2</v>
      </c>
      <c r="R274">
        <v>0.02</v>
      </c>
      <c r="S274">
        <v>-0.09</v>
      </c>
      <c r="T274" t="s">
        <v>1584</v>
      </c>
      <c r="U274" t="s">
        <v>1592</v>
      </c>
      <c r="V274" t="str" cm="1">
        <f t="array" aca="1" ref="V274" ca="1">IFERROR(_xlfn.IFS(A272="  ..............",OFFSET(A272,2,0),A271=" X-------------X",OFFSET(A271,3,0),MATCH("  ..............",A274:A283,0)&gt;2,V273),"-")</f>
        <v>-</v>
      </c>
      <c r="W274" t="str">
        <f t="shared" ca="1" si="12"/>
        <v>-</v>
      </c>
      <c r="X274" t="str">
        <f t="shared" ca="1" si="13"/>
        <v>-</v>
      </c>
      <c r="Y274" s="1" t="str">
        <f t="shared" ca="1" si="14"/>
        <v>-</v>
      </c>
    </row>
    <row r="275" spans="1:25" x14ac:dyDescent="0.25">
      <c r="A275" t="s">
        <v>1572</v>
      </c>
      <c r="B275" t="s">
        <v>1574</v>
      </c>
      <c r="C275" t="s">
        <v>1574</v>
      </c>
      <c r="D275" t="s">
        <v>1574</v>
      </c>
      <c r="E275" t="s">
        <v>1574</v>
      </c>
      <c r="F275" t="s">
        <v>1575</v>
      </c>
      <c r="G275" t="s">
        <v>1574</v>
      </c>
      <c r="H275" t="s">
        <v>1574</v>
      </c>
      <c r="I275" t="s">
        <v>1576</v>
      </c>
      <c r="J275" t="s">
        <v>1573</v>
      </c>
      <c r="K275" t="s">
        <v>1577</v>
      </c>
      <c r="L275" t="s">
        <v>1574</v>
      </c>
      <c r="M275" t="s">
        <v>1574</v>
      </c>
      <c r="N275" t="s">
        <v>1574</v>
      </c>
      <c r="O275" t="s">
        <v>1578</v>
      </c>
      <c r="P275" t="s">
        <v>1576</v>
      </c>
      <c r="Q275" t="s">
        <v>1579</v>
      </c>
      <c r="R275" t="s">
        <v>1580</v>
      </c>
      <c r="S275" t="s">
        <v>1580</v>
      </c>
      <c r="T275" t="s">
        <v>1576</v>
      </c>
      <c r="U275" t="s">
        <v>1576</v>
      </c>
      <c r="V275" t="str" cm="1">
        <f t="array" aca="1" ref="V275" ca="1">IFERROR(_xlfn.IFS(A273="  ..............",OFFSET(A273,2,0),A272=" X-------------X",OFFSET(A272,3,0),MATCH("  ..............",A275:A284,0)&gt;2,V274),"-")</f>
        <v>-</v>
      </c>
      <c r="W275" t="str">
        <f t="shared" ca="1" si="12"/>
        <v>-</v>
      </c>
      <c r="X275" t="str">
        <f t="shared" ca="1" si="13"/>
        <v/>
      </c>
      <c r="Y275" s="1" t="str">
        <f t="shared" ca="1" si="14"/>
        <v/>
      </c>
    </row>
    <row r="276" spans="1:25" x14ac:dyDescent="0.25">
      <c r="A276" t="s">
        <v>1903</v>
      </c>
      <c r="B276">
        <v>1.018</v>
      </c>
      <c r="C276">
        <v>0</v>
      </c>
      <c r="D276">
        <v>0</v>
      </c>
      <c r="E276">
        <v>5.2</v>
      </c>
      <c r="F276">
        <v>0</v>
      </c>
      <c r="G276">
        <v>0</v>
      </c>
      <c r="H276">
        <v>0</v>
      </c>
      <c r="I276" t="s">
        <v>1581</v>
      </c>
      <c r="J276" t="s">
        <v>1581</v>
      </c>
      <c r="K276" t="s">
        <v>1581</v>
      </c>
      <c r="L276" t="s">
        <v>1581</v>
      </c>
      <c r="M276" t="s">
        <v>1581</v>
      </c>
      <c r="N276" t="s">
        <v>1581</v>
      </c>
      <c r="O276" t="s">
        <v>1581</v>
      </c>
      <c r="P276" t="s">
        <v>1581</v>
      </c>
      <c r="Q276" t="s">
        <v>1581</v>
      </c>
      <c r="R276" t="s">
        <v>1581</v>
      </c>
      <c r="S276" t="s">
        <v>1581</v>
      </c>
      <c r="T276" t="s">
        <v>1581</v>
      </c>
      <c r="U276" t="s">
        <v>1581</v>
      </c>
      <c r="V276" t="str" cm="1">
        <f t="array" aca="1" ref="V276" ca="1">IFERROR(_xlfn.IFS(A274="  ..............",OFFSET(A274,2,0),A273=" X-------------X",OFFSET(A273,3,0),MATCH("  ..............",A276:A285,0)&gt;2,V275),"-")</f>
        <v>-</v>
      </c>
      <c r="W276" t="str">
        <f t="shared" ca="1" si="12"/>
        <v>-</v>
      </c>
      <c r="X276" t="str">
        <f t="shared" ca="1" si="13"/>
        <v xml:space="preserve">              </v>
      </c>
      <c r="Y276" s="1">
        <f t="shared" ca="1" si="14"/>
        <v>0</v>
      </c>
    </row>
    <row r="277" spans="1:25" x14ac:dyDescent="0.25">
      <c r="A277" t="s">
        <v>1904</v>
      </c>
      <c r="B277">
        <v>-52.4</v>
      </c>
      <c r="C277">
        <v>0</v>
      </c>
      <c r="D277">
        <v>0</v>
      </c>
      <c r="E277">
        <v>1.7</v>
      </c>
      <c r="F277">
        <v>0</v>
      </c>
      <c r="G277">
        <v>0</v>
      </c>
      <c r="H277">
        <v>0</v>
      </c>
      <c r="I277" t="s">
        <v>1584</v>
      </c>
      <c r="J277" t="s">
        <v>1585</v>
      </c>
      <c r="K277" t="s">
        <v>1586</v>
      </c>
      <c r="L277" t="s">
        <v>1587</v>
      </c>
      <c r="M277" t="s">
        <v>1587</v>
      </c>
      <c r="N277" t="s">
        <v>1586</v>
      </c>
      <c r="O277" t="s">
        <v>1581</v>
      </c>
      <c r="P277" t="s">
        <v>1581</v>
      </c>
      <c r="Q277" t="s">
        <v>1581</v>
      </c>
      <c r="R277" t="s">
        <v>1581</v>
      </c>
      <c r="S277" t="s">
        <v>1581</v>
      </c>
      <c r="T277" t="s">
        <v>1581</v>
      </c>
      <c r="U277" t="s">
        <v>1581</v>
      </c>
      <c r="V277" t="str" cm="1">
        <f t="array" aca="1" ref="V277" ca="1">IFERROR(_xlfn.IFS(A275="  ..............",OFFSET(A275,2,0),A274=" X-------------X",OFFSET(A274,3,0),MATCH("  ..............",A277:A286,0)&gt;2,V276),"-")</f>
        <v xml:space="preserve">  SANREM-RS138  </v>
      </c>
      <c r="W277">
        <f t="shared" ca="1" si="12"/>
        <v>1.018</v>
      </c>
      <c r="X277" t="str">
        <f t="shared" ca="1" si="13"/>
        <v xml:space="preserve"> LANSUL-RS138 </v>
      </c>
      <c r="Y277" s="1">
        <f t="shared" ca="1" si="14"/>
        <v>0.182</v>
      </c>
    </row>
    <row r="278" spans="1:25" x14ac:dyDescent="0.25">
      <c r="A278" t="s">
        <v>1588</v>
      </c>
      <c r="B278" t="s">
        <v>1587</v>
      </c>
      <c r="C278">
        <v>108</v>
      </c>
      <c r="D278">
        <v>108</v>
      </c>
      <c r="E278">
        <v>108</v>
      </c>
      <c r="F278" s="1">
        <v>0.182</v>
      </c>
      <c r="G278" t="s">
        <v>1587</v>
      </c>
      <c r="H278" t="s">
        <v>1587</v>
      </c>
      <c r="I278">
        <v>1219</v>
      </c>
      <c r="J278" t="s">
        <v>1905</v>
      </c>
      <c r="K278">
        <v>1</v>
      </c>
      <c r="L278">
        <v>19.2</v>
      </c>
      <c r="M278">
        <v>-5.3</v>
      </c>
      <c r="N278">
        <v>19.600000000000001</v>
      </c>
      <c r="O278" t="s">
        <v>1594</v>
      </c>
      <c r="P278" t="s">
        <v>1584</v>
      </c>
      <c r="Q278" t="s">
        <v>1591</v>
      </c>
      <c r="R278">
        <v>0.01</v>
      </c>
      <c r="S278">
        <v>-0.28000000000000003</v>
      </c>
      <c r="T278" t="s">
        <v>1584</v>
      </c>
      <c r="U278" t="s">
        <v>1592</v>
      </c>
      <c r="V278" t="str" cm="1">
        <f t="array" aca="1" ref="V278" ca="1">IFERROR(_xlfn.IFS(A276="  ..............",OFFSET(A276,2,0),A275=" X-------------X",OFFSET(A275,3,0),MATCH("  ..............",A278:A287,0)&gt;2,V277),"-")</f>
        <v xml:space="preserve">  SANREM-RS138  </v>
      </c>
      <c r="W278">
        <f t="shared" ca="1" si="12"/>
        <v>1.018</v>
      </c>
      <c r="X278" t="str">
        <f t="shared" ca="1" si="13"/>
        <v xml:space="preserve"> CINPAL-RS138 </v>
      </c>
      <c r="Y278" s="1">
        <f t="shared" ca="1" si="14"/>
        <v>0.36</v>
      </c>
    </row>
    <row r="279" spans="1:25" x14ac:dyDescent="0.25">
      <c r="A279" t="s">
        <v>1588</v>
      </c>
      <c r="B279" t="s">
        <v>1587</v>
      </c>
      <c r="C279">
        <v>108</v>
      </c>
      <c r="D279">
        <v>108</v>
      </c>
      <c r="E279">
        <v>108</v>
      </c>
      <c r="F279" s="1">
        <v>0.22500000000000001</v>
      </c>
      <c r="G279" t="s">
        <v>1587</v>
      </c>
      <c r="H279" t="s">
        <v>1587</v>
      </c>
      <c r="I279">
        <v>1257</v>
      </c>
      <c r="J279" t="s">
        <v>1877</v>
      </c>
      <c r="K279">
        <v>1</v>
      </c>
      <c r="L279">
        <v>-24.4</v>
      </c>
      <c r="M279">
        <v>3.6</v>
      </c>
      <c r="N279">
        <v>24.3</v>
      </c>
      <c r="O279" t="s">
        <v>1594</v>
      </c>
      <c r="P279" t="s">
        <v>1584</v>
      </c>
      <c r="Q279" t="s">
        <v>1591</v>
      </c>
      <c r="R279">
        <v>0.02</v>
      </c>
      <c r="S279">
        <v>-0.3</v>
      </c>
      <c r="T279" t="s">
        <v>1584</v>
      </c>
      <c r="U279" t="s">
        <v>1592</v>
      </c>
      <c r="V279" t="str" cm="1">
        <f t="array" aca="1" ref="V279" ca="1">IFERROR(_xlfn.IFS(A277="  ..............",OFFSET(A277,2,0),A276=" X-------------X",OFFSET(A276,3,0),MATCH("  ..............",A279:A288,0)&gt;2,V278),"-")</f>
        <v>-</v>
      </c>
      <c r="W279" t="str">
        <f t="shared" ca="1" si="12"/>
        <v>-</v>
      </c>
      <c r="X279" t="str">
        <f t="shared" ca="1" si="13"/>
        <v>-</v>
      </c>
      <c r="Y279" s="1" t="str">
        <f t="shared" ca="1" si="14"/>
        <v>-</v>
      </c>
    </row>
    <row r="280" spans="1:25" x14ac:dyDescent="0.25">
      <c r="A280" t="s">
        <v>1572</v>
      </c>
      <c r="B280" t="s">
        <v>1574</v>
      </c>
      <c r="C280" t="s">
        <v>1574</v>
      </c>
      <c r="D280" t="s">
        <v>1574</v>
      </c>
      <c r="E280" t="s">
        <v>1574</v>
      </c>
      <c r="F280" t="s">
        <v>1575</v>
      </c>
      <c r="G280" t="s">
        <v>1574</v>
      </c>
      <c r="H280" t="s">
        <v>1574</v>
      </c>
      <c r="I280" t="s">
        <v>1576</v>
      </c>
      <c r="J280" t="s">
        <v>1573</v>
      </c>
      <c r="K280" t="s">
        <v>1577</v>
      </c>
      <c r="L280" t="s">
        <v>1574</v>
      </c>
      <c r="M280" t="s">
        <v>1574</v>
      </c>
      <c r="N280" t="s">
        <v>1574</v>
      </c>
      <c r="O280" t="s">
        <v>1578</v>
      </c>
      <c r="P280" t="s">
        <v>1576</v>
      </c>
      <c r="Q280" t="s">
        <v>1579</v>
      </c>
      <c r="R280" t="s">
        <v>1580</v>
      </c>
      <c r="S280" t="s">
        <v>1580</v>
      </c>
      <c r="T280" t="s">
        <v>1576</v>
      </c>
      <c r="U280" t="s">
        <v>1576</v>
      </c>
      <c r="V280" t="str" cm="1">
        <f t="array" aca="1" ref="V280" ca="1">IFERROR(_xlfn.IFS(A278="  ..............",OFFSET(A278,2,0),A277=" X-------------X",OFFSET(A277,3,0),MATCH("  ..............",A280:A289,0)&gt;2,V279),"-")</f>
        <v>-</v>
      </c>
      <c r="W280" t="str">
        <f t="shared" ca="1" si="12"/>
        <v>-</v>
      </c>
      <c r="X280" t="str">
        <f t="shared" ca="1" si="13"/>
        <v/>
      </c>
      <c r="Y280" s="1" t="str">
        <f t="shared" ca="1" si="14"/>
        <v/>
      </c>
    </row>
    <row r="281" spans="1:25" x14ac:dyDescent="0.25">
      <c r="A281" t="s">
        <v>1906</v>
      </c>
      <c r="B281">
        <v>1.016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1581</v>
      </c>
      <c r="J281" t="s">
        <v>1581</v>
      </c>
      <c r="K281" t="s">
        <v>1581</v>
      </c>
      <c r="L281" t="s">
        <v>1581</v>
      </c>
      <c r="M281" t="s">
        <v>1581</v>
      </c>
      <c r="N281" t="s">
        <v>1581</v>
      </c>
      <c r="O281" t="s">
        <v>1581</v>
      </c>
      <c r="P281" t="s">
        <v>1581</v>
      </c>
      <c r="Q281" t="s">
        <v>1581</v>
      </c>
      <c r="R281" t="s">
        <v>1581</v>
      </c>
      <c r="S281" t="s">
        <v>1581</v>
      </c>
      <c r="T281" t="s">
        <v>1581</v>
      </c>
      <c r="U281" t="s">
        <v>1581</v>
      </c>
      <c r="V281" t="str" cm="1">
        <f t="array" aca="1" ref="V281" ca="1">IFERROR(_xlfn.IFS(A279="  ..............",OFFSET(A279,2,0),A278=" X-------------X",OFFSET(A278,3,0),MATCH("  ..............",A281:A290,0)&gt;2,V280),"-")</f>
        <v>-</v>
      </c>
      <c r="W281" t="str">
        <f t="shared" ca="1" si="12"/>
        <v>-</v>
      </c>
      <c r="X281" t="str">
        <f t="shared" ca="1" si="13"/>
        <v xml:space="preserve">              </v>
      </c>
      <c r="Y281" s="1">
        <f t="shared" ca="1" si="14"/>
        <v>0</v>
      </c>
    </row>
    <row r="282" spans="1:25" x14ac:dyDescent="0.25">
      <c r="A282" t="s">
        <v>1907</v>
      </c>
      <c r="B282">
        <v>-54.5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 t="s">
        <v>1584</v>
      </c>
      <c r="J282" t="s">
        <v>1585</v>
      </c>
      <c r="K282" t="s">
        <v>1586</v>
      </c>
      <c r="L282" t="s">
        <v>1587</v>
      </c>
      <c r="M282" t="s">
        <v>1587</v>
      </c>
      <c r="N282" t="s">
        <v>1586</v>
      </c>
      <c r="O282" t="s">
        <v>1581</v>
      </c>
      <c r="P282" t="s">
        <v>1581</v>
      </c>
      <c r="Q282" t="s">
        <v>1581</v>
      </c>
      <c r="R282" t="s">
        <v>1581</v>
      </c>
      <c r="S282" t="s">
        <v>1581</v>
      </c>
      <c r="T282" t="s">
        <v>1581</v>
      </c>
      <c r="U282" t="s">
        <v>1581</v>
      </c>
      <c r="V282" t="str" cm="1">
        <f t="array" aca="1" ref="V282" ca="1">IFERROR(_xlfn.IFS(A280="  ..............",OFFSET(A280,2,0),A279=" X-------------X",OFFSET(A279,3,0),MATCH("  ..............",A282:A291,0)&gt;2,V281),"-")</f>
        <v xml:space="preserve">  PALGR9-RS069  </v>
      </c>
      <c r="W282">
        <f t="shared" ca="1" si="12"/>
        <v>1.016</v>
      </c>
      <c r="X282" t="str">
        <f t="shared" ca="1" si="13"/>
        <v xml:space="preserve"> PAL9AE-RS069 </v>
      </c>
      <c r="Y282" s="1">
        <f t="shared" ca="1" si="14"/>
        <v>0</v>
      </c>
    </row>
    <row r="283" spans="1:25" x14ac:dyDescent="0.25">
      <c r="A283" t="s">
        <v>1588</v>
      </c>
      <c r="B283" t="s">
        <v>1587</v>
      </c>
      <c r="C283">
        <v>9999</v>
      </c>
      <c r="D283">
        <v>9999</v>
      </c>
      <c r="E283">
        <v>9999</v>
      </c>
      <c r="F283" s="1">
        <v>0</v>
      </c>
      <c r="G283" t="s">
        <v>1587</v>
      </c>
      <c r="H283" t="s">
        <v>1587</v>
      </c>
      <c r="I283">
        <v>1272</v>
      </c>
      <c r="J283" t="s">
        <v>1908</v>
      </c>
      <c r="K283">
        <v>1</v>
      </c>
      <c r="L283">
        <v>11.9</v>
      </c>
      <c r="M283">
        <v>5.0999999999999996</v>
      </c>
      <c r="N283">
        <v>12.7</v>
      </c>
      <c r="O283" t="s">
        <v>1594</v>
      </c>
      <c r="P283" t="s">
        <v>1584</v>
      </c>
      <c r="Q283" t="s">
        <v>1591</v>
      </c>
      <c r="R283">
        <v>0</v>
      </c>
      <c r="S283">
        <v>-0.01</v>
      </c>
      <c r="T283" t="s">
        <v>1584</v>
      </c>
      <c r="U283" t="s">
        <v>1592</v>
      </c>
      <c r="V283" t="str" cm="1">
        <f t="array" aca="1" ref="V283" ca="1">IFERROR(_xlfn.IFS(A281="  ..............",OFFSET(A281,2,0),A280=" X-------------X",OFFSET(A280,3,0),MATCH("  ..............",A283:A292,0)&gt;2,V282),"-")</f>
        <v xml:space="preserve">  PALGR9-RS069  </v>
      </c>
      <c r="W283">
        <f t="shared" ca="1" si="12"/>
        <v>1.016</v>
      </c>
      <c r="X283" t="str">
        <f t="shared" ca="1" si="13"/>
        <v xml:space="preserve"> PALEG2-RS069 </v>
      </c>
      <c r="Y283" s="1">
        <f t="shared" ca="1" si="14"/>
        <v>0.28899999999999998</v>
      </c>
    </row>
    <row r="284" spans="1:25" x14ac:dyDescent="0.25">
      <c r="A284" t="s">
        <v>1588</v>
      </c>
      <c r="B284" t="s">
        <v>1587</v>
      </c>
      <c r="C284">
        <v>54</v>
      </c>
      <c r="D284">
        <v>79</v>
      </c>
      <c r="E284">
        <v>79</v>
      </c>
      <c r="F284" s="1">
        <v>0.28899999999999998</v>
      </c>
      <c r="G284" t="s">
        <v>1587</v>
      </c>
      <c r="H284" t="s">
        <v>1587</v>
      </c>
      <c r="I284">
        <v>9236</v>
      </c>
      <c r="J284" t="s">
        <v>1909</v>
      </c>
      <c r="K284">
        <v>1</v>
      </c>
      <c r="L284">
        <v>14.8</v>
      </c>
      <c r="M284">
        <v>5.8</v>
      </c>
      <c r="N284">
        <v>15.6</v>
      </c>
      <c r="O284" t="s">
        <v>1594</v>
      </c>
      <c r="P284" t="s">
        <v>1584</v>
      </c>
      <c r="Q284" t="s">
        <v>1591</v>
      </c>
      <c r="R284">
        <v>0.03</v>
      </c>
      <c r="S284">
        <v>0.02</v>
      </c>
      <c r="T284" t="s">
        <v>1584</v>
      </c>
      <c r="U284" t="s">
        <v>1592</v>
      </c>
      <c r="V284" t="str" cm="1">
        <f t="array" aca="1" ref="V284" ca="1">IFERROR(_xlfn.IFS(A282="  ..............",OFFSET(A282,2,0),A281=" X-------------X",OFFSET(A281,3,0),MATCH("  ..............",A284:A293,0)&gt;2,V283),"-")</f>
        <v xml:space="preserve">  PALGR9-RS069  </v>
      </c>
      <c r="W284">
        <f t="shared" ca="1" si="12"/>
        <v>1.016</v>
      </c>
      <c r="X284" t="str">
        <f t="shared" ca="1" si="13"/>
        <v xml:space="preserve"> PALEG7-RS069 </v>
      </c>
      <c r="Y284" s="1">
        <f t="shared" ca="1" si="14"/>
        <v>0.28399999999999997</v>
      </c>
    </row>
    <row r="285" spans="1:25" x14ac:dyDescent="0.25">
      <c r="A285" t="s">
        <v>1588</v>
      </c>
      <c r="B285" t="s">
        <v>1587</v>
      </c>
      <c r="C285">
        <v>90</v>
      </c>
      <c r="D285">
        <v>90</v>
      </c>
      <c r="E285">
        <v>90</v>
      </c>
      <c r="F285" s="1">
        <v>0.28399999999999997</v>
      </c>
      <c r="G285" t="s">
        <v>1587</v>
      </c>
      <c r="H285" t="s">
        <v>1587</v>
      </c>
      <c r="I285">
        <v>9238</v>
      </c>
      <c r="J285" t="s">
        <v>1910</v>
      </c>
      <c r="K285">
        <v>1</v>
      </c>
      <c r="L285">
        <v>23.4</v>
      </c>
      <c r="M285">
        <v>-11.2</v>
      </c>
      <c r="N285">
        <v>25.5</v>
      </c>
      <c r="O285" t="s">
        <v>1594</v>
      </c>
      <c r="P285" t="s">
        <v>1584</v>
      </c>
      <c r="Q285" t="s">
        <v>1591</v>
      </c>
      <c r="R285">
        <v>0.06</v>
      </c>
      <c r="S285">
        <v>-6.68</v>
      </c>
      <c r="T285" t="s">
        <v>1584</v>
      </c>
      <c r="U285" t="s">
        <v>1592</v>
      </c>
      <c r="V285" t="str" cm="1">
        <f t="array" aca="1" ref="V285" ca="1">IFERROR(_xlfn.IFS(A283="  ..............",OFFSET(A283,2,0),A282=" X-------------X",OFFSET(A282,3,0),MATCH("  ..............",A285:A294,0)&gt;2,V284),"-")</f>
        <v xml:space="preserve">  PALGR9-RS069  </v>
      </c>
      <c r="W285">
        <f t="shared" ca="1" si="12"/>
        <v>1.016</v>
      </c>
      <c r="X285" t="str">
        <f t="shared" ca="1" si="13"/>
        <v xml:space="preserve"> PALEG7-RS069 </v>
      </c>
      <c r="Y285" s="1">
        <f t="shared" ca="1" si="14"/>
        <v>0.28399999999999997</v>
      </c>
    </row>
    <row r="286" spans="1:25" x14ac:dyDescent="0.25">
      <c r="A286" t="s">
        <v>1588</v>
      </c>
      <c r="B286" t="s">
        <v>1587</v>
      </c>
      <c r="C286">
        <v>90</v>
      </c>
      <c r="D286">
        <v>90</v>
      </c>
      <c r="E286">
        <v>90</v>
      </c>
      <c r="F286" s="1">
        <v>0.28399999999999997</v>
      </c>
      <c r="G286" t="s">
        <v>1587</v>
      </c>
      <c r="H286" t="s">
        <v>1587</v>
      </c>
      <c r="I286">
        <v>9238</v>
      </c>
      <c r="J286" t="s">
        <v>1910</v>
      </c>
      <c r="K286">
        <v>2</v>
      </c>
      <c r="L286">
        <v>23.4</v>
      </c>
      <c r="M286">
        <v>-11.2</v>
      </c>
      <c r="N286">
        <v>25.5</v>
      </c>
      <c r="O286" t="s">
        <v>1594</v>
      </c>
      <c r="P286" t="s">
        <v>1584</v>
      </c>
      <c r="Q286" t="s">
        <v>1591</v>
      </c>
      <c r="R286">
        <v>0.06</v>
      </c>
      <c r="S286">
        <v>-6.68</v>
      </c>
      <c r="T286" t="s">
        <v>1584</v>
      </c>
      <c r="U286" t="s">
        <v>1592</v>
      </c>
      <c r="V286" t="str" cm="1">
        <f t="array" aca="1" ref="V286" ca="1">IFERROR(_xlfn.IFS(A284="  ..............",OFFSET(A284,2,0),A283=" X-------------X",OFFSET(A283,3,0),MATCH("  ..............",A286:A295,0)&gt;2,V285),"-")</f>
        <v xml:space="preserve">  PALGR9-RS069  </v>
      </c>
      <c r="W286">
        <f t="shared" ca="1" si="12"/>
        <v>1.016</v>
      </c>
      <c r="X286" t="str">
        <f t="shared" ca="1" si="13"/>
        <v xml:space="preserve"> FRPPALTAP069 </v>
      </c>
      <c r="Y286" s="1">
        <f t="shared" ca="1" si="14"/>
        <v>0.33800000000000002</v>
      </c>
    </row>
    <row r="287" spans="1:25" x14ac:dyDescent="0.25">
      <c r="A287" t="s">
        <v>1588</v>
      </c>
      <c r="B287" t="s">
        <v>1587</v>
      </c>
      <c r="C287">
        <v>52</v>
      </c>
      <c r="D287">
        <v>76</v>
      </c>
      <c r="E287">
        <v>76</v>
      </c>
      <c r="F287" s="1">
        <v>0.33800000000000002</v>
      </c>
      <c r="G287" t="s">
        <v>1587</v>
      </c>
      <c r="H287" t="s">
        <v>1587</v>
      </c>
      <c r="I287">
        <v>9556</v>
      </c>
      <c r="J287" t="s">
        <v>1911</v>
      </c>
      <c r="K287">
        <v>1</v>
      </c>
      <c r="L287">
        <v>16.600000000000001</v>
      </c>
      <c r="M287">
        <v>6.6</v>
      </c>
      <c r="N287">
        <v>17.600000000000001</v>
      </c>
      <c r="O287" t="s">
        <v>1594</v>
      </c>
      <c r="P287" t="s">
        <v>1584</v>
      </c>
      <c r="Q287" t="s">
        <v>1591</v>
      </c>
      <c r="R287">
        <v>0.03</v>
      </c>
      <c r="S287">
        <v>0.03</v>
      </c>
      <c r="T287" t="s">
        <v>1584</v>
      </c>
      <c r="U287" t="s">
        <v>1592</v>
      </c>
      <c r="V287" t="str" cm="1">
        <f t="array" aca="1" ref="V287" ca="1">IFERROR(_xlfn.IFS(A285="  ..............",OFFSET(A285,2,0),A284=" X-------------X",OFFSET(A284,3,0),MATCH("  ..............",A287:A296,0)&gt;2,V286),"-")</f>
        <v xml:space="preserve">  PALGR9-RS069  </v>
      </c>
      <c r="W287">
        <f t="shared" ca="1" si="12"/>
        <v>1.016</v>
      </c>
      <c r="X287" t="str">
        <f t="shared" ca="1" si="13"/>
        <v xml:space="preserve"> ARENA--RS069 </v>
      </c>
      <c r="Y287" s="1">
        <f t="shared" ca="1" si="14"/>
        <v>5.7000000000000002E-2</v>
      </c>
    </row>
    <row r="288" spans="1:25" x14ac:dyDescent="0.25">
      <c r="A288" t="s">
        <v>1588</v>
      </c>
      <c r="B288" t="s">
        <v>1587</v>
      </c>
      <c r="C288">
        <v>36</v>
      </c>
      <c r="D288">
        <v>36</v>
      </c>
      <c r="E288">
        <v>36</v>
      </c>
      <c r="F288" s="1">
        <v>5.7000000000000002E-2</v>
      </c>
      <c r="G288" t="s">
        <v>1587</v>
      </c>
      <c r="H288" t="s">
        <v>1587</v>
      </c>
      <c r="I288">
        <v>9661</v>
      </c>
      <c r="J288" t="s">
        <v>1912</v>
      </c>
      <c r="K288">
        <v>1</v>
      </c>
      <c r="L288">
        <v>2</v>
      </c>
      <c r="M288">
        <v>0.6</v>
      </c>
      <c r="N288">
        <v>2.1</v>
      </c>
      <c r="O288" t="s">
        <v>1594</v>
      </c>
      <c r="P288" t="s">
        <v>1584</v>
      </c>
      <c r="Q288" t="s">
        <v>1591</v>
      </c>
      <c r="R288">
        <v>0</v>
      </c>
      <c r="S288">
        <v>-0.06</v>
      </c>
      <c r="T288" t="s">
        <v>1584</v>
      </c>
      <c r="U288" t="s">
        <v>1592</v>
      </c>
      <c r="V288" t="str" cm="1">
        <f t="array" aca="1" ref="V288" ca="1">IFERROR(_xlfn.IFS(A286="  ..............",OFFSET(A286,2,0),A285=" X-------------X",OFFSET(A285,3,0),MATCH("  ..............",A288:A297,0)&gt;2,V287),"-")</f>
        <v xml:space="preserve">  PALGR9-RS069  </v>
      </c>
      <c r="W288">
        <f t="shared" ca="1" si="12"/>
        <v>1.016</v>
      </c>
      <c r="X288" t="str">
        <f t="shared" ca="1" si="13"/>
        <v xml:space="preserve"> PAL9-2-RS000 </v>
      </c>
      <c r="Y288" s="1">
        <f t="shared" ca="1" si="14"/>
        <v>0.27200000000000002</v>
      </c>
    </row>
    <row r="289" spans="1:25" x14ac:dyDescent="0.25">
      <c r="A289" t="s">
        <v>1588</v>
      </c>
      <c r="B289" t="s">
        <v>1587</v>
      </c>
      <c r="C289">
        <v>165</v>
      </c>
      <c r="D289">
        <v>214</v>
      </c>
      <c r="E289">
        <v>214</v>
      </c>
      <c r="F289" s="1">
        <v>0.27200000000000002</v>
      </c>
      <c r="G289" t="s">
        <v>1587</v>
      </c>
      <c r="H289" t="s">
        <v>1587</v>
      </c>
      <c r="I289">
        <v>41327</v>
      </c>
      <c r="J289" t="s">
        <v>1913</v>
      </c>
      <c r="K289">
        <v>2</v>
      </c>
      <c r="L289">
        <v>-45.5</v>
      </c>
      <c r="M289">
        <v>2.2000000000000002</v>
      </c>
      <c r="N289">
        <v>44.8</v>
      </c>
      <c r="O289" t="s">
        <v>1608</v>
      </c>
      <c r="P289" t="s">
        <v>1584</v>
      </c>
      <c r="Q289">
        <v>2</v>
      </c>
      <c r="R289">
        <v>0.01</v>
      </c>
      <c r="S289">
        <v>-0.08</v>
      </c>
      <c r="T289" t="s">
        <v>1584</v>
      </c>
      <c r="U289" t="s">
        <v>1592</v>
      </c>
      <c r="V289" t="str" cm="1">
        <f t="array" aca="1" ref="V289" ca="1">IFERROR(_xlfn.IFS(A287="  ..............",OFFSET(A287,2,0),A286=" X-------------X",OFFSET(A286,3,0),MATCH("  ..............",A289:A298,0)&gt;2,V288),"-")</f>
        <v xml:space="preserve">  PALGR9-RS069  </v>
      </c>
      <c r="W289">
        <f t="shared" ca="1" si="12"/>
        <v>1.016</v>
      </c>
      <c r="X289" t="str">
        <f t="shared" ca="1" si="13"/>
        <v xml:space="preserve"> PAL9-5-RS000 </v>
      </c>
      <c r="Y289" s="1">
        <f t="shared" ca="1" si="14"/>
        <v>0.27800000000000002</v>
      </c>
    </row>
    <row r="290" spans="1:25" x14ac:dyDescent="0.25">
      <c r="A290" t="s">
        <v>1588</v>
      </c>
      <c r="B290" t="s">
        <v>1587</v>
      </c>
      <c r="C290">
        <v>165</v>
      </c>
      <c r="D290">
        <v>214</v>
      </c>
      <c r="E290">
        <v>214</v>
      </c>
      <c r="F290" s="1">
        <v>0.27800000000000002</v>
      </c>
      <c r="G290" t="s">
        <v>1587</v>
      </c>
      <c r="H290" t="s">
        <v>1587</v>
      </c>
      <c r="I290">
        <v>41328</v>
      </c>
      <c r="J290" t="s">
        <v>1914</v>
      </c>
      <c r="K290">
        <v>5</v>
      </c>
      <c r="L290">
        <v>-46.6</v>
      </c>
      <c r="M290">
        <v>2.1</v>
      </c>
      <c r="N290">
        <v>45.9</v>
      </c>
      <c r="O290" t="s">
        <v>1608</v>
      </c>
      <c r="P290" t="s">
        <v>1584</v>
      </c>
      <c r="Q290">
        <v>2</v>
      </c>
      <c r="R290">
        <v>0.02</v>
      </c>
      <c r="S290">
        <v>-0.14000000000000001</v>
      </c>
      <c r="T290" t="s">
        <v>1584</v>
      </c>
      <c r="U290" t="s">
        <v>1592</v>
      </c>
      <c r="V290" t="str" cm="1">
        <f t="array" aca="1" ref="V290" ca="1">IFERROR(_xlfn.IFS(A288="  ..............",OFFSET(A288,2,0),A287=" X-------------X",OFFSET(A287,3,0),MATCH("  ..............",A290:A299,0)&gt;2,V289),"-")</f>
        <v>-</v>
      </c>
      <c r="W290" t="str">
        <f t="shared" ca="1" si="12"/>
        <v>-</v>
      </c>
      <c r="X290" t="str">
        <f t="shared" ca="1" si="13"/>
        <v>-</v>
      </c>
      <c r="Y290" s="1" t="str">
        <f t="shared" ca="1" si="14"/>
        <v>-</v>
      </c>
    </row>
    <row r="291" spans="1:25" x14ac:dyDescent="0.25">
      <c r="A291" t="s">
        <v>1572</v>
      </c>
      <c r="B291" t="s">
        <v>1574</v>
      </c>
      <c r="C291" t="s">
        <v>1574</v>
      </c>
      <c r="D291" t="s">
        <v>1574</v>
      </c>
      <c r="E291" t="s">
        <v>1574</v>
      </c>
      <c r="F291" t="s">
        <v>1575</v>
      </c>
      <c r="G291" t="s">
        <v>1574</v>
      </c>
      <c r="H291" t="s">
        <v>1574</v>
      </c>
      <c r="I291" t="s">
        <v>1576</v>
      </c>
      <c r="J291" t="s">
        <v>1573</v>
      </c>
      <c r="K291" t="s">
        <v>1577</v>
      </c>
      <c r="L291" t="s">
        <v>1574</v>
      </c>
      <c r="M291" t="s">
        <v>1574</v>
      </c>
      <c r="N291" t="s">
        <v>1574</v>
      </c>
      <c r="O291" t="s">
        <v>1578</v>
      </c>
      <c r="P291" t="s">
        <v>1576</v>
      </c>
      <c r="Q291" t="s">
        <v>1579</v>
      </c>
      <c r="R291" t="s">
        <v>1580</v>
      </c>
      <c r="S291" t="s">
        <v>1580</v>
      </c>
      <c r="T291" t="s">
        <v>1576</v>
      </c>
      <c r="U291" t="s">
        <v>1576</v>
      </c>
      <c r="V291" t="str" cm="1">
        <f t="array" aca="1" ref="V291" ca="1">IFERROR(_xlfn.IFS(A289="  ..............",OFFSET(A289,2,0),A288=" X-------------X",OFFSET(A288,3,0),MATCH("  ..............",A291:A300,0)&gt;2,V290),"-")</f>
        <v>-</v>
      </c>
      <c r="W291" t="str">
        <f t="shared" ca="1" si="12"/>
        <v>-</v>
      </c>
      <c r="X291" t="str">
        <f t="shared" ca="1" si="13"/>
        <v/>
      </c>
      <c r="Y291" s="1" t="str">
        <f t="shared" ca="1" si="14"/>
        <v/>
      </c>
    </row>
    <row r="292" spans="1:25" x14ac:dyDescent="0.25">
      <c r="A292" t="s">
        <v>1915</v>
      </c>
      <c r="B292">
        <v>1.0149999999999999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1581</v>
      </c>
      <c r="J292" t="s">
        <v>1581</v>
      </c>
      <c r="K292" t="s">
        <v>1581</v>
      </c>
      <c r="L292" t="s">
        <v>1581</v>
      </c>
      <c r="M292" t="s">
        <v>1581</v>
      </c>
      <c r="N292" t="s">
        <v>1581</v>
      </c>
      <c r="O292" t="s">
        <v>1581</v>
      </c>
      <c r="P292" t="s">
        <v>1581</v>
      </c>
      <c r="Q292" t="s">
        <v>1581</v>
      </c>
      <c r="R292" t="s">
        <v>1581</v>
      </c>
      <c r="S292" t="s">
        <v>1581</v>
      </c>
      <c r="T292" t="s">
        <v>1581</v>
      </c>
      <c r="U292" t="s">
        <v>1581</v>
      </c>
      <c r="V292" t="str" cm="1">
        <f t="array" aca="1" ref="V292" ca="1">IFERROR(_xlfn.IFS(A290="  ..............",OFFSET(A290,2,0),A289=" X-------------X",OFFSET(A289,3,0),MATCH("  ..............",A292:A301,0)&gt;2,V291),"-")</f>
        <v>-</v>
      </c>
      <c r="W292" t="str">
        <f t="shared" ca="1" si="12"/>
        <v>-</v>
      </c>
      <c r="X292" t="str">
        <f t="shared" ca="1" si="13"/>
        <v xml:space="preserve">              </v>
      </c>
      <c r="Y292" s="1">
        <f t="shared" ca="1" si="14"/>
        <v>0</v>
      </c>
    </row>
    <row r="293" spans="1:25" x14ac:dyDescent="0.25">
      <c r="A293" t="s">
        <v>1916</v>
      </c>
      <c r="B293">
        <v>-55.1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 t="s">
        <v>1584</v>
      </c>
      <c r="J293" t="s">
        <v>1585</v>
      </c>
      <c r="K293" t="s">
        <v>1586</v>
      </c>
      <c r="L293" t="s">
        <v>1587</v>
      </c>
      <c r="M293" t="s">
        <v>1587</v>
      </c>
      <c r="N293" t="s">
        <v>1586</v>
      </c>
      <c r="O293" t="s">
        <v>1581</v>
      </c>
      <c r="P293" t="s">
        <v>1581</v>
      </c>
      <c r="Q293" t="s">
        <v>1581</v>
      </c>
      <c r="R293" t="s">
        <v>1581</v>
      </c>
      <c r="S293" t="s">
        <v>1581</v>
      </c>
      <c r="T293" t="s">
        <v>1581</v>
      </c>
      <c r="U293" t="s">
        <v>1581</v>
      </c>
      <c r="V293" t="str" cm="1">
        <f t="array" aca="1" ref="V293" ca="1">IFERROR(_xlfn.IFS(A291="  ..............",OFFSET(A291,2,0),A290=" X-------------X",OFFSET(A290,3,0),MATCH("  ..............",A293:A302,0)&gt;2,V292),"-")</f>
        <v xml:space="preserve">  PALG10-RS069  </v>
      </c>
      <c r="W293">
        <f t="shared" ca="1" si="12"/>
        <v>1.0149999999999999</v>
      </c>
      <c r="X293" t="str">
        <f t="shared" ca="1" si="13"/>
        <v xml:space="preserve"> P12-2Y-RS069 </v>
      </c>
      <c r="Y293" s="1">
        <f t="shared" ca="1" si="14"/>
        <v>0.20399999999999999</v>
      </c>
    </row>
    <row r="294" spans="1:25" x14ac:dyDescent="0.25">
      <c r="A294" t="s">
        <v>1588</v>
      </c>
      <c r="B294" t="s">
        <v>1587</v>
      </c>
      <c r="C294">
        <v>52</v>
      </c>
      <c r="D294">
        <v>76</v>
      </c>
      <c r="E294">
        <v>76</v>
      </c>
      <c r="F294" s="1">
        <v>0.20399999999999999</v>
      </c>
      <c r="G294" t="s">
        <v>1587</v>
      </c>
      <c r="H294" t="s">
        <v>1587</v>
      </c>
      <c r="I294">
        <v>9248</v>
      </c>
      <c r="J294" t="s">
        <v>1917</v>
      </c>
      <c r="K294">
        <v>1</v>
      </c>
      <c r="L294">
        <v>-10.8</v>
      </c>
      <c r="M294">
        <v>-0.1</v>
      </c>
      <c r="N294">
        <v>10.6</v>
      </c>
      <c r="O294" t="s">
        <v>1594</v>
      </c>
      <c r="P294" t="s">
        <v>1584</v>
      </c>
      <c r="Q294" t="s">
        <v>1591</v>
      </c>
      <c r="R294">
        <v>0.01</v>
      </c>
      <c r="S294">
        <v>-0.15</v>
      </c>
      <c r="T294" t="s">
        <v>1584</v>
      </c>
      <c r="U294" t="s">
        <v>1592</v>
      </c>
      <c r="V294" t="str" cm="1">
        <f t="array" aca="1" ref="V294" ca="1">IFERROR(_xlfn.IFS(A292="  ..............",OFFSET(A292,2,0),A291=" X-------------X",OFFSET(A291,3,0),MATCH("  ..............",A294:A303,0)&gt;2,V293),"-")</f>
        <v xml:space="preserve">  PALG10-RS069  </v>
      </c>
      <c r="W294">
        <f t="shared" ca="1" si="12"/>
        <v>1.0149999999999999</v>
      </c>
      <c r="X294" t="str">
        <f t="shared" ca="1" si="13"/>
        <v xml:space="preserve"> PALEG3-RS069 </v>
      </c>
      <c r="Y294" s="1">
        <f t="shared" ca="1" si="14"/>
        <v>0.54400000000000004</v>
      </c>
    </row>
    <row r="295" spans="1:25" x14ac:dyDescent="0.25">
      <c r="A295" t="s">
        <v>1588</v>
      </c>
      <c r="B295" t="s">
        <v>1587</v>
      </c>
      <c r="C295">
        <v>80</v>
      </c>
      <c r="D295">
        <v>95</v>
      </c>
      <c r="E295">
        <v>95</v>
      </c>
      <c r="F295" s="1">
        <v>0.54400000000000004</v>
      </c>
      <c r="G295" t="s">
        <v>1587</v>
      </c>
      <c r="H295" t="s">
        <v>1587</v>
      </c>
      <c r="I295">
        <v>9266</v>
      </c>
      <c r="J295" t="s">
        <v>1918</v>
      </c>
      <c r="K295">
        <v>1</v>
      </c>
      <c r="L295">
        <v>44</v>
      </c>
      <c r="M295">
        <v>4</v>
      </c>
      <c r="N295">
        <v>43.5</v>
      </c>
      <c r="O295" t="s">
        <v>1594</v>
      </c>
      <c r="P295" t="s">
        <v>1584</v>
      </c>
      <c r="Q295" t="s">
        <v>1591</v>
      </c>
      <c r="R295">
        <v>0.18</v>
      </c>
      <c r="S295">
        <v>0.46</v>
      </c>
      <c r="T295" t="s">
        <v>1584</v>
      </c>
      <c r="U295" t="s">
        <v>1592</v>
      </c>
      <c r="V295" t="str" cm="1">
        <f t="array" aca="1" ref="V295" ca="1">IFERROR(_xlfn.IFS(A293="  ..............",OFFSET(A293,2,0),A292=" X-------------X",OFFSET(A292,3,0),MATCH("  ..............",A295:A304,0)&gt;2,V294),"-")</f>
        <v xml:space="preserve">  PALG10-RS069  </v>
      </c>
      <c r="W295">
        <f t="shared" ca="1" si="12"/>
        <v>1.0149999999999999</v>
      </c>
      <c r="X295" t="str">
        <f t="shared" ca="1" si="13"/>
        <v xml:space="preserve"> PUCPAL-RS069 </v>
      </c>
      <c r="Y295" s="1">
        <f t="shared" ca="1" si="14"/>
        <v>0.33700000000000002</v>
      </c>
    </row>
    <row r="296" spans="1:25" x14ac:dyDescent="0.25">
      <c r="A296" t="s">
        <v>1588</v>
      </c>
      <c r="B296" t="s">
        <v>1587</v>
      </c>
      <c r="C296">
        <v>54</v>
      </c>
      <c r="D296">
        <v>79</v>
      </c>
      <c r="E296">
        <v>79</v>
      </c>
      <c r="F296" s="1">
        <v>0.13200000000000001</v>
      </c>
      <c r="G296" t="s">
        <v>1587</v>
      </c>
      <c r="H296" t="s">
        <v>1587</v>
      </c>
      <c r="I296">
        <v>9290</v>
      </c>
      <c r="J296" t="s">
        <v>1895</v>
      </c>
      <c r="K296">
        <v>1</v>
      </c>
      <c r="L296">
        <v>-5.4</v>
      </c>
      <c r="M296">
        <v>4.8</v>
      </c>
      <c r="N296">
        <v>7.1</v>
      </c>
      <c r="O296" t="s">
        <v>1594</v>
      </c>
      <c r="P296" t="s">
        <v>1584</v>
      </c>
      <c r="Q296" t="s">
        <v>1591</v>
      </c>
      <c r="R296">
        <v>0</v>
      </c>
      <c r="S296">
        <v>-0.14000000000000001</v>
      </c>
      <c r="T296" t="s">
        <v>1584</v>
      </c>
      <c r="U296" t="s">
        <v>1592</v>
      </c>
      <c r="V296" t="str" cm="1">
        <f t="array" aca="1" ref="V296" ca="1">IFERROR(_xlfn.IFS(A294="  ..............",OFFSET(A294,2,0),A293=" X-------------X",OFFSET(A293,3,0),MATCH("  ..............",A296:A305,0)&gt;2,V295),"-")</f>
        <v xml:space="preserve">  PALG10-RS069  </v>
      </c>
      <c r="W296">
        <f t="shared" ca="1" si="12"/>
        <v>1.0149999999999999</v>
      </c>
      <c r="X296" t="str">
        <f t="shared" ca="1" si="13"/>
        <v xml:space="preserve"> HOSCLI-RS069 </v>
      </c>
      <c r="Y296" s="1">
        <f t="shared" ca="1" si="14"/>
        <v>0.46100000000000002</v>
      </c>
    </row>
    <row r="297" spans="1:25" x14ac:dyDescent="0.25">
      <c r="A297" t="s">
        <v>1588</v>
      </c>
      <c r="B297" t="s">
        <v>1587</v>
      </c>
      <c r="C297">
        <v>80</v>
      </c>
      <c r="D297">
        <v>95</v>
      </c>
      <c r="E297">
        <v>95</v>
      </c>
      <c r="F297" s="1">
        <v>0.46100000000000002</v>
      </c>
      <c r="G297" t="s">
        <v>1587</v>
      </c>
      <c r="H297" t="s">
        <v>1587</v>
      </c>
      <c r="I297">
        <v>10024</v>
      </c>
      <c r="J297" t="s">
        <v>1919</v>
      </c>
      <c r="K297">
        <v>1</v>
      </c>
      <c r="L297">
        <v>37</v>
      </c>
      <c r="M297">
        <v>5.5</v>
      </c>
      <c r="N297">
        <v>36.9</v>
      </c>
      <c r="O297" t="s">
        <v>1594</v>
      </c>
      <c r="P297" t="s">
        <v>1584</v>
      </c>
      <c r="Q297" t="s">
        <v>1591</v>
      </c>
      <c r="R297">
        <v>0.04</v>
      </c>
      <c r="S297">
        <v>0.11</v>
      </c>
      <c r="T297" t="s">
        <v>1584</v>
      </c>
      <c r="U297" t="s">
        <v>1592</v>
      </c>
      <c r="V297" t="str" cm="1">
        <f t="array" aca="1" ref="V297" ca="1">IFERROR(_xlfn.IFS(A295="  ..............",OFFSET(A295,2,0),A294=" X-------------X",OFFSET(A294,3,0),MATCH("  ..............",A297:A306,0)&gt;2,V296),"-")</f>
        <v xml:space="preserve">  PALG10-RS069  </v>
      </c>
      <c r="W297">
        <f t="shared" ca="1" si="12"/>
        <v>1.0149999999999999</v>
      </c>
      <c r="X297" t="str">
        <f t="shared" ca="1" si="13"/>
        <v xml:space="preserve"> PA10-1-RS000 </v>
      </c>
      <c r="Y297" s="1">
        <f t="shared" ca="1" si="14"/>
        <v>0.38900000000000001</v>
      </c>
    </row>
    <row r="298" spans="1:25" x14ac:dyDescent="0.25">
      <c r="A298" t="s">
        <v>1588</v>
      </c>
      <c r="B298" t="s">
        <v>1587</v>
      </c>
      <c r="C298">
        <v>83</v>
      </c>
      <c r="D298">
        <v>125</v>
      </c>
      <c r="E298">
        <v>125</v>
      </c>
      <c r="F298" s="1">
        <v>0.38900000000000001</v>
      </c>
      <c r="G298" t="s">
        <v>1587</v>
      </c>
      <c r="H298" t="s">
        <v>1587</v>
      </c>
      <c r="I298">
        <v>41310</v>
      </c>
      <c r="J298" t="s">
        <v>1920</v>
      </c>
      <c r="K298">
        <v>1</v>
      </c>
      <c r="L298">
        <v>-32</v>
      </c>
      <c r="M298">
        <v>-7</v>
      </c>
      <c r="N298">
        <v>32.299999999999997</v>
      </c>
      <c r="O298" t="s">
        <v>1608</v>
      </c>
      <c r="P298" t="s">
        <v>1584</v>
      </c>
      <c r="Q298">
        <v>2</v>
      </c>
      <c r="R298">
        <v>0.02</v>
      </c>
      <c r="S298">
        <v>-0.15</v>
      </c>
      <c r="T298" t="s">
        <v>1584</v>
      </c>
      <c r="U298" t="s">
        <v>1592</v>
      </c>
      <c r="V298" t="str" cm="1">
        <f t="array" aca="1" ref="V298" ca="1">IFERROR(_xlfn.IFS(A296="  ..............",OFFSET(A296,2,0),A295=" X-------------X",OFFSET(A295,3,0),MATCH("  ..............",A298:A307,0)&gt;2,V297),"-")</f>
        <v xml:space="preserve">  PALG10-RS069  </v>
      </c>
      <c r="W298">
        <f t="shared" ca="1" si="12"/>
        <v>1.0149999999999999</v>
      </c>
      <c r="X298" t="str">
        <f t="shared" ca="1" si="13"/>
        <v xml:space="preserve"> PA10-2-RS000 </v>
      </c>
      <c r="Y298" s="1">
        <f t="shared" ca="1" si="14"/>
        <v>0.39800000000000002</v>
      </c>
    </row>
    <row r="299" spans="1:25" x14ac:dyDescent="0.25">
      <c r="A299" t="s">
        <v>1588</v>
      </c>
      <c r="B299" t="s">
        <v>1587</v>
      </c>
      <c r="C299">
        <v>83</v>
      </c>
      <c r="D299">
        <v>125</v>
      </c>
      <c r="E299">
        <v>125</v>
      </c>
      <c r="F299" s="1">
        <v>0.39800000000000002</v>
      </c>
      <c r="G299" t="s">
        <v>1587</v>
      </c>
      <c r="H299" t="s">
        <v>1587</v>
      </c>
      <c r="I299">
        <v>41311</v>
      </c>
      <c r="J299" t="s">
        <v>1921</v>
      </c>
      <c r="K299">
        <v>2</v>
      </c>
      <c r="L299">
        <v>-32.799999999999997</v>
      </c>
      <c r="M299">
        <v>-7.1</v>
      </c>
      <c r="N299">
        <v>33.1</v>
      </c>
      <c r="O299" t="s">
        <v>1608</v>
      </c>
      <c r="P299" t="s">
        <v>1584</v>
      </c>
      <c r="Q299">
        <v>2</v>
      </c>
      <c r="R299">
        <v>0.02</v>
      </c>
      <c r="S299">
        <v>-0.16</v>
      </c>
      <c r="T299" t="s">
        <v>1584</v>
      </c>
      <c r="U299" t="s">
        <v>1592</v>
      </c>
      <c r="V299" t="str" cm="1">
        <f t="array" aca="1" ref="V299" ca="1">IFERROR(_xlfn.IFS(A297="  ..............",OFFSET(A297,2,0),A296=" X-------------X",OFFSET(A296,3,0),MATCH("  ..............",A299:A308,0)&gt;2,V298),"-")</f>
        <v>-</v>
      </c>
      <c r="W299" t="str">
        <f t="shared" ca="1" si="12"/>
        <v>-</v>
      </c>
      <c r="X299" t="str">
        <f t="shared" ca="1" si="13"/>
        <v>-</v>
      </c>
      <c r="Y299" s="1" t="str">
        <f t="shared" ca="1" si="14"/>
        <v>-</v>
      </c>
    </row>
    <row r="300" spans="1:25" x14ac:dyDescent="0.25">
      <c r="A300" t="s">
        <v>1572</v>
      </c>
      <c r="B300" t="s">
        <v>1574</v>
      </c>
      <c r="C300" t="s">
        <v>1574</v>
      </c>
      <c r="D300" t="s">
        <v>1574</v>
      </c>
      <c r="E300" t="s">
        <v>1574</v>
      </c>
      <c r="F300" t="s">
        <v>1575</v>
      </c>
      <c r="G300" t="s">
        <v>1574</v>
      </c>
      <c r="H300" t="s">
        <v>1574</v>
      </c>
      <c r="I300" t="s">
        <v>1576</v>
      </c>
      <c r="J300" t="s">
        <v>1573</v>
      </c>
      <c r="K300" t="s">
        <v>1577</v>
      </c>
      <c r="L300" t="s">
        <v>1574</v>
      </c>
      <c r="M300" t="s">
        <v>1574</v>
      </c>
      <c r="N300" t="s">
        <v>1574</v>
      </c>
      <c r="O300" t="s">
        <v>1578</v>
      </c>
      <c r="P300" t="s">
        <v>1576</v>
      </c>
      <c r="Q300" t="s">
        <v>1579</v>
      </c>
      <c r="R300" t="s">
        <v>1580</v>
      </c>
      <c r="S300" t="s">
        <v>1580</v>
      </c>
      <c r="T300" t="s">
        <v>1576</v>
      </c>
      <c r="U300" t="s">
        <v>1576</v>
      </c>
      <c r="V300" t="str" cm="1">
        <f t="array" aca="1" ref="V300" ca="1">IFERROR(_xlfn.IFS(A298="  ..............",OFFSET(A298,2,0),A297=" X-------------X",OFFSET(A297,3,0),MATCH("  ..............",A300:A309,0)&gt;2,V299),"-")</f>
        <v>-</v>
      </c>
      <c r="W300" t="str">
        <f t="shared" ca="1" si="12"/>
        <v>-</v>
      </c>
      <c r="X300" t="str">
        <f t="shared" ca="1" si="13"/>
        <v/>
      </c>
      <c r="Y300" s="1" t="str">
        <f t="shared" ca="1" si="14"/>
        <v/>
      </c>
    </row>
    <row r="301" spans="1:25" x14ac:dyDescent="0.25">
      <c r="A301" t="s">
        <v>1922</v>
      </c>
      <c r="B301">
        <v>1.0149999999999999</v>
      </c>
      <c r="C301">
        <v>1.7</v>
      </c>
      <c r="D301">
        <v>0</v>
      </c>
      <c r="E301">
        <v>44.5</v>
      </c>
      <c r="F301">
        <v>0</v>
      </c>
      <c r="G301">
        <v>0</v>
      </c>
      <c r="H301">
        <v>0</v>
      </c>
      <c r="I301" t="s">
        <v>1581</v>
      </c>
      <c r="J301" t="s">
        <v>1581</v>
      </c>
      <c r="K301" t="s">
        <v>1581</v>
      </c>
      <c r="L301" t="s">
        <v>1581</v>
      </c>
      <c r="M301" t="s">
        <v>1581</v>
      </c>
      <c r="N301" t="s">
        <v>1581</v>
      </c>
      <c r="O301" t="s">
        <v>1581</v>
      </c>
      <c r="P301" t="s">
        <v>1581</v>
      </c>
      <c r="Q301" t="s">
        <v>1581</v>
      </c>
      <c r="R301" t="s">
        <v>1581</v>
      </c>
      <c r="S301" t="s">
        <v>1581</v>
      </c>
      <c r="T301" t="s">
        <v>1581</v>
      </c>
      <c r="U301" t="s">
        <v>1581</v>
      </c>
      <c r="V301" t="str" cm="1">
        <f t="array" aca="1" ref="V301" ca="1">IFERROR(_xlfn.IFS(A299="  ..............",OFFSET(A299,2,0),A298=" X-------------X",OFFSET(A298,3,0),MATCH("  ..............",A301:A310,0)&gt;2,V300),"-")</f>
        <v>-</v>
      </c>
      <c r="W301" t="str">
        <f t="shared" ca="1" si="12"/>
        <v>-</v>
      </c>
      <c r="X301" t="str">
        <f t="shared" ca="1" si="13"/>
        <v xml:space="preserve">              </v>
      </c>
      <c r="Y301" s="1">
        <f t="shared" ca="1" si="14"/>
        <v>0</v>
      </c>
    </row>
    <row r="302" spans="1:25" x14ac:dyDescent="0.25">
      <c r="A302" t="s">
        <v>1923</v>
      </c>
      <c r="B302">
        <v>-54.5</v>
      </c>
      <c r="C302">
        <v>0</v>
      </c>
      <c r="D302">
        <v>0</v>
      </c>
      <c r="E302">
        <v>11.4</v>
      </c>
      <c r="F302">
        <v>0</v>
      </c>
      <c r="G302">
        <v>0</v>
      </c>
      <c r="H302">
        <v>0</v>
      </c>
      <c r="I302" t="s">
        <v>1584</v>
      </c>
      <c r="J302" t="s">
        <v>1585</v>
      </c>
      <c r="K302" t="s">
        <v>1586</v>
      </c>
      <c r="L302" t="s">
        <v>1587</v>
      </c>
      <c r="M302" t="s">
        <v>1587</v>
      </c>
      <c r="N302" t="s">
        <v>1586</v>
      </c>
      <c r="O302" t="s">
        <v>1581</v>
      </c>
      <c r="P302" t="s">
        <v>1581</v>
      </c>
      <c r="Q302" t="s">
        <v>1581</v>
      </c>
      <c r="R302" t="s">
        <v>1581</v>
      </c>
      <c r="S302" t="s">
        <v>1581</v>
      </c>
      <c r="T302" t="s">
        <v>1581</v>
      </c>
      <c r="U302" t="s">
        <v>1581</v>
      </c>
      <c r="V302" t="str" cm="1">
        <f t="array" aca="1" ref="V302" ca="1">IFERROR(_xlfn.IFS(A300="  ..............",OFFSET(A300,2,0),A299=" X-------------X",OFFSET(A299,3,0),MATCH("  ..............",A302:A311,0)&gt;2,V301),"-")</f>
        <v xml:space="preserve">  PALGR8-RS069  </v>
      </c>
      <c r="W302">
        <f t="shared" ca="1" si="12"/>
        <v>1.0149999999999999</v>
      </c>
      <c r="X302" t="str">
        <f t="shared" ca="1" si="13"/>
        <v xml:space="preserve"> GKNPAL-RS069 </v>
      </c>
      <c r="Y302" s="1">
        <f t="shared" ca="1" si="14"/>
        <v>0.628</v>
      </c>
    </row>
    <row r="303" spans="1:25" x14ac:dyDescent="0.25">
      <c r="A303" t="s">
        <v>1588</v>
      </c>
      <c r="B303" t="s">
        <v>1587</v>
      </c>
      <c r="C303">
        <v>80</v>
      </c>
      <c r="D303">
        <v>95</v>
      </c>
      <c r="E303">
        <v>95</v>
      </c>
      <c r="F303" s="1">
        <v>0.628</v>
      </c>
      <c r="G303" t="s">
        <v>1587</v>
      </c>
      <c r="H303" t="s">
        <v>1587</v>
      </c>
      <c r="I303">
        <v>9226</v>
      </c>
      <c r="J303" t="s">
        <v>1924</v>
      </c>
      <c r="K303">
        <v>1</v>
      </c>
      <c r="L303">
        <v>50.4</v>
      </c>
      <c r="M303">
        <v>7.6</v>
      </c>
      <c r="N303">
        <v>50.2</v>
      </c>
      <c r="O303" t="s">
        <v>1594</v>
      </c>
      <c r="P303" t="s">
        <v>1584</v>
      </c>
      <c r="Q303" t="s">
        <v>1591</v>
      </c>
      <c r="R303">
        <v>0.04</v>
      </c>
      <c r="S303">
        <v>0.13</v>
      </c>
      <c r="T303" t="s">
        <v>1584</v>
      </c>
      <c r="U303" t="s">
        <v>1592</v>
      </c>
      <c r="V303" t="str" cm="1">
        <f t="array" aca="1" ref="V303" ca="1">IFERROR(_xlfn.IFS(A301="  ..............",OFFSET(A301,2,0),A300=" X-------------X",OFFSET(A300,3,0),MATCH("  ..............",A303:A312,0)&gt;2,V302),"-")</f>
        <v xml:space="preserve">  PALGR8-RS069  </v>
      </c>
      <c r="W303">
        <f t="shared" ca="1" si="12"/>
        <v>1.0149999999999999</v>
      </c>
      <c r="X303" t="str">
        <f t="shared" ca="1" si="13"/>
        <v xml:space="preserve"> PALE17-RS069 </v>
      </c>
      <c r="Y303" s="1">
        <f t="shared" ca="1" si="14"/>
        <v>0.17</v>
      </c>
    </row>
    <row r="304" spans="1:25" x14ac:dyDescent="0.25">
      <c r="A304" t="s">
        <v>1588</v>
      </c>
      <c r="B304" t="s">
        <v>1587</v>
      </c>
      <c r="C304">
        <v>99</v>
      </c>
      <c r="D304">
        <v>120</v>
      </c>
      <c r="E304">
        <v>100</v>
      </c>
      <c r="F304" s="1">
        <v>0.17</v>
      </c>
      <c r="G304" t="s">
        <v>1587</v>
      </c>
      <c r="H304" t="s">
        <v>1587</v>
      </c>
      <c r="I304">
        <v>9237</v>
      </c>
      <c r="J304" t="s">
        <v>1925</v>
      </c>
      <c r="K304">
        <v>1</v>
      </c>
      <c r="L304">
        <v>16.2</v>
      </c>
      <c r="M304">
        <v>5.5</v>
      </c>
      <c r="N304">
        <v>16.899999999999999</v>
      </c>
      <c r="O304" t="s">
        <v>1594</v>
      </c>
      <c r="P304" t="s">
        <v>1584</v>
      </c>
      <c r="Q304" t="s">
        <v>1591</v>
      </c>
      <c r="R304">
        <v>0.02</v>
      </c>
      <c r="S304">
        <v>0.04</v>
      </c>
      <c r="T304" t="s">
        <v>1584</v>
      </c>
      <c r="U304" t="s">
        <v>1592</v>
      </c>
      <c r="V304" t="str" cm="1">
        <f t="array" aca="1" ref="V304" ca="1">IFERROR(_xlfn.IFS(A302="  ..............",OFFSET(A302,2,0),A301=" X-------------X",OFFSET(A301,3,0),MATCH("  ..............",A304:A313,0)&gt;2,V303),"-")</f>
        <v xml:space="preserve">  PALGR8-RS069  </v>
      </c>
      <c r="W304">
        <f t="shared" ca="1" si="12"/>
        <v>1.0149999999999999</v>
      </c>
      <c r="X304" t="str">
        <f t="shared" ca="1" si="13"/>
        <v xml:space="preserve"> VONPA1TAP069 </v>
      </c>
      <c r="Y304" s="1">
        <f t="shared" ca="1" si="14"/>
        <v>0.161</v>
      </c>
    </row>
    <row r="305" spans="1:25" x14ac:dyDescent="0.25">
      <c r="A305" t="s">
        <v>1588</v>
      </c>
      <c r="B305" t="s">
        <v>1587</v>
      </c>
      <c r="C305">
        <v>48</v>
      </c>
      <c r="D305">
        <v>71</v>
      </c>
      <c r="E305">
        <v>71</v>
      </c>
      <c r="F305" s="1">
        <v>6.0999999999999999E-2</v>
      </c>
      <c r="G305" t="s">
        <v>1587</v>
      </c>
      <c r="H305" t="s">
        <v>1587</v>
      </c>
      <c r="I305">
        <v>9273</v>
      </c>
      <c r="J305" t="s">
        <v>1692</v>
      </c>
      <c r="K305">
        <v>1</v>
      </c>
      <c r="L305">
        <v>-1.1000000000000001</v>
      </c>
      <c r="M305">
        <v>-2.8</v>
      </c>
      <c r="N305">
        <v>3</v>
      </c>
      <c r="O305" t="s">
        <v>1594</v>
      </c>
      <c r="P305" t="s">
        <v>1584</v>
      </c>
      <c r="Q305" t="s">
        <v>1591</v>
      </c>
      <c r="R305">
        <v>0</v>
      </c>
      <c r="S305">
        <v>-0.1</v>
      </c>
      <c r="T305" t="s">
        <v>1584</v>
      </c>
      <c r="U305" t="s">
        <v>1592</v>
      </c>
      <c r="V305" t="str" cm="1">
        <f t="array" aca="1" ref="V305" ca="1">IFERROR(_xlfn.IFS(A303="  ..............",OFFSET(A303,2,0),A302=" X-------------X",OFFSET(A302,3,0),MATCH("  ..............",A305:A314,0)&gt;2,V304),"-")</f>
        <v xml:space="preserve">  PALGR8-RS069  </v>
      </c>
      <c r="W305">
        <f t="shared" ca="1" si="12"/>
        <v>1.0149999999999999</v>
      </c>
      <c r="X305" t="str">
        <f t="shared" ca="1" si="13"/>
        <v xml:space="preserve"> HOCONC-RS069 </v>
      </c>
      <c r="Y305" s="1">
        <f t="shared" ca="1" si="14"/>
        <v>0.1</v>
      </c>
    </row>
    <row r="306" spans="1:25" x14ac:dyDescent="0.25">
      <c r="A306" t="s">
        <v>1588</v>
      </c>
      <c r="B306" t="s">
        <v>1587</v>
      </c>
      <c r="C306">
        <v>80</v>
      </c>
      <c r="D306">
        <v>95</v>
      </c>
      <c r="E306">
        <v>95</v>
      </c>
      <c r="F306" s="1">
        <v>0.1</v>
      </c>
      <c r="G306" t="s">
        <v>1587</v>
      </c>
      <c r="H306" t="s">
        <v>1587</v>
      </c>
      <c r="I306">
        <v>10054</v>
      </c>
      <c r="J306" t="s">
        <v>1926</v>
      </c>
      <c r="K306">
        <v>1</v>
      </c>
      <c r="L306">
        <v>4.5</v>
      </c>
      <c r="M306">
        <v>6.7</v>
      </c>
      <c r="N306">
        <v>8</v>
      </c>
      <c r="O306" t="s">
        <v>1594</v>
      </c>
      <c r="P306" t="s">
        <v>1584</v>
      </c>
      <c r="Q306" t="s">
        <v>1591</v>
      </c>
      <c r="R306">
        <v>0</v>
      </c>
      <c r="S306">
        <v>-0.03</v>
      </c>
      <c r="T306" t="s">
        <v>1584</v>
      </c>
      <c r="U306" t="s">
        <v>1592</v>
      </c>
      <c r="V306" t="str" cm="1">
        <f t="array" aca="1" ref="V306" ca="1">IFERROR(_xlfn.IFS(A304="  ..............",OFFSET(A304,2,0),A303=" X-------------X",OFFSET(A303,3,0),MATCH("  ..............",A306:A315,0)&gt;2,V305),"-")</f>
        <v xml:space="preserve">  PALGR8-RS069  </v>
      </c>
      <c r="W306">
        <f t="shared" ca="1" si="12"/>
        <v>1.0149999999999999</v>
      </c>
      <c r="X306" t="str">
        <f t="shared" ca="1" si="13"/>
        <v xml:space="preserve"> PAL8-1-RS000 </v>
      </c>
      <c r="Y306" s="1">
        <f t="shared" ca="1" si="14"/>
        <v>0.45</v>
      </c>
    </row>
    <row r="307" spans="1:25" x14ac:dyDescent="0.25">
      <c r="A307" t="s">
        <v>1588</v>
      </c>
      <c r="B307" t="s">
        <v>1587</v>
      </c>
      <c r="C307">
        <v>83</v>
      </c>
      <c r="D307">
        <v>124</v>
      </c>
      <c r="E307">
        <v>124</v>
      </c>
      <c r="F307" s="1">
        <v>0.45</v>
      </c>
      <c r="G307" t="s">
        <v>1587</v>
      </c>
      <c r="H307" t="s">
        <v>1587</v>
      </c>
      <c r="I307">
        <v>41323</v>
      </c>
      <c r="J307" t="s">
        <v>1927</v>
      </c>
      <c r="K307">
        <v>1</v>
      </c>
      <c r="L307">
        <v>-36.799999999999997</v>
      </c>
      <c r="M307">
        <v>-9.3000000000000007</v>
      </c>
      <c r="N307">
        <v>37.4</v>
      </c>
      <c r="O307" t="s">
        <v>1608</v>
      </c>
      <c r="P307" t="s">
        <v>1584</v>
      </c>
      <c r="Q307">
        <v>2</v>
      </c>
      <c r="R307">
        <v>0.02</v>
      </c>
      <c r="S307">
        <v>-0.15</v>
      </c>
      <c r="T307" t="s">
        <v>1584</v>
      </c>
      <c r="U307" t="s">
        <v>1592</v>
      </c>
      <c r="V307" t="str" cm="1">
        <f t="array" aca="1" ref="V307" ca="1">IFERROR(_xlfn.IFS(A305="  ..............",OFFSET(A305,2,0),A304=" X-------------X",OFFSET(A304,3,0),MATCH("  ..............",A307:A316,0)&gt;2,V306),"-")</f>
        <v xml:space="preserve">  PALGR8-RS069  </v>
      </c>
      <c r="W307">
        <f t="shared" ca="1" si="12"/>
        <v>1.0149999999999999</v>
      </c>
      <c r="X307" t="str">
        <f t="shared" ca="1" si="13"/>
        <v xml:space="preserve"> PAL8-2-RS000 </v>
      </c>
      <c r="Y307" s="1">
        <f t="shared" ca="1" si="14"/>
        <v>0.45700000000000002</v>
      </c>
    </row>
    <row r="308" spans="1:25" x14ac:dyDescent="0.25">
      <c r="A308" t="s">
        <v>1588</v>
      </c>
      <c r="B308" t="s">
        <v>1587</v>
      </c>
      <c r="C308">
        <v>83</v>
      </c>
      <c r="D308">
        <v>124</v>
      </c>
      <c r="E308">
        <v>124</v>
      </c>
      <c r="F308" s="1">
        <v>0.45700000000000002</v>
      </c>
      <c r="G308" t="s">
        <v>1587</v>
      </c>
      <c r="H308" t="s">
        <v>1587</v>
      </c>
      <c r="I308">
        <v>41324</v>
      </c>
      <c r="J308" t="s">
        <v>1928</v>
      </c>
      <c r="K308">
        <v>2</v>
      </c>
      <c r="L308">
        <v>-37.299999999999997</v>
      </c>
      <c r="M308">
        <v>-9.4</v>
      </c>
      <c r="N308">
        <v>37.9</v>
      </c>
      <c r="O308" t="s">
        <v>1608</v>
      </c>
      <c r="P308" t="s">
        <v>1584</v>
      </c>
      <c r="Q308">
        <v>2</v>
      </c>
      <c r="R308">
        <v>0.03</v>
      </c>
      <c r="S308">
        <v>-0.13</v>
      </c>
      <c r="T308" t="s">
        <v>1584</v>
      </c>
      <c r="U308" t="s">
        <v>1592</v>
      </c>
      <c r="V308" t="str" cm="1">
        <f t="array" aca="1" ref="V308" ca="1">IFERROR(_xlfn.IFS(A306="  ..............",OFFSET(A306,2,0),A305=" X-------------X",OFFSET(A305,3,0),MATCH("  ..............",A308:A317,0)&gt;2,V307),"-")</f>
        <v xml:space="preserve">  PALGR8-RS069  </v>
      </c>
      <c r="W308">
        <f t="shared" ca="1" si="12"/>
        <v>1.0149999999999999</v>
      </c>
      <c r="X308" t="str">
        <f t="shared" ca="1" si="13"/>
        <v xml:space="preserve"> PAL8-3-RS000 </v>
      </c>
      <c r="Y308" s="1">
        <f t="shared" ca="1" si="14"/>
        <v>0.47399999999999998</v>
      </c>
    </row>
    <row r="309" spans="1:25" x14ac:dyDescent="0.25">
      <c r="A309" t="s">
        <v>1588</v>
      </c>
      <c r="B309" t="s">
        <v>1587</v>
      </c>
      <c r="C309">
        <v>83</v>
      </c>
      <c r="D309">
        <v>100</v>
      </c>
      <c r="E309">
        <v>100</v>
      </c>
      <c r="F309" s="1">
        <v>0.47399999999999998</v>
      </c>
      <c r="G309" t="s">
        <v>1587</v>
      </c>
      <c r="H309" t="s">
        <v>1587</v>
      </c>
      <c r="I309">
        <v>41325</v>
      </c>
      <c r="J309" t="s">
        <v>1929</v>
      </c>
      <c r="K309">
        <v>3</v>
      </c>
      <c r="L309">
        <v>-38.700000000000003</v>
      </c>
      <c r="M309">
        <v>-9.8000000000000007</v>
      </c>
      <c r="N309">
        <v>39.299999999999997</v>
      </c>
      <c r="O309" t="s">
        <v>1608</v>
      </c>
      <c r="P309" t="s">
        <v>1584</v>
      </c>
      <c r="Q309">
        <v>2</v>
      </c>
      <c r="R309">
        <v>0.03</v>
      </c>
      <c r="S309">
        <v>-0.3</v>
      </c>
      <c r="T309" t="s">
        <v>1584</v>
      </c>
      <c r="U309" t="s">
        <v>1592</v>
      </c>
      <c r="V309" t="str" cm="1">
        <f t="array" aca="1" ref="V309" ca="1">IFERROR(_xlfn.IFS(A307="  ..............",OFFSET(A307,2,0),A306=" X-------------X",OFFSET(A306,3,0),MATCH("  ..............",A309:A318,0)&gt;2,V308),"-")</f>
        <v>-</v>
      </c>
      <c r="W309" t="str">
        <f t="shared" ca="1" si="12"/>
        <v>-</v>
      </c>
      <c r="X309" t="str">
        <f t="shared" ca="1" si="13"/>
        <v>-</v>
      </c>
      <c r="Y309" s="1" t="str">
        <f t="shared" ca="1" si="14"/>
        <v>-</v>
      </c>
    </row>
    <row r="310" spans="1:25" x14ac:dyDescent="0.25">
      <c r="A310" t="s">
        <v>1572</v>
      </c>
      <c r="B310" t="s">
        <v>1574</v>
      </c>
      <c r="C310" t="s">
        <v>1574</v>
      </c>
      <c r="D310" t="s">
        <v>1574</v>
      </c>
      <c r="E310" t="s">
        <v>1574</v>
      </c>
      <c r="F310" t="s">
        <v>1575</v>
      </c>
      <c r="G310" t="s">
        <v>1574</v>
      </c>
      <c r="H310" t="s">
        <v>1574</v>
      </c>
      <c r="I310" t="s">
        <v>1576</v>
      </c>
      <c r="J310" t="s">
        <v>1573</v>
      </c>
      <c r="K310" t="s">
        <v>1577</v>
      </c>
      <c r="L310" t="s">
        <v>1574</v>
      </c>
      <c r="M310" t="s">
        <v>1574</v>
      </c>
      <c r="N310" t="s">
        <v>1574</v>
      </c>
      <c r="O310" t="s">
        <v>1578</v>
      </c>
      <c r="P310" t="s">
        <v>1576</v>
      </c>
      <c r="Q310" t="s">
        <v>1579</v>
      </c>
      <c r="R310" t="s">
        <v>1580</v>
      </c>
      <c r="S310" t="s">
        <v>1580</v>
      </c>
      <c r="T310" t="s">
        <v>1576</v>
      </c>
      <c r="U310" t="s">
        <v>1576</v>
      </c>
      <c r="V310" t="str" cm="1">
        <f t="array" aca="1" ref="V310" ca="1">IFERROR(_xlfn.IFS(A308="  ..............",OFFSET(A308,2,0),A307=" X-------------X",OFFSET(A307,3,0),MATCH("  ..............",A310:A319,0)&gt;2,V309),"-")</f>
        <v>-</v>
      </c>
      <c r="W310" t="str">
        <f t="shared" ca="1" si="12"/>
        <v>-</v>
      </c>
      <c r="X310" t="str">
        <f t="shared" ca="1" si="13"/>
        <v/>
      </c>
      <c r="Y310" s="1" t="str">
        <f t="shared" ca="1" si="14"/>
        <v/>
      </c>
    </row>
    <row r="311" spans="1:25" x14ac:dyDescent="0.25">
      <c r="A311" t="s">
        <v>1930</v>
      </c>
      <c r="B311">
        <v>1.016</v>
      </c>
      <c r="C311">
        <v>0</v>
      </c>
      <c r="D311">
        <v>0</v>
      </c>
      <c r="E311">
        <v>11.9</v>
      </c>
      <c r="F311">
        <v>0</v>
      </c>
      <c r="G311">
        <v>0</v>
      </c>
      <c r="H311">
        <v>0</v>
      </c>
      <c r="I311" t="s">
        <v>1581</v>
      </c>
      <c r="J311" t="s">
        <v>1581</v>
      </c>
      <c r="K311" t="s">
        <v>1581</v>
      </c>
      <c r="L311" t="s">
        <v>1581</v>
      </c>
      <c r="M311" t="s">
        <v>1581</v>
      </c>
      <c r="N311" t="s">
        <v>1581</v>
      </c>
      <c r="O311" t="s">
        <v>1581</v>
      </c>
      <c r="P311" t="s">
        <v>1581</v>
      </c>
      <c r="Q311" t="s">
        <v>1581</v>
      </c>
      <c r="R311" t="s">
        <v>1581</v>
      </c>
      <c r="S311" t="s">
        <v>1581</v>
      </c>
      <c r="T311" t="s">
        <v>1581</v>
      </c>
      <c r="U311" t="s">
        <v>1581</v>
      </c>
      <c r="V311" t="str" cm="1">
        <f t="array" aca="1" ref="V311" ca="1">IFERROR(_xlfn.IFS(A309="  ..............",OFFSET(A309,2,0),A308=" X-------------X",OFFSET(A308,3,0),MATCH("  ..............",A311:A320,0)&gt;2,V310),"-")</f>
        <v>-</v>
      </c>
      <c r="W311" t="str">
        <f t="shared" ca="1" si="12"/>
        <v>-</v>
      </c>
      <c r="X311" t="str">
        <f t="shared" ca="1" si="13"/>
        <v xml:space="preserve">              </v>
      </c>
      <c r="Y311" s="1">
        <f t="shared" ca="1" si="14"/>
        <v>0</v>
      </c>
    </row>
    <row r="312" spans="1:25" x14ac:dyDescent="0.25">
      <c r="A312" t="s">
        <v>1931</v>
      </c>
      <c r="B312">
        <v>-54.5</v>
      </c>
      <c r="C312">
        <v>0</v>
      </c>
      <c r="D312">
        <v>0</v>
      </c>
      <c r="E312">
        <v>5.0999999999999996</v>
      </c>
      <c r="F312">
        <v>0</v>
      </c>
      <c r="G312">
        <v>0</v>
      </c>
      <c r="H312">
        <v>0</v>
      </c>
      <c r="I312" t="s">
        <v>1584</v>
      </c>
      <c r="J312" t="s">
        <v>1585</v>
      </c>
      <c r="K312" t="s">
        <v>1586</v>
      </c>
      <c r="L312" t="s">
        <v>1587</v>
      </c>
      <c r="M312" t="s">
        <v>1587</v>
      </c>
      <c r="N312" t="s">
        <v>1586</v>
      </c>
      <c r="O312" t="s">
        <v>1581</v>
      </c>
      <c r="P312" t="s">
        <v>1581</v>
      </c>
      <c r="Q312" t="s">
        <v>1581</v>
      </c>
      <c r="R312" t="s">
        <v>1581</v>
      </c>
      <c r="S312" t="s">
        <v>1581</v>
      </c>
      <c r="T312" t="s">
        <v>1581</v>
      </c>
      <c r="U312" t="s">
        <v>1581</v>
      </c>
      <c r="V312" t="str" cm="1">
        <f t="array" aca="1" ref="V312" ca="1">IFERROR(_xlfn.IFS(A310="  ..............",OFFSET(A310,2,0),A309=" X-------------X",OFFSET(A309,3,0),MATCH("  ..............",A312:A321,0)&gt;2,V311),"-")</f>
        <v xml:space="preserve">  PAL9AE-RS069  </v>
      </c>
      <c r="W312">
        <f t="shared" ca="1" si="12"/>
        <v>1.016</v>
      </c>
      <c r="X312" t="str">
        <f t="shared" ca="1" si="13"/>
        <v xml:space="preserve"> PALGR9-RS069 </v>
      </c>
      <c r="Y312" s="1">
        <f t="shared" ca="1" si="14"/>
        <v>0</v>
      </c>
    </row>
    <row r="313" spans="1:25" x14ac:dyDescent="0.25">
      <c r="A313" t="s">
        <v>1588</v>
      </c>
      <c r="B313" t="s">
        <v>1587</v>
      </c>
      <c r="C313">
        <v>9999</v>
      </c>
      <c r="D313">
        <v>9999</v>
      </c>
      <c r="E313">
        <v>9999</v>
      </c>
      <c r="F313" s="1">
        <v>0</v>
      </c>
      <c r="G313" t="s">
        <v>1587</v>
      </c>
      <c r="H313" t="s">
        <v>1587</v>
      </c>
      <c r="I313">
        <v>1266</v>
      </c>
      <c r="J313" t="s">
        <v>1932</v>
      </c>
      <c r="K313">
        <v>1</v>
      </c>
      <c r="L313">
        <v>-11.9</v>
      </c>
      <c r="M313">
        <v>-5.0999999999999996</v>
      </c>
      <c r="N313">
        <v>12.7</v>
      </c>
      <c r="O313" t="s">
        <v>1594</v>
      </c>
      <c r="P313" t="s">
        <v>1584</v>
      </c>
      <c r="Q313" t="s">
        <v>1591</v>
      </c>
      <c r="R313">
        <v>0</v>
      </c>
      <c r="S313">
        <v>-0.01</v>
      </c>
      <c r="T313" t="s">
        <v>1584</v>
      </c>
      <c r="U313" t="s">
        <v>1592</v>
      </c>
      <c r="V313" t="str" cm="1">
        <f t="array" aca="1" ref="V313" ca="1">IFERROR(_xlfn.IFS(A311="  ..............",OFFSET(A311,2,0),A310=" X-------------X",OFFSET(A310,3,0),MATCH("  ..............",A313:A322,0)&gt;2,V312),"-")</f>
        <v>-</v>
      </c>
      <c r="W313" t="str">
        <f t="shared" ca="1" si="12"/>
        <v>-</v>
      </c>
      <c r="X313" t="str">
        <f t="shared" ca="1" si="13"/>
        <v>-</v>
      </c>
      <c r="Y313" s="1" t="str">
        <f t="shared" ca="1" si="14"/>
        <v>-</v>
      </c>
    </row>
    <row r="314" spans="1:25" x14ac:dyDescent="0.25">
      <c r="A314" t="s">
        <v>1572</v>
      </c>
      <c r="B314" t="s">
        <v>1574</v>
      </c>
      <c r="C314" t="s">
        <v>1574</v>
      </c>
      <c r="D314" t="s">
        <v>1574</v>
      </c>
      <c r="E314" t="s">
        <v>1574</v>
      </c>
      <c r="F314" t="s">
        <v>1575</v>
      </c>
      <c r="G314" t="s">
        <v>1574</v>
      </c>
      <c r="H314" t="s">
        <v>1574</v>
      </c>
      <c r="I314" t="s">
        <v>1576</v>
      </c>
      <c r="J314" t="s">
        <v>1573</v>
      </c>
      <c r="K314" t="s">
        <v>1577</v>
      </c>
      <c r="L314" t="s">
        <v>1574</v>
      </c>
      <c r="M314" t="s">
        <v>1574</v>
      </c>
      <c r="N314" t="s">
        <v>1574</v>
      </c>
      <c r="O314" t="s">
        <v>1578</v>
      </c>
      <c r="P314" t="s">
        <v>1576</v>
      </c>
      <c r="Q314" t="s">
        <v>1579</v>
      </c>
      <c r="R314" t="s">
        <v>1580</v>
      </c>
      <c r="S314" t="s">
        <v>1580</v>
      </c>
      <c r="T314" t="s">
        <v>1576</v>
      </c>
      <c r="U314" t="s">
        <v>1576</v>
      </c>
      <c r="V314" t="str" cm="1">
        <f t="array" aca="1" ref="V314" ca="1">IFERROR(_xlfn.IFS(A312="  ..............",OFFSET(A312,2,0),A311=" X-------------X",OFFSET(A311,3,0),MATCH("  ..............",A314:A323,0)&gt;2,V313),"-")</f>
        <v>-</v>
      </c>
      <c r="W314" t="str">
        <f t="shared" ca="1" si="12"/>
        <v>-</v>
      </c>
      <c r="X314" t="str">
        <f t="shared" ca="1" si="13"/>
        <v/>
      </c>
      <c r="Y314" s="1" t="str">
        <f t="shared" ca="1" si="14"/>
        <v/>
      </c>
    </row>
    <row r="315" spans="1:25" x14ac:dyDescent="0.25">
      <c r="A315" t="s">
        <v>1933</v>
      </c>
      <c r="B315">
        <v>0.999</v>
      </c>
      <c r="C315">
        <v>1.2</v>
      </c>
      <c r="D315">
        <v>0</v>
      </c>
      <c r="E315">
        <v>10.9</v>
      </c>
      <c r="F315">
        <v>0</v>
      </c>
      <c r="G315">
        <v>3.6</v>
      </c>
      <c r="H315">
        <v>0</v>
      </c>
      <c r="I315" t="s">
        <v>1581</v>
      </c>
      <c r="J315" t="s">
        <v>1581</v>
      </c>
      <c r="K315" t="s">
        <v>1581</v>
      </c>
      <c r="L315" t="s">
        <v>1581</v>
      </c>
      <c r="M315" t="s">
        <v>1581</v>
      </c>
      <c r="N315" t="s">
        <v>1581</v>
      </c>
      <c r="O315" t="s">
        <v>1581</v>
      </c>
      <c r="P315" t="s">
        <v>1581</v>
      </c>
      <c r="Q315" t="s">
        <v>1581</v>
      </c>
      <c r="R315" t="s">
        <v>1581</v>
      </c>
      <c r="S315" t="s">
        <v>1581</v>
      </c>
      <c r="T315" t="s">
        <v>1581</v>
      </c>
      <c r="U315" t="s">
        <v>1581</v>
      </c>
      <c r="V315" t="str" cm="1">
        <f t="array" aca="1" ref="V315" ca="1">IFERROR(_xlfn.IFS(A313="  ..............",OFFSET(A313,2,0),A312=" X-------------X",OFFSET(A312,3,0),MATCH("  ..............",A315:A324,0)&gt;2,V314),"-")</f>
        <v>-</v>
      </c>
      <c r="W315" t="str">
        <f t="shared" ca="1" si="12"/>
        <v>-</v>
      </c>
      <c r="X315" t="str">
        <f t="shared" ca="1" si="13"/>
        <v xml:space="preserve">              </v>
      </c>
      <c r="Y315" s="1">
        <f t="shared" ca="1" si="14"/>
        <v>0</v>
      </c>
    </row>
    <row r="316" spans="1:25" x14ac:dyDescent="0.25">
      <c r="A316" t="s">
        <v>1934</v>
      </c>
      <c r="B316">
        <v>-47</v>
      </c>
      <c r="C316">
        <v>0</v>
      </c>
      <c r="D316">
        <v>0</v>
      </c>
      <c r="E316">
        <v>3.5</v>
      </c>
      <c r="F316">
        <v>0</v>
      </c>
      <c r="G316">
        <v>0</v>
      </c>
      <c r="H316">
        <v>0</v>
      </c>
      <c r="I316" t="s">
        <v>1584</v>
      </c>
      <c r="J316" t="s">
        <v>1585</v>
      </c>
      <c r="K316" t="s">
        <v>1586</v>
      </c>
      <c r="L316" t="s">
        <v>1587</v>
      </c>
      <c r="M316" t="s">
        <v>1587</v>
      </c>
      <c r="N316" t="s">
        <v>1586</v>
      </c>
      <c r="O316" t="s">
        <v>1581</v>
      </c>
      <c r="P316" t="s">
        <v>1581</v>
      </c>
      <c r="Q316" t="s">
        <v>1581</v>
      </c>
      <c r="R316" t="s">
        <v>1581</v>
      </c>
      <c r="S316" t="s">
        <v>1581</v>
      </c>
      <c r="T316" t="s">
        <v>1581</v>
      </c>
      <c r="U316" t="s">
        <v>1581</v>
      </c>
      <c r="V316" t="str" cm="1">
        <f t="array" aca="1" ref="V316" ca="1">IFERROR(_xlfn.IFS(A314="  ..............",OFFSET(A314,2,0),A313=" X-------------X",OFFSET(A313,3,0),MATCH("  ..............",A316:A325,0)&gt;2,V315),"-")</f>
        <v xml:space="preserve">  SVPALM-RS138  </v>
      </c>
      <c r="W316">
        <f t="shared" ca="1" si="12"/>
        <v>0.999</v>
      </c>
      <c r="X316" t="str">
        <f t="shared" ca="1" si="13"/>
        <v xml:space="preserve"> SVP2-A-RS138 </v>
      </c>
      <c r="Y316" s="1">
        <f t="shared" ca="1" si="14"/>
        <v>0.1</v>
      </c>
    </row>
    <row r="317" spans="1:25" x14ac:dyDescent="0.25">
      <c r="A317" t="s">
        <v>1588</v>
      </c>
      <c r="B317" t="s">
        <v>1587</v>
      </c>
      <c r="C317">
        <v>97</v>
      </c>
      <c r="D317">
        <v>141</v>
      </c>
      <c r="E317">
        <v>141</v>
      </c>
      <c r="F317" s="1">
        <v>0.1</v>
      </c>
      <c r="G317" t="s">
        <v>1587</v>
      </c>
      <c r="H317" t="s">
        <v>1587</v>
      </c>
      <c r="I317">
        <v>9823</v>
      </c>
      <c r="J317" t="s">
        <v>1935</v>
      </c>
      <c r="K317">
        <v>1</v>
      </c>
      <c r="L317">
        <v>-9.6999999999999993</v>
      </c>
      <c r="M317">
        <v>0.1</v>
      </c>
      <c r="N317">
        <v>9.6999999999999993</v>
      </c>
      <c r="O317" t="s">
        <v>1594</v>
      </c>
      <c r="P317" t="s">
        <v>1584</v>
      </c>
      <c r="Q317" t="s">
        <v>1591</v>
      </c>
      <c r="R317">
        <v>0.01</v>
      </c>
      <c r="S317">
        <v>-0.63</v>
      </c>
      <c r="T317" t="s">
        <v>1584</v>
      </c>
      <c r="U317" t="s">
        <v>1592</v>
      </c>
      <c r="V317" t="str" cm="1">
        <f t="array" aca="1" ref="V317" ca="1">IFERROR(_xlfn.IFS(A315="  ..............",OFFSET(A315,2,0),A314=" X-------------X",OFFSET(A314,3,0),MATCH("  ..............",A317:A326,0)&gt;2,V316),"-")</f>
        <v>-</v>
      </c>
      <c r="W317" t="str">
        <f t="shared" ca="1" si="12"/>
        <v>-</v>
      </c>
      <c r="X317" t="str">
        <f t="shared" ca="1" si="13"/>
        <v>-</v>
      </c>
      <c r="Y317" s="1" t="str">
        <f t="shared" ca="1" si="14"/>
        <v>-</v>
      </c>
    </row>
    <row r="318" spans="1:25" x14ac:dyDescent="0.25">
      <c r="A318" t="s">
        <v>1572</v>
      </c>
      <c r="B318" t="s">
        <v>1574</v>
      </c>
      <c r="C318" t="s">
        <v>1574</v>
      </c>
      <c r="D318" t="s">
        <v>1574</v>
      </c>
      <c r="E318" t="s">
        <v>1574</v>
      </c>
      <c r="F318" t="s">
        <v>1575</v>
      </c>
      <c r="G318" t="s">
        <v>1574</v>
      </c>
      <c r="H318" t="s">
        <v>1574</v>
      </c>
      <c r="I318" t="s">
        <v>1576</v>
      </c>
      <c r="J318" t="s">
        <v>1573</v>
      </c>
      <c r="K318" t="s">
        <v>1577</v>
      </c>
      <c r="L318" t="s">
        <v>1574</v>
      </c>
      <c r="M318" t="s">
        <v>1574</v>
      </c>
      <c r="N318" t="s">
        <v>1574</v>
      </c>
      <c r="O318" t="s">
        <v>1578</v>
      </c>
      <c r="P318" t="s">
        <v>1576</v>
      </c>
      <c r="Q318" t="s">
        <v>1579</v>
      </c>
      <c r="R318" t="s">
        <v>1580</v>
      </c>
      <c r="S318" t="s">
        <v>1580</v>
      </c>
      <c r="T318" t="s">
        <v>1576</v>
      </c>
      <c r="U318" t="s">
        <v>1576</v>
      </c>
      <c r="V318" t="str" cm="1">
        <f t="array" aca="1" ref="V318" ca="1">IFERROR(_xlfn.IFS(A316="  ..............",OFFSET(A316,2,0),A315=" X-------------X",OFFSET(A315,3,0),MATCH("  ..............",A318:A327,0)&gt;2,V317),"-")</f>
        <v>-</v>
      </c>
      <c r="W318" t="str">
        <f t="shared" ca="1" si="12"/>
        <v>-</v>
      </c>
      <c r="X318" t="str">
        <f t="shared" ca="1" si="13"/>
        <v/>
      </c>
      <c r="Y318" s="1" t="str">
        <f t="shared" ca="1" si="14"/>
        <v/>
      </c>
    </row>
    <row r="319" spans="1:25" x14ac:dyDescent="0.25">
      <c r="A319" t="s">
        <v>1936</v>
      </c>
      <c r="B319">
        <v>1.024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1581</v>
      </c>
      <c r="J319" t="s">
        <v>1581</v>
      </c>
      <c r="K319" t="s">
        <v>1581</v>
      </c>
      <c r="L319" t="s">
        <v>1581</v>
      </c>
      <c r="M319" t="s">
        <v>1581</v>
      </c>
      <c r="N319" t="s">
        <v>1581</v>
      </c>
      <c r="O319" t="s">
        <v>1581</v>
      </c>
      <c r="P319" t="s">
        <v>1581</v>
      </c>
      <c r="Q319" t="s">
        <v>1581</v>
      </c>
      <c r="R319" t="s">
        <v>1581</v>
      </c>
      <c r="S319" t="s">
        <v>1581</v>
      </c>
      <c r="T319" t="s">
        <v>1581</v>
      </c>
      <c r="U319" t="s">
        <v>1581</v>
      </c>
      <c r="V319" t="str" cm="1">
        <f t="array" aca="1" ref="V319" ca="1">IFERROR(_xlfn.IFS(A317="  ..............",OFFSET(A317,2,0),A316=" X-------------X",OFFSET(A316,3,0),MATCH("  ..............",A319:A328,0)&gt;2,V318),"-")</f>
        <v>-</v>
      </c>
      <c r="W319" t="str">
        <f t="shared" ca="1" si="12"/>
        <v>-</v>
      </c>
      <c r="X319" t="str">
        <f t="shared" ca="1" si="13"/>
        <v xml:space="preserve">              </v>
      </c>
      <c r="Y319" s="1">
        <f t="shared" ca="1" si="14"/>
        <v>0</v>
      </c>
    </row>
    <row r="320" spans="1:25" x14ac:dyDescent="0.25">
      <c r="A320" t="s">
        <v>1937</v>
      </c>
      <c r="B320">
        <v>-48.7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1584</v>
      </c>
      <c r="J320" t="s">
        <v>1585</v>
      </c>
      <c r="K320" t="s">
        <v>1586</v>
      </c>
      <c r="L320" t="s">
        <v>1587</v>
      </c>
      <c r="M320" t="s">
        <v>1587</v>
      </c>
      <c r="N320" t="s">
        <v>1586</v>
      </c>
      <c r="O320" t="s">
        <v>1581</v>
      </c>
      <c r="P320" t="s">
        <v>1581</v>
      </c>
      <c r="Q320" t="s">
        <v>1581</v>
      </c>
      <c r="R320" t="s">
        <v>1581</v>
      </c>
      <c r="S320" t="s">
        <v>1581</v>
      </c>
      <c r="T320" t="s">
        <v>1581</v>
      </c>
      <c r="U320" t="s">
        <v>1581</v>
      </c>
      <c r="V320" t="str" cm="1">
        <f t="array" aca="1" ref="V320" ca="1">IFERROR(_xlfn.IFS(A318="  ..............",OFFSET(A318,2,0),A317=" X-------------X",OFFSET(A317,3,0),MATCH("  ..............",A320:A329,0)&gt;2,V319),"-")</f>
        <v xml:space="preserve">  SMARTA-RS138  </v>
      </c>
      <c r="W320">
        <f t="shared" ca="1" si="12"/>
        <v>1.024</v>
      </c>
      <c r="X320" t="str">
        <f t="shared" ca="1" si="13"/>
        <v xml:space="preserve"> PFUND1-RS138 </v>
      </c>
      <c r="Y320" s="1" t="str">
        <f t="shared" ca="1" si="14"/>
        <v xml:space="preserve">             </v>
      </c>
    </row>
    <row r="321" spans="1:25" x14ac:dyDescent="0.25">
      <c r="A321" t="s">
        <v>1588</v>
      </c>
      <c r="B321" t="s">
        <v>1587</v>
      </c>
      <c r="C321">
        <v>82</v>
      </c>
      <c r="D321">
        <v>82</v>
      </c>
      <c r="E321">
        <v>82</v>
      </c>
      <c r="F321" s="1">
        <v>0.55300000000000005</v>
      </c>
      <c r="G321" t="s">
        <v>1587</v>
      </c>
      <c r="H321" t="s">
        <v>1587</v>
      </c>
      <c r="I321">
        <v>1277</v>
      </c>
      <c r="J321" t="s">
        <v>1723</v>
      </c>
      <c r="K321">
        <v>1</v>
      </c>
      <c r="L321">
        <v>45.1</v>
      </c>
      <c r="M321">
        <v>11.1</v>
      </c>
      <c r="N321">
        <v>45.3</v>
      </c>
      <c r="O321" t="s">
        <v>1594</v>
      </c>
      <c r="P321" t="s">
        <v>1584</v>
      </c>
      <c r="Q321" t="s">
        <v>1591</v>
      </c>
      <c r="R321">
        <v>0.27</v>
      </c>
      <c r="S321">
        <v>-0.11</v>
      </c>
      <c r="T321" t="s">
        <v>1584</v>
      </c>
      <c r="U321" t="s">
        <v>1592</v>
      </c>
      <c r="V321" t="str" cm="1">
        <f t="array" aca="1" ref="V321" ca="1">IFERROR(_xlfn.IFS(A319="  ..............",OFFSET(A319,2,0),A318=" X-------------X",OFFSET(A318,3,0),MATCH("  ..............",A321:A330,0)&gt;2,V320),"-")</f>
        <v xml:space="preserve">  SMARTA-RS138  </v>
      </c>
      <c r="W321">
        <f t="shared" ca="1" si="12"/>
        <v>1.024</v>
      </c>
      <c r="X321" t="str">
        <f t="shared" ca="1" si="13"/>
        <v xml:space="preserve"> SMARTA-RS046 </v>
      </c>
      <c r="Y321" s="1">
        <f t="shared" ca="1" si="14"/>
        <v>8.3000000000000004E-2</v>
      </c>
    </row>
    <row r="322" spans="1:25" x14ac:dyDescent="0.25">
      <c r="A322" t="s">
        <v>1588</v>
      </c>
      <c r="B322" t="s">
        <v>1587</v>
      </c>
      <c r="C322">
        <v>33</v>
      </c>
      <c r="D322">
        <v>45</v>
      </c>
      <c r="E322">
        <v>45</v>
      </c>
      <c r="F322" s="1">
        <v>8.3000000000000004E-2</v>
      </c>
      <c r="G322" t="s">
        <v>1587</v>
      </c>
      <c r="H322" t="s">
        <v>1587</v>
      </c>
      <c r="I322">
        <v>1284</v>
      </c>
      <c r="J322" t="s">
        <v>1938</v>
      </c>
      <c r="K322">
        <v>2</v>
      </c>
      <c r="L322">
        <v>2</v>
      </c>
      <c r="M322">
        <v>2</v>
      </c>
      <c r="N322">
        <v>2.7</v>
      </c>
      <c r="O322" t="s">
        <v>1619</v>
      </c>
      <c r="P322" t="s">
        <v>1584</v>
      </c>
      <c r="Q322" t="s">
        <v>1591</v>
      </c>
      <c r="R322">
        <v>0</v>
      </c>
      <c r="S322">
        <v>0.06</v>
      </c>
      <c r="T322" t="s">
        <v>1584</v>
      </c>
      <c r="U322" t="s">
        <v>1592</v>
      </c>
      <c r="V322" t="str" cm="1">
        <f t="array" aca="1" ref="V322" ca="1">IFERROR(_xlfn.IFS(A320="  ..............",OFFSET(A320,2,0),A319=" X-------------X",OFFSET(A319,3,0),MATCH("  ..............",A322:A331,0)&gt;2,V321),"-")</f>
        <v xml:space="preserve">  SMARTA-RS138  </v>
      </c>
      <c r="W322">
        <f t="shared" ca="1" si="12"/>
        <v>1.024</v>
      </c>
      <c r="X322" t="str">
        <f t="shared" ca="1" si="13"/>
        <v xml:space="preserve"> SMARTA-RS013 </v>
      </c>
      <c r="Y322" s="1">
        <f t="shared" ca="1" si="14"/>
        <v>0.14399999999999999</v>
      </c>
    </row>
    <row r="323" spans="1:25" x14ac:dyDescent="0.25">
      <c r="A323" t="s">
        <v>1588</v>
      </c>
      <c r="B323" t="s">
        <v>1587</v>
      </c>
      <c r="C323">
        <v>12.5</v>
      </c>
      <c r="D323">
        <v>12.5</v>
      </c>
      <c r="E323">
        <v>12.5</v>
      </c>
      <c r="F323" s="1">
        <v>0.14399999999999999</v>
      </c>
      <c r="G323" t="s">
        <v>1587</v>
      </c>
      <c r="H323" t="s">
        <v>1587</v>
      </c>
      <c r="I323">
        <v>10208</v>
      </c>
      <c r="J323" t="s">
        <v>1939</v>
      </c>
      <c r="K323">
        <v>1</v>
      </c>
      <c r="L323">
        <v>1.7</v>
      </c>
      <c r="M323">
        <v>0.7</v>
      </c>
      <c r="N323">
        <v>1.8</v>
      </c>
      <c r="O323" t="s">
        <v>1940</v>
      </c>
      <c r="P323" t="s">
        <v>1584</v>
      </c>
      <c r="Q323" t="s">
        <v>1591</v>
      </c>
      <c r="R323">
        <v>0</v>
      </c>
      <c r="S323">
        <v>0.02</v>
      </c>
      <c r="T323" t="s">
        <v>1584</v>
      </c>
      <c r="U323" t="s">
        <v>1592</v>
      </c>
      <c r="V323" t="str" cm="1">
        <f t="array" aca="1" ref="V323" ca="1">IFERROR(_xlfn.IFS(A321="  ..............",OFFSET(A321,2,0),A320=" X-------------X",OFFSET(A320,3,0),MATCH("  ..............",A323:A332,0)&gt;2,V322),"-")</f>
        <v xml:space="preserve">  SMARTA-RS138  </v>
      </c>
      <c r="W323">
        <f t="shared" ca="1" si="12"/>
        <v>1.024</v>
      </c>
      <c r="X323" t="str">
        <f t="shared" ca="1" si="13"/>
        <v xml:space="preserve"> SMT--1-RS000 </v>
      </c>
      <c r="Y323" s="1">
        <f t="shared" ca="1" si="14"/>
        <v>0.33200000000000002</v>
      </c>
    </row>
    <row r="324" spans="1:25" x14ac:dyDescent="0.25">
      <c r="A324" t="s">
        <v>1588</v>
      </c>
      <c r="B324" t="s">
        <v>1587</v>
      </c>
      <c r="C324">
        <v>75</v>
      </c>
      <c r="D324">
        <v>112</v>
      </c>
      <c r="E324">
        <v>112</v>
      </c>
      <c r="F324" s="1">
        <v>0.33200000000000002</v>
      </c>
      <c r="G324" t="s">
        <v>1587</v>
      </c>
      <c r="H324" t="s">
        <v>1587</v>
      </c>
      <c r="I324">
        <v>41376</v>
      </c>
      <c r="J324" t="s">
        <v>1941</v>
      </c>
      <c r="K324">
        <v>1</v>
      </c>
      <c r="L324">
        <v>-24.5</v>
      </c>
      <c r="M324">
        <v>-6.9</v>
      </c>
      <c r="N324">
        <v>24.9</v>
      </c>
      <c r="O324" t="s">
        <v>1942</v>
      </c>
      <c r="P324" t="s">
        <v>1584</v>
      </c>
      <c r="Q324">
        <v>2</v>
      </c>
      <c r="R324">
        <v>-0.03</v>
      </c>
      <c r="S324">
        <v>2.13</v>
      </c>
      <c r="T324" t="s">
        <v>1584</v>
      </c>
      <c r="U324" t="s">
        <v>1592</v>
      </c>
      <c r="V324" t="str" cm="1">
        <f t="array" aca="1" ref="V324" ca="1">IFERROR(_xlfn.IFS(A322="  ..............",OFFSET(A322,2,0),A321=" X-------------X",OFFSET(A321,3,0),MATCH("  ..............",A324:A333,0)&gt;2,V323),"-")</f>
        <v xml:space="preserve">  SMARTA-RS138  </v>
      </c>
      <c r="W324">
        <f t="shared" ref="W324:W387" ca="1" si="15">IFERROR(OFFSET($A$1,MATCH(V324,A:A,0)-2,1),"-")</f>
        <v>1.024</v>
      </c>
      <c r="X324" t="str">
        <f t="shared" ref="X324:X387" ca="1" si="16">IFERROR(IF(V324=V323,OFFSET($J$1,ROW(X324),0),OFFSET($J$1,MATCH(V324,A:A,0),0)),"-")</f>
        <v xml:space="preserve"> SMT--2-RS000 </v>
      </c>
      <c r="Y324" s="1">
        <f t="shared" ref="Y324:Y387" ca="1" si="17">IFERROR(OFFSET($F$1,MATCH(X324,J:J,0)-1,0),"-")</f>
        <v>0.32800000000000001</v>
      </c>
    </row>
    <row r="325" spans="1:25" x14ac:dyDescent="0.25">
      <c r="A325" t="s">
        <v>1588</v>
      </c>
      <c r="B325" t="s">
        <v>1587</v>
      </c>
      <c r="C325">
        <v>75</v>
      </c>
      <c r="D325">
        <v>112</v>
      </c>
      <c r="E325">
        <v>112</v>
      </c>
      <c r="F325" s="1">
        <v>0.32800000000000001</v>
      </c>
      <c r="G325" t="s">
        <v>1587</v>
      </c>
      <c r="H325" t="s">
        <v>1587</v>
      </c>
      <c r="I325">
        <v>41377</v>
      </c>
      <c r="J325" t="s">
        <v>1943</v>
      </c>
      <c r="K325">
        <v>2</v>
      </c>
      <c r="L325">
        <v>-24.2</v>
      </c>
      <c r="M325">
        <v>-6.8</v>
      </c>
      <c r="N325">
        <v>24.6</v>
      </c>
      <c r="O325" t="s">
        <v>1942</v>
      </c>
      <c r="P325" t="s">
        <v>1584</v>
      </c>
      <c r="Q325">
        <v>2</v>
      </c>
      <c r="R325">
        <v>-0.02</v>
      </c>
      <c r="S325">
        <v>2.09</v>
      </c>
      <c r="T325" t="s">
        <v>1584</v>
      </c>
      <c r="U325" t="s">
        <v>1592</v>
      </c>
      <c r="V325" t="str" cm="1">
        <f t="array" aca="1" ref="V325" ca="1">IFERROR(_xlfn.IFS(A323="  ..............",OFFSET(A323,2,0),A322=" X-------------X",OFFSET(A322,3,0),MATCH("  ..............",A325:A334,0)&gt;2,V324),"-")</f>
        <v>-</v>
      </c>
      <c r="W325" t="str">
        <f t="shared" ca="1" si="15"/>
        <v>-</v>
      </c>
      <c r="X325" t="str">
        <f t="shared" ca="1" si="16"/>
        <v>-</v>
      </c>
      <c r="Y325" s="1" t="str">
        <f t="shared" ca="1" si="17"/>
        <v>-</v>
      </c>
    </row>
    <row r="326" spans="1:25" x14ac:dyDescent="0.25">
      <c r="A326" t="s">
        <v>1572</v>
      </c>
      <c r="B326" t="s">
        <v>1574</v>
      </c>
      <c r="C326" t="s">
        <v>1574</v>
      </c>
      <c r="D326" t="s">
        <v>1574</v>
      </c>
      <c r="E326" t="s">
        <v>1574</v>
      </c>
      <c r="F326" t="s">
        <v>1575</v>
      </c>
      <c r="G326" t="s">
        <v>1574</v>
      </c>
      <c r="H326" t="s">
        <v>1574</v>
      </c>
      <c r="I326" t="s">
        <v>1576</v>
      </c>
      <c r="J326" t="s">
        <v>1573</v>
      </c>
      <c r="K326" t="s">
        <v>1577</v>
      </c>
      <c r="L326" t="s">
        <v>1574</v>
      </c>
      <c r="M326" t="s">
        <v>1574</v>
      </c>
      <c r="N326" t="s">
        <v>1574</v>
      </c>
      <c r="O326" t="s">
        <v>1578</v>
      </c>
      <c r="P326" t="s">
        <v>1576</v>
      </c>
      <c r="Q326" t="s">
        <v>1579</v>
      </c>
      <c r="R326" t="s">
        <v>1580</v>
      </c>
      <c r="S326" t="s">
        <v>1580</v>
      </c>
      <c r="T326" t="s">
        <v>1576</v>
      </c>
      <c r="U326" t="s">
        <v>1576</v>
      </c>
      <c r="V326" t="str" cm="1">
        <f t="array" aca="1" ref="V326" ca="1">IFERROR(_xlfn.IFS(A324="  ..............",OFFSET(A324,2,0),A323=" X-------------X",OFFSET(A323,3,0),MATCH("  ..............",A326:A335,0)&gt;2,V325),"-")</f>
        <v>-</v>
      </c>
      <c r="W326" t="str">
        <f t="shared" ca="1" si="15"/>
        <v>-</v>
      </c>
      <c r="X326" t="str">
        <f t="shared" ca="1" si="16"/>
        <v/>
      </c>
      <c r="Y326" s="1" t="str">
        <f t="shared" ca="1" si="17"/>
        <v/>
      </c>
    </row>
    <row r="327" spans="1:25" x14ac:dyDescent="0.25">
      <c r="A327" t="s">
        <v>1944</v>
      </c>
      <c r="B327">
        <v>1.012</v>
      </c>
      <c r="C327">
        <v>2.9</v>
      </c>
      <c r="D327">
        <v>0</v>
      </c>
      <c r="E327">
        <v>40.4</v>
      </c>
      <c r="F327">
        <v>0</v>
      </c>
      <c r="G327">
        <v>9.9</v>
      </c>
      <c r="H327">
        <v>0</v>
      </c>
      <c r="I327" t="s">
        <v>1581</v>
      </c>
      <c r="J327" t="s">
        <v>1581</v>
      </c>
      <c r="K327" t="s">
        <v>1581</v>
      </c>
      <c r="L327" t="s">
        <v>1581</v>
      </c>
      <c r="M327" t="s">
        <v>1581</v>
      </c>
      <c r="N327" t="s">
        <v>1581</v>
      </c>
      <c r="O327" t="s">
        <v>1581</v>
      </c>
      <c r="P327" t="s">
        <v>1581</v>
      </c>
      <c r="Q327" t="s">
        <v>1581</v>
      </c>
      <c r="R327" t="s">
        <v>1581</v>
      </c>
      <c r="S327" t="s">
        <v>1581</v>
      </c>
      <c r="T327" t="s">
        <v>1581</v>
      </c>
      <c r="U327" t="s">
        <v>1581</v>
      </c>
      <c r="V327" t="str" cm="1">
        <f t="array" aca="1" ref="V327" ca="1">IFERROR(_xlfn.IFS(A325="  ..............",OFFSET(A325,2,0),A324=" X-------------X",OFFSET(A324,3,0),MATCH("  ..............",A327:A336,0)&gt;2,V326),"-")</f>
        <v>-</v>
      </c>
      <c r="W327" t="str">
        <f t="shared" ca="1" si="15"/>
        <v>-</v>
      </c>
      <c r="X327" t="str">
        <f t="shared" ca="1" si="16"/>
        <v xml:space="preserve">              </v>
      </c>
      <c r="Y327" s="1">
        <f t="shared" ca="1" si="17"/>
        <v>0</v>
      </c>
    </row>
    <row r="328" spans="1:25" x14ac:dyDescent="0.25">
      <c r="A328" t="s">
        <v>1945</v>
      </c>
      <c r="B328">
        <v>-50.3</v>
      </c>
      <c r="C328">
        <v>0</v>
      </c>
      <c r="D328">
        <v>0</v>
      </c>
      <c r="E328">
        <v>13.7</v>
      </c>
      <c r="F328">
        <v>0</v>
      </c>
      <c r="G328">
        <v>0</v>
      </c>
      <c r="H328">
        <v>0</v>
      </c>
      <c r="I328" t="s">
        <v>1584</v>
      </c>
      <c r="J328" t="s">
        <v>1585</v>
      </c>
      <c r="K328" t="s">
        <v>1586</v>
      </c>
      <c r="L328" t="s">
        <v>1587</v>
      </c>
      <c r="M328" t="s">
        <v>1587</v>
      </c>
      <c r="N328" t="s">
        <v>1586</v>
      </c>
      <c r="O328" t="s">
        <v>1581</v>
      </c>
      <c r="P328" t="s">
        <v>1581</v>
      </c>
      <c r="Q328" t="s">
        <v>1581</v>
      </c>
      <c r="R328" t="s">
        <v>1581</v>
      </c>
      <c r="S328" t="s">
        <v>1581</v>
      </c>
      <c r="T328" t="s">
        <v>1581</v>
      </c>
      <c r="U328" t="s">
        <v>1581</v>
      </c>
      <c r="V328" t="str" cm="1">
        <f t="array" aca="1" ref="V328" ca="1">IFERROR(_xlfn.IFS(A326="  ..............",OFFSET(A326,2,0),A325=" X-------------X",OFFSET(A325,3,0),MATCH("  ..............",A328:A337,0)&gt;2,V327),"-")</f>
        <v xml:space="preserve">  SMARI1-RS138  </v>
      </c>
      <c r="W328">
        <f t="shared" ca="1" si="15"/>
        <v>1.012</v>
      </c>
      <c r="X328" t="str">
        <f t="shared" ca="1" si="16"/>
        <v xml:space="preserve"> SMARI3-RS138 </v>
      </c>
      <c r="Y328" s="1">
        <f t="shared" ca="1" si="17"/>
        <v>6.7000000000000004E-2</v>
      </c>
    </row>
    <row r="329" spans="1:25" x14ac:dyDescent="0.25">
      <c r="A329" t="s">
        <v>1588</v>
      </c>
      <c r="B329" t="s">
        <v>1587</v>
      </c>
      <c r="C329">
        <v>97</v>
      </c>
      <c r="D329">
        <v>141</v>
      </c>
      <c r="E329">
        <v>141</v>
      </c>
      <c r="F329" s="1">
        <v>0.17799999999999999</v>
      </c>
      <c r="G329" t="s">
        <v>1587</v>
      </c>
      <c r="H329" t="s">
        <v>1587</v>
      </c>
      <c r="I329">
        <v>1383</v>
      </c>
      <c r="J329" t="s">
        <v>1593</v>
      </c>
      <c r="K329">
        <v>1</v>
      </c>
      <c r="L329">
        <v>-16</v>
      </c>
      <c r="M329">
        <v>-7.1</v>
      </c>
      <c r="N329">
        <v>17.3</v>
      </c>
      <c r="O329" t="s">
        <v>1594</v>
      </c>
      <c r="P329" t="s">
        <v>1584</v>
      </c>
      <c r="Q329" t="s">
        <v>1591</v>
      </c>
      <c r="R329">
        <v>0.02</v>
      </c>
      <c r="S329">
        <v>-0.56999999999999995</v>
      </c>
      <c r="T329" t="s">
        <v>1584</v>
      </c>
      <c r="U329" t="s">
        <v>1592</v>
      </c>
      <c r="V329" t="str" cm="1">
        <f t="array" aca="1" ref="V329" ca="1">IFERROR(_xlfn.IFS(A327="  ..............",OFFSET(A327,2,0),A326=" X-------------X",OFFSET(A326,3,0),MATCH("  ..............",A329:A338,0)&gt;2,V328),"-")</f>
        <v xml:space="preserve">  SMARI1-RS138  </v>
      </c>
      <c r="W329">
        <f t="shared" ca="1" si="15"/>
        <v>1.012</v>
      </c>
      <c r="X329" t="str">
        <f t="shared" ca="1" si="16"/>
        <v xml:space="preserve"> JCASTI-RS138 </v>
      </c>
      <c r="Y329" s="1">
        <f t="shared" ca="1" si="17"/>
        <v>0.307</v>
      </c>
    </row>
    <row r="330" spans="1:25" x14ac:dyDescent="0.25">
      <c r="A330" t="s">
        <v>1588</v>
      </c>
      <c r="B330" t="s">
        <v>1587</v>
      </c>
      <c r="C330">
        <v>82</v>
      </c>
      <c r="D330">
        <v>82</v>
      </c>
      <c r="E330">
        <v>82</v>
      </c>
      <c r="F330" s="1">
        <v>0.26200000000000001</v>
      </c>
      <c r="G330" t="s">
        <v>1587</v>
      </c>
      <c r="H330" t="s">
        <v>1587</v>
      </c>
      <c r="I330">
        <v>9918</v>
      </c>
      <c r="J330" t="s">
        <v>1712</v>
      </c>
      <c r="K330">
        <v>1</v>
      </c>
      <c r="L330">
        <v>-21.5</v>
      </c>
      <c r="M330">
        <v>3.3</v>
      </c>
      <c r="N330">
        <v>21.5</v>
      </c>
      <c r="O330" t="s">
        <v>1594</v>
      </c>
      <c r="P330" t="s">
        <v>1584</v>
      </c>
      <c r="Q330" t="s">
        <v>1591</v>
      </c>
      <c r="R330">
        <v>0.27</v>
      </c>
      <c r="S330">
        <v>-2.54</v>
      </c>
      <c r="T330" t="s">
        <v>1584</v>
      </c>
      <c r="U330" t="s">
        <v>1592</v>
      </c>
      <c r="V330" t="str" cm="1">
        <f t="array" aca="1" ref="V330" ca="1">IFERROR(_xlfn.IFS(A328="  ..............",OFFSET(A328,2,0),A327=" X-------------X",OFFSET(A327,3,0),MATCH("  ..............",A330:A339,0)&gt;2,V329),"-")</f>
        <v>-</v>
      </c>
      <c r="W330" t="str">
        <f t="shared" ca="1" si="15"/>
        <v>-</v>
      </c>
      <c r="X330" t="str">
        <f t="shared" ca="1" si="16"/>
        <v>-</v>
      </c>
      <c r="Y330" s="1" t="str">
        <f t="shared" ca="1" si="17"/>
        <v>-</v>
      </c>
    </row>
    <row r="331" spans="1:25" x14ac:dyDescent="0.25">
      <c r="A331" t="s">
        <v>1572</v>
      </c>
      <c r="B331" t="s">
        <v>1574</v>
      </c>
      <c r="C331" t="s">
        <v>1574</v>
      </c>
      <c r="D331" t="s">
        <v>1574</v>
      </c>
      <c r="E331" t="s">
        <v>1574</v>
      </c>
      <c r="F331" t="s">
        <v>1575</v>
      </c>
      <c r="G331" t="s">
        <v>1574</v>
      </c>
      <c r="H331" t="s">
        <v>1574</v>
      </c>
      <c r="I331" t="s">
        <v>1576</v>
      </c>
      <c r="J331" t="s">
        <v>1573</v>
      </c>
      <c r="K331" t="s">
        <v>1577</v>
      </c>
      <c r="L331" t="s">
        <v>1574</v>
      </c>
      <c r="M331" t="s">
        <v>1574</v>
      </c>
      <c r="N331" t="s">
        <v>1574</v>
      </c>
      <c r="O331" t="s">
        <v>1578</v>
      </c>
      <c r="P331" t="s">
        <v>1576</v>
      </c>
      <c r="Q331" t="s">
        <v>1579</v>
      </c>
      <c r="R331" t="s">
        <v>1580</v>
      </c>
      <c r="S331" t="s">
        <v>1580</v>
      </c>
      <c r="T331" t="s">
        <v>1576</v>
      </c>
      <c r="U331" t="s">
        <v>1576</v>
      </c>
      <c r="V331" t="str" cm="1">
        <f t="array" aca="1" ref="V331" ca="1">IFERROR(_xlfn.IFS(A329="  ..............",OFFSET(A329,2,0),A328=" X-------------X",OFFSET(A328,3,0),MATCH("  ..............",A331:A340,0)&gt;2,V330),"-")</f>
        <v>-</v>
      </c>
      <c r="W331" t="str">
        <f t="shared" ca="1" si="15"/>
        <v>-</v>
      </c>
      <c r="X331" t="str">
        <f t="shared" ca="1" si="16"/>
        <v/>
      </c>
      <c r="Y331" s="1" t="str">
        <f t="shared" ca="1" si="17"/>
        <v/>
      </c>
    </row>
    <row r="332" spans="1:25" x14ac:dyDescent="0.25">
      <c r="A332" t="s">
        <v>1946</v>
      </c>
      <c r="B332">
        <v>1.0149999999999999</v>
      </c>
      <c r="C332">
        <v>5.6</v>
      </c>
      <c r="D332">
        <v>0</v>
      </c>
      <c r="E332">
        <v>50.4</v>
      </c>
      <c r="F332">
        <v>0</v>
      </c>
      <c r="G332">
        <v>3.7</v>
      </c>
      <c r="H332">
        <v>0</v>
      </c>
      <c r="I332" t="s">
        <v>1581</v>
      </c>
      <c r="J332" t="s">
        <v>1581</v>
      </c>
      <c r="K332" t="s">
        <v>1581</v>
      </c>
      <c r="L332" t="s">
        <v>1581</v>
      </c>
      <c r="M332" t="s">
        <v>1581</v>
      </c>
      <c r="N332" t="s">
        <v>1581</v>
      </c>
      <c r="O332" t="s">
        <v>1581</v>
      </c>
      <c r="P332" t="s">
        <v>1581</v>
      </c>
      <c r="Q332" t="s">
        <v>1581</v>
      </c>
      <c r="R332" t="s">
        <v>1581</v>
      </c>
      <c r="S332" t="s">
        <v>1581</v>
      </c>
      <c r="T332" t="s">
        <v>1581</v>
      </c>
      <c r="U332" t="s">
        <v>1581</v>
      </c>
      <c r="V332" t="str" cm="1">
        <f t="array" aca="1" ref="V332" ca="1">IFERROR(_xlfn.IFS(A330="  ..............",OFFSET(A330,2,0),A329=" X-------------X",OFFSET(A329,3,0),MATCH("  ..............",A332:A341,0)&gt;2,V331),"-")</f>
        <v>-</v>
      </c>
      <c r="W332" t="str">
        <f t="shared" ca="1" si="15"/>
        <v>-</v>
      </c>
      <c r="X332" t="str">
        <f t="shared" ca="1" si="16"/>
        <v xml:space="preserve">              </v>
      </c>
      <c r="Y332" s="1">
        <f t="shared" ca="1" si="17"/>
        <v>0</v>
      </c>
    </row>
    <row r="333" spans="1:25" x14ac:dyDescent="0.25">
      <c r="A333" t="s">
        <v>1947</v>
      </c>
      <c r="B333">
        <v>-49.4</v>
      </c>
      <c r="C333">
        <v>0</v>
      </c>
      <c r="D333">
        <v>0</v>
      </c>
      <c r="E333">
        <v>14.9</v>
      </c>
      <c r="F333">
        <v>0</v>
      </c>
      <c r="G333">
        <v>0</v>
      </c>
      <c r="H333">
        <v>0</v>
      </c>
      <c r="I333" t="s">
        <v>1584</v>
      </c>
      <c r="J333" t="s">
        <v>1585</v>
      </c>
      <c r="K333" t="s">
        <v>1586</v>
      </c>
      <c r="L333" t="s">
        <v>1587</v>
      </c>
      <c r="M333" t="s">
        <v>1587</v>
      </c>
      <c r="N333" t="s">
        <v>1586</v>
      </c>
      <c r="O333" t="s">
        <v>1581</v>
      </c>
      <c r="P333" t="s">
        <v>1581</v>
      </c>
      <c r="Q333" t="s">
        <v>1581</v>
      </c>
      <c r="R333" t="s">
        <v>1581</v>
      </c>
      <c r="S333" t="s">
        <v>1581</v>
      </c>
      <c r="T333" t="s">
        <v>1581</v>
      </c>
      <c r="U333" t="s">
        <v>1581</v>
      </c>
      <c r="V333" t="str" cm="1">
        <f t="array" aca="1" ref="V333" ca="1">IFERROR(_xlfn.IFS(A331="  ..............",OFFSET(A331,2,0),A330=" X-------------X",OFFSET(A330,3,0),MATCH("  ..............",A333:A342,0)&gt;2,V332),"-")</f>
        <v xml:space="preserve">  PFUND1-RS138  </v>
      </c>
      <c r="W333">
        <f t="shared" ca="1" si="15"/>
        <v>1.0149999999999999</v>
      </c>
      <c r="X333" t="str">
        <f t="shared" ca="1" si="16"/>
        <v xml:space="preserve"> LVERM1-RS138 </v>
      </c>
      <c r="Y333" s="1" t="str">
        <f t="shared" ca="1" si="17"/>
        <v xml:space="preserve">             </v>
      </c>
    </row>
    <row r="334" spans="1:25" x14ac:dyDescent="0.25">
      <c r="A334" t="s">
        <v>1637</v>
      </c>
      <c r="B334" t="s">
        <v>1638</v>
      </c>
      <c r="C334">
        <v>82</v>
      </c>
      <c r="D334">
        <v>82</v>
      </c>
      <c r="E334">
        <v>82</v>
      </c>
      <c r="F334" t="s">
        <v>1639</v>
      </c>
      <c r="G334" t="s">
        <v>1587</v>
      </c>
      <c r="H334" t="s">
        <v>1587</v>
      </c>
      <c r="I334">
        <v>1221</v>
      </c>
      <c r="J334" t="s">
        <v>1948</v>
      </c>
      <c r="K334">
        <v>1</v>
      </c>
      <c r="L334">
        <v>0</v>
      </c>
      <c r="M334">
        <v>0</v>
      </c>
      <c r="N334">
        <v>0</v>
      </c>
      <c r="O334" t="s">
        <v>1594</v>
      </c>
      <c r="P334" t="s">
        <v>1584</v>
      </c>
      <c r="Q334" t="s">
        <v>1591</v>
      </c>
      <c r="R334">
        <v>0</v>
      </c>
      <c r="S334">
        <v>0</v>
      </c>
      <c r="T334" t="s">
        <v>1584</v>
      </c>
      <c r="U334" t="s">
        <v>1592</v>
      </c>
      <c r="V334" t="str" cm="1">
        <f t="array" aca="1" ref="V334" ca="1">IFERROR(_xlfn.IFS(A332="  ..............",OFFSET(A332,2,0),A331=" X-------------X",OFFSET(A331,3,0),MATCH("  ..............",A334:A343,0)&gt;2,V333),"-")</f>
        <v xml:space="preserve">  PFUND1-RS138  </v>
      </c>
      <c r="W334">
        <f t="shared" ca="1" si="15"/>
        <v>1.0149999999999999</v>
      </c>
      <c r="X334" t="str">
        <f t="shared" ca="1" si="16"/>
        <v xml:space="preserve"> SMARTA-RS138 </v>
      </c>
      <c r="Y334" s="1">
        <f t="shared" ca="1" si="17"/>
        <v>0.55500000000000005</v>
      </c>
    </row>
    <row r="335" spans="1:25" x14ac:dyDescent="0.25">
      <c r="A335" t="s">
        <v>1588</v>
      </c>
      <c r="B335" t="s">
        <v>1587</v>
      </c>
      <c r="C335">
        <v>82</v>
      </c>
      <c r="D335">
        <v>82</v>
      </c>
      <c r="E335">
        <v>82</v>
      </c>
      <c r="F335" s="1">
        <v>0.55500000000000005</v>
      </c>
      <c r="G335" t="s">
        <v>1587</v>
      </c>
      <c r="H335" t="s">
        <v>1587</v>
      </c>
      <c r="I335">
        <v>1275</v>
      </c>
      <c r="J335" t="s">
        <v>1949</v>
      </c>
      <c r="K335">
        <v>1</v>
      </c>
      <c r="L335">
        <v>-44.8</v>
      </c>
      <c r="M335">
        <v>-11.2</v>
      </c>
      <c r="N335">
        <v>45.5</v>
      </c>
      <c r="O335" t="s">
        <v>1594</v>
      </c>
      <c r="P335" t="s">
        <v>1584</v>
      </c>
      <c r="Q335" t="s">
        <v>1591</v>
      </c>
      <c r="R335">
        <v>0.27</v>
      </c>
      <c r="S335">
        <v>-0.11</v>
      </c>
      <c r="T335" t="s">
        <v>1584</v>
      </c>
      <c r="U335" t="s">
        <v>1592</v>
      </c>
      <c r="V335" t="str" cm="1">
        <f t="array" aca="1" ref="V335" ca="1">IFERROR(_xlfn.IFS(A333="  ..............",OFFSET(A333,2,0),A332=" X-------------X",OFFSET(A332,3,0),MATCH("  ..............",A335:A344,0)&gt;2,V334),"-")</f>
        <v>-</v>
      </c>
      <c r="W335" t="str">
        <f t="shared" ca="1" si="15"/>
        <v>-</v>
      </c>
      <c r="X335" t="str">
        <f t="shared" ca="1" si="16"/>
        <v>-</v>
      </c>
      <c r="Y335" s="1" t="str">
        <f t="shared" ca="1" si="17"/>
        <v>-</v>
      </c>
    </row>
    <row r="336" spans="1:25" x14ac:dyDescent="0.25">
      <c r="A336" t="s">
        <v>1572</v>
      </c>
      <c r="B336" t="s">
        <v>1574</v>
      </c>
      <c r="C336" t="s">
        <v>1574</v>
      </c>
      <c r="D336" t="s">
        <v>1574</v>
      </c>
      <c r="E336" t="s">
        <v>1574</v>
      </c>
      <c r="F336" t="s">
        <v>1575</v>
      </c>
      <c r="G336" t="s">
        <v>1574</v>
      </c>
      <c r="H336" t="s">
        <v>1574</v>
      </c>
      <c r="I336" t="s">
        <v>1576</v>
      </c>
      <c r="J336" t="s">
        <v>1573</v>
      </c>
      <c r="K336" t="s">
        <v>1577</v>
      </c>
      <c r="L336" t="s">
        <v>1574</v>
      </c>
      <c r="M336" t="s">
        <v>1574</v>
      </c>
      <c r="N336" t="s">
        <v>1574</v>
      </c>
      <c r="O336" t="s">
        <v>1578</v>
      </c>
      <c r="P336" t="s">
        <v>1576</v>
      </c>
      <c r="Q336" t="s">
        <v>1579</v>
      </c>
      <c r="R336" t="s">
        <v>1580</v>
      </c>
      <c r="S336" t="s">
        <v>1580</v>
      </c>
      <c r="T336" t="s">
        <v>1576</v>
      </c>
      <c r="U336" t="s">
        <v>1576</v>
      </c>
      <c r="V336" t="str" cm="1">
        <f t="array" aca="1" ref="V336" ca="1">IFERROR(_xlfn.IFS(A334="  ..............",OFFSET(A334,2,0),A333=" X-------------X",OFFSET(A333,3,0),MATCH("  ..............",A336:A345,0)&gt;2,V335),"-")</f>
        <v>-</v>
      </c>
      <c r="W336" t="str">
        <f t="shared" ca="1" si="15"/>
        <v>-</v>
      </c>
      <c r="X336" t="str">
        <f t="shared" ca="1" si="16"/>
        <v xml:space="preserve"> V11.06.02    </v>
      </c>
      <c r="Y336" s="1" t="str">
        <f t="shared" ca="1" si="17"/>
        <v xml:space="preserve">A - PROGRAMA </v>
      </c>
    </row>
    <row r="337" spans="1:25" x14ac:dyDescent="0.25">
      <c r="A337" t="s">
        <v>1725</v>
      </c>
      <c r="B337" t="s">
        <v>1726</v>
      </c>
      <c r="C337" t="s">
        <v>1727</v>
      </c>
      <c r="D337" t="s">
        <v>1728</v>
      </c>
      <c r="E337" t="s">
        <v>1729</v>
      </c>
      <c r="F337" t="s">
        <v>1730</v>
      </c>
      <c r="G337" t="s">
        <v>1731</v>
      </c>
      <c r="H337" t="s">
        <v>1732</v>
      </c>
      <c r="I337" t="s">
        <v>1733</v>
      </c>
      <c r="J337" t="s">
        <v>1734</v>
      </c>
      <c r="K337" t="s">
        <v>1586</v>
      </c>
      <c r="L337" t="s">
        <v>1587</v>
      </c>
      <c r="M337" t="s">
        <v>1587</v>
      </c>
      <c r="N337" t="s">
        <v>1587</v>
      </c>
      <c r="O337" t="s">
        <v>1735</v>
      </c>
      <c r="P337">
        <v>3</v>
      </c>
      <c r="Q337" t="s">
        <v>1581</v>
      </c>
      <c r="R337" t="s">
        <v>1581</v>
      </c>
      <c r="S337" t="s">
        <v>1581</v>
      </c>
      <c r="T337" t="s">
        <v>1581</v>
      </c>
      <c r="U337" t="s">
        <v>1581</v>
      </c>
      <c r="V337" t="str" cm="1">
        <f t="array" aca="1" ref="V337" ca="1">IFERROR(_xlfn.IFS(A335="  ..............",OFFSET(A335,2,0),A334=" X-------------X",OFFSET(A334,3,0),MATCH("  ..............",A337:A346,0)&gt;2,V336),"-")</f>
        <v>-</v>
      </c>
      <c r="W337" t="str">
        <f t="shared" ca="1" si="15"/>
        <v>-</v>
      </c>
      <c r="X337" t="str">
        <f t="shared" ca="1" si="16"/>
        <v/>
      </c>
      <c r="Y337" s="1" t="str">
        <f t="shared" ca="1" si="17"/>
        <v/>
      </c>
    </row>
    <row r="338" spans="1:25" x14ac:dyDescent="0.25">
      <c r="A338" t="s">
        <v>1581</v>
      </c>
      <c r="B338" t="s">
        <v>1581</v>
      </c>
      <c r="C338" t="s">
        <v>1581</v>
      </c>
      <c r="D338" t="s">
        <v>1581</v>
      </c>
      <c r="E338" t="s">
        <v>1581</v>
      </c>
      <c r="F338" t="s">
        <v>1581</v>
      </c>
      <c r="G338" t="s">
        <v>1581</v>
      </c>
      <c r="H338" t="s">
        <v>1581</v>
      </c>
      <c r="I338" t="s">
        <v>1581</v>
      </c>
      <c r="J338" t="s">
        <v>1581</v>
      </c>
      <c r="K338" t="s">
        <v>1581</v>
      </c>
      <c r="L338" t="s">
        <v>1581</v>
      </c>
      <c r="M338" t="s">
        <v>1581</v>
      </c>
      <c r="N338" t="s">
        <v>1581</v>
      </c>
      <c r="O338" t="s">
        <v>1581</v>
      </c>
      <c r="P338" t="s">
        <v>1581</v>
      </c>
      <c r="Q338" t="s">
        <v>1581</v>
      </c>
      <c r="R338" t="s">
        <v>1581</v>
      </c>
      <c r="S338" t="s">
        <v>1581</v>
      </c>
      <c r="T338" t="s">
        <v>1581</v>
      </c>
      <c r="U338" t="s">
        <v>1581</v>
      </c>
      <c r="V338" t="str" cm="1">
        <f t="array" aca="1" ref="V338" ca="1">IFERROR(_xlfn.IFS(A336="  ..............",OFFSET(A336,2,0),A335=" X-------------X",OFFSET(A335,3,0),MATCH("  ..............",A338:A347,0)&gt;2,V337),"-")</f>
        <v/>
      </c>
      <c r="W338" t="str">
        <f t="shared" ca="1" si="15"/>
        <v>X-------X</v>
      </c>
      <c r="X338" t="str">
        <f t="shared" ca="1" si="16"/>
        <v/>
      </c>
      <c r="Y338" s="1" t="str">
        <f t="shared" ca="1" si="17"/>
        <v/>
      </c>
    </row>
    <row r="339" spans="1:25" x14ac:dyDescent="0.25">
      <c r="A339" t="s">
        <v>1736</v>
      </c>
      <c r="B339" t="s">
        <v>1737</v>
      </c>
      <c r="C339" t="s">
        <v>1738</v>
      </c>
      <c r="D339" t="s">
        <v>1739</v>
      </c>
      <c r="E339" t="s">
        <v>1740</v>
      </c>
      <c r="F339" t="s">
        <v>1741</v>
      </c>
      <c r="G339" t="s">
        <v>1742</v>
      </c>
      <c r="H339" t="s">
        <v>1743</v>
      </c>
      <c r="I339" t="s">
        <v>1744</v>
      </c>
      <c r="J339" t="s">
        <v>1581</v>
      </c>
      <c r="K339" t="s">
        <v>1581</v>
      </c>
      <c r="L339" t="s">
        <v>1581</v>
      </c>
      <c r="M339" t="s">
        <v>1581</v>
      </c>
      <c r="N339" t="s">
        <v>1581</v>
      </c>
      <c r="O339" t="s">
        <v>1581</v>
      </c>
      <c r="P339" t="s">
        <v>1581</v>
      </c>
      <c r="Q339" t="s">
        <v>1581</v>
      </c>
      <c r="R339" t="s">
        <v>1581</v>
      </c>
      <c r="S339" t="s">
        <v>1581</v>
      </c>
      <c r="T339" t="s">
        <v>1581</v>
      </c>
      <c r="U339" t="s">
        <v>1581</v>
      </c>
      <c r="V339" t="str" cm="1">
        <f t="array" aca="1" ref="V339" ca="1">IFERROR(_xlfn.IFS(A337="  ..............",OFFSET(A337,2,0),A336=" X-------------X",OFFSET(A336,3,0),MATCH("  ..............",A339:A348,0)&gt;2,V338),"-")</f>
        <v>-</v>
      </c>
      <c r="W339" t="str">
        <f t="shared" ca="1" si="15"/>
        <v>-</v>
      </c>
      <c r="X339" t="str">
        <f t="shared" ca="1" si="16"/>
        <v>-</v>
      </c>
      <c r="Y339" s="1" t="str">
        <f t="shared" ca="1" si="17"/>
        <v>-</v>
      </c>
    </row>
    <row r="340" spans="1:25" x14ac:dyDescent="0.25">
      <c r="A340" t="s">
        <v>1745</v>
      </c>
      <c r="B340" t="s">
        <v>1746</v>
      </c>
      <c r="C340" t="s">
        <v>1747</v>
      </c>
      <c r="D340" t="s">
        <v>1748</v>
      </c>
      <c r="E340" t="s">
        <v>1749</v>
      </c>
      <c r="F340" t="s">
        <v>1750</v>
      </c>
      <c r="G340" t="s">
        <v>1587</v>
      </c>
      <c r="H340" t="s">
        <v>1587</v>
      </c>
      <c r="I340" t="s">
        <v>1591</v>
      </c>
      <c r="J340" t="s">
        <v>1581</v>
      </c>
      <c r="K340" t="s">
        <v>1581</v>
      </c>
      <c r="L340" t="s">
        <v>1581</v>
      </c>
      <c r="M340" t="s">
        <v>1581</v>
      </c>
      <c r="N340" t="s">
        <v>1581</v>
      </c>
      <c r="O340" t="s">
        <v>1581</v>
      </c>
      <c r="P340" t="s">
        <v>1581</v>
      </c>
      <c r="Q340" t="s">
        <v>1581</v>
      </c>
      <c r="R340" t="s">
        <v>1581</v>
      </c>
      <c r="S340" t="s">
        <v>1581</v>
      </c>
      <c r="T340" t="s">
        <v>1581</v>
      </c>
      <c r="U340" t="s">
        <v>1581</v>
      </c>
      <c r="V340" t="str" cm="1">
        <f t="array" aca="1" ref="V340" ca="1">IFERROR(_xlfn.IFS(A338="  ..............",OFFSET(A338,2,0),A337=" X-------------X",OFFSET(A337,3,0),MATCH("  ..............",A340:A349,0)&gt;2,V339),"-")</f>
        <v>-</v>
      </c>
      <c r="W340" t="str">
        <f t="shared" ca="1" si="15"/>
        <v>-</v>
      </c>
      <c r="X340" t="str">
        <f t="shared" ca="1" si="16"/>
        <v/>
      </c>
      <c r="Y340" s="1" t="str">
        <f t="shared" ca="1" si="17"/>
        <v/>
      </c>
    </row>
    <row r="341" spans="1:25" x14ac:dyDescent="0.25">
      <c r="A341" t="s">
        <v>1581</v>
      </c>
      <c r="B341" t="s">
        <v>1581</v>
      </c>
      <c r="C341" t="s">
        <v>1581</v>
      </c>
      <c r="D341" t="s">
        <v>1581</v>
      </c>
      <c r="E341" t="s">
        <v>1581</v>
      </c>
      <c r="F341" t="s">
        <v>1581</v>
      </c>
      <c r="G341" t="s">
        <v>1581</v>
      </c>
      <c r="H341" t="s">
        <v>1581</v>
      </c>
      <c r="I341" t="s">
        <v>1581</v>
      </c>
      <c r="J341" t="s">
        <v>1581</v>
      </c>
      <c r="K341" t="s">
        <v>1581</v>
      </c>
      <c r="L341" t="s">
        <v>1581</v>
      </c>
      <c r="M341" t="s">
        <v>1581</v>
      </c>
      <c r="N341" t="s">
        <v>1581</v>
      </c>
      <c r="O341" t="s">
        <v>1581</v>
      </c>
      <c r="P341" t="s">
        <v>1581</v>
      </c>
      <c r="Q341" t="s">
        <v>1581</v>
      </c>
      <c r="R341" t="s">
        <v>1581</v>
      </c>
      <c r="S341" t="s">
        <v>1581</v>
      </c>
      <c r="T341" t="s">
        <v>1581</v>
      </c>
      <c r="U341" t="s">
        <v>1581</v>
      </c>
      <c r="V341" t="str" cm="1">
        <f t="array" aca="1" ref="V341" ca="1">IFERROR(_xlfn.IFS(A339="  ..............",OFFSET(A339,2,0),A338=" X-------------X",OFFSET(A338,3,0),MATCH("  ..............",A341:A350,0)&gt;2,V340),"-")</f>
        <v>-</v>
      </c>
      <c r="W341" t="str">
        <f t="shared" ca="1" si="15"/>
        <v>-</v>
      </c>
      <c r="X341" t="str">
        <f t="shared" ca="1" si="16"/>
        <v>-------- F L U</v>
      </c>
      <c r="Y341" s="1" t="str">
        <f t="shared" ca="1" si="17"/>
        <v xml:space="preserve"> ------------</v>
      </c>
    </row>
    <row r="342" spans="1:25" x14ac:dyDescent="0.25">
      <c r="A342" t="s">
        <v>1751</v>
      </c>
      <c r="B342" t="s">
        <v>1752</v>
      </c>
      <c r="C342" t="s">
        <v>1753</v>
      </c>
      <c r="D342" t="s">
        <v>1754</v>
      </c>
      <c r="E342" t="s">
        <v>1755</v>
      </c>
      <c r="F342" t="s">
        <v>1756</v>
      </c>
      <c r="G342" t="s">
        <v>1757</v>
      </c>
      <c r="H342" t="s">
        <v>1758</v>
      </c>
      <c r="I342" t="s">
        <v>1759</v>
      </c>
      <c r="J342" t="s">
        <v>1760</v>
      </c>
      <c r="K342" t="s">
        <v>1761</v>
      </c>
      <c r="L342" t="s">
        <v>1762</v>
      </c>
      <c r="M342" t="s">
        <v>1763</v>
      </c>
      <c r="N342" t="s">
        <v>1764</v>
      </c>
      <c r="O342" t="s">
        <v>1765</v>
      </c>
      <c r="P342" t="s">
        <v>1766</v>
      </c>
      <c r="Q342" t="s">
        <v>1767</v>
      </c>
      <c r="R342" t="s">
        <v>1571</v>
      </c>
      <c r="S342" t="s">
        <v>1571</v>
      </c>
      <c r="T342" t="s">
        <v>1759</v>
      </c>
      <c r="U342" t="s">
        <v>1768</v>
      </c>
      <c r="V342" t="str" cm="1">
        <f t="array" aca="1" ref="V342" ca="1">IFERROR(_xlfn.IFS(A340="  ..............",OFFSET(A340,2,0),A339=" X-------------X",OFFSET(A339,3,0),MATCH("  ..............",A342:A351,0)&gt;2,V341),"-")</f>
        <v>-</v>
      </c>
      <c r="W342" t="str">
        <f t="shared" ca="1" si="15"/>
        <v>-</v>
      </c>
      <c r="X342" t="str">
        <f t="shared" ca="1" si="16"/>
        <v xml:space="preserve">              </v>
      </c>
      <c r="Y342" s="1">
        <f t="shared" ca="1" si="17"/>
        <v>0</v>
      </c>
    </row>
    <row r="343" spans="1:25" x14ac:dyDescent="0.25">
      <c r="A343" t="s">
        <v>1769</v>
      </c>
      <c r="B343" t="s">
        <v>1770</v>
      </c>
      <c r="C343" t="s">
        <v>1771</v>
      </c>
      <c r="D343" t="s">
        <v>1772</v>
      </c>
      <c r="E343" t="s">
        <v>1773</v>
      </c>
      <c r="F343" t="s">
        <v>1774</v>
      </c>
      <c r="G343" t="s">
        <v>1775</v>
      </c>
      <c r="H343" t="s">
        <v>1776</v>
      </c>
      <c r="I343" t="s">
        <v>1584</v>
      </c>
      <c r="J343" t="s">
        <v>1585</v>
      </c>
      <c r="K343" t="s">
        <v>1586</v>
      </c>
      <c r="L343" t="s">
        <v>1587</v>
      </c>
      <c r="M343" t="s">
        <v>1587</v>
      </c>
      <c r="N343" t="s">
        <v>1587</v>
      </c>
      <c r="O343" t="s">
        <v>1594</v>
      </c>
      <c r="P343" t="s">
        <v>1584</v>
      </c>
      <c r="Q343" t="s">
        <v>1591</v>
      </c>
      <c r="R343" t="s">
        <v>1777</v>
      </c>
      <c r="S343" t="s">
        <v>1777</v>
      </c>
      <c r="T343" t="s">
        <v>1584</v>
      </c>
      <c r="U343" t="s">
        <v>1778</v>
      </c>
      <c r="V343" t="str" cm="1">
        <f t="array" aca="1" ref="V343" ca="1">IFERROR(_xlfn.IFS(A341="  ..............",OFFSET(A341,2,0),A340=" X-------------X",OFFSET(A340,3,0),MATCH("  ..............",A343:A352,0)&gt;2,V342),"-")</f>
        <v>-</v>
      </c>
      <c r="W343" t="str">
        <f t="shared" ca="1" si="15"/>
        <v>-</v>
      </c>
      <c r="X343" t="str">
        <f t="shared" ca="1" si="16"/>
        <v xml:space="preserve">              </v>
      </c>
      <c r="Y343" s="1">
        <f t="shared" ca="1" si="17"/>
        <v>0</v>
      </c>
    </row>
    <row r="344" spans="1:25" x14ac:dyDescent="0.25">
      <c r="A344" t="s">
        <v>1779</v>
      </c>
      <c r="B344" t="s">
        <v>1780</v>
      </c>
      <c r="C344" t="s">
        <v>1781</v>
      </c>
      <c r="D344" t="s">
        <v>1781</v>
      </c>
      <c r="E344" t="s">
        <v>1781</v>
      </c>
      <c r="F344" t="s">
        <v>1782</v>
      </c>
      <c r="G344" t="s">
        <v>1783</v>
      </c>
      <c r="H344" t="s">
        <v>1784</v>
      </c>
      <c r="I344" t="s">
        <v>1584</v>
      </c>
      <c r="J344" t="s">
        <v>1585</v>
      </c>
      <c r="K344" t="s">
        <v>1586</v>
      </c>
      <c r="L344" t="s">
        <v>1587</v>
      </c>
      <c r="M344" t="s">
        <v>1587</v>
      </c>
      <c r="N344" t="s">
        <v>1587</v>
      </c>
      <c r="O344" t="s">
        <v>1594</v>
      </c>
      <c r="P344" t="s">
        <v>1584</v>
      </c>
      <c r="Q344" t="s">
        <v>1785</v>
      </c>
      <c r="R344" t="s">
        <v>1786</v>
      </c>
      <c r="S344" t="s">
        <v>1787</v>
      </c>
      <c r="T344" t="s">
        <v>1788</v>
      </c>
      <c r="U344" t="s">
        <v>1778</v>
      </c>
      <c r="V344" t="str" cm="1">
        <f t="array" aca="1" ref="V344" ca="1">IFERROR(_xlfn.IFS(A342="  ..............",OFFSET(A342,2,0),A341=" X-------------X",OFFSET(A341,3,0),MATCH("  ..............",A344:A353,0)&gt;2,V343),"-")</f>
        <v>-</v>
      </c>
      <c r="W344" t="str">
        <f t="shared" ca="1" si="15"/>
        <v>-</v>
      </c>
      <c r="X344" t="str">
        <f t="shared" ca="1" si="16"/>
        <v xml:space="preserve">A             </v>
      </c>
      <c r="Y344" s="1" t="str">
        <f t="shared" ca="1" si="17"/>
        <v xml:space="preserve">   Mvar   EQU</v>
      </c>
    </row>
    <row r="345" spans="1:25" x14ac:dyDescent="0.25">
      <c r="A345" t="s">
        <v>1789</v>
      </c>
      <c r="B345" t="s">
        <v>1790</v>
      </c>
      <c r="C345" t="s">
        <v>1791</v>
      </c>
      <c r="D345" t="s">
        <v>1791</v>
      </c>
      <c r="E345" t="s">
        <v>1791</v>
      </c>
      <c r="F345" t="s">
        <v>1792</v>
      </c>
      <c r="G345" t="s">
        <v>1793</v>
      </c>
      <c r="H345" t="s">
        <v>1794</v>
      </c>
      <c r="I345" t="s">
        <v>1795</v>
      </c>
      <c r="J345" t="s">
        <v>1796</v>
      </c>
      <c r="K345" t="s">
        <v>1586</v>
      </c>
      <c r="L345" t="s">
        <v>1797</v>
      </c>
      <c r="M345" t="s">
        <v>1798</v>
      </c>
      <c r="N345" t="s">
        <v>1587</v>
      </c>
      <c r="O345" t="s">
        <v>1594</v>
      </c>
      <c r="P345" t="s">
        <v>1584</v>
      </c>
      <c r="Q345" t="s">
        <v>1799</v>
      </c>
      <c r="R345" t="s">
        <v>1800</v>
      </c>
      <c r="S345" t="s">
        <v>1801</v>
      </c>
      <c r="T345" t="s">
        <v>1802</v>
      </c>
      <c r="U345" t="s">
        <v>1803</v>
      </c>
      <c r="V345" t="str" cm="1">
        <f t="array" aca="1" ref="V345" ca="1">IFERROR(_xlfn.IFS(A343="  ..............",OFFSET(A343,2,0),A342=" X-------------X",OFFSET(A342,3,0),MATCH("  ..............",A345:A354,0)&gt;2,V344),"-")</f>
        <v>-</v>
      </c>
      <c r="W345" t="str">
        <f t="shared" ca="1" si="15"/>
        <v>-</v>
      </c>
      <c r="X345" t="str">
        <f t="shared" ca="1" si="16"/>
        <v xml:space="preserve">     NOME     </v>
      </c>
      <c r="Y345" s="1" t="str">
        <f t="shared" ca="1" si="17"/>
        <v xml:space="preserve">   FLUXO %   </v>
      </c>
    </row>
    <row r="346" spans="1:25" x14ac:dyDescent="0.25">
      <c r="A346" t="s">
        <v>1588</v>
      </c>
      <c r="B346" t="s">
        <v>1587</v>
      </c>
      <c r="C346" t="s">
        <v>1804</v>
      </c>
      <c r="D346" t="s">
        <v>1805</v>
      </c>
      <c r="E346" t="s">
        <v>1806</v>
      </c>
      <c r="F346" t="s">
        <v>1807</v>
      </c>
      <c r="G346" t="s">
        <v>1808</v>
      </c>
      <c r="H346" t="s">
        <v>1587</v>
      </c>
      <c r="I346" t="s">
        <v>1809</v>
      </c>
      <c r="J346" t="s">
        <v>1810</v>
      </c>
      <c r="K346" t="s">
        <v>1811</v>
      </c>
      <c r="L346" t="s">
        <v>1812</v>
      </c>
      <c r="M346" t="s">
        <v>1791</v>
      </c>
      <c r="N346" t="s">
        <v>1813</v>
      </c>
      <c r="O346" t="s">
        <v>1814</v>
      </c>
      <c r="P346" t="s">
        <v>1815</v>
      </c>
      <c r="Q346" t="s">
        <v>1816</v>
      </c>
      <c r="R346" t="s">
        <v>1817</v>
      </c>
      <c r="S346" t="s">
        <v>1818</v>
      </c>
      <c r="T346" t="s">
        <v>1819</v>
      </c>
      <c r="U346" t="s">
        <v>1820</v>
      </c>
      <c r="V346" t="str" cm="1">
        <f t="array" aca="1" ref="V346" ca="1">IFERROR(_xlfn.IFS(A344="  ..............",OFFSET(A344,2,0),A343=" X-------------X",OFFSET(A343,3,0),MATCH("  ..............",A346:A355,0)&gt;2,V345),"-")</f>
        <v>-</v>
      </c>
      <c r="W346" t="str">
        <f t="shared" ca="1" si="15"/>
        <v>-</v>
      </c>
      <c r="X346" t="str">
        <f t="shared" ca="1" si="16"/>
        <v>X------------X</v>
      </c>
      <c r="Y346" s="1" t="str">
        <f t="shared" ca="1" si="17"/>
        <v>X-----------X</v>
      </c>
    </row>
    <row r="347" spans="1:25" x14ac:dyDescent="0.25">
      <c r="A347" t="s">
        <v>1563</v>
      </c>
      <c r="B347" t="s">
        <v>1564</v>
      </c>
      <c r="C347" t="s">
        <v>1564</v>
      </c>
      <c r="D347" t="s">
        <v>1564</v>
      </c>
      <c r="E347" t="s">
        <v>1564</v>
      </c>
      <c r="F347" t="s">
        <v>1565</v>
      </c>
      <c r="G347" t="s">
        <v>1564</v>
      </c>
      <c r="H347" t="s">
        <v>1564</v>
      </c>
      <c r="I347" t="s">
        <v>1566</v>
      </c>
      <c r="J347" t="s">
        <v>1567</v>
      </c>
      <c r="K347" t="s">
        <v>1568</v>
      </c>
      <c r="L347" t="s">
        <v>1564</v>
      </c>
      <c r="M347" t="s">
        <v>1564</v>
      </c>
      <c r="N347" t="s">
        <v>1564</v>
      </c>
      <c r="O347" t="s">
        <v>1569</v>
      </c>
      <c r="P347" t="s">
        <v>1566</v>
      </c>
      <c r="Q347" t="s">
        <v>1570</v>
      </c>
      <c r="R347" t="s">
        <v>1571</v>
      </c>
      <c r="S347" t="s">
        <v>1571</v>
      </c>
      <c r="T347" t="s">
        <v>1566</v>
      </c>
      <c r="U347" t="s">
        <v>1566</v>
      </c>
      <c r="V347" t="str" cm="1">
        <f t="array" aca="1" ref="V347" ca="1">IFERROR(_xlfn.IFS(A345="  ..............",OFFSET(A345,2,0),A344=" X-------------X",OFFSET(A344,3,0),MATCH("  ..............",A347:A356,0)&gt;2,V346),"-")</f>
        <v>-</v>
      </c>
      <c r="W347" t="str">
        <f t="shared" ca="1" si="15"/>
        <v>-</v>
      </c>
      <c r="X347" t="str">
        <f t="shared" ca="1" si="16"/>
        <v/>
      </c>
      <c r="Y347" s="1" t="str">
        <f t="shared" ca="1" si="17"/>
        <v/>
      </c>
    </row>
    <row r="348" spans="1:25" x14ac:dyDescent="0.25">
      <c r="A348" t="s">
        <v>1581</v>
      </c>
      <c r="B348" t="s">
        <v>1581</v>
      </c>
      <c r="C348" t="s">
        <v>1581</v>
      </c>
      <c r="D348" t="s">
        <v>1581</v>
      </c>
      <c r="E348" t="s">
        <v>1581</v>
      </c>
      <c r="F348" t="s">
        <v>1581</v>
      </c>
      <c r="G348" t="s">
        <v>1581</v>
      </c>
      <c r="H348" t="s">
        <v>1581</v>
      </c>
      <c r="I348" t="s">
        <v>1581</v>
      </c>
      <c r="J348" t="s">
        <v>1581</v>
      </c>
      <c r="K348" t="s">
        <v>1581</v>
      </c>
      <c r="L348" t="s">
        <v>1581</v>
      </c>
      <c r="M348" t="s">
        <v>1581</v>
      </c>
      <c r="N348" t="s">
        <v>1581</v>
      </c>
      <c r="O348" t="s">
        <v>1581</v>
      </c>
      <c r="P348" t="s">
        <v>1581</v>
      </c>
      <c r="Q348" t="s">
        <v>1581</v>
      </c>
      <c r="R348" t="s">
        <v>1581</v>
      </c>
      <c r="S348" t="s">
        <v>1581</v>
      </c>
      <c r="T348" t="s">
        <v>1581</v>
      </c>
      <c r="U348" t="s">
        <v>1581</v>
      </c>
      <c r="V348" t="str" cm="1">
        <f t="array" aca="1" ref="V348" ca="1">IFERROR(_xlfn.IFS(A346="  ..............",OFFSET(A346,2,0),A345=" X-------------X",OFFSET(A345,3,0),MATCH("  ..............",A348:A357,0)&gt;2,V347),"-")</f>
        <v>-</v>
      </c>
      <c r="W348" t="str">
        <f t="shared" ca="1" si="15"/>
        <v>-</v>
      </c>
      <c r="X348" t="str">
        <f t="shared" ca="1" si="16"/>
        <v/>
      </c>
      <c r="Y348" s="1" t="str">
        <f t="shared" ca="1" si="17"/>
        <v/>
      </c>
    </row>
    <row r="349" spans="1:25" x14ac:dyDescent="0.25">
      <c r="A349" t="s">
        <v>1950</v>
      </c>
      <c r="B349">
        <v>1.0109999999999999</v>
      </c>
      <c r="C349">
        <v>9.4</v>
      </c>
      <c r="D349">
        <v>0</v>
      </c>
      <c r="E349">
        <v>53.8</v>
      </c>
      <c r="F349">
        <v>0</v>
      </c>
      <c r="G349">
        <v>14.7</v>
      </c>
      <c r="H349">
        <v>0</v>
      </c>
      <c r="I349" t="s">
        <v>1581</v>
      </c>
      <c r="J349" t="s">
        <v>1581</v>
      </c>
      <c r="K349" t="s">
        <v>1581</v>
      </c>
      <c r="L349" t="s">
        <v>1581</v>
      </c>
      <c r="M349" t="s">
        <v>1581</v>
      </c>
      <c r="N349" t="s">
        <v>1581</v>
      </c>
      <c r="O349" t="s">
        <v>1581</v>
      </c>
      <c r="P349" t="s">
        <v>1581</v>
      </c>
      <c r="Q349" t="s">
        <v>1581</v>
      </c>
      <c r="R349" t="s">
        <v>1581</v>
      </c>
      <c r="S349" t="s">
        <v>1581</v>
      </c>
      <c r="T349" t="s">
        <v>1581</v>
      </c>
      <c r="U349" t="s">
        <v>1581</v>
      </c>
      <c r="V349" t="str" cm="1">
        <f t="array" aca="1" ref="V349" ca="1">IFERROR(_xlfn.IFS(A347="  ..............",OFFSET(A347,2,0),A346=" X-------------X",OFFSET(A346,3,0),MATCH("  ..............",A349:A358,0)&gt;2,V348),"-")</f>
        <v>-</v>
      </c>
      <c r="W349" t="str">
        <f t="shared" ca="1" si="15"/>
        <v>-</v>
      </c>
      <c r="X349" t="str">
        <f t="shared" ca="1" si="16"/>
        <v xml:space="preserve">              </v>
      </c>
      <c r="Y349" s="1">
        <f t="shared" ca="1" si="17"/>
        <v>0</v>
      </c>
    </row>
    <row r="350" spans="1:25" x14ac:dyDescent="0.25">
      <c r="A350" t="s">
        <v>1951</v>
      </c>
      <c r="B350">
        <v>-49.8</v>
      </c>
      <c r="C350">
        <v>0</v>
      </c>
      <c r="D350">
        <v>0</v>
      </c>
      <c r="E350">
        <v>11.6</v>
      </c>
      <c r="F350">
        <v>0</v>
      </c>
      <c r="G350">
        <v>0</v>
      </c>
      <c r="H350">
        <v>0</v>
      </c>
      <c r="I350" t="s">
        <v>1584</v>
      </c>
      <c r="J350" t="s">
        <v>1585</v>
      </c>
      <c r="K350" t="s">
        <v>1586</v>
      </c>
      <c r="L350" t="s">
        <v>1587</v>
      </c>
      <c r="M350" t="s">
        <v>1587</v>
      </c>
      <c r="N350" t="s">
        <v>1586</v>
      </c>
      <c r="O350" t="s">
        <v>1581</v>
      </c>
      <c r="P350" t="s">
        <v>1581</v>
      </c>
      <c r="Q350" t="s">
        <v>1581</v>
      </c>
      <c r="R350" t="s">
        <v>1581</v>
      </c>
      <c r="S350" t="s">
        <v>1581</v>
      </c>
      <c r="T350" t="s">
        <v>1581</v>
      </c>
      <c r="U350" t="s">
        <v>1581</v>
      </c>
      <c r="V350" t="str" cm="1">
        <f t="array" aca="1" ref="V350" ca="1">IFERROR(_xlfn.IFS(A348="  ..............",OFFSET(A348,2,0),A347=" X-------------X",OFFSET(A347,3,0),MATCH("  ..............",A350:A359,0)&gt;2,V349),"-")</f>
        <v xml:space="preserve">  SMARTA-RS069  </v>
      </c>
      <c r="W350">
        <f t="shared" ca="1" si="15"/>
        <v>1.0109999999999999</v>
      </c>
      <c r="X350" t="str">
        <f t="shared" ca="1" si="16"/>
        <v xml:space="preserve"> PFUND2-RS069 </v>
      </c>
      <c r="Y350" s="1">
        <f t="shared" ca="1" si="17"/>
        <v>0.33600000000000002</v>
      </c>
    </row>
    <row r="351" spans="1:25" x14ac:dyDescent="0.25">
      <c r="A351" t="s">
        <v>1588</v>
      </c>
      <c r="B351" t="s">
        <v>1587</v>
      </c>
      <c r="C351">
        <v>30</v>
      </c>
      <c r="D351">
        <v>36</v>
      </c>
      <c r="E351">
        <v>36</v>
      </c>
      <c r="F351" s="1">
        <v>0.33600000000000002</v>
      </c>
      <c r="G351" t="s">
        <v>1587</v>
      </c>
      <c r="H351" t="s">
        <v>1587</v>
      </c>
      <c r="I351">
        <v>1039</v>
      </c>
      <c r="J351" t="s">
        <v>1952</v>
      </c>
      <c r="K351">
        <v>1</v>
      </c>
      <c r="L351">
        <v>10.1</v>
      </c>
      <c r="M351">
        <v>1.2</v>
      </c>
      <c r="N351">
        <v>10.1</v>
      </c>
      <c r="O351" t="s">
        <v>1594</v>
      </c>
      <c r="P351" t="s">
        <v>1584</v>
      </c>
      <c r="Q351" t="s">
        <v>1591</v>
      </c>
      <c r="R351">
        <v>0.04</v>
      </c>
      <c r="S351">
        <v>-0.11</v>
      </c>
      <c r="T351" t="s">
        <v>1584</v>
      </c>
      <c r="U351" t="s">
        <v>1592</v>
      </c>
      <c r="V351" t="str" cm="1">
        <f t="array" aca="1" ref="V351" ca="1">IFERROR(_xlfn.IFS(A349="  ..............",OFFSET(A349,2,0),A348=" X-------------X",OFFSET(A348,3,0),MATCH("  ..............",A351:A360,0)&gt;2,V350),"-")</f>
        <v xml:space="preserve">  SMARTA-RS069  </v>
      </c>
      <c r="W351">
        <f t="shared" ca="1" si="15"/>
        <v>1.0109999999999999</v>
      </c>
      <c r="X351" t="str">
        <f t="shared" ca="1" si="16"/>
        <v xml:space="preserve"> CARAZ2-RS069 </v>
      </c>
      <c r="Y351" s="1">
        <f t="shared" ca="1" si="17"/>
        <v>0.221</v>
      </c>
    </row>
    <row r="352" spans="1:25" x14ac:dyDescent="0.25">
      <c r="A352" t="s">
        <v>1588</v>
      </c>
      <c r="B352" t="s">
        <v>1587</v>
      </c>
      <c r="C352">
        <v>38</v>
      </c>
      <c r="D352">
        <v>38</v>
      </c>
      <c r="E352">
        <v>38</v>
      </c>
      <c r="F352" s="1">
        <v>0.221</v>
      </c>
      <c r="G352" t="s">
        <v>1587</v>
      </c>
      <c r="H352" t="s">
        <v>1587</v>
      </c>
      <c r="I352">
        <v>1306</v>
      </c>
      <c r="J352" t="s">
        <v>1953</v>
      </c>
      <c r="K352">
        <v>1</v>
      </c>
      <c r="L352">
        <v>8.4</v>
      </c>
      <c r="M352">
        <v>-1.3</v>
      </c>
      <c r="N352">
        <v>8.4</v>
      </c>
      <c r="O352" t="s">
        <v>1594</v>
      </c>
      <c r="P352" t="s">
        <v>1584</v>
      </c>
      <c r="Q352" t="s">
        <v>1591</v>
      </c>
      <c r="R352">
        <v>0.18</v>
      </c>
      <c r="S352">
        <v>-0.4</v>
      </c>
      <c r="T352" t="s">
        <v>1584</v>
      </c>
      <c r="U352" t="s">
        <v>1592</v>
      </c>
      <c r="V352" t="str" cm="1">
        <f t="array" aca="1" ref="V352" ca="1">IFERROR(_xlfn.IFS(A350="  ..............",OFFSET(A350,2,0),A349=" X-------------X",OFFSET(A349,3,0),MATCH("  ..............",A352:A361,0)&gt;2,V351),"-")</f>
        <v xml:space="preserve">  SMARTA-RS069  </v>
      </c>
      <c r="W352">
        <f t="shared" ca="1" si="15"/>
        <v>1.0109999999999999</v>
      </c>
      <c r="X352" t="str">
        <f t="shared" ca="1" si="16"/>
        <v xml:space="preserve"> TIOHUG-RS069 </v>
      </c>
      <c r="Y352" s="1">
        <f t="shared" ca="1" si="17"/>
        <v>0.10100000000000001</v>
      </c>
    </row>
    <row r="353" spans="1:25" x14ac:dyDescent="0.25">
      <c r="A353" t="s">
        <v>1588</v>
      </c>
      <c r="B353" t="s">
        <v>1587</v>
      </c>
      <c r="C353">
        <v>30</v>
      </c>
      <c r="D353">
        <v>43</v>
      </c>
      <c r="E353">
        <v>30</v>
      </c>
      <c r="F353" s="1">
        <v>0.10100000000000001</v>
      </c>
      <c r="G353" t="s">
        <v>1587</v>
      </c>
      <c r="H353" t="s">
        <v>1587</v>
      </c>
      <c r="I353">
        <v>10397</v>
      </c>
      <c r="J353" t="s">
        <v>1954</v>
      </c>
      <c r="K353">
        <v>1</v>
      </c>
      <c r="L353">
        <v>-2.9</v>
      </c>
      <c r="M353">
        <v>-1</v>
      </c>
      <c r="N353">
        <v>3</v>
      </c>
      <c r="O353" t="s">
        <v>1594</v>
      </c>
      <c r="P353" t="s">
        <v>1584</v>
      </c>
      <c r="Q353" t="s">
        <v>1591</v>
      </c>
      <c r="R353">
        <v>0.02</v>
      </c>
      <c r="S353">
        <v>-0.52</v>
      </c>
      <c r="T353" t="s">
        <v>1584</v>
      </c>
      <c r="U353" t="s">
        <v>1592</v>
      </c>
      <c r="V353" t="str" cm="1">
        <f t="array" aca="1" ref="V353" ca="1">IFERROR(_xlfn.IFS(A351="  ..............",OFFSET(A351,2,0),A350=" X-------------X",OFFSET(A350,3,0),MATCH("  ..............",A353:A362,0)&gt;2,V352),"-")</f>
        <v xml:space="preserve">  SMARTA-RS069  </v>
      </c>
      <c r="W353">
        <f t="shared" ca="1" si="15"/>
        <v>1.0109999999999999</v>
      </c>
      <c r="X353" t="str">
        <f t="shared" ca="1" si="16"/>
        <v xml:space="preserve"> SMT--3-RS000 </v>
      </c>
      <c r="Y353" s="1">
        <f t="shared" ca="1" si="17"/>
        <v>0.35799999999999998</v>
      </c>
    </row>
    <row r="354" spans="1:25" x14ac:dyDescent="0.25">
      <c r="A354" t="s">
        <v>1588</v>
      </c>
      <c r="B354" t="s">
        <v>1587</v>
      </c>
      <c r="C354">
        <v>83</v>
      </c>
      <c r="D354">
        <v>120</v>
      </c>
      <c r="E354">
        <v>120</v>
      </c>
      <c r="F354" s="1">
        <v>0.35799999999999998</v>
      </c>
      <c r="G354" t="s">
        <v>1587</v>
      </c>
      <c r="H354" t="s">
        <v>1587</v>
      </c>
      <c r="I354">
        <v>41378</v>
      </c>
      <c r="J354" t="s">
        <v>1955</v>
      </c>
      <c r="K354">
        <v>3</v>
      </c>
      <c r="L354">
        <v>-30</v>
      </c>
      <c r="M354">
        <v>2.1</v>
      </c>
      <c r="N354">
        <v>29.7</v>
      </c>
      <c r="O354" t="s">
        <v>1608</v>
      </c>
      <c r="P354" t="s">
        <v>1584</v>
      </c>
      <c r="Q354">
        <v>2</v>
      </c>
      <c r="R354">
        <v>0.01</v>
      </c>
      <c r="S354">
        <v>-0.1</v>
      </c>
      <c r="T354" t="s">
        <v>1584</v>
      </c>
      <c r="U354" t="s">
        <v>1592</v>
      </c>
      <c r="V354" t="str" cm="1">
        <f t="array" aca="1" ref="V354" ca="1">IFERROR(_xlfn.IFS(A352="  ..............",OFFSET(A352,2,0),A351=" X-------------X",OFFSET(A351,3,0),MATCH("  ..............",A354:A363,0)&gt;2,V353),"-")</f>
        <v xml:space="preserve">  SMARTA-RS069  </v>
      </c>
      <c r="W354">
        <f t="shared" ca="1" si="15"/>
        <v>1.0109999999999999</v>
      </c>
      <c r="X354" t="str">
        <f t="shared" ca="1" si="16"/>
        <v xml:space="preserve"> SMT-11-RS000 </v>
      </c>
      <c r="Y354" s="1">
        <f t="shared" ca="1" si="17"/>
        <v>0.35899999999999999</v>
      </c>
    </row>
    <row r="355" spans="1:25" x14ac:dyDescent="0.25">
      <c r="A355" t="s">
        <v>1588</v>
      </c>
      <c r="B355" t="s">
        <v>1587</v>
      </c>
      <c r="C355">
        <v>83</v>
      </c>
      <c r="D355">
        <v>100</v>
      </c>
      <c r="E355">
        <v>100</v>
      </c>
      <c r="F355" s="1">
        <v>0.35899999999999999</v>
      </c>
      <c r="G355" t="s">
        <v>1587</v>
      </c>
      <c r="H355" t="s">
        <v>1587</v>
      </c>
      <c r="I355">
        <v>41379</v>
      </c>
      <c r="J355" t="s">
        <v>1956</v>
      </c>
      <c r="K355">
        <v>11</v>
      </c>
      <c r="L355">
        <v>-30</v>
      </c>
      <c r="M355">
        <v>2.2000000000000002</v>
      </c>
      <c r="N355">
        <v>29.8</v>
      </c>
      <c r="O355" t="s">
        <v>1608</v>
      </c>
      <c r="P355" t="s">
        <v>1584</v>
      </c>
      <c r="Q355">
        <v>2</v>
      </c>
      <c r="R355">
        <v>0.02</v>
      </c>
      <c r="S355">
        <v>-0.13</v>
      </c>
      <c r="T355" t="s">
        <v>1584</v>
      </c>
      <c r="U355" t="s">
        <v>1592</v>
      </c>
      <c r="V355" t="str" cm="1">
        <f t="array" aca="1" ref="V355" ca="1">IFERROR(_xlfn.IFS(A353="  ..............",OFFSET(A353,2,0),A352=" X-------------X",OFFSET(A352,3,0),MATCH("  ..............",A355:A364,0)&gt;2,V354),"-")</f>
        <v>-</v>
      </c>
      <c r="W355" t="str">
        <f t="shared" ca="1" si="15"/>
        <v>-</v>
      </c>
      <c r="X355" t="str">
        <f t="shared" ca="1" si="16"/>
        <v>-</v>
      </c>
      <c r="Y355" s="1" t="str">
        <f t="shared" ca="1" si="17"/>
        <v>-</v>
      </c>
    </row>
    <row r="356" spans="1:25" x14ac:dyDescent="0.25">
      <c r="A356" t="s">
        <v>1572</v>
      </c>
      <c r="B356" t="s">
        <v>1574</v>
      </c>
      <c r="C356" t="s">
        <v>1574</v>
      </c>
      <c r="D356" t="s">
        <v>1574</v>
      </c>
      <c r="E356" t="s">
        <v>1574</v>
      </c>
      <c r="F356" t="s">
        <v>1575</v>
      </c>
      <c r="G356" t="s">
        <v>1574</v>
      </c>
      <c r="H356" t="s">
        <v>1574</v>
      </c>
      <c r="I356" t="s">
        <v>1576</v>
      </c>
      <c r="J356" t="s">
        <v>1573</v>
      </c>
      <c r="K356" t="s">
        <v>1577</v>
      </c>
      <c r="L356" t="s">
        <v>1574</v>
      </c>
      <c r="M356" t="s">
        <v>1574</v>
      </c>
      <c r="N356" t="s">
        <v>1574</v>
      </c>
      <c r="O356" t="s">
        <v>1578</v>
      </c>
      <c r="P356" t="s">
        <v>1576</v>
      </c>
      <c r="Q356" t="s">
        <v>1579</v>
      </c>
      <c r="R356" t="s">
        <v>1580</v>
      </c>
      <c r="S356" t="s">
        <v>1580</v>
      </c>
      <c r="T356" t="s">
        <v>1576</v>
      </c>
      <c r="U356" t="s">
        <v>1576</v>
      </c>
      <c r="V356" t="str" cm="1">
        <f t="array" aca="1" ref="V356" ca="1">IFERROR(_xlfn.IFS(A354="  ..............",OFFSET(A354,2,0),A353=" X-------------X",OFFSET(A353,3,0),MATCH("  ..............",A356:A365,0)&gt;2,V355),"-")</f>
        <v>-</v>
      </c>
      <c r="W356" t="str">
        <f t="shared" ca="1" si="15"/>
        <v>-</v>
      </c>
      <c r="X356" t="str">
        <f t="shared" ca="1" si="16"/>
        <v/>
      </c>
      <c r="Y356" s="1" t="str">
        <f t="shared" ca="1" si="17"/>
        <v/>
      </c>
    </row>
    <row r="357" spans="1:25" x14ac:dyDescent="0.25">
      <c r="A357" t="s">
        <v>1957</v>
      </c>
      <c r="B357">
        <v>1.0169999999999999</v>
      </c>
      <c r="C357">
        <v>5.9</v>
      </c>
      <c r="D357">
        <v>0</v>
      </c>
      <c r="E357">
        <v>35.4</v>
      </c>
      <c r="F357">
        <v>0</v>
      </c>
      <c r="G357">
        <v>3.7</v>
      </c>
      <c r="H357">
        <v>0</v>
      </c>
      <c r="I357" t="s">
        <v>1581</v>
      </c>
      <c r="J357" t="s">
        <v>1581</v>
      </c>
      <c r="K357" t="s">
        <v>1581</v>
      </c>
      <c r="L357" t="s">
        <v>1581</v>
      </c>
      <c r="M357" t="s">
        <v>1581</v>
      </c>
      <c r="N357" t="s">
        <v>1581</v>
      </c>
      <c r="O357" t="s">
        <v>1581</v>
      </c>
      <c r="P357" t="s">
        <v>1581</v>
      </c>
      <c r="Q357" t="s">
        <v>1581</v>
      </c>
      <c r="R357" t="s">
        <v>1581</v>
      </c>
      <c r="S357" t="s">
        <v>1581</v>
      </c>
      <c r="T357" t="s">
        <v>1581</v>
      </c>
      <c r="U357" t="s">
        <v>1581</v>
      </c>
      <c r="V357" t="str" cm="1">
        <f t="array" aca="1" ref="V357" ca="1">IFERROR(_xlfn.IFS(A355="  ..............",OFFSET(A355,2,0),A354=" X-------------X",OFFSET(A354,3,0),MATCH("  ..............",A357:A366,0)&gt;2,V356),"-")</f>
        <v>-</v>
      </c>
      <c r="W357" t="str">
        <f t="shared" ca="1" si="15"/>
        <v>-</v>
      </c>
      <c r="X357" t="str">
        <f t="shared" ca="1" si="16"/>
        <v xml:space="preserve">              </v>
      </c>
      <c r="Y357" s="1">
        <f t="shared" ca="1" si="17"/>
        <v>0</v>
      </c>
    </row>
    <row r="358" spans="1:25" x14ac:dyDescent="0.25">
      <c r="A358" t="s">
        <v>1958</v>
      </c>
      <c r="B358">
        <v>-51.4</v>
      </c>
      <c r="C358">
        <v>0</v>
      </c>
      <c r="D358">
        <v>0</v>
      </c>
      <c r="E358">
        <v>12.8</v>
      </c>
      <c r="F358">
        <v>0</v>
      </c>
      <c r="G358">
        <v>0</v>
      </c>
      <c r="H358">
        <v>0</v>
      </c>
      <c r="I358" t="s">
        <v>1584</v>
      </c>
      <c r="J358" t="s">
        <v>1585</v>
      </c>
      <c r="K358" t="s">
        <v>1586</v>
      </c>
      <c r="L358" t="s">
        <v>1587</v>
      </c>
      <c r="M358" t="s">
        <v>1587</v>
      </c>
      <c r="N358" t="s">
        <v>1586</v>
      </c>
      <c r="O358" t="s">
        <v>1581</v>
      </c>
      <c r="P358" t="s">
        <v>1581</v>
      </c>
      <c r="Q358" t="s">
        <v>1581</v>
      </c>
      <c r="R358" t="s">
        <v>1581</v>
      </c>
      <c r="S358" t="s">
        <v>1581</v>
      </c>
      <c r="T358" t="s">
        <v>1581</v>
      </c>
      <c r="U358" t="s">
        <v>1581</v>
      </c>
      <c r="V358" t="str" cm="1">
        <f t="array" aca="1" ref="V358" ca="1">IFERROR(_xlfn.IFS(A356="  ..............",OFFSET(A356,2,0),A355=" X-------------X",OFFSET(A355,3,0),MATCH("  ..............",A358:A367,0)&gt;2,V357),"-")</f>
        <v xml:space="preserve">  SAOSCA-RS138  </v>
      </c>
      <c r="W358">
        <f t="shared" ca="1" si="15"/>
        <v>1.0169999999999999</v>
      </c>
      <c r="X358" t="str">
        <f t="shared" ca="1" si="16"/>
        <v xml:space="preserve"> BPRINC-RS138 </v>
      </c>
      <c r="Y358" s="1" t="str">
        <f t="shared" ca="1" si="17"/>
        <v xml:space="preserve">             </v>
      </c>
    </row>
    <row r="359" spans="1:25" x14ac:dyDescent="0.25">
      <c r="A359" t="s">
        <v>1637</v>
      </c>
      <c r="B359" t="s">
        <v>1638</v>
      </c>
      <c r="C359">
        <v>134</v>
      </c>
      <c r="D359">
        <v>162</v>
      </c>
      <c r="E359">
        <v>162</v>
      </c>
      <c r="F359" t="s">
        <v>1639</v>
      </c>
      <c r="G359" t="s">
        <v>1587</v>
      </c>
      <c r="H359" t="s">
        <v>1587</v>
      </c>
      <c r="I359">
        <v>9964</v>
      </c>
      <c r="J359" t="s">
        <v>1959</v>
      </c>
      <c r="K359">
        <v>1</v>
      </c>
      <c r="L359">
        <v>0</v>
      </c>
      <c r="M359">
        <v>0</v>
      </c>
      <c r="N359">
        <v>0</v>
      </c>
      <c r="O359" t="s">
        <v>1594</v>
      </c>
      <c r="P359" t="s">
        <v>1584</v>
      </c>
      <c r="Q359" t="s">
        <v>1591</v>
      </c>
      <c r="R359">
        <v>0</v>
      </c>
      <c r="S359">
        <v>0</v>
      </c>
      <c r="T359" t="s">
        <v>1584</v>
      </c>
      <c r="U359" t="s">
        <v>1592</v>
      </c>
      <c r="V359" t="str" cm="1">
        <f t="array" aca="1" ref="V359" ca="1">IFERROR(_xlfn.IFS(A357="  ..............",OFFSET(A357,2,0),A356=" X-------------X",OFFSET(A356,3,0),MATCH("  ..............",A359:A368,0)&gt;2,V358),"-")</f>
        <v xml:space="preserve">  SAOSCA-RS138  </v>
      </c>
      <c r="W359">
        <f t="shared" ca="1" si="15"/>
        <v>1.0169999999999999</v>
      </c>
      <c r="X359" t="str">
        <f t="shared" ca="1" si="16"/>
        <v xml:space="preserve"> SSCAI2-RS138 </v>
      </c>
      <c r="Y359" s="1">
        <f t="shared" ca="1" si="17"/>
        <v>0.308</v>
      </c>
    </row>
    <row r="360" spans="1:25" x14ac:dyDescent="0.25">
      <c r="A360" t="s">
        <v>1588</v>
      </c>
      <c r="B360" t="s">
        <v>1587</v>
      </c>
      <c r="C360">
        <v>134</v>
      </c>
      <c r="D360">
        <v>162</v>
      </c>
      <c r="E360">
        <v>162</v>
      </c>
      <c r="F360" s="1">
        <v>0.113</v>
      </c>
      <c r="G360" t="s">
        <v>1587</v>
      </c>
      <c r="H360" t="s">
        <v>1587</v>
      </c>
      <c r="I360">
        <v>10308</v>
      </c>
      <c r="J360" t="s">
        <v>1855</v>
      </c>
      <c r="K360">
        <v>1</v>
      </c>
      <c r="L360">
        <v>-14.7</v>
      </c>
      <c r="M360">
        <v>-4.5</v>
      </c>
      <c r="N360">
        <v>15.2</v>
      </c>
      <c r="O360" t="s">
        <v>1594</v>
      </c>
      <c r="P360" t="s">
        <v>1584</v>
      </c>
      <c r="Q360" t="s">
        <v>1591</v>
      </c>
      <c r="R360">
        <v>0.01</v>
      </c>
      <c r="S360">
        <v>-0.26</v>
      </c>
      <c r="T360" t="s">
        <v>1584</v>
      </c>
      <c r="U360" t="s">
        <v>1592</v>
      </c>
      <c r="V360" t="str" cm="1">
        <f t="array" aca="1" ref="V360" ca="1">IFERROR(_xlfn.IFS(A358="  ..............",OFFSET(A358,2,0),A357=" X-------------X",OFFSET(A357,3,0),MATCH("  ..............",A360:A369,0)&gt;2,V359),"-")</f>
        <v xml:space="preserve">  SAOSCA-RS138  </v>
      </c>
      <c r="W360">
        <f t="shared" ca="1" si="15"/>
        <v>1.0169999999999999</v>
      </c>
      <c r="X360" t="str">
        <f t="shared" ca="1" si="16"/>
        <v xml:space="preserve"> SSCAI2-RS138 </v>
      </c>
      <c r="Y360" s="1">
        <f t="shared" ca="1" si="17"/>
        <v>0.308</v>
      </c>
    </row>
    <row r="361" spans="1:25" x14ac:dyDescent="0.25">
      <c r="A361" t="s">
        <v>1588</v>
      </c>
      <c r="B361" t="s">
        <v>1587</v>
      </c>
      <c r="C361">
        <v>134</v>
      </c>
      <c r="D361">
        <v>162</v>
      </c>
      <c r="E361">
        <v>162</v>
      </c>
      <c r="F361" s="1">
        <v>0.113</v>
      </c>
      <c r="G361" t="s">
        <v>1587</v>
      </c>
      <c r="H361" t="s">
        <v>1587</v>
      </c>
      <c r="I361">
        <v>10308</v>
      </c>
      <c r="J361" t="s">
        <v>1855</v>
      </c>
      <c r="K361">
        <v>2</v>
      </c>
      <c r="L361">
        <v>-14.7</v>
      </c>
      <c r="M361">
        <v>-4.5</v>
      </c>
      <c r="N361">
        <v>15.2</v>
      </c>
      <c r="O361" t="s">
        <v>1594</v>
      </c>
      <c r="P361" t="s">
        <v>1584</v>
      </c>
      <c r="Q361" t="s">
        <v>1591</v>
      </c>
      <c r="R361">
        <v>0.01</v>
      </c>
      <c r="S361">
        <v>-0.26</v>
      </c>
      <c r="T361" t="s">
        <v>1584</v>
      </c>
      <c r="U361" t="s">
        <v>1592</v>
      </c>
      <c r="V361" t="str" cm="1">
        <f t="array" aca="1" ref="V361" ca="1">IFERROR(_xlfn.IFS(A359="  ..............",OFFSET(A359,2,0),A358=" X-------------X",OFFSET(A358,3,0),MATCH("  ..............",A361:A370,0)&gt;2,V360),"-")</f>
        <v>-</v>
      </c>
      <c r="W361" t="str">
        <f t="shared" ca="1" si="15"/>
        <v>-</v>
      </c>
      <c r="X361" t="str">
        <f t="shared" ca="1" si="16"/>
        <v>-</v>
      </c>
      <c r="Y361" s="1" t="str">
        <f t="shared" ca="1" si="17"/>
        <v>-</v>
      </c>
    </row>
    <row r="362" spans="1:25" x14ac:dyDescent="0.25">
      <c r="A362" t="s">
        <v>1572</v>
      </c>
      <c r="B362" t="s">
        <v>1574</v>
      </c>
      <c r="C362" t="s">
        <v>1574</v>
      </c>
      <c r="D362" t="s">
        <v>1574</v>
      </c>
      <c r="E362" t="s">
        <v>1574</v>
      </c>
      <c r="F362" t="s">
        <v>1575</v>
      </c>
      <c r="G362" t="s">
        <v>1574</v>
      </c>
      <c r="H362" t="s">
        <v>1574</v>
      </c>
      <c r="I362" t="s">
        <v>1576</v>
      </c>
      <c r="J362" t="s">
        <v>1573</v>
      </c>
      <c r="K362" t="s">
        <v>1577</v>
      </c>
      <c r="L362" t="s">
        <v>1574</v>
      </c>
      <c r="M362" t="s">
        <v>1574</v>
      </c>
      <c r="N362" t="s">
        <v>1574</v>
      </c>
      <c r="O362" t="s">
        <v>1578</v>
      </c>
      <c r="P362" t="s">
        <v>1576</v>
      </c>
      <c r="Q362" t="s">
        <v>1579</v>
      </c>
      <c r="R362" t="s">
        <v>1580</v>
      </c>
      <c r="S362" t="s">
        <v>1580</v>
      </c>
      <c r="T362" t="s">
        <v>1576</v>
      </c>
      <c r="U362" t="s">
        <v>1576</v>
      </c>
      <c r="V362" t="str" cm="1">
        <f t="array" aca="1" ref="V362" ca="1">IFERROR(_xlfn.IFS(A360="  ..............",OFFSET(A360,2,0),A359=" X-------------X",OFFSET(A359,3,0),MATCH("  ..............",A362:A371,0)&gt;2,V361),"-")</f>
        <v>-</v>
      </c>
      <c r="W362" t="str">
        <f t="shared" ca="1" si="15"/>
        <v>-</v>
      </c>
      <c r="X362" t="str">
        <f t="shared" ca="1" si="16"/>
        <v/>
      </c>
      <c r="Y362" s="1" t="str">
        <f t="shared" ca="1" si="17"/>
        <v/>
      </c>
    </row>
    <row r="363" spans="1:25" x14ac:dyDescent="0.25">
      <c r="A363" t="s">
        <v>1960</v>
      </c>
      <c r="B363">
        <v>1.0089999999999999</v>
      </c>
      <c r="C363">
        <v>29.8</v>
      </c>
      <c r="D363">
        <v>0</v>
      </c>
      <c r="E363">
        <v>155.19999999999999</v>
      </c>
      <c r="F363">
        <v>0</v>
      </c>
      <c r="G363">
        <v>3.7</v>
      </c>
      <c r="H363">
        <v>0</v>
      </c>
      <c r="I363" t="s">
        <v>1581</v>
      </c>
      <c r="J363" t="s">
        <v>1581</v>
      </c>
      <c r="K363" t="s">
        <v>1581</v>
      </c>
      <c r="L363" t="s">
        <v>1581</v>
      </c>
      <c r="M363" t="s">
        <v>1581</v>
      </c>
      <c r="N363" t="s">
        <v>1581</v>
      </c>
      <c r="O363" t="s">
        <v>1581</v>
      </c>
      <c r="P363" t="s">
        <v>1581</v>
      </c>
      <c r="Q363" t="s">
        <v>1581</v>
      </c>
      <c r="R363" t="s">
        <v>1581</v>
      </c>
      <c r="S363" t="s">
        <v>1581</v>
      </c>
      <c r="T363" t="s">
        <v>1581</v>
      </c>
      <c r="U363" t="s">
        <v>1581</v>
      </c>
      <c r="V363" t="str" cm="1">
        <f t="array" aca="1" ref="V363" ca="1">IFERROR(_xlfn.IFS(A361="  ..............",OFFSET(A361,2,0),A360=" X-------------X",OFFSET(A360,3,0),MATCH("  ..............",A363:A372,0)&gt;2,V362),"-")</f>
        <v>-</v>
      </c>
      <c r="W363" t="str">
        <f t="shared" ca="1" si="15"/>
        <v>-</v>
      </c>
      <c r="X363" t="str">
        <f t="shared" ca="1" si="16"/>
        <v xml:space="preserve">              </v>
      </c>
      <c r="Y363" s="1">
        <f t="shared" ca="1" si="17"/>
        <v>0</v>
      </c>
    </row>
    <row r="364" spans="1:25" x14ac:dyDescent="0.25">
      <c r="A364" t="s">
        <v>1961</v>
      </c>
      <c r="B364">
        <v>-48.2</v>
      </c>
      <c r="C364">
        <v>0</v>
      </c>
      <c r="D364">
        <v>0</v>
      </c>
      <c r="E364">
        <v>55.9</v>
      </c>
      <c r="F364">
        <v>0</v>
      </c>
      <c r="G364">
        <v>0</v>
      </c>
      <c r="H364">
        <v>0</v>
      </c>
      <c r="I364" t="s">
        <v>1584</v>
      </c>
      <c r="J364" t="s">
        <v>1585</v>
      </c>
      <c r="K364" t="s">
        <v>1586</v>
      </c>
      <c r="L364" t="s">
        <v>1587</v>
      </c>
      <c r="M364" t="s">
        <v>1587</v>
      </c>
      <c r="N364" t="s">
        <v>1586</v>
      </c>
      <c r="O364" t="s">
        <v>1581</v>
      </c>
      <c r="P364" t="s">
        <v>1581</v>
      </c>
      <c r="Q364" t="s">
        <v>1581</v>
      </c>
      <c r="R364" t="s">
        <v>1581</v>
      </c>
      <c r="S364" t="s">
        <v>1581</v>
      </c>
      <c r="T364" t="s">
        <v>1581</v>
      </c>
      <c r="U364" t="s">
        <v>1581</v>
      </c>
      <c r="V364" t="str" cm="1">
        <f t="array" aca="1" ref="V364" ca="1">IFERROR(_xlfn.IFS(A362="  ..............",OFFSET(A362,2,0),A361=" X-------------X",OFFSET(A361,3,0),MATCH("  ..............",A364:A373,0)&gt;2,V363),"-")</f>
        <v xml:space="preserve">  SROSA--RS069  </v>
      </c>
      <c r="W364">
        <f t="shared" ca="1" si="15"/>
        <v>1.0089999999999999</v>
      </c>
      <c r="X364" t="str">
        <f t="shared" ca="1" si="16"/>
        <v xml:space="preserve"> CLARGO-RS069 </v>
      </c>
      <c r="Y364" s="1">
        <f t="shared" ca="1" si="17"/>
        <v>6.5000000000000002E-2</v>
      </c>
    </row>
    <row r="365" spans="1:25" x14ac:dyDescent="0.25">
      <c r="A365" t="s">
        <v>1588</v>
      </c>
      <c r="B365" t="s">
        <v>1587</v>
      </c>
      <c r="C365">
        <v>48</v>
      </c>
      <c r="D365">
        <v>71</v>
      </c>
      <c r="E365">
        <v>71</v>
      </c>
      <c r="F365" s="1">
        <v>6.5000000000000002E-2</v>
      </c>
      <c r="G365" t="s">
        <v>1587</v>
      </c>
      <c r="H365" t="s">
        <v>1587</v>
      </c>
      <c r="I365">
        <v>9261</v>
      </c>
      <c r="J365" t="s">
        <v>1962</v>
      </c>
      <c r="K365">
        <v>1</v>
      </c>
      <c r="L365">
        <v>-2.5</v>
      </c>
      <c r="M365">
        <v>1.9</v>
      </c>
      <c r="N365">
        <v>3.1</v>
      </c>
      <c r="O365" t="s">
        <v>1594</v>
      </c>
      <c r="P365" t="s">
        <v>1584</v>
      </c>
      <c r="Q365" t="s">
        <v>1591</v>
      </c>
      <c r="R365">
        <v>0.02</v>
      </c>
      <c r="S365">
        <v>-0.64</v>
      </c>
      <c r="T365" t="s">
        <v>1584</v>
      </c>
      <c r="U365" t="s">
        <v>1592</v>
      </c>
      <c r="V365" t="str" cm="1">
        <f t="array" aca="1" ref="V365" ca="1">IFERROR(_xlfn.IFS(A363="  ..............",OFFSET(A363,2,0),A362=" X-------------X",OFFSET(A362,3,0),MATCH("  ..............",A365:A374,0)&gt;2,V364),"-")</f>
        <v xml:space="preserve">  SROSA--RS069  </v>
      </c>
      <c r="W365">
        <f t="shared" ca="1" si="15"/>
        <v>1.0089999999999999</v>
      </c>
      <c r="X365" t="str">
        <f t="shared" ca="1" si="16"/>
        <v xml:space="preserve"> COOLUZ-RS069 </v>
      </c>
      <c r="Y365" s="1">
        <f t="shared" ca="1" si="17"/>
        <v>0.19500000000000001</v>
      </c>
    </row>
    <row r="366" spans="1:25" x14ac:dyDescent="0.25">
      <c r="A366" t="s">
        <v>1588</v>
      </c>
      <c r="B366" t="s">
        <v>1587</v>
      </c>
      <c r="C366">
        <v>60</v>
      </c>
      <c r="D366">
        <v>70</v>
      </c>
      <c r="E366">
        <v>70</v>
      </c>
      <c r="F366" s="1">
        <v>0.19500000000000001</v>
      </c>
      <c r="G366" t="s">
        <v>1587</v>
      </c>
      <c r="H366" t="s">
        <v>1587</v>
      </c>
      <c r="I366">
        <v>10022</v>
      </c>
      <c r="J366" t="s">
        <v>1963</v>
      </c>
      <c r="K366">
        <v>1</v>
      </c>
      <c r="L366">
        <v>10.9</v>
      </c>
      <c r="M366">
        <v>4.5</v>
      </c>
      <c r="N366">
        <v>11.7</v>
      </c>
      <c r="O366" t="s">
        <v>1594</v>
      </c>
      <c r="P366" t="s">
        <v>1584</v>
      </c>
      <c r="Q366" t="s">
        <v>1591</v>
      </c>
      <c r="R366">
        <v>0.01</v>
      </c>
      <c r="S366">
        <v>-0.01</v>
      </c>
      <c r="T366" t="s">
        <v>1584</v>
      </c>
      <c r="U366" t="s">
        <v>1592</v>
      </c>
      <c r="V366" t="str" cm="1">
        <f t="array" aca="1" ref="V366" ca="1">IFERROR(_xlfn.IFS(A364="  ..............",OFFSET(A364,2,0),A363=" X-------------X",OFFSET(A363,3,0),MATCH("  ..............",A366:A375,0)&gt;2,V365),"-")</f>
        <v xml:space="preserve">  SROSA--RS069  </v>
      </c>
      <c r="W366">
        <f t="shared" ca="1" si="15"/>
        <v>1.0089999999999999</v>
      </c>
      <c r="X366" t="str">
        <f t="shared" ca="1" si="16"/>
        <v xml:space="preserve"> SRO1-9-RS000 </v>
      </c>
      <c r="Y366" s="1">
        <f t="shared" ca="1" si="17"/>
        <v>0.58799999999999997</v>
      </c>
    </row>
    <row r="367" spans="1:25" x14ac:dyDescent="0.25">
      <c r="A367" t="s">
        <v>1588</v>
      </c>
      <c r="B367" t="s">
        <v>1587</v>
      </c>
      <c r="C367">
        <v>83</v>
      </c>
      <c r="D367">
        <v>100</v>
      </c>
      <c r="E367">
        <v>100</v>
      </c>
      <c r="F367" s="1">
        <v>0.58799999999999997</v>
      </c>
      <c r="G367" t="s">
        <v>1587</v>
      </c>
      <c r="H367" t="s">
        <v>1587</v>
      </c>
      <c r="I367">
        <v>41380</v>
      </c>
      <c r="J367" t="s">
        <v>1964</v>
      </c>
      <c r="K367">
        <v>9</v>
      </c>
      <c r="L367">
        <v>-45.1</v>
      </c>
      <c r="M367">
        <v>-19.8</v>
      </c>
      <c r="N367">
        <v>48.8</v>
      </c>
      <c r="O367" t="s">
        <v>1608</v>
      </c>
      <c r="P367" t="s">
        <v>1584</v>
      </c>
      <c r="Q367">
        <v>2</v>
      </c>
      <c r="R367">
        <v>0.04</v>
      </c>
      <c r="S367">
        <v>-0.22</v>
      </c>
      <c r="T367" t="s">
        <v>1584</v>
      </c>
      <c r="U367" t="s">
        <v>1592</v>
      </c>
      <c r="V367" t="str" cm="1">
        <f t="array" aca="1" ref="V367" ca="1">IFERROR(_xlfn.IFS(A365="  ..............",OFFSET(A365,2,0),A364=" X-------------X",OFFSET(A364,3,0),MATCH("  ..............",A367:A376,0)&gt;2,V366),"-")</f>
        <v xml:space="preserve">  SROSA--RS069  </v>
      </c>
      <c r="W367">
        <f t="shared" ca="1" si="15"/>
        <v>1.0089999999999999</v>
      </c>
      <c r="X367" t="str">
        <f t="shared" ca="1" si="16"/>
        <v xml:space="preserve"> SRO1-1-RS000 </v>
      </c>
      <c r="Y367" s="1">
        <f t="shared" ca="1" si="17"/>
        <v>0.57699999999999996</v>
      </c>
    </row>
    <row r="368" spans="1:25" x14ac:dyDescent="0.25">
      <c r="A368" t="s">
        <v>1588</v>
      </c>
      <c r="B368" t="s">
        <v>1587</v>
      </c>
      <c r="C368">
        <v>83</v>
      </c>
      <c r="D368">
        <v>120</v>
      </c>
      <c r="E368">
        <v>120</v>
      </c>
      <c r="F368" s="1">
        <v>0.57699999999999996</v>
      </c>
      <c r="G368" t="s">
        <v>1587</v>
      </c>
      <c r="H368" t="s">
        <v>1587</v>
      </c>
      <c r="I368">
        <v>41381</v>
      </c>
      <c r="J368" t="s">
        <v>1965</v>
      </c>
      <c r="K368">
        <v>1</v>
      </c>
      <c r="L368">
        <v>-44.2</v>
      </c>
      <c r="M368">
        <v>-19.399999999999999</v>
      </c>
      <c r="N368">
        <v>47.9</v>
      </c>
      <c r="O368" t="s">
        <v>1608</v>
      </c>
      <c r="P368" t="s">
        <v>1584</v>
      </c>
      <c r="Q368">
        <v>2</v>
      </c>
      <c r="R368">
        <v>0.04</v>
      </c>
      <c r="S368">
        <v>-0.17</v>
      </c>
      <c r="T368" t="s">
        <v>1584</v>
      </c>
      <c r="U368" t="s">
        <v>1592</v>
      </c>
      <c r="V368" t="str" cm="1">
        <f t="array" aca="1" ref="V368" ca="1">IFERROR(_xlfn.IFS(A366="  ..............",OFFSET(A366,2,0),A365=" X-------------X",OFFSET(A365,3,0),MATCH("  ..............",A368:A377,0)&gt;2,V367),"-")</f>
        <v xml:space="preserve">  SROSA--RS069  </v>
      </c>
      <c r="W368">
        <f t="shared" ca="1" si="15"/>
        <v>1.0089999999999999</v>
      </c>
      <c r="X368" t="str">
        <f t="shared" ca="1" si="16"/>
        <v xml:space="preserve"> SRO--5-RS000 </v>
      </c>
      <c r="Y368" s="1">
        <f t="shared" ca="1" si="17"/>
        <v>0.57899999999999996</v>
      </c>
    </row>
    <row r="369" spans="1:25" x14ac:dyDescent="0.25">
      <c r="A369" t="s">
        <v>1588</v>
      </c>
      <c r="B369" t="s">
        <v>1587</v>
      </c>
      <c r="C369">
        <v>83</v>
      </c>
      <c r="D369">
        <v>120</v>
      </c>
      <c r="E369">
        <v>120</v>
      </c>
      <c r="F369" s="1">
        <v>0.57899999999999996</v>
      </c>
      <c r="G369" t="s">
        <v>1587</v>
      </c>
      <c r="H369" t="s">
        <v>1587</v>
      </c>
      <c r="I369">
        <v>41382</v>
      </c>
      <c r="J369" t="s">
        <v>1966</v>
      </c>
      <c r="K369">
        <v>5</v>
      </c>
      <c r="L369">
        <v>-44.4</v>
      </c>
      <c r="M369">
        <v>-19.5</v>
      </c>
      <c r="N369">
        <v>48.1</v>
      </c>
      <c r="O369" t="s">
        <v>1608</v>
      </c>
      <c r="P369" t="s">
        <v>1584</v>
      </c>
      <c r="Q369">
        <v>2</v>
      </c>
      <c r="R369">
        <v>0.04</v>
      </c>
      <c r="S369">
        <v>-0.25</v>
      </c>
      <c r="T369" t="s">
        <v>1584</v>
      </c>
      <c r="U369" t="s">
        <v>1592</v>
      </c>
      <c r="V369" t="str" cm="1">
        <f t="array" aca="1" ref="V369" ca="1">IFERROR(_xlfn.IFS(A367="  ..............",OFFSET(A367,2,0),A366=" X-------------X",OFFSET(A366,3,0),MATCH("  ..............",A369:A378,0)&gt;2,V368),"-")</f>
        <v>-</v>
      </c>
      <c r="W369" t="str">
        <f t="shared" ca="1" si="15"/>
        <v>-</v>
      </c>
      <c r="X369" t="str">
        <f t="shared" ca="1" si="16"/>
        <v>-</v>
      </c>
      <c r="Y369" s="1" t="str">
        <f t="shared" ca="1" si="17"/>
        <v>-</v>
      </c>
    </row>
    <row r="370" spans="1:25" x14ac:dyDescent="0.25">
      <c r="A370" t="s">
        <v>1572</v>
      </c>
      <c r="B370" t="s">
        <v>1574</v>
      </c>
      <c r="C370" t="s">
        <v>1574</v>
      </c>
      <c r="D370" t="s">
        <v>1574</v>
      </c>
      <c r="E370" t="s">
        <v>1574</v>
      </c>
      <c r="F370" t="s">
        <v>1575</v>
      </c>
      <c r="G370" t="s">
        <v>1574</v>
      </c>
      <c r="H370" t="s">
        <v>1574</v>
      </c>
      <c r="I370" t="s">
        <v>1576</v>
      </c>
      <c r="J370" t="s">
        <v>1573</v>
      </c>
      <c r="K370" t="s">
        <v>1577</v>
      </c>
      <c r="L370" t="s">
        <v>1574</v>
      </c>
      <c r="M370" t="s">
        <v>1574</v>
      </c>
      <c r="N370" t="s">
        <v>1574</v>
      </c>
      <c r="O370" t="s">
        <v>1578</v>
      </c>
      <c r="P370" t="s">
        <v>1576</v>
      </c>
      <c r="Q370" t="s">
        <v>1579</v>
      </c>
      <c r="R370" t="s">
        <v>1580</v>
      </c>
      <c r="S370" t="s">
        <v>1580</v>
      </c>
      <c r="T370" t="s">
        <v>1576</v>
      </c>
      <c r="U370" t="s">
        <v>1576</v>
      </c>
      <c r="V370" t="str" cm="1">
        <f t="array" aca="1" ref="V370" ca="1">IFERROR(_xlfn.IFS(A368="  ..............",OFFSET(A368,2,0),A367=" X-------------X",OFFSET(A367,3,0),MATCH("  ..............",A370:A379,0)&gt;2,V369),"-")</f>
        <v>-</v>
      </c>
      <c r="W370" t="str">
        <f t="shared" ca="1" si="15"/>
        <v>-</v>
      </c>
      <c r="X370" t="str">
        <f t="shared" ca="1" si="16"/>
        <v/>
      </c>
      <c r="Y370" s="1" t="str">
        <f t="shared" ca="1" si="17"/>
        <v/>
      </c>
    </row>
    <row r="371" spans="1:25" x14ac:dyDescent="0.25">
      <c r="A371" t="s">
        <v>1967</v>
      </c>
      <c r="B371">
        <v>0.99099999999999999</v>
      </c>
      <c r="C371">
        <v>2.2999999999999998</v>
      </c>
      <c r="D371">
        <v>0</v>
      </c>
      <c r="E371">
        <v>4.3</v>
      </c>
      <c r="F371">
        <v>0</v>
      </c>
      <c r="G371">
        <v>0</v>
      </c>
      <c r="H371">
        <v>0</v>
      </c>
      <c r="I371" t="s">
        <v>1581</v>
      </c>
      <c r="J371" t="s">
        <v>1581</v>
      </c>
      <c r="K371" t="s">
        <v>1581</v>
      </c>
      <c r="L371" t="s">
        <v>1581</v>
      </c>
      <c r="M371" t="s">
        <v>1581</v>
      </c>
      <c r="N371" t="s">
        <v>1581</v>
      </c>
      <c r="O371" t="s">
        <v>1581</v>
      </c>
      <c r="P371" t="s">
        <v>1581</v>
      </c>
      <c r="Q371" t="s">
        <v>1581</v>
      </c>
      <c r="R371" t="s">
        <v>1581</v>
      </c>
      <c r="S371" t="s">
        <v>1581</v>
      </c>
      <c r="T371" t="s">
        <v>1581</v>
      </c>
      <c r="U371" t="s">
        <v>1581</v>
      </c>
      <c r="V371" t="str" cm="1">
        <f t="array" aca="1" ref="V371" ca="1">IFERROR(_xlfn.IFS(A369="  ..............",OFFSET(A369,2,0),A368=" X-------------X",OFFSET(A368,3,0),MATCH("  ..............",A371:A380,0)&gt;2,V370),"-")</f>
        <v>-</v>
      </c>
      <c r="W371" t="str">
        <f t="shared" ca="1" si="15"/>
        <v>-</v>
      </c>
      <c r="X371" t="str">
        <f t="shared" ca="1" si="16"/>
        <v xml:space="preserve">              </v>
      </c>
      <c r="Y371" s="1">
        <f t="shared" ca="1" si="17"/>
        <v>0</v>
      </c>
    </row>
    <row r="372" spans="1:25" x14ac:dyDescent="0.25">
      <c r="A372" t="s">
        <v>1968</v>
      </c>
      <c r="B372">
        <v>-49.5</v>
      </c>
      <c r="C372">
        <v>0</v>
      </c>
      <c r="D372">
        <v>0</v>
      </c>
      <c r="E372">
        <v>1.9</v>
      </c>
      <c r="F372">
        <v>0</v>
      </c>
      <c r="G372">
        <v>0</v>
      </c>
      <c r="H372">
        <v>0</v>
      </c>
      <c r="I372" t="s">
        <v>1584</v>
      </c>
      <c r="J372" t="s">
        <v>1585</v>
      </c>
      <c r="K372" t="s">
        <v>1586</v>
      </c>
      <c r="L372" t="s">
        <v>1587</v>
      </c>
      <c r="M372" t="s">
        <v>1587</v>
      </c>
      <c r="N372" t="s">
        <v>1586</v>
      </c>
      <c r="O372" t="s">
        <v>1581</v>
      </c>
      <c r="P372" t="s">
        <v>1581</v>
      </c>
      <c r="Q372" t="s">
        <v>1581</v>
      </c>
      <c r="R372" t="s">
        <v>1581</v>
      </c>
      <c r="S372" t="s">
        <v>1581</v>
      </c>
      <c r="T372" t="s">
        <v>1581</v>
      </c>
      <c r="U372" t="s">
        <v>1581</v>
      </c>
      <c r="V372" t="str" cm="1">
        <f t="array" aca="1" ref="V372" ca="1">IFERROR(_xlfn.IFS(A370="  ..............",OFFSET(A370,2,0),A369=" X-------------X",OFFSET(A369,3,0),MATCH("  ..............",A372:A381,0)&gt;2,V371),"-")</f>
        <v xml:space="preserve">  SMARTA-RS046  </v>
      </c>
      <c r="W372">
        <f t="shared" ca="1" si="15"/>
        <v>0.99099999999999999</v>
      </c>
      <c r="X372" t="str">
        <f t="shared" ca="1" si="16"/>
        <v xml:space="preserve"> SMARTA-RS138 </v>
      </c>
      <c r="Y372" s="1">
        <f t="shared" ca="1" si="17"/>
        <v>0.55500000000000005</v>
      </c>
    </row>
    <row r="373" spans="1:25" x14ac:dyDescent="0.25">
      <c r="A373" t="s">
        <v>1588</v>
      </c>
      <c r="B373" t="s">
        <v>1587</v>
      </c>
      <c r="C373">
        <v>33</v>
      </c>
      <c r="D373">
        <v>45</v>
      </c>
      <c r="E373">
        <v>45</v>
      </c>
      <c r="F373" s="1">
        <v>8.4000000000000005E-2</v>
      </c>
      <c r="G373" t="s">
        <v>1587</v>
      </c>
      <c r="H373" t="s">
        <v>1587</v>
      </c>
      <c r="I373">
        <v>1275</v>
      </c>
      <c r="J373" t="s">
        <v>1949</v>
      </c>
      <c r="K373">
        <v>2</v>
      </c>
      <c r="L373">
        <v>-2</v>
      </c>
      <c r="M373">
        <v>-1.9</v>
      </c>
      <c r="N373">
        <v>2.8</v>
      </c>
      <c r="O373" t="s">
        <v>1594</v>
      </c>
      <c r="P373" t="s">
        <v>1584</v>
      </c>
      <c r="Q373" t="s">
        <v>1591</v>
      </c>
      <c r="R373">
        <v>0</v>
      </c>
      <c r="S373">
        <v>0.06</v>
      </c>
      <c r="T373" t="s">
        <v>1584</v>
      </c>
      <c r="U373" t="s">
        <v>1592</v>
      </c>
      <c r="V373" t="str" cm="1">
        <f t="array" aca="1" ref="V373" ca="1">IFERROR(_xlfn.IFS(A371="  ..............",OFFSET(A371,2,0),A370=" X-------------X",OFFSET(A370,3,0),MATCH("  ..............",A373:A382,0)&gt;2,V372),"-")</f>
        <v>-</v>
      </c>
      <c r="W373" t="str">
        <f t="shared" ca="1" si="15"/>
        <v>-</v>
      </c>
      <c r="X373" t="str">
        <f t="shared" ca="1" si="16"/>
        <v>-</v>
      </c>
      <c r="Y373" s="1" t="str">
        <f t="shared" ca="1" si="17"/>
        <v>-</v>
      </c>
    </row>
    <row r="374" spans="1:25" x14ac:dyDescent="0.25">
      <c r="A374" t="s">
        <v>1572</v>
      </c>
      <c r="B374" t="s">
        <v>1574</v>
      </c>
      <c r="C374" t="s">
        <v>1574</v>
      </c>
      <c r="D374" t="s">
        <v>1574</v>
      </c>
      <c r="E374" t="s">
        <v>1574</v>
      </c>
      <c r="F374" t="s">
        <v>1575</v>
      </c>
      <c r="G374" t="s">
        <v>1574</v>
      </c>
      <c r="H374" t="s">
        <v>1574</v>
      </c>
      <c r="I374" t="s">
        <v>1576</v>
      </c>
      <c r="J374" t="s">
        <v>1573</v>
      </c>
      <c r="K374" t="s">
        <v>1577</v>
      </c>
      <c r="L374" t="s">
        <v>1574</v>
      </c>
      <c r="M374" t="s">
        <v>1574</v>
      </c>
      <c r="N374" t="s">
        <v>1574</v>
      </c>
      <c r="O374" t="s">
        <v>1578</v>
      </c>
      <c r="P374" t="s">
        <v>1576</v>
      </c>
      <c r="Q374" t="s">
        <v>1579</v>
      </c>
      <c r="R374" t="s">
        <v>1580</v>
      </c>
      <c r="S374" t="s">
        <v>1580</v>
      </c>
      <c r="T374" t="s">
        <v>1576</v>
      </c>
      <c r="U374" t="s">
        <v>1576</v>
      </c>
      <c r="V374" t="str" cm="1">
        <f t="array" aca="1" ref="V374" ca="1">IFERROR(_xlfn.IFS(A372="  ..............",OFFSET(A372,2,0),A371=" X-------------X",OFFSET(A371,3,0),MATCH("  ..............",A374:A383,0)&gt;2,V373),"-")</f>
        <v>-</v>
      </c>
      <c r="W374" t="str">
        <f t="shared" ca="1" si="15"/>
        <v>-</v>
      </c>
      <c r="X374" t="str">
        <f t="shared" ca="1" si="16"/>
        <v/>
      </c>
      <c r="Y374" s="1" t="str">
        <f t="shared" ca="1" si="17"/>
        <v/>
      </c>
    </row>
    <row r="375" spans="1:25" x14ac:dyDescent="0.25">
      <c r="A375" t="s">
        <v>1969</v>
      </c>
      <c r="B375">
        <v>1.0109999999999999</v>
      </c>
      <c r="C375">
        <v>0.1</v>
      </c>
      <c r="D375">
        <v>0</v>
      </c>
      <c r="E375">
        <v>2.1</v>
      </c>
      <c r="F375">
        <v>0</v>
      </c>
      <c r="G375">
        <v>7.4</v>
      </c>
      <c r="H375">
        <v>0</v>
      </c>
      <c r="I375" t="s">
        <v>1581</v>
      </c>
      <c r="J375" t="s">
        <v>1581</v>
      </c>
      <c r="K375" t="s">
        <v>1581</v>
      </c>
      <c r="L375" t="s">
        <v>1581</v>
      </c>
      <c r="M375" t="s">
        <v>1581</v>
      </c>
      <c r="N375" t="s">
        <v>1581</v>
      </c>
      <c r="O375" t="s">
        <v>1581</v>
      </c>
      <c r="P375" t="s">
        <v>1581</v>
      </c>
      <c r="Q375" t="s">
        <v>1581</v>
      </c>
      <c r="R375" t="s">
        <v>1581</v>
      </c>
      <c r="S375" t="s">
        <v>1581</v>
      </c>
      <c r="T375" t="s">
        <v>1581</v>
      </c>
      <c r="U375" t="s">
        <v>1581</v>
      </c>
      <c r="V375" t="str" cm="1">
        <f t="array" aca="1" ref="V375" ca="1">IFERROR(_xlfn.IFS(A373="  ..............",OFFSET(A373,2,0),A372=" X-------------X",OFFSET(A372,3,0),MATCH("  ..............",A375:A384,0)&gt;2,V374),"-")</f>
        <v>-</v>
      </c>
      <c r="W375" t="str">
        <f t="shared" ca="1" si="15"/>
        <v>-</v>
      </c>
      <c r="X375" t="str">
        <f t="shared" ca="1" si="16"/>
        <v xml:space="preserve">              </v>
      </c>
      <c r="Y375" s="1">
        <f t="shared" ca="1" si="17"/>
        <v>0</v>
      </c>
    </row>
    <row r="376" spans="1:25" x14ac:dyDescent="0.25">
      <c r="A376" t="s">
        <v>1970</v>
      </c>
      <c r="B376">
        <v>-47.2</v>
      </c>
      <c r="C376">
        <v>0</v>
      </c>
      <c r="D376">
        <v>0</v>
      </c>
      <c r="E376">
        <v>0.2</v>
      </c>
      <c r="F376">
        <v>0</v>
      </c>
      <c r="G376">
        <v>0</v>
      </c>
      <c r="H376">
        <v>0</v>
      </c>
      <c r="I376" t="s">
        <v>1584</v>
      </c>
      <c r="J376" t="s">
        <v>1585</v>
      </c>
      <c r="K376" t="s">
        <v>1586</v>
      </c>
      <c r="L376" t="s">
        <v>1587</v>
      </c>
      <c r="M376" t="s">
        <v>1587</v>
      </c>
      <c r="N376" t="s">
        <v>1586</v>
      </c>
      <c r="O376" t="s">
        <v>1581</v>
      </c>
      <c r="P376" t="s">
        <v>1581</v>
      </c>
      <c r="Q376" t="s">
        <v>1581</v>
      </c>
      <c r="R376" t="s">
        <v>1581</v>
      </c>
      <c r="S376" t="s">
        <v>1581</v>
      </c>
      <c r="T376" t="s">
        <v>1581</v>
      </c>
      <c r="U376" t="s">
        <v>1581</v>
      </c>
      <c r="V376" t="str" cm="1">
        <f t="array" aca="1" ref="V376" ca="1">IFERROR(_xlfn.IFS(A374="  ..............",OFFSET(A374,2,0),A373=" X-------------X",OFFSET(A373,3,0),MATCH("  ..............",A376:A385,0)&gt;2,V375),"-")</f>
        <v xml:space="preserve">  MARMEL-RS138  </v>
      </c>
      <c r="W376">
        <f t="shared" ca="1" si="15"/>
        <v>1.0109999999999999</v>
      </c>
      <c r="X376" t="str">
        <f t="shared" ca="1" si="16"/>
        <v xml:space="preserve"> QUINTA-RS138 </v>
      </c>
      <c r="Y376" s="1" t="str">
        <f t="shared" ca="1" si="17"/>
        <v xml:space="preserve">             </v>
      </c>
    </row>
    <row r="377" spans="1:25" x14ac:dyDescent="0.25">
      <c r="A377" t="s">
        <v>1637</v>
      </c>
      <c r="B377" t="s">
        <v>1638</v>
      </c>
      <c r="C377">
        <v>97</v>
      </c>
      <c r="D377">
        <v>141</v>
      </c>
      <c r="E377">
        <v>141</v>
      </c>
      <c r="F377" t="s">
        <v>1639</v>
      </c>
      <c r="G377" t="s">
        <v>1587</v>
      </c>
      <c r="H377" t="s">
        <v>1587</v>
      </c>
      <c r="I377">
        <v>1247</v>
      </c>
      <c r="J377" t="s">
        <v>1971</v>
      </c>
      <c r="K377">
        <v>1</v>
      </c>
      <c r="L377">
        <v>0</v>
      </c>
      <c r="M377">
        <v>0</v>
      </c>
      <c r="N377">
        <v>0</v>
      </c>
      <c r="O377" t="s">
        <v>1594</v>
      </c>
      <c r="P377" t="s">
        <v>1584</v>
      </c>
      <c r="Q377">
        <v>4</v>
      </c>
      <c r="R377">
        <v>0</v>
      </c>
      <c r="S377">
        <v>0</v>
      </c>
      <c r="T377" t="s">
        <v>1584</v>
      </c>
      <c r="U377" t="s">
        <v>1592</v>
      </c>
      <c r="V377" t="str" cm="1">
        <f t="array" aca="1" ref="V377" ca="1">IFERROR(_xlfn.IFS(A375="  ..............",OFFSET(A375,2,0),A374=" X-------------X",OFFSET(A374,3,0),MATCH("  ..............",A377:A386,0)&gt;2,V376),"-")</f>
        <v xml:space="preserve">  MARMEL-RS138  </v>
      </c>
      <c r="W377">
        <f t="shared" ca="1" si="15"/>
        <v>1.0109999999999999</v>
      </c>
      <c r="X377" t="str">
        <f t="shared" ca="1" si="16"/>
        <v xml:space="preserve"> SVP2-A-RS138 </v>
      </c>
      <c r="Y377" s="1">
        <f t="shared" ca="1" si="17"/>
        <v>0.1</v>
      </c>
    </row>
    <row r="378" spans="1:25" x14ac:dyDescent="0.25">
      <c r="A378" t="s">
        <v>1588</v>
      </c>
      <c r="B378" t="s">
        <v>1587</v>
      </c>
      <c r="C378">
        <v>97</v>
      </c>
      <c r="D378">
        <v>141</v>
      </c>
      <c r="E378">
        <v>141</v>
      </c>
      <c r="F378" s="1">
        <v>7.5999999999999998E-2</v>
      </c>
      <c r="G378" t="s">
        <v>1587</v>
      </c>
      <c r="H378" t="s">
        <v>1587</v>
      </c>
      <c r="I378">
        <v>9823</v>
      </c>
      <c r="J378" t="s">
        <v>1935</v>
      </c>
      <c r="K378">
        <v>1</v>
      </c>
      <c r="L378">
        <v>-2</v>
      </c>
      <c r="M378">
        <v>7.2</v>
      </c>
      <c r="N378">
        <v>7.3</v>
      </c>
      <c r="O378" t="s">
        <v>1594</v>
      </c>
      <c r="P378" t="s">
        <v>1584</v>
      </c>
      <c r="Q378" t="s">
        <v>1591</v>
      </c>
      <c r="R378">
        <v>0.03</v>
      </c>
      <c r="S378">
        <v>-2.41</v>
      </c>
      <c r="T378" t="s">
        <v>1584</v>
      </c>
      <c r="U378" t="s">
        <v>1592</v>
      </c>
      <c r="V378" t="str" cm="1">
        <f t="array" aca="1" ref="V378" ca="1">IFERROR(_xlfn.IFS(A376="  ..............",OFFSET(A376,2,0),A375=" X-------------X",OFFSET(A375,3,0),MATCH("  ..............",A378:A387,0)&gt;2,V377),"-")</f>
        <v>-</v>
      </c>
      <c r="W378" t="str">
        <f t="shared" ca="1" si="15"/>
        <v>-</v>
      </c>
      <c r="X378" t="str">
        <f t="shared" ca="1" si="16"/>
        <v>-</v>
      </c>
      <c r="Y378" s="1" t="str">
        <f t="shared" ca="1" si="17"/>
        <v>-</v>
      </c>
    </row>
    <row r="379" spans="1:25" x14ac:dyDescent="0.25">
      <c r="A379" t="s">
        <v>1572</v>
      </c>
      <c r="B379" t="s">
        <v>1574</v>
      </c>
      <c r="C379" t="s">
        <v>1574</v>
      </c>
      <c r="D379" t="s">
        <v>1574</v>
      </c>
      <c r="E379" t="s">
        <v>1574</v>
      </c>
      <c r="F379" t="s">
        <v>1575</v>
      </c>
      <c r="G379" t="s">
        <v>1574</v>
      </c>
      <c r="H379" t="s">
        <v>1574</v>
      </c>
      <c r="I379" t="s">
        <v>1576</v>
      </c>
      <c r="J379" t="s">
        <v>1573</v>
      </c>
      <c r="K379" t="s">
        <v>1577</v>
      </c>
      <c r="L379" t="s">
        <v>1574</v>
      </c>
      <c r="M379" t="s">
        <v>1574</v>
      </c>
      <c r="N379" t="s">
        <v>1574</v>
      </c>
      <c r="O379" t="s">
        <v>1578</v>
      </c>
      <c r="P379" t="s">
        <v>1576</v>
      </c>
      <c r="Q379" t="s">
        <v>1579</v>
      </c>
      <c r="R379" t="s">
        <v>1580</v>
      </c>
      <c r="S379" t="s">
        <v>1580</v>
      </c>
      <c r="T379" t="s">
        <v>1576</v>
      </c>
      <c r="U379" t="s">
        <v>1576</v>
      </c>
      <c r="V379" t="str" cm="1">
        <f t="array" aca="1" ref="V379" ca="1">IFERROR(_xlfn.IFS(A377="  ..............",OFFSET(A377,2,0),A376=" X-------------X",OFFSET(A376,3,0),MATCH("  ..............",A379:A388,0)&gt;2,V378),"-")</f>
        <v>-</v>
      </c>
      <c r="W379" t="str">
        <f t="shared" ca="1" si="15"/>
        <v>-</v>
      </c>
      <c r="X379" t="str">
        <f t="shared" ca="1" si="16"/>
        <v/>
      </c>
      <c r="Y379" s="1" t="str">
        <f t="shared" ca="1" si="17"/>
        <v/>
      </c>
    </row>
    <row r="380" spans="1:25" x14ac:dyDescent="0.25">
      <c r="A380" t="s">
        <v>1972</v>
      </c>
      <c r="B380">
        <v>1.012</v>
      </c>
      <c r="C380">
        <v>14.4</v>
      </c>
      <c r="D380">
        <v>0</v>
      </c>
      <c r="E380">
        <v>59.8</v>
      </c>
      <c r="F380">
        <v>0</v>
      </c>
      <c r="G380">
        <v>11.1</v>
      </c>
      <c r="H380">
        <v>0</v>
      </c>
      <c r="I380" t="s">
        <v>1581</v>
      </c>
      <c r="J380" t="s">
        <v>1581</v>
      </c>
      <c r="K380" t="s">
        <v>1581</v>
      </c>
      <c r="L380" t="s">
        <v>1581</v>
      </c>
      <c r="M380" t="s">
        <v>1581</v>
      </c>
      <c r="N380" t="s">
        <v>1581</v>
      </c>
      <c r="O380" t="s">
        <v>1581</v>
      </c>
      <c r="P380" t="s">
        <v>1581</v>
      </c>
      <c r="Q380" t="s">
        <v>1581</v>
      </c>
      <c r="R380" t="s">
        <v>1581</v>
      </c>
      <c r="S380" t="s">
        <v>1581</v>
      </c>
      <c r="T380" t="s">
        <v>1581</v>
      </c>
      <c r="U380" t="s">
        <v>1581</v>
      </c>
      <c r="V380" t="str" cm="1">
        <f t="array" aca="1" ref="V380" ca="1">IFERROR(_xlfn.IFS(A378="  ..............",OFFSET(A378,2,0),A377=" X-------------X",OFFSET(A377,3,0),MATCH("  ..............",A380:A389,0)&gt;2,V379),"-")</f>
        <v>-</v>
      </c>
      <c r="W380" t="str">
        <f t="shared" ca="1" si="15"/>
        <v>-</v>
      </c>
      <c r="X380" t="str">
        <f t="shared" ca="1" si="16"/>
        <v xml:space="preserve">              </v>
      </c>
      <c r="Y380" s="1">
        <f t="shared" ca="1" si="17"/>
        <v>0</v>
      </c>
    </row>
    <row r="381" spans="1:25" x14ac:dyDescent="0.25">
      <c r="A381" t="s">
        <v>1973</v>
      </c>
      <c r="B381">
        <v>-52.3</v>
      </c>
      <c r="C381">
        <v>0</v>
      </c>
      <c r="D381">
        <v>0</v>
      </c>
      <c r="E381">
        <v>22.8</v>
      </c>
      <c r="F381">
        <v>0</v>
      </c>
      <c r="G381">
        <v>0</v>
      </c>
      <c r="H381">
        <v>0</v>
      </c>
      <c r="I381" t="s">
        <v>1584</v>
      </c>
      <c r="J381" t="s">
        <v>1585</v>
      </c>
      <c r="K381" t="s">
        <v>1586</v>
      </c>
      <c r="L381" t="s">
        <v>1587</v>
      </c>
      <c r="M381" t="s">
        <v>1587</v>
      </c>
      <c r="N381" t="s">
        <v>1586</v>
      </c>
      <c r="O381" t="s">
        <v>1581</v>
      </c>
      <c r="P381" t="s">
        <v>1581</v>
      </c>
      <c r="Q381" t="s">
        <v>1581</v>
      </c>
      <c r="R381" t="s">
        <v>1581</v>
      </c>
      <c r="S381" t="s">
        <v>1581</v>
      </c>
      <c r="T381" t="s">
        <v>1581</v>
      </c>
      <c r="U381" t="s">
        <v>1581</v>
      </c>
      <c r="V381" t="str" cm="1">
        <f t="array" aca="1" ref="V381" ca="1">IFERROR(_xlfn.IFS(A379="  ..............",OFFSET(A379,2,0),A378=" X-------------X",OFFSET(A378,3,0),MATCH("  ..............",A381:A390,0)&gt;2,V380),"-")</f>
        <v xml:space="preserve">  SVICEN-RS069  </v>
      </c>
      <c r="W381">
        <f t="shared" ca="1" si="15"/>
        <v>1.012</v>
      </c>
      <c r="X381" t="str">
        <f t="shared" ca="1" si="16"/>
        <v xml:space="preserve"> SVICEN-RS023 </v>
      </c>
      <c r="Y381" s="1">
        <f t="shared" ca="1" si="17"/>
        <v>0.216</v>
      </c>
    </row>
    <row r="382" spans="1:25" x14ac:dyDescent="0.25">
      <c r="A382" t="s">
        <v>1588</v>
      </c>
      <c r="B382" t="s">
        <v>1587</v>
      </c>
      <c r="C382">
        <v>25</v>
      </c>
      <c r="D382">
        <v>30</v>
      </c>
      <c r="E382">
        <v>30</v>
      </c>
      <c r="F382" s="1">
        <v>0.216</v>
      </c>
      <c r="G382" t="s">
        <v>1587</v>
      </c>
      <c r="H382" t="s">
        <v>1587</v>
      </c>
      <c r="I382">
        <v>9208</v>
      </c>
      <c r="J382" t="s">
        <v>1974</v>
      </c>
      <c r="K382">
        <v>3</v>
      </c>
      <c r="L382">
        <v>5</v>
      </c>
      <c r="M382">
        <v>2.2000000000000002</v>
      </c>
      <c r="N382">
        <v>5.4</v>
      </c>
      <c r="O382" t="s">
        <v>1975</v>
      </c>
      <c r="P382" t="s">
        <v>1584</v>
      </c>
      <c r="Q382" t="s">
        <v>1591</v>
      </c>
      <c r="R382">
        <v>0.01</v>
      </c>
      <c r="S382">
        <v>0.09</v>
      </c>
      <c r="T382" t="s">
        <v>1584</v>
      </c>
      <c r="U382" t="s">
        <v>1592</v>
      </c>
      <c r="V382" t="str" cm="1">
        <f t="array" aca="1" ref="V382" ca="1">IFERROR(_xlfn.IFS(A380="  ..............",OFFSET(A380,2,0),A379=" X-------------X",OFFSET(A379,3,0),MATCH("  ..............",A382:A391,0)&gt;2,V381),"-")</f>
        <v xml:space="preserve">  SVICEN-RS069  </v>
      </c>
      <c r="W382">
        <f t="shared" ca="1" si="15"/>
        <v>1.012</v>
      </c>
      <c r="X382" t="str">
        <f t="shared" ca="1" si="16"/>
        <v xml:space="preserve"> SVI--1-RS000 </v>
      </c>
      <c r="Y382" s="1">
        <f t="shared" ca="1" si="17"/>
        <v>0.34899999999999998</v>
      </c>
    </row>
    <row r="383" spans="1:25" x14ac:dyDescent="0.25">
      <c r="A383" t="s">
        <v>1588</v>
      </c>
      <c r="B383" t="s">
        <v>1587</v>
      </c>
      <c r="C383">
        <v>50</v>
      </c>
      <c r="D383">
        <v>75</v>
      </c>
      <c r="E383">
        <v>75</v>
      </c>
      <c r="F383" s="1">
        <v>0.34899999999999998</v>
      </c>
      <c r="G383" t="s">
        <v>1587</v>
      </c>
      <c r="H383" t="s">
        <v>1587</v>
      </c>
      <c r="I383">
        <v>41383</v>
      </c>
      <c r="J383" t="s">
        <v>1976</v>
      </c>
      <c r="K383">
        <v>1</v>
      </c>
      <c r="L383">
        <v>-17</v>
      </c>
      <c r="M383">
        <v>-4.7</v>
      </c>
      <c r="N383">
        <v>17.399999999999999</v>
      </c>
      <c r="O383" t="s">
        <v>1608</v>
      </c>
      <c r="P383" t="s">
        <v>1584</v>
      </c>
      <c r="Q383">
        <v>2</v>
      </c>
      <c r="R383">
        <v>0.01</v>
      </c>
      <c r="S383">
        <v>-0.02</v>
      </c>
      <c r="T383" t="s">
        <v>1584</v>
      </c>
      <c r="U383" t="s">
        <v>1592</v>
      </c>
      <c r="V383" t="str" cm="1">
        <f t="array" aca="1" ref="V383" ca="1">IFERROR(_xlfn.IFS(A381="  ..............",OFFSET(A381,2,0),A380=" X-------------X",OFFSET(A380,3,0),MATCH("  ..............",A383:A392,0)&gt;2,V382),"-")</f>
        <v xml:space="preserve">  SVICEN-RS069  </v>
      </c>
      <c r="W383">
        <f t="shared" ca="1" si="15"/>
        <v>1.012</v>
      </c>
      <c r="X383" t="str">
        <f t="shared" ca="1" si="16"/>
        <v xml:space="preserve"> SVI--2-RS000 </v>
      </c>
      <c r="Y383" s="1">
        <f t="shared" ca="1" si="17"/>
        <v>0.33700000000000002</v>
      </c>
    </row>
    <row r="384" spans="1:25" x14ac:dyDescent="0.25">
      <c r="A384" t="s">
        <v>1588</v>
      </c>
      <c r="B384" t="s">
        <v>1587</v>
      </c>
      <c r="C384">
        <v>50</v>
      </c>
      <c r="D384">
        <v>75</v>
      </c>
      <c r="E384">
        <v>75</v>
      </c>
      <c r="F384" s="1">
        <v>0.33700000000000002</v>
      </c>
      <c r="G384" t="s">
        <v>1587</v>
      </c>
      <c r="H384" t="s">
        <v>1587</v>
      </c>
      <c r="I384">
        <v>41384</v>
      </c>
      <c r="J384" t="s">
        <v>1977</v>
      </c>
      <c r="K384">
        <v>2</v>
      </c>
      <c r="L384">
        <v>-16.5</v>
      </c>
      <c r="M384">
        <v>-4.5</v>
      </c>
      <c r="N384">
        <v>16.899999999999999</v>
      </c>
      <c r="O384" t="s">
        <v>1608</v>
      </c>
      <c r="P384" t="s">
        <v>1584</v>
      </c>
      <c r="Q384">
        <v>2</v>
      </c>
      <c r="R384">
        <v>0.01</v>
      </c>
      <c r="S384">
        <v>-0.03</v>
      </c>
      <c r="T384" t="s">
        <v>1584</v>
      </c>
      <c r="U384" t="s">
        <v>1592</v>
      </c>
      <c r="V384" t="str" cm="1">
        <f t="array" aca="1" ref="V384" ca="1">IFERROR(_xlfn.IFS(A382="  ..............",OFFSET(A382,2,0),A381=" X-------------X",OFFSET(A381,3,0),MATCH("  ..............",A384:A393,0)&gt;2,V383),"-")</f>
        <v xml:space="preserve">  SVICEN-RS069  </v>
      </c>
      <c r="W384">
        <f t="shared" ca="1" si="15"/>
        <v>1.012</v>
      </c>
      <c r="X384" t="str">
        <f t="shared" ca="1" si="16"/>
        <v xml:space="preserve"> SVI--6-RS000 </v>
      </c>
      <c r="Y384" s="1">
        <f t="shared" ca="1" si="17"/>
        <v>0.34799999999999998</v>
      </c>
    </row>
    <row r="385" spans="1:25" x14ac:dyDescent="0.25">
      <c r="A385" t="s">
        <v>1588</v>
      </c>
      <c r="B385" t="s">
        <v>1587</v>
      </c>
      <c r="C385">
        <v>50</v>
      </c>
      <c r="D385">
        <v>50</v>
      </c>
      <c r="E385">
        <v>50</v>
      </c>
      <c r="F385" s="1">
        <v>0.34799999999999998</v>
      </c>
      <c r="G385" t="s">
        <v>1587</v>
      </c>
      <c r="H385" t="s">
        <v>1587</v>
      </c>
      <c r="I385">
        <v>41385</v>
      </c>
      <c r="J385" t="s">
        <v>1978</v>
      </c>
      <c r="K385">
        <v>6</v>
      </c>
      <c r="L385">
        <v>-16.899999999999999</v>
      </c>
      <c r="M385">
        <v>-4.8</v>
      </c>
      <c r="N385">
        <v>17.399999999999999</v>
      </c>
      <c r="O385" t="s">
        <v>1608</v>
      </c>
      <c r="P385" t="s">
        <v>1584</v>
      </c>
      <c r="Q385">
        <v>2</v>
      </c>
      <c r="R385">
        <v>0.01</v>
      </c>
      <c r="S385">
        <v>-0.04</v>
      </c>
      <c r="T385" t="s">
        <v>1584</v>
      </c>
      <c r="U385" t="s">
        <v>1592</v>
      </c>
      <c r="V385" t="str" cm="1">
        <f t="array" aca="1" ref="V385" ca="1">IFERROR(_xlfn.IFS(A383="  ..............",OFFSET(A383,2,0),A382=" X-------------X",OFFSET(A382,3,0),MATCH("  ..............",A385:A394,0)&gt;2,V384),"-")</f>
        <v>-</v>
      </c>
      <c r="W385" t="str">
        <f t="shared" ca="1" si="15"/>
        <v>-</v>
      </c>
      <c r="X385" t="str">
        <f t="shared" ca="1" si="16"/>
        <v>-</v>
      </c>
      <c r="Y385" s="1" t="str">
        <f t="shared" ca="1" si="17"/>
        <v>-</v>
      </c>
    </row>
    <row r="386" spans="1:25" x14ac:dyDescent="0.25">
      <c r="A386" t="s">
        <v>1572</v>
      </c>
      <c r="B386" t="s">
        <v>1574</v>
      </c>
      <c r="C386" t="s">
        <v>1574</v>
      </c>
      <c r="D386" t="s">
        <v>1574</v>
      </c>
      <c r="E386" t="s">
        <v>1574</v>
      </c>
      <c r="F386" t="s">
        <v>1575</v>
      </c>
      <c r="G386" t="s">
        <v>1574</v>
      </c>
      <c r="H386" t="s">
        <v>1574</v>
      </c>
      <c r="I386" t="s">
        <v>1576</v>
      </c>
      <c r="J386" t="s">
        <v>1573</v>
      </c>
      <c r="K386" t="s">
        <v>1577</v>
      </c>
      <c r="L386" t="s">
        <v>1574</v>
      </c>
      <c r="M386" t="s">
        <v>1574</v>
      </c>
      <c r="N386" t="s">
        <v>1574</v>
      </c>
      <c r="O386" t="s">
        <v>1578</v>
      </c>
      <c r="P386" t="s">
        <v>1576</v>
      </c>
      <c r="Q386" t="s">
        <v>1579</v>
      </c>
      <c r="R386" t="s">
        <v>1580</v>
      </c>
      <c r="S386" t="s">
        <v>1580</v>
      </c>
      <c r="T386" t="s">
        <v>1576</v>
      </c>
      <c r="U386" t="s">
        <v>1576</v>
      </c>
      <c r="V386" t="str" cm="1">
        <f t="array" aca="1" ref="V386" ca="1">IFERROR(_xlfn.IFS(A384="  ..............",OFFSET(A384,2,0),A383=" X-------------X",OFFSET(A383,3,0),MATCH("  ..............",A386:A395,0)&gt;2,V385),"-")</f>
        <v>-</v>
      </c>
      <c r="W386" t="str">
        <f t="shared" ca="1" si="15"/>
        <v>-</v>
      </c>
      <c r="X386" t="str">
        <f t="shared" ca="1" si="16"/>
        <v/>
      </c>
      <c r="Y386" s="1" t="str">
        <f t="shared" ca="1" si="17"/>
        <v/>
      </c>
    </row>
    <row r="387" spans="1:25" x14ac:dyDescent="0.25">
      <c r="A387" t="s">
        <v>1979</v>
      </c>
      <c r="B387">
        <v>1.004</v>
      </c>
      <c r="C387">
        <v>4</v>
      </c>
      <c r="D387">
        <v>0</v>
      </c>
      <c r="E387">
        <v>32.700000000000003</v>
      </c>
      <c r="F387">
        <v>0</v>
      </c>
      <c r="G387">
        <v>3.6</v>
      </c>
      <c r="H387">
        <v>0</v>
      </c>
      <c r="I387" t="s">
        <v>1581</v>
      </c>
      <c r="J387" t="s">
        <v>1581</v>
      </c>
      <c r="K387" t="s">
        <v>1581</v>
      </c>
      <c r="L387" t="s">
        <v>1581</v>
      </c>
      <c r="M387" t="s">
        <v>1581</v>
      </c>
      <c r="N387" t="s">
        <v>1581</v>
      </c>
      <c r="O387" t="s">
        <v>1581</v>
      </c>
      <c r="P387" t="s">
        <v>1581</v>
      </c>
      <c r="Q387" t="s">
        <v>1581</v>
      </c>
      <c r="R387" t="s">
        <v>1581</v>
      </c>
      <c r="S387" t="s">
        <v>1581</v>
      </c>
      <c r="T387" t="s">
        <v>1581</v>
      </c>
      <c r="U387" t="s">
        <v>1581</v>
      </c>
      <c r="V387" t="str" cm="1">
        <f t="array" aca="1" ref="V387" ca="1">IFERROR(_xlfn.IFS(A385="  ..............",OFFSET(A385,2,0),A384=" X-------------X",OFFSET(A384,3,0),MATCH("  ..............",A387:A396,0)&gt;2,V386),"-")</f>
        <v>-</v>
      </c>
      <c r="W387" t="str">
        <f t="shared" ca="1" si="15"/>
        <v>-</v>
      </c>
      <c r="X387" t="str">
        <f t="shared" ca="1" si="16"/>
        <v xml:space="preserve">              </v>
      </c>
      <c r="Y387" s="1">
        <f t="shared" ca="1" si="17"/>
        <v>0</v>
      </c>
    </row>
    <row r="388" spans="1:25" x14ac:dyDescent="0.25">
      <c r="A388" t="s">
        <v>1980</v>
      </c>
      <c r="B388">
        <v>-53.5</v>
      </c>
      <c r="C388">
        <v>0</v>
      </c>
      <c r="D388">
        <v>0</v>
      </c>
      <c r="E388">
        <v>13.4</v>
      </c>
      <c r="F388">
        <v>0</v>
      </c>
      <c r="G388">
        <v>0</v>
      </c>
      <c r="H388">
        <v>0</v>
      </c>
      <c r="I388" t="s">
        <v>1584</v>
      </c>
      <c r="J388" t="s">
        <v>1585</v>
      </c>
      <c r="K388" t="s">
        <v>1586</v>
      </c>
      <c r="L388" t="s">
        <v>1587</v>
      </c>
      <c r="M388" t="s">
        <v>1587</v>
      </c>
      <c r="N388" t="s">
        <v>1586</v>
      </c>
      <c r="O388" t="s">
        <v>1581</v>
      </c>
      <c r="P388" t="s">
        <v>1581</v>
      </c>
      <c r="Q388" t="s">
        <v>1581</v>
      </c>
      <c r="R388" t="s">
        <v>1581</v>
      </c>
      <c r="S388" t="s">
        <v>1581</v>
      </c>
      <c r="T388" t="s">
        <v>1581</v>
      </c>
      <c r="U388" t="s">
        <v>1581</v>
      </c>
      <c r="V388" t="str" cm="1">
        <f t="array" aca="1" ref="V388" ca="1">IFERROR(_xlfn.IFS(A386="  ..............",OFFSET(A386,2,0),A385=" X-------------X",OFFSET(A385,3,0),MATCH("  ..............",A388:A397,0)&gt;2,V387),"-")</f>
        <v xml:space="preserve">  3COROA-RS138  </v>
      </c>
      <c r="W388">
        <f t="shared" ref="W388:W451" ca="1" si="18">IFERROR(OFFSET($A$1,MATCH(V388,A:A,0)-2,1),"-")</f>
        <v>1.004</v>
      </c>
      <c r="X388" t="str">
        <f t="shared" ref="X388:X451" ca="1" si="19">IFERROR(IF(V388=V387,OFFSET($J$1,ROW(X388),0),OFFSET($J$1,MATCH(V388,A:A,0),0)),"-")</f>
        <v xml:space="preserve"> SCHINC-RS138 </v>
      </c>
      <c r="Y388" s="1">
        <f t="shared" ref="Y388:Y451" ca="1" si="20">IFERROR(OFFSET($F$1,MATCH(X388,J:J,0)-1,0),"-")</f>
        <v>0</v>
      </c>
    </row>
    <row r="389" spans="1:25" x14ac:dyDescent="0.25">
      <c r="A389" t="s">
        <v>1588</v>
      </c>
      <c r="B389" t="s">
        <v>1587</v>
      </c>
      <c r="C389">
        <v>9999</v>
      </c>
      <c r="D389">
        <v>9999</v>
      </c>
      <c r="E389">
        <v>9999</v>
      </c>
      <c r="F389" s="1">
        <v>0</v>
      </c>
      <c r="G389" t="s">
        <v>1587</v>
      </c>
      <c r="H389" t="s">
        <v>1587</v>
      </c>
      <c r="I389">
        <v>1374</v>
      </c>
      <c r="J389" t="s">
        <v>1981</v>
      </c>
      <c r="K389">
        <v>1</v>
      </c>
      <c r="L389">
        <v>4.3</v>
      </c>
      <c r="M389">
        <v>0.9</v>
      </c>
      <c r="N389">
        <v>4.4000000000000004</v>
      </c>
      <c r="O389" t="s">
        <v>1594</v>
      </c>
      <c r="P389" t="s">
        <v>1584</v>
      </c>
      <c r="Q389" t="s">
        <v>1591</v>
      </c>
      <c r="R389">
        <v>0</v>
      </c>
      <c r="S389">
        <v>-0.89</v>
      </c>
      <c r="T389" t="s">
        <v>1584</v>
      </c>
      <c r="U389" t="s">
        <v>1592</v>
      </c>
      <c r="V389" t="str" cm="1">
        <f t="array" aca="1" ref="V389" ca="1">IFERROR(_xlfn.IFS(A387="  ..............",OFFSET(A387,2,0),A386=" X-------------X",OFFSET(A386,3,0),MATCH("  ..............",A389:A398,0)&gt;2,V388),"-")</f>
        <v xml:space="preserve">  3COROA-RS138  </v>
      </c>
      <c r="W389">
        <f t="shared" ca="1" si="18"/>
        <v>1.004</v>
      </c>
      <c r="X389" t="str">
        <f t="shared" ca="1" si="19"/>
        <v xml:space="preserve"> CANAST-RS138 </v>
      </c>
      <c r="Y389" s="1">
        <f t="shared" ca="1" si="20"/>
        <v>3.1E-2</v>
      </c>
    </row>
    <row r="390" spans="1:25" x14ac:dyDescent="0.25">
      <c r="A390" t="s">
        <v>1588</v>
      </c>
      <c r="B390" t="s">
        <v>1587</v>
      </c>
      <c r="C390">
        <v>96</v>
      </c>
      <c r="D390">
        <v>96</v>
      </c>
      <c r="E390">
        <v>96</v>
      </c>
      <c r="F390" s="1">
        <v>3.1E-2</v>
      </c>
      <c r="G390" t="s">
        <v>1587</v>
      </c>
      <c r="H390" t="s">
        <v>1587</v>
      </c>
      <c r="I390">
        <v>2064</v>
      </c>
      <c r="J390" t="s">
        <v>1982</v>
      </c>
      <c r="K390">
        <v>1</v>
      </c>
      <c r="L390">
        <v>-2.6</v>
      </c>
      <c r="M390">
        <v>1.3</v>
      </c>
      <c r="N390">
        <v>2.9</v>
      </c>
      <c r="O390" t="s">
        <v>1594</v>
      </c>
      <c r="P390" t="s">
        <v>1584</v>
      </c>
      <c r="Q390" t="s">
        <v>1591</v>
      </c>
      <c r="R390">
        <v>0</v>
      </c>
      <c r="S390">
        <v>-0.88</v>
      </c>
      <c r="T390" t="s">
        <v>1584</v>
      </c>
      <c r="U390" t="s">
        <v>1592</v>
      </c>
      <c r="V390" t="str" cm="1">
        <f t="array" aca="1" ref="V390" ca="1">IFERROR(_xlfn.IFS(A388="  ..............",OFFSET(A388,2,0),A387=" X-------------X",OFFSET(A387,3,0),MATCH("  ..............",A390:A399,0)&gt;2,V389),"-")</f>
        <v xml:space="preserve">  3COROA-RS138  </v>
      </c>
      <c r="W390">
        <f t="shared" ca="1" si="18"/>
        <v>1.004</v>
      </c>
      <c r="X390" t="str">
        <f t="shared" ca="1" si="19"/>
        <v xml:space="preserve"> TAQUAR-RS138 </v>
      </c>
      <c r="Y390" s="1">
        <f t="shared" ca="1" si="20"/>
        <v>0.33500000000000002</v>
      </c>
    </row>
    <row r="391" spans="1:25" x14ac:dyDescent="0.25">
      <c r="A391" t="s">
        <v>1588</v>
      </c>
      <c r="B391" t="s">
        <v>1587</v>
      </c>
      <c r="C391">
        <v>97</v>
      </c>
      <c r="D391">
        <v>146</v>
      </c>
      <c r="E391">
        <v>146</v>
      </c>
      <c r="F391" s="1">
        <v>0.33500000000000002</v>
      </c>
      <c r="G391" t="s">
        <v>1587</v>
      </c>
      <c r="H391" t="s">
        <v>1587</v>
      </c>
      <c r="I391">
        <v>2094</v>
      </c>
      <c r="J391" t="s">
        <v>1983</v>
      </c>
      <c r="K391">
        <v>1</v>
      </c>
      <c r="L391">
        <v>-30.4</v>
      </c>
      <c r="M391">
        <v>-12</v>
      </c>
      <c r="N391">
        <v>32.5</v>
      </c>
      <c r="O391" t="s">
        <v>1594</v>
      </c>
      <c r="P391" t="s">
        <v>1584</v>
      </c>
      <c r="Q391" t="s">
        <v>1591</v>
      </c>
      <c r="R391">
        <v>0.15</v>
      </c>
      <c r="S391">
        <v>-0.59</v>
      </c>
      <c r="T391" t="s">
        <v>1584</v>
      </c>
      <c r="U391" t="s">
        <v>1592</v>
      </c>
      <c r="V391" t="str" cm="1">
        <f t="array" aca="1" ref="V391" ca="1">IFERROR(_xlfn.IFS(A389="  ..............",OFFSET(A389,2,0),A388=" X-------------X",OFFSET(A388,3,0),MATCH("  ..............",A391:A400,0)&gt;2,V390),"-")</f>
        <v>-</v>
      </c>
      <c r="W391" t="str">
        <f t="shared" ca="1" si="18"/>
        <v>-</v>
      </c>
      <c r="X391" t="str">
        <f t="shared" ca="1" si="19"/>
        <v>-</v>
      </c>
      <c r="Y391" s="1" t="str">
        <f t="shared" ca="1" si="20"/>
        <v>-</v>
      </c>
    </row>
    <row r="392" spans="1:25" x14ac:dyDescent="0.25">
      <c r="A392" t="s">
        <v>1572</v>
      </c>
      <c r="B392" t="s">
        <v>1574</v>
      </c>
      <c r="C392" t="s">
        <v>1574</v>
      </c>
      <c r="D392" t="s">
        <v>1574</v>
      </c>
      <c r="E392" t="s">
        <v>1574</v>
      </c>
      <c r="F392" t="s">
        <v>1575</v>
      </c>
      <c r="G392" t="s">
        <v>1574</v>
      </c>
      <c r="H392" t="s">
        <v>1574</v>
      </c>
      <c r="I392" t="s">
        <v>1576</v>
      </c>
      <c r="J392" t="s">
        <v>1573</v>
      </c>
      <c r="K392" t="s">
        <v>1577</v>
      </c>
      <c r="L392" t="s">
        <v>1574</v>
      </c>
      <c r="M392" t="s">
        <v>1574</v>
      </c>
      <c r="N392" t="s">
        <v>1574</v>
      </c>
      <c r="O392" t="s">
        <v>1578</v>
      </c>
      <c r="P392" t="s">
        <v>1576</v>
      </c>
      <c r="Q392" t="s">
        <v>1579</v>
      </c>
      <c r="R392" t="s">
        <v>1580</v>
      </c>
      <c r="S392" t="s">
        <v>1580</v>
      </c>
      <c r="T392" t="s">
        <v>1576</v>
      </c>
      <c r="U392" t="s">
        <v>1576</v>
      </c>
      <c r="V392" t="str" cm="1">
        <f t="array" aca="1" ref="V392" ca="1">IFERROR(_xlfn.IFS(A390="  ..............",OFFSET(A390,2,0),A389=" X-------------X",OFFSET(A389,3,0),MATCH("  ..............",A392:A401,0)&gt;2,V391),"-")</f>
        <v>-</v>
      </c>
      <c r="W392" t="str">
        <f t="shared" ca="1" si="18"/>
        <v>-</v>
      </c>
      <c r="X392" t="str">
        <f t="shared" ca="1" si="19"/>
        <v/>
      </c>
      <c r="Y392" s="1" t="str">
        <f t="shared" ca="1" si="20"/>
        <v/>
      </c>
    </row>
    <row r="393" spans="1:25" x14ac:dyDescent="0.25">
      <c r="A393" t="s">
        <v>1984</v>
      </c>
      <c r="B393">
        <v>1.0329999999999999</v>
      </c>
      <c r="C393">
        <v>9.8000000000000007</v>
      </c>
      <c r="D393">
        <v>0</v>
      </c>
      <c r="E393">
        <v>66.8</v>
      </c>
      <c r="F393">
        <v>0</v>
      </c>
      <c r="G393">
        <v>5.8</v>
      </c>
      <c r="H393">
        <v>0</v>
      </c>
      <c r="I393" t="s">
        <v>1581</v>
      </c>
      <c r="J393" t="s">
        <v>1581</v>
      </c>
      <c r="K393" t="s">
        <v>1581</v>
      </c>
      <c r="L393" t="s">
        <v>1581</v>
      </c>
      <c r="M393" t="s">
        <v>1581</v>
      </c>
      <c r="N393" t="s">
        <v>1581</v>
      </c>
      <c r="O393" t="s">
        <v>1581</v>
      </c>
      <c r="P393" t="s">
        <v>1581</v>
      </c>
      <c r="Q393" t="s">
        <v>1581</v>
      </c>
      <c r="R393" t="s">
        <v>1581</v>
      </c>
      <c r="S393" t="s">
        <v>1581</v>
      </c>
      <c r="T393" t="s">
        <v>1581</v>
      </c>
      <c r="U393" t="s">
        <v>1581</v>
      </c>
      <c r="V393" t="str" cm="1">
        <f t="array" aca="1" ref="V393" ca="1">IFERROR(_xlfn.IFS(A391="  ..............",OFFSET(A391,2,0),A390=" X-------------X",OFFSET(A390,3,0),MATCH("  ..............",A393:A402,0)&gt;2,V392),"-")</f>
        <v>-</v>
      </c>
      <c r="W393" t="str">
        <f t="shared" ca="1" si="18"/>
        <v>-</v>
      </c>
      <c r="X393" t="str">
        <f t="shared" ca="1" si="19"/>
        <v xml:space="preserve">              </v>
      </c>
      <c r="Y393" s="1">
        <f t="shared" ca="1" si="20"/>
        <v>0</v>
      </c>
    </row>
    <row r="394" spans="1:25" x14ac:dyDescent="0.25">
      <c r="A394" t="s">
        <v>1985</v>
      </c>
      <c r="B394">
        <v>-51.5</v>
      </c>
      <c r="C394">
        <v>0</v>
      </c>
      <c r="D394">
        <v>0</v>
      </c>
      <c r="E394">
        <v>31.3</v>
      </c>
      <c r="F394">
        <v>0</v>
      </c>
      <c r="G394">
        <v>0</v>
      </c>
      <c r="H394">
        <v>0</v>
      </c>
      <c r="I394" t="s">
        <v>1584</v>
      </c>
      <c r="J394" t="s">
        <v>1585</v>
      </c>
      <c r="K394" t="s">
        <v>1586</v>
      </c>
      <c r="L394" t="s">
        <v>1587</v>
      </c>
      <c r="M394" t="s">
        <v>1587</v>
      </c>
      <c r="N394" t="s">
        <v>1586</v>
      </c>
      <c r="O394" t="s">
        <v>1581</v>
      </c>
      <c r="P394" t="s">
        <v>1581</v>
      </c>
      <c r="Q394" t="s">
        <v>1581</v>
      </c>
      <c r="R394" t="s">
        <v>1581</v>
      </c>
      <c r="S394" t="s">
        <v>1581</v>
      </c>
      <c r="T394" t="s">
        <v>1581</v>
      </c>
      <c r="U394" t="s">
        <v>1581</v>
      </c>
      <c r="V394" t="str" cm="1">
        <f t="array" aca="1" ref="V394" ca="1">IFERROR(_xlfn.IFS(A392="  ..............",OFFSET(A392,2,0),A391=" X-------------X",OFFSET(A391,3,0),MATCH("  ..............",A394:A403,0)&gt;2,V393),"-")</f>
        <v xml:space="preserve">  TAPERA-RS069  </v>
      </c>
      <c r="W394">
        <f t="shared" ca="1" si="18"/>
        <v>1.0329999999999999</v>
      </c>
      <c r="X394" t="str">
        <f t="shared" ca="1" si="19"/>
        <v xml:space="preserve"> CARAZ1-RS069 </v>
      </c>
      <c r="Y394" s="1">
        <f t="shared" ca="1" si="20"/>
        <v>0.41799999999999998</v>
      </c>
    </row>
    <row r="395" spans="1:25" x14ac:dyDescent="0.25">
      <c r="A395" t="s">
        <v>1588</v>
      </c>
      <c r="B395" t="s">
        <v>1587</v>
      </c>
      <c r="C395">
        <v>30</v>
      </c>
      <c r="D395">
        <v>43</v>
      </c>
      <c r="E395">
        <v>43</v>
      </c>
      <c r="F395" s="1">
        <v>0.41799999999999998</v>
      </c>
      <c r="G395" t="s">
        <v>1587</v>
      </c>
      <c r="H395" t="s">
        <v>1587</v>
      </c>
      <c r="I395">
        <v>1305</v>
      </c>
      <c r="J395" t="s">
        <v>1986</v>
      </c>
      <c r="K395">
        <v>1</v>
      </c>
      <c r="L395">
        <v>12.3</v>
      </c>
      <c r="M395">
        <v>3.9</v>
      </c>
      <c r="N395">
        <v>12.5</v>
      </c>
      <c r="O395" t="s">
        <v>1594</v>
      </c>
      <c r="P395" t="s">
        <v>1584</v>
      </c>
      <c r="Q395" t="s">
        <v>1591</v>
      </c>
      <c r="R395">
        <v>0.19</v>
      </c>
      <c r="S395">
        <v>-7.0000000000000007E-2</v>
      </c>
      <c r="T395" t="s">
        <v>1584</v>
      </c>
      <c r="U395" t="s">
        <v>1592</v>
      </c>
      <c r="V395" t="str" cm="1">
        <f t="array" aca="1" ref="V395" ca="1">IFERROR(_xlfn.IFS(A393="  ..............",OFFSET(A393,2,0),A392=" X-------------X",OFFSET(A392,3,0),MATCH("  ..............",A395:A404,0)&gt;2,V394),"-")</f>
        <v xml:space="preserve">  TAPERA-RS069  </v>
      </c>
      <c r="W395">
        <f t="shared" ca="1" si="18"/>
        <v>1.0329999999999999</v>
      </c>
      <c r="X395" t="str">
        <f t="shared" ca="1" si="19"/>
        <v xml:space="preserve"> CARAZ1-RS069 </v>
      </c>
      <c r="Y395" s="1">
        <f t="shared" ca="1" si="20"/>
        <v>0.41799999999999998</v>
      </c>
    </row>
    <row r="396" spans="1:25" x14ac:dyDescent="0.25">
      <c r="A396" t="s">
        <v>1588</v>
      </c>
      <c r="B396" t="s">
        <v>1587</v>
      </c>
      <c r="C396">
        <v>30</v>
      </c>
      <c r="D396">
        <v>43</v>
      </c>
      <c r="E396">
        <v>43</v>
      </c>
      <c r="F396" s="1">
        <v>0.41799999999999998</v>
      </c>
      <c r="G396" t="s">
        <v>1587</v>
      </c>
      <c r="H396" t="s">
        <v>1587</v>
      </c>
      <c r="I396">
        <v>1305</v>
      </c>
      <c r="J396" t="s">
        <v>1986</v>
      </c>
      <c r="K396">
        <v>2</v>
      </c>
      <c r="L396">
        <v>12.3</v>
      </c>
      <c r="M396">
        <v>3.9</v>
      </c>
      <c r="N396">
        <v>12.5</v>
      </c>
      <c r="O396" t="s">
        <v>1594</v>
      </c>
      <c r="P396" t="s">
        <v>1584</v>
      </c>
      <c r="Q396" t="s">
        <v>1591</v>
      </c>
      <c r="R396">
        <v>0.19</v>
      </c>
      <c r="S396">
        <v>-7.0000000000000007E-2</v>
      </c>
      <c r="T396" t="s">
        <v>1584</v>
      </c>
      <c r="U396" t="s">
        <v>1592</v>
      </c>
      <c r="V396" t="str" cm="1">
        <f t="array" aca="1" ref="V396" ca="1">IFERROR(_xlfn.IFS(A394="  ..............",OFFSET(A394,2,0),A393=" X-------------X",OFFSET(A393,3,0),MATCH("  ..............",A396:A405,0)&gt;2,V395),"-")</f>
        <v xml:space="preserve">  TAPERA-RS069  </v>
      </c>
      <c r="W396">
        <f t="shared" ca="1" si="18"/>
        <v>1.0329999999999999</v>
      </c>
      <c r="X396" t="str">
        <f t="shared" ca="1" si="19"/>
        <v xml:space="preserve"> TAPER1-RS069 </v>
      </c>
      <c r="Y396" s="1">
        <f t="shared" ca="1" si="20"/>
        <v>0.28499999999999998</v>
      </c>
    </row>
    <row r="397" spans="1:25" x14ac:dyDescent="0.25">
      <c r="A397" t="s">
        <v>1588</v>
      </c>
      <c r="B397" t="s">
        <v>1587</v>
      </c>
      <c r="C397">
        <v>48</v>
      </c>
      <c r="D397">
        <v>71</v>
      </c>
      <c r="E397">
        <v>48</v>
      </c>
      <c r="F397" s="1">
        <v>0.28499999999999998</v>
      </c>
      <c r="G397" t="s">
        <v>1587</v>
      </c>
      <c r="H397" t="s">
        <v>1587</v>
      </c>
      <c r="I397">
        <v>10398</v>
      </c>
      <c r="J397" t="s">
        <v>1987</v>
      </c>
      <c r="K397">
        <v>1</v>
      </c>
      <c r="L397">
        <v>13</v>
      </c>
      <c r="M397">
        <v>5.5</v>
      </c>
      <c r="N397">
        <v>13.7</v>
      </c>
      <c r="O397" t="s">
        <v>1594</v>
      </c>
      <c r="P397" t="s">
        <v>1584</v>
      </c>
      <c r="Q397" t="s">
        <v>1591</v>
      </c>
      <c r="R397">
        <v>0.03</v>
      </c>
      <c r="S397">
        <v>-0.71</v>
      </c>
      <c r="T397" t="s">
        <v>1584</v>
      </c>
      <c r="U397" t="s">
        <v>1592</v>
      </c>
      <c r="V397" t="str" cm="1">
        <f t="array" aca="1" ref="V397" ca="1">IFERROR(_xlfn.IFS(A395="  ..............",OFFSET(A395,2,0),A394=" X-------------X",OFFSET(A394,3,0),MATCH("  ..............",A397:A406,0)&gt;2,V396),"-")</f>
        <v xml:space="preserve">  TAPERA-RS069  </v>
      </c>
      <c r="W397">
        <f t="shared" ca="1" si="18"/>
        <v>1.0329999999999999</v>
      </c>
      <c r="X397" t="str">
        <f t="shared" ca="1" si="19"/>
        <v xml:space="preserve"> TPR--1-RS000 </v>
      </c>
      <c r="Y397" s="1">
        <f t="shared" ca="1" si="20"/>
        <v>0</v>
      </c>
    </row>
    <row r="398" spans="1:25" x14ac:dyDescent="0.25">
      <c r="A398" t="s">
        <v>1588</v>
      </c>
      <c r="B398" t="s">
        <v>1587</v>
      </c>
      <c r="C398">
        <v>9999</v>
      </c>
      <c r="D398">
        <v>83</v>
      </c>
      <c r="E398">
        <v>83</v>
      </c>
      <c r="F398" s="1">
        <v>0</v>
      </c>
      <c r="G398" t="s">
        <v>1587</v>
      </c>
      <c r="H398" t="s">
        <v>1587</v>
      </c>
      <c r="I398">
        <v>41391</v>
      </c>
      <c r="J398" t="s">
        <v>1988</v>
      </c>
      <c r="K398">
        <v>1</v>
      </c>
      <c r="L398">
        <v>-31.3</v>
      </c>
      <c r="M398">
        <v>-12.9</v>
      </c>
      <c r="N398">
        <v>32.799999999999997</v>
      </c>
      <c r="O398" t="s">
        <v>1608</v>
      </c>
      <c r="P398" t="s">
        <v>1584</v>
      </c>
      <c r="Q398">
        <v>2</v>
      </c>
      <c r="R398">
        <v>0.02</v>
      </c>
      <c r="S398">
        <v>-0.1</v>
      </c>
      <c r="T398" t="s">
        <v>1584</v>
      </c>
      <c r="U398" t="s">
        <v>1592</v>
      </c>
      <c r="V398" t="str" cm="1">
        <f t="array" aca="1" ref="V398" ca="1">IFERROR(_xlfn.IFS(A396="  ..............",OFFSET(A396,2,0),A395=" X-------------X",OFFSET(A395,3,0),MATCH("  ..............",A398:A407,0)&gt;2,V397),"-")</f>
        <v xml:space="preserve">  TAPERA-RS069  </v>
      </c>
      <c r="W398">
        <f t="shared" ca="1" si="18"/>
        <v>1.0329999999999999</v>
      </c>
      <c r="X398" t="str">
        <f t="shared" ca="1" si="19"/>
        <v xml:space="preserve"> TPR--2-RS000 </v>
      </c>
      <c r="Y398" s="1">
        <f t="shared" ca="1" si="20"/>
        <v>0</v>
      </c>
    </row>
    <row r="399" spans="1:25" x14ac:dyDescent="0.25">
      <c r="A399" t="s">
        <v>1588</v>
      </c>
      <c r="B399" t="s">
        <v>1587</v>
      </c>
      <c r="C399">
        <v>9999</v>
      </c>
      <c r="D399">
        <v>83</v>
      </c>
      <c r="E399">
        <v>83</v>
      </c>
      <c r="F399" s="1">
        <v>0</v>
      </c>
      <c r="G399" t="s">
        <v>1587</v>
      </c>
      <c r="H399" t="s">
        <v>1587</v>
      </c>
      <c r="I399">
        <v>41392</v>
      </c>
      <c r="J399" t="s">
        <v>1989</v>
      </c>
      <c r="K399">
        <v>2</v>
      </c>
      <c r="L399">
        <v>-31.4</v>
      </c>
      <c r="M399">
        <v>-12.9</v>
      </c>
      <c r="N399">
        <v>32.9</v>
      </c>
      <c r="O399" t="s">
        <v>1608</v>
      </c>
      <c r="P399" t="s">
        <v>1584</v>
      </c>
      <c r="Q399">
        <v>2</v>
      </c>
      <c r="R399">
        <v>0.02</v>
      </c>
      <c r="S399">
        <v>-0.1</v>
      </c>
      <c r="T399" t="s">
        <v>1584</v>
      </c>
      <c r="U399" t="s">
        <v>1592</v>
      </c>
      <c r="V399" t="str" cm="1">
        <f t="array" aca="1" ref="V399" ca="1">IFERROR(_xlfn.IFS(A397="  ..............",OFFSET(A397,2,0),A396=" X-------------X",OFFSET(A396,3,0),MATCH("  ..............",A399:A408,0)&gt;2,V398),"-")</f>
        <v xml:space="preserve">  TAPERA-RS069  </v>
      </c>
      <c r="W399">
        <f t="shared" ca="1" si="18"/>
        <v>1.0329999999999999</v>
      </c>
      <c r="X399" t="str">
        <f t="shared" ca="1" si="19"/>
        <v xml:space="preserve"> TPR--3-RS000 </v>
      </c>
      <c r="Y399" s="1">
        <f t="shared" ca="1" si="20"/>
        <v>0.40300000000000002</v>
      </c>
    </row>
    <row r="400" spans="1:25" x14ac:dyDescent="0.25">
      <c r="A400" t="s">
        <v>1588</v>
      </c>
      <c r="B400" t="s">
        <v>1587</v>
      </c>
      <c r="C400">
        <v>83</v>
      </c>
      <c r="D400">
        <v>83</v>
      </c>
      <c r="E400">
        <v>83</v>
      </c>
      <c r="F400" s="1">
        <v>0.40300000000000002</v>
      </c>
      <c r="G400" t="s">
        <v>1587</v>
      </c>
      <c r="H400" t="s">
        <v>1587</v>
      </c>
      <c r="I400">
        <v>41393</v>
      </c>
      <c r="J400" t="s">
        <v>1990</v>
      </c>
      <c r="K400">
        <v>3</v>
      </c>
      <c r="L400">
        <v>-31.9</v>
      </c>
      <c r="M400">
        <v>-13</v>
      </c>
      <c r="N400">
        <v>33.4</v>
      </c>
      <c r="O400" t="s">
        <v>1608</v>
      </c>
      <c r="P400" t="s">
        <v>1584</v>
      </c>
      <c r="Q400">
        <v>2</v>
      </c>
      <c r="R400">
        <v>0.02</v>
      </c>
      <c r="S400">
        <v>-0.16</v>
      </c>
      <c r="T400" t="s">
        <v>1584</v>
      </c>
      <c r="U400" t="s">
        <v>1592</v>
      </c>
      <c r="V400" t="str" cm="1">
        <f t="array" aca="1" ref="V400" ca="1">IFERROR(_xlfn.IFS(A398="  ..............",OFFSET(A398,2,0),A397=" X-------------X",OFFSET(A397,3,0),MATCH("  ..............",A400:A409,0)&gt;2,V399),"-")</f>
        <v>-</v>
      </c>
      <c r="W400" t="str">
        <f t="shared" ca="1" si="18"/>
        <v>-</v>
      </c>
      <c r="X400" t="str">
        <f t="shared" ca="1" si="19"/>
        <v>-</v>
      </c>
      <c r="Y400" s="1" t="str">
        <f t="shared" ca="1" si="20"/>
        <v>-</v>
      </c>
    </row>
    <row r="401" spans="1:25" x14ac:dyDescent="0.25">
      <c r="A401" t="s">
        <v>1572</v>
      </c>
      <c r="B401" t="s">
        <v>1574</v>
      </c>
      <c r="C401" t="s">
        <v>1574</v>
      </c>
      <c r="D401" t="s">
        <v>1574</v>
      </c>
      <c r="E401" t="s">
        <v>1574</v>
      </c>
      <c r="F401" t="s">
        <v>1575</v>
      </c>
      <c r="G401" t="s">
        <v>1574</v>
      </c>
      <c r="H401" t="s">
        <v>1574</v>
      </c>
      <c r="I401" t="s">
        <v>1576</v>
      </c>
      <c r="J401" t="s">
        <v>1573</v>
      </c>
      <c r="K401" t="s">
        <v>1577</v>
      </c>
      <c r="L401" t="s">
        <v>1574</v>
      </c>
      <c r="M401" t="s">
        <v>1574</v>
      </c>
      <c r="N401" t="s">
        <v>1574</v>
      </c>
      <c r="O401" t="s">
        <v>1578</v>
      </c>
      <c r="P401" t="s">
        <v>1576</v>
      </c>
      <c r="Q401" t="s">
        <v>1579</v>
      </c>
      <c r="R401" t="s">
        <v>1580</v>
      </c>
      <c r="S401" t="s">
        <v>1580</v>
      </c>
      <c r="T401" t="s">
        <v>1576</v>
      </c>
      <c r="U401" t="s">
        <v>1576</v>
      </c>
      <c r="V401" t="str" cm="1">
        <f t="array" aca="1" ref="V401" ca="1">IFERROR(_xlfn.IFS(A399="  ..............",OFFSET(A399,2,0),A398=" X-------------X",OFFSET(A398,3,0),MATCH("  ..............",A401:A410,0)&gt;2,V400),"-")</f>
        <v>-</v>
      </c>
      <c r="W401" t="str">
        <f t="shared" ca="1" si="18"/>
        <v>-</v>
      </c>
      <c r="X401" t="str">
        <f t="shared" ca="1" si="19"/>
        <v/>
      </c>
      <c r="Y401" s="1" t="str">
        <f t="shared" ca="1" si="20"/>
        <v/>
      </c>
    </row>
    <row r="402" spans="1:25" x14ac:dyDescent="0.25">
      <c r="A402" t="s">
        <v>1991</v>
      </c>
      <c r="B402">
        <v>1.0069999999999999</v>
      </c>
      <c r="C402">
        <v>5.9</v>
      </c>
      <c r="D402">
        <v>0</v>
      </c>
      <c r="E402">
        <v>63.4</v>
      </c>
      <c r="F402">
        <v>0</v>
      </c>
      <c r="G402">
        <v>12.5</v>
      </c>
      <c r="H402">
        <v>0</v>
      </c>
      <c r="I402" t="s">
        <v>1581</v>
      </c>
      <c r="J402" t="s">
        <v>1581</v>
      </c>
      <c r="K402" t="s">
        <v>1581</v>
      </c>
      <c r="L402" t="s">
        <v>1581</v>
      </c>
      <c r="M402" t="s">
        <v>1581</v>
      </c>
      <c r="N402" t="s">
        <v>1581</v>
      </c>
      <c r="O402" t="s">
        <v>1581</v>
      </c>
      <c r="P402" t="s">
        <v>1581</v>
      </c>
      <c r="Q402" t="s">
        <v>1581</v>
      </c>
      <c r="R402" t="s">
        <v>1581</v>
      </c>
      <c r="S402" t="s">
        <v>1581</v>
      </c>
      <c r="T402" t="s">
        <v>1581</v>
      </c>
      <c r="U402" t="s">
        <v>1581</v>
      </c>
      <c r="V402" t="str" cm="1">
        <f t="array" aca="1" ref="V402" ca="1">IFERROR(_xlfn.IFS(A400="  ..............",OFFSET(A400,2,0),A399=" X-------------X",OFFSET(A399,3,0),MATCH("  ..............",A402:A411,0)&gt;2,V401),"-")</f>
        <v>-</v>
      </c>
      <c r="W402" t="str">
        <f t="shared" ca="1" si="18"/>
        <v>-</v>
      </c>
      <c r="X402" t="str">
        <f t="shared" ca="1" si="19"/>
        <v xml:space="preserve">              </v>
      </c>
      <c r="Y402" s="1">
        <f t="shared" ca="1" si="20"/>
        <v>0</v>
      </c>
    </row>
    <row r="403" spans="1:25" x14ac:dyDescent="0.25">
      <c r="A403" t="s">
        <v>1992</v>
      </c>
      <c r="B403">
        <v>-51.3</v>
      </c>
      <c r="C403">
        <v>0</v>
      </c>
      <c r="D403">
        <v>0</v>
      </c>
      <c r="E403">
        <v>9.1999999999999993</v>
      </c>
      <c r="F403">
        <v>0</v>
      </c>
      <c r="G403">
        <v>0</v>
      </c>
      <c r="H403">
        <v>0</v>
      </c>
      <c r="I403" t="s">
        <v>1584</v>
      </c>
      <c r="J403" t="s">
        <v>1585</v>
      </c>
      <c r="K403" t="s">
        <v>1586</v>
      </c>
      <c r="L403" t="s">
        <v>1587</v>
      </c>
      <c r="M403" t="s">
        <v>1587</v>
      </c>
      <c r="N403" t="s">
        <v>1586</v>
      </c>
      <c r="O403" t="s">
        <v>1581</v>
      </c>
      <c r="P403" t="s">
        <v>1581</v>
      </c>
      <c r="Q403" t="s">
        <v>1581</v>
      </c>
      <c r="R403" t="s">
        <v>1581</v>
      </c>
      <c r="S403" t="s">
        <v>1581</v>
      </c>
      <c r="T403" t="s">
        <v>1581</v>
      </c>
      <c r="U403" t="s">
        <v>1581</v>
      </c>
      <c r="V403" t="str" cm="1">
        <f t="array" aca="1" ref="V403" ca="1">IFERROR(_xlfn.IFS(A401="  ..............",OFFSET(A401,2,0),A400=" X-------------X",OFFSET(A400,3,0),MATCH("  ..............",A403:A412,0)&gt;2,V402),"-")</f>
        <v xml:space="preserve">  URUGU5-RS069  </v>
      </c>
      <c r="W403">
        <f t="shared" ca="1" si="18"/>
        <v>1.0069999999999999</v>
      </c>
      <c r="X403" t="str">
        <f t="shared" ca="1" si="19"/>
        <v xml:space="preserve"> URU5-1-RS000 </v>
      </c>
      <c r="Y403" s="1">
        <f t="shared" ca="1" si="20"/>
        <v>0.23100000000000001</v>
      </c>
    </row>
    <row r="404" spans="1:25" x14ac:dyDescent="0.25">
      <c r="A404" t="s">
        <v>1588</v>
      </c>
      <c r="B404" t="s">
        <v>1587</v>
      </c>
      <c r="C404">
        <v>83</v>
      </c>
      <c r="D404">
        <v>125</v>
      </c>
      <c r="E404">
        <v>125</v>
      </c>
      <c r="F404" s="1">
        <v>0.23100000000000001</v>
      </c>
      <c r="G404" t="s">
        <v>1587</v>
      </c>
      <c r="H404" t="s">
        <v>1587</v>
      </c>
      <c r="I404">
        <v>41395</v>
      </c>
      <c r="J404" t="s">
        <v>1993</v>
      </c>
      <c r="K404">
        <v>1</v>
      </c>
      <c r="L404">
        <v>-19.3</v>
      </c>
      <c r="M404">
        <v>1.1000000000000001</v>
      </c>
      <c r="N404">
        <v>19.2</v>
      </c>
      <c r="O404" t="s">
        <v>1608</v>
      </c>
      <c r="P404" t="s">
        <v>1584</v>
      </c>
      <c r="Q404">
        <v>2</v>
      </c>
      <c r="R404">
        <v>0.01</v>
      </c>
      <c r="S404">
        <v>-0.05</v>
      </c>
      <c r="T404" t="s">
        <v>1584</v>
      </c>
      <c r="U404" t="s">
        <v>1592</v>
      </c>
      <c r="V404" t="str" cm="1">
        <f t="array" aca="1" ref="V404" ca="1">IFERROR(_xlfn.IFS(A402="  ..............",OFFSET(A402,2,0),A401=" X-------------X",OFFSET(A401,3,0),MATCH("  ..............",A404:A413,0)&gt;2,V403),"-")</f>
        <v xml:space="preserve">  URUGU5-RS069  </v>
      </c>
      <c r="W404">
        <f t="shared" ca="1" si="18"/>
        <v>1.0069999999999999</v>
      </c>
      <c r="X404" t="str">
        <f t="shared" ca="1" si="19"/>
        <v xml:space="preserve"> URU5-2-RS000 </v>
      </c>
      <c r="Y404" s="1">
        <f t="shared" ca="1" si="20"/>
        <v>0.221</v>
      </c>
    </row>
    <row r="405" spans="1:25" x14ac:dyDescent="0.25">
      <c r="A405" t="s">
        <v>1588</v>
      </c>
      <c r="B405" t="s">
        <v>1587</v>
      </c>
      <c r="C405">
        <v>83</v>
      </c>
      <c r="D405">
        <v>125</v>
      </c>
      <c r="E405">
        <v>125</v>
      </c>
      <c r="F405" s="1">
        <v>0.221</v>
      </c>
      <c r="G405" t="s">
        <v>1587</v>
      </c>
      <c r="H405" t="s">
        <v>1587</v>
      </c>
      <c r="I405">
        <v>41396</v>
      </c>
      <c r="J405" t="s">
        <v>1994</v>
      </c>
      <c r="K405">
        <v>2</v>
      </c>
      <c r="L405">
        <v>-18.5</v>
      </c>
      <c r="M405">
        <v>1</v>
      </c>
      <c r="N405">
        <v>18.399999999999999</v>
      </c>
      <c r="O405" t="s">
        <v>1608</v>
      </c>
      <c r="P405" t="s">
        <v>1584</v>
      </c>
      <c r="Q405">
        <v>2</v>
      </c>
      <c r="R405">
        <v>0.01</v>
      </c>
      <c r="S405">
        <v>-0.03</v>
      </c>
      <c r="T405" t="s">
        <v>1584</v>
      </c>
      <c r="U405" t="s">
        <v>1592</v>
      </c>
      <c r="V405" t="str" cm="1">
        <f t="array" aca="1" ref="V405" ca="1">IFERROR(_xlfn.IFS(A403="  ..............",OFFSET(A403,2,0),A402=" X-------------X",OFFSET(A402,3,0),MATCH("  ..............",A405:A414,0)&gt;2,V404),"-")</f>
        <v xml:space="preserve">  URUGU5-RS069  </v>
      </c>
      <c r="W405">
        <f t="shared" ca="1" si="18"/>
        <v>1.0069999999999999</v>
      </c>
      <c r="X405" t="str">
        <f t="shared" ca="1" si="19"/>
        <v xml:space="preserve"> URU5-5-RS000 </v>
      </c>
      <c r="Y405" s="1">
        <f t="shared" ca="1" si="20"/>
        <v>0.23599999999999999</v>
      </c>
    </row>
    <row r="406" spans="1:25" x14ac:dyDescent="0.25">
      <c r="A406" t="s">
        <v>1588</v>
      </c>
      <c r="B406" t="s">
        <v>1587</v>
      </c>
      <c r="C406">
        <v>83</v>
      </c>
      <c r="D406">
        <v>83</v>
      </c>
      <c r="E406">
        <v>83</v>
      </c>
      <c r="F406" s="1">
        <v>0.23599999999999999</v>
      </c>
      <c r="G406" t="s">
        <v>1587</v>
      </c>
      <c r="H406" t="s">
        <v>1587</v>
      </c>
      <c r="I406">
        <v>41397</v>
      </c>
      <c r="J406" t="s">
        <v>1995</v>
      </c>
      <c r="K406">
        <v>5</v>
      </c>
      <c r="L406">
        <v>-19.7</v>
      </c>
      <c r="M406">
        <v>1.2</v>
      </c>
      <c r="N406">
        <v>19.600000000000001</v>
      </c>
      <c r="O406" t="s">
        <v>1608</v>
      </c>
      <c r="P406" t="s">
        <v>1584</v>
      </c>
      <c r="Q406">
        <v>2</v>
      </c>
      <c r="R406">
        <v>0.01</v>
      </c>
      <c r="S406">
        <v>-0.04</v>
      </c>
      <c r="T406" t="s">
        <v>1584</v>
      </c>
      <c r="U406" t="s">
        <v>1592</v>
      </c>
      <c r="V406" t="str" cm="1">
        <f t="array" aca="1" ref="V406" ca="1">IFERROR(_xlfn.IFS(A404="  ..............",OFFSET(A404,2,0),A403=" X-------------X",OFFSET(A403,3,0),MATCH("  ..............",A406:A415,0)&gt;2,V405),"-")</f>
        <v>-</v>
      </c>
      <c r="W406" t="str">
        <f t="shared" ca="1" si="18"/>
        <v>-</v>
      </c>
      <c r="X406" t="str">
        <f t="shared" ca="1" si="19"/>
        <v>-</v>
      </c>
      <c r="Y406" s="1" t="str">
        <f t="shared" ca="1" si="20"/>
        <v>-</v>
      </c>
    </row>
    <row r="407" spans="1:25" x14ac:dyDescent="0.25">
      <c r="A407" t="s">
        <v>1572</v>
      </c>
      <c r="B407" t="s">
        <v>1574</v>
      </c>
      <c r="C407" t="s">
        <v>1574</v>
      </c>
      <c r="D407" t="s">
        <v>1574</v>
      </c>
      <c r="E407" t="s">
        <v>1574</v>
      </c>
      <c r="F407" t="s">
        <v>1575</v>
      </c>
      <c r="G407" t="s">
        <v>1574</v>
      </c>
      <c r="H407" t="s">
        <v>1574</v>
      </c>
      <c r="I407" t="s">
        <v>1576</v>
      </c>
      <c r="J407" t="s">
        <v>1573</v>
      </c>
      <c r="K407" t="s">
        <v>1577</v>
      </c>
      <c r="L407" t="s">
        <v>1574</v>
      </c>
      <c r="M407" t="s">
        <v>1574</v>
      </c>
      <c r="N407" t="s">
        <v>1574</v>
      </c>
      <c r="O407" t="s">
        <v>1578</v>
      </c>
      <c r="P407" t="s">
        <v>1576</v>
      </c>
      <c r="Q407" t="s">
        <v>1579</v>
      </c>
      <c r="R407" t="s">
        <v>1580</v>
      </c>
      <c r="S407" t="s">
        <v>1580</v>
      </c>
      <c r="T407" t="s">
        <v>1576</v>
      </c>
      <c r="U407" t="s">
        <v>1576</v>
      </c>
      <c r="V407" t="str" cm="1">
        <f t="array" aca="1" ref="V407" ca="1">IFERROR(_xlfn.IFS(A405="  ..............",OFFSET(A405,2,0),A404=" X-------------X",OFFSET(A404,3,0),MATCH("  ..............",A407:A416,0)&gt;2,V406),"-")</f>
        <v>-</v>
      </c>
      <c r="W407" t="str">
        <f t="shared" ca="1" si="18"/>
        <v>-</v>
      </c>
      <c r="X407" t="str">
        <f t="shared" ca="1" si="19"/>
        <v/>
      </c>
      <c r="Y407" s="1" t="str">
        <f t="shared" ca="1" si="20"/>
        <v/>
      </c>
    </row>
    <row r="408" spans="1:25" x14ac:dyDescent="0.25">
      <c r="A408" t="s">
        <v>1996</v>
      </c>
      <c r="B408">
        <v>1.012</v>
      </c>
      <c r="C408">
        <v>17.899999999999999</v>
      </c>
      <c r="D408">
        <v>0</v>
      </c>
      <c r="E408">
        <v>78.400000000000006</v>
      </c>
      <c r="F408">
        <v>0</v>
      </c>
      <c r="G408">
        <v>3.7</v>
      </c>
      <c r="H408">
        <v>0</v>
      </c>
      <c r="I408" t="s">
        <v>1581</v>
      </c>
      <c r="J408" t="s">
        <v>1581</v>
      </c>
      <c r="K408" t="s">
        <v>1581</v>
      </c>
      <c r="L408" t="s">
        <v>1581</v>
      </c>
      <c r="M408" t="s">
        <v>1581</v>
      </c>
      <c r="N408" t="s">
        <v>1581</v>
      </c>
      <c r="O408" t="s">
        <v>1581</v>
      </c>
      <c r="P408" t="s">
        <v>1581</v>
      </c>
      <c r="Q408" t="s">
        <v>1581</v>
      </c>
      <c r="R408" t="s">
        <v>1581</v>
      </c>
      <c r="S408" t="s">
        <v>1581</v>
      </c>
      <c r="T408" t="s">
        <v>1581</v>
      </c>
      <c r="U408" t="s">
        <v>1581</v>
      </c>
      <c r="V408" t="str" cm="1">
        <f t="array" aca="1" ref="V408" ca="1">IFERROR(_xlfn.IFS(A406="  ..............",OFFSET(A406,2,0),A405=" X-------------X",OFFSET(A405,3,0),MATCH("  ..............",A408:A417,0)&gt;2,V407),"-")</f>
        <v>-</v>
      </c>
      <c r="W408" t="str">
        <f t="shared" ca="1" si="18"/>
        <v>-</v>
      </c>
      <c r="X408" t="str">
        <f t="shared" ca="1" si="19"/>
        <v xml:space="preserve">              </v>
      </c>
      <c r="Y408" s="1">
        <f t="shared" ca="1" si="20"/>
        <v>0</v>
      </c>
    </row>
    <row r="409" spans="1:25" x14ac:dyDescent="0.25">
      <c r="A409" t="s">
        <v>1997</v>
      </c>
      <c r="B409">
        <v>-54.8</v>
      </c>
      <c r="C409">
        <v>0</v>
      </c>
      <c r="D409">
        <v>0</v>
      </c>
      <c r="E409">
        <v>28.9</v>
      </c>
      <c r="F409">
        <v>0</v>
      </c>
      <c r="G409">
        <v>0</v>
      </c>
      <c r="H409">
        <v>0</v>
      </c>
      <c r="I409" t="s">
        <v>1584</v>
      </c>
      <c r="J409" t="s">
        <v>1585</v>
      </c>
      <c r="K409" t="s">
        <v>1586</v>
      </c>
      <c r="L409" t="s">
        <v>1587</v>
      </c>
      <c r="M409" t="s">
        <v>1587</v>
      </c>
      <c r="N409" t="s">
        <v>1586</v>
      </c>
      <c r="O409" t="s">
        <v>1581</v>
      </c>
      <c r="P409" t="s">
        <v>1581</v>
      </c>
      <c r="Q409" t="s">
        <v>1581</v>
      </c>
      <c r="R409" t="s">
        <v>1581</v>
      </c>
      <c r="S409" t="s">
        <v>1581</v>
      </c>
      <c r="T409" t="s">
        <v>1581</v>
      </c>
      <c r="U409" t="s">
        <v>1581</v>
      </c>
      <c r="V409" t="str" cm="1">
        <f t="array" aca="1" ref="V409" ca="1">IFERROR(_xlfn.IFS(A407="  ..............",OFFSET(A407,2,0),A406=" X-------------X",OFFSET(A406,3,0),MATCH("  ..............",A409:A418,0)&gt;2,V408),"-")</f>
        <v xml:space="preserve">  VENAIR-RS069  </v>
      </c>
      <c r="W409">
        <f t="shared" ca="1" si="18"/>
        <v>1.012</v>
      </c>
      <c r="X409" t="str">
        <f t="shared" ca="1" si="19"/>
        <v xml:space="preserve"> VENAIR-RS000 </v>
      </c>
      <c r="Y409" s="1">
        <f t="shared" ca="1" si="20"/>
        <v>0.45500000000000002</v>
      </c>
    </row>
    <row r="410" spans="1:25" x14ac:dyDescent="0.25">
      <c r="A410" t="s">
        <v>1588</v>
      </c>
      <c r="B410" t="s">
        <v>1587</v>
      </c>
      <c r="C410">
        <v>75</v>
      </c>
      <c r="D410">
        <v>113</v>
      </c>
      <c r="E410">
        <v>113</v>
      </c>
      <c r="F410" s="1">
        <v>0.45500000000000002</v>
      </c>
      <c r="G410" t="s">
        <v>1587</v>
      </c>
      <c r="H410" t="s">
        <v>1587</v>
      </c>
      <c r="I410">
        <v>1297</v>
      </c>
      <c r="J410" t="s">
        <v>1998</v>
      </c>
      <c r="K410">
        <v>1</v>
      </c>
      <c r="L410">
        <v>-32</v>
      </c>
      <c r="M410">
        <v>-13.1</v>
      </c>
      <c r="N410">
        <v>34.1</v>
      </c>
      <c r="O410" t="s">
        <v>1608</v>
      </c>
      <c r="P410" t="s">
        <v>1584</v>
      </c>
      <c r="Q410">
        <v>2</v>
      </c>
      <c r="R410">
        <v>0.02</v>
      </c>
      <c r="S410">
        <v>-0.11</v>
      </c>
      <c r="T410" t="s">
        <v>1584</v>
      </c>
      <c r="U410" t="s">
        <v>1592</v>
      </c>
      <c r="V410" t="str" cm="1">
        <f t="array" aca="1" ref="V410" ca="1">IFERROR(_xlfn.IFS(A408="  ..............",OFFSET(A408,2,0),A407=" X-------------X",OFFSET(A407,3,0),MATCH("  ..............",A410:A419,0)&gt;2,V409),"-")</f>
        <v xml:space="preserve">  VENAIR-RS069  </v>
      </c>
      <c r="W410">
        <f t="shared" ca="1" si="18"/>
        <v>1.012</v>
      </c>
      <c r="X410" t="str">
        <f t="shared" ca="1" si="19"/>
        <v xml:space="preserve"> VAIT34-RS013 </v>
      </c>
      <c r="Y410" s="1">
        <f t="shared" ca="1" si="20"/>
        <v>0.34799999999999998</v>
      </c>
    </row>
    <row r="411" spans="1:25" x14ac:dyDescent="0.25">
      <c r="A411" t="s">
        <v>1588</v>
      </c>
      <c r="B411" t="s">
        <v>1587</v>
      </c>
      <c r="C411">
        <v>25</v>
      </c>
      <c r="D411">
        <v>30</v>
      </c>
      <c r="E411">
        <v>30</v>
      </c>
      <c r="F411" s="1">
        <v>0.34799999999999998</v>
      </c>
      <c r="G411" t="s">
        <v>1587</v>
      </c>
      <c r="H411" t="s">
        <v>1587</v>
      </c>
      <c r="I411">
        <v>9210</v>
      </c>
      <c r="J411" t="s">
        <v>1999</v>
      </c>
      <c r="K411">
        <v>1</v>
      </c>
      <c r="L411">
        <v>8.1</v>
      </c>
      <c r="M411">
        <v>3.4</v>
      </c>
      <c r="N411">
        <v>8.6999999999999993</v>
      </c>
      <c r="O411" t="s">
        <v>2000</v>
      </c>
      <c r="P411" t="s">
        <v>1584</v>
      </c>
      <c r="Q411" t="s">
        <v>1591</v>
      </c>
      <c r="R411">
        <v>0.01</v>
      </c>
      <c r="S411">
        <v>0.23</v>
      </c>
      <c r="T411" t="s">
        <v>1584</v>
      </c>
      <c r="U411" t="s">
        <v>1592</v>
      </c>
      <c r="V411" t="str" cm="1">
        <f t="array" aca="1" ref="V411" ca="1">IFERROR(_xlfn.IFS(A409="  ..............",OFFSET(A409,2,0),A408=" X-------------X",OFFSET(A408,3,0),MATCH("  ..............",A411:A420,0)&gt;2,V410),"-")</f>
        <v xml:space="preserve">  VENAIR-RS069  </v>
      </c>
      <c r="W411">
        <f t="shared" ca="1" si="18"/>
        <v>1.012</v>
      </c>
      <c r="X411" t="str">
        <f t="shared" ca="1" si="19"/>
        <v xml:space="preserve"> VAIRT5-RS013 </v>
      </c>
      <c r="Y411" s="1">
        <f t="shared" ca="1" si="20"/>
        <v>0.51400000000000001</v>
      </c>
    </row>
    <row r="412" spans="1:25" x14ac:dyDescent="0.25">
      <c r="A412" t="s">
        <v>1588</v>
      </c>
      <c r="B412" t="s">
        <v>1587</v>
      </c>
      <c r="C412">
        <v>25</v>
      </c>
      <c r="D412">
        <v>37</v>
      </c>
      <c r="E412">
        <v>37</v>
      </c>
      <c r="F412" s="1">
        <v>0.51400000000000001</v>
      </c>
      <c r="G412" t="s">
        <v>1587</v>
      </c>
      <c r="H412" t="s">
        <v>1587</v>
      </c>
      <c r="I412">
        <v>9211</v>
      </c>
      <c r="J412" t="s">
        <v>2001</v>
      </c>
      <c r="K412">
        <v>1</v>
      </c>
      <c r="L412">
        <v>11.8</v>
      </c>
      <c r="M412">
        <v>5.4</v>
      </c>
      <c r="N412">
        <v>12.8</v>
      </c>
      <c r="O412" t="s">
        <v>2002</v>
      </c>
      <c r="P412" t="s">
        <v>1584</v>
      </c>
      <c r="Q412" t="s">
        <v>1591</v>
      </c>
      <c r="R412">
        <v>0.02</v>
      </c>
      <c r="S412">
        <v>0.49</v>
      </c>
      <c r="T412" t="s">
        <v>1584</v>
      </c>
      <c r="U412" t="s">
        <v>1592</v>
      </c>
      <c r="V412" t="str" cm="1">
        <f t="array" aca="1" ref="V412" ca="1">IFERROR(_xlfn.IFS(A410="  ..............",OFFSET(A410,2,0),A409=" X-------------X",OFFSET(A409,3,0),MATCH("  ..............",A412:A421,0)&gt;2,V411),"-")</f>
        <v xml:space="preserve">  VENAIR-RS069  </v>
      </c>
      <c r="W412">
        <f t="shared" ca="1" si="18"/>
        <v>1.012</v>
      </c>
      <c r="X412" t="str">
        <f t="shared" ca="1" si="19"/>
        <v xml:space="preserve"> CERTA3-RS069 </v>
      </c>
      <c r="Y412" s="1">
        <f t="shared" ca="1" si="20"/>
        <v>0</v>
      </c>
    </row>
    <row r="413" spans="1:25" x14ac:dyDescent="0.25">
      <c r="A413" t="s">
        <v>1588</v>
      </c>
      <c r="B413" t="s">
        <v>1587</v>
      </c>
      <c r="C413">
        <v>9999</v>
      </c>
      <c r="D413">
        <v>9999</v>
      </c>
      <c r="E413">
        <v>9999</v>
      </c>
      <c r="F413" s="1">
        <v>0</v>
      </c>
      <c r="G413" t="s">
        <v>1587</v>
      </c>
      <c r="H413" t="s">
        <v>1587</v>
      </c>
      <c r="I413">
        <v>10313</v>
      </c>
      <c r="J413" t="s">
        <v>2003</v>
      </c>
      <c r="K413">
        <v>1</v>
      </c>
      <c r="L413">
        <v>2.8</v>
      </c>
      <c r="M413">
        <v>0.2</v>
      </c>
      <c r="N413">
        <v>2.8</v>
      </c>
      <c r="O413" t="s">
        <v>1594</v>
      </c>
      <c r="P413" t="s">
        <v>1584</v>
      </c>
      <c r="Q413" t="s">
        <v>1591</v>
      </c>
      <c r="R413">
        <v>0</v>
      </c>
      <c r="S413">
        <v>0</v>
      </c>
      <c r="T413" t="s">
        <v>1584</v>
      </c>
      <c r="U413" t="s">
        <v>1592</v>
      </c>
      <c r="V413" t="str" cm="1">
        <f t="array" aca="1" ref="V413" ca="1">IFERROR(_xlfn.IFS(A411="  ..............",OFFSET(A411,2,0),A410=" X-------------X",OFFSET(A410,3,0),MATCH("  ..............",A413:A422,0)&gt;2,V412),"-")</f>
        <v xml:space="preserve">  VENAIR-RS069  </v>
      </c>
      <c r="W413">
        <f t="shared" ca="1" si="18"/>
        <v>1.012</v>
      </c>
      <c r="X413" t="str">
        <f t="shared" ca="1" si="19"/>
        <v xml:space="preserve"> VAI--3-RS000 </v>
      </c>
      <c r="Y413" s="1">
        <f t="shared" ca="1" si="20"/>
        <v>0.40500000000000003</v>
      </c>
    </row>
    <row r="414" spans="1:25" x14ac:dyDescent="0.25">
      <c r="A414" t="s">
        <v>1588</v>
      </c>
      <c r="B414" t="s">
        <v>1587</v>
      </c>
      <c r="C414">
        <v>50</v>
      </c>
      <c r="D414">
        <v>60</v>
      </c>
      <c r="E414">
        <v>60</v>
      </c>
      <c r="F414" s="1">
        <v>0.40500000000000003</v>
      </c>
      <c r="G414" t="s">
        <v>1587</v>
      </c>
      <c r="H414" t="s">
        <v>1587</v>
      </c>
      <c r="I414">
        <v>10419</v>
      </c>
      <c r="J414" t="s">
        <v>2004</v>
      </c>
      <c r="K414">
        <v>3</v>
      </c>
      <c r="L414">
        <v>-19.399999999999999</v>
      </c>
      <c r="M414">
        <v>-6.4</v>
      </c>
      <c r="N414">
        <v>20.2</v>
      </c>
      <c r="O414" t="s">
        <v>2005</v>
      </c>
      <c r="P414" t="s">
        <v>1584</v>
      </c>
      <c r="Q414">
        <v>2</v>
      </c>
      <c r="R414">
        <v>0.02</v>
      </c>
      <c r="S414">
        <v>-0.14000000000000001</v>
      </c>
      <c r="T414" t="s">
        <v>1584</v>
      </c>
      <c r="U414" t="s">
        <v>1592</v>
      </c>
      <c r="V414" t="str" cm="1">
        <f t="array" aca="1" ref="V414" ca="1">IFERROR(_xlfn.IFS(A412="  ..............",OFFSET(A412,2,0),A411=" X-------------X",OFFSET(A411,3,0),MATCH("  ..............",A414:A423,0)&gt;2,V413),"-")</f>
        <v xml:space="preserve">  VENAIR-RS069  </v>
      </c>
      <c r="W414">
        <f t="shared" ca="1" si="18"/>
        <v>1.012</v>
      </c>
      <c r="X414" t="str">
        <f t="shared" ca="1" si="19"/>
        <v xml:space="preserve"> VAI--2-RS000 </v>
      </c>
      <c r="Y414" s="1">
        <f t="shared" ca="1" si="20"/>
        <v>0.46200000000000002</v>
      </c>
    </row>
    <row r="415" spans="1:25" x14ac:dyDescent="0.25">
      <c r="A415" t="s">
        <v>1588</v>
      </c>
      <c r="B415" t="s">
        <v>1587</v>
      </c>
      <c r="C415">
        <v>75</v>
      </c>
      <c r="D415">
        <v>112</v>
      </c>
      <c r="E415">
        <v>112</v>
      </c>
      <c r="F415" s="1">
        <v>0.46200000000000002</v>
      </c>
      <c r="G415" t="s">
        <v>1587</v>
      </c>
      <c r="H415" t="s">
        <v>1587</v>
      </c>
      <c r="I415">
        <v>41403</v>
      </c>
      <c r="J415" t="s">
        <v>2006</v>
      </c>
      <c r="K415">
        <v>2</v>
      </c>
      <c r="L415">
        <v>-31.8</v>
      </c>
      <c r="M415">
        <v>-14.7</v>
      </c>
      <c r="N415">
        <v>34.700000000000003</v>
      </c>
      <c r="O415" t="s">
        <v>1608</v>
      </c>
      <c r="P415" t="s">
        <v>1584</v>
      </c>
      <c r="Q415">
        <v>2</v>
      </c>
      <c r="R415">
        <v>0.02</v>
      </c>
      <c r="S415">
        <v>-0.1</v>
      </c>
      <c r="T415" t="s">
        <v>1584</v>
      </c>
      <c r="U415" t="s">
        <v>1592</v>
      </c>
      <c r="V415" t="str" cm="1">
        <f t="array" aca="1" ref="V415" ca="1">IFERROR(_xlfn.IFS(A413="  ..............",OFFSET(A413,2,0),A412=" X-------------X",OFFSET(A412,3,0),MATCH("  ..............",A415:A424,0)&gt;2,V414),"-")</f>
        <v>-</v>
      </c>
      <c r="W415" t="str">
        <f t="shared" ca="1" si="18"/>
        <v>-</v>
      </c>
      <c r="X415" t="str">
        <f t="shared" ca="1" si="19"/>
        <v>-</v>
      </c>
      <c r="Y415" s="1" t="str">
        <f t="shared" ca="1" si="20"/>
        <v>-</v>
      </c>
    </row>
    <row r="416" spans="1:25" x14ac:dyDescent="0.25">
      <c r="A416" t="s">
        <v>1572</v>
      </c>
      <c r="B416" t="s">
        <v>1574</v>
      </c>
      <c r="C416" t="s">
        <v>1574</v>
      </c>
      <c r="D416" t="s">
        <v>1574</v>
      </c>
      <c r="E416" t="s">
        <v>1574</v>
      </c>
      <c r="F416" t="s">
        <v>1575</v>
      </c>
      <c r="G416" t="s">
        <v>1574</v>
      </c>
      <c r="H416" t="s">
        <v>1574</v>
      </c>
      <c r="I416" t="s">
        <v>1576</v>
      </c>
      <c r="J416" t="s">
        <v>1573</v>
      </c>
      <c r="K416" t="s">
        <v>1577</v>
      </c>
      <c r="L416" t="s">
        <v>1574</v>
      </c>
      <c r="M416" t="s">
        <v>1574</v>
      </c>
      <c r="N416" t="s">
        <v>1574</v>
      </c>
      <c r="O416" t="s">
        <v>1578</v>
      </c>
      <c r="P416" t="s">
        <v>1576</v>
      </c>
      <c r="Q416" t="s">
        <v>1579</v>
      </c>
      <c r="R416" t="s">
        <v>1580</v>
      </c>
      <c r="S416" t="s">
        <v>1580</v>
      </c>
      <c r="T416" t="s">
        <v>1576</v>
      </c>
      <c r="U416" t="s">
        <v>1576</v>
      </c>
      <c r="V416" t="str" cm="1">
        <f t="array" aca="1" ref="V416" ca="1">IFERROR(_xlfn.IFS(A414="  ..............",OFFSET(A414,2,0),A413=" X-------------X",OFFSET(A413,3,0),MATCH("  ..............",A416:A425,0)&gt;2,V415),"-")</f>
        <v>-</v>
      </c>
      <c r="W416" t="str">
        <f t="shared" ca="1" si="18"/>
        <v>-</v>
      </c>
      <c r="X416" t="str">
        <f t="shared" ca="1" si="19"/>
        <v/>
      </c>
      <c r="Y416" s="1" t="str">
        <f t="shared" ca="1" si="20"/>
        <v/>
      </c>
    </row>
    <row r="417" spans="1:25" x14ac:dyDescent="0.25">
      <c r="A417" t="s">
        <v>2007</v>
      </c>
      <c r="B417">
        <v>1.0389999999999999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 t="s">
        <v>1581</v>
      </c>
      <c r="J417" t="s">
        <v>1581</v>
      </c>
      <c r="K417" t="s">
        <v>1581</v>
      </c>
      <c r="L417" t="s">
        <v>1581</v>
      </c>
      <c r="M417" t="s">
        <v>1581</v>
      </c>
      <c r="N417" t="s">
        <v>1581</v>
      </c>
      <c r="O417" t="s">
        <v>1581</v>
      </c>
      <c r="P417" t="s">
        <v>1581</v>
      </c>
      <c r="Q417" t="s">
        <v>1581</v>
      </c>
      <c r="R417" t="s">
        <v>1581</v>
      </c>
      <c r="S417" t="s">
        <v>1581</v>
      </c>
      <c r="T417" t="s">
        <v>1581</v>
      </c>
      <c r="U417" t="s">
        <v>1581</v>
      </c>
      <c r="V417" t="str" cm="1">
        <f t="array" aca="1" ref="V417" ca="1">IFERROR(_xlfn.IFS(A415="  ..............",OFFSET(A415,2,0),A414=" X-------------X",OFFSET(A414,3,0),MATCH("  ..............",A417:A426,0)&gt;2,V416),"-")</f>
        <v>-</v>
      </c>
      <c r="W417" t="str">
        <f t="shared" ca="1" si="18"/>
        <v>-</v>
      </c>
      <c r="X417" t="str">
        <f t="shared" ca="1" si="19"/>
        <v xml:space="preserve">              </v>
      </c>
      <c r="Y417" s="1">
        <f t="shared" ca="1" si="20"/>
        <v>0</v>
      </c>
    </row>
    <row r="418" spans="1:25" x14ac:dyDescent="0.25">
      <c r="A418" t="s">
        <v>2008</v>
      </c>
      <c r="B418">
        <v>-49.7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 t="s">
        <v>1584</v>
      </c>
      <c r="J418" t="s">
        <v>1585</v>
      </c>
      <c r="K418" t="s">
        <v>1586</v>
      </c>
      <c r="L418" t="s">
        <v>1587</v>
      </c>
      <c r="M418" t="s">
        <v>1587</v>
      </c>
      <c r="N418" t="s">
        <v>1586</v>
      </c>
      <c r="O418" t="s">
        <v>1581</v>
      </c>
      <c r="P418" t="s">
        <v>1581</v>
      </c>
      <c r="Q418" t="s">
        <v>1581</v>
      </c>
      <c r="R418" t="s">
        <v>1581</v>
      </c>
      <c r="S418" t="s">
        <v>1581</v>
      </c>
      <c r="T418" t="s">
        <v>1581</v>
      </c>
      <c r="U418" t="s">
        <v>1581</v>
      </c>
      <c r="V418" t="str" cm="1">
        <f t="array" aca="1" ref="V418" ca="1">IFERROR(_xlfn.IFS(A416="  ..............",OFFSET(A416,2,0),A415=" X-------------X",OFFSET(A415,3,0),MATCH("  ..............",A418:A427,0)&gt;2,V417),"-")</f>
        <v xml:space="preserve">  CALTA1-RS069  </v>
      </c>
      <c r="W418">
        <f t="shared" ca="1" si="18"/>
        <v>1.0389999999999999</v>
      </c>
      <c r="X418" t="str">
        <f t="shared" ca="1" si="19"/>
        <v xml:space="preserve"> IJUI1--RS069 </v>
      </c>
      <c r="Y418" s="1" t="str">
        <f t="shared" ca="1" si="20"/>
        <v xml:space="preserve">             </v>
      </c>
    </row>
    <row r="419" spans="1:25" x14ac:dyDescent="0.25">
      <c r="A419" t="s">
        <v>1637</v>
      </c>
      <c r="B419" t="s">
        <v>1638</v>
      </c>
      <c r="C419">
        <v>44</v>
      </c>
      <c r="D419">
        <v>64</v>
      </c>
      <c r="E419">
        <v>64</v>
      </c>
      <c r="F419" t="s">
        <v>1639</v>
      </c>
      <c r="G419" t="s">
        <v>1587</v>
      </c>
      <c r="H419" t="s">
        <v>1587</v>
      </c>
      <c r="I419">
        <v>1302</v>
      </c>
      <c r="J419" t="s">
        <v>2009</v>
      </c>
      <c r="K419">
        <v>1</v>
      </c>
      <c r="L419">
        <v>0</v>
      </c>
      <c r="M419">
        <v>0</v>
      </c>
      <c r="N419">
        <v>0</v>
      </c>
      <c r="O419" t="s">
        <v>1594</v>
      </c>
      <c r="P419" t="s">
        <v>1584</v>
      </c>
      <c r="Q419" t="s">
        <v>1591</v>
      </c>
      <c r="R419">
        <v>0</v>
      </c>
      <c r="S419">
        <v>0</v>
      </c>
      <c r="T419" t="s">
        <v>1584</v>
      </c>
      <c r="U419" t="s">
        <v>1592</v>
      </c>
      <c r="V419" t="str" cm="1">
        <f t="array" aca="1" ref="V419" ca="1">IFERROR(_xlfn.IFS(A417="  ..............",OFFSET(A417,2,0),A416=" X-------------X",OFFSET(A416,3,0),MATCH("  ..............",A419:A428,0)&gt;2,V418),"-")</f>
        <v xml:space="preserve">  CALTA1-RS069  </v>
      </c>
      <c r="W419">
        <f t="shared" ca="1" si="18"/>
        <v>1.0389999999999999</v>
      </c>
      <c r="X419" t="str">
        <f t="shared" ca="1" si="19"/>
        <v xml:space="preserve"> PANAM--RS069 </v>
      </c>
      <c r="Y419" s="1">
        <f t="shared" ca="1" si="20"/>
        <v>0.85599999999999998</v>
      </c>
    </row>
    <row r="420" spans="1:25" x14ac:dyDescent="0.25">
      <c r="A420" t="s">
        <v>1588</v>
      </c>
      <c r="B420" t="s">
        <v>1587</v>
      </c>
      <c r="C420">
        <v>23</v>
      </c>
      <c r="D420">
        <v>23</v>
      </c>
      <c r="E420">
        <v>23</v>
      </c>
      <c r="F420" s="1">
        <v>0.85599999999999998</v>
      </c>
      <c r="G420" t="s">
        <v>1587</v>
      </c>
      <c r="H420" t="s">
        <v>1587</v>
      </c>
      <c r="I420">
        <v>1307</v>
      </c>
      <c r="J420" t="s">
        <v>2010</v>
      </c>
      <c r="K420">
        <v>1</v>
      </c>
      <c r="L420">
        <v>20.399999999999999</v>
      </c>
      <c r="M420">
        <v>-1.7</v>
      </c>
      <c r="N420">
        <v>19.7</v>
      </c>
      <c r="O420" t="s">
        <v>1594</v>
      </c>
      <c r="P420" t="s">
        <v>1584</v>
      </c>
      <c r="Q420" t="s">
        <v>1591</v>
      </c>
      <c r="R420">
        <v>1.28</v>
      </c>
      <c r="S420">
        <v>1.25</v>
      </c>
      <c r="T420" t="s">
        <v>1584</v>
      </c>
      <c r="U420" t="s">
        <v>1592</v>
      </c>
      <c r="V420" t="str" cm="1">
        <f t="array" aca="1" ref="V420" ca="1">IFERROR(_xlfn.IFS(A418="  ..............",OFFSET(A418,2,0),A417=" X-------------X",OFFSET(A417,3,0),MATCH("  ..............",A420:A429,0)&gt;2,V419),"-")</f>
        <v xml:space="preserve">  CALTA1-RS069  </v>
      </c>
      <c r="W420">
        <f t="shared" ca="1" si="18"/>
        <v>1.0389999999999999</v>
      </c>
      <c r="X420" t="str">
        <f t="shared" ca="1" si="19"/>
        <v xml:space="preserve"> CRUZAL-RS138 </v>
      </c>
      <c r="Y420" s="1">
        <f t="shared" ca="1" si="20"/>
        <v>0.187</v>
      </c>
    </row>
    <row r="421" spans="1:25" x14ac:dyDescent="0.25">
      <c r="A421" t="s">
        <v>1588</v>
      </c>
      <c r="B421" t="s">
        <v>1587</v>
      </c>
      <c r="C421">
        <v>66</v>
      </c>
      <c r="D421">
        <v>66</v>
      </c>
      <c r="E421">
        <v>66</v>
      </c>
      <c r="F421" s="1">
        <v>9.9000000000000005E-2</v>
      </c>
      <c r="G421" t="s">
        <v>1587</v>
      </c>
      <c r="H421" t="s">
        <v>1587</v>
      </c>
      <c r="I421">
        <v>2061</v>
      </c>
      <c r="J421" t="s">
        <v>1710</v>
      </c>
      <c r="K421">
        <v>1</v>
      </c>
      <c r="L421">
        <v>-6.7</v>
      </c>
      <c r="M421">
        <v>-0.9</v>
      </c>
      <c r="N421">
        <v>6.5</v>
      </c>
      <c r="O421" t="s">
        <v>2011</v>
      </c>
      <c r="P421" t="s">
        <v>1584</v>
      </c>
      <c r="Q421" t="s">
        <v>1591</v>
      </c>
      <c r="R421">
        <v>0</v>
      </c>
      <c r="S421">
        <v>0.11</v>
      </c>
      <c r="T421" t="s">
        <v>1584</v>
      </c>
      <c r="U421" t="s">
        <v>1592</v>
      </c>
      <c r="V421" t="str" cm="1">
        <f t="array" aca="1" ref="V421" ca="1">IFERROR(_xlfn.IFS(A419="  ..............",OFFSET(A419,2,0),A418=" X-------------X",OFFSET(A418,3,0),MATCH("  ..............",A421:A430,0)&gt;2,V420),"-")</f>
        <v xml:space="preserve">  CALTA1-RS069  </v>
      </c>
      <c r="W421">
        <f t="shared" ca="1" si="18"/>
        <v>1.0389999999999999</v>
      </c>
      <c r="X421" t="str">
        <f t="shared" ca="1" si="19"/>
        <v xml:space="preserve"> CAL1-B-RS023 </v>
      </c>
      <c r="Y421" s="1">
        <f t="shared" ca="1" si="20"/>
        <v>0.375</v>
      </c>
    </row>
    <row r="422" spans="1:25" x14ac:dyDescent="0.25">
      <c r="A422" t="s">
        <v>1588</v>
      </c>
      <c r="B422" t="s">
        <v>1587</v>
      </c>
      <c r="C422">
        <v>25</v>
      </c>
      <c r="D422">
        <v>25</v>
      </c>
      <c r="E422">
        <v>25</v>
      </c>
      <c r="F422" s="1">
        <v>0.375</v>
      </c>
      <c r="G422" t="s">
        <v>1587</v>
      </c>
      <c r="H422" t="s">
        <v>1587</v>
      </c>
      <c r="I422">
        <v>9660</v>
      </c>
      <c r="J422" t="s">
        <v>2012</v>
      </c>
      <c r="K422">
        <v>1</v>
      </c>
      <c r="L422">
        <v>9.6999999999999993</v>
      </c>
      <c r="M422">
        <v>0.7</v>
      </c>
      <c r="N422">
        <v>9.4</v>
      </c>
      <c r="O422" t="s">
        <v>1940</v>
      </c>
      <c r="P422" t="s">
        <v>1584</v>
      </c>
      <c r="Q422" t="s">
        <v>1591</v>
      </c>
      <c r="R422">
        <v>0</v>
      </c>
      <c r="S422">
        <v>0.35</v>
      </c>
      <c r="T422" t="s">
        <v>1584</v>
      </c>
      <c r="U422" t="s">
        <v>1592</v>
      </c>
      <c r="V422" t="str" cm="1">
        <f t="array" aca="1" ref="V422" ca="1">IFERROR(_xlfn.IFS(A420="  ..............",OFFSET(A420,2,0),A419=" X-------------X",OFFSET(A419,3,0),MATCH("  ..............",A422:A431,0)&gt;2,V421),"-")</f>
        <v xml:space="preserve">  CALTA1-RS069  </v>
      </c>
      <c r="W422">
        <f t="shared" ca="1" si="18"/>
        <v>1.0389999999999999</v>
      </c>
      <c r="X422" t="str">
        <f t="shared" ca="1" si="19"/>
        <v xml:space="preserve"> CALTA2-RS069 </v>
      </c>
      <c r="Y422" s="1">
        <f t="shared" ca="1" si="20"/>
        <v>0.13400000000000001</v>
      </c>
    </row>
    <row r="423" spans="1:25" x14ac:dyDescent="0.25">
      <c r="A423" t="s">
        <v>1588</v>
      </c>
      <c r="B423" t="s">
        <v>1587</v>
      </c>
      <c r="C423">
        <v>84</v>
      </c>
      <c r="D423">
        <v>101</v>
      </c>
      <c r="E423">
        <v>101</v>
      </c>
      <c r="F423" s="1">
        <v>0.13400000000000001</v>
      </c>
      <c r="G423" t="s">
        <v>1587</v>
      </c>
      <c r="H423" t="s">
        <v>1587</v>
      </c>
      <c r="I423">
        <v>10219</v>
      </c>
      <c r="J423" t="s">
        <v>2013</v>
      </c>
      <c r="K423">
        <v>1</v>
      </c>
      <c r="L423">
        <v>-11.7</v>
      </c>
      <c r="M423">
        <v>0.9</v>
      </c>
      <c r="N423">
        <v>11.3</v>
      </c>
      <c r="O423" t="s">
        <v>1594</v>
      </c>
      <c r="P423" t="s">
        <v>1584</v>
      </c>
      <c r="Q423" t="s">
        <v>1591</v>
      </c>
      <c r="R423">
        <v>0.03</v>
      </c>
      <c r="S423">
        <v>-0.06</v>
      </c>
      <c r="T423" t="s">
        <v>1584</v>
      </c>
      <c r="U423" t="s">
        <v>1592</v>
      </c>
      <c r="V423" t="str" cm="1">
        <f t="array" aca="1" ref="V423" ca="1">IFERROR(_xlfn.IFS(A421="  ..............",OFFSET(A421,2,0),A420=" X-------------X",OFFSET(A420,3,0),MATCH("  ..............",A423:A432,0)&gt;2,V422),"-")</f>
        <v xml:space="preserve">  CALTA1-RS069  </v>
      </c>
      <c r="W423">
        <f t="shared" ca="1" si="18"/>
        <v>1.0389999999999999</v>
      </c>
      <c r="X423" t="str">
        <f t="shared" ca="1" si="19"/>
        <v xml:space="preserve"> CALTA2-RS069 </v>
      </c>
      <c r="Y423" s="1">
        <f t="shared" ca="1" si="20"/>
        <v>0.13400000000000001</v>
      </c>
    </row>
    <row r="424" spans="1:25" x14ac:dyDescent="0.25">
      <c r="A424" t="s">
        <v>1588</v>
      </c>
      <c r="B424" t="s">
        <v>1587</v>
      </c>
      <c r="C424">
        <v>84</v>
      </c>
      <c r="D424">
        <v>101</v>
      </c>
      <c r="E424">
        <v>101</v>
      </c>
      <c r="F424" s="1">
        <v>0.13400000000000001</v>
      </c>
      <c r="G424" t="s">
        <v>1587</v>
      </c>
      <c r="H424" t="s">
        <v>1587</v>
      </c>
      <c r="I424">
        <v>10219</v>
      </c>
      <c r="J424" t="s">
        <v>2013</v>
      </c>
      <c r="K424">
        <v>2</v>
      </c>
      <c r="L424">
        <v>-11.7</v>
      </c>
      <c r="M424">
        <v>0.9</v>
      </c>
      <c r="N424">
        <v>11.3</v>
      </c>
      <c r="O424" t="s">
        <v>1594</v>
      </c>
      <c r="P424" t="s">
        <v>1584</v>
      </c>
      <c r="Q424" t="s">
        <v>1591</v>
      </c>
      <c r="R424">
        <v>0.03</v>
      </c>
      <c r="S424">
        <v>-0.06</v>
      </c>
      <c r="T424" t="s">
        <v>1584</v>
      </c>
      <c r="U424" t="s">
        <v>1592</v>
      </c>
      <c r="V424" t="str" cm="1">
        <f t="array" aca="1" ref="V424" ca="1">IFERROR(_xlfn.IFS(A422="  ..............",OFFSET(A422,2,0),A421=" X-------------X",OFFSET(A421,3,0),MATCH("  ..............",A424:A433,0)&gt;2,V423),"-")</f>
        <v>-</v>
      </c>
      <c r="W424" t="str">
        <f t="shared" ca="1" si="18"/>
        <v>-</v>
      </c>
      <c r="X424" t="str">
        <f t="shared" ca="1" si="19"/>
        <v>-</v>
      </c>
      <c r="Y424" s="1" t="str">
        <f t="shared" ca="1" si="20"/>
        <v>-</v>
      </c>
    </row>
    <row r="425" spans="1:25" x14ac:dyDescent="0.25">
      <c r="A425" t="s">
        <v>1572</v>
      </c>
      <c r="B425" t="s">
        <v>1574</v>
      </c>
      <c r="C425" t="s">
        <v>1574</v>
      </c>
      <c r="D425" t="s">
        <v>1574</v>
      </c>
      <c r="E425" t="s">
        <v>1574</v>
      </c>
      <c r="F425" t="s">
        <v>1575</v>
      </c>
      <c r="G425" t="s">
        <v>1574</v>
      </c>
      <c r="H425" t="s">
        <v>1574</v>
      </c>
      <c r="I425" t="s">
        <v>1576</v>
      </c>
      <c r="J425" t="s">
        <v>1573</v>
      </c>
      <c r="K425" t="s">
        <v>1577</v>
      </c>
      <c r="L425" t="s">
        <v>1574</v>
      </c>
      <c r="M425" t="s">
        <v>1574</v>
      </c>
      <c r="N425" t="s">
        <v>1574</v>
      </c>
      <c r="O425" t="s">
        <v>1578</v>
      </c>
      <c r="P425" t="s">
        <v>1576</v>
      </c>
      <c r="Q425" t="s">
        <v>1579</v>
      </c>
      <c r="R425" t="s">
        <v>1580</v>
      </c>
      <c r="S425" t="s">
        <v>1580</v>
      </c>
      <c r="T425" t="s">
        <v>1576</v>
      </c>
      <c r="U425" t="s">
        <v>1576</v>
      </c>
      <c r="V425" t="str" cm="1">
        <f t="array" aca="1" ref="V425" ca="1">IFERROR(_xlfn.IFS(A423="  ..............",OFFSET(A423,2,0),A422=" X-------------X",OFFSET(A422,3,0),MATCH("  ..............",A425:A434,0)&gt;2,V424),"-")</f>
        <v>-</v>
      </c>
      <c r="W425" t="str">
        <f t="shared" ca="1" si="18"/>
        <v>-</v>
      </c>
      <c r="X425" t="str">
        <f t="shared" ca="1" si="19"/>
        <v/>
      </c>
      <c r="Y425" s="1" t="str">
        <f t="shared" ca="1" si="20"/>
        <v/>
      </c>
    </row>
    <row r="426" spans="1:25" x14ac:dyDescent="0.25">
      <c r="A426" t="s">
        <v>2014</v>
      </c>
      <c r="B426">
        <v>1.0009999999999999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 t="s">
        <v>1581</v>
      </c>
      <c r="J426" t="s">
        <v>1581</v>
      </c>
      <c r="K426" t="s">
        <v>1581</v>
      </c>
      <c r="L426" t="s">
        <v>1581</v>
      </c>
      <c r="M426" t="s">
        <v>1581</v>
      </c>
      <c r="N426" t="s">
        <v>1581</v>
      </c>
      <c r="O426" t="s">
        <v>1581</v>
      </c>
      <c r="P426" t="s">
        <v>1581</v>
      </c>
      <c r="Q426" t="s">
        <v>1581</v>
      </c>
      <c r="R426" t="s">
        <v>1581</v>
      </c>
      <c r="S426" t="s">
        <v>1581</v>
      </c>
      <c r="T426" t="s">
        <v>1581</v>
      </c>
      <c r="U426" t="s">
        <v>1581</v>
      </c>
      <c r="V426" t="str" cm="1">
        <f t="array" aca="1" ref="V426" ca="1">IFERROR(_xlfn.IFS(A424="  ..............",OFFSET(A424,2,0),A423=" X-------------X",OFFSET(A423,3,0),MATCH("  ..............",A426:A435,0)&gt;2,V425),"-")</f>
        <v>-</v>
      </c>
      <c r="W426" t="str">
        <f t="shared" ca="1" si="18"/>
        <v>-</v>
      </c>
      <c r="X426" t="str">
        <f t="shared" ca="1" si="19"/>
        <v xml:space="preserve">              </v>
      </c>
      <c r="Y426" s="1">
        <f t="shared" ca="1" si="20"/>
        <v>0</v>
      </c>
    </row>
    <row r="427" spans="1:25" x14ac:dyDescent="0.25">
      <c r="A427" t="s">
        <v>2015</v>
      </c>
      <c r="B427">
        <v>-50.5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 t="s">
        <v>1584</v>
      </c>
      <c r="J427" t="s">
        <v>1585</v>
      </c>
      <c r="K427" t="s">
        <v>1586</v>
      </c>
      <c r="L427" t="s">
        <v>1587</v>
      </c>
      <c r="M427" t="s">
        <v>1587</v>
      </c>
      <c r="N427" t="s">
        <v>1586</v>
      </c>
      <c r="O427" t="s">
        <v>1581</v>
      </c>
      <c r="P427" t="s">
        <v>1581</v>
      </c>
      <c r="Q427" t="s">
        <v>1581</v>
      </c>
      <c r="R427" t="s">
        <v>1581</v>
      </c>
      <c r="S427" t="s">
        <v>1581</v>
      </c>
      <c r="T427" t="s">
        <v>1581</v>
      </c>
      <c r="U427" t="s">
        <v>1581</v>
      </c>
      <c r="V427" t="str" cm="1">
        <f t="array" aca="1" ref="V427" ca="1">IFERROR(_xlfn.IFS(A425="  ..............",OFFSET(A425,2,0),A424=" X-------------X",OFFSET(A424,3,0),MATCH("  ..............",A427:A436,0)&gt;2,V426),"-")</f>
        <v xml:space="preserve">  IJUI1--RS069  </v>
      </c>
      <c r="W427">
        <f t="shared" ca="1" si="18"/>
        <v>1.0009999999999999</v>
      </c>
      <c r="X427" t="str">
        <f t="shared" ca="1" si="19"/>
        <v xml:space="preserve"> CALTA1-RS069 </v>
      </c>
      <c r="Y427" s="1" t="str">
        <f t="shared" ca="1" si="20"/>
        <v xml:space="preserve">             </v>
      </c>
    </row>
    <row r="428" spans="1:25" x14ac:dyDescent="0.25">
      <c r="A428" t="s">
        <v>1637</v>
      </c>
      <c r="B428" t="s">
        <v>1638</v>
      </c>
      <c r="C428">
        <v>44</v>
      </c>
      <c r="D428">
        <v>64</v>
      </c>
      <c r="E428">
        <v>64</v>
      </c>
      <c r="F428" t="s">
        <v>1639</v>
      </c>
      <c r="G428" t="s">
        <v>1587</v>
      </c>
      <c r="H428" t="s">
        <v>1587</v>
      </c>
      <c r="I428">
        <v>1301</v>
      </c>
      <c r="J428" t="s">
        <v>2016</v>
      </c>
      <c r="K428">
        <v>1</v>
      </c>
      <c r="L428">
        <v>0</v>
      </c>
      <c r="M428">
        <v>0</v>
      </c>
      <c r="N428">
        <v>0</v>
      </c>
      <c r="O428" t="s">
        <v>1594</v>
      </c>
      <c r="P428" t="s">
        <v>1584</v>
      </c>
      <c r="Q428" t="s">
        <v>1591</v>
      </c>
      <c r="R428">
        <v>0</v>
      </c>
      <c r="S428">
        <v>0</v>
      </c>
      <c r="T428" t="s">
        <v>1584</v>
      </c>
      <c r="U428" t="s">
        <v>1592</v>
      </c>
      <c r="V428" t="str" cm="1">
        <f t="array" aca="1" ref="V428" ca="1">IFERROR(_xlfn.IFS(A426="  ..............",OFFSET(A426,2,0),A425=" X-------------X",OFFSET(A425,3,0),MATCH("  ..............",A428:A437,0)&gt;2,V427),"-")</f>
        <v xml:space="preserve">  IJUI1--RS069  </v>
      </c>
      <c r="W428">
        <f t="shared" ca="1" si="18"/>
        <v>1.0009999999999999</v>
      </c>
      <c r="X428" t="str">
        <f t="shared" ca="1" si="19"/>
        <v xml:space="preserve"> SANGE1-RS069 </v>
      </c>
      <c r="Y428" s="1">
        <f t="shared" ca="1" si="20"/>
        <v>0.312</v>
      </c>
    </row>
    <row r="429" spans="1:25" x14ac:dyDescent="0.25">
      <c r="A429" t="s">
        <v>1637</v>
      </c>
      <c r="B429" t="s">
        <v>1638</v>
      </c>
      <c r="C429">
        <v>44</v>
      </c>
      <c r="D429">
        <v>64</v>
      </c>
      <c r="E429">
        <v>64</v>
      </c>
      <c r="F429" t="s">
        <v>1639</v>
      </c>
      <c r="G429" t="s">
        <v>1587</v>
      </c>
      <c r="H429" t="s">
        <v>1587</v>
      </c>
      <c r="I429">
        <v>1311</v>
      </c>
      <c r="J429" t="s">
        <v>1869</v>
      </c>
      <c r="K429">
        <v>1</v>
      </c>
      <c r="L429">
        <v>0</v>
      </c>
      <c r="M429">
        <v>0</v>
      </c>
      <c r="N429">
        <v>0</v>
      </c>
      <c r="O429" t="s">
        <v>1594</v>
      </c>
      <c r="P429" t="s">
        <v>1584</v>
      </c>
      <c r="Q429" t="s">
        <v>1591</v>
      </c>
      <c r="R429">
        <v>0</v>
      </c>
      <c r="S429">
        <v>0</v>
      </c>
      <c r="T429" t="s">
        <v>1584</v>
      </c>
      <c r="U429" t="s">
        <v>1592</v>
      </c>
      <c r="V429" t="str" cm="1">
        <f t="array" aca="1" ref="V429" ca="1">IFERROR(_xlfn.IFS(A427="  ..............",OFFSET(A427,2,0),A426=" X-------------X",OFFSET(A426,3,0),MATCH("  ..............",A429:A438,0)&gt;2,V428),"-")</f>
        <v xml:space="preserve">  IJUI1--RS069  </v>
      </c>
      <c r="W429">
        <f t="shared" ca="1" si="18"/>
        <v>1.0009999999999999</v>
      </c>
      <c r="X429" t="str">
        <f t="shared" ca="1" si="19"/>
        <v xml:space="preserve"> IJUI1--RS023 </v>
      </c>
      <c r="Y429" s="1" t="str">
        <f t="shared" ca="1" si="20"/>
        <v xml:space="preserve"> SUP  112.4% </v>
      </c>
    </row>
    <row r="430" spans="1:25" x14ac:dyDescent="0.25">
      <c r="A430" t="s">
        <v>1588</v>
      </c>
      <c r="B430" t="s">
        <v>1587</v>
      </c>
      <c r="C430">
        <v>25</v>
      </c>
      <c r="D430">
        <v>25</v>
      </c>
      <c r="E430">
        <v>25</v>
      </c>
      <c r="F430" t="s">
        <v>2017</v>
      </c>
      <c r="G430" t="s">
        <v>1587</v>
      </c>
      <c r="H430" t="s">
        <v>1587</v>
      </c>
      <c r="I430">
        <v>9674</v>
      </c>
      <c r="J430" t="s">
        <v>2018</v>
      </c>
      <c r="K430">
        <v>1</v>
      </c>
      <c r="L430">
        <v>27.1</v>
      </c>
      <c r="M430">
        <v>7.5</v>
      </c>
      <c r="N430">
        <v>28.1</v>
      </c>
      <c r="O430" t="s">
        <v>2019</v>
      </c>
      <c r="P430" t="s">
        <v>1584</v>
      </c>
      <c r="Q430" t="s">
        <v>1591</v>
      </c>
      <c r="R430">
        <v>0</v>
      </c>
      <c r="S430">
        <v>2.48</v>
      </c>
      <c r="T430" t="s">
        <v>1584</v>
      </c>
      <c r="U430" t="s">
        <v>1592</v>
      </c>
      <c r="V430" t="str" cm="1">
        <f t="array" aca="1" ref="V430" ca="1">IFERROR(_xlfn.IFS(A428="  ..............",OFFSET(A428,2,0),A427=" X-------------X",OFFSET(A427,3,0),MATCH("  ..............",A430:A439,0)&gt;2,V429),"-")</f>
        <v xml:space="preserve">  IJUI1--RS069  </v>
      </c>
      <c r="W430">
        <f t="shared" ca="1" si="18"/>
        <v>1.0009999999999999</v>
      </c>
      <c r="X430" t="str">
        <f t="shared" ca="1" si="19"/>
        <v xml:space="preserve"> IJU1-B-RS069 </v>
      </c>
      <c r="Y430" s="1">
        <f t="shared" ca="1" si="20"/>
        <v>0</v>
      </c>
    </row>
    <row r="431" spans="1:25" x14ac:dyDescent="0.25">
      <c r="A431" t="s">
        <v>1588</v>
      </c>
      <c r="B431" t="s">
        <v>1587</v>
      </c>
      <c r="C431">
        <v>9999</v>
      </c>
      <c r="D431">
        <v>9999</v>
      </c>
      <c r="E431">
        <v>9999</v>
      </c>
      <c r="F431" s="1">
        <v>0</v>
      </c>
      <c r="G431" t="s">
        <v>1587</v>
      </c>
      <c r="H431" t="s">
        <v>1587</v>
      </c>
      <c r="I431">
        <v>9911</v>
      </c>
      <c r="J431" t="s">
        <v>2020</v>
      </c>
      <c r="K431">
        <v>1</v>
      </c>
      <c r="L431">
        <v>-27.1</v>
      </c>
      <c r="M431">
        <v>-7.5</v>
      </c>
      <c r="N431">
        <v>28.1</v>
      </c>
      <c r="O431" t="s">
        <v>1594</v>
      </c>
      <c r="P431" t="s">
        <v>1584</v>
      </c>
      <c r="Q431" t="s">
        <v>1591</v>
      </c>
      <c r="R431">
        <v>0</v>
      </c>
      <c r="S431">
        <v>0</v>
      </c>
      <c r="T431" t="s">
        <v>1584</v>
      </c>
      <c r="U431" t="s">
        <v>1592</v>
      </c>
      <c r="V431" t="str" cm="1">
        <f t="array" aca="1" ref="V431" ca="1">IFERROR(_xlfn.IFS(A429="  ..............",OFFSET(A429,2,0),A428=" X-------------X",OFFSET(A428,3,0),MATCH("  ..............",A431:A440,0)&gt;2,V430),"-")</f>
        <v>-</v>
      </c>
      <c r="W431" t="str">
        <f t="shared" ca="1" si="18"/>
        <v>-</v>
      </c>
      <c r="X431" t="str">
        <f t="shared" ca="1" si="19"/>
        <v>-</v>
      </c>
      <c r="Y431" s="1" t="str">
        <f t="shared" ca="1" si="20"/>
        <v>-</v>
      </c>
    </row>
    <row r="432" spans="1:25" x14ac:dyDescent="0.25">
      <c r="A432" t="s">
        <v>1572</v>
      </c>
      <c r="B432" t="s">
        <v>1574</v>
      </c>
      <c r="C432" t="s">
        <v>1574</v>
      </c>
      <c r="D432" t="s">
        <v>1574</v>
      </c>
      <c r="E432" t="s">
        <v>1574</v>
      </c>
      <c r="F432" t="s">
        <v>1575</v>
      </c>
      <c r="G432" t="s">
        <v>1574</v>
      </c>
      <c r="H432" t="s">
        <v>1574</v>
      </c>
      <c r="I432" t="s">
        <v>1576</v>
      </c>
      <c r="J432" t="s">
        <v>1573</v>
      </c>
      <c r="K432" t="s">
        <v>1577</v>
      </c>
      <c r="L432" t="s">
        <v>1574</v>
      </c>
      <c r="M432" t="s">
        <v>1574</v>
      </c>
      <c r="N432" t="s">
        <v>1574</v>
      </c>
      <c r="O432" t="s">
        <v>1578</v>
      </c>
      <c r="P432" t="s">
        <v>1576</v>
      </c>
      <c r="Q432" t="s">
        <v>1579</v>
      </c>
      <c r="R432" t="s">
        <v>1580</v>
      </c>
      <c r="S432" t="s">
        <v>1580</v>
      </c>
      <c r="T432" t="s">
        <v>1576</v>
      </c>
      <c r="U432" t="s">
        <v>1576</v>
      </c>
      <c r="V432" t="str" cm="1">
        <f t="array" aca="1" ref="V432" ca="1">IFERROR(_xlfn.IFS(A430="  ..............",OFFSET(A430,2,0),A429=" X-------------X",OFFSET(A429,3,0),MATCH("  ..............",A432:A441,0)&gt;2,V431),"-")</f>
        <v>-</v>
      </c>
      <c r="W432" t="str">
        <f t="shared" ca="1" si="18"/>
        <v>-</v>
      </c>
      <c r="X432" t="str">
        <f t="shared" ca="1" si="19"/>
        <v/>
      </c>
      <c r="Y432" s="1" t="str">
        <f t="shared" ca="1" si="20"/>
        <v/>
      </c>
    </row>
    <row r="433" spans="1:25" x14ac:dyDescent="0.25">
      <c r="A433" t="s">
        <v>2021</v>
      </c>
      <c r="B433">
        <v>0.999</v>
      </c>
      <c r="C433">
        <v>0</v>
      </c>
      <c r="D433">
        <v>0</v>
      </c>
      <c r="E433">
        <v>8</v>
      </c>
      <c r="F433">
        <v>0</v>
      </c>
      <c r="G433">
        <v>0</v>
      </c>
      <c r="H433">
        <v>0</v>
      </c>
      <c r="I433" t="s">
        <v>1581</v>
      </c>
      <c r="J433" t="s">
        <v>1581</v>
      </c>
      <c r="K433" t="s">
        <v>1581</v>
      </c>
      <c r="L433" t="s">
        <v>1581</v>
      </c>
      <c r="M433" t="s">
        <v>1581</v>
      </c>
      <c r="N433" t="s">
        <v>1581</v>
      </c>
      <c r="O433" t="s">
        <v>1581</v>
      </c>
      <c r="P433" t="s">
        <v>1581</v>
      </c>
      <c r="Q433" t="s">
        <v>1581</v>
      </c>
      <c r="R433" t="s">
        <v>1581</v>
      </c>
      <c r="S433" t="s">
        <v>1581</v>
      </c>
      <c r="T433" t="s">
        <v>1581</v>
      </c>
      <c r="U433" t="s">
        <v>1581</v>
      </c>
      <c r="V433" t="str" cm="1">
        <f t="array" aca="1" ref="V433" ca="1">IFERROR(_xlfn.IFS(A431="  ..............",OFFSET(A431,2,0),A430=" X-------------X",OFFSET(A430,3,0),MATCH("  ..............",A433:A442,0)&gt;2,V432),"-")</f>
        <v>-</v>
      </c>
      <c r="W433" t="str">
        <f t="shared" ca="1" si="18"/>
        <v>-</v>
      </c>
      <c r="X433" t="str">
        <f t="shared" ca="1" si="19"/>
        <v xml:space="preserve">              </v>
      </c>
      <c r="Y433" s="1">
        <f t="shared" ca="1" si="20"/>
        <v>0</v>
      </c>
    </row>
    <row r="434" spans="1:25" x14ac:dyDescent="0.25">
      <c r="A434" t="s">
        <v>2022</v>
      </c>
      <c r="B434">
        <v>-54.8</v>
      </c>
      <c r="C434">
        <v>0</v>
      </c>
      <c r="D434">
        <v>0</v>
      </c>
      <c r="E434">
        <v>3.3</v>
      </c>
      <c r="F434">
        <v>0</v>
      </c>
      <c r="G434">
        <v>0</v>
      </c>
      <c r="H434">
        <v>0</v>
      </c>
      <c r="I434" t="s">
        <v>1584</v>
      </c>
      <c r="J434" t="s">
        <v>1585</v>
      </c>
      <c r="K434" t="s">
        <v>1586</v>
      </c>
      <c r="L434" t="s">
        <v>1587</v>
      </c>
      <c r="M434" t="s">
        <v>1587</v>
      </c>
      <c r="N434" t="s">
        <v>1586</v>
      </c>
      <c r="O434" t="s">
        <v>1581</v>
      </c>
      <c r="P434" t="s">
        <v>1581</v>
      </c>
      <c r="Q434" t="s">
        <v>1581</v>
      </c>
      <c r="R434" t="s">
        <v>1581</v>
      </c>
      <c r="S434" t="s">
        <v>1581</v>
      </c>
      <c r="T434" t="s">
        <v>1581</v>
      </c>
      <c r="U434" t="s">
        <v>1581</v>
      </c>
      <c r="V434" t="str" cm="1">
        <f t="array" aca="1" ref="V434" ca="1">IFERROR(_xlfn.IFS(A432="  ..............",OFFSET(A432,2,0),A431=" X-------------X",OFFSET(A431,3,0),MATCH("  ..............",A434:A443,0)&gt;2,V433),"-")</f>
        <v xml:space="preserve">  BUNGE--RS069  </v>
      </c>
      <c r="W434">
        <f t="shared" ca="1" si="18"/>
        <v>0.999</v>
      </c>
      <c r="X434" t="str">
        <f t="shared" ca="1" si="19"/>
        <v xml:space="preserve"> ESTEIO-RS069 </v>
      </c>
      <c r="Y434" s="1">
        <f t="shared" ca="1" si="20"/>
        <v>5.8000000000000003E-2</v>
      </c>
    </row>
    <row r="435" spans="1:25" x14ac:dyDescent="0.25">
      <c r="A435" t="s">
        <v>1588</v>
      </c>
      <c r="B435" t="s">
        <v>1587</v>
      </c>
      <c r="C435">
        <v>84</v>
      </c>
      <c r="D435">
        <v>101</v>
      </c>
      <c r="E435">
        <v>101</v>
      </c>
      <c r="F435" s="1">
        <v>5.8000000000000003E-2</v>
      </c>
      <c r="G435" t="s">
        <v>1587</v>
      </c>
      <c r="H435" t="s">
        <v>1587</v>
      </c>
      <c r="I435">
        <v>1312</v>
      </c>
      <c r="J435" t="s">
        <v>2023</v>
      </c>
      <c r="K435">
        <v>1</v>
      </c>
      <c r="L435">
        <v>2.2999999999999998</v>
      </c>
      <c r="M435">
        <v>4.2</v>
      </c>
      <c r="N435">
        <v>4.8</v>
      </c>
      <c r="O435" t="s">
        <v>1594</v>
      </c>
      <c r="P435" t="s">
        <v>1584</v>
      </c>
      <c r="Q435" t="s">
        <v>1591</v>
      </c>
      <c r="R435">
        <v>0</v>
      </c>
      <c r="S435">
        <v>0</v>
      </c>
      <c r="T435" t="s">
        <v>1584</v>
      </c>
      <c r="U435" t="s">
        <v>1592</v>
      </c>
      <c r="V435" t="str" cm="1">
        <f t="array" aca="1" ref="V435" ca="1">IFERROR(_xlfn.IFS(A433="  ..............",OFFSET(A433,2,0),A432=" X-------------X",OFFSET(A432,3,0),MATCH("  ..............",A435:A444,0)&gt;2,V434),"-")</f>
        <v xml:space="preserve">  BUNGE--RS069  </v>
      </c>
      <c r="W435">
        <f t="shared" ca="1" si="18"/>
        <v>0.999</v>
      </c>
      <c r="X435" t="str">
        <f t="shared" ca="1" si="19"/>
        <v xml:space="preserve"> PETROB-RS069 </v>
      </c>
      <c r="Y435" s="1">
        <f t="shared" ca="1" si="20"/>
        <v>0.152</v>
      </c>
    </row>
    <row r="436" spans="1:25" x14ac:dyDescent="0.25">
      <c r="A436" t="s">
        <v>1588</v>
      </c>
      <c r="B436" t="s">
        <v>1587</v>
      </c>
      <c r="C436">
        <v>84</v>
      </c>
      <c r="D436">
        <v>101</v>
      </c>
      <c r="E436">
        <v>101</v>
      </c>
      <c r="F436" s="1">
        <v>0.152</v>
      </c>
      <c r="G436" t="s">
        <v>1587</v>
      </c>
      <c r="H436" t="s">
        <v>1587</v>
      </c>
      <c r="I436">
        <v>1332</v>
      </c>
      <c r="J436" t="s">
        <v>2024</v>
      </c>
      <c r="K436">
        <v>1</v>
      </c>
      <c r="L436">
        <v>-10.3</v>
      </c>
      <c r="M436">
        <v>-7.5</v>
      </c>
      <c r="N436">
        <v>12.8</v>
      </c>
      <c r="O436" t="s">
        <v>1594</v>
      </c>
      <c r="P436" t="s">
        <v>1584</v>
      </c>
      <c r="Q436" t="s">
        <v>1591</v>
      </c>
      <c r="R436">
        <v>0.03</v>
      </c>
      <c r="S436">
        <v>0.1</v>
      </c>
      <c r="T436" t="s">
        <v>1584</v>
      </c>
      <c r="U436" t="s">
        <v>1592</v>
      </c>
      <c r="V436" t="str" cm="1">
        <f t="array" aca="1" ref="V436" ca="1">IFERROR(_xlfn.IFS(A434="  ..............",OFFSET(A434,2,0),A433=" X-------------X",OFFSET(A433,3,0),MATCH("  ..............",A436:A445,0)&gt;2,V435),"-")</f>
        <v>-</v>
      </c>
      <c r="W436" t="str">
        <f t="shared" ca="1" si="18"/>
        <v>-</v>
      </c>
      <c r="X436" t="str">
        <f t="shared" ca="1" si="19"/>
        <v>-</v>
      </c>
      <c r="Y436" s="1" t="str">
        <f t="shared" ca="1" si="20"/>
        <v>-</v>
      </c>
    </row>
    <row r="437" spans="1:25" x14ac:dyDescent="0.25">
      <c r="A437" t="s">
        <v>1572</v>
      </c>
      <c r="B437" t="s">
        <v>1574</v>
      </c>
      <c r="C437" t="s">
        <v>1574</v>
      </c>
      <c r="D437" t="s">
        <v>1574</v>
      </c>
      <c r="E437" t="s">
        <v>1574</v>
      </c>
      <c r="F437" t="s">
        <v>1575</v>
      </c>
      <c r="G437" t="s">
        <v>1574</v>
      </c>
      <c r="H437" t="s">
        <v>1574</v>
      </c>
      <c r="I437" t="s">
        <v>1576</v>
      </c>
      <c r="J437" t="s">
        <v>1573</v>
      </c>
      <c r="K437" t="s">
        <v>1577</v>
      </c>
      <c r="L437" t="s">
        <v>1574</v>
      </c>
      <c r="M437" t="s">
        <v>1574</v>
      </c>
      <c r="N437" t="s">
        <v>1574</v>
      </c>
      <c r="O437" t="s">
        <v>1578</v>
      </c>
      <c r="P437" t="s">
        <v>1576</v>
      </c>
      <c r="Q437" t="s">
        <v>1579</v>
      </c>
      <c r="R437" t="s">
        <v>1580</v>
      </c>
      <c r="S437" t="s">
        <v>1580</v>
      </c>
      <c r="T437" t="s">
        <v>1576</v>
      </c>
      <c r="U437" t="s">
        <v>1576</v>
      </c>
      <c r="V437" t="str" cm="1">
        <f t="array" aca="1" ref="V437" ca="1">IFERROR(_xlfn.IFS(A435="  ..............",OFFSET(A435,2,0),A434=" X-------------X",OFFSET(A434,3,0),MATCH("  ..............",A437:A446,0)&gt;2,V436),"-")</f>
        <v>-</v>
      </c>
      <c r="W437" t="str">
        <f t="shared" ca="1" si="18"/>
        <v>-</v>
      </c>
      <c r="X437" t="str">
        <f t="shared" ca="1" si="19"/>
        <v/>
      </c>
      <c r="Y437" s="1" t="str">
        <f t="shared" ca="1" si="20"/>
        <v/>
      </c>
    </row>
    <row r="438" spans="1:25" x14ac:dyDescent="0.25">
      <c r="A438" t="s">
        <v>2025</v>
      </c>
      <c r="B438">
        <v>0.95399999999999996</v>
      </c>
      <c r="C438">
        <v>3</v>
      </c>
      <c r="D438">
        <v>0</v>
      </c>
      <c r="E438">
        <v>23.1</v>
      </c>
      <c r="F438">
        <v>0</v>
      </c>
      <c r="G438">
        <v>0</v>
      </c>
      <c r="H438">
        <v>0</v>
      </c>
      <c r="I438" t="s">
        <v>1581</v>
      </c>
      <c r="J438" t="s">
        <v>1581</v>
      </c>
      <c r="K438" t="s">
        <v>1581</v>
      </c>
      <c r="L438" t="s">
        <v>1581</v>
      </c>
      <c r="M438" t="s">
        <v>1581</v>
      </c>
      <c r="N438" t="s">
        <v>1581</v>
      </c>
      <c r="O438" t="s">
        <v>1581</v>
      </c>
      <c r="P438" t="s">
        <v>1581</v>
      </c>
      <c r="Q438" t="s">
        <v>1581</v>
      </c>
      <c r="R438" t="s">
        <v>1581</v>
      </c>
      <c r="S438" t="s">
        <v>1581</v>
      </c>
      <c r="T438" t="s">
        <v>1581</v>
      </c>
      <c r="U438" t="s">
        <v>1581</v>
      </c>
      <c r="V438" t="str" cm="1">
        <f t="array" aca="1" ref="V438" ca="1">IFERROR(_xlfn.IFS(A436="  ..............",OFFSET(A436,2,0),A435=" X-------------X",OFFSET(A435,3,0),MATCH("  ..............",A438:A447,0)&gt;2,V437),"-")</f>
        <v>-</v>
      </c>
      <c r="W438" t="str">
        <f t="shared" ca="1" si="18"/>
        <v>-</v>
      </c>
      <c r="X438" t="str">
        <f t="shared" ca="1" si="19"/>
        <v xml:space="preserve">              </v>
      </c>
      <c r="Y438" s="1">
        <f t="shared" ca="1" si="20"/>
        <v>0</v>
      </c>
    </row>
    <row r="439" spans="1:25" x14ac:dyDescent="0.25">
      <c r="A439" t="s">
        <v>2026</v>
      </c>
      <c r="B439">
        <v>-55.5</v>
      </c>
      <c r="C439">
        <v>0</v>
      </c>
      <c r="D439">
        <v>0</v>
      </c>
      <c r="E439">
        <v>9</v>
      </c>
      <c r="F439">
        <v>0</v>
      </c>
      <c r="G439">
        <v>0</v>
      </c>
      <c r="H439">
        <v>0</v>
      </c>
      <c r="I439" t="s">
        <v>1584</v>
      </c>
      <c r="J439" t="s">
        <v>1585</v>
      </c>
      <c r="K439" t="s">
        <v>1586</v>
      </c>
      <c r="L439" t="s">
        <v>1587</v>
      </c>
      <c r="M439" t="s">
        <v>1587</v>
      </c>
      <c r="N439" t="s">
        <v>1586</v>
      </c>
      <c r="O439" t="s">
        <v>1581</v>
      </c>
      <c r="P439" t="s">
        <v>1581</v>
      </c>
      <c r="Q439" t="s">
        <v>1581</v>
      </c>
      <c r="R439" t="s">
        <v>1581</v>
      </c>
      <c r="S439" t="s">
        <v>1581</v>
      </c>
      <c r="T439" t="s">
        <v>1581</v>
      </c>
      <c r="U439" t="s">
        <v>1581</v>
      </c>
      <c r="V439" t="str" cm="1">
        <f t="array" aca="1" ref="V439" ca="1">IFERROR(_xlfn.IFS(A437="  ..............",OFFSET(A437,2,0),A436=" X-------------X",OFFSET(A436,3,0),MATCH("  ..............",A439:A448,0)&gt;2,V438),"-")</f>
        <v xml:space="preserve">  TAQUAR-RS069  </v>
      </c>
      <c r="W439">
        <f t="shared" ca="1" si="18"/>
        <v>0.95399999999999996</v>
      </c>
      <c r="X439" t="str">
        <f t="shared" ca="1" si="19"/>
        <v xml:space="preserve"> CHARQ3-RS069 </v>
      </c>
      <c r="Y439" s="1" t="str">
        <f t="shared" ca="1" si="20"/>
        <v xml:space="preserve">             </v>
      </c>
    </row>
    <row r="440" spans="1:25" x14ac:dyDescent="0.25">
      <c r="A440" t="s">
        <v>1588</v>
      </c>
      <c r="B440" t="s">
        <v>1587</v>
      </c>
      <c r="C440">
        <v>46</v>
      </c>
      <c r="D440">
        <v>55</v>
      </c>
      <c r="E440">
        <v>55</v>
      </c>
      <c r="F440" s="1">
        <v>0.502</v>
      </c>
      <c r="G440" t="s">
        <v>1587</v>
      </c>
      <c r="H440" t="s">
        <v>1587</v>
      </c>
      <c r="I440">
        <v>10277</v>
      </c>
      <c r="J440" t="s">
        <v>1660</v>
      </c>
      <c r="K440">
        <v>1</v>
      </c>
      <c r="L440">
        <v>-20.100000000000001</v>
      </c>
      <c r="M440">
        <v>-9</v>
      </c>
      <c r="N440">
        <v>23.1</v>
      </c>
      <c r="O440" t="s">
        <v>1594</v>
      </c>
      <c r="P440" t="s">
        <v>1584</v>
      </c>
      <c r="Q440" t="s">
        <v>1591</v>
      </c>
      <c r="R440">
        <v>1.29</v>
      </c>
      <c r="S440">
        <v>1.64</v>
      </c>
      <c r="T440" t="s">
        <v>1584</v>
      </c>
      <c r="U440" t="s">
        <v>1592</v>
      </c>
      <c r="V440" t="str" cm="1">
        <f t="array" aca="1" ref="V440" ca="1">IFERROR(_xlfn.IFS(A438="  ..............",OFFSET(A438,2,0),A437=" X-------------X",OFFSET(A437,3,0),MATCH("  ..............",A440:A449,0)&gt;2,V439),"-")</f>
        <v>-</v>
      </c>
      <c r="W440" t="str">
        <f t="shared" ca="1" si="18"/>
        <v>-</v>
      </c>
      <c r="X440" t="str">
        <f t="shared" ca="1" si="19"/>
        <v>-</v>
      </c>
      <c r="Y440" s="1" t="str">
        <f t="shared" ca="1" si="20"/>
        <v>-</v>
      </c>
    </row>
    <row r="441" spans="1:25" x14ac:dyDescent="0.25">
      <c r="A441" t="s">
        <v>1572</v>
      </c>
      <c r="B441" t="s">
        <v>1574</v>
      </c>
      <c r="C441" t="s">
        <v>1574</v>
      </c>
      <c r="D441" t="s">
        <v>1574</v>
      </c>
      <c r="E441" t="s">
        <v>1574</v>
      </c>
      <c r="F441" t="s">
        <v>1575</v>
      </c>
      <c r="G441" t="s">
        <v>1574</v>
      </c>
      <c r="H441" t="s">
        <v>1574</v>
      </c>
      <c r="I441" t="s">
        <v>1576</v>
      </c>
      <c r="J441" t="s">
        <v>1573</v>
      </c>
      <c r="K441" t="s">
        <v>1577</v>
      </c>
      <c r="L441" t="s">
        <v>1574</v>
      </c>
      <c r="M441" t="s">
        <v>1574</v>
      </c>
      <c r="N441" t="s">
        <v>1574</v>
      </c>
      <c r="O441" t="s">
        <v>1578</v>
      </c>
      <c r="P441" t="s">
        <v>1576</v>
      </c>
      <c r="Q441" t="s">
        <v>1579</v>
      </c>
      <c r="R441" t="s">
        <v>1580</v>
      </c>
      <c r="S441" t="s">
        <v>1580</v>
      </c>
      <c r="T441" t="s">
        <v>1576</v>
      </c>
      <c r="U441" t="s">
        <v>1576</v>
      </c>
      <c r="V441" t="str" cm="1">
        <f t="array" aca="1" ref="V441" ca="1">IFERROR(_xlfn.IFS(A439="  ..............",OFFSET(A439,2,0),A438=" X-------------X",OFFSET(A438,3,0),MATCH("  ..............",A441:A450,0)&gt;2,V440),"-")</f>
        <v>-</v>
      </c>
      <c r="W441" t="str">
        <f t="shared" ca="1" si="18"/>
        <v>-</v>
      </c>
      <c r="X441" t="str">
        <f t="shared" ca="1" si="19"/>
        <v/>
      </c>
      <c r="Y441" s="1" t="str">
        <f t="shared" ca="1" si="20"/>
        <v/>
      </c>
    </row>
    <row r="442" spans="1:25" x14ac:dyDescent="0.25">
      <c r="A442" t="s">
        <v>2027</v>
      </c>
      <c r="B442">
        <v>1.0029999999999999</v>
      </c>
      <c r="C442">
        <v>0</v>
      </c>
      <c r="D442">
        <v>0</v>
      </c>
      <c r="E442">
        <v>24.3</v>
      </c>
      <c r="F442">
        <v>0</v>
      </c>
      <c r="G442">
        <v>3.6</v>
      </c>
      <c r="H442">
        <v>0</v>
      </c>
      <c r="I442" t="s">
        <v>1581</v>
      </c>
      <c r="J442" t="s">
        <v>1581</v>
      </c>
      <c r="K442" t="s">
        <v>1581</v>
      </c>
      <c r="L442" t="s">
        <v>1581</v>
      </c>
      <c r="M442" t="s">
        <v>1581</v>
      </c>
      <c r="N442" t="s">
        <v>1581</v>
      </c>
      <c r="O442" t="s">
        <v>1581</v>
      </c>
      <c r="P442" t="s">
        <v>1581</v>
      </c>
      <c r="Q442" t="s">
        <v>1581</v>
      </c>
      <c r="R442" t="s">
        <v>1581</v>
      </c>
      <c r="S442" t="s">
        <v>1581</v>
      </c>
      <c r="T442" t="s">
        <v>1581</v>
      </c>
      <c r="U442" t="s">
        <v>1581</v>
      </c>
      <c r="V442" t="str" cm="1">
        <f t="array" aca="1" ref="V442" ca="1">IFERROR(_xlfn.IFS(A440="  ..............",OFFSET(A440,2,0),A439=" X-------------X",OFFSET(A439,3,0),MATCH("  ..............",A442:A451,0)&gt;2,V441),"-")</f>
        <v>-</v>
      </c>
      <c r="W442" t="str">
        <f t="shared" ca="1" si="18"/>
        <v>-</v>
      </c>
      <c r="X442" t="str">
        <f t="shared" ca="1" si="19"/>
        <v xml:space="preserve">              </v>
      </c>
      <c r="Y442" s="1">
        <f t="shared" ca="1" si="20"/>
        <v>0</v>
      </c>
    </row>
    <row r="443" spans="1:25" x14ac:dyDescent="0.25">
      <c r="A443" t="s">
        <v>2028</v>
      </c>
      <c r="B443">
        <v>-53.9</v>
      </c>
      <c r="C443">
        <v>0</v>
      </c>
      <c r="D443">
        <v>0</v>
      </c>
      <c r="E443">
        <v>11.6</v>
      </c>
      <c r="F443">
        <v>0</v>
      </c>
      <c r="G443">
        <v>0</v>
      </c>
      <c r="H443">
        <v>0</v>
      </c>
      <c r="I443" t="s">
        <v>1584</v>
      </c>
      <c r="J443" t="s">
        <v>1585</v>
      </c>
      <c r="K443" t="s">
        <v>1586</v>
      </c>
      <c r="L443" t="s">
        <v>1587</v>
      </c>
      <c r="M443" t="s">
        <v>1587</v>
      </c>
      <c r="N443" t="s">
        <v>1586</v>
      </c>
      <c r="O443" t="s">
        <v>1581</v>
      </c>
      <c r="P443" t="s">
        <v>1581</v>
      </c>
      <c r="Q443" t="s">
        <v>1581</v>
      </c>
      <c r="R443" t="s">
        <v>1581</v>
      </c>
      <c r="S443" t="s">
        <v>1581</v>
      </c>
      <c r="T443" t="s">
        <v>1581</v>
      </c>
      <c r="U443" t="s">
        <v>1581</v>
      </c>
      <c r="V443" t="str" cm="1">
        <f t="array" aca="1" ref="V443" ca="1">IFERROR(_xlfn.IFS(A441="  ..............",OFFSET(A441,2,0),A440=" X-------------X",OFFSET(A440,3,0),MATCH("  ..............",A443:A452,0)&gt;2,V442),"-")</f>
        <v xml:space="preserve">  CARAZ1-RS069  </v>
      </c>
      <c r="W443">
        <f t="shared" ca="1" si="18"/>
        <v>1.0029999999999999</v>
      </c>
      <c r="X443" t="str">
        <f t="shared" ca="1" si="19"/>
        <v xml:space="preserve"> TAPERA-RS069 </v>
      </c>
      <c r="Y443" s="1">
        <f t="shared" ca="1" si="20"/>
        <v>0.42499999999999999</v>
      </c>
    </row>
    <row r="444" spans="1:25" x14ac:dyDescent="0.25">
      <c r="A444" t="s">
        <v>1588</v>
      </c>
      <c r="B444" t="s">
        <v>1587</v>
      </c>
      <c r="C444">
        <v>30</v>
      </c>
      <c r="D444">
        <v>43</v>
      </c>
      <c r="E444">
        <v>43</v>
      </c>
      <c r="F444" s="1">
        <v>0.42499999999999999</v>
      </c>
      <c r="G444" t="s">
        <v>1587</v>
      </c>
      <c r="H444" t="s">
        <v>1587</v>
      </c>
      <c r="I444">
        <v>1292</v>
      </c>
      <c r="J444" t="s">
        <v>2029</v>
      </c>
      <c r="K444">
        <v>1</v>
      </c>
      <c r="L444">
        <v>-12.2</v>
      </c>
      <c r="M444">
        <v>-4</v>
      </c>
      <c r="N444">
        <v>12.7</v>
      </c>
      <c r="O444" t="s">
        <v>1594</v>
      </c>
      <c r="P444" t="s">
        <v>1584</v>
      </c>
      <c r="Q444" t="s">
        <v>1591</v>
      </c>
      <c r="R444">
        <v>0.19</v>
      </c>
      <c r="S444">
        <v>-7.0000000000000007E-2</v>
      </c>
      <c r="T444" t="s">
        <v>1584</v>
      </c>
      <c r="U444" t="s">
        <v>1592</v>
      </c>
      <c r="V444" t="str" cm="1">
        <f t="array" aca="1" ref="V444" ca="1">IFERROR(_xlfn.IFS(A442="  ..............",OFFSET(A442,2,0),A441=" X-------------X",OFFSET(A441,3,0),MATCH("  ..............",A444:A453,0)&gt;2,V443),"-")</f>
        <v xml:space="preserve">  CARAZ1-RS069  </v>
      </c>
      <c r="W444">
        <f t="shared" ca="1" si="18"/>
        <v>1.0029999999999999</v>
      </c>
      <c r="X444" t="str">
        <f t="shared" ca="1" si="19"/>
        <v xml:space="preserve"> TAPERA-RS069 </v>
      </c>
      <c r="Y444" s="1">
        <f t="shared" ca="1" si="20"/>
        <v>0.42499999999999999</v>
      </c>
    </row>
    <row r="445" spans="1:25" x14ac:dyDescent="0.25">
      <c r="A445" t="s">
        <v>1588</v>
      </c>
      <c r="B445" t="s">
        <v>1587</v>
      </c>
      <c r="C445">
        <v>30</v>
      </c>
      <c r="D445">
        <v>43</v>
      </c>
      <c r="E445">
        <v>43</v>
      </c>
      <c r="F445" s="1">
        <v>0.42499999999999999</v>
      </c>
      <c r="G445" t="s">
        <v>1587</v>
      </c>
      <c r="H445" t="s">
        <v>1587</v>
      </c>
      <c r="I445">
        <v>1292</v>
      </c>
      <c r="J445" t="s">
        <v>2029</v>
      </c>
      <c r="K445">
        <v>2</v>
      </c>
      <c r="L445">
        <v>-12.2</v>
      </c>
      <c r="M445">
        <v>-4</v>
      </c>
      <c r="N445">
        <v>12.7</v>
      </c>
      <c r="O445" t="s">
        <v>1594</v>
      </c>
      <c r="P445" t="s">
        <v>1584</v>
      </c>
      <c r="Q445" t="s">
        <v>1591</v>
      </c>
      <c r="R445">
        <v>0.19</v>
      </c>
      <c r="S445">
        <v>-7.0000000000000007E-2</v>
      </c>
      <c r="T445" t="s">
        <v>1584</v>
      </c>
      <c r="U445" t="s">
        <v>1592</v>
      </c>
      <c r="V445" t="str" cm="1">
        <f t="array" aca="1" ref="V445" ca="1">IFERROR(_xlfn.IFS(A443="  ..............",OFFSET(A443,2,0),A442=" X-------------X",OFFSET(A442,3,0),MATCH("  ..............",A445:A454,0)&gt;2,V444),"-")</f>
        <v>-</v>
      </c>
      <c r="W445" t="str">
        <f t="shared" ca="1" si="18"/>
        <v>-</v>
      </c>
      <c r="X445" t="str">
        <f t="shared" ca="1" si="19"/>
        <v>-</v>
      </c>
      <c r="Y445" s="1" t="str">
        <f t="shared" ca="1" si="20"/>
        <v>-</v>
      </c>
    </row>
    <row r="446" spans="1:25" x14ac:dyDescent="0.25">
      <c r="A446" t="s">
        <v>1572</v>
      </c>
      <c r="B446" t="s">
        <v>1574</v>
      </c>
      <c r="C446" t="s">
        <v>1574</v>
      </c>
      <c r="D446" t="s">
        <v>1574</v>
      </c>
      <c r="E446" t="s">
        <v>1574</v>
      </c>
      <c r="F446" t="s">
        <v>1575</v>
      </c>
      <c r="G446" t="s">
        <v>1574</v>
      </c>
      <c r="H446" t="s">
        <v>1574</v>
      </c>
      <c r="I446" t="s">
        <v>1576</v>
      </c>
      <c r="J446" t="s">
        <v>1573</v>
      </c>
      <c r="K446" t="s">
        <v>1577</v>
      </c>
      <c r="L446" t="s">
        <v>1574</v>
      </c>
      <c r="M446" t="s">
        <v>1574</v>
      </c>
      <c r="N446" t="s">
        <v>1574</v>
      </c>
      <c r="O446" t="s">
        <v>1578</v>
      </c>
      <c r="P446" t="s">
        <v>1576</v>
      </c>
      <c r="Q446" t="s">
        <v>1579</v>
      </c>
      <c r="R446" t="s">
        <v>1580</v>
      </c>
      <c r="S446" t="s">
        <v>1580</v>
      </c>
      <c r="T446" t="s">
        <v>1576</v>
      </c>
      <c r="U446" t="s">
        <v>1576</v>
      </c>
      <c r="V446" t="str" cm="1">
        <f t="array" aca="1" ref="V446" ca="1">IFERROR(_xlfn.IFS(A444="  ..............",OFFSET(A444,2,0),A443=" X-------------X",OFFSET(A443,3,0),MATCH("  ..............",A446:A455,0)&gt;2,V445),"-")</f>
        <v>-</v>
      </c>
      <c r="W446" t="str">
        <f t="shared" ca="1" si="18"/>
        <v>-</v>
      </c>
      <c r="X446" t="str">
        <f t="shared" ca="1" si="19"/>
        <v/>
      </c>
      <c r="Y446" s="1" t="str">
        <f t="shared" ca="1" si="20"/>
        <v/>
      </c>
    </row>
    <row r="447" spans="1:25" x14ac:dyDescent="0.25">
      <c r="A447" t="s">
        <v>2030</v>
      </c>
      <c r="B447">
        <v>0.99399999999999999</v>
      </c>
      <c r="C447">
        <v>0</v>
      </c>
      <c r="D447">
        <v>0</v>
      </c>
      <c r="E447">
        <v>8.1999999999999993</v>
      </c>
      <c r="F447">
        <v>0</v>
      </c>
      <c r="G447">
        <v>3.6</v>
      </c>
      <c r="H447">
        <v>0</v>
      </c>
      <c r="I447" t="s">
        <v>1581</v>
      </c>
      <c r="J447" t="s">
        <v>1581</v>
      </c>
      <c r="K447" t="s">
        <v>1581</v>
      </c>
      <c r="L447" t="s">
        <v>1581</v>
      </c>
      <c r="M447" t="s">
        <v>1581</v>
      </c>
      <c r="N447" t="s">
        <v>1581</v>
      </c>
      <c r="O447" t="s">
        <v>1581</v>
      </c>
      <c r="P447" t="s">
        <v>1581</v>
      </c>
      <c r="Q447" t="s">
        <v>1581</v>
      </c>
      <c r="R447" t="s">
        <v>1581</v>
      </c>
      <c r="S447" t="s">
        <v>1581</v>
      </c>
      <c r="T447" t="s">
        <v>1581</v>
      </c>
      <c r="U447" t="s">
        <v>1581</v>
      </c>
      <c r="V447" t="str" cm="1">
        <f t="array" aca="1" ref="V447" ca="1">IFERROR(_xlfn.IFS(A445="  ..............",OFFSET(A445,2,0),A444=" X-------------X",OFFSET(A444,3,0),MATCH("  ..............",A447:A456,0)&gt;2,V446),"-")</f>
        <v>-</v>
      </c>
      <c r="W447" t="str">
        <f t="shared" ca="1" si="18"/>
        <v>-</v>
      </c>
      <c r="X447" t="str">
        <f t="shared" ca="1" si="19"/>
        <v xml:space="preserve">              </v>
      </c>
      <c r="Y447" s="1">
        <f t="shared" ca="1" si="20"/>
        <v>0</v>
      </c>
    </row>
    <row r="448" spans="1:25" x14ac:dyDescent="0.25">
      <c r="A448" t="s">
        <v>2031</v>
      </c>
      <c r="B448">
        <v>-51.9</v>
      </c>
      <c r="C448">
        <v>0</v>
      </c>
      <c r="D448">
        <v>0</v>
      </c>
      <c r="E448">
        <v>2.7</v>
      </c>
      <c r="F448">
        <v>0</v>
      </c>
      <c r="G448">
        <v>0</v>
      </c>
      <c r="H448">
        <v>0</v>
      </c>
      <c r="I448" t="s">
        <v>1584</v>
      </c>
      <c r="J448" t="s">
        <v>1585</v>
      </c>
      <c r="K448" t="s">
        <v>1586</v>
      </c>
      <c r="L448" t="s">
        <v>1587</v>
      </c>
      <c r="M448" t="s">
        <v>1587</v>
      </c>
      <c r="N448" t="s">
        <v>1586</v>
      </c>
      <c r="O448" t="s">
        <v>1581</v>
      </c>
      <c r="P448" t="s">
        <v>1581</v>
      </c>
      <c r="Q448" t="s">
        <v>1581</v>
      </c>
      <c r="R448" t="s">
        <v>1581</v>
      </c>
      <c r="S448" t="s">
        <v>1581</v>
      </c>
      <c r="T448" t="s">
        <v>1581</v>
      </c>
      <c r="U448" t="s">
        <v>1581</v>
      </c>
      <c r="V448" t="str" cm="1">
        <f t="array" aca="1" ref="V448" ca="1">IFERROR(_xlfn.IFS(A446="  ..............",OFFSET(A446,2,0),A445=" X-------------X",OFFSET(A445,3,0),MATCH("  ..............",A448:A457,0)&gt;2,V447),"-")</f>
        <v xml:space="preserve">  CARAZ2-RS069  </v>
      </c>
      <c r="W448">
        <f t="shared" ca="1" si="18"/>
        <v>0.99399999999999999</v>
      </c>
      <c r="X448" t="str">
        <f t="shared" ca="1" si="19"/>
        <v xml:space="preserve"> SMARTA-RS069 </v>
      </c>
      <c r="Y448" s="1">
        <f t="shared" ca="1" si="20"/>
        <v>0.33700000000000002</v>
      </c>
    </row>
    <row r="449" spans="1:25" x14ac:dyDescent="0.25">
      <c r="A449" t="s">
        <v>1588</v>
      </c>
      <c r="B449" t="s">
        <v>1587</v>
      </c>
      <c r="C449">
        <v>38</v>
      </c>
      <c r="D449">
        <v>38</v>
      </c>
      <c r="E449">
        <v>38</v>
      </c>
      <c r="F449" s="1">
        <v>0.218</v>
      </c>
      <c r="G449" t="s">
        <v>1587</v>
      </c>
      <c r="H449" t="s">
        <v>1587</v>
      </c>
      <c r="I449">
        <v>1279</v>
      </c>
      <c r="J449" t="s">
        <v>1612</v>
      </c>
      <c r="K449">
        <v>1</v>
      </c>
      <c r="L449">
        <v>-8.1999999999999993</v>
      </c>
      <c r="M449">
        <v>0.9</v>
      </c>
      <c r="N449">
        <v>8.3000000000000007</v>
      </c>
      <c r="O449" t="s">
        <v>1594</v>
      </c>
      <c r="P449" t="s">
        <v>1584</v>
      </c>
      <c r="Q449" t="s">
        <v>1591</v>
      </c>
      <c r="R449">
        <v>0.18</v>
      </c>
      <c r="S449">
        <v>-0.4</v>
      </c>
      <c r="T449" t="s">
        <v>1584</v>
      </c>
      <c r="U449" t="s">
        <v>1592</v>
      </c>
      <c r="V449" t="str" cm="1">
        <f t="array" aca="1" ref="V449" ca="1">IFERROR(_xlfn.IFS(A447="  ..............",OFFSET(A447,2,0),A446=" X-------------X",OFFSET(A446,3,0),MATCH("  ..............",A449:A458,0)&gt;2,V448),"-")</f>
        <v>-</v>
      </c>
      <c r="W449" t="str">
        <f t="shared" ca="1" si="18"/>
        <v>-</v>
      </c>
      <c r="X449" t="str">
        <f t="shared" ca="1" si="19"/>
        <v>-</v>
      </c>
      <c r="Y449" s="1" t="str">
        <f t="shared" ca="1" si="20"/>
        <v>-</v>
      </c>
    </row>
    <row r="450" spans="1:25" x14ac:dyDescent="0.25">
      <c r="A450" t="s">
        <v>1572</v>
      </c>
      <c r="B450" t="s">
        <v>1574</v>
      </c>
      <c r="C450" t="s">
        <v>1574</v>
      </c>
      <c r="D450" t="s">
        <v>1574</v>
      </c>
      <c r="E450" t="s">
        <v>1574</v>
      </c>
      <c r="F450" t="s">
        <v>1575</v>
      </c>
      <c r="G450" t="s">
        <v>1574</v>
      </c>
      <c r="H450" t="s">
        <v>1574</v>
      </c>
      <c r="I450" t="s">
        <v>1576</v>
      </c>
      <c r="J450" t="s">
        <v>1573</v>
      </c>
      <c r="K450" t="s">
        <v>1577</v>
      </c>
      <c r="L450" t="s">
        <v>1574</v>
      </c>
      <c r="M450" t="s">
        <v>1574</v>
      </c>
      <c r="N450" t="s">
        <v>1574</v>
      </c>
      <c r="O450" t="s">
        <v>1578</v>
      </c>
      <c r="P450" t="s">
        <v>1576</v>
      </c>
      <c r="Q450" t="s">
        <v>1579</v>
      </c>
      <c r="R450" t="s">
        <v>1580</v>
      </c>
      <c r="S450" t="s">
        <v>1580</v>
      </c>
      <c r="T450" t="s">
        <v>1576</v>
      </c>
      <c r="U450" t="s">
        <v>1576</v>
      </c>
      <c r="V450" t="str" cm="1">
        <f t="array" aca="1" ref="V450" ca="1">IFERROR(_xlfn.IFS(A448="  ..............",OFFSET(A448,2,0),A447=" X-------------X",OFFSET(A447,3,0),MATCH("  ..............",A450:A459,0)&gt;2,V449),"-")</f>
        <v>-</v>
      </c>
      <c r="W450" t="str">
        <f t="shared" ca="1" si="18"/>
        <v>-</v>
      </c>
      <c r="X450" t="str">
        <f t="shared" ca="1" si="19"/>
        <v/>
      </c>
      <c r="Y450" s="1" t="str">
        <f t="shared" ca="1" si="20"/>
        <v/>
      </c>
    </row>
    <row r="451" spans="1:25" x14ac:dyDescent="0.25">
      <c r="A451" t="s">
        <v>2032</v>
      </c>
      <c r="B451">
        <v>0.98499999999999999</v>
      </c>
      <c r="C451">
        <v>0</v>
      </c>
      <c r="D451">
        <v>0</v>
      </c>
      <c r="E451">
        <v>0</v>
      </c>
      <c r="F451">
        <v>0</v>
      </c>
      <c r="G451">
        <v>7</v>
      </c>
      <c r="H451">
        <v>0</v>
      </c>
      <c r="I451" t="s">
        <v>1581</v>
      </c>
      <c r="J451" t="s">
        <v>1581</v>
      </c>
      <c r="K451" t="s">
        <v>1581</v>
      </c>
      <c r="L451" t="s">
        <v>1581</v>
      </c>
      <c r="M451" t="s">
        <v>1581</v>
      </c>
      <c r="N451" t="s">
        <v>1581</v>
      </c>
      <c r="O451" t="s">
        <v>1581</v>
      </c>
      <c r="P451" t="s">
        <v>1581</v>
      </c>
      <c r="Q451" t="s">
        <v>1581</v>
      </c>
      <c r="R451" t="s">
        <v>1581</v>
      </c>
      <c r="S451" t="s">
        <v>1581</v>
      </c>
      <c r="T451" t="s">
        <v>1581</v>
      </c>
      <c r="U451" t="s">
        <v>1581</v>
      </c>
      <c r="V451" t="str" cm="1">
        <f t="array" aca="1" ref="V451" ca="1">IFERROR(_xlfn.IFS(A449="  ..............",OFFSET(A449,2,0),A448=" X-------------X",OFFSET(A448,3,0),MATCH("  ..............",A451:A460,0)&gt;2,V450),"-")</f>
        <v>-</v>
      </c>
      <c r="W451" t="str">
        <f t="shared" ca="1" si="18"/>
        <v>-</v>
      </c>
      <c r="X451" t="str">
        <f t="shared" ca="1" si="19"/>
        <v xml:space="preserve">              </v>
      </c>
      <c r="Y451" s="1">
        <f t="shared" ca="1" si="20"/>
        <v>0</v>
      </c>
    </row>
    <row r="452" spans="1:25" x14ac:dyDescent="0.25">
      <c r="A452" t="s">
        <v>2033</v>
      </c>
      <c r="B452">
        <v>-55.2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1584</v>
      </c>
      <c r="J452" t="s">
        <v>1585</v>
      </c>
      <c r="K452" t="s">
        <v>1586</v>
      </c>
      <c r="L452" t="s">
        <v>1587</v>
      </c>
      <c r="M452" t="s">
        <v>1587</v>
      </c>
      <c r="N452" t="s">
        <v>1586</v>
      </c>
      <c r="O452" t="s">
        <v>1581</v>
      </c>
      <c r="P452" t="s">
        <v>1581</v>
      </c>
      <c r="Q452" t="s">
        <v>1581</v>
      </c>
      <c r="R452" t="s">
        <v>1581</v>
      </c>
      <c r="S452" t="s">
        <v>1581</v>
      </c>
      <c r="T452" t="s">
        <v>1581</v>
      </c>
      <c r="U452" t="s">
        <v>1581</v>
      </c>
      <c r="V452" t="str" cm="1">
        <f t="array" aca="1" ref="V452" ca="1">IFERROR(_xlfn.IFS(A450="  ..............",OFFSET(A450,2,0),A449=" X-------------X",OFFSET(A449,3,0),MATCH("  ..............",A452:A461,0)&gt;2,V451),"-")</f>
        <v xml:space="preserve">  PANAM--RS069  </v>
      </c>
      <c r="W452">
        <f t="shared" ref="W452:W515" ca="1" si="21">IFERROR(OFFSET($A$1,MATCH(V452,A:A,0)-2,1),"-")</f>
        <v>0.98499999999999999</v>
      </c>
      <c r="X452" t="str">
        <f t="shared" ref="X452:X515" ca="1" si="22">IFERROR(IF(V452=V451,OFFSET($J$1,ROW(X452),0),OFFSET($J$1,MATCH(V452,A:A,0),0)),"-")</f>
        <v xml:space="preserve"> CALTA1-RS069 </v>
      </c>
      <c r="Y452" s="1" t="str">
        <f t="shared" ref="Y452:Y515" ca="1" si="23">IFERROR(OFFSET($F$1,MATCH(X452,J:J,0)-1,0),"-")</f>
        <v xml:space="preserve">             </v>
      </c>
    </row>
    <row r="453" spans="1:25" x14ac:dyDescent="0.25">
      <c r="A453" t="s">
        <v>1588</v>
      </c>
      <c r="B453" t="s">
        <v>1587</v>
      </c>
      <c r="C453">
        <v>23</v>
      </c>
      <c r="D453">
        <v>23</v>
      </c>
      <c r="E453">
        <v>23</v>
      </c>
      <c r="F453" s="1">
        <v>0.85299999999999998</v>
      </c>
      <c r="G453" t="s">
        <v>1587</v>
      </c>
      <c r="H453" t="s">
        <v>1587</v>
      </c>
      <c r="I453">
        <v>1301</v>
      </c>
      <c r="J453" t="s">
        <v>2016</v>
      </c>
      <c r="K453">
        <v>1</v>
      </c>
      <c r="L453">
        <v>-19.100000000000001</v>
      </c>
      <c r="M453">
        <v>2.9</v>
      </c>
      <c r="N453">
        <v>19.600000000000001</v>
      </c>
      <c r="O453" t="s">
        <v>1594</v>
      </c>
      <c r="P453" t="s">
        <v>1584</v>
      </c>
      <c r="Q453" t="s">
        <v>1591</v>
      </c>
      <c r="R453">
        <v>1.28</v>
      </c>
      <c r="S453">
        <v>1.25</v>
      </c>
      <c r="T453" t="s">
        <v>1584</v>
      </c>
      <c r="U453" t="s">
        <v>1592</v>
      </c>
      <c r="V453" t="str" cm="1">
        <f t="array" aca="1" ref="V453" ca="1">IFERROR(_xlfn.IFS(A451="  ..............",OFFSET(A451,2,0),A450=" X-------------X",OFFSET(A450,3,0),MATCH("  ..............",A453:A462,0)&gt;2,V452),"-")</f>
        <v xml:space="preserve">  PANAM--RS069  </v>
      </c>
      <c r="W453">
        <f t="shared" ca="1" si="21"/>
        <v>0.98499999999999999</v>
      </c>
      <c r="X453" t="str">
        <f t="shared" ca="1" si="22"/>
        <v xml:space="preserve"> PANAMB-RS013 </v>
      </c>
      <c r="Y453" s="1">
        <f t="shared" ca="1" si="23"/>
        <v>0.79300000000000004</v>
      </c>
    </row>
    <row r="454" spans="1:25" x14ac:dyDescent="0.25">
      <c r="A454" t="s">
        <v>1588</v>
      </c>
      <c r="B454" t="s">
        <v>1587</v>
      </c>
      <c r="C454">
        <v>25</v>
      </c>
      <c r="D454">
        <v>25</v>
      </c>
      <c r="E454">
        <v>25</v>
      </c>
      <c r="F454" s="1">
        <v>0.79300000000000004</v>
      </c>
      <c r="G454" t="s">
        <v>1587</v>
      </c>
      <c r="H454" t="s">
        <v>1587</v>
      </c>
      <c r="I454">
        <v>1333</v>
      </c>
      <c r="J454" t="s">
        <v>2034</v>
      </c>
      <c r="K454">
        <v>1</v>
      </c>
      <c r="L454">
        <v>19.100000000000001</v>
      </c>
      <c r="M454">
        <v>4</v>
      </c>
      <c r="N454">
        <v>19.8</v>
      </c>
      <c r="O454" t="s">
        <v>2035</v>
      </c>
      <c r="P454" t="s">
        <v>1584</v>
      </c>
      <c r="Q454" t="s">
        <v>1591</v>
      </c>
      <c r="R454">
        <v>0</v>
      </c>
      <c r="S454">
        <v>1.06</v>
      </c>
      <c r="T454" t="s">
        <v>1584</v>
      </c>
      <c r="U454" t="s">
        <v>1592</v>
      </c>
      <c r="V454" t="str" cm="1">
        <f t="array" aca="1" ref="V454" ca="1">IFERROR(_xlfn.IFS(A452="  ..............",OFFSET(A452,2,0),A451=" X-------------X",OFFSET(A451,3,0),MATCH("  ..............",A454:A463,0)&gt;2,V453),"-")</f>
        <v>-</v>
      </c>
      <c r="W454" t="str">
        <f t="shared" ca="1" si="21"/>
        <v>-</v>
      </c>
      <c r="X454" t="str">
        <f t="shared" ca="1" si="22"/>
        <v>-</v>
      </c>
      <c r="Y454" s="1" t="str">
        <f t="shared" ca="1" si="23"/>
        <v>-</v>
      </c>
    </row>
    <row r="455" spans="1:25" x14ac:dyDescent="0.25">
      <c r="A455" t="s">
        <v>1572</v>
      </c>
      <c r="B455" t="s">
        <v>1574</v>
      </c>
      <c r="C455" t="s">
        <v>1574</v>
      </c>
      <c r="D455" t="s">
        <v>1574</v>
      </c>
      <c r="E455" t="s">
        <v>1574</v>
      </c>
      <c r="F455" t="s">
        <v>1575</v>
      </c>
      <c r="G455" t="s">
        <v>1574</v>
      </c>
      <c r="H455" t="s">
        <v>1574</v>
      </c>
      <c r="I455" t="s">
        <v>1576</v>
      </c>
      <c r="J455" t="s">
        <v>1573</v>
      </c>
      <c r="K455" t="s">
        <v>1577</v>
      </c>
      <c r="L455" t="s">
        <v>1574</v>
      </c>
      <c r="M455" t="s">
        <v>1574</v>
      </c>
      <c r="N455" t="s">
        <v>1574</v>
      </c>
      <c r="O455" t="s">
        <v>1578</v>
      </c>
      <c r="P455" t="s">
        <v>1576</v>
      </c>
      <c r="Q455" t="s">
        <v>1579</v>
      </c>
      <c r="R455" t="s">
        <v>1580</v>
      </c>
      <c r="S455" t="s">
        <v>1580</v>
      </c>
      <c r="T455" t="s">
        <v>1576</v>
      </c>
      <c r="U455" t="s">
        <v>1576</v>
      </c>
      <c r="V455" t="str" cm="1">
        <f t="array" aca="1" ref="V455" ca="1">IFERROR(_xlfn.IFS(A453="  ..............",OFFSET(A453,2,0),A452=" X-------------X",OFFSET(A452,3,0),MATCH("  ..............",A455:A464,0)&gt;2,V454),"-")</f>
        <v>-</v>
      </c>
      <c r="W455" t="str">
        <f t="shared" ca="1" si="21"/>
        <v>-</v>
      </c>
      <c r="X455" t="str">
        <f t="shared" ca="1" si="22"/>
        <v/>
      </c>
      <c r="Y455" s="1" t="str">
        <f t="shared" ca="1" si="23"/>
        <v/>
      </c>
    </row>
    <row r="456" spans="1:25" x14ac:dyDescent="0.25">
      <c r="A456" t="s">
        <v>2036</v>
      </c>
      <c r="B456">
        <v>1.0329999999999999</v>
      </c>
      <c r="C456">
        <v>4.3</v>
      </c>
      <c r="D456">
        <v>0</v>
      </c>
      <c r="E456">
        <v>17.399999999999999</v>
      </c>
      <c r="F456">
        <v>0</v>
      </c>
      <c r="G456">
        <v>0</v>
      </c>
      <c r="H456">
        <v>0</v>
      </c>
      <c r="I456" t="s">
        <v>1581</v>
      </c>
      <c r="J456" t="s">
        <v>1581</v>
      </c>
      <c r="K456" t="s">
        <v>1581</v>
      </c>
      <c r="L456" t="s">
        <v>1581</v>
      </c>
      <c r="M456" t="s">
        <v>1581</v>
      </c>
      <c r="N456" t="s">
        <v>1581</v>
      </c>
      <c r="O456" t="s">
        <v>1581</v>
      </c>
      <c r="P456" t="s">
        <v>1581</v>
      </c>
      <c r="Q456" t="s">
        <v>1581</v>
      </c>
      <c r="R456" t="s">
        <v>1581</v>
      </c>
      <c r="S456" t="s">
        <v>1581</v>
      </c>
      <c r="T456" t="s">
        <v>1581</v>
      </c>
      <c r="U456" t="s">
        <v>1581</v>
      </c>
      <c r="V456" t="str" cm="1">
        <f t="array" aca="1" ref="V456" ca="1">IFERROR(_xlfn.IFS(A454="  ..............",OFFSET(A454,2,0),A453=" X-------------X",OFFSET(A453,3,0),MATCH("  ..............",A456:A465,0)&gt;2,V455),"-")</f>
        <v>-</v>
      </c>
      <c r="W456" t="str">
        <f t="shared" ca="1" si="21"/>
        <v>-</v>
      </c>
      <c r="X456" t="str">
        <f t="shared" ca="1" si="22"/>
        <v xml:space="preserve">              </v>
      </c>
      <c r="Y456" s="1">
        <f t="shared" ca="1" si="23"/>
        <v>0</v>
      </c>
    </row>
    <row r="457" spans="1:25" x14ac:dyDescent="0.25">
      <c r="A457" t="s">
        <v>2037</v>
      </c>
      <c r="B457">
        <v>-53.9</v>
      </c>
      <c r="C457">
        <v>0</v>
      </c>
      <c r="D457">
        <v>0</v>
      </c>
      <c r="E457">
        <v>5.9</v>
      </c>
      <c r="F457">
        <v>0</v>
      </c>
      <c r="G457">
        <v>0</v>
      </c>
      <c r="H457">
        <v>0</v>
      </c>
      <c r="I457" t="s">
        <v>1584</v>
      </c>
      <c r="J457" t="s">
        <v>1585</v>
      </c>
      <c r="K457" t="s">
        <v>1586</v>
      </c>
      <c r="L457" t="s">
        <v>1587</v>
      </c>
      <c r="M457" t="s">
        <v>1587</v>
      </c>
      <c r="N457" t="s">
        <v>1586</v>
      </c>
      <c r="O457" t="s">
        <v>1581</v>
      </c>
      <c r="P457" t="s">
        <v>1581</v>
      </c>
      <c r="Q457" t="s">
        <v>1581</v>
      </c>
      <c r="R457" t="s">
        <v>1581</v>
      </c>
      <c r="S457" t="s">
        <v>1581</v>
      </c>
      <c r="T457" t="s">
        <v>1581</v>
      </c>
      <c r="U457" t="s">
        <v>1581</v>
      </c>
      <c r="V457" t="str" cm="1">
        <f t="array" aca="1" ref="V457" ca="1">IFERROR(_xlfn.IFS(A455="  ..............",OFFSET(A455,2,0),A454=" X-------------X",OFFSET(A454,3,0),MATCH("  ..............",A457:A466,0)&gt;2,V456),"-")</f>
        <v xml:space="preserve">  SCRU1A-RS013  </v>
      </c>
      <c r="W457">
        <f t="shared" ca="1" si="21"/>
        <v>1.0329999999999999</v>
      </c>
      <c r="X457" t="str">
        <f t="shared" ca="1" si="22"/>
        <v xml:space="preserve"> SCR1RB-RS013 </v>
      </c>
      <c r="Y457" s="1">
        <f t="shared" ca="1" si="23"/>
        <v>0</v>
      </c>
    </row>
    <row r="458" spans="1:25" x14ac:dyDescent="0.25">
      <c r="A458" t="s">
        <v>1588</v>
      </c>
      <c r="B458" t="s">
        <v>1587</v>
      </c>
      <c r="C458">
        <v>9999</v>
      </c>
      <c r="D458">
        <v>9999</v>
      </c>
      <c r="E458">
        <v>9999</v>
      </c>
      <c r="F458" s="1">
        <v>0</v>
      </c>
      <c r="G458" t="s">
        <v>1587</v>
      </c>
      <c r="H458" t="s">
        <v>1587</v>
      </c>
      <c r="I458">
        <v>9753</v>
      </c>
      <c r="J458" t="s">
        <v>2038</v>
      </c>
      <c r="K458">
        <v>6</v>
      </c>
      <c r="L458">
        <v>-13.1</v>
      </c>
      <c r="M458">
        <v>-5.9</v>
      </c>
      <c r="N458">
        <v>13.9</v>
      </c>
      <c r="O458" t="s">
        <v>1594</v>
      </c>
      <c r="P458" t="s">
        <v>1584</v>
      </c>
      <c r="Q458" t="s">
        <v>1591</v>
      </c>
      <c r="R458">
        <v>0</v>
      </c>
      <c r="S458">
        <v>0.25</v>
      </c>
      <c r="T458" t="s">
        <v>1584</v>
      </c>
      <c r="U458" t="s">
        <v>1592</v>
      </c>
      <c r="V458" t="str" cm="1">
        <f t="array" aca="1" ref="V458" ca="1">IFERROR(_xlfn.IFS(A456="  ..............",OFFSET(A456,2,0),A455=" X-------------X",OFFSET(A455,3,0),MATCH("  ..............",A458:A467,0)&gt;2,V457),"-")</f>
        <v>-</v>
      </c>
      <c r="W458" t="str">
        <f t="shared" ca="1" si="21"/>
        <v>-</v>
      </c>
      <c r="X458" t="str">
        <f t="shared" ca="1" si="22"/>
        <v>-</v>
      </c>
      <c r="Y458" s="1" t="str">
        <f t="shared" ca="1" si="23"/>
        <v>-</v>
      </c>
    </row>
    <row r="459" spans="1:25" x14ac:dyDescent="0.25">
      <c r="A459" t="s">
        <v>1572</v>
      </c>
      <c r="B459" t="s">
        <v>1574</v>
      </c>
      <c r="C459" t="s">
        <v>1574</v>
      </c>
      <c r="D459" t="s">
        <v>1574</v>
      </c>
      <c r="E459" t="s">
        <v>1574</v>
      </c>
      <c r="F459" t="s">
        <v>1575</v>
      </c>
      <c r="G459" t="s">
        <v>1574</v>
      </c>
      <c r="H459" t="s">
        <v>1574</v>
      </c>
      <c r="I459" t="s">
        <v>1576</v>
      </c>
      <c r="J459" t="s">
        <v>1573</v>
      </c>
      <c r="K459" t="s">
        <v>1577</v>
      </c>
      <c r="L459" t="s">
        <v>1574</v>
      </c>
      <c r="M459" t="s">
        <v>1574</v>
      </c>
      <c r="N459" t="s">
        <v>1574</v>
      </c>
      <c r="O459" t="s">
        <v>1578</v>
      </c>
      <c r="P459" t="s">
        <v>1576</v>
      </c>
      <c r="Q459" t="s">
        <v>1579</v>
      </c>
      <c r="R459" t="s">
        <v>1580</v>
      </c>
      <c r="S459" t="s">
        <v>1580</v>
      </c>
      <c r="T459" t="s">
        <v>1576</v>
      </c>
      <c r="U459" t="s">
        <v>1576</v>
      </c>
      <c r="V459" t="str" cm="1">
        <f t="array" aca="1" ref="V459" ca="1">IFERROR(_xlfn.IFS(A457="  ..............",OFFSET(A457,2,0),A456=" X-------------X",OFFSET(A456,3,0),MATCH("  ..............",A459:A468,0)&gt;2,V458),"-")</f>
        <v>-</v>
      </c>
      <c r="W459" t="str">
        <f t="shared" ca="1" si="21"/>
        <v>-</v>
      </c>
      <c r="X459" t="str">
        <f t="shared" ca="1" si="22"/>
        <v/>
      </c>
      <c r="Y459" s="1" t="str">
        <f t="shared" ca="1" si="23"/>
        <v/>
      </c>
    </row>
    <row r="460" spans="1:25" x14ac:dyDescent="0.25">
      <c r="A460" t="s">
        <v>2039</v>
      </c>
      <c r="B460">
        <v>0.96299999999999997</v>
      </c>
      <c r="C460">
        <v>26.7</v>
      </c>
      <c r="D460">
        <v>0</v>
      </c>
      <c r="E460">
        <v>58.8</v>
      </c>
      <c r="F460">
        <v>0</v>
      </c>
      <c r="G460">
        <v>10</v>
      </c>
      <c r="H460">
        <v>0</v>
      </c>
      <c r="I460" t="s">
        <v>1581</v>
      </c>
      <c r="J460" t="s">
        <v>1581</v>
      </c>
      <c r="K460" t="s">
        <v>1581</v>
      </c>
      <c r="L460" t="s">
        <v>1581</v>
      </c>
      <c r="M460" t="s">
        <v>1581</v>
      </c>
      <c r="N460" t="s">
        <v>1581</v>
      </c>
      <c r="O460" t="s">
        <v>1581</v>
      </c>
      <c r="P460" t="s">
        <v>1581</v>
      </c>
      <c r="Q460" t="s">
        <v>1581</v>
      </c>
      <c r="R460" t="s">
        <v>1581</v>
      </c>
      <c r="S460" t="s">
        <v>1581</v>
      </c>
      <c r="T460" t="s">
        <v>1581</v>
      </c>
      <c r="U460" t="s">
        <v>1581</v>
      </c>
      <c r="V460" t="str" cm="1">
        <f t="array" aca="1" ref="V460" ca="1">IFERROR(_xlfn.IFS(A458="  ..............",OFFSET(A458,2,0),A457=" X-------------X",OFFSET(A457,3,0),MATCH("  ..............",A460:A469,0)&gt;2,V459),"-")</f>
        <v>-</v>
      </c>
      <c r="W460" t="str">
        <f t="shared" ca="1" si="21"/>
        <v>-</v>
      </c>
      <c r="X460" t="str">
        <f t="shared" ca="1" si="22"/>
        <v xml:space="preserve">              </v>
      </c>
      <c r="Y460" s="1">
        <f t="shared" ca="1" si="23"/>
        <v>0</v>
      </c>
    </row>
    <row r="461" spans="1:25" x14ac:dyDescent="0.25">
      <c r="A461" t="s">
        <v>2040</v>
      </c>
      <c r="B461">
        <v>-51.2</v>
      </c>
      <c r="C461">
        <v>0</v>
      </c>
      <c r="D461">
        <v>0</v>
      </c>
      <c r="E461">
        <v>21.4</v>
      </c>
      <c r="F461">
        <v>0</v>
      </c>
      <c r="G461">
        <v>0</v>
      </c>
      <c r="H461">
        <v>0</v>
      </c>
      <c r="I461" t="s">
        <v>1584</v>
      </c>
      <c r="J461" t="s">
        <v>1585</v>
      </c>
      <c r="K461" t="s">
        <v>1586</v>
      </c>
      <c r="L461" t="s">
        <v>1587</v>
      </c>
      <c r="M461" t="s">
        <v>1587</v>
      </c>
      <c r="N461" t="s">
        <v>1586</v>
      </c>
      <c r="O461" t="s">
        <v>1581</v>
      </c>
      <c r="P461" t="s">
        <v>1581</v>
      </c>
      <c r="Q461" t="s">
        <v>1581</v>
      </c>
      <c r="R461" t="s">
        <v>1581</v>
      </c>
      <c r="S461" t="s">
        <v>1581</v>
      </c>
      <c r="T461" t="s">
        <v>1581</v>
      </c>
      <c r="U461" t="s">
        <v>1581</v>
      </c>
      <c r="V461" t="str" cm="1">
        <f t="array" aca="1" ref="V461" ca="1">IFERROR(_xlfn.IFS(A459="  ..............",OFFSET(A459,2,0),A458=" X-------------X",OFFSET(A458,3,0),MATCH("  ..............",A461:A470,0)&gt;2,V460),"-")</f>
        <v xml:space="preserve">  EREXI2-RS138  </v>
      </c>
      <c r="W461">
        <f t="shared" ca="1" si="21"/>
        <v>0.96299999999999997</v>
      </c>
      <c r="X461" t="str">
        <f t="shared" ca="1" si="22"/>
        <v xml:space="preserve"> TAPEJA-RS138 </v>
      </c>
      <c r="Y461" s="1">
        <f t="shared" ca="1" si="23"/>
        <v>0.25800000000000001</v>
      </c>
    </row>
    <row r="462" spans="1:25" x14ac:dyDescent="0.25">
      <c r="A462" t="s">
        <v>1588</v>
      </c>
      <c r="B462" t="s">
        <v>1587</v>
      </c>
      <c r="C462">
        <v>137</v>
      </c>
      <c r="D462">
        <v>175</v>
      </c>
      <c r="E462">
        <v>175</v>
      </c>
      <c r="F462" s="1">
        <v>0.25800000000000001</v>
      </c>
      <c r="G462" t="s">
        <v>1587</v>
      </c>
      <c r="H462" t="s">
        <v>1587</v>
      </c>
      <c r="I462">
        <v>1340</v>
      </c>
      <c r="J462" t="s">
        <v>2041</v>
      </c>
      <c r="K462">
        <v>1</v>
      </c>
      <c r="L462">
        <v>-32.1</v>
      </c>
      <c r="M462">
        <v>-11.4</v>
      </c>
      <c r="N462">
        <v>35.299999999999997</v>
      </c>
      <c r="O462" t="s">
        <v>1594</v>
      </c>
      <c r="P462" t="s">
        <v>1584</v>
      </c>
      <c r="Q462" t="s">
        <v>1591</v>
      </c>
      <c r="R462">
        <v>0.46</v>
      </c>
      <c r="S462">
        <v>-1.47</v>
      </c>
      <c r="T462" t="s">
        <v>1584</v>
      </c>
      <c r="U462" t="s">
        <v>1592</v>
      </c>
      <c r="V462" t="str" cm="1">
        <f t="array" aca="1" ref="V462" ca="1">IFERROR(_xlfn.IFS(A460="  ..............",OFFSET(A460,2,0),A459=" X-------------X",OFFSET(A459,3,0),MATCH("  ..............",A462:A471,0)&gt;2,V461),"-")</f>
        <v xml:space="preserve">  EREXI2-RS138  </v>
      </c>
      <c r="W462">
        <f t="shared" ca="1" si="21"/>
        <v>0.96299999999999997</v>
      </c>
      <c r="X462" t="str">
        <f t="shared" ca="1" si="22"/>
        <v xml:space="preserve"> EREXIM-RS138 </v>
      </c>
      <c r="Y462" s="1">
        <f t="shared" ca="1" si="23"/>
        <v>0.38500000000000001</v>
      </c>
    </row>
    <row r="463" spans="1:25" x14ac:dyDescent="0.25">
      <c r="A463" t="s">
        <v>1637</v>
      </c>
      <c r="B463" t="s">
        <v>1638</v>
      </c>
      <c r="C463">
        <v>143</v>
      </c>
      <c r="D463">
        <v>172</v>
      </c>
      <c r="E463">
        <v>172</v>
      </c>
      <c r="F463" t="s">
        <v>1639</v>
      </c>
      <c r="G463" t="s">
        <v>1587</v>
      </c>
      <c r="H463" t="s">
        <v>1587</v>
      </c>
      <c r="I463">
        <v>2069</v>
      </c>
      <c r="J463" t="s">
        <v>1615</v>
      </c>
      <c r="K463">
        <v>1</v>
      </c>
      <c r="L463">
        <v>0</v>
      </c>
      <c r="M463">
        <v>0</v>
      </c>
      <c r="N463">
        <v>0</v>
      </c>
      <c r="O463" t="s">
        <v>1594</v>
      </c>
      <c r="P463" t="s">
        <v>1584</v>
      </c>
      <c r="Q463" t="s">
        <v>1591</v>
      </c>
      <c r="R463">
        <v>0</v>
      </c>
      <c r="S463">
        <v>0</v>
      </c>
      <c r="T463" t="s">
        <v>1584</v>
      </c>
      <c r="U463" t="s">
        <v>1592</v>
      </c>
      <c r="V463" t="str" cm="1">
        <f t="array" aca="1" ref="V463" ca="1">IFERROR(_xlfn.IFS(A461="  ..............",OFFSET(A461,2,0),A460=" X-------------X",OFFSET(A460,3,0),MATCH("  ..............",A463:A472,0)&gt;2,V462),"-")</f>
        <v>-</v>
      </c>
      <c r="W463" t="str">
        <f t="shared" ca="1" si="21"/>
        <v>-</v>
      </c>
      <c r="X463" t="str">
        <f t="shared" ca="1" si="22"/>
        <v>-</v>
      </c>
      <c r="Y463" s="1" t="str">
        <f t="shared" ca="1" si="23"/>
        <v>-</v>
      </c>
    </row>
    <row r="464" spans="1:25" x14ac:dyDescent="0.25">
      <c r="A464" t="s">
        <v>1572</v>
      </c>
      <c r="B464" t="s">
        <v>1574</v>
      </c>
      <c r="C464" t="s">
        <v>1574</v>
      </c>
      <c r="D464" t="s">
        <v>1574</v>
      </c>
      <c r="E464" t="s">
        <v>1574</v>
      </c>
      <c r="F464" t="s">
        <v>1575</v>
      </c>
      <c r="G464" t="s">
        <v>1574</v>
      </c>
      <c r="H464" t="s">
        <v>1574</v>
      </c>
      <c r="I464" t="s">
        <v>1576</v>
      </c>
      <c r="J464" t="s">
        <v>1573</v>
      </c>
      <c r="K464" t="s">
        <v>1577</v>
      </c>
      <c r="L464" t="s">
        <v>1574</v>
      </c>
      <c r="M464" t="s">
        <v>1574</v>
      </c>
      <c r="N464" t="s">
        <v>1574</v>
      </c>
      <c r="O464" t="s">
        <v>1578</v>
      </c>
      <c r="P464" t="s">
        <v>1576</v>
      </c>
      <c r="Q464" t="s">
        <v>1579</v>
      </c>
      <c r="R464" t="s">
        <v>1580</v>
      </c>
      <c r="S464" t="s">
        <v>1580</v>
      </c>
      <c r="T464" t="s">
        <v>1576</v>
      </c>
      <c r="U464" t="s">
        <v>1576</v>
      </c>
      <c r="V464" t="str" cm="1">
        <f t="array" aca="1" ref="V464" ca="1">IFERROR(_xlfn.IFS(A462="  ..............",OFFSET(A462,2,0),A461=" X-------------X",OFFSET(A461,3,0),MATCH("  ..............",A464:A473,0)&gt;2,V463),"-")</f>
        <v>-</v>
      </c>
      <c r="W464" t="str">
        <f t="shared" ca="1" si="21"/>
        <v>-</v>
      </c>
      <c r="X464" t="str">
        <f t="shared" ca="1" si="22"/>
        <v/>
      </c>
      <c r="Y464" s="1" t="str">
        <f t="shared" ca="1" si="23"/>
        <v/>
      </c>
    </row>
    <row r="465" spans="1:25" x14ac:dyDescent="0.25">
      <c r="A465" t="s">
        <v>2042</v>
      </c>
      <c r="B465">
        <v>1.01</v>
      </c>
      <c r="C465">
        <v>6.5</v>
      </c>
      <c r="D465">
        <v>0</v>
      </c>
      <c r="E465">
        <v>27.2</v>
      </c>
      <c r="F465">
        <v>0</v>
      </c>
      <c r="G465">
        <v>3.7</v>
      </c>
      <c r="H465">
        <v>0</v>
      </c>
      <c r="I465" t="s">
        <v>1581</v>
      </c>
      <c r="J465" t="s">
        <v>1581</v>
      </c>
      <c r="K465" t="s">
        <v>1581</v>
      </c>
      <c r="L465" t="s">
        <v>1581</v>
      </c>
      <c r="M465" t="s">
        <v>1581</v>
      </c>
      <c r="N465" t="s">
        <v>1581</v>
      </c>
      <c r="O465" t="s">
        <v>1581</v>
      </c>
      <c r="P465" t="s">
        <v>1581</v>
      </c>
      <c r="Q465" t="s">
        <v>1581</v>
      </c>
      <c r="R465" t="s">
        <v>1581</v>
      </c>
      <c r="S465" t="s">
        <v>1581</v>
      </c>
      <c r="T465" t="s">
        <v>1581</v>
      </c>
      <c r="U465" t="s">
        <v>1581</v>
      </c>
      <c r="V465" t="str" cm="1">
        <f t="array" aca="1" ref="V465" ca="1">IFERROR(_xlfn.IFS(A463="  ..............",OFFSET(A463,2,0),A462=" X-------------X",OFFSET(A462,3,0),MATCH("  ..............",A465:A474,0)&gt;2,V464),"-")</f>
        <v>-</v>
      </c>
      <c r="W465" t="str">
        <f t="shared" ca="1" si="21"/>
        <v>-</v>
      </c>
      <c r="X465" t="str">
        <f t="shared" ca="1" si="22"/>
        <v xml:space="preserve">              </v>
      </c>
      <c r="Y465" s="1">
        <f t="shared" ca="1" si="23"/>
        <v>0</v>
      </c>
    </row>
    <row r="466" spans="1:25" x14ac:dyDescent="0.25">
      <c r="A466" t="s">
        <v>2043</v>
      </c>
      <c r="B466">
        <v>-47.1</v>
      </c>
      <c r="C466">
        <v>0</v>
      </c>
      <c r="D466">
        <v>0</v>
      </c>
      <c r="E466">
        <v>10.6</v>
      </c>
      <c r="F466">
        <v>0</v>
      </c>
      <c r="G466">
        <v>0</v>
      </c>
      <c r="H466">
        <v>0</v>
      </c>
      <c r="I466" t="s">
        <v>1584</v>
      </c>
      <c r="J466" t="s">
        <v>1585</v>
      </c>
      <c r="K466" t="s">
        <v>1586</v>
      </c>
      <c r="L466" t="s">
        <v>1587</v>
      </c>
      <c r="M466" t="s">
        <v>1587</v>
      </c>
      <c r="N466" t="s">
        <v>1586</v>
      </c>
      <c r="O466" t="s">
        <v>1581</v>
      </c>
      <c r="P466" t="s">
        <v>1581</v>
      </c>
      <c r="Q466" t="s">
        <v>1581</v>
      </c>
      <c r="R466" t="s">
        <v>1581</v>
      </c>
      <c r="S466" t="s">
        <v>1581</v>
      </c>
      <c r="T466" t="s">
        <v>1581</v>
      </c>
      <c r="U466" t="s">
        <v>1581</v>
      </c>
      <c r="V466" t="str" cm="1">
        <f t="array" aca="1" ref="V466" ca="1">IFERROR(_xlfn.IFS(A464="  ..............",OFFSET(A464,2,0),A463=" X-------------X",OFFSET(A463,3,0),MATCH("  ..............",A466:A475,0)&gt;2,V465),"-")</f>
        <v xml:space="preserve">  SANGE1-RS069  </v>
      </c>
      <c r="W466">
        <f t="shared" ca="1" si="21"/>
        <v>1.01</v>
      </c>
      <c r="X466" t="str">
        <f t="shared" ca="1" si="22"/>
        <v xml:space="preserve"> SANGEL-RS069 </v>
      </c>
      <c r="Y466" s="1">
        <f t="shared" ca="1" si="23"/>
        <v>0.313</v>
      </c>
    </row>
    <row r="467" spans="1:25" x14ac:dyDescent="0.25">
      <c r="A467" t="s">
        <v>1588</v>
      </c>
      <c r="B467" t="s">
        <v>1587</v>
      </c>
      <c r="C467">
        <v>69</v>
      </c>
      <c r="D467">
        <v>69</v>
      </c>
      <c r="E467">
        <v>69</v>
      </c>
      <c r="F467" s="1">
        <v>0.313</v>
      </c>
      <c r="G467" t="s">
        <v>1587</v>
      </c>
      <c r="H467" t="s">
        <v>1587</v>
      </c>
      <c r="I467">
        <v>1251</v>
      </c>
      <c r="J467" t="s">
        <v>2044</v>
      </c>
      <c r="K467">
        <v>1</v>
      </c>
      <c r="L467">
        <v>-20.7</v>
      </c>
      <c r="M467">
        <v>-6.9</v>
      </c>
      <c r="N467">
        <v>21.6</v>
      </c>
      <c r="O467" t="s">
        <v>1594</v>
      </c>
      <c r="P467" t="s">
        <v>1584</v>
      </c>
      <c r="Q467" t="s">
        <v>1591</v>
      </c>
      <c r="R467">
        <v>0.17</v>
      </c>
      <c r="S467">
        <v>0.4</v>
      </c>
      <c r="T467" t="s">
        <v>1584</v>
      </c>
      <c r="U467" t="s">
        <v>1592</v>
      </c>
      <c r="V467" t="str" cm="1">
        <f t="array" aca="1" ref="V467" ca="1">IFERROR(_xlfn.IFS(A465="  ..............",OFFSET(A465,2,0),A464=" X-------------X",OFFSET(A464,3,0),MATCH("  ..............",A467:A476,0)&gt;2,V466),"-")</f>
        <v xml:space="preserve">  SANGE1-RS069  </v>
      </c>
      <c r="W467">
        <f t="shared" ca="1" si="21"/>
        <v>1.01</v>
      </c>
      <c r="X467" t="str">
        <f t="shared" ca="1" si="22"/>
        <v xml:space="preserve"> IJUI1--RS069 </v>
      </c>
      <c r="Y467" s="1" t="str">
        <f t="shared" ca="1" si="23"/>
        <v xml:space="preserve">             </v>
      </c>
    </row>
    <row r="468" spans="1:25" x14ac:dyDescent="0.25">
      <c r="A468" t="s">
        <v>1637</v>
      </c>
      <c r="B468" t="s">
        <v>1638</v>
      </c>
      <c r="C468">
        <v>44</v>
      </c>
      <c r="D468">
        <v>64</v>
      </c>
      <c r="E468">
        <v>64</v>
      </c>
      <c r="F468" t="s">
        <v>1639</v>
      </c>
      <c r="G468" t="s">
        <v>1587</v>
      </c>
      <c r="H468" t="s">
        <v>1587</v>
      </c>
      <c r="I468">
        <v>1302</v>
      </c>
      <c r="J468" t="s">
        <v>2009</v>
      </c>
      <c r="K468">
        <v>1</v>
      </c>
      <c r="L468">
        <v>0</v>
      </c>
      <c r="M468">
        <v>0</v>
      </c>
      <c r="N468">
        <v>0</v>
      </c>
      <c r="O468" t="s">
        <v>1594</v>
      </c>
      <c r="P468" t="s">
        <v>1584</v>
      </c>
      <c r="Q468" t="s">
        <v>1591</v>
      </c>
      <c r="R468">
        <v>0</v>
      </c>
      <c r="S468">
        <v>0</v>
      </c>
      <c r="T468" t="s">
        <v>1584</v>
      </c>
      <c r="U468" t="s">
        <v>1592</v>
      </c>
      <c r="V468" t="str" cm="1">
        <f t="array" aca="1" ref="V468" ca="1">IFERROR(_xlfn.IFS(A466="  ..............",OFFSET(A466,2,0),A465=" X-------------X",OFFSET(A465,3,0),MATCH("  ..............",A468:A477,0)&gt;2,V467),"-")</f>
        <v>-</v>
      </c>
      <c r="W468" t="str">
        <f t="shared" ca="1" si="21"/>
        <v>-</v>
      </c>
      <c r="X468" t="str">
        <f t="shared" ca="1" si="22"/>
        <v>-</v>
      </c>
      <c r="Y468" s="1" t="str">
        <f t="shared" ca="1" si="23"/>
        <v>-</v>
      </c>
    </row>
    <row r="469" spans="1:25" x14ac:dyDescent="0.25">
      <c r="A469" t="s">
        <v>1572</v>
      </c>
      <c r="B469" t="s">
        <v>1574</v>
      </c>
      <c r="C469" t="s">
        <v>1574</v>
      </c>
      <c r="D469" t="s">
        <v>1574</v>
      </c>
      <c r="E469" t="s">
        <v>1574</v>
      </c>
      <c r="F469" t="s">
        <v>1575</v>
      </c>
      <c r="G469" t="s">
        <v>1574</v>
      </c>
      <c r="H469" t="s">
        <v>1574</v>
      </c>
      <c r="I469" t="s">
        <v>1576</v>
      </c>
      <c r="J469" t="s">
        <v>1573</v>
      </c>
      <c r="K469" t="s">
        <v>1577</v>
      </c>
      <c r="L469" t="s">
        <v>1574</v>
      </c>
      <c r="M469" t="s">
        <v>1574</v>
      </c>
      <c r="N469" t="s">
        <v>1574</v>
      </c>
      <c r="O469" t="s">
        <v>1578</v>
      </c>
      <c r="P469" t="s">
        <v>1576</v>
      </c>
      <c r="Q469" t="s">
        <v>1579</v>
      </c>
      <c r="R469" t="s">
        <v>1580</v>
      </c>
      <c r="S469" t="s">
        <v>1580</v>
      </c>
      <c r="T469" t="s">
        <v>1576</v>
      </c>
      <c r="U469" t="s">
        <v>1576</v>
      </c>
      <c r="V469" t="str" cm="1">
        <f t="array" aca="1" ref="V469" ca="1">IFERROR(_xlfn.IFS(A467="  ..............",OFFSET(A467,2,0),A466=" X-------------X",OFFSET(A466,3,0),MATCH("  ..............",A469:A478,0)&gt;2,V468),"-")</f>
        <v>-</v>
      </c>
      <c r="W469" t="str">
        <f t="shared" ca="1" si="21"/>
        <v>-</v>
      </c>
      <c r="X469" t="str">
        <f t="shared" ca="1" si="22"/>
        <v/>
      </c>
      <c r="Y469" s="1" t="str">
        <f t="shared" ca="1" si="23"/>
        <v/>
      </c>
    </row>
    <row r="470" spans="1:25" x14ac:dyDescent="0.25">
      <c r="A470" t="s">
        <v>2045</v>
      </c>
      <c r="B470">
        <v>0.998</v>
      </c>
      <c r="C470">
        <v>2.2999999999999998</v>
      </c>
      <c r="D470">
        <v>0</v>
      </c>
      <c r="E470">
        <v>26.5</v>
      </c>
      <c r="F470">
        <v>0</v>
      </c>
      <c r="G470">
        <v>3.6</v>
      </c>
      <c r="H470">
        <v>0</v>
      </c>
      <c r="I470" t="s">
        <v>1581</v>
      </c>
      <c r="J470" t="s">
        <v>1581</v>
      </c>
      <c r="K470" t="s">
        <v>1581</v>
      </c>
      <c r="L470" t="s">
        <v>1581</v>
      </c>
      <c r="M470" t="s">
        <v>1581</v>
      </c>
      <c r="N470" t="s">
        <v>1581</v>
      </c>
      <c r="O470" t="s">
        <v>1581</v>
      </c>
      <c r="P470" t="s">
        <v>1581</v>
      </c>
      <c r="Q470" t="s">
        <v>1581</v>
      </c>
      <c r="R470" t="s">
        <v>1581</v>
      </c>
      <c r="S470" t="s">
        <v>1581</v>
      </c>
      <c r="T470" t="s">
        <v>1581</v>
      </c>
      <c r="U470" t="s">
        <v>1581</v>
      </c>
      <c r="V470" t="str" cm="1">
        <f t="array" aca="1" ref="V470" ca="1">IFERROR(_xlfn.IFS(A468="  ..............",OFFSET(A468,2,0),A467=" X-------------X",OFFSET(A467,3,0),MATCH("  ..............",A470:A479,0)&gt;2,V469),"-")</f>
        <v>-</v>
      </c>
      <c r="W470" t="str">
        <f t="shared" ca="1" si="21"/>
        <v>-</v>
      </c>
      <c r="X470" t="str">
        <f t="shared" ca="1" si="22"/>
        <v xml:space="preserve">              </v>
      </c>
      <c r="Y470" s="1">
        <f t="shared" ca="1" si="23"/>
        <v>0</v>
      </c>
    </row>
    <row r="471" spans="1:25" x14ac:dyDescent="0.25">
      <c r="A471" t="s">
        <v>2046</v>
      </c>
      <c r="B471">
        <v>-54.8</v>
      </c>
      <c r="C471">
        <v>0</v>
      </c>
      <c r="D471">
        <v>0</v>
      </c>
      <c r="E471">
        <v>8.8000000000000007</v>
      </c>
      <c r="F471">
        <v>0</v>
      </c>
      <c r="G471">
        <v>0</v>
      </c>
      <c r="H471">
        <v>0</v>
      </c>
      <c r="I471" t="s">
        <v>1584</v>
      </c>
      <c r="J471" t="s">
        <v>1585</v>
      </c>
      <c r="K471" t="s">
        <v>1586</v>
      </c>
      <c r="L471" t="s">
        <v>1587</v>
      </c>
      <c r="M471" t="s">
        <v>1587</v>
      </c>
      <c r="N471" t="s">
        <v>1586</v>
      </c>
      <c r="O471" t="s">
        <v>1581</v>
      </c>
      <c r="P471" t="s">
        <v>1581</v>
      </c>
      <c r="Q471" t="s">
        <v>1581</v>
      </c>
      <c r="R471" t="s">
        <v>1581</v>
      </c>
      <c r="S471" t="s">
        <v>1581</v>
      </c>
      <c r="T471" t="s">
        <v>1581</v>
      </c>
      <c r="U471" t="s">
        <v>1581</v>
      </c>
      <c r="V471" t="str" cm="1">
        <f t="array" aca="1" ref="V471" ca="1">IFERROR(_xlfn.IFS(A469="  ..............",OFFSET(A469,2,0),A468=" X-------------X",OFFSET(A468,3,0),MATCH("  ..............",A471:A480,0)&gt;2,V470),"-")</f>
        <v xml:space="preserve">  ESTEIO-RS069  </v>
      </c>
      <c r="W471">
        <f t="shared" ca="1" si="21"/>
        <v>0.998</v>
      </c>
      <c r="X471" t="str">
        <f t="shared" ca="1" si="22"/>
        <v xml:space="preserve"> BUNGE--RS069 </v>
      </c>
      <c r="Y471" s="1">
        <f t="shared" ca="1" si="23"/>
        <v>5.8000000000000003E-2</v>
      </c>
    </row>
    <row r="472" spans="1:25" x14ac:dyDescent="0.25">
      <c r="A472" t="s">
        <v>1588</v>
      </c>
      <c r="B472" t="s">
        <v>1587</v>
      </c>
      <c r="C472">
        <v>84</v>
      </c>
      <c r="D472">
        <v>101</v>
      </c>
      <c r="E472">
        <v>101</v>
      </c>
      <c r="F472" s="1">
        <v>5.8000000000000003E-2</v>
      </c>
      <c r="G472" t="s">
        <v>1587</v>
      </c>
      <c r="H472" t="s">
        <v>1587</v>
      </c>
      <c r="I472">
        <v>1303</v>
      </c>
      <c r="J472" t="s">
        <v>2047</v>
      </c>
      <c r="K472">
        <v>1</v>
      </c>
      <c r="L472">
        <v>-2.2999999999999998</v>
      </c>
      <c r="M472">
        <v>-4.2</v>
      </c>
      <c r="N472">
        <v>4.8</v>
      </c>
      <c r="O472" t="s">
        <v>1594</v>
      </c>
      <c r="P472" t="s">
        <v>1584</v>
      </c>
      <c r="Q472" t="s">
        <v>1591</v>
      </c>
      <c r="R472">
        <v>0</v>
      </c>
      <c r="S472">
        <v>0</v>
      </c>
      <c r="T472" t="s">
        <v>1584</v>
      </c>
      <c r="U472" t="s">
        <v>1592</v>
      </c>
      <c r="V472" t="str" cm="1">
        <f t="array" aca="1" ref="V472" ca="1">IFERROR(_xlfn.IFS(A470="  ..............",OFFSET(A470,2,0),A469=" X-------------X",OFFSET(A469,3,0),MATCH("  ..............",A472:A481,0)&gt;2,V471),"-")</f>
        <v xml:space="preserve">  ESTEIO-RS069  </v>
      </c>
      <c r="W472">
        <f t="shared" ca="1" si="21"/>
        <v>0.998</v>
      </c>
      <c r="X472" t="str">
        <f t="shared" ca="1" si="22"/>
        <v xml:space="preserve"> SRITA-TAP069 </v>
      </c>
      <c r="Y472" s="1">
        <f t="shared" ca="1" si="23"/>
        <v>0.45800000000000002</v>
      </c>
    </row>
    <row r="473" spans="1:25" x14ac:dyDescent="0.25">
      <c r="A473" t="s">
        <v>1588</v>
      </c>
      <c r="B473" t="s">
        <v>1587</v>
      </c>
      <c r="C473">
        <v>48</v>
      </c>
      <c r="D473">
        <v>71</v>
      </c>
      <c r="E473">
        <v>71</v>
      </c>
      <c r="F473" s="1">
        <v>0.45800000000000002</v>
      </c>
      <c r="G473" t="s">
        <v>1587</v>
      </c>
      <c r="H473" t="s">
        <v>1587</v>
      </c>
      <c r="I473">
        <v>1341</v>
      </c>
      <c r="J473" t="s">
        <v>2048</v>
      </c>
      <c r="K473">
        <v>1</v>
      </c>
      <c r="L473">
        <v>-21.9</v>
      </c>
      <c r="M473">
        <v>-1</v>
      </c>
      <c r="N473">
        <v>22</v>
      </c>
      <c r="O473" t="s">
        <v>1594</v>
      </c>
      <c r="P473" t="s">
        <v>1584</v>
      </c>
      <c r="Q473" t="s">
        <v>1591</v>
      </c>
      <c r="R473">
        <v>0.18</v>
      </c>
      <c r="S473">
        <v>0.52</v>
      </c>
      <c r="T473" t="s">
        <v>1584</v>
      </c>
      <c r="U473" t="s">
        <v>1592</v>
      </c>
      <c r="V473" t="str" cm="1">
        <f t="array" aca="1" ref="V473" ca="1">IFERROR(_xlfn.IFS(A471="  ..............",OFFSET(A471,2,0),A470=" X-------------X",OFFSET(A470,3,0),MATCH("  ..............",A473:A482,0)&gt;2,V472),"-")</f>
        <v>-</v>
      </c>
      <c r="W473" t="str">
        <f t="shared" ca="1" si="21"/>
        <v>-</v>
      </c>
      <c r="X473" t="str">
        <f t="shared" ca="1" si="22"/>
        <v>-</v>
      </c>
      <c r="Y473" s="1" t="str">
        <f t="shared" ca="1" si="23"/>
        <v>-</v>
      </c>
    </row>
    <row r="474" spans="1:25" x14ac:dyDescent="0.25">
      <c r="A474" t="s">
        <v>1572</v>
      </c>
      <c r="B474" t="s">
        <v>1574</v>
      </c>
      <c r="C474" t="s">
        <v>1574</v>
      </c>
      <c r="D474" t="s">
        <v>1574</v>
      </c>
      <c r="E474" t="s">
        <v>1574</v>
      </c>
      <c r="F474" t="s">
        <v>1575</v>
      </c>
      <c r="G474" t="s">
        <v>1574</v>
      </c>
      <c r="H474" t="s">
        <v>1574</v>
      </c>
      <c r="I474" t="s">
        <v>1576</v>
      </c>
      <c r="J474" t="s">
        <v>1573</v>
      </c>
      <c r="K474" t="s">
        <v>1577</v>
      </c>
      <c r="L474" t="s">
        <v>1574</v>
      </c>
      <c r="M474" t="s">
        <v>1574</v>
      </c>
      <c r="N474" t="s">
        <v>1574</v>
      </c>
      <c r="O474" t="s">
        <v>1578</v>
      </c>
      <c r="P474" t="s">
        <v>1576</v>
      </c>
      <c r="Q474" t="s">
        <v>1579</v>
      </c>
      <c r="R474" t="s">
        <v>1580</v>
      </c>
      <c r="S474" t="s">
        <v>1580</v>
      </c>
      <c r="T474" t="s">
        <v>1576</v>
      </c>
      <c r="U474" t="s">
        <v>1576</v>
      </c>
      <c r="V474" t="str" cm="1">
        <f t="array" aca="1" ref="V474" ca="1">IFERROR(_xlfn.IFS(A472="  ..............",OFFSET(A472,2,0),A471=" X-------------X",OFFSET(A471,3,0),MATCH("  ..............",A474:A483,0)&gt;2,V473),"-")</f>
        <v>-</v>
      </c>
      <c r="W474" t="str">
        <f t="shared" ca="1" si="21"/>
        <v>-</v>
      </c>
      <c r="X474" t="str">
        <f t="shared" ca="1" si="22"/>
        <v/>
      </c>
      <c r="Y474" s="1" t="str">
        <f t="shared" ca="1" si="23"/>
        <v/>
      </c>
    </row>
    <row r="475" spans="1:25" x14ac:dyDescent="0.25">
      <c r="A475" t="s">
        <v>2049</v>
      </c>
      <c r="B475">
        <v>1.0369999999999999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1581</v>
      </c>
      <c r="J475" t="s">
        <v>1581</v>
      </c>
      <c r="K475" t="s">
        <v>1581</v>
      </c>
      <c r="L475" t="s">
        <v>1581</v>
      </c>
      <c r="M475" t="s">
        <v>1581</v>
      </c>
      <c r="N475" t="s">
        <v>1581</v>
      </c>
      <c r="O475" t="s">
        <v>1581</v>
      </c>
      <c r="P475" t="s">
        <v>1581</v>
      </c>
      <c r="Q475" t="s">
        <v>1581</v>
      </c>
      <c r="R475" t="s">
        <v>1581</v>
      </c>
      <c r="S475" t="s">
        <v>1581</v>
      </c>
      <c r="T475" t="s">
        <v>1581</v>
      </c>
      <c r="U475" t="s">
        <v>1581</v>
      </c>
      <c r="V475" t="str" cm="1">
        <f t="array" aca="1" ref="V475" ca="1">IFERROR(_xlfn.IFS(A473="  ..............",OFFSET(A473,2,0),A472=" X-------------X",OFFSET(A472,3,0),MATCH("  ..............",A475:A484,0)&gt;2,V474),"-")</f>
        <v>-</v>
      </c>
      <c r="W475" t="str">
        <f t="shared" ca="1" si="21"/>
        <v>-</v>
      </c>
      <c r="X475" t="str">
        <f t="shared" ca="1" si="22"/>
        <v xml:space="preserve">              </v>
      </c>
      <c r="Y475" s="1">
        <f t="shared" ca="1" si="23"/>
        <v>0</v>
      </c>
    </row>
    <row r="476" spans="1:25" x14ac:dyDescent="0.25">
      <c r="A476" t="s">
        <v>2050</v>
      </c>
      <c r="B476">
        <v>-53.3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1584</v>
      </c>
      <c r="J476" t="s">
        <v>1585</v>
      </c>
      <c r="K476" t="s">
        <v>1586</v>
      </c>
      <c r="L476" t="s">
        <v>1587</v>
      </c>
      <c r="M476" t="s">
        <v>1587</v>
      </c>
      <c r="N476" t="s">
        <v>1586</v>
      </c>
      <c r="O476" t="s">
        <v>1581</v>
      </c>
      <c r="P476" t="s">
        <v>1581</v>
      </c>
      <c r="Q476" t="s">
        <v>1581</v>
      </c>
      <c r="R476" t="s">
        <v>1581</v>
      </c>
      <c r="S476" t="s">
        <v>1581</v>
      </c>
      <c r="T476" t="s">
        <v>1581</v>
      </c>
      <c r="U476" t="s">
        <v>1581</v>
      </c>
      <c r="V476" t="str" cm="1">
        <f t="array" aca="1" ref="V476" ca="1">IFERROR(_xlfn.IFS(A474="  ..............",OFFSET(A474,2,0),A473=" X-------------X",OFFSET(A473,3,0),MATCH("  ..............",A476:A485,0)&gt;2,V475),"-")</f>
        <v xml:space="preserve">  GRAVA3-RS069  </v>
      </c>
      <c r="W476">
        <f t="shared" ca="1" si="21"/>
        <v>1.0369999999999999</v>
      </c>
      <c r="X476" t="str">
        <f t="shared" ca="1" si="22"/>
        <v xml:space="preserve"> PIRELL-RS069 </v>
      </c>
      <c r="Y476" s="1">
        <f t="shared" ca="1" si="23"/>
        <v>0.89500000000000002</v>
      </c>
    </row>
    <row r="477" spans="1:25" x14ac:dyDescent="0.25">
      <c r="A477" t="s">
        <v>1588</v>
      </c>
      <c r="B477" t="s">
        <v>1587</v>
      </c>
      <c r="C477">
        <v>54</v>
      </c>
      <c r="D477">
        <v>79</v>
      </c>
      <c r="E477">
        <v>79</v>
      </c>
      <c r="F477" s="1">
        <v>0.89500000000000002</v>
      </c>
      <c r="G477" t="s">
        <v>1587</v>
      </c>
      <c r="H477" t="s">
        <v>1587</v>
      </c>
      <c r="I477">
        <v>1364</v>
      </c>
      <c r="J477" t="s">
        <v>2051</v>
      </c>
      <c r="K477">
        <v>1</v>
      </c>
      <c r="L477">
        <v>47.7</v>
      </c>
      <c r="M477">
        <v>15.6</v>
      </c>
      <c r="N477">
        <v>48.3</v>
      </c>
      <c r="O477" t="s">
        <v>1594</v>
      </c>
      <c r="P477" t="s">
        <v>1584</v>
      </c>
      <c r="Q477" t="s">
        <v>1591</v>
      </c>
      <c r="R477">
        <v>0.5</v>
      </c>
      <c r="S477">
        <v>0.97</v>
      </c>
      <c r="T477" t="s">
        <v>1584</v>
      </c>
      <c r="U477" t="s">
        <v>1592</v>
      </c>
      <c r="V477" t="str" cm="1">
        <f t="array" aca="1" ref="V477" ca="1">IFERROR(_xlfn.IFS(A475="  ..............",OFFSET(A475,2,0),A474=" X-------------X",OFFSET(A474,3,0),MATCH("  ..............",A477:A486,0)&gt;2,V476),"-")</f>
        <v xml:space="preserve">  GRAVA3-RS069  </v>
      </c>
      <c r="W477">
        <f t="shared" ca="1" si="21"/>
        <v>1.0369999999999999</v>
      </c>
      <c r="X477" t="str">
        <f t="shared" ca="1" si="22"/>
        <v xml:space="preserve"> GLORIN-RS069 </v>
      </c>
      <c r="Y477" s="1">
        <f t="shared" ca="1" si="23"/>
        <v>0.13200000000000001</v>
      </c>
    </row>
    <row r="478" spans="1:25" x14ac:dyDescent="0.25">
      <c r="A478" t="s">
        <v>1588</v>
      </c>
      <c r="B478" t="s">
        <v>1587</v>
      </c>
      <c r="C478">
        <v>67</v>
      </c>
      <c r="D478">
        <v>81</v>
      </c>
      <c r="E478">
        <v>81</v>
      </c>
      <c r="F478" s="1">
        <v>0.13200000000000001</v>
      </c>
      <c r="G478" t="s">
        <v>1587</v>
      </c>
      <c r="H478" t="s">
        <v>1587</v>
      </c>
      <c r="I478">
        <v>1367</v>
      </c>
      <c r="J478" t="s">
        <v>2052</v>
      </c>
      <c r="K478">
        <v>1</v>
      </c>
      <c r="L478">
        <v>7.7</v>
      </c>
      <c r="M478">
        <v>5</v>
      </c>
      <c r="N478">
        <v>8.8000000000000007</v>
      </c>
      <c r="O478" t="s">
        <v>1594</v>
      </c>
      <c r="P478" t="s">
        <v>1584</v>
      </c>
      <c r="Q478" t="s">
        <v>1591</v>
      </c>
      <c r="R478">
        <v>7.0000000000000007E-2</v>
      </c>
      <c r="S478">
        <v>-0.2</v>
      </c>
      <c r="T478" t="s">
        <v>1584</v>
      </c>
      <c r="U478" t="s">
        <v>1592</v>
      </c>
      <c r="V478" t="str" cm="1">
        <f t="array" aca="1" ref="V478" ca="1">IFERROR(_xlfn.IFS(A476="  ..............",OFFSET(A476,2,0),A475=" X-------------X",OFFSET(A475,3,0),MATCH("  ..............",A478:A487,0)&gt;2,V477),"-")</f>
        <v xml:space="preserve">  GRAVA3-RS069  </v>
      </c>
      <c r="W478">
        <f t="shared" ca="1" si="21"/>
        <v>1.0369999999999999</v>
      </c>
      <c r="X478" t="str">
        <f t="shared" ca="1" si="22"/>
        <v xml:space="preserve"> ICOTROTAP069 </v>
      </c>
      <c r="Y478" s="1">
        <f t="shared" ca="1" si="23"/>
        <v>0.64200000000000002</v>
      </c>
    </row>
    <row r="479" spans="1:25" x14ac:dyDescent="0.25">
      <c r="A479" t="s">
        <v>1588</v>
      </c>
      <c r="B479" t="s">
        <v>1587</v>
      </c>
      <c r="C479">
        <v>54</v>
      </c>
      <c r="D479">
        <v>79</v>
      </c>
      <c r="E479">
        <v>79</v>
      </c>
      <c r="F479" s="1">
        <v>0.64200000000000002</v>
      </c>
      <c r="G479" t="s">
        <v>1587</v>
      </c>
      <c r="H479" t="s">
        <v>1587</v>
      </c>
      <c r="I479">
        <v>1378</v>
      </c>
      <c r="J479" t="s">
        <v>2053</v>
      </c>
      <c r="K479">
        <v>1</v>
      </c>
      <c r="L479">
        <v>33.4</v>
      </c>
      <c r="M479">
        <v>13.3</v>
      </c>
      <c r="N479">
        <v>34.700000000000003</v>
      </c>
      <c r="O479" t="s">
        <v>1594</v>
      </c>
      <c r="P479" t="s">
        <v>1584</v>
      </c>
      <c r="Q479" t="s">
        <v>1591</v>
      </c>
      <c r="R479">
        <v>0.33</v>
      </c>
      <c r="S479">
        <v>0.97</v>
      </c>
      <c r="T479" t="s">
        <v>1584</v>
      </c>
      <c r="U479" t="s">
        <v>1592</v>
      </c>
      <c r="V479" t="str" cm="1">
        <f t="array" aca="1" ref="V479" ca="1">IFERROR(_xlfn.IFS(A477="  ..............",OFFSET(A477,2,0),A476=" X-------------X",OFFSET(A476,3,0),MATCH("  ..............",A479:A488,0)&gt;2,V478),"-")</f>
        <v xml:space="preserve">  GRAVA3-RS069  </v>
      </c>
      <c r="W479">
        <f t="shared" ca="1" si="21"/>
        <v>1.0369999999999999</v>
      </c>
      <c r="X479" t="str">
        <f t="shared" ca="1" si="22"/>
        <v xml:space="preserve"> GRA3-1-RS000 </v>
      </c>
      <c r="Y479" s="1">
        <f t="shared" ca="1" si="23"/>
        <v>0.27700000000000002</v>
      </c>
    </row>
    <row r="480" spans="1:25" x14ac:dyDescent="0.25">
      <c r="A480" t="s">
        <v>1588</v>
      </c>
      <c r="B480" t="s">
        <v>1587</v>
      </c>
      <c r="C480">
        <v>165</v>
      </c>
      <c r="D480">
        <v>173</v>
      </c>
      <c r="E480">
        <v>173</v>
      </c>
      <c r="F480" s="1">
        <v>0.27700000000000002</v>
      </c>
      <c r="G480" t="s">
        <v>1587</v>
      </c>
      <c r="H480" t="s">
        <v>1587</v>
      </c>
      <c r="I480">
        <v>41269</v>
      </c>
      <c r="J480" t="s">
        <v>2054</v>
      </c>
      <c r="K480">
        <v>1</v>
      </c>
      <c r="L480">
        <v>-44.4</v>
      </c>
      <c r="M480">
        <v>-16.899999999999999</v>
      </c>
      <c r="N480">
        <v>45.8</v>
      </c>
      <c r="O480" t="s">
        <v>1608</v>
      </c>
      <c r="P480" t="s">
        <v>1584</v>
      </c>
      <c r="Q480">
        <v>2</v>
      </c>
      <c r="R480">
        <v>0.02</v>
      </c>
      <c r="S480">
        <v>-0.16</v>
      </c>
      <c r="T480" t="s">
        <v>1584</v>
      </c>
      <c r="U480" t="s">
        <v>1592</v>
      </c>
      <c r="V480" t="str" cm="1">
        <f t="array" aca="1" ref="V480" ca="1">IFERROR(_xlfn.IFS(A478="  ..............",OFFSET(A478,2,0),A477=" X-------------X",OFFSET(A477,3,0),MATCH("  ..............",A480:A489,0)&gt;2,V479),"-")</f>
        <v xml:space="preserve">  GRAVA3-RS069  </v>
      </c>
      <c r="W480">
        <f t="shared" ca="1" si="21"/>
        <v>1.0369999999999999</v>
      </c>
      <c r="X480" t="str">
        <f t="shared" ca="1" si="22"/>
        <v xml:space="preserve"> GRA3-2-RS000 </v>
      </c>
      <c r="Y480" s="1">
        <f t="shared" ca="1" si="23"/>
        <v>0.27700000000000002</v>
      </c>
    </row>
    <row r="481" spans="1:25" x14ac:dyDescent="0.25">
      <c r="A481" t="s">
        <v>1588</v>
      </c>
      <c r="B481" t="s">
        <v>1587</v>
      </c>
      <c r="C481">
        <v>165</v>
      </c>
      <c r="D481">
        <v>198</v>
      </c>
      <c r="E481">
        <v>198</v>
      </c>
      <c r="F481" s="1">
        <v>0.27700000000000002</v>
      </c>
      <c r="G481" t="s">
        <v>1587</v>
      </c>
      <c r="H481" t="s">
        <v>1587</v>
      </c>
      <c r="I481">
        <v>43471</v>
      </c>
      <c r="J481" t="s">
        <v>2055</v>
      </c>
      <c r="K481">
        <v>2</v>
      </c>
      <c r="L481">
        <v>-44.4</v>
      </c>
      <c r="M481">
        <v>-16.899999999999999</v>
      </c>
      <c r="N481">
        <v>45.8</v>
      </c>
      <c r="O481" t="s">
        <v>1608</v>
      </c>
      <c r="P481" t="s">
        <v>1584</v>
      </c>
      <c r="Q481">
        <v>2</v>
      </c>
      <c r="R481">
        <v>0.02</v>
      </c>
      <c r="S481">
        <v>-0.16</v>
      </c>
      <c r="T481" t="s">
        <v>1584</v>
      </c>
      <c r="U481" t="s">
        <v>1592</v>
      </c>
      <c r="V481" t="str" cm="1">
        <f t="array" aca="1" ref="V481" ca="1">IFERROR(_xlfn.IFS(A479="  ..............",OFFSET(A479,2,0),A478=" X-------------X",OFFSET(A478,3,0),MATCH("  ..............",A481:A490,0)&gt;2,V480),"-")</f>
        <v>-</v>
      </c>
      <c r="W481" t="str">
        <f t="shared" ca="1" si="21"/>
        <v>-</v>
      </c>
      <c r="X481" t="str">
        <f t="shared" ca="1" si="22"/>
        <v>-</v>
      </c>
      <c r="Y481" s="1" t="str">
        <f t="shared" ca="1" si="23"/>
        <v>-</v>
      </c>
    </row>
    <row r="482" spans="1:25" x14ac:dyDescent="0.25">
      <c r="A482" t="s">
        <v>1572</v>
      </c>
      <c r="B482" t="s">
        <v>1574</v>
      </c>
      <c r="C482" t="s">
        <v>1574</v>
      </c>
      <c r="D482" t="s">
        <v>1574</v>
      </c>
      <c r="E482" t="s">
        <v>1574</v>
      </c>
      <c r="F482" t="s">
        <v>1575</v>
      </c>
      <c r="G482" t="s">
        <v>1574</v>
      </c>
      <c r="H482" t="s">
        <v>1574</v>
      </c>
      <c r="I482" t="s">
        <v>1576</v>
      </c>
      <c r="J482" t="s">
        <v>1573</v>
      </c>
      <c r="K482" t="s">
        <v>1577</v>
      </c>
      <c r="L482" t="s">
        <v>1574</v>
      </c>
      <c r="M482" t="s">
        <v>1574</v>
      </c>
      <c r="N482" t="s">
        <v>1574</v>
      </c>
      <c r="O482" t="s">
        <v>1578</v>
      </c>
      <c r="P482" t="s">
        <v>1576</v>
      </c>
      <c r="Q482" t="s">
        <v>1579</v>
      </c>
      <c r="R482" t="s">
        <v>1580</v>
      </c>
      <c r="S482" t="s">
        <v>1580</v>
      </c>
      <c r="T482" t="s">
        <v>1576</v>
      </c>
      <c r="U482" t="s">
        <v>1576</v>
      </c>
      <c r="V482" t="str" cm="1">
        <f t="array" aca="1" ref="V482" ca="1">IFERROR(_xlfn.IFS(A480="  ..............",OFFSET(A480,2,0),A479=" X-------------X",OFFSET(A479,3,0),MATCH("  ..............",A482:A491,0)&gt;2,V481),"-")</f>
        <v>-</v>
      </c>
      <c r="W482" t="str">
        <f t="shared" ca="1" si="21"/>
        <v>-</v>
      </c>
      <c r="X482" t="str">
        <f t="shared" ca="1" si="22"/>
        <v/>
      </c>
      <c r="Y482" s="1" t="str">
        <f t="shared" ca="1" si="23"/>
        <v/>
      </c>
    </row>
    <row r="483" spans="1:25" x14ac:dyDescent="0.25">
      <c r="A483" t="s">
        <v>2056</v>
      </c>
      <c r="B483">
        <v>1.036</v>
      </c>
      <c r="C483">
        <v>33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1581</v>
      </c>
      <c r="J483" t="s">
        <v>1581</v>
      </c>
      <c r="K483" t="s">
        <v>1581</v>
      </c>
      <c r="L483" t="s">
        <v>1581</v>
      </c>
      <c r="M483" t="s">
        <v>1581</v>
      </c>
      <c r="N483" t="s">
        <v>1581</v>
      </c>
      <c r="O483" t="s">
        <v>1581</v>
      </c>
      <c r="P483" t="s">
        <v>1581</v>
      </c>
      <c r="Q483" t="s">
        <v>1581</v>
      </c>
      <c r="R483" t="s">
        <v>1581</v>
      </c>
      <c r="S483" t="s">
        <v>1581</v>
      </c>
      <c r="T483" t="s">
        <v>1581</v>
      </c>
      <c r="U483" t="s">
        <v>1581</v>
      </c>
      <c r="V483" t="str" cm="1">
        <f t="array" aca="1" ref="V483" ca="1">IFERROR(_xlfn.IFS(A481="  ..............",OFFSET(A481,2,0),A480=" X-------------X",OFFSET(A480,3,0),MATCH("  ..............",A483:A492,0)&gt;2,V482),"-")</f>
        <v>-</v>
      </c>
      <c r="W483" t="str">
        <f t="shared" ca="1" si="21"/>
        <v>-</v>
      </c>
      <c r="X483" t="str">
        <f t="shared" ca="1" si="22"/>
        <v xml:space="preserve">              </v>
      </c>
      <c r="Y483" s="1">
        <f t="shared" ca="1" si="23"/>
        <v>0</v>
      </c>
    </row>
    <row r="484" spans="1:25" x14ac:dyDescent="0.25">
      <c r="A484" t="s">
        <v>2057</v>
      </c>
      <c r="B484">
        <v>-44.3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 t="s">
        <v>1584</v>
      </c>
      <c r="J484" t="s">
        <v>1585</v>
      </c>
      <c r="K484" t="s">
        <v>1586</v>
      </c>
      <c r="L484" t="s">
        <v>1587</v>
      </c>
      <c r="M484" t="s">
        <v>1587</v>
      </c>
      <c r="N484" t="s">
        <v>1586</v>
      </c>
      <c r="O484" t="s">
        <v>1581</v>
      </c>
      <c r="P484" t="s">
        <v>1581</v>
      </c>
      <c r="Q484" t="s">
        <v>1581</v>
      </c>
      <c r="R484" t="s">
        <v>1581</v>
      </c>
      <c r="S484" t="s">
        <v>1581</v>
      </c>
      <c r="T484" t="s">
        <v>1581</v>
      </c>
      <c r="U484" t="s">
        <v>1581</v>
      </c>
      <c r="V484" t="str" cm="1">
        <f t="array" aca="1" ref="V484" ca="1">IFERROR(_xlfn.IFS(A482="  ..............",OFFSET(A482,2,0),A481=" X-------------X",OFFSET(A481,3,0),MATCH("  ..............",A484:A493,0)&gt;2,V483),"-")</f>
        <v xml:space="preserve">  NPR2P2PCH069  </v>
      </c>
      <c r="W484">
        <f t="shared" ca="1" si="21"/>
        <v>1.036</v>
      </c>
      <c r="X484" t="str">
        <f t="shared" ca="1" si="22"/>
        <v xml:space="preserve"> NPRAT2-RS069 </v>
      </c>
      <c r="Y484" s="1">
        <f t="shared" ca="1" si="23"/>
        <v>0.379</v>
      </c>
    </row>
    <row r="485" spans="1:25" x14ac:dyDescent="0.25">
      <c r="A485" t="s">
        <v>1588</v>
      </c>
      <c r="B485" t="s">
        <v>1587</v>
      </c>
      <c r="C485">
        <v>84</v>
      </c>
      <c r="D485">
        <v>84</v>
      </c>
      <c r="E485">
        <v>84</v>
      </c>
      <c r="F485" s="1">
        <v>0.379</v>
      </c>
      <c r="G485" t="s">
        <v>1587</v>
      </c>
      <c r="H485" t="s">
        <v>1587</v>
      </c>
      <c r="I485">
        <v>1226</v>
      </c>
      <c r="J485" t="s">
        <v>2058</v>
      </c>
      <c r="K485">
        <v>1</v>
      </c>
      <c r="L485">
        <v>33</v>
      </c>
      <c r="M485">
        <v>0</v>
      </c>
      <c r="N485">
        <v>31.8</v>
      </c>
      <c r="O485" t="s">
        <v>1594</v>
      </c>
      <c r="P485" t="s">
        <v>1584</v>
      </c>
      <c r="Q485" t="s">
        <v>1591</v>
      </c>
      <c r="R485">
        <v>0.56999999999999995</v>
      </c>
      <c r="S485">
        <v>1.79</v>
      </c>
      <c r="T485" t="s">
        <v>1584</v>
      </c>
      <c r="U485" t="s">
        <v>1592</v>
      </c>
      <c r="V485" t="str" cm="1">
        <f t="array" aca="1" ref="V485" ca="1">IFERROR(_xlfn.IFS(A483="  ..............",OFFSET(A483,2,0),A482=" X-------------X",OFFSET(A482,3,0),MATCH("  ..............",A485:A494,0)&gt;2,V484),"-")</f>
        <v>-</v>
      </c>
      <c r="W485" t="str">
        <f t="shared" ca="1" si="21"/>
        <v>-</v>
      </c>
      <c r="X485" t="str">
        <f t="shared" ca="1" si="22"/>
        <v>-</v>
      </c>
      <c r="Y485" s="1" t="str">
        <f t="shared" ca="1" si="23"/>
        <v>-</v>
      </c>
    </row>
    <row r="486" spans="1:25" x14ac:dyDescent="0.25">
      <c r="A486" t="s">
        <v>1572</v>
      </c>
      <c r="B486" t="s">
        <v>1574</v>
      </c>
      <c r="C486" t="s">
        <v>1574</v>
      </c>
      <c r="D486" t="s">
        <v>1574</v>
      </c>
      <c r="E486" t="s">
        <v>1574</v>
      </c>
      <c r="F486" t="s">
        <v>1575</v>
      </c>
      <c r="G486" t="s">
        <v>1574</v>
      </c>
      <c r="H486" t="s">
        <v>1574</v>
      </c>
      <c r="I486" t="s">
        <v>1576</v>
      </c>
      <c r="J486" t="s">
        <v>1573</v>
      </c>
      <c r="K486" t="s">
        <v>1577</v>
      </c>
      <c r="L486" t="s">
        <v>1574</v>
      </c>
      <c r="M486" t="s">
        <v>1574</v>
      </c>
      <c r="N486" t="s">
        <v>1574</v>
      </c>
      <c r="O486" t="s">
        <v>1578</v>
      </c>
      <c r="P486" t="s">
        <v>1576</v>
      </c>
      <c r="Q486" t="s">
        <v>1579</v>
      </c>
      <c r="R486" t="s">
        <v>1580</v>
      </c>
      <c r="S486" t="s">
        <v>1580</v>
      </c>
      <c r="T486" t="s">
        <v>1576</v>
      </c>
      <c r="U486" t="s">
        <v>1576</v>
      </c>
      <c r="V486" t="str" cm="1">
        <f t="array" aca="1" ref="V486" ca="1">IFERROR(_xlfn.IFS(A484="  ..............",OFFSET(A484,2,0),A483=" X-------------X",OFFSET(A483,3,0),MATCH("  ..............",A486:A495,0)&gt;2,V485),"-")</f>
        <v>-</v>
      </c>
      <c r="W486" t="str">
        <f t="shared" ca="1" si="21"/>
        <v>-</v>
      </c>
      <c r="X486" t="str">
        <f t="shared" ca="1" si="22"/>
        <v/>
      </c>
      <c r="Y486" s="1" t="str">
        <f t="shared" ca="1" si="23"/>
        <v/>
      </c>
    </row>
    <row r="487" spans="1:25" x14ac:dyDescent="0.25">
      <c r="A487" t="s">
        <v>2059</v>
      </c>
      <c r="B487">
        <v>1.034</v>
      </c>
      <c r="C487">
        <v>32.4</v>
      </c>
      <c r="D487">
        <v>0</v>
      </c>
      <c r="E487">
        <v>0</v>
      </c>
      <c r="F487">
        <v>0</v>
      </c>
      <c r="G487">
        <v>0</v>
      </c>
      <c r="H487">
        <v>0</v>
      </c>
      <c r="I487" t="s">
        <v>1581</v>
      </c>
      <c r="J487" t="s">
        <v>1581</v>
      </c>
      <c r="K487" t="s">
        <v>1581</v>
      </c>
      <c r="L487" t="s">
        <v>1581</v>
      </c>
      <c r="M487" t="s">
        <v>1581</v>
      </c>
      <c r="N487" t="s">
        <v>1581</v>
      </c>
      <c r="O487" t="s">
        <v>1581</v>
      </c>
      <c r="P487" t="s">
        <v>1581</v>
      </c>
      <c r="Q487" t="s">
        <v>1581</v>
      </c>
      <c r="R487" t="s">
        <v>1581</v>
      </c>
      <c r="S487" t="s">
        <v>1581</v>
      </c>
      <c r="T487" t="s">
        <v>1581</v>
      </c>
      <c r="U487" t="s">
        <v>1581</v>
      </c>
      <c r="V487" t="str" cm="1">
        <f t="array" aca="1" ref="V487" ca="1">IFERROR(_xlfn.IFS(A485="  ..............",OFFSET(A485,2,0),A484=" X-------------X",OFFSET(A484,3,0),MATCH("  ..............",A487:A496,0)&gt;2,V486),"-")</f>
        <v>-</v>
      </c>
      <c r="W487" t="str">
        <f t="shared" ca="1" si="21"/>
        <v>-</v>
      </c>
      <c r="X487" t="str">
        <f t="shared" ca="1" si="22"/>
        <v xml:space="preserve">              </v>
      </c>
      <c r="Y487" s="1">
        <f t="shared" ca="1" si="23"/>
        <v>0</v>
      </c>
    </row>
    <row r="488" spans="1:25" x14ac:dyDescent="0.25">
      <c r="A488" t="s">
        <v>2060</v>
      </c>
      <c r="B488">
        <v>-44.7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1584</v>
      </c>
      <c r="J488" t="s">
        <v>1585</v>
      </c>
      <c r="K488" t="s">
        <v>1586</v>
      </c>
      <c r="L488" t="s">
        <v>1587</v>
      </c>
      <c r="M488" t="s">
        <v>1587</v>
      </c>
      <c r="N488" t="s">
        <v>1586</v>
      </c>
      <c r="O488" t="s">
        <v>1581</v>
      </c>
      <c r="P488" t="s">
        <v>1581</v>
      </c>
      <c r="Q488" t="s">
        <v>1581</v>
      </c>
      <c r="R488" t="s">
        <v>1581</v>
      </c>
      <c r="S488" t="s">
        <v>1581</v>
      </c>
      <c r="T488" t="s">
        <v>1581</v>
      </c>
      <c r="U488" t="s">
        <v>1581</v>
      </c>
      <c r="V488" t="str" cm="1">
        <f t="array" aca="1" ref="V488" ca="1">IFERROR(_xlfn.IFS(A486="  ..............",OFFSET(A486,2,0),A485=" X-------------X",OFFSET(A485,3,0),MATCH("  ..............",A488:A497,0)&gt;2,V487),"-")</f>
        <v xml:space="preserve">  NPR2P1PCH069  </v>
      </c>
      <c r="W488">
        <f t="shared" ca="1" si="21"/>
        <v>1.034</v>
      </c>
      <c r="X488" t="str">
        <f t="shared" ca="1" si="22"/>
        <v xml:space="preserve"> NPRAT2-RS069 </v>
      </c>
      <c r="Y488" s="1">
        <f t="shared" ca="1" si="23"/>
        <v>0.379</v>
      </c>
    </row>
    <row r="489" spans="1:25" x14ac:dyDescent="0.25">
      <c r="A489" t="s">
        <v>1588</v>
      </c>
      <c r="B489" t="s">
        <v>1587</v>
      </c>
      <c r="C489">
        <v>84</v>
      </c>
      <c r="D489">
        <v>84</v>
      </c>
      <c r="E489">
        <v>84</v>
      </c>
      <c r="F489" s="1">
        <v>0.373</v>
      </c>
      <c r="G489" t="s">
        <v>1587</v>
      </c>
      <c r="H489" t="s">
        <v>1587</v>
      </c>
      <c r="I489">
        <v>1226</v>
      </c>
      <c r="J489" t="s">
        <v>2058</v>
      </c>
      <c r="K489">
        <v>1</v>
      </c>
      <c r="L489">
        <v>32.4</v>
      </c>
      <c r="M489">
        <v>0</v>
      </c>
      <c r="N489">
        <v>31.3</v>
      </c>
      <c r="O489" t="s">
        <v>1594</v>
      </c>
      <c r="P489" t="s">
        <v>1584</v>
      </c>
      <c r="Q489" t="s">
        <v>1591</v>
      </c>
      <c r="R489">
        <v>0.5</v>
      </c>
      <c r="S489">
        <v>1.55</v>
      </c>
      <c r="T489" t="s">
        <v>1584</v>
      </c>
      <c r="U489" t="s">
        <v>1592</v>
      </c>
      <c r="V489" t="str" cm="1">
        <f t="array" aca="1" ref="V489" ca="1">IFERROR(_xlfn.IFS(A487="  ..............",OFFSET(A487,2,0),A486=" X-------------X",OFFSET(A486,3,0),MATCH("  ..............",A489:A498,0)&gt;2,V488),"-")</f>
        <v>-</v>
      </c>
      <c r="W489" t="str">
        <f t="shared" ca="1" si="21"/>
        <v>-</v>
      </c>
      <c r="X489" t="str">
        <f t="shared" ca="1" si="22"/>
        <v>-</v>
      </c>
      <c r="Y489" s="1" t="str">
        <f t="shared" ca="1" si="23"/>
        <v>-</v>
      </c>
    </row>
    <row r="490" spans="1:25" x14ac:dyDescent="0.25">
      <c r="A490" t="s">
        <v>1572</v>
      </c>
      <c r="B490" t="s">
        <v>1574</v>
      </c>
      <c r="C490" t="s">
        <v>1574</v>
      </c>
      <c r="D490" t="s">
        <v>1574</v>
      </c>
      <c r="E490" t="s">
        <v>1574</v>
      </c>
      <c r="F490" t="s">
        <v>1575</v>
      </c>
      <c r="G490" t="s">
        <v>1574</v>
      </c>
      <c r="H490" t="s">
        <v>1574</v>
      </c>
      <c r="I490" t="s">
        <v>1576</v>
      </c>
      <c r="J490" t="s">
        <v>1573</v>
      </c>
      <c r="K490" t="s">
        <v>1577</v>
      </c>
      <c r="L490" t="s">
        <v>1574</v>
      </c>
      <c r="M490" t="s">
        <v>1574</v>
      </c>
      <c r="N490" t="s">
        <v>1574</v>
      </c>
      <c r="O490" t="s">
        <v>1578</v>
      </c>
      <c r="P490" t="s">
        <v>1576</v>
      </c>
      <c r="Q490" t="s">
        <v>1579</v>
      </c>
      <c r="R490" t="s">
        <v>1580</v>
      </c>
      <c r="S490" t="s">
        <v>1580</v>
      </c>
      <c r="T490" t="s">
        <v>1576</v>
      </c>
      <c r="U490" t="s">
        <v>1576</v>
      </c>
      <c r="V490" t="str" cm="1">
        <f t="array" aca="1" ref="V490" ca="1">IFERROR(_xlfn.IFS(A488="  ..............",OFFSET(A488,2,0),A487=" X-------------X",OFFSET(A487,3,0),MATCH("  ..............",A490:A499,0)&gt;2,V489),"-")</f>
        <v>-</v>
      </c>
      <c r="W490" t="str">
        <f t="shared" ca="1" si="21"/>
        <v>-</v>
      </c>
      <c r="X490" t="str">
        <f t="shared" ca="1" si="22"/>
        <v/>
      </c>
      <c r="Y490" s="1" t="str">
        <f t="shared" ca="1" si="23"/>
        <v/>
      </c>
    </row>
    <row r="491" spans="1:25" x14ac:dyDescent="0.25">
      <c r="A491" t="s">
        <v>2061</v>
      </c>
      <c r="B491">
        <v>1.028</v>
      </c>
      <c r="C491">
        <v>2.7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1581</v>
      </c>
      <c r="J491" t="s">
        <v>1581</v>
      </c>
      <c r="K491" t="s">
        <v>1581</v>
      </c>
      <c r="L491" t="s">
        <v>1581</v>
      </c>
      <c r="M491" t="s">
        <v>1581</v>
      </c>
      <c r="N491" t="s">
        <v>1581</v>
      </c>
      <c r="O491" t="s">
        <v>1581</v>
      </c>
      <c r="P491" t="s">
        <v>1581</v>
      </c>
      <c r="Q491" t="s">
        <v>1581</v>
      </c>
      <c r="R491" t="s">
        <v>1581</v>
      </c>
      <c r="S491" t="s">
        <v>1581</v>
      </c>
      <c r="T491" t="s">
        <v>1581</v>
      </c>
      <c r="U491" t="s">
        <v>1581</v>
      </c>
      <c r="V491" t="str" cm="1">
        <f t="array" aca="1" ref="V491" ca="1">IFERROR(_xlfn.IFS(A489="  ..............",OFFSET(A489,2,0),A488=" X-------------X",OFFSET(A488,3,0),MATCH("  ..............",A491:A500,0)&gt;2,V490),"-")</f>
        <v>-</v>
      </c>
      <c r="W491" t="str">
        <f t="shared" ca="1" si="21"/>
        <v>-</v>
      </c>
      <c r="X491" t="str">
        <f t="shared" ca="1" si="22"/>
        <v xml:space="preserve">              </v>
      </c>
      <c r="Y491" s="1">
        <f t="shared" ca="1" si="23"/>
        <v>0</v>
      </c>
    </row>
    <row r="492" spans="1:25" x14ac:dyDescent="0.25">
      <c r="A492" t="s">
        <v>2062</v>
      </c>
      <c r="B492">
        <v>-47.2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 t="s">
        <v>1584</v>
      </c>
      <c r="J492" t="s">
        <v>1585</v>
      </c>
      <c r="K492" t="s">
        <v>1586</v>
      </c>
      <c r="L492" t="s">
        <v>1587</v>
      </c>
      <c r="M492" t="s">
        <v>1587</v>
      </c>
      <c r="N492" t="s">
        <v>1586</v>
      </c>
      <c r="O492" t="s">
        <v>1581</v>
      </c>
      <c r="P492" t="s">
        <v>1581</v>
      </c>
      <c r="Q492" t="s">
        <v>1581</v>
      </c>
      <c r="R492" t="s">
        <v>1581</v>
      </c>
      <c r="S492" t="s">
        <v>1581</v>
      </c>
      <c r="T492" t="s">
        <v>1581</v>
      </c>
      <c r="U492" t="s">
        <v>1581</v>
      </c>
      <c r="V492" t="str" cm="1">
        <f t="array" aca="1" ref="V492" ca="1">IFERROR(_xlfn.IFS(A490="  ..............",OFFSET(A490,2,0),A489=" X-------------X",OFFSET(A489,3,0),MATCH("  ..............",A492:A501,0)&gt;2,V491),"-")</f>
        <v xml:space="preserve">  CGONZAPCH069  </v>
      </c>
      <c r="W492">
        <f t="shared" ca="1" si="21"/>
        <v>1.028</v>
      </c>
      <c r="X492" t="str">
        <f t="shared" ca="1" si="22"/>
        <v xml:space="preserve"> GUARIT-RS069 </v>
      </c>
      <c r="Y492" s="1">
        <f t="shared" ca="1" si="23"/>
        <v>0.114</v>
      </c>
    </row>
    <row r="493" spans="1:25" x14ac:dyDescent="0.25">
      <c r="A493" t="s">
        <v>1588</v>
      </c>
      <c r="B493" t="s">
        <v>1587</v>
      </c>
      <c r="C493">
        <v>23</v>
      </c>
      <c r="D493">
        <v>23</v>
      </c>
      <c r="E493">
        <v>23</v>
      </c>
      <c r="F493" s="1">
        <v>0.114</v>
      </c>
      <c r="G493" t="s">
        <v>1587</v>
      </c>
      <c r="H493" t="s">
        <v>1587</v>
      </c>
      <c r="I493">
        <v>1214</v>
      </c>
      <c r="J493" t="s">
        <v>2063</v>
      </c>
      <c r="K493">
        <v>1</v>
      </c>
      <c r="L493">
        <v>2.7</v>
      </c>
      <c r="M493">
        <v>0</v>
      </c>
      <c r="N493">
        <v>2.6</v>
      </c>
      <c r="O493" t="s">
        <v>1594</v>
      </c>
      <c r="P493" t="s">
        <v>1584</v>
      </c>
      <c r="Q493" t="s">
        <v>1591</v>
      </c>
      <c r="R493">
        <v>0</v>
      </c>
      <c r="S493">
        <v>-0.14000000000000001</v>
      </c>
      <c r="T493" t="s">
        <v>1584</v>
      </c>
      <c r="U493" t="s">
        <v>1592</v>
      </c>
      <c r="V493" t="str" cm="1">
        <f t="array" aca="1" ref="V493" ca="1">IFERROR(_xlfn.IFS(A491="  ..............",OFFSET(A491,2,0),A490=" X-------------X",OFFSET(A490,3,0),MATCH("  ..............",A493:A502,0)&gt;2,V492),"-")</f>
        <v>-</v>
      </c>
      <c r="W493" t="str">
        <f t="shared" ca="1" si="21"/>
        <v>-</v>
      </c>
      <c r="X493" t="str">
        <f t="shared" ca="1" si="22"/>
        <v>-</v>
      </c>
      <c r="Y493" s="1" t="str">
        <f t="shared" ca="1" si="23"/>
        <v>-</v>
      </c>
    </row>
    <row r="494" spans="1:25" x14ac:dyDescent="0.25">
      <c r="A494" t="s">
        <v>1572</v>
      </c>
      <c r="B494" t="s">
        <v>1574</v>
      </c>
      <c r="C494" t="s">
        <v>1574</v>
      </c>
      <c r="D494" t="s">
        <v>1574</v>
      </c>
      <c r="E494" t="s">
        <v>1574</v>
      </c>
      <c r="F494" t="s">
        <v>1575</v>
      </c>
      <c r="G494" t="s">
        <v>1574</v>
      </c>
      <c r="H494" t="s">
        <v>1574</v>
      </c>
      <c r="I494" t="s">
        <v>1576</v>
      </c>
      <c r="J494" t="s">
        <v>1573</v>
      </c>
      <c r="K494" t="s">
        <v>1577</v>
      </c>
      <c r="L494" t="s">
        <v>1574</v>
      </c>
      <c r="M494" t="s">
        <v>1574</v>
      </c>
      <c r="N494" t="s">
        <v>1574</v>
      </c>
      <c r="O494" t="s">
        <v>1578</v>
      </c>
      <c r="P494" t="s">
        <v>1576</v>
      </c>
      <c r="Q494" t="s">
        <v>1579</v>
      </c>
      <c r="R494" t="s">
        <v>1580</v>
      </c>
      <c r="S494" t="s">
        <v>1580</v>
      </c>
      <c r="T494" t="s">
        <v>1576</v>
      </c>
      <c r="U494" t="s">
        <v>1576</v>
      </c>
      <c r="V494" t="str" cm="1">
        <f t="array" aca="1" ref="V494" ca="1">IFERROR(_xlfn.IFS(A492="  ..............",OFFSET(A492,2,0),A491=" X-------------X",OFFSET(A491,3,0),MATCH("  ..............",A494:A503,0)&gt;2,V493),"-")</f>
        <v>-</v>
      </c>
      <c r="W494" t="str">
        <f t="shared" ca="1" si="21"/>
        <v>-</v>
      </c>
      <c r="X494" t="str">
        <f t="shared" ca="1" si="22"/>
        <v/>
      </c>
      <c r="Y494" s="1" t="str">
        <f t="shared" ca="1" si="23"/>
        <v/>
      </c>
    </row>
    <row r="495" spans="1:25" x14ac:dyDescent="0.25">
      <c r="A495" t="s">
        <v>2064</v>
      </c>
      <c r="B495">
        <v>1.0129999999999999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1581</v>
      </c>
      <c r="J495" t="s">
        <v>1581</v>
      </c>
      <c r="K495" t="s">
        <v>1581</v>
      </c>
      <c r="L495" t="s">
        <v>1581</v>
      </c>
      <c r="M495" t="s">
        <v>1581</v>
      </c>
      <c r="N495" t="s">
        <v>1581</v>
      </c>
      <c r="O495" t="s">
        <v>1581</v>
      </c>
      <c r="P495" t="s">
        <v>1581</v>
      </c>
      <c r="Q495" t="s">
        <v>1581</v>
      </c>
      <c r="R495" t="s">
        <v>1581</v>
      </c>
      <c r="S495" t="s">
        <v>1581</v>
      </c>
      <c r="T495" t="s">
        <v>1581</v>
      </c>
      <c r="U495" t="s">
        <v>1581</v>
      </c>
      <c r="V495" t="str" cm="1">
        <f t="array" aca="1" ref="V495" ca="1">IFERROR(_xlfn.IFS(A493="  ..............",OFFSET(A493,2,0),A492=" X-------------X",OFFSET(A492,3,0),MATCH("  ..............",A495:A504,0)&gt;2,V494),"-")</f>
        <v>-</v>
      </c>
      <c r="W495" t="str">
        <f t="shared" ca="1" si="21"/>
        <v>-</v>
      </c>
      <c r="X495" t="str">
        <f t="shared" ca="1" si="22"/>
        <v xml:space="preserve">              </v>
      </c>
      <c r="Y495" s="1">
        <f t="shared" ca="1" si="23"/>
        <v>0</v>
      </c>
    </row>
    <row r="496" spans="1:25" x14ac:dyDescent="0.25">
      <c r="A496" t="s">
        <v>2065</v>
      </c>
      <c r="B496">
        <v>-47.6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1584</v>
      </c>
      <c r="J496" t="s">
        <v>1585</v>
      </c>
      <c r="K496" t="s">
        <v>1586</v>
      </c>
      <c r="L496" t="s">
        <v>1587</v>
      </c>
      <c r="M496" t="s">
        <v>1587</v>
      </c>
      <c r="N496" t="s">
        <v>1586</v>
      </c>
      <c r="O496" t="s">
        <v>1581</v>
      </c>
      <c r="P496" t="s">
        <v>1581</v>
      </c>
      <c r="Q496" t="s">
        <v>1581</v>
      </c>
      <c r="R496" t="s">
        <v>1581</v>
      </c>
      <c r="S496" t="s">
        <v>1581</v>
      </c>
      <c r="T496" t="s">
        <v>1581</v>
      </c>
      <c r="U496" t="s">
        <v>1581</v>
      </c>
      <c r="V496" t="str" cm="1">
        <f t="array" aca="1" ref="V496" ca="1">IFERROR(_xlfn.IFS(A494="  ..............",OFFSET(A494,2,0),A493=" X-------------X",OFFSET(A493,3,0),MATCH("  ..............",A496:A505,0)&gt;2,V495),"-")</f>
        <v xml:space="preserve">  CIDR13-RS069  </v>
      </c>
      <c r="W496">
        <f t="shared" ca="1" si="21"/>
        <v>1.0129999999999999</v>
      </c>
      <c r="X496" t="str">
        <f t="shared" ca="1" si="22"/>
        <v xml:space="preserve"> OSORI2-RS069 </v>
      </c>
      <c r="Y496" s="1" t="str">
        <f t="shared" ca="1" si="23"/>
        <v xml:space="preserve">             </v>
      </c>
    </row>
    <row r="497" spans="1:25" x14ac:dyDescent="0.25">
      <c r="A497" t="s">
        <v>1588</v>
      </c>
      <c r="B497" t="s">
        <v>1587</v>
      </c>
      <c r="C497">
        <v>84</v>
      </c>
      <c r="D497">
        <v>94</v>
      </c>
      <c r="E497">
        <v>94</v>
      </c>
      <c r="F497" s="1">
        <v>0.249</v>
      </c>
      <c r="G497" t="s">
        <v>1587</v>
      </c>
      <c r="H497" t="s">
        <v>1587</v>
      </c>
      <c r="I497">
        <v>1232</v>
      </c>
      <c r="J497" t="s">
        <v>1866</v>
      </c>
      <c r="K497">
        <v>1</v>
      </c>
      <c r="L497">
        <v>21.2</v>
      </c>
      <c r="M497">
        <v>-0.6</v>
      </c>
      <c r="N497">
        <v>20.9</v>
      </c>
      <c r="O497" t="s">
        <v>1594</v>
      </c>
      <c r="P497" t="s">
        <v>1584</v>
      </c>
      <c r="Q497" t="s">
        <v>1591</v>
      </c>
      <c r="R497">
        <v>0.19</v>
      </c>
      <c r="S497">
        <v>0.53</v>
      </c>
      <c r="T497" t="s">
        <v>1584</v>
      </c>
      <c r="U497" t="s">
        <v>1592</v>
      </c>
      <c r="V497" t="str" cm="1">
        <f t="array" aca="1" ref="V497" ca="1">IFERROR(_xlfn.IFS(A495="  ..............",OFFSET(A495,2,0),A494=" X-------------X",OFFSET(A494,3,0),MATCH("  ..............",A497:A506,0)&gt;2,V496),"-")</f>
        <v xml:space="preserve">  CIDR13-RS069  </v>
      </c>
      <c r="W497">
        <f t="shared" ca="1" si="21"/>
        <v>1.0129999999999999</v>
      </c>
      <c r="X497" t="str">
        <f t="shared" ca="1" si="22"/>
        <v xml:space="preserve"> CIDREI-RS034 </v>
      </c>
      <c r="Y497" s="1">
        <f t="shared" ca="1" si="23"/>
        <v>0.255</v>
      </c>
    </row>
    <row r="498" spans="1:25" x14ac:dyDescent="0.25">
      <c r="A498" t="s">
        <v>1588</v>
      </c>
      <c r="B498" t="s">
        <v>1587</v>
      </c>
      <c r="C498">
        <v>82</v>
      </c>
      <c r="D498">
        <v>82</v>
      </c>
      <c r="E498">
        <v>82</v>
      </c>
      <c r="F498" s="1">
        <v>0.255</v>
      </c>
      <c r="G498" t="s">
        <v>1587</v>
      </c>
      <c r="H498" t="s">
        <v>1587</v>
      </c>
      <c r="I498">
        <v>10123</v>
      </c>
      <c r="J498" t="s">
        <v>2066</v>
      </c>
      <c r="K498">
        <v>1</v>
      </c>
      <c r="L498">
        <v>-21.2</v>
      </c>
      <c r="M498">
        <v>0.6</v>
      </c>
      <c r="N498">
        <v>20.9</v>
      </c>
      <c r="O498" t="s">
        <v>2067</v>
      </c>
      <c r="P498" t="s">
        <v>1584</v>
      </c>
      <c r="Q498" t="s">
        <v>1591</v>
      </c>
      <c r="R498">
        <v>0</v>
      </c>
      <c r="S498">
        <v>0.71</v>
      </c>
      <c r="T498" t="s">
        <v>1584</v>
      </c>
      <c r="U498" t="s">
        <v>1592</v>
      </c>
      <c r="V498" t="str" cm="1">
        <f t="array" aca="1" ref="V498" ca="1">IFERROR(_xlfn.IFS(A496="  ..............",OFFSET(A496,2,0),A495=" X-------------X",OFFSET(A495,3,0),MATCH("  ..............",A498:A507,0)&gt;2,V497),"-")</f>
        <v>-</v>
      </c>
      <c r="W498" t="str">
        <f t="shared" ca="1" si="21"/>
        <v>-</v>
      </c>
      <c r="X498" t="str">
        <f t="shared" ca="1" si="22"/>
        <v>-</v>
      </c>
      <c r="Y498" s="1" t="str">
        <f t="shared" ca="1" si="23"/>
        <v>-</v>
      </c>
    </row>
    <row r="499" spans="1:25" x14ac:dyDescent="0.25">
      <c r="A499" t="s">
        <v>1572</v>
      </c>
      <c r="B499" t="s">
        <v>1574</v>
      </c>
      <c r="C499" t="s">
        <v>1574</v>
      </c>
      <c r="D499" t="s">
        <v>1574</v>
      </c>
      <c r="E499" t="s">
        <v>1574</v>
      </c>
      <c r="F499" t="s">
        <v>1575</v>
      </c>
      <c r="G499" t="s">
        <v>1574</v>
      </c>
      <c r="H499" t="s">
        <v>1574</v>
      </c>
      <c r="I499" t="s">
        <v>1576</v>
      </c>
      <c r="J499" t="s">
        <v>1573</v>
      </c>
      <c r="K499" t="s">
        <v>1577</v>
      </c>
      <c r="L499" t="s">
        <v>1574</v>
      </c>
      <c r="M499" t="s">
        <v>1574</v>
      </c>
      <c r="N499" t="s">
        <v>1574</v>
      </c>
      <c r="O499" t="s">
        <v>1578</v>
      </c>
      <c r="P499" t="s">
        <v>1576</v>
      </c>
      <c r="Q499" t="s">
        <v>1579</v>
      </c>
      <c r="R499" t="s">
        <v>1580</v>
      </c>
      <c r="S499" t="s">
        <v>1580</v>
      </c>
      <c r="T499" t="s">
        <v>1576</v>
      </c>
      <c r="U499" t="s">
        <v>1576</v>
      </c>
      <c r="V499" t="str" cm="1">
        <f t="array" aca="1" ref="V499" ca="1">IFERROR(_xlfn.IFS(A497="  ..............",OFFSET(A497,2,0),A496=" X-------------X",OFFSET(A496,3,0),MATCH("  ..............",A499:A508,0)&gt;2,V498),"-")</f>
        <v>-</v>
      </c>
      <c r="W499" t="str">
        <f t="shared" ca="1" si="21"/>
        <v>-</v>
      </c>
      <c r="X499" t="str">
        <f t="shared" ca="1" si="22"/>
        <v/>
      </c>
      <c r="Y499" s="1" t="str">
        <f t="shared" ca="1" si="23"/>
        <v/>
      </c>
    </row>
    <row r="500" spans="1:25" x14ac:dyDescent="0.25">
      <c r="A500" t="s">
        <v>2068</v>
      </c>
      <c r="B500">
        <v>1.036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1581</v>
      </c>
      <c r="J500" t="s">
        <v>1581</v>
      </c>
      <c r="K500" t="s">
        <v>1581</v>
      </c>
      <c r="L500" t="s">
        <v>1581</v>
      </c>
      <c r="M500" t="s">
        <v>1581</v>
      </c>
      <c r="N500" t="s">
        <v>1581</v>
      </c>
      <c r="O500" t="s">
        <v>1581</v>
      </c>
      <c r="P500" t="s">
        <v>1581</v>
      </c>
      <c r="Q500" t="s">
        <v>1581</v>
      </c>
      <c r="R500" t="s">
        <v>1581</v>
      </c>
      <c r="S500" t="s">
        <v>1581</v>
      </c>
      <c r="T500" t="s">
        <v>1581</v>
      </c>
      <c r="U500" t="s">
        <v>1581</v>
      </c>
      <c r="V500" t="str" cm="1">
        <f t="array" aca="1" ref="V500" ca="1">IFERROR(_xlfn.IFS(A498="  ..............",OFFSET(A498,2,0),A497=" X-------------X",OFFSET(A497,3,0),MATCH("  ..............",A500:A509,0)&gt;2,V499),"-")</f>
        <v>-</v>
      </c>
      <c r="W500" t="str">
        <f t="shared" ca="1" si="21"/>
        <v>-</v>
      </c>
      <c r="X500" t="str">
        <f t="shared" ca="1" si="22"/>
        <v xml:space="preserve">              </v>
      </c>
      <c r="Y500" s="1">
        <f t="shared" ca="1" si="23"/>
        <v>0</v>
      </c>
    </row>
    <row r="501" spans="1:25" x14ac:dyDescent="0.25">
      <c r="A501" t="s">
        <v>2069</v>
      </c>
      <c r="B501">
        <v>-47.8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 t="s">
        <v>1584</v>
      </c>
      <c r="J501" t="s">
        <v>1585</v>
      </c>
      <c r="K501" t="s">
        <v>1586</v>
      </c>
      <c r="L501" t="s">
        <v>1587</v>
      </c>
      <c r="M501" t="s">
        <v>1587</v>
      </c>
      <c r="N501" t="s">
        <v>1586</v>
      </c>
      <c r="O501" t="s">
        <v>1581</v>
      </c>
      <c r="P501" t="s">
        <v>1581</v>
      </c>
      <c r="Q501" t="s">
        <v>1581</v>
      </c>
      <c r="R501" t="s">
        <v>1581</v>
      </c>
      <c r="S501" t="s">
        <v>1581</v>
      </c>
      <c r="T501" t="s">
        <v>1581</v>
      </c>
      <c r="U501" t="s">
        <v>1581</v>
      </c>
      <c r="V501" t="str" cm="1">
        <f t="array" aca="1" ref="V501" ca="1">IFERROR(_xlfn.IFS(A499="  ..............",OFFSET(A499,2,0),A498=" X-------------X",OFFSET(A498,3,0),MATCH("  ..............",A501:A510,0)&gt;2,V500),"-")</f>
        <v xml:space="preserve">  IJUI2--RS069  </v>
      </c>
      <c r="W501">
        <f t="shared" ca="1" si="21"/>
        <v>1.036</v>
      </c>
      <c r="X501" t="str">
        <f t="shared" ca="1" si="22"/>
        <v xml:space="preserve"> CERIL3-RS069 </v>
      </c>
      <c r="Y501" s="1">
        <f t="shared" ca="1" si="23"/>
        <v>0</v>
      </c>
    </row>
    <row r="502" spans="1:25" x14ac:dyDescent="0.25">
      <c r="A502" t="s">
        <v>1588</v>
      </c>
      <c r="B502" t="s">
        <v>1587</v>
      </c>
      <c r="C502">
        <v>9999</v>
      </c>
      <c r="D502">
        <v>9999</v>
      </c>
      <c r="E502">
        <v>9999</v>
      </c>
      <c r="F502" s="1">
        <v>0</v>
      </c>
      <c r="G502" t="s">
        <v>1587</v>
      </c>
      <c r="H502" t="s">
        <v>1587</v>
      </c>
      <c r="I502">
        <v>9195</v>
      </c>
      <c r="J502" t="s">
        <v>2070</v>
      </c>
      <c r="K502">
        <v>1</v>
      </c>
      <c r="L502">
        <v>3.4</v>
      </c>
      <c r="M502">
        <v>2.2999999999999998</v>
      </c>
      <c r="N502">
        <v>4</v>
      </c>
      <c r="O502" t="s">
        <v>1594</v>
      </c>
      <c r="P502" t="s">
        <v>1584</v>
      </c>
      <c r="Q502" t="s">
        <v>1591</v>
      </c>
      <c r="R502">
        <v>0</v>
      </c>
      <c r="S502">
        <v>0</v>
      </c>
      <c r="T502" t="s">
        <v>1584</v>
      </c>
      <c r="U502" t="s">
        <v>1592</v>
      </c>
      <c r="V502" t="str" cm="1">
        <f t="array" aca="1" ref="V502" ca="1">IFERROR(_xlfn.IFS(A500="  ..............",OFFSET(A500,2,0),A499=" X-------------X",OFFSET(A499,3,0),MATCH("  ..............",A502:A511,0)&gt;2,V501),"-")</f>
        <v xml:space="preserve">  IJUI2--RS069  </v>
      </c>
      <c r="W502">
        <f t="shared" ca="1" si="21"/>
        <v>1.036</v>
      </c>
      <c r="X502" t="str">
        <f t="shared" ca="1" si="22"/>
        <v xml:space="preserve"> DEMEI2-RS069 </v>
      </c>
      <c r="Y502" s="1">
        <f t="shared" ca="1" si="23"/>
        <v>6.6000000000000003E-2</v>
      </c>
    </row>
    <row r="503" spans="1:25" x14ac:dyDescent="0.25">
      <c r="A503" t="s">
        <v>1588</v>
      </c>
      <c r="B503" t="s">
        <v>1587</v>
      </c>
      <c r="C503">
        <v>40</v>
      </c>
      <c r="D503">
        <v>65</v>
      </c>
      <c r="E503">
        <v>65</v>
      </c>
      <c r="F503" s="1">
        <v>6.6000000000000003E-2</v>
      </c>
      <c r="G503" t="s">
        <v>1587</v>
      </c>
      <c r="H503" t="s">
        <v>1587</v>
      </c>
      <c r="I503">
        <v>9558</v>
      </c>
      <c r="J503" t="s">
        <v>2071</v>
      </c>
      <c r="K503">
        <v>1</v>
      </c>
      <c r="L503">
        <v>2.7</v>
      </c>
      <c r="M503">
        <v>0.5</v>
      </c>
      <c r="N503">
        <v>2.6</v>
      </c>
      <c r="O503" t="s">
        <v>1594</v>
      </c>
      <c r="P503" t="s">
        <v>1584</v>
      </c>
      <c r="Q503" t="s">
        <v>1591</v>
      </c>
      <c r="R503">
        <v>0</v>
      </c>
      <c r="S503">
        <v>-0.01</v>
      </c>
      <c r="T503" t="s">
        <v>1584</v>
      </c>
      <c r="U503" t="s">
        <v>1592</v>
      </c>
      <c r="V503" t="str" cm="1">
        <f t="array" aca="1" ref="V503" ca="1">IFERROR(_xlfn.IFS(A501="  ..............",OFFSET(A501,2,0),A500=" X-------------X",OFFSET(A500,3,0),MATCH("  ..............",A503:A512,0)&gt;2,V502),"-")</f>
        <v xml:space="preserve">  IJUI2--RS069  </v>
      </c>
      <c r="W503">
        <f t="shared" ca="1" si="21"/>
        <v>1.036</v>
      </c>
      <c r="X503" t="str">
        <f t="shared" ca="1" si="22"/>
        <v xml:space="preserve"> CERILU-RS069 </v>
      </c>
      <c r="Y503" s="1">
        <f t="shared" ca="1" si="23"/>
        <v>0.10100000000000001</v>
      </c>
    </row>
    <row r="504" spans="1:25" x14ac:dyDescent="0.25">
      <c r="A504" t="s">
        <v>1588</v>
      </c>
      <c r="B504" t="s">
        <v>1587</v>
      </c>
      <c r="C504">
        <v>39</v>
      </c>
      <c r="D504">
        <v>49</v>
      </c>
      <c r="E504">
        <v>49</v>
      </c>
      <c r="F504" s="1">
        <v>0.10100000000000001</v>
      </c>
      <c r="G504" t="s">
        <v>1587</v>
      </c>
      <c r="H504" t="s">
        <v>1587</v>
      </c>
      <c r="I504">
        <v>9562</v>
      </c>
      <c r="J504" t="s">
        <v>2072</v>
      </c>
      <c r="K504">
        <v>1</v>
      </c>
      <c r="L504">
        <v>3.4</v>
      </c>
      <c r="M504">
        <v>2.2000000000000002</v>
      </c>
      <c r="N504">
        <v>3.9</v>
      </c>
      <c r="O504" t="s">
        <v>1594</v>
      </c>
      <c r="P504" t="s">
        <v>1584</v>
      </c>
      <c r="Q504" t="s">
        <v>1591</v>
      </c>
      <c r="R504">
        <v>0.01</v>
      </c>
      <c r="S504">
        <v>-0.17</v>
      </c>
      <c r="T504" t="s">
        <v>1584</v>
      </c>
      <c r="U504" t="s">
        <v>1592</v>
      </c>
      <c r="V504" t="str" cm="1">
        <f t="array" aca="1" ref="V504" ca="1">IFERROR(_xlfn.IFS(A502="  ..............",OFFSET(A502,2,0),A501=" X-------------X",OFFSET(A501,3,0),MATCH("  ..............",A504:A513,0)&gt;2,V503),"-")</f>
        <v xml:space="preserve">  IJUI2--RS069  </v>
      </c>
      <c r="W504">
        <f t="shared" ca="1" si="21"/>
        <v>1.036</v>
      </c>
      <c r="X504" t="str">
        <f t="shared" ca="1" si="22"/>
        <v xml:space="preserve"> PANAM2-RS069 </v>
      </c>
      <c r="Y504" s="1">
        <f t="shared" ca="1" si="23"/>
        <v>0.36399999999999999</v>
      </c>
    </row>
    <row r="505" spans="1:25" x14ac:dyDescent="0.25">
      <c r="A505" t="s">
        <v>1588</v>
      </c>
      <c r="B505" t="s">
        <v>1587</v>
      </c>
      <c r="C505">
        <v>40</v>
      </c>
      <c r="D505">
        <v>65</v>
      </c>
      <c r="E505">
        <v>65</v>
      </c>
      <c r="F505" s="1">
        <v>0.36399999999999999</v>
      </c>
      <c r="G505" t="s">
        <v>1587</v>
      </c>
      <c r="H505" t="s">
        <v>1587</v>
      </c>
      <c r="I505">
        <v>9651</v>
      </c>
      <c r="J505" t="s">
        <v>2073</v>
      </c>
      <c r="K505">
        <v>1</v>
      </c>
      <c r="L505">
        <v>14.9</v>
      </c>
      <c r="M505">
        <v>1.9</v>
      </c>
      <c r="N505">
        <v>14.5</v>
      </c>
      <c r="O505" t="s">
        <v>1594</v>
      </c>
      <c r="P505" t="s">
        <v>1584</v>
      </c>
      <c r="Q505" t="s">
        <v>1591</v>
      </c>
      <c r="R505">
        <v>0.34</v>
      </c>
      <c r="S505">
        <v>0.05</v>
      </c>
      <c r="T505" t="s">
        <v>1584</v>
      </c>
      <c r="U505" t="s">
        <v>1592</v>
      </c>
      <c r="V505" t="str" cm="1">
        <f t="array" aca="1" ref="V505" ca="1">IFERROR(_xlfn.IFS(A503="  ..............",OFFSET(A503,2,0),A502=" X-------------X",OFFSET(A502,3,0),MATCH("  ..............",A505:A514,0)&gt;2,V504),"-")</f>
        <v xml:space="preserve">  IJUI2--RS069  </v>
      </c>
      <c r="W505">
        <f t="shared" ca="1" si="21"/>
        <v>1.036</v>
      </c>
      <c r="X505" t="str">
        <f t="shared" ca="1" si="22"/>
        <v xml:space="preserve"> IJU1-B-RS069 </v>
      </c>
      <c r="Y505" s="1">
        <f t="shared" ca="1" si="23"/>
        <v>0</v>
      </c>
    </row>
    <row r="506" spans="1:25" x14ac:dyDescent="0.25">
      <c r="A506" t="s">
        <v>1588</v>
      </c>
      <c r="B506" t="s">
        <v>1587</v>
      </c>
      <c r="C506">
        <v>39</v>
      </c>
      <c r="D506">
        <v>49</v>
      </c>
      <c r="E506">
        <v>49</v>
      </c>
      <c r="F506" t="s">
        <v>2074</v>
      </c>
      <c r="G506" t="s">
        <v>1587</v>
      </c>
      <c r="H506" t="s">
        <v>1587</v>
      </c>
      <c r="I506">
        <v>9911</v>
      </c>
      <c r="J506" t="s">
        <v>2020</v>
      </c>
      <c r="K506">
        <v>1</v>
      </c>
      <c r="L506">
        <v>43</v>
      </c>
      <c r="M506">
        <v>7.5</v>
      </c>
      <c r="N506">
        <v>42.1</v>
      </c>
      <c r="O506" t="s">
        <v>1594</v>
      </c>
      <c r="P506" t="s">
        <v>1584</v>
      </c>
      <c r="Q506" t="s">
        <v>1591</v>
      </c>
      <c r="R506">
        <v>1.1599999999999999</v>
      </c>
      <c r="S506">
        <v>1.97</v>
      </c>
      <c r="T506" t="s">
        <v>1584</v>
      </c>
      <c r="U506" t="s">
        <v>1592</v>
      </c>
      <c r="V506" t="str" cm="1">
        <f t="array" aca="1" ref="V506" ca="1">IFERROR(_xlfn.IFS(A504="  ..............",OFFSET(A504,2,0),A503=" X-------------X",OFFSET(A503,3,0),MATCH("  ..............",A506:A515,0)&gt;2,V505),"-")</f>
        <v xml:space="preserve">  IJUI2--RS069  </v>
      </c>
      <c r="W506">
        <f t="shared" ca="1" si="21"/>
        <v>1.036</v>
      </c>
      <c r="X506" t="str">
        <f t="shared" ca="1" si="22"/>
        <v xml:space="preserve"> IJU--1-RS000 </v>
      </c>
      <c r="Y506" s="1">
        <f t="shared" ca="1" si="23"/>
        <v>0.27300000000000002</v>
      </c>
    </row>
    <row r="507" spans="1:25" x14ac:dyDescent="0.25">
      <c r="A507" t="s">
        <v>1588</v>
      </c>
      <c r="B507" t="s">
        <v>1587</v>
      </c>
      <c r="C507">
        <v>83</v>
      </c>
      <c r="D507">
        <v>100</v>
      </c>
      <c r="E507">
        <v>100</v>
      </c>
      <c r="F507" s="1">
        <v>0.27300000000000002</v>
      </c>
      <c r="G507" t="s">
        <v>1587</v>
      </c>
      <c r="H507" t="s">
        <v>1587</v>
      </c>
      <c r="I507">
        <v>41280</v>
      </c>
      <c r="J507" t="s">
        <v>2075</v>
      </c>
      <c r="K507">
        <v>1</v>
      </c>
      <c r="L507">
        <v>-22.9</v>
      </c>
      <c r="M507">
        <v>-4.9000000000000004</v>
      </c>
      <c r="N507">
        <v>22.6</v>
      </c>
      <c r="O507" t="s">
        <v>1608</v>
      </c>
      <c r="P507" t="s">
        <v>1584</v>
      </c>
      <c r="Q507">
        <v>2</v>
      </c>
      <c r="R507">
        <v>0.01</v>
      </c>
      <c r="S507">
        <v>-0.05</v>
      </c>
      <c r="T507" t="s">
        <v>1584</v>
      </c>
      <c r="U507" t="s">
        <v>1592</v>
      </c>
      <c r="V507" t="str" cm="1">
        <f t="array" aca="1" ref="V507" ca="1">IFERROR(_xlfn.IFS(A505="  ..............",OFFSET(A505,2,0),A504=" X-------------X",OFFSET(A504,3,0),MATCH("  ..............",A507:A516,0)&gt;2,V506),"-")</f>
        <v xml:space="preserve">  IJUI2--RS069  </v>
      </c>
      <c r="W507">
        <f t="shared" ca="1" si="21"/>
        <v>1.036</v>
      </c>
      <c r="X507" t="str">
        <f t="shared" ca="1" si="22"/>
        <v xml:space="preserve"> IJU--2-RS000 </v>
      </c>
      <c r="Y507" s="1">
        <f t="shared" ca="1" si="23"/>
        <v>0.27300000000000002</v>
      </c>
    </row>
    <row r="508" spans="1:25" x14ac:dyDescent="0.25">
      <c r="A508" t="s">
        <v>1588</v>
      </c>
      <c r="B508" t="s">
        <v>1587</v>
      </c>
      <c r="C508">
        <v>83</v>
      </c>
      <c r="D508">
        <v>100</v>
      </c>
      <c r="E508">
        <v>100</v>
      </c>
      <c r="F508" s="1">
        <v>0.27300000000000002</v>
      </c>
      <c r="G508" t="s">
        <v>1587</v>
      </c>
      <c r="H508" t="s">
        <v>1587</v>
      </c>
      <c r="I508">
        <v>41281</v>
      </c>
      <c r="J508" t="s">
        <v>2076</v>
      </c>
      <c r="K508">
        <v>2</v>
      </c>
      <c r="L508">
        <v>-22.9</v>
      </c>
      <c r="M508">
        <v>-4.9000000000000004</v>
      </c>
      <c r="N508">
        <v>22.6</v>
      </c>
      <c r="O508" t="s">
        <v>1608</v>
      </c>
      <c r="P508" t="s">
        <v>1584</v>
      </c>
      <c r="Q508">
        <v>2</v>
      </c>
      <c r="R508">
        <v>0.01</v>
      </c>
      <c r="S508">
        <v>-0.05</v>
      </c>
      <c r="T508" t="s">
        <v>1584</v>
      </c>
      <c r="U508" t="s">
        <v>1592</v>
      </c>
      <c r="V508" t="str" cm="1">
        <f t="array" aca="1" ref="V508" ca="1">IFERROR(_xlfn.IFS(A506="  ..............",OFFSET(A506,2,0),A505=" X-------------X",OFFSET(A505,3,0),MATCH("  ..............",A508:A517,0)&gt;2,V507),"-")</f>
        <v xml:space="preserve">  IJUI2--RS069  </v>
      </c>
      <c r="W508">
        <f t="shared" ca="1" si="21"/>
        <v>1.036</v>
      </c>
      <c r="X508" t="str">
        <f t="shared" ca="1" si="22"/>
        <v xml:space="preserve"> IJU--3-RS000 </v>
      </c>
      <c r="Y508" s="1">
        <f t="shared" ca="1" si="23"/>
        <v>0.25600000000000001</v>
      </c>
    </row>
    <row r="509" spans="1:25" x14ac:dyDescent="0.25">
      <c r="A509" t="s">
        <v>1588</v>
      </c>
      <c r="B509" t="s">
        <v>1587</v>
      </c>
      <c r="C509">
        <v>83</v>
      </c>
      <c r="D509">
        <v>100</v>
      </c>
      <c r="E509">
        <v>116</v>
      </c>
      <c r="F509" s="1">
        <v>0.25600000000000001</v>
      </c>
      <c r="G509" t="s">
        <v>1587</v>
      </c>
      <c r="H509" t="s">
        <v>1587</v>
      </c>
      <c r="I509">
        <v>43433</v>
      </c>
      <c r="J509" t="s">
        <v>2077</v>
      </c>
      <c r="K509">
        <v>3</v>
      </c>
      <c r="L509">
        <v>-21.5</v>
      </c>
      <c r="M509">
        <v>-4.5999999999999996</v>
      </c>
      <c r="N509">
        <v>21.3</v>
      </c>
      <c r="O509" t="s">
        <v>1608</v>
      </c>
      <c r="P509" t="s">
        <v>1584</v>
      </c>
      <c r="Q509">
        <v>2</v>
      </c>
      <c r="R509">
        <v>0</v>
      </c>
      <c r="S509">
        <v>-0.04</v>
      </c>
      <c r="T509" t="s">
        <v>1584</v>
      </c>
      <c r="U509" t="s">
        <v>1592</v>
      </c>
      <c r="V509" t="str" cm="1">
        <f t="array" aca="1" ref="V509" ca="1">IFERROR(_xlfn.IFS(A507="  ..............",OFFSET(A507,2,0),A506=" X-------------X",OFFSET(A506,3,0),MATCH("  ..............",A509:A518,0)&gt;2,V508),"-")</f>
        <v>-</v>
      </c>
      <c r="W509" t="str">
        <f t="shared" ca="1" si="21"/>
        <v>-</v>
      </c>
      <c r="X509" t="str">
        <f t="shared" ca="1" si="22"/>
        <v>-</v>
      </c>
      <c r="Y509" s="1" t="str">
        <f t="shared" ca="1" si="23"/>
        <v>-</v>
      </c>
    </row>
    <row r="510" spans="1:25" x14ac:dyDescent="0.25">
      <c r="A510" t="s">
        <v>1572</v>
      </c>
      <c r="B510" t="s">
        <v>1574</v>
      </c>
      <c r="C510" t="s">
        <v>1574</v>
      </c>
      <c r="D510" t="s">
        <v>1574</v>
      </c>
      <c r="E510" t="s">
        <v>1574</v>
      </c>
      <c r="F510" t="s">
        <v>1575</v>
      </c>
      <c r="G510" t="s">
        <v>1574</v>
      </c>
      <c r="H510" t="s">
        <v>1574</v>
      </c>
      <c r="I510" t="s">
        <v>1576</v>
      </c>
      <c r="J510" t="s">
        <v>1573</v>
      </c>
      <c r="K510" t="s">
        <v>1577</v>
      </c>
      <c r="L510" t="s">
        <v>1574</v>
      </c>
      <c r="M510" t="s">
        <v>1574</v>
      </c>
      <c r="N510" t="s">
        <v>1574</v>
      </c>
      <c r="O510" t="s">
        <v>1578</v>
      </c>
      <c r="P510" t="s">
        <v>1576</v>
      </c>
      <c r="Q510" t="s">
        <v>1579</v>
      </c>
      <c r="R510" t="s">
        <v>1580</v>
      </c>
      <c r="S510" t="s">
        <v>1580</v>
      </c>
      <c r="T510" t="s">
        <v>1576</v>
      </c>
      <c r="U510" t="s">
        <v>1576</v>
      </c>
      <c r="V510" t="str" cm="1">
        <f t="array" aca="1" ref="V510" ca="1">IFERROR(_xlfn.IFS(A508="  ..............",OFFSET(A508,2,0),A507=" X-------------X",OFFSET(A507,3,0),MATCH("  ..............",A510:A519,0)&gt;2,V509),"-")</f>
        <v>-</v>
      </c>
      <c r="W510" t="str">
        <f t="shared" ca="1" si="21"/>
        <v>-</v>
      </c>
      <c r="X510" t="str">
        <f t="shared" ca="1" si="22"/>
        <v xml:space="preserve"> V11.06.02    </v>
      </c>
      <c r="Y510" s="1" t="str">
        <f t="shared" ca="1" si="23"/>
        <v xml:space="preserve">A - PROGRAMA </v>
      </c>
    </row>
    <row r="511" spans="1:25" x14ac:dyDescent="0.25">
      <c r="A511" t="s">
        <v>1725</v>
      </c>
      <c r="B511" t="s">
        <v>1726</v>
      </c>
      <c r="C511" t="s">
        <v>1727</v>
      </c>
      <c r="D511" t="s">
        <v>1728</v>
      </c>
      <c r="E511" t="s">
        <v>1729</v>
      </c>
      <c r="F511" t="s">
        <v>1730</v>
      </c>
      <c r="G511" t="s">
        <v>1731</v>
      </c>
      <c r="H511" t="s">
        <v>1732</v>
      </c>
      <c r="I511" t="s">
        <v>1733</v>
      </c>
      <c r="J511" t="s">
        <v>1734</v>
      </c>
      <c r="K511" t="s">
        <v>1586</v>
      </c>
      <c r="L511" t="s">
        <v>1587</v>
      </c>
      <c r="M511" t="s">
        <v>1587</v>
      </c>
      <c r="N511" t="s">
        <v>1587</v>
      </c>
      <c r="O511" t="s">
        <v>1735</v>
      </c>
      <c r="P511">
        <v>4</v>
      </c>
      <c r="Q511" t="s">
        <v>1581</v>
      </c>
      <c r="R511" t="s">
        <v>1581</v>
      </c>
      <c r="S511" t="s">
        <v>1581</v>
      </c>
      <c r="T511" t="s">
        <v>1581</v>
      </c>
      <c r="U511" t="s">
        <v>1581</v>
      </c>
      <c r="V511" t="str" cm="1">
        <f t="array" aca="1" ref="V511" ca="1">IFERROR(_xlfn.IFS(A509="  ..............",OFFSET(A509,2,0),A508=" X-------------X",OFFSET(A508,3,0),MATCH("  ..............",A511:A520,0)&gt;2,V510),"-")</f>
        <v>-</v>
      </c>
      <c r="W511" t="str">
        <f t="shared" ca="1" si="21"/>
        <v>-</v>
      </c>
      <c r="X511" t="str">
        <f t="shared" ca="1" si="22"/>
        <v/>
      </c>
      <c r="Y511" s="1" t="str">
        <f t="shared" ca="1" si="23"/>
        <v/>
      </c>
    </row>
    <row r="512" spans="1:25" x14ac:dyDescent="0.25">
      <c r="A512" t="s">
        <v>1581</v>
      </c>
      <c r="B512" t="s">
        <v>1581</v>
      </c>
      <c r="C512" t="s">
        <v>1581</v>
      </c>
      <c r="D512" t="s">
        <v>1581</v>
      </c>
      <c r="E512" t="s">
        <v>1581</v>
      </c>
      <c r="F512" t="s">
        <v>1581</v>
      </c>
      <c r="G512" t="s">
        <v>1581</v>
      </c>
      <c r="H512" t="s">
        <v>1581</v>
      </c>
      <c r="I512" t="s">
        <v>1581</v>
      </c>
      <c r="J512" t="s">
        <v>1581</v>
      </c>
      <c r="K512" t="s">
        <v>1581</v>
      </c>
      <c r="L512" t="s">
        <v>1581</v>
      </c>
      <c r="M512" t="s">
        <v>1581</v>
      </c>
      <c r="N512" t="s">
        <v>1581</v>
      </c>
      <c r="O512" t="s">
        <v>1581</v>
      </c>
      <c r="P512" t="s">
        <v>1581</v>
      </c>
      <c r="Q512" t="s">
        <v>1581</v>
      </c>
      <c r="R512" t="s">
        <v>1581</v>
      </c>
      <c r="S512" t="s">
        <v>1581</v>
      </c>
      <c r="T512" t="s">
        <v>1581</v>
      </c>
      <c r="U512" t="s">
        <v>1581</v>
      </c>
      <c r="V512" t="str" cm="1">
        <f t="array" aca="1" ref="V512" ca="1">IFERROR(_xlfn.IFS(A510="  ..............",OFFSET(A510,2,0),A509=" X-------------X",OFFSET(A509,3,0),MATCH("  ..............",A512:A521,0)&gt;2,V511),"-")</f>
        <v/>
      </c>
      <c r="W512" t="str">
        <f t="shared" ca="1" si="21"/>
        <v>X-------X</v>
      </c>
      <c r="X512" t="str">
        <f t="shared" ca="1" si="22"/>
        <v/>
      </c>
      <c r="Y512" s="1" t="str">
        <f t="shared" ca="1" si="23"/>
        <v/>
      </c>
    </row>
    <row r="513" spans="1:25" x14ac:dyDescent="0.25">
      <c r="A513" t="s">
        <v>1736</v>
      </c>
      <c r="B513" t="s">
        <v>1737</v>
      </c>
      <c r="C513" t="s">
        <v>1738</v>
      </c>
      <c r="D513" t="s">
        <v>1739</v>
      </c>
      <c r="E513" t="s">
        <v>1740</v>
      </c>
      <c r="F513" t="s">
        <v>1741</v>
      </c>
      <c r="G513" t="s">
        <v>1742</v>
      </c>
      <c r="H513" t="s">
        <v>1743</v>
      </c>
      <c r="I513" t="s">
        <v>1744</v>
      </c>
      <c r="J513" t="s">
        <v>1581</v>
      </c>
      <c r="K513" t="s">
        <v>1581</v>
      </c>
      <c r="L513" t="s">
        <v>1581</v>
      </c>
      <c r="M513" t="s">
        <v>1581</v>
      </c>
      <c r="N513" t="s">
        <v>1581</v>
      </c>
      <c r="O513" t="s">
        <v>1581</v>
      </c>
      <c r="P513" t="s">
        <v>1581</v>
      </c>
      <c r="Q513" t="s">
        <v>1581</v>
      </c>
      <c r="R513" t="s">
        <v>1581</v>
      </c>
      <c r="S513" t="s">
        <v>1581</v>
      </c>
      <c r="T513" t="s">
        <v>1581</v>
      </c>
      <c r="U513" t="s">
        <v>1581</v>
      </c>
      <c r="V513" t="str" cm="1">
        <f t="array" aca="1" ref="V513" ca="1">IFERROR(_xlfn.IFS(A511="  ..............",OFFSET(A511,2,0),A510=" X-------------X",OFFSET(A510,3,0),MATCH("  ..............",A513:A522,0)&gt;2,V512),"-")</f>
        <v>-</v>
      </c>
      <c r="W513" t="str">
        <f t="shared" ca="1" si="21"/>
        <v>-</v>
      </c>
      <c r="X513" t="str">
        <f t="shared" ca="1" si="22"/>
        <v>-</v>
      </c>
      <c r="Y513" s="1" t="str">
        <f t="shared" ca="1" si="23"/>
        <v>-</v>
      </c>
    </row>
    <row r="514" spans="1:25" x14ac:dyDescent="0.25">
      <c r="A514" t="s">
        <v>1745</v>
      </c>
      <c r="B514" t="s">
        <v>1746</v>
      </c>
      <c r="C514" t="s">
        <v>1747</v>
      </c>
      <c r="D514" t="s">
        <v>1748</v>
      </c>
      <c r="E514" t="s">
        <v>1749</v>
      </c>
      <c r="F514" t="s">
        <v>1750</v>
      </c>
      <c r="G514" t="s">
        <v>1587</v>
      </c>
      <c r="H514" t="s">
        <v>1587</v>
      </c>
      <c r="I514" t="s">
        <v>1591</v>
      </c>
      <c r="J514" t="s">
        <v>1581</v>
      </c>
      <c r="K514" t="s">
        <v>1581</v>
      </c>
      <c r="L514" t="s">
        <v>1581</v>
      </c>
      <c r="M514" t="s">
        <v>1581</v>
      </c>
      <c r="N514" t="s">
        <v>1581</v>
      </c>
      <c r="O514" t="s">
        <v>1581</v>
      </c>
      <c r="P514" t="s">
        <v>1581</v>
      </c>
      <c r="Q514" t="s">
        <v>1581</v>
      </c>
      <c r="R514" t="s">
        <v>1581</v>
      </c>
      <c r="S514" t="s">
        <v>1581</v>
      </c>
      <c r="T514" t="s">
        <v>1581</v>
      </c>
      <c r="U514" t="s">
        <v>1581</v>
      </c>
      <c r="V514" t="str" cm="1">
        <f t="array" aca="1" ref="V514" ca="1">IFERROR(_xlfn.IFS(A512="  ..............",OFFSET(A512,2,0),A511=" X-------------X",OFFSET(A511,3,0),MATCH("  ..............",A514:A523,0)&gt;2,V513),"-")</f>
        <v>-</v>
      </c>
      <c r="W514" t="str">
        <f t="shared" ca="1" si="21"/>
        <v>-</v>
      </c>
      <c r="X514" t="str">
        <f t="shared" ca="1" si="22"/>
        <v/>
      </c>
      <c r="Y514" s="1" t="str">
        <f t="shared" ca="1" si="23"/>
        <v/>
      </c>
    </row>
    <row r="515" spans="1:25" x14ac:dyDescent="0.25">
      <c r="A515" t="s">
        <v>1581</v>
      </c>
      <c r="B515" t="s">
        <v>1581</v>
      </c>
      <c r="C515" t="s">
        <v>1581</v>
      </c>
      <c r="D515" t="s">
        <v>1581</v>
      </c>
      <c r="E515" t="s">
        <v>1581</v>
      </c>
      <c r="F515" t="s">
        <v>1581</v>
      </c>
      <c r="G515" t="s">
        <v>1581</v>
      </c>
      <c r="H515" t="s">
        <v>1581</v>
      </c>
      <c r="I515" t="s">
        <v>1581</v>
      </c>
      <c r="J515" t="s">
        <v>1581</v>
      </c>
      <c r="K515" t="s">
        <v>1581</v>
      </c>
      <c r="L515" t="s">
        <v>1581</v>
      </c>
      <c r="M515" t="s">
        <v>1581</v>
      </c>
      <c r="N515" t="s">
        <v>1581</v>
      </c>
      <c r="O515" t="s">
        <v>1581</v>
      </c>
      <c r="P515" t="s">
        <v>1581</v>
      </c>
      <c r="Q515" t="s">
        <v>1581</v>
      </c>
      <c r="R515" t="s">
        <v>1581</v>
      </c>
      <c r="S515" t="s">
        <v>1581</v>
      </c>
      <c r="T515" t="s">
        <v>1581</v>
      </c>
      <c r="U515" t="s">
        <v>1581</v>
      </c>
      <c r="V515" t="str" cm="1">
        <f t="array" aca="1" ref="V515" ca="1">IFERROR(_xlfn.IFS(A513="  ..............",OFFSET(A513,2,0),A512=" X-------------X",OFFSET(A512,3,0),MATCH("  ..............",A515:A524,0)&gt;2,V514),"-")</f>
        <v>-</v>
      </c>
      <c r="W515" t="str">
        <f t="shared" ca="1" si="21"/>
        <v>-</v>
      </c>
      <c r="X515" t="str">
        <f t="shared" ca="1" si="22"/>
        <v>-------- F L U</v>
      </c>
      <c r="Y515" s="1" t="str">
        <f t="shared" ca="1" si="23"/>
        <v xml:space="preserve"> ------------</v>
      </c>
    </row>
    <row r="516" spans="1:25" x14ac:dyDescent="0.25">
      <c r="A516" t="s">
        <v>1751</v>
      </c>
      <c r="B516" t="s">
        <v>1752</v>
      </c>
      <c r="C516" t="s">
        <v>1753</v>
      </c>
      <c r="D516" t="s">
        <v>1754</v>
      </c>
      <c r="E516" t="s">
        <v>1755</v>
      </c>
      <c r="F516" t="s">
        <v>1756</v>
      </c>
      <c r="G516" t="s">
        <v>1757</v>
      </c>
      <c r="H516" t="s">
        <v>1758</v>
      </c>
      <c r="I516" t="s">
        <v>1759</v>
      </c>
      <c r="J516" t="s">
        <v>1760</v>
      </c>
      <c r="K516" t="s">
        <v>1761</v>
      </c>
      <c r="L516" t="s">
        <v>1762</v>
      </c>
      <c r="M516" t="s">
        <v>1763</v>
      </c>
      <c r="N516" t="s">
        <v>1764</v>
      </c>
      <c r="O516" t="s">
        <v>1765</v>
      </c>
      <c r="P516" t="s">
        <v>1766</v>
      </c>
      <c r="Q516" t="s">
        <v>1767</v>
      </c>
      <c r="R516" t="s">
        <v>1571</v>
      </c>
      <c r="S516" t="s">
        <v>1571</v>
      </c>
      <c r="T516" t="s">
        <v>1759</v>
      </c>
      <c r="U516" t="s">
        <v>1768</v>
      </c>
      <c r="V516" t="str" cm="1">
        <f t="array" aca="1" ref="V516" ca="1">IFERROR(_xlfn.IFS(A514="  ..............",OFFSET(A514,2,0),A513=" X-------------X",OFFSET(A513,3,0),MATCH("  ..............",A516:A525,0)&gt;2,V515),"-")</f>
        <v>-</v>
      </c>
      <c r="W516" t="str">
        <f t="shared" ref="W516:W579" ca="1" si="24">IFERROR(OFFSET($A$1,MATCH(V516,A:A,0)-2,1),"-")</f>
        <v>-</v>
      </c>
      <c r="X516" t="str">
        <f t="shared" ref="X516:X579" ca="1" si="25">IFERROR(IF(V516=V515,OFFSET($J$1,ROW(X516),0),OFFSET($J$1,MATCH(V516,A:A,0),0)),"-")</f>
        <v xml:space="preserve">              </v>
      </c>
      <c r="Y516" s="1">
        <f t="shared" ref="Y516:Y579" ca="1" si="26">IFERROR(OFFSET($F$1,MATCH(X516,J:J,0)-1,0),"-")</f>
        <v>0</v>
      </c>
    </row>
    <row r="517" spans="1:25" x14ac:dyDescent="0.25">
      <c r="A517" t="s">
        <v>1769</v>
      </c>
      <c r="B517" t="s">
        <v>1770</v>
      </c>
      <c r="C517" t="s">
        <v>1771</v>
      </c>
      <c r="D517" t="s">
        <v>1772</v>
      </c>
      <c r="E517" t="s">
        <v>1773</v>
      </c>
      <c r="F517" t="s">
        <v>1774</v>
      </c>
      <c r="G517" t="s">
        <v>1775</v>
      </c>
      <c r="H517" t="s">
        <v>1776</v>
      </c>
      <c r="I517" t="s">
        <v>1584</v>
      </c>
      <c r="J517" t="s">
        <v>1585</v>
      </c>
      <c r="K517" t="s">
        <v>1586</v>
      </c>
      <c r="L517" t="s">
        <v>1587</v>
      </c>
      <c r="M517" t="s">
        <v>1587</v>
      </c>
      <c r="N517" t="s">
        <v>1587</v>
      </c>
      <c r="O517" t="s">
        <v>1594</v>
      </c>
      <c r="P517" t="s">
        <v>1584</v>
      </c>
      <c r="Q517" t="s">
        <v>1591</v>
      </c>
      <c r="R517" t="s">
        <v>1777</v>
      </c>
      <c r="S517" t="s">
        <v>1777</v>
      </c>
      <c r="T517" t="s">
        <v>1584</v>
      </c>
      <c r="U517" t="s">
        <v>1778</v>
      </c>
      <c r="V517" t="str" cm="1">
        <f t="array" aca="1" ref="V517" ca="1">IFERROR(_xlfn.IFS(A515="  ..............",OFFSET(A515,2,0),A514=" X-------------X",OFFSET(A514,3,0),MATCH("  ..............",A517:A526,0)&gt;2,V516),"-")</f>
        <v>-</v>
      </c>
      <c r="W517" t="str">
        <f t="shared" ca="1" si="24"/>
        <v>-</v>
      </c>
      <c r="X517" t="str">
        <f t="shared" ca="1" si="25"/>
        <v xml:space="preserve">              </v>
      </c>
      <c r="Y517" s="1">
        <f t="shared" ca="1" si="26"/>
        <v>0</v>
      </c>
    </row>
    <row r="518" spans="1:25" x14ac:dyDescent="0.25">
      <c r="A518" t="s">
        <v>1779</v>
      </c>
      <c r="B518" t="s">
        <v>1780</v>
      </c>
      <c r="C518" t="s">
        <v>1781</v>
      </c>
      <c r="D518" t="s">
        <v>1781</v>
      </c>
      <c r="E518" t="s">
        <v>1781</v>
      </c>
      <c r="F518" t="s">
        <v>1782</v>
      </c>
      <c r="G518" t="s">
        <v>1783</v>
      </c>
      <c r="H518" t="s">
        <v>1784</v>
      </c>
      <c r="I518" t="s">
        <v>1584</v>
      </c>
      <c r="J518" t="s">
        <v>1585</v>
      </c>
      <c r="K518" t="s">
        <v>1586</v>
      </c>
      <c r="L518" t="s">
        <v>1587</v>
      </c>
      <c r="M518" t="s">
        <v>1587</v>
      </c>
      <c r="N518" t="s">
        <v>1587</v>
      </c>
      <c r="O518" t="s">
        <v>1594</v>
      </c>
      <c r="P518" t="s">
        <v>1584</v>
      </c>
      <c r="Q518" t="s">
        <v>1785</v>
      </c>
      <c r="R518" t="s">
        <v>1786</v>
      </c>
      <c r="S518" t="s">
        <v>1787</v>
      </c>
      <c r="T518" t="s">
        <v>1788</v>
      </c>
      <c r="U518" t="s">
        <v>1778</v>
      </c>
      <c r="V518" t="str" cm="1">
        <f t="array" aca="1" ref="V518" ca="1">IFERROR(_xlfn.IFS(A516="  ..............",OFFSET(A516,2,0),A515=" X-------------X",OFFSET(A515,3,0),MATCH("  ..............",A518:A527,0)&gt;2,V517),"-")</f>
        <v>-</v>
      </c>
      <c r="W518" t="str">
        <f t="shared" ca="1" si="24"/>
        <v>-</v>
      </c>
      <c r="X518" t="str">
        <f t="shared" ca="1" si="25"/>
        <v xml:space="preserve">A             </v>
      </c>
      <c r="Y518" s="1" t="str">
        <f t="shared" ca="1" si="26"/>
        <v xml:space="preserve">   Mvar   EQU</v>
      </c>
    </row>
    <row r="519" spans="1:25" x14ac:dyDescent="0.25">
      <c r="A519" t="s">
        <v>1789</v>
      </c>
      <c r="B519" t="s">
        <v>1790</v>
      </c>
      <c r="C519" t="s">
        <v>1791</v>
      </c>
      <c r="D519" t="s">
        <v>1791</v>
      </c>
      <c r="E519" t="s">
        <v>1791</v>
      </c>
      <c r="F519" t="s">
        <v>1792</v>
      </c>
      <c r="G519" t="s">
        <v>1793</v>
      </c>
      <c r="H519" t="s">
        <v>1794</v>
      </c>
      <c r="I519" t="s">
        <v>1795</v>
      </c>
      <c r="J519" t="s">
        <v>1796</v>
      </c>
      <c r="K519" t="s">
        <v>1586</v>
      </c>
      <c r="L519" t="s">
        <v>1797</v>
      </c>
      <c r="M519" t="s">
        <v>1798</v>
      </c>
      <c r="N519" t="s">
        <v>1587</v>
      </c>
      <c r="O519" t="s">
        <v>1594</v>
      </c>
      <c r="P519" t="s">
        <v>1584</v>
      </c>
      <c r="Q519" t="s">
        <v>1799</v>
      </c>
      <c r="R519" t="s">
        <v>1800</v>
      </c>
      <c r="S519" t="s">
        <v>1801</v>
      </c>
      <c r="T519" t="s">
        <v>1802</v>
      </c>
      <c r="U519" t="s">
        <v>1803</v>
      </c>
      <c r="V519" t="str" cm="1">
        <f t="array" aca="1" ref="V519" ca="1">IFERROR(_xlfn.IFS(A517="  ..............",OFFSET(A517,2,0),A516=" X-------------X",OFFSET(A516,3,0),MATCH("  ..............",A519:A528,0)&gt;2,V518),"-")</f>
        <v>-</v>
      </c>
      <c r="W519" t="str">
        <f t="shared" ca="1" si="24"/>
        <v>-</v>
      </c>
      <c r="X519" t="str">
        <f t="shared" ca="1" si="25"/>
        <v xml:space="preserve">     NOME     </v>
      </c>
      <c r="Y519" s="1" t="str">
        <f t="shared" ca="1" si="26"/>
        <v xml:space="preserve">   FLUXO %   </v>
      </c>
    </row>
    <row r="520" spans="1:25" x14ac:dyDescent="0.25">
      <c r="A520" t="s">
        <v>1588</v>
      </c>
      <c r="B520" t="s">
        <v>1587</v>
      </c>
      <c r="C520" t="s">
        <v>1804</v>
      </c>
      <c r="D520" t="s">
        <v>1805</v>
      </c>
      <c r="E520" t="s">
        <v>1806</v>
      </c>
      <c r="F520" t="s">
        <v>1807</v>
      </c>
      <c r="G520" t="s">
        <v>1808</v>
      </c>
      <c r="H520" t="s">
        <v>1587</v>
      </c>
      <c r="I520" t="s">
        <v>1809</v>
      </c>
      <c r="J520" t="s">
        <v>1810</v>
      </c>
      <c r="K520" t="s">
        <v>1811</v>
      </c>
      <c r="L520" t="s">
        <v>1812</v>
      </c>
      <c r="M520" t="s">
        <v>1791</v>
      </c>
      <c r="N520" t="s">
        <v>1813</v>
      </c>
      <c r="O520" t="s">
        <v>1814</v>
      </c>
      <c r="P520" t="s">
        <v>1815</v>
      </c>
      <c r="Q520" t="s">
        <v>1816</v>
      </c>
      <c r="R520" t="s">
        <v>1817</v>
      </c>
      <c r="S520" t="s">
        <v>1818</v>
      </c>
      <c r="T520" t="s">
        <v>1819</v>
      </c>
      <c r="U520" t="s">
        <v>1820</v>
      </c>
      <c r="V520" t="str" cm="1">
        <f t="array" aca="1" ref="V520" ca="1">IFERROR(_xlfn.IFS(A518="  ..............",OFFSET(A518,2,0),A517=" X-------------X",OFFSET(A517,3,0),MATCH("  ..............",A520:A529,0)&gt;2,V519),"-")</f>
        <v>-</v>
      </c>
      <c r="W520" t="str">
        <f t="shared" ca="1" si="24"/>
        <v>-</v>
      </c>
      <c r="X520" t="str">
        <f t="shared" ca="1" si="25"/>
        <v>X------------X</v>
      </c>
      <c r="Y520" s="1" t="str">
        <f t="shared" ca="1" si="26"/>
        <v>X-----------X</v>
      </c>
    </row>
    <row r="521" spans="1:25" x14ac:dyDescent="0.25">
      <c r="A521" t="s">
        <v>1563</v>
      </c>
      <c r="B521" t="s">
        <v>1564</v>
      </c>
      <c r="C521" t="s">
        <v>1564</v>
      </c>
      <c r="D521" t="s">
        <v>1564</v>
      </c>
      <c r="E521" t="s">
        <v>1564</v>
      </c>
      <c r="F521" t="s">
        <v>1565</v>
      </c>
      <c r="G521" t="s">
        <v>1564</v>
      </c>
      <c r="H521" t="s">
        <v>1564</v>
      </c>
      <c r="I521" t="s">
        <v>1566</v>
      </c>
      <c r="J521" t="s">
        <v>1567</v>
      </c>
      <c r="K521" t="s">
        <v>1568</v>
      </c>
      <c r="L521" t="s">
        <v>1564</v>
      </c>
      <c r="M521" t="s">
        <v>1564</v>
      </c>
      <c r="N521" t="s">
        <v>1564</v>
      </c>
      <c r="O521" t="s">
        <v>1569</v>
      </c>
      <c r="P521" t="s">
        <v>1566</v>
      </c>
      <c r="Q521" t="s">
        <v>1570</v>
      </c>
      <c r="R521" t="s">
        <v>1571</v>
      </c>
      <c r="S521" t="s">
        <v>1571</v>
      </c>
      <c r="T521" t="s">
        <v>1566</v>
      </c>
      <c r="U521" t="s">
        <v>1566</v>
      </c>
      <c r="V521" t="str" cm="1">
        <f t="array" aca="1" ref="V521" ca="1">IFERROR(_xlfn.IFS(A519="  ..............",OFFSET(A519,2,0),A518=" X-------------X",OFFSET(A518,3,0),MATCH("  ..............",A521:A530,0)&gt;2,V520),"-")</f>
        <v>-</v>
      </c>
      <c r="W521" t="str">
        <f t="shared" ca="1" si="24"/>
        <v>-</v>
      </c>
      <c r="X521" t="str">
        <f t="shared" ca="1" si="25"/>
        <v/>
      </c>
      <c r="Y521" s="1" t="str">
        <f t="shared" ca="1" si="26"/>
        <v/>
      </c>
    </row>
    <row r="522" spans="1:25" x14ac:dyDescent="0.25">
      <c r="A522" t="s">
        <v>1581</v>
      </c>
      <c r="B522" t="s">
        <v>1581</v>
      </c>
      <c r="C522" t="s">
        <v>1581</v>
      </c>
      <c r="D522" t="s">
        <v>1581</v>
      </c>
      <c r="E522" t="s">
        <v>1581</v>
      </c>
      <c r="F522" t="s">
        <v>1581</v>
      </c>
      <c r="G522" t="s">
        <v>1581</v>
      </c>
      <c r="H522" t="s">
        <v>1581</v>
      </c>
      <c r="I522" t="s">
        <v>1581</v>
      </c>
      <c r="J522" t="s">
        <v>1581</v>
      </c>
      <c r="K522" t="s">
        <v>1581</v>
      </c>
      <c r="L522" t="s">
        <v>1581</v>
      </c>
      <c r="M522" t="s">
        <v>1581</v>
      </c>
      <c r="N522" t="s">
        <v>1581</v>
      </c>
      <c r="O522" t="s">
        <v>1581</v>
      </c>
      <c r="P522" t="s">
        <v>1581</v>
      </c>
      <c r="Q522" t="s">
        <v>1581</v>
      </c>
      <c r="R522" t="s">
        <v>1581</v>
      </c>
      <c r="S522" t="s">
        <v>1581</v>
      </c>
      <c r="T522" t="s">
        <v>1581</v>
      </c>
      <c r="U522" t="s">
        <v>1581</v>
      </c>
      <c r="V522" t="str" cm="1">
        <f t="array" aca="1" ref="V522" ca="1">IFERROR(_xlfn.IFS(A520="  ..............",OFFSET(A520,2,0),A519=" X-------------X",OFFSET(A519,3,0),MATCH("  ..............",A522:A531,0)&gt;2,V521),"-")</f>
        <v>-</v>
      </c>
      <c r="W522" t="str">
        <f t="shared" ca="1" si="24"/>
        <v>-</v>
      </c>
      <c r="X522" t="str">
        <f t="shared" ca="1" si="25"/>
        <v/>
      </c>
      <c r="Y522" s="1" t="str">
        <f t="shared" ca="1" si="26"/>
        <v/>
      </c>
    </row>
    <row r="523" spans="1:25" x14ac:dyDescent="0.25">
      <c r="A523" t="s">
        <v>2078</v>
      </c>
      <c r="B523">
        <v>1.0960000000000001</v>
      </c>
      <c r="C523">
        <v>2</v>
      </c>
      <c r="D523">
        <v>0</v>
      </c>
      <c r="E523">
        <v>28</v>
      </c>
      <c r="F523">
        <v>0</v>
      </c>
      <c r="G523">
        <v>4.3</v>
      </c>
      <c r="H523">
        <v>0</v>
      </c>
      <c r="I523" t="s">
        <v>1581</v>
      </c>
      <c r="J523" t="s">
        <v>1581</v>
      </c>
      <c r="K523" t="s">
        <v>1581</v>
      </c>
      <c r="L523" t="s">
        <v>1581</v>
      </c>
      <c r="M523" t="s">
        <v>1581</v>
      </c>
      <c r="N523" t="s">
        <v>1581</v>
      </c>
      <c r="O523" t="s">
        <v>1581</v>
      </c>
      <c r="P523" t="s">
        <v>1581</v>
      </c>
      <c r="Q523" t="s">
        <v>1581</v>
      </c>
      <c r="R523" t="s">
        <v>1581</v>
      </c>
      <c r="S523" t="s">
        <v>1581</v>
      </c>
      <c r="T523" t="s">
        <v>1581</v>
      </c>
      <c r="U523" t="s">
        <v>1581</v>
      </c>
      <c r="V523" t="str" cm="1">
        <f t="array" aca="1" ref="V523" ca="1">IFERROR(_xlfn.IFS(A521="  ..............",OFFSET(A521,2,0),A520=" X-------------X",OFFSET(A520,3,0),MATCH("  ..............",A523:A532,0)&gt;2,V522),"-")</f>
        <v>-</v>
      </c>
      <c r="W523" t="str">
        <f t="shared" ca="1" si="24"/>
        <v>-</v>
      </c>
      <c r="X523" t="str">
        <f t="shared" ca="1" si="25"/>
        <v xml:space="preserve">              </v>
      </c>
      <c r="Y523" s="1">
        <f t="shared" ca="1" si="26"/>
        <v>0</v>
      </c>
    </row>
    <row r="524" spans="1:25" x14ac:dyDescent="0.25">
      <c r="A524" t="s">
        <v>2079</v>
      </c>
      <c r="B524">
        <v>-55.9</v>
      </c>
      <c r="C524">
        <v>0</v>
      </c>
      <c r="D524">
        <v>0</v>
      </c>
      <c r="E524">
        <v>6.3</v>
      </c>
      <c r="F524">
        <v>0</v>
      </c>
      <c r="G524">
        <v>0</v>
      </c>
      <c r="H524">
        <v>0</v>
      </c>
      <c r="I524" t="s">
        <v>1584</v>
      </c>
      <c r="J524" t="s">
        <v>1585</v>
      </c>
      <c r="K524" t="s">
        <v>1586</v>
      </c>
      <c r="L524" t="s">
        <v>1587</v>
      </c>
      <c r="M524" t="s">
        <v>1587</v>
      </c>
      <c r="N524" t="s">
        <v>1586</v>
      </c>
      <c r="O524" t="s">
        <v>1581</v>
      </c>
      <c r="P524" t="s">
        <v>1581</v>
      </c>
      <c r="Q524" t="s">
        <v>1581</v>
      </c>
      <c r="R524" t="s">
        <v>1581</v>
      </c>
      <c r="S524" t="s">
        <v>1581</v>
      </c>
      <c r="T524" t="s">
        <v>1581</v>
      </c>
      <c r="U524" t="s">
        <v>1581</v>
      </c>
      <c r="V524" t="str" cm="1">
        <f t="array" aca="1" ref="V524" ca="1">IFERROR(_xlfn.IFS(A522="  ..............",OFFSET(A522,2,0),A521=" X-------------X",OFFSET(A521,3,0),MATCH("  ..............",A524:A533,0)&gt;2,V523),"-")</f>
        <v xml:space="preserve">  CANO1A-RS023  </v>
      </c>
      <c r="W524">
        <f t="shared" ca="1" si="24"/>
        <v>1.0960000000000001</v>
      </c>
      <c r="X524" t="str">
        <f t="shared" ca="1" si="25"/>
        <v xml:space="preserve"> CNA1-1-RS000 </v>
      </c>
      <c r="Y524" s="1">
        <f t="shared" ca="1" si="26"/>
        <v>0.317</v>
      </c>
    </row>
    <row r="525" spans="1:25" x14ac:dyDescent="0.25">
      <c r="A525" t="s">
        <v>1588</v>
      </c>
      <c r="B525" t="s">
        <v>1587</v>
      </c>
      <c r="C525">
        <v>75</v>
      </c>
      <c r="D525">
        <v>90</v>
      </c>
      <c r="E525">
        <v>90</v>
      </c>
      <c r="F525" s="1">
        <v>0.317</v>
      </c>
      <c r="G525" t="s">
        <v>1587</v>
      </c>
      <c r="H525" t="s">
        <v>1587</v>
      </c>
      <c r="I525">
        <v>41253</v>
      </c>
      <c r="J525" t="s">
        <v>2080</v>
      </c>
      <c r="K525">
        <v>1</v>
      </c>
      <c r="L525">
        <v>-26</v>
      </c>
      <c r="M525">
        <v>-2</v>
      </c>
      <c r="N525">
        <v>23.8</v>
      </c>
      <c r="O525" t="s">
        <v>1608</v>
      </c>
      <c r="P525" t="s">
        <v>1584</v>
      </c>
      <c r="Q525">
        <v>2</v>
      </c>
      <c r="R525">
        <v>0</v>
      </c>
      <c r="S525">
        <v>-0.04</v>
      </c>
      <c r="T525" t="s">
        <v>1584</v>
      </c>
      <c r="U525" t="s">
        <v>1592</v>
      </c>
      <c r="V525" t="str" cm="1">
        <f t="array" aca="1" ref="V525" ca="1">IFERROR(_xlfn.IFS(A523="  ..............",OFFSET(A523,2,0),A522=" X-------------X",OFFSET(A522,3,0),MATCH("  ..............",A525:A534,0)&gt;2,V524),"-")</f>
        <v>-</v>
      </c>
      <c r="W525" t="str">
        <f t="shared" ca="1" si="24"/>
        <v>-</v>
      </c>
      <c r="X525" t="str">
        <f t="shared" ca="1" si="25"/>
        <v>-</v>
      </c>
      <c r="Y525" s="1" t="str">
        <f t="shared" ca="1" si="26"/>
        <v>-</v>
      </c>
    </row>
    <row r="526" spans="1:25" x14ac:dyDescent="0.25">
      <c r="A526" t="s">
        <v>1572</v>
      </c>
      <c r="B526" t="s">
        <v>1574</v>
      </c>
      <c r="C526" t="s">
        <v>1574</v>
      </c>
      <c r="D526" t="s">
        <v>1574</v>
      </c>
      <c r="E526" t="s">
        <v>1574</v>
      </c>
      <c r="F526" t="s">
        <v>1575</v>
      </c>
      <c r="G526" t="s">
        <v>1574</v>
      </c>
      <c r="H526" t="s">
        <v>1574</v>
      </c>
      <c r="I526" t="s">
        <v>1576</v>
      </c>
      <c r="J526" t="s">
        <v>1573</v>
      </c>
      <c r="K526" t="s">
        <v>1577</v>
      </c>
      <c r="L526" t="s">
        <v>1574</v>
      </c>
      <c r="M526" t="s">
        <v>1574</v>
      </c>
      <c r="N526" t="s">
        <v>1574</v>
      </c>
      <c r="O526" t="s">
        <v>1578</v>
      </c>
      <c r="P526" t="s">
        <v>1576</v>
      </c>
      <c r="Q526" t="s">
        <v>1579</v>
      </c>
      <c r="R526" t="s">
        <v>1580</v>
      </c>
      <c r="S526" t="s">
        <v>1580</v>
      </c>
      <c r="T526" t="s">
        <v>1576</v>
      </c>
      <c r="U526" t="s">
        <v>1576</v>
      </c>
      <c r="V526" t="str" cm="1">
        <f t="array" aca="1" ref="V526" ca="1">IFERROR(_xlfn.IFS(A524="  ..............",OFFSET(A524,2,0),A523=" X-------------X",OFFSET(A523,3,0),MATCH("  ..............",A526:A535,0)&gt;2,V525),"-")</f>
        <v>-</v>
      </c>
      <c r="W526" t="str">
        <f t="shared" ca="1" si="24"/>
        <v>-</v>
      </c>
      <c r="X526" t="str">
        <f t="shared" ca="1" si="25"/>
        <v/>
      </c>
      <c r="Y526" s="1" t="str">
        <f t="shared" ca="1" si="26"/>
        <v/>
      </c>
    </row>
    <row r="527" spans="1:25" x14ac:dyDescent="0.25">
      <c r="A527" t="s">
        <v>2081</v>
      </c>
      <c r="B527">
        <v>1.0469999999999999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1581</v>
      </c>
      <c r="J527" t="s">
        <v>1581</v>
      </c>
      <c r="K527" t="s">
        <v>1581</v>
      </c>
      <c r="L527" t="s">
        <v>1581</v>
      </c>
      <c r="M527" t="s">
        <v>1581</v>
      </c>
      <c r="N527" t="s">
        <v>1581</v>
      </c>
      <c r="O527" t="s">
        <v>1581</v>
      </c>
      <c r="P527" t="s">
        <v>1581</v>
      </c>
      <c r="Q527" t="s">
        <v>1581</v>
      </c>
      <c r="R527" t="s">
        <v>1581</v>
      </c>
      <c r="S527" t="s">
        <v>1581</v>
      </c>
      <c r="T527" t="s">
        <v>1581</v>
      </c>
      <c r="U527" t="s">
        <v>1581</v>
      </c>
      <c r="V527" t="str" cm="1">
        <f t="array" aca="1" ref="V527" ca="1">IFERROR(_xlfn.IFS(A525="  ..............",OFFSET(A525,2,0),A524=" X-------------X",OFFSET(A524,3,0),MATCH("  ..............",A527:A536,0)&gt;2,V526),"-")</f>
        <v>-</v>
      </c>
      <c r="W527" t="str">
        <f t="shared" ca="1" si="24"/>
        <v>-</v>
      </c>
      <c r="X527" t="str">
        <f t="shared" ca="1" si="25"/>
        <v xml:space="preserve">              </v>
      </c>
      <c r="Y527" s="1">
        <f t="shared" ca="1" si="26"/>
        <v>0</v>
      </c>
    </row>
    <row r="528" spans="1:25" x14ac:dyDescent="0.25">
      <c r="A528" t="s">
        <v>2082</v>
      </c>
      <c r="B528">
        <v>-44.2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1584</v>
      </c>
      <c r="J528" t="s">
        <v>1585</v>
      </c>
      <c r="K528" t="s">
        <v>1586</v>
      </c>
      <c r="L528" t="s">
        <v>1587</v>
      </c>
      <c r="M528" t="s">
        <v>1587</v>
      </c>
      <c r="N528" t="s">
        <v>1586</v>
      </c>
      <c r="O528" t="s">
        <v>1581</v>
      </c>
      <c r="P528" t="s">
        <v>1581</v>
      </c>
      <c r="Q528" t="s">
        <v>1581</v>
      </c>
      <c r="R528" t="s">
        <v>1581</v>
      </c>
      <c r="S528" t="s">
        <v>1581</v>
      </c>
      <c r="T528" t="s">
        <v>1581</v>
      </c>
      <c r="U528" t="s">
        <v>1581</v>
      </c>
      <c r="V528" t="str" cm="1">
        <f t="array" aca="1" ref="V528" ca="1">IFERROR(_xlfn.IFS(A526="  ..............",OFFSET(A526,2,0),A525=" X-------------X",OFFSET(A525,3,0),MATCH("  ..............",A528:A537,0)&gt;2,V527),"-")</f>
        <v xml:space="preserve">  LVERM2-RS138  </v>
      </c>
      <c r="W528">
        <f t="shared" ca="1" si="24"/>
        <v>1.0469999999999999</v>
      </c>
      <c r="X528" t="str">
        <f t="shared" ca="1" si="25"/>
        <v xml:space="preserve"> LVERM1-RS138 </v>
      </c>
      <c r="Y528" s="1" t="str">
        <f t="shared" ca="1" si="26"/>
        <v xml:space="preserve">             </v>
      </c>
    </row>
    <row r="529" spans="1:25" x14ac:dyDescent="0.25">
      <c r="A529" t="s">
        <v>1588</v>
      </c>
      <c r="B529" t="s">
        <v>1587</v>
      </c>
      <c r="C529">
        <v>143</v>
      </c>
      <c r="D529">
        <v>143</v>
      </c>
      <c r="E529">
        <v>143</v>
      </c>
      <c r="F529" s="1">
        <v>0.17100000000000001</v>
      </c>
      <c r="G529" t="s">
        <v>1587</v>
      </c>
      <c r="H529" t="s">
        <v>1587</v>
      </c>
      <c r="I529">
        <v>1221</v>
      </c>
      <c r="J529" t="s">
        <v>1948</v>
      </c>
      <c r="K529">
        <v>1</v>
      </c>
      <c r="L529">
        <v>24.6</v>
      </c>
      <c r="M529">
        <v>7</v>
      </c>
      <c r="N529">
        <v>24.5</v>
      </c>
      <c r="O529" t="s">
        <v>1594</v>
      </c>
      <c r="P529" t="s">
        <v>1584</v>
      </c>
      <c r="Q529" t="s">
        <v>1591</v>
      </c>
      <c r="R529">
        <v>0.03</v>
      </c>
      <c r="S529">
        <v>-0.34</v>
      </c>
      <c r="T529" t="s">
        <v>1584</v>
      </c>
      <c r="U529" t="s">
        <v>1592</v>
      </c>
      <c r="V529" t="str" cm="1">
        <f t="array" aca="1" ref="V529" ca="1">IFERROR(_xlfn.IFS(A527="  ..............",OFFSET(A527,2,0),A526=" X-------------X",OFFSET(A526,3,0),MATCH("  ..............",A529:A538,0)&gt;2,V528),"-")</f>
        <v xml:space="preserve">  LVERM2-RS138  </v>
      </c>
      <c r="W529">
        <f t="shared" ca="1" si="24"/>
        <v>1.0469999999999999</v>
      </c>
      <c r="X529" t="str">
        <f t="shared" ca="1" si="25"/>
        <v xml:space="preserve"> VACARI-RS138 </v>
      </c>
      <c r="Y529" s="1" t="str">
        <f t="shared" ca="1" si="26"/>
        <v xml:space="preserve">             </v>
      </c>
    </row>
    <row r="530" spans="1:25" x14ac:dyDescent="0.25">
      <c r="A530" t="s">
        <v>1637</v>
      </c>
      <c r="B530" t="s">
        <v>1638</v>
      </c>
      <c r="C530">
        <v>82</v>
      </c>
      <c r="D530">
        <v>118</v>
      </c>
      <c r="E530">
        <v>118</v>
      </c>
      <c r="F530" t="s">
        <v>1639</v>
      </c>
      <c r="G530" t="s">
        <v>1587</v>
      </c>
      <c r="H530" t="s">
        <v>1587</v>
      </c>
      <c r="I530">
        <v>1328</v>
      </c>
      <c r="J530" t="s">
        <v>2083</v>
      </c>
      <c r="K530">
        <v>1</v>
      </c>
      <c r="L530">
        <v>0</v>
      </c>
      <c r="M530">
        <v>0</v>
      </c>
      <c r="N530">
        <v>0</v>
      </c>
      <c r="O530" t="s">
        <v>1594</v>
      </c>
      <c r="P530" t="s">
        <v>1584</v>
      </c>
      <c r="Q530" t="s">
        <v>1591</v>
      </c>
      <c r="R530">
        <v>0</v>
      </c>
      <c r="S530">
        <v>0</v>
      </c>
      <c r="T530" t="s">
        <v>1584</v>
      </c>
      <c r="U530" t="s">
        <v>1592</v>
      </c>
      <c r="V530" t="str" cm="1">
        <f t="array" aca="1" ref="V530" ca="1">IFERROR(_xlfn.IFS(A528="  ..............",OFFSET(A528,2,0),A527=" X-------------X",OFFSET(A527,3,0),MATCH("  ..............",A530:A539,0)&gt;2,V529),"-")</f>
        <v xml:space="preserve">  LVERM2-RS138  </v>
      </c>
      <c r="W530">
        <f t="shared" ca="1" si="24"/>
        <v>1.0469999999999999</v>
      </c>
      <c r="X530" t="str">
        <f t="shared" ca="1" si="25"/>
        <v xml:space="preserve"> SANANDTAP138 </v>
      </c>
      <c r="Y530" s="1">
        <f t="shared" ca="1" si="26"/>
        <v>0.42599999999999999</v>
      </c>
    </row>
    <row r="531" spans="1:25" x14ac:dyDescent="0.25">
      <c r="A531" t="s">
        <v>1588</v>
      </c>
      <c r="B531" t="s">
        <v>1587</v>
      </c>
      <c r="C531">
        <v>167</v>
      </c>
      <c r="D531">
        <v>203</v>
      </c>
      <c r="E531">
        <v>203</v>
      </c>
      <c r="F531" s="1">
        <v>0.42599999999999999</v>
      </c>
      <c r="G531" t="s">
        <v>1587</v>
      </c>
      <c r="H531" t="s">
        <v>1587</v>
      </c>
      <c r="I531">
        <v>9679</v>
      </c>
      <c r="J531" t="s">
        <v>2084</v>
      </c>
      <c r="K531">
        <v>1</v>
      </c>
      <c r="L531">
        <v>69.8</v>
      </c>
      <c r="M531">
        <v>25.9</v>
      </c>
      <c r="N531">
        <v>71.2</v>
      </c>
      <c r="O531" t="s">
        <v>1594</v>
      </c>
      <c r="P531" t="s">
        <v>1584</v>
      </c>
      <c r="Q531" t="s">
        <v>1591</v>
      </c>
      <c r="R531">
        <v>0.86</v>
      </c>
      <c r="S531">
        <v>1.61</v>
      </c>
      <c r="T531" t="s">
        <v>1584</v>
      </c>
      <c r="U531" t="s">
        <v>1592</v>
      </c>
      <c r="V531" t="str" cm="1">
        <f t="array" aca="1" ref="V531" ca="1">IFERROR(_xlfn.IFS(A529="  ..............",OFFSET(A529,2,0),A528=" X-------------X",OFFSET(A528,3,0),MATCH("  ..............",A531:A540,0)&gt;2,V530),"-")</f>
        <v xml:space="preserve">  LVERM2-RS138  </v>
      </c>
      <c r="W531">
        <f t="shared" ca="1" si="24"/>
        <v>1.0469999999999999</v>
      </c>
      <c r="X531" t="str">
        <f t="shared" ca="1" si="25"/>
        <v xml:space="preserve"> LVE-1--RS000 </v>
      </c>
      <c r="Y531" s="1">
        <f t="shared" ca="1" si="26"/>
        <v>0.315</v>
      </c>
    </row>
    <row r="532" spans="1:25" x14ac:dyDescent="0.25">
      <c r="A532" t="s">
        <v>1588</v>
      </c>
      <c r="B532" t="s">
        <v>1587</v>
      </c>
      <c r="C532">
        <v>150</v>
      </c>
      <c r="D532">
        <v>150</v>
      </c>
      <c r="E532">
        <v>150</v>
      </c>
      <c r="F532" s="1">
        <v>0.315</v>
      </c>
      <c r="G532" t="s">
        <v>1587</v>
      </c>
      <c r="H532" t="s">
        <v>1587</v>
      </c>
      <c r="I532">
        <v>41289</v>
      </c>
      <c r="J532" t="s">
        <v>2085</v>
      </c>
      <c r="K532">
        <v>1</v>
      </c>
      <c r="L532">
        <v>-46.5</v>
      </c>
      <c r="M532">
        <v>-16.8</v>
      </c>
      <c r="N532">
        <v>47.2</v>
      </c>
      <c r="O532" t="s">
        <v>1608</v>
      </c>
      <c r="P532" t="s">
        <v>1584</v>
      </c>
      <c r="Q532">
        <v>2</v>
      </c>
      <c r="R532">
        <v>0</v>
      </c>
      <c r="S532">
        <v>-0.13</v>
      </c>
      <c r="T532" t="s">
        <v>1584</v>
      </c>
      <c r="U532" t="s">
        <v>1592</v>
      </c>
      <c r="V532" t="str" cm="1">
        <f t="array" aca="1" ref="V532" ca="1">IFERROR(_xlfn.IFS(A530="  ..............",OFFSET(A530,2,0),A529=" X-------------X",OFFSET(A529,3,0),MATCH("  ..............",A532:A541,0)&gt;2,V531),"-")</f>
        <v xml:space="preserve">  LVERM2-RS138  </v>
      </c>
      <c r="W532">
        <f t="shared" ca="1" si="24"/>
        <v>1.0469999999999999</v>
      </c>
      <c r="X532" t="str">
        <f t="shared" ca="1" si="25"/>
        <v xml:space="preserve"> LVE-2--RS000 </v>
      </c>
      <c r="Y532" s="1">
        <f t="shared" ca="1" si="26"/>
        <v>0.32200000000000001</v>
      </c>
    </row>
    <row r="533" spans="1:25" x14ac:dyDescent="0.25">
      <c r="A533" t="s">
        <v>1588</v>
      </c>
      <c r="B533" t="s">
        <v>1587</v>
      </c>
      <c r="C533">
        <v>150</v>
      </c>
      <c r="D533">
        <v>180</v>
      </c>
      <c r="E533">
        <v>180</v>
      </c>
      <c r="F533" s="1">
        <v>0.32200000000000001</v>
      </c>
      <c r="G533" t="s">
        <v>1587</v>
      </c>
      <c r="H533" t="s">
        <v>1587</v>
      </c>
      <c r="I533">
        <v>41290</v>
      </c>
      <c r="J533" t="s">
        <v>2086</v>
      </c>
      <c r="K533">
        <v>2</v>
      </c>
      <c r="L533">
        <v>-48</v>
      </c>
      <c r="M533">
        <v>-16.2</v>
      </c>
      <c r="N533">
        <v>48.4</v>
      </c>
      <c r="O533" t="s">
        <v>1608</v>
      </c>
      <c r="P533" t="s">
        <v>1584</v>
      </c>
      <c r="Q533">
        <v>2</v>
      </c>
      <c r="R533">
        <v>0.03</v>
      </c>
      <c r="S533">
        <v>-0.13</v>
      </c>
      <c r="T533" t="s">
        <v>1584</v>
      </c>
      <c r="U533" t="s">
        <v>1592</v>
      </c>
      <c r="V533" t="str" cm="1">
        <f t="array" aca="1" ref="V533" ca="1">IFERROR(_xlfn.IFS(A531="  ..............",OFFSET(A531,2,0),A530=" X-------------X",OFFSET(A530,3,0),MATCH("  ..............",A533:A542,0)&gt;2,V532),"-")</f>
        <v>-</v>
      </c>
      <c r="W533" t="str">
        <f t="shared" ca="1" si="24"/>
        <v>-</v>
      </c>
      <c r="X533" t="str">
        <f t="shared" ca="1" si="25"/>
        <v>-</v>
      </c>
      <c r="Y533" s="1" t="str">
        <f t="shared" ca="1" si="26"/>
        <v>-</v>
      </c>
    </row>
    <row r="534" spans="1:25" x14ac:dyDescent="0.25">
      <c r="A534" t="s">
        <v>1572</v>
      </c>
      <c r="B534" t="s">
        <v>1574</v>
      </c>
      <c r="C534" t="s">
        <v>1574</v>
      </c>
      <c r="D534" t="s">
        <v>1574</v>
      </c>
      <c r="E534" t="s">
        <v>1574</v>
      </c>
      <c r="F534" t="s">
        <v>1575</v>
      </c>
      <c r="G534" t="s">
        <v>1574</v>
      </c>
      <c r="H534" t="s">
        <v>1574</v>
      </c>
      <c r="I534" t="s">
        <v>1576</v>
      </c>
      <c r="J534" t="s">
        <v>1573</v>
      </c>
      <c r="K534" t="s">
        <v>1577</v>
      </c>
      <c r="L534" t="s">
        <v>1574</v>
      </c>
      <c r="M534" t="s">
        <v>1574</v>
      </c>
      <c r="N534" t="s">
        <v>1574</v>
      </c>
      <c r="O534" t="s">
        <v>1578</v>
      </c>
      <c r="P534" t="s">
        <v>1576</v>
      </c>
      <c r="Q534" t="s">
        <v>1579</v>
      </c>
      <c r="R534" t="s">
        <v>1580</v>
      </c>
      <c r="S534" t="s">
        <v>1580</v>
      </c>
      <c r="T534" t="s">
        <v>1576</v>
      </c>
      <c r="U534" t="s">
        <v>1576</v>
      </c>
      <c r="V534" t="str" cm="1">
        <f t="array" aca="1" ref="V534" ca="1">IFERROR(_xlfn.IFS(A532="  ..............",OFFSET(A532,2,0),A531=" X-------------X",OFFSET(A531,3,0),MATCH("  ..............",A534:A543,0)&gt;2,V533),"-")</f>
        <v>-</v>
      </c>
      <c r="W534" t="str">
        <f t="shared" ca="1" si="24"/>
        <v>-</v>
      </c>
      <c r="X534" t="str">
        <f t="shared" ca="1" si="25"/>
        <v/>
      </c>
      <c r="Y534" s="1" t="str">
        <f t="shared" ca="1" si="26"/>
        <v/>
      </c>
    </row>
    <row r="535" spans="1:25" x14ac:dyDescent="0.25">
      <c r="A535" t="s">
        <v>2087</v>
      </c>
      <c r="B535">
        <v>1.0049999999999999</v>
      </c>
      <c r="C535">
        <v>27.8</v>
      </c>
      <c r="D535">
        <v>0</v>
      </c>
      <c r="E535">
        <v>39.200000000000003</v>
      </c>
      <c r="F535">
        <v>0</v>
      </c>
      <c r="G535">
        <v>3.6</v>
      </c>
      <c r="H535">
        <v>0</v>
      </c>
      <c r="I535" t="s">
        <v>1581</v>
      </c>
      <c r="J535" t="s">
        <v>1581</v>
      </c>
      <c r="K535" t="s">
        <v>1581</v>
      </c>
      <c r="L535" t="s">
        <v>1581</v>
      </c>
      <c r="M535" t="s">
        <v>1581</v>
      </c>
      <c r="N535" t="s">
        <v>1581</v>
      </c>
      <c r="O535" t="s">
        <v>1581</v>
      </c>
      <c r="P535" t="s">
        <v>1581</v>
      </c>
      <c r="Q535" t="s">
        <v>1581</v>
      </c>
      <c r="R535" t="s">
        <v>1581</v>
      </c>
      <c r="S535" t="s">
        <v>1581</v>
      </c>
      <c r="T535" t="s">
        <v>1581</v>
      </c>
      <c r="U535" t="s">
        <v>1581</v>
      </c>
      <c r="V535" t="str" cm="1">
        <f t="array" aca="1" ref="V535" ca="1">IFERROR(_xlfn.IFS(A533="  ..............",OFFSET(A533,2,0),A532=" X-------------X",OFFSET(A532,3,0),MATCH("  ..............",A535:A544,0)&gt;2,V534),"-")</f>
        <v>-</v>
      </c>
      <c r="W535" t="str">
        <f t="shared" ca="1" si="24"/>
        <v>-</v>
      </c>
      <c r="X535" t="str">
        <f t="shared" ca="1" si="25"/>
        <v xml:space="preserve">              </v>
      </c>
      <c r="Y535" s="1">
        <f t="shared" ca="1" si="26"/>
        <v>0</v>
      </c>
    </row>
    <row r="536" spans="1:25" x14ac:dyDescent="0.25">
      <c r="A536" t="s">
        <v>2088</v>
      </c>
      <c r="B536">
        <v>-47.9</v>
      </c>
      <c r="C536">
        <v>0</v>
      </c>
      <c r="D536">
        <v>0</v>
      </c>
      <c r="E536">
        <v>12.4</v>
      </c>
      <c r="F536">
        <v>0</v>
      </c>
      <c r="G536">
        <v>0</v>
      </c>
      <c r="H536">
        <v>0</v>
      </c>
      <c r="I536" t="s">
        <v>1584</v>
      </c>
      <c r="J536" t="s">
        <v>1585</v>
      </c>
      <c r="K536" t="s">
        <v>1586</v>
      </c>
      <c r="L536" t="s">
        <v>1587</v>
      </c>
      <c r="M536" t="s">
        <v>1587</v>
      </c>
      <c r="N536" t="s">
        <v>1586</v>
      </c>
      <c r="O536" t="s">
        <v>1581</v>
      </c>
      <c r="P536" t="s">
        <v>1581</v>
      </c>
      <c r="Q536" t="s">
        <v>1581</v>
      </c>
      <c r="R536" t="s">
        <v>1581</v>
      </c>
      <c r="S536" t="s">
        <v>1581</v>
      </c>
      <c r="T536" t="s">
        <v>1581</v>
      </c>
      <c r="U536" t="s">
        <v>1581</v>
      </c>
      <c r="V536" t="str" cm="1">
        <f t="array" aca="1" ref="V536" ca="1">IFERROR(_xlfn.IFS(A534="  ..............",OFFSET(A534,2,0),A533=" X-------------X",OFFSET(A533,3,0),MATCH("  ..............",A536:A545,0)&gt;2,V535),"-")</f>
        <v xml:space="preserve">  VACARI-RS138  </v>
      </c>
      <c r="W536">
        <f t="shared" ca="1" si="24"/>
        <v>1.0049999999999999</v>
      </c>
      <c r="X536" t="str">
        <f t="shared" ca="1" si="25"/>
        <v xml:space="preserve"> LVERM2-RS138 </v>
      </c>
      <c r="Y536" s="1">
        <f t="shared" ca="1" si="26"/>
        <v>0.17199999999999999</v>
      </c>
    </row>
    <row r="537" spans="1:25" x14ac:dyDescent="0.25">
      <c r="A537" t="s">
        <v>1637</v>
      </c>
      <c r="B537" t="s">
        <v>1638</v>
      </c>
      <c r="C537">
        <v>82</v>
      </c>
      <c r="D537">
        <v>118</v>
      </c>
      <c r="E537">
        <v>118</v>
      </c>
      <c r="F537" t="s">
        <v>1639</v>
      </c>
      <c r="G537" t="s">
        <v>1587</v>
      </c>
      <c r="H537" t="s">
        <v>1587</v>
      </c>
      <c r="I537">
        <v>1326</v>
      </c>
      <c r="J537" t="s">
        <v>1724</v>
      </c>
      <c r="K537">
        <v>1</v>
      </c>
      <c r="L537">
        <v>0</v>
      </c>
      <c r="M537">
        <v>0</v>
      </c>
      <c r="N537">
        <v>0</v>
      </c>
      <c r="O537" t="s">
        <v>1594</v>
      </c>
      <c r="P537" t="s">
        <v>1584</v>
      </c>
      <c r="Q537" t="s">
        <v>1591</v>
      </c>
      <c r="R537">
        <v>0</v>
      </c>
      <c r="S537">
        <v>0</v>
      </c>
      <c r="T537" t="s">
        <v>1584</v>
      </c>
      <c r="U537" t="s">
        <v>1592</v>
      </c>
      <c r="V537" t="str" cm="1">
        <f t="array" aca="1" ref="V537" ca="1">IFERROR(_xlfn.IFS(A535="  ..............",OFFSET(A535,2,0),A534=" X-------------X",OFFSET(A534,3,0),MATCH("  ..............",A537:A546,0)&gt;2,V536),"-")</f>
        <v xml:space="preserve">  VACARI-RS138  </v>
      </c>
      <c r="W537">
        <f t="shared" ca="1" si="24"/>
        <v>1.0049999999999999</v>
      </c>
      <c r="X537" t="str">
        <f t="shared" ca="1" si="25"/>
        <v xml:space="preserve"> LAGEGR-RS138 </v>
      </c>
      <c r="Y537" s="1">
        <f t="shared" ca="1" si="26"/>
        <v>8.5999999999999993E-2</v>
      </c>
    </row>
    <row r="538" spans="1:25" x14ac:dyDescent="0.25">
      <c r="A538" t="s">
        <v>1588</v>
      </c>
      <c r="B538" t="s">
        <v>1587</v>
      </c>
      <c r="C538">
        <v>167</v>
      </c>
      <c r="D538">
        <v>203</v>
      </c>
      <c r="E538">
        <v>203</v>
      </c>
      <c r="F538" s="1">
        <v>8.5999999999999993E-2</v>
      </c>
      <c r="G538" t="s">
        <v>1587</v>
      </c>
      <c r="H538" t="s">
        <v>1587</v>
      </c>
      <c r="I538">
        <v>9594</v>
      </c>
      <c r="J538" t="s">
        <v>2089</v>
      </c>
      <c r="K538">
        <v>1</v>
      </c>
      <c r="L538">
        <v>-11.4</v>
      </c>
      <c r="M538">
        <v>-8.8000000000000007</v>
      </c>
      <c r="N538">
        <v>14.3</v>
      </c>
      <c r="O538" t="s">
        <v>1594</v>
      </c>
      <c r="P538" t="s">
        <v>1584</v>
      </c>
      <c r="Q538" t="s">
        <v>1591</v>
      </c>
      <c r="R538">
        <v>0.09</v>
      </c>
      <c r="S538">
        <v>-4.2699999999999996</v>
      </c>
      <c r="T538" t="s">
        <v>1584</v>
      </c>
      <c r="U538" t="s">
        <v>1592</v>
      </c>
      <c r="V538" t="str" cm="1">
        <f t="array" aca="1" ref="V538" ca="1">IFERROR(_xlfn.IFS(A536="  ..............",OFFSET(A536,2,0),A535=" X-------------X",OFFSET(A535,3,0),MATCH("  ..............",A538:A547,0)&gt;2,V537),"-")</f>
        <v>-</v>
      </c>
      <c r="W538" t="str">
        <f t="shared" ca="1" si="24"/>
        <v>-</v>
      </c>
      <c r="X538" t="str">
        <f t="shared" ca="1" si="25"/>
        <v>-</v>
      </c>
      <c r="Y538" s="1" t="str">
        <f t="shared" ca="1" si="26"/>
        <v>-</v>
      </c>
    </row>
    <row r="539" spans="1:25" x14ac:dyDescent="0.25">
      <c r="A539" t="s">
        <v>1572</v>
      </c>
      <c r="B539" t="s">
        <v>1574</v>
      </c>
      <c r="C539" t="s">
        <v>1574</v>
      </c>
      <c r="D539" t="s">
        <v>1574</v>
      </c>
      <c r="E539" t="s">
        <v>1574</v>
      </c>
      <c r="F539" t="s">
        <v>1575</v>
      </c>
      <c r="G539" t="s">
        <v>1574</v>
      </c>
      <c r="H539" t="s">
        <v>1574</v>
      </c>
      <c r="I539" t="s">
        <v>1576</v>
      </c>
      <c r="J539" t="s">
        <v>1573</v>
      </c>
      <c r="K539" t="s">
        <v>1577</v>
      </c>
      <c r="L539" t="s">
        <v>1574</v>
      </c>
      <c r="M539" t="s">
        <v>1574</v>
      </c>
      <c r="N539" t="s">
        <v>1574</v>
      </c>
      <c r="O539" t="s">
        <v>1578</v>
      </c>
      <c r="P539" t="s">
        <v>1576</v>
      </c>
      <c r="Q539" t="s">
        <v>1579</v>
      </c>
      <c r="R539" t="s">
        <v>1580</v>
      </c>
      <c r="S539" t="s">
        <v>1580</v>
      </c>
      <c r="T539" t="s">
        <v>1576</v>
      </c>
      <c r="U539" t="s">
        <v>1576</v>
      </c>
      <c r="V539" t="str" cm="1">
        <f t="array" aca="1" ref="V539" ca="1">IFERROR(_xlfn.IFS(A537="  ..............",OFFSET(A537,2,0),A536=" X-------------X",OFFSET(A536,3,0),MATCH("  ..............",A539:A548,0)&gt;2,V538),"-")</f>
        <v>-</v>
      </c>
      <c r="W539" t="str">
        <f t="shared" ca="1" si="24"/>
        <v>-</v>
      </c>
      <c r="X539" t="str">
        <f t="shared" ca="1" si="25"/>
        <v/>
      </c>
      <c r="Y539" s="1" t="str">
        <f t="shared" ca="1" si="26"/>
        <v/>
      </c>
    </row>
    <row r="540" spans="1:25" x14ac:dyDescent="0.25">
      <c r="A540" t="s">
        <v>2090</v>
      </c>
      <c r="B540">
        <v>1.006</v>
      </c>
      <c r="C540">
        <v>10.5</v>
      </c>
      <c r="D540">
        <v>0</v>
      </c>
      <c r="E540">
        <v>49.2</v>
      </c>
      <c r="F540">
        <v>0</v>
      </c>
      <c r="G540">
        <v>7.3</v>
      </c>
      <c r="H540">
        <v>0</v>
      </c>
      <c r="I540" t="s">
        <v>1581</v>
      </c>
      <c r="J540" t="s">
        <v>1581</v>
      </c>
      <c r="K540" t="s">
        <v>1581</v>
      </c>
      <c r="L540" t="s">
        <v>1581</v>
      </c>
      <c r="M540" t="s">
        <v>1581</v>
      </c>
      <c r="N540" t="s">
        <v>1581</v>
      </c>
      <c r="O540" t="s">
        <v>1581</v>
      </c>
      <c r="P540" t="s">
        <v>1581</v>
      </c>
      <c r="Q540" t="s">
        <v>1581</v>
      </c>
      <c r="R540" t="s">
        <v>1581</v>
      </c>
      <c r="S540" t="s">
        <v>1581</v>
      </c>
      <c r="T540" t="s">
        <v>1581</v>
      </c>
      <c r="U540" t="s">
        <v>1581</v>
      </c>
      <c r="V540" t="str" cm="1">
        <f t="array" aca="1" ref="V540" ca="1">IFERROR(_xlfn.IFS(A538="  ..............",OFFSET(A538,2,0),A537=" X-------------X",OFFSET(A537,3,0),MATCH("  ..............",A540:A549,0)&gt;2,V539),"-")</f>
        <v>-</v>
      </c>
      <c r="W540" t="str">
        <f t="shared" ca="1" si="24"/>
        <v>-</v>
      </c>
      <c r="X540" t="str">
        <f t="shared" ca="1" si="25"/>
        <v xml:space="preserve">              </v>
      </c>
      <c r="Y540" s="1">
        <f t="shared" ca="1" si="26"/>
        <v>0</v>
      </c>
    </row>
    <row r="541" spans="1:25" x14ac:dyDescent="0.25">
      <c r="A541" t="s">
        <v>2091</v>
      </c>
      <c r="B541">
        <v>-50</v>
      </c>
      <c r="C541">
        <v>0</v>
      </c>
      <c r="D541">
        <v>0</v>
      </c>
      <c r="E541">
        <v>13</v>
      </c>
      <c r="F541">
        <v>0</v>
      </c>
      <c r="G541">
        <v>0</v>
      </c>
      <c r="H541">
        <v>0</v>
      </c>
      <c r="I541" t="s">
        <v>1584</v>
      </c>
      <c r="J541" t="s">
        <v>1585</v>
      </c>
      <c r="K541" t="s">
        <v>1586</v>
      </c>
      <c r="L541" t="s">
        <v>1587</v>
      </c>
      <c r="M541" t="s">
        <v>1587</v>
      </c>
      <c r="N541" t="s">
        <v>1586</v>
      </c>
      <c r="O541" t="s">
        <v>1581</v>
      </c>
      <c r="P541" t="s">
        <v>1581</v>
      </c>
      <c r="Q541" t="s">
        <v>1581</v>
      </c>
      <c r="R541" t="s">
        <v>1581</v>
      </c>
      <c r="S541" t="s">
        <v>1581</v>
      </c>
      <c r="T541" t="s">
        <v>1581</v>
      </c>
      <c r="U541" t="s">
        <v>1581</v>
      </c>
      <c r="V541" t="str" cm="1">
        <f t="array" aca="1" ref="V541" ca="1">IFERROR(_xlfn.IFS(A539="  ..............",OFFSET(A539,2,0),A538=" X-------------X",OFFSET(A538,3,0),MATCH("  ..............",A541:A550,0)&gt;2,V540),"-")</f>
        <v xml:space="preserve">  ATLAN2-RS069  </v>
      </c>
      <c r="W541">
        <f t="shared" ca="1" si="24"/>
        <v>1.006</v>
      </c>
      <c r="X541" t="str">
        <f t="shared" ca="1" si="25"/>
        <v xml:space="preserve"> XANGRI-RS069 </v>
      </c>
      <c r="Y541" s="1">
        <f t="shared" ca="1" si="26"/>
        <v>0.20799999999999999</v>
      </c>
    </row>
    <row r="542" spans="1:25" x14ac:dyDescent="0.25">
      <c r="A542" t="s">
        <v>1588</v>
      </c>
      <c r="B542" t="s">
        <v>1587</v>
      </c>
      <c r="C542">
        <v>40</v>
      </c>
      <c r="D542">
        <v>40</v>
      </c>
      <c r="E542">
        <v>40</v>
      </c>
      <c r="F542" s="1">
        <v>0.20799999999999999</v>
      </c>
      <c r="G542" t="s">
        <v>1587</v>
      </c>
      <c r="H542" t="s">
        <v>1587</v>
      </c>
      <c r="I542">
        <v>9182</v>
      </c>
      <c r="J542" t="s">
        <v>2092</v>
      </c>
      <c r="K542">
        <v>1</v>
      </c>
      <c r="L542">
        <v>-8.3000000000000007</v>
      </c>
      <c r="M542">
        <v>1.3</v>
      </c>
      <c r="N542">
        <v>8.3000000000000007</v>
      </c>
      <c r="O542" t="s">
        <v>1594</v>
      </c>
      <c r="P542" t="s">
        <v>1584</v>
      </c>
      <c r="Q542" t="s">
        <v>1591</v>
      </c>
      <c r="R542">
        <v>0</v>
      </c>
      <c r="S542">
        <v>0.01</v>
      </c>
      <c r="T542" t="s">
        <v>1584</v>
      </c>
      <c r="U542" t="s">
        <v>1592</v>
      </c>
      <c r="V542" t="str" cm="1">
        <f t="array" aca="1" ref="V542" ca="1">IFERROR(_xlfn.IFS(A540="  ..............",OFFSET(A540,2,0),A539=" X-------------X",OFFSET(A539,3,0),MATCH("  ..............",A542:A551,0)&gt;2,V541),"-")</f>
        <v xml:space="preserve">  ATLAN2-RS069  </v>
      </c>
      <c r="W542">
        <f t="shared" ca="1" si="24"/>
        <v>1.006</v>
      </c>
      <c r="X542" t="str">
        <f t="shared" ca="1" si="25"/>
        <v xml:space="preserve"> ATLA-1-RS000 </v>
      </c>
      <c r="Y542" s="1">
        <f t="shared" ca="1" si="26"/>
        <v>0.125</v>
      </c>
    </row>
    <row r="543" spans="1:25" x14ac:dyDescent="0.25">
      <c r="A543" t="s">
        <v>1588</v>
      </c>
      <c r="B543" t="s">
        <v>1587</v>
      </c>
      <c r="C543">
        <v>83</v>
      </c>
      <c r="D543">
        <v>89</v>
      </c>
      <c r="E543">
        <v>89</v>
      </c>
      <c r="F543" s="1">
        <v>0.125</v>
      </c>
      <c r="G543" t="s">
        <v>1587</v>
      </c>
      <c r="H543" t="s">
        <v>1587</v>
      </c>
      <c r="I543">
        <v>41213</v>
      </c>
      <c r="J543" t="s">
        <v>2093</v>
      </c>
      <c r="K543">
        <v>1</v>
      </c>
      <c r="L543">
        <v>-10.199999999999999</v>
      </c>
      <c r="M543">
        <v>-2.2999999999999998</v>
      </c>
      <c r="N543">
        <v>10.4</v>
      </c>
      <c r="O543" t="s">
        <v>1608</v>
      </c>
      <c r="P543" t="s">
        <v>1584</v>
      </c>
      <c r="Q543">
        <v>2</v>
      </c>
      <c r="R543">
        <v>0</v>
      </c>
      <c r="S543">
        <v>-0.01</v>
      </c>
      <c r="T543" t="s">
        <v>1584</v>
      </c>
      <c r="U543" t="s">
        <v>1592</v>
      </c>
      <c r="V543" t="str" cm="1">
        <f t="array" aca="1" ref="V543" ca="1">IFERROR(_xlfn.IFS(A541="  ..............",OFFSET(A541,2,0),A540=" X-------------X",OFFSET(A540,3,0),MATCH("  ..............",A543:A552,0)&gt;2,V542),"-")</f>
        <v xml:space="preserve">  ATLAN2-RS069  </v>
      </c>
      <c r="W543">
        <f t="shared" ca="1" si="24"/>
        <v>1.006</v>
      </c>
      <c r="X543" t="str">
        <f t="shared" ca="1" si="25"/>
        <v xml:space="preserve"> ATLA-2-RS000 </v>
      </c>
      <c r="Y543" s="1">
        <f t="shared" ca="1" si="26"/>
        <v>0.125</v>
      </c>
    </row>
    <row r="544" spans="1:25" x14ac:dyDescent="0.25">
      <c r="A544" t="s">
        <v>1588</v>
      </c>
      <c r="B544" t="s">
        <v>1587</v>
      </c>
      <c r="C544">
        <v>83</v>
      </c>
      <c r="D544">
        <v>89</v>
      </c>
      <c r="E544">
        <v>89</v>
      </c>
      <c r="F544" s="1">
        <v>0.125</v>
      </c>
      <c r="G544" t="s">
        <v>1587</v>
      </c>
      <c r="H544" t="s">
        <v>1587</v>
      </c>
      <c r="I544">
        <v>41214</v>
      </c>
      <c r="J544" t="s">
        <v>2094</v>
      </c>
      <c r="K544">
        <v>2</v>
      </c>
      <c r="L544">
        <v>-10.199999999999999</v>
      </c>
      <c r="M544">
        <v>-2.2999999999999998</v>
      </c>
      <c r="N544">
        <v>10.4</v>
      </c>
      <c r="O544" t="s">
        <v>1608</v>
      </c>
      <c r="P544" t="s">
        <v>1584</v>
      </c>
      <c r="Q544">
        <v>2</v>
      </c>
      <c r="R544">
        <v>0</v>
      </c>
      <c r="S544">
        <v>-0.01</v>
      </c>
      <c r="T544" t="s">
        <v>1584</v>
      </c>
      <c r="U544" t="s">
        <v>1592</v>
      </c>
      <c r="V544" t="str" cm="1">
        <f t="array" aca="1" ref="V544" ca="1">IFERROR(_xlfn.IFS(A542="  ..............",OFFSET(A542,2,0),A541=" X-------------X",OFFSET(A541,3,0),MATCH("  ..............",A544:A553,0)&gt;2,V543),"-")</f>
        <v xml:space="preserve">  ATLAN2-RS069  </v>
      </c>
      <c r="W544">
        <f t="shared" ca="1" si="24"/>
        <v>1.006</v>
      </c>
      <c r="X544" t="str">
        <f t="shared" ca="1" si="25"/>
        <v xml:space="preserve"> ATLA-3-RS000 </v>
      </c>
      <c r="Y544" s="1">
        <f t="shared" ca="1" si="26"/>
        <v>0.124</v>
      </c>
    </row>
    <row r="545" spans="1:25" x14ac:dyDescent="0.25">
      <c r="A545" t="s">
        <v>1588</v>
      </c>
      <c r="B545" t="s">
        <v>1587</v>
      </c>
      <c r="C545">
        <v>83</v>
      </c>
      <c r="D545">
        <v>89</v>
      </c>
      <c r="E545">
        <v>89</v>
      </c>
      <c r="F545" s="1">
        <v>0.124</v>
      </c>
      <c r="G545" t="s">
        <v>1587</v>
      </c>
      <c r="H545" t="s">
        <v>1587</v>
      </c>
      <c r="I545">
        <v>41215</v>
      </c>
      <c r="J545" t="s">
        <v>2095</v>
      </c>
      <c r="K545">
        <v>3</v>
      </c>
      <c r="L545">
        <v>-10.1</v>
      </c>
      <c r="M545">
        <v>-2.2999999999999998</v>
      </c>
      <c r="N545">
        <v>10.3</v>
      </c>
      <c r="O545" t="s">
        <v>1608</v>
      </c>
      <c r="P545" t="s">
        <v>1584</v>
      </c>
      <c r="Q545">
        <v>2</v>
      </c>
      <c r="R545">
        <v>0</v>
      </c>
      <c r="S545">
        <v>-0.01</v>
      </c>
      <c r="T545" t="s">
        <v>1584</v>
      </c>
      <c r="U545" t="s">
        <v>1592</v>
      </c>
      <c r="V545" t="str" cm="1">
        <f t="array" aca="1" ref="V545" ca="1">IFERROR(_xlfn.IFS(A543="  ..............",OFFSET(A543,2,0),A542=" X-------------X",OFFSET(A542,3,0),MATCH("  ..............",A545:A554,0)&gt;2,V544),"-")</f>
        <v>-</v>
      </c>
      <c r="W545" t="str">
        <f t="shared" ca="1" si="24"/>
        <v>-</v>
      </c>
      <c r="X545" t="str">
        <f t="shared" ca="1" si="25"/>
        <v>-</v>
      </c>
      <c r="Y545" s="1" t="str">
        <f t="shared" ca="1" si="26"/>
        <v>-</v>
      </c>
    </row>
    <row r="546" spans="1:25" x14ac:dyDescent="0.25">
      <c r="A546" t="s">
        <v>1572</v>
      </c>
      <c r="B546" t="s">
        <v>1574</v>
      </c>
      <c r="C546" t="s">
        <v>1574</v>
      </c>
      <c r="D546" t="s">
        <v>1574</v>
      </c>
      <c r="E546" t="s">
        <v>1574</v>
      </c>
      <c r="F546" t="s">
        <v>1575</v>
      </c>
      <c r="G546" t="s">
        <v>1574</v>
      </c>
      <c r="H546" t="s">
        <v>1574</v>
      </c>
      <c r="I546" t="s">
        <v>1576</v>
      </c>
      <c r="J546" t="s">
        <v>1573</v>
      </c>
      <c r="K546" t="s">
        <v>1577</v>
      </c>
      <c r="L546" t="s">
        <v>1574</v>
      </c>
      <c r="M546" t="s">
        <v>1574</v>
      </c>
      <c r="N546" t="s">
        <v>1574</v>
      </c>
      <c r="O546" t="s">
        <v>1578</v>
      </c>
      <c r="P546" t="s">
        <v>1576</v>
      </c>
      <c r="Q546" t="s">
        <v>1579</v>
      </c>
      <c r="R546" t="s">
        <v>1580</v>
      </c>
      <c r="S546" t="s">
        <v>1580</v>
      </c>
      <c r="T546" t="s">
        <v>1576</v>
      </c>
      <c r="U546" t="s">
        <v>1576</v>
      </c>
      <c r="V546" t="str" cm="1">
        <f t="array" aca="1" ref="V546" ca="1">IFERROR(_xlfn.IFS(A544="  ..............",OFFSET(A544,2,0),A543=" X-------------X",OFFSET(A543,3,0),MATCH("  ..............",A546:A555,0)&gt;2,V545),"-")</f>
        <v>-</v>
      </c>
      <c r="W546" t="str">
        <f t="shared" ca="1" si="24"/>
        <v>-</v>
      </c>
      <c r="X546" t="str">
        <f t="shared" ca="1" si="25"/>
        <v/>
      </c>
      <c r="Y546" s="1" t="str">
        <f t="shared" ca="1" si="26"/>
        <v/>
      </c>
    </row>
    <row r="547" spans="1:25" x14ac:dyDescent="0.25">
      <c r="A547" t="s">
        <v>2096</v>
      </c>
      <c r="B547">
        <v>1.0049999999999999</v>
      </c>
      <c r="C547">
        <v>4</v>
      </c>
      <c r="D547">
        <v>0</v>
      </c>
      <c r="E547">
        <v>4.5</v>
      </c>
      <c r="F547">
        <v>0</v>
      </c>
      <c r="G547">
        <v>0</v>
      </c>
      <c r="H547">
        <v>0</v>
      </c>
      <c r="I547" t="s">
        <v>1581</v>
      </c>
      <c r="J547" t="s">
        <v>1581</v>
      </c>
      <c r="K547" t="s">
        <v>1581</v>
      </c>
      <c r="L547" t="s">
        <v>1581</v>
      </c>
      <c r="M547" t="s">
        <v>1581</v>
      </c>
      <c r="N547" t="s">
        <v>1581</v>
      </c>
      <c r="O547" t="s">
        <v>1581</v>
      </c>
      <c r="P547" t="s">
        <v>1581</v>
      </c>
      <c r="Q547" t="s">
        <v>1581</v>
      </c>
      <c r="R547" t="s">
        <v>1581</v>
      </c>
      <c r="S547" t="s">
        <v>1581</v>
      </c>
      <c r="T547" t="s">
        <v>1581</v>
      </c>
      <c r="U547" t="s">
        <v>1581</v>
      </c>
      <c r="V547" t="str" cm="1">
        <f t="array" aca="1" ref="V547" ca="1">IFERROR(_xlfn.IFS(A545="  ..............",OFFSET(A545,2,0),A544=" X-------------X",OFFSET(A544,3,0),MATCH("  ..............",A547:A556,0)&gt;2,V546),"-")</f>
        <v>-</v>
      </c>
      <c r="W547" t="str">
        <f t="shared" ca="1" si="24"/>
        <v>-</v>
      </c>
      <c r="X547" t="str">
        <f t="shared" ca="1" si="25"/>
        <v xml:space="preserve">              </v>
      </c>
      <c r="Y547" s="1">
        <f t="shared" ca="1" si="26"/>
        <v>0</v>
      </c>
    </row>
    <row r="548" spans="1:25" x14ac:dyDescent="0.25">
      <c r="A548" t="s">
        <v>2097</v>
      </c>
      <c r="B548">
        <v>-54.6</v>
      </c>
      <c r="C548">
        <v>0</v>
      </c>
      <c r="D548">
        <v>0</v>
      </c>
      <c r="E548">
        <v>1.9</v>
      </c>
      <c r="F548">
        <v>0</v>
      </c>
      <c r="G548">
        <v>0</v>
      </c>
      <c r="H548">
        <v>0</v>
      </c>
      <c r="I548" t="s">
        <v>1584</v>
      </c>
      <c r="J548" t="s">
        <v>1585</v>
      </c>
      <c r="K548" t="s">
        <v>1586</v>
      </c>
      <c r="L548" t="s">
        <v>1587</v>
      </c>
      <c r="M548" t="s">
        <v>1587</v>
      </c>
      <c r="N548" t="s">
        <v>1586</v>
      </c>
      <c r="O548" t="s">
        <v>1581</v>
      </c>
      <c r="P548" t="s">
        <v>1581</v>
      </c>
      <c r="Q548" t="s">
        <v>1581</v>
      </c>
      <c r="R548" t="s">
        <v>1581</v>
      </c>
      <c r="S548" t="s">
        <v>1581</v>
      </c>
      <c r="T548" t="s">
        <v>1581</v>
      </c>
      <c r="U548" t="s">
        <v>1581</v>
      </c>
      <c r="V548" t="str" cm="1">
        <f t="array" aca="1" ref="V548" ca="1">IFERROR(_xlfn.IFS(A546="  ..............",OFFSET(A546,2,0),A545=" X-------------X",OFFSET(A545,3,0),MATCH("  ..............",A548:A557,0)&gt;2,V547),"-")</f>
        <v xml:space="preserve">  PETROB-RS069  </v>
      </c>
      <c r="W548">
        <f t="shared" ca="1" si="24"/>
        <v>1.0049999999999999</v>
      </c>
      <c r="X548" t="str">
        <f t="shared" ca="1" si="25"/>
        <v xml:space="preserve"> BUNGE--RS069 </v>
      </c>
      <c r="Y548" s="1">
        <f t="shared" ca="1" si="26"/>
        <v>5.8000000000000003E-2</v>
      </c>
    </row>
    <row r="549" spans="1:25" x14ac:dyDescent="0.25">
      <c r="A549" t="s">
        <v>1588</v>
      </c>
      <c r="B549" t="s">
        <v>1587</v>
      </c>
      <c r="C549">
        <v>84</v>
      </c>
      <c r="D549">
        <v>101</v>
      </c>
      <c r="E549">
        <v>101</v>
      </c>
      <c r="F549" s="1">
        <v>0.152</v>
      </c>
      <c r="G549" t="s">
        <v>1587</v>
      </c>
      <c r="H549" t="s">
        <v>1587</v>
      </c>
      <c r="I549">
        <v>1303</v>
      </c>
      <c r="J549" t="s">
        <v>2047</v>
      </c>
      <c r="K549">
        <v>1</v>
      </c>
      <c r="L549">
        <v>10.3</v>
      </c>
      <c r="M549">
        <v>7.6</v>
      </c>
      <c r="N549">
        <v>12.8</v>
      </c>
      <c r="O549" t="s">
        <v>1594</v>
      </c>
      <c r="P549" t="s">
        <v>1584</v>
      </c>
      <c r="Q549" t="s">
        <v>1591</v>
      </c>
      <c r="R549">
        <v>0.03</v>
      </c>
      <c r="S549">
        <v>0.1</v>
      </c>
      <c r="T549" t="s">
        <v>1584</v>
      </c>
      <c r="U549" t="s">
        <v>1592</v>
      </c>
      <c r="V549" t="str" cm="1">
        <f t="array" aca="1" ref="V549" ca="1">IFERROR(_xlfn.IFS(A547="  ..............",OFFSET(A547,2,0),A546=" X-------------X",OFFSET(A546,3,0),MATCH("  ..............",A549:A558,0)&gt;2,V548),"-")</f>
        <v xml:space="preserve">  PETROB-RS069  </v>
      </c>
      <c r="W549">
        <f t="shared" ca="1" si="24"/>
        <v>1.0049999999999999</v>
      </c>
      <c r="X549" t="str">
        <f t="shared" ca="1" si="25"/>
        <v xml:space="preserve"> CACHOE-RS069 </v>
      </c>
      <c r="Y549" s="1">
        <f t="shared" ca="1" si="26"/>
        <v>0.29899999999999999</v>
      </c>
    </row>
    <row r="550" spans="1:25" x14ac:dyDescent="0.25">
      <c r="A550" t="s">
        <v>1588</v>
      </c>
      <c r="B550" t="s">
        <v>1587</v>
      </c>
      <c r="C550">
        <v>48</v>
      </c>
      <c r="D550">
        <v>71</v>
      </c>
      <c r="E550">
        <v>71</v>
      </c>
      <c r="F550" s="1">
        <v>0.29899999999999999</v>
      </c>
      <c r="G550" t="s">
        <v>1587</v>
      </c>
      <c r="H550" t="s">
        <v>1587</v>
      </c>
      <c r="I550">
        <v>2067</v>
      </c>
      <c r="J550" t="s">
        <v>2098</v>
      </c>
      <c r="K550">
        <v>1</v>
      </c>
      <c r="L550">
        <v>-10.8</v>
      </c>
      <c r="M550">
        <v>-9.5</v>
      </c>
      <c r="N550">
        <v>14.4</v>
      </c>
      <c r="O550" t="s">
        <v>1594</v>
      </c>
      <c r="P550" t="s">
        <v>1584</v>
      </c>
      <c r="Q550" t="s">
        <v>1591</v>
      </c>
      <c r="R550">
        <v>0.05</v>
      </c>
      <c r="S550">
        <v>0.14000000000000001</v>
      </c>
      <c r="T550" t="s">
        <v>1584</v>
      </c>
      <c r="U550" t="s">
        <v>1592</v>
      </c>
      <c r="V550" t="str" cm="1">
        <f t="array" aca="1" ref="V550" ca="1">IFERROR(_xlfn.IFS(A548="  ..............",OFFSET(A548,2,0),A547=" X-------------X",OFFSET(A547,3,0),MATCH("  ..............",A550:A559,0)&gt;2,V549),"-")</f>
        <v>-</v>
      </c>
      <c r="W550" t="str">
        <f t="shared" ca="1" si="24"/>
        <v>-</v>
      </c>
      <c r="X550" t="str">
        <f t="shared" ca="1" si="25"/>
        <v>-</v>
      </c>
      <c r="Y550" s="1" t="str">
        <f t="shared" ca="1" si="26"/>
        <v>-</v>
      </c>
    </row>
    <row r="551" spans="1:25" x14ac:dyDescent="0.25">
      <c r="A551" t="s">
        <v>1572</v>
      </c>
      <c r="B551" t="s">
        <v>1574</v>
      </c>
      <c r="C551" t="s">
        <v>1574</v>
      </c>
      <c r="D551" t="s">
        <v>1574</v>
      </c>
      <c r="E551" t="s">
        <v>1574</v>
      </c>
      <c r="F551" t="s">
        <v>1575</v>
      </c>
      <c r="G551" t="s">
        <v>1574</v>
      </c>
      <c r="H551" t="s">
        <v>1574</v>
      </c>
      <c r="I551" t="s">
        <v>1576</v>
      </c>
      <c r="J551" t="s">
        <v>1573</v>
      </c>
      <c r="K551" t="s">
        <v>1577</v>
      </c>
      <c r="L551" t="s">
        <v>1574</v>
      </c>
      <c r="M551" t="s">
        <v>1574</v>
      </c>
      <c r="N551" t="s">
        <v>1574</v>
      </c>
      <c r="O551" t="s">
        <v>1578</v>
      </c>
      <c r="P551" t="s">
        <v>1576</v>
      </c>
      <c r="Q551" t="s">
        <v>1579</v>
      </c>
      <c r="R551" t="s">
        <v>1580</v>
      </c>
      <c r="S551" t="s">
        <v>1580</v>
      </c>
      <c r="T551" t="s">
        <v>1576</v>
      </c>
      <c r="U551" t="s">
        <v>1576</v>
      </c>
      <c r="V551" t="str" cm="1">
        <f t="array" aca="1" ref="V551" ca="1">IFERROR(_xlfn.IFS(A549="  ..............",OFFSET(A549,2,0),A548=" X-------------X",OFFSET(A548,3,0),MATCH("  ..............",A551:A560,0)&gt;2,V550),"-")</f>
        <v>-</v>
      </c>
      <c r="W551" t="str">
        <f t="shared" ca="1" si="24"/>
        <v>-</v>
      </c>
      <c r="X551" t="str">
        <f t="shared" ca="1" si="25"/>
        <v/>
      </c>
      <c r="Y551" s="1" t="str">
        <f t="shared" ca="1" si="26"/>
        <v/>
      </c>
    </row>
    <row r="552" spans="1:25" x14ac:dyDescent="0.25">
      <c r="A552" t="s">
        <v>2099</v>
      </c>
      <c r="B552">
        <v>1.0009999999999999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 t="s">
        <v>1581</v>
      </c>
      <c r="J552" t="s">
        <v>1581</v>
      </c>
      <c r="K552" t="s">
        <v>1581</v>
      </c>
      <c r="L552" t="s">
        <v>1581</v>
      </c>
      <c r="M552" t="s">
        <v>1581</v>
      </c>
      <c r="N552" t="s">
        <v>1581</v>
      </c>
      <c r="O552" t="s">
        <v>1581</v>
      </c>
      <c r="P552" t="s">
        <v>1581</v>
      </c>
      <c r="Q552" t="s">
        <v>1581</v>
      </c>
      <c r="R552" t="s">
        <v>1581</v>
      </c>
      <c r="S552" t="s">
        <v>1581</v>
      </c>
      <c r="T552" t="s">
        <v>1581</v>
      </c>
      <c r="U552" t="s">
        <v>1581</v>
      </c>
      <c r="V552" t="str" cm="1">
        <f t="array" aca="1" ref="V552" ca="1">IFERROR(_xlfn.IFS(A550="  ..............",OFFSET(A550,2,0),A549=" X-------------X",OFFSET(A549,3,0),MATCH("  ..............",A552:A561,0)&gt;2,V551),"-")</f>
        <v>-</v>
      </c>
      <c r="W552" t="str">
        <f t="shared" ca="1" si="24"/>
        <v>-</v>
      </c>
      <c r="X552" t="str">
        <f t="shared" ca="1" si="25"/>
        <v xml:space="preserve">              </v>
      </c>
      <c r="Y552" s="1">
        <f t="shared" ca="1" si="26"/>
        <v>0</v>
      </c>
    </row>
    <row r="553" spans="1:25" x14ac:dyDescent="0.25">
      <c r="A553" t="s">
        <v>2100</v>
      </c>
      <c r="B553">
        <v>-58.3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 t="s">
        <v>1584</v>
      </c>
      <c r="J553" t="s">
        <v>1585</v>
      </c>
      <c r="K553" t="s">
        <v>1586</v>
      </c>
      <c r="L553" t="s">
        <v>1587</v>
      </c>
      <c r="M553" t="s">
        <v>1587</v>
      </c>
      <c r="N553" t="s">
        <v>1586</v>
      </c>
      <c r="O553" t="s">
        <v>1581</v>
      </c>
      <c r="P553" t="s">
        <v>1581</v>
      </c>
      <c r="Q553" t="s">
        <v>1581</v>
      </c>
      <c r="R553" t="s">
        <v>1581</v>
      </c>
      <c r="S553" t="s">
        <v>1581</v>
      </c>
      <c r="T553" t="s">
        <v>1581</v>
      </c>
      <c r="U553" t="s">
        <v>1581</v>
      </c>
      <c r="V553" t="str" cm="1">
        <f t="array" aca="1" ref="V553" ca="1">IFERROR(_xlfn.IFS(A551="  ..............",OFFSET(A551,2,0),A550=" X-------------X",OFFSET(A550,3,0),MATCH("  ..............",A553:A562,0)&gt;2,V552),"-")</f>
        <v xml:space="preserve">  PANAMB-RS013  </v>
      </c>
      <c r="W553">
        <f t="shared" ca="1" si="24"/>
        <v>1.0009999999999999</v>
      </c>
      <c r="X553" t="str">
        <f t="shared" ca="1" si="25"/>
        <v xml:space="preserve"> PANAM--RS069 </v>
      </c>
      <c r="Y553" s="1">
        <f t="shared" ca="1" si="26"/>
        <v>0.85599999999999998</v>
      </c>
    </row>
    <row r="554" spans="1:25" x14ac:dyDescent="0.25">
      <c r="A554" t="s">
        <v>1588</v>
      </c>
      <c r="B554" t="s">
        <v>1587</v>
      </c>
      <c r="C554">
        <v>25</v>
      </c>
      <c r="D554">
        <v>25</v>
      </c>
      <c r="E554">
        <v>25</v>
      </c>
      <c r="F554" s="1">
        <v>0.77200000000000002</v>
      </c>
      <c r="G554" t="s">
        <v>1587</v>
      </c>
      <c r="H554" t="s">
        <v>1587</v>
      </c>
      <c r="I554">
        <v>1307</v>
      </c>
      <c r="J554" t="s">
        <v>2010</v>
      </c>
      <c r="K554">
        <v>1</v>
      </c>
      <c r="L554">
        <v>-19.100000000000001</v>
      </c>
      <c r="M554">
        <v>-3</v>
      </c>
      <c r="N554">
        <v>19.3</v>
      </c>
      <c r="O554" t="s">
        <v>1594</v>
      </c>
      <c r="P554" t="s">
        <v>1584</v>
      </c>
      <c r="Q554" t="s">
        <v>1591</v>
      </c>
      <c r="R554">
        <v>0</v>
      </c>
      <c r="S554">
        <v>1.06</v>
      </c>
      <c r="T554" t="s">
        <v>1584</v>
      </c>
      <c r="U554" t="s">
        <v>1592</v>
      </c>
      <c r="V554" t="str" cm="1">
        <f t="array" aca="1" ref="V554" ca="1">IFERROR(_xlfn.IFS(A552="  ..............",OFFSET(A552,2,0),A551=" X-------------X",OFFSET(A551,3,0),MATCH("  ..............",A554:A563,0)&gt;2,V553),"-")</f>
        <v xml:space="preserve">  PANAMB-RS013  </v>
      </c>
      <c r="W554">
        <f t="shared" ca="1" si="24"/>
        <v>1.0009999999999999</v>
      </c>
      <c r="X554" t="str">
        <f t="shared" ca="1" si="25"/>
        <v xml:space="preserve"> HIDPA1-RS013 </v>
      </c>
      <c r="Y554" s="1">
        <f t="shared" ca="1" si="26"/>
        <v>0</v>
      </c>
    </row>
    <row r="555" spans="1:25" x14ac:dyDescent="0.25">
      <c r="A555" t="s">
        <v>1588</v>
      </c>
      <c r="B555" t="s">
        <v>1587</v>
      </c>
      <c r="C555">
        <v>9999</v>
      </c>
      <c r="D555">
        <v>9999</v>
      </c>
      <c r="E555">
        <v>9999</v>
      </c>
      <c r="F555" s="1">
        <v>0</v>
      </c>
      <c r="G555" t="s">
        <v>1587</v>
      </c>
      <c r="H555" t="s">
        <v>1587</v>
      </c>
      <c r="I555">
        <v>9653</v>
      </c>
      <c r="J555" t="s">
        <v>2101</v>
      </c>
      <c r="K555">
        <v>1</v>
      </c>
      <c r="L555">
        <v>14.7</v>
      </c>
      <c r="M555">
        <v>1.3</v>
      </c>
      <c r="N555">
        <v>14.7</v>
      </c>
      <c r="O555" t="s">
        <v>1594</v>
      </c>
      <c r="P555" t="s">
        <v>1584</v>
      </c>
      <c r="Q555" t="s">
        <v>1591</v>
      </c>
      <c r="R555">
        <v>0</v>
      </c>
      <c r="S555">
        <v>-0.01</v>
      </c>
      <c r="T555" t="s">
        <v>1584</v>
      </c>
      <c r="U555" t="s">
        <v>1592</v>
      </c>
      <c r="V555" t="str" cm="1">
        <f t="array" aca="1" ref="V555" ca="1">IFERROR(_xlfn.IFS(A553="  ..............",OFFSET(A553,2,0),A552=" X-------------X",OFFSET(A552,3,0),MATCH("  ..............",A555:A564,0)&gt;2,V554),"-")</f>
        <v xml:space="preserve">  PANAMB-RS013  </v>
      </c>
      <c r="W555">
        <f t="shared" ca="1" si="24"/>
        <v>1.0009999999999999</v>
      </c>
      <c r="X555" t="str">
        <f t="shared" ca="1" si="25"/>
        <v xml:space="preserve"> COPRE1-RS013 </v>
      </c>
      <c r="Y555" s="1">
        <f t="shared" ca="1" si="26"/>
        <v>0</v>
      </c>
    </row>
    <row r="556" spans="1:25" x14ac:dyDescent="0.25">
      <c r="A556" t="s">
        <v>1588</v>
      </c>
      <c r="B556" t="s">
        <v>1587</v>
      </c>
      <c r="C556">
        <v>9999</v>
      </c>
      <c r="D556">
        <v>9999</v>
      </c>
      <c r="E556">
        <v>9999</v>
      </c>
      <c r="F556" s="1">
        <v>0</v>
      </c>
      <c r="G556" t="s">
        <v>1587</v>
      </c>
      <c r="H556" t="s">
        <v>1587</v>
      </c>
      <c r="I556">
        <v>9654</v>
      </c>
      <c r="J556" t="s">
        <v>2102</v>
      </c>
      <c r="K556">
        <v>1</v>
      </c>
      <c r="L556">
        <v>4.4000000000000004</v>
      </c>
      <c r="M556">
        <v>1.7</v>
      </c>
      <c r="N556">
        <v>4.7</v>
      </c>
      <c r="O556" t="s">
        <v>1594</v>
      </c>
      <c r="P556" t="s">
        <v>1584</v>
      </c>
      <c r="Q556" t="s">
        <v>1591</v>
      </c>
      <c r="R556">
        <v>0</v>
      </c>
      <c r="S556">
        <v>-0.01</v>
      </c>
      <c r="T556" t="s">
        <v>1584</v>
      </c>
      <c r="U556" t="s">
        <v>1592</v>
      </c>
      <c r="V556" t="str" cm="1">
        <f t="array" aca="1" ref="V556" ca="1">IFERROR(_xlfn.IFS(A554="  ..............",OFFSET(A554,2,0),A553=" X-------------X",OFFSET(A553,3,0),MATCH("  ..............",A556:A565,0)&gt;2,V555),"-")</f>
        <v>-</v>
      </c>
      <c r="W556" t="str">
        <f t="shared" ca="1" si="24"/>
        <v>-</v>
      </c>
      <c r="X556" t="str">
        <f t="shared" ca="1" si="25"/>
        <v>-</v>
      </c>
      <c r="Y556" s="1" t="str">
        <f t="shared" ca="1" si="26"/>
        <v>-</v>
      </c>
    </row>
    <row r="557" spans="1:25" x14ac:dyDescent="0.25">
      <c r="A557" t="s">
        <v>1572</v>
      </c>
      <c r="B557" t="s">
        <v>1574</v>
      </c>
      <c r="C557" t="s">
        <v>1574</v>
      </c>
      <c r="D557" t="s">
        <v>1574</v>
      </c>
      <c r="E557" t="s">
        <v>1574</v>
      </c>
      <c r="F557" t="s">
        <v>1575</v>
      </c>
      <c r="G557" t="s">
        <v>1574</v>
      </c>
      <c r="H557" t="s">
        <v>1574</v>
      </c>
      <c r="I557" t="s">
        <v>1576</v>
      </c>
      <c r="J557" t="s">
        <v>1573</v>
      </c>
      <c r="K557" t="s">
        <v>1577</v>
      </c>
      <c r="L557" t="s">
        <v>1574</v>
      </c>
      <c r="M557" t="s">
        <v>1574</v>
      </c>
      <c r="N557" t="s">
        <v>1574</v>
      </c>
      <c r="O557" t="s">
        <v>1578</v>
      </c>
      <c r="P557" t="s">
        <v>1576</v>
      </c>
      <c r="Q557" t="s">
        <v>1579</v>
      </c>
      <c r="R557" t="s">
        <v>1580</v>
      </c>
      <c r="S557" t="s">
        <v>1580</v>
      </c>
      <c r="T557" t="s">
        <v>1576</v>
      </c>
      <c r="U557" t="s">
        <v>1576</v>
      </c>
      <c r="V557" t="str" cm="1">
        <f t="array" aca="1" ref="V557" ca="1">IFERROR(_xlfn.IFS(A555="  ..............",OFFSET(A555,2,0),A554=" X-------------X",OFFSET(A554,3,0),MATCH("  ..............",A557:A566,0)&gt;2,V556),"-")</f>
        <v>-</v>
      </c>
      <c r="W557" t="str">
        <f t="shared" ca="1" si="24"/>
        <v>-</v>
      </c>
      <c r="X557" t="str">
        <f t="shared" ca="1" si="25"/>
        <v/>
      </c>
      <c r="Y557" s="1" t="str">
        <f t="shared" ca="1" si="26"/>
        <v/>
      </c>
    </row>
    <row r="558" spans="1:25" x14ac:dyDescent="0.25">
      <c r="A558" t="s">
        <v>2103</v>
      </c>
      <c r="B558">
        <v>1.014</v>
      </c>
      <c r="C558">
        <v>0</v>
      </c>
      <c r="D558">
        <v>0</v>
      </c>
      <c r="E558">
        <v>6.3</v>
      </c>
      <c r="F558">
        <v>0</v>
      </c>
      <c r="G558">
        <v>0</v>
      </c>
      <c r="H558">
        <v>0</v>
      </c>
      <c r="I558" t="s">
        <v>1581</v>
      </c>
      <c r="J558" t="s">
        <v>1581</v>
      </c>
      <c r="K558" t="s">
        <v>1581</v>
      </c>
      <c r="L558" t="s">
        <v>1581</v>
      </c>
      <c r="M558" t="s">
        <v>1581</v>
      </c>
      <c r="N558" t="s">
        <v>1581</v>
      </c>
      <c r="O558" t="s">
        <v>1581</v>
      </c>
      <c r="P558" t="s">
        <v>1581</v>
      </c>
      <c r="Q558" t="s">
        <v>1581</v>
      </c>
      <c r="R558" t="s">
        <v>1581</v>
      </c>
      <c r="S558" t="s">
        <v>1581</v>
      </c>
      <c r="T558" t="s">
        <v>1581</v>
      </c>
      <c r="U558" t="s">
        <v>1581</v>
      </c>
      <c r="V558" t="str" cm="1">
        <f t="array" aca="1" ref="V558" ca="1">IFERROR(_xlfn.IFS(A556="  ..............",OFFSET(A556,2,0),A555=" X-------------X",OFFSET(A555,3,0),MATCH("  ..............",A558:A567,0)&gt;2,V557),"-")</f>
        <v>-</v>
      </c>
      <c r="W558" t="str">
        <f t="shared" ca="1" si="24"/>
        <v>-</v>
      </c>
      <c r="X558" t="str">
        <f t="shared" ca="1" si="25"/>
        <v xml:space="preserve">              </v>
      </c>
      <c r="Y558" s="1">
        <f t="shared" ca="1" si="26"/>
        <v>0</v>
      </c>
    </row>
    <row r="559" spans="1:25" x14ac:dyDescent="0.25">
      <c r="A559" t="s">
        <v>2104</v>
      </c>
      <c r="B559">
        <v>-52.2</v>
      </c>
      <c r="C559">
        <v>0</v>
      </c>
      <c r="D559">
        <v>0</v>
      </c>
      <c r="E559">
        <v>2.4</v>
      </c>
      <c r="F559">
        <v>0</v>
      </c>
      <c r="G559">
        <v>0</v>
      </c>
      <c r="H559">
        <v>0</v>
      </c>
      <c r="I559" t="s">
        <v>1584</v>
      </c>
      <c r="J559" t="s">
        <v>1585</v>
      </c>
      <c r="K559" t="s">
        <v>1586</v>
      </c>
      <c r="L559" t="s">
        <v>1587</v>
      </c>
      <c r="M559" t="s">
        <v>1587</v>
      </c>
      <c r="N559" t="s">
        <v>1586</v>
      </c>
      <c r="O559" t="s">
        <v>1581</v>
      </c>
      <c r="P559" t="s">
        <v>1581</v>
      </c>
      <c r="Q559" t="s">
        <v>1581</v>
      </c>
      <c r="R559" t="s">
        <v>1581</v>
      </c>
      <c r="S559" t="s">
        <v>1581</v>
      </c>
      <c r="T559" t="s">
        <v>1581</v>
      </c>
      <c r="U559" t="s">
        <v>1581</v>
      </c>
      <c r="V559" t="str" cm="1">
        <f t="array" aca="1" ref="V559" ca="1">IFERROR(_xlfn.IFS(A557="  ..............",OFFSET(A557,2,0),A556=" X-------------X",OFFSET(A556,3,0),MATCH("  ..............",A559:A568,0)&gt;2,V558),"-")</f>
        <v xml:space="preserve">  POLINDTAP069  </v>
      </c>
      <c r="W559">
        <f t="shared" ca="1" si="24"/>
        <v>1.014</v>
      </c>
      <c r="X559" t="str">
        <f t="shared" ca="1" si="25"/>
        <v xml:space="preserve"> PPETRO-RS069 </v>
      </c>
      <c r="Y559" s="1">
        <f t="shared" ca="1" si="26"/>
        <v>0.217</v>
      </c>
    </row>
    <row r="560" spans="1:25" x14ac:dyDescent="0.25">
      <c r="A560" t="s">
        <v>1588</v>
      </c>
      <c r="B560" t="s">
        <v>1587</v>
      </c>
      <c r="C560">
        <v>83</v>
      </c>
      <c r="D560">
        <v>83</v>
      </c>
      <c r="E560">
        <v>83</v>
      </c>
      <c r="F560" s="1">
        <v>0.217</v>
      </c>
      <c r="G560" t="s">
        <v>1587</v>
      </c>
      <c r="H560" t="s">
        <v>1587</v>
      </c>
      <c r="I560">
        <v>2077</v>
      </c>
      <c r="J560" t="s">
        <v>2105</v>
      </c>
      <c r="K560">
        <v>1</v>
      </c>
      <c r="L560">
        <v>-16.899999999999999</v>
      </c>
      <c r="M560">
        <v>-6.9</v>
      </c>
      <c r="N560">
        <v>18</v>
      </c>
      <c r="O560" t="s">
        <v>1594</v>
      </c>
      <c r="P560" t="s">
        <v>1584</v>
      </c>
      <c r="Q560" t="s">
        <v>1591</v>
      </c>
      <c r="R560">
        <v>7.0000000000000007E-2</v>
      </c>
      <c r="S560">
        <v>0.13</v>
      </c>
      <c r="T560" t="s">
        <v>1584</v>
      </c>
      <c r="U560" t="s">
        <v>1592</v>
      </c>
      <c r="V560" t="str" cm="1">
        <f t="array" aca="1" ref="V560" ca="1">IFERROR(_xlfn.IFS(A558="  ..............",OFFSET(A558,2,0),A557=" X-------------X",OFFSET(A557,3,0),MATCH("  ..............",A560:A569,0)&gt;2,V559),"-")</f>
        <v xml:space="preserve">  POLINDTAP069  </v>
      </c>
      <c r="W560">
        <f t="shared" ca="1" si="24"/>
        <v>1.014</v>
      </c>
      <c r="X560" t="str">
        <f t="shared" ca="1" si="25"/>
        <v xml:space="preserve"> HEXION-RS069 </v>
      </c>
      <c r="Y560" s="1">
        <f t="shared" ca="1" si="26"/>
        <v>0.379</v>
      </c>
    </row>
    <row r="561" spans="1:25" x14ac:dyDescent="0.25">
      <c r="A561" t="s">
        <v>1588</v>
      </c>
      <c r="B561" t="s">
        <v>1587</v>
      </c>
      <c r="C561">
        <v>30</v>
      </c>
      <c r="D561">
        <v>48</v>
      </c>
      <c r="E561">
        <v>48</v>
      </c>
      <c r="F561" s="1">
        <v>0.379</v>
      </c>
      <c r="G561" t="s">
        <v>1587</v>
      </c>
      <c r="H561" t="s">
        <v>1587</v>
      </c>
      <c r="I561">
        <v>9716</v>
      </c>
      <c r="J561" t="s">
        <v>2106</v>
      </c>
      <c r="K561">
        <v>1</v>
      </c>
      <c r="L561">
        <v>10.6</v>
      </c>
      <c r="M561">
        <v>4.5</v>
      </c>
      <c r="N561">
        <v>11.4</v>
      </c>
      <c r="O561" t="s">
        <v>1594</v>
      </c>
      <c r="P561" t="s">
        <v>1584</v>
      </c>
      <c r="Q561" t="s">
        <v>1591</v>
      </c>
      <c r="R561">
        <v>0.01</v>
      </c>
      <c r="S561">
        <v>0</v>
      </c>
      <c r="T561" t="s">
        <v>1584</v>
      </c>
      <c r="U561" t="s">
        <v>1592</v>
      </c>
      <c r="V561" t="str" cm="1">
        <f t="array" aca="1" ref="V561" ca="1">IFERROR(_xlfn.IFS(A559="  ..............",OFFSET(A559,2,0),A558=" X-------------X",OFFSET(A558,3,0),MATCH("  ..............",A561:A570,0)&gt;2,V560),"-")</f>
        <v>-</v>
      </c>
      <c r="W561" t="str">
        <f t="shared" ca="1" si="24"/>
        <v>-</v>
      </c>
      <c r="X561" t="str">
        <f t="shared" ca="1" si="25"/>
        <v>-</v>
      </c>
      <c r="Y561" s="1" t="str">
        <f t="shared" ca="1" si="26"/>
        <v>-</v>
      </c>
    </row>
    <row r="562" spans="1:25" x14ac:dyDescent="0.25">
      <c r="A562" t="s">
        <v>1572</v>
      </c>
      <c r="B562" t="s">
        <v>1574</v>
      </c>
      <c r="C562" t="s">
        <v>1574</v>
      </c>
      <c r="D562" t="s">
        <v>1574</v>
      </c>
      <c r="E562" t="s">
        <v>1574</v>
      </c>
      <c r="F562" t="s">
        <v>1575</v>
      </c>
      <c r="G562" t="s">
        <v>1574</v>
      </c>
      <c r="H562" t="s">
        <v>1574</v>
      </c>
      <c r="I562" t="s">
        <v>1576</v>
      </c>
      <c r="J562" t="s">
        <v>1573</v>
      </c>
      <c r="K562" t="s">
        <v>1577</v>
      </c>
      <c r="L562" t="s">
        <v>1574</v>
      </c>
      <c r="M562" t="s">
        <v>1574</v>
      </c>
      <c r="N562" t="s">
        <v>1574</v>
      </c>
      <c r="O562" t="s">
        <v>1578</v>
      </c>
      <c r="P562" t="s">
        <v>1576</v>
      </c>
      <c r="Q562" t="s">
        <v>1579</v>
      </c>
      <c r="R562" t="s">
        <v>1580</v>
      </c>
      <c r="S562" t="s">
        <v>1580</v>
      </c>
      <c r="T562" t="s">
        <v>1576</v>
      </c>
      <c r="U562" t="s">
        <v>1576</v>
      </c>
      <c r="V562" t="str" cm="1">
        <f t="array" aca="1" ref="V562" ca="1">IFERROR(_xlfn.IFS(A560="  ..............",OFFSET(A560,2,0),A559=" X-------------X",OFFSET(A559,3,0),MATCH("  ..............",A562:A571,0)&gt;2,V561),"-")</f>
        <v>-</v>
      </c>
      <c r="W562" t="str">
        <f t="shared" ca="1" si="24"/>
        <v>-</v>
      </c>
      <c r="X562" t="str">
        <f t="shared" ca="1" si="25"/>
        <v/>
      </c>
      <c r="Y562" s="1" t="str">
        <f t="shared" ca="1" si="26"/>
        <v/>
      </c>
    </row>
    <row r="563" spans="1:25" x14ac:dyDescent="0.25">
      <c r="A563" t="s">
        <v>2107</v>
      </c>
      <c r="B563">
        <v>1.014</v>
      </c>
      <c r="C563">
        <v>0</v>
      </c>
      <c r="D563">
        <v>0</v>
      </c>
      <c r="E563">
        <v>5.6</v>
      </c>
      <c r="F563">
        <v>0</v>
      </c>
      <c r="G563">
        <v>0</v>
      </c>
      <c r="H563">
        <v>0</v>
      </c>
      <c r="I563" t="s">
        <v>1581</v>
      </c>
      <c r="J563" t="s">
        <v>1581</v>
      </c>
      <c r="K563" t="s">
        <v>1581</v>
      </c>
      <c r="L563" t="s">
        <v>1581</v>
      </c>
      <c r="M563" t="s">
        <v>1581</v>
      </c>
      <c r="N563" t="s">
        <v>1581</v>
      </c>
      <c r="O563" t="s">
        <v>1581</v>
      </c>
      <c r="P563" t="s">
        <v>1581</v>
      </c>
      <c r="Q563" t="s">
        <v>1581</v>
      </c>
      <c r="R563" t="s">
        <v>1581</v>
      </c>
      <c r="S563" t="s">
        <v>1581</v>
      </c>
      <c r="T563" t="s">
        <v>1581</v>
      </c>
      <c r="U563" t="s">
        <v>1581</v>
      </c>
      <c r="V563" t="str" cm="1">
        <f t="array" aca="1" ref="V563" ca="1">IFERROR(_xlfn.IFS(A561="  ..............",OFFSET(A561,2,0),A560=" X-------------X",OFFSET(A560,3,0),MATCH("  ..............",A563:A572,0)&gt;2,V562),"-")</f>
        <v>-</v>
      </c>
      <c r="W563" t="str">
        <f t="shared" ca="1" si="24"/>
        <v>-</v>
      </c>
      <c r="X563" t="str">
        <f t="shared" ca="1" si="25"/>
        <v xml:space="preserve">              </v>
      </c>
      <c r="Y563" s="1">
        <f t="shared" ca="1" si="26"/>
        <v>0</v>
      </c>
    </row>
    <row r="564" spans="1:25" x14ac:dyDescent="0.25">
      <c r="A564" t="s">
        <v>2108</v>
      </c>
      <c r="B564">
        <v>-42.8</v>
      </c>
      <c r="C564">
        <v>0</v>
      </c>
      <c r="D564">
        <v>0</v>
      </c>
      <c r="E564">
        <v>2.9</v>
      </c>
      <c r="F564">
        <v>0</v>
      </c>
      <c r="G564">
        <v>0</v>
      </c>
      <c r="H564">
        <v>0</v>
      </c>
      <c r="I564" t="s">
        <v>1584</v>
      </c>
      <c r="J564" t="s">
        <v>1585</v>
      </c>
      <c r="K564" t="s">
        <v>1586</v>
      </c>
      <c r="L564" t="s">
        <v>1587</v>
      </c>
      <c r="M564" t="s">
        <v>1587</v>
      </c>
      <c r="N564" t="s">
        <v>1586</v>
      </c>
      <c r="O564" t="s">
        <v>1581</v>
      </c>
      <c r="P564" t="s">
        <v>1581</v>
      </c>
      <c r="Q564" t="s">
        <v>1581</v>
      </c>
      <c r="R564" t="s">
        <v>1581</v>
      </c>
      <c r="S564" t="s">
        <v>1581</v>
      </c>
      <c r="T564" t="s">
        <v>1581</v>
      </c>
      <c r="U564" t="s">
        <v>1581</v>
      </c>
      <c r="V564" t="str" cm="1">
        <f t="array" aca="1" ref="V564" ca="1">IFERROR(_xlfn.IFS(A562="  ..............",OFFSET(A562,2,0),A561=" X-------------X",OFFSET(A561,3,0),MATCH("  ..............",A564:A573,0)&gt;2,V563),"-")</f>
        <v xml:space="preserve">  CONSTA-RS138  </v>
      </c>
      <c r="W564">
        <f t="shared" ca="1" si="24"/>
        <v>1.014</v>
      </c>
      <c r="X564" t="str">
        <f t="shared" ca="1" si="25"/>
        <v xml:space="preserve"> PLANAL-RS138 </v>
      </c>
      <c r="Y564" s="1">
        <f t="shared" ca="1" si="26"/>
        <v>3.6999999999999998E-2</v>
      </c>
    </row>
    <row r="565" spans="1:25" x14ac:dyDescent="0.25">
      <c r="A565" t="s">
        <v>1588</v>
      </c>
      <c r="B565" t="s">
        <v>1587</v>
      </c>
      <c r="C565">
        <v>167</v>
      </c>
      <c r="D565">
        <v>203</v>
      </c>
      <c r="E565">
        <v>203</v>
      </c>
      <c r="F565" s="1">
        <v>3.6999999999999998E-2</v>
      </c>
      <c r="G565" t="s">
        <v>1587</v>
      </c>
      <c r="H565" t="s">
        <v>1587</v>
      </c>
      <c r="I565">
        <v>9549</v>
      </c>
      <c r="J565" t="s">
        <v>2109</v>
      </c>
      <c r="K565">
        <v>1</v>
      </c>
      <c r="L565">
        <v>-5.6</v>
      </c>
      <c r="M565">
        <v>-2.9</v>
      </c>
      <c r="N565">
        <v>6.2</v>
      </c>
      <c r="O565" t="s">
        <v>1594</v>
      </c>
      <c r="P565" t="s">
        <v>1584</v>
      </c>
      <c r="Q565" t="s">
        <v>1591</v>
      </c>
      <c r="R565">
        <v>0.01</v>
      </c>
      <c r="S565">
        <v>-3.46</v>
      </c>
      <c r="T565" t="s">
        <v>1584</v>
      </c>
      <c r="U565" t="s">
        <v>1592</v>
      </c>
      <c r="V565" t="str" cm="1">
        <f t="array" aca="1" ref="V565" ca="1">IFERROR(_xlfn.IFS(A563="  ..............",OFFSET(A563,2,0),A562=" X-------------X",OFFSET(A562,3,0),MATCH("  ..............",A565:A574,0)&gt;2,V564),"-")</f>
        <v>-</v>
      </c>
      <c r="W565" t="str">
        <f t="shared" ca="1" si="24"/>
        <v>-</v>
      </c>
      <c r="X565" t="str">
        <f t="shared" ca="1" si="25"/>
        <v>-</v>
      </c>
      <c r="Y565" s="1" t="str">
        <f t="shared" ca="1" si="26"/>
        <v>-</v>
      </c>
    </row>
    <row r="566" spans="1:25" x14ac:dyDescent="0.25">
      <c r="A566" t="s">
        <v>1572</v>
      </c>
      <c r="B566" t="s">
        <v>1574</v>
      </c>
      <c r="C566" t="s">
        <v>1574</v>
      </c>
      <c r="D566" t="s">
        <v>1574</v>
      </c>
      <c r="E566" t="s">
        <v>1574</v>
      </c>
      <c r="F566" t="s">
        <v>1575</v>
      </c>
      <c r="G566" t="s">
        <v>1574</v>
      </c>
      <c r="H566" t="s">
        <v>1574</v>
      </c>
      <c r="I566" t="s">
        <v>1576</v>
      </c>
      <c r="J566" t="s">
        <v>1573</v>
      </c>
      <c r="K566" t="s">
        <v>1577</v>
      </c>
      <c r="L566" t="s">
        <v>1574</v>
      </c>
      <c r="M566" t="s">
        <v>1574</v>
      </c>
      <c r="N566" t="s">
        <v>1574</v>
      </c>
      <c r="O566" t="s">
        <v>1578</v>
      </c>
      <c r="P566" t="s">
        <v>1576</v>
      </c>
      <c r="Q566" t="s">
        <v>1579</v>
      </c>
      <c r="R566" t="s">
        <v>1580</v>
      </c>
      <c r="S566" t="s">
        <v>1580</v>
      </c>
      <c r="T566" t="s">
        <v>1576</v>
      </c>
      <c r="U566" t="s">
        <v>1576</v>
      </c>
      <c r="V566" t="str" cm="1">
        <f t="array" aca="1" ref="V566" ca="1">IFERROR(_xlfn.IFS(A564="  ..............",OFFSET(A564,2,0),A563=" X-------------X",OFFSET(A563,3,0),MATCH("  ..............",A566:A575,0)&gt;2,V565),"-")</f>
        <v>-</v>
      </c>
      <c r="W566" t="str">
        <f t="shared" ca="1" si="24"/>
        <v>-</v>
      </c>
      <c r="X566" t="str">
        <f t="shared" ca="1" si="25"/>
        <v/>
      </c>
      <c r="Y566" s="1" t="str">
        <f t="shared" ca="1" si="26"/>
        <v/>
      </c>
    </row>
    <row r="567" spans="1:25" x14ac:dyDescent="0.25">
      <c r="A567" t="s">
        <v>2110</v>
      </c>
      <c r="B567">
        <v>1.0169999999999999</v>
      </c>
      <c r="C567">
        <v>0</v>
      </c>
      <c r="D567">
        <v>0</v>
      </c>
      <c r="E567">
        <v>14.1</v>
      </c>
      <c r="F567">
        <v>0</v>
      </c>
      <c r="G567">
        <v>0</v>
      </c>
      <c r="H567">
        <v>0</v>
      </c>
      <c r="I567" t="s">
        <v>1581</v>
      </c>
      <c r="J567" t="s">
        <v>1581</v>
      </c>
      <c r="K567" t="s">
        <v>1581</v>
      </c>
      <c r="L567" t="s">
        <v>1581</v>
      </c>
      <c r="M567" t="s">
        <v>1581</v>
      </c>
      <c r="N567" t="s">
        <v>1581</v>
      </c>
      <c r="O567" t="s">
        <v>1581</v>
      </c>
      <c r="P567" t="s">
        <v>1581</v>
      </c>
      <c r="Q567" t="s">
        <v>1581</v>
      </c>
      <c r="R567" t="s">
        <v>1581</v>
      </c>
      <c r="S567" t="s">
        <v>1581</v>
      </c>
      <c r="T567" t="s">
        <v>1581</v>
      </c>
      <c r="U567" t="s">
        <v>1581</v>
      </c>
      <c r="V567" t="str" cm="1">
        <f t="array" aca="1" ref="V567" ca="1">IFERROR(_xlfn.IFS(A565="  ..............",OFFSET(A565,2,0),A564=" X-------------X",OFFSET(A564,3,0),MATCH("  ..............",A567:A576,0)&gt;2,V566),"-")</f>
        <v>-</v>
      </c>
      <c r="W567" t="str">
        <f t="shared" ca="1" si="24"/>
        <v>-</v>
      </c>
      <c r="X567" t="str">
        <f t="shared" ca="1" si="25"/>
        <v xml:space="preserve">              </v>
      </c>
      <c r="Y567" s="1">
        <f t="shared" ca="1" si="26"/>
        <v>0</v>
      </c>
    </row>
    <row r="568" spans="1:25" x14ac:dyDescent="0.25">
      <c r="A568" t="s">
        <v>2111</v>
      </c>
      <c r="B568">
        <v>-52.4</v>
      </c>
      <c r="C568">
        <v>0</v>
      </c>
      <c r="D568">
        <v>0</v>
      </c>
      <c r="E568">
        <v>5.2</v>
      </c>
      <c r="F568">
        <v>0</v>
      </c>
      <c r="G568">
        <v>0</v>
      </c>
      <c r="H568">
        <v>0</v>
      </c>
      <c r="I568" t="s">
        <v>1584</v>
      </c>
      <c r="J568" t="s">
        <v>1585</v>
      </c>
      <c r="K568" t="s">
        <v>1586</v>
      </c>
      <c r="L568" t="s">
        <v>1587</v>
      </c>
      <c r="M568" t="s">
        <v>1587</v>
      </c>
      <c r="N568" t="s">
        <v>1586</v>
      </c>
      <c r="O568" t="s">
        <v>1581</v>
      </c>
      <c r="P568" t="s">
        <v>1581</v>
      </c>
      <c r="Q568" t="s">
        <v>1581</v>
      </c>
      <c r="R568" t="s">
        <v>1581</v>
      </c>
      <c r="S568" t="s">
        <v>1581</v>
      </c>
      <c r="T568" t="s">
        <v>1581</v>
      </c>
      <c r="U568" t="s">
        <v>1581</v>
      </c>
      <c r="V568" t="str" cm="1">
        <f t="array" aca="1" ref="V568" ca="1">IFERROR(_xlfn.IFS(A566="  ..............",OFFSET(A566,2,0),A565=" X-------------X",OFFSET(A565,3,0),MATCH("  ..............",A568:A577,0)&gt;2,V567),"-")</f>
        <v xml:space="preserve">  NSRIT2-RS138  </v>
      </c>
      <c r="W568">
        <f t="shared" ca="1" si="24"/>
        <v>1.0169999999999999</v>
      </c>
      <c r="X568" t="str">
        <f t="shared" ca="1" si="25"/>
        <v xml:space="preserve"> CINPAL-RS138 </v>
      </c>
      <c r="Y568" s="1">
        <f t="shared" ca="1" si="26"/>
        <v>0.36</v>
      </c>
    </row>
    <row r="569" spans="1:25" x14ac:dyDescent="0.25">
      <c r="A569" t="s">
        <v>1588</v>
      </c>
      <c r="B569" t="s">
        <v>1587</v>
      </c>
      <c r="C569">
        <v>134</v>
      </c>
      <c r="D569">
        <v>162</v>
      </c>
      <c r="E569">
        <v>162</v>
      </c>
      <c r="F569" s="1">
        <v>5.5E-2</v>
      </c>
      <c r="G569" t="s">
        <v>1587</v>
      </c>
      <c r="H569" t="s">
        <v>1587</v>
      </c>
      <c r="I569">
        <v>1257</v>
      </c>
      <c r="J569" t="s">
        <v>1877</v>
      </c>
      <c r="K569">
        <v>1</v>
      </c>
      <c r="L569">
        <v>-7.1</v>
      </c>
      <c r="M569">
        <v>-2.6</v>
      </c>
      <c r="N569">
        <v>7.4</v>
      </c>
      <c r="O569" t="s">
        <v>1594</v>
      </c>
      <c r="P569" t="s">
        <v>1584</v>
      </c>
      <c r="Q569" t="s">
        <v>1591</v>
      </c>
      <c r="R569">
        <v>0.01</v>
      </c>
      <c r="S569">
        <v>-0.66</v>
      </c>
      <c r="T569" t="s">
        <v>1584</v>
      </c>
      <c r="U569" t="s">
        <v>1592</v>
      </c>
      <c r="V569" t="str" cm="1">
        <f t="array" aca="1" ref="V569" ca="1">IFERROR(_xlfn.IFS(A567="  ..............",OFFSET(A567,2,0),A566=" X-------------X",OFFSET(A566,3,0),MATCH("  ..............",A569:A578,0)&gt;2,V568),"-")</f>
        <v xml:space="preserve">  NSRIT2-RS138  </v>
      </c>
      <c r="W569">
        <f t="shared" ca="1" si="24"/>
        <v>1.0169999999999999</v>
      </c>
      <c r="X569" t="str">
        <f t="shared" ca="1" si="25"/>
        <v xml:space="preserve"> CINPAL-RS138 </v>
      </c>
      <c r="Y569" s="1">
        <f t="shared" ca="1" si="26"/>
        <v>0.36</v>
      </c>
    </row>
    <row r="570" spans="1:25" x14ac:dyDescent="0.25">
      <c r="A570" t="s">
        <v>1588</v>
      </c>
      <c r="B570" t="s">
        <v>1587</v>
      </c>
      <c r="C570">
        <v>134</v>
      </c>
      <c r="D570">
        <v>162</v>
      </c>
      <c r="E570">
        <v>162</v>
      </c>
      <c r="F570" s="1">
        <v>5.5E-2</v>
      </c>
      <c r="G570" t="s">
        <v>1587</v>
      </c>
      <c r="H570" t="s">
        <v>1587</v>
      </c>
      <c r="I570">
        <v>1257</v>
      </c>
      <c r="J570" t="s">
        <v>1877</v>
      </c>
      <c r="K570">
        <v>2</v>
      </c>
      <c r="L570">
        <v>-7.1</v>
      </c>
      <c r="M570">
        <v>-2.6</v>
      </c>
      <c r="N570">
        <v>7.4</v>
      </c>
      <c r="O570" t="s">
        <v>1594</v>
      </c>
      <c r="P570" t="s">
        <v>1584</v>
      </c>
      <c r="Q570" t="s">
        <v>1591</v>
      </c>
      <c r="R570">
        <v>0.01</v>
      </c>
      <c r="S570">
        <v>-0.66</v>
      </c>
      <c r="T570" t="s">
        <v>1584</v>
      </c>
      <c r="U570" t="s">
        <v>1592</v>
      </c>
      <c r="V570" t="str" cm="1">
        <f t="array" aca="1" ref="V570" ca="1">IFERROR(_xlfn.IFS(A568="  ..............",OFFSET(A568,2,0),A567=" X-------------X",OFFSET(A567,3,0),MATCH("  ..............",A570:A579,0)&gt;2,V569),"-")</f>
        <v>-</v>
      </c>
      <c r="W570" t="str">
        <f t="shared" ca="1" si="24"/>
        <v>-</v>
      </c>
      <c r="X570" t="str">
        <f t="shared" ca="1" si="25"/>
        <v>-</v>
      </c>
      <c r="Y570" s="1" t="str">
        <f t="shared" ca="1" si="26"/>
        <v>-</v>
      </c>
    </row>
    <row r="571" spans="1:25" x14ac:dyDescent="0.25">
      <c r="A571" t="s">
        <v>1572</v>
      </c>
      <c r="B571" t="s">
        <v>1574</v>
      </c>
      <c r="C571" t="s">
        <v>1574</v>
      </c>
      <c r="D571" t="s">
        <v>1574</v>
      </c>
      <c r="E571" t="s">
        <v>1574</v>
      </c>
      <c r="F571" t="s">
        <v>1575</v>
      </c>
      <c r="G571" t="s">
        <v>1574</v>
      </c>
      <c r="H571" t="s">
        <v>1574</v>
      </c>
      <c r="I571" t="s">
        <v>1576</v>
      </c>
      <c r="J571" t="s">
        <v>1573</v>
      </c>
      <c r="K571" t="s">
        <v>1577</v>
      </c>
      <c r="L571" t="s">
        <v>1574</v>
      </c>
      <c r="M571" t="s">
        <v>1574</v>
      </c>
      <c r="N571" t="s">
        <v>1574</v>
      </c>
      <c r="O571" t="s">
        <v>1578</v>
      </c>
      <c r="P571" t="s">
        <v>1576</v>
      </c>
      <c r="Q571" t="s">
        <v>1579</v>
      </c>
      <c r="R571" t="s">
        <v>1580</v>
      </c>
      <c r="S571" t="s">
        <v>1580</v>
      </c>
      <c r="T571" t="s">
        <v>1576</v>
      </c>
      <c r="U571" t="s">
        <v>1576</v>
      </c>
      <c r="V571" t="str" cm="1">
        <f t="array" aca="1" ref="V571" ca="1">IFERROR(_xlfn.IFS(A569="  ..............",OFFSET(A569,2,0),A568=" X-------------X",OFFSET(A568,3,0),MATCH("  ..............",A571:A580,0)&gt;2,V570),"-")</f>
        <v>-</v>
      </c>
      <c r="W571" t="str">
        <f t="shared" ca="1" si="24"/>
        <v>-</v>
      </c>
      <c r="X571" t="str">
        <f t="shared" ca="1" si="25"/>
        <v/>
      </c>
      <c r="Y571" s="1" t="str">
        <f t="shared" ca="1" si="26"/>
        <v/>
      </c>
    </row>
    <row r="572" spans="1:25" x14ac:dyDescent="0.25">
      <c r="A572" t="s">
        <v>2112</v>
      </c>
      <c r="B572">
        <v>1.0189999999999999</v>
      </c>
      <c r="C572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 t="s">
        <v>1581</v>
      </c>
      <c r="J572" t="s">
        <v>1581</v>
      </c>
      <c r="K572" t="s">
        <v>1581</v>
      </c>
      <c r="L572" t="s">
        <v>1581</v>
      </c>
      <c r="M572" t="s">
        <v>1581</v>
      </c>
      <c r="N572" t="s">
        <v>1581</v>
      </c>
      <c r="O572" t="s">
        <v>1581</v>
      </c>
      <c r="P572" t="s">
        <v>1581</v>
      </c>
      <c r="Q572" t="s">
        <v>1581</v>
      </c>
      <c r="R572" t="s">
        <v>1581</v>
      </c>
      <c r="S572" t="s">
        <v>1581</v>
      </c>
      <c r="T572" t="s">
        <v>1581</v>
      </c>
      <c r="U572" t="s">
        <v>1581</v>
      </c>
      <c r="V572" t="str" cm="1">
        <f t="array" aca="1" ref="V572" ca="1">IFERROR(_xlfn.IFS(A570="  ..............",OFFSET(A570,2,0),A569=" X-------------X",OFFSET(A569,3,0),MATCH("  ..............",A572:A581,0)&gt;2,V571),"-")</f>
        <v>-</v>
      </c>
      <c r="W572" t="str">
        <f t="shared" ca="1" si="24"/>
        <v>-</v>
      </c>
      <c r="X572" t="str">
        <f t="shared" ca="1" si="25"/>
        <v xml:space="preserve">              </v>
      </c>
      <c r="Y572" s="1">
        <f t="shared" ca="1" si="26"/>
        <v>0</v>
      </c>
    </row>
    <row r="573" spans="1:25" x14ac:dyDescent="0.25">
      <c r="A573" t="s">
        <v>2113</v>
      </c>
      <c r="B573">
        <v>-52</v>
      </c>
      <c r="C573">
        <v>0</v>
      </c>
      <c r="D573">
        <v>0</v>
      </c>
      <c r="E573">
        <v>0.4</v>
      </c>
      <c r="F573">
        <v>0</v>
      </c>
      <c r="G573">
        <v>0</v>
      </c>
      <c r="H573">
        <v>0</v>
      </c>
      <c r="I573" t="s">
        <v>1584</v>
      </c>
      <c r="J573" t="s">
        <v>1585</v>
      </c>
      <c r="K573" t="s">
        <v>1586</v>
      </c>
      <c r="L573" t="s">
        <v>1587</v>
      </c>
      <c r="M573" t="s">
        <v>1587</v>
      </c>
      <c r="N573" t="s">
        <v>1586</v>
      </c>
      <c r="O573" t="s">
        <v>1581</v>
      </c>
      <c r="P573" t="s">
        <v>1581</v>
      </c>
      <c r="Q573" t="s">
        <v>1581</v>
      </c>
      <c r="R573" t="s">
        <v>1581</v>
      </c>
      <c r="S573" t="s">
        <v>1581</v>
      </c>
      <c r="T573" t="s">
        <v>1581</v>
      </c>
      <c r="U573" t="s">
        <v>1581</v>
      </c>
      <c r="V573" t="str" cm="1">
        <f t="array" aca="1" ref="V573" ca="1">IFERROR(_xlfn.IFS(A571="  ..............",OFFSET(A571,2,0),A570=" X-------------X",OFFSET(A570,3,0),MATCH("  ..............",A573:A582,0)&gt;2,V572),"-")</f>
        <v xml:space="preserve">  SITEL-TAP069  </v>
      </c>
      <c r="W573">
        <f t="shared" ca="1" si="24"/>
        <v>1.0189999999999999</v>
      </c>
      <c r="X573" t="str">
        <f t="shared" ca="1" si="25"/>
        <v xml:space="preserve"> SRITA-TAP069 </v>
      </c>
      <c r="Y573" s="1">
        <f t="shared" ca="1" si="26"/>
        <v>0.45800000000000002</v>
      </c>
    </row>
    <row r="574" spans="1:25" x14ac:dyDescent="0.25">
      <c r="A574" t="s">
        <v>1588</v>
      </c>
      <c r="B574" t="s">
        <v>1587</v>
      </c>
      <c r="C574">
        <v>48</v>
      </c>
      <c r="D574">
        <v>71</v>
      </c>
      <c r="E574">
        <v>71</v>
      </c>
      <c r="F574" s="1">
        <v>0.56499999999999995</v>
      </c>
      <c r="G574" t="s">
        <v>1587</v>
      </c>
      <c r="H574" t="s">
        <v>1587</v>
      </c>
      <c r="I574">
        <v>1341</v>
      </c>
      <c r="J574" t="s">
        <v>2048</v>
      </c>
      <c r="K574">
        <v>1</v>
      </c>
      <c r="L574">
        <v>27.3</v>
      </c>
      <c r="M574">
        <v>4.3</v>
      </c>
      <c r="N574">
        <v>27.1</v>
      </c>
      <c r="O574" t="s">
        <v>1594</v>
      </c>
      <c r="P574" t="s">
        <v>1584</v>
      </c>
      <c r="Q574" t="s">
        <v>1591</v>
      </c>
      <c r="R574">
        <v>0.2</v>
      </c>
      <c r="S574">
        <v>0.74</v>
      </c>
      <c r="T574" t="s">
        <v>1584</v>
      </c>
      <c r="U574" t="s">
        <v>1592</v>
      </c>
      <c r="V574" t="str" cm="1">
        <f t="array" aca="1" ref="V574" ca="1">IFERROR(_xlfn.IFS(A572="  ..............",OFFSET(A572,2,0),A571=" X-------------X",OFFSET(A571,3,0),MATCH("  ..............",A574:A583,0)&gt;2,V573),"-")</f>
        <v xml:space="preserve">  SITEL-TAP069  </v>
      </c>
      <c r="W574">
        <f t="shared" ca="1" si="24"/>
        <v>1.0189999999999999</v>
      </c>
      <c r="X574" t="str">
        <f t="shared" ca="1" si="25"/>
        <v xml:space="preserve"> PPETRO-RS069 </v>
      </c>
      <c r="Y574" s="1">
        <f t="shared" ca="1" si="26"/>
        <v>0.217</v>
      </c>
    </row>
    <row r="575" spans="1:25" x14ac:dyDescent="0.25">
      <c r="A575" t="s">
        <v>1588</v>
      </c>
      <c r="B575" t="s">
        <v>1587</v>
      </c>
      <c r="C575">
        <v>84</v>
      </c>
      <c r="D575">
        <v>101</v>
      </c>
      <c r="E575">
        <v>101</v>
      </c>
      <c r="F575" s="1">
        <v>0.33500000000000002</v>
      </c>
      <c r="G575" t="s">
        <v>1587</v>
      </c>
      <c r="H575" t="s">
        <v>1587</v>
      </c>
      <c r="I575">
        <v>2077</v>
      </c>
      <c r="J575" t="s">
        <v>2105</v>
      </c>
      <c r="K575">
        <v>1</v>
      </c>
      <c r="L575">
        <v>-28.3</v>
      </c>
      <c r="M575">
        <v>-4.7</v>
      </c>
      <c r="N575">
        <v>28.1</v>
      </c>
      <c r="O575" t="s">
        <v>1594</v>
      </c>
      <c r="P575" t="s">
        <v>1584</v>
      </c>
      <c r="Q575" t="s">
        <v>1591</v>
      </c>
      <c r="R575">
        <v>0.08</v>
      </c>
      <c r="S575">
        <v>0.23</v>
      </c>
      <c r="T575" t="s">
        <v>1584</v>
      </c>
      <c r="U575" t="s">
        <v>1592</v>
      </c>
      <c r="V575" t="str" cm="1">
        <f t="array" aca="1" ref="V575" ca="1">IFERROR(_xlfn.IFS(A573="  ..............",OFFSET(A573,2,0),A572=" X-------------X",OFFSET(A572,3,0),MATCH("  ..............",A575:A584,0)&gt;2,V574),"-")</f>
        <v>-</v>
      </c>
      <c r="W575" t="str">
        <f t="shared" ca="1" si="24"/>
        <v>-</v>
      </c>
      <c r="X575" t="str">
        <f t="shared" ca="1" si="25"/>
        <v>-</v>
      </c>
      <c r="Y575" s="1" t="str">
        <f t="shared" ca="1" si="26"/>
        <v>-</v>
      </c>
    </row>
    <row r="576" spans="1:25" x14ac:dyDescent="0.25">
      <c r="A576" t="s">
        <v>1572</v>
      </c>
      <c r="B576" t="s">
        <v>1574</v>
      </c>
      <c r="C576" t="s">
        <v>1574</v>
      </c>
      <c r="D576" t="s">
        <v>1574</v>
      </c>
      <c r="E576" t="s">
        <v>1574</v>
      </c>
      <c r="F576" t="s">
        <v>1575</v>
      </c>
      <c r="G576" t="s">
        <v>1574</v>
      </c>
      <c r="H576" t="s">
        <v>1574</v>
      </c>
      <c r="I576" t="s">
        <v>1576</v>
      </c>
      <c r="J576" t="s">
        <v>1573</v>
      </c>
      <c r="K576" t="s">
        <v>1577</v>
      </c>
      <c r="L576" t="s">
        <v>1574</v>
      </c>
      <c r="M576" t="s">
        <v>1574</v>
      </c>
      <c r="N576" t="s">
        <v>1574</v>
      </c>
      <c r="O576" t="s">
        <v>1578</v>
      </c>
      <c r="P576" t="s">
        <v>1576</v>
      </c>
      <c r="Q576" t="s">
        <v>1579</v>
      </c>
      <c r="R576" t="s">
        <v>1580</v>
      </c>
      <c r="S576" t="s">
        <v>1580</v>
      </c>
      <c r="T576" t="s">
        <v>1576</v>
      </c>
      <c r="U576" t="s">
        <v>1576</v>
      </c>
      <c r="V576" t="str" cm="1">
        <f t="array" aca="1" ref="V576" ca="1">IFERROR(_xlfn.IFS(A574="  ..............",OFFSET(A574,2,0),A573=" X-------------X",OFFSET(A573,3,0),MATCH("  ..............",A576:A585,0)&gt;2,V575),"-")</f>
        <v>-</v>
      </c>
      <c r="W576" t="str">
        <f t="shared" ca="1" si="24"/>
        <v>-</v>
      </c>
      <c r="X576" t="str">
        <f t="shared" ca="1" si="25"/>
        <v/>
      </c>
      <c r="Y576" s="1" t="str">
        <f t="shared" ca="1" si="26"/>
        <v/>
      </c>
    </row>
    <row r="577" spans="1:25" x14ac:dyDescent="0.25">
      <c r="A577" t="s">
        <v>2114</v>
      </c>
      <c r="B577">
        <v>0.99099999999999999</v>
      </c>
      <c r="C577">
        <v>0.3</v>
      </c>
      <c r="D577">
        <v>0</v>
      </c>
      <c r="E577">
        <v>27.2</v>
      </c>
      <c r="F577">
        <v>0</v>
      </c>
      <c r="G577">
        <v>3.5</v>
      </c>
      <c r="H577">
        <v>0</v>
      </c>
      <c r="I577" t="s">
        <v>1581</v>
      </c>
      <c r="J577" t="s">
        <v>1581</v>
      </c>
      <c r="K577" t="s">
        <v>1581</v>
      </c>
      <c r="L577" t="s">
        <v>1581</v>
      </c>
      <c r="M577" t="s">
        <v>1581</v>
      </c>
      <c r="N577" t="s">
        <v>1581</v>
      </c>
      <c r="O577" t="s">
        <v>1581</v>
      </c>
      <c r="P577" t="s">
        <v>1581</v>
      </c>
      <c r="Q577" t="s">
        <v>1581</v>
      </c>
      <c r="R577" t="s">
        <v>1581</v>
      </c>
      <c r="S577" t="s">
        <v>1581</v>
      </c>
      <c r="T577" t="s">
        <v>1581</v>
      </c>
      <c r="U577" t="s">
        <v>1581</v>
      </c>
      <c r="V577" t="str" cm="1">
        <f t="array" aca="1" ref="V577" ca="1">IFERROR(_xlfn.IFS(A575="  ..............",OFFSET(A575,2,0),A574=" X-------------X",OFFSET(A574,3,0),MATCH("  ..............",A577:A586,0)&gt;2,V576),"-")</f>
        <v>-</v>
      </c>
      <c r="W577" t="str">
        <f t="shared" ca="1" si="24"/>
        <v>-</v>
      </c>
      <c r="X577" t="str">
        <f t="shared" ca="1" si="25"/>
        <v xml:space="preserve">              </v>
      </c>
      <c r="Y577" s="1">
        <f t="shared" ca="1" si="26"/>
        <v>0</v>
      </c>
    </row>
    <row r="578" spans="1:25" x14ac:dyDescent="0.25">
      <c r="A578" t="s">
        <v>2115</v>
      </c>
      <c r="B578">
        <v>-48.7</v>
      </c>
      <c r="C578">
        <v>0</v>
      </c>
      <c r="D578">
        <v>0</v>
      </c>
      <c r="E578">
        <v>13</v>
      </c>
      <c r="F578">
        <v>0</v>
      </c>
      <c r="G578">
        <v>0</v>
      </c>
      <c r="H578">
        <v>0</v>
      </c>
      <c r="I578" t="s">
        <v>1584</v>
      </c>
      <c r="J578" t="s">
        <v>1585</v>
      </c>
      <c r="K578" t="s">
        <v>1586</v>
      </c>
      <c r="L578" t="s">
        <v>1587</v>
      </c>
      <c r="M578" t="s">
        <v>1587</v>
      </c>
      <c r="N578" t="s">
        <v>1586</v>
      </c>
      <c r="O578" t="s">
        <v>1581</v>
      </c>
      <c r="P578" t="s">
        <v>1581</v>
      </c>
      <c r="Q578" t="s">
        <v>1581</v>
      </c>
      <c r="R578" t="s">
        <v>1581</v>
      </c>
      <c r="S578" t="s">
        <v>1581</v>
      </c>
      <c r="T578" t="s">
        <v>1581</v>
      </c>
      <c r="U578" t="s">
        <v>1581</v>
      </c>
      <c r="V578" t="str" cm="1">
        <f t="array" aca="1" ref="V578" ca="1">IFERROR(_xlfn.IFS(A576="  ..............",OFFSET(A576,2,0),A575=" X-------------X",OFFSET(A575,3,0),MATCH("  ..............",A578:A587,0)&gt;2,V577),"-")</f>
        <v xml:space="preserve">  TAPEJA-RS138  </v>
      </c>
      <c r="W578">
        <f t="shared" ca="1" si="24"/>
        <v>0.99099999999999999</v>
      </c>
      <c r="X578" t="str">
        <f t="shared" ca="1" si="25"/>
        <v xml:space="preserve"> EREXI2-RS138 </v>
      </c>
      <c r="Y578" s="1">
        <f t="shared" ca="1" si="26"/>
        <v>0.251</v>
      </c>
    </row>
    <row r="579" spans="1:25" x14ac:dyDescent="0.25">
      <c r="A579" t="s">
        <v>1588</v>
      </c>
      <c r="B579" t="s">
        <v>1587</v>
      </c>
      <c r="C579">
        <v>137</v>
      </c>
      <c r="D579">
        <v>175</v>
      </c>
      <c r="E579">
        <v>175</v>
      </c>
      <c r="F579" s="1">
        <v>0.251</v>
      </c>
      <c r="G579" t="s">
        <v>1587</v>
      </c>
      <c r="H579" t="s">
        <v>1587</v>
      </c>
      <c r="I579">
        <v>1310</v>
      </c>
      <c r="J579" t="s">
        <v>2116</v>
      </c>
      <c r="K579">
        <v>1</v>
      </c>
      <c r="L579">
        <v>32.6</v>
      </c>
      <c r="M579">
        <v>9.9</v>
      </c>
      <c r="N579">
        <v>34.299999999999997</v>
      </c>
      <c r="O579" t="s">
        <v>1594</v>
      </c>
      <c r="P579" t="s">
        <v>1584</v>
      </c>
      <c r="Q579" t="s">
        <v>1591</v>
      </c>
      <c r="R579">
        <v>0.46</v>
      </c>
      <c r="S579">
        <v>-1.47</v>
      </c>
      <c r="T579" t="s">
        <v>1584</v>
      </c>
      <c r="U579" t="s">
        <v>1592</v>
      </c>
      <c r="V579" t="str" cm="1">
        <f t="array" aca="1" ref="V579" ca="1">IFERROR(_xlfn.IFS(A577="  ..............",OFFSET(A577,2,0),A576=" X-------------X",OFFSET(A576,3,0),MATCH("  ..............",A579:A588,0)&gt;2,V578),"-")</f>
        <v xml:space="preserve">  TAPEJA-RS138  </v>
      </c>
      <c r="W579">
        <f t="shared" ca="1" si="24"/>
        <v>0.99099999999999999</v>
      </c>
      <c r="X579" t="str">
        <f t="shared" ca="1" si="25"/>
        <v xml:space="preserve"> SANANDTAP138 </v>
      </c>
      <c r="Y579" s="1">
        <f t="shared" ca="1" si="26"/>
        <v>0.42599999999999999</v>
      </c>
    </row>
    <row r="580" spans="1:25" x14ac:dyDescent="0.25">
      <c r="A580" t="s">
        <v>1588</v>
      </c>
      <c r="B580" t="s">
        <v>1587</v>
      </c>
      <c r="C580">
        <v>167</v>
      </c>
      <c r="D580">
        <v>203</v>
      </c>
      <c r="E580">
        <v>203</v>
      </c>
      <c r="F580" s="1">
        <v>0.378</v>
      </c>
      <c r="G580" t="s">
        <v>1587</v>
      </c>
      <c r="H580" t="s">
        <v>1587</v>
      </c>
      <c r="I580">
        <v>9679</v>
      </c>
      <c r="J580" t="s">
        <v>2084</v>
      </c>
      <c r="K580">
        <v>1</v>
      </c>
      <c r="L580">
        <v>-59.5</v>
      </c>
      <c r="M580">
        <v>-19.399999999999999</v>
      </c>
      <c r="N580">
        <v>63.1</v>
      </c>
      <c r="O580" t="s">
        <v>1594</v>
      </c>
      <c r="P580" t="s">
        <v>1584</v>
      </c>
      <c r="Q580" t="s">
        <v>1591</v>
      </c>
      <c r="R580">
        <v>0.89</v>
      </c>
      <c r="S580">
        <v>0.98</v>
      </c>
      <c r="T580" t="s">
        <v>1584</v>
      </c>
      <c r="U580" t="s">
        <v>1592</v>
      </c>
      <c r="V580" t="str" cm="1">
        <f t="array" aca="1" ref="V580" ca="1">IFERROR(_xlfn.IFS(A578="  ..............",OFFSET(A578,2,0),A577=" X-------------X",OFFSET(A577,3,0),MATCH("  ..............",A580:A589,0)&gt;2,V579),"-")</f>
        <v>-</v>
      </c>
      <c r="W580" t="str">
        <f t="shared" ref="W580:W643" ca="1" si="27">IFERROR(OFFSET($A$1,MATCH(V580,A:A,0)-2,1),"-")</f>
        <v>-</v>
      </c>
      <c r="X580" t="str">
        <f t="shared" ref="X580:X643" ca="1" si="28">IFERROR(IF(V580=V579,OFFSET($J$1,ROW(X580),0),OFFSET($J$1,MATCH(V580,A:A,0),0)),"-")</f>
        <v>-</v>
      </c>
      <c r="Y580" s="1" t="str">
        <f t="shared" ref="Y580:Y643" ca="1" si="29">IFERROR(OFFSET($F$1,MATCH(X580,J:J,0)-1,0),"-")</f>
        <v>-</v>
      </c>
    </row>
    <row r="581" spans="1:25" x14ac:dyDescent="0.25">
      <c r="A581" t="s">
        <v>1572</v>
      </c>
      <c r="B581" t="s">
        <v>1574</v>
      </c>
      <c r="C581" t="s">
        <v>1574</v>
      </c>
      <c r="D581" t="s">
        <v>1574</v>
      </c>
      <c r="E581" t="s">
        <v>1574</v>
      </c>
      <c r="F581" t="s">
        <v>1575</v>
      </c>
      <c r="G581" t="s">
        <v>1574</v>
      </c>
      <c r="H581" t="s">
        <v>1574</v>
      </c>
      <c r="I581" t="s">
        <v>1576</v>
      </c>
      <c r="J581" t="s">
        <v>1573</v>
      </c>
      <c r="K581" t="s">
        <v>1577</v>
      </c>
      <c r="L581" t="s">
        <v>1574</v>
      </c>
      <c r="M581" t="s">
        <v>1574</v>
      </c>
      <c r="N581" t="s">
        <v>1574</v>
      </c>
      <c r="O581" t="s">
        <v>1578</v>
      </c>
      <c r="P581" t="s">
        <v>1576</v>
      </c>
      <c r="Q581" t="s">
        <v>1579</v>
      </c>
      <c r="R581" t="s">
        <v>1580</v>
      </c>
      <c r="S581" t="s">
        <v>1580</v>
      </c>
      <c r="T581" t="s">
        <v>1576</v>
      </c>
      <c r="U581" t="s">
        <v>1576</v>
      </c>
      <c r="V581" t="str" cm="1">
        <f t="array" aca="1" ref="V581" ca="1">IFERROR(_xlfn.IFS(A579="  ..............",OFFSET(A579,2,0),A578=" X-------------X",OFFSET(A578,3,0),MATCH("  ..............",A581:A590,0)&gt;2,V580),"-")</f>
        <v>-</v>
      </c>
      <c r="W581" t="str">
        <f t="shared" ca="1" si="27"/>
        <v>-</v>
      </c>
      <c r="X581" t="str">
        <f t="shared" ca="1" si="28"/>
        <v/>
      </c>
      <c r="Y581" s="1" t="str">
        <f t="shared" ca="1" si="29"/>
        <v/>
      </c>
    </row>
    <row r="582" spans="1:25" x14ac:dyDescent="0.25">
      <c r="A582" t="s">
        <v>2117</v>
      </c>
      <c r="B582">
        <v>1.008</v>
      </c>
      <c r="C582">
        <v>0</v>
      </c>
      <c r="D582">
        <v>0</v>
      </c>
      <c r="E582">
        <v>5</v>
      </c>
      <c r="F582">
        <v>0</v>
      </c>
      <c r="G582">
        <v>0</v>
      </c>
      <c r="H582">
        <v>0</v>
      </c>
      <c r="I582" t="s">
        <v>1581</v>
      </c>
      <c r="J582" t="s">
        <v>1581</v>
      </c>
      <c r="K582" t="s">
        <v>1581</v>
      </c>
      <c r="L582" t="s">
        <v>1581</v>
      </c>
      <c r="M582" t="s">
        <v>1581</v>
      </c>
      <c r="N582" t="s">
        <v>1581</v>
      </c>
      <c r="O582" t="s">
        <v>1581</v>
      </c>
      <c r="P582" t="s">
        <v>1581</v>
      </c>
      <c r="Q582" t="s">
        <v>1581</v>
      </c>
      <c r="R582" t="s">
        <v>1581</v>
      </c>
      <c r="S582" t="s">
        <v>1581</v>
      </c>
      <c r="T582" t="s">
        <v>1581</v>
      </c>
      <c r="U582" t="s">
        <v>1581</v>
      </c>
      <c r="V582" t="str" cm="1">
        <f t="array" aca="1" ref="V582" ca="1">IFERROR(_xlfn.IFS(A580="  ..............",OFFSET(A580,2,0),A579=" X-------------X",OFFSET(A579,3,0),MATCH("  ..............",A582:A591,0)&gt;2,V581),"-")</f>
        <v>-</v>
      </c>
      <c r="W582" t="str">
        <f t="shared" ca="1" si="27"/>
        <v>-</v>
      </c>
      <c r="X582" t="str">
        <f t="shared" ca="1" si="28"/>
        <v xml:space="preserve">              </v>
      </c>
      <c r="Y582" s="1">
        <f t="shared" ca="1" si="29"/>
        <v>0</v>
      </c>
    </row>
    <row r="583" spans="1:25" x14ac:dyDescent="0.25">
      <c r="A583" t="s">
        <v>2118</v>
      </c>
      <c r="B583">
        <v>-53.5</v>
      </c>
      <c r="C583">
        <v>0</v>
      </c>
      <c r="D583">
        <v>0</v>
      </c>
      <c r="E583">
        <v>2.1</v>
      </c>
      <c r="F583">
        <v>0</v>
      </c>
      <c r="G583">
        <v>0</v>
      </c>
      <c r="H583">
        <v>0</v>
      </c>
      <c r="I583" t="s">
        <v>1584</v>
      </c>
      <c r="J583" t="s">
        <v>1585</v>
      </c>
      <c r="K583" t="s">
        <v>1586</v>
      </c>
      <c r="L583" t="s">
        <v>1587</v>
      </c>
      <c r="M583" t="s">
        <v>1587</v>
      </c>
      <c r="N583" t="s">
        <v>1586</v>
      </c>
      <c r="O583" t="s">
        <v>1581</v>
      </c>
      <c r="P583" t="s">
        <v>1581</v>
      </c>
      <c r="Q583" t="s">
        <v>1581</v>
      </c>
      <c r="R583" t="s">
        <v>1581</v>
      </c>
      <c r="S583" t="s">
        <v>1581</v>
      </c>
      <c r="T583" t="s">
        <v>1581</v>
      </c>
      <c r="U583" t="s">
        <v>1581</v>
      </c>
      <c r="V583" t="str" cm="1">
        <f t="array" aca="1" ref="V583" ca="1">IFERROR(_xlfn.IFS(A581="  ..............",OFFSET(A581,2,0),A580=" X-------------X",OFFSET(A580,3,0),MATCH("  ..............",A583:A592,0)&gt;2,V582),"-")</f>
        <v xml:space="preserve">  SRITA-TAP069  </v>
      </c>
      <c r="W583">
        <f t="shared" ca="1" si="27"/>
        <v>1.008</v>
      </c>
      <c r="X583" t="str">
        <f t="shared" ca="1" si="28"/>
        <v xml:space="preserve"> ESTEIO-RS069 </v>
      </c>
      <c r="Y583" s="1">
        <f t="shared" ca="1" si="29"/>
        <v>5.8000000000000003E-2</v>
      </c>
    </row>
    <row r="584" spans="1:25" x14ac:dyDescent="0.25">
      <c r="A584" t="s">
        <v>1588</v>
      </c>
      <c r="B584" t="s">
        <v>1587</v>
      </c>
      <c r="C584">
        <v>48</v>
      </c>
      <c r="D584">
        <v>71</v>
      </c>
      <c r="E584">
        <v>71</v>
      </c>
      <c r="F584" s="1">
        <v>0.45800000000000002</v>
      </c>
      <c r="G584" t="s">
        <v>1587</v>
      </c>
      <c r="H584" t="s">
        <v>1587</v>
      </c>
      <c r="I584">
        <v>1312</v>
      </c>
      <c r="J584" t="s">
        <v>2023</v>
      </c>
      <c r="K584">
        <v>1</v>
      </c>
      <c r="L584">
        <v>22.1</v>
      </c>
      <c r="M584">
        <v>1.5</v>
      </c>
      <c r="N584">
        <v>22</v>
      </c>
      <c r="O584" t="s">
        <v>1594</v>
      </c>
      <c r="P584" t="s">
        <v>1584</v>
      </c>
      <c r="Q584" t="s">
        <v>1591</v>
      </c>
      <c r="R584">
        <v>0.18</v>
      </c>
      <c r="S584">
        <v>0.52</v>
      </c>
      <c r="T584" t="s">
        <v>1584</v>
      </c>
      <c r="U584" t="s">
        <v>1592</v>
      </c>
      <c r="V584" t="str" cm="1">
        <f t="array" aca="1" ref="V584" ca="1">IFERROR(_xlfn.IFS(A582="  ..............",OFFSET(A582,2,0),A581=" X-------------X",OFFSET(A581,3,0),MATCH("  ..............",A584:A593,0)&gt;2,V583),"-")</f>
        <v xml:space="preserve">  SRITA-TAP069  </v>
      </c>
      <c r="W584">
        <f t="shared" ca="1" si="27"/>
        <v>1.008</v>
      </c>
      <c r="X584" t="str">
        <f t="shared" ca="1" si="28"/>
        <v xml:space="preserve"> SITEL-TAP069 </v>
      </c>
      <c r="Y584" s="1">
        <f t="shared" ca="1" si="29"/>
        <v>0.56499999999999995</v>
      </c>
    </row>
    <row r="585" spans="1:25" x14ac:dyDescent="0.25">
      <c r="A585" t="s">
        <v>1588</v>
      </c>
      <c r="B585" t="s">
        <v>1587</v>
      </c>
      <c r="C585">
        <v>48</v>
      </c>
      <c r="D585">
        <v>71</v>
      </c>
      <c r="E585">
        <v>71</v>
      </c>
      <c r="F585" s="1">
        <v>0.56499999999999995</v>
      </c>
      <c r="G585" t="s">
        <v>1587</v>
      </c>
      <c r="H585" t="s">
        <v>1587</v>
      </c>
      <c r="I585">
        <v>1339</v>
      </c>
      <c r="J585" t="s">
        <v>2119</v>
      </c>
      <c r="K585">
        <v>1</v>
      </c>
      <c r="L585">
        <v>-27.1</v>
      </c>
      <c r="M585">
        <v>-3.6</v>
      </c>
      <c r="N585">
        <v>27.1</v>
      </c>
      <c r="O585" t="s">
        <v>1594</v>
      </c>
      <c r="P585" t="s">
        <v>1584</v>
      </c>
      <c r="Q585" t="s">
        <v>1591</v>
      </c>
      <c r="R585">
        <v>0.2</v>
      </c>
      <c r="S585">
        <v>0.74</v>
      </c>
      <c r="T585" t="s">
        <v>1584</v>
      </c>
      <c r="U585" t="s">
        <v>1592</v>
      </c>
      <c r="V585" t="str" cm="1">
        <f t="array" aca="1" ref="V585" ca="1">IFERROR(_xlfn.IFS(A583="  ..............",OFFSET(A583,2,0),A582=" X-------------X",OFFSET(A582,3,0),MATCH("  ..............",A585:A594,0)&gt;2,V584),"-")</f>
        <v>-</v>
      </c>
      <c r="W585" t="str">
        <f t="shared" ca="1" si="27"/>
        <v>-</v>
      </c>
      <c r="X585" t="str">
        <f t="shared" ca="1" si="28"/>
        <v>-</v>
      </c>
      <c r="Y585" s="1" t="str">
        <f t="shared" ca="1" si="29"/>
        <v>-</v>
      </c>
    </row>
    <row r="586" spans="1:25" x14ac:dyDescent="0.25">
      <c r="A586" t="s">
        <v>1572</v>
      </c>
      <c r="B586" t="s">
        <v>1574</v>
      </c>
      <c r="C586" t="s">
        <v>1574</v>
      </c>
      <c r="D586" t="s">
        <v>1574</v>
      </c>
      <c r="E586" t="s">
        <v>1574</v>
      </c>
      <c r="F586" t="s">
        <v>1575</v>
      </c>
      <c r="G586" t="s">
        <v>1574</v>
      </c>
      <c r="H586" t="s">
        <v>1574</v>
      </c>
      <c r="I586" t="s">
        <v>1576</v>
      </c>
      <c r="J586" t="s">
        <v>1573</v>
      </c>
      <c r="K586" t="s">
        <v>1577</v>
      </c>
      <c r="L586" t="s">
        <v>1574</v>
      </c>
      <c r="M586" t="s">
        <v>1574</v>
      </c>
      <c r="N586" t="s">
        <v>1574</v>
      </c>
      <c r="O586" t="s">
        <v>1578</v>
      </c>
      <c r="P586" t="s">
        <v>1576</v>
      </c>
      <c r="Q586" t="s">
        <v>1579</v>
      </c>
      <c r="R586" t="s">
        <v>1580</v>
      </c>
      <c r="S586" t="s">
        <v>1580</v>
      </c>
      <c r="T586" t="s">
        <v>1576</v>
      </c>
      <c r="U586" t="s">
        <v>1576</v>
      </c>
      <c r="V586" t="str" cm="1">
        <f t="array" aca="1" ref="V586" ca="1">IFERROR(_xlfn.IFS(A584="  ..............",OFFSET(A584,2,0),A583=" X-------------X",OFFSET(A583,3,0),MATCH("  ..............",A586:A595,0)&gt;2,V585),"-")</f>
        <v>-</v>
      </c>
      <c r="W586" t="str">
        <f t="shared" ca="1" si="27"/>
        <v>-</v>
      </c>
      <c r="X586" t="str">
        <f t="shared" ca="1" si="28"/>
        <v/>
      </c>
      <c r="Y586" s="1" t="str">
        <f t="shared" ca="1" si="29"/>
        <v/>
      </c>
    </row>
    <row r="587" spans="1:25" x14ac:dyDescent="0.25">
      <c r="A587" t="s">
        <v>2120</v>
      </c>
      <c r="B587">
        <v>1.034</v>
      </c>
      <c r="C587">
        <v>3</v>
      </c>
      <c r="D587">
        <v>0</v>
      </c>
      <c r="E587">
        <v>12.5</v>
      </c>
      <c r="F587">
        <v>0</v>
      </c>
      <c r="G587">
        <v>0</v>
      </c>
      <c r="H587">
        <v>0</v>
      </c>
      <c r="I587" t="s">
        <v>1581</v>
      </c>
      <c r="J587" t="s">
        <v>1581</v>
      </c>
      <c r="K587" t="s">
        <v>1581</v>
      </c>
      <c r="L587" t="s">
        <v>1581</v>
      </c>
      <c r="M587" t="s">
        <v>1581</v>
      </c>
      <c r="N587" t="s">
        <v>1581</v>
      </c>
      <c r="O587" t="s">
        <v>1581</v>
      </c>
      <c r="P587" t="s">
        <v>1581</v>
      </c>
      <c r="Q587" t="s">
        <v>1581</v>
      </c>
      <c r="R587" t="s">
        <v>1581</v>
      </c>
      <c r="S587" t="s">
        <v>1581</v>
      </c>
      <c r="T587" t="s">
        <v>1581</v>
      </c>
      <c r="U587" t="s">
        <v>1581</v>
      </c>
      <c r="V587" t="str" cm="1">
        <f t="array" aca="1" ref="V587" ca="1">IFERROR(_xlfn.IFS(A585="  ..............",OFFSET(A585,2,0),A584=" X-------------X",OFFSET(A584,3,0),MATCH("  ..............",A587:A596,0)&gt;2,V586),"-")</f>
        <v>-</v>
      </c>
      <c r="W587" t="str">
        <f t="shared" ca="1" si="27"/>
        <v>-</v>
      </c>
      <c r="X587" t="str">
        <f t="shared" ca="1" si="28"/>
        <v xml:space="preserve">              </v>
      </c>
      <c r="Y587" s="1">
        <f t="shared" ca="1" si="29"/>
        <v>0</v>
      </c>
    </row>
    <row r="588" spans="1:25" x14ac:dyDescent="0.25">
      <c r="A588" t="s">
        <v>2121</v>
      </c>
      <c r="B588">
        <v>-53.1</v>
      </c>
      <c r="C588">
        <v>0</v>
      </c>
      <c r="D588">
        <v>0</v>
      </c>
      <c r="E588">
        <v>2.9</v>
      </c>
      <c r="F588">
        <v>0</v>
      </c>
      <c r="G588">
        <v>0</v>
      </c>
      <c r="H588">
        <v>0</v>
      </c>
      <c r="I588" t="s">
        <v>1584</v>
      </c>
      <c r="J588" t="s">
        <v>1585</v>
      </c>
      <c r="K588" t="s">
        <v>1586</v>
      </c>
      <c r="L588" t="s">
        <v>1587</v>
      </c>
      <c r="M588" t="s">
        <v>1587</v>
      </c>
      <c r="N588" t="s">
        <v>1586</v>
      </c>
      <c r="O588" t="s">
        <v>1581</v>
      </c>
      <c r="P588" t="s">
        <v>1581</v>
      </c>
      <c r="Q588" t="s">
        <v>1581</v>
      </c>
      <c r="R588" t="s">
        <v>1581</v>
      </c>
      <c r="S588" t="s">
        <v>1581</v>
      </c>
      <c r="T588" t="s">
        <v>1581</v>
      </c>
      <c r="U588" t="s">
        <v>1581</v>
      </c>
      <c r="V588" t="str" cm="1">
        <f t="array" aca="1" ref="V588" ca="1">IFERROR(_xlfn.IFS(A586="  ..............",OFFSET(A586,2,0),A585=" X-------------X",OFFSET(A585,3,0),MATCH("  ..............",A588:A597,0)&gt;2,V587),"-")</f>
        <v xml:space="preserve">  SCRU1B-RS013  </v>
      </c>
      <c r="W588">
        <f t="shared" ca="1" si="27"/>
        <v>1.034</v>
      </c>
      <c r="X588" t="str">
        <f t="shared" ca="1" si="28"/>
        <v xml:space="preserve"> SCR1RA-RS013 </v>
      </c>
      <c r="Y588" s="1">
        <f t="shared" ca="1" si="29"/>
        <v>0</v>
      </c>
    </row>
    <row r="589" spans="1:25" x14ac:dyDescent="0.25">
      <c r="A589" t="s">
        <v>1588</v>
      </c>
      <c r="B589" t="s">
        <v>1587</v>
      </c>
      <c r="C589">
        <v>9999</v>
      </c>
      <c r="D589">
        <v>9999</v>
      </c>
      <c r="E589">
        <v>9999</v>
      </c>
      <c r="F589" s="1">
        <v>0</v>
      </c>
      <c r="G589" t="s">
        <v>1587</v>
      </c>
      <c r="H589" t="s">
        <v>1587</v>
      </c>
      <c r="I589">
        <v>9754</v>
      </c>
      <c r="J589" t="s">
        <v>2122</v>
      </c>
      <c r="K589">
        <v>7</v>
      </c>
      <c r="L589">
        <v>-9.5</v>
      </c>
      <c r="M589">
        <v>-2.9</v>
      </c>
      <c r="N589">
        <v>9.6</v>
      </c>
      <c r="O589" t="s">
        <v>1594</v>
      </c>
      <c r="P589" t="s">
        <v>1584</v>
      </c>
      <c r="Q589" t="s">
        <v>1591</v>
      </c>
      <c r="R589">
        <v>0</v>
      </c>
      <c r="S589">
        <v>0.12</v>
      </c>
      <c r="T589" t="s">
        <v>1584</v>
      </c>
      <c r="U589" t="s">
        <v>1592</v>
      </c>
      <c r="V589" t="str" cm="1">
        <f t="array" aca="1" ref="V589" ca="1">IFERROR(_xlfn.IFS(A587="  ..............",OFFSET(A587,2,0),A586=" X-------------X",OFFSET(A586,3,0),MATCH("  ..............",A589:A598,0)&gt;2,V588),"-")</f>
        <v>-</v>
      </c>
      <c r="W589" t="str">
        <f t="shared" ca="1" si="27"/>
        <v>-</v>
      </c>
      <c r="X589" t="str">
        <f t="shared" ca="1" si="28"/>
        <v>-</v>
      </c>
      <c r="Y589" s="1" t="str">
        <f t="shared" ca="1" si="29"/>
        <v>-</v>
      </c>
    </row>
    <row r="590" spans="1:25" x14ac:dyDescent="0.25">
      <c r="A590" t="s">
        <v>1572</v>
      </c>
      <c r="B590" t="s">
        <v>1574</v>
      </c>
      <c r="C590" t="s">
        <v>1574</v>
      </c>
      <c r="D590" t="s">
        <v>1574</v>
      </c>
      <c r="E590" t="s">
        <v>1574</v>
      </c>
      <c r="F590" t="s">
        <v>1575</v>
      </c>
      <c r="G590" t="s">
        <v>1574</v>
      </c>
      <c r="H590" t="s">
        <v>1574</v>
      </c>
      <c r="I590" t="s">
        <v>1576</v>
      </c>
      <c r="J590" t="s">
        <v>1573</v>
      </c>
      <c r="K590" t="s">
        <v>1577</v>
      </c>
      <c r="L590" t="s">
        <v>1574</v>
      </c>
      <c r="M590" t="s">
        <v>1574</v>
      </c>
      <c r="N590" t="s">
        <v>1574</v>
      </c>
      <c r="O590" t="s">
        <v>1578</v>
      </c>
      <c r="P590" t="s">
        <v>1576</v>
      </c>
      <c r="Q590" t="s">
        <v>1579</v>
      </c>
      <c r="R590" t="s">
        <v>1580</v>
      </c>
      <c r="S590" t="s">
        <v>1580</v>
      </c>
      <c r="T590" t="s">
        <v>1576</v>
      </c>
      <c r="U590" t="s">
        <v>1576</v>
      </c>
      <c r="V590" t="str" cm="1">
        <f t="array" aca="1" ref="V590" ca="1">IFERROR(_xlfn.IFS(A588="  ..............",OFFSET(A588,2,0),A587=" X-------------X",OFFSET(A587,3,0),MATCH("  ..............",A590:A599,0)&gt;2,V589),"-")</f>
        <v>-</v>
      </c>
      <c r="W590" t="str">
        <f t="shared" ca="1" si="27"/>
        <v>-</v>
      </c>
      <c r="X590" t="str">
        <f t="shared" ca="1" si="28"/>
        <v/>
      </c>
      <c r="Y590" s="1" t="str">
        <f t="shared" ca="1" si="29"/>
        <v/>
      </c>
    </row>
    <row r="591" spans="1:25" x14ac:dyDescent="0.25">
      <c r="A591" t="s">
        <v>2123</v>
      </c>
      <c r="B591">
        <v>1.016</v>
      </c>
      <c r="C591">
        <v>21.3</v>
      </c>
      <c r="D591">
        <v>0</v>
      </c>
      <c r="E591">
        <v>0</v>
      </c>
      <c r="F591">
        <v>0</v>
      </c>
      <c r="G591">
        <v>3.2</v>
      </c>
      <c r="H591">
        <v>0</v>
      </c>
      <c r="I591" t="s">
        <v>1581</v>
      </c>
      <c r="J591" t="s">
        <v>1581</v>
      </c>
      <c r="K591" t="s">
        <v>1581</v>
      </c>
      <c r="L591" t="s">
        <v>1581</v>
      </c>
      <c r="M591" t="s">
        <v>1581</v>
      </c>
      <c r="N591" t="s">
        <v>1581</v>
      </c>
      <c r="O591" t="s">
        <v>1581</v>
      </c>
      <c r="P591" t="s">
        <v>1581</v>
      </c>
      <c r="Q591" t="s">
        <v>1581</v>
      </c>
      <c r="R591" t="s">
        <v>1581</v>
      </c>
      <c r="S591" t="s">
        <v>1581</v>
      </c>
      <c r="T591" t="s">
        <v>1581</v>
      </c>
      <c r="U591" t="s">
        <v>1581</v>
      </c>
      <c r="V591" t="str" cm="1">
        <f t="array" aca="1" ref="V591" ca="1">IFERROR(_xlfn.IFS(A589="  ..............",OFFSET(A589,2,0),A588=" X-------------X",OFFSET(A588,3,0),MATCH("  ..............",A591:A600,0)&gt;2,V590),"-")</f>
        <v>-</v>
      </c>
      <c r="W591" t="str">
        <f t="shared" ca="1" si="27"/>
        <v>-</v>
      </c>
      <c r="X591" t="str">
        <f t="shared" ca="1" si="28"/>
        <v xml:space="preserve">              </v>
      </c>
      <c r="Y591" s="1">
        <f t="shared" ca="1" si="29"/>
        <v>0</v>
      </c>
    </row>
    <row r="592" spans="1:25" x14ac:dyDescent="0.25">
      <c r="A592" t="s">
        <v>2124</v>
      </c>
      <c r="B592">
        <v>-44.6</v>
      </c>
      <c r="C592">
        <v>-5.2</v>
      </c>
      <c r="D592">
        <v>0</v>
      </c>
      <c r="E592">
        <v>0</v>
      </c>
      <c r="F592">
        <v>0</v>
      </c>
      <c r="G592">
        <v>0</v>
      </c>
      <c r="H592">
        <v>0</v>
      </c>
      <c r="I592" t="s">
        <v>1584</v>
      </c>
      <c r="J592" t="s">
        <v>1585</v>
      </c>
      <c r="K592" t="s">
        <v>1586</v>
      </c>
      <c r="L592" t="s">
        <v>1587</v>
      </c>
      <c r="M592" t="s">
        <v>1587</v>
      </c>
      <c r="N592" t="s">
        <v>1586</v>
      </c>
      <c r="O592" t="s">
        <v>1581</v>
      </c>
      <c r="P592" t="s">
        <v>1581</v>
      </c>
      <c r="Q592" t="s">
        <v>1581</v>
      </c>
      <c r="R592" t="s">
        <v>1581</v>
      </c>
      <c r="S592" t="s">
        <v>1581</v>
      </c>
      <c r="T592" t="s">
        <v>1581</v>
      </c>
      <c r="U592" t="s">
        <v>1581</v>
      </c>
      <c r="V592" t="str" cm="1">
        <f t="array" aca="1" ref="V592" ca="1">IFERROR(_xlfn.IFS(A590="  ..............",OFFSET(A590,2,0),A589=" X-------------X",OFFSET(A589,3,0),MATCH("  ..............",A592:A601,0)&gt;2,V591),"-")</f>
        <v xml:space="preserve">  CIDREIEOL034  </v>
      </c>
      <c r="W592">
        <f t="shared" ca="1" si="27"/>
        <v>1.016</v>
      </c>
      <c r="X592" t="str">
        <f t="shared" ca="1" si="28"/>
        <v xml:space="preserve"> CIDREI-RS034 </v>
      </c>
      <c r="Y592" s="1">
        <f t="shared" ca="1" si="29"/>
        <v>0.255</v>
      </c>
    </row>
    <row r="593" spans="1:25" x14ac:dyDescent="0.25">
      <c r="A593" t="s">
        <v>1588</v>
      </c>
      <c r="B593" t="s">
        <v>1587</v>
      </c>
      <c r="C593">
        <v>9999</v>
      </c>
      <c r="D593">
        <v>9999</v>
      </c>
      <c r="E593">
        <v>9999</v>
      </c>
      <c r="F593" s="1">
        <v>0</v>
      </c>
      <c r="G593" t="s">
        <v>1587</v>
      </c>
      <c r="H593" t="s">
        <v>1587</v>
      </c>
      <c r="I593">
        <v>10123</v>
      </c>
      <c r="J593" t="s">
        <v>2066</v>
      </c>
      <c r="K593">
        <v>1</v>
      </c>
      <c r="L593">
        <v>21.3</v>
      </c>
      <c r="M593">
        <v>-2</v>
      </c>
      <c r="N593">
        <v>21.1</v>
      </c>
      <c r="O593" t="s">
        <v>1594</v>
      </c>
      <c r="P593" t="s">
        <v>1584</v>
      </c>
      <c r="Q593" t="s">
        <v>1591</v>
      </c>
      <c r="R593">
        <v>0.09</v>
      </c>
      <c r="S593">
        <v>-2.16</v>
      </c>
      <c r="T593" t="s">
        <v>1584</v>
      </c>
      <c r="U593" t="s">
        <v>1592</v>
      </c>
      <c r="V593" t="str" cm="1">
        <f t="array" aca="1" ref="V593" ca="1">IFERROR(_xlfn.IFS(A591="  ..............",OFFSET(A591,2,0),A590=" X-------------X",OFFSET(A590,3,0),MATCH("  ..............",A593:A602,0)&gt;2,V592),"-")</f>
        <v>-</v>
      </c>
      <c r="W593" t="str">
        <f t="shared" ca="1" si="27"/>
        <v>-</v>
      </c>
      <c r="X593" t="str">
        <f t="shared" ca="1" si="28"/>
        <v>-</v>
      </c>
      <c r="Y593" s="1" t="str">
        <f t="shared" ca="1" si="29"/>
        <v>-</v>
      </c>
    </row>
    <row r="594" spans="1:25" x14ac:dyDescent="0.25">
      <c r="A594" t="s">
        <v>1572</v>
      </c>
      <c r="B594" t="s">
        <v>1574</v>
      </c>
      <c r="C594" t="s">
        <v>1574</v>
      </c>
      <c r="D594" t="s">
        <v>1574</v>
      </c>
      <c r="E594" t="s">
        <v>1574</v>
      </c>
      <c r="F594" t="s">
        <v>1575</v>
      </c>
      <c r="G594" t="s">
        <v>1574</v>
      </c>
      <c r="H594" t="s">
        <v>1574</v>
      </c>
      <c r="I594" t="s">
        <v>1576</v>
      </c>
      <c r="J594" t="s">
        <v>1573</v>
      </c>
      <c r="K594" t="s">
        <v>1577</v>
      </c>
      <c r="L594" t="s">
        <v>1574</v>
      </c>
      <c r="M594" t="s">
        <v>1574</v>
      </c>
      <c r="N594" t="s">
        <v>1574</v>
      </c>
      <c r="O594" t="s">
        <v>1578</v>
      </c>
      <c r="P594" t="s">
        <v>1576</v>
      </c>
      <c r="Q594" t="s">
        <v>1579</v>
      </c>
      <c r="R594" t="s">
        <v>1580</v>
      </c>
      <c r="S594" t="s">
        <v>1580</v>
      </c>
      <c r="T594" t="s">
        <v>1576</v>
      </c>
      <c r="U594" t="s">
        <v>1576</v>
      </c>
      <c r="V594" t="str" cm="1">
        <f t="array" aca="1" ref="V594" ca="1">IFERROR(_xlfn.IFS(A592="  ..............",OFFSET(A592,2,0),A591=" X-------------X",OFFSET(A591,3,0),MATCH("  ..............",A594:A603,0)&gt;2,V593),"-")</f>
        <v>-</v>
      </c>
      <c r="W594" t="str">
        <f t="shared" ca="1" si="27"/>
        <v>-</v>
      </c>
      <c r="X594" t="str">
        <f t="shared" ca="1" si="28"/>
        <v/>
      </c>
      <c r="Y594" s="1" t="str">
        <f t="shared" ca="1" si="29"/>
        <v/>
      </c>
    </row>
    <row r="595" spans="1:25" x14ac:dyDescent="0.25">
      <c r="A595" t="s">
        <v>2125</v>
      </c>
      <c r="B595">
        <v>1.05</v>
      </c>
      <c r="C595">
        <v>1</v>
      </c>
      <c r="D595">
        <v>0</v>
      </c>
      <c r="E595">
        <v>15.1</v>
      </c>
      <c r="F595">
        <v>0</v>
      </c>
      <c r="G595">
        <v>0</v>
      </c>
      <c r="H595">
        <v>0</v>
      </c>
      <c r="I595" t="s">
        <v>1581</v>
      </c>
      <c r="J595" t="s">
        <v>1581</v>
      </c>
      <c r="K595" t="s">
        <v>1581</v>
      </c>
      <c r="L595" t="s">
        <v>1581</v>
      </c>
      <c r="M595" t="s">
        <v>1581</v>
      </c>
      <c r="N595" t="s">
        <v>1581</v>
      </c>
      <c r="O595" t="s">
        <v>1581</v>
      </c>
      <c r="P595" t="s">
        <v>1581</v>
      </c>
      <c r="Q595" t="s">
        <v>1581</v>
      </c>
      <c r="R595" t="s">
        <v>1581</v>
      </c>
      <c r="S595" t="s">
        <v>1581</v>
      </c>
      <c r="T595" t="s">
        <v>1581</v>
      </c>
      <c r="U595" t="s">
        <v>1581</v>
      </c>
      <c r="V595" t="str" cm="1">
        <f t="array" aca="1" ref="V595" ca="1">IFERROR(_xlfn.IFS(A593="  ..............",OFFSET(A593,2,0),A592=" X-------------X",OFFSET(A592,3,0),MATCH("  ..............",A595:A604,0)&gt;2,V594),"-")</f>
        <v>-</v>
      </c>
      <c r="W595" t="str">
        <f t="shared" ca="1" si="27"/>
        <v>-</v>
      </c>
      <c r="X595" t="str">
        <f t="shared" ca="1" si="28"/>
        <v xml:space="preserve">              </v>
      </c>
      <c r="Y595" s="1">
        <f t="shared" ca="1" si="29"/>
        <v>0</v>
      </c>
    </row>
    <row r="596" spans="1:25" x14ac:dyDescent="0.25">
      <c r="A596" t="s">
        <v>2126</v>
      </c>
      <c r="B596">
        <v>-54.1</v>
      </c>
      <c r="C596">
        <v>0</v>
      </c>
      <c r="D596">
        <v>0</v>
      </c>
      <c r="E596">
        <v>3.3</v>
      </c>
      <c r="F596">
        <v>0</v>
      </c>
      <c r="G596">
        <v>0</v>
      </c>
      <c r="H596">
        <v>0</v>
      </c>
      <c r="I596" t="s">
        <v>1584</v>
      </c>
      <c r="J596" t="s">
        <v>1585</v>
      </c>
      <c r="K596" t="s">
        <v>1586</v>
      </c>
      <c r="L596" t="s">
        <v>1587</v>
      </c>
      <c r="M596" t="s">
        <v>1587</v>
      </c>
      <c r="N596" t="s">
        <v>1586</v>
      </c>
      <c r="O596" t="s">
        <v>1581</v>
      </c>
      <c r="P596" t="s">
        <v>1581</v>
      </c>
      <c r="Q596" t="s">
        <v>1581</v>
      </c>
      <c r="R596" t="s">
        <v>1581</v>
      </c>
      <c r="S596" t="s">
        <v>1581</v>
      </c>
      <c r="T596" t="s">
        <v>1581</v>
      </c>
      <c r="U596" t="s">
        <v>1581</v>
      </c>
      <c r="V596" t="str" cm="1">
        <f t="array" aca="1" ref="V596" ca="1">IFERROR(_xlfn.IFS(A594="  ..............",OFFSET(A594,2,0),A593=" X-------------X",OFFSET(A593,3,0),MATCH("  ..............",A596:A605,0)&gt;2,V595),"-")</f>
        <v xml:space="preserve">  PALEG9-RS013  </v>
      </c>
      <c r="W596">
        <f t="shared" ca="1" si="27"/>
        <v>1.05</v>
      </c>
      <c r="X596" t="str">
        <f t="shared" ca="1" si="28"/>
        <v xml:space="preserve"> PAL9-1-RS000 </v>
      </c>
      <c r="Y596" s="1">
        <f t="shared" ca="1" si="29"/>
        <v>0.184</v>
      </c>
    </row>
    <row r="597" spans="1:25" x14ac:dyDescent="0.25">
      <c r="A597" t="s">
        <v>1588</v>
      </c>
      <c r="B597" t="s">
        <v>1587</v>
      </c>
      <c r="C597">
        <v>75</v>
      </c>
      <c r="D597">
        <v>90</v>
      </c>
      <c r="E597">
        <v>90</v>
      </c>
      <c r="F597" s="1">
        <v>0.184</v>
      </c>
      <c r="G597" t="s">
        <v>1587</v>
      </c>
      <c r="H597" t="s">
        <v>1587</v>
      </c>
      <c r="I597">
        <v>41326</v>
      </c>
      <c r="J597" t="s">
        <v>2127</v>
      </c>
      <c r="K597">
        <v>1</v>
      </c>
      <c r="L597">
        <v>-14.1</v>
      </c>
      <c r="M597">
        <v>-3.3</v>
      </c>
      <c r="N597">
        <v>13.8</v>
      </c>
      <c r="O597" t="s">
        <v>1608</v>
      </c>
      <c r="P597" t="s">
        <v>1584</v>
      </c>
      <c r="Q597">
        <v>2</v>
      </c>
      <c r="R597">
        <v>0</v>
      </c>
      <c r="S597">
        <v>-0.01</v>
      </c>
      <c r="T597" t="s">
        <v>1584</v>
      </c>
      <c r="U597" t="s">
        <v>1592</v>
      </c>
      <c r="V597" t="str" cm="1">
        <f t="array" aca="1" ref="V597" ca="1">IFERROR(_xlfn.IFS(A595="  ..............",OFFSET(A595,2,0),A594=" X-------------X",OFFSET(A594,3,0),MATCH("  ..............",A597:A606,0)&gt;2,V596),"-")</f>
        <v>-</v>
      </c>
      <c r="W597" t="str">
        <f t="shared" ca="1" si="27"/>
        <v>-</v>
      </c>
      <c r="X597" t="str">
        <f t="shared" ca="1" si="28"/>
        <v>-</v>
      </c>
      <c r="Y597" s="1" t="str">
        <f t="shared" ca="1" si="29"/>
        <v>-</v>
      </c>
    </row>
    <row r="598" spans="1:25" x14ac:dyDescent="0.25">
      <c r="A598" t="s">
        <v>1572</v>
      </c>
      <c r="B598" t="s">
        <v>1574</v>
      </c>
      <c r="C598" t="s">
        <v>1574</v>
      </c>
      <c r="D598" t="s">
        <v>1574</v>
      </c>
      <c r="E598" t="s">
        <v>1574</v>
      </c>
      <c r="F598" t="s">
        <v>1575</v>
      </c>
      <c r="G598" t="s">
        <v>1574</v>
      </c>
      <c r="H598" t="s">
        <v>1574</v>
      </c>
      <c r="I598" t="s">
        <v>1576</v>
      </c>
      <c r="J598" t="s">
        <v>1573</v>
      </c>
      <c r="K598" t="s">
        <v>1577</v>
      </c>
      <c r="L598" t="s">
        <v>1574</v>
      </c>
      <c r="M598" t="s">
        <v>1574</v>
      </c>
      <c r="N598" t="s">
        <v>1574</v>
      </c>
      <c r="O598" t="s">
        <v>1578</v>
      </c>
      <c r="P598" t="s">
        <v>1576</v>
      </c>
      <c r="Q598" t="s">
        <v>1579</v>
      </c>
      <c r="R598" t="s">
        <v>1580</v>
      </c>
      <c r="S598" t="s">
        <v>1580</v>
      </c>
      <c r="T598" t="s">
        <v>1576</v>
      </c>
      <c r="U598" t="s">
        <v>1576</v>
      </c>
      <c r="V598" t="str" cm="1">
        <f t="array" aca="1" ref="V598" ca="1">IFERROR(_xlfn.IFS(A596="  ..............",OFFSET(A596,2,0),A595=" X-------------X",OFFSET(A595,3,0),MATCH("  ..............",A598:A607,0)&gt;2,V597),"-")</f>
        <v>-</v>
      </c>
      <c r="W598" t="str">
        <f t="shared" ca="1" si="27"/>
        <v>-</v>
      </c>
      <c r="X598" t="str">
        <f t="shared" ca="1" si="28"/>
        <v/>
      </c>
      <c r="Y598" s="1" t="str">
        <f t="shared" ca="1" si="29"/>
        <v/>
      </c>
    </row>
    <row r="599" spans="1:25" x14ac:dyDescent="0.25">
      <c r="A599" t="s">
        <v>2128</v>
      </c>
      <c r="B599">
        <v>0.999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 t="s">
        <v>1581</v>
      </c>
      <c r="J599" t="s">
        <v>1581</v>
      </c>
      <c r="K599" t="s">
        <v>1581</v>
      </c>
      <c r="L599" t="s">
        <v>1581</v>
      </c>
      <c r="M599" t="s">
        <v>1581</v>
      </c>
      <c r="N599" t="s">
        <v>1581</v>
      </c>
      <c r="O599" t="s">
        <v>1581</v>
      </c>
      <c r="P599" t="s">
        <v>1581</v>
      </c>
      <c r="Q599" t="s">
        <v>1581</v>
      </c>
      <c r="R599" t="s">
        <v>1581</v>
      </c>
      <c r="S599" t="s">
        <v>1581</v>
      </c>
      <c r="T599" t="s">
        <v>1581</v>
      </c>
      <c r="U599" t="s">
        <v>1581</v>
      </c>
      <c r="V599" t="str" cm="1">
        <f t="array" aca="1" ref="V599" ca="1">IFERROR(_xlfn.IFS(A597="  ..............",OFFSET(A597,2,0),A596=" X-------------X",OFFSET(A596,3,0),MATCH("  ..............",A599:A608,0)&gt;2,V598),"-")</f>
        <v>-</v>
      </c>
      <c r="W599" t="str">
        <f t="shared" ca="1" si="27"/>
        <v>-</v>
      </c>
      <c r="X599" t="str">
        <f t="shared" ca="1" si="28"/>
        <v xml:space="preserve">              </v>
      </c>
      <c r="Y599" s="1">
        <f t="shared" ca="1" si="29"/>
        <v>0</v>
      </c>
    </row>
    <row r="600" spans="1:25" x14ac:dyDescent="0.25">
      <c r="A600" t="s">
        <v>2129</v>
      </c>
      <c r="B600">
        <v>-48.6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 t="s">
        <v>1584</v>
      </c>
      <c r="J600" t="s">
        <v>1585</v>
      </c>
      <c r="K600" t="s">
        <v>1586</v>
      </c>
      <c r="L600" t="s">
        <v>1587</v>
      </c>
      <c r="M600" t="s">
        <v>1587</v>
      </c>
      <c r="N600" t="s">
        <v>1586</v>
      </c>
      <c r="O600" t="s">
        <v>1581</v>
      </c>
      <c r="P600" t="s">
        <v>1581</v>
      </c>
      <c r="Q600" t="s">
        <v>1581</v>
      </c>
      <c r="R600" t="s">
        <v>1581</v>
      </c>
      <c r="S600" t="s">
        <v>1581</v>
      </c>
      <c r="T600" t="s">
        <v>1581</v>
      </c>
      <c r="U600" t="s">
        <v>1581</v>
      </c>
      <c r="V600" t="str" cm="1">
        <f t="array" aca="1" ref="V600" ca="1">IFERROR(_xlfn.IFS(A598="  ..............",OFFSET(A598,2,0),A597=" X-------------X",OFFSET(A597,3,0),MATCH("  ..............",A600:A609,0)&gt;2,V599),"-")</f>
        <v xml:space="preserve">  OSO-Y2-RS138  </v>
      </c>
      <c r="W600">
        <f t="shared" ca="1" si="27"/>
        <v>0.999</v>
      </c>
      <c r="X600" t="str">
        <f t="shared" ca="1" si="28"/>
        <v xml:space="preserve"> CAPIVA-RS138 </v>
      </c>
      <c r="Y600" s="1">
        <f t="shared" ca="1" si="29"/>
        <v>8.9999999999999993E-3</v>
      </c>
    </row>
    <row r="601" spans="1:25" x14ac:dyDescent="0.25">
      <c r="A601" t="s">
        <v>1588</v>
      </c>
      <c r="B601" t="s">
        <v>1587</v>
      </c>
      <c r="C601">
        <v>82</v>
      </c>
      <c r="D601">
        <v>118</v>
      </c>
      <c r="E601">
        <v>118</v>
      </c>
      <c r="F601" s="1">
        <v>0</v>
      </c>
      <c r="G601" t="s">
        <v>1587</v>
      </c>
      <c r="H601" t="s">
        <v>1587</v>
      </c>
      <c r="I601">
        <v>1038</v>
      </c>
      <c r="J601" t="s">
        <v>1833</v>
      </c>
      <c r="K601">
        <v>1</v>
      </c>
      <c r="L601">
        <v>0</v>
      </c>
      <c r="M601">
        <v>0</v>
      </c>
      <c r="N601">
        <v>0</v>
      </c>
      <c r="O601" t="s">
        <v>1594</v>
      </c>
      <c r="P601" t="s">
        <v>1584</v>
      </c>
      <c r="Q601" t="s">
        <v>1591</v>
      </c>
      <c r="R601">
        <v>0</v>
      </c>
      <c r="S601">
        <v>-2.2999999999999998</v>
      </c>
      <c r="T601" t="s">
        <v>1584</v>
      </c>
      <c r="U601" t="s">
        <v>1592</v>
      </c>
      <c r="V601" t="str" cm="1">
        <f t="array" aca="1" ref="V601" ca="1">IFERROR(_xlfn.IFS(A599="  ..............",OFFSET(A599,2,0),A598=" X-------------X",OFFSET(A598,3,0),MATCH("  ..............",A601:A610,0)&gt;2,V600),"-")</f>
        <v xml:space="preserve">  OSO-Y2-RS138  </v>
      </c>
      <c r="W601">
        <f t="shared" ca="1" si="27"/>
        <v>0.999</v>
      </c>
      <c r="X601" t="str">
        <f t="shared" ca="1" si="28"/>
        <v xml:space="preserve"> OSORI2-RS138 </v>
      </c>
      <c r="Y601" s="1" t="str">
        <f t="shared" ca="1" si="29"/>
        <v xml:space="preserve">             </v>
      </c>
    </row>
    <row r="602" spans="1:25" x14ac:dyDescent="0.25">
      <c r="A602" t="s">
        <v>1588</v>
      </c>
      <c r="B602" t="s">
        <v>1587</v>
      </c>
      <c r="C602">
        <v>9999</v>
      </c>
      <c r="D602">
        <v>9999</v>
      </c>
      <c r="E602">
        <v>9999</v>
      </c>
      <c r="F602" s="1">
        <v>0</v>
      </c>
      <c r="G602" t="s">
        <v>1587</v>
      </c>
      <c r="H602" t="s">
        <v>1587</v>
      </c>
      <c r="I602">
        <v>1244</v>
      </c>
      <c r="J602" t="s">
        <v>1837</v>
      </c>
      <c r="K602">
        <v>1</v>
      </c>
      <c r="L602">
        <v>0</v>
      </c>
      <c r="M602">
        <v>0</v>
      </c>
      <c r="N602">
        <v>0</v>
      </c>
      <c r="O602" t="s">
        <v>1594</v>
      </c>
      <c r="P602" t="s">
        <v>1584</v>
      </c>
      <c r="Q602" t="s">
        <v>1591</v>
      </c>
      <c r="R602">
        <v>0</v>
      </c>
      <c r="S602">
        <v>0</v>
      </c>
      <c r="T602" t="s">
        <v>1584</v>
      </c>
      <c r="U602" t="s">
        <v>1592</v>
      </c>
      <c r="V602" t="str" cm="1">
        <f t="array" aca="1" ref="V602" ca="1">IFERROR(_xlfn.IFS(A600="  ..............",OFFSET(A600,2,0),A599=" X-------------X",OFFSET(A599,3,0),MATCH("  ..............",A602:A611,0)&gt;2,V601),"-")</f>
        <v xml:space="preserve">  OSO-Y2-RS138  </v>
      </c>
      <c r="W602">
        <f t="shared" ca="1" si="27"/>
        <v>0.999</v>
      </c>
      <c r="X602" t="str">
        <f t="shared" ca="1" si="28"/>
        <v xml:space="preserve"> SAPATR-RS138 </v>
      </c>
      <c r="Y602" s="1" t="str">
        <f t="shared" ca="1" si="29"/>
        <v xml:space="preserve">             </v>
      </c>
    </row>
    <row r="603" spans="1:25" x14ac:dyDescent="0.25">
      <c r="A603" t="s">
        <v>1637</v>
      </c>
      <c r="B603" t="s">
        <v>1638</v>
      </c>
      <c r="C603">
        <v>82</v>
      </c>
      <c r="D603">
        <v>82</v>
      </c>
      <c r="E603">
        <v>82</v>
      </c>
      <c r="F603" t="s">
        <v>1639</v>
      </c>
      <c r="G603" t="s">
        <v>1587</v>
      </c>
      <c r="H603" t="s">
        <v>1587</v>
      </c>
      <c r="I603">
        <v>2055</v>
      </c>
      <c r="J603" t="s">
        <v>2130</v>
      </c>
      <c r="K603">
        <v>1</v>
      </c>
      <c r="L603">
        <v>0</v>
      </c>
      <c r="M603">
        <v>0</v>
      </c>
      <c r="N603">
        <v>0</v>
      </c>
      <c r="O603" t="s">
        <v>1594</v>
      </c>
      <c r="P603" t="s">
        <v>1584</v>
      </c>
      <c r="Q603" t="s">
        <v>1591</v>
      </c>
      <c r="R603">
        <v>0</v>
      </c>
      <c r="S603">
        <v>0</v>
      </c>
      <c r="T603" t="s">
        <v>1584</v>
      </c>
      <c r="U603" t="s">
        <v>1592</v>
      </c>
      <c r="V603" t="str" cm="1">
        <f t="array" aca="1" ref="V603" ca="1">IFERROR(_xlfn.IFS(A601="  ..............",OFFSET(A601,2,0),A600=" X-------------X",OFFSET(A600,3,0),MATCH("  ..............",A603:A612,0)&gt;2,V602),"-")</f>
        <v>-</v>
      </c>
      <c r="W603" t="str">
        <f t="shared" ca="1" si="27"/>
        <v>-</v>
      </c>
      <c r="X603" t="str">
        <f t="shared" ca="1" si="28"/>
        <v>-</v>
      </c>
      <c r="Y603" s="1" t="str">
        <f t="shared" ca="1" si="29"/>
        <v>-</v>
      </c>
    </row>
    <row r="604" spans="1:25" x14ac:dyDescent="0.25">
      <c r="A604" t="s">
        <v>1572</v>
      </c>
      <c r="B604" t="s">
        <v>1574</v>
      </c>
      <c r="C604" t="s">
        <v>1574</v>
      </c>
      <c r="D604" t="s">
        <v>1574</v>
      </c>
      <c r="E604" t="s">
        <v>1574</v>
      </c>
      <c r="F604" t="s">
        <v>1575</v>
      </c>
      <c r="G604" t="s">
        <v>1574</v>
      </c>
      <c r="H604" t="s">
        <v>1574</v>
      </c>
      <c r="I604" t="s">
        <v>1576</v>
      </c>
      <c r="J604" t="s">
        <v>1573</v>
      </c>
      <c r="K604" t="s">
        <v>1577</v>
      </c>
      <c r="L604" t="s">
        <v>1574</v>
      </c>
      <c r="M604" t="s">
        <v>1574</v>
      </c>
      <c r="N604" t="s">
        <v>1574</v>
      </c>
      <c r="O604" t="s">
        <v>1578</v>
      </c>
      <c r="P604" t="s">
        <v>1576</v>
      </c>
      <c r="Q604" t="s">
        <v>1579</v>
      </c>
      <c r="R604" t="s">
        <v>1580</v>
      </c>
      <c r="S604" t="s">
        <v>1580</v>
      </c>
      <c r="T604" t="s">
        <v>1576</v>
      </c>
      <c r="U604" t="s">
        <v>1576</v>
      </c>
      <c r="V604" t="str" cm="1">
        <f t="array" aca="1" ref="V604" ca="1">IFERROR(_xlfn.IFS(A602="  ..............",OFFSET(A602,2,0),A601=" X-------------X",OFFSET(A601,3,0),MATCH("  ..............",A604:A613,0)&gt;2,V603),"-")</f>
        <v>-</v>
      </c>
      <c r="W604" t="str">
        <f t="shared" ca="1" si="27"/>
        <v>-</v>
      </c>
      <c r="X604" t="str">
        <f t="shared" ca="1" si="28"/>
        <v/>
      </c>
      <c r="Y604" s="1" t="str">
        <f t="shared" ca="1" si="29"/>
        <v/>
      </c>
    </row>
    <row r="605" spans="1:25" x14ac:dyDescent="0.25">
      <c r="A605" t="s">
        <v>2131</v>
      </c>
      <c r="B605">
        <v>1.008</v>
      </c>
      <c r="C605">
        <v>2.7</v>
      </c>
      <c r="D605">
        <v>0</v>
      </c>
      <c r="E605">
        <v>57.2</v>
      </c>
      <c r="F605">
        <v>0</v>
      </c>
      <c r="G605">
        <v>3.7</v>
      </c>
      <c r="H605">
        <v>0</v>
      </c>
      <c r="I605" t="s">
        <v>1581</v>
      </c>
      <c r="J605" t="s">
        <v>1581</v>
      </c>
      <c r="K605" t="s">
        <v>1581</v>
      </c>
      <c r="L605" t="s">
        <v>1581</v>
      </c>
      <c r="M605" t="s">
        <v>1581</v>
      </c>
      <c r="N605" t="s">
        <v>1581</v>
      </c>
      <c r="O605" t="s">
        <v>1581</v>
      </c>
      <c r="P605" t="s">
        <v>1581</v>
      </c>
      <c r="Q605" t="s">
        <v>1581</v>
      </c>
      <c r="R605" t="s">
        <v>1581</v>
      </c>
      <c r="S605" t="s">
        <v>1581</v>
      </c>
      <c r="T605" t="s">
        <v>1581</v>
      </c>
      <c r="U605" t="s">
        <v>1581</v>
      </c>
      <c r="V605" t="str" cm="1">
        <f t="array" aca="1" ref="V605" ca="1">IFERROR(_xlfn.IFS(A603="  ..............",OFFSET(A603,2,0),A602=" X-------------X",OFFSET(A602,3,0),MATCH("  ..............",A605:A614,0)&gt;2,V604),"-")</f>
        <v>-</v>
      </c>
      <c r="W605" t="str">
        <f t="shared" ca="1" si="27"/>
        <v>-</v>
      </c>
      <c r="X605" t="str">
        <f t="shared" ca="1" si="28"/>
        <v xml:space="preserve">              </v>
      </c>
      <c r="Y605" s="1">
        <f t="shared" ca="1" si="29"/>
        <v>0</v>
      </c>
    </row>
    <row r="606" spans="1:25" x14ac:dyDescent="0.25">
      <c r="A606" t="s">
        <v>2132</v>
      </c>
      <c r="B606">
        <v>-55.4</v>
      </c>
      <c r="C606">
        <v>0</v>
      </c>
      <c r="D606">
        <v>0</v>
      </c>
      <c r="E606">
        <v>22.6</v>
      </c>
      <c r="F606">
        <v>0</v>
      </c>
      <c r="G606">
        <v>0</v>
      </c>
      <c r="H606">
        <v>0</v>
      </c>
      <c r="I606" t="s">
        <v>1584</v>
      </c>
      <c r="J606" t="s">
        <v>1585</v>
      </c>
      <c r="K606" t="s">
        <v>1586</v>
      </c>
      <c r="L606" t="s">
        <v>1587</v>
      </c>
      <c r="M606" t="s">
        <v>1587</v>
      </c>
      <c r="N606" t="s">
        <v>1586</v>
      </c>
      <c r="O606" t="s">
        <v>1581</v>
      </c>
      <c r="P606" t="s">
        <v>1581</v>
      </c>
      <c r="Q606" t="s">
        <v>1581</v>
      </c>
      <c r="R606" t="s">
        <v>1581</v>
      </c>
      <c r="S606" t="s">
        <v>1581</v>
      </c>
      <c r="T606" t="s">
        <v>1581</v>
      </c>
      <c r="U606" t="s">
        <v>1581</v>
      </c>
      <c r="V606" t="str" cm="1">
        <f t="array" aca="1" ref="V606" ca="1">IFERROR(_xlfn.IFS(A604="  ..............",OFFSET(A604,2,0),A603=" X-------------X",OFFSET(A603,3,0),MATCH("  ..............",A606:A615,0)&gt;2,V605),"-")</f>
        <v xml:space="preserve">  CACHO2-RS069  </v>
      </c>
      <c r="W606">
        <f t="shared" ca="1" si="27"/>
        <v>1.008</v>
      </c>
      <c r="X606" t="str">
        <f t="shared" ca="1" si="28"/>
        <v xml:space="preserve"> GRAVA2-RS069 </v>
      </c>
      <c r="Y606" s="1">
        <f t="shared" ca="1" si="29"/>
        <v>0.47299999999999998</v>
      </c>
    </row>
    <row r="607" spans="1:25" x14ac:dyDescent="0.25">
      <c r="A607" t="s">
        <v>1588</v>
      </c>
      <c r="B607" t="s">
        <v>1587</v>
      </c>
      <c r="C607">
        <v>84</v>
      </c>
      <c r="D607">
        <v>101</v>
      </c>
      <c r="E607">
        <v>101</v>
      </c>
      <c r="F607" s="1">
        <v>0.47299999999999998</v>
      </c>
      <c r="G607" t="s">
        <v>1587</v>
      </c>
      <c r="H607" t="s">
        <v>1587</v>
      </c>
      <c r="I607">
        <v>1209</v>
      </c>
      <c r="J607" t="s">
        <v>2133</v>
      </c>
      <c r="K607">
        <v>1</v>
      </c>
      <c r="L607">
        <v>-37.6</v>
      </c>
      <c r="M607">
        <v>-13.7</v>
      </c>
      <c r="N607">
        <v>39.700000000000003</v>
      </c>
      <c r="O607" t="s">
        <v>1594</v>
      </c>
      <c r="P607" t="s">
        <v>1584</v>
      </c>
      <c r="Q607" t="s">
        <v>1591</v>
      </c>
      <c r="R607">
        <v>0.3</v>
      </c>
      <c r="S607">
        <v>0.88</v>
      </c>
      <c r="T607" t="s">
        <v>1584</v>
      </c>
      <c r="U607" t="s">
        <v>1592</v>
      </c>
      <c r="V607" t="str" cm="1">
        <f t="array" aca="1" ref="V607" ca="1">IFERROR(_xlfn.IFS(A605="  ..............",OFFSET(A605,2,0),A604=" X-------------X",OFFSET(A604,3,0),MATCH("  ..............",A607:A616,0)&gt;2,V606),"-")</f>
        <v xml:space="preserve">  CACHO2-RS069  </v>
      </c>
      <c r="W607">
        <f t="shared" ca="1" si="27"/>
        <v>1.008</v>
      </c>
      <c r="X607" t="str">
        <f t="shared" ca="1" si="28"/>
        <v xml:space="preserve"> GRAVA2-RS069 </v>
      </c>
      <c r="Y607" s="1">
        <f t="shared" ca="1" si="29"/>
        <v>0.47299999999999998</v>
      </c>
    </row>
    <row r="608" spans="1:25" x14ac:dyDescent="0.25">
      <c r="A608" t="s">
        <v>1588</v>
      </c>
      <c r="B608" t="s">
        <v>1587</v>
      </c>
      <c r="C608">
        <v>84</v>
      </c>
      <c r="D608">
        <v>101</v>
      </c>
      <c r="E608">
        <v>101</v>
      </c>
      <c r="F608" s="1">
        <v>0.47299999999999998</v>
      </c>
      <c r="G608" t="s">
        <v>1587</v>
      </c>
      <c r="H608" t="s">
        <v>1587</v>
      </c>
      <c r="I608">
        <v>1209</v>
      </c>
      <c r="J608" t="s">
        <v>2133</v>
      </c>
      <c r="K608">
        <v>2</v>
      </c>
      <c r="L608">
        <v>-37.6</v>
      </c>
      <c r="M608">
        <v>-13.7</v>
      </c>
      <c r="N608">
        <v>39.700000000000003</v>
      </c>
      <c r="O608" t="s">
        <v>1594</v>
      </c>
      <c r="P608" t="s">
        <v>1584</v>
      </c>
      <c r="Q608" t="s">
        <v>1591</v>
      </c>
      <c r="R608">
        <v>0.3</v>
      </c>
      <c r="S608">
        <v>0.88</v>
      </c>
      <c r="T608" t="s">
        <v>1584</v>
      </c>
      <c r="U608" t="s">
        <v>1592</v>
      </c>
      <c r="V608" t="str" cm="1">
        <f t="array" aca="1" ref="V608" ca="1">IFERROR(_xlfn.IFS(A606="  ..............",OFFSET(A606,2,0),A605=" X-------------X",OFFSET(A605,3,0),MATCH("  ..............",A608:A617,0)&gt;2,V607),"-")</f>
        <v xml:space="preserve">  CACHO2-RS069  </v>
      </c>
      <c r="W608">
        <f t="shared" ca="1" si="27"/>
        <v>1.008</v>
      </c>
      <c r="X608" t="str">
        <f t="shared" ca="1" si="28"/>
        <v xml:space="preserve"> MUNDIA-RS069 </v>
      </c>
      <c r="Y608" s="1">
        <f t="shared" ca="1" si="29"/>
        <v>5.8000000000000003E-2</v>
      </c>
    </row>
    <row r="609" spans="1:25" x14ac:dyDescent="0.25">
      <c r="A609" t="s">
        <v>1588</v>
      </c>
      <c r="B609" t="s">
        <v>1587</v>
      </c>
      <c r="C609">
        <v>54</v>
      </c>
      <c r="D609">
        <v>79</v>
      </c>
      <c r="E609">
        <v>79</v>
      </c>
      <c r="F609" s="1">
        <v>5.8000000000000003E-2</v>
      </c>
      <c r="G609" t="s">
        <v>1587</v>
      </c>
      <c r="H609" t="s">
        <v>1587</v>
      </c>
      <c r="I609">
        <v>1366</v>
      </c>
      <c r="J609" t="s">
        <v>2134</v>
      </c>
      <c r="K609">
        <v>1</v>
      </c>
      <c r="L609">
        <v>3</v>
      </c>
      <c r="M609">
        <v>1</v>
      </c>
      <c r="N609">
        <v>3.2</v>
      </c>
      <c r="O609" t="s">
        <v>1594</v>
      </c>
      <c r="P609" t="s">
        <v>1584</v>
      </c>
      <c r="Q609" t="s">
        <v>1591</v>
      </c>
      <c r="R609">
        <v>0</v>
      </c>
      <c r="S609">
        <v>-0.11</v>
      </c>
      <c r="T609" t="s">
        <v>1584</v>
      </c>
      <c r="U609" t="s">
        <v>1592</v>
      </c>
      <c r="V609" t="str" cm="1">
        <f t="array" aca="1" ref="V609" ca="1">IFERROR(_xlfn.IFS(A607="  ..............",OFFSET(A607,2,0),A606=" X-------------X",OFFSET(A606,3,0),MATCH("  ..............",A609:A618,0)&gt;2,V608),"-")</f>
        <v xml:space="preserve">  CACHO2-RS069  </v>
      </c>
      <c r="W609">
        <f t="shared" ca="1" si="27"/>
        <v>1.008</v>
      </c>
      <c r="X609" t="str">
        <f t="shared" ca="1" si="28"/>
        <v xml:space="preserve"> ALBARUTAP069 </v>
      </c>
      <c r="Y609" s="1">
        <f t="shared" ca="1" si="29"/>
        <v>0.35299999999999998</v>
      </c>
    </row>
    <row r="610" spans="1:25" x14ac:dyDescent="0.25">
      <c r="A610" t="s">
        <v>1588</v>
      </c>
      <c r="B610" t="s">
        <v>1587</v>
      </c>
      <c r="C610">
        <v>54</v>
      </c>
      <c r="D610">
        <v>79</v>
      </c>
      <c r="E610">
        <v>79</v>
      </c>
      <c r="F610" s="1">
        <v>0.35299999999999998</v>
      </c>
      <c r="G610" t="s">
        <v>1587</v>
      </c>
      <c r="H610" t="s">
        <v>1587</v>
      </c>
      <c r="I610">
        <v>1379</v>
      </c>
      <c r="J610" t="s">
        <v>2135</v>
      </c>
      <c r="K610">
        <v>1</v>
      </c>
      <c r="L610">
        <v>17.7</v>
      </c>
      <c r="M610">
        <v>7.5</v>
      </c>
      <c r="N610">
        <v>19</v>
      </c>
      <c r="O610" t="s">
        <v>1594</v>
      </c>
      <c r="P610" t="s">
        <v>1584</v>
      </c>
      <c r="Q610" t="s">
        <v>1591</v>
      </c>
      <c r="R610">
        <v>7.0000000000000007E-2</v>
      </c>
      <c r="S610">
        <v>0.12</v>
      </c>
      <c r="T610" t="s">
        <v>1584</v>
      </c>
      <c r="U610" t="s">
        <v>1592</v>
      </c>
      <c r="V610" t="str" cm="1">
        <f t="array" aca="1" ref="V610" ca="1">IFERROR(_xlfn.IFS(A608="  ..............",OFFSET(A608,2,0),A607=" X-------------X",OFFSET(A607,3,0),MATCH("  ..............",A610:A619,0)&gt;2,V609),"-")</f>
        <v>-</v>
      </c>
      <c r="W610" t="str">
        <f t="shared" ca="1" si="27"/>
        <v>-</v>
      </c>
      <c r="X610" t="str">
        <f t="shared" ca="1" si="28"/>
        <v>-</v>
      </c>
      <c r="Y610" s="1" t="str">
        <f t="shared" ca="1" si="29"/>
        <v>-</v>
      </c>
    </row>
    <row r="611" spans="1:25" x14ac:dyDescent="0.25">
      <c r="A611" t="s">
        <v>1572</v>
      </c>
      <c r="B611" t="s">
        <v>1574</v>
      </c>
      <c r="C611" t="s">
        <v>1574</v>
      </c>
      <c r="D611" t="s">
        <v>1574</v>
      </c>
      <c r="E611" t="s">
        <v>1574</v>
      </c>
      <c r="F611" t="s">
        <v>1575</v>
      </c>
      <c r="G611" t="s">
        <v>1574</v>
      </c>
      <c r="H611" t="s">
        <v>1574</v>
      </c>
      <c r="I611" t="s">
        <v>1576</v>
      </c>
      <c r="J611" t="s">
        <v>1573</v>
      </c>
      <c r="K611" t="s">
        <v>1577</v>
      </c>
      <c r="L611" t="s">
        <v>1574</v>
      </c>
      <c r="M611" t="s">
        <v>1574</v>
      </c>
      <c r="N611" t="s">
        <v>1574</v>
      </c>
      <c r="O611" t="s">
        <v>1578</v>
      </c>
      <c r="P611" t="s">
        <v>1576</v>
      </c>
      <c r="Q611" t="s">
        <v>1579</v>
      </c>
      <c r="R611" t="s">
        <v>1580</v>
      </c>
      <c r="S611" t="s">
        <v>1580</v>
      </c>
      <c r="T611" t="s">
        <v>1576</v>
      </c>
      <c r="U611" t="s">
        <v>1576</v>
      </c>
      <c r="V611" t="str" cm="1">
        <f t="array" aca="1" ref="V611" ca="1">IFERROR(_xlfn.IFS(A609="  ..............",OFFSET(A609,2,0),A608=" X-------------X",OFFSET(A608,3,0),MATCH("  ..............",A611:A620,0)&gt;2,V610),"-")</f>
        <v>-</v>
      </c>
      <c r="W611" t="str">
        <f t="shared" ca="1" si="27"/>
        <v>-</v>
      </c>
      <c r="X611" t="str">
        <f t="shared" ca="1" si="28"/>
        <v/>
      </c>
      <c r="Y611" s="1" t="str">
        <f t="shared" ca="1" si="29"/>
        <v/>
      </c>
    </row>
    <row r="612" spans="1:25" x14ac:dyDescent="0.25">
      <c r="A612" t="s">
        <v>2136</v>
      </c>
      <c r="B612">
        <v>0.999</v>
      </c>
      <c r="C612">
        <v>0</v>
      </c>
      <c r="D612">
        <v>0</v>
      </c>
      <c r="E612">
        <v>10.1</v>
      </c>
      <c r="F612">
        <v>0</v>
      </c>
      <c r="G612">
        <v>0</v>
      </c>
      <c r="H612">
        <v>0</v>
      </c>
      <c r="I612" t="s">
        <v>1581</v>
      </c>
      <c r="J612" t="s">
        <v>1581</v>
      </c>
      <c r="K612" t="s">
        <v>1581</v>
      </c>
      <c r="L612" t="s">
        <v>1581</v>
      </c>
      <c r="M612" t="s">
        <v>1581</v>
      </c>
      <c r="N612" t="s">
        <v>1581</v>
      </c>
      <c r="O612" t="s">
        <v>1581</v>
      </c>
      <c r="P612" t="s">
        <v>1581</v>
      </c>
      <c r="Q612" t="s">
        <v>1581</v>
      </c>
      <c r="R612" t="s">
        <v>1581</v>
      </c>
      <c r="S612" t="s">
        <v>1581</v>
      </c>
      <c r="T612" t="s">
        <v>1581</v>
      </c>
      <c r="U612" t="s">
        <v>1581</v>
      </c>
      <c r="V612" t="str" cm="1">
        <f t="array" aca="1" ref="V612" ca="1">IFERROR(_xlfn.IFS(A610="  ..............",OFFSET(A610,2,0),A609=" X-------------X",OFFSET(A609,3,0),MATCH("  ..............",A612:A621,0)&gt;2,V611),"-")</f>
        <v>-</v>
      </c>
      <c r="W612" t="str">
        <f t="shared" ca="1" si="27"/>
        <v>-</v>
      </c>
      <c r="X612" t="str">
        <f t="shared" ca="1" si="28"/>
        <v xml:space="preserve">              </v>
      </c>
      <c r="Y612" s="1">
        <f t="shared" ca="1" si="29"/>
        <v>0</v>
      </c>
    </row>
    <row r="613" spans="1:25" x14ac:dyDescent="0.25">
      <c r="A613" t="s">
        <v>2137</v>
      </c>
      <c r="B613">
        <v>-56</v>
      </c>
      <c r="C613">
        <v>0</v>
      </c>
      <c r="D613">
        <v>0</v>
      </c>
      <c r="E613">
        <v>4.3</v>
      </c>
      <c r="F613">
        <v>0</v>
      </c>
      <c r="G613">
        <v>0</v>
      </c>
      <c r="H613">
        <v>0</v>
      </c>
      <c r="I613" t="s">
        <v>1584</v>
      </c>
      <c r="J613" t="s">
        <v>1585</v>
      </c>
      <c r="K613" t="s">
        <v>1586</v>
      </c>
      <c r="L613" t="s">
        <v>1587</v>
      </c>
      <c r="M613" t="s">
        <v>1587</v>
      </c>
      <c r="N613" t="s">
        <v>1586</v>
      </c>
      <c r="O613" t="s">
        <v>1581</v>
      </c>
      <c r="P613" t="s">
        <v>1581</v>
      </c>
      <c r="Q613" t="s">
        <v>1581</v>
      </c>
      <c r="R613" t="s">
        <v>1581</v>
      </c>
      <c r="S613" t="s">
        <v>1581</v>
      </c>
      <c r="T613" t="s">
        <v>1581</v>
      </c>
      <c r="U613" t="s">
        <v>1581</v>
      </c>
      <c r="V613" t="str" cm="1">
        <f t="array" aca="1" ref="V613" ca="1">IFERROR(_xlfn.IFS(A611="  ..............",OFFSET(A611,2,0),A610=" X-------------X",OFFSET(A610,3,0),MATCH("  ..............",A613:A622,0)&gt;2,V612),"-")</f>
        <v xml:space="preserve">  ALBARU-RS069  </v>
      </c>
      <c r="W613">
        <f t="shared" ca="1" si="27"/>
        <v>0.999</v>
      </c>
      <c r="X613" t="str">
        <f t="shared" ca="1" si="28"/>
        <v xml:space="preserve"> FITESA-RS069 </v>
      </c>
      <c r="Y613" s="1">
        <f t="shared" ca="1" si="29"/>
        <v>0.15</v>
      </c>
    </row>
    <row r="614" spans="1:25" x14ac:dyDescent="0.25">
      <c r="A614" t="s">
        <v>1588</v>
      </c>
      <c r="B614" t="s">
        <v>1587</v>
      </c>
      <c r="C614">
        <v>54</v>
      </c>
      <c r="D614">
        <v>79</v>
      </c>
      <c r="E614">
        <v>79</v>
      </c>
      <c r="F614" s="1">
        <v>0.15</v>
      </c>
      <c r="G614" t="s">
        <v>1587</v>
      </c>
      <c r="H614" t="s">
        <v>1587</v>
      </c>
      <c r="I614">
        <v>1365</v>
      </c>
      <c r="J614" t="s">
        <v>2138</v>
      </c>
      <c r="K614">
        <v>1</v>
      </c>
      <c r="L614">
        <v>7.5</v>
      </c>
      <c r="M614">
        <v>3.1</v>
      </c>
      <c r="N614">
        <v>8.1</v>
      </c>
      <c r="O614" t="s">
        <v>1594</v>
      </c>
      <c r="P614" t="s">
        <v>1584</v>
      </c>
      <c r="Q614" t="s">
        <v>1591</v>
      </c>
      <c r="R614">
        <v>0</v>
      </c>
      <c r="S614">
        <v>0</v>
      </c>
      <c r="T614" t="s">
        <v>1584</v>
      </c>
      <c r="U614" t="s">
        <v>1592</v>
      </c>
      <c r="V614" t="str" cm="1">
        <f t="array" aca="1" ref="V614" ca="1">IFERROR(_xlfn.IFS(A612="  ..............",OFFSET(A612,2,0),A611=" X-------------X",OFFSET(A611,3,0),MATCH("  ..............",A614:A623,0)&gt;2,V613),"-")</f>
        <v xml:space="preserve">  ALBARU-RS069  </v>
      </c>
      <c r="W614">
        <f t="shared" ca="1" si="27"/>
        <v>0.999</v>
      </c>
      <c r="X614" t="str">
        <f t="shared" ca="1" si="28"/>
        <v xml:space="preserve"> ALBARUTAP069 </v>
      </c>
      <c r="Y614" s="1">
        <f t="shared" ca="1" si="29"/>
        <v>0.35299999999999998</v>
      </c>
    </row>
    <row r="615" spans="1:25" x14ac:dyDescent="0.25">
      <c r="A615" t="s">
        <v>1588</v>
      </c>
      <c r="B615" t="s">
        <v>1587</v>
      </c>
      <c r="C615">
        <v>54</v>
      </c>
      <c r="D615">
        <v>79</v>
      </c>
      <c r="E615">
        <v>79</v>
      </c>
      <c r="F615" s="1">
        <v>0.35399999999999998</v>
      </c>
      <c r="G615" t="s">
        <v>1587</v>
      </c>
      <c r="H615" t="s">
        <v>1587</v>
      </c>
      <c r="I615">
        <v>1379</v>
      </c>
      <c r="J615" t="s">
        <v>2135</v>
      </c>
      <c r="K615">
        <v>1</v>
      </c>
      <c r="L615">
        <v>-17.600000000000001</v>
      </c>
      <c r="M615">
        <v>-7.4</v>
      </c>
      <c r="N615">
        <v>19.100000000000001</v>
      </c>
      <c r="O615" t="s">
        <v>1594</v>
      </c>
      <c r="P615" t="s">
        <v>1584</v>
      </c>
      <c r="Q615" t="s">
        <v>1591</v>
      </c>
      <c r="R615">
        <v>0.01</v>
      </c>
      <c r="S615">
        <v>0</v>
      </c>
      <c r="T615" t="s">
        <v>1584</v>
      </c>
      <c r="U615" t="s">
        <v>1592</v>
      </c>
      <c r="V615" t="str" cm="1">
        <f t="array" aca="1" ref="V615" ca="1">IFERROR(_xlfn.IFS(A613="  ..............",OFFSET(A613,2,0),A612=" X-------------X",OFFSET(A612,3,0),MATCH("  ..............",A615:A624,0)&gt;2,V614),"-")</f>
        <v>-</v>
      </c>
      <c r="W615" t="str">
        <f t="shared" ca="1" si="27"/>
        <v>-</v>
      </c>
      <c r="X615" t="str">
        <f t="shared" ca="1" si="28"/>
        <v>-</v>
      </c>
      <c r="Y615" s="1" t="str">
        <f t="shared" ca="1" si="29"/>
        <v>-</v>
      </c>
    </row>
    <row r="616" spans="1:25" x14ac:dyDescent="0.25">
      <c r="A616" t="s">
        <v>1572</v>
      </c>
      <c r="B616" t="s">
        <v>1574</v>
      </c>
      <c r="C616" t="s">
        <v>1574</v>
      </c>
      <c r="D616" t="s">
        <v>1574</v>
      </c>
      <c r="E616" t="s">
        <v>1574</v>
      </c>
      <c r="F616" t="s">
        <v>1575</v>
      </c>
      <c r="G616" t="s">
        <v>1574</v>
      </c>
      <c r="H616" t="s">
        <v>1574</v>
      </c>
      <c r="I616" t="s">
        <v>1576</v>
      </c>
      <c r="J616" t="s">
        <v>1573</v>
      </c>
      <c r="K616" t="s">
        <v>1577</v>
      </c>
      <c r="L616" t="s">
        <v>1574</v>
      </c>
      <c r="M616" t="s">
        <v>1574</v>
      </c>
      <c r="N616" t="s">
        <v>1574</v>
      </c>
      <c r="O616" t="s">
        <v>1578</v>
      </c>
      <c r="P616" t="s">
        <v>1576</v>
      </c>
      <c r="Q616" t="s">
        <v>1579</v>
      </c>
      <c r="R616" t="s">
        <v>1580</v>
      </c>
      <c r="S616" t="s">
        <v>1580</v>
      </c>
      <c r="T616" t="s">
        <v>1576</v>
      </c>
      <c r="U616" t="s">
        <v>1576</v>
      </c>
      <c r="V616" t="str" cm="1">
        <f t="array" aca="1" ref="V616" ca="1">IFERROR(_xlfn.IFS(A614="  ..............",OFFSET(A614,2,0),A613=" X-------------X",OFFSET(A613,3,0),MATCH("  ..............",A616:A625,0)&gt;2,V615),"-")</f>
        <v>-</v>
      </c>
      <c r="W616" t="str">
        <f t="shared" ca="1" si="27"/>
        <v>-</v>
      </c>
      <c r="X616" t="str">
        <f t="shared" ca="1" si="28"/>
        <v/>
      </c>
      <c r="Y616" s="1" t="str">
        <f t="shared" ca="1" si="29"/>
        <v/>
      </c>
    </row>
    <row r="617" spans="1:25" x14ac:dyDescent="0.25">
      <c r="A617" t="s">
        <v>2139</v>
      </c>
      <c r="B617">
        <v>1.012</v>
      </c>
      <c r="C617">
        <v>3.4</v>
      </c>
      <c r="D617">
        <v>0</v>
      </c>
      <c r="E617">
        <v>60.2</v>
      </c>
      <c r="F617">
        <v>0</v>
      </c>
      <c r="G617">
        <v>3.7</v>
      </c>
      <c r="H617">
        <v>0</v>
      </c>
      <c r="I617" t="s">
        <v>1581</v>
      </c>
      <c r="J617" t="s">
        <v>1581</v>
      </c>
      <c r="K617" t="s">
        <v>1581</v>
      </c>
      <c r="L617" t="s">
        <v>1581</v>
      </c>
      <c r="M617" t="s">
        <v>1581</v>
      </c>
      <c r="N617" t="s">
        <v>1581</v>
      </c>
      <c r="O617" t="s">
        <v>1581</v>
      </c>
      <c r="P617" t="s">
        <v>1581</v>
      </c>
      <c r="Q617" t="s">
        <v>1581</v>
      </c>
      <c r="R617" t="s">
        <v>1581</v>
      </c>
      <c r="S617" t="s">
        <v>1581</v>
      </c>
      <c r="T617" t="s">
        <v>1581</v>
      </c>
      <c r="U617" t="s">
        <v>1581</v>
      </c>
      <c r="V617" t="str" cm="1">
        <f t="array" aca="1" ref="V617" ca="1">IFERROR(_xlfn.IFS(A615="  ..............",OFFSET(A615,2,0),A614=" X-------------X",OFFSET(A614,3,0),MATCH("  ..............",A617:A626,0)&gt;2,V616),"-")</f>
        <v>-</v>
      </c>
      <c r="W617" t="str">
        <f t="shared" ca="1" si="27"/>
        <v>-</v>
      </c>
      <c r="X617" t="str">
        <f t="shared" ca="1" si="28"/>
        <v xml:space="preserve">              </v>
      </c>
      <c r="Y617" s="1">
        <f t="shared" ca="1" si="29"/>
        <v>0</v>
      </c>
    </row>
    <row r="618" spans="1:25" x14ac:dyDescent="0.25">
      <c r="A618" t="s">
        <v>2140</v>
      </c>
      <c r="B618">
        <v>-55.2</v>
      </c>
      <c r="C618">
        <v>0</v>
      </c>
      <c r="D618">
        <v>0</v>
      </c>
      <c r="E618">
        <v>20.2</v>
      </c>
      <c r="F618">
        <v>0</v>
      </c>
      <c r="G618">
        <v>0</v>
      </c>
      <c r="H618">
        <v>0</v>
      </c>
      <c r="I618" t="s">
        <v>1584</v>
      </c>
      <c r="J618" t="s">
        <v>1585</v>
      </c>
      <c r="K618" t="s">
        <v>1586</v>
      </c>
      <c r="L618" t="s">
        <v>1587</v>
      </c>
      <c r="M618" t="s">
        <v>1587</v>
      </c>
      <c r="N618" t="s">
        <v>1586</v>
      </c>
      <c r="O618" t="s">
        <v>1581</v>
      </c>
      <c r="P618" t="s">
        <v>1581</v>
      </c>
      <c r="Q618" t="s">
        <v>1581</v>
      </c>
      <c r="R618" t="s">
        <v>1581</v>
      </c>
      <c r="S618" t="s">
        <v>1581</v>
      </c>
      <c r="T618" t="s">
        <v>1581</v>
      </c>
      <c r="U618" t="s">
        <v>1581</v>
      </c>
      <c r="V618" t="str" cm="1">
        <f t="array" aca="1" ref="V618" ca="1">IFERROR(_xlfn.IFS(A616="  ..............",OFFSET(A616,2,0),A615=" X-------------X",OFFSET(A615,3,0),MATCH("  ..............",A618:A627,0)&gt;2,V617),"-")</f>
        <v xml:space="preserve">  GRAVA1-RS069  </v>
      </c>
      <c r="W618">
        <f t="shared" ca="1" si="27"/>
        <v>1.012</v>
      </c>
      <c r="X618" t="str">
        <f t="shared" ca="1" si="28"/>
        <v xml:space="preserve"> PIRELL-RS069 </v>
      </c>
      <c r="Y618" s="1">
        <f t="shared" ca="1" si="29"/>
        <v>0.89500000000000002</v>
      </c>
    </row>
    <row r="619" spans="1:25" x14ac:dyDescent="0.25">
      <c r="A619" t="s">
        <v>1588</v>
      </c>
      <c r="B619" t="s">
        <v>1587</v>
      </c>
      <c r="C619">
        <v>54</v>
      </c>
      <c r="D619">
        <v>79</v>
      </c>
      <c r="E619">
        <v>79</v>
      </c>
      <c r="F619" s="1">
        <v>0.57899999999999996</v>
      </c>
      <c r="G619" t="s">
        <v>1587</v>
      </c>
      <c r="H619" t="s">
        <v>1587</v>
      </c>
      <c r="I619">
        <v>1364</v>
      </c>
      <c r="J619" t="s">
        <v>2051</v>
      </c>
      <c r="K619">
        <v>1</v>
      </c>
      <c r="L619">
        <v>-30.8</v>
      </c>
      <c r="M619">
        <v>-7.2</v>
      </c>
      <c r="N619">
        <v>31.3</v>
      </c>
      <c r="O619" t="s">
        <v>1594</v>
      </c>
      <c r="P619" t="s">
        <v>1584</v>
      </c>
      <c r="Q619" t="s">
        <v>1591</v>
      </c>
      <c r="R619">
        <v>0.15</v>
      </c>
      <c r="S619">
        <v>0.46</v>
      </c>
      <c r="T619" t="s">
        <v>1584</v>
      </c>
      <c r="U619" t="s">
        <v>1592</v>
      </c>
      <c r="V619" t="str" cm="1">
        <f t="array" aca="1" ref="V619" ca="1">IFERROR(_xlfn.IFS(A617="  ..............",OFFSET(A617,2,0),A616=" X-------------X",OFFSET(A616,3,0),MATCH("  ..............",A619:A628,0)&gt;2,V618),"-")</f>
        <v xml:space="preserve">  GRAVA1-RS069  </v>
      </c>
      <c r="W619">
        <f t="shared" ca="1" si="27"/>
        <v>1.012</v>
      </c>
      <c r="X619" t="str">
        <f t="shared" ca="1" si="28"/>
        <v xml:space="preserve"> MUNDIA-RS069 </v>
      </c>
      <c r="Y619" s="1">
        <f t="shared" ca="1" si="29"/>
        <v>5.8000000000000003E-2</v>
      </c>
    </row>
    <row r="620" spans="1:25" x14ac:dyDescent="0.25">
      <c r="A620" t="s">
        <v>1637</v>
      </c>
      <c r="B620" t="s">
        <v>1638</v>
      </c>
      <c r="C620">
        <v>54</v>
      </c>
      <c r="D620">
        <v>79</v>
      </c>
      <c r="E620">
        <v>79</v>
      </c>
      <c r="F620" t="s">
        <v>1639</v>
      </c>
      <c r="G620" t="s">
        <v>1587</v>
      </c>
      <c r="H620" t="s">
        <v>1587</v>
      </c>
      <c r="I620">
        <v>1366</v>
      </c>
      <c r="J620" t="s">
        <v>2134</v>
      </c>
      <c r="K620">
        <v>1</v>
      </c>
      <c r="L620">
        <v>0</v>
      </c>
      <c r="M620">
        <v>0</v>
      </c>
      <c r="N620">
        <v>0</v>
      </c>
      <c r="O620" t="s">
        <v>1594</v>
      </c>
      <c r="P620" t="s">
        <v>1584</v>
      </c>
      <c r="Q620" t="s">
        <v>1591</v>
      </c>
      <c r="R620">
        <v>0</v>
      </c>
      <c r="S620">
        <v>0</v>
      </c>
      <c r="T620" t="s">
        <v>1584</v>
      </c>
      <c r="U620" t="s">
        <v>1592</v>
      </c>
      <c r="V620" t="str" cm="1">
        <f t="array" aca="1" ref="V620" ca="1">IFERROR(_xlfn.IFS(A618="  ..............",OFFSET(A618,2,0),A617=" X-------------X",OFFSET(A617,3,0),MATCH("  ..............",A620:A629,0)&gt;2,V619),"-")</f>
        <v xml:space="preserve">  GRAVA1-RS069  </v>
      </c>
      <c r="W620">
        <f t="shared" ca="1" si="27"/>
        <v>1.012</v>
      </c>
      <c r="X620" t="str">
        <f t="shared" ca="1" si="28"/>
        <v xml:space="preserve"> ICOTROTAP069 </v>
      </c>
      <c r="Y620" s="1">
        <f t="shared" ca="1" si="29"/>
        <v>0.64200000000000002</v>
      </c>
    </row>
    <row r="621" spans="1:25" x14ac:dyDescent="0.25">
      <c r="A621" t="s">
        <v>1588</v>
      </c>
      <c r="B621" t="s">
        <v>1587</v>
      </c>
      <c r="C621">
        <v>54</v>
      </c>
      <c r="D621">
        <v>79</v>
      </c>
      <c r="E621">
        <v>79</v>
      </c>
      <c r="F621" s="1">
        <v>0.505</v>
      </c>
      <c r="G621" t="s">
        <v>1587</v>
      </c>
      <c r="H621" t="s">
        <v>1587</v>
      </c>
      <c r="I621">
        <v>1378</v>
      </c>
      <c r="J621" t="s">
        <v>2053</v>
      </c>
      <c r="K621">
        <v>1</v>
      </c>
      <c r="L621">
        <v>-26</v>
      </c>
      <c r="M621">
        <v>-9.3000000000000007</v>
      </c>
      <c r="N621">
        <v>27.3</v>
      </c>
      <c r="O621" t="s">
        <v>1594</v>
      </c>
      <c r="P621" t="s">
        <v>1584</v>
      </c>
      <c r="Q621" t="s">
        <v>1591</v>
      </c>
      <c r="R621">
        <v>0.06</v>
      </c>
      <c r="S621">
        <v>0.15</v>
      </c>
      <c r="T621" t="s">
        <v>1584</v>
      </c>
      <c r="U621" t="s">
        <v>1592</v>
      </c>
      <c r="V621" t="str" cm="1">
        <f t="array" aca="1" ref="V621" ca="1">IFERROR(_xlfn.IFS(A619="  ..............",OFFSET(A619,2,0),A618=" X-------------X",OFFSET(A618,3,0),MATCH("  ..............",A621:A630,0)&gt;2,V620),"-")</f>
        <v xml:space="preserve">  GRAVA1-RS069  </v>
      </c>
      <c r="W621">
        <f t="shared" ca="1" si="27"/>
        <v>1.012</v>
      </c>
      <c r="X621" t="str">
        <f t="shared" ca="1" si="28"/>
        <v xml:space="preserve"> ALBARUTAP069 </v>
      </c>
      <c r="Y621" s="1">
        <f t="shared" ca="1" si="29"/>
        <v>0.35299999999999998</v>
      </c>
    </row>
    <row r="622" spans="1:25" x14ac:dyDescent="0.25">
      <c r="A622" t="s">
        <v>1637</v>
      </c>
      <c r="B622" t="s">
        <v>1638</v>
      </c>
      <c r="C622">
        <v>54</v>
      </c>
      <c r="D622">
        <v>79</v>
      </c>
      <c r="E622">
        <v>79</v>
      </c>
      <c r="F622" t="s">
        <v>1639</v>
      </c>
      <c r="G622" t="s">
        <v>1587</v>
      </c>
      <c r="H622" t="s">
        <v>1587</v>
      </c>
      <c r="I622">
        <v>1379</v>
      </c>
      <c r="J622" t="s">
        <v>2135</v>
      </c>
      <c r="K622">
        <v>1</v>
      </c>
      <c r="L622">
        <v>0</v>
      </c>
      <c r="M622">
        <v>0</v>
      </c>
      <c r="N622">
        <v>0</v>
      </c>
      <c r="O622" t="s">
        <v>1594</v>
      </c>
      <c r="P622" t="s">
        <v>1584</v>
      </c>
      <c r="Q622" t="s">
        <v>1591</v>
      </c>
      <c r="R622">
        <v>0</v>
      </c>
      <c r="S622">
        <v>0</v>
      </c>
      <c r="T622" t="s">
        <v>1584</v>
      </c>
      <c r="U622" t="s">
        <v>1592</v>
      </c>
      <c r="V622" t="str" cm="1">
        <f t="array" aca="1" ref="V622" ca="1">IFERROR(_xlfn.IFS(A620="  ..............",OFFSET(A620,2,0),A619=" X-------------X",OFFSET(A619,3,0),MATCH("  ..............",A622:A631,0)&gt;2,V621),"-")</f>
        <v>-</v>
      </c>
      <c r="W622" t="str">
        <f t="shared" ca="1" si="27"/>
        <v>-</v>
      </c>
      <c r="X622" t="str">
        <f t="shared" ca="1" si="28"/>
        <v>-</v>
      </c>
      <c r="Y622" s="1" t="str">
        <f t="shared" ca="1" si="29"/>
        <v>-</v>
      </c>
    </row>
    <row r="623" spans="1:25" x14ac:dyDescent="0.25">
      <c r="A623" t="s">
        <v>1572</v>
      </c>
      <c r="B623" t="s">
        <v>1574</v>
      </c>
      <c r="C623" t="s">
        <v>1574</v>
      </c>
      <c r="D623" t="s">
        <v>1574</v>
      </c>
      <c r="E623" t="s">
        <v>1574</v>
      </c>
      <c r="F623" t="s">
        <v>1575</v>
      </c>
      <c r="G623" t="s">
        <v>1574</v>
      </c>
      <c r="H623" t="s">
        <v>1574</v>
      </c>
      <c r="I623" t="s">
        <v>1576</v>
      </c>
      <c r="J623" t="s">
        <v>1573</v>
      </c>
      <c r="K623" t="s">
        <v>1577</v>
      </c>
      <c r="L623" t="s">
        <v>1574</v>
      </c>
      <c r="M623" t="s">
        <v>1574</v>
      </c>
      <c r="N623" t="s">
        <v>1574</v>
      </c>
      <c r="O623" t="s">
        <v>1578</v>
      </c>
      <c r="P623" t="s">
        <v>1576</v>
      </c>
      <c r="Q623" t="s">
        <v>1579</v>
      </c>
      <c r="R623" t="s">
        <v>1580</v>
      </c>
      <c r="S623" t="s">
        <v>1580</v>
      </c>
      <c r="T623" t="s">
        <v>1576</v>
      </c>
      <c r="U623" t="s">
        <v>1576</v>
      </c>
      <c r="V623" t="str" cm="1">
        <f t="array" aca="1" ref="V623" ca="1">IFERROR(_xlfn.IFS(A621="  ..............",OFFSET(A621,2,0),A620=" X-------------X",OFFSET(A620,3,0),MATCH("  ..............",A623:A632,0)&gt;2,V622),"-")</f>
        <v>-</v>
      </c>
      <c r="W623" t="str">
        <f t="shared" ca="1" si="27"/>
        <v>-</v>
      </c>
      <c r="X623" t="str">
        <f t="shared" ca="1" si="28"/>
        <v/>
      </c>
      <c r="Y623" s="1" t="str">
        <f t="shared" ca="1" si="29"/>
        <v/>
      </c>
    </row>
    <row r="624" spans="1:25" x14ac:dyDescent="0.25">
      <c r="A624" t="s">
        <v>2141</v>
      </c>
      <c r="B624">
        <v>1.016</v>
      </c>
      <c r="C624">
        <v>0</v>
      </c>
      <c r="D624">
        <v>0</v>
      </c>
      <c r="E624">
        <v>7</v>
      </c>
      <c r="F624">
        <v>0</v>
      </c>
      <c r="G624">
        <v>0</v>
      </c>
      <c r="H624">
        <v>0</v>
      </c>
      <c r="I624" t="s">
        <v>1581</v>
      </c>
      <c r="J624" t="s">
        <v>1581</v>
      </c>
      <c r="K624" t="s">
        <v>1581</v>
      </c>
      <c r="L624" t="s">
        <v>1581</v>
      </c>
      <c r="M624" t="s">
        <v>1581</v>
      </c>
      <c r="N624" t="s">
        <v>1581</v>
      </c>
      <c r="O624" t="s">
        <v>1581</v>
      </c>
      <c r="P624" t="s">
        <v>1581</v>
      </c>
      <c r="Q624" t="s">
        <v>1581</v>
      </c>
      <c r="R624" t="s">
        <v>1581</v>
      </c>
      <c r="S624" t="s">
        <v>1581</v>
      </c>
      <c r="T624" t="s">
        <v>1581</v>
      </c>
      <c r="U624" t="s">
        <v>1581</v>
      </c>
      <c r="V624" t="str" cm="1">
        <f t="array" aca="1" ref="V624" ca="1">IFERROR(_xlfn.IFS(A622="  ..............",OFFSET(A622,2,0),A621=" X-------------X",OFFSET(A621,3,0),MATCH("  ..............",A624:A633,0)&gt;2,V623),"-")</f>
        <v>-</v>
      </c>
      <c r="W624" t="str">
        <f t="shared" ca="1" si="27"/>
        <v>-</v>
      </c>
      <c r="X624" t="str">
        <f t="shared" ca="1" si="28"/>
        <v xml:space="preserve">              </v>
      </c>
      <c r="Y624" s="1">
        <f t="shared" ca="1" si="29"/>
        <v>0</v>
      </c>
    </row>
    <row r="625" spans="1:25" x14ac:dyDescent="0.25">
      <c r="A625" t="s">
        <v>2142</v>
      </c>
      <c r="B625">
        <v>-54.9</v>
      </c>
      <c r="C625">
        <v>0</v>
      </c>
      <c r="D625">
        <v>0</v>
      </c>
      <c r="E625">
        <v>2.9</v>
      </c>
      <c r="F625">
        <v>0</v>
      </c>
      <c r="G625">
        <v>0</v>
      </c>
      <c r="H625">
        <v>0</v>
      </c>
      <c r="I625" t="s">
        <v>1584</v>
      </c>
      <c r="J625" t="s">
        <v>1585</v>
      </c>
      <c r="K625" t="s">
        <v>1586</v>
      </c>
      <c r="L625" t="s">
        <v>1587</v>
      </c>
      <c r="M625" t="s">
        <v>1587</v>
      </c>
      <c r="N625" t="s">
        <v>1586</v>
      </c>
      <c r="O625" t="s">
        <v>1581</v>
      </c>
      <c r="P625" t="s">
        <v>1581</v>
      </c>
      <c r="Q625" t="s">
        <v>1581</v>
      </c>
      <c r="R625" t="s">
        <v>1581</v>
      </c>
      <c r="S625" t="s">
        <v>1581</v>
      </c>
      <c r="T625" t="s">
        <v>1581</v>
      </c>
      <c r="U625" t="s">
        <v>1581</v>
      </c>
      <c r="V625" t="str" cm="1">
        <f t="array" aca="1" ref="V625" ca="1">IFERROR(_xlfn.IFS(A623="  ..............",OFFSET(A623,2,0),A622=" X-------------X",OFFSET(A622,3,0),MATCH("  ..............",A625:A634,0)&gt;2,V624),"-")</f>
        <v xml:space="preserve">  ICOTR--RS069  </v>
      </c>
      <c r="W625">
        <f t="shared" ca="1" si="27"/>
        <v>1.016</v>
      </c>
      <c r="X625" t="str">
        <f t="shared" ca="1" si="28"/>
        <v xml:space="preserve"> ICOTROTAP069 </v>
      </c>
      <c r="Y625" s="1">
        <f t="shared" ca="1" si="29"/>
        <v>0.64200000000000002</v>
      </c>
    </row>
    <row r="626" spans="1:25" x14ac:dyDescent="0.25">
      <c r="A626" t="s">
        <v>1588</v>
      </c>
      <c r="B626" t="s">
        <v>1587</v>
      </c>
      <c r="C626">
        <v>54</v>
      </c>
      <c r="D626">
        <v>79</v>
      </c>
      <c r="E626">
        <v>79</v>
      </c>
      <c r="F626" s="1">
        <v>0.13800000000000001</v>
      </c>
      <c r="G626" t="s">
        <v>1587</v>
      </c>
      <c r="H626" t="s">
        <v>1587</v>
      </c>
      <c r="I626">
        <v>1378</v>
      </c>
      <c r="J626" t="s">
        <v>2053</v>
      </c>
      <c r="K626">
        <v>1</v>
      </c>
      <c r="L626">
        <v>-7</v>
      </c>
      <c r="M626">
        <v>-2.9</v>
      </c>
      <c r="N626">
        <v>7.5</v>
      </c>
      <c r="O626" t="s">
        <v>1594</v>
      </c>
      <c r="P626" t="s">
        <v>1584</v>
      </c>
      <c r="Q626" t="s">
        <v>1591</v>
      </c>
      <c r="R626">
        <v>0</v>
      </c>
      <c r="S626">
        <v>0</v>
      </c>
      <c r="T626" t="s">
        <v>1584</v>
      </c>
      <c r="U626" t="s">
        <v>1592</v>
      </c>
      <c r="V626" t="str" cm="1">
        <f t="array" aca="1" ref="V626" ca="1">IFERROR(_xlfn.IFS(A624="  ..............",OFFSET(A624,2,0),A623=" X-------------X",OFFSET(A623,3,0),MATCH("  ..............",A626:A635,0)&gt;2,V625),"-")</f>
        <v>-</v>
      </c>
      <c r="W626" t="str">
        <f t="shared" ca="1" si="27"/>
        <v>-</v>
      </c>
      <c r="X626" t="str">
        <f t="shared" ca="1" si="28"/>
        <v>-</v>
      </c>
      <c r="Y626" s="1" t="str">
        <f t="shared" ca="1" si="29"/>
        <v>-</v>
      </c>
    </row>
    <row r="627" spans="1:25" x14ac:dyDescent="0.25">
      <c r="A627" t="s">
        <v>1572</v>
      </c>
      <c r="B627" t="s">
        <v>1574</v>
      </c>
      <c r="C627" t="s">
        <v>1574</v>
      </c>
      <c r="D627" t="s">
        <v>1574</v>
      </c>
      <c r="E627" t="s">
        <v>1574</v>
      </c>
      <c r="F627" t="s">
        <v>1575</v>
      </c>
      <c r="G627" t="s">
        <v>1574</v>
      </c>
      <c r="H627" t="s">
        <v>1574</v>
      </c>
      <c r="I627" t="s">
        <v>1576</v>
      </c>
      <c r="J627" t="s">
        <v>1573</v>
      </c>
      <c r="K627" t="s">
        <v>1577</v>
      </c>
      <c r="L627" t="s">
        <v>1574</v>
      </c>
      <c r="M627" t="s">
        <v>1574</v>
      </c>
      <c r="N627" t="s">
        <v>1574</v>
      </c>
      <c r="O627" t="s">
        <v>1578</v>
      </c>
      <c r="P627" t="s">
        <v>1576</v>
      </c>
      <c r="Q627" t="s">
        <v>1579</v>
      </c>
      <c r="R627" t="s">
        <v>1580</v>
      </c>
      <c r="S627" t="s">
        <v>1580</v>
      </c>
      <c r="T627" t="s">
        <v>1576</v>
      </c>
      <c r="U627" t="s">
        <v>1576</v>
      </c>
      <c r="V627" t="str" cm="1">
        <f t="array" aca="1" ref="V627" ca="1">IFERROR(_xlfn.IFS(A625="  ..............",OFFSET(A625,2,0),A624=" X-------------X",OFFSET(A624,3,0),MATCH("  ..............",A627:A636,0)&gt;2,V626),"-")</f>
        <v>-</v>
      </c>
      <c r="W627" t="str">
        <f t="shared" ca="1" si="27"/>
        <v>-</v>
      </c>
      <c r="X627" t="str">
        <f t="shared" ca="1" si="28"/>
        <v/>
      </c>
      <c r="Y627" s="1" t="str">
        <f t="shared" ca="1" si="29"/>
        <v/>
      </c>
    </row>
    <row r="628" spans="1:25" x14ac:dyDescent="0.25">
      <c r="A628" t="s">
        <v>2143</v>
      </c>
      <c r="B628">
        <v>1.0209999999999999</v>
      </c>
      <c r="C628">
        <v>0</v>
      </c>
      <c r="D628">
        <v>0</v>
      </c>
      <c r="E628">
        <v>16.2</v>
      </c>
      <c r="F628">
        <v>0</v>
      </c>
      <c r="G628">
        <v>0</v>
      </c>
      <c r="H628">
        <v>0</v>
      </c>
      <c r="I628" t="s">
        <v>1581</v>
      </c>
      <c r="J628" t="s">
        <v>1581</v>
      </c>
      <c r="K628" t="s">
        <v>1581</v>
      </c>
      <c r="L628" t="s">
        <v>1581</v>
      </c>
      <c r="M628" t="s">
        <v>1581</v>
      </c>
      <c r="N628" t="s">
        <v>1581</v>
      </c>
      <c r="O628" t="s">
        <v>1581</v>
      </c>
      <c r="P628" t="s">
        <v>1581</v>
      </c>
      <c r="Q628" t="s">
        <v>1581</v>
      </c>
      <c r="R628" t="s">
        <v>1581</v>
      </c>
      <c r="S628" t="s">
        <v>1581</v>
      </c>
      <c r="T628" t="s">
        <v>1581</v>
      </c>
      <c r="U628" t="s">
        <v>1581</v>
      </c>
      <c r="V628" t="str" cm="1">
        <f t="array" aca="1" ref="V628" ca="1">IFERROR(_xlfn.IFS(A626="  ..............",OFFSET(A626,2,0),A625=" X-------------X",OFFSET(A625,3,0),MATCH("  ..............",A628:A637,0)&gt;2,V627),"-")</f>
        <v>-</v>
      </c>
      <c r="W628" t="str">
        <f t="shared" ca="1" si="27"/>
        <v>-</v>
      </c>
      <c r="X628" t="str">
        <f t="shared" ca="1" si="28"/>
        <v xml:space="preserve">              </v>
      </c>
      <c r="Y628" s="1">
        <f t="shared" ca="1" si="29"/>
        <v>0</v>
      </c>
    </row>
    <row r="629" spans="1:25" x14ac:dyDescent="0.25">
      <c r="A629" t="s">
        <v>2144</v>
      </c>
      <c r="B629">
        <v>-54.3</v>
      </c>
      <c r="C629">
        <v>0</v>
      </c>
      <c r="D629">
        <v>0</v>
      </c>
      <c r="E629">
        <v>6.9</v>
      </c>
      <c r="F629">
        <v>0</v>
      </c>
      <c r="G629">
        <v>0</v>
      </c>
      <c r="H629">
        <v>0</v>
      </c>
      <c r="I629" t="s">
        <v>1584</v>
      </c>
      <c r="J629" t="s">
        <v>1585</v>
      </c>
      <c r="K629" t="s">
        <v>1586</v>
      </c>
      <c r="L629" t="s">
        <v>1587</v>
      </c>
      <c r="M629" t="s">
        <v>1587</v>
      </c>
      <c r="N629" t="s">
        <v>1586</v>
      </c>
      <c r="O629" t="s">
        <v>1581</v>
      </c>
      <c r="P629" t="s">
        <v>1581</v>
      </c>
      <c r="Q629" t="s">
        <v>1581</v>
      </c>
      <c r="R629" t="s">
        <v>1581</v>
      </c>
      <c r="S629" t="s">
        <v>1581</v>
      </c>
      <c r="T629" t="s">
        <v>1581</v>
      </c>
      <c r="U629" t="s">
        <v>1581</v>
      </c>
      <c r="V629" t="str" cm="1">
        <f t="array" aca="1" ref="V629" ca="1">IFERROR(_xlfn.IFS(A627="  ..............",OFFSET(A627,2,0),A626=" X-------------X",OFFSET(A626,3,0),MATCH("  ..............",A629:A638,0)&gt;2,V628),"-")</f>
        <v xml:space="preserve">  PIRELL-RS069  </v>
      </c>
      <c r="W629">
        <f t="shared" ca="1" si="27"/>
        <v>1.0209999999999999</v>
      </c>
      <c r="X629" t="str">
        <f t="shared" ca="1" si="28"/>
        <v xml:space="preserve"> GRAVA3-RS069 </v>
      </c>
      <c r="Y629" s="1">
        <f t="shared" ca="1" si="29"/>
        <v>0.89500000000000002</v>
      </c>
    </row>
    <row r="630" spans="1:25" x14ac:dyDescent="0.25">
      <c r="A630" t="s">
        <v>1588</v>
      </c>
      <c r="B630" t="s">
        <v>1587</v>
      </c>
      <c r="C630">
        <v>54</v>
      </c>
      <c r="D630">
        <v>79</v>
      </c>
      <c r="E630">
        <v>79</v>
      </c>
      <c r="F630" s="1">
        <v>0.89500000000000002</v>
      </c>
      <c r="G630" t="s">
        <v>1587</v>
      </c>
      <c r="H630" t="s">
        <v>1587</v>
      </c>
      <c r="I630">
        <v>1314</v>
      </c>
      <c r="J630" t="s">
        <v>2145</v>
      </c>
      <c r="K630">
        <v>1</v>
      </c>
      <c r="L630">
        <v>-47.2</v>
      </c>
      <c r="M630">
        <v>-14.6</v>
      </c>
      <c r="N630">
        <v>48.4</v>
      </c>
      <c r="O630" t="s">
        <v>1594</v>
      </c>
      <c r="P630" t="s">
        <v>1584</v>
      </c>
      <c r="Q630" t="s">
        <v>1591</v>
      </c>
      <c r="R630">
        <v>0.5</v>
      </c>
      <c r="S630">
        <v>0.97</v>
      </c>
      <c r="T630" t="s">
        <v>1584</v>
      </c>
      <c r="U630" t="s">
        <v>1592</v>
      </c>
      <c r="V630" t="str" cm="1">
        <f t="array" aca="1" ref="V630" ca="1">IFERROR(_xlfn.IFS(A628="  ..............",OFFSET(A628,2,0),A627=" X-------------X",OFFSET(A627,3,0),MATCH("  ..............",A630:A639,0)&gt;2,V629),"-")</f>
        <v xml:space="preserve">  PIRELL-RS069  </v>
      </c>
      <c r="W630">
        <f t="shared" ca="1" si="27"/>
        <v>1.0209999999999999</v>
      </c>
      <c r="X630" t="str">
        <f t="shared" ca="1" si="28"/>
        <v xml:space="preserve"> GRAVA1-RS069 </v>
      </c>
      <c r="Y630" s="1">
        <f t="shared" ca="1" si="29"/>
        <v>0.57899999999999996</v>
      </c>
    </row>
    <row r="631" spans="1:25" x14ac:dyDescent="0.25">
      <c r="A631" t="s">
        <v>1588</v>
      </c>
      <c r="B631" t="s">
        <v>1587</v>
      </c>
      <c r="C631">
        <v>54</v>
      </c>
      <c r="D631">
        <v>79</v>
      </c>
      <c r="E631">
        <v>79</v>
      </c>
      <c r="F631" s="1">
        <v>0.57899999999999996</v>
      </c>
      <c r="G631" t="s">
        <v>1587</v>
      </c>
      <c r="H631" t="s">
        <v>1587</v>
      </c>
      <c r="I631">
        <v>1362</v>
      </c>
      <c r="J631" t="s">
        <v>2146</v>
      </c>
      <c r="K631">
        <v>1</v>
      </c>
      <c r="L631">
        <v>31</v>
      </c>
      <c r="M631">
        <v>7.7</v>
      </c>
      <c r="N631">
        <v>31.2</v>
      </c>
      <c r="O631" t="s">
        <v>1594</v>
      </c>
      <c r="P631" t="s">
        <v>1584</v>
      </c>
      <c r="Q631" t="s">
        <v>1591</v>
      </c>
      <c r="R631">
        <v>0.15</v>
      </c>
      <c r="S631">
        <v>0.46</v>
      </c>
      <c r="T631" t="s">
        <v>1584</v>
      </c>
      <c r="U631" t="s">
        <v>1592</v>
      </c>
      <c r="V631" t="str" cm="1">
        <f t="array" aca="1" ref="V631" ca="1">IFERROR(_xlfn.IFS(A629="  ..............",OFFSET(A629,2,0),A628=" X-------------X",OFFSET(A628,3,0),MATCH("  ..............",A631:A640,0)&gt;2,V630),"-")</f>
        <v>-</v>
      </c>
      <c r="W631" t="str">
        <f t="shared" ca="1" si="27"/>
        <v>-</v>
      </c>
      <c r="X631" t="str">
        <f t="shared" ca="1" si="28"/>
        <v>-</v>
      </c>
      <c r="Y631" s="1" t="str">
        <f t="shared" ca="1" si="29"/>
        <v>-</v>
      </c>
    </row>
    <row r="632" spans="1:25" x14ac:dyDescent="0.25">
      <c r="A632" t="s">
        <v>1572</v>
      </c>
      <c r="B632" t="s">
        <v>1574</v>
      </c>
      <c r="C632" t="s">
        <v>1574</v>
      </c>
      <c r="D632" t="s">
        <v>1574</v>
      </c>
      <c r="E632" t="s">
        <v>1574</v>
      </c>
      <c r="F632" t="s">
        <v>1575</v>
      </c>
      <c r="G632" t="s">
        <v>1574</v>
      </c>
      <c r="H632" t="s">
        <v>1574</v>
      </c>
      <c r="I632" t="s">
        <v>1576</v>
      </c>
      <c r="J632" t="s">
        <v>1573</v>
      </c>
      <c r="K632" t="s">
        <v>1577</v>
      </c>
      <c r="L632" t="s">
        <v>1574</v>
      </c>
      <c r="M632" t="s">
        <v>1574</v>
      </c>
      <c r="N632" t="s">
        <v>1574</v>
      </c>
      <c r="O632" t="s">
        <v>1578</v>
      </c>
      <c r="P632" t="s">
        <v>1576</v>
      </c>
      <c r="Q632" t="s">
        <v>1579</v>
      </c>
      <c r="R632" t="s">
        <v>1580</v>
      </c>
      <c r="S632" t="s">
        <v>1580</v>
      </c>
      <c r="T632" t="s">
        <v>1576</v>
      </c>
      <c r="U632" t="s">
        <v>1576</v>
      </c>
      <c r="V632" t="str" cm="1">
        <f t="array" aca="1" ref="V632" ca="1">IFERROR(_xlfn.IFS(A630="  ..............",OFFSET(A630,2,0),A629=" X-------------X",OFFSET(A629,3,0),MATCH("  ..............",A632:A641,0)&gt;2,V631),"-")</f>
        <v>-</v>
      </c>
      <c r="W632" t="str">
        <f t="shared" ca="1" si="27"/>
        <v>-</v>
      </c>
      <c r="X632" t="str">
        <f t="shared" ca="1" si="28"/>
        <v/>
      </c>
      <c r="Y632" s="1" t="str">
        <f t="shared" ca="1" si="29"/>
        <v/>
      </c>
    </row>
    <row r="633" spans="1:25" x14ac:dyDescent="0.25">
      <c r="A633" t="s">
        <v>2147</v>
      </c>
      <c r="B633">
        <v>0.998</v>
      </c>
      <c r="C633">
        <v>0</v>
      </c>
      <c r="D633">
        <v>0</v>
      </c>
      <c r="E633">
        <v>7.5</v>
      </c>
      <c r="F633">
        <v>0</v>
      </c>
      <c r="G633">
        <v>0</v>
      </c>
      <c r="H633">
        <v>0</v>
      </c>
      <c r="I633" t="s">
        <v>1581</v>
      </c>
      <c r="J633" t="s">
        <v>1581</v>
      </c>
      <c r="K633" t="s">
        <v>1581</v>
      </c>
      <c r="L633" t="s">
        <v>1581</v>
      </c>
      <c r="M633" t="s">
        <v>1581</v>
      </c>
      <c r="N633" t="s">
        <v>1581</v>
      </c>
      <c r="O633" t="s">
        <v>1581</v>
      </c>
      <c r="P633" t="s">
        <v>1581</v>
      </c>
      <c r="Q633" t="s">
        <v>1581</v>
      </c>
      <c r="R633" t="s">
        <v>1581</v>
      </c>
      <c r="S633" t="s">
        <v>1581</v>
      </c>
      <c r="T633" t="s">
        <v>1581</v>
      </c>
      <c r="U633" t="s">
        <v>1581</v>
      </c>
      <c r="V633" t="str" cm="1">
        <f t="array" aca="1" ref="V633" ca="1">IFERROR(_xlfn.IFS(A631="  ..............",OFFSET(A631,2,0),A630=" X-------------X",OFFSET(A630,3,0),MATCH("  ..............",A633:A642,0)&gt;2,V632),"-")</f>
        <v>-</v>
      </c>
      <c r="W633" t="str">
        <f t="shared" ca="1" si="27"/>
        <v>-</v>
      </c>
      <c r="X633" t="str">
        <f t="shared" ca="1" si="28"/>
        <v xml:space="preserve">              </v>
      </c>
      <c r="Y633" s="1">
        <f t="shared" ca="1" si="29"/>
        <v>0</v>
      </c>
    </row>
    <row r="634" spans="1:25" x14ac:dyDescent="0.25">
      <c r="A634" t="s">
        <v>2148</v>
      </c>
      <c r="B634">
        <v>-56.1</v>
      </c>
      <c r="C634">
        <v>0</v>
      </c>
      <c r="D634">
        <v>0</v>
      </c>
      <c r="E634">
        <v>3.1</v>
      </c>
      <c r="F634">
        <v>0</v>
      </c>
      <c r="G634">
        <v>0</v>
      </c>
      <c r="H634">
        <v>0</v>
      </c>
      <c r="I634" t="s">
        <v>1584</v>
      </c>
      <c r="J634" t="s">
        <v>1585</v>
      </c>
      <c r="K634" t="s">
        <v>1586</v>
      </c>
      <c r="L634" t="s">
        <v>1587</v>
      </c>
      <c r="M634" t="s">
        <v>1587</v>
      </c>
      <c r="N634" t="s">
        <v>1586</v>
      </c>
      <c r="O634" t="s">
        <v>1581</v>
      </c>
      <c r="P634" t="s">
        <v>1581</v>
      </c>
      <c r="Q634" t="s">
        <v>1581</v>
      </c>
      <c r="R634" t="s">
        <v>1581</v>
      </c>
      <c r="S634" t="s">
        <v>1581</v>
      </c>
      <c r="T634" t="s">
        <v>1581</v>
      </c>
      <c r="U634" t="s">
        <v>1581</v>
      </c>
      <c r="V634" t="str" cm="1">
        <f t="array" aca="1" ref="V634" ca="1">IFERROR(_xlfn.IFS(A632="  ..............",OFFSET(A632,2,0),A631=" X-------------X",OFFSET(A631,3,0),MATCH("  ..............",A634:A643,0)&gt;2,V633),"-")</f>
        <v xml:space="preserve">  FITESA-RS069  </v>
      </c>
      <c r="W634">
        <f t="shared" ca="1" si="27"/>
        <v>0.998</v>
      </c>
      <c r="X634" t="str">
        <f t="shared" ca="1" si="28"/>
        <v xml:space="preserve"> ALBARU-RS069 </v>
      </c>
      <c r="Y634" s="1">
        <f t="shared" ca="1" si="29"/>
        <v>0.151</v>
      </c>
    </row>
    <row r="635" spans="1:25" x14ac:dyDescent="0.25">
      <c r="A635" t="s">
        <v>1588</v>
      </c>
      <c r="B635" t="s">
        <v>1587</v>
      </c>
      <c r="C635">
        <v>54</v>
      </c>
      <c r="D635">
        <v>79</v>
      </c>
      <c r="E635">
        <v>79</v>
      </c>
      <c r="F635" s="1">
        <v>0.151</v>
      </c>
      <c r="G635" t="s">
        <v>1587</v>
      </c>
      <c r="H635" t="s">
        <v>1587</v>
      </c>
      <c r="I635">
        <v>1361</v>
      </c>
      <c r="J635" t="s">
        <v>2149</v>
      </c>
      <c r="K635">
        <v>1</v>
      </c>
      <c r="L635">
        <v>-7.5</v>
      </c>
      <c r="M635">
        <v>-3.1</v>
      </c>
      <c r="N635">
        <v>8.1</v>
      </c>
      <c r="O635" t="s">
        <v>1594</v>
      </c>
      <c r="P635" t="s">
        <v>1584</v>
      </c>
      <c r="Q635" t="s">
        <v>1591</v>
      </c>
      <c r="R635">
        <v>0</v>
      </c>
      <c r="S635">
        <v>0</v>
      </c>
      <c r="T635" t="s">
        <v>1584</v>
      </c>
      <c r="U635" t="s">
        <v>1592</v>
      </c>
      <c r="V635" t="str" cm="1">
        <f t="array" aca="1" ref="V635" ca="1">IFERROR(_xlfn.IFS(A633="  ..............",OFFSET(A633,2,0),A632=" X-------------X",OFFSET(A632,3,0),MATCH("  ..............",A635:A644,0)&gt;2,V634),"-")</f>
        <v>-</v>
      </c>
      <c r="W635" t="str">
        <f t="shared" ca="1" si="27"/>
        <v>-</v>
      </c>
      <c r="X635" t="str">
        <f t="shared" ca="1" si="28"/>
        <v>-</v>
      </c>
      <c r="Y635" s="1" t="str">
        <f t="shared" ca="1" si="29"/>
        <v>-</v>
      </c>
    </row>
    <row r="636" spans="1:25" x14ac:dyDescent="0.25">
      <c r="A636" t="s">
        <v>1572</v>
      </c>
      <c r="B636" t="s">
        <v>1574</v>
      </c>
      <c r="C636" t="s">
        <v>1574</v>
      </c>
      <c r="D636" t="s">
        <v>1574</v>
      </c>
      <c r="E636" t="s">
        <v>1574</v>
      </c>
      <c r="F636" t="s">
        <v>1575</v>
      </c>
      <c r="G636" t="s">
        <v>1574</v>
      </c>
      <c r="H636" t="s">
        <v>1574</v>
      </c>
      <c r="I636" t="s">
        <v>1576</v>
      </c>
      <c r="J636" t="s">
        <v>1573</v>
      </c>
      <c r="K636" t="s">
        <v>1577</v>
      </c>
      <c r="L636" t="s">
        <v>1574</v>
      </c>
      <c r="M636" t="s">
        <v>1574</v>
      </c>
      <c r="N636" t="s">
        <v>1574</v>
      </c>
      <c r="O636" t="s">
        <v>1578</v>
      </c>
      <c r="P636" t="s">
        <v>1576</v>
      </c>
      <c r="Q636" t="s">
        <v>1579</v>
      </c>
      <c r="R636" t="s">
        <v>1580</v>
      </c>
      <c r="S636" t="s">
        <v>1580</v>
      </c>
      <c r="T636" t="s">
        <v>1576</v>
      </c>
      <c r="U636" t="s">
        <v>1576</v>
      </c>
      <c r="V636" t="str" cm="1">
        <f t="array" aca="1" ref="V636" ca="1">IFERROR(_xlfn.IFS(A634="  ..............",OFFSET(A634,2,0),A633=" X-------------X",OFFSET(A633,3,0),MATCH("  ..............",A636:A645,0)&gt;2,V635),"-")</f>
        <v>-</v>
      </c>
      <c r="W636" t="str">
        <f t="shared" ca="1" si="27"/>
        <v>-</v>
      </c>
      <c r="X636" t="str">
        <f t="shared" ca="1" si="28"/>
        <v/>
      </c>
      <c r="Y636" s="1" t="str">
        <f t="shared" ca="1" si="29"/>
        <v/>
      </c>
    </row>
    <row r="637" spans="1:25" x14ac:dyDescent="0.25">
      <c r="A637" t="s">
        <v>2150</v>
      </c>
      <c r="B637">
        <v>1.0069999999999999</v>
      </c>
      <c r="C637">
        <v>0</v>
      </c>
      <c r="D637">
        <v>0</v>
      </c>
      <c r="E637">
        <v>3</v>
      </c>
      <c r="F637">
        <v>0</v>
      </c>
      <c r="G637">
        <v>0</v>
      </c>
      <c r="H637">
        <v>0</v>
      </c>
      <c r="I637" t="s">
        <v>1581</v>
      </c>
      <c r="J637" t="s">
        <v>1581</v>
      </c>
      <c r="K637" t="s">
        <v>1581</v>
      </c>
      <c r="L637" t="s">
        <v>1581</v>
      </c>
      <c r="M637" t="s">
        <v>1581</v>
      </c>
      <c r="N637" t="s">
        <v>1581</v>
      </c>
      <c r="O637" t="s">
        <v>1581</v>
      </c>
      <c r="P637" t="s">
        <v>1581</v>
      </c>
      <c r="Q637" t="s">
        <v>1581</v>
      </c>
      <c r="R637" t="s">
        <v>1581</v>
      </c>
      <c r="S637" t="s">
        <v>1581</v>
      </c>
      <c r="T637" t="s">
        <v>1581</v>
      </c>
      <c r="U637" t="s">
        <v>1581</v>
      </c>
      <c r="V637" t="str" cm="1">
        <f t="array" aca="1" ref="V637" ca="1">IFERROR(_xlfn.IFS(A635="  ..............",OFFSET(A635,2,0),A634=" X-------------X",OFFSET(A634,3,0),MATCH("  ..............",A637:A646,0)&gt;2,V636),"-")</f>
        <v>-</v>
      </c>
      <c r="W637" t="str">
        <f t="shared" ca="1" si="27"/>
        <v>-</v>
      </c>
      <c r="X637" t="str">
        <f t="shared" ca="1" si="28"/>
        <v xml:space="preserve">              </v>
      </c>
      <c r="Y637" s="1">
        <f t="shared" ca="1" si="29"/>
        <v>0</v>
      </c>
    </row>
    <row r="638" spans="1:25" x14ac:dyDescent="0.25">
      <c r="A638" t="s">
        <v>2151</v>
      </c>
      <c r="B638">
        <v>-55.5</v>
      </c>
      <c r="C638">
        <v>0</v>
      </c>
      <c r="D638">
        <v>0</v>
      </c>
      <c r="E638">
        <v>1.2</v>
      </c>
      <c r="F638">
        <v>0</v>
      </c>
      <c r="G638">
        <v>0</v>
      </c>
      <c r="H638">
        <v>0</v>
      </c>
      <c r="I638" t="s">
        <v>1584</v>
      </c>
      <c r="J638" t="s">
        <v>1585</v>
      </c>
      <c r="K638" t="s">
        <v>1586</v>
      </c>
      <c r="L638" t="s">
        <v>1587</v>
      </c>
      <c r="M638" t="s">
        <v>1587</v>
      </c>
      <c r="N638" t="s">
        <v>1586</v>
      </c>
      <c r="O638" t="s">
        <v>1581</v>
      </c>
      <c r="P638" t="s">
        <v>1581</v>
      </c>
      <c r="Q638" t="s">
        <v>1581</v>
      </c>
      <c r="R638" t="s">
        <v>1581</v>
      </c>
      <c r="S638" t="s">
        <v>1581</v>
      </c>
      <c r="T638" t="s">
        <v>1581</v>
      </c>
      <c r="U638" t="s">
        <v>1581</v>
      </c>
      <c r="V638" t="str" cm="1">
        <f t="array" aca="1" ref="V638" ca="1">IFERROR(_xlfn.IFS(A636="  ..............",OFFSET(A636,2,0),A635=" X-------------X",OFFSET(A635,3,0),MATCH("  ..............",A638:A647,0)&gt;2,V637),"-")</f>
        <v xml:space="preserve">  MUNDIA-RS069  </v>
      </c>
      <c r="W638">
        <f t="shared" ca="1" si="27"/>
        <v>1.0069999999999999</v>
      </c>
      <c r="X638" t="str">
        <f t="shared" ca="1" si="28"/>
        <v xml:space="preserve"> CACHO2-RS069 </v>
      </c>
      <c r="Y638" s="1">
        <f t="shared" ca="1" si="29"/>
        <v>0.47199999999999998</v>
      </c>
    </row>
    <row r="639" spans="1:25" x14ac:dyDescent="0.25">
      <c r="A639" t="s">
        <v>1588</v>
      </c>
      <c r="B639" t="s">
        <v>1587</v>
      </c>
      <c r="C639">
        <v>54</v>
      </c>
      <c r="D639">
        <v>79</v>
      </c>
      <c r="E639">
        <v>79</v>
      </c>
      <c r="F639" s="1">
        <v>5.8999999999999997E-2</v>
      </c>
      <c r="G639" t="s">
        <v>1587</v>
      </c>
      <c r="H639" t="s">
        <v>1587</v>
      </c>
      <c r="I639">
        <v>1360</v>
      </c>
      <c r="J639" t="s">
        <v>1689</v>
      </c>
      <c r="K639">
        <v>1</v>
      </c>
      <c r="L639">
        <v>-3</v>
      </c>
      <c r="M639">
        <v>-1.1000000000000001</v>
      </c>
      <c r="N639">
        <v>3.2</v>
      </c>
      <c r="O639" t="s">
        <v>1594</v>
      </c>
      <c r="P639" t="s">
        <v>1584</v>
      </c>
      <c r="Q639" t="s">
        <v>1591</v>
      </c>
      <c r="R639">
        <v>0</v>
      </c>
      <c r="S639">
        <v>-0.11</v>
      </c>
      <c r="T639" t="s">
        <v>1584</v>
      </c>
      <c r="U639" t="s">
        <v>1592</v>
      </c>
      <c r="V639" t="str" cm="1">
        <f t="array" aca="1" ref="V639" ca="1">IFERROR(_xlfn.IFS(A637="  ..............",OFFSET(A637,2,0),A636=" X-------------X",OFFSET(A636,3,0),MATCH("  ..............",A639:A648,0)&gt;2,V638),"-")</f>
        <v xml:space="preserve">  MUNDIA-RS069  </v>
      </c>
      <c r="W639">
        <f t="shared" ca="1" si="27"/>
        <v>1.0069999999999999</v>
      </c>
      <c r="X639" t="str">
        <f t="shared" ca="1" si="28"/>
        <v xml:space="preserve"> GRAVA1-RS069 </v>
      </c>
      <c r="Y639" s="1">
        <f t="shared" ca="1" si="29"/>
        <v>0.57899999999999996</v>
      </c>
    </row>
    <row r="640" spans="1:25" x14ac:dyDescent="0.25">
      <c r="A640" t="s">
        <v>1637</v>
      </c>
      <c r="B640" t="s">
        <v>1638</v>
      </c>
      <c r="C640">
        <v>54</v>
      </c>
      <c r="D640">
        <v>79</v>
      </c>
      <c r="E640">
        <v>79</v>
      </c>
      <c r="F640" t="s">
        <v>1639</v>
      </c>
      <c r="G640" t="s">
        <v>1587</v>
      </c>
      <c r="H640" t="s">
        <v>1587</v>
      </c>
      <c r="I640">
        <v>1362</v>
      </c>
      <c r="J640" t="s">
        <v>2146</v>
      </c>
      <c r="K640">
        <v>1</v>
      </c>
      <c r="L640">
        <v>0</v>
      </c>
      <c r="M640">
        <v>-0.1</v>
      </c>
      <c r="N640">
        <v>0.1</v>
      </c>
      <c r="O640" t="s">
        <v>1594</v>
      </c>
      <c r="P640" t="s">
        <v>1584</v>
      </c>
      <c r="Q640" t="s">
        <v>1591</v>
      </c>
      <c r="R640">
        <v>0</v>
      </c>
      <c r="S640">
        <v>-0.05</v>
      </c>
      <c r="T640">
        <v>1.0069999999999999</v>
      </c>
      <c r="U640">
        <v>-55.5</v>
      </c>
      <c r="V640" t="str" cm="1">
        <f t="array" aca="1" ref="V640" ca="1">IFERROR(_xlfn.IFS(A638="  ..............",OFFSET(A638,2,0),A637=" X-------------X",OFFSET(A637,3,0),MATCH("  ..............",A640:A649,0)&gt;2,V639),"-")</f>
        <v>-</v>
      </c>
      <c r="W640" t="str">
        <f t="shared" ca="1" si="27"/>
        <v>-</v>
      </c>
      <c r="X640" t="str">
        <f t="shared" ca="1" si="28"/>
        <v>-</v>
      </c>
      <c r="Y640" s="1" t="str">
        <f t="shared" ca="1" si="29"/>
        <v>-</v>
      </c>
    </row>
    <row r="641" spans="1:25" x14ac:dyDescent="0.25">
      <c r="A641" t="s">
        <v>1572</v>
      </c>
      <c r="B641" t="s">
        <v>1574</v>
      </c>
      <c r="C641" t="s">
        <v>1574</v>
      </c>
      <c r="D641" t="s">
        <v>1574</v>
      </c>
      <c r="E641" t="s">
        <v>1574</v>
      </c>
      <c r="F641" t="s">
        <v>1575</v>
      </c>
      <c r="G641" t="s">
        <v>1574</v>
      </c>
      <c r="H641" t="s">
        <v>1574</v>
      </c>
      <c r="I641" t="s">
        <v>1576</v>
      </c>
      <c r="J641" t="s">
        <v>1573</v>
      </c>
      <c r="K641" t="s">
        <v>1577</v>
      </c>
      <c r="L641" t="s">
        <v>1574</v>
      </c>
      <c r="M641" t="s">
        <v>1574</v>
      </c>
      <c r="N641" t="s">
        <v>1574</v>
      </c>
      <c r="O641" t="s">
        <v>1578</v>
      </c>
      <c r="P641" t="s">
        <v>1576</v>
      </c>
      <c r="Q641" t="s">
        <v>1579</v>
      </c>
      <c r="R641" t="s">
        <v>1580</v>
      </c>
      <c r="S641" t="s">
        <v>1580</v>
      </c>
      <c r="T641" t="s">
        <v>1576</v>
      </c>
      <c r="U641" t="s">
        <v>1576</v>
      </c>
      <c r="V641" t="str" cm="1">
        <f t="array" aca="1" ref="V641" ca="1">IFERROR(_xlfn.IFS(A639="  ..............",OFFSET(A639,2,0),A638=" X-------------X",OFFSET(A638,3,0),MATCH("  ..............",A641:A650,0)&gt;2,V640),"-")</f>
        <v>-</v>
      </c>
      <c r="W641" t="str">
        <f t="shared" ca="1" si="27"/>
        <v>-</v>
      </c>
      <c r="X641" t="str">
        <f t="shared" ca="1" si="28"/>
        <v/>
      </c>
      <c r="Y641" s="1" t="str">
        <f t="shared" ca="1" si="29"/>
        <v/>
      </c>
    </row>
    <row r="642" spans="1:25" x14ac:dyDescent="0.25">
      <c r="A642" t="s">
        <v>2152</v>
      </c>
      <c r="B642">
        <v>1.02</v>
      </c>
      <c r="C642">
        <v>0.9</v>
      </c>
      <c r="D642">
        <v>0</v>
      </c>
      <c r="E642">
        <v>8.5</v>
      </c>
      <c r="F642">
        <v>0</v>
      </c>
      <c r="G642">
        <v>0</v>
      </c>
      <c r="H642">
        <v>0</v>
      </c>
      <c r="I642" t="s">
        <v>1581</v>
      </c>
      <c r="J642" t="s">
        <v>1581</v>
      </c>
      <c r="K642" t="s">
        <v>1581</v>
      </c>
      <c r="L642" t="s">
        <v>1581</v>
      </c>
      <c r="M642" t="s">
        <v>1581</v>
      </c>
      <c r="N642" t="s">
        <v>1581</v>
      </c>
      <c r="O642" t="s">
        <v>1581</v>
      </c>
      <c r="P642" t="s">
        <v>1581</v>
      </c>
      <c r="Q642" t="s">
        <v>1581</v>
      </c>
      <c r="R642" t="s">
        <v>1581</v>
      </c>
      <c r="S642" t="s">
        <v>1581</v>
      </c>
      <c r="T642" t="s">
        <v>1581</v>
      </c>
      <c r="U642" t="s">
        <v>1581</v>
      </c>
      <c r="V642" t="str" cm="1">
        <f t="array" aca="1" ref="V642" ca="1">IFERROR(_xlfn.IFS(A640="  ..............",OFFSET(A640,2,0),A639=" X-------------X",OFFSET(A639,3,0),MATCH("  ..............",A642:A651,0)&gt;2,V641),"-")</f>
        <v>-</v>
      </c>
      <c r="W642" t="str">
        <f t="shared" ca="1" si="27"/>
        <v>-</v>
      </c>
      <c r="X642" t="str">
        <f t="shared" ca="1" si="28"/>
        <v xml:space="preserve">              </v>
      </c>
      <c r="Y642" s="1">
        <f t="shared" ca="1" si="29"/>
        <v>0</v>
      </c>
    </row>
    <row r="643" spans="1:25" x14ac:dyDescent="0.25">
      <c r="A643" t="s">
        <v>2153</v>
      </c>
      <c r="B643">
        <v>-54</v>
      </c>
      <c r="C643">
        <v>0</v>
      </c>
      <c r="D643">
        <v>0</v>
      </c>
      <c r="E643">
        <v>5.2</v>
      </c>
      <c r="F643">
        <v>0</v>
      </c>
      <c r="G643">
        <v>0</v>
      </c>
      <c r="H643">
        <v>0</v>
      </c>
      <c r="I643" t="s">
        <v>1584</v>
      </c>
      <c r="J643" t="s">
        <v>1585</v>
      </c>
      <c r="K643" t="s">
        <v>1586</v>
      </c>
      <c r="L643" t="s">
        <v>1587</v>
      </c>
      <c r="M643" t="s">
        <v>1587</v>
      </c>
      <c r="N643" t="s">
        <v>1586</v>
      </c>
      <c r="O643" t="s">
        <v>1581</v>
      </c>
      <c r="P643" t="s">
        <v>1581</v>
      </c>
      <c r="Q643" t="s">
        <v>1581</v>
      </c>
      <c r="R643" t="s">
        <v>1581</v>
      </c>
      <c r="S643" t="s">
        <v>1581</v>
      </c>
      <c r="T643" t="s">
        <v>1581</v>
      </c>
      <c r="U643" t="s">
        <v>1581</v>
      </c>
      <c r="V643" t="str" cm="1">
        <f t="array" aca="1" ref="V643" ca="1">IFERROR(_xlfn.IFS(A641="  ..............",OFFSET(A641,2,0),A640=" X-------------X",OFFSET(A640,3,0),MATCH("  ..............",A643:A652,0)&gt;2,V642),"-")</f>
        <v xml:space="preserve">  GLORIN-RS069  </v>
      </c>
      <c r="W643">
        <f t="shared" ca="1" si="27"/>
        <v>1.02</v>
      </c>
      <c r="X643" t="str">
        <f t="shared" ca="1" si="28"/>
        <v xml:space="preserve"> GRAVA3-RS069 </v>
      </c>
      <c r="Y643" s="1">
        <f t="shared" ca="1" si="29"/>
        <v>0.89500000000000002</v>
      </c>
    </row>
    <row r="644" spans="1:25" x14ac:dyDescent="0.25">
      <c r="A644" t="s">
        <v>1588</v>
      </c>
      <c r="B644" t="s">
        <v>1587</v>
      </c>
      <c r="C644">
        <v>67</v>
      </c>
      <c r="D644">
        <v>81</v>
      </c>
      <c r="E644">
        <v>81</v>
      </c>
      <c r="F644" s="1">
        <v>0.13500000000000001</v>
      </c>
      <c r="G644" t="s">
        <v>1587</v>
      </c>
      <c r="H644" t="s">
        <v>1587</v>
      </c>
      <c r="I644">
        <v>1314</v>
      </c>
      <c r="J644" t="s">
        <v>2145</v>
      </c>
      <c r="K644">
        <v>1</v>
      </c>
      <c r="L644">
        <v>-7.6</v>
      </c>
      <c r="M644">
        <v>-5.2</v>
      </c>
      <c r="N644">
        <v>9</v>
      </c>
      <c r="O644" t="s">
        <v>1594</v>
      </c>
      <c r="P644" t="s">
        <v>1584</v>
      </c>
      <c r="Q644" t="s">
        <v>1591</v>
      </c>
      <c r="R644">
        <v>7.0000000000000007E-2</v>
      </c>
      <c r="S644">
        <v>-0.2</v>
      </c>
      <c r="T644" t="s">
        <v>1584</v>
      </c>
      <c r="U644" t="s">
        <v>1592</v>
      </c>
      <c r="V644" t="str" cm="1">
        <f t="array" aca="1" ref="V644" ca="1">IFERROR(_xlfn.IFS(A642="  ..............",OFFSET(A642,2,0),A641=" X-------------X",OFFSET(A641,3,0),MATCH("  ..............",A644:A653,0)&gt;2,V643),"-")</f>
        <v>-</v>
      </c>
      <c r="W644" t="str">
        <f t="shared" ref="W644:W707" ca="1" si="30">IFERROR(OFFSET($A$1,MATCH(V644,A:A,0)-2,1),"-")</f>
        <v>-</v>
      </c>
      <c r="X644" t="str">
        <f t="shared" ref="X644:X707" ca="1" si="31">IFERROR(IF(V644=V643,OFFSET($J$1,ROW(X644),0),OFFSET($J$1,MATCH(V644,A:A,0),0)),"-")</f>
        <v>-</v>
      </c>
      <c r="Y644" s="1" t="str">
        <f t="shared" ref="Y644:Y707" ca="1" si="32">IFERROR(OFFSET($F$1,MATCH(X644,J:J,0)-1,0),"-")</f>
        <v>-</v>
      </c>
    </row>
    <row r="645" spans="1:25" x14ac:dyDescent="0.25">
      <c r="A645" t="s">
        <v>1572</v>
      </c>
      <c r="B645" t="s">
        <v>1574</v>
      </c>
      <c r="C645" t="s">
        <v>1574</v>
      </c>
      <c r="D645" t="s">
        <v>1574</v>
      </c>
      <c r="E645" t="s">
        <v>1574</v>
      </c>
      <c r="F645" t="s">
        <v>1575</v>
      </c>
      <c r="G645" t="s">
        <v>1574</v>
      </c>
      <c r="H645" t="s">
        <v>1574</v>
      </c>
      <c r="I645" t="s">
        <v>1576</v>
      </c>
      <c r="J645" t="s">
        <v>1573</v>
      </c>
      <c r="K645" t="s">
        <v>1577</v>
      </c>
      <c r="L645" t="s">
        <v>1574</v>
      </c>
      <c r="M645" t="s">
        <v>1574</v>
      </c>
      <c r="N645" t="s">
        <v>1574</v>
      </c>
      <c r="O645" t="s">
        <v>1578</v>
      </c>
      <c r="P645" t="s">
        <v>1576</v>
      </c>
      <c r="Q645" t="s">
        <v>1579</v>
      </c>
      <c r="R645" t="s">
        <v>1580</v>
      </c>
      <c r="S645" t="s">
        <v>1580</v>
      </c>
      <c r="T645" t="s">
        <v>1576</v>
      </c>
      <c r="U645" t="s">
        <v>1576</v>
      </c>
      <c r="V645" t="str" cm="1">
        <f t="array" aca="1" ref="V645" ca="1">IFERROR(_xlfn.IFS(A643="  ..............",OFFSET(A643,2,0),A642=" X-------------X",OFFSET(A642,3,0),MATCH("  ..............",A645:A654,0)&gt;2,V644),"-")</f>
        <v>-</v>
      </c>
      <c r="W645" t="str">
        <f t="shared" ca="1" si="30"/>
        <v>-</v>
      </c>
      <c r="X645" t="str">
        <f t="shared" ca="1" si="31"/>
        <v/>
      </c>
      <c r="Y645" s="1" t="str">
        <f t="shared" ca="1" si="32"/>
        <v/>
      </c>
    </row>
    <row r="646" spans="1:25" x14ac:dyDescent="0.25">
      <c r="A646" t="s">
        <v>2154</v>
      </c>
      <c r="B646">
        <v>1.004</v>
      </c>
      <c r="C646">
        <v>0</v>
      </c>
      <c r="D646">
        <v>0</v>
      </c>
      <c r="E646">
        <v>4.3</v>
      </c>
      <c r="F646">
        <v>0</v>
      </c>
      <c r="G646">
        <v>0</v>
      </c>
      <c r="H646">
        <v>0</v>
      </c>
      <c r="I646" t="s">
        <v>1581</v>
      </c>
      <c r="J646" t="s">
        <v>1581</v>
      </c>
      <c r="K646" t="s">
        <v>1581</v>
      </c>
      <c r="L646" t="s">
        <v>1581</v>
      </c>
      <c r="M646" t="s">
        <v>1581</v>
      </c>
      <c r="N646" t="s">
        <v>1581</v>
      </c>
      <c r="O646" t="s">
        <v>1581</v>
      </c>
      <c r="P646" t="s">
        <v>1581</v>
      </c>
      <c r="Q646" t="s">
        <v>1581</v>
      </c>
      <c r="R646" t="s">
        <v>1581</v>
      </c>
      <c r="S646" t="s">
        <v>1581</v>
      </c>
      <c r="T646" t="s">
        <v>1581</v>
      </c>
      <c r="U646" t="s">
        <v>1581</v>
      </c>
      <c r="V646" t="str" cm="1">
        <f t="array" aca="1" ref="V646" ca="1">IFERROR(_xlfn.IFS(A644="  ..............",OFFSET(A644,2,0),A643=" X-------------X",OFFSET(A643,3,0),MATCH("  ..............",A646:A655,0)&gt;2,V645),"-")</f>
        <v>-</v>
      </c>
      <c r="W646" t="str">
        <f t="shared" ca="1" si="30"/>
        <v>-</v>
      </c>
      <c r="X646" t="str">
        <f t="shared" ca="1" si="31"/>
        <v xml:space="preserve">              </v>
      </c>
      <c r="Y646" s="1">
        <f t="shared" ca="1" si="32"/>
        <v>0</v>
      </c>
    </row>
    <row r="647" spans="1:25" x14ac:dyDescent="0.25">
      <c r="A647" t="s">
        <v>2155</v>
      </c>
      <c r="B647">
        <v>-53.5</v>
      </c>
      <c r="C647">
        <v>0</v>
      </c>
      <c r="D647">
        <v>0</v>
      </c>
      <c r="E647">
        <v>1.8</v>
      </c>
      <c r="F647">
        <v>0</v>
      </c>
      <c r="G647">
        <v>0</v>
      </c>
      <c r="H647">
        <v>0</v>
      </c>
      <c r="I647" t="s">
        <v>1584</v>
      </c>
      <c r="J647" t="s">
        <v>1585</v>
      </c>
      <c r="K647" t="s">
        <v>1586</v>
      </c>
      <c r="L647" t="s">
        <v>1587</v>
      </c>
      <c r="M647" t="s">
        <v>1587</v>
      </c>
      <c r="N647" t="s">
        <v>1586</v>
      </c>
      <c r="O647" t="s">
        <v>1581</v>
      </c>
      <c r="P647" t="s">
        <v>1581</v>
      </c>
      <c r="Q647" t="s">
        <v>1581</v>
      </c>
      <c r="R647" t="s">
        <v>1581</v>
      </c>
      <c r="S647" t="s">
        <v>1581</v>
      </c>
      <c r="T647" t="s">
        <v>1581</v>
      </c>
      <c r="U647" t="s">
        <v>1581</v>
      </c>
      <c r="V647" t="str" cm="1">
        <f t="array" aca="1" ref="V647" ca="1">IFERROR(_xlfn.IFS(A645="  ..............",OFFSET(A645,2,0),A644=" X-------------X",OFFSET(A644,3,0),MATCH("  ..............",A647:A656,0)&gt;2,V646),"-")</f>
        <v xml:space="preserve">  SCHINC-RS138  </v>
      </c>
      <c r="W647">
        <f t="shared" ca="1" si="30"/>
        <v>1.004</v>
      </c>
      <c r="X647" t="str">
        <f t="shared" ca="1" si="31"/>
        <v xml:space="preserve"> 3COROA-RS138 </v>
      </c>
      <c r="Y647" s="1">
        <f t="shared" ca="1" si="32"/>
        <v>0</v>
      </c>
    </row>
    <row r="648" spans="1:25" x14ac:dyDescent="0.25">
      <c r="A648" t="s">
        <v>1588</v>
      </c>
      <c r="B648" t="s">
        <v>1587</v>
      </c>
      <c r="C648">
        <v>9999</v>
      </c>
      <c r="D648">
        <v>9999</v>
      </c>
      <c r="E648">
        <v>9999</v>
      </c>
      <c r="F648" s="1">
        <v>0</v>
      </c>
      <c r="G648" t="s">
        <v>1587</v>
      </c>
      <c r="H648" t="s">
        <v>1587</v>
      </c>
      <c r="I648">
        <v>1290</v>
      </c>
      <c r="J648" t="s">
        <v>2156</v>
      </c>
      <c r="K648">
        <v>1</v>
      </c>
      <c r="L648">
        <v>-4.3</v>
      </c>
      <c r="M648">
        <v>-1.8</v>
      </c>
      <c r="N648">
        <v>4.5999999999999996</v>
      </c>
      <c r="O648" t="s">
        <v>1594</v>
      </c>
      <c r="P648" t="s">
        <v>1584</v>
      </c>
      <c r="Q648" t="s">
        <v>1591</v>
      </c>
      <c r="R648">
        <v>0</v>
      </c>
      <c r="S648">
        <v>-0.89</v>
      </c>
      <c r="T648" t="s">
        <v>1584</v>
      </c>
      <c r="U648" t="s">
        <v>1592</v>
      </c>
      <c r="V648" t="str" cm="1">
        <f t="array" aca="1" ref="V648" ca="1">IFERROR(_xlfn.IFS(A646="  ..............",OFFSET(A646,2,0),A645=" X-------------X",OFFSET(A645,3,0),MATCH("  ..............",A648:A657,0)&gt;2,V647),"-")</f>
        <v>-</v>
      </c>
      <c r="W648" t="str">
        <f t="shared" ca="1" si="30"/>
        <v>-</v>
      </c>
      <c r="X648" t="str">
        <f t="shared" ca="1" si="31"/>
        <v>-</v>
      </c>
      <c r="Y648" s="1" t="str">
        <f t="shared" ca="1" si="32"/>
        <v>-</v>
      </c>
    </row>
    <row r="649" spans="1:25" x14ac:dyDescent="0.25">
      <c r="A649" t="s">
        <v>1572</v>
      </c>
      <c r="B649" t="s">
        <v>1574</v>
      </c>
      <c r="C649" t="s">
        <v>1574</v>
      </c>
      <c r="D649" t="s">
        <v>1574</v>
      </c>
      <c r="E649" t="s">
        <v>1574</v>
      </c>
      <c r="F649" t="s">
        <v>1575</v>
      </c>
      <c r="G649" t="s">
        <v>1574</v>
      </c>
      <c r="H649" t="s">
        <v>1574</v>
      </c>
      <c r="I649" t="s">
        <v>1576</v>
      </c>
      <c r="J649" t="s">
        <v>1573</v>
      </c>
      <c r="K649" t="s">
        <v>1577</v>
      </c>
      <c r="L649" t="s">
        <v>1574</v>
      </c>
      <c r="M649" t="s">
        <v>1574</v>
      </c>
      <c r="N649" t="s">
        <v>1574</v>
      </c>
      <c r="O649" t="s">
        <v>1578</v>
      </c>
      <c r="P649" t="s">
        <v>1576</v>
      </c>
      <c r="Q649" t="s">
        <v>1579</v>
      </c>
      <c r="R649" t="s">
        <v>1580</v>
      </c>
      <c r="S649" t="s">
        <v>1580</v>
      </c>
      <c r="T649" t="s">
        <v>1576</v>
      </c>
      <c r="U649" t="s">
        <v>1576</v>
      </c>
      <c r="V649" t="str" cm="1">
        <f t="array" aca="1" ref="V649" ca="1">IFERROR(_xlfn.IFS(A647="  ..............",OFFSET(A647,2,0),A646=" X-------------X",OFFSET(A646,3,0),MATCH("  ..............",A649:A658,0)&gt;2,V648),"-")</f>
        <v>-</v>
      </c>
      <c r="W649" t="str">
        <f t="shared" ca="1" si="30"/>
        <v>-</v>
      </c>
      <c r="X649" t="str">
        <f t="shared" ca="1" si="31"/>
        <v/>
      </c>
      <c r="Y649" s="1" t="str">
        <f t="shared" ca="1" si="32"/>
        <v/>
      </c>
    </row>
    <row r="650" spans="1:25" x14ac:dyDescent="0.25">
      <c r="A650" t="s">
        <v>2157</v>
      </c>
      <c r="B650">
        <v>1.0169999999999999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1581</v>
      </c>
      <c r="J650" t="s">
        <v>1581</v>
      </c>
      <c r="K650" t="s">
        <v>1581</v>
      </c>
      <c r="L650" t="s">
        <v>1581</v>
      </c>
      <c r="M650" t="s">
        <v>1581</v>
      </c>
      <c r="N650" t="s">
        <v>1581</v>
      </c>
      <c r="O650" t="s">
        <v>1581</v>
      </c>
      <c r="P650" t="s">
        <v>1581</v>
      </c>
      <c r="Q650" t="s">
        <v>1581</v>
      </c>
      <c r="R650" t="s">
        <v>1581</v>
      </c>
      <c r="S650" t="s">
        <v>1581</v>
      </c>
      <c r="T650" t="s">
        <v>1581</v>
      </c>
      <c r="U650" t="s">
        <v>1581</v>
      </c>
      <c r="V650" t="str" cm="1">
        <f t="array" aca="1" ref="V650" ca="1">IFERROR(_xlfn.IFS(A648="  ..............",OFFSET(A648,2,0),A647=" X-------------X",OFFSET(A647,3,0),MATCH("  ..............",A650:A659,0)&gt;2,V649),"-")</f>
        <v>-</v>
      </c>
      <c r="W650" t="str">
        <f t="shared" ca="1" si="30"/>
        <v>-</v>
      </c>
      <c r="X650" t="str">
        <f t="shared" ca="1" si="31"/>
        <v xml:space="preserve">              </v>
      </c>
      <c r="Y650" s="1">
        <f t="shared" ca="1" si="32"/>
        <v>0</v>
      </c>
    </row>
    <row r="651" spans="1:25" x14ac:dyDescent="0.25">
      <c r="A651" t="s">
        <v>2158</v>
      </c>
      <c r="B651">
        <v>-54.8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 t="s">
        <v>1584</v>
      </c>
      <c r="J651" t="s">
        <v>1585</v>
      </c>
      <c r="K651" t="s">
        <v>1586</v>
      </c>
      <c r="L651" t="s">
        <v>1587</v>
      </c>
      <c r="M651" t="s">
        <v>1587</v>
      </c>
      <c r="N651" t="s">
        <v>1586</v>
      </c>
      <c r="O651" t="s">
        <v>1581</v>
      </c>
      <c r="P651" t="s">
        <v>1581</v>
      </c>
      <c r="Q651" t="s">
        <v>1581</v>
      </c>
      <c r="R651" t="s">
        <v>1581</v>
      </c>
      <c r="S651" t="s">
        <v>1581</v>
      </c>
      <c r="T651" t="s">
        <v>1581</v>
      </c>
      <c r="U651" t="s">
        <v>1581</v>
      </c>
      <c r="V651" t="str" cm="1">
        <f t="array" aca="1" ref="V651" ca="1">IFERROR(_xlfn.IFS(A649="  ..............",OFFSET(A649,2,0),A648=" X-------------X",OFFSET(A648,3,0),MATCH("  ..............",A651:A660,0)&gt;2,V650),"-")</f>
        <v xml:space="preserve">  ICOTROTAP069  </v>
      </c>
      <c r="W651">
        <f t="shared" ca="1" si="30"/>
        <v>1.0169999999999999</v>
      </c>
      <c r="X651" t="str">
        <f t="shared" ca="1" si="31"/>
        <v xml:space="preserve"> GRAVA3-RS069 </v>
      </c>
      <c r="Y651" s="1">
        <f t="shared" ca="1" si="32"/>
        <v>0.89500000000000002</v>
      </c>
    </row>
    <row r="652" spans="1:25" x14ac:dyDescent="0.25">
      <c r="A652" t="s">
        <v>1588</v>
      </c>
      <c r="B652" t="s">
        <v>1587</v>
      </c>
      <c r="C652">
        <v>54</v>
      </c>
      <c r="D652">
        <v>79</v>
      </c>
      <c r="E652">
        <v>79</v>
      </c>
      <c r="F652" s="1">
        <v>0.64300000000000002</v>
      </c>
      <c r="G652" t="s">
        <v>1587</v>
      </c>
      <c r="H652" t="s">
        <v>1587</v>
      </c>
      <c r="I652">
        <v>1314</v>
      </c>
      <c r="J652" t="s">
        <v>2145</v>
      </c>
      <c r="K652">
        <v>1</v>
      </c>
      <c r="L652">
        <v>-33.1</v>
      </c>
      <c r="M652">
        <v>-12.3</v>
      </c>
      <c r="N652">
        <v>34.700000000000003</v>
      </c>
      <c r="O652" t="s">
        <v>1594</v>
      </c>
      <c r="P652" t="s">
        <v>1584</v>
      </c>
      <c r="Q652" t="s">
        <v>1591</v>
      </c>
      <c r="R652">
        <v>0.33</v>
      </c>
      <c r="S652">
        <v>0.97</v>
      </c>
      <c r="T652" t="s">
        <v>1584</v>
      </c>
      <c r="U652" t="s">
        <v>1592</v>
      </c>
      <c r="V652" t="str" cm="1">
        <f t="array" aca="1" ref="V652" ca="1">IFERROR(_xlfn.IFS(A650="  ..............",OFFSET(A650,2,0),A649=" X-------------X",OFFSET(A649,3,0),MATCH("  ..............",A652:A661,0)&gt;2,V651),"-")</f>
        <v xml:space="preserve">  ICOTROTAP069  </v>
      </c>
      <c r="W652">
        <f t="shared" ca="1" si="30"/>
        <v>1.0169999999999999</v>
      </c>
      <c r="X652" t="str">
        <f t="shared" ca="1" si="31"/>
        <v xml:space="preserve"> GRAVA1-RS069 </v>
      </c>
      <c r="Y652" s="1">
        <f t="shared" ca="1" si="32"/>
        <v>0.57899999999999996</v>
      </c>
    </row>
    <row r="653" spans="1:25" x14ac:dyDescent="0.25">
      <c r="A653" t="s">
        <v>1588</v>
      </c>
      <c r="B653" t="s">
        <v>1587</v>
      </c>
      <c r="C653">
        <v>54</v>
      </c>
      <c r="D653">
        <v>79</v>
      </c>
      <c r="E653">
        <v>79</v>
      </c>
      <c r="F653" s="1">
        <v>0.505</v>
      </c>
      <c r="G653" t="s">
        <v>1587</v>
      </c>
      <c r="H653" t="s">
        <v>1587</v>
      </c>
      <c r="I653">
        <v>1362</v>
      </c>
      <c r="J653" t="s">
        <v>2146</v>
      </c>
      <c r="K653">
        <v>1</v>
      </c>
      <c r="L653">
        <v>26.1</v>
      </c>
      <c r="M653">
        <v>9.4</v>
      </c>
      <c r="N653">
        <v>27.3</v>
      </c>
      <c r="O653" t="s">
        <v>1594</v>
      </c>
      <c r="P653" t="s">
        <v>1584</v>
      </c>
      <c r="Q653" t="s">
        <v>1591</v>
      </c>
      <c r="R653">
        <v>0.06</v>
      </c>
      <c r="S653">
        <v>0.15</v>
      </c>
      <c r="T653" t="s">
        <v>1584</v>
      </c>
      <c r="U653" t="s">
        <v>1592</v>
      </c>
      <c r="V653" t="str" cm="1">
        <f t="array" aca="1" ref="V653" ca="1">IFERROR(_xlfn.IFS(A651="  ..............",OFFSET(A651,2,0),A650=" X-------------X",OFFSET(A650,3,0),MATCH("  ..............",A653:A662,0)&gt;2,V652),"-")</f>
        <v xml:space="preserve">  ICOTROTAP069  </v>
      </c>
      <c r="W653">
        <f t="shared" ca="1" si="30"/>
        <v>1.0169999999999999</v>
      </c>
      <c r="X653" t="str">
        <f t="shared" ca="1" si="31"/>
        <v xml:space="preserve"> ICOTR--RS069 </v>
      </c>
      <c r="Y653" s="1">
        <f t="shared" ca="1" si="32"/>
        <v>0.13800000000000001</v>
      </c>
    </row>
    <row r="654" spans="1:25" x14ac:dyDescent="0.25">
      <c r="A654" t="s">
        <v>1588</v>
      </c>
      <c r="B654" t="s">
        <v>1587</v>
      </c>
      <c r="C654">
        <v>54</v>
      </c>
      <c r="D654">
        <v>79</v>
      </c>
      <c r="E654">
        <v>79</v>
      </c>
      <c r="F654" s="1">
        <v>0.13800000000000001</v>
      </c>
      <c r="G654" t="s">
        <v>1587</v>
      </c>
      <c r="H654" t="s">
        <v>1587</v>
      </c>
      <c r="I654">
        <v>1363</v>
      </c>
      <c r="J654" t="s">
        <v>2159</v>
      </c>
      <c r="K654">
        <v>1</v>
      </c>
      <c r="L654">
        <v>7</v>
      </c>
      <c r="M654">
        <v>2.9</v>
      </c>
      <c r="N654">
        <v>7.5</v>
      </c>
      <c r="O654" t="s">
        <v>1594</v>
      </c>
      <c r="P654" t="s">
        <v>1584</v>
      </c>
      <c r="Q654" t="s">
        <v>1591</v>
      </c>
      <c r="R654">
        <v>0</v>
      </c>
      <c r="S654">
        <v>0</v>
      </c>
      <c r="T654" t="s">
        <v>1584</v>
      </c>
      <c r="U654" t="s">
        <v>1592</v>
      </c>
      <c r="V654" t="str" cm="1">
        <f t="array" aca="1" ref="V654" ca="1">IFERROR(_xlfn.IFS(A652="  ..............",OFFSET(A652,2,0),A651=" X-------------X",OFFSET(A651,3,0),MATCH("  ..............",A654:A663,0)&gt;2,V653),"-")</f>
        <v>-</v>
      </c>
      <c r="W654" t="str">
        <f t="shared" ca="1" si="30"/>
        <v>-</v>
      </c>
      <c r="X654" t="str">
        <f t="shared" ca="1" si="31"/>
        <v>-</v>
      </c>
      <c r="Y654" s="1" t="str">
        <f t="shared" ca="1" si="32"/>
        <v>-</v>
      </c>
    </row>
    <row r="655" spans="1:25" x14ac:dyDescent="0.25">
      <c r="A655" t="s">
        <v>1572</v>
      </c>
      <c r="B655" t="s">
        <v>1574</v>
      </c>
      <c r="C655" t="s">
        <v>1574</v>
      </c>
      <c r="D655" t="s">
        <v>1574</v>
      </c>
      <c r="E655" t="s">
        <v>1574</v>
      </c>
      <c r="F655" t="s">
        <v>1575</v>
      </c>
      <c r="G655" t="s">
        <v>1574</v>
      </c>
      <c r="H655" t="s">
        <v>1574</v>
      </c>
      <c r="I655" t="s">
        <v>1576</v>
      </c>
      <c r="J655" t="s">
        <v>1573</v>
      </c>
      <c r="K655" t="s">
        <v>1577</v>
      </c>
      <c r="L655" t="s">
        <v>1574</v>
      </c>
      <c r="M655" t="s">
        <v>1574</v>
      </c>
      <c r="N655" t="s">
        <v>1574</v>
      </c>
      <c r="O655" t="s">
        <v>1578</v>
      </c>
      <c r="P655" t="s">
        <v>1576</v>
      </c>
      <c r="Q655" t="s">
        <v>1579</v>
      </c>
      <c r="R655" t="s">
        <v>1580</v>
      </c>
      <c r="S655" t="s">
        <v>1580</v>
      </c>
      <c r="T655" t="s">
        <v>1576</v>
      </c>
      <c r="U655" t="s">
        <v>1576</v>
      </c>
      <c r="V655" t="str" cm="1">
        <f t="array" aca="1" ref="V655" ca="1">IFERROR(_xlfn.IFS(A653="  ..............",OFFSET(A653,2,0),A652=" X-------------X",OFFSET(A652,3,0),MATCH("  ..............",A655:A664,0)&gt;2,V654),"-")</f>
        <v>-</v>
      </c>
      <c r="W655" t="str">
        <f t="shared" ca="1" si="30"/>
        <v>-</v>
      </c>
      <c r="X655" t="str">
        <f t="shared" ca="1" si="31"/>
        <v/>
      </c>
      <c r="Y655" s="1" t="str">
        <f t="shared" ca="1" si="32"/>
        <v/>
      </c>
    </row>
    <row r="656" spans="1:25" x14ac:dyDescent="0.25">
      <c r="A656" t="s">
        <v>2160</v>
      </c>
      <c r="B656">
        <v>1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 t="s">
        <v>1581</v>
      </c>
      <c r="J656" t="s">
        <v>1581</v>
      </c>
      <c r="K656" t="s">
        <v>1581</v>
      </c>
      <c r="L656" t="s">
        <v>1581</v>
      </c>
      <c r="M656" t="s">
        <v>1581</v>
      </c>
      <c r="N656" t="s">
        <v>1581</v>
      </c>
      <c r="O656" t="s">
        <v>1581</v>
      </c>
      <c r="P656" t="s">
        <v>1581</v>
      </c>
      <c r="Q656" t="s">
        <v>1581</v>
      </c>
      <c r="R656" t="s">
        <v>1581</v>
      </c>
      <c r="S656" t="s">
        <v>1581</v>
      </c>
      <c r="T656" t="s">
        <v>1581</v>
      </c>
      <c r="U656" t="s">
        <v>1581</v>
      </c>
      <c r="V656" t="str" cm="1">
        <f t="array" aca="1" ref="V656" ca="1">IFERROR(_xlfn.IFS(A654="  ..............",OFFSET(A654,2,0),A653=" X-------------X",OFFSET(A653,3,0),MATCH("  ..............",A656:A665,0)&gt;2,V655),"-")</f>
        <v>-</v>
      </c>
      <c r="W656" t="str">
        <f t="shared" ca="1" si="30"/>
        <v>-</v>
      </c>
      <c r="X656" t="str">
        <f t="shared" ca="1" si="31"/>
        <v xml:space="preserve">              </v>
      </c>
      <c r="Y656" s="1">
        <f t="shared" ca="1" si="32"/>
        <v>0</v>
      </c>
    </row>
    <row r="657" spans="1:25" x14ac:dyDescent="0.25">
      <c r="A657" t="s">
        <v>2161</v>
      </c>
      <c r="B657">
        <v>-56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1584</v>
      </c>
      <c r="J657" t="s">
        <v>1585</v>
      </c>
      <c r="K657" t="s">
        <v>1586</v>
      </c>
      <c r="L657" t="s">
        <v>1587</v>
      </c>
      <c r="M657" t="s">
        <v>1587</v>
      </c>
      <c r="N657" t="s">
        <v>1586</v>
      </c>
      <c r="O657" t="s">
        <v>1581</v>
      </c>
      <c r="P657" t="s">
        <v>1581</v>
      </c>
      <c r="Q657" t="s">
        <v>1581</v>
      </c>
      <c r="R657" t="s">
        <v>1581</v>
      </c>
      <c r="S657" t="s">
        <v>1581</v>
      </c>
      <c r="T657" t="s">
        <v>1581</v>
      </c>
      <c r="U657" t="s">
        <v>1581</v>
      </c>
      <c r="V657" t="str" cm="1">
        <f t="array" aca="1" ref="V657" ca="1">IFERROR(_xlfn.IFS(A655="  ..............",OFFSET(A655,2,0),A654=" X-------------X",OFFSET(A654,3,0),MATCH("  ..............",A657:A666,0)&gt;2,V656),"-")</f>
        <v xml:space="preserve">  ALBARUTAP069  </v>
      </c>
      <c r="W657">
        <f t="shared" ca="1" si="30"/>
        <v>1</v>
      </c>
      <c r="X657" t="str">
        <f t="shared" ca="1" si="31"/>
        <v xml:space="preserve"> CACHO2-RS069 </v>
      </c>
      <c r="Y657" s="1">
        <f t="shared" ca="1" si="32"/>
        <v>0.47199999999999998</v>
      </c>
    </row>
    <row r="658" spans="1:25" x14ac:dyDescent="0.25">
      <c r="A658" t="s">
        <v>1588</v>
      </c>
      <c r="B658" t="s">
        <v>1587</v>
      </c>
      <c r="C658">
        <v>54</v>
      </c>
      <c r="D658">
        <v>79</v>
      </c>
      <c r="E658">
        <v>79</v>
      </c>
      <c r="F658" s="1">
        <v>0.35399999999999998</v>
      </c>
      <c r="G658" t="s">
        <v>1587</v>
      </c>
      <c r="H658" t="s">
        <v>1587</v>
      </c>
      <c r="I658">
        <v>1360</v>
      </c>
      <c r="J658" t="s">
        <v>1689</v>
      </c>
      <c r="K658">
        <v>1</v>
      </c>
      <c r="L658">
        <v>-17.600000000000001</v>
      </c>
      <c r="M658">
        <v>-7.4</v>
      </c>
      <c r="N658">
        <v>19.100000000000001</v>
      </c>
      <c r="O658" t="s">
        <v>1594</v>
      </c>
      <c r="P658" t="s">
        <v>1584</v>
      </c>
      <c r="Q658" t="s">
        <v>1591</v>
      </c>
      <c r="R658">
        <v>7.0000000000000007E-2</v>
      </c>
      <c r="S658">
        <v>0.12</v>
      </c>
      <c r="T658" t="s">
        <v>1584</v>
      </c>
      <c r="U658" t="s">
        <v>1592</v>
      </c>
      <c r="V658" t="str" cm="1">
        <f t="array" aca="1" ref="V658" ca="1">IFERROR(_xlfn.IFS(A656="  ..............",OFFSET(A656,2,0),A655=" X-------------X",OFFSET(A655,3,0),MATCH("  ..............",A658:A667,0)&gt;2,V657),"-")</f>
        <v xml:space="preserve">  ALBARUTAP069  </v>
      </c>
      <c r="W658">
        <f t="shared" ca="1" si="30"/>
        <v>1</v>
      </c>
      <c r="X658" t="str">
        <f t="shared" ca="1" si="31"/>
        <v xml:space="preserve"> ALBARU-RS069 </v>
      </c>
      <c r="Y658" s="1">
        <f t="shared" ca="1" si="32"/>
        <v>0.151</v>
      </c>
    </row>
    <row r="659" spans="1:25" x14ac:dyDescent="0.25">
      <c r="A659" t="s">
        <v>1588</v>
      </c>
      <c r="B659" t="s">
        <v>1587</v>
      </c>
      <c r="C659">
        <v>54</v>
      </c>
      <c r="D659">
        <v>79</v>
      </c>
      <c r="E659">
        <v>79</v>
      </c>
      <c r="F659" s="1">
        <v>0.35399999999999998</v>
      </c>
      <c r="G659" t="s">
        <v>1587</v>
      </c>
      <c r="H659" t="s">
        <v>1587</v>
      </c>
      <c r="I659">
        <v>1361</v>
      </c>
      <c r="J659" t="s">
        <v>2149</v>
      </c>
      <c r="K659">
        <v>1</v>
      </c>
      <c r="L659">
        <v>17.600000000000001</v>
      </c>
      <c r="M659">
        <v>7.4</v>
      </c>
      <c r="N659">
        <v>19.100000000000001</v>
      </c>
      <c r="O659" t="s">
        <v>1594</v>
      </c>
      <c r="P659" t="s">
        <v>1584</v>
      </c>
      <c r="Q659" t="s">
        <v>1591</v>
      </c>
      <c r="R659">
        <v>0.01</v>
      </c>
      <c r="S659">
        <v>0</v>
      </c>
      <c r="T659" t="s">
        <v>1584</v>
      </c>
      <c r="U659" t="s">
        <v>1592</v>
      </c>
      <c r="V659" t="str" cm="1">
        <f t="array" aca="1" ref="V659" ca="1">IFERROR(_xlfn.IFS(A657="  ..............",OFFSET(A657,2,0),A656=" X-------------X",OFFSET(A656,3,0),MATCH("  ..............",A659:A668,0)&gt;2,V658),"-")</f>
        <v xml:space="preserve">  ALBARUTAP069  </v>
      </c>
      <c r="W659">
        <f t="shared" ca="1" si="30"/>
        <v>1</v>
      </c>
      <c r="X659" t="str">
        <f t="shared" ca="1" si="31"/>
        <v xml:space="preserve"> GRAVA1-RS069 </v>
      </c>
      <c r="Y659" s="1">
        <f t="shared" ca="1" si="32"/>
        <v>0.57899999999999996</v>
      </c>
    </row>
    <row r="660" spans="1:25" x14ac:dyDescent="0.25">
      <c r="A660" t="s">
        <v>1637</v>
      </c>
      <c r="B660" t="s">
        <v>1638</v>
      </c>
      <c r="C660">
        <v>54</v>
      </c>
      <c r="D660">
        <v>79</v>
      </c>
      <c r="E660">
        <v>79</v>
      </c>
      <c r="F660" t="s">
        <v>1639</v>
      </c>
      <c r="G660" t="s">
        <v>1587</v>
      </c>
      <c r="H660" t="s">
        <v>1587</v>
      </c>
      <c r="I660">
        <v>1362</v>
      </c>
      <c r="J660" t="s">
        <v>2146</v>
      </c>
      <c r="K660">
        <v>1</v>
      </c>
      <c r="L660">
        <v>0</v>
      </c>
      <c r="M660">
        <v>0</v>
      </c>
      <c r="N660">
        <v>0</v>
      </c>
      <c r="O660" t="s">
        <v>1594</v>
      </c>
      <c r="P660" t="s">
        <v>1584</v>
      </c>
      <c r="Q660" t="s">
        <v>1591</v>
      </c>
      <c r="R660">
        <v>0</v>
      </c>
      <c r="S660">
        <v>-0.04</v>
      </c>
      <c r="T660">
        <v>1</v>
      </c>
      <c r="U660">
        <v>-56</v>
      </c>
      <c r="V660" t="str" cm="1">
        <f t="array" aca="1" ref="V660" ca="1">IFERROR(_xlfn.IFS(A658="  ..............",OFFSET(A658,2,0),A657=" X-------------X",OFFSET(A657,3,0),MATCH("  ..............",A660:A669,0)&gt;2,V659),"-")</f>
        <v>-</v>
      </c>
      <c r="W660" t="str">
        <f t="shared" ca="1" si="30"/>
        <v>-</v>
      </c>
      <c r="X660" t="str">
        <f t="shared" ca="1" si="31"/>
        <v>-</v>
      </c>
      <c r="Y660" s="1" t="str">
        <f t="shared" ca="1" si="32"/>
        <v>-</v>
      </c>
    </row>
    <row r="661" spans="1:25" x14ac:dyDescent="0.25">
      <c r="A661" t="s">
        <v>1572</v>
      </c>
      <c r="B661" t="s">
        <v>1574</v>
      </c>
      <c r="C661" t="s">
        <v>1574</v>
      </c>
      <c r="D661" t="s">
        <v>1574</v>
      </c>
      <c r="E661" t="s">
        <v>1574</v>
      </c>
      <c r="F661" t="s">
        <v>1575</v>
      </c>
      <c r="G661" t="s">
        <v>1574</v>
      </c>
      <c r="H661" t="s">
        <v>1574</v>
      </c>
      <c r="I661" t="s">
        <v>1576</v>
      </c>
      <c r="J661" t="s">
        <v>1573</v>
      </c>
      <c r="K661" t="s">
        <v>1577</v>
      </c>
      <c r="L661" t="s">
        <v>1574</v>
      </c>
      <c r="M661" t="s">
        <v>1574</v>
      </c>
      <c r="N661" t="s">
        <v>1574</v>
      </c>
      <c r="O661" t="s">
        <v>1578</v>
      </c>
      <c r="P661" t="s">
        <v>1576</v>
      </c>
      <c r="Q661" t="s">
        <v>1579</v>
      </c>
      <c r="R661" t="s">
        <v>1580</v>
      </c>
      <c r="S661" t="s">
        <v>1580</v>
      </c>
      <c r="T661" t="s">
        <v>1576</v>
      </c>
      <c r="U661" t="s">
        <v>1576</v>
      </c>
      <c r="V661" t="str" cm="1">
        <f t="array" aca="1" ref="V661" ca="1">IFERROR(_xlfn.IFS(A659="  ..............",OFFSET(A659,2,0),A658=" X-------------X",OFFSET(A658,3,0),MATCH("  ..............",A661:A670,0)&gt;2,V660),"-")</f>
        <v>-</v>
      </c>
      <c r="W661" t="str">
        <f t="shared" ca="1" si="30"/>
        <v>-</v>
      </c>
      <c r="X661" t="str">
        <f t="shared" ca="1" si="31"/>
        <v/>
      </c>
      <c r="Y661" s="1" t="str">
        <f t="shared" ca="1" si="32"/>
        <v/>
      </c>
    </row>
    <row r="662" spans="1:25" x14ac:dyDescent="0.25">
      <c r="A662" t="s">
        <v>2162</v>
      </c>
      <c r="B662">
        <v>1.0149999999999999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1581</v>
      </c>
      <c r="J662" t="s">
        <v>1581</v>
      </c>
      <c r="K662" t="s">
        <v>1581</v>
      </c>
      <c r="L662" t="s">
        <v>1581</v>
      </c>
      <c r="M662" t="s">
        <v>1581</v>
      </c>
      <c r="N662" t="s">
        <v>1581</v>
      </c>
      <c r="O662" t="s">
        <v>1581</v>
      </c>
      <c r="P662" t="s">
        <v>1581</v>
      </c>
      <c r="Q662" t="s">
        <v>1581</v>
      </c>
      <c r="R662" t="s">
        <v>1581</v>
      </c>
      <c r="S662" t="s">
        <v>1581</v>
      </c>
      <c r="T662" t="s">
        <v>1581</v>
      </c>
      <c r="U662" t="s">
        <v>1581</v>
      </c>
      <c r="V662" t="str" cm="1">
        <f t="array" aca="1" ref="V662" ca="1">IFERROR(_xlfn.IFS(A660="  ..............",OFFSET(A660,2,0),A659=" X-------------X",OFFSET(A659,3,0),MATCH("  ..............",A662:A671,0)&gt;2,V661),"-")</f>
        <v>-</v>
      </c>
      <c r="W662" t="str">
        <f t="shared" ca="1" si="30"/>
        <v>-</v>
      </c>
      <c r="X662" t="str">
        <f t="shared" ca="1" si="31"/>
        <v xml:space="preserve">              </v>
      </c>
      <c r="Y662" s="1">
        <f t="shared" ca="1" si="32"/>
        <v>0</v>
      </c>
    </row>
    <row r="663" spans="1:25" x14ac:dyDescent="0.25">
      <c r="A663" t="s">
        <v>2163</v>
      </c>
      <c r="B663">
        <v>-50.1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 t="s">
        <v>1584</v>
      </c>
      <c r="J663" t="s">
        <v>1585</v>
      </c>
      <c r="K663" t="s">
        <v>1586</v>
      </c>
      <c r="L663" t="s">
        <v>1587</v>
      </c>
      <c r="M663" t="s">
        <v>1587</v>
      </c>
      <c r="N663" t="s">
        <v>1586</v>
      </c>
      <c r="O663" t="s">
        <v>1581</v>
      </c>
      <c r="P663" t="s">
        <v>1581</v>
      </c>
      <c r="Q663" t="s">
        <v>1581</v>
      </c>
      <c r="R663" t="s">
        <v>1581</v>
      </c>
      <c r="S663" t="s">
        <v>1581</v>
      </c>
      <c r="T663" t="s">
        <v>1581</v>
      </c>
      <c r="U663" t="s">
        <v>1581</v>
      </c>
      <c r="V663" t="str" cm="1">
        <f t="array" aca="1" ref="V663" ca="1">IFERROR(_xlfn.IFS(A661="  ..............",OFFSET(A661,2,0),A660=" X-------------X",OFFSET(A660,3,0),MATCH("  ..............",A663:A672,0)&gt;2,V662),"-")</f>
        <v xml:space="preserve">  SMARI3-RS138  </v>
      </c>
      <c r="W663">
        <f t="shared" ca="1" si="30"/>
        <v>1.0149999999999999</v>
      </c>
      <c r="X663" t="str">
        <f t="shared" ca="1" si="31"/>
        <v xml:space="preserve"> ALEGRE-RS138 </v>
      </c>
      <c r="Y663" s="1">
        <f t="shared" ca="1" si="32"/>
        <v>0.128</v>
      </c>
    </row>
    <row r="664" spans="1:25" x14ac:dyDescent="0.25">
      <c r="A664" t="s">
        <v>1588</v>
      </c>
      <c r="B664" t="s">
        <v>1587</v>
      </c>
      <c r="C664">
        <v>97</v>
      </c>
      <c r="D664">
        <v>141</v>
      </c>
      <c r="E664">
        <v>141</v>
      </c>
      <c r="F664" s="1">
        <v>6.5000000000000002E-2</v>
      </c>
      <c r="G664" t="s">
        <v>1587</v>
      </c>
      <c r="H664" t="s">
        <v>1587</v>
      </c>
      <c r="I664">
        <v>930</v>
      </c>
      <c r="J664" t="s">
        <v>1626</v>
      </c>
      <c r="K664">
        <v>1</v>
      </c>
      <c r="L664">
        <v>2.2000000000000002</v>
      </c>
      <c r="M664">
        <v>-6</v>
      </c>
      <c r="N664">
        <v>6.3</v>
      </c>
      <c r="O664" t="s">
        <v>1594</v>
      </c>
      <c r="P664" t="s">
        <v>1584</v>
      </c>
      <c r="Q664" t="s">
        <v>1591</v>
      </c>
      <c r="R664">
        <v>0.01</v>
      </c>
      <c r="S664">
        <v>-12.25</v>
      </c>
      <c r="T664" t="s">
        <v>1584</v>
      </c>
      <c r="U664" t="s">
        <v>1592</v>
      </c>
      <c r="V664" t="str" cm="1">
        <f t="array" aca="1" ref="V664" ca="1">IFERROR(_xlfn.IFS(A662="  ..............",OFFSET(A662,2,0),A661=" X-------------X",OFFSET(A661,3,0),MATCH("  ..............",A664:A673,0)&gt;2,V663),"-")</f>
        <v xml:space="preserve">  SMARI3-RS138  </v>
      </c>
      <c r="W664">
        <f t="shared" ca="1" si="30"/>
        <v>1.0149999999999999</v>
      </c>
      <c r="X664" t="str">
        <f t="shared" ca="1" si="31"/>
        <v xml:space="preserve"> SMARI1-RS138 </v>
      </c>
      <c r="Y664" s="1">
        <f t="shared" ca="1" si="32"/>
        <v>0.17599999999999999</v>
      </c>
    </row>
    <row r="665" spans="1:25" x14ac:dyDescent="0.25">
      <c r="A665" t="s">
        <v>1588</v>
      </c>
      <c r="B665" t="s">
        <v>1587</v>
      </c>
      <c r="C665">
        <v>97</v>
      </c>
      <c r="D665">
        <v>141</v>
      </c>
      <c r="E665">
        <v>141</v>
      </c>
      <c r="F665" s="1">
        <v>0.17599999999999999</v>
      </c>
      <c r="G665" t="s">
        <v>1587</v>
      </c>
      <c r="H665" t="s">
        <v>1587</v>
      </c>
      <c r="I665">
        <v>1276</v>
      </c>
      <c r="J665" t="s">
        <v>2164</v>
      </c>
      <c r="K665">
        <v>1</v>
      </c>
      <c r="L665">
        <v>16</v>
      </c>
      <c r="M665">
        <v>6.5</v>
      </c>
      <c r="N665">
        <v>17</v>
      </c>
      <c r="O665" t="s">
        <v>1594</v>
      </c>
      <c r="P665" t="s">
        <v>1584</v>
      </c>
      <c r="Q665" t="s">
        <v>1591</v>
      </c>
      <c r="R665">
        <v>0.02</v>
      </c>
      <c r="S665">
        <v>-0.56999999999999995</v>
      </c>
      <c r="T665" t="s">
        <v>1584</v>
      </c>
      <c r="U665" t="s">
        <v>1592</v>
      </c>
      <c r="V665" t="str" cm="1">
        <f t="array" aca="1" ref="V665" ca="1">IFERROR(_xlfn.IFS(A663="  ..............",OFFSET(A663,2,0),A662=" X-------------X",OFFSET(A662,3,0),MATCH("  ..............",A665:A674,0)&gt;2,V664),"-")</f>
        <v xml:space="preserve">  SMARI3-RS138  </v>
      </c>
      <c r="W665">
        <f t="shared" ca="1" si="30"/>
        <v>1.0149999999999999</v>
      </c>
      <c r="X665" t="str">
        <f t="shared" ca="1" si="31"/>
        <v xml:space="preserve"> FORMIG-RS138 </v>
      </c>
      <c r="Y665" s="1">
        <f t="shared" ca="1" si="32"/>
        <v>0.182</v>
      </c>
    </row>
    <row r="666" spans="1:25" x14ac:dyDescent="0.25">
      <c r="A666" t="s">
        <v>1588</v>
      </c>
      <c r="B666" t="s">
        <v>1587</v>
      </c>
      <c r="C666">
        <v>134</v>
      </c>
      <c r="D666">
        <v>162</v>
      </c>
      <c r="E666">
        <v>162</v>
      </c>
      <c r="F666" s="1">
        <v>0.182</v>
      </c>
      <c r="G666" t="s">
        <v>1587</v>
      </c>
      <c r="H666" t="s">
        <v>1587</v>
      </c>
      <c r="I666">
        <v>10169</v>
      </c>
      <c r="J666" t="s">
        <v>2165</v>
      </c>
      <c r="K666">
        <v>1</v>
      </c>
      <c r="L666">
        <v>22.1</v>
      </c>
      <c r="M666">
        <v>11.3</v>
      </c>
      <c r="N666">
        <v>24.4</v>
      </c>
      <c r="O666" t="s">
        <v>1594</v>
      </c>
      <c r="P666" t="s">
        <v>1584</v>
      </c>
      <c r="Q666" t="s">
        <v>1591</v>
      </c>
      <c r="R666">
        <v>0.41</v>
      </c>
      <c r="S666">
        <v>-3.08</v>
      </c>
      <c r="T666" t="s">
        <v>1584</v>
      </c>
      <c r="U666" t="s">
        <v>1592</v>
      </c>
      <c r="V666" t="str" cm="1">
        <f t="array" aca="1" ref="V666" ca="1">IFERROR(_xlfn.IFS(A664="  ..............",OFFSET(A664,2,0),A663=" X-------------X",OFFSET(A663,3,0),MATCH("  ..............",A666:A675,0)&gt;2,V665),"-")</f>
        <v xml:space="preserve">  SMARI3-RS138  </v>
      </c>
      <c r="W666">
        <f t="shared" ca="1" si="30"/>
        <v>1.0149999999999999</v>
      </c>
      <c r="X666" t="str">
        <f t="shared" ca="1" si="31"/>
        <v xml:space="preserve"> SM3--1-RS000 </v>
      </c>
      <c r="Y666" s="1">
        <f t="shared" ca="1" si="32"/>
        <v>0.249</v>
      </c>
    </row>
    <row r="667" spans="1:25" x14ac:dyDescent="0.25">
      <c r="A667" t="s">
        <v>1588</v>
      </c>
      <c r="B667" t="s">
        <v>1587</v>
      </c>
      <c r="C667">
        <v>83</v>
      </c>
      <c r="D667">
        <v>100</v>
      </c>
      <c r="E667">
        <v>100</v>
      </c>
      <c r="F667" s="1">
        <v>0.249</v>
      </c>
      <c r="G667" t="s">
        <v>1587</v>
      </c>
      <c r="H667" t="s">
        <v>1587</v>
      </c>
      <c r="I667">
        <v>41371</v>
      </c>
      <c r="J667" t="s">
        <v>2166</v>
      </c>
      <c r="K667">
        <v>1</v>
      </c>
      <c r="L667">
        <v>-20.2</v>
      </c>
      <c r="M667">
        <v>-5.9</v>
      </c>
      <c r="N667">
        <v>20.7</v>
      </c>
      <c r="O667" t="s">
        <v>1608</v>
      </c>
      <c r="P667" t="s">
        <v>1584</v>
      </c>
      <c r="Q667">
        <v>2</v>
      </c>
      <c r="R667">
        <v>0.01</v>
      </c>
      <c r="S667">
        <v>-0.1</v>
      </c>
      <c r="T667" t="s">
        <v>1584</v>
      </c>
      <c r="U667" t="s">
        <v>1592</v>
      </c>
      <c r="V667" t="str" cm="1">
        <f t="array" aca="1" ref="V667" ca="1">IFERROR(_xlfn.IFS(A665="  ..............",OFFSET(A665,2,0),A664=" X-------------X",OFFSET(A664,3,0),MATCH("  ..............",A667:A676,0)&gt;2,V666),"-")</f>
        <v xml:space="preserve">  SMARI3-RS138  </v>
      </c>
      <c r="W667">
        <f t="shared" ca="1" si="30"/>
        <v>1.0149999999999999</v>
      </c>
      <c r="X667" t="str">
        <f t="shared" ca="1" si="31"/>
        <v xml:space="preserve"> SM3--2-RS000 </v>
      </c>
      <c r="Y667" s="1">
        <f t="shared" ca="1" si="32"/>
        <v>0.249</v>
      </c>
    </row>
    <row r="668" spans="1:25" x14ac:dyDescent="0.25">
      <c r="A668" t="s">
        <v>1588</v>
      </c>
      <c r="B668" t="s">
        <v>1587</v>
      </c>
      <c r="C668">
        <v>83</v>
      </c>
      <c r="D668">
        <v>100</v>
      </c>
      <c r="E668">
        <v>100</v>
      </c>
      <c r="F668" s="1">
        <v>0.249</v>
      </c>
      <c r="G668" t="s">
        <v>1587</v>
      </c>
      <c r="H668" t="s">
        <v>1587</v>
      </c>
      <c r="I668">
        <v>41372</v>
      </c>
      <c r="J668" t="s">
        <v>2167</v>
      </c>
      <c r="K668">
        <v>2</v>
      </c>
      <c r="L668">
        <v>-20.2</v>
      </c>
      <c r="M668">
        <v>-5.9</v>
      </c>
      <c r="N668">
        <v>20.7</v>
      </c>
      <c r="O668" t="s">
        <v>1608</v>
      </c>
      <c r="P668" t="s">
        <v>1584</v>
      </c>
      <c r="Q668">
        <v>2</v>
      </c>
      <c r="R668">
        <v>0.01</v>
      </c>
      <c r="S668">
        <v>-0.1</v>
      </c>
      <c r="T668" t="s">
        <v>1584</v>
      </c>
      <c r="U668" t="s">
        <v>1592</v>
      </c>
      <c r="V668" t="str" cm="1">
        <f t="array" aca="1" ref="V668" ca="1">IFERROR(_xlfn.IFS(A666="  ..............",OFFSET(A666,2,0),A665=" X-------------X",OFFSET(A665,3,0),MATCH("  ..............",A668:A677,0)&gt;2,V667),"-")</f>
        <v>-</v>
      </c>
      <c r="W668" t="str">
        <f t="shared" ca="1" si="30"/>
        <v>-</v>
      </c>
      <c r="X668" t="str">
        <f t="shared" ca="1" si="31"/>
        <v>-</v>
      </c>
      <c r="Y668" s="1" t="str">
        <f t="shared" ca="1" si="32"/>
        <v>-</v>
      </c>
    </row>
    <row r="669" spans="1:25" x14ac:dyDescent="0.25">
      <c r="A669" t="s">
        <v>1572</v>
      </c>
      <c r="B669" t="s">
        <v>1574</v>
      </c>
      <c r="C669" t="s">
        <v>1574</v>
      </c>
      <c r="D669" t="s">
        <v>1574</v>
      </c>
      <c r="E669" t="s">
        <v>1574</v>
      </c>
      <c r="F669" t="s">
        <v>1575</v>
      </c>
      <c r="G669" t="s">
        <v>1574</v>
      </c>
      <c r="H669" t="s">
        <v>1574</v>
      </c>
      <c r="I669" t="s">
        <v>1576</v>
      </c>
      <c r="J669" t="s">
        <v>1573</v>
      </c>
      <c r="K669" t="s">
        <v>1577</v>
      </c>
      <c r="L669" t="s">
        <v>1574</v>
      </c>
      <c r="M669" t="s">
        <v>1574</v>
      </c>
      <c r="N669" t="s">
        <v>1574</v>
      </c>
      <c r="O669" t="s">
        <v>1578</v>
      </c>
      <c r="P669" t="s">
        <v>1576</v>
      </c>
      <c r="Q669" t="s">
        <v>1579</v>
      </c>
      <c r="R669" t="s">
        <v>1580</v>
      </c>
      <c r="S669" t="s">
        <v>1580</v>
      </c>
      <c r="T669" t="s">
        <v>1576</v>
      </c>
      <c r="U669" t="s">
        <v>1576</v>
      </c>
      <c r="V669" t="str" cm="1">
        <f t="array" aca="1" ref="V669" ca="1">IFERROR(_xlfn.IFS(A667="  ..............",OFFSET(A667,2,0),A666=" X-------------X",OFFSET(A666,3,0),MATCH("  ..............",A669:A678,0)&gt;2,V668),"-")</f>
        <v>-</v>
      </c>
      <c r="W669" t="str">
        <f t="shared" ca="1" si="30"/>
        <v>-</v>
      </c>
      <c r="X669" t="str">
        <f t="shared" ca="1" si="31"/>
        <v/>
      </c>
      <c r="Y669" s="1" t="str">
        <f t="shared" ca="1" si="32"/>
        <v/>
      </c>
    </row>
    <row r="670" spans="1:25" x14ac:dyDescent="0.25">
      <c r="A670" t="s">
        <v>2168</v>
      </c>
      <c r="B670">
        <v>1.0089999999999999</v>
      </c>
      <c r="C670">
        <v>0</v>
      </c>
      <c r="D670">
        <v>0</v>
      </c>
      <c r="E670">
        <v>9.5</v>
      </c>
      <c r="F670">
        <v>0</v>
      </c>
      <c r="G670">
        <v>0</v>
      </c>
      <c r="H670">
        <v>0</v>
      </c>
      <c r="I670" t="s">
        <v>1581</v>
      </c>
      <c r="J670" t="s">
        <v>1581</v>
      </c>
      <c r="K670" t="s">
        <v>1581</v>
      </c>
      <c r="L670" t="s">
        <v>1581</v>
      </c>
      <c r="M670" t="s">
        <v>1581</v>
      </c>
      <c r="N670" t="s">
        <v>1581</v>
      </c>
      <c r="O670" t="s">
        <v>1581</v>
      </c>
      <c r="P670" t="s">
        <v>1581</v>
      </c>
      <c r="Q670" t="s">
        <v>1581</v>
      </c>
      <c r="R670" t="s">
        <v>1581</v>
      </c>
      <c r="S670" t="s">
        <v>1581</v>
      </c>
      <c r="T670" t="s">
        <v>1581</v>
      </c>
      <c r="U670" t="s">
        <v>1581</v>
      </c>
      <c r="V670" t="str" cm="1">
        <f t="array" aca="1" ref="V670" ca="1">IFERROR(_xlfn.IFS(A668="  ..............",OFFSET(A668,2,0),A667=" X-------------X",OFFSET(A667,3,0),MATCH("  ..............",A670:A679,0)&gt;2,V669),"-")</f>
        <v>-</v>
      </c>
      <c r="W670" t="str">
        <f t="shared" ca="1" si="30"/>
        <v>-</v>
      </c>
      <c r="X670" t="str">
        <f t="shared" ca="1" si="31"/>
        <v xml:space="preserve">              </v>
      </c>
      <c r="Y670" s="1">
        <f t="shared" ca="1" si="32"/>
        <v>0</v>
      </c>
    </row>
    <row r="671" spans="1:25" x14ac:dyDescent="0.25">
      <c r="A671" t="s">
        <v>2169</v>
      </c>
      <c r="B671">
        <v>-52.4</v>
      </c>
      <c r="C671">
        <v>0</v>
      </c>
      <c r="D671">
        <v>0</v>
      </c>
      <c r="E671">
        <v>4</v>
      </c>
      <c r="F671">
        <v>0</v>
      </c>
      <c r="G671">
        <v>0</v>
      </c>
      <c r="H671">
        <v>0</v>
      </c>
      <c r="I671" t="s">
        <v>1584</v>
      </c>
      <c r="J671" t="s">
        <v>1585</v>
      </c>
      <c r="K671" t="s">
        <v>1586</v>
      </c>
      <c r="L671" t="s">
        <v>1587</v>
      </c>
      <c r="M671" t="s">
        <v>1587</v>
      </c>
      <c r="N671" t="s">
        <v>1586</v>
      </c>
      <c r="O671" t="s">
        <v>1581</v>
      </c>
      <c r="P671" t="s">
        <v>1581</v>
      </c>
      <c r="Q671" t="s">
        <v>1581</v>
      </c>
      <c r="R671" t="s">
        <v>1581</v>
      </c>
      <c r="S671" t="s">
        <v>1581</v>
      </c>
      <c r="T671" t="s">
        <v>1581</v>
      </c>
      <c r="U671" t="s">
        <v>1581</v>
      </c>
      <c r="V671" t="str" cm="1">
        <f t="array" aca="1" ref="V671" ca="1">IFERROR(_xlfn.IFS(A669="  ..............",OFFSET(A669,2,0),A668=" X-------------X",OFFSET(A668,3,0),MATCH("  ..............",A671:A680,0)&gt;2,V670),"-")</f>
        <v xml:space="preserve">  POLOFI-RS069  </v>
      </c>
      <c r="W671">
        <f t="shared" ca="1" si="30"/>
        <v>1.0089999999999999</v>
      </c>
      <c r="X671" t="str">
        <f t="shared" ca="1" si="31"/>
        <v xml:space="preserve"> HEXION-RS069 </v>
      </c>
      <c r="Y671" s="1">
        <f t="shared" ca="1" si="32"/>
        <v>0.379</v>
      </c>
    </row>
    <row r="672" spans="1:25" x14ac:dyDescent="0.25">
      <c r="A672" t="s">
        <v>1588</v>
      </c>
      <c r="B672" t="s">
        <v>1587</v>
      </c>
      <c r="C672">
        <v>30</v>
      </c>
      <c r="D672">
        <v>48</v>
      </c>
      <c r="E672">
        <v>48</v>
      </c>
      <c r="F672" s="1">
        <v>0.34</v>
      </c>
      <c r="G672" t="s">
        <v>1587</v>
      </c>
      <c r="H672" t="s">
        <v>1587</v>
      </c>
      <c r="I672">
        <v>9716</v>
      </c>
      <c r="J672" t="s">
        <v>2106</v>
      </c>
      <c r="K672">
        <v>1</v>
      </c>
      <c r="L672">
        <v>-9.5</v>
      </c>
      <c r="M672">
        <v>-4</v>
      </c>
      <c r="N672">
        <v>10.199999999999999</v>
      </c>
      <c r="O672" t="s">
        <v>1594</v>
      </c>
      <c r="P672" t="s">
        <v>1584</v>
      </c>
      <c r="Q672" t="s">
        <v>1591</v>
      </c>
      <c r="R672">
        <v>0.02</v>
      </c>
      <c r="S672">
        <v>-0.01</v>
      </c>
      <c r="T672" t="s">
        <v>1584</v>
      </c>
      <c r="U672" t="s">
        <v>1592</v>
      </c>
      <c r="V672" t="str" cm="1">
        <f t="array" aca="1" ref="V672" ca="1">IFERROR(_xlfn.IFS(A670="  ..............",OFFSET(A670,2,0),A669=" X-------------X",OFFSET(A669,3,0),MATCH("  ..............",A672:A681,0)&gt;2,V671),"-")</f>
        <v>-</v>
      </c>
      <c r="W672" t="str">
        <f t="shared" ca="1" si="30"/>
        <v>-</v>
      </c>
      <c r="X672" t="str">
        <f t="shared" ca="1" si="31"/>
        <v>-</v>
      </c>
      <c r="Y672" s="1" t="str">
        <f t="shared" ca="1" si="32"/>
        <v>-</v>
      </c>
    </row>
    <row r="673" spans="1:25" x14ac:dyDescent="0.25">
      <c r="A673" t="s">
        <v>1572</v>
      </c>
      <c r="B673" t="s">
        <v>1574</v>
      </c>
      <c r="C673" t="s">
        <v>1574</v>
      </c>
      <c r="D673" t="s">
        <v>1574</v>
      </c>
      <c r="E673" t="s">
        <v>1574</v>
      </c>
      <c r="F673" t="s">
        <v>1575</v>
      </c>
      <c r="G673" t="s">
        <v>1574</v>
      </c>
      <c r="H673" t="s">
        <v>1574</v>
      </c>
      <c r="I673" t="s">
        <v>1576</v>
      </c>
      <c r="J673" t="s">
        <v>1573</v>
      </c>
      <c r="K673" t="s">
        <v>1577</v>
      </c>
      <c r="L673" t="s">
        <v>1574</v>
      </c>
      <c r="M673" t="s">
        <v>1574</v>
      </c>
      <c r="N673" t="s">
        <v>1574</v>
      </c>
      <c r="O673" t="s">
        <v>1578</v>
      </c>
      <c r="P673" t="s">
        <v>1576</v>
      </c>
      <c r="Q673" t="s">
        <v>1579</v>
      </c>
      <c r="R673" t="s">
        <v>1580</v>
      </c>
      <c r="S673" t="s">
        <v>1580</v>
      </c>
      <c r="T673" t="s">
        <v>1576</v>
      </c>
      <c r="U673" t="s">
        <v>1576</v>
      </c>
      <c r="V673" t="str" cm="1">
        <f t="array" aca="1" ref="V673" ca="1">IFERROR(_xlfn.IFS(A671="  ..............",OFFSET(A671,2,0),A670=" X-------------X",OFFSET(A670,3,0),MATCH("  ..............",A673:A682,0)&gt;2,V672),"-")</f>
        <v>-</v>
      </c>
      <c r="W673" t="str">
        <f t="shared" ca="1" si="30"/>
        <v>-</v>
      </c>
      <c r="X673" t="str">
        <f t="shared" ca="1" si="31"/>
        <v/>
      </c>
      <c r="Y673" s="1" t="str">
        <f t="shared" ca="1" si="32"/>
        <v/>
      </c>
    </row>
    <row r="674" spans="1:25" x14ac:dyDescent="0.25">
      <c r="A674" t="s">
        <v>2170</v>
      </c>
      <c r="B674">
        <v>1.0349999999999999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1581</v>
      </c>
      <c r="J674" t="s">
        <v>1581</v>
      </c>
      <c r="K674" t="s">
        <v>1581</v>
      </c>
      <c r="L674" t="s">
        <v>1581</v>
      </c>
      <c r="M674" t="s">
        <v>1581</v>
      </c>
      <c r="N674" t="s">
        <v>1581</v>
      </c>
      <c r="O674" t="s">
        <v>1581</v>
      </c>
      <c r="P674" t="s">
        <v>1581</v>
      </c>
      <c r="Q674" t="s">
        <v>1581</v>
      </c>
      <c r="R674" t="s">
        <v>1581</v>
      </c>
      <c r="S674" t="s">
        <v>1581</v>
      </c>
      <c r="T674" t="s">
        <v>1581</v>
      </c>
      <c r="U674" t="s">
        <v>1581</v>
      </c>
      <c r="V674" t="str" cm="1">
        <f t="array" aca="1" ref="V674" ca="1">IFERROR(_xlfn.IFS(A672="  ..............",OFFSET(A672,2,0),A671=" X-------------X",OFFSET(A671,3,0),MATCH("  ..............",A674:A683,0)&gt;2,V673),"-")</f>
        <v>-</v>
      </c>
      <c r="W674" t="str">
        <f t="shared" ca="1" si="30"/>
        <v>-</v>
      </c>
      <c r="X674" t="str">
        <f t="shared" ca="1" si="31"/>
        <v xml:space="preserve">              </v>
      </c>
      <c r="Y674" s="1">
        <f t="shared" ca="1" si="32"/>
        <v>0</v>
      </c>
    </row>
    <row r="675" spans="1:25" x14ac:dyDescent="0.25">
      <c r="A675" t="s">
        <v>2171</v>
      </c>
      <c r="B675">
        <v>-50.5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 t="s">
        <v>1584</v>
      </c>
      <c r="J675" t="s">
        <v>1585</v>
      </c>
      <c r="K675" t="s">
        <v>1586</v>
      </c>
      <c r="L675" t="s">
        <v>1587</v>
      </c>
      <c r="M675" t="s">
        <v>1587</v>
      </c>
      <c r="N675" t="s">
        <v>1586</v>
      </c>
      <c r="O675" t="s">
        <v>1581</v>
      </c>
      <c r="P675" t="s">
        <v>1581</v>
      </c>
      <c r="Q675" t="s">
        <v>1581</v>
      </c>
      <c r="R675" t="s">
        <v>1581</v>
      </c>
      <c r="S675" t="s">
        <v>1581</v>
      </c>
      <c r="T675" t="s">
        <v>1581</v>
      </c>
      <c r="U675" t="s">
        <v>1581</v>
      </c>
      <c r="V675" t="str" cm="1">
        <f t="array" aca="1" ref="V675" ca="1">IFERROR(_xlfn.IFS(A673="  ..............",OFFSET(A673,2,0),A672=" X-------------X",OFFSET(A672,3,0),MATCH("  ..............",A675:A684,0)&gt;2,V674),"-")</f>
        <v xml:space="preserve">  CAXIA6-RS069  </v>
      </c>
      <c r="W675">
        <f t="shared" ca="1" si="30"/>
        <v>1.0349999999999999</v>
      </c>
      <c r="X675" t="str">
        <f t="shared" ca="1" si="31"/>
        <v xml:space="preserve"> CAXIA3-RS069 </v>
      </c>
      <c r="Y675" s="1">
        <f t="shared" ca="1" si="32"/>
        <v>0.29499999999999998</v>
      </c>
    </row>
    <row r="676" spans="1:25" x14ac:dyDescent="0.25">
      <c r="A676" t="s">
        <v>1588</v>
      </c>
      <c r="B676" t="s">
        <v>1587</v>
      </c>
      <c r="C676">
        <v>106</v>
      </c>
      <c r="D676">
        <v>130</v>
      </c>
      <c r="E676">
        <v>130</v>
      </c>
      <c r="F676" s="1">
        <v>0.29499999999999998</v>
      </c>
      <c r="G676" t="s">
        <v>1587</v>
      </c>
      <c r="H676" t="s">
        <v>1587</v>
      </c>
      <c r="I676">
        <v>1388</v>
      </c>
      <c r="J676" t="s">
        <v>2172</v>
      </c>
      <c r="K676">
        <v>1</v>
      </c>
      <c r="L676">
        <v>32.200000000000003</v>
      </c>
      <c r="M676">
        <v>3.1</v>
      </c>
      <c r="N676">
        <v>31.3</v>
      </c>
      <c r="O676" t="s">
        <v>1594</v>
      </c>
      <c r="P676" t="s">
        <v>1584</v>
      </c>
      <c r="Q676" t="s">
        <v>1591</v>
      </c>
      <c r="R676">
        <v>0.1</v>
      </c>
      <c r="S676">
        <v>0.48</v>
      </c>
      <c r="T676" t="s">
        <v>1584</v>
      </c>
      <c r="U676" t="s">
        <v>1592</v>
      </c>
      <c r="V676" t="str" cm="1">
        <f t="array" aca="1" ref="V676" ca="1">IFERROR(_xlfn.IFS(A674="  ..............",OFFSET(A674,2,0),A673=" X-------------X",OFFSET(A673,3,0),MATCH("  ..............",A676:A685,0)&gt;2,V675),"-")</f>
        <v xml:space="preserve">  CAXIA6-RS069  </v>
      </c>
      <c r="W676">
        <f t="shared" ca="1" si="30"/>
        <v>1.0349999999999999</v>
      </c>
      <c r="X676" t="str">
        <f t="shared" ca="1" si="31"/>
        <v xml:space="preserve"> CAXIA4-RS069 </v>
      </c>
      <c r="Y676" s="1" t="str">
        <f t="shared" ca="1" si="32"/>
        <v xml:space="preserve">             </v>
      </c>
    </row>
    <row r="677" spans="1:25" x14ac:dyDescent="0.25">
      <c r="A677" t="s">
        <v>1588</v>
      </c>
      <c r="B677" t="s">
        <v>1587</v>
      </c>
      <c r="C677">
        <v>106</v>
      </c>
      <c r="D677">
        <v>130</v>
      </c>
      <c r="E677">
        <v>130</v>
      </c>
      <c r="F677" s="1">
        <v>0.59</v>
      </c>
      <c r="G677" t="s">
        <v>1587</v>
      </c>
      <c r="H677" t="s">
        <v>1587</v>
      </c>
      <c r="I677">
        <v>1389</v>
      </c>
      <c r="J677" t="s">
        <v>1666</v>
      </c>
      <c r="K677">
        <v>1</v>
      </c>
      <c r="L677">
        <v>58</v>
      </c>
      <c r="M677">
        <v>28.7</v>
      </c>
      <c r="N677">
        <v>62.5</v>
      </c>
      <c r="O677" t="s">
        <v>1594</v>
      </c>
      <c r="P677" t="s">
        <v>1584</v>
      </c>
      <c r="Q677" t="s">
        <v>1591</v>
      </c>
      <c r="R677">
        <v>0.48</v>
      </c>
      <c r="S677">
        <v>2.61</v>
      </c>
      <c r="T677" t="s">
        <v>1584</v>
      </c>
      <c r="U677" t="s">
        <v>1592</v>
      </c>
      <c r="V677" t="str" cm="1">
        <f t="array" aca="1" ref="V677" ca="1">IFERROR(_xlfn.IFS(A675="  ..............",OFFSET(A675,2,0),A674=" X-------------X",OFFSET(A674,3,0),MATCH("  ..............",A677:A686,0)&gt;2,V676),"-")</f>
        <v xml:space="preserve">  CAXIA6-RS069  </v>
      </c>
      <c r="W677">
        <f t="shared" ca="1" si="30"/>
        <v>1.0349999999999999</v>
      </c>
      <c r="X677" t="str">
        <f t="shared" ca="1" si="31"/>
        <v xml:space="preserve"> CAXIA7-RS069 </v>
      </c>
      <c r="Y677" s="1">
        <f t="shared" ca="1" si="32"/>
        <v>0.14299999999999999</v>
      </c>
    </row>
    <row r="678" spans="1:25" x14ac:dyDescent="0.25">
      <c r="A678" t="s">
        <v>1588</v>
      </c>
      <c r="B678" t="s">
        <v>1587</v>
      </c>
      <c r="C678">
        <v>84</v>
      </c>
      <c r="D678">
        <v>101</v>
      </c>
      <c r="E678">
        <v>101</v>
      </c>
      <c r="F678" s="1">
        <v>0.14299999999999999</v>
      </c>
      <c r="G678" t="s">
        <v>1587</v>
      </c>
      <c r="H678" t="s">
        <v>1587</v>
      </c>
      <c r="I678">
        <v>9676</v>
      </c>
      <c r="J678" t="s">
        <v>2173</v>
      </c>
      <c r="K678">
        <v>1</v>
      </c>
      <c r="L678">
        <v>11.5</v>
      </c>
      <c r="M678">
        <v>4.7</v>
      </c>
      <c r="N678">
        <v>12.1</v>
      </c>
      <c r="O678" t="s">
        <v>1594</v>
      </c>
      <c r="P678" t="s">
        <v>1584</v>
      </c>
      <c r="Q678" t="s">
        <v>1591</v>
      </c>
      <c r="R678">
        <v>0.04</v>
      </c>
      <c r="S678">
        <v>-0.01</v>
      </c>
      <c r="T678" t="s">
        <v>1584</v>
      </c>
      <c r="U678" t="s">
        <v>1592</v>
      </c>
      <c r="V678" t="str" cm="1">
        <f t="array" aca="1" ref="V678" ca="1">IFERROR(_xlfn.IFS(A676="  ..............",OFFSET(A676,2,0),A675=" X-------------X",OFFSET(A675,3,0),MATCH("  ..............",A678:A687,0)&gt;2,V677),"-")</f>
        <v xml:space="preserve">  CAXIA6-RS069  </v>
      </c>
      <c r="W678">
        <f t="shared" ca="1" si="30"/>
        <v>1.0349999999999999</v>
      </c>
      <c r="X678" t="str">
        <f t="shared" ca="1" si="31"/>
        <v xml:space="preserve"> CAXIA7-RS069 </v>
      </c>
      <c r="Y678" s="1">
        <f t="shared" ca="1" si="32"/>
        <v>0.14299999999999999</v>
      </c>
    </row>
    <row r="679" spans="1:25" x14ac:dyDescent="0.25">
      <c r="A679" t="s">
        <v>1588</v>
      </c>
      <c r="B679" t="s">
        <v>1587</v>
      </c>
      <c r="C679">
        <v>84</v>
      </c>
      <c r="D679">
        <v>101</v>
      </c>
      <c r="E679">
        <v>101</v>
      </c>
      <c r="F679" s="1">
        <v>0.14399999999999999</v>
      </c>
      <c r="G679" t="s">
        <v>1587</v>
      </c>
      <c r="H679" t="s">
        <v>1587</v>
      </c>
      <c r="I679">
        <v>9676</v>
      </c>
      <c r="J679" t="s">
        <v>2173</v>
      </c>
      <c r="K679">
        <v>2</v>
      </c>
      <c r="L679">
        <v>11.5</v>
      </c>
      <c r="M679">
        <v>4.7</v>
      </c>
      <c r="N679">
        <v>12.1</v>
      </c>
      <c r="O679" t="s">
        <v>1594</v>
      </c>
      <c r="P679" t="s">
        <v>1584</v>
      </c>
      <c r="Q679" t="s">
        <v>1591</v>
      </c>
      <c r="R679">
        <v>0.04</v>
      </c>
      <c r="S679">
        <v>-0.01</v>
      </c>
      <c r="T679" t="s">
        <v>1584</v>
      </c>
      <c r="U679" t="s">
        <v>1592</v>
      </c>
      <c r="V679" t="str" cm="1">
        <f t="array" aca="1" ref="V679" ca="1">IFERROR(_xlfn.IFS(A677="  ..............",OFFSET(A677,2,0),A676=" X-------------X",OFFSET(A676,3,0),MATCH("  ..............",A679:A688,0)&gt;2,V678),"-")</f>
        <v xml:space="preserve">  CAXIA6-RS069  </v>
      </c>
      <c r="W679">
        <f t="shared" ca="1" si="30"/>
        <v>1.0349999999999999</v>
      </c>
      <c r="X679" t="str">
        <f t="shared" ca="1" si="31"/>
        <v xml:space="preserve"> CAX6-1-RS000 </v>
      </c>
      <c r="Y679" s="1">
        <f t="shared" ca="1" si="32"/>
        <v>0.35299999999999998</v>
      </c>
    </row>
    <row r="680" spans="1:25" x14ac:dyDescent="0.25">
      <c r="A680" t="s">
        <v>1588</v>
      </c>
      <c r="B680" t="s">
        <v>1587</v>
      </c>
      <c r="C680">
        <v>165</v>
      </c>
      <c r="D680">
        <v>198</v>
      </c>
      <c r="E680">
        <v>198</v>
      </c>
      <c r="F680" s="1">
        <v>0.35299999999999998</v>
      </c>
      <c r="G680" t="s">
        <v>1587</v>
      </c>
      <c r="H680" t="s">
        <v>1587</v>
      </c>
      <c r="I680">
        <v>41255</v>
      </c>
      <c r="J680" t="s">
        <v>2174</v>
      </c>
      <c r="K680">
        <v>1</v>
      </c>
      <c r="L680">
        <v>-56.6</v>
      </c>
      <c r="M680">
        <v>-20.6</v>
      </c>
      <c r="N680">
        <v>58.2</v>
      </c>
      <c r="O680" t="s">
        <v>1608</v>
      </c>
      <c r="P680" t="s">
        <v>1584</v>
      </c>
      <c r="Q680">
        <v>2</v>
      </c>
      <c r="R680">
        <v>0.03</v>
      </c>
      <c r="S680">
        <v>-0.19</v>
      </c>
      <c r="T680" t="s">
        <v>1584</v>
      </c>
      <c r="U680" t="s">
        <v>1592</v>
      </c>
      <c r="V680" t="str" cm="1">
        <f t="array" aca="1" ref="V680" ca="1">IFERROR(_xlfn.IFS(A678="  ..............",OFFSET(A678,2,0),A677=" X-------------X",OFFSET(A677,3,0),MATCH("  ..............",A680:A689,0)&gt;2,V679),"-")</f>
        <v xml:space="preserve">  CAXIA6-RS069  </v>
      </c>
      <c r="W680">
        <f t="shared" ca="1" si="30"/>
        <v>1.0349999999999999</v>
      </c>
      <c r="X680" t="str">
        <f t="shared" ca="1" si="31"/>
        <v xml:space="preserve"> CAX6-2-RS000 </v>
      </c>
      <c r="Y680" s="1">
        <f t="shared" ca="1" si="32"/>
        <v>0.35299999999999998</v>
      </c>
    </row>
    <row r="681" spans="1:25" x14ac:dyDescent="0.25">
      <c r="A681" t="s">
        <v>1588</v>
      </c>
      <c r="B681" t="s">
        <v>1587</v>
      </c>
      <c r="C681">
        <v>165</v>
      </c>
      <c r="D681">
        <v>198</v>
      </c>
      <c r="E681">
        <v>198</v>
      </c>
      <c r="F681" s="1">
        <v>0.35299999999999998</v>
      </c>
      <c r="G681" t="s">
        <v>1587</v>
      </c>
      <c r="H681" t="s">
        <v>1587</v>
      </c>
      <c r="I681">
        <v>41256</v>
      </c>
      <c r="J681" t="s">
        <v>2175</v>
      </c>
      <c r="K681">
        <v>2</v>
      </c>
      <c r="L681">
        <v>-56.7</v>
      </c>
      <c r="M681">
        <v>-20.6</v>
      </c>
      <c r="N681">
        <v>58.3</v>
      </c>
      <c r="O681" t="s">
        <v>1608</v>
      </c>
      <c r="P681" t="s">
        <v>1584</v>
      </c>
      <c r="Q681">
        <v>2</v>
      </c>
      <c r="R681">
        <v>0.03</v>
      </c>
      <c r="S681">
        <v>-0.19</v>
      </c>
      <c r="T681" t="s">
        <v>1584</v>
      </c>
      <c r="U681" t="s">
        <v>1592</v>
      </c>
      <c r="V681" t="str" cm="1">
        <f t="array" aca="1" ref="V681" ca="1">IFERROR(_xlfn.IFS(A679="  ..............",OFFSET(A679,2,0),A678=" X-------------X",OFFSET(A678,3,0),MATCH("  ..............",A681:A690,0)&gt;2,V680),"-")</f>
        <v>-</v>
      </c>
      <c r="W681" t="str">
        <f t="shared" ca="1" si="30"/>
        <v>-</v>
      </c>
      <c r="X681" t="str">
        <f t="shared" ca="1" si="31"/>
        <v>-</v>
      </c>
      <c r="Y681" s="1" t="str">
        <f t="shared" ca="1" si="32"/>
        <v>-</v>
      </c>
    </row>
    <row r="682" spans="1:25" x14ac:dyDescent="0.25">
      <c r="A682" t="s">
        <v>1572</v>
      </c>
      <c r="B682" t="s">
        <v>1574</v>
      </c>
      <c r="C682" t="s">
        <v>1574</v>
      </c>
      <c r="D682" t="s">
        <v>1574</v>
      </c>
      <c r="E682" t="s">
        <v>1574</v>
      </c>
      <c r="F682" t="s">
        <v>1575</v>
      </c>
      <c r="G682" t="s">
        <v>1574</v>
      </c>
      <c r="H682" t="s">
        <v>1574</v>
      </c>
      <c r="I682" t="s">
        <v>1576</v>
      </c>
      <c r="J682" t="s">
        <v>1573</v>
      </c>
      <c r="K682" t="s">
        <v>1577</v>
      </c>
      <c r="L682" t="s">
        <v>1574</v>
      </c>
      <c r="M682" t="s">
        <v>1574</v>
      </c>
      <c r="N682" t="s">
        <v>1574</v>
      </c>
      <c r="O682" t="s">
        <v>1578</v>
      </c>
      <c r="P682" t="s">
        <v>1576</v>
      </c>
      <c r="Q682" t="s">
        <v>1579</v>
      </c>
      <c r="R682" t="s">
        <v>1580</v>
      </c>
      <c r="S682" t="s">
        <v>1580</v>
      </c>
      <c r="T682" t="s">
        <v>1576</v>
      </c>
      <c r="U682" t="s">
        <v>1576</v>
      </c>
      <c r="V682" t="str" cm="1">
        <f t="array" aca="1" ref="V682" ca="1">IFERROR(_xlfn.IFS(A680="  ..............",OFFSET(A680,2,0),A679=" X-------------X",OFFSET(A679,3,0),MATCH("  ..............",A682:A691,0)&gt;2,V681),"-")</f>
        <v>-</v>
      </c>
      <c r="W682" t="str">
        <f t="shared" ca="1" si="30"/>
        <v>-</v>
      </c>
      <c r="X682" t="str">
        <f t="shared" ca="1" si="31"/>
        <v xml:space="preserve"> V11.06.02    </v>
      </c>
      <c r="Y682" s="1" t="str">
        <f t="shared" ca="1" si="32"/>
        <v xml:space="preserve">A - PROGRAMA </v>
      </c>
    </row>
    <row r="683" spans="1:25" x14ac:dyDescent="0.25">
      <c r="A683" t="s">
        <v>1725</v>
      </c>
      <c r="B683" t="s">
        <v>1726</v>
      </c>
      <c r="C683" t="s">
        <v>1727</v>
      </c>
      <c r="D683" t="s">
        <v>1728</v>
      </c>
      <c r="E683" t="s">
        <v>1729</v>
      </c>
      <c r="F683" t="s">
        <v>1730</v>
      </c>
      <c r="G683" t="s">
        <v>1731</v>
      </c>
      <c r="H683" t="s">
        <v>1732</v>
      </c>
      <c r="I683" t="s">
        <v>1733</v>
      </c>
      <c r="J683" t="s">
        <v>1734</v>
      </c>
      <c r="K683" t="s">
        <v>1586</v>
      </c>
      <c r="L683" t="s">
        <v>1587</v>
      </c>
      <c r="M683" t="s">
        <v>1587</v>
      </c>
      <c r="N683" t="s">
        <v>1587</v>
      </c>
      <c r="O683" t="s">
        <v>1735</v>
      </c>
      <c r="P683">
        <v>5</v>
      </c>
      <c r="Q683" t="s">
        <v>1581</v>
      </c>
      <c r="R683" t="s">
        <v>1581</v>
      </c>
      <c r="S683" t="s">
        <v>1581</v>
      </c>
      <c r="T683" t="s">
        <v>1581</v>
      </c>
      <c r="U683" t="s">
        <v>1581</v>
      </c>
      <c r="V683" t="str" cm="1">
        <f t="array" aca="1" ref="V683" ca="1">IFERROR(_xlfn.IFS(A681="  ..............",OFFSET(A681,2,0),A680=" X-------------X",OFFSET(A680,3,0),MATCH("  ..............",A683:A692,0)&gt;2,V682),"-")</f>
        <v>-</v>
      </c>
      <c r="W683" t="str">
        <f t="shared" ca="1" si="30"/>
        <v>-</v>
      </c>
      <c r="X683" t="str">
        <f t="shared" ca="1" si="31"/>
        <v/>
      </c>
      <c r="Y683" s="1" t="str">
        <f t="shared" ca="1" si="32"/>
        <v/>
      </c>
    </row>
    <row r="684" spans="1:25" x14ac:dyDescent="0.25">
      <c r="A684" t="s">
        <v>1581</v>
      </c>
      <c r="B684" t="s">
        <v>1581</v>
      </c>
      <c r="C684" t="s">
        <v>1581</v>
      </c>
      <c r="D684" t="s">
        <v>1581</v>
      </c>
      <c r="E684" t="s">
        <v>1581</v>
      </c>
      <c r="F684" t="s">
        <v>1581</v>
      </c>
      <c r="G684" t="s">
        <v>1581</v>
      </c>
      <c r="H684" t="s">
        <v>1581</v>
      </c>
      <c r="I684" t="s">
        <v>1581</v>
      </c>
      <c r="J684" t="s">
        <v>1581</v>
      </c>
      <c r="K684" t="s">
        <v>1581</v>
      </c>
      <c r="L684" t="s">
        <v>1581</v>
      </c>
      <c r="M684" t="s">
        <v>1581</v>
      </c>
      <c r="N684" t="s">
        <v>1581</v>
      </c>
      <c r="O684" t="s">
        <v>1581</v>
      </c>
      <c r="P684" t="s">
        <v>1581</v>
      </c>
      <c r="Q684" t="s">
        <v>1581</v>
      </c>
      <c r="R684" t="s">
        <v>1581</v>
      </c>
      <c r="S684" t="s">
        <v>1581</v>
      </c>
      <c r="T684" t="s">
        <v>1581</v>
      </c>
      <c r="U684" t="s">
        <v>1581</v>
      </c>
      <c r="V684" t="str" cm="1">
        <f t="array" aca="1" ref="V684" ca="1">IFERROR(_xlfn.IFS(A682="  ..............",OFFSET(A682,2,0),A681=" X-------------X",OFFSET(A681,3,0),MATCH("  ..............",A684:A693,0)&gt;2,V683),"-")</f>
        <v/>
      </c>
      <c r="W684" t="str">
        <f t="shared" ca="1" si="30"/>
        <v>X-------X</v>
      </c>
      <c r="X684" t="str">
        <f t="shared" ca="1" si="31"/>
        <v/>
      </c>
      <c r="Y684" s="1" t="str">
        <f t="shared" ca="1" si="32"/>
        <v/>
      </c>
    </row>
    <row r="685" spans="1:25" x14ac:dyDescent="0.25">
      <c r="A685" t="s">
        <v>1736</v>
      </c>
      <c r="B685" t="s">
        <v>1737</v>
      </c>
      <c r="C685" t="s">
        <v>1738</v>
      </c>
      <c r="D685" t="s">
        <v>1739</v>
      </c>
      <c r="E685" t="s">
        <v>1740</v>
      </c>
      <c r="F685" t="s">
        <v>1741</v>
      </c>
      <c r="G685" t="s">
        <v>1742</v>
      </c>
      <c r="H685" t="s">
        <v>1743</v>
      </c>
      <c r="I685" t="s">
        <v>1744</v>
      </c>
      <c r="J685" t="s">
        <v>1581</v>
      </c>
      <c r="K685" t="s">
        <v>1581</v>
      </c>
      <c r="L685" t="s">
        <v>1581</v>
      </c>
      <c r="M685" t="s">
        <v>1581</v>
      </c>
      <c r="N685" t="s">
        <v>1581</v>
      </c>
      <c r="O685" t="s">
        <v>1581</v>
      </c>
      <c r="P685" t="s">
        <v>1581</v>
      </c>
      <c r="Q685" t="s">
        <v>1581</v>
      </c>
      <c r="R685" t="s">
        <v>1581</v>
      </c>
      <c r="S685" t="s">
        <v>1581</v>
      </c>
      <c r="T685" t="s">
        <v>1581</v>
      </c>
      <c r="U685" t="s">
        <v>1581</v>
      </c>
      <c r="V685" t="str" cm="1">
        <f t="array" aca="1" ref="V685" ca="1">IFERROR(_xlfn.IFS(A683="  ..............",OFFSET(A683,2,0),A682=" X-------------X",OFFSET(A682,3,0),MATCH("  ..............",A685:A694,0)&gt;2,V684),"-")</f>
        <v>-</v>
      </c>
      <c r="W685" t="str">
        <f t="shared" ca="1" si="30"/>
        <v>-</v>
      </c>
      <c r="X685" t="str">
        <f t="shared" ca="1" si="31"/>
        <v>-</v>
      </c>
      <c r="Y685" s="1" t="str">
        <f t="shared" ca="1" si="32"/>
        <v>-</v>
      </c>
    </row>
    <row r="686" spans="1:25" x14ac:dyDescent="0.25">
      <c r="A686" t="s">
        <v>1745</v>
      </c>
      <c r="B686" t="s">
        <v>1746</v>
      </c>
      <c r="C686" t="s">
        <v>1747</v>
      </c>
      <c r="D686" t="s">
        <v>1748</v>
      </c>
      <c r="E686" t="s">
        <v>1749</v>
      </c>
      <c r="F686" t="s">
        <v>1750</v>
      </c>
      <c r="G686" t="s">
        <v>1587</v>
      </c>
      <c r="H686" t="s">
        <v>1587</v>
      </c>
      <c r="I686" t="s">
        <v>1591</v>
      </c>
      <c r="J686" t="s">
        <v>1581</v>
      </c>
      <c r="K686" t="s">
        <v>1581</v>
      </c>
      <c r="L686" t="s">
        <v>1581</v>
      </c>
      <c r="M686" t="s">
        <v>1581</v>
      </c>
      <c r="N686" t="s">
        <v>1581</v>
      </c>
      <c r="O686" t="s">
        <v>1581</v>
      </c>
      <c r="P686" t="s">
        <v>1581</v>
      </c>
      <c r="Q686" t="s">
        <v>1581</v>
      </c>
      <c r="R686" t="s">
        <v>1581</v>
      </c>
      <c r="S686" t="s">
        <v>1581</v>
      </c>
      <c r="T686" t="s">
        <v>1581</v>
      </c>
      <c r="U686" t="s">
        <v>1581</v>
      </c>
      <c r="V686" t="str" cm="1">
        <f t="array" aca="1" ref="V686" ca="1">IFERROR(_xlfn.IFS(A684="  ..............",OFFSET(A684,2,0),A683=" X-------------X",OFFSET(A683,3,0),MATCH("  ..............",A686:A695,0)&gt;2,V685),"-")</f>
        <v>-</v>
      </c>
      <c r="W686" t="str">
        <f t="shared" ca="1" si="30"/>
        <v>-</v>
      </c>
      <c r="X686" t="str">
        <f t="shared" ca="1" si="31"/>
        <v/>
      </c>
      <c r="Y686" s="1" t="str">
        <f t="shared" ca="1" si="32"/>
        <v/>
      </c>
    </row>
    <row r="687" spans="1:25" x14ac:dyDescent="0.25">
      <c r="A687" t="s">
        <v>1581</v>
      </c>
      <c r="B687" t="s">
        <v>1581</v>
      </c>
      <c r="C687" t="s">
        <v>1581</v>
      </c>
      <c r="D687" t="s">
        <v>1581</v>
      </c>
      <c r="E687" t="s">
        <v>1581</v>
      </c>
      <c r="F687" t="s">
        <v>1581</v>
      </c>
      <c r="G687" t="s">
        <v>1581</v>
      </c>
      <c r="H687" t="s">
        <v>1581</v>
      </c>
      <c r="I687" t="s">
        <v>1581</v>
      </c>
      <c r="J687" t="s">
        <v>1581</v>
      </c>
      <c r="K687" t="s">
        <v>1581</v>
      </c>
      <c r="L687" t="s">
        <v>1581</v>
      </c>
      <c r="M687" t="s">
        <v>1581</v>
      </c>
      <c r="N687" t="s">
        <v>1581</v>
      </c>
      <c r="O687" t="s">
        <v>1581</v>
      </c>
      <c r="P687" t="s">
        <v>1581</v>
      </c>
      <c r="Q687" t="s">
        <v>1581</v>
      </c>
      <c r="R687" t="s">
        <v>1581</v>
      </c>
      <c r="S687" t="s">
        <v>1581</v>
      </c>
      <c r="T687" t="s">
        <v>1581</v>
      </c>
      <c r="U687" t="s">
        <v>1581</v>
      </c>
      <c r="V687" t="str" cm="1">
        <f t="array" aca="1" ref="V687" ca="1">IFERROR(_xlfn.IFS(A685="  ..............",OFFSET(A685,2,0),A684=" X-------------X",OFFSET(A684,3,0),MATCH("  ..............",A687:A696,0)&gt;2,V686),"-")</f>
        <v>-</v>
      </c>
      <c r="W687" t="str">
        <f t="shared" ca="1" si="30"/>
        <v>-</v>
      </c>
      <c r="X687" t="str">
        <f t="shared" ca="1" si="31"/>
        <v>-------- F L U</v>
      </c>
      <c r="Y687" s="1" t="str">
        <f t="shared" ca="1" si="32"/>
        <v xml:space="preserve"> ------------</v>
      </c>
    </row>
    <row r="688" spans="1:25" x14ac:dyDescent="0.25">
      <c r="A688" t="s">
        <v>1751</v>
      </c>
      <c r="B688" t="s">
        <v>1752</v>
      </c>
      <c r="C688" t="s">
        <v>1753</v>
      </c>
      <c r="D688" t="s">
        <v>1754</v>
      </c>
      <c r="E688" t="s">
        <v>1755</v>
      </c>
      <c r="F688" t="s">
        <v>1756</v>
      </c>
      <c r="G688" t="s">
        <v>1757</v>
      </c>
      <c r="H688" t="s">
        <v>1758</v>
      </c>
      <c r="I688" t="s">
        <v>1759</v>
      </c>
      <c r="J688" t="s">
        <v>1760</v>
      </c>
      <c r="K688" t="s">
        <v>1761</v>
      </c>
      <c r="L688" t="s">
        <v>1762</v>
      </c>
      <c r="M688" t="s">
        <v>1763</v>
      </c>
      <c r="N688" t="s">
        <v>1764</v>
      </c>
      <c r="O688" t="s">
        <v>1765</v>
      </c>
      <c r="P688" t="s">
        <v>1766</v>
      </c>
      <c r="Q688" t="s">
        <v>1767</v>
      </c>
      <c r="R688" t="s">
        <v>1571</v>
      </c>
      <c r="S688" t="s">
        <v>1571</v>
      </c>
      <c r="T688" t="s">
        <v>1759</v>
      </c>
      <c r="U688" t="s">
        <v>1768</v>
      </c>
      <c r="V688" t="str" cm="1">
        <f t="array" aca="1" ref="V688" ca="1">IFERROR(_xlfn.IFS(A686="  ..............",OFFSET(A686,2,0),A685=" X-------------X",OFFSET(A685,3,0),MATCH("  ..............",A688:A697,0)&gt;2,V687),"-")</f>
        <v>-</v>
      </c>
      <c r="W688" t="str">
        <f t="shared" ca="1" si="30"/>
        <v>-</v>
      </c>
      <c r="X688" t="str">
        <f t="shared" ca="1" si="31"/>
        <v xml:space="preserve">              </v>
      </c>
      <c r="Y688" s="1">
        <f t="shared" ca="1" si="32"/>
        <v>0</v>
      </c>
    </row>
    <row r="689" spans="1:25" x14ac:dyDescent="0.25">
      <c r="A689" t="s">
        <v>1769</v>
      </c>
      <c r="B689" t="s">
        <v>1770</v>
      </c>
      <c r="C689" t="s">
        <v>1771</v>
      </c>
      <c r="D689" t="s">
        <v>1772</v>
      </c>
      <c r="E689" t="s">
        <v>1773</v>
      </c>
      <c r="F689" t="s">
        <v>1774</v>
      </c>
      <c r="G689" t="s">
        <v>1775</v>
      </c>
      <c r="H689" t="s">
        <v>1776</v>
      </c>
      <c r="I689" t="s">
        <v>1584</v>
      </c>
      <c r="J689" t="s">
        <v>1585</v>
      </c>
      <c r="K689" t="s">
        <v>1586</v>
      </c>
      <c r="L689" t="s">
        <v>1587</v>
      </c>
      <c r="M689" t="s">
        <v>1587</v>
      </c>
      <c r="N689" t="s">
        <v>1587</v>
      </c>
      <c r="O689" t="s">
        <v>1594</v>
      </c>
      <c r="P689" t="s">
        <v>1584</v>
      </c>
      <c r="Q689" t="s">
        <v>1591</v>
      </c>
      <c r="R689" t="s">
        <v>1777</v>
      </c>
      <c r="S689" t="s">
        <v>1777</v>
      </c>
      <c r="T689" t="s">
        <v>1584</v>
      </c>
      <c r="U689" t="s">
        <v>1778</v>
      </c>
      <c r="V689" t="str" cm="1">
        <f t="array" aca="1" ref="V689" ca="1">IFERROR(_xlfn.IFS(A687="  ..............",OFFSET(A687,2,0),A686=" X-------------X",OFFSET(A686,3,0),MATCH("  ..............",A689:A698,0)&gt;2,V688),"-")</f>
        <v>-</v>
      </c>
      <c r="W689" t="str">
        <f t="shared" ca="1" si="30"/>
        <v>-</v>
      </c>
      <c r="X689" t="str">
        <f t="shared" ca="1" si="31"/>
        <v xml:space="preserve">              </v>
      </c>
      <c r="Y689" s="1">
        <f t="shared" ca="1" si="32"/>
        <v>0</v>
      </c>
    </row>
    <row r="690" spans="1:25" x14ac:dyDescent="0.25">
      <c r="A690" t="s">
        <v>1779</v>
      </c>
      <c r="B690" t="s">
        <v>1780</v>
      </c>
      <c r="C690" t="s">
        <v>1781</v>
      </c>
      <c r="D690" t="s">
        <v>1781</v>
      </c>
      <c r="E690" t="s">
        <v>1781</v>
      </c>
      <c r="F690" t="s">
        <v>1782</v>
      </c>
      <c r="G690" t="s">
        <v>1783</v>
      </c>
      <c r="H690" t="s">
        <v>1784</v>
      </c>
      <c r="I690" t="s">
        <v>1584</v>
      </c>
      <c r="J690" t="s">
        <v>1585</v>
      </c>
      <c r="K690" t="s">
        <v>1586</v>
      </c>
      <c r="L690" t="s">
        <v>1587</v>
      </c>
      <c r="M690" t="s">
        <v>1587</v>
      </c>
      <c r="N690" t="s">
        <v>1587</v>
      </c>
      <c r="O690" t="s">
        <v>1594</v>
      </c>
      <c r="P690" t="s">
        <v>1584</v>
      </c>
      <c r="Q690" t="s">
        <v>1785</v>
      </c>
      <c r="R690" t="s">
        <v>1786</v>
      </c>
      <c r="S690" t="s">
        <v>1787</v>
      </c>
      <c r="T690" t="s">
        <v>1788</v>
      </c>
      <c r="U690" t="s">
        <v>1778</v>
      </c>
      <c r="V690" t="str" cm="1">
        <f t="array" aca="1" ref="V690" ca="1">IFERROR(_xlfn.IFS(A688="  ..............",OFFSET(A688,2,0),A687=" X-------------X",OFFSET(A687,3,0),MATCH("  ..............",A690:A699,0)&gt;2,V689),"-")</f>
        <v>-</v>
      </c>
      <c r="W690" t="str">
        <f t="shared" ca="1" si="30"/>
        <v>-</v>
      </c>
      <c r="X690" t="str">
        <f t="shared" ca="1" si="31"/>
        <v xml:space="preserve">A             </v>
      </c>
      <c r="Y690" s="1" t="str">
        <f t="shared" ca="1" si="32"/>
        <v xml:space="preserve">   Mvar   EQU</v>
      </c>
    </row>
    <row r="691" spans="1:25" x14ac:dyDescent="0.25">
      <c r="A691" t="s">
        <v>1789</v>
      </c>
      <c r="B691" t="s">
        <v>1790</v>
      </c>
      <c r="C691" t="s">
        <v>1791</v>
      </c>
      <c r="D691" t="s">
        <v>1791</v>
      </c>
      <c r="E691" t="s">
        <v>1791</v>
      </c>
      <c r="F691" t="s">
        <v>1792</v>
      </c>
      <c r="G691" t="s">
        <v>1793</v>
      </c>
      <c r="H691" t="s">
        <v>1794</v>
      </c>
      <c r="I691" t="s">
        <v>1795</v>
      </c>
      <c r="J691" t="s">
        <v>1796</v>
      </c>
      <c r="K691" t="s">
        <v>1586</v>
      </c>
      <c r="L691" t="s">
        <v>1797</v>
      </c>
      <c r="M691" t="s">
        <v>1798</v>
      </c>
      <c r="N691" t="s">
        <v>1587</v>
      </c>
      <c r="O691" t="s">
        <v>1594</v>
      </c>
      <c r="P691" t="s">
        <v>1584</v>
      </c>
      <c r="Q691" t="s">
        <v>1799</v>
      </c>
      <c r="R691" t="s">
        <v>1800</v>
      </c>
      <c r="S691" t="s">
        <v>1801</v>
      </c>
      <c r="T691" t="s">
        <v>1802</v>
      </c>
      <c r="U691" t="s">
        <v>1803</v>
      </c>
      <c r="V691" t="str" cm="1">
        <f t="array" aca="1" ref="V691" ca="1">IFERROR(_xlfn.IFS(A689="  ..............",OFFSET(A689,2,0),A688=" X-------------X",OFFSET(A688,3,0),MATCH("  ..............",A691:A700,0)&gt;2,V690),"-")</f>
        <v>-</v>
      </c>
      <c r="W691" t="str">
        <f t="shared" ca="1" si="30"/>
        <v>-</v>
      </c>
      <c r="X691" t="str">
        <f t="shared" ca="1" si="31"/>
        <v xml:space="preserve">     NOME     </v>
      </c>
      <c r="Y691" s="1" t="str">
        <f t="shared" ca="1" si="32"/>
        <v xml:space="preserve">   FLUXO %   </v>
      </c>
    </row>
    <row r="692" spans="1:25" x14ac:dyDescent="0.25">
      <c r="A692" t="s">
        <v>1588</v>
      </c>
      <c r="B692" t="s">
        <v>1587</v>
      </c>
      <c r="C692" t="s">
        <v>1804</v>
      </c>
      <c r="D692" t="s">
        <v>1805</v>
      </c>
      <c r="E692" t="s">
        <v>1806</v>
      </c>
      <c r="F692" t="s">
        <v>1807</v>
      </c>
      <c r="G692" t="s">
        <v>1808</v>
      </c>
      <c r="H692" t="s">
        <v>1587</v>
      </c>
      <c r="I692" t="s">
        <v>1809</v>
      </c>
      <c r="J692" t="s">
        <v>1810</v>
      </c>
      <c r="K692" t="s">
        <v>1811</v>
      </c>
      <c r="L692" t="s">
        <v>1812</v>
      </c>
      <c r="M692" t="s">
        <v>1791</v>
      </c>
      <c r="N692" t="s">
        <v>1813</v>
      </c>
      <c r="O692" t="s">
        <v>1814</v>
      </c>
      <c r="P692" t="s">
        <v>1815</v>
      </c>
      <c r="Q692" t="s">
        <v>1816</v>
      </c>
      <c r="R692" t="s">
        <v>1817</v>
      </c>
      <c r="S692" t="s">
        <v>1818</v>
      </c>
      <c r="T692" t="s">
        <v>1819</v>
      </c>
      <c r="U692" t="s">
        <v>1820</v>
      </c>
      <c r="V692" t="str" cm="1">
        <f t="array" aca="1" ref="V692" ca="1">IFERROR(_xlfn.IFS(A690="  ..............",OFFSET(A690,2,0),A689=" X-------------X",OFFSET(A689,3,0),MATCH("  ..............",A692:A701,0)&gt;2,V691),"-")</f>
        <v>-</v>
      </c>
      <c r="W692" t="str">
        <f t="shared" ca="1" si="30"/>
        <v>-</v>
      </c>
      <c r="X692" t="str">
        <f t="shared" ca="1" si="31"/>
        <v>X------------X</v>
      </c>
      <c r="Y692" s="1" t="str">
        <f t="shared" ca="1" si="32"/>
        <v>X-----------X</v>
      </c>
    </row>
    <row r="693" spans="1:25" x14ac:dyDescent="0.25">
      <c r="A693" t="s">
        <v>1563</v>
      </c>
      <c r="B693" t="s">
        <v>1564</v>
      </c>
      <c r="C693" t="s">
        <v>1564</v>
      </c>
      <c r="D693" t="s">
        <v>1564</v>
      </c>
      <c r="E693" t="s">
        <v>1564</v>
      </c>
      <c r="F693" t="s">
        <v>1565</v>
      </c>
      <c r="G693" t="s">
        <v>1564</v>
      </c>
      <c r="H693" t="s">
        <v>1564</v>
      </c>
      <c r="I693" t="s">
        <v>1566</v>
      </c>
      <c r="J693" t="s">
        <v>1567</v>
      </c>
      <c r="K693" t="s">
        <v>1568</v>
      </c>
      <c r="L693" t="s">
        <v>1564</v>
      </c>
      <c r="M693" t="s">
        <v>1564</v>
      </c>
      <c r="N693" t="s">
        <v>1564</v>
      </c>
      <c r="O693" t="s">
        <v>1569</v>
      </c>
      <c r="P693" t="s">
        <v>1566</v>
      </c>
      <c r="Q693" t="s">
        <v>1570</v>
      </c>
      <c r="R693" t="s">
        <v>1571</v>
      </c>
      <c r="S693" t="s">
        <v>1571</v>
      </c>
      <c r="T693" t="s">
        <v>1566</v>
      </c>
      <c r="U693" t="s">
        <v>1566</v>
      </c>
      <c r="V693" t="str" cm="1">
        <f t="array" aca="1" ref="V693" ca="1">IFERROR(_xlfn.IFS(A691="  ..............",OFFSET(A691,2,0),A690=" X-------------X",OFFSET(A690,3,0),MATCH("  ..............",A693:A702,0)&gt;2,V692),"-")</f>
        <v>-</v>
      </c>
      <c r="W693" t="str">
        <f t="shared" ca="1" si="30"/>
        <v>-</v>
      </c>
      <c r="X693" t="str">
        <f t="shared" ca="1" si="31"/>
        <v/>
      </c>
      <c r="Y693" s="1" t="str">
        <f t="shared" ca="1" si="32"/>
        <v/>
      </c>
    </row>
    <row r="694" spans="1:25" x14ac:dyDescent="0.25">
      <c r="A694" t="s">
        <v>1581</v>
      </c>
      <c r="B694" t="s">
        <v>1581</v>
      </c>
      <c r="C694" t="s">
        <v>1581</v>
      </c>
      <c r="D694" t="s">
        <v>1581</v>
      </c>
      <c r="E694" t="s">
        <v>1581</v>
      </c>
      <c r="F694" t="s">
        <v>1581</v>
      </c>
      <c r="G694" t="s">
        <v>1581</v>
      </c>
      <c r="H694" t="s">
        <v>1581</v>
      </c>
      <c r="I694" t="s">
        <v>1581</v>
      </c>
      <c r="J694" t="s">
        <v>1581</v>
      </c>
      <c r="K694" t="s">
        <v>1581</v>
      </c>
      <c r="L694" t="s">
        <v>1581</v>
      </c>
      <c r="M694" t="s">
        <v>1581</v>
      </c>
      <c r="N694" t="s">
        <v>1581</v>
      </c>
      <c r="O694" t="s">
        <v>1581</v>
      </c>
      <c r="P694" t="s">
        <v>1581</v>
      </c>
      <c r="Q694" t="s">
        <v>1581</v>
      </c>
      <c r="R694" t="s">
        <v>1581</v>
      </c>
      <c r="S694" t="s">
        <v>1581</v>
      </c>
      <c r="T694" t="s">
        <v>1581</v>
      </c>
      <c r="U694" t="s">
        <v>1581</v>
      </c>
      <c r="V694" t="str" cm="1">
        <f t="array" aca="1" ref="V694" ca="1">IFERROR(_xlfn.IFS(A692="  ..............",OFFSET(A692,2,0),A691=" X-------------X",OFFSET(A691,3,0),MATCH("  ..............",A694:A703,0)&gt;2,V693),"-")</f>
        <v>-</v>
      </c>
      <c r="W694" t="str">
        <f t="shared" ca="1" si="30"/>
        <v>-</v>
      </c>
      <c r="X694" t="str">
        <f t="shared" ca="1" si="31"/>
        <v/>
      </c>
      <c r="Y694" s="1" t="str">
        <f t="shared" ca="1" si="32"/>
        <v/>
      </c>
    </row>
    <row r="695" spans="1:25" x14ac:dyDescent="0.25">
      <c r="A695" t="s">
        <v>2176</v>
      </c>
      <c r="B695">
        <v>1.03</v>
      </c>
      <c r="C695">
        <v>2.2000000000000002</v>
      </c>
      <c r="D695">
        <v>0</v>
      </c>
      <c r="E695">
        <v>34.299999999999997</v>
      </c>
      <c r="F695">
        <v>0</v>
      </c>
      <c r="G695">
        <v>7.6</v>
      </c>
      <c r="H695">
        <v>0</v>
      </c>
      <c r="I695" t="s">
        <v>1581</v>
      </c>
      <c r="J695" t="s">
        <v>1581</v>
      </c>
      <c r="K695" t="s">
        <v>1581</v>
      </c>
      <c r="L695" t="s">
        <v>1581</v>
      </c>
      <c r="M695" t="s">
        <v>1581</v>
      </c>
      <c r="N695" t="s">
        <v>1581</v>
      </c>
      <c r="O695" t="s">
        <v>1581</v>
      </c>
      <c r="P695" t="s">
        <v>1581</v>
      </c>
      <c r="Q695" t="s">
        <v>1581</v>
      </c>
      <c r="R695" t="s">
        <v>1581</v>
      </c>
      <c r="S695" t="s">
        <v>1581</v>
      </c>
      <c r="T695" t="s">
        <v>1581</v>
      </c>
      <c r="U695" t="s">
        <v>1581</v>
      </c>
      <c r="V695" t="str" cm="1">
        <f t="array" aca="1" ref="V695" ca="1">IFERROR(_xlfn.IFS(A693="  ..............",OFFSET(A693,2,0),A692=" X-------------X",OFFSET(A692,3,0),MATCH("  ..............",A695:A704,0)&gt;2,V694),"-")</f>
        <v>-</v>
      </c>
      <c r="W695" t="str">
        <f t="shared" ca="1" si="30"/>
        <v>-</v>
      </c>
      <c r="X695" t="str">
        <f t="shared" ca="1" si="31"/>
        <v xml:space="preserve">              </v>
      </c>
      <c r="Y695" s="1">
        <f t="shared" ca="1" si="32"/>
        <v>0</v>
      </c>
    </row>
    <row r="696" spans="1:25" x14ac:dyDescent="0.25">
      <c r="A696" t="s">
        <v>2177</v>
      </c>
      <c r="B696">
        <v>-51.4</v>
      </c>
      <c r="C696">
        <v>0</v>
      </c>
      <c r="D696">
        <v>0</v>
      </c>
      <c r="E696">
        <v>10.3</v>
      </c>
      <c r="F696">
        <v>0</v>
      </c>
      <c r="G696">
        <v>0</v>
      </c>
      <c r="H696">
        <v>0</v>
      </c>
      <c r="I696" t="s">
        <v>1584</v>
      </c>
      <c r="J696" t="s">
        <v>1585</v>
      </c>
      <c r="K696" t="s">
        <v>1586</v>
      </c>
      <c r="L696" t="s">
        <v>1587</v>
      </c>
      <c r="M696" t="s">
        <v>1587</v>
      </c>
      <c r="N696" t="s">
        <v>1586</v>
      </c>
      <c r="O696" t="s">
        <v>1581</v>
      </c>
      <c r="P696" t="s">
        <v>1581</v>
      </c>
      <c r="Q696" t="s">
        <v>1581</v>
      </c>
      <c r="R696" t="s">
        <v>1581</v>
      </c>
      <c r="S696" t="s">
        <v>1581</v>
      </c>
      <c r="T696" t="s">
        <v>1581</v>
      </c>
      <c r="U696" t="s">
        <v>1581</v>
      </c>
      <c r="V696" t="str" cm="1">
        <f t="array" aca="1" ref="V696" ca="1">IFERROR(_xlfn.IFS(A694="  ..............",OFFSET(A694,2,0),A693=" X-------------X",OFFSET(A693,3,0),MATCH("  ..............",A696:A705,0)&gt;2,V695),"-")</f>
        <v xml:space="preserve">  CAXIA3-RS069  </v>
      </c>
      <c r="W696">
        <f t="shared" ca="1" si="30"/>
        <v>1.03</v>
      </c>
      <c r="X696" t="str">
        <f t="shared" ca="1" si="31"/>
        <v xml:space="preserve"> CAXIA6-RS069 </v>
      </c>
      <c r="Y696" s="1">
        <f t="shared" ca="1" si="32"/>
        <v>0.29499999999999998</v>
      </c>
    </row>
    <row r="697" spans="1:25" x14ac:dyDescent="0.25">
      <c r="A697" t="s">
        <v>1588</v>
      </c>
      <c r="B697" t="s">
        <v>1587</v>
      </c>
      <c r="C697">
        <v>106</v>
      </c>
      <c r="D697">
        <v>130</v>
      </c>
      <c r="E697">
        <v>130</v>
      </c>
      <c r="F697" s="1">
        <v>0.29499999999999998</v>
      </c>
      <c r="G697" t="s">
        <v>1587</v>
      </c>
      <c r="H697" t="s">
        <v>1587</v>
      </c>
      <c r="I697">
        <v>1387</v>
      </c>
      <c r="J697" t="s">
        <v>2178</v>
      </c>
      <c r="K697">
        <v>1</v>
      </c>
      <c r="L697">
        <v>-32.1</v>
      </c>
      <c r="M697">
        <v>-2.7</v>
      </c>
      <c r="N697">
        <v>31.3</v>
      </c>
      <c r="O697" t="s">
        <v>1594</v>
      </c>
      <c r="P697" t="s">
        <v>1584</v>
      </c>
      <c r="Q697" t="s">
        <v>1591</v>
      </c>
      <c r="R697">
        <v>0.1</v>
      </c>
      <c r="S697">
        <v>0.48</v>
      </c>
      <c r="T697" t="s">
        <v>1584</v>
      </c>
      <c r="U697" t="s">
        <v>1592</v>
      </c>
      <c r="V697" t="str" cm="1">
        <f t="array" aca="1" ref="V697" ca="1">IFERROR(_xlfn.IFS(A695="  ..............",OFFSET(A695,2,0),A694=" X-------------X",OFFSET(A694,3,0),MATCH("  ..............",A697:A706,0)&gt;2,V696),"-")</f>
        <v xml:space="preserve">  CAXIA3-RS069  </v>
      </c>
      <c r="W697">
        <f t="shared" ca="1" si="30"/>
        <v>1.03</v>
      </c>
      <c r="X697" t="str">
        <f t="shared" ca="1" si="31"/>
        <v xml:space="preserve"> EBERLETAP069 </v>
      </c>
      <c r="Y697" s="1" t="str">
        <f t="shared" ca="1" si="32"/>
        <v xml:space="preserve">             </v>
      </c>
    </row>
    <row r="698" spans="1:25" x14ac:dyDescent="0.25">
      <c r="A698" t="s">
        <v>1637</v>
      </c>
      <c r="B698" t="s">
        <v>1638</v>
      </c>
      <c r="C698">
        <v>80</v>
      </c>
      <c r="D698">
        <v>95</v>
      </c>
      <c r="E698">
        <v>95</v>
      </c>
      <c r="F698" t="s">
        <v>1639</v>
      </c>
      <c r="G698" t="s">
        <v>1587</v>
      </c>
      <c r="H698" t="s">
        <v>1587</v>
      </c>
      <c r="I698">
        <v>9295</v>
      </c>
      <c r="J698" t="s">
        <v>2179</v>
      </c>
      <c r="K698">
        <v>1</v>
      </c>
      <c r="L698">
        <v>0</v>
      </c>
      <c r="M698">
        <v>0</v>
      </c>
      <c r="N698">
        <v>0</v>
      </c>
      <c r="O698" t="s">
        <v>1594</v>
      </c>
      <c r="P698" t="s">
        <v>1584</v>
      </c>
      <c r="Q698" t="s">
        <v>1591</v>
      </c>
      <c r="R698">
        <v>0</v>
      </c>
      <c r="S698">
        <v>0</v>
      </c>
      <c r="T698" t="s">
        <v>1584</v>
      </c>
      <c r="U698" t="s">
        <v>1592</v>
      </c>
      <c r="V698" t="str" cm="1">
        <f t="array" aca="1" ref="V698" ca="1">IFERROR(_xlfn.IFS(A696="  ..............",OFFSET(A696,2,0),A695=" X-------------X",OFFSET(A695,3,0),MATCH("  ..............",A698:A707,0)&gt;2,V697),"-")</f>
        <v>-</v>
      </c>
      <c r="W698" t="str">
        <f t="shared" ca="1" si="30"/>
        <v>-</v>
      </c>
      <c r="X698" t="str">
        <f t="shared" ca="1" si="31"/>
        <v>-</v>
      </c>
      <c r="Y698" s="1" t="str">
        <f t="shared" ca="1" si="32"/>
        <v>-</v>
      </c>
    </row>
    <row r="699" spans="1:25" x14ac:dyDescent="0.25">
      <c r="A699" t="s">
        <v>1572</v>
      </c>
      <c r="B699" t="s">
        <v>1574</v>
      </c>
      <c r="C699" t="s">
        <v>1574</v>
      </c>
      <c r="D699" t="s">
        <v>1574</v>
      </c>
      <c r="E699" t="s">
        <v>1574</v>
      </c>
      <c r="F699" t="s">
        <v>1575</v>
      </c>
      <c r="G699" t="s">
        <v>1574</v>
      </c>
      <c r="H699" t="s">
        <v>1574</v>
      </c>
      <c r="I699" t="s">
        <v>1576</v>
      </c>
      <c r="J699" t="s">
        <v>1573</v>
      </c>
      <c r="K699" t="s">
        <v>1577</v>
      </c>
      <c r="L699" t="s">
        <v>1574</v>
      </c>
      <c r="M699" t="s">
        <v>1574</v>
      </c>
      <c r="N699" t="s">
        <v>1574</v>
      </c>
      <c r="O699" t="s">
        <v>1578</v>
      </c>
      <c r="P699" t="s">
        <v>1576</v>
      </c>
      <c r="Q699" t="s">
        <v>1579</v>
      </c>
      <c r="R699" t="s">
        <v>1580</v>
      </c>
      <c r="S699" t="s">
        <v>1580</v>
      </c>
      <c r="T699" t="s">
        <v>1576</v>
      </c>
      <c r="U699" t="s">
        <v>1576</v>
      </c>
      <c r="V699" t="str" cm="1">
        <f t="array" aca="1" ref="V699" ca="1">IFERROR(_xlfn.IFS(A697="  ..............",OFFSET(A697,2,0),A696=" X-------------X",OFFSET(A696,3,0),MATCH("  ..............",A699:A708,0)&gt;2,V698),"-")</f>
        <v>-</v>
      </c>
      <c r="W699" t="str">
        <f t="shared" ca="1" si="30"/>
        <v>-</v>
      </c>
      <c r="X699" t="str">
        <f t="shared" ca="1" si="31"/>
        <v/>
      </c>
      <c r="Y699" s="1" t="str">
        <f t="shared" ca="1" si="32"/>
        <v/>
      </c>
    </row>
    <row r="700" spans="1:25" x14ac:dyDescent="0.25">
      <c r="A700" t="s">
        <v>2180</v>
      </c>
      <c r="B700">
        <v>1.0089999999999999</v>
      </c>
      <c r="C700">
        <v>6.5</v>
      </c>
      <c r="D700">
        <v>0</v>
      </c>
      <c r="E700">
        <v>48.3</v>
      </c>
      <c r="F700">
        <v>0</v>
      </c>
      <c r="G700">
        <v>7.3</v>
      </c>
      <c r="H700">
        <v>0</v>
      </c>
      <c r="I700" t="s">
        <v>1581</v>
      </c>
      <c r="J700" t="s">
        <v>1581</v>
      </c>
      <c r="K700" t="s">
        <v>1581</v>
      </c>
      <c r="L700" t="s">
        <v>1581</v>
      </c>
      <c r="M700" t="s">
        <v>1581</v>
      </c>
      <c r="N700" t="s">
        <v>1581</v>
      </c>
      <c r="O700" t="s">
        <v>1581</v>
      </c>
      <c r="P700" t="s">
        <v>1581</v>
      </c>
      <c r="Q700" t="s">
        <v>1581</v>
      </c>
      <c r="R700" t="s">
        <v>1581</v>
      </c>
      <c r="S700" t="s">
        <v>1581</v>
      </c>
      <c r="T700" t="s">
        <v>1581</v>
      </c>
      <c r="U700" t="s">
        <v>1581</v>
      </c>
      <c r="V700" t="str" cm="1">
        <f t="array" aca="1" ref="V700" ca="1">IFERROR(_xlfn.IFS(A698="  ..............",OFFSET(A698,2,0),A697=" X-------------X",OFFSET(A697,3,0),MATCH("  ..............",A700:A709,0)&gt;2,V699),"-")</f>
        <v>-</v>
      </c>
      <c r="W700" t="str">
        <f t="shared" ca="1" si="30"/>
        <v>-</v>
      </c>
      <c r="X700" t="str">
        <f t="shared" ca="1" si="31"/>
        <v xml:space="preserve">              </v>
      </c>
      <c r="Y700" s="1">
        <f t="shared" ca="1" si="32"/>
        <v>0</v>
      </c>
    </row>
    <row r="701" spans="1:25" x14ac:dyDescent="0.25">
      <c r="A701" t="s">
        <v>2181</v>
      </c>
      <c r="B701">
        <v>-52.5</v>
      </c>
      <c r="C701">
        <v>0</v>
      </c>
      <c r="D701">
        <v>0</v>
      </c>
      <c r="E701">
        <v>15.8</v>
      </c>
      <c r="F701">
        <v>0</v>
      </c>
      <c r="G701">
        <v>0</v>
      </c>
      <c r="H701">
        <v>0</v>
      </c>
      <c r="I701" t="s">
        <v>1584</v>
      </c>
      <c r="J701" t="s">
        <v>1585</v>
      </c>
      <c r="K701" t="s">
        <v>1586</v>
      </c>
      <c r="L701" t="s">
        <v>1587</v>
      </c>
      <c r="M701" t="s">
        <v>1587</v>
      </c>
      <c r="N701" t="s">
        <v>1586</v>
      </c>
      <c r="O701" t="s">
        <v>1581</v>
      </c>
      <c r="P701" t="s">
        <v>1581</v>
      </c>
      <c r="Q701" t="s">
        <v>1581</v>
      </c>
      <c r="R701" t="s">
        <v>1581</v>
      </c>
      <c r="S701" t="s">
        <v>1581</v>
      </c>
      <c r="T701" t="s">
        <v>1581</v>
      </c>
      <c r="U701" t="s">
        <v>1581</v>
      </c>
      <c r="V701" t="str" cm="1">
        <f t="array" aca="1" ref="V701" ca="1">IFERROR(_xlfn.IFS(A699="  ..............",OFFSET(A699,2,0),A698=" X-------------X",OFFSET(A698,3,0),MATCH("  ..............",A701:A710,0)&gt;2,V700),"-")</f>
        <v xml:space="preserve">  CAXIA4-RS069  </v>
      </c>
      <c r="W701">
        <f t="shared" ca="1" si="30"/>
        <v>1.0089999999999999</v>
      </c>
      <c r="X701" t="str">
        <f t="shared" ca="1" si="31"/>
        <v xml:space="preserve"> CAXIA2-RS069 </v>
      </c>
      <c r="Y701" s="1">
        <f t="shared" ca="1" si="32"/>
        <v>2E-3</v>
      </c>
    </row>
    <row r="702" spans="1:25" x14ac:dyDescent="0.25">
      <c r="A702" t="s">
        <v>1637</v>
      </c>
      <c r="B702" t="s">
        <v>1638</v>
      </c>
      <c r="C702">
        <v>84</v>
      </c>
      <c r="D702">
        <v>101</v>
      </c>
      <c r="E702">
        <v>101</v>
      </c>
      <c r="F702" t="s">
        <v>1639</v>
      </c>
      <c r="G702" t="s">
        <v>1587</v>
      </c>
      <c r="H702" t="s">
        <v>1587</v>
      </c>
      <c r="I702">
        <v>1201</v>
      </c>
      <c r="J702" t="s">
        <v>1645</v>
      </c>
      <c r="K702">
        <v>1</v>
      </c>
      <c r="L702">
        <v>0</v>
      </c>
      <c r="M702">
        <v>0</v>
      </c>
      <c r="N702">
        <v>0</v>
      </c>
      <c r="O702" t="s">
        <v>1594</v>
      </c>
      <c r="P702" t="s">
        <v>1584</v>
      </c>
      <c r="Q702" t="s">
        <v>1591</v>
      </c>
      <c r="R702">
        <v>0</v>
      </c>
      <c r="S702">
        <v>0</v>
      </c>
      <c r="T702" t="s">
        <v>1584</v>
      </c>
      <c r="U702" t="s">
        <v>1592</v>
      </c>
      <c r="V702" t="str" cm="1">
        <f t="array" aca="1" ref="V702" ca="1">IFERROR(_xlfn.IFS(A700="  ..............",OFFSET(A700,2,0),A699=" X-------------X",OFFSET(A699,3,0),MATCH("  ..............",A702:A711,0)&gt;2,V701),"-")</f>
        <v xml:space="preserve">  CAXIA4-RS069  </v>
      </c>
      <c r="W702">
        <f t="shared" ca="1" si="30"/>
        <v>1.0089999999999999</v>
      </c>
      <c r="X702" t="str">
        <f t="shared" ca="1" si="31"/>
        <v xml:space="preserve"> CAXIA6-RS069 </v>
      </c>
      <c r="Y702" s="1">
        <f t="shared" ca="1" si="32"/>
        <v>0.29499999999999998</v>
      </c>
    </row>
    <row r="703" spans="1:25" x14ac:dyDescent="0.25">
      <c r="A703" t="s">
        <v>1588</v>
      </c>
      <c r="B703" t="s">
        <v>1587</v>
      </c>
      <c r="C703">
        <v>106</v>
      </c>
      <c r="D703">
        <v>130</v>
      </c>
      <c r="E703">
        <v>130</v>
      </c>
      <c r="F703" s="1">
        <v>0.59</v>
      </c>
      <c r="G703" t="s">
        <v>1587</v>
      </c>
      <c r="H703" t="s">
        <v>1587</v>
      </c>
      <c r="I703">
        <v>1387</v>
      </c>
      <c r="J703" t="s">
        <v>2178</v>
      </c>
      <c r="K703">
        <v>1</v>
      </c>
      <c r="L703">
        <v>-57.5</v>
      </c>
      <c r="M703">
        <v>-26</v>
      </c>
      <c r="N703">
        <v>62.6</v>
      </c>
      <c r="O703" t="s">
        <v>1594</v>
      </c>
      <c r="P703" t="s">
        <v>1584</v>
      </c>
      <c r="Q703" t="s">
        <v>1591</v>
      </c>
      <c r="R703">
        <v>0.48</v>
      </c>
      <c r="S703">
        <v>2.61</v>
      </c>
      <c r="T703" t="s">
        <v>1584</v>
      </c>
      <c r="U703" t="s">
        <v>1592</v>
      </c>
      <c r="V703" t="str" cm="1">
        <f t="array" aca="1" ref="V703" ca="1">IFERROR(_xlfn.IFS(A701="  ..............",OFFSET(A701,2,0),A700=" X-------------X",OFFSET(A700,3,0),MATCH("  ..............",A703:A712,0)&gt;2,V702),"-")</f>
        <v xml:space="preserve">  CAXIA4-RS069  </v>
      </c>
      <c r="W703">
        <f t="shared" ca="1" si="30"/>
        <v>1.0089999999999999</v>
      </c>
      <c r="X703" t="str">
        <f t="shared" ca="1" si="31"/>
        <v xml:space="preserve"> POTOMETAP069 </v>
      </c>
      <c r="Y703" s="1">
        <f t="shared" ca="1" si="32"/>
        <v>0.433</v>
      </c>
    </row>
    <row r="704" spans="1:25" x14ac:dyDescent="0.25">
      <c r="A704" t="s">
        <v>1588</v>
      </c>
      <c r="B704" t="s">
        <v>1587</v>
      </c>
      <c r="C704">
        <v>54</v>
      </c>
      <c r="D704">
        <v>79</v>
      </c>
      <c r="E704">
        <v>79</v>
      </c>
      <c r="F704" s="1">
        <v>0.433</v>
      </c>
      <c r="G704" t="s">
        <v>1587</v>
      </c>
      <c r="H704" t="s">
        <v>1587</v>
      </c>
      <c r="I704">
        <v>9293</v>
      </c>
      <c r="J704" t="s">
        <v>2182</v>
      </c>
      <c r="K704">
        <v>1</v>
      </c>
      <c r="L704">
        <v>15.7</v>
      </c>
      <c r="M704">
        <v>17.600000000000001</v>
      </c>
      <c r="N704">
        <v>23.4</v>
      </c>
      <c r="O704" t="s">
        <v>1594</v>
      </c>
      <c r="P704" t="s">
        <v>1584</v>
      </c>
      <c r="Q704" t="s">
        <v>1591</v>
      </c>
      <c r="R704">
        <v>0.02</v>
      </c>
      <c r="S704">
        <v>0.06</v>
      </c>
      <c r="T704" t="s">
        <v>1584</v>
      </c>
      <c r="U704" t="s">
        <v>1592</v>
      </c>
      <c r="V704" t="str" cm="1">
        <f t="array" aca="1" ref="V704" ca="1">IFERROR(_xlfn.IFS(A702="  ..............",OFFSET(A702,2,0),A701=" X-------------X",OFFSET(A701,3,0),MATCH("  ..............",A704:A713,0)&gt;2,V703),"-")</f>
        <v>-</v>
      </c>
      <c r="W704" t="str">
        <f t="shared" ca="1" si="30"/>
        <v>-</v>
      </c>
      <c r="X704" t="str">
        <f t="shared" ca="1" si="31"/>
        <v>-</v>
      </c>
      <c r="Y704" s="1" t="str">
        <f t="shared" ca="1" si="32"/>
        <v>-</v>
      </c>
    </row>
    <row r="705" spans="1:25" x14ac:dyDescent="0.25">
      <c r="A705" t="s">
        <v>1572</v>
      </c>
      <c r="B705" t="s">
        <v>1574</v>
      </c>
      <c r="C705" t="s">
        <v>1574</v>
      </c>
      <c r="D705" t="s">
        <v>1574</v>
      </c>
      <c r="E705" t="s">
        <v>1574</v>
      </c>
      <c r="F705" t="s">
        <v>1575</v>
      </c>
      <c r="G705" t="s">
        <v>1574</v>
      </c>
      <c r="H705" t="s">
        <v>1574</v>
      </c>
      <c r="I705" t="s">
        <v>1576</v>
      </c>
      <c r="J705" t="s">
        <v>1573</v>
      </c>
      <c r="K705" t="s">
        <v>1577</v>
      </c>
      <c r="L705" t="s">
        <v>1574</v>
      </c>
      <c r="M705" t="s">
        <v>1574</v>
      </c>
      <c r="N705" t="s">
        <v>1574</v>
      </c>
      <c r="O705" t="s">
        <v>1578</v>
      </c>
      <c r="P705" t="s">
        <v>1576</v>
      </c>
      <c r="Q705" t="s">
        <v>1579</v>
      </c>
      <c r="R705" t="s">
        <v>1580</v>
      </c>
      <c r="S705" t="s">
        <v>1580</v>
      </c>
      <c r="T705" t="s">
        <v>1576</v>
      </c>
      <c r="U705" t="s">
        <v>1576</v>
      </c>
      <c r="V705" t="str" cm="1">
        <f t="array" aca="1" ref="V705" ca="1">IFERROR(_xlfn.IFS(A703="  ..............",OFFSET(A703,2,0),A702=" X-------------X",OFFSET(A702,3,0),MATCH("  ..............",A705:A714,0)&gt;2,V704),"-")</f>
        <v>-</v>
      </c>
      <c r="W705" t="str">
        <f t="shared" ca="1" si="30"/>
        <v>-</v>
      </c>
      <c r="X705" t="str">
        <f t="shared" ca="1" si="31"/>
        <v/>
      </c>
      <c r="Y705" s="1" t="str">
        <f t="shared" ca="1" si="32"/>
        <v/>
      </c>
    </row>
    <row r="706" spans="1:25" x14ac:dyDescent="0.25">
      <c r="A706" t="s">
        <v>2183</v>
      </c>
      <c r="B706">
        <v>1.0289999999999999</v>
      </c>
      <c r="C706">
        <v>3.4</v>
      </c>
      <c r="D706">
        <v>0</v>
      </c>
      <c r="E706">
        <v>2.9</v>
      </c>
      <c r="F706">
        <v>0</v>
      </c>
      <c r="G706">
        <v>0</v>
      </c>
      <c r="H706">
        <v>0</v>
      </c>
      <c r="I706" t="s">
        <v>1581</v>
      </c>
      <c r="J706" t="s">
        <v>1581</v>
      </c>
      <c r="K706" t="s">
        <v>1581</v>
      </c>
      <c r="L706" t="s">
        <v>1581</v>
      </c>
      <c r="M706" t="s">
        <v>1581</v>
      </c>
      <c r="N706" t="s">
        <v>1581</v>
      </c>
      <c r="O706" t="s">
        <v>1581</v>
      </c>
      <c r="P706" t="s">
        <v>1581</v>
      </c>
      <c r="Q706" t="s">
        <v>1581</v>
      </c>
      <c r="R706" t="s">
        <v>1581</v>
      </c>
      <c r="S706" t="s">
        <v>1581</v>
      </c>
      <c r="T706" t="s">
        <v>1581</v>
      </c>
      <c r="U706" t="s">
        <v>1581</v>
      </c>
      <c r="V706" t="str" cm="1">
        <f t="array" aca="1" ref="V706" ca="1">IFERROR(_xlfn.IFS(A704="  ..............",OFFSET(A704,2,0),A703=" X-------------X",OFFSET(A703,3,0),MATCH("  ..............",A706:A715,0)&gt;2,V705),"-")</f>
        <v>-</v>
      </c>
      <c r="W706" t="str">
        <f t="shared" ca="1" si="30"/>
        <v>-</v>
      </c>
      <c r="X706" t="str">
        <f t="shared" ca="1" si="31"/>
        <v xml:space="preserve">              </v>
      </c>
      <c r="Y706" s="1">
        <f t="shared" ca="1" si="32"/>
        <v>0</v>
      </c>
    </row>
    <row r="707" spans="1:25" x14ac:dyDescent="0.25">
      <c r="A707" t="s">
        <v>2184</v>
      </c>
      <c r="B707">
        <v>-50.7</v>
      </c>
      <c r="C707">
        <v>0.1</v>
      </c>
      <c r="D707">
        <v>0</v>
      </c>
      <c r="E707">
        <v>-0.6</v>
      </c>
      <c r="F707">
        <v>0</v>
      </c>
      <c r="G707">
        <v>0</v>
      </c>
      <c r="H707">
        <v>0</v>
      </c>
      <c r="I707" t="s">
        <v>1584</v>
      </c>
      <c r="J707" t="s">
        <v>1585</v>
      </c>
      <c r="K707" t="s">
        <v>1586</v>
      </c>
      <c r="L707" t="s">
        <v>1587</v>
      </c>
      <c r="M707" t="s">
        <v>1587</v>
      </c>
      <c r="N707" t="s">
        <v>1586</v>
      </c>
      <c r="O707" t="s">
        <v>1581</v>
      </c>
      <c r="P707" t="s">
        <v>1581</v>
      </c>
      <c r="Q707" t="s">
        <v>1581</v>
      </c>
      <c r="R707" t="s">
        <v>1581</v>
      </c>
      <c r="S707" t="s">
        <v>1581</v>
      </c>
      <c r="T707" t="s">
        <v>1581</v>
      </c>
      <c r="U707" t="s">
        <v>1581</v>
      </c>
      <c r="V707" t="str" cm="1">
        <f t="array" aca="1" ref="V707" ca="1">IFERROR(_xlfn.IFS(A705="  ..............",OFFSET(A705,2,0),A704=" X-------------X",OFFSET(A704,3,0),MATCH("  ..............",A707:A716,0)&gt;2,V706),"-")</f>
        <v xml:space="preserve">  BUGRESPCH006  </v>
      </c>
      <c r="W707">
        <f t="shared" ca="1" si="30"/>
        <v>1.0289999999999999</v>
      </c>
      <c r="X707" t="str">
        <f t="shared" ca="1" si="31"/>
        <v xml:space="preserve"> BUGRES-RS069 </v>
      </c>
      <c r="Y707" s="1">
        <f t="shared" ca="1" si="32"/>
        <v>5.8000000000000003E-2</v>
      </c>
    </row>
    <row r="708" spans="1:25" x14ac:dyDescent="0.25">
      <c r="A708" t="s">
        <v>1588</v>
      </c>
      <c r="B708" t="s">
        <v>1587</v>
      </c>
      <c r="C708">
        <v>14</v>
      </c>
      <c r="D708">
        <v>14</v>
      </c>
      <c r="E708">
        <v>14</v>
      </c>
      <c r="F708" s="1">
        <v>5.8000000000000003E-2</v>
      </c>
      <c r="G708" t="s">
        <v>1587</v>
      </c>
      <c r="H708" t="s">
        <v>1587</v>
      </c>
      <c r="I708">
        <v>2058</v>
      </c>
      <c r="J708" t="s">
        <v>2185</v>
      </c>
      <c r="K708">
        <v>1</v>
      </c>
      <c r="L708">
        <v>0.5</v>
      </c>
      <c r="M708">
        <v>0.7</v>
      </c>
      <c r="N708">
        <v>0.8</v>
      </c>
      <c r="O708" t="s">
        <v>1594</v>
      </c>
      <c r="P708" t="s">
        <v>1584</v>
      </c>
      <c r="Q708" t="s">
        <v>1591</v>
      </c>
      <c r="R708">
        <v>0</v>
      </c>
      <c r="S708">
        <v>0</v>
      </c>
      <c r="T708" t="s">
        <v>1584</v>
      </c>
      <c r="U708" t="s">
        <v>1592</v>
      </c>
      <c r="V708" t="str" cm="1">
        <f t="array" aca="1" ref="V708" ca="1">IFERROR(_xlfn.IFS(A706="  ..............",OFFSET(A706,2,0),A705=" X-------------X",OFFSET(A705,3,0),MATCH("  ..............",A708:A717,0)&gt;2,V707),"-")</f>
        <v>-</v>
      </c>
      <c r="W708" t="str">
        <f t="shared" ref="W708:W771" ca="1" si="33">IFERROR(OFFSET($A$1,MATCH(V708,A:A,0)-2,1),"-")</f>
        <v>-</v>
      </c>
      <c r="X708" t="str">
        <f t="shared" ref="X708:X771" ca="1" si="34">IFERROR(IF(V708=V707,OFFSET($J$1,ROW(X708),0),OFFSET($J$1,MATCH(V708,A:A,0),0)),"-")</f>
        <v>-</v>
      </c>
      <c r="Y708" s="1" t="str">
        <f t="shared" ref="Y708:Y771" ca="1" si="35">IFERROR(OFFSET($F$1,MATCH(X708,J:J,0)-1,0),"-")</f>
        <v>-</v>
      </c>
    </row>
    <row r="709" spans="1:25" x14ac:dyDescent="0.25">
      <c r="A709" t="s">
        <v>1572</v>
      </c>
      <c r="B709" t="s">
        <v>1574</v>
      </c>
      <c r="C709" t="s">
        <v>1574</v>
      </c>
      <c r="D709" t="s">
        <v>1574</v>
      </c>
      <c r="E709" t="s">
        <v>1574</v>
      </c>
      <c r="F709" t="s">
        <v>1575</v>
      </c>
      <c r="G709" t="s">
        <v>1574</v>
      </c>
      <c r="H709" t="s">
        <v>1574</v>
      </c>
      <c r="I709" t="s">
        <v>1576</v>
      </c>
      <c r="J709" t="s">
        <v>1573</v>
      </c>
      <c r="K709" t="s">
        <v>1577</v>
      </c>
      <c r="L709" t="s">
        <v>1574</v>
      </c>
      <c r="M709" t="s">
        <v>1574</v>
      </c>
      <c r="N709" t="s">
        <v>1574</v>
      </c>
      <c r="O709" t="s">
        <v>1578</v>
      </c>
      <c r="P709" t="s">
        <v>1576</v>
      </c>
      <c r="Q709" t="s">
        <v>1579</v>
      </c>
      <c r="R709" t="s">
        <v>1580</v>
      </c>
      <c r="S709" t="s">
        <v>1580</v>
      </c>
      <c r="T709" t="s">
        <v>1576</v>
      </c>
      <c r="U709" t="s">
        <v>1576</v>
      </c>
      <c r="V709" t="str" cm="1">
        <f t="array" aca="1" ref="V709" ca="1">IFERROR(_xlfn.IFS(A707="  ..............",OFFSET(A707,2,0),A706=" X-------------X",OFFSET(A706,3,0),MATCH("  ..............",A709:A718,0)&gt;2,V708),"-")</f>
        <v>-</v>
      </c>
      <c r="W709" t="str">
        <f t="shared" ca="1" si="33"/>
        <v>-</v>
      </c>
      <c r="X709" t="str">
        <f t="shared" ca="1" si="34"/>
        <v/>
      </c>
      <c r="Y709" s="1" t="str">
        <f t="shared" ca="1" si="35"/>
        <v/>
      </c>
    </row>
    <row r="710" spans="1:25" x14ac:dyDescent="0.25">
      <c r="A710" t="s">
        <v>2186</v>
      </c>
      <c r="B710">
        <v>1.026</v>
      </c>
      <c r="C710">
        <v>37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1581</v>
      </c>
      <c r="J710" t="s">
        <v>1581</v>
      </c>
      <c r="K710" t="s">
        <v>1581</v>
      </c>
      <c r="L710" t="s">
        <v>1581</v>
      </c>
      <c r="M710" t="s">
        <v>1581</v>
      </c>
      <c r="N710" t="s">
        <v>1581</v>
      </c>
      <c r="O710" t="s">
        <v>1581</v>
      </c>
      <c r="P710" t="s">
        <v>1581</v>
      </c>
      <c r="Q710" t="s">
        <v>1581</v>
      </c>
      <c r="R710" t="s">
        <v>1581</v>
      </c>
      <c r="S710" t="s">
        <v>1581</v>
      </c>
      <c r="T710" t="s">
        <v>1581</v>
      </c>
      <c r="U710" t="s">
        <v>1581</v>
      </c>
      <c r="V710" t="str" cm="1">
        <f t="array" aca="1" ref="V710" ca="1">IFERROR(_xlfn.IFS(A708="  ..............",OFFSET(A708,2,0),A707=" X-------------X",OFFSET(A707,3,0),MATCH("  ..............",A710:A719,0)&gt;2,V709),"-")</f>
        <v>-</v>
      </c>
      <c r="W710" t="str">
        <f t="shared" ca="1" si="33"/>
        <v>-</v>
      </c>
      <c r="X710" t="str">
        <f t="shared" ca="1" si="34"/>
        <v xml:space="preserve">              </v>
      </c>
      <c r="Y710" s="1">
        <f t="shared" ca="1" si="35"/>
        <v>0</v>
      </c>
    </row>
    <row r="711" spans="1:25" x14ac:dyDescent="0.25">
      <c r="A711" t="s">
        <v>2187</v>
      </c>
      <c r="B711">
        <v>-49</v>
      </c>
      <c r="C711">
        <v>11.6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1584</v>
      </c>
      <c r="J711" t="s">
        <v>1585</v>
      </c>
      <c r="K711" t="s">
        <v>1586</v>
      </c>
      <c r="L711" t="s">
        <v>1587</v>
      </c>
      <c r="M711" t="s">
        <v>1587</v>
      </c>
      <c r="N711" t="s">
        <v>1586</v>
      </c>
      <c r="O711" t="s">
        <v>1581</v>
      </c>
      <c r="P711" t="s">
        <v>1581</v>
      </c>
      <c r="Q711" t="s">
        <v>1581</v>
      </c>
      <c r="R711" t="s">
        <v>1581</v>
      </c>
      <c r="S711" t="s">
        <v>1581</v>
      </c>
      <c r="T711" t="s">
        <v>1581</v>
      </c>
      <c r="U711" t="s">
        <v>1581</v>
      </c>
      <c r="V711" t="str" cm="1">
        <f t="array" aca="1" ref="V711" ca="1">IFERROR(_xlfn.IFS(A709="  ..............",OFFSET(A709,2,0),A708=" X-------------X",OFFSET(A708,3,0),MATCH("  ..............",A711:A720,0)&gt;2,V710),"-")</f>
        <v xml:space="preserve">  CANASTPCH013  </v>
      </c>
      <c r="W711">
        <f t="shared" ca="1" si="33"/>
        <v>1.026</v>
      </c>
      <c r="X711" t="str">
        <f t="shared" ca="1" si="34"/>
        <v xml:space="preserve"> CANA-B-RS000 </v>
      </c>
      <c r="Y711" s="1">
        <f t="shared" ca="1" si="35"/>
        <v>0.54600000000000004</v>
      </c>
    </row>
    <row r="712" spans="1:25" x14ac:dyDescent="0.25">
      <c r="A712" t="s">
        <v>1588</v>
      </c>
      <c r="B712" t="s">
        <v>1587</v>
      </c>
      <c r="C712">
        <v>25</v>
      </c>
      <c r="D712">
        <v>25</v>
      </c>
      <c r="E712">
        <v>25</v>
      </c>
      <c r="F712" s="1">
        <v>0.54600000000000004</v>
      </c>
      <c r="G712" t="s">
        <v>1587</v>
      </c>
      <c r="H712" t="s">
        <v>1587</v>
      </c>
      <c r="I712">
        <v>2060</v>
      </c>
      <c r="J712" t="s">
        <v>2188</v>
      </c>
      <c r="K712">
        <v>1</v>
      </c>
      <c r="L712">
        <v>13.3</v>
      </c>
      <c r="M712">
        <v>4.3</v>
      </c>
      <c r="N712">
        <v>13.7</v>
      </c>
      <c r="O712" t="s">
        <v>1608</v>
      </c>
      <c r="P712" t="s">
        <v>1584</v>
      </c>
      <c r="Q712" t="s">
        <v>1591</v>
      </c>
      <c r="R712">
        <v>0</v>
      </c>
      <c r="S712">
        <v>1.19</v>
      </c>
      <c r="T712" t="s">
        <v>1584</v>
      </c>
      <c r="U712" t="s">
        <v>1592</v>
      </c>
      <c r="V712" t="str" cm="1">
        <f t="array" aca="1" ref="V712" ca="1">IFERROR(_xlfn.IFS(A710="  ..............",OFFSET(A710,2,0),A709=" X-------------X",OFFSET(A709,3,0),MATCH("  ..............",A712:A721,0)&gt;2,V711),"-")</f>
        <v xml:space="preserve">  CANASTPCH013  </v>
      </c>
      <c r="W712">
        <f t="shared" ca="1" si="33"/>
        <v>1.026</v>
      </c>
      <c r="X712" t="str">
        <f t="shared" ca="1" si="34"/>
        <v xml:space="preserve"> CANA-A-RS000 </v>
      </c>
      <c r="Y712" s="1">
        <f t="shared" ca="1" si="35"/>
        <v>0.80500000000000005</v>
      </c>
    </row>
    <row r="713" spans="1:25" x14ac:dyDescent="0.25">
      <c r="A713" t="s">
        <v>1588</v>
      </c>
      <c r="B713" t="s">
        <v>1587</v>
      </c>
      <c r="C713">
        <v>30</v>
      </c>
      <c r="D713">
        <v>30</v>
      </c>
      <c r="E713">
        <v>30</v>
      </c>
      <c r="F713" s="1">
        <v>0.80500000000000005</v>
      </c>
      <c r="G713" t="s">
        <v>1587</v>
      </c>
      <c r="H713" t="s">
        <v>1587</v>
      </c>
      <c r="I713">
        <v>2062</v>
      </c>
      <c r="J713" t="s">
        <v>2189</v>
      </c>
      <c r="K713">
        <v>1</v>
      </c>
      <c r="L713">
        <v>23.7</v>
      </c>
      <c r="M713">
        <v>7.3</v>
      </c>
      <c r="N713">
        <v>24.1</v>
      </c>
      <c r="O713" t="s">
        <v>1608</v>
      </c>
      <c r="P713" t="s">
        <v>1584</v>
      </c>
      <c r="Q713" t="s">
        <v>1591</v>
      </c>
      <c r="R713">
        <v>0</v>
      </c>
      <c r="S713">
        <v>0.86</v>
      </c>
      <c r="T713" t="s">
        <v>1584</v>
      </c>
      <c r="U713" t="s">
        <v>1592</v>
      </c>
      <c r="V713" t="str" cm="1">
        <f t="array" aca="1" ref="V713" ca="1">IFERROR(_xlfn.IFS(A711="  ..............",OFFSET(A711,2,0),A710=" X-------------X",OFFSET(A710,3,0),MATCH("  ..............",A713:A722,0)&gt;2,V712),"-")</f>
        <v>-</v>
      </c>
      <c r="W713" t="str">
        <f t="shared" ca="1" si="33"/>
        <v>-</v>
      </c>
      <c r="X713" t="str">
        <f t="shared" ca="1" si="34"/>
        <v>-</v>
      </c>
      <c r="Y713" s="1" t="str">
        <f t="shared" ca="1" si="35"/>
        <v>-</v>
      </c>
    </row>
    <row r="714" spans="1:25" x14ac:dyDescent="0.25">
      <c r="A714" t="s">
        <v>1572</v>
      </c>
      <c r="B714" t="s">
        <v>1574</v>
      </c>
      <c r="C714" t="s">
        <v>1574</v>
      </c>
      <c r="D714" t="s">
        <v>1574</v>
      </c>
      <c r="E714" t="s">
        <v>1574</v>
      </c>
      <c r="F714" t="s">
        <v>1575</v>
      </c>
      <c r="G714" t="s">
        <v>1574</v>
      </c>
      <c r="H714" t="s">
        <v>1574</v>
      </c>
      <c r="I714" t="s">
        <v>1576</v>
      </c>
      <c r="J714" t="s">
        <v>1573</v>
      </c>
      <c r="K714" t="s">
        <v>1577</v>
      </c>
      <c r="L714" t="s">
        <v>1574</v>
      </c>
      <c r="M714" t="s">
        <v>1574</v>
      </c>
      <c r="N714" t="s">
        <v>1574</v>
      </c>
      <c r="O714" t="s">
        <v>1578</v>
      </c>
      <c r="P714" t="s">
        <v>1576</v>
      </c>
      <c r="Q714" t="s">
        <v>1579</v>
      </c>
      <c r="R714" t="s">
        <v>1580</v>
      </c>
      <c r="S714" t="s">
        <v>1580</v>
      </c>
      <c r="T714" t="s">
        <v>1576</v>
      </c>
      <c r="U714" t="s">
        <v>1576</v>
      </c>
      <c r="V714" t="str" cm="1">
        <f t="array" aca="1" ref="V714" ca="1">IFERROR(_xlfn.IFS(A712="  ..............",OFFSET(A712,2,0),A711=" X-------------X",OFFSET(A711,3,0),MATCH("  ..............",A714:A723,0)&gt;2,V713),"-")</f>
        <v>-</v>
      </c>
      <c r="W714" t="str">
        <f t="shared" ca="1" si="33"/>
        <v>-</v>
      </c>
      <c r="X714" t="str">
        <f t="shared" ca="1" si="34"/>
        <v/>
      </c>
      <c r="Y714" s="1" t="str">
        <f t="shared" ca="1" si="35"/>
        <v/>
      </c>
    </row>
    <row r="715" spans="1:25" x14ac:dyDescent="0.25">
      <c r="A715" t="s">
        <v>2190</v>
      </c>
      <c r="B715">
        <v>1.0269999999999999</v>
      </c>
      <c r="C715">
        <v>1.1000000000000001</v>
      </c>
      <c r="D715">
        <v>0</v>
      </c>
      <c r="E715">
        <v>9</v>
      </c>
      <c r="F715">
        <v>0</v>
      </c>
      <c r="G715">
        <v>0</v>
      </c>
      <c r="H715">
        <v>0</v>
      </c>
      <c r="I715" t="s">
        <v>1581</v>
      </c>
      <c r="J715" t="s">
        <v>1581</v>
      </c>
      <c r="K715" t="s">
        <v>1581</v>
      </c>
      <c r="L715" t="s">
        <v>1581</v>
      </c>
      <c r="M715" t="s">
        <v>1581</v>
      </c>
      <c r="N715" t="s">
        <v>1581</v>
      </c>
      <c r="O715" t="s">
        <v>1581</v>
      </c>
      <c r="P715" t="s">
        <v>1581</v>
      </c>
      <c r="Q715" t="s">
        <v>1581</v>
      </c>
      <c r="R715" t="s">
        <v>1581</v>
      </c>
      <c r="S715" t="s">
        <v>1581</v>
      </c>
      <c r="T715" t="s">
        <v>1581</v>
      </c>
      <c r="U715" t="s">
        <v>1581</v>
      </c>
      <c r="V715" t="str" cm="1">
        <f t="array" aca="1" ref="V715" ca="1">IFERROR(_xlfn.IFS(A713="  ..............",OFFSET(A713,2,0),A712=" X-------------X",OFFSET(A712,3,0),MATCH("  ..............",A715:A724,0)&gt;2,V714),"-")</f>
        <v>-</v>
      </c>
      <c r="W715" t="str">
        <f t="shared" ca="1" si="33"/>
        <v>-</v>
      </c>
      <c r="X715" t="str">
        <f t="shared" ca="1" si="34"/>
        <v xml:space="preserve">              </v>
      </c>
      <c r="Y715" s="1">
        <f t="shared" ca="1" si="35"/>
        <v>0</v>
      </c>
    </row>
    <row r="716" spans="1:25" x14ac:dyDescent="0.25">
      <c r="A716" t="s">
        <v>2191</v>
      </c>
      <c r="B716">
        <v>-53.2</v>
      </c>
      <c r="C716">
        <v>0</v>
      </c>
      <c r="D716">
        <v>0</v>
      </c>
      <c r="E716">
        <v>3.1</v>
      </c>
      <c r="F716">
        <v>0</v>
      </c>
      <c r="G716">
        <v>0</v>
      </c>
      <c r="H716">
        <v>0</v>
      </c>
      <c r="I716" t="s">
        <v>1584</v>
      </c>
      <c r="J716" t="s">
        <v>1585</v>
      </c>
      <c r="K716" t="s">
        <v>1586</v>
      </c>
      <c r="L716" t="s">
        <v>1587</v>
      </c>
      <c r="M716" t="s">
        <v>1587</v>
      </c>
      <c r="N716" t="s">
        <v>1586</v>
      </c>
      <c r="O716" t="s">
        <v>1581</v>
      </c>
      <c r="P716" t="s">
        <v>1581</v>
      </c>
      <c r="Q716" t="s">
        <v>1581</v>
      </c>
      <c r="R716" t="s">
        <v>1581</v>
      </c>
      <c r="S716" t="s">
        <v>1581</v>
      </c>
      <c r="T716" t="s">
        <v>1581</v>
      </c>
      <c r="U716" t="s">
        <v>1581</v>
      </c>
      <c r="V716" t="str" cm="1">
        <f t="array" aca="1" ref="V716" ca="1">IFERROR(_xlfn.IFS(A714="  ..............",OFFSET(A714,2,0),A713=" X-------------X",OFFSET(A713,3,0),MATCH("  ..............",A716:A725,0)&gt;2,V715),"-")</f>
        <v xml:space="preserve">  SJERO--RS069  </v>
      </c>
      <c r="W716">
        <f t="shared" ca="1" si="33"/>
        <v>1.0269999999999999</v>
      </c>
      <c r="X716" t="str">
        <f t="shared" ca="1" si="34"/>
        <v xml:space="preserve"> TRIUNF-RS069 </v>
      </c>
      <c r="Y716" s="1">
        <f t="shared" ca="1" si="35"/>
        <v>0.17199999999999999</v>
      </c>
    </row>
    <row r="717" spans="1:25" x14ac:dyDescent="0.25">
      <c r="A717" t="s">
        <v>1588</v>
      </c>
      <c r="B717" t="s">
        <v>1587</v>
      </c>
      <c r="C717">
        <v>48</v>
      </c>
      <c r="D717">
        <v>48</v>
      </c>
      <c r="E717">
        <v>48</v>
      </c>
      <c r="F717" s="1">
        <v>0.17199999999999999</v>
      </c>
      <c r="G717" t="s">
        <v>1587</v>
      </c>
      <c r="H717" t="s">
        <v>1587</v>
      </c>
      <c r="I717">
        <v>1208</v>
      </c>
      <c r="J717" t="s">
        <v>2192</v>
      </c>
      <c r="K717">
        <v>1</v>
      </c>
      <c r="L717">
        <v>-7.9</v>
      </c>
      <c r="M717">
        <v>-3.1</v>
      </c>
      <c r="N717">
        <v>8.3000000000000007</v>
      </c>
      <c r="O717" t="s">
        <v>1594</v>
      </c>
      <c r="P717" t="s">
        <v>1584</v>
      </c>
      <c r="Q717" t="s">
        <v>1591</v>
      </c>
      <c r="R717">
        <v>0.01</v>
      </c>
      <c r="S717">
        <v>-0.04</v>
      </c>
      <c r="T717" t="s">
        <v>1584</v>
      </c>
      <c r="U717" t="s">
        <v>1592</v>
      </c>
      <c r="V717" t="str" cm="1">
        <f t="array" aca="1" ref="V717" ca="1">IFERROR(_xlfn.IFS(A715="  ..............",OFFSET(A715,2,0),A714=" X-------------X",OFFSET(A714,3,0),MATCH("  ..............",A717:A726,0)&gt;2,V716),"-")</f>
        <v>-</v>
      </c>
      <c r="W717" t="str">
        <f t="shared" ca="1" si="33"/>
        <v>-</v>
      </c>
      <c r="X717" t="str">
        <f t="shared" ca="1" si="34"/>
        <v>-</v>
      </c>
      <c r="Y717" s="1" t="str">
        <f t="shared" ca="1" si="35"/>
        <v>-</v>
      </c>
    </row>
    <row r="718" spans="1:25" x14ac:dyDescent="0.25">
      <c r="A718" t="s">
        <v>1572</v>
      </c>
      <c r="B718" t="s">
        <v>1574</v>
      </c>
      <c r="C718" t="s">
        <v>1574</v>
      </c>
      <c r="D718" t="s">
        <v>1574</v>
      </c>
      <c r="E718" t="s">
        <v>1574</v>
      </c>
      <c r="F718" t="s">
        <v>1575</v>
      </c>
      <c r="G718" t="s">
        <v>1574</v>
      </c>
      <c r="H718" t="s">
        <v>1574</v>
      </c>
      <c r="I718" t="s">
        <v>1576</v>
      </c>
      <c r="J718" t="s">
        <v>1573</v>
      </c>
      <c r="K718" t="s">
        <v>1577</v>
      </c>
      <c r="L718" t="s">
        <v>1574</v>
      </c>
      <c r="M718" t="s">
        <v>1574</v>
      </c>
      <c r="N718" t="s">
        <v>1574</v>
      </c>
      <c r="O718" t="s">
        <v>1578</v>
      </c>
      <c r="P718" t="s">
        <v>1576</v>
      </c>
      <c r="Q718" t="s">
        <v>1579</v>
      </c>
      <c r="R718" t="s">
        <v>1580</v>
      </c>
      <c r="S718" t="s">
        <v>1580</v>
      </c>
      <c r="T718" t="s">
        <v>1576</v>
      </c>
      <c r="U718" t="s">
        <v>1576</v>
      </c>
      <c r="V718" t="str" cm="1">
        <f t="array" aca="1" ref="V718" ca="1">IFERROR(_xlfn.IFS(A716="  ..............",OFFSET(A716,2,0),A715=" X-------------X",OFFSET(A715,3,0),MATCH("  ..............",A718:A727,0)&gt;2,V717),"-")</f>
        <v>-</v>
      </c>
      <c r="W718" t="str">
        <f t="shared" ca="1" si="33"/>
        <v>-</v>
      </c>
      <c r="X718" t="str">
        <f t="shared" ca="1" si="34"/>
        <v/>
      </c>
      <c r="Y718" s="1" t="str">
        <f t="shared" ca="1" si="35"/>
        <v/>
      </c>
    </row>
    <row r="719" spans="1:25" x14ac:dyDescent="0.25">
      <c r="A719" t="s">
        <v>2193</v>
      </c>
      <c r="B719">
        <v>0.99099999999999999</v>
      </c>
      <c r="C719">
        <v>0</v>
      </c>
      <c r="D719">
        <v>0</v>
      </c>
      <c r="E719">
        <v>2.5</v>
      </c>
      <c r="F719">
        <v>0</v>
      </c>
      <c r="G719">
        <v>0</v>
      </c>
      <c r="H719">
        <v>0</v>
      </c>
      <c r="I719" t="s">
        <v>1581</v>
      </c>
      <c r="J719" t="s">
        <v>1581</v>
      </c>
      <c r="K719" t="s">
        <v>1581</v>
      </c>
      <c r="L719" t="s">
        <v>1581</v>
      </c>
      <c r="M719" t="s">
        <v>1581</v>
      </c>
      <c r="N719" t="s">
        <v>1581</v>
      </c>
      <c r="O719" t="s">
        <v>1581</v>
      </c>
      <c r="P719" t="s">
        <v>1581</v>
      </c>
      <c r="Q719" t="s">
        <v>1581</v>
      </c>
      <c r="R719" t="s">
        <v>1581</v>
      </c>
      <c r="S719" t="s">
        <v>1581</v>
      </c>
      <c r="T719" t="s">
        <v>1581</v>
      </c>
      <c r="U719" t="s">
        <v>1581</v>
      </c>
      <c r="V719" t="str" cm="1">
        <f t="array" aca="1" ref="V719" ca="1">IFERROR(_xlfn.IFS(A717="  ..............",OFFSET(A717,2,0),A716=" X-------------X",OFFSET(A716,3,0),MATCH("  ..............",A719:A728,0)&gt;2,V718),"-")</f>
        <v>-</v>
      </c>
      <c r="W719" t="str">
        <f t="shared" ca="1" si="33"/>
        <v>-</v>
      </c>
      <c r="X719" t="str">
        <f t="shared" ca="1" si="34"/>
        <v xml:space="preserve">              </v>
      </c>
      <c r="Y719" s="1">
        <f t="shared" ca="1" si="35"/>
        <v>0</v>
      </c>
    </row>
    <row r="720" spans="1:25" x14ac:dyDescent="0.25">
      <c r="A720" t="s">
        <v>2194</v>
      </c>
      <c r="B720">
        <v>-53.9</v>
      </c>
      <c r="C720">
        <v>0</v>
      </c>
      <c r="D720">
        <v>0</v>
      </c>
      <c r="E720">
        <v>1.1000000000000001</v>
      </c>
      <c r="F720">
        <v>0</v>
      </c>
      <c r="G720">
        <v>0</v>
      </c>
      <c r="H720">
        <v>0</v>
      </c>
      <c r="I720" t="s">
        <v>1584</v>
      </c>
      <c r="J720" t="s">
        <v>1585</v>
      </c>
      <c r="K720" t="s">
        <v>1586</v>
      </c>
      <c r="L720" t="s">
        <v>1587</v>
      </c>
      <c r="M720" t="s">
        <v>1587</v>
      </c>
      <c r="N720" t="s">
        <v>1586</v>
      </c>
      <c r="O720" t="s">
        <v>1581</v>
      </c>
      <c r="P720" t="s">
        <v>1581</v>
      </c>
      <c r="Q720" t="s">
        <v>1581</v>
      </c>
      <c r="R720" t="s">
        <v>1581</v>
      </c>
      <c r="S720" t="s">
        <v>1581</v>
      </c>
      <c r="T720" t="s">
        <v>1581</v>
      </c>
      <c r="U720" t="s">
        <v>1581</v>
      </c>
      <c r="V720" t="str" cm="1">
        <f t="array" aca="1" ref="V720" ca="1">IFERROR(_xlfn.IFS(A718="  ..............",OFFSET(A718,2,0),A717=" X-------------X",OFFSET(A717,3,0),MATCH("  ..............",A720:A729,0)&gt;2,V719),"-")</f>
        <v xml:space="preserve">  SAPATR-RS138  </v>
      </c>
      <c r="W720">
        <f t="shared" ca="1" si="33"/>
        <v>0.99099999999999999</v>
      </c>
      <c r="X720" t="str">
        <f t="shared" ca="1" si="34"/>
        <v xml:space="preserve"> OSO-Y2-RS138 </v>
      </c>
      <c r="Y720" s="1">
        <f t="shared" ca="1" si="35"/>
        <v>2.8000000000000001E-2</v>
      </c>
    </row>
    <row r="721" spans="1:25" x14ac:dyDescent="0.25">
      <c r="A721" t="s">
        <v>1637</v>
      </c>
      <c r="B721" t="s">
        <v>1638</v>
      </c>
      <c r="C721">
        <v>82</v>
      </c>
      <c r="D721">
        <v>82</v>
      </c>
      <c r="E721">
        <v>82</v>
      </c>
      <c r="F721" t="s">
        <v>1639</v>
      </c>
      <c r="G721" t="s">
        <v>1587</v>
      </c>
      <c r="H721" t="s">
        <v>1587</v>
      </c>
      <c r="I721">
        <v>1358</v>
      </c>
      <c r="J721" t="s">
        <v>1606</v>
      </c>
      <c r="K721">
        <v>1</v>
      </c>
      <c r="L721">
        <v>0</v>
      </c>
      <c r="M721">
        <v>0</v>
      </c>
      <c r="N721">
        <v>0</v>
      </c>
      <c r="O721" t="s">
        <v>1594</v>
      </c>
      <c r="P721" t="s">
        <v>1584</v>
      </c>
      <c r="Q721" t="s">
        <v>1591</v>
      </c>
      <c r="R721">
        <v>0</v>
      </c>
      <c r="S721">
        <v>0</v>
      </c>
      <c r="T721" t="s">
        <v>1584</v>
      </c>
      <c r="U721" t="s">
        <v>1592</v>
      </c>
      <c r="V721" t="str" cm="1">
        <f t="array" aca="1" ref="V721" ca="1">IFERROR(_xlfn.IFS(A719="  ..............",OFFSET(A719,2,0),A718=" X-------------X",OFFSET(A718,3,0),MATCH("  ..............",A721:A730,0)&gt;2,V720),"-")</f>
        <v xml:space="preserve">  SAPATR-RS138  </v>
      </c>
      <c r="W721">
        <f t="shared" ca="1" si="33"/>
        <v>0.99099999999999999</v>
      </c>
      <c r="X721" t="str">
        <f t="shared" ca="1" si="34"/>
        <v xml:space="preserve"> TAQUAR-RS138 </v>
      </c>
      <c r="Y721" s="1">
        <f t="shared" ca="1" si="35"/>
        <v>0.33500000000000002</v>
      </c>
    </row>
    <row r="722" spans="1:25" x14ac:dyDescent="0.25">
      <c r="A722" t="s">
        <v>1588</v>
      </c>
      <c r="B722" t="s">
        <v>1587</v>
      </c>
      <c r="C722">
        <v>82</v>
      </c>
      <c r="D722">
        <v>82</v>
      </c>
      <c r="E722">
        <v>82</v>
      </c>
      <c r="F722" s="1">
        <v>0.373</v>
      </c>
      <c r="G722" t="s">
        <v>1587</v>
      </c>
      <c r="H722" t="s">
        <v>1587</v>
      </c>
      <c r="I722">
        <v>2094</v>
      </c>
      <c r="J722" t="s">
        <v>1983</v>
      </c>
      <c r="K722">
        <v>1</v>
      </c>
      <c r="L722">
        <v>-26.9</v>
      </c>
      <c r="M722">
        <v>-14</v>
      </c>
      <c r="N722">
        <v>30.6</v>
      </c>
      <c r="O722" t="s">
        <v>1594</v>
      </c>
      <c r="P722" t="s">
        <v>1584</v>
      </c>
      <c r="Q722" t="s">
        <v>1591</v>
      </c>
      <c r="R722">
        <v>0.36</v>
      </c>
      <c r="S722">
        <v>-1.36</v>
      </c>
      <c r="T722" t="s">
        <v>1584</v>
      </c>
      <c r="U722" t="s">
        <v>1592</v>
      </c>
      <c r="V722" t="str" cm="1">
        <f t="array" aca="1" ref="V722" ca="1">IFERROR(_xlfn.IFS(A720="  ..............",OFFSET(A720,2,0),A719=" X-------------X",OFFSET(A719,3,0),MATCH("  ..............",A722:A731,0)&gt;2,V721),"-")</f>
        <v xml:space="preserve">  SAPATR-RS138  </v>
      </c>
      <c r="W722">
        <f t="shared" ca="1" si="33"/>
        <v>0.99099999999999999</v>
      </c>
      <c r="X722" t="str">
        <f t="shared" ca="1" si="34"/>
        <v xml:space="preserve"> SAPATR-RS023 </v>
      </c>
      <c r="Y722" s="1" t="str">
        <f t="shared" ca="1" si="35"/>
        <v xml:space="preserve"> SUP  111.5% </v>
      </c>
    </row>
    <row r="723" spans="1:25" x14ac:dyDescent="0.25">
      <c r="A723" t="s">
        <v>1588</v>
      </c>
      <c r="B723" t="s">
        <v>1587</v>
      </c>
      <c r="C723">
        <v>25</v>
      </c>
      <c r="D723">
        <v>25</v>
      </c>
      <c r="E723">
        <v>25</v>
      </c>
      <c r="F723" t="s">
        <v>2195</v>
      </c>
      <c r="G723" t="s">
        <v>1587</v>
      </c>
      <c r="H723" t="s">
        <v>1587</v>
      </c>
      <c r="I723">
        <v>9250</v>
      </c>
      <c r="J723" t="s">
        <v>2196</v>
      </c>
      <c r="K723">
        <v>1</v>
      </c>
      <c r="L723">
        <v>24.4</v>
      </c>
      <c r="M723">
        <v>12.9</v>
      </c>
      <c r="N723">
        <v>27.9</v>
      </c>
      <c r="O723" t="s">
        <v>2197</v>
      </c>
      <c r="P723" t="s">
        <v>1584</v>
      </c>
      <c r="Q723" t="s">
        <v>1591</v>
      </c>
      <c r="R723">
        <v>0</v>
      </c>
      <c r="S723">
        <v>2.5</v>
      </c>
      <c r="T723" t="s">
        <v>1584</v>
      </c>
      <c r="U723" t="s">
        <v>1592</v>
      </c>
      <c r="V723" t="str" cm="1">
        <f t="array" aca="1" ref="V723" ca="1">IFERROR(_xlfn.IFS(A721="  ..............",OFFSET(A721,2,0),A720=" X-------------X",OFFSET(A720,3,0),MATCH("  ..............",A723:A732,0)&gt;2,V722),"-")</f>
        <v>-</v>
      </c>
      <c r="W723" t="str">
        <f t="shared" ca="1" si="33"/>
        <v>-</v>
      </c>
      <c r="X723" t="str">
        <f t="shared" ca="1" si="34"/>
        <v>-</v>
      </c>
      <c r="Y723" s="1" t="str">
        <f t="shared" ca="1" si="35"/>
        <v>-</v>
      </c>
    </row>
    <row r="724" spans="1:25" x14ac:dyDescent="0.25">
      <c r="A724" t="s">
        <v>1572</v>
      </c>
      <c r="B724" t="s">
        <v>1574</v>
      </c>
      <c r="C724" t="s">
        <v>1574</v>
      </c>
      <c r="D724" t="s">
        <v>1574</v>
      </c>
      <c r="E724" t="s">
        <v>1574</v>
      </c>
      <c r="F724" t="s">
        <v>1575</v>
      </c>
      <c r="G724" t="s">
        <v>1574</v>
      </c>
      <c r="H724" t="s">
        <v>1574</v>
      </c>
      <c r="I724" t="s">
        <v>1576</v>
      </c>
      <c r="J724" t="s">
        <v>1573</v>
      </c>
      <c r="K724" t="s">
        <v>1577</v>
      </c>
      <c r="L724" t="s">
        <v>1574</v>
      </c>
      <c r="M724" t="s">
        <v>1574</v>
      </c>
      <c r="N724" t="s">
        <v>1574</v>
      </c>
      <c r="O724" t="s">
        <v>1578</v>
      </c>
      <c r="P724" t="s">
        <v>1576</v>
      </c>
      <c r="Q724" t="s">
        <v>1579</v>
      </c>
      <c r="R724" t="s">
        <v>1580</v>
      </c>
      <c r="S724" t="s">
        <v>1580</v>
      </c>
      <c r="T724" t="s">
        <v>1576</v>
      </c>
      <c r="U724" t="s">
        <v>1576</v>
      </c>
      <c r="V724" t="str" cm="1">
        <f t="array" aca="1" ref="V724" ca="1">IFERROR(_xlfn.IFS(A722="  ..............",OFFSET(A722,2,0),A721=" X-------------X",OFFSET(A721,3,0),MATCH("  ..............",A724:A733,0)&gt;2,V723),"-")</f>
        <v>-</v>
      </c>
      <c r="W724" t="str">
        <f t="shared" ca="1" si="33"/>
        <v>-</v>
      </c>
      <c r="X724" t="str">
        <f t="shared" ca="1" si="34"/>
        <v/>
      </c>
      <c r="Y724" s="1" t="str">
        <f t="shared" ca="1" si="35"/>
        <v/>
      </c>
    </row>
    <row r="725" spans="1:25" x14ac:dyDescent="0.25">
      <c r="A725" t="s">
        <v>2198</v>
      </c>
      <c r="B725">
        <v>1.0169999999999999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1581</v>
      </c>
      <c r="J725" t="s">
        <v>1581</v>
      </c>
      <c r="K725" t="s">
        <v>1581</v>
      </c>
      <c r="L725" t="s">
        <v>1581</v>
      </c>
      <c r="M725" t="s">
        <v>1581</v>
      </c>
      <c r="N725" t="s">
        <v>1581</v>
      </c>
      <c r="O725" t="s">
        <v>1581</v>
      </c>
      <c r="P725" t="s">
        <v>1581</v>
      </c>
      <c r="Q725" t="s">
        <v>1581</v>
      </c>
      <c r="R725" t="s">
        <v>1581</v>
      </c>
      <c r="S725" t="s">
        <v>1581</v>
      </c>
      <c r="T725" t="s">
        <v>1581</v>
      </c>
      <c r="U725" t="s">
        <v>1581</v>
      </c>
      <c r="V725" t="str" cm="1">
        <f t="array" aca="1" ref="V725" ca="1">IFERROR(_xlfn.IFS(A723="  ..............",OFFSET(A723,2,0),A722=" X-------------X",OFFSET(A722,3,0),MATCH("  ..............",A725:A734,0)&gt;2,V724),"-")</f>
        <v>-</v>
      </c>
      <c r="W725" t="str">
        <f t="shared" ca="1" si="33"/>
        <v>-</v>
      </c>
      <c r="X725" t="str">
        <f t="shared" ca="1" si="34"/>
        <v xml:space="preserve">              </v>
      </c>
      <c r="Y725" s="1">
        <f t="shared" ca="1" si="35"/>
        <v>0</v>
      </c>
    </row>
    <row r="726" spans="1:25" x14ac:dyDescent="0.25">
      <c r="A726" t="s">
        <v>2199</v>
      </c>
      <c r="B726">
        <v>-50.9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1584</v>
      </c>
      <c r="J726" t="s">
        <v>1585</v>
      </c>
      <c r="K726" t="s">
        <v>1586</v>
      </c>
      <c r="L726" t="s">
        <v>1587</v>
      </c>
      <c r="M726" t="s">
        <v>1587</v>
      </c>
      <c r="N726" t="s">
        <v>1586</v>
      </c>
      <c r="O726" t="s">
        <v>1581</v>
      </c>
      <c r="P726" t="s">
        <v>1581</v>
      </c>
      <c r="Q726" t="s">
        <v>1581</v>
      </c>
      <c r="R726" t="s">
        <v>1581</v>
      </c>
      <c r="S726" t="s">
        <v>1581</v>
      </c>
      <c r="T726" t="s">
        <v>1581</v>
      </c>
      <c r="U726" t="s">
        <v>1581</v>
      </c>
      <c r="V726" t="str" cm="1">
        <f t="array" aca="1" ref="V726" ca="1">IFERROR(_xlfn.IFS(A724="  ..............",OFFSET(A724,2,0),A723=" X-------------X",OFFSET(A723,3,0),MATCH("  ..............",A726:A735,0)&gt;2,V725),"-")</f>
        <v xml:space="preserve">  BUGRES-RS069  </v>
      </c>
      <c r="W726">
        <f t="shared" ca="1" si="33"/>
        <v>1.0169999999999999</v>
      </c>
      <c r="X726" t="str">
        <f t="shared" ca="1" si="34"/>
        <v xml:space="preserve"> BUGRESPCH006 </v>
      </c>
      <c r="Y726" s="1">
        <f t="shared" ca="1" si="35"/>
        <v>5.8000000000000003E-2</v>
      </c>
    </row>
    <row r="727" spans="1:25" x14ac:dyDescent="0.25">
      <c r="A727" t="s">
        <v>1588</v>
      </c>
      <c r="B727" t="s">
        <v>1587</v>
      </c>
      <c r="C727">
        <v>14</v>
      </c>
      <c r="D727">
        <v>14</v>
      </c>
      <c r="E727">
        <v>14</v>
      </c>
      <c r="F727" s="1">
        <v>5.8000000000000003E-2</v>
      </c>
      <c r="G727" t="s">
        <v>1587</v>
      </c>
      <c r="H727" t="s">
        <v>1587</v>
      </c>
      <c r="I727">
        <v>2050</v>
      </c>
      <c r="J727" t="s">
        <v>2200</v>
      </c>
      <c r="K727">
        <v>1</v>
      </c>
      <c r="L727">
        <v>-0.5</v>
      </c>
      <c r="M727">
        <v>-0.7</v>
      </c>
      <c r="N727">
        <v>0.8</v>
      </c>
      <c r="O727" t="s">
        <v>2201</v>
      </c>
      <c r="P727" t="s">
        <v>1584</v>
      </c>
      <c r="Q727" t="s">
        <v>1591</v>
      </c>
      <c r="R727">
        <v>0</v>
      </c>
      <c r="S727">
        <v>0</v>
      </c>
      <c r="T727" t="s">
        <v>1584</v>
      </c>
      <c r="U727" t="s">
        <v>1592</v>
      </c>
      <c r="V727" t="str" cm="1">
        <f t="array" aca="1" ref="V727" ca="1">IFERROR(_xlfn.IFS(A725="  ..............",OFFSET(A725,2,0),A724=" X-------------X",OFFSET(A724,3,0),MATCH("  ..............",A727:A736,0)&gt;2,V726),"-")</f>
        <v xml:space="preserve">  BUGRES-RS069  </v>
      </c>
      <c r="W727">
        <f t="shared" ca="1" si="33"/>
        <v>1.0169999999999999</v>
      </c>
      <c r="X727" t="str">
        <f t="shared" ca="1" si="34"/>
        <v xml:space="preserve"> CANAST-RS069 </v>
      </c>
      <c r="Y727" s="1">
        <f t="shared" ca="1" si="35"/>
        <v>5.8000000000000003E-2</v>
      </c>
    </row>
    <row r="728" spans="1:25" x14ac:dyDescent="0.25">
      <c r="A728" t="s">
        <v>1588</v>
      </c>
      <c r="B728" t="s">
        <v>1587</v>
      </c>
      <c r="C728">
        <v>14</v>
      </c>
      <c r="D728">
        <v>14</v>
      </c>
      <c r="E728">
        <v>14</v>
      </c>
      <c r="F728" s="1">
        <v>5.8000000000000003E-2</v>
      </c>
      <c r="G728" t="s">
        <v>1587</v>
      </c>
      <c r="H728" t="s">
        <v>1587</v>
      </c>
      <c r="I728">
        <v>2063</v>
      </c>
      <c r="J728" t="s">
        <v>2202</v>
      </c>
      <c r="K728">
        <v>1</v>
      </c>
      <c r="L728">
        <v>0.5</v>
      </c>
      <c r="M728">
        <v>0.7</v>
      </c>
      <c r="N728">
        <v>0.8</v>
      </c>
      <c r="O728" t="s">
        <v>1594</v>
      </c>
      <c r="P728" t="s">
        <v>1584</v>
      </c>
      <c r="Q728" t="s">
        <v>1591</v>
      </c>
      <c r="R728">
        <v>0</v>
      </c>
      <c r="S728">
        <v>-0.12</v>
      </c>
      <c r="T728" t="s">
        <v>1584</v>
      </c>
      <c r="U728" t="s">
        <v>1592</v>
      </c>
      <c r="V728" t="str" cm="1">
        <f t="array" aca="1" ref="V728" ca="1">IFERROR(_xlfn.IFS(A726="  ..............",OFFSET(A726,2,0),A725=" X-------------X",OFFSET(A725,3,0),MATCH("  ..............",A728:A737,0)&gt;2,V727),"-")</f>
        <v>-</v>
      </c>
      <c r="W728" t="str">
        <f t="shared" ca="1" si="33"/>
        <v>-</v>
      </c>
      <c r="X728" t="str">
        <f t="shared" ca="1" si="34"/>
        <v>-</v>
      </c>
      <c r="Y728" s="1" t="str">
        <f t="shared" ca="1" si="35"/>
        <v>-</v>
      </c>
    </row>
    <row r="729" spans="1:25" x14ac:dyDescent="0.25">
      <c r="A729" t="s">
        <v>1572</v>
      </c>
      <c r="B729" t="s">
        <v>1574</v>
      </c>
      <c r="C729" t="s">
        <v>1574</v>
      </c>
      <c r="D729" t="s">
        <v>1574</v>
      </c>
      <c r="E729" t="s">
        <v>1574</v>
      </c>
      <c r="F729" t="s">
        <v>1575</v>
      </c>
      <c r="G729" t="s">
        <v>1574</v>
      </c>
      <c r="H729" t="s">
        <v>1574</v>
      </c>
      <c r="I729" t="s">
        <v>1576</v>
      </c>
      <c r="J729" t="s">
        <v>1573</v>
      </c>
      <c r="K729" t="s">
        <v>1577</v>
      </c>
      <c r="L729" t="s">
        <v>1574</v>
      </c>
      <c r="M729" t="s">
        <v>1574</v>
      </c>
      <c r="N729" t="s">
        <v>1574</v>
      </c>
      <c r="O729" t="s">
        <v>1578</v>
      </c>
      <c r="P729" t="s">
        <v>1576</v>
      </c>
      <c r="Q729" t="s">
        <v>1579</v>
      </c>
      <c r="R729" t="s">
        <v>1580</v>
      </c>
      <c r="S729" t="s">
        <v>1580</v>
      </c>
      <c r="T729" t="s">
        <v>1576</v>
      </c>
      <c r="U729" t="s">
        <v>1576</v>
      </c>
      <c r="V729" t="str" cm="1">
        <f t="array" aca="1" ref="V729" ca="1">IFERROR(_xlfn.IFS(A727="  ..............",OFFSET(A727,2,0),A726=" X-------------X",OFFSET(A726,3,0),MATCH("  ..............",A729:A738,0)&gt;2,V728),"-")</f>
        <v>-</v>
      </c>
      <c r="W729" t="str">
        <f t="shared" ca="1" si="33"/>
        <v>-</v>
      </c>
      <c r="X729" t="str">
        <f t="shared" ca="1" si="34"/>
        <v/>
      </c>
      <c r="Y729" s="1" t="str">
        <f t="shared" ca="1" si="35"/>
        <v/>
      </c>
    </row>
    <row r="730" spans="1:25" x14ac:dyDescent="0.25">
      <c r="A730" t="s">
        <v>2203</v>
      </c>
      <c r="B730">
        <v>1.0029999999999999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1581</v>
      </c>
      <c r="J730" t="s">
        <v>1581</v>
      </c>
      <c r="K730" t="s">
        <v>1581</v>
      </c>
      <c r="L730" t="s">
        <v>1581</v>
      </c>
      <c r="M730" t="s">
        <v>1581</v>
      </c>
      <c r="N730" t="s">
        <v>1581</v>
      </c>
      <c r="O730" t="s">
        <v>1581</v>
      </c>
      <c r="P730" t="s">
        <v>1581</v>
      </c>
      <c r="Q730" t="s">
        <v>1581</v>
      </c>
      <c r="R730" t="s">
        <v>1581</v>
      </c>
      <c r="S730" t="s">
        <v>1581</v>
      </c>
      <c r="T730" t="s">
        <v>1581</v>
      </c>
      <c r="U730" t="s">
        <v>1581</v>
      </c>
      <c r="V730" t="str" cm="1">
        <f t="array" aca="1" ref="V730" ca="1">IFERROR(_xlfn.IFS(A728="  ..............",OFFSET(A728,2,0),A727=" X-------------X",OFFSET(A727,3,0),MATCH("  ..............",A730:A739,0)&gt;2,V729),"-")</f>
        <v>-</v>
      </c>
      <c r="W730" t="str">
        <f t="shared" ca="1" si="33"/>
        <v>-</v>
      </c>
      <c r="X730" t="str">
        <f t="shared" ca="1" si="34"/>
        <v xml:space="preserve">              </v>
      </c>
      <c r="Y730" s="1">
        <f t="shared" ca="1" si="35"/>
        <v>0</v>
      </c>
    </row>
    <row r="731" spans="1:25" x14ac:dyDescent="0.25">
      <c r="A731" t="s">
        <v>2204</v>
      </c>
      <c r="B731">
        <v>-53.7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 t="s">
        <v>1584</v>
      </c>
      <c r="J731" t="s">
        <v>1585</v>
      </c>
      <c r="K731" t="s">
        <v>1586</v>
      </c>
      <c r="L731" t="s">
        <v>1587</v>
      </c>
      <c r="M731" t="s">
        <v>1587</v>
      </c>
      <c r="N731" t="s">
        <v>1586</v>
      </c>
      <c r="O731" t="s">
        <v>1581</v>
      </c>
      <c r="P731" t="s">
        <v>1581</v>
      </c>
      <c r="Q731" t="s">
        <v>1581</v>
      </c>
      <c r="R731" t="s">
        <v>1581</v>
      </c>
      <c r="S731" t="s">
        <v>1581</v>
      </c>
      <c r="T731" t="s">
        <v>1581</v>
      </c>
      <c r="U731" t="s">
        <v>1581</v>
      </c>
      <c r="V731" t="str" cm="1">
        <f t="array" aca="1" ref="V731" ca="1">IFERROR(_xlfn.IFS(A729="  ..............",OFFSET(A729,2,0),A728=" X-------------X",OFFSET(A728,3,0),MATCH("  ..............",A731:A740,0)&gt;2,V730),"-")</f>
        <v xml:space="preserve">  CANA-B-RS000  </v>
      </c>
      <c r="W731">
        <f t="shared" ca="1" si="33"/>
        <v>1.0029999999999999</v>
      </c>
      <c r="X731" t="str">
        <f t="shared" ca="1" si="34"/>
        <v xml:space="preserve"> CANASTPCH013 </v>
      </c>
      <c r="Y731" s="1">
        <f t="shared" ca="1" si="35"/>
        <v>0.54600000000000004</v>
      </c>
    </row>
    <row r="732" spans="1:25" x14ac:dyDescent="0.25">
      <c r="A732" t="s">
        <v>1588</v>
      </c>
      <c r="B732" t="s">
        <v>1587</v>
      </c>
      <c r="C732">
        <v>25</v>
      </c>
      <c r="D732">
        <v>25</v>
      </c>
      <c r="E732">
        <v>25</v>
      </c>
      <c r="F732" s="1">
        <v>0.54600000000000004</v>
      </c>
      <c r="G732" t="s">
        <v>1587</v>
      </c>
      <c r="H732" t="s">
        <v>1587</v>
      </c>
      <c r="I732">
        <v>2051</v>
      </c>
      <c r="J732" t="s">
        <v>2205</v>
      </c>
      <c r="K732">
        <v>1</v>
      </c>
      <c r="L732">
        <v>-13.3</v>
      </c>
      <c r="M732">
        <v>-3.1</v>
      </c>
      <c r="N732">
        <v>13.7</v>
      </c>
      <c r="O732" t="s">
        <v>1594</v>
      </c>
      <c r="P732" t="s">
        <v>1584</v>
      </c>
      <c r="Q732" t="s">
        <v>1591</v>
      </c>
      <c r="R732">
        <v>0</v>
      </c>
      <c r="S732">
        <v>1.19</v>
      </c>
      <c r="T732" t="s">
        <v>1584</v>
      </c>
      <c r="U732" t="s">
        <v>1592</v>
      </c>
      <c r="V732" t="str" cm="1">
        <f t="array" aca="1" ref="V732" ca="1">IFERROR(_xlfn.IFS(A730="  ..............",OFFSET(A730,2,0),A729=" X-------------X",OFFSET(A729,3,0),MATCH("  ..............",A732:A741,0)&gt;2,V731),"-")</f>
        <v xml:space="preserve">  CANA-B-RS000  </v>
      </c>
      <c r="W732">
        <f t="shared" ca="1" si="33"/>
        <v>1.0029999999999999</v>
      </c>
      <c r="X732" t="str">
        <f t="shared" ca="1" si="34"/>
        <v xml:space="preserve"> CANAST-RS069 </v>
      </c>
      <c r="Y732" s="1">
        <f t="shared" ca="1" si="35"/>
        <v>5.8000000000000003E-2</v>
      </c>
    </row>
    <row r="733" spans="1:25" x14ac:dyDescent="0.25">
      <c r="A733" t="s">
        <v>1588</v>
      </c>
      <c r="B733" t="s">
        <v>1587</v>
      </c>
      <c r="C733">
        <v>10</v>
      </c>
      <c r="D733">
        <v>10</v>
      </c>
      <c r="E733">
        <v>10</v>
      </c>
      <c r="F733" s="1">
        <v>0.60299999999999998</v>
      </c>
      <c r="G733" t="s">
        <v>1587</v>
      </c>
      <c r="H733" t="s">
        <v>1587</v>
      </c>
      <c r="I733">
        <v>2063</v>
      </c>
      <c r="J733" t="s">
        <v>2202</v>
      </c>
      <c r="K733">
        <v>1</v>
      </c>
      <c r="L733">
        <v>-5.9</v>
      </c>
      <c r="M733">
        <v>-1.4</v>
      </c>
      <c r="N733">
        <v>6</v>
      </c>
      <c r="O733" t="s">
        <v>1594</v>
      </c>
      <c r="P733" t="s">
        <v>1584</v>
      </c>
      <c r="Q733" t="s">
        <v>1591</v>
      </c>
      <c r="R733">
        <v>0</v>
      </c>
      <c r="S733">
        <v>0.31</v>
      </c>
      <c r="T733" t="s">
        <v>1584</v>
      </c>
      <c r="U733" t="s">
        <v>1592</v>
      </c>
      <c r="V733" t="str" cm="1">
        <f t="array" aca="1" ref="V733" ca="1">IFERROR(_xlfn.IFS(A731="  ..............",OFFSET(A731,2,0),A730=" X-------------X",OFFSET(A730,3,0),MATCH("  ..............",A733:A742,0)&gt;2,V732),"-")</f>
        <v xml:space="preserve">  CANA-B-RS000  </v>
      </c>
      <c r="W733">
        <f t="shared" ca="1" si="33"/>
        <v>1.0029999999999999</v>
      </c>
      <c r="X733" t="str">
        <f t="shared" ca="1" si="34"/>
        <v xml:space="preserve"> CANAST-RS138 </v>
      </c>
      <c r="Y733" s="1">
        <f t="shared" ca="1" si="35"/>
        <v>3.1E-2</v>
      </c>
    </row>
    <row r="734" spans="1:25" x14ac:dyDescent="0.25">
      <c r="A734" t="s">
        <v>1588</v>
      </c>
      <c r="B734" t="s">
        <v>1587</v>
      </c>
      <c r="C734">
        <v>35</v>
      </c>
      <c r="D734">
        <v>35</v>
      </c>
      <c r="E734">
        <v>35</v>
      </c>
      <c r="F734" s="1">
        <v>0.56200000000000006</v>
      </c>
      <c r="G734" t="s">
        <v>1587</v>
      </c>
      <c r="H734" t="s">
        <v>1587</v>
      </c>
      <c r="I734">
        <v>2064</v>
      </c>
      <c r="J734" t="s">
        <v>1982</v>
      </c>
      <c r="K734">
        <v>1</v>
      </c>
      <c r="L734">
        <v>19.2</v>
      </c>
      <c r="M734">
        <v>4.5999999999999996</v>
      </c>
      <c r="N734">
        <v>19.7</v>
      </c>
      <c r="O734" t="s">
        <v>1594</v>
      </c>
      <c r="P734" t="s">
        <v>1584</v>
      </c>
      <c r="Q734" t="s">
        <v>1591</v>
      </c>
      <c r="R734">
        <v>0</v>
      </c>
      <c r="S734">
        <v>-0.11</v>
      </c>
      <c r="T734" t="s">
        <v>1584</v>
      </c>
      <c r="U734" t="s">
        <v>1592</v>
      </c>
      <c r="V734" t="str" cm="1">
        <f t="array" aca="1" ref="V734" ca="1">IFERROR(_xlfn.IFS(A732="  ..............",OFFSET(A732,2,0),A731=" X-------------X",OFFSET(A731,3,0),MATCH("  ..............",A734:A743,0)&gt;2,V733),"-")</f>
        <v>-</v>
      </c>
      <c r="W734" t="str">
        <f t="shared" ca="1" si="33"/>
        <v>-</v>
      </c>
      <c r="X734" t="str">
        <f t="shared" ca="1" si="34"/>
        <v>-</v>
      </c>
      <c r="Y734" s="1" t="str">
        <f t="shared" ca="1" si="35"/>
        <v>-</v>
      </c>
    </row>
    <row r="735" spans="1:25" x14ac:dyDescent="0.25">
      <c r="A735" t="s">
        <v>1572</v>
      </c>
      <c r="B735" t="s">
        <v>1574</v>
      </c>
      <c r="C735" t="s">
        <v>1574</v>
      </c>
      <c r="D735" t="s">
        <v>1574</v>
      </c>
      <c r="E735" t="s">
        <v>1574</v>
      </c>
      <c r="F735" t="s">
        <v>1575</v>
      </c>
      <c r="G735" t="s">
        <v>1574</v>
      </c>
      <c r="H735" t="s">
        <v>1574</v>
      </c>
      <c r="I735" t="s">
        <v>1576</v>
      </c>
      <c r="J735" t="s">
        <v>1573</v>
      </c>
      <c r="K735" t="s">
        <v>1577</v>
      </c>
      <c r="L735" t="s">
        <v>1574</v>
      </c>
      <c r="M735" t="s">
        <v>1574</v>
      </c>
      <c r="N735" t="s">
        <v>1574</v>
      </c>
      <c r="O735" t="s">
        <v>1578</v>
      </c>
      <c r="P735" t="s">
        <v>1576</v>
      </c>
      <c r="Q735" t="s">
        <v>1579</v>
      </c>
      <c r="R735" t="s">
        <v>1580</v>
      </c>
      <c r="S735" t="s">
        <v>1580</v>
      </c>
      <c r="T735" t="s">
        <v>1576</v>
      </c>
      <c r="U735" t="s">
        <v>1576</v>
      </c>
      <c r="V735" t="str" cm="1">
        <f t="array" aca="1" ref="V735" ca="1">IFERROR(_xlfn.IFS(A733="  ..............",OFFSET(A733,2,0),A732=" X-------------X",OFFSET(A732,3,0),MATCH("  ..............",A735:A744,0)&gt;2,V734),"-")</f>
        <v>-</v>
      </c>
      <c r="W735" t="str">
        <f t="shared" ca="1" si="33"/>
        <v>-</v>
      </c>
      <c r="X735" t="str">
        <f t="shared" ca="1" si="34"/>
        <v/>
      </c>
      <c r="Y735" s="1" t="str">
        <f t="shared" ca="1" si="35"/>
        <v/>
      </c>
    </row>
    <row r="736" spans="1:25" x14ac:dyDescent="0.25">
      <c r="A736" t="s">
        <v>2206</v>
      </c>
      <c r="B736">
        <v>1.014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1581</v>
      </c>
      <c r="J736" t="s">
        <v>1581</v>
      </c>
      <c r="K736" t="s">
        <v>1581</v>
      </c>
      <c r="L736" t="s">
        <v>1581</v>
      </c>
      <c r="M736" t="s">
        <v>1581</v>
      </c>
      <c r="N736" t="s">
        <v>1581</v>
      </c>
      <c r="O736" t="s">
        <v>1581</v>
      </c>
      <c r="P736" t="s">
        <v>1581</v>
      </c>
      <c r="Q736" t="s">
        <v>1581</v>
      </c>
      <c r="R736" t="s">
        <v>1581</v>
      </c>
      <c r="S736" t="s">
        <v>1581</v>
      </c>
      <c r="T736" t="s">
        <v>1581</v>
      </c>
      <c r="U736" t="s">
        <v>1581</v>
      </c>
      <c r="V736" t="str" cm="1">
        <f t="array" aca="1" ref="V736" ca="1">IFERROR(_xlfn.IFS(A734="  ..............",OFFSET(A734,2,0),A733=" X-------------X",OFFSET(A733,3,0),MATCH("  ..............",A736:A745,0)&gt;2,V735),"-")</f>
        <v>-</v>
      </c>
      <c r="W736" t="str">
        <f t="shared" ca="1" si="33"/>
        <v>-</v>
      </c>
      <c r="X736" t="str">
        <f t="shared" ca="1" si="34"/>
        <v xml:space="preserve">              </v>
      </c>
      <c r="Y736" s="1">
        <f t="shared" ca="1" si="35"/>
        <v>0</v>
      </c>
    </row>
    <row r="737" spans="1:25" x14ac:dyDescent="0.25">
      <c r="A737" t="s">
        <v>2207</v>
      </c>
      <c r="B737">
        <v>-48.8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1584</v>
      </c>
      <c r="J737" t="s">
        <v>1585</v>
      </c>
      <c r="K737" t="s">
        <v>1586</v>
      </c>
      <c r="L737" t="s">
        <v>1587</v>
      </c>
      <c r="M737" t="s">
        <v>1587</v>
      </c>
      <c r="N737" t="s">
        <v>1586</v>
      </c>
      <c r="O737" t="s">
        <v>1581</v>
      </c>
      <c r="P737" t="s">
        <v>1581</v>
      </c>
      <c r="Q737" t="s">
        <v>1581</v>
      </c>
      <c r="R737" t="s">
        <v>1581</v>
      </c>
      <c r="S737" t="s">
        <v>1581</v>
      </c>
      <c r="T737" t="s">
        <v>1581</v>
      </c>
      <c r="U737" t="s">
        <v>1581</v>
      </c>
      <c r="V737" t="str" cm="1">
        <f t="array" aca="1" ref="V737" ca="1">IFERROR(_xlfn.IFS(A735="  ..............",OFFSET(A735,2,0),A734=" X-------------X",OFFSET(A734,3,0),MATCH("  ..............",A737:A746,0)&gt;2,V736),"-")</f>
        <v xml:space="preserve">  CRUZAL-RS138  </v>
      </c>
      <c r="W737">
        <f t="shared" ca="1" si="33"/>
        <v>1.014</v>
      </c>
      <c r="X737" t="str">
        <f t="shared" ca="1" si="34"/>
        <v xml:space="preserve"> JACUI--RS138 </v>
      </c>
      <c r="Y737" s="1">
        <f t="shared" ca="1" si="35"/>
        <v>0.43</v>
      </c>
    </row>
    <row r="738" spans="1:25" x14ac:dyDescent="0.25">
      <c r="A738" t="s">
        <v>1588</v>
      </c>
      <c r="B738" t="s">
        <v>1587</v>
      </c>
      <c r="C738">
        <v>96</v>
      </c>
      <c r="D738">
        <v>96</v>
      </c>
      <c r="E738">
        <v>96</v>
      </c>
      <c r="F738" s="1">
        <v>0.187</v>
      </c>
      <c r="G738" t="s">
        <v>1587</v>
      </c>
      <c r="H738" t="s">
        <v>1587</v>
      </c>
      <c r="I738">
        <v>1216</v>
      </c>
      <c r="J738" t="s">
        <v>1623</v>
      </c>
      <c r="K738">
        <v>1</v>
      </c>
      <c r="L738">
        <v>-18.100000000000001</v>
      </c>
      <c r="M738">
        <v>-2.1</v>
      </c>
      <c r="N738">
        <v>18</v>
      </c>
      <c r="O738" t="s">
        <v>1594</v>
      </c>
      <c r="P738" t="s">
        <v>1584</v>
      </c>
      <c r="Q738" t="s">
        <v>1591</v>
      </c>
      <c r="R738">
        <v>0.15</v>
      </c>
      <c r="S738">
        <v>-3.66</v>
      </c>
      <c r="T738" t="s">
        <v>1584</v>
      </c>
      <c r="U738" t="s">
        <v>1592</v>
      </c>
      <c r="V738" t="str" cm="1">
        <f t="array" aca="1" ref="V738" ca="1">IFERROR(_xlfn.IFS(A736="  ..............",OFFSET(A736,2,0),A735=" X-------------X",OFFSET(A735,3,0),MATCH("  ..............",A738:A747,0)&gt;2,V737),"-")</f>
        <v xml:space="preserve">  CRUZAL-RS138  </v>
      </c>
      <c r="W738">
        <f t="shared" ca="1" si="33"/>
        <v>1.014</v>
      </c>
      <c r="X738" t="str">
        <f t="shared" ca="1" si="34"/>
        <v xml:space="preserve"> CALTA1-RS069 </v>
      </c>
      <c r="Y738" s="1" t="str">
        <f t="shared" ca="1" si="35"/>
        <v xml:space="preserve">             </v>
      </c>
    </row>
    <row r="739" spans="1:25" x14ac:dyDescent="0.25">
      <c r="A739" t="s">
        <v>1588</v>
      </c>
      <c r="B739" t="s">
        <v>1587</v>
      </c>
      <c r="C739">
        <v>66</v>
      </c>
      <c r="D739">
        <v>66</v>
      </c>
      <c r="E739">
        <v>66</v>
      </c>
      <c r="F739" s="1">
        <v>0.10100000000000001</v>
      </c>
      <c r="G739" t="s">
        <v>1587</v>
      </c>
      <c r="H739" t="s">
        <v>1587</v>
      </c>
      <c r="I739">
        <v>1301</v>
      </c>
      <c r="J739" t="s">
        <v>2016</v>
      </c>
      <c r="K739">
        <v>1</v>
      </c>
      <c r="L739">
        <v>6.7</v>
      </c>
      <c r="M739">
        <v>1</v>
      </c>
      <c r="N739">
        <v>6.7</v>
      </c>
      <c r="O739" t="s">
        <v>1594</v>
      </c>
      <c r="P739" t="s">
        <v>1584</v>
      </c>
      <c r="Q739" t="s">
        <v>1591</v>
      </c>
      <c r="R739">
        <v>0</v>
      </c>
      <c r="S739">
        <v>0.11</v>
      </c>
      <c r="T739" t="s">
        <v>1584</v>
      </c>
      <c r="U739" t="s">
        <v>1592</v>
      </c>
      <c r="V739" t="str" cm="1">
        <f t="array" aca="1" ref="V739" ca="1">IFERROR(_xlfn.IFS(A737="  ..............",OFFSET(A737,2,0),A736=" X-------------X",OFFSET(A736,3,0),MATCH("  ..............",A739:A748,0)&gt;2,V738),"-")</f>
        <v xml:space="preserve">  CRUZAL-RS138  </v>
      </c>
      <c r="W739">
        <f t="shared" ca="1" si="33"/>
        <v>1.014</v>
      </c>
      <c r="X739" t="str">
        <f t="shared" ca="1" si="34"/>
        <v xml:space="preserve"> CAL1-A-RS023 </v>
      </c>
      <c r="Y739" s="1">
        <f t="shared" ca="1" si="35"/>
        <v>0.45200000000000001</v>
      </c>
    </row>
    <row r="740" spans="1:25" x14ac:dyDescent="0.25">
      <c r="A740" t="s">
        <v>1588</v>
      </c>
      <c r="B740" t="s">
        <v>1587</v>
      </c>
      <c r="C740">
        <v>25</v>
      </c>
      <c r="D740">
        <v>25</v>
      </c>
      <c r="E740">
        <v>25</v>
      </c>
      <c r="F740" s="1">
        <v>0.45200000000000001</v>
      </c>
      <c r="G740" t="s">
        <v>1587</v>
      </c>
      <c r="H740" t="s">
        <v>1587</v>
      </c>
      <c r="I740">
        <v>9675</v>
      </c>
      <c r="J740" t="s">
        <v>2208</v>
      </c>
      <c r="K740">
        <v>1</v>
      </c>
      <c r="L740">
        <v>11.4</v>
      </c>
      <c r="M740">
        <v>1.2</v>
      </c>
      <c r="N740">
        <v>11.3</v>
      </c>
      <c r="O740" t="s">
        <v>2209</v>
      </c>
      <c r="P740" t="s">
        <v>1584</v>
      </c>
      <c r="Q740" t="s">
        <v>1591</v>
      </c>
      <c r="R740">
        <v>0</v>
      </c>
      <c r="S740">
        <v>0.52</v>
      </c>
      <c r="T740" t="s">
        <v>1584</v>
      </c>
      <c r="U740" t="s">
        <v>1592</v>
      </c>
      <c r="V740" t="str" cm="1">
        <f t="array" aca="1" ref="V740" ca="1">IFERROR(_xlfn.IFS(A738="  ..............",OFFSET(A738,2,0),A737=" X-------------X",OFFSET(A737,3,0),MATCH("  ..............",A740:A749,0)&gt;2,V739),"-")</f>
        <v>-</v>
      </c>
      <c r="W740" t="str">
        <f t="shared" ca="1" si="33"/>
        <v>-</v>
      </c>
      <c r="X740" t="str">
        <f t="shared" ca="1" si="34"/>
        <v>-</v>
      </c>
      <c r="Y740" s="1" t="str">
        <f t="shared" ca="1" si="35"/>
        <v>-</v>
      </c>
    </row>
    <row r="741" spans="1:25" x14ac:dyDescent="0.25">
      <c r="A741" t="s">
        <v>1572</v>
      </c>
      <c r="B741" t="s">
        <v>1574</v>
      </c>
      <c r="C741" t="s">
        <v>1574</v>
      </c>
      <c r="D741" t="s">
        <v>1574</v>
      </c>
      <c r="E741" t="s">
        <v>1574</v>
      </c>
      <c r="F741" t="s">
        <v>1575</v>
      </c>
      <c r="G741" t="s">
        <v>1574</v>
      </c>
      <c r="H741" t="s">
        <v>1574</v>
      </c>
      <c r="I741" t="s">
        <v>1576</v>
      </c>
      <c r="J741" t="s">
        <v>1573</v>
      </c>
      <c r="K741" t="s">
        <v>1577</v>
      </c>
      <c r="L741" t="s">
        <v>1574</v>
      </c>
      <c r="M741" t="s">
        <v>1574</v>
      </c>
      <c r="N741" t="s">
        <v>1574</v>
      </c>
      <c r="O741" t="s">
        <v>1578</v>
      </c>
      <c r="P741" t="s">
        <v>1576</v>
      </c>
      <c r="Q741" t="s">
        <v>1579</v>
      </c>
      <c r="R741" t="s">
        <v>1580</v>
      </c>
      <c r="S741" t="s">
        <v>1580</v>
      </c>
      <c r="T741" t="s">
        <v>1576</v>
      </c>
      <c r="U741" t="s">
        <v>1576</v>
      </c>
      <c r="V741" t="str" cm="1">
        <f t="array" aca="1" ref="V741" ca="1">IFERROR(_xlfn.IFS(A739="  ..............",OFFSET(A739,2,0),A738=" X-------------X",OFFSET(A738,3,0),MATCH("  ..............",A741:A750,0)&gt;2,V740),"-")</f>
        <v>-</v>
      </c>
      <c r="W741" t="str">
        <f t="shared" ca="1" si="33"/>
        <v>-</v>
      </c>
      <c r="X741" t="str">
        <f t="shared" ca="1" si="34"/>
        <v/>
      </c>
      <c r="Y741" s="1" t="str">
        <f t="shared" ca="1" si="35"/>
        <v/>
      </c>
    </row>
    <row r="742" spans="1:25" x14ac:dyDescent="0.25">
      <c r="A742" t="s">
        <v>2210</v>
      </c>
      <c r="B742">
        <v>1.016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 t="s">
        <v>1581</v>
      </c>
      <c r="J742" t="s">
        <v>1581</v>
      </c>
      <c r="K742" t="s">
        <v>1581</v>
      </c>
      <c r="L742" t="s">
        <v>1581</v>
      </c>
      <c r="M742" t="s">
        <v>1581</v>
      </c>
      <c r="N742" t="s">
        <v>1581</v>
      </c>
      <c r="O742" t="s">
        <v>1581</v>
      </c>
      <c r="P742" t="s">
        <v>1581</v>
      </c>
      <c r="Q742" t="s">
        <v>1581</v>
      </c>
      <c r="R742" t="s">
        <v>1581</v>
      </c>
      <c r="S742" t="s">
        <v>1581</v>
      </c>
      <c r="T742" t="s">
        <v>1581</v>
      </c>
      <c r="U742" t="s">
        <v>1581</v>
      </c>
      <c r="V742" t="str" cm="1">
        <f t="array" aca="1" ref="V742" ca="1">IFERROR(_xlfn.IFS(A740="  ..............",OFFSET(A740,2,0),A739=" X-------------X",OFFSET(A739,3,0),MATCH("  ..............",A742:A751,0)&gt;2,V741),"-")</f>
        <v>-</v>
      </c>
      <c r="W742" t="str">
        <f t="shared" ca="1" si="33"/>
        <v>-</v>
      </c>
      <c r="X742" t="str">
        <f t="shared" ca="1" si="34"/>
        <v xml:space="preserve">              </v>
      </c>
      <c r="Y742" s="1">
        <f t="shared" ca="1" si="35"/>
        <v>0</v>
      </c>
    </row>
    <row r="743" spans="1:25" x14ac:dyDescent="0.25">
      <c r="A743" t="s">
        <v>2211</v>
      </c>
      <c r="B743">
        <v>-50.9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 t="s">
        <v>1584</v>
      </c>
      <c r="J743" t="s">
        <v>1585</v>
      </c>
      <c r="K743" t="s">
        <v>1586</v>
      </c>
      <c r="L743" t="s">
        <v>1587</v>
      </c>
      <c r="M743" t="s">
        <v>1587</v>
      </c>
      <c r="N743" t="s">
        <v>1586</v>
      </c>
      <c r="O743" t="s">
        <v>1581</v>
      </c>
      <c r="P743" t="s">
        <v>1581</v>
      </c>
      <c r="Q743" t="s">
        <v>1581</v>
      </c>
      <c r="R743" t="s">
        <v>1581</v>
      </c>
      <c r="S743" t="s">
        <v>1581</v>
      </c>
      <c r="T743" t="s">
        <v>1581</v>
      </c>
      <c r="U743" t="s">
        <v>1581</v>
      </c>
      <c r="V743" t="str" cm="1">
        <f t="array" aca="1" ref="V743" ca="1">IFERROR(_xlfn.IFS(A741="  ..............",OFFSET(A741,2,0),A740=" X-------------X",OFFSET(A740,3,0),MATCH("  ..............",A743:A752,0)&gt;2,V742),"-")</f>
        <v xml:space="preserve">  CANA-A-RS000  </v>
      </c>
      <c r="W743">
        <f t="shared" ca="1" si="33"/>
        <v>1.016</v>
      </c>
      <c r="X743" t="str">
        <f t="shared" ca="1" si="34"/>
        <v xml:space="preserve"> CANASTPCH013 </v>
      </c>
      <c r="Y743" s="1">
        <f t="shared" ca="1" si="35"/>
        <v>0.54600000000000004</v>
      </c>
    </row>
    <row r="744" spans="1:25" x14ac:dyDescent="0.25">
      <c r="A744" t="s">
        <v>1588</v>
      </c>
      <c r="B744" t="s">
        <v>1587</v>
      </c>
      <c r="C744">
        <v>30</v>
      </c>
      <c r="D744">
        <v>30</v>
      </c>
      <c r="E744">
        <v>30</v>
      </c>
      <c r="F744" s="1">
        <v>0.80500000000000005</v>
      </c>
      <c r="G744" t="s">
        <v>1587</v>
      </c>
      <c r="H744" t="s">
        <v>1587</v>
      </c>
      <c r="I744">
        <v>2051</v>
      </c>
      <c r="J744" t="s">
        <v>2205</v>
      </c>
      <c r="K744">
        <v>1</v>
      </c>
      <c r="L744">
        <v>-23.7</v>
      </c>
      <c r="M744">
        <v>-6.4</v>
      </c>
      <c r="N744">
        <v>24.1</v>
      </c>
      <c r="O744" t="s">
        <v>1594</v>
      </c>
      <c r="P744" t="s">
        <v>1584</v>
      </c>
      <c r="Q744" t="s">
        <v>1591</v>
      </c>
      <c r="R744">
        <v>0</v>
      </c>
      <c r="S744">
        <v>0.86</v>
      </c>
      <c r="T744" t="s">
        <v>1584</v>
      </c>
      <c r="U744" t="s">
        <v>1592</v>
      </c>
      <c r="V744" t="str" cm="1">
        <f t="array" aca="1" ref="V744" ca="1">IFERROR(_xlfn.IFS(A742="  ..............",OFFSET(A742,2,0),A741=" X-------------X",OFFSET(A741,3,0),MATCH("  ..............",A744:A753,0)&gt;2,V743),"-")</f>
        <v xml:space="preserve">  CANA-A-RS000  </v>
      </c>
      <c r="W744">
        <f t="shared" ca="1" si="33"/>
        <v>1.016</v>
      </c>
      <c r="X744" t="str">
        <f t="shared" ca="1" si="34"/>
        <v xml:space="preserve"> CANAST-RS069 </v>
      </c>
      <c r="Y744" s="1">
        <f t="shared" ca="1" si="35"/>
        <v>5.8000000000000003E-2</v>
      </c>
    </row>
    <row r="745" spans="1:25" x14ac:dyDescent="0.25">
      <c r="A745" t="s">
        <v>1588</v>
      </c>
      <c r="B745" t="s">
        <v>1587</v>
      </c>
      <c r="C745">
        <v>20</v>
      </c>
      <c r="D745">
        <v>20</v>
      </c>
      <c r="E745">
        <v>20</v>
      </c>
      <c r="F745" s="1">
        <v>0.26900000000000002</v>
      </c>
      <c r="G745" t="s">
        <v>1587</v>
      </c>
      <c r="H745" t="s">
        <v>1587</v>
      </c>
      <c r="I745">
        <v>2063</v>
      </c>
      <c r="J745" t="s">
        <v>2202</v>
      </c>
      <c r="K745">
        <v>1</v>
      </c>
      <c r="L745">
        <v>5.4</v>
      </c>
      <c r="M745">
        <v>1</v>
      </c>
      <c r="N745">
        <v>5.4</v>
      </c>
      <c r="O745" t="s">
        <v>1594</v>
      </c>
      <c r="P745" t="s">
        <v>1584</v>
      </c>
      <c r="Q745" t="s">
        <v>1591</v>
      </c>
      <c r="R745">
        <v>0</v>
      </c>
      <c r="S745">
        <v>0</v>
      </c>
      <c r="T745" t="s">
        <v>1584</v>
      </c>
      <c r="U745" t="s">
        <v>1592</v>
      </c>
      <c r="V745" t="str" cm="1">
        <f t="array" aca="1" ref="V745" ca="1">IFERROR(_xlfn.IFS(A743="  ..............",OFFSET(A743,2,0),A742=" X-------------X",OFFSET(A742,3,0),MATCH("  ..............",A745:A754,0)&gt;2,V744),"-")</f>
        <v xml:space="preserve">  CANA-A-RS000  </v>
      </c>
      <c r="W745">
        <f t="shared" ca="1" si="33"/>
        <v>1.016</v>
      </c>
      <c r="X745" t="str">
        <f t="shared" ca="1" si="34"/>
        <v xml:space="preserve"> CANAST-RS138 </v>
      </c>
      <c r="Y745" s="1">
        <f t="shared" ca="1" si="35"/>
        <v>3.1E-2</v>
      </c>
    </row>
    <row r="746" spans="1:25" x14ac:dyDescent="0.25">
      <c r="A746" t="s">
        <v>1588</v>
      </c>
      <c r="B746" t="s">
        <v>1587</v>
      </c>
      <c r="C746">
        <v>50</v>
      </c>
      <c r="D746">
        <v>50</v>
      </c>
      <c r="E746">
        <v>50</v>
      </c>
      <c r="F746" s="1">
        <v>0.376</v>
      </c>
      <c r="G746" t="s">
        <v>1587</v>
      </c>
      <c r="H746" t="s">
        <v>1587</v>
      </c>
      <c r="I746">
        <v>2064</v>
      </c>
      <c r="J746" t="s">
        <v>1982</v>
      </c>
      <c r="K746">
        <v>1</v>
      </c>
      <c r="L746">
        <v>18.3</v>
      </c>
      <c r="M746">
        <v>5.5</v>
      </c>
      <c r="N746">
        <v>18.8</v>
      </c>
      <c r="O746" t="s">
        <v>1594</v>
      </c>
      <c r="P746" t="s">
        <v>1584</v>
      </c>
      <c r="Q746" t="s">
        <v>1591</v>
      </c>
      <c r="R746">
        <v>0</v>
      </c>
      <c r="S746">
        <v>0.86</v>
      </c>
      <c r="T746" t="s">
        <v>1584</v>
      </c>
      <c r="U746" t="s">
        <v>1592</v>
      </c>
      <c r="V746" t="str" cm="1">
        <f t="array" aca="1" ref="V746" ca="1">IFERROR(_xlfn.IFS(A744="  ..............",OFFSET(A744,2,0),A743=" X-------------X",OFFSET(A743,3,0),MATCH("  ..............",A746:A755,0)&gt;2,V745),"-")</f>
        <v>-</v>
      </c>
      <c r="W746" t="str">
        <f t="shared" ca="1" si="33"/>
        <v>-</v>
      </c>
      <c r="X746" t="str">
        <f t="shared" ca="1" si="34"/>
        <v>-</v>
      </c>
      <c r="Y746" s="1" t="str">
        <f t="shared" ca="1" si="35"/>
        <v>-</v>
      </c>
    </row>
    <row r="747" spans="1:25" x14ac:dyDescent="0.25">
      <c r="A747" t="s">
        <v>1572</v>
      </c>
      <c r="B747" t="s">
        <v>1574</v>
      </c>
      <c r="C747" t="s">
        <v>1574</v>
      </c>
      <c r="D747" t="s">
        <v>1574</v>
      </c>
      <c r="E747" t="s">
        <v>1574</v>
      </c>
      <c r="F747" t="s">
        <v>1575</v>
      </c>
      <c r="G747" t="s">
        <v>1574</v>
      </c>
      <c r="H747" t="s">
        <v>1574</v>
      </c>
      <c r="I747" t="s">
        <v>1576</v>
      </c>
      <c r="J747" t="s">
        <v>1573</v>
      </c>
      <c r="K747" t="s">
        <v>1577</v>
      </c>
      <c r="L747" t="s">
        <v>1574</v>
      </c>
      <c r="M747" t="s">
        <v>1574</v>
      </c>
      <c r="N747" t="s">
        <v>1574</v>
      </c>
      <c r="O747" t="s">
        <v>1578</v>
      </c>
      <c r="P747" t="s">
        <v>1576</v>
      </c>
      <c r="Q747" t="s">
        <v>1579</v>
      </c>
      <c r="R747" t="s">
        <v>1580</v>
      </c>
      <c r="S747" t="s">
        <v>1580</v>
      </c>
      <c r="T747" t="s">
        <v>1576</v>
      </c>
      <c r="U747" t="s">
        <v>1576</v>
      </c>
      <c r="V747" t="str" cm="1">
        <f t="array" aca="1" ref="V747" ca="1">IFERROR(_xlfn.IFS(A745="  ..............",OFFSET(A745,2,0),A744=" X-------------X",OFFSET(A744,3,0),MATCH("  ..............",A747:A756,0)&gt;2,V746),"-")</f>
        <v>-</v>
      </c>
      <c r="W747" t="str">
        <f t="shared" ca="1" si="33"/>
        <v>-</v>
      </c>
      <c r="X747" t="str">
        <f t="shared" ca="1" si="34"/>
        <v/>
      </c>
      <c r="Y747" s="1" t="str">
        <f t="shared" ca="1" si="35"/>
        <v/>
      </c>
    </row>
    <row r="748" spans="1:25" x14ac:dyDescent="0.25">
      <c r="A748" t="s">
        <v>2212</v>
      </c>
      <c r="B748">
        <v>1.016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1581</v>
      </c>
      <c r="J748" t="s">
        <v>1581</v>
      </c>
      <c r="K748" t="s">
        <v>1581</v>
      </c>
      <c r="L748" t="s">
        <v>1581</v>
      </c>
      <c r="M748" t="s">
        <v>1581</v>
      </c>
      <c r="N748" t="s">
        <v>1581</v>
      </c>
      <c r="O748" t="s">
        <v>1581</v>
      </c>
      <c r="P748" t="s">
        <v>1581</v>
      </c>
      <c r="Q748" t="s">
        <v>1581</v>
      </c>
      <c r="R748" t="s">
        <v>1581</v>
      </c>
      <c r="S748" t="s">
        <v>1581</v>
      </c>
      <c r="T748" t="s">
        <v>1581</v>
      </c>
      <c r="U748" t="s">
        <v>1581</v>
      </c>
      <c r="V748" t="str" cm="1">
        <f t="array" aca="1" ref="V748" ca="1">IFERROR(_xlfn.IFS(A746="  ..............",OFFSET(A746,2,0),A745=" X-------------X",OFFSET(A745,3,0),MATCH("  ..............",A748:A757,0)&gt;2,V747),"-")</f>
        <v>-</v>
      </c>
      <c r="W748" t="str">
        <f t="shared" ca="1" si="33"/>
        <v>-</v>
      </c>
      <c r="X748" t="str">
        <f t="shared" ca="1" si="34"/>
        <v xml:space="preserve">              </v>
      </c>
      <c r="Y748" s="1">
        <f t="shared" ca="1" si="35"/>
        <v>0</v>
      </c>
    </row>
    <row r="749" spans="1:25" x14ac:dyDescent="0.25">
      <c r="A749" t="s">
        <v>2213</v>
      </c>
      <c r="B749">
        <v>-50.9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1584</v>
      </c>
      <c r="J749" t="s">
        <v>1585</v>
      </c>
      <c r="K749" t="s">
        <v>1586</v>
      </c>
      <c r="L749" t="s">
        <v>1587</v>
      </c>
      <c r="M749" t="s">
        <v>1587</v>
      </c>
      <c r="N749" t="s">
        <v>1586</v>
      </c>
      <c r="O749" t="s">
        <v>1581</v>
      </c>
      <c r="P749" t="s">
        <v>1581</v>
      </c>
      <c r="Q749" t="s">
        <v>1581</v>
      </c>
      <c r="R749" t="s">
        <v>1581</v>
      </c>
      <c r="S749" t="s">
        <v>1581</v>
      </c>
      <c r="T749" t="s">
        <v>1581</v>
      </c>
      <c r="U749" t="s">
        <v>1581</v>
      </c>
      <c r="V749" t="str" cm="1">
        <f t="array" aca="1" ref="V749" ca="1">IFERROR(_xlfn.IFS(A747="  ..............",OFFSET(A747,2,0),A746=" X-------------X",OFFSET(A746,3,0),MATCH("  ..............",A749:A758,0)&gt;2,V748),"-")</f>
        <v xml:space="preserve">  CANAST-RS069  </v>
      </c>
      <c r="W749">
        <f t="shared" ca="1" si="33"/>
        <v>1.016</v>
      </c>
      <c r="X749" t="str">
        <f t="shared" ca="1" si="34"/>
        <v xml:space="preserve"> BUGRES-RS069 </v>
      </c>
      <c r="Y749" s="1">
        <f t="shared" ca="1" si="35"/>
        <v>5.8000000000000003E-2</v>
      </c>
    </row>
    <row r="750" spans="1:25" x14ac:dyDescent="0.25">
      <c r="A750" t="s">
        <v>1588</v>
      </c>
      <c r="B750" t="s">
        <v>1587</v>
      </c>
      <c r="C750">
        <v>14</v>
      </c>
      <c r="D750">
        <v>14</v>
      </c>
      <c r="E750">
        <v>14</v>
      </c>
      <c r="F750" s="1">
        <v>6.5000000000000002E-2</v>
      </c>
      <c r="G750" t="s">
        <v>1587</v>
      </c>
      <c r="H750" t="s">
        <v>1587</v>
      </c>
      <c r="I750">
        <v>2058</v>
      </c>
      <c r="J750" t="s">
        <v>2185</v>
      </c>
      <c r="K750">
        <v>1</v>
      </c>
      <c r="L750">
        <v>-0.5</v>
      </c>
      <c r="M750">
        <v>-0.8</v>
      </c>
      <c r="N750">
        <v>0.9</v>
      </c>
      <c r="O750" t="s">
        <v>1594</v>
      </c>
      <c r="P750" t="s">
        <v>1584</v>
      </c>
      <c r="Q750" t="s">
        <v>1591</v>
      </c>
      <c r="R750">
        <v>0</v>
      </c>
      <c r="S750">
        <v>-0.12</v>
      </c>
      <c r="T750" t="s">
        <v>1584</v>
      </c>
      <c r="U750" t="s">
        <v>1592</v>
      </c>
      <c r="V750" t="str" cm="1">
        <f t="array" aca="1" ref="V750" ca="1">IFERROR(_xlfn.IFS(A748="  ..............",OFFSET(A748,2,0),A747=" X-------------X",OFFSET(A747,3,0),MATCH("  ..............",A750:A759,0)&gt;2,V749),"-")</f>
        <v xml:space="preserve">  CANAST-RS069  </v>
      </c>
      <c r="W750">
        <f t="shared" ca="1" si="33"/>
        <v>1.016</v>
      </c>
      <c r="X750" t="str">
        <f t="shared" ca="1" si="34"/>
        <v xml:space="preserve"> CANA-B-RS000 </v>
      </c>
      <c r="Y750" s="1">
        <f t="shared" ca="1" si="35"/>
        <v>0.54600000000000004</v>
      </c>
    </row>
    <row r="751" spans="1:25" x14ac:dyDescent="0.25">
      <c r="A751" t="s">
        <v>1588</v>
      </c>
      <c r="B751" t="s">
        <v>1587</v>
      </c>
      <c r="C751">
        <v>10</v>
      </c>
      <c r="D751">
        <v>10</v>
      </c>
      <c r="E751">
        <v>10</v>
      </c>
      <c r="F751" s="1">
        <v>0.60299999999999998</v>
      </c>
      <c r="G751" t="s">
        <v>1587</v>
      </c>
      <c r="H751" t="s">
        <v>1587</v>
      </c>
      <c r="I751">
        <v>2060</v>
      </c>
      <c r="J751" t="s">
        <v>2188</v>
      </c>
      <c r="K751">
        <v>1</v>
      </c>
      <c r="L751">
        <v>5.9</v>
      </c>
      <c r="M751">
        <v>1.8</v>
      </c>
      <c r="N751">
        <v>6</v>
      </c>
      <c r="O751" t="s">
        <v>1608</v>
      </c>
      <c r="P751" t="s">
        <v>1584</v>
      </c>
      <c r="Q751" t="s">
        <v>1591</v>
      </c>
      <c r="R751">
        <v>0</v>
      </c>
      <c r="S751">
        <v>0.31</v>
      </c>
      <c r="T751" t="s">
        <v>1584</v>
      </c>
      <c r="U751" t="s">
        <v>1592</v>
      </c>
      <c r="V751" t="str" cm="1">
        <f t="array" aca="1" ref="V751" ca="1">IFERROR(_xlfn.IFS(A749="  ..............",OFFSET(A749,2,0),A748=" X-------------X",OFFSET(A748,3,0),MATCH("  ..............",A751:A760,0)&gt;2,V750),"-")</f>
        <v xml:space="preserve">  CANAST-RS069  </v>
      </c>
      <c r="W751">
        <f t="shared" ca="1" si="33"/>
        <v>1.016</v>
      </c>
      <c r="X751" t="str">
        <f t="shared" ca="1" si="34"/>
        <v xml:space="preserve"> CANA-A-RS000 </v>
      </c>
      <c r="Y751" s="1">
        <f t="shared" ca="1" si="35"/>
        <v>0.80500000000000005</v>
      </c>
    </row>
    <row r="752" spans="1:25" x14ac:dyDescent="0.25">
      <c r="A752" t="s">
        <v>1588</v>
      </c>
      <c r="B752" t="s">
        <v>1587</v>
      </c>
      <c r="C752">
        <v>20</v>
      </c>
      <c r="D752">
        <v>20</v>
      </c>
      <c r="E752">
        <v>20</v>
      </c>
      <c r="F752" s="1">
        <v>0.26900000000000002</v>
      </c>
      <c r="G752" t="s">
        <v>1587</v>
      </c>
      <c r="H752" t="s">
        <v>1587</v>
      </c>
      <c r="I752">
        <v>2062</v>
      </c>
      <c r="J752" t="s">
        <v>2189</v>
      </c>
      <c r="K752">
        <v>1</v>
      </c>
      <c r="L752">
        <v>-5.4</v>
      </c>
      <c r="M752">
        <v>-1</v>
      </c>
      <c r="N752">
        <v>5.4</v>
      </c>
      <c r="O752" t="s">
        <v>1608</v>
      </c>
      <c r="P752" t="s">
        <v>1584</v>
      </c>
      <c r="Q752" t="s">
        <v>1591</v>
      </c>
      <c r="R752">
        <v>0</v>
      </c>
      <c r="S752">
        <v>0</v>
      </c>
      <c r="T752" t="s">
        <v>1584</v>
      </c>
      <c r="U752" t="s">
        <v>1592</v>
      </c>
      <c r="V752" t="str" cm="1">
        <f t="array" aca="1" ref="V752" ca="1">IFERROR(_xlfn.IFS(A750="  ..............",OFFSET(A750,2,0),A749=" X-------------X",OFFSET(A749,3,0),MATCH("  ..............",A752:A761,0)&gt;2,V751),"-")</f>
        <v>-</v>
      </c>
      <c r="W752" t="str">
        <f t="shared" ca="1" si="33"/>
        <v>-</v>
      </c>
      <c r="X752" t="str">
        <f t="shared" ca="1" si="34"/>
        <v>-</v>
      </c>
      <c r="Y752" s="1" t="str">
        <f t="shared" ca="1" si="35"/>
        <v>-</v>
      </c>
    </row>
    <row r="753" spans="1:25" x14ac:dyDescent="0.25">
      <c r="A753" t="s">
        <v>1572</v>
      </c>
      <c r="B753" t="s">
        <v>1574</v>
      </c>
      <c r="C753" t="s">
        <v>1574</v>
      </c>
      <c r="D753" t="s">
        <v>1574</v>
      </c>
      <c r="E753" t="s">
        <v>1574</v>
      </c>
      <c r="F753" t="s">
        <v>1575</v>
      </c>
      <c r="G753" t="s">
        <v>1574</v>
      </c>
      <c r="H753" t="s">
        <v>1574</v>
      </c>
      <c r="I753" t="s">
        <v>1576</v>
      </c>
      <c r="J753" t="s">
        <v>1573</v>
      </c>
      <c r="K753" t="s">
        <v>1577</v>
      </c>
      <c r="L753" t="s">
        <v>1574</v>
      </c>
      <c r="M753" t="s">
        <v>1574</v>
      </c>
      <c r="N753" t="s">
        <v>1574</v>
      </c>
      <c r="O753" t="s">
        <v>1578</v>
      </c>
      <c r="P753" t="s">
        <v>1576</v>
      </c>
      <c r="Q753" t="s">
        <v>1579</v>
      </c>
      <c r="R753" t="s">
        <v>1580</v>
      </c>
      <c r="S753" t="s">
        <v>1580</v>
      </c>
      <c r="T753" t="s">
        <v>1576</v>
      </c>
      <c r="U753" t="s">
        <v>1576</v>
      </c>
      <c r="V753" t="str" cm="1">
        <f t="array" aca="1" ref="V753" ca="1">IFERROR(_xlfn.IFS(A751="  ..............",OFFSET(A751,2,0),A750=" X-------------X",OFFSET(A750,3,0),MATCH("  ..............",A753:A762,0)&gt;2,V752),"-")</f>
        <v>-</v>
      </c>
      <c r="W753" t="str">
        <f t="shared" ca="1" si="33"/>
        <v>-</v>
      </c>
      <c r="X753" t="str">
        <f t="shared" ca="1" si="34"/>
        <v/>
      </c>
      <c r="Y753" s="1" t="str">
        <f t="shared" ca="1" si="35"/>
        <v/>
      </c>
    </row>
    <row r="754" spans="1:25" x14ac:dyDescent="0.25">
      <c r="A754" t="s">
        <v>2214</v>
      </c>
      <c r="B754">
        <v>1.004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 t="s">
        <v>1581</v>
      </c>
      <c r="J754" t="s">
        <v>1581</v>
      </c>
      <c r="K754" t="s">
        <v>1581</v>
      </c>
      <c r="L754" t="s">
        <v>1581</v>
      </c>
      <c r="M754" t="s">
        <v>1581</v>
      </c>
      <c r="N754" t="s">
        <v>1581</v>
      </c>
      <c r="O754" t="s">
        <v>1581</v>
      </c>
      <c r="P754" t="s">
        <v>1581</v>
      </c>
      <c r="Q754" t="s">
        <v>1581</v>
      </c>
      <c r="R754" t="s">
        <v>1581</v>
      </c>
      <c r="S754" t="s">
        <v>1581</v>
      </c>
      <c r="T754" t="s">
        <v>1581</v>
      </c>
      <c r="U754" t="s">
        <v>1581</v>
      </c>
      <c r="V754" t="str" cm="1">
        <f t="array" aca="1" ref="V754" ca="1">IFERROR(_xlfn.IFS(A752="  ..............",OFFSET(A752,2,0),A751=" X-------------X",OFFSET(A751,3,0),MATCH("  ..............",A754:A763,0)&gt;2,V753),"-")</f>
        <v>-</v>
      </c>
      <c r="W754" t="str">
        <f t="shared" ca="1" si="33"/>
        <v>-</v>
      </c>
      <c r="X754" t="str">
        <f t="shared" ca="1" si="34"/>
        <v xml:space="preserve">              </v>
      </c>
      <c r="Y754" s="1">
        <f t="shared" ca="1" si="35"/>
        <v>0</v>
      </c>
    </row>
    <row r="755" spans="1:25" x14ac:dyDescent="0.25">
      <c r="A755" t="s">
        <v>2215</v>
      </c>
      <c r="B755">
        <v>-53.4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1584</v>
      </c>
      <c r="J755" t="s">
        <v>1585</v>
      </c>
      <c r="K755" t="s">
        <v>1586</v>
      </c>
      <c r="L755" t="s">
        <v>1587</v>
      </c>
      <c r="M755" t="s">
        <v>1587</v>
      </c>
      <c r="N755" t="s">
        <v>1586</v>
      </c>
      <c r="O755" t="s">
        <v>1581</v>
      </c>
      <c r="P755" t="s">
        <v>1581</v>
      </c>
      <c r="Q755" t="s">
        <v>1581</v>
      </c>
      <c r="R755" t="s">
        <v>1581</v>
      </c>
      <c r="S755" t="s">
        <v>1581</v>
      </c>
      <c r="T755" t="s">
        <v>1581</v>
      </c>
      <c r="U755" t="s">
        <v>1581</v>
      </c>
      <c r="V755" t="str" cm="1">
        <f t="array" aca="1" ref="V755" ca="1">IFERROR(_xlfn.IFS(A753="  ..............",OFFSET(A753,2,0),A752=" X-------------X",OFFSET(A752,3,0),MATCH("  ..............",A755:A764,0)&gt;2,V754),"-")</f>
        <v xml:space="preserve">  CANAST-RS138  </v>
      </c>
      <c r="W755">
        <f t="shared" ca="1" si="33"/>
        <v>1.004</v>
      </c>
      <c r="X755" t="str">
        <f t="shared" ca="1" si="34"/>
        <v xml:space="preserve"> 3COROA-RS138 </v>
      </c>
      <c r="Y755" s="1">
        <f t="shared" ca="1" si="35"/>
        <v>0</v>
      </c>
    </row>
    <row r="756" spans="1:25" x14ac:dyDescent="0.25">
      <c r="A756" t="s">
        <v>1588</v>
      </c>
      <c r="B756" t="s">
        <v>1587</v>
      </c>
      <c r="C756">
        <v>96</v>
      </c>
      <c r="D756">
        <v>96</v>
      </c>
      <c r="E756">
        <v>96</v>
      </c>
      <c r="F756" s="1">
        <v>3.5999999999999997E-2</v>
      </c>
      <c r="G756" t="s">
        <v>1587</v>
      </c>
      <c r="H756" t="s">
        <v>1587</v>
      </c>
      <c r="I756">
        <v>1290</v>
      </c>
      <c r="J756" t="s">
        <v>2156</v>
      </c>
      <c r="K756">
        <v>1</v>
      </c>
      <c r="L756">
        <v>2.6</v>
      </c>
      <c r="M756">
        <v>-2.2000000000000002</v>
      </c>
      <c r="N756">
        <v>3.4</v>
      </c>
      <c r="O756" t="s">
        <v>1594</v>
      </c>
      <c r="P756" t="s">
        <v>1584</v>
      </c>
      <c r="Q756" t="s">
        <v>1591</v>
      </c>
      <c r="R756">
        <v>0</v>
      </c>
      <c r="S756">
        <v>-0.88</v>
      </c>
      <c r="T756" t="s">
        <v>1584</v>
      </c>
      <c r="U756" t="s">
        <v>1592</v>
      </c>
      <c r="V756" t="str" cm="1">
        <f t="array" aca="1" ref="V756" ca="1">IFERROR(_xlfn.IFS(A754="  ..............",OFFSET(A754,2,0),A753=" X-------------X",OFFSET(A753,3,0),MATCH("  ..............",A756:A765,0)&gt;2,V755),"-")</f>
        <v xml:space="preserve">  CANAST-RS138  </v>
      </c>
      <c r="W756">
        <f t="shared" ca="1" si="33"/>
        <v>1.004</v>
      </c>
      <c r="X756" t="str">
        <f t="shared" ca="1" si="34"/>
        <v xml:space="preserve"> CANA-B-RS000 </v>
      </c>
      <c r="Y756" s="1">
        <f t="shared" ca="1" si="35"/>
        <v>0.54600000000000004</v>
      </c>
    </row>
    <row r="757" spans="1:25" x14ac:dyDescent="0.25">
      <c r="A757" t="s">
        <v>1588</v>
      </c>
      <c r="B757" t="s">
        <v>1587</v>
      </c>
      <c r="C757">
        <v>35</v>
      </c>
      <c r="D757">
        <v>35</v>
      </c>
      <c r="E757">
        <v>35</v>
      </c>
      <c r="F757" s="1">
        <v>0.56200000000000006</v>
      </c>
      <c r="G757" t="s">
        <v>1587</v>
      </c>
      <c r="H757" t="s">
        <v>1587</v>
      </c>
      <c r="I757">
        <v>2060</v>
      </c>
      <c r="J757" t="s">
        <v>2188</v>
      </c>
      <c r="K757">
        <v>1</v>
      </c>
      <c r="L757">
        <v>-19.2</v>
      </c>
      <c r="M757">
        <v>-4.7</v>
      </c>
      <c r="N757">
        <v>19.7</v>
      </c>
      <c r="O757" t="s">
        <v>1608</v>
      </c>
      <c r="P757" t="s">
        <v>1584</v>
      </c>
      <c r="Q757" t="s">
        <v>1591</v>
      </c>
      <c r="R757">
        <v>0</v>
      </c>
      <c r="S757">
        <v>-0.11</v>
      </c>
      <c r="T757" t="s">
        <v>1584</v>
      </c>
      <c r="U757" t="s">
        <v>1592</v>
      </c>
      <c r="V757" t="str" cm="1">
        <f t="array" aca="1" ref="V757" ca="1">IFERROR(_xlfn.IFS(A755="  ..............",OFFSET(A755,2,0),A754=" X-------------X",OFFSET(A754,3,0),MATCH("  ..............",A757:A766,0)&gt;2,V756),"-")</f>
        <v xml:space="preserve">  CANAST-RS138  </v>
      </c>
      <c r="W757">
        <f t="shared" ca="1" si="33"/>
        <v>1.004</v>
      </c>
      <c r="X757" t="str">
        <f t="shared" ca="1" si="34"/>
        <v xml:space="preserve"> CANA-A-RS000 </v>
      </c>
      <c r="Y757" s="1">
        <f t="shared" ca="1" si="35"/>
        <v>0.80500000000000005</v>
      </c>
    </row>
    <row r="758" spans="1:25" x14ac:dyDescent="0.25">
      <c r="A758" t="s">
        <v>1588</v>
      </c>
      <c r="B758" t="s">
        <v>1587</v>
      </c>
      <c r="C758">
        <v>50</v>
      </c>
      <c r="D758">
        <v>50</v>
      </c>
      <c r="E758">
        <v>50</v>
      </c>
      <c r="F758" s="1">
        <v>0.376</v>
      </c>
      <c r="G758" t="s">
        <v>1587</v>
      </c>
      <c r="H758" t="s">
        <v>1587</v>
      </c>
      <c r="I758">
        <v>2062</v>
      </c>
      <c r="J758" t="s">
        <v>2189</v>
      </c>
      <c r="K758">
        <v>1</v>
      </c>
      <c r="L758">
        <v>-18.3</v>
      </c>
      <c r="M758">
        <v>-4.5999999999999996</v>
      </c>
      <c r="N758">
        <v>18.8</v>
      </c>
      <c r="O758" t="s">
        <v>1608</v>
      </c>
      <c r="P758" t="s">
        <v>1584</v>
      </c>
      <c r="Q758" t="s">
        <v>1591</v>
      </c>
      <c r="R758">
        <v>0</v>
      </c>
      <c r="S758">
        <v>0.86</v>
      </c>
      <c r="T758" t="s">
        <v>1584</v>
      </c>
      <c r="U758" t="s">
        <v>1592</v>
      </c>
      <c r="V758" t="str" cm="1">
        <f t="array" aca="1" ref="V758" ca="1">IFERROR(_xlfn.IFS(A756="  ..............",OFFSET(A756,2,0),A755=" X-------------X",OFFSET(A755,3,0),MATCH("  ..............",A758:A767,0)&gt;2,V757),"-")</f>
        <v xml:space="preserve">  CANAST-RS138  </v>
      </c>
      <c r="W758">
        <f t="shared" ca="1" si="33"/>
        <v>1.004</v>
      </c>
      <c r="X758" t="str">
        <f t="shared" ca="1" si="34"/>
        <v xml:space="preserve"> CANAS2-RS138 </v>
      </c>
      <c r="Y758" s="1">
        <f t="shared" ca="1" si="35"/>
        <v>0.33800000000000002</v>
      </c>
    </row>
    <row r="759" spans="1:25" x14ac:dyDescent="0.25">
      <c r="A759" t="s">
        <v>1588</v>
      </c>
      <c r="B759" t="s">
        <v>1587</v>
      </c>
      <c r="C759">
        <v>108</v>
      </c>
      <c r="D759">
        <v>158</v>
      </c>
      <c r="E759">
        <v>158</v>
      </c>
      <c r="F759" s="1">
        <v>0.33800000000000002</v>
      </c>
      <c r="G759" t="s">
        <v>1587</v>
      </c>
      <c r="H759" t="s">
        <v>1587</v>
      </c>
      <c r="I759">
        <v>2065</v>
      </c>
      <c r="J759" t="s">
        <v>2216</v>
      </c>
      <c r="K759">
        <v>1</v>
      </c>
      <c r="L759">
        <v>34.9</v>
      </c>
      <c r="M759">
        <v>11.5</v>
      </c>
      <c r="N759">
        <v>36.5</v>
      </c>
      <c r="O759" t="s">
        <v>1594</v>
      </c>
      <c r="P759" t="s">
        <v>1584</v>
      </c>
      <c r="Q759" t="s">
        <v>1591</v>
      </c>
      <c r="R759">
        <v>0</v>
      </c>
      <c r="S759">
        <v>0</v>
      </c>
      <c r="T759" t="s">
        <v>1584</v>
      </c>
      <c r="U759" t="s">
        <v>1592</v>
      </c>
      <c r="V759" t="str" cm="1">
        <f t="array" aca="1" ref="V759" ca="1">IFERROR(_xlfn.IFS(A757="  ..............",OFFSET(A757,2,0),A756=" X-------------X",OFFSET(A756,3,0),MATCH("  ..............",A759:A768,0)&gt;2,V758),"-")</f>
        <v>-</v>
      </c>
      <c r="W759" t="str">
        <f t="shared" ca="1" si="33"/>
        <v>-</v>
      </c>
      <c r="X759" t="str">
        <f t="shared" ca="1" si="34"/>
        <v>-</v>
      </c>
      <c r="Y759" s="1" t="str">
        <f t="shared" ca="1" si="35"/>
        <v>-</v>
      </c>
    </row>
    <row r="760" spans="1:25" x14ac:dyDescent="0.25">
      <c r="A760" t="s">
        <v>1572</v>
      </c>
      <c r="B760" t="s">
        <v>1574</v>
      </c>
      <c r="C760" t="s">
        <v>1574</v>
      </c>
      <c r="D760" t="s">
        <v>1574</v>
      </c>
      <c r="E760" t="s">
        <v>1574</v>
      </c>
      <c r="F760" t="s">
        <v>1575</v>
      </c>
      <c r="G760" t="s">
        <v>1574</v>
      </c>
      <c r="H760" t="s">
        <v>1574</v>
      </c>
      <c r="I760" t="s">
        <v>1576</v>
      </c>
      <c r="J760" t="s">
        <v>1573</v>
      </c>
      <c r="K760" t="s">
        <v>1577</v>
      </c>
      <c r="L760" t="s">
        <v>1574</v>
      </c>
      <c r="M760" t="s">
        <v>1574</v>
      </c>
      <c r="N760" t="s">
        <v>1574</v>
      </c>
      <c r="O760" t="s">
        <v>1578</v>
      </c>
      <c r="P760" t="s">
        <v>1576</v>
      </c>
      <c r="Q760" t="s">
        <v>1579</v>
      </c>
      <c r="R760" t="s">
        <v>1580</v>
      </c>
      <c r="S760" t="s">
        <v>1580</v>
      </c>
      <c r="T760" t="s">
        <v>1576</v>
      </c>
      <c r="U760" t="s">
        <v>1576</v>
      </c>
      <c r="V760" t="str" cm="1">
        <f t="array" aca="1" ref="V760" ca="1">IFERROR(_xlfn.IFS(A758="  ..............",OFFSET(A758,2,0),A757=" X-------------X",OFFSET(A757,3,0),MATCH("  ..............",A760:A769,0)&gt;2,V759),"-")</f>
        <v>-</v>
      </c>
      <c r="W760" t="str">
        <f t="shared" ca="1" si="33"/>
        <v>-</v>
      </c>
      <c r="X760" t="str">
        <f t="shared" ca="1" si="34"/>
        <v/>
      </c>
      <c r="Y760" s="1" t="str">
        <f t="shared" ca="1" si="35"/>
        <v/>
      </c>
    </row>
    <row r="761" spans="1:25" x14ac:dyDescent="0.25">
      <c r="A761" t="s">
        <v>2217</v>
      </c>
      <c r="B761">
        <v>1.004</v>
      </c>
      <c r="C761">
        <v>5</v>
      </c>
      <c r="D761">
        <v>0</v>
      </c>
      <c r="E761">
        <v>15.3</v>
      </c>
      <c r="F761">
        <v>0</v>
      </c>
      <c r="G761">
        <v>0</v>
      </c>
      <c r="H761">
        <v>0</v>
      </c>
      <c r="I761" t="s">
        <v>1581</v>
      </c>
      <c r="J761" t="s">
        <v>1581</v>
      </c>
      <c r="K761" t="s">
        <v>1581</v>
      </c>
      <c r="L761" t="s">
        <v>1581</v>
      </c>
      <c r="M761" t="s">
        <v>1581</v>
      </c>
      <c r="N761" t="s">
        <v>1581</v>
      </c>
      <c r="O761" t="s">
        <v>1581</v>
      </c>
      <c r="P761" t="s">
        <v>1581</v>
      </c>
      <c r="Q761" t="s">
        <v>1581</v>
      </c>
      <c r="R761" t="s">
        <v>1581</v>
      </c>
      <c r="S761" t="s">
        <v>1581</v>
      </c>
      <c r="T761" t="s">
        <v>1581</v>
      </c>
      <c r="U761" t="s">
        <v>1581</v>
      </c>
      <c r="V761" t="str" cm="1">
        <f t="array" aca="1" ref="V761" ca="1">IFERROR(_xlfn.IFS(A759="  ..............",OFFSET(A759,2,0),A758=" X-------------X",OFFSET(A758,3,0),MATCH("  ..............",A761:A770,0)&gt;2,V760),"-")</f>
        <v>-</v>
      </c>
      <c r="W761" t="str">
        <f t="shared" ca="1" si="33"/>
        <v>-</v>
      </c>
      <c r="X761" t="str">
        <f t="shared" ca="1" si="34"/>
        <v xml:space="preserve">              </v>
      </c>
      <c r="Y761" s="1">
        <f t="shared" ca="1" si="35"/>
        <v>0</v>
      </c>
    </row>
    <row r="762" spans="1:25" x14ac:dyDescent="0.25">
      <c r="A762" t="s">
        <v>2218</v>
      </c>
      <c r="B762">
        <v>-53.4</v>
      </c>
      <c r="C762">
        <v>0</v>
      </c>
      <c r="D762">
        <v>0</v>
      </c>
      <c r="E762">
        <v>5.2</v>
      </c>
      <c r="F762">
        <v>0</v>
      </c>
      <c r="G762">
        <v>0</v>
      </c>
      <c r="H762">
        <v>0</v>
      </c>
      <c r="I762" t="s">
        <v>1584</v>
      </c>
      <c r="J762" t="s">
        <v>1585</v>
      </c>
      <c r="K762" t="s">
        <v>1586</v>
      </c>
      <c r="L762" t="s">
        <v>1587</v>
      </c>
      <c r="M762" t="s">
        <v>1587</v>
      </c>
      <c r="N762" t="s">
        <v>1586</v>
      </c>
      <c r="O762" t="s">
        <v>1581</v>
      </c>
      <c r="P762" t="s">
        <v>1581</v>
      </c>
      <c r="Q762" t="s">
        <v>1581</v>
      </c>
      <c r="R762" t="s">
        <v>1581</v>
      </c>
      <c r="S762" t="s">
        <v>1581</v>
      </c>
      <c r="T762" t="s">
        <v>1581</v>
      </c>
      <c r="U762" t="s">
        <v>1581</v>
      </c>
      <c r="V762" t="str" cm="1">
        <f t="array" aca="1" ref="V762" ca="1">IFERROR(_xlfn.IFS(A760="  ..............",OFFSET(A760,2,0),A759=" X-------------X",OFFSET(A759,3,0),MATCH("  ..............",A762:A771,0)&gt;2,V761),"-")</f>
        <v xml:space="preserve">  CANAS2-RS138  </v>
      </c>
      <c r="W762">
        <f t="shared" ca="1" si="33"/>
        <v>1.004</v>
      </c>
      <c r="X762" t="str">
        <f t="shared" ca="1" si="34"/>
        <v xml:space="preserve"> CANAST-RS138 </v>
      </c>
      <c r="Y762" s="1">
        <f t="shared" ca="1" si="35"/>
        <v>3.1E-2</v>
      </c>
    </row>
    <row r="763" spans="1:25" x14ac:dyDescent="0.25">
      <c r="A763" t="s">
        <v>1588</v>
      </c>
      <c r="B763" t="s">
        <v>1587</v>
      </c>
      <c r="C763">
        <v>108</v>
      </c>
      <c r="D763">
        <v>158</v>
      </c>
      <c r="E763">
        <v>158</v>
      </c>
      <c r="F763" s="1">
        <v>0.33800000000000002</v>
      </c>
      <c r="G763" t="s">
        <v>1587</v>
      </c>
      <c r="H763" t="s">
        <v>1587</v>
      </c>
      <c r="I763">
        <v>2064</v>
      </c>
      <c r="J763" t="s">
        <v>1982</v>
      </c>
      <c r="K763">
        <v>1</v>
      </c>
      <c r="L763">
        <v>-34.9</v>
      </c>
      <c r="M763">
        <v>-11.5</v>
      </c>
      <c r="N763">
        <v>36.5</v>
      </c>
      <c r="O763" t="s">
        <v>1594</v>
      </c>
      <c r="P763" t="s">
        <v>1584</v>
      </c>
      <c r="Q763" t="s">
        <v>1591</v>
      </c>
      <c r="R763">
        <v>0</v>
      </c>
      <c r="S763">
        <v>0</v>
      </c>
      <c r="T763" t="s">
        <v>1584</v>
      </c>
      <c r="U763" t="s">
        <v>1592</v>
      </c>
      <c r="V763" t="str" cm="1">
        <f t="array" aca="1" ref="V763" ca="1">IFERROR(_xlfn.IFS(A761="  ..............",OFFSET(A761,2,0),A760=" X-------------X",OFFSET(A760,3,0),MATCH("  ..............",A763:A772,0)&gt;2,V762),"-")</f>
        <v xml:space="preserve">  CANAS2-RS138  </v>
      </c>
      <c r="W763">
        <f t="shared" ca="1" si="33"/>
        <v>1.004</v>
      </c>
      <c r="X763" t="str">
        <f t="shared" ca="1" si="34"/>
        <v xml:space="preserve"> CANAS2-RS069 </v>
      </c>
      <c r="Y763" s="1">
        <f t="shared" ca="1" si="35"/>
        <v>0.505</v>
      </c>
    </row>
    <row r="764" spans="1:25" x14ac:dyDescent="0.25">
      <c r="A764" t="s">
        <v>1588</v>
      </c>
      <c r="B764" t="s">
        <v>1587</v>
      </c>
      <c r="C764">
        <v>50</v>
      </c>
      <c r="D764">
        <v>50</v>
      </c>
      <c r="E764">
        <v>50</v>
      </c>
      <c r="F764" s="1">
        <v>0.505</v>
      </c>
      <c r="G764" t="s">
        <v>1587</v>
      </c>
      <c r="H764" t="s">
        <v>1587</v>
      </c>
      <c r="I764">
        <v>9557</v>
      </c>
      <c r="J764" t="s">
        <v>2219</v>
      </c>
      <c r="K764">
        <v>1</v>
      </c>
      <c r="L764">
        <v>24.6</v>
      </c>
      <c r="M764">
        <v>6.3</v>
      </c>
      <c r="N764">
        <v>25.2</v>
      </c>
      <c r="O764" t="s">
        <v>2220</v>
      </c>
      <c r="P764" t="s">
        <v>1584</v>
      </c>
      <c r="Q764" t="s">
        <v>1591</v>
      </c>
      <c r="R764">
        <v>0</v>
      </c>
      <c r="S764">
        <v>0.69</v>
      </c>
      <c r="T764" t="s">
        <v>1584</v>
      </c>
      <c r="U764" t="s">
        <v>1592</v>
      </c>
      <c r="V764" t="str" cm="1">
        <f t="array" aca="1" ref="V764" ca="1">IFERROR(_xlfn.IFS(A762="  ..............",OFFSET(A762,2,0),A761=" X-------------X",OFFSET(A761,3,0),MATCH("  ..............",A764:A773,0)&gt;2,V763),"-")</f>
        <v>-</v>
      </c>
      <c r="W764" t="str">
        <f t="shared" ca="1" si="33"/>
        <v>-</v>
      </c>
      <c r="X764" t="str">
        <f t="shared" ca="1" si="34"/>
        <v>-</v>
      </c>
      <c r="Y764" s="1" t="str">
        <f t="shared" ca="1" si="35"/>
        <v>-</v>
      </c>
    </row>
    <row r="765" spans="1:25" x14ac:dyDescent="0.25">
      <c r="A765" t="s">
        <v>1572</v>
      </c>
      <c r="B765" t="s">
        <v>1574</v>
      </c>
      <c r="C765" t="s">
        <v>1574</v>
      </c>
      <c r="D765" t="s">
        <v>1574</v>
      </c>
      <c r="E765" t="s">
        <v>1574</v>
      </c>
      <c r="F765" t="s">
        <v>1575</v>
      </c>
      <c r="G765" t="s">
        <v>1574</v>
      </c>
      <c r="H765" t="s">
        <v>1574</v>
      </c>
      <c r="I765" t="s">
        <v>1576</v>
      </c>
      <c r="J765" t="s">
        <v>1573</v>
      </c>
      <c r="K765" t="s">
        <v>1577</v>
      </c>
      <c r="L765" t="s">
        <v>1574</v>
      </c>
      <c r="M765" t="s">
        <v>1574</v>
      </c>
      <c r="N765" t="s">
        <v>1574</v>
      </c>
      <c r="O765" t="s">
        <v>1578</v>
      </c>
      <c r="P765" t="s">
        <v>1576</v>
      </c>
      <c r="Q765" t="s">
        <v>1579</v>
      </c>
      <c r="R765" t="s">
        <v>1580</v>
      </c>
      <c r="S765" t="s">
        <v>1580</v>
      </c>
      <c r="T765" t="s">
        <v>1576</v>
      </c>
      <c r="U765" t="s">
        <v>1576</v>
      </c>
      <c r="V765" t="str" cm="1">
        <f t="array" aca="1" ref="V765" ca="1">IFERROR(_xlfn.IFS(A763="  ..............",OFFSET(A763,2,0),A762=" X-------------X",OFFSET(A762,3,0),MATCH("  ..............",A765:A774,0)&gt;2,V764),"-")</f>
        <v>-</v>
      </c>
      <c r="W765" t="str">
        <f t="shared" ca="1" si="33"/>
        <v>-</v>
      </c>
      <c r="X765" t="str">
        <f t="shared" ca="1" si="34"/>
        <v/>
      </c>
      <c r="Y765" s="1" t="str">
        <f t="shared" ca="1" si="35"/>
        <v/>
      </c>
    </row>
    <row r="766" spans="1:25" x14ac:dyDescent="0.25">
      <c r="A766" t="s">
        <v>2221</v>
      </c>
      <c r="B766">
        <v>1.014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1581</v>
      </c>
      <c r="J766" t="s">
        <v>1581</v>
      </c>
      <c r="K766" t="s">
        <v>1581</v>
      </c>
      <c r="L766" t="s">
        <v>1581</v>
      </c>
      <c r="M766" t="s">
        <v>1581</v>
      </c>
      <c r="N766" t="s">
        <v>1581</v>
      </c>
      <c r="O766" t="s">
        <v>1581</v>
      </c>
      <c r="P766" t="s">
        <v>1581</v>
      </c>
      <c r="Q766" t="s">
        <v>1581</v>
      </c>
      <c r="R766" t="s">
        <v>1581</v>
      </c>
      <c r="S766" t="s">
        <v>1581</v>
      </c>
      <c r="T766" t="s">
        <v>1581</v>
      </c>
      <c r="U766" t="s">
        <v>1581</v>
      </c>
      <c r="V766" t="str" cm="1">
        <f t="array" aca="1" ref="V766" ca="1">IFERROR(_xlfn.IFS(A764="  ..............",OFFSET(A764,2,0),A763=" X-------------X",OFFSET(A763,3,0),MATCH("  ..............",A766:A775,0)&gt;2,V765),"-")</f>
        <v>-</v>
      </c>
      <c r="W766" t="str">
        <f t="shared" ca="1" si="33"/>
        <v>-</v>
      </c>
      <c r="X766" t="str">
        <f t="shared" ca="1" si="34"/>
        <v xml:space="preserve">              </v>
      </c>
      <c r="Y766" s="1">
        <f t="shared" ca="1" si="35"/>
        <v>0</v>
      </c>
    </row>
    <row r="767" spans="1:25" x14ac:dyDescent="0.25">
      <c r="A767" t="s">
        <v>2222</v>
      </c>
      <c r="B767">
        <v>-54.3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1584</v>
      </c>
      <c r="J767" t="s">
        <v>1585</v>
      </c>
      <c r="K767" t="s">
        <v>1586</v>
      </c>
      <c r="L767" t="s">
        <v>1587</v>
      </c>
      <c r="M767" t="s">
        <v>1587</v>
      </c>
      <c r="N767" t="s">
        <v>1586</v>
      </c>
      <c r="O767" t="s">
        <v>1581</v>
      </c>
      <c r="P767" t="s">
        <v>1581</v>
      </c>
      <c r="Q767" t="s">
        <v>1581</v>
      </c>
      <c r="R767" t="s">
        <v>1581</v>
      </c>
      <c r="S767" t="s">
        <v>1581</v>
      </c>
      <c r="T767" t="s">
        <v>1581</v>
      </c>
      <c r="U767" t="s">
        <v>1581</v>
      </c>
      <c r="V767" t="str" cm="1">
        <f t="array" aca="1" ref="V767" ca="1">IFERROR(_xlfn.IFS(A765="  ..............",OFFSET(A765,2,0),A764=" X-------------X",OFFSET(A764,3,0),MATCH("  ..............",A767:A776,0)&gt;2,V766),"-")</f>
        <v xml:space="preserve">  CACHOE-RS069  </v>
      </c>
      <c r="W767">
        <f t="shared" ca="1" si="33"/>
        <v>1.014</v>
      </c>
      <c r="X767" t="str">
        <f t="shared" ca="1" si="34"/>
        <v xml:space="preserve"> PETROB-RS069 </v>
      </c>
      <c r="Y767" s="1">
        <f t="shared" ca="1" si="35"/>
        <v>0.152</v>
      </c>
    </row>
    <row r="768" spans="1:25" x14ac:dyDescent="0.25">
      <c r="A768" t="s">
        <v>1588</v>
      </c>
      <c r="B768" t="s">
        <v>1587</v>
      </c>
      <c r="C768">
        <v>48</v>
      </c>
      <c r="D768">
        <v>71</v>
      </c>
      <c r="E768">
        <v>71</v>
      </c>
      <c r="F768" s="1">
        <v>0.29899999999999999</v>
      </c>
      <c r="G768" t="s">
        <v>1587</v>
      </c>
      <c r="H768" t="s">
        <v>1587</v>
      </c>
      <c r="I768">
        <v>1332</v>
      </c>
      <c r="J768" t="s">
        <v>2024</v>
      </c>
      <c r="K768">
        <v>1</v>
      </c>
      <c r="L768">
        <v>10.9</v>
      </c>
      <c r="M768">
        <v>9.6999999999999993</v>
      </c>
      <c r="N768">
        <v>14.4</v>
      </c>
      <c r="O768" t="s">
        <v>1594</v>
      </c>
      <c r="P768" t="s">
        <v>1584</v>
      </c>
      <c r="Q768" t="s">
        <v>1591</v>
      </c>
      <c r="R768">
        <v>0.05</v>
      </c>
      <c r="S768">
        <v>0.14000000000000001</v>
      </c>
      <c r="T768" t="s">
        <v>1584</v>
      </c>
      <c r="U768" t="s">
        <v>1592</v>
      </c>
      <c r="V768" t="str" cm="1">
        <f t="array" aca="1" ref="V768" ca="1">IFERROR(_xlfn.IFS(A766="  ..............",OFFSET(A766,2,0),A765=" X-------------X",OFFSET(A765,3,0),MATCH("  ..............",A768:A777,0)&gt;2,V767),"-")</f>
        <v xml:space="preserve">  CACHOE-RS069  </v>
      </c>
      <c r="W768">
        <f t="shared" ca="1" si="33"/>
        <v>1.014</v>
      </c>
      <c r="X768" t="str">
        <f t="shared" ca="1" si="34"/>
        <v xml:space="preserve"> CACHOE-RS138 </v>
      </c>
      <c r="Y768" s="1" t="str">
        <f t="shared" ca="1" si="35"/>
        <v xml:space="preserve">             </v>
      </c>
    </row>
    <row r="769" spans="1:25" x14ac:dyDescent="0.25">
      <c r="A769" t="s">
        <v>1637</v>
      </c>
      <c r="B769" t="s">
        <v>1638</v>
      </c>
      <c r="C769">
        <v>35</v>
      </c>
      <c r="D769">
        <v>35</v>
      </c>
      <c r="E769">
        <v>35</v>
      </c>
      <c r="F769" t="s">
        <v>1639</v>
      </c>
      <c r="G769" t="s">
        <v>1587</v>
      </c>
      <c r="H769" t="s">
        <v>1587</v>
      </c>
      <c r="I769">
        <v>2068</v>
      </c>
      <c r="J769" t="s">
        <v>2223</v>
      </c>
      <c r="K769">
        <v>2</v>
      </c>
      <c r="L769">
        <v>0</v>
      </c>
      <c r="M769">
        <v>0</v>
      </c>
      <c r="N769">
        <v>0</v>
      </c>
      <c r="O769" t="s">
        <v>1594</v>
      </c>
      <c r="P769" t="s">
        <v>1584</v>
      </c>
      <c r="Q769" t="s">
        <v>1591</v>
      </c>
      <c r="R769">
        <v>0</v>
      </c>
      <c r="S769">
        <v>0</v>
      </c>
      <c r="T769" t="s">
        <v>1584</v>
      </c>
      <c r="U769" t="s">
        <v>1592</v>
      </c>
      <c r="V769" t="str" cm="1">
        <f t="array" aca="1" ref="V769" ca="1">IFERROR(_xlfn.IFS(A767="  ..............",OFFSET(A767,2,0),A766=" X-------------X",OFFSET(A766,3,0),MATCH("  ..............",A769:A778,0)&gt;2,V768),"-")</f>
        <v xml:space="preserve">  CACHOE-RS069  </v>
      </c>
      <c r="W769">
        <f t="shared" ca="1" si="33"/>
        <v>1.014</v>
      </c>
      <c r="X769" t="str">
        <f t="shared" ca="1" si="34"/>
        <v xml:space="preserve"> CACHOE-RS138 </v>
      </c>
      <c r="Y769" s="1" t="str">
        <f t="shared" ca="1" si="35"/>
        <v xml:space="preserve">             </v>
      </c>
    </row>
    <row r="770" spans="1:25" x14ac:dyDescent="0.25">
      <c r="A770" t="s">
        <v>1588</v>
      </c>
      <c r="B770" t="s">
        <v>1587</v>
      </c>
      <c r="C770">
        <v>35</v>
      </c>
      <c r="D770">
        <v>35</v>
      </c>
      <c r="E770">
        <v>35</v>
      </c>
      <c r="F770" s="1">
        <v>0.41</v>
      </c>
      <c r="G770" t="s">
        <v>1587</v>
      </c>
      <c r="H770" t="s">
        <v>1587</v>
      </c>
      <c r="I770">
        <v>2068</v>
      </c>
      <c r="J770" t="s">
        <v>2223</v>
      </c>
      <c r="K770">
        <v>3</v>
      </c>
      <c r="L770">
        <v>-10.9</v>
      </c>
      <c r="M770">
        <v>-9.6999999999999993</v>
      </c>
      <c r="N770">
        <v>14.4</v>
      </c>
      <c r="O770" t="s">
        <v>1594</v>
      </c>
      <c r="P770" t="s">
        <v>1584</v>
      </c>
      <c r="Q770" t="s">
        <v>1591</v>
      </c>
      <c r="R770">
        <v>0</v>
      </c>
      <c r="S770">
        <v>0.68</v>
      </c>
      <c r="T770" t="s">
        <v>1584</v>
      </c>
      <c r="U770" t="s">
        <v>1592</v>
      </c>
      <c r="V770" t="str" cm="1">
        <f t="array" aca="1" ref="V770" ca="1">IFERROR(_xlfn.IFS(A768="  ..............",OFFSET(A768,2,0),A767=" X-------------X",OFFSET(A767,3,0),MATCH("  ..............",A770:A779,0)&gt;2,V769),"-")</f>
        <v>-</v>
      </c>
      <c r="W770" t="str">
        <f t="shared" ca="1" si="33"/>
        <v>-</v>
      </c>
      <c r="X770" t="str">
        <f t="shared" ca="1" si="34"/>
        <v>-</v>
      </c>
      <c r="Y770" s="1" t="str">
        <f t="shared" ca="1" si="35"/>
        <v>-</v>
      </c>
    </row>
    <row r="771" spans="1:25" x14ac:dyDescent="0.25">
      <c r="A771" t="s">
        <v>1572</v>
      </c>
      <c r="B771" t="s">
        <v>1574</v>
      </c>
      <c r="C771" t="s">
        <v>1574</v>
      </c>
      <c r="D771" t="s">
        <v>1574</v>
      </c>
      <c r="E771" t="s">
        <v>1574</v>
      </c>
      <c r="F771" t="s">
        <v>1575</v>
      </c>
      <c r="G771" t="s">
        <v>1574</v>
      </c>
      <c r="H771" t="s">
        <v>1574</v>
      </c>
      <c r="I771" t="s">
        <v>1576</v>
      </c>
      <c r="J771" t="s">
        <v>1573</v>
      </c>
      <c r="K771" t="s">
        <v>1577</v>
      </c>
      <c r="L771" t="s">
        <v>1574</v>
      </c>
      <c r="M771" t="s">
        <v>1574</v>
      </c>
      <c r="N771" t="s">
        <v>1574</v>
      </c>
      <c r="O771" t="s">
        <v>1578</v>
      </c>
      <c r="P771" t="s">
        <v>1576</v>
      </c>
      <c r="Q771" t="s">
        <v>1579</v>
      </c>
      <c r="R771" t="s">
        <v>1580</v>
      </c>
      <c r="S771" t="s">
        <v>1580</v>
      </c>
      <c r="T771" t="s">
        <v>1576</v>
      </c>
      <c r="U771" t="s">
        <v>1576</v>
      </c>
      <c r="V771" t="str" cm="1">
        <f t="array" aca="1" ref="V771" ca="1">IFERROR(_xlfn.IFS(A769="  ..............",OFFSET(A769,2,0),A768=" X-------------X",OFFSET(A768,3,0),MATCH("  ..............",A771:A780,0)&gt;2,V770),"-")</f>
        <v>-</v>
      </c>
      <c r="W771" t="str">
        <f t="shared" ca="1" si="33"/>
        <v>-</v>
      </c>
      <c r="X771" t="str">
        <f t="shared" ca="1" si="34"/>
        <v/>
      </c>
      <c r="Y771" s="1" t="str">
        <f t="shared" ca="1" si="35"/>
        <v/>
      </c>
    </row>
    <row r="772" spans="1:25" x14ac:dyDescent="0.25">
      <c r="A772" t="s">
        <v>2224</v>
      </c>
      <c r="B772">
        <v>1.0169999999999999</v>
      </c>
      <c r="C772">
        <v>2</v>
      </c>
      <c r="D772">
        <v>0</v>
      </c>
      <c r="E772">
        <v>34</v>
      </c>
      <c r="F772">
        <v>0</v>
      </c>
      <c r="G772">
        <v>0</v>
      </c>
      <c r="H772">
        <v>0</v>
      </c>
      <c r="I772" t="s">
        <v>1581</v>
      </c>
      <c r="J772" t="s">
        <v>1581</v>
      </c>
      <c r="K772" t="s">
        <v>1581</v>
      </c>
      <c r="L772" t="s">
        <v>1581</v>
      </c>
      <c r="M772" t="s">
        <v>1581</v>
      </c>
      <c r="N772" t="s">
        <v>1581</v>
      </c>
      <c r="O772" t="s">
        <v>1581</v>
      </c>
      <c r="P772" t="s">
        <v>1581</v>
      </c>
      <c r="Q772" t="s">
        <v>1581</v>
      </c>
      <c r="R772" t="s">
        <v>1581</v>
      </c>
      <c r="S772" t="s">
        <v>1581</v>
      </c>
      <c r="T772" t="s">
        <v>1581</v>
      </c>
      <c r="U772" t="s">
        <v>1581</v>
      </c>
      <c r="V772" t="str" cm="1">
        <f t="array" aca="1" ref="V772" ca="1">IFERROR(_xlfn.IFS(A770="  ..............",OFFSET(A770,2,0),A769=" X-------------X",OFFSET(A769,3,0),MATCH("  ..............",A772:A781,0)&gt;2,V771),"-")</f>
        <v>-</v>
      </c>
      <c r="W772" t="str">
        <f t="shared" ref="W772:W835" ca="1" si="36">IFERROR(OFFSET($A$1,MATCH(V772,A:A,0)-2,1),"-")</f>
        <v>-</v>
      </c>
      <c r="X772" t="str">
        <f t="shared" ref="X772:X835" ca="1" si="37">IFERROR(IF(V772=V771,OFFSET($J$1,ROW(X772),0),OFFSET($J$1,MATCH(V772,A:A,0),0)),"-")</f>
        <v xml:space="preserve">              </v>
      </c>
      <c r="Y772" s="1">
        <f t="shared" ref="Y772:Y835" ca="1" si="38">IFERROR(OFFSET($F$1,MATCH(X772,J:J,0)-1,0),"-")</f>
        <v>0</v>
      </c>
    </row>
    <row r="773" spans="1:25" x14ac:dyDescent="0.25">
      <c r="A773" t="s">
        <v>2225</v>
      </c>
      <c r="B773">
        <v>-52.3</v>
      </c>
      <c r="C773">
        <v>0</v>
      </c>
      <c r="D773">
        <v>0</v>
      </c>
      <c r="E773">
        <v>12.3</v>
      </c>
      <c r="F773">
        <v>0</v>
      </c>
      <c r="G773">
        <v>0</v>
      </c>
      <c r="H773">
        <v>0</v>
      </c>
      <c r="I773" t="s">
        <v>1584</v>
      </c>
      <c r="J773" t="s">
        <v>1585</v>
      </c>
      <c r="K773" t="s">
        <v>1586</v>
      </c>
      <c r="L773" t="s">
        <v>1587</v>
      </c>
      <c r="M773" t="s">
        <v>1587</v>
      </c>
      <c r="N773" t="s">
        <v>1586</v>
      </c>
      <c r="O773" t="s">
        <v>1581</v>
      </c>
      <c r="P773" t="s">
        <v>1581</v>
      </c>
      <c r="Q773" t="s">
        <v>1581</v>
      </c>
      <c r="R773" t="s">
        <v>1581</v>
      </c>
      <c r="S773" t="s">
        <v>1581</v>
      </c>
      <c r="T773" t="s">
        <v>1581</v>
      </c>
      <c r="U773" t="s">
        <v>1581</v>
      </c>
      <c r="V773" t="str" cm="1">
        <f t="array" aca="1" ref="V773" ca="1">IFERROR(_xlfn.IFS(A771="  ..............",OFFSET(A771,2,0),A770=" X-------------X",OFFSET(A770,3,0),MATCH("  ..............",A773:A782,0)&gt;2,V772),"-")</f>
        <v xml:space="preserve">  CACHOE-RS138  </v>
      </c>
      <c r="W773">
        <f t="shared" ca="1" si="36"/>
        <v>1.0169999999999999</v>
      </c>
      <c r="X773" t="str">
        <f t="shared" ca="1" si="37"/>
        <v xml:space="preserve"> CACHOE-RS069 </v>
      </c>
      <c r="Y773" s="1">
        <f t="shared" ca="1" si="38"/>
        <v>0.29899999999999999</v>
      </c>
    </row>
    <row r="774" spans="1:25" x14ac:dyDescent="0.25">
      <c r="A774" t="s">
        <v>1637</v>
      </c>
      <c r="B774" t="s">
        <v>1638</v>
      </c>
      <c r="C774">
        <v>35</v>
      </c>
      <c r="D774">
        <v>35</v>
      </c>
      <c r="E774">
        <v>35</v>
      </c>
      <c r="F774" t="s">
        <v>1639</v>
      </c>
      <c r="G774" t="s">
        <v>1587</v>
      </c>
      <c r="H774" t="s">
        <v>1587</v>
      </c>
      <c r="I774">
        <v>2067</v>
      </c>
      <c r="J774" t="s">
        <v>2098</v>
      </c>
      <c r="K774">
        <v>2</v>
      </c>
      <c r="L774">
        <v>0</v>
      </c>
      <c r="M774">
        <v>0</v>
      </c>
      <c r="N774">
        <v>0</v>
      </c>
      <c r="O774" t="s">
        <v>2209</v>
      </c>
      <c r="P774" t="s">
        <v>1584</v>
      </c>
      <c r="Q774" t="s">
        <v>1591</v>
      </c>
      <c r="R774">
        <v>0</v>
      </c>
      <c r="S774">
        <v>0</v>
      </c>
      <c r="T774" t="s">
        <v>1584</v>
      </c>
      <c r="U774" t="s">
        <v>1592</v>
      </c>
      <c r="V774" t="str" cm="1">
        <f t="array" aca="1" ref="V774" ca="1">IFERROR(_xlfn.IFS(A772="  ..............",OFFSET(A772,2,0),A771=" X-------------X",OFFSET(A771,3,0),MATCH("  ..............",A774:A783,0)&gt;2,V773),"-")</f>
        <v xml:space="preserve">  CACHOE-RS138  </v>
      </c>
      <c r="W774">
        <f t="shared" ca="1" si="36"/>
        <v>1.0169999999999999</v>
      </c>
      <c r="X774" t="str">
        <f t="shared" ca="1" si="37"/>
        <v xml:space="preserve"> CACHOE-RS069 </v>
      </c>
      <c r="Y774" s="1">
        <f t="shared" ca="1" si="38"/>
        <v>0.29899999999999999</v>
      </c>
    </row>
    <row r="775" spans="1:25" x14ac:dyDescent="0.25">
      <c r="A775" t="s">
        <v>1588</v>
      </c>
      <c r="B775" t="s">
        <v>1587</v>
      </c>
      <c r="C775">
        <v>35</v>
      </c>
      <c r="D775">
        <v>35</v>
      </c>
      <c r="E775">
        <v>35</v>
      </c>
      <c r="F775" s="1">
        <v>0.42199999999999999</v>
      </c>
      <c r="G775" t="s">
        <v>1587</v>
      </c>
      <c r="H775" t="s">
        <v>1587</v>
      </c>
      <c r="I775">
        <v>2067</v>
      </c>
      <c r="J775" t="s">
        <v>2098</v>
      </c>
      <c r="K775">
        <v>3</v>
      </c>
      <c r="L775">
        <v>10.9</v>
      </c>
      <c r="M775">
        <v>10.4</v>
      </c>
      <c r="N775">
        <v>14.8</v>
      </c>
      <c r="O775" t="s">
        <v>1708</v>
      </c>
      <c r="P775" t="s">
        <v>1584</v>
      </c>
      <c r="Q775" t="s">
        <v>1591</v>
      </c>
      <c r="R775">
        <v>0</v>
      </c>
      <c r="S775">
        <v>0.68</v>
      </c>
      <c r="T775" t="s">
        <v>1584</v>
      </c>
      <c r="U775" t="s">
        <v>1592</v>
      </c>
      <c r="V775" t="str" cm="1">
        <f t="array" aca="1" ref="V775" ca="1">IFERROR(_xlfn.IFS(A773="  ..............",OFFSET(A773,2,0),A772=" X-------------X",OFFSET(A772,3,0),MATCH("  ..............",A775:A784,0)&gt;2,V774),"-")</f>
        <v xml:space="preserve">  CACHOE-RS138  </v>
      </c>
      <c r="W775">
        <f t="shared" ca="1" si="36"/>
        <v>1.0169999999999999</v>
      </c>
      <c r="X775" t="str">
        <f t="shared" ca="1" si="37"/>
        <v xml:space="preserve"> CACHO3-RS138 </v>
      </c>
      <c r="Y775" s="1">
        <f t="shared" ca="1" si="38"/>
        <v>0.37</v>
      </c>
    </row>
    <row r="776" spans="1:25" x14ac:dyDescent="0.25">
      <c r="A776" t="s">
        <v>1588</v>
      </c>
      <c r="B776" t="s">
        <v>1587</v>
      </c>
      <c r="C776">
        <v>108</v>
      </c>
      <c r="D776">
        <v>108</v>
      </c>
      <c r="E776">
        <v>108</v>
      </c>
      <c r="F776" s="1">
        <v>0.37</v>
      </c>
      <c r="G776" t="s">
        <v>1587</v>
      </c>
      <c r="H776" t="s">
        <v>1587</v>
      </c>
      <c r="I776">
        <v>9305</v>
      </c>
      <c r="J776" t="s">
        <v>2226</v>
      </c>
      <c r="K776">
        <v>1</v>
      </c>
      <c r="L776">
        <v>-36.1</v>
      </c>
      <c r="M776">
        <v>-18.8</v>
      </c>
      <c r="N776">
        <v>40</v>
      </c>
      <c r="O776" t="s">
        <v>1594</v>
      </c>
      <c r="P776" t="s">
        <v>1584</v>
      </c>
      <c r="Q776" t="s">
        <v>1591</v>
      </c>
      <c r="R776">
        <v>0.05</v>
      </c>
      <c r="S776">
        <v>-0.1</v>
      </c>
      <c r="T776" t="s">
        <v>1584</v>
      </c>
      <c r="U776" t="s">
        <v>1592</v>
      </c>
      <c r="V776" t="str" cm="1">
        <f t="array" aca="1" ref="V776" ca="1">IFERROR(_xlfn.IFS(A774="  ..............",OFFSET(A774,2,0),A773=" X-------------X",OFFSET(A773,3,0),MATCH("  ..............",A776:A785,0)&gt;2,V775),"-")</f>
        <v xml:space="preserve">  CACHOE-RS138  </v>
      </c>
      <c r="W776">
        <f t="shared" ca="1" si="36"/>
        <v>1.0169999999999999</v>
      </c>
      <c r="X776" t="str">
        <f t="shared" ca="1" si="37"/>
        <v xml:space="preserve"> CACHO3-RS138 </v>
      </c>
      <c r="Y776" s="1">
        <f t="shared" ca="1" si="38"/>
        <v>0.37</v>
      </c>
    </row>
    <row r="777" spans="1:25" x14ac:dyDescent="0.25">
      <c r="A777" t="s">
        <v>1588</v>
      </c>
      <c r="B777" t="s">
        <v>1587</v>
      </c>
      <c r="C777">
        <v>96</v>
      </c>
      <c r="D777">
        <v>96</v>
      </c>
      <c r="E777">
        <v>96</v>
      </c>
      <c r="F777" s="1">
        <v>0.08</v>
      </c>
      <c r="G777" t="s">
        <v>1587</v>
      </c>
      <c r="H777" t="s">
        <v>1587</v>
      </c>
      <c r="I777">
        <v>9305</v>
      </c>
      <c r="J777" t="s">
        <v>2226</v>
      </c>
      <c r="K777">
        <v>2</v>
      </c>
      <c r="L777">
        <v>-6.8</v>
      </c>
      <c r="M777">
        <v>-3.9</v>
      </c>
      <c r="N777">
        <v>7.7</v>
      </c>
      <c r="O777" t="s">
        <v>1594</v>
      </c>
      <c r="P777" t="s">
        <v>1584</v>
      </c>
      <c r="Q777" t="s">
        <v>1591</v>
      </c>
      <c r="R777">
        <v>0.01</v>
      </c>
      <c r="S777">
        <v>-1.37</v>
      </c>
      <c r="T777" t="s">
        <v>1584</v>
      </c>
      <c r="U777" t="s">
        <v>1592</v>
      </c>
      <c r="V777" t="str" cm="1">
        <f t="array" aca="1" ref="V777" ca="1">IFERROR(_xlfn.IFS(A775="  ..............",OFFSET(A775,2,0),A774=" X-------------X",OFFSET(A774,3,0),MATCH("  ..............",A777:A786,0)&gt;2,V776),"-")</f>
        <v>-</v>
      </c>
      <c r="W777" t="str">
        <f t="shared" ca="1" si="36"/>
        <v>-</v>
      </c>
      <c r="X777" t="str">
        <f t="shared" ca="1" si="37"/>
        <v>-</v>
      </c>
      <c r="Y777" s="1" t="str">
        <f t="shared" ca="1" si="38"/>
        <v>-</v>
      </c>
    </row>
    <row r="778" spans="1:25" x14ac:dyDescent="0.25">
      <c r="A778" t="s">
        <v>1572</v>
      </c>
      <c r="B778" t="s">
        <v>1574</v>
      </c>
      <c r="C778" t="s">
        <v>1574</v>
      </c>
      <c r="D778" t="s">
        <v>1574</v>
      </c>
      <c r="E778" t="s">
        <v>1574</v>
      </c>
      <c r="F778" t="s">
        <v>1575</v>
      </c>
      <c r="G778" t="s">
        <v>1574</v>
      </c>
      <c r="H778" t="s">
        <v>1574</v>
      </c>
      <c r="I778" t="s">
        <v>1576</v>
      </c>
      <c r="J778" t="s">
        <v>1573</v>
      </c>
      <c r="K778" t="s">
        <v>1577</v>
      </c>
      <c r="L778" t="s">
        <v>1574</v>
      </c>
      <c r="M778" t="s">
        <v>1574</v>
      </c>
      <c r="N778" t="s">
        <v>1574</v>
      </c>
      <c r="O778" t="s">
        <v>1578</v>
      </c>
      <c r="P778" t="s">
        <v>1576</v>
      </c>
      <c r="Q778" t="s">
        <v>1579</v>
      </c>
      <c r="R778" t="s">
        <v>1580</v>
      </c>
      <c r="S778" t="s">
        <v>1580</v>
      </c>
      <c r="T778" t="s">
        <v>1576</v>
      </c>
      <c r="U778" t="s">
        <v>1576</v>
      </c>
      <c r="V778" t="str" cm="1">
        <f t="array" aca="1" ref="V778" ca="1">IFERROR(_xlfn.IFS(A776="  ..............",OFFSET(A776,2,0),A775=" X-------------X",OFFSET(A775,3,0),MATCH("  ..............",A778:A787,0)&gt;2,V777),"-")</f>
        <v>-</v>
      </c>
      <c r="W778" t="str">
        <f t="shared" ca="1" si="36"/>
        <v>-</v>
      </c>
      <c r="X778" t="str">
        <f t="shared" ca="1" si="37"/>
        <v/>
      </c>
      <c r="Y778" s="1" t="str">
        <f t="shared" ca="1" si="38"/>
        <v/>
      </c>
    </row>
    <row r="779" spans="1:25" x14ac:dyDescent="0.25">
      <c r="A779" t="s">
        <v>2227</v>
      </c>
      <c r="B779">
        <v>1.0129999999999999</v>
      </c>
      <c r="C779">
        <v>14.2</v>
      </c>
      <c r="D779">
        <v>0</v>
      </c>
      <c r="E779">
        <v>78.8</v>
      </c>
      <c r="F779">
        <v>0</v>
      </c>
      <c r="G779">
        <v>30.8</v>
      </c>
      <c r="H779">
        <v>0</v>
      </c>
      <c r="I779" t="s">
        <v>1581</v>
      </c>
      <c r="J779" t="s">
        <v>1581</v>
      </c>
      <c r="K779" t="s">
        <v>1581</v>
      </c>
      <c r="L779" t="s">
        <v>1581</v>
      </c>
      <c r="M779" t="s">
        <v>1581</v>
      </c>
      <c r="N779" t="s">
        <v>1581</v>
      </c>
      <c r="O779" t="s">
        <v>1581</v>
      </c>
      <c r="P779" t="s">
        <v>1581</v>
      </c>
      <c r="Q779" t="s">
        <v>1581</v>
      </c>
      <c r="R779" t="s">
        <v>1581</v>
      </c>
      <c r="S779" t="s">
        <v>1581</v>
      </c>
      <c r="T779" t="s">
        <v>1581</v>
      </c>
      <c r="U779" t="s">
        <v>1581</v>
      </c>
      <c r="V779" t="str" cm="1">
        <f t="array" aca="1" ref="V779" ca="1">IFERROR(_xlfn.IFS(A777="  ..............",OFFSET(A777,2,0),A776=" X-------------X",OFFSET(A776,3,0),MATCH("  ..............",A779:A788,0)&gt;2,V778),"-")</f>
        <v>-</v>
      </c>
      <c r="W779" t="str">
        <f t="shared" ca="1" si="36"/>
        <v>-</v>
      </c>
      <c r="X779" t="str">
        <f t="shared" ca="1" si="37"/>
        <v xml:space="preserve">              </v>
      </c>
      <c r="Y779" s="1">
        <f t="shared" ca="1" si="38"/>
        <v>0</v>
      </c>
    </row>
    <row r="780" spans="1:25" x14ac:dyDescent="0.25">
      <c r="A780" t="s">
        <v>2228</v>
      </c>
      <c r="B780">
        <v>-48</v>
      </c>
      <c r="C780">
        <v>0</v>
      </c>
      <c r="D780">
        <v>0</v>
      </c>
      <c r="E780">
        <v>24.9</v>
      </c>
      <c r="F780">
        <v>0</v>
      </c>
      <c r="G780">
        <v>0</v>
      </c>
      <c r="H780">
        <v>0</v>
      </c>
      <c r="I780" t="s">
        <v>1584</v>
      </c>
      <c r="J780" t="s">
        <v>1585</v>
      </c>
      <c r="K780" t="s">
        <v>1586</v>
      </c>
      <c r="L780" t="s">
        <v>1587</v>
      </c>
      <c r="M780" t="s">
        <v>1587</v>
      </c>
      <c r="N780" t="s">
        <v>1586</v>
      </c>
      <c r="O780" t="s">
        <v>1581</v>
      </c>
      <c r="P780" t="s">
        <v>1581</v>
      </c>
      <c r="Q780" t="s">
        <v>1581</v>
      </c>
      <c r="R780" t="s">
        <v>1581</v>
      </c>
      <c r="S780" t="s">
        <v>1581</v>
      </c>
      <c r="T780" t="s">
        <v>1581</v>
      </c>
      <c r="U780" t="s">
        <v>1581</v>
      </c>
      <c r="V780" t="str" cm="1">
        <f t="array" aca="1" ref="V780" ca="1">IFERROR(_xlfn.IFS(A778="  ..............",OFFSET(A778,2,0),A777=" X-------------X",OFFSET(A777,3,0),MATCH("  ..............",A780:A789,0)&gt;2,V779),"-")</f>
        <v xml:space="preserve">  EREXIM-RS138  </v>
      </c>
      <c r="W780">
        <f t="shared" ca="1" si="36"/>
        <v>1.0129999999999999</v>
      </c>
      <c r="X780" t="str">
        <f t="shared" ca="1" si="37"/>
        <v xml:space="preserve"> PFUNDO-RS138 </v>
      </c>
      <c r="Y780" s="1">
        <f t="shared" ca="1" si="38"/>
        <v>0.39100000000000001</v>
      </c>
    </row>
    <row r="781" spans="1:25" x14ac:dyDescent="0.25">
      <c r="A781" t="s">
        <v>1588</v>
      </c>
      <c r="B781" t="s">
        <v>1587</v>
      </c>
      <c r="C781">
        <v>167</v>
      </c>
      <c r="D781">
        <v>167</v>
      </c>
      <c r="E781">
        <v>167</v>
      </c>
      <c r="F781" s="1">
        <v>0.38300000000000001</v>
      </c>
      <c r="G781" t="s">
        <v>1587</v>
      </c>
      <c r="H781" t="s">
        <v>1587</v>
      </c>
      <c r="I781">
        <v>1042</v>
      </c>
      <c r="J781" t="s">
        <v>1602</v>
      </c>
      <c r="K781">
        <v>1</v>
      </c>
      <c r="L781">
        <v>-64.599999999999994</v>
      </c>
      <c r="M781">
        <v>5.9</v>
      </c>
      <c r="N781">
        <v>64</v>
      </c>
      <c r="O781" t="s">
        <v>1594</v>
      </c>
      <c r="P781" t="s">
        <v>1584</v>
      </c>
      <c r="Q781" t="s">
        <v>1591</v>
      </c>
      <c r="R781">
        <v>2.1</v>
      </c>
      <c r="S781">
        <v>2.0499999999999998</v>
      </c>
      <c r="T781" t="s">
        <v>1584</v>
      </c>
      <c r="U781" t="s">
        <v>1592</v>
      </c>
      <c r="V781" t="str" cm="1">
        <f t="array" aca="1" ref="V781" ca="1">IFERROR(_xlfn.IFS(A779="  ..............",OFFSET(A779,2,0),A778=" X-------------X",OFFSET(A778,3,0),MATCH("  ..............",A781:A790,0)&gt;2,V780),"-")</f>
        <v xml:space="preserve">  EREXIM-RS138  </v>
      </c>
      <c r="W781">
        <f t="shared" ca="1" si="36"/>
        <v>1.0129999999999999</v>
      </c>
      <c r="X781" t="str">
        <f t="shared" ca="1" si="37"/>
        <v xml:space="preserve"> EREXI2-RS138 </v>
      </c>
      <c r="Y781" s="1">
        <f t="shared" ca="1" si="38"/>
        <v>0.251</v>
      </c>
    </row>
    <row r="782" spans="1:25" x14ac:dyDescent="0.25">
      <c r="A782" t="s">
        <v>1637</v>
      </c>
      <c r="B782" t="s">
        <v>1638</v>
      </c>
      <c r="C782">
        <v>143</v>
      </c>
      <c r="D782">
        <v>172</v>
      </c>
      <c r="E782">
        <v>172</v>
      </c>
      <c r="F782" t="s">
        <v>1639</v>
      </c>
      <c r="G782" t="s">
        <v>1587</v>
      </c>
      <c r="H782" t="s">
        <v>1587</v>
      </c>
      <c r="I782">
        <v>1310</v>
      </c>
      <c r="J782" t="s">
        <v>2116</v>
      </c>
      <c r="K782">
        <v>1</v>
      </c>
      <c r="L782">
        <v>0</v>
      </c>
      <c r="M782">
        <v>0</v>
      </c>
      <c r="N782">
        <v>0</v>
      </c>
      <c r="O782" t="s">
        <v>1594</v>
      </c>
      <c r="P782" t="s">
        <v>1584</v>
      </c>
      <c r="Q782" t="s">
        <v>1591</v>
      </c>
      <c r="R782">
        <v>0</v>
      </c>
      <c r="S782">
        <v>0</v>
      </c>
      <c r="T782" t="s">
        <v>1584</v>
      </c>
      <c r="U782" t="s">
        <v>1592</v>
      </c>
      <c r="V782" t="str" cm="1">
        <f t="array" aca="1" ref="V782" ca="1">IFERROR(_xlfn.IFS(A780="  ..............",OFFSET(A780,2,0),A779=" X-------------X",OFFSET(A779,3,0),MATCH("  ..............",A782:A791,0)&gt;2,V781),"-")</f>
        <v>-</v>
      </c>
      <c r="W782" t="str">
        <f t="shared" ca="1" si="36"/>
        <v>-</v>
      </c>
      <c r="X782" t="str">
        <f t="shared" ca="1" si="37"/>
        <v>-</v>
      </c>
      <c r="Y782" s="1" t="str">
        <f t="shared" ca="1" si="38"/>
        <v>-</v>
      </c>
    </row>
    <row r="783" spans="1:25" x14ac:dyDescent="0.25">
      <c r="A783" t="s">
        <v>1572</v>
      </c>
      <c r="B783" t="s">
        <v>1574</v>
      </c>
      <c r="C783" t="s">
        <v>1574</v>
      </c>
      <c r="D783" t="s">
        <v>1574</v>
      </c>
      <c r="E783" t="s">
        <v>1574</v>
      </c>
      <c r="F783" t="s">
        <v>1575</v>
      </c>
      <c r="G783" t="s">
        <v>1574</v>
      </c>
      <c r="H783" t="s">
        <v>1574</v>
      </c>
      <c r="I783" t="s">
        <v>1576</v>
      </c>
      <c r="J783" t="s">
        <v>1573</v>
      </c>
      <c r="K783" t="s">
        <v>1577</v>
      </c>
      <c r="L783" t="s">
        <v>1574</v>
      </c>
      <c r="M783" t="s">
        <v>1574</v>
      </c>
      <c r="N783" t="s">
        <v>1574</v>
      </c>
      <c r="O783" t="s">
        <v>1578</v>
      </c>
      <c r="P783" t="s">
        <v>1576</v>
      </c>
      <c r="Q783" t="s">
        <v>1579</v>
      </c>
      <c r="R783" t="s">
        <v>1580</v>
      </c>
      <c r="S783" t="s">
        <v>1580</v>
      </c>
      <c r="T783" t="s">
        <v>1576</v>
      </c>
      <c r="U783" t="s">
        <v>1576</v>
      </c>
      <c r="V783" t="str" cm="1">
        <f t="array" aca="1" ref="V783" ca="1">IFERROR(_xlfn.IFS(A781="  ..............",OFFSET(A781,2,0),A780=" X-------------X",OFFSET(A780,3,0),MATCH("  ..............",A783:A792,0)&gt;2,V782),"-")</f>
        <v>-</v>
      </c>
      <c r="W783" t="str">
        <f t="shared" ca="1" si="36"/>
        <v>-</v>
      </c>
      <c r="X783" t="str">
        <f t="shared" ca="1" si="37"/>
        <v/>
      </c>
      <c r="Y783" s="1" t="str">
        <f t="shared" ca="1" si="38"/>
        <v/>
      </c>
    </row>
    <row r="784" spans="1:25" x14ac:dyDescent="0.25">
      <c r="A784" t="s">
        <v>2229</v>
      </c>
      <c r="B784">
        <v>1.0169999999999999</v>
      </c>
      <c r="C784">
        <v>2.6</v>
      </c>
      <c r="D784">
        <v>0</v>
      </c>
      <c r="E784">
        <v>21.6</v>
      </c>
      <c r="F784">
        <v>0</v>
      </c>
      <c r="G784">
        <v>3.7</v>
      </c>
      <c r="H784">
        <v>0</v>
      </c>
      <c r="I784" t="s">
        <v>1581</v>
      </c>
      <c r="J784" t="s">
        <v>1581</v>
      </c>
      <c r="K784" t="s">
        <v>1581</v>
      </c>
      <c r="L784" t="s">
        <v>1581</v>
      </c>
      <c r="M784" t="s">
        <v>1581</v>
      </c>
      <c r="N784" t="s">
        <v>1581</v>
      </c>
      <c r="O784" t="s">
        <v>1581</v>
      </c>
      <c r="P784" t="s">
        <v>1581</v>
      </c>
      <c r="Q784" t="s">
        <v>1581</v>
      </c>
      <c r="R784" t="s">
        <v>1581</v>
      </c>
      <c r="S784" t="s">
        <v>1581</v>
      </c>
      <c r="T784" t="s">
        <v>1581</v>
      </c>
      <c r="U784" t="s">
        <v>1581</v>
      </c>
      <c r="V784" t="str" cm="1">
        <f t="array" aca="1" ref="V784" ca="1">IFERROR(_xlfn.IFS(A782="  ..............",OFFSET(A782,2,0),A781=" X-------------X",OFFSET(A781,3,0),MATCH("  ..............",A784:A793,0)&gt;2,V783),"-")</f>
        <v>-</v>
      </c>
      <c r="W784" t="str">
        <f t="shared" ca="1" si="36"/>
        <v>-</v>
      </c>
      <c r="X784" t="str">
        <f t="shared" ca="1" si="37"/>
        <v xml:space="preserve">              </v>
      </c>
      <c r="Y784" s="1">
        <f t="shared" ca="1" si="38"/>
        <v>0</v>
      </c>
    </row>
    <row r="785" spans="1:25" x14ac:dyDescent="0.25">
      <c r="A785" t="s">
        <v>2230</v>
      </c>
      <c r="B785">
        <v>-53.1</v>
      </c>
      <c r="C785">
        <v>0</v>
      </c>
      <c r="D785">
        <v>0</v>
      </c>
      <c r="E785">
        <v>5.2</v>
      </c>
      <c r="F785">
        <v>0</v>
      </c>
      <c r="G785">
        <v>0</v>
      </c>
      <c r="H785">
        <v>0</v>
      </c>
      <c r="I785" t="s">
        <v>1584</v>
      </c>
      <c r="J785" t="s">
        <v>1585</v>
      </c>
      <c r="K785" t="s">
        <v>1586</v>
      </c>
      <c r="L785" t="s">
        <v>1587</v>
      </c>
      <c r="M785" t="s">
        <v>1587</v>
      </c>
      <c r="N785" t="s">
        <v>1586</v>
      </c>
      <c r="O785" t="s">
        <v>1581</v>
      </c>
      <c r="P785" t="s">
        <v>1581</v>
      </c>
      <c r="Q785" t="s">
        <v>1581</v>
      </c>
      <c r="R785" t="s">
        <v>1581</v>
      </c>
      <c r="S785" t="s">
        <v>1581</v>
      </c>
      <c r="T785" t="s">
        <v>1581</v>
      </c>
      <c r="U785" t="s">
        <v>1581</v>
      </c>
      <c r="V785" t="str" cm="1">
        <f t="array" aca="1" ref="V785" ca="1">IFERROR(_xlfn.IFS(A783="  ..............",OFFSET(A783,2,0),A782=" X-------------X",OFFSET(A782,3,0),MATCH("  ..............",A785:A794,0)&gt;2,V784),"-")</f>
        <v xml:space="preserve">  PORTAO-RS138  </v>
      </c>
      <c r="W785">
        <f t="shared" ca="1" si="36"/>
        <v>1.0169999999999999</v>
      </c>
      <c r="X785" t="str">
        <f t="shared" ca="1" si="37"/>
        <v xml:space="preserve"> SCHARL-RS138 </v>
      </c>
      <c r="Y785" s="1" t="str">
        <f t="shared" ca="1" si="38"/>
        <v xml:space="preserve">             </v>
      </c>
    </row>
    <row r="786" spans="1:25" x14ac:dyDescent="0.25">
      <c r="A786" t="s">
        <v>1588</v>
      </c>
      <c r="B786" t="s">
        <v>1587</v>
      </c>
      <c r="C786">
        <v>134</v>
      </c>
      <c r="D786">
        <v>162</v>
      </c>
      <c r="E786">
        <v>162</v>
      </c>
      <c r="F786" s="1">
        <v>0.14000000000000001</v>
      </c>
      <c r="G786" t="s">
        <v>1587</v>
      </c>
      <c r="H786" t="s">
        <v>1587</v>
      </c>
      <c r="I786">
        <v>2090</v>
      </c>
      <c r="J786" t="s">
        <v>1858</v>
      </c>
      <c r="K786">
        <v>1</v>
      </c>
      <c r="L786">
        <v>-19</v>
      </c>
      <c r="M786">
        <v>-1.5</v>
      </c>
      <c r="N786">
        <v>18.7</v>
      </c>
      <c r="O786" t="s">
        <v>1594</v>
      </c>
      <c r="P786" t="s">
        <v>1584</v>
      </c>
      <c r="Q786" t="s">
        <v>1591</v>
      </c>
      <c r="R786">
        <v>0.04</v>
      </c>
      <c r="S786">
        <v>-0.69</v>
      </c>
      <c r="T786" t="s">
        <v>1584</v>
      </c>
      <c r="U786" t="s">
        <v>1592</v>
      </c>
      <c r="V786" t="str" cm="1">
        <f t="array" aca="1" ref="V786" ca="1">IFERROR(_xlfn.IFS(A784="  ..............",OFFSET(A784,2,0),A783=" X-------------X",OFFSET(A783,3,0),MATCH("  ..............",A786:A795,0)&gt;2,V785),"-")</f>
        <v xml:space="preserve">  PORTAO-RS138  </v>
      </c>
      <c r="W786">
        <f t="shared" ca="1" si="36"/>
        <v>1.0169999999999999</v>
      </c>
      <c r="X786" t="str">
        <f t="shared" ca="1" si="37"/>
        <v xml:space="preserve"> SSCAI2-RS138 </v>
      </c>
      <c r="Y786" s="1">
        <f t="shared" ca="1" si="38"/>
        <v>0.308</v>
      </c>
    </row>
    <row r="787" spans="1:25" x14ac:dyDescent="0.25">
      <c r="A787" t="s">
        <v>1637</v>
      </c>
      <c r="B787" t="s">
        <v>1638</v>
      </c>
      <c r="C787">
        <v>134</v>
      </c>
      <c r="D787">
        <v>162</v>
      </c>
      <c r="E787">
        <v>162</v>
      </c>
      <c r="F787" t="s">
        <v>1639</v>
      </c>
      <c r="G787" t="s">
        <v>1587</v>
      </c>
      <c r="H787" t="s">
        <v>1587</v>
      </c>
      <c r="I787">
        <v>10308</v>
      </c>
      <c r="J787" t="s">
        <v>1855</v>
      </c>
      <c r="K787">
        <v>1</v>
      </c>
      <c r="L787">
        <v>0</v>
      </c>
      <c r="M787">
        <v>0</v>
      </c>
      <c r="N787">
        <v>0</v>
      </c>
      <c r="O787" t="s">
        <v>1594</v>
      </c>
      <c r="P787" t="s">
        <v>1584</v>
      </c>
      <c r="Q787" t="s">
        <v>1591</v>
      </c>
      <c r="R787">
        <v>0</v>
      </c>
      <c r="S787">
        <v>0</v>
      </c>
      <c r="T787" t="s">
        <v>1584</v>
      </c>
      <c r="U787" t="s">
        <v>1592</v>
      </c>
      <c r="V787" t="str" cm="1">
        <f t="array" aca="1" ref="V787" ca="1">IFERROR(_xlfn.IFS(A785="  ..............",OFFSET(A785,2,0),A784=" X-------------X",OFFSET(A784,3,0),MATCH("  ..............",A787:A796,0)&gt;2,V786),"-")</f>
        <v>-</v>
      </c>
      <c r="W787" t="str">
        <f t="shared" ca="1" si="36"/>
        <v>-</v>
      </c>
      <c r="X787" t="str">
        <f t="shared" ca="1" si="37"/>
        <v>-</v>
      </c>
      <c r="Y787" s="1" t="str">
        <f t="shared" ca="1" si="38"/>
        <v>-</v>
      </c>
    </row>
    <row r="788" spans="1:25" x14ac:dyDescent="0.25">
      <c r="A788" t="s">
        <v>1572</v>
      </c>
      <c r="B788" t="s">
        <v>1574</v>
      </c>
      <c r="C788" t="s">
        <v>1574</v>
      </c>
      <c r="D788" t="s">
        <v>1574</v>
      </c>
      <c r="E788" t="s">
        <v>1574</v>
      </c>
      <c r="F788" t="s">
        <v>1575</v>
      </c>
      <c r="G788" t="s">
        <v>1574</v>
      </c>
      <c r="H788" t="s">
        <v>1574</v>
      </c>
      <c r="I788" t="s">
        <v>1576</v>
      </c>
      <c r="J788" t="s">
        <v>1573</v>
      </c>
      <c r="K788" t="s">
        <v>1577</v>
      </c>
      <c r="L788" t="s">
        <v>1574</v>
      </c>
      <c r="M788" t="s">
        <v>1574</v>
      </c>
      <c r="N788" t="s">
        <v>1574</v>
      </c>
      <c r="O788" t="s">
        <v>1578</v>
      </c>
      <c r="P788" t="s">
        <v>1576</v>
      </c>
      <c r="Q788" t="s">
        <v>1579</v>
      </c>
      <c r="R788" t="s">
        <v>1580</v>
      </c>
      <c r="S788" t="s">
        <v>1580</v>
      </c>
      <c r="T788" t="s">
        <v>1576</v>
      </c>
      <c r="U788" t="s">
        <v>1576</v>
      </c>
      <c r="V788" t="str" cm="1">
        <f t="array" aca="1" ref="V788" ca="1">IFERROR(_xlfn.IFS(A786="  ..............",OFFSET(A786,2,0),A785=" X-------------X",OFFSET(A785,3,0),MATCH("  ..............",A788:A797,0)&gt;2,V787),"-")</f>
        <v>-</v>
      </c>
      <c r="W788" t="str">
        <f t="shared" ca="1" si="36"/>
        <v>-</v>
      </c>
      <c r="X788" t="str">
        <f t="shared" ca="1" si="37"/>
        <v/>
      </c>
      <c r="Y788" s="1" t="str">
        <f t="shared" ca="1" si="38"/>
        <v/>
      </c>
    </row>
    <row r="789" spans="1:25" x14ac:dyDescent="0.25">
      <c r="A789" t="s">
        <v>2231</v>
      </c>
      <c r="B789">
        <v>1.0229999999999999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 t="s">
        <v>1581</v>
      </c>
      <c r="J789" t="s">
        <v>1581</v>
      </c>
      <c r="K789" t="s">
        <v>1581</v>
      </c>
      <c r="L789" t="s">
        <v>1581</v>
      </c>
      <c r="M789" t="s">
        <v>1581</v>
      </c>
      <c r="N789" t="s">
        <v>1581</v>
      </c>
      <c r="O789" t="s">
        <v>1581</v>
      </c>
      <c r="P789" t="s">
        <v>1581</v>
      </c>
      <c r="Q789" t="s">
        <v>1581</v>
      </c>
      <c r="R789" t="s">
        <v>1581</v>
      </c>
      <c r="S789" t="s">
        <v>1581</v>
      </c>
      <c r="T789" t="s">
        <v>1581</v>
      </c>
      <c r="U789" t="s">
        <v>1581</v>
      </c>
      <c r="V789" t="str" cm="1">
        <f t="array" aca="1" ref="V789" ca="1">IFERROR(_xlfn.IFS(A787="  ..............",OFFSET(A787,2,0),A786=" X-------------X",OFFSET(A786,3,0),MATCH("  ..............",A789:A798,0)&gt;2,V788),"-")</f>
        <v>-</v>
      </c>
      <c r="W789" t="str">
        <f t="shared" ca="1" si="36"/>
        <v>-</v>
      </c>
      <c r="X789" t="str">
        <f t="shared" ca="1" si="37"/>
        <v xml:space="preserve">              </v>
      </c>
      <c r="Y789" s="1">
        <f t="shared" ca="1" si="38"/>
        <v>0</v>
      </c>
    </row>
    <row r="790" spans="1:25" x14ac:dyDescent="0.25">
      <c r="A790" t="s">
        <v>2232</v>
      </c>
      <c r="B790">
        <v>-51.5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1584</v>
      </c>
      <c r="J790" t="s">
        <v>1585</v>
      </c>
      <c r="K790" t="s">
        <v>1586</v>
      </c>
      <c r="L790" t="s">
        <v>1587</v>
      </c>
      <c r="M790" t="s">
        <v>1587</v>
      </c>
      <c r="N790" t="s">
        <v>1586</v>
      </c>
      <c r="O790" t="s">
        <v>1581</v>
      </c>
      <c r="P790" t="s">
        <v>1581</v>
      </c>
      <c r="Q790" t="s">
        <v>1581</v>
      </c>
      <c r="R790" t="s">
        <v>1581</v>
      </c>
      <c r="S790" t="s">
        <v>1581</v>
      </c>
      <c r="T790" t="s">
        <v>1581</v>
      </c>
      <c r="U790" t="s">
        <v>1581</v>
      </c>
      <c r="V790" t="str" cm="1">
        <f t="array" aca="1" ref="V790" ca="1">IFERROR(_xlfn.IFS(A788="  ..............",OFFSET(A788,2,0),A787=" X-------------X",OFFSET(A787,3,0),MATCH("  ..............",A790:A799,0)&gt;2,V789),"-")</f>
        <v xml:space="preserve">  PPETRO-RS069  </v>
      </c>
      <c r="W790">
        <f t="shared" ca="1" si="36"/>
        <v>1.0229999999999999</v>
      </c>
      <c r="X790" t="str">
        <f t="shared" ca="1" si="37"/>
        <v xml:space="preserve"> POLINDTAP069 </v>
      </c>
      <c r="Y790" s="1">
        <f t="shared" ca="1" si="38"/>
        <v>0.217</v>
      </c>
    </row>
    <row r="791" spans="1:25" x14ac:dyDescent="0.25">
      <c r="A791" t="s">
        <v>1588</v>
      </c>
      <c r="B791" t="s">
        <v>1587</v>
      </c>
      <c r="C791">
        <v>83</v>
      </c>
      <c r="D791">
        <v>83</v>
      </c>
      <c r="E791">
        <v>83</v>
      </c>
      <c r="F791" s="1">
        <v>0.217</v>
      </c>
      <c r="G791" t="s">
        <v>1587</v>
      </c>
      <c r="H791" t="s">
        <v>1587</v>
      </c>
      <c r="I791">
        <v>1334</v>
      </c>
      <c r="J791" t="s">
        <v>2233</v>
      </c>
      <c r="K791">
        <v>1</v>
      </c>
      <c r="L791">
        <v>17</v>
      </c>
      <c r="M791">
        <v>7</v>
      </c>
      <c r="N791">
        <v>18</v>
      </c>
      <c r="O791" t="s">
        <v>1594</v>
      </c>
      <c r="P791" t="s">
        <v>1584</v>
      </c>
      <c r="Q791" t="s">
        <v>1591</v>
      </c>
      <c r="R791">
        <v>7.0000000000000007E-2</v>
      </c>
      <c r="S791">
        <v>0.13</v>
      </c>
      <c r="T791" t="s">
        <v>1584</v>
      </c>
      <c r="U791" t="s">
        <v>1592</v>
      </c>
      <c r="V791" t="str" cm="1">
        <f t="array" aca="1" ref="V791" ca="1">IFERROR(_xlfn.IFS(A789="  ..............",OFFSET(A789,2,0),A788=" X-------------X",OFFSET(A788,3,0),MATCH("  ..............",A791:A800,0)&gt;2,V790),"-")</f>
        <v xml:space="preserve">  PPETRO-RS069  </v>
      </c>
      <c r="W791">
        <f t="shared" ca="1" si="36"/>
        <v>1.0229999999999999</v>
      </c>
      <c r="X791" t="str">
        <f t="shared" ca="1" si="37"/>
        <v xml:space="preserve"> SITEL-TAP069 </v>
      </c>
      <c r="Y791" s="1">
        <f t="shared" ca="1" si="38"/>
        <v>0.56499999999999995</v>
      </c>
    </row>
    <row r="792" spans="1:25" x14ac:dyDescent="0.25">
      <c r="A792" t="s">
        <v>1588</v>
      </c>
      <c r="B792" t="s">
        <v>1587</v>
      </c>
      <c r="C792">
        <v>84</v>
      </c>
      <c r="D792">
        <v>101</v>
      </c>
      <c r="E792">
        <v>101</v>
      </c>
      <c r="F792" s="1">
        <v>0.33500000000000002</v>
      </c>
      <c r="G792" t="s">
        <v>1587</v>
      </c>
      <c r="H792" t="s">
        <v>1587</v>
      </c>
      <c r="I792">
        <v>1339</v>
      </c>
      <c r="J792" t="s">
        <v>2119</v>
      </c>
      <c r="K792">
        <v>1</v>
      </c>
      <c r="L792">
        <v>28.4</v>
      </c>
      <c r="M792">
        <v>5</v>
      </c>
      <c r="N792">
        <v>28.1</v>
      </c>
      <c r="O792" t="s">
        <v>1594</v>
      </c>
      <c r="P792" t="s">
        <v>1584</v>
      </c>
      <c r="Q792" t="s">
        <v>1591</v>
      </c>
      <c r="R792">
        <v>0.08</v>
      </c>
      <c r="S792">
        <v>0.23</v>
      </c>
      <c r="T792" t="s">
        <v>1584</v>
      </c>
      <c r="U792" t="s">
        <v>1592</v>
      </c>
      <c r="V792" t="str" cm="1">
        <f t="array" aca="1" ref="V792" ca="1">IFERROR(_xlfn.IFS(A790="  ..............",OFFSET(A790,2,0),A789=" X-------------X",OFFSET(A789,3,0),MATCH("  ..............",A792:A801,0)&gt;2,V791),"-")</f>
        <v xml:space="preserve">  PPETRO-RS069  </v>
      </c>
      <c r="W792">
        <f t="shared" ca="1" si="36"/>
        <v>1.0229999999999999</v>
      </c>
      <c r="X792" t="str">
        <f t="shared" ca="1" si="37"/>
        <v xml:space="preserve"> CERTAJ-RS069 </v>
      </c>
      <c r="Y792" s="1">
        <f t="shared" ca="1" si="38"/>
        <v>0.34</v>
      </c>
    </row>
    <row r="793" spans="1:25" x14ac:dyDescent="0.25">
      <c r="A793" t="s">
        <v>1588</v>
      </c>
      <c r="B793" t="s">
        <v>1587</v>
      </c>
      <c r="C793">
        <v>62</v>
      </c>
      <c r="D793">
        <v>74</v>
      </c>
      <c r="E793">
        <v>74</v>
      </c>
      <c r="F793" s="1">
        <v>0.34</v>
      </c>
      <c r="G793" t="s">
        <v>1587</v>
      </c>
      <c r="H793" t="s">
        <v>1587</v>
      </c>
      <c r="I793">
        <v>9692</v>
      </c>
      <c r="J793" t="s">
        <v>2234</v>
      </c>
      <c r="K793">
        <v>1</v>
      </c>
      <c r="L793">
        <v>21</v>
      </c>
      <c r="M793">
        <v>4.8</v>
      </c>
      <c r="N793">
        <v>21.1</v>
      </c>
      <c r="O793" t="s">
        <v>1594</v>
      </c>
      <c r="P793" t="s">
        <v>1584</v>
      </c>
      <c r="Q793" t="s">
        <v>1591</v>
      </c>
      <c r="R793">
        <v>0.22</v>
      </c>
      <c r="S793">
        <v>0.53</v>
      </c>
      <c r="T793" t="s">
        <v>1584</v>
      </c>
      <c r="U793" t="s">
        <v>1592</v>
      </c>
      <c r="V793" t="str" cm="1">
        <f t="array" aca="1" ref="V793" ca="1">IFERROR(_xlfn.IFS(A791="  ..............",OFFSET(A791,2,0),A790=" X-------------X",OFFSET(A790,3,0),MATCH("  ..............",A793:A802,0)&gt;2,V792),"-")</f>
        <v xml:space="preserve">  PPETRO-RS069  </v>
      </c>
      <c r="W793">
        <f t="shared" ca="1" si="36"/>
        <v>1.0229999999999999</v>
      </c>
      <c r="X793" t="str">
        <f t="shared" ca="1" si="37"/>
        <v xml:space="preserve"> PPE--7-RS000 </v>
      </c>
      <c r="Y793" s="1">
        <f t="shared" ca="1" si="38"/>
        <v>0.20399999999999999</v>
      </c>
    </row>
    <row r="794" spans="1:25" x14ac:dyDescent="0.25">
      <c r="A794" t="s">
        <v>1588</v>
      </c>
      <c r="B794" t="s">
        <v>1587</v>
      </c>
      <c r="C794">
        <v>165</v>
      </c>
      <c r="D794">
        <v>198</v>
      </c>
      <c r="E794">
        <v>198</v>
      </c>
      <c r="F794" s="1">
        <v>0.20399999999999999</v>
      </c>
      <c r="G794" t="s">
        <v>1587</v>
      </c>
      <c r="H794" t="s">
        <v>1587</v>
      </c>
      <c r="I794">
        <v>41339</v>
      </c>
      <c r="J794" t="s">
        <v>2235</v>
      </c>
      <c r="K794">
        <v>7</v>
      </c>
      <c r="L794">
        <v>-33.4</v>
      </c>
      <c r="M794">
        <v>-8.4</v>
      </c>
      <c r="N794">
        <v>33.6</v>
      </c>
      <c r="O794" t="s">
        <v>1608</v>
      </c>
      <c r="P794" t="s">
        <v>1584</v>
      </c>
      <c r="Q794">
        <v>2</v>
      </c>
      <c r="R794">
        <v>0.01</v>
      </c>
      <c r="S794">
        <v>-0.08</v>
      </c>
      <c r="T794" t="s">
        <v>1584</v>
      </c>
      <c r="U794" t="s">
        <v>1592</v>
      </c>
      <c r="V794" t="str" cm="1">
        <f t="array" aca="1" ref="V794" ca="1">IFERROR(_xlfn.IFS(A792="  ..............",OFFSET(A792,2,0),A791=" X-------------X",OFFSET(A791,3,0),MATCH("  ..............",A794:A803,0)&gt;2,V793),"-")</f>
        <v xml:space="preserve">  PPETRO-RS069  </v>
      </c>
      <c r="W794">
        <f t="shared" ca="1" si="36"/>
        <v>1.0229999999999999</v>
      </c>
      <c r="X794" t="str">
        <f t="shared" ca="1" si="37"/>
        <v xml:space="preserve"> PPE--8-RS000 </v>
      </c>
      <c r="Y794" s="1">
        <f t="shared" ca="1" si="38"/>
        <v>0.20200000000000001</v>
      </c>
    </row>
    <row r="795" spans="1:25" x14ac:dyDescent="0.25">
      <c r="A795" t="s">
        <v>1588</v>
      </c>
      <c r="B795" t="s">
        <v>1587</v>
      </c>
      <c r="C795">
        <v>165</v>
      </c>
      <c r="D795">
        <v>198</v>
      </c>
      <c r="E795">
        <v>198</v>
      </c>
      <c r="F795" s="1">
        <v>0.20200000000000001</v>
      </c>
      <c r="G795" t="s">
        <v>1587</v>
      </c>
      <c r="H795" t="s">
        <v>1587</v>
      </c>
      <c r="I795">
        <v>41341</v>
      </c>
      <c r="J795" t="s">
        <v>2236</v>
      </c>
      <c r="K795">
        <v>8</v>
      </c>
      <c r="L795">
        <v>-33</v>
      </c>
      <c r="M795">
        <v>-8.4</v>
      </c>
      <c r="N795">
        <v>33.299999999999997</v>
      </c>
      <c r="O795" t="s">
        <v>1608</v>
      </c>
      <c r="P795" t="s">
        <v>1584</v>
      </c>
      <c r="Q795">
        <v>2</v>
      </c>
      <c r="R795">
        <v>0.01</v>
      </c>
      <c r="S795">
        <v>-0.09</v>
      </c>
      <c r="T795" t="s">
        <v>1584</v>
      </c>
      <c r="U795" t="s">
        <v>1592</v>
      </c>
      <c r="V795" t="str" cm="1">
        <f t="array" aca="1" ref="V795" ca="1">IFERROR(_xlfn.IFS(A793="  ..............",OFFSET(A793,2,0),A792=" X-------------X",OFFSET(A792,3,0),MATCH("  ..............",A795:A804,0)&gt;2,V794),"-")</f>
        <v>-</v>
      </c>
      <c r="W795" t="str">
        <f t="shared" ca="1" si="36"/>
        <v>-</v>
      </c>
      <c r="X795" t="str">
        <f t="shared" ca="1" si="37"/>
        <v>-</v>
      </c>
      <c r="Y795" s="1" t="str">
        <f t="shared" ca="1" si="38"/>
        <v>-</v>
      </c>
    </row>
    <row r="796" spans="1:25" x14ac:dyDescent="0.25">
      <c r="A796" t="s">
        <v>1572</v>
      </c>
      <c r="B796" t="s">
        <v>1574</v>
      </c>
      <c r="C796" t="s">
        <v>1574</v>
      </c>
      <c r="D796" t="s">
        <v>1574</v>
      </c>
      <c r="E796" t="s">
        <v>1574</v>
      </c>
      <c r="F796" t="s">
        <v>1575</v>
      </c>
      <c r="G796" t="s">
        <v>1574</v>
      </c>
      <c r="H796" t="s">
        <v>1574</v>
      </c>
      <c r="I796" t="s">
        <v>1576</v>
      </c>
      <c r="J796" t="s">
        <v>1573</v>
      </c>
      <c r="K796" t="s">
        <v>1577</v>
      </c>
      <c r="L796" t="s">
        <v>1574</v>
      </c>
      <c r="M796" t="s">
        <v>1574</v>
      </c>
      <c r="N796" t="s">
        <v>1574</v>
      </c>
      <c r="O796" t="s">
        <v>1578</v>
      </c>
      <c r="P796" t="s">
        <v>1576</v>
      </c>
      <c r="Q796" t="s">
        <v>1579</v>
      </c>
      <c r="R796" t="s">
        <v>1580</v>
      </c>
      <c r="S796" t="s">
        <v>1580</v>
      </c>
      <c r="T796" t="s">
        <v>1576</v>
      </c>
      <c r="U796" t="s">
        <v>1576</v>
      </c>
      <c r="V796" t="str" cm="1">
        <f t="array" aca="1" ref="V796" ca="1">IFERROR(_xlfn.IFS(A794="  ..............",OFFSET(A794,2,0),A793=" X-------------X",OFFSET(A793,3,0),MATCH("  ..............",A796:A805,0)&gt;2,V795),"-")</f>
        <v>-</v>
      </c>
      <c r="W796" t="str">
        <f t="shared" ca="1" si="36"/>
        <v>-</v>
      </c>
      <c r="X796" t="str">
        <f t="shared" ca="1" si="37"/>
        <v/>
      </c>
      <c r="Y796" s="1" t="str">
        <f t="shared" ca="1" si="38"/>
        <v/>
      </c>
    </row>
    <row r="797" spans="1:25" x14ac:dyDescent="0.25">
      <c r="A797" t="s">
        <v>2237</v>
      </c>
      <c r="B797">
        <v>1.0049999999999999</v>
      </c>
      <c r="C797">
        <v>4.7</v>
      </c>
      <c r="D797">
        <v>0</v>
      </c>
      <c r="E797">
        <v>21</v>
      </c>
      <c r="F797">
        <v>0</v>
      </c>
      <c r="G797">
        <v>1.8</v>
      </c>
      <c r="H797">
        <v>0</v>
      </c>
      <c r="I797" t="s">
        <v>1581</v>
      </c>
      <c r="J797" t="s">
        <v>1581</v>
      </c>
      <c r="K797" t="s">
        <v>1581</v>
      </c>
      <c r="L797" t="s">
        <v>1581</v>
      </c>
      <c r="M797" t="s">
        <v>1581</v>
      </c>
      <c r="N797" t="s">
        <v>1581</v>
      </c>
      <c r="O797" t="s">
        <v>1581</v>
      </c>
      <c r="P797" t="s">
        <v>1581</v>
      </c>
      <c r="Q797" t="s">
        <v>1581</v>
      </c>
      <c r="R797" t="s">
        <v>1581</v>
      </c>
      <c r="S797" t="s">
        <v>1581</v>
      </c>
      <c r="T797" t="s">
        <v>1581</v>
      </c>
      <c r="U797" t="s">
        <v>1581</v>
      </c>
      <c r="V797" t="str" cm="1">
        <f t="array" aca="1" ref="V797" ca="1">IFERROR(_xlfn.IFS(A795="  ..............",OFFSET(A795,2,0),A794=" X-------------X",OFFSET(A794,3,0),MATCH("  ..............",A797:A806,0)&gt;2,V796),"-")</f>
        <v>-</v>
      </c>
      <c r="W797" t="str">
        <f t="shared" ca="1" si="36"/>
        <v>-</v>
      </c>
      <c r="X797" t="str">
        <f t="shared" ca="1" si="37"/>
        <v xml:space="preserve">              </v>
      </c>
      <c r="Y797" s="1">
        <f t="shared" ca="1" si="38"/>
        <v>0</v>
      </c>
    </row>
    <row r="798" spans="1:25" x14ac:dyDescent="0.25">
      <c r="A798" t="s">
        <v>2238</v>
      </c>
      <c r="B798">
        <v>-44.5</v>
      </c>
      <c r="C798">
        <v>0</v>
      </c>
      <c r="D798">
        <v>0</v>
      </c>
      <c r="E798">
        <v>7.7</v>
      </c>
      <c r="F798">
        <v>0</v>
      </c>
      <c r="G798">
        <v>0</v>
      </c>
      <c r="H798">
        <v>0</v>
      </c>
      <c r="I798" t="s">
        <v>1584</v>
      </c>
      <c r="J798" t="s">
        <v>1585</v>
      </c>
      <c r="K798" t="s">
        <v>1586</v>
      </c>
      <c r="L798" t="s">
        <v>1587</v>
      </c>
      <c r="M798" t="s">
        <v>1587</v>
      </c>
      <c r="N798" t="s">
        <v>1586</v>
      </c>
      <c r="O798" t="s">
        <v>1581</v>
      </c>
      <c r="P798" t="s">
        <v>1581</v>
      </c>
      <c r="Q798" t="s">
        <v>1581</v>
      </c>
      <c r="R798" t="s">
        <v>1581</v>
      </c>
      <c r="S798" t="s">
        <v>1581</v>
      </c>
      <c r="T798" t="s">
        <v>1581</v>
      </c>
      <c r="U798" t="s">
        <v>1581</v>
      </c>
      <c r="V798" t="str" cm="1">
        <f t="array" aca="1" ref="V798" ca="1">IFERROR(_xlfn.IFS(A796="  ..............",OFFSET(A796,2,0),A795=" X-------------X",OFFSET(A795,3,0),MATCH("  ..............",A798:A807,0)&gt;2,V797),"-")</f>
        <v xml:space="preserve">  MISSOE-RS069  </v>
      </c>
      <c r="W798">
        <f t="shared" ca="1" si="36"/>
        <v>1.0049999999999999</v>
      </c>
      <c r="X798" t="str">
        <f t="shared" ca="1" si="37"/>
        <v xml:space="preserve"> PSJOAO-RS069 </v>
      </c>
      <c r="Y798" s="1">
        <f t="shared" ca="1" si="38"/>
        <v>0.17</v>
      </c>
    </row>
    <row r="799" spans="1:25" x14ac:dyDescent="0.25">
      <c r="A799" t="s">
        <v>1588</v>
      </c>
      <c r="B799" t="s">
        <v>1587</v>
      </c>
      <c r="C799">
        <v>87</v>
      </c>
      <c r="D799">
        <v>87</v>
      </c>
      <c r="E799">
        <v>87</v>
      </c>
      <c r="F799" s="1">
        <v>0.17</v>
      </c>
      <c r="G799" t="s">
        <v>1587</v>
      </c>
      <c r="H799" t="s">
        <v>1587</v>
      </c>
      <c r="I799">
        <v>9219</v>
      </c>
      <c r="J799" t="s">
        <v>2239</v>
      </c>
      <c r="K799">
        <v>1</v>
      </c>
      <c r="L799">
        <v>-14.7</v>
      </c>
      <c r="M799">
        <v>1.9</v>
      </c>
      <c r="N799">
        <v>14.8</v>
      </c>
      <c r="O799" t="s">
        <v>1594</v>
      </c>
      <c r="P799" t="s">
        <v>1584</v>
      </c>
      <c r="Q799" t="s">
        <v>1591</v>
      </c>
      <c r="R799">
        <v>0.18</v>
      </c>
      <c r="S799">
        <v>0.1</v>
      </c>
      <c r="T799" t="s">
        <v>1584</v>
      </c>
      <c r="U799" t="s">
        <v>1592</v>
      </c>
      <c r="V799" t="str" cm="1">
        <f t="array" aca="1" ref="V799" ca="1">IFERROR(_xlfn.IFS(A797="  ..............",OFFSET(A797,2,0),A796=" X-------------X",OFFSET(A796,3,0),MATCH("  ..............",A799:A808,0)&gt;2,V798),"-")</f>
        <v xml:space="preserve">  MISSOE-RS069  </v>
      </c>
      <c r="W799">
        <f t="shared" ca="1" si="36"/>
        <v>1.0049999999999999</v>
      </c>
      <c r="X799" t="str">
        <f t="shared" ca="1" si="37"/>
        <v xml:space="preserve"> PSJOAO-RS069 </v>
      </c>
      <c r="Y799" s="1">
        <f t="shared" ca="1" si="38"/>
        <v>0.17</v>
      </c>
    </row>
    <row r="800" spans="1:25" x14ac:dyDescent="0.25">
      <c r="A800" t="s">
        <v>1588</v>
      </c>
      <c r="B800" t="s">
        <v>1587</v>
      </c>
      <c r="C800">
        <v>87</v>
      </c>
      <c r="D800">
        <v>87</v>
      </c>
      <c r="E800">
        <v>87</v>
      </c>
      <c r="F800" s="1">
        <v>0.17</v>
      </c>
      <c r="G800" t="s">
        <v>1587</v>
      </c>
      <c r="H800" t="s">
        <v>1587</v>
      </c>
      <c r="I800">
        <v>9219</v>
      </c>
      <c r="J800" t="s">
        <v>2239</v>
      </c>
      <c r="K800">
        <v>2</v>
      </c>
      <c r="L800">
        <v>-14.7</v>
      </c>
      <c r="M800">
        <v>1.9</v>
      </c>
      <c r="N800">
        <v>14.8</v>
      </c>
      <c r="O800" t="s">
        <v>1594</v>
      </c>
      <c r="P800" t="s">
        <v>1584</v>
      </c>
      <c r="Q800" t="s">
        <v>1591</v>
      </c>
      <c r="R800">
        <v>0.18</v>
      </c>
      <c r="S800">
        <v>0.1</v>
      </c>
      <c r="T800" t="s">
        <v>1584</v>
      </c>
      <c r="U800" t="s">
        <v>1592</v>
      </c>
      <c r="V800" t="str" cm="1">
        <f t="array" aca="1" ref="V800" ca="1">IFERROR(_xlfn.IFS(A798="  ..............",OFFSET(A798,2,0),A797=" X-------------X",OFFSET(A797,3,0),MATCH("  ..............",A800:A809,0)&gt;2,V799),"-")</f>
        <v xml:space="preserve">  MISSOE-RS069  </v>
      </c>
      <c r="W800">
        <f t="shared" ca="1" si="36"/>
        <v>1.0049999999999999</v>
      </c>
      <c r="X800" t="str">
        <f t="shared" ca="1" si="37"/>
        <v xml:space="preserve"> CERMIS-RS069 </v>
      </c>
      <c r="Y800" s="1">
        <f t="shared" ca="1" si="38"/>
        <v>0</v>
      </c>
    </row>
    <row r="801" spans="1:25" x14ac:dyDescent="0.25">
      <c r="A801" t="s">
        <v>1588</v>
      </c>
      <c r="B801" t="s">
        <v>1587</v>
      </c>
      <c r="C801">
        <v>9999</v>
      </c>
      <c r="D801">
        <v>9999</v>
      </c>
      <c r="E801">
        <v>9999</v>
      </c>
      <c r="F801" s="1">
        <v>0</v>
      </c>
      <c r="G801" t="s">
        <v>1587</v>
      </c>
      <c r="H801" t="s">
        <v>1587</v>
      </c>
      <c r="I801">
        <v>10211</v>
      </c>
      <c r="J801" t="s">
        <v>2240</v>
      </c>
      <c r="K801">
        <v>1</v>
      </c>
      <c r="L801">
        <v>15.3</v>
      </c>
      <c r="M801">
        <v>6.6</v>
      </c>
      <c r="N801">
        <v>16.600000000000001</v>
      </c>
      <c r="O801" t="s">
        <v>1594</v>
      </c>
      <c r="P801" t="s">
        <v>1584</v>
      </c>
      <c r="Q801" t="s">
        <v>1591</v>
      </c>
      <c r="R801">
        <v>0</v>
      </c>
      <c r="S801">
        <v>0</v>
      </c>
      <c r="T801" t="s">
        <v>1584</v>
      </c>
      <c r="U801" t="s">
        <v>1592</v>
      </c>
      <c r="V801" t="str" cm="1">
        <f t="array" aca="1" ref="V801" ca="1">IFERROR(_xlfn.IFS(A799="  ..............",OFFSET(A799,2,0),A798=" X-------------X",OFFSET(A798,3,0),MATCH("  ..............",A801:A810,0)&gt;2,V800),"-")</f>
        <v xml:space="preserve">  MISSOE-RS069  </v>
      </c>
      <c r="W801">
        <f t="shared" ca="1" si="36"/>
        <v>1.0049999999999999</v>
      </c>
      <c r="X801" t="str">
        <f t="shared" ca="1" si="37"/>
        <v xml:space="preserve"> MIS--1-RS000 </v>
      </c>
      <c r="Y801" s="1">
        <f t="shared" ca="1" si="38"/>
        <v>0.109</v>
      </c>
    </row>
    <row r="802" spans="1:25" x14ac:dyDescent="0.25">
      <c r="A802" t="s">
        <v>1588</v>
      </c>
      <c r="B802" t="s">
        <v>1587</v>
      </c>
      <c r="C802">
        <v>50</v>
      </c>
      <c r="D802">
        <v>53</v>
      </c>
      <c r="E802">
        <v>53</v>
      </c>
      <c r="F802" s="1">
        <v>0.109</v>
      </c>
      <c r="G802" t="s">
        <v>1587</v>
      </c>
      <c r="H802" t="s">
        <v>1587</v>
      </c>
      <c r="I802">
        <v>41294</v>
      </c>
      <c r="J802" t="s">
        <v>2241</v>
      </c>
      <c r="K802">
        <v>1</v>
      </c>
      <c r="L802">
        <v>-0.7</v>
      </c>
      <c r="M802">
        <v>-5.4</v>
      </c>
      <c r="N802">
        <v>5.5</v>
      </c>
      <c r="O802" t="s">
        <v>1862</v>
      </c>
      <c r="P802" t="s">
        <v>1584</v>
      </c>
      <c r="Q802">
        <v>2</v>
      </c>
      <c r="R802">
        <v>0</v>
      </c>
      <c r="S802">
        <v>-0.01</v>
      </c>
      <c r="T802" t="s">
        <v>1584</v>
      </c>
      <c r="U802" t="s">
        <v>1592</v>
      </c>
      <c r="V802" t="str" cm="1">
        <f t="array" aca="1" ref="V802" ca="1">IFERROR(_xlfn.IFS(A800="  ..............",OFFSET(A800,2,0),A799=" X-------------X",OFFSET(A799,3,0),MATCH("  ..............",A802:A811,0)&gt;2,V801),"-")</f>
        <v xml:space="preserve">  MISSOE-RS069  </v>
      </c>
      <c r="W802">
        <f t="shared" ca="1" si="36"/>
        <v>1.0049999999999999</v>
      </c>
      <c r="X802" t="str">
        <f t="shared" ca="1" si="37"/>
        <v xml:space="preserve"> MIS--2-RS000 </v>
      </c>
      <c r="Y802" s="1">
        <f t="shared" ca="1" si="38"/>
        <v>0.109</v>
      </c>
    </row>
    <row r="803" spans="1:25" x14ac:dyDescent="0.25">
      <c r="A803" t="s">
        <v>1588</v>
      </c>
      <c r="B803" t="s">
        <v>1587</v>
      </c>
      <c r="C803">
        <v>50</v>
      </c>
      <c r="D803">
        <v>53</v>
      </c>
      <c r="E803">
        <v>53</v>
      </c>
      <c r="F803" s="1">
        <v>0.109</v>
      </c>
      <c r="G803" t="s">
        <v>1587</v>
      </c>
      <c r="H803" t="s">
        <v>1587</v>
      </c>
      <c r="I803">
        <v>41295</v>
      </c>
      <c r="J803" t="s">
        <v>2242</v>
      </c>
      <c r="K803">
        <v>2</v>
      </c>
      <c r="L803">
        <v>-0.7</v>
      </c>
      <c r="M803">
        <v>-5.4</v>
      </c>
      <c r="N803">
        <v>5.4</v>
      </c>
      <c r="O803" t="s">
        <v>1862</v>
      </c>
      <c r="P803" t="s">
        <v>1584</v>
      </c>
      <c r="Q803">
        <v>2</v>
      </c>
      <c r="R803">
        <v>0</v>
      </c>
      <c r="S803">
        <v>-0.01</v>
      </c>
      <c r="T803" t="s">
        <v>1584</v>
      </c>
      <c r="U803" t="s">
        <v>1592</v>
      </c>
      <c r="V803" t="str" cm="1">
        <f t="array" aca="1" ref="V803" ca="1">IFERROR(_xlfn.IFS(A801="  ..............",OFFSET(A801,2,0),A800=" X-------------X",OFFSET(A800,3,0),MATCH("  ..............",A803:A812,0)&gt;2,V802),"-")</f>
        <v xml:space="preserve">  MISSOE-RS069  </v>
      </c>
      <c r="W803">
        <f t="shared" ca="1" si="36"/>
        <v>1.0049999999999999</v>
      </c>
      <c r="X803" t="str">
        <f t="shared" ca="1" si="37"/>
        <v xml:space="preserve"> MIS-3--RS000 </v>
      </c>
      <c r="Y803" s="1">
        <f t="shared" ca="1" si="38"/>
        <v>0.108</v>
      </c>
    </row>
    <row r="804" spans="1:25" x14ac:dyDescent="0.25">
      <c r="A804" t="s">
        <v>1588</v>
      </c>
      <c r="B804" t="s">
        <v>1587</v>
      </c>
      <c r="C804">
        <v>50</v>
      </c>
      <c r="D804">
        <v>53</v>
      </c>
      <c r="E804">
        <v>53</v>
      </c>
      <c r="F804" s="1">
        <v>0.108</v>
      </c>
      <c r="G804" t="s">
        <v>1587</v>
      </c>
      <c r="H804" t="s">
        <v>1587</v>
      </c>
      <c r="I804">
        <v>41296</v>
      </c>
      <c r="J804" t="s">
        <v>2243</v>
      </c>
      <c r="K804">
        <v>3</v>
      </c>
      <c r="L804">
        <v>-0.7</v>
      </c>
      <c r="M804">
        <v>-5.4</v>
      </c>
      <c r="N804">
        <v>5.4</v>
      </c>
      <c r="O804" t="s">
        <v>1862</v>
      </c>
      <c r="P804" t="s">
        <v>1584</v>
      </c>
      <c r="Q804">
        <v>2</v>
      </c>
      <c r="R804">
        <v>0</v>
      </c>
      <c r="S804">
        <v>-0.01</v>
      </c>
      <c r="T804" t="s">
        <v>1584</v>
      </c>
      <c r="U804" t="s">
        <v>1592</v>
      </c>
      <c r="V804" t="str" cm="1">
        <f t="array" aca="1" ref="V804" ca="1">IFERROR(_xlfn.IFS(A802="  ..............",OFFSET(A802,2,0),A801=" X-------------X",OFFSET(A801,3,0),MATCH("  ..............",A804:A813,0)&gt;2,V803),"-")</f>
        <v>-</v>
      </c>
      <c r="W804" t="str">
        <f t="shared" ca="1" si="36"/>
        <v>-</v>
      </c>
      <c r="X804" t="str">
        <f t="shared" ca="1" si="37"/>
        <v>-</v>
      </c>
      <c r="Y804" s="1" t="str">
        <f t="shared" ca="1" si="38"/>
        <v>-</v>
      </c>
    </row>
    <row r="805" spans="1:25" x14ac:dyDescent="0.25">
      <c r="A805" t="s">
        <v>1572</v>
      </c>
      <c r="B805" t="s">
        <v>1574</v>
      </c>
      <c r="C805" t="s">
        <v>1574</v>
      </c>
      <c r="D805" t="s">
        <v>1574</v>
      </c>
      <c r="E805" t="s">
        <v>1574</v>
      </c>
      <c r="F805" t="s">
        <v>1575</v>
      </c>
      <c r="G805" t="s">
        <v>1574</v>
      </c>
      <c r="H805" t="s">
        <v>1574</v>
      </c>
      <c r="I805" t="s">
        <v>1576</v>
      </c>
      <c r="J805" t="s">
        <v>1573</v>
      </c>
      <c r="K805" t="s">
        <v>1577</v>
      </c>
      <c r="L805" t="s">
        <v>1574</v>
      </c>
      <c r="M805" t="s">
        <v>1574</v>
      </c>
      <c r="N805" t="s">
        <v>1574</v>
      </c>
      <c r="O805" t="s">
        <v>1578</v>
      </c>
      <c r="P805" t="s">
        <v>1576</v>
      </c>
      <c r="Q805" t="s">
        <v>1579</v>
      </c>
      <c r="R805" t="s">
        <v>1580</v>
      </c>
      <c r="S805" t="s">
        <v>1580</v>
      </c>
      <c r="T805" t="s">
        <v>1576</v>
      </c>
      <c r="U805" t="s">
        <v>1576</v>
      </c>
      <c r="V805" t="str" cm="1">
        <f t="array" aca="1" ref="V805" ca="1">IFERROR(_xlfn.IFS(A803="  ..............",OFFSET(A803,2,0),A802=" X-------------X",OFFSET(A802,3,0),MATCH("  ..............",A805:A814,0)&gt;2,V804),"-")</f>
        <v>-</v>
      </c>
      <c r="W805" t="str">
        <f t="shared" ca="1" si="36"/>
        <v>-</v>
      </c>
      <c r="X805" t="str">
        <f t="shared" ca="1" si="37"/>
        <v/>
      </c>
      <c r="Y805" s="1" t="str">
        <f t="shared" ca="1" si="38"/>
        <v/>
      </c>
    </row>
    <row r="806" spans="1:25" x14ac:dyDescent="0.25">
      <c r="A806" t="s">
        <v>2244</v>
      </c>
      <c r="B806">
        <v>1.0469999999999999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 t="s">
        <v>1581</v>
      </c>
      <c r="J806" t="s">
        <v>1581</v>
      </c>
      <c r="K806" t="s">
        <v>1581</v>
      </c>
      <c r="L806" t="s">
        <v>1581</v>
      </c>
      <c r="M806" t="s">
        <v>1581</v>
      </c>
      <c r="N806" t="s">
        <v>1581</v>
      </c>
      <c r="O806" t="s">
        <v>1581</v>
      </c>
      <c r="P806" t="s">
        <v>1581</v>
      </c>
      <c r="Q806" t="s">
        <v>1581</v>
      </c>
      <c r="R806" t="s">
        <v>1581</v>
      </c>
      <c r="S806" t="s">
        <v>1581</v>
      </c>
      <c r="T806" t="s">
        <v>1581</v>
      </c>
      <c r="U806" t="s">
        <v>1581</v>
      </c>
      <c r="V806" t="str" cm="1">
        <f t="array" aca="1" ref="V806" ca="1">IFERROR(_xlfn.IFS(A804="  ..............",OFFSET(A804,2,0),A803=" X-------------X",OFFSET(A803,3,0),MATCH("  ..............",A806:A815,0)&gt;2,V805),"-")</f>
        <v>-</v>
      </c>
      <c r="W806" t="str">
        <f t="shared" ca="1" si="36"/>
        <v>-</v>
      </c>
      <c r="X806" t="str">
        <f t="shared" ca="1" si="37"/>
        <v xml:space="preserve">              </v>
      </c>
      <c r="Y806" s="1">
        <f t="shared" ca="1" si="38"/>
        <v>0</v>
      </c>
    </row>
    <row r="807" spans="1:25" x14ac:dyDescent="0.25">
      <c r="A807" t="s">
        <v>2245</v>
      </c>
      <c r="B807">
        <v>-55.2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1584</v>
      </c>
      <c r="J807" t="s">
        <v>1585</v>
      </c>
      <c r="K807" t="s">
        <v>1586</v>
      </c>
      <c r="L807" t="s">
        <v>1587</v>
      </c>
      <c r="M807" t="s">
        <v>1587</v>
      </c>
      <c r="N807" t="s">
        <v>1586</v>
      </c>
      <c r="O807" t="s">
        <v>1581</v>
      </c>
      <c r="P807" t="s">
        <v>1581</v>
      </c>
      <c r="Q807" t="s">
        <v>1581</v>
      </c>
      <c r="R807" t="s">
        <v>1581</v>
      </c>
      <c r="S807" t="s">
        <v>1581</v>
      </c>
      <c r="T807" t="s">
        <v>1581</v>
      </c>
      <c r="U807" t="s">
        <v>1581</v>
      </c>
      <c r="V807" t="str" cm="1">
        <f t="array" aca="1" ref="V807" ca="1">IFERROR(_xlfn.IFS(A805="  ..............",OFFSET(A805,2,0),A804=" X-------------X",OFFSET(A804,3,0),MATCH("  ..............",A807:A816,0)&gt;2,V806),"-")</f>
        <v xml:space="preserve">  LAJEA2-RS069  </v>
      </c>
      <c r="W807">
        <f t="shared" ca="1" si="36"/>
        <v>1.0469999999999999</v>
      </c>
      <c r="X807" t="str">
        <f t="shared" ca="1" si="37"/>
        <v xml:space="preserve"> LAJE2A-RS013 </v>
      </c>
      <c r="Y807" s="1">
        <f t="shared" ca="1" si="38"/>
        <v>0.63500000000000001</v>
      </c>
    </row>
    <row r="808" spans="1:25" x14ac:dyDescent="0.25">
      <c r="A808" t="s">
        <v>1588</v>
      </c>
      <c r="B808" t="s">
        <v>1587</v>
      </c>
      <c r="C808">
        <v>25</v>
      </c>
      <c r="D808">
        <v>37</v>
      </c>
      <c r="E808">
        <v>37</v>
      </c>
      <c r="F808" s="1">
        <v>0.63500000000000001</v>
      </c>
      <c r="G808" t="s">
        <v>1587</v>
      </c>
      <c r="H808" t="s">
        <v>1587</v>
      </c>
      <c r="I808">
        <v>2083</v>
      </c>
      <c r="J808" t="s">
        <v>2246</v>
      </c>
      <c r="K808">
        <v>4</v>
      </c>
      <c r="L808">
        <v>15.6</v>
      </c>
      <c r="M808">
        <v>5.7</v>
      </c>
      <c r="N808">
        <v>15.9</v>
      </c>
      <c r="O808" t="s">
        <v>1590</v>
      </c>
      <c r="P808" t="s">
        <v>1584</v>
      </c>
      <c r="Q808" t="s">
        <v>1591</v>
      </c>
      <c r="R808">
        <v>0</v>
      </c>
      <c r="S808">
        <v>0.91</v>
      </c>
      <c r="T808" t="s">
        <v>1584</v>
      </c>
      <c r="U808" t="s">
        <v>1592</v>
      </c>
      <c r="V808" t="str" cm="1">
        <f t="array" aca="1" ref="V808" ca="1">IFERROR(_xlfn.IFS(A806="  ..............",OFFSET(A806,2,0),A805=" X-------------X",OFFSET(A805,3,0),MATCH("  ..............",A808:A817,0)&gt;2,V807),"-")</f>
        <v xml:space="preserve">  LAJEA2-RS069  </v>
      </c>
      <c r="W808">
        <f t="shared" ca="1" si="36"/>
        <v>1.0469999999999999</v>
      </c>
      <c r="X808" t="str">
        <f t="shared" ca="1" si="37"/>
        <v xml:space="preserve"> PERDIG-RS069 </v>
      </c>
      <c r="Y808" s="1">
        <f t="shared" ca="1" si="38"/>
        <v>0.41599999999999998</v>
      </c>
    </row>
    <row r="809" spans="1:25" x14ac:dyDescent="0.25">
      <c r="A809" t="s">
        <v>1588</v>
      </c>
      <c r="B809" t="s">
        <v>1587</v>
      </c>
      <c r="C809">
        <v>30</v>
      </c>
      <c r="D809">
        <v>48</v>
      </c>
      <c r="E809">
        <v>48</v>
      </c>
      <c r="F809" s="1">
        <v>0.41599999999999998</v>
      </c>
      <c r="G809" t="s">
        <v>1587</v>
      </c>
      <c r="H809" t="s">
        <v>1587</v>
      </c>
      <c r="I809">
        <v>9715</v>
      </c>
      <c r="J809" t="s">
        <v>2247</v>
      </c>
      <c r="K809">
        <v>1</v>
      </c>
      <c r="L809">
        <v>12.2</v>
      </c>
      <c r="M809">
        <v>4.7</v>
      </c>
      <c r="N809">
        <v>12.5</v>
      </c>
      <c r="O809" t="s">
        <v>1594</v>
      </c>
      <c r="P809" t="s">
        <v>1584</v>
      </c>
      <c r="Q809" t="s">
        <v>1591</v>
      </c>
      <c r="R809">
        <v>0.01</v>
      </c>
      <c r="S809">
        <v>0</v>
      </c>
      <c r="T809" t="s">
        <v>1584</v>
      </c>
      <c r="U809" t="s">
        <v>1592</v>
      </c>
      <c r="V809" t="str" cm="1">
        <f t="array" aca="1" ref="V809" ca="1">IFERROR(_xlfn.IFS(A807="  ..............",OFFSET(A807,2,0),A806=" X-------------X",OFFSET(A806,3,0),MATCH("  ..............",A809:A818,0)&gt;2,V808),"-")</f>
        <v xml:space="preserve">  LAJEA2-RS069  </v>
      </c>
      <c r="W809">
        <f t="shared" ca="1" si="36"/>
        <v>1.0469999999999999</v>
      </c>
      <c r="X809" t="str">
        <f t="shared" ca="1" si="37"/>
        <v xml:space="preserve"> LAJEA1-RS069 </v>
      </c>
      <c r="Y809" s="1">
        <f t="shared" ca="1" si="38"/>
        <v>7.6999999999999999E-2</v>
      </c>
    </row>
    <row r="810" spans="1:25" x14ac:dyDescent="0.25">
      <c r="A810" t="s">
        <v>1588</v>
      </c>
      <c r="B810" t="s">
        <v>1587</v>
      </c>
      <c r="C810">
        <v>84</v>
      </c>
      <c r="D810">
        <v>101</v>
      </c>
      <c r="E810">
        <v>101</v>
      </c>
      <c r="F810" s="1">
        <v>7.6999999999999999E-2</v>
      </c>
      <c r="G810" t="s">
        <v>1587</v>
      </c>
      <c r="H810" t="s">
        <v>1587</v>
      </c>
      <c r="I810">
        <v>9781</v>
      </c>
      <c r="J810" t="s">
        <v>2248</v>
      </c>
      <c r="K810">
        <v>1</v>
      </c>
      <c r="L810">
        <v>6.8</v>
      </c>
      <c r="M810">
        <v>0.9</v>
      </c>
      <c r="N810">
        <v>6.5</v>
      </c>
      <c r="O810" t="s">
        <v>1594</v>
      </c>
      <c r="P810" t="s">
        <v>1584</v>
      </c>
      <c r="Q810" t="s">
        <v>1591</v>
      </c>
      <c r="R810">
        <v>0</v>
      </c>
      <c r="S810">
        <v>-0.06</v>
      </c>
      <c r="T810" t="s">
        <v>1584</v>
      </c>
      <c r="U810" t="s">
        <v>1592</v>
      </c>
      <c r="V810" t="str" cm="1">
        <f t="array" aca="1" ref="V810" ca="1">IFERROR(_xlfn.IFS(A808="  ..............",OFFSET(A808,2,0),A807=" X-------------X",OFFSET(A807,3,0),MATCH("  ..............",A810:A819,0)&gt;2,V809),"-")</f>
        <v xml:space="preserve">  LAJEA2-RS069  </v>
      </c>
      <c r="W810">
        <f t="shared" ca="1" si="36"/>
        <v>1.0469999999999999</v>
      </c>
      <c r="X810" t="str">
        <f t="shared" ca="1" si="37"/>
        <v xml:space="preserve"> LAJEA1-RS069 </v>
      </c>
      <c r="Y810" s="1">
        <f t="shared" ca="1" si="38"/>
        <v>7.6999999999999999E-2</v>
      </c>
    </row>
    <row r="811" spans="1:25" x14ac:dyDescent="0.25">
      <c r="A811" t="s">
        <v>1588</v>
      </c>
      <c r="B811" t="s">
        <v>1587</v>
      </c>
      <c r="C811">
        <v>84</v>
      </c>
      <c r="D811">
        <v>101</v>
      </c>
      <c r="E811">
        <v>101</v>
      </c>
      <c r="F811" s="1">
        <v>7.6999999999999999E-2</v>
      </c>
      <c r="G811" t="s">
        <v>1587</v>
      </c>
      <c r="H811" t="s">
        <v>1587</v>
      </c>
      <c r="I811">
        <v>9781</v>
      </c>
      <c r="J811" t="s">
        <v>2248</v>
      </c>
      <c r="K811">
        <v>2</v>
      </c>
      <c r="L811">
        <v>6.8</v>
      </c>
      <c r="M811">
        <v>0.9</v>
      </c>
      <c r="N811">
        <v>6.5</v>
      </c>
      <c r="O811" t="s">
        <v>1594</v>
      </c>
      <c r="P811" t="s">
        <v>1584</v>
      </c>
      <c r="Q811" t="s">
        <v>1591</v>
      </c>
      <c r="R811">
        <v>0</v>
      </c>
      <c r="S811">
        <v>-0.06</v>
      </c>
      <c r="T811" t="s">
        <v>1584</v>
      </c>
      <c r="U811" t="s">
        <v>1592</v>
      </c>
      <c r="V811" t="str" cm="1">
        <f t="array" aca="1" ref="V811" ca="1">IFERROR(_xlfn.IFS(A809="  ..............",OFFSET(A809,2,0),A808=" X-------------X",OFFSET(A808,3,0),MATCH("  ..............",A811:A820,0)&gt;2,V810),"-")</f>
        <v xml:space="preserve">  LAJEA2-RS069  </v>
      </c>
      <c r="W811">
        <f t="shared" ca="1" si="36"/>
        <v>1.0469999999999999</v>
      </c>
      <c r="X811" t="str">
        <f t="shared" ca="1" si="37"/>
        <v xml:space="preserve"> ARMEIO-RS069 </v>
      </c>
      <c r="Y811" s="1">
        <f t="shared" ca="1" si="38"/>
        <v>0.89900000000000002</v>
      </c>
    </row>
    <row r="812" spans="1:25" x14ac:dyDescent="0.25">
      <c r="A812" t="s">
        <v>1588</v>
      </c>
      <c r="B812" t="s">
        <v>1587</v>
      </c>
      <c r="C812">
        <v>67</v>
      </c>
      <c r="D812">
        <v>81</v>
      </c>
      <c r="E812">
        <v>81</v>
      </c>
      <c r="F812" s="1">
        <v>0.89900000000000002</v>
      </c>
      <c r="G812" t="s">
        <v>1587</v>
      </c>
      <c r="H812" t="s">
        <v>1587</v>
      </c>
      <c r="I812">
        <v>9797</v>
      </c>
      <c r="J812" t="s">
        <v>2249</v>
      </c>
      <c r="K812">
        <v>1</v>
      </c>
      <c r="L812">
        <v>62</v>
      </c>
      <c r="M812">
        <v>11.7</v>
      </c>
      <c r="N812">
        <v>60.2</v>
      </c>
      <c r="O812" t="s">
        <v>1594</v>
      </c>
      <c r="P812" t="s">
        <v>1584</v>
      </c>
      <c r="Q812" t="s">
        <v>1591</v>
      </c>
      <c r="R812">
        <v>1.02</v>
      </c>
      <c r="S812">
        <v>2.12</v>
      </c>
      <c r="T812" t="s">
        <v>1584</v>
      </c>
      <c r="U812" t="s">
        <v>1592</v>
      </c>
      <c r="V812" t="str" cm="1">
        <f t="array" aca="1" ref="V812" ca="1">IFERROR(_xlfn.IFS(A810="  ..............",OFFSET(A810,2,0),A809=" X-------------X",OFFSET(A809,3,0),MATCH("  ..............",A812:A821,0)&gt;2,V811),"-")</f>
        <v xml:space="preserve">  LAJEA2-RS069  </v>
      </c>
      <c r="W812">
        <f t="shared" ca="1" si="36"/>
        <v>1.0469999999999999</v>
      </c>
      <c r="X812" t="str">
        <f t="shared" ca="1" si="37"/>
        <v xml:space="preserve"> LAJE2B-RS013 </v>
      </c>
      <c r="Y812" s="1">
        <f t="shared" ca="1" si="38"/>
        <v>0.76500000000000001</v>
      </c>
    </row>
    <row r="813" spans="1:25" x14ac:dyDescent="0.25">
      <c r="A813" t="s">
        <v>1588</v>
      </c>
      <c r="B813" t="s">
        <v>1587</v>
      </c>
      <c r="C813">
        <v>25</v>
      </c>
      <c r="D813">
        <v>37</v>
      </c>
      <c r="E813">
        <v>37</v>
      </c>
      <c r="F813" s="1">
        <v>0.76500000000000001</v>
      </c>
      <c r="G813" t="s">
        <v>1587</v>
      </c>
      <c r="H813" t="s">
        <v>1587</v>
      </c>
      <c r="I813">
        <v>10142</v>
      </c>
      <c r="J813" t="s">
        <v>2250</v>
      </c>
      <c r="K813">
        <v>5</v>
      </c>
      <c r="L813">
        <v>18.600000000000001</v>
      </c>
      <c r="M813">
        <v>7.4</v>
      </c>
      <c r="N813">
        <v>19.100000000000001</v>
      </c>
      <c r="O813" t="s">
        <v>2251</v>
      </c>
      <c r="P813" t="s">
        <v>1584</v>
      </c>
      <c r="Q813" t="s">
        <v>1591</v>
      </c>
      <c r="R813">
        <v>0</v>
      </c>
      <c r="S813">
        <v>1.32</v>
      </c>
      <c r="T813" t="s">
        <v>1584</v>
      </c>
      <c r="U813" t="s">
        <v>1592</v>
      </c>
      <c r="V813" t="str" cm="1">
        <f t="array" aca="1" ref="V813" ca="1">IFERROR(_xlfn.IFS(A811="  ..............",OFFSET(A811,2,0),A810=" X-------------X",OFFSET(A810,3,0),MATCH("  ..............",A813:A822,0)&gt;2,V812),"-")</f>
        <v xml:space="preserve">  LAJEA2-RS069  </v>
      </c>
      <c r="W813">
        <f t="shared" ca="1" si="36"/>
        <v>1.0469999999999999</v>
      </c>
      <c r="X813" t="str">
        <f t="shared" ca="1" si="37"/>
        <v xml:space="preserve"> LAJ2-1-RS000 </v>
      </c>
      <c r="Y813" s="1">
        <f t="shared" ca="1" si="38"/>
        <v>0.48099999999999998</v>
      </c>
    </row>
    <row r="814" spans="1:25" x14ac:dyDescent="0.25">
      <c r="A814" t="s">
        <v>1588</v>
      </c>
      <c r="B814" t="s">
        <v>1587</v>
      </c>
      <c r="C814">
        <v>83</v>
      </c>
      <c r="D814">
        <v>125</v>
      </c>
      <c r="E814">
        <v>125</v>
      </c>
      <c r="F814" s="1">
        <v>0.48099999999999998</v>
      </c>
      <c r="G814" t="s">
        <v>1587</v>
      </c>
      <c r="H814" t="s">
        <v>1587</v>
      </c>
      <c r="I814">
        <v>41282</v>
      </c>
      <c r="J814" t="s">
        <v>2252</v>
      </c>
      <c r="K814">
        <v>1</v>
      </c>
      <c r="L814">
        <v>-40.5</v>
      </c>
      <c r="M814">
        <v>-10.4</v>
      </c>
      <c r="N814">
        <v>40</v>
      </c>
      <c r="O814" t="s">
        <v>1608</v>
      </c>
      <c r="P814" t="s">
        <v>1584</v>
      </c>
      <c r="Q814">
        <v>2</v>
      </c>
      <c r="R814">
        <v>0.03</v>
      </c>
      <c r="S814">
        <v>-0.14000000000000001</v>
      </c>
      <c r="T814" t="s">
        <v>1584</v>
      </c>
      <c r="U814" t="s">
        <v>1592</v>
      </c>
      <c r="V814" t="str" cm="1">
        <f t="array" aca="1" ref="V814" ca="1">IFERROR(_xlfn.IFS(A812="  ..............",OFFSET(A812,2,0),A811=" X-------------X",OFFSET(A811,3,0),MATCH("  ..............",A814:A823,0)&gt;2,V813),"-")</f>
        <v xml:space="preserve">  LAJEA2-RS069  </v>
      </c>
      <c r="W814">
        <f t="shared" ca="1" si="36"/>
        <v>1.0469999999999999</v>
      </c>
      <c r="X814" t="str">
        <f t="shared" ca="1" si="37"/>
        <v xml:space="preserve"> LAJ2-2-RS000 </v>
      </c>
      <c r="Y814" s="1">
        <f t="shared" ca="1" si="38"/>
        <v>0.47599999999999998</v>
      </c>
    </row>
    <row r="815" spans="1:25" x14ac:dyDescent="0.25">
      <c r="A815" t="s">
        <v>1588</v>
      </c>
      <c r="B815" t="s">
        <v>1587</v>
      </c>
      <c r="C815">
        <v>83</v>
      </c>
      <c r="D815">
        <v>125</v>
      </c>
      <c r="E815">
        <v>125</v>
      </c>
      <c r="F815" s="1">
        <v>0.47599999999999998</v>
      </c>
      <c r="G815" t="s">
        <v>1587</v>
      </c>
      <c r="H815" t="s">
        <v>1587</v>
      </c>
      <c r="I815">
        <v>41283</v>
      </c>
      <c r="J815" t="s">
        <v>2253</v>
      </c>
      <c r="K815">
        <v>2</v>
      </c>
      <c r="L815">
        <v>-40.1</v>
      </c>
      <c r="M815">
        <v>-10.3</v>
      </c>
      <c r="N815">
        <v>39.5</v>
      </c>
      <c r="O815" t="s">
        <v>1608</v>
      </c>
      <c r="P815" t="s">
        <v>1584</v>
      </c>
      <c r="Q815">
        <v>2</v>
      </c>
      <c r="R815">
        <v>0.02</v>
      </c>
      <c r="S815">
        <v>-0.13</v>
      </c>
      <c r="T815" t="s">
        <v>1584</v>
      </c>
      <c r="U815" t="s">
        <v>1592</v>
      </c>
      <c r="V815" t="str" cm="1">
        <f t="array" aca="1" ref="V815" ca="1">IFERROR(_xlfn.IFS(A813="  ..............",OFFSET(A813,2,0),A812=" X-------------X",OFFSET(A812,3,0),MATCH("  ..............",A815:A824,0)&gt;2,V814),"-")</f>
        <v xml:space="preserve">  LAJEA2-RS069  </v>
      </c>
      <c r="W815">
        <f t="shared" ca="1" si="36"/>
        <v>1.0469999999999999</v>
      </c>
      <c r="X815" t="str">
        <f t="shared" ca="1" si="37"/>
        <v xml:space="preserve"> LAJ2-3-RS000 </v>
      </c>
      <c r="Y815" s="1">
        <f t="shared" ca="1" si="38"/>
        <v>0.49</v>
      </c>
    </row>
    <row r="816" spans="1:25" x14ac:dyDescent="0.25">
      <c r="A816" t="s">
        <v>1588</v>
      </c>
      <c r="B816" t="s">
        <v>1587</v>
      </c>
      <c r="C816">
        <v>83</v>
      </c>
      <c r="D816">
        <v>83</v>
      </c>
      <c r="E816">
        <v>83</v>
      </c>
      <c r="F816" s="1">
        <v>0.49</v>
      </c>
      <c r="G816" t="s">
        <v>1587</v>
      </c>
      <c r="H816" t="s">
        <v>1587</v>
      </c>
      <c r="I816">
        <v>41284</v>
      </c>
      <c r="J816" t="s">
        <v>2254</v>
      </c>
      <c r="K816">
        <v>3</v>
      </c>
      <c r="L816">
        <v>-41.3</v>
      </c>
      <c r="M816">
        <v>-10.6</v>
      </c>
      <c r="N816">
        <v>40.700000000000003</v>
      </c>
      <c r="O816" t="s">
        <v>1608</v>
      </c>
      <c r="P816" t="s">
        <v>1584</v>
      </c>
      <c r="Q816">
        <v>2</v>
      </c>
      <c r="R816">
        <v>0.03</v>
      </c>
      <c r="S816">
        <v>-0.13</v>
      </c>
      <c r="T816" t="s">
        <v>1584</v>
      </c>
      <c r="U816" t="s">
        <v>1592</v>
      </c>
      <c r="V816" t="str" cm="1">
        <f t="array" aca="1" ref="V816" ca="1">IFERROR(_xlfn.IFS(A814="  ..............",OFFSET(A814,2,0),A813=" X-------------X",OFFSET(A813,3,0),MATCH("  ..............",A816:A825,0)&gt;2,V815),"-")</f>
        <v>-</v>
      </c>
      <c r="W816" t="str">
        <f t="shared" ca="1" si="36"/>
        <v>-</v>
      </c>
      <c r="X816" t="str">
        <f t="shared" ca="1" si="37"/>
        <v>-</v>
      </c>
      <c r="Y816" s="1" t="str">
        <f t="shared" ca="1" si="38"/>
        <v>-</v>
      </c>
    </row>
    <row r="817" spans="1:25" x14ac:dyDescent="0.25">
      <c r="A817" t="s">
        <v>1572</v>
      </c>
      <c r="B817" t="s">
        <v>1574</v>
      </c>
      <c r="C817" t="s">
        <v>1574</v>
      </c>
      <c r="D817" t="s">
        <v>1574</v>
      </c>
      <c r="E817" t="s">
        <v>1574</v>
      </c>
      <c r="F817" t="s">
        <v>1575</v>
      </c>
      <c r="G817" t="s">
        <v>1574</v>
      </c>
      <c r="H817" t="s">
        <v>1574</v>
      </c>
      <c r="I817" t="s">
        <v>1576</v>
      </c>
      <c r="J817" t="s">
        <v>1573</v>
      </c>
      <c r="K817" t="s">
        <v>1577</v>
      </c>
      <c r="L817" t="s">
        <v>1574</v>
      </c>
      <c r="M817" t="s">
        <v>1574</v>
      </c>
      <c r="N817" t="s">
        <v>1574</v>
      </c>
      <c r="O817" t="s">
        <v>1578</v>
      </c>
      <c r="P817" t="s">
        <v>1576</v>
      </c>
      <c r="Q817" t="s">
        <v>1579</v>
      </c>
      <c r="R817" t="s">
        <v>1580</v>
      </c>
      <c r="S817" t="s">
        <v>1580</v>
      </c>
      <c r="T817" t="s">
        <v>1576</v>
      </c>
      <c r="U817" t="s">
        <v>1576</v>
      </c>
      <c r="V817" t="str" cm="1">
        <f t="array" aca="1" ref="V817" ca="1">IFERROR(_xlfn.IFS(A815="  ..............",OFFSET(A815,2,0),A814=" X-------------X",OFFSET(A814,3,0),MATCH("  ..............",A817:A826,0)&gt;2,V816),"-")</f>
        <v>-</v>
      </c>
      <c r="W817" t="str">
        <f t="shared" ca="1" si="36"/>
        <v>-</v>
      </c>
      <c r="X817" t="str">
        <f t="shared" ca="1" si="37"/>
        <v/>
      </c>
      <c r="Y817" s="1" t="str">
        <f t="shared" ca="1" si="38"/>
        <v/>
      </c>
    </row>
    <row r="818" spans="1:25" x14ac:dyDescent="0.25">
      <c r="A818" t="s">
        <v>2255</v>
      </c>
      <c r="B818">
        <v>1.048</v>
      </c>
      <c r="C818">
        <v>2.2999999999999998</v>
      </c>
      <c r="D818">
        <v>0</v>
      </c>
      <c r="E818">
        <v>17.899999999999999</v>
      </c>
      <c r="F818">
        <v>0</v>
      </c>
      <c r="G818">
        <v>0</v>
      </c>
      <c r="H818">
        <v>0</v>
      </c>
      <c r="I818" t="s">
        <v>1581</v>
      </c>
      <c r="J818" t="s">
        <v>1581</v>
      </c>
      <c r="K818" t="s">
        <v>1581</v>
      </c>
      <c r="L818" t="s">
        <v>1581</v>
      </c>
      <c r="M818" t="s">
        <v>1581</v>
      </c>
      <c r="N818" t="s">
        <v>1581</v>
      </c>
      <c r="O818" t="s">
        <v>1581</v>
      </c>
      <c r="P818" t="s">
        <v>1581</v>
      </c>
      <c r="Q818" t="s">
        <v>1581</v>
      </c>
      <c r="R818" t="s">
        <v>1581</v>
      </c>
      <c r="S818" t="s">
        <v>1581</v>
      </c>
      <c r="T818" t="s">
        <v>1581</v>
      </c>
      <c r="U818" t="s">
        <v>1581</v>
      </c>
      <c r="V818" t="str" cm="1">
        <f t="array" aca="1" ref="V818" ca="1">IFERROR(_xlfn.IFS(A816="  ..............",OFFSET(A816,2,0),A815=" X-------------X",OFFSET(A815,3,0),MATCH("  ..............",A818:A827,0)&gt;2,V817),"-")</f>
        <v>-</v>
      </c>
      <c r="W818" t="str">
        <f t="shared" ca="1" si="36"/>
        <v>-</v>
      </c>
      <c r="X818" t="str">
        <f t="shared" ca="1" si="37"/>
        <v xml:space="preserve">              </v>
      </c>
      <c r="Y818" s="1">
        <f t="shared" ca="1" si="38"/>
        <v>0</v>
      </c>
    </row>
    <row r="819" spans="1:25" x14ac:dyDescent="0.25">
      <c r="A819" t="s">
        <v>2256</v>
      </c>
      <c r="B819">
        <v>-58.2</v>
      </c>
      <c r="C819">
        <v>0</v>
      </c>
      <c r="D819">
        <v>0</v>
      </c>
      <c r="E819">
        <v>4.8</v>
      </c>
      <c r="F819">
        <v>0</v>
      </c>
      <c r="G819">
        <v>0</v>
      </c>
      <c r="H819">
        <v>0</v>
      </c>
      <c r="I819" t="s">
        <v>1584</v>
      </c>
      <c r="J819" t="s">
        <v>1585</v>
      </c>
      <c r="K819" t="s">
        <v>1586</v>
      </c>
      <c r="L819" t="s">
        <v>1587</v>
      </c>
      <c r="M819" t="s">
        <v>1587</v>
      </c>
      <c r="N819" t="s">
        <v>1586</v>
      </c>
      <c r="O819" t="s">
        <v>1581</v>
      </c>
      <c r="P819" t="s">
        <v>1581</v>
      </c>
      <c r="Q819" t="s">
        <v>1581</v>
      </c>
      <c r="R819" t="s">
        <v>1581</v>
      </c>
      <c r="S819" t="s">
        <v>1581</v>
      </c>
      <c r="T819" t="s">
        <v>1581</v>
      </c>
      <c r="U819" t="s">
        <v>1581</v>
      </c>
      <c r="V819" t="str" cm="1">
        <f t="array" aca="1" ref="V819" ca="1">IFERROR(_xlfn.IFS(A817="  ..............",OFFSET(A817,2,0),A816=" X-------------X",OFFSET(A816,3,0),MATCH("  ..............",A819:A828,0)&gt;2,V818),"-")</f>
        <v xml:space="preserve">  LAJE2A-RS013  </v>
      </c>
      <c r="W819">
        <f t="shared" ca="1" si="36"/>
        <v>1.048</v>
      </c>
      <c r="X819" t="str">
        <f t="shared" ca="1" si="37"/>
        <v xml:space="preserve"> LAJEA2-RS069 </v>
      </c>
      <c r="Y819" s="1">
        <f t="shared" ca="1" si="38"/>
        <v>0.623</v>
      </c>
    </row>
    <row r="820" spans="1:25" x14ac:dyDescent="0.25">
      <c r="A820" t="s">
        <v>1588</v>
      </c>
      <c r="B820" t="s">
        <v>1587</v>
      </c>
      <c r="C820">
        <v>25</v>
      </c>
      <c r="D820">
        <v>37</v>
      </c>
      <c r="E820">
        <v>37</v>
      </c>
      <c r="F820" s="1">
        <v>0.623</v>
      </c>
      <c r="G820" t="s">
        <v>1587</v>
      </c>
      <c r="H820" t="s">
        <v>1587</v>
      </c>
      <c r="I820">
        <v>2081</v>
      </c>
      <c r="J820" t="s">
        <v>2257</v>
      </c>
      <c r="K820">
        <v>4</v>
      </c>
      <c r="L820">
        <v>-15.6</v>
      </c>
      <c r="M820">
        <v>-4.8</v>
      </c>
      <c r="N820">
        <v>15.6</v>
      </c>
      <c r="O820" t="s">
        <v>1594</v>
      </c>
      <c r="P820" t="s">
        <v>1584</v>
      </c>
      <c r="Q820" t="s">
        <v>1591</v>
      </c>
      <c r="R820">
        <v>0</v>
      </c>
      <c r="S820">
        <v>0.91</v>
      </c>
      <c r="T820" t="s">
        <v>1584</v>
      </c>
      <c r="U820" t="s">
        <v>1592</v>
      </c>
      <c r="V820" t="str" cm="1">
        <f t="array" aca="1" ref="V820" ca="1">IFERROR(_xlfn.IFS(A818="  ..............",OFFSET(A818,2,0),A817=" X-------------X",OFFSET(A817,3,0),MATCH("  ..............",A820:A829,0)&gt;2,V819),"-")</f>
        <v xml:space="preserve">  LAJE2A-RS013  </v>
      </c>
      <c r="W820">
        <f t="shared" ca="1" si="36"/>
        <v>1.048</v>
      </c>
      <c r="X820" t="str">
        <f t="shared" ca="1" si="37"/>
        <v xml:space="preserve"> LAJE2B-RS013 </v>
      </c>
      <c r="Y820" s="1">
        <f t="shared" ca="1" si="38"/>
        <v>0.76500000000000001</v>
      </c>
    </row>
    <row r="821" spans="1:25" x14ac:dyDescent="0.25">
      <c r="A821" t="s">
        <v>1637</v>
      </c>
      <c r="B821" t="s">
        <v>1638</v>
      </c>
      <c r="C821">
        <v>9999</v>
      </c>
      <c r="D821">
        <v>9999</v>
      </c>
      <c r="E821">
        <v>9999</v>
      </c>
      <c r="F821" t="s">
        <v>1639</v>
      </c>
      <c r="G821" t="s">
        <v>1587</v>
      </c>
      <c r="H821" t="s">
        <v>1587</v>
      </c>
      <c r="I821">
        <v>10142</v>
      </c>
      <c r="J821" t="s">
        <v>2250</v>
      </c>
      <c r="K821">
        <v>1</v>
      </c>
      <c r="L821">
        <v>0</v>
      </c>
      <c r="M821">
        <v>0</v>
      </c>
      <c r="N821">
        <v>0</v>
      </c>
      <c r="O821" t="s">
        <v>1594</v>
      </c>
      <c r="P821" t="s">
        <v>1584</v>
      </c>
      <c r="Q821" t="s">
        <v>1591</v>
      </c>
      <c r="R821">
        <v>0</v>
      </c>
      <c r="S821">
        <v>0</v>
      </c>
      <c r="T821" t="s">
        <v>1584</v>
      </c>
      <c r="U821" t="s">
        <v>1592</v>
      </c>
      <c r="V821" t="str" cm="1">
        <f t="array" aca="1" ref="V821" ca="1">IFERROR(_xlfn.IFS(A819="  ..............",OFFSET(A819,2,0),A818=" X-------------X",OFFSET(A818,3,0),MATCH("  ..............",A821:A830,0)&gt;2,V820),"-")</f>
        <v>-</v>
      </c>
      <c r="W821" t="str">
        <f t="shared" ca="1" si="36"/>
        <v>-</v>
      </c>
      <c r="X821" t="str">
        <f t="shared" ca="1" si="37"/>
        <v>-</v>
      </c>
      <c r="Y821" s="1" t="str">
        <f t="shared" ca="1" si="38"/>
        <v>-</v>
      </c>
    </row>
    <row r="822" spans="1:25" x14ac:dyDescent="0.25">
      <c r="A822" t="s">
        <v>1572</v>
      </c>
      <c r="B822" t="s">
        <v>1574</v>
      </c>
      <c r="C822" t="s">
        <v>1574</v>
      </c>
      <c r="D822" t="s">
        <v>1574</v>
      </c>
      <c r="E822" t="s">
        <v>1574</v>
      </c>
      <c r="F822" t="s">
        <v>1575</v>
      </c>
      <c r="G822" t="s">
        <v>1574</v>
      </c>
      <c r="H822" t="s">
        <v>1574</v>
      </c>
      <c r="I822" t="s">
        <v>1576</v>
      </c>
      <c r="J822" t="s">
        <v>1573</v>
      </c>
      <c r="K822" t="s">
        <v>1577</v>
      </c>
      <c r="L822" t="s">
        <v>1574</v>
      </c>
      <c r="M822" t="s">
        <v>1574</v>
      </c>
      <c r="N822" t="s">
        <v>1574</v>
      </c>
      <c r="O822" t="s">
        <v>1578</v>
      </c>
      <c r="P822" t="s">
        <v>1576</v>
      </c>
      <c r="Q822" t="s">
        <v>1579</v>
      </c>
      <c r="R822" t="s">
        <v>1580</v>
      </c>
      <c r="S822" t="s">
        <v>1580</v>
      </c>
      <c r="T822" t="s">
        <v>1576</v>
      </c>
      <c r="U822" t="s">
        <v>1576</v>
      </c>
      <c r="V822" t="str" cm="1">
        <f t="array" aca="1" ref="V822" ca="1">IFERROR(_xlfn.IFS(A820="  ..............",OFFSET(A820,2,0),A819=" X-------------X",OFFSET(A819,3,0),MATCH("  ..............",A822:A831,0)&gt;2,V821),"-")</f>
        <v>-</v>
      </c>
      <c r="W822" t="str">
        <f t="shared" ca="1" si="36"/>
        <v>-</v>
      </c>
      <c r="X822" t="str">
        <f t="shared" ca="1" si="37"/>
        <v/>
      </c>
      <c r="Y822" s="1" t="str">
        <f t="shared" ca="1" si="38"/>
        <v/>
      </c>
    </row>
    <row r="823" spans="1:25" x14ac:dyDescent="0.25">
      <c r="A823" t="s">
        <v>2258</v>
      </c>
      <c r="B823">
        <v>1.018</v>
      </c>
      <c r="C823">
        <v>0</v>
      </c>
      <c r="D823">
        <v>0</v>
      </c>
      <c r="E823">
        <v>4</v>
      </c>
      <c r="F823">
        <v>0</v>
      </c>
      <c r="G823">
        <v>0</v>
      </c>
      <c r="H823">
        <v>0</v>
      </c>
      <c r="I823" t="s">
        <v>1581</v>
      </c>
      <c r="J823" t="s">
        <v>1581</v>
      </c>
      <c r="K823" t="s">
        <v>1581</v>
      </c>
      <c r="L823" t="s">
        <v>1581</v>
      </c>
      <c r="M823" t="s">
        <v>1581</v>
      </c>
      <c r="N823" t="s">
        <v>1581</v>
      </c>
      <c r="O823" t="s">
        <v>1581</v>
      </c>
      <c r="P823" t="s">
        <v>1581</v>
      </c>
      <c r="Q823" t="s">
        <v>1581</v>
      </c>
      <c r="R823" t="s">
        <v>1581</v>
      </c>
      <c r="S823" t="s">
        <v>1581</v>
      </c>
      <c r="T823" t="s">
        <v>1581</v>
      </c>
      <c r="U823" t="s">
        <v>1581</v>
      </c>
      <c r="V823" t="str" cm="1">
        <f t="array" aca="1" ref="V823" ca="1">IFERROR(_xlfn.IFS(A821="  ..............",OFFSET(A821,2,0),A820=" X-------------X",OFFSET(A820,3,0),MATCH("  ..............",A823:A832,0)&gt;2,V822),"-")</f>
        <v>-</v>
      </c>
      <c r="W823" t="str">
        <f t="shared" ca="1" si="36"/>
        <v>-</v>
      </c>
      <c r="X823" t="str">
        <f t="shared" ca="1" si="37"/>
        <v xml:space="preserve">              </v>
      </c>
      <c r="Y823" s="1">
        <f t="shared" ca="1" si="38"/>
        <v>0</v>
      </c>
    </row>
    <row r="824" spans="1:25" x14ac:dyDescent="0.25">
      <c r="A824" t="s">
        <v>2259</v>
      </c>
      <c r="B824">
        <v>-52.6</v>
      </c>
      <c r="C824">
        <v>0</v>
      </c>
      <c r="D824">
        <v>0</v>
      </c>
      <c r="E824">
        <v>1.7</v>
      </c>
      <c r="F824">
        <v>0</v>
      </c>
      <c r="G824">
        <v>0</v>
      </c>
      <c r="H824">
        <v>0</v>
      </c>
      <c r="I824" t="s">
        <v>1584</v>
      </c>
      <c r="J824" t="s">
        <v>1585</v>
      </c>
      <c r="K824" t="s">
        <v>1586</v>
      </c>
      <c r="L824" t="s">
        <v>1587</v>
      </c>
      <c r="M824" t="s">
        <v>1587</v>
      </c>
      <c r="N824" t="s">
        <v>1586</v>
      </c>
      <c r="O824" t="s">
        <v>1581</v>
      </c>
      <c r="P824" t="s">
        <v>1581</v>
      </c>
      <c r="Q824" t="s">
        <v>1581</v>
      </c>
      <c r="R824" t="s">
        <v>1581</v>
      </c>
      <c r="S824" t="s">
        <v>1581</v>
      </c>
      <c r="T824" t="s">
        <v>1581</v>
      </c>
      <c r="U824" t="s">
        <v>1581</v>
      </c>
      <c r="V824" t="str" cm="1">
        <f t="array" aca="1" ref="V824" ca="1">IFERROR(_xlfn.IFS(A822="  ..............",OFFSET(A822,2,0),A821=" X-------------X",OFFSET(A821,3,0),MATCH("  ..............",A824:A833,0)&gt;2,V823),"-")</f>
        <v xml:space="preserve">  PEPSI--RS138  </v>
      </c>
      <c r="W824">
        <f t="shared" ca="1" si="36"/>
        <v>1.018</v>
      </c>
      <c r="X824" t="str">
        <f t="shared" ca="1" si="37"/>
        <v xml:space="preserve"> LANSUL-RS138 </v>
      </c>
      <c r="Y824" s="1">
        <f t="shared" ca="1" si="38"/>
        <v>0.182</v>
      </c>
    </row>
    <row r="825" spans="1:25" x14ac:dyDescent="0.25">
      <c r="A825" t="s">
        <v>1588</v>
      </c>
      <c r="B825" t="s">
        <v>1587</v>
      </c>
      <c r="C825">
        <v>108</v>
      </c>
      <c r="D825">
        <v>108</v>
      </c>
      <c r="E825">
        <v>108</v>
      </c>
      <c r="F825" s="1">
        <v>0.14499999999999999</v>
      </c>
      <c r="G825" t="s">
        <v>1587</v>
      </c>
      <c r="H825" t="s">
        <v>1587</v>
      </c>
      <c r="I825">
        <v>1219</v>
      </c>
      <c r="J825" t="s">
        <v>1905</v>
      </c>
      <c r="K825">
        <v>1</v>
      </c>
      <c r="L825">
        <v>-14.4</v>
      </c>
      <c r="M825">
        <v>6.9</v>
      </c>
      <c r="N825">
        <v>15.7</v>
      </c>
      <c r="O825" t="s">
        <v>1594</v>
      </c>
      <c r="P825" t="s">
        <v>1584</v>
      </c>
      <c r="Q825" t="s">
        <v>1591</v>
      </c>
      <c r="R825">
        <v>0</v>
      </c>
      <c r="S825">
        <v>-0.12</v>
      </c>
      <c r="T825" t="s">
        <v>1584</v>
      </c>
      <c r="U825" t="s">
        <v>1592</v>
      </c>
      <c r="V825" t="str" cm="1">
        <f t="array" aca="1" ref="V825" ca="1">IFERROR(_xlfn.IFS(A823="  ..............",OFFSET(A823,2,0),A822=" X-------------X",OFFSET(A822,3,0),MATCH("  ..............",A825:A834,0)&gt;2,V824),"-")</f>
        <v xml:space="preserve">  PEPSI--RS138  </v>
      </c>
      <c r="W825">
        <f t="shared" ca="1" si="36"/>
        <v>1.018</v>
      </c>
      <c r="X825" t="str">
        <f t="shared" ca="1" si="37"/>
        <v xml:space="preserve"> SCHARL-RS138 </v>
      </c>
      <c r="Y825" s="1" t="str">
        <f t="shared" ca="1" si="38"/>
        <v xml:space="preserve">             </v>
      </c>
    </row>
    <row r="826" spans="1:25" x14ac:dyDescent="0.25">
      <c r="A826" t="s">
        <v>1588</v>
      </c>
      <c r="B826" t="s">
        <v>1587</v>
      </c>
      <c r="C826">
        <v>108</v>
      </c>
      <c r="D826">
        <v>108</v>
      </c>
      <c r="E826">
        <v>108</v>
      </c>
      <c r="F826" s="1">
        <v>0.123</v>
      </c>
      <c r="G826" t="s">
        <v>1587</v>
      </c>
      <c r="H826" t="s">
        <v>1587</v>
      </c>
      <c r="I826">
        <v>2090</v>
      </c>
      <c r="J826" t="s">
        <v>1858</v>
      </c>
      <c r="K826">
        <v>1</v>
      </c>
      <c r="L826">
        <v>10.4</v>
      </c>
      <c r="M826">
        <v>-8.6</v>
      </c>
      <c r="N826">
        <v>13.3</v>
      </c>
      <c r="O826" t="s">
        <v>1594</v>
      </c>
      <c r="P826" t="s">
        <v>1584</v>
      </c>
      <c r="Q826" t="s">
        <v>1591</v>
      </c>
      <c r="R826">
        <v>0.01</v>
      </c>
      <c r="S826">
        <v>-0.79</v>
      </c>
      <c r="T826" t="s">
        <v>1584</v>
      </c>
      <c r="U826" t="s">
        <v>1592</v>
      </c>
      <c r="V826" t="str" cm="1">
        <f t="array" aca="1" ref="V826" ca="1">IFERROR(_xlfn.IFS(A824="  ..............",OFFSET(A824,2,0),A823=" X-------------X",OFFSET(A823,3,0),MATCH("  ..............",A826:A835,0)&gt;2,V825),"-")</f>
        <v>-</v>
      </c>
      <c r="W826" t="str">
        <f t="shared" ca="1" si="36"/>
        <v>-</v>
      </c>
      <c r="X826" t="str">
        <f t="shared" ca="1" si="37"/>
        <v>-</v>
      </c>
      <c r="Y826" s="1" t="str">
        <f t="shared" ca="1" si="38"/>
        <v>-</v>
      </c>
    </row>
    <row r="827" spans="1:25" x14ac:dyDescent="0.25">
      <c r="A827" t="s">
        <v>1572</v>
      </c>
      <c r="B827" t="s">
        <v>1574</v>
      </c>
      <c r="C827" t="s">
        <v>1574</v>
      </c>
      <c r="D827" t="s">
        <v>1574</v>
      </c>
      <c r="E827" t="s">
        <v>1574</v>
      </c>
      <c r="F827" t="s">
        <v>1575</v>
      </c>
      <c r="G827" t="s">
        <v>1574</v>
      </c>
      <c r="H827" t="s">
        <v>1574</v>
      </c>
      <c r="I827" t="s">
        <v>1576</v>
      </c>
      <c r="J827" t="s">
        <v>1573</v>
      </c>
      <c r="K827" t="s">
        <v>1577</v>
      </c>
      <c r="L827" t="s">
        <v>1574</v>
      </c>
      <c r="M827" t="s">
        <v>1574</v>
      </c>
      <c r="N827" t="s">
        <v>1574</v>
      </c>
      <c r="O827" t="s">
        <v>1578</v>
      </c>
      <c r="P827" t="s">
        <v>1576</v>
      </c>
      <c r="Q827" t="s">
        <v>1579</v>
      </c>
      <c r="R827" t="s">
        <v>1580</v>
      </c>
      <c r="S827" t="s">
        <v>1580</v>
      </c>
      <c r="T827" t="s">
        <v>1576</v>
      </c>
      <c r="U827" t="s">
        <v>1576</v>
      </c>
      <c r="V827" t="str" cm="1">
        <f t="array" aca="1" ref="V827" ca="1">IFERROR(_xlfn.IFS(A825="  ..............",OFFSET(A825,2,0),A824=" X-------------X",OFFSET(A824,3,0),MATCH("  ..............",A827:A836,0)&gt;2,V826),"-")</f>
        <v>-</v>
      </c>
      <c r="W827" t="str">
        <f t="shared" ca="1" si="36"/>
        <v>-</v>
      </c>
      <c r="X827" t="str">
        <f t="shared" ca="1" si="37"/>
        <v/>
      </c>
      <c r="Y827" s="1" t="str">
        <f t="shared" ca="1" si="38"/>
        <v/>
      </c>
    </row>
    <row r="828" spans="1:25" x14ac:dyDescent="0.25">
      <c r="A828" t="s">
        <v>2260</v>
      </c>
      <c r="B828">
        <v>1.02</v>
      </c>
      <c r="C828">
        <v>40.799999999999997</v>
      </c>
      <c r="D828">
        <v>0</v>
      </c>
      <c r="E828">
        <v>147.30000000000001</v>
      </c>
      <c r="F828">
        <v>0</v>
      </c>
      <c r="G828">
        <v>46.2</v>
      </c>
      <c r="H828">
        <v>0</v>
      </c>
      <c r="I828" t="s">
        <v>1581</v>
      </c>
      <c r="J828" t="s">
        <v>1581</v>
      </c>
      <c r="K828" t="s">
        <v>1581</v>
      </c>
      <c r="L828" t="s">
        <v>1581</v>
      </c>
      <c r="M828" t="s">
        <v>1581</v>
      </c>
      <c r="N828" t="s">
        <v>1581</v>
      </c>
      <c r="O828" t="s">
        <v>1581</v>
      </c>
      <c r="P828" t="s">
        <v>1581</v>
      </c>
      <c r="Q828" t="s">
        <v>1581</v>
      </c>
      <c r="R828" t="s">
        <v>1581</v>
      </c>
      <c r="S828" t="s">
        <v>1581</v>
      </c>
      <c r="T828" t="s">
        <v>1581</v>
      </c>
      <c r="U828" t="s">
        <v>1581</v>
      </c>
      <c r="V828" t="str" cm="1">
        <f t="array" aca="1" ref="V828" ca="1">IFERROR(_xlfn.IFS(A826="  ..............",OFFSET(A826,2,0),A825=" X-------------X",OFFSET(A825,3,0),MATCH("  ..............",A828:A837,0)&gt;2,V827),"-")</f>
        <v>-</v>
      </c>
      <c r="W828" t="str">
        <f t="shared" ca="1" si="36"/>
        <v>-</v>
      </c>
      <c r="X828" t="str">
        <f t="shared" ca="1" si="37"/>
        <v xml:space="preserve">              </v>
      </c>
      <c r="Y828" s="1">
        <f t="shared" ca="1" si="38"/>
        <v>0</v>
      </c>
    </row>
    <row r="829" spans="1:25" x14ac:dyDescent="0.25">
      <c r="A829" t="s">
        <v>2261</v>
      </c>
      <c r="B829">
        <v>-51.7</v>
      </c>
      <c r="C829">
        <v>0</v>
      </c>
      <c r="D829">
        <v>0</v>
      </c>
      <c r="E829">
        <v>52.8</v>
      </c>
      <c r="F829">
        <v>0</v>
      </c>
      <c r="G829">
        <v>0</v>
      </c>
      <c r="H829">
        <v>0</v>
      </c>
      <c r="I829" t="s">
        <v>1584</v>
      </c>
      <c r="J829" t="s">
        <v>1585</v>
      </c>
      <c r="K829" t="s">
        <v>1586</v>
      </c>
      <c r="L829" t="s">
        <v>1587</v>
      </c>
      <c r="M829" t="s">
        <v>1587</v>
      </c>
      <c r="N829" t="s">
        <v>1586</v>
      </c>
      <c r="O829" t="s">
        <v>1581</v>
      </c>
      <c r="P829" t="s">
        <v>1581</v>
      </c>
      <c r="Q829" t="s">
        <v>1581</v>
      </c>
      <c r="R829" t="s">
        <v>1581</v>
      </c>
      <c r="S829" t="s">
        <v>1581</v>
      </c>
      <c r="T829" t="s">
        <v>1581</v>
      </c>
      <c r="U829" t="s">
        <v>1581</v>
      </c>
      <c r="V829" t="str" cm="1">
        <f t="array" aca="1" ref="V829" ca="1">IFERROR(_xlfn.IFS(A827="  ..............",OFFSET(A827,2,0),A826=" X-------------X",OFFSET(A826,3,0),MATCH("  ..............",A829:A838,0)&gt;2,V828),"-")</f>
        <v xml:space="preserve">  SMARI3-RS069  </v>
      </c>
      <c r="W829">
        <f t="shared" ca="1" si="36"/>
        <v>1.02</v>
      </c>
      <c r="X829" t="str">
        <f t="shared" ca="1" si="37"/>
        <v xml:space="preserve"> SMA3-1-RS000 </v>
      </c>
      <c r="Y829" s="1">
        <f t="shared" ca="1" si="38"/>
        <v>0.41299999999999998</v>
      </c>
    </row>
    <row r="830" spans="1:25" x14ac:dyDescent="0.25">
      <c r="A830" t="s">
        <v>1588</v>
      </c>
      <c r="B830" t="s">
        <v>1587</v>
      </c>
      <c r="C830">
        <v>83</v>
      </c>
      <c r="D830">
        <v>83</v>
      </c>
      <c r="E830">
        <v>83</v>
      </c>
      <c r="F830" s="1">
        <v>0.41299999999999998</v>
      </c>
      <c r="G830" t="s">
        <v>1587</v>
      </c>
      <c r="H830" t="s">
        <v>1587</v>
      </c>
      <c r="I830">
        <v>41373</v>
      </c>
      <c r="J830" t="s">
        <v>2262</v>
      </c>
      <c r="K830">
        <v>1</v>
      </c>
      <c r="L830">
        <v>-35</v>
      </c>
      <c r="M830">
        <v>-1.9</v>
      </c>
      <c r="N830">
        <v>34.299999999999997</v>
      </c>
      <c r="O830" t="s">
        <v>1608</v>
      </c>
      <c r="P830" t="s">
        <v>1584</v>
      </c>
      <c r="Q830">
        <v>2</v>
      </c>
      <c r="R830">
        <v>0.04</v>
      </c>
      <c r="S830">
        <v>-0.12</v>
      </c>
      <c r="T830" t="s">
        <v>1584</v>
      </c>
      <c r="U830" t="s">
        <v>1592</v>
      </c>
      <c r="V830" t="str" cm="1">
        <f t="array" aca="1" ref="V830" ca="1">IFERROR(_xlfn.IFS(A828="  ..............",OFFSET(A828,2,0),A827=" X-------------X",OFFSET(A827,3,0),MATCH("  ..............",A830:A839,0)&gt;2,V829),"-")</f>
        <v xml:space="preserve">  SMARI3-RS069  </v>
      </c>
      <c r="W830">
        <f t="shared" ca="1" si="36"/>
        <v>1.02</v>
      </c>
      <c r="X830" t="str">
        <f t="shared" ca="1" si="37"/>
        <v xml:space="preserve"> SMA3-5-RS000 </v>
      </c>
      <c r="Y830" s="1">
        <f t="shared" ca="1" si="38"/>
        <v>0.43</v>
      </c>
    </row>
    <row r="831" spans="1:25" x14ac:dyDescent="0.25">
      <c r="A831" t="s">
        <v>1588</v>
      </c>
      <c r="B831" t="s">
        <v>1587</v>
      </c>
      <c r="C831">
        <v>83</v>
      </c>
      <c r="D831">
        <v>83</v>
      </c>
      <c r="E831">
        <v>83</v>
      </c>
      <c r="F831" s="1">
        <v>0.43</v>
      </c>
      <c r="G831" t="s">
        <v>1587</v>
      </c>
      <c r="H831" t="s">
        <v>1587</v>
      </c>
      <c r="I831">
        <v>41374</v>
      </c>
      <c r="J831" t="s">
        <v>2263</v>
      </c>
      <c r="K831">
        <v>5</v>
      </c>
      <c r="L831">
        <v>-36.4</v>
      </c>
      <c r="M831">
        <v>-2.7</v>
      </c>
      <c r="N831">
        <v>35.700000000000003</v>
      </c>
      <c r="O831" t="s">
        <v>1608</v>
      </c>
      <c r="P831" t="s">
        <v>1584</v>
      </c>
      <c r="Q831">
        <v>2</v>
      </c>
      <c r="R831">
        <v>0.02</v>
      </c>
      <c r="S831">
        <v>-0.09</v>
      </c>
      <c r="T831" t="s">
        <v>1584</v>
      </c>
      <c r="U831" t="s">
        <v>1592</v>
      </c>
      <c r="V831" t="str" cm="1">
        <f t="array" aca="1" ref="V831" ca="1">IFERROR(_xlfn.IFS(A829="  ..............",OFFSET(A829,2,0),A828=" X-------------X",OFFSET(A828,3,0),MATCH("  ..............",A831:A840,0)&gt;2,V830),"-")</f>
        <v xml:space="preserve">  SMARI3-RS069  </v>
      </c>
      <c r="W831">
        <f t="shared" ca="1" si="36"/>
        <v>1.02</v>
      </c>
      <c r="X831" t="str">
        <f t="shared" ca="1" si="37"/>
        <v xml:space="preserve"> SMA3-2-RS000 </v>
      </c>
      <c r="Y831" s="1">
        <f t="shared" ca="1" si="38"/>
        <v>0.41599999999999998</v>
      </c>
    </row>
    <row r="832" spans="1:25" x14ac:dyDescent="0.25">
      <c r="A832" t="s">
        <v>1588</v>
      </c>
      <c r="B832" t="s">
        <v>1587</v>
      </c>
      <c r="C832">
        <v>83</v>
      </c>
      <c r="D832">
        <v>125</v>
      </c>
      <c r="E832">
        <v>125</v>
      </c>
      <c r="F832" s="1">
        <v>0.41599999999999998</v>
      </c>
      <c r="G832" t="s">
        <v>1587</v>
      </c>
      <c r="H832" t="s">
        <v>1587</v>
      </c>
      <c r="I832">
        <v>41375</v>
      </c>
      <c r="J832" t="s">
        <v>2264</v>
      </c>
      <c r="K832">
        <v>2</v>
      </c>
      <c r="L832">
        <v>-35.200000000000003</v>
      </c>
      <c r="M832">
        <v>-2</v>
      </c>
      <c r="N832">
        <v>34.5</v>
      </c>
      <c r="O832" t="s">
        <v>1608</v>
      </c>
      <c r="P832" t="s">
        <v>1584</v>
      </c>
      <c r="Q832">
        <v>2</v>
      </c>
      <c r="R832">
        <v>0.04</v>
      </c>
      <c r="S832">
        <v>-0.14000000000000001</v>
      </c>
      <c r="T832" t="s">
        <v>1584</v>
      </c>
      <c r="U832" t="s">
        <v>1592</v>
      </c>
      <c r="V832" t="str" cm="1">
        <f t="array" aca="1" ref="V832" ca="1">IFERROR(_xlfn.IFS(A830="  ..............",OFFSET(A830,2,0),A829=" X-------------X",OFFSET(A829,3,0),MATCH("  ..............",A832:A841,0)&gt;2,V831),"-")</f>
        <v>-</v>
      </c>
      <c r="W832" t="str">
        <f t="shared" ca="1" si="36"/>
        <v>-</v>
      </c>
      <c r="X832" t="str">
        <f t="shared" ca="1" si="37"/>
        <v>-</v>
      </c>
      <c r="Y832" s="1" t="str">
        <f t="shared" ca="1" si="38"/>
        <v>-</v>
      </c>
    </row>
    <row r="833" spans="1:25" x14ac:dyDescent="0.25">
      <c r="A833" t="s">
        <v>1572</v>
      </c>
      <c r="B833" t="s">
        <v>1574</v>
      </c>
      <c r="C833" t="s">
        <v>1574</v>
      </c>
      <c r="D833" t="s">
        <v>1574</v>
      </c>
      <c r="E833" t="s">
        <v>1574</v>
      </c>
      <c r="F833" t="s">
        <v>1575</v>
      </c>
      <c r="G833" t="s">
        <v>1574</v>
      </c>
      <c r="H833" t="s">
        <v>1574</v>
      </c>
      <c r="I833" t="s">
        <v>1576</v>
      </c>
      <c r="J833" t="s">
        <v>1573</v>
      </c>
      <c r="K833" t="s">
        <v>1577</v>
      </c>
      <c r="L833" t="s">
        <v>1574</v>
      </c>
      <c r="M833" t="s">
        <v>1574</v>
      </c>
      <c r="N833" t="s">
        <v>1574</v>
      </c>
      <c r="O833" t="s">
        <v>1578</v>
      </c>
      <c r="P833" t="s">
        <v>1576</v>
      </c>
      <c r="Q833" t="s">
        <v>1579</v>
      </c>
      <c r="R833" t="s">
        <v>1580</v>
      </c>
      <c r="S833" t="s">
        <v>1580</v>
      </c>
      <c r="T833" t="s">
        <v>1576</v>
      </c>
      <c r="U833" t="s">
        <v>1576</v>
      </c>
      <c r="V833" t="str" cm="1">
        <f t="array" aca="1" ref="V833" ca="1">IFERROR(_xlfn.IFS(A831="  ..............",OFFSET(A831,2,0),A830=" X-------------X",OFFSET(A830,3,0),MATCH("  ..............",A833:A842,0)&gt;2,V832),"-")</f>
        <v>-</v>
      </c>
      <c r="W833" t="str">
        <f t="shared" ca="1" si="36"/>
        <v>-</v>
      </c>
      <c r="X833" t="str">
        <f t="shared" ca="1" si="37"/>
        <v/>
      </c>
      <c r="Y833" s="1" t="str">
        <f t="shared" ca="1" si="38"/>
        <v/>
      </c>
    </row>
    <row r="834" spans="1:25" x14ac:dyDescent="0.25">
      <c r="A834" t="s">
        <v>2265</v>
      </c>
      <c r="B834">
        <v>1.0109999999999999</v>
      </c>
      <c r="C834">
        <v>18.3</v>
      </c>
      <c r="D834">
        <v>0</v>
      </c>
      <c r="E834">
        <v>101.8</v>
      </c>
      <c r="F834">
        <v>0</v>
      </c>
      <c r="G834">
        <v>36</v>
      </c>
      <c r="H834">
        <v>0</v>
      </c>
      <c r="I834" t="s">
        <v>1581</v>
      </c>
      <c r="J834" t="s">
        <v>1581</v>
      </c>
      <c r="K834" t="s">
        <v>1581</v>
      </c>
      <c r="L834" t="s">
        <v>1581</v>
      </c>
      <c r="M834" t="s">
        <v>1581</v>
      </c>
      <c r="N834" t="s">
        <v>1581</v>
      </c>
      <c r="O834" t="s">
        <v>1581</v>
      </c>
      <c r="P834" t="s">
        <v>1581</v>
      </c>
      <c r="Q834" t="s">
        <v>1581</v>
      </c>
      <c r="R834" t="s">
        <v>1581</v>
      </c>
      <c r="S834" t="s">
        <v>1581</v>
      </c>
      <c r="T834" t="s">
        <v>1581</v>
      </c>
      <c r="U834" t="s">
        <v>1581</v>
      </c>
      <c r="V834" t="str" cm="1">
        <f t="array" aca="1" ref="V834" ca="1">IFERROR(_xlfn.IFS(A832="  ..............",OFFSET(A832,2,0),A831=" X-------------X",OFFSET(A831,3,0),MATCH("  ..............",A834:A843,0)&gt;2,V833),"-")</f>
        <v>-</v>
      </c>
      <c r="W834" t="str">
        <f t="shared" ca="1" si="36"/>
        <v>-</v>
      </c>
      <c r="X834" t="str">
        <f t="shared" ca="1" si="37"/>
        <v xml:space="preserve">              </v>
      </c>
      <c r="Y834" s="1">
        <f t="shared" ca="1" si="38"/>
        <v>0</v>
      </c>
    </row>
    <row r="835" spans="1:25" x14ac:dyDescent="0.25">
      <c r="A835" t="s">
        <v>2266</v>
      </c>
      <c r="B835">
        <v>-53.7</v>
      </c>
      <c r="C835">
        <v>0</v>
      </c>
      <c r="D835">
        <v>0</v>
      </c>
      <c r="E835">
        <v>42.9</v>
      </c>
      <c r="F835">
        <v>0</v>
      </c>
      <c r="G835">
        <v>0</v>
      </c>
      <c r="H835">
        <v>0</v>
      </c>
      <c r="I835" t="s">
        <v>1584</v>
      </c>
      <c r="J835" t="s">
        <v>1585</v>
      </c>
      <c r="K835" t="s">
        <v>1586</v>
      </c>
      <c r="L835" t="s">
        <v>1587</v>
      </c>
      <c r="M835" t="s">
        <v>1587</v>
      </c>
      <c r="N835" t="s">
        <v>1586</v>
      </c>
      <c r="O835" t="s">
        <v>1581</v>
      </c>
      <c r="P835" t="s">
        <v>1581</v>
      </c>
      <c r="Q835" t="s">
        <v>1581</v>
      </c>
      <c r="R835" t="s">
        <v>1581</v>
      </c>
      <c r="S835" t="s">
        <v>1581</v>
      </c>
      <c r="T835" t="s">
        <v>1581</v>
      </c>
      <c r="U835" t="s">
        <v>1581</v>
      </c>
      <c r="V835" t="str" cm="1">
        <f t="array" aca="1" ref="V835" ca="1">IFERROR(_xlfn.IFS(A833="  ..............",OFFSET(A833,2,0),A832=" X-------------X",OFFSET(A832,3,0),MATCH("  ..............",A835:A844,0)&gt;2,V834),"-")</f>
        <v xml:space="preserve">  SCRUZ1-RS069  </v>
      </c>
      <c r="W835">
        <f t="shared" ca="1" si="36"/>
        <v>1.0109999999999999</v>
      </c>
      <c r="X835" t="str">
        <f t="shared" ca="1" si="37"/>
        <v xml:space="preserve"> SCR1-1-RS000 </v>
      </c>
      <c r="Y835" s="1">
        <f t="shared" ca="1" si="38"/>
        <v>0.32900000000000001</v>
      </c>
    </row>
    <row r="836" spans="1:25" x14ac:dyDescent="0.25">
      <c r="A836" t="s">
        <v>1588</v>
      </c>
      <c r="B836" t="s">
        <v>1587</v>
      </c>
      <c r="C836">
        <v>83</v>
      </c>
      <c r="D836">
        <v>83</v>
      </c>
      <c r="E836">
        <v>83</v>
      </c>
      <c r="F836" s="1">
        <v>0.32900000000000001</v>
      </c>
      <c r="G836" t="s">
        <v>1587</v>
      </c>
      <c r="H836" t="s">
        <v>1587</v>
      </c>
      <c r="I836">
        <v>41365</v>
      </c>
      <c r="J836" t="s">
        <v>2267</v>
      </c>
      <c r="K836">
        <v>1</v>
      </c>
      <c r="L836">
        <v>-27.5</v>
      </c>
      <c r="M836">
        <v>-2.2999999999999998</v>
      </c>
      <c r="N836">
        <v>27.3</v>
      </c>
      <c r="O836" t="s">
        <v>1608</v>
      </c>
      <c r="P836" t="s">
        <v>1584</v>
      </c>
      <c r="Q836">
        <v>2</v>
      </c>
      <c r="R836">
        <v>0.01</v>
      </c>
      <c r="S836">
        <v>-7.0000000000000007E-2</v>
      </c>
      <c r="T836" t="s">
        <v>1584</v>
      </c>
      <c r="U836" t="s">
        <v>1592</v>
      </c>
      <c r="V836" t="str" cm="1">
        <f t="array" aca="1" ref="V836" ca="1">IFERROR(_xlfn.IFS(A834="  ..............",OFFSET(A834,2,0),A833=" X-------------X",OFFSET(A833,3,0),MATCH("  ..............",A836:A845,0)&gt;2,V835),"-")</f>
        <v xml:space="preserve">  SCRUZ1-RS069  </v>
      </c>
      <c r="W836">
        <f t="shared" ref="W836:W899" ca="1" si="39">IFERROR(OFFSET($A$1,MATCH(V836,A:A,0)-2,1),"-")</f>
        <v>1.0109999999999999</v>
      </c>
      <c r="X836" t="str">
        <f t="shared" ref="X836:X899" ca="1" si="40">IFERROR(IF(V836=V835,OFFSET($J$1,ROW(X836),0),OFFSET($J$1,MATCH(V836,A:A,0),0)),"-")</f>
        <v xml:space="preserve"> SCR1-2-RS000 </v>
      </c>
      <c r="Y836" s="1">
        <f t="shared" ref="Y836:Y899" ca="1" si="41">IFERROR(OFFSET($F$1,MATCH(X836,J:J,0)-1,0),"-")</f>
        <v>0.32500000000000001</v>
      </c>
    </row>
    <row r="837" spans="1:25" x14ac:dyDescent="0.25">
      <c r="A837" t="s">
        <v>1588</v>
      </c>
      <c r="B837" t="s">
        <v>1587</v>
      </c>
      <c r="C837">
        <v>83</v>
      </c>
      <c r="D837">
        <v>120</v>
      </c>
      <c r="E837">
        <v>120</v>
      </c>
      <c r="F837" s="1">
        <v>0.32500000000000001</v>
      </c>
      <c r="G837" t="s">
        <v>1587</v>
      </c>
      <c r="H837" t="s">
        <v>1587</v>
      </c>
      <c r="I837">
        <v>41366</v>
      </c>
      <c r="J837" t="s">
        <v>2268</v>
      </c>
      <c r="K837">
        <v>2</v>
      </c>
      <c r="L837">
        <v>-27.1</v>
      </c>
      <c r="M837">
        <v>-2.2999999999999998</v>
      </c>
      <c r="N837">
        <v>26.9</v>
      </c>
      <c r="O837" t="s">
        <v>1608</v>
      </c>
      <c r="P837" t="s">
        <v>1584</v>
      </c>
      <c r="Q837">
        <v>2</v>
      </c>
      <c r="R837">
        <v>0.01</v>
      </c>
      <c r="S837">
        <v>-0.08</v>
      </c>
      <c r="T837" t="s">
        <v>1584</v>
      </c>
      <c r="U837" t="s">
        <v>1592</v>
      </c>
      <c r="V837" t="str" cm="1">
        <f t="array" aca="1" ref="V837" ca="1">IFERROR(_xlfn.IFS(A835="  ..............",OFFSET(A835,2,0),A834=" X-------------X",OFFSET(A834,3,0),MATCH("  ..............",A837:A846,0)&gt;2,V836),"-")</f>
        <v xml:space="preserve">  SCRUZ1-RS069  </v>
      </c>
      <c r="W837">
        <f t="shared" ca="1" si="39"/>
        <v>1.0109999999999999</v>
      </c>
      <c r="X837" t="str">
        <f t="shared" ca="1" si="40"/>
        <v xml:space="preserve"> SCR1-5-RS000 </v>
      </c>
      <c r="Y837" s="1">
        <f t="shared" ca="1" si="41"/>
        <v>0.34599999999999997</v>
      </c>
    </row>
    <row r="838" spans="1:25" x14ac:dyDescent="0.25">
      <c r="A838" t="s">
        <v>1588</v>
      </c>
      <c r="B838" t="s">
        <v>1587</v>
      </c>
      <c r="C838">
        <v>83</v>
      </c>
      <c r="D838">
        <v>83</v>
      </c>
      <c r="E838">
        <v>83</v>
      </c>
      <c r="F838" s="1">
        <v>0.34599999999999997</v>
      </c>
      <c r="G838" t="s">
        <v>1587</v>
      </c>
      <c r="H838" t="s">
        <v>1587</v>
      </c>
      <c r="I838">
        <v>41367</v>
      </c>
      <c r="J838" t="s">
        <v>2269</v>
      </c>
      <c r="K838">
        <v>5</v>
      </c>
      <c r="L838">
        <v>-28.9</v>
      </c>
      <c r="M838">
        <v>-2.4</v>
      </c>
      <c r="N838">
        <v>28.7</v>
      </c>
      <c r="O838" t="s">
        <v>1608</v>
      </c>
      <c r="P838" t="s">
        <v>1584</v>
      </c>
      <c r="Q838">
        <v>2</v>
      </c>
      <c r="R838">
        <v>0.01</v>
      </c>
      <c r="S838">
        <v>-0.08</v>
      </c>
      <c r="T838" t="s">
        <v>1584</v>
      </c>
      <c r="U838" t="s">
        <v>1592</v>
      </c>
      <c r="V838" t="str" cm="1">
        <f t="array" aca="1" ref="V838" ca="1">IFERROR(_xlfn.IFS(A836="  ..............",OFFSET(A836,2,0),A835=" X-------------X",OFFSET(A835,3,0),MATCH("  ..............",A838:A847,0)&gt;2,V837),"-")</f>
        <v>-</v>
      </c>
      <c r="W838" t="str">
        <f t="shared" ca="1" si="39"/>
        <v>-</v>
      </c>
      <c r="X838" t="str">
        <f t="shared" ca="1" si="40"/>
        <v>-</v>
      </c>
      <c r="Y838" s="1" t="str">
        <f t="shared" ca="1" si="41"/>
        <v>-</v>
      </c>
    </row>
    <row r="839" spans="1:25" x14ac:dyDescent="0.25">
      <c r="A839" t="s">
        <v>1572</v>
      </c>
      <c r="B839" t="s">
        <v>1574</v>
      </c>
      <c r="C839" t="s">
        <v>1574</v>
      </c>
      <c r="D839" t="s">
        <v>1574</v>
      </c>
      <c r="E839" t="s">
        <v>1574</v>
      </c>
      <c r="F839" t="s">
        <v>1575</v>
      </c>
      <c r="G839" t="s">
        <v>1574</v>
      </c>
      <c r="H839" t="s">
        <v>1574</v>
      </c>
      <c r="I839" t="s">
        <v>1576</v>
      </c>
      <c r="J839" t="s">
        <v>1573</v>
      </c>
      <c r="K839" t="s">
        <v>1577</v>
      </c>
      <c r="L839" t="s">
        <v>1574</v>
      </c>
      <c r="M839" t="s">
        <v>1574</v>
      </c>
      <c r="N839" t="s">
        <v>1574</v>
      </c>
      <c r="O839" t="s">
        <v>1578</v>
      </c>
      <c r="P839" t="s">
        <v>1576</v>
      </c>
      <c r="Q839" t="s">
        <v>1579</v>
      </c>
      <c r="R839" t="s">
        <v>1580</v>
      </c>
      <c r="S839" t="s">
        <v>1580</v>
      </c>
      <c r="T839" t="s">
        <v>1576</v>
      </c>
      <c r="U839" t="s">
        <v>1576</v>
      </c>
      <c r="V839" t="str" cm="1">
        <f t="array" aca="1" ref="V839" ca="1">IFERROR(_xlfn.IFS(A837="  ..............",OFFSET(A837,2,0),A836=" X-------------X",OFFSET(A836,3,0),MATCH("  ..............",A839:A848,0)&gt;2,V838),"-")</f>
        <v>-</v>
      </c>
      <c r="W839" t="str">
        <f t="shared" ca="1" si="39"/>
        <v>-</v>
      </c>
      <c r="X839" t="str">
        <f t="shared" ca="1" si="40"/>
        <v/>
      </c>
      <c r="Y839" s="1" t="str">
        <f t="shared" ca="1" si="41"/>
        <v/>
      </c>
    </row>
    <row r="840" spans="1:25" x14ac:dyDescent="0.25">
      <c r="A840" t="s">
        <v>2270</v>
      </c>
      <c r="B840">
        <v>1.022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1581</v>
      </c>
      <c r="J840" t="s">
        <v>1581</v>
      </c>
      <c r="K840" t="s">
        <v>1581</v>
      </c>
      <c r="L840" t="s">
        <v>1581</v>
      </c>
      <c r="M840" t="s">
        <v>1581</v>
      </c>
      <c r="N840" t="s">
        <v>1581</v>
      </c>
      <c r="O840" t="s">
        <v>1581</v>
      </c>
      <c r="P840" t="s">
        <v>1581</v>
      </c>
      <c r="Q840" t="s">
        <v>1581</v>
      </c>
      <c r="R840" t="s">
        <v>1581</v>
      </c>
      <c r="S840" t="s">
        <v>1581</v>
      </c>
      <c r="T840" t="s">
        <v>1581</v>
      </c>
      <c r="U840" t="s">
        <v>1581</v>
      </c>
      <c r="V840" t="str" cm="1">
        <f t="array" aca="1" ref="V840" ca="1">IFERROR(_xlfn.IFS(A838="  ..............",OFFSET(A838,2,0),A837=" X-------------X",OFFSET(A837,3,0),MATCH("  ..............",A840:A849,0)&gt;2,V839),"-")</f>
        <v>-</v>
      </c>
      <c r="W840" t="str">
        <f t="shared" ca="1" si="39"/>
        <v>-</v>
      </c>
      <c r="X840" t="str">
        <f t="shared" ca="1" si="40"/>
        <v xml:space="preserve">              </v>
      </c>
      <c r="Y840" s="1">
        <f t="shared" ca="1" si="41"/>
        <v>0</v>
      </c>
    </row>
    <row r="841" spans="1:25" x14ac:dyDescent="0.25">
      <c r="A841" t="s">
        <v>2271</v>
      </c>
      <c r="B841">
        <v>-53.1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1584</v>
      </c>
      <c r="J841" t="s">
        <v>1585</v>
      </c>
      <c r="K841" t="s">
        <v>1586</v>
      </c>
      <c r="L841" t="s">
        <v>1587</v>
      </c>
      <c r="M841" t="s">
        <v>1587</v>
      </c>
      <c r="N841" t="s">
        <v>1586</v>
      </c>
      <c r="O841" t="s">
        <v>1581</v>
      </c>
      <c r="P841" t="s">
        <v>1581</v>
      </c>
      <c r="Q841" t="s">
        <v>1581</v>
      </c>
      <c r="R841" t="s">
        <v>1581</v>
      </c>
      <c r="S841" t="s">
        <v>1581</v>
      </c>
      <c r="T841" t="s">
        <v>1581</v>
      </c>
      <c r="U841" t="s">
        <v>1581</v>
      </c>
      <c r="V841" t="str" cm="1">
        <f t="array" aca="1" ref="V841" ca="1">IFERROR(_xlfn.IFS(A839="  ..............",OFFSET(A839,2,0),A838=" X-------------X",OFFSET(A838,3,0),MATCH("  ..............",A841:A850,0)&gt;2,V840),"-")</f>
        <v xml:space="preserve">  SCHARL-RS013  </v>
      </c>
      <c r="W841">
        <f t="shared" ca="1" si="39"/>
        <v>1.022</v>
      </c>
      <c r="X841" t="str">
        <f t="shared" ca="1" si="40"/>
        <v xml:space="preserve"> SCHARL-RS000 </v>
      </c>
      <c r="Y841" s="1">
        <f t="shared" ca="1" si="41"/>
        <v>0</v>
      </c>
    </row>
    <row r="842" spans="1:25" x14ac:dyDescent="0.25">
      <c r="A842" t="s">
        <v>1588</v>
      </c>
      <c r="B842" t="s">
        <v>1587</v>
      </c>
      <c r="C842">
        <v>20</v>
      </c>
      <c r="D842">
        <v>20</v>
      </c>
      <c r="E842">
        <v>20</v>
      </c>
      <c r="F842" s="1">
        <v>0</v>
      </c>
      <c r="G842" t="s">
        <v>1587</v>
      </c>
      <c r="H842" t="s">
        <v>1587</v>
      </c>
      <c r="I842">
        <v>2093</v>
      </c>
      <c r="J842" t="s">
        <v>2272</v>
      </c>
      <c r="K842">
        <v>1</v>
      </c>
      <c r="L842">
        <v>0</v>
      </c>
      <c r="M842">
        <v>0</v>
      </c>
      <c r="N842">
        <v>0</v>
      </c>
      <c r="O842" t="s">
        <v>1608</v>
      </c>
      <c r="P842" t="s">
        <v>1584</v>
      </c>
      <c r="Q842" t="s">
        <v>1591</v>
      </c>
      <c r="R842">
        <v>0</v>
      </c>
      <c r="S842">
        <v>0</v>
      </c>
      <c r="T842" t="s">
        <v>1584</v>
      </c>
      <c r="U842" t="s">
        <v>1592</v>
      </c>
      <c r="V842" t="str" cm="1">
        <f t="array" aca="1" ref="V842" ca="1">IFERROR(_xlfn.IFS(A840="  ..............",OFFSET(A840,2,0),A839=" X-------------X",OFFSET(A839,3,0),MATCH("  ..............",A842:A851,0)&gt;2,V841),"-")</f>
        <v>-</v>
      </c>
      <c r="W842" t="str">
        <f t="shared" ca="1" si="39"/>
        <v>-</v>
      </c>
      <c r="X842" t="str">
        <f t="shared" ca="1" si="40"/>
        <v>-</v>
      </c>
      <c r="Y842" s="1" t="str">
        <f t="shared" ca="1" si="41"/>
        <v>-</v>
      </c>
    </row>
    <row r="843" spans="1:25" x14ac:dyDescent="0.25">
      <c r="A843" t="s">
        <v>1572</v>
      </c>
      <c r="B843" t="s">
        <v>1574</v>
      </c>
      <c r="C843" t="s">
        <v>1574</v>
      </c>
      <c r="D843" t="s">
        <v>1574</v>
      </c>
      <c r="E843" t="s">
        <v>1574</v>
      </c>
      <c r="F843" t="s">
        <v>1575</v>
      </c>
      <c r="G843" t="s">
        <v>1574</v>
      </c>
      <c r="H843" t="s">
        <v>1574</v>
      </c>
      <c r="I843" t="s">
        <v>1576</v>
      </c>
      <c r="J843" t="s">
        <v>1573</v>
      </c>
      <c r="K843" t="s">
        <v>1577</v>
      </c>
      <c r="L843" t="s">
        <v>1574</v>
      </c>
      <c r="M843" t="s">
        <v>1574</v>
      </c>
      <c r="N843" t="s">
        <v>1574</v>
      </c>
      <c r="O843" t="s">
        <v>1578</v>
      </c>
      <c r="P843" t="s">
        <v>1576</v>
      </c>
      <c r="Q843" t="s">
        <v>1579</v>
      </c>
      <c r="R843" t="s">
        <v>1580</v>
      </c>
      <c r="S843" t="s">
        <v>1580</v>
      </c>
      <c r="T843" t="s">
        <v>1576</v>
      </c>
      <c r="U843" t="s">
        <v>1576</v>
      </c>
      <c r="V843" t="str" cm="1">
        <f t="array" aca="1" ref="V843" ca="1">IFERROR(_xlfn.IFS(A841="  ..............",OFFSET(A841,2,0),A840=" X-------------X",OFFSET(A840,3,0),MATCH("  ..............",A843:A852,0)&gt;2,V842),"-")</f>
        <v>-</v>
      </c>
      <c r="W843" t="str">
        <f t="shared" ca="1" si="39"/>
        <v>-</v>
      </c>
      <c r="X843" t="str">
        <f t="shared" ca="1" si="40"/>
        <v/>
      </c>
      <c r="Y843" s="1" t="str">
        <f t="shared" ca="1" si="41"/>
        <v/>
      </c>
    </row>
    <row r="844" spans="1:25" x14ac:dyDescent="0.25">
      <c r="A844" t="s">
        <v>2273</v>
      </c>
      <c r="B844">
        <v>1.02</v>
      </c>
      <c r="C844">
        <v>5.0999999999999996</v>
      </c>
      <c r="D844">
        <v>0</v>
      </c>
      <c r="E844">
        <v>50</v>
      </c>
      <c r="F844">
        <v>0</v>
      </c>
      <c r="G844">
        <v>3.7</v>
      </c>
      <c r="H844">
        <v>0</v>
      </c>
      <c r="I844" t="s">
        <v>1581</v>
      </c>
      <c r="J844" t="s">
        <v>1581</v>
      </c>
      <c r="K844" t="s">
        <v>1581</v>
      </c>
      <c r="L844" t="s">
        <v>1581</v>
      </c>
      <c r="M844" t="s">
        <v>1581</v>
      </c>
      <c r="N844" t="s">
        <v>1581</v>
      </c>
      <c r="O844" t="s">
        <v>1581</v>
      </c>
      <c r="P844" t="s">
        <v>1581</v>
      </c>
      <c r="Q844" t="s">
        <v>1581</v>
      </c>
      <c r="R844" t="s">
        <v>1581</v>
      </c>
      <c r="S844" t="s">
        <v>1581</v>
      </c>
      <c r="T844" t="s">
        <v>1581</v>
      </c>
      <c r="U844" t="s">
        <v>1581</v>
      </c>
      <c r="V844" t="str" cm="1">
        <f t="array" aca="1" ref="V844" ca="1">IFERROR(_xlfn.IFS(A842="  ..............",OFFSET(A842,2,0),A841=" X-------------X",OFFSET(A841,3,0),MATCH("  ..............",A844:A853,0)&gt;2,V843),"-")</f>
        <v>-</v>
      </c>
      <c r="W844" t="str">
        <f t="shared" ca="1" si="39"/>
        <v>-</v>
      </c>
      <c r="X844" t="str">
        <f t="shared" ca="1" si="40"/>
        <v xml:space="preserve">              </v>
      </c>
      <c r="Y844" s="1">
        <f t="shared" ca="1" si="41"/>
        <v>0</v>
      </c>
    </row>
    <row r="845" spans="1:25" x14ac:dyDescent="0.25">
      <c r="A845" t="s">
        <v>2274</v>
      </c>
      <c r="B845">
        <v>-52.8</v>
      </c>
      <c r="C845">
        <v>0</v>
      </c>
      <c r="D845">
        <v>0</v>
      </c>
      <c r="E845">
        <v>9.8000000000000007</v>
      </c>
      <c r="F845">
        <v>0</v>
      </c>
      <c r="G845">
        <v>0</v>
      </c>
      <c r="H845">
        <v>0</v>
      </c>
      <c r="I845" t="s">
        <v>1584</v>
      </c>
      <c r="J845" t="s">
        <v>1585</v>
      </c>
      <c r="K845" t="s">
        <v>1586</v>
      </c>
      <c r="L845" t="s">
        <v>1587</v>
      </c>
      <c r="M845" t="s">
        <v>1587</v>
      </c>
      <c r="N845" t="s">
        <v>1586</v>
      </c>
      <c r="O845" t="s">
        <v>1581</v>
      </c>
      <c r="P845" t="s">
        <v>1581</v>
      </c>
      <c r="Q845" t="s">
        <v>1581</v>
      </c>
      <c r="R845" t="s">
        <v>1581</v>
      </c>
      <c r="S845" t="s">
        <v>1581</v>
      </c>
      <c r="T845" t="s">
        <v>1581</v>
      </c>
      <c r="U845" t="s">
        <v>1581</v>
      </c>
      <c r="V845" t="str" cm="1">
        <f t="array" aca="1" ref="V845" ca="1">IFERROR(_xlfn.IFS(A843="  ..............",OFFSET(A843,2,0),A842=" X-------------X",OFFSET(A842,3,0),MATCH("  ..............",A845:A854,0)&gt;2,V844),"-")</f>
        <v xml:space="preserve">  SCHARL-RS138  </v>
      </c>
      <c r="W845">
        <f t="shared" ca="1" si="39"/>
        <v>1.02</v>
      </c>
      <c r="X845" t="str">
        <f t="shared" ca="1" si="40"/>
        <v xml:space="preserve"> EVELHA-RS138 </v>
      </c>
      <c r="Y845" s="1" t="str">
        <f t="shared" ca="1" si="41"/>
        <v xml:space="preserve">             </v>
      </c>
    </row>
    <row r="846" spans="1:25" x14ac:dyDescent="0.25">
      <c r="A846" t="s">
        <v>1637</v>
      </c>
      <c r="B846" t="s">
        <v>1638</v>
      </c>
      <c r="C846">
        <v>137</v>
      </c>
      <c r="D846">
        <v>175</v>
      </c>
      <c r="E846">
        <v>175</v>
      </c>
      <c r="F846" t="s">
        <v>1639</v>
      </c>
      <c r="G846" t="s">
        <v>1587</v>
      </c>
      <c r="H846" t="s">
        <v>1587</v>
      </c>
      <c r="I846">
        <v>1241</v>
      </c>
      <c r="J846" t="s">
        <v>2275</v>
      </c>
      <c r="K846">
        <v>1</v>
      </c>
      <c r="L846">
        <v>0</v>
      </c>
      <c r="M846">
        <v>0</v>
      </c>
      <c r="N846">
        <v>0</v>
      </c>
      <c r="O846" t="s">
        <v>1594</v>
      </c>
      <c r="P846" t="s">
        <v>1584</v>
      </c>
      <c r="Q846" t="s">
        <v>1591</v>
      </c>
      <c r="R846">
        <v>0</v>
      </c>
      <c r="S846">
        <v>0</v>
      </c>
      <c r="T846" t="s">
        <v>1584</v>
      </c>
      <c r="U846" t="s">
        <v>1592</v>
      </c>
      <c r="V846" t="str" cm="1">
        <f t="array" aca="1" ref="V846" ca="1">IFERROR(_xlfn.IFS(A844="  ..............",OFFSET(A844,2,0),A843=" X-------------X",OFFSET(A843,3,0),MATCH("  ..............",A846:A855,0)&gt;2,V845),"-")</f>
        <v>-</v>
      </c>
      <c r="W846" t="str">
        <f t="shared" ca="1" si="39"/>
        <v>-</v>
      </c>
      <c r="X846" t="str">
        <f t="shared" ca="1" si="40"/>
        <v>-</v>
      </c>
      <c r="Y846" s="1" t="str">
        <f t="shared" ca="1" si="41"/>
        <v>-</v>
      </c>
    </row>
    <row r="847" spans="1:25" x14ac:dyDescent="0.25">
      <c r="A847" t="s">
        <v>1588</v>
      </c>
      <c r="B847" t="s">
        <v>1587</v>
      </c>
      <c r="C847">
        <v>134</v>
      </c>
      <c r="D847">
        <v>162</v>
      </c>
      <c r="E847">
        <v>162</v>
      </c>
      <c r="F847" s="1">
        <v>0.13900000000000001</v>
      </c>
      <c r="G847" t="s">
        <v>1587</v>
      </c>
      <c r="H847" t="s">
        <v>1587</v>
      </c>
      <c r="I847">
        <v>2076</v>
      </c>
      <c r="J847" t="s">
        <v>2276</v>
      </c>
      <c r="K847">
        <v>1</v>
      </c>
      <c r="L847">
        <v>19</v>
      </c>
      <c r="M847">
        <v>0.8</v>
      </c>
      <c r="N847">
        <v>18.7</v>
      </c>
      <c r="O847" t="s">
        <v>1594</v>
      </c>
      <c r="P847" t="s">
        <v>1584</v>
      </c>
      <c r="Q847" t="s">
        <v>1591</v>
      </c>
      <c r="R847">
        <v>0.04</v>
      </c>
      <c r="S847">
        <v>-0.69</v>
      </c>
      <c r="T847" t="s">
        <v>1584</v>
      </c>
      <c r="U847" t="s">
        <v>1592</v>
      </c>
      <c r="V847" t="str" cm="1">
        <f t="array" aca="1" ref="V847" ca="1">IFERROR(_xlfn.IFS(A845="  ..............",OFFSET(A845,2,0),A844=" X-------------X",OFFSET(A844,3,0),MATCH("  ..............",A847:A856,0)&gt;2,V846),"-")</f>
        <v>-</v>
      </c>
      <c r="W847" t="str">
        <f t="shared" ca="1" si="39"/>
        <v>-</v>
      </c>
      <c r="X847" t="str">
        <f t="shared" ca="1" si="40"/>
        <v xml:space="preserve"> PEPSI--RS138 </v>
      </c>
      <c r="Y847" s="1">
        <f t="shared" ca="1" si="41"/>
        <v>0.14599999999999999</v>
      </c>
    </row>
    <row r="848" spans="1:25" x14ac:dyDescent="0.25">
      <c r="A848" t="s">
        <v>1588</v>
      </c>
      <c r="B848" t="s">
        <v>1587</v>
      </c>
      <c r="C848">
        <v>108</v>
      </c>
      <c r="D848">
        <v>108</v>
      </c>
      <c r="E848">
        <v>108</v>
      </c>
      <c r="F848" s="1">
        <v>0.11799999999999999</v>
      </c>
      <c r="G848" t="s">
        <v>1587</v>
      </c>
      <c r="H848" t="s">
        <v>1587</v>
      </c>
      <c r="I848">
        <v>2084</v>
      </c>
      <c r="J848" t="s">
        <v>1716</v>
      </c>
      <c r="K848">
        <v>1</v>
      </c>
      <c r="L848">
        <v>-10.4</v>
      </c>
      <c r="M848">
        <v>7.8</v>
      </c>
      <c r="N848">
        <v>12.8</v>
      </c>
      <c r="O848" t="s">
        <v>1594</v>
      </c>
      <c r="P848" t="s">
        <v>1584</v>
      </c>
      <c r="Q848" t="s">
        <v>1591</v>
      </c>
      <c r="R848">
        <v>0.01</v>
      </c>
      <c r="S848">
        <v>-0.79</v>
      </c>
      <c r="T848" t="s">
        <v>1584</v>
      </c>
      <c r="U848" t="s">
        <v>1592</v>
      </c>
      <c r="V848" t="str" cm="1">
        <f t="array" aca="1" ref="V848" ca="1">IFERROR(_xlfn.IFS(A846="  ..............",OFFSET(A846,2,0),A845=" X-------------X",OFFSET(A845,3,0),MATCH("  ..............",A848:A857,0)&gt;2,V847),"-")</f>
        <v>-</v>
      </c>
      <c r="W848" t="str">
        <f t="shared" ca="1" si="39"/>
        <v>-</v>
      </c>
      <c r="X848" t="str">
        <f t="shared" ca="1" si="40"/>
        <v xml:space="preserve"> SCHARL-RS000 </v>
      </c>
      <c r="Y848" s="1">
        <f t="shared" ca="1" si="41"/>
        <v>0</v>
      </c>
    </row>
    <row r="849" spans="1:25" x14ac:dyDescent="0.25">
      <c r="A849" t="s">
        <v>1588</v>
      </c>
      <c r="B849" t="s">
        <v>1587</v>
      </c>
      <c r="C849">
        <v>9999</v>
      </c>
      <c r="D849">
        <v>9999</v>
      </c>
      <c r="E849">
        <v>9999</v>
      </c>
      <c r="F849" s="1">
        <v>0</v>
      </c>
      <c r="G849" t="s">
        <v>1587</v>
      </c>
      <c r="H849" t="s">
        <v>1587</v>
      </c>
      <c r="I849">
        <v>2093</v>
      </c>
      <c r="J849" t="s">
        <v>2272</v>
      </c>
      <c r="K849">
        <v>1</v>
      </c>
      <c r="L849">
        <v>2.9</v>
      </c>
      <c r="M849">
        <v>1.2</v>
      </c>
      <c r="N849">
        <v>3.1</v>
      </c>
      <c r="O849" t="s">
        <v>2277</v>
      </c>
      <c r="P849" t="s">
        <v>1584</v>
      </c>
      <c r="Q849" t="s">
        <v>1591</v>
      </c>
      <c r="R849">
        <v>0</v>
      </c>
      <c r="S849">
        <v>0.02</v>
      </c>
      <c r="T849" t="s">
        <v>1584</v>
      </c>
      <c r="U849" t="s">
        <v>1592</v>
      </c>
      <c r="V849" t="str" cm="1">
        <f t="array" aca="1" ref="V849" ca="1">IFERROR(_xlfn.IFS(A847="  ..............",OFFSET(A847,2,0),A846=" X-------------X",OFFSET(A846,3,0),MATCH("  ..............",A849:A858,0)&gt;2,V848),"-")</f>
        <v>-</v>
      </c>
      <c r="W849" t="str">
        <f t="shared" ca="1" si="39"/>
        <v>-</v>
      </c>
      <c r="X849" t="str">
        <f t="shared" ca="1" si="40"/>
        <v xml:space="preserve"> ZOOLOG-RS138 </v>
      </c>
      <c r="Y849" s="1">
        <f t="shared" ca="1" si="41"/>
        <v>0.26200000000000001</v>
      </c>
    </row>
    <row r="850" spans="1:25" x14ac:dyDescent="0.25">
      <c r="A850" t="s">
        <v>1588</v>
      </c>
      <c r="B850" t="s">
        <v>1587</v>
      </c>
      <c r="C850">
        <v>108</v>
      </c>
      <c r="D850">
        <v>108</v>
      </c>
      <c r="E850">
        <v>108</v>
      </c>
      <c r="F850" s="1">
        <v>0.16500000000000001</v>
      </c>
      <c r="G850" t="s">
        <v>1587</v>
      </c>
      <c r="H850" t="s">
        <v>1587</v>
      </c>
      <c r="I850">
        <v>2099</v>
      </c>
      <c r="J850" t="s">
        <v>1830</v>
      </c>
      <c r="K850">
        <v>1</v>
      </c>
      <c r="L850">
        <v>11.7</v>
      </c>
      <c r="M850">
        <v>14</v>
      </c>
      <c r="N850">
        <v>17.899999999999999</v>
      </c>
      <c r="O850" t="s">
        <v>1594</v>
      </c>
      <c r="P850" t="s">
        <v>1584</v>
      </c>
      <c r="Q850" t="s">
        <v>1591</v>
      </c>
      <c r="R850">
        <v>0.02</v>
      </c>
      <c r="S850">
        <v>-0.51</v>
      </c>
      <c r="T850" t="s">
        <v>1584</v>
      </c>
      <c r="U850" t="s">
        <v>1592</v>
      </c>
      <c r="V850" t="str" cm="1">
        <f t="array" aca="1" ref="V850" ca="1">IFERROR(_xlfn.IFS(A848="  ..............",OFFSET(A848,2,0),A847=" X-------------X",OFFSET(A847,3,0),MATCH("  ..............",A850:A859,0)&gt;2,V849),"-")</f>
        <v>-</v>
      </c>
      <c r="W850" t="str">
        <f t="shared" ca="1" si="39"/>
        <v>-</v>
      </c>
      <c r="X850" t="str">
        <f t="shared" ca="1" si="40"/>
        <v xml:space="preserve"> SLEOP2-RS138 </v>
      </c>
      <c r="Y850" s="1">
        <f t="shared" ca="1" si="41"/>
        <v>0.41299999999999998</v>
      </c>
    </row>
    <row r="851" spans="1:25" x14ac:dyDescent="0.25">
      <c r="A851" t="s">
        <v>1588</v>
      </c>
      <c r="B851" t="s">
        <v>1587</v>
      </c>
      <c r="C851">
        <v>167</v>
      </c>
      <c r="D851">
        <v>203</v>
      </c>
      <c r="E851">
        <v>203</v>
      </c>
      <c r="F851" s="1">
        <v>0.41299999999999998</v>
      </c>
      <c r="G851" t="s">
        <v>1587</v>
      </c>
      <c r="H851" t="s">
        <v>1587</v>
      </c>
      <c r="I851">
        <v>9200</v>
      </c>
      <c r="J851" t="s">
        <v>2278</v>
      </c>
      <c r="K851">
        <v>1</v>
      </c>
      <c r="L851">
        <v>67.400000000000006</v>
      </c>
      <c r="M851">
        <v>20</v>
      </c>
      <c r="N851">
        <v>68.900000000000006</v>
      </c>
      <c r="O851" t="s">
        <v>1594</v>
      </c>
      <c r="P851" t="s">
        <v>1584</v>
      </c>
      <c r="Q851" t="s">
        <v>1591</v>
      </c>
      <c r="R851">
        <v>0.28999999999999998</v>
      </c>
      <c r="S851">
        <v>0.4</v>
      </c>
      <c r="T851" t="s">
        <v>1584</v>
      </c>
      <c r="U851" t="s">
        <v>1592</v>
      </c>
      <c r="V851" t="str" cm="1">
        <f t="array" aca="1" ref="V851" ca="1">IFERROR(_xlfn.IFS(A849="  ..............",OFFSET(A849,2,0),A848=" X-------------X",OFFSET(A848,3,0),MATCH("  ..............",A851:A860,0)&gt;2,V850),"-")</f>
        <v>-</v>
      </c>
      <c r="W851" t="str">
        <f t="shared" ca="1" si="39"/>
        <v>-</v>
      </c>
      <c r="X851" t="str">
        <f t="shared" ca="1" si="40"/>
        <v xml:space="preserve"> NHAMB2-RS138 </v>
      </c>
      <c r="Y851" s="1">
        <f t="shared" ca="1" si="41"/>
        <v>0.254</v>
      </c>
    </row>
    <row r="852" spans="1:25" x14ac:dyDescent="0.25">
      <c r="A852" t="s">
        <v>1588</v>
      </c>
      <c r="B852" t="s">
        <v>1587</v>
      </c>
      <c r="C852">
        <v>167</v>
      </c>
      <c r="D852">
        <v>203</v>
      </c>
      <c r="E852">
        <v>203</v>
      </c>
      <c r="F852" s="1">
        <v>0.254</v>
      </c>
      <c r="G852" t="s">
        <v>1587</v>
      </c>
      <c r="H852" t="s">
        <v>1587</v>
      </c>
      <c r="I852">
        <v>9215</v>
      </c>
      <c r="J852" t="s">
        <v>2279</v>
      </c>
      <c r="K852">
        <v>1</v>
      </c>
      <c r="L852">
        <v>42</v>
      </c>
      <c r="M852">
        <v>10.6</v>
      </c>
      <c r="N852">
        <v>42.5</v>
      </c>
      <c r="O852" t="s">
        <v>1594</v>
      </c>
      <c r="P852" t="s">
        <v>1584</v>
      </c>
      <c r="Q852" t="s">
        <v>1591</v>
      </c>
      <c r="R852">
        <v>0.1</v>
      </c>
      <c r="S852">
        <v>-0.18</v>
      </c>
      <c r="T852" t="s">
        <v>1584</v>
      </c>
      <c r="U852" t="s">
        <v>1592</v>
      </c>
      <c r="V852" t="str" cm="1">
        <f t="array" aca="1" ref="V852" ca="1">IFERROR(_xlfn.IFS(A850="  ..............",OFFSET(A850,2,0),A849=" X-------------X",OFFSET(A849,3,0),MATCH("  ..............",A852:A861,0)&gt;2,V851),"-")</f>
        <v>-</v>
      </c>
      <c r="W852" t="str">
        <f t="shared" ca="1" si="39"/>
        <v>-</v>
      </c>
      <c r="X852" t="str">
        <f t="shared" ca="1" si="40"/>
        <v xml:space="preserve"> SC2--1-RS000 </v>
      </c>
      <c r="Y852" s="1">
        <f t="shared" ca="1" si="41"/>
        <v>0.40799999999999997</v>
      </c>
    </row>
    <row r="853" spans="1:25" x14ac:dyDescent="0.25">
      <c r="A853" t="s">
        <v>1588</v>
      </c>
      <c r="B853" t="s">
        <v>1587</v>
      </c>
      <c r="C853">
        <v>150</v>
      </c>
      <c r="D853">
        <v>195</v>
      </c>
      <c r="E853">
        <v>195</v>
      </c>
      <c r="F853" s="1">
        <v>0.40799999999999997</v>
      </c>
      <c r="G853" t="s">
        <v>1587</v>
      </c>
      <c r="H853" t="s">
        <v>1587</v>
      </c>
      <c r="I853">
        <v>41360</v>
      </c>
      <c r="J853" t="s">
        <v>2280</v>
      </c>
      <c r="K853">
        <v>1</v>
      </c>
      <c r="L853">
        <v>-59.1</v>
      </c>
      <c r="M853">
        <v>-20.100000000000001</v>
      </c>
      <c r="N853">
        <v>61.2</v>
      </c>
      <c r="O853" t="s">
        <v>1608</v>
      </c>
      <c r="P853" t="s">
        <v>1584</v>
      </c>
      <c r="Q853">
        <v>2</v>
      </c>
      <c r="R853">
        <v>0</v>
      </c>
      <c r="S853">
        <v>-0.17</v>
      </c>
      <c r="T853" t="s">
        <v>1584</v>
      </c>
      <c r="U853" t="s">
        <v>1592</v>
      </c>
      <c r="V853" t="str" cm="1">
        <f t="array" aca="1" ref="V853" ca="1">IFERROR(_xlfn.IFS(A851="  ..............",OFFSET(A851,2,0),A850=" X-------------X",OFFSET(A850,3,0),MATCH("  ..............",A853:A862,0)&gt;2,V852),"-")</f>
        <v>-</v>
      </c>
      <c r="W853" t="str">
        <f t="shared" ca="1" si="39"/>
        <v>-</v>
      </c>
      <c r="X853" t="str">
        <f t="shared" ca="1" si="40"/>
        <v xml:space="preserve"> SC2--3-RS000 </v>
      </c>
      <c r="Y853" s="1">
        <f t="shared" ca="1" si="41"/>
        <v>0.40699999999999997</v>
      </c>
    </row>
    <row r="854" spans="1:25" x14ac:dyDescent="0.25">
      <c r="A854" t="s">
        <v>1588</v>
      </c>
      <c r="B854" t="s">
        <v>1587</v>
      </c>
      <c r="C854">
        <v>150</v>
      </c>
      <c r="D854">
        <v>195</v>
      </c>
      <c r="E854">
        <v>195</v>
      </c>
      <c r="F854" s="1">
        <v>0.40699999999999997</v>
      </c>
      <c r="G854" t="s">
        <v>1587</v>
      </c>
      <c r="H854" t="s">
        <v>1587</v>
      </c>
      <c r="I854">
        <v>41361</v>
      </c>
      <c r="J854" t="s">
        <v>2281</v>
      </c>
      <c r="K854">
        <v>3</v>
      </c>
      <c r="L854">
        <v>-58.9</v>
      </c>
      <c r="M854">
        <v>-20</v>
      </c>
      <c r="N854">
        <v>61</v>
      </c>
      <c r="O854" t="s">
        <v>1608</v>
      </c>
      <c r="P854" t="s">
        <v>1584</v>
      </c>
      <c r="Q854">
        <v>2</v>
      </c>
      <c r="R854">
        <v>0</v>
      </c>
      <c r="S854">
        <v>-0.16</v>
      </c>
      <c r="T854" t="s">
        <v>1584</v>
      </c>
      <c r="U854" t="s">
        <v>1592</v>
      </c>
      <c r="V854" t="str" cm="1">
        <f t="array" aca="1" ref="V854" ca="1">IFERROR(_xlfn.IFS(A852="  ..............",OFFSET(A852,2,0),A851=" X-------------X",OFFSET(A851,3,0),MATCH("  ..............",A854:A863,0)&gt;2,V853),"-")</f>
        <v>-</v>
      </c>
      <c r="W854" t="str">
        <f t="shared" ca="1" si="39"/>
        <v>-</v>
      </c>
      <c r="X854" t="str">
        <f t="shared" ca="1" si="40"/>
        <v xml:space="preserve"> SC2--2-RS000 </v>
      </c>
      <c r="Y854" s="1">
        <f t="shared" ca="1" si="41"/>
        <v>0.41099999999999998</v>
      </c>
    </row>
    <row r="855" spans="1:25" x14ac:dyDescent="0.25">
      <c r="A855" t="s">
        <v>1588</v>
      </c>
      <c r="B855" t="s">
        <v>1587</v>
      </c>
      <c r="C855">
        <v>150</v>
      </c>
      <c r="D855">
        <v>195</v>
      </c>
      <c r="E855">
        <v>195</v>
      </c>
      <c r="F855" s="1">
        <v>0.41099999999999998</v>
      </c>
      <c r="G855" t="s">
        <v>1587</v>
      </c>
      <c r="H855" t="s">
        <v>1587</v>
      </c>
      <c r="I855">
        <v>41362</v>
      </c>
      <c r="J855" t="s">
        <v>2282</v>
      </c>
      <c r="K855">
        <v>2</v>
      </c>
      <c r="L855">
        <v>-59.5</v>
      </c>
      <c r="M855">
        <v>-20.3</v>
      </c>
      <c r="N855">
        <v>61.6</v>
      </c>
      <c r="O855" t="s">
        <v>1608</v>
      </c>
      <c r="P855" t="s">
        <v>1584</v>
      </c>
      <c r="Q855">
        <v>2</v>
      </c>
      <c r="R855">
        <v>-0.01</v>
      </c>
      <c r="S855">
        <v>-0.3</v>
      </c>
      <c r="T855" t="s">
        <v>1584</v>
      </c>
      <c r="U855" t="s">
        <v>1592</v>
      </c>
      <c r="V855" t="str" cm="1">
        <f t="array" aca="1" ref="V855" ca="1">IFERROR(_xlfn.IFS(A853="  ..............",OFFSET(A853,2,0),A852=" X-------------X",OFFSET(A852,3,0),MATCH("  ..............",A855:A864,0)&gt;2,V854),"-")</f>
        <v>-</v>
      </c>
      <c r="W855" t="str">
        <f t="shared" ca="1" si="39"/>
        <v>-</v>
      </c>
      <c r="X855" t="str">
        <f t="shared" ca="1" si="40"/>
        <v>..............</v>
      </c>
      <c r="Y855" s="1" t="str">
        <f t="shared" ca="1" si="41"/>
        <v>.............</v>
      </c>
    </row>
    <row r="856" spans="1:25" x14ac:dyDescent="0.25">
      <c r="A856" t="s">
        <v>1572</v>
      </c>
      <c r="B856" t="s">
        <v>1574</v>
      </c>
      <c r="C856" t="s">
        <v>1574</v>
      </c>
      <c r="D856" t="s">
        <v>1574</v>
      </c>
      <c r="E856" t="s">
        <v>1574</v>
      </c>
      <c r="F856" t="s">
        <v>1575</v>
      </c>
      <c r="G856" t="s">
        <v>1574</v>
      </c>
      <c r="H856" t="s">
        <v>1574</v>
      </c>
      <c r="I856" t="s">
        <v>1576</v>
      </c>
      <c r="J856" t="s">
        <v>1573</v>
      </c>
      <c r="K856" t="s">
        <v>1577</v>
      </c>
      <c r="L856" t="s">
        <v>1574</v>
      </c>
      <c r="M856" t="s">
        <v>1574</v>
      </c>
      <c r="N856" t="s">
        <v>1574</v>
      </c>
      <c r="O856" t="s">
        <v>1578</v>
      </c>
      <c r="P856" t="s">
        <v>1576</v>
      </c>
      <c r="Q856" t="s">
        <v>1579</v>
      </c>
      <c r="R856" t="s">
        <v>1580</v>
      </c>
      <c r="S856" t="s">
        <v>1580</v>
      </c>
      <c r="T856" t="s">
        <v>1576</v>
      </c>
      <c r="U856" t="s">
        <v>1576</v>
      </c>
      <c r="V856" t="str" cm="1">
        <f t="array" aca="1" ref="V856" ca="1">IFERROR(_xlfn.IFS(A854="  ..............",OFFSET(A854,2,0),A853=" X-------------X",OFFSET(A853,3,0),MATCH("  ..............",A856:A865,0)&gt;2,V855),"-")</f>
        <v>-</v>
      </c>
      <c r="W856" t="str">
        <f t="shared" ca="1" si="39"/>
        <v>-</v>
      </c>
      <c r="X856" t="str">
        <f t="shared" ca="1" si="40"/>
        <v xml:space="preserve"> V11.06.02    </v>
      </c>
      <c r="Y856" s="1" t="str">
        <f t="shared" ca="1" si="41"/>
        <v xml:space="preserve">A - PROGRAMA </v>
      </c>
    </row>
    <row r="857" spans="1:25" x14ac:dyDescent="0.25">
      <c r="A857" t="s">
        <v>1725</v>
      </c>
      <c r="B857" t="s">
        <v>1726</v>
      </c>
      <c r="C857" t="s">
        <v>1727</v>
      </c>
      <c r="D857" t="s">
        <v>1728</v>
      </c>
      <c r="E857" t="s">
        <v>1729</v>
      </c>
      <c r="F857" t="s">
        <v>1730</v>
      </c>
      <c r="G857" t="s">
        <v>1731</v>
      </c>
      <c r="H857" t="s">
        <v>1732</v>
      </c>
      <c r="I857" t="s">
        <v>1733</v>
      </c>
      <c r="J857" t="s">
        <v>1734</v>
      </c>
      <c r="K857" t="s">
        <v>1586</v>
      </c>
      <c r="L857" t="s">
        <v>1587</v>
      </c>
      <c r="M857" t="s">
        <v>1587</v>
      </c>
      <c r="N857" t="s">
        <v>1587</v>
      </c>
      <c r="O857" t="s">
        <v>1735</v>
      </c>
      <c r="P857">
        <v>6</v>
      </c>
      <c r="Q857" t="s">
        <v>1581</v>
      </c>
      <c r="R857" t="s">
        <v>1581</v>
      </c>
      <c r="S857" t="s">
        <v>1581</v>
      </c>
      <c r="T857" t="s">
        <v>1581</v>
      </c>
      <c r="U857" t="s">
        <v>1581</v>
      </c>
      <c r="V857" t="str" cm="1">
        <f t="array" aca="1" ref="V857" ca="1">IFERROR(_xlfn.IFS(A855="  ..............",OFFSET(A855,2,0),A854=" X-------------X",OFFSET(A854,3,0),MATCH("  ..............",A857:A866,0)&gt;2,V856),"-")</f>
        <v>-</v>
      </c>
      <c r="W857" t="str">
        <f t="shared" ca="1" si="39"/>
        <v>-</v>
      </c>
      <c r="X857" t="str">
        <f t="shared" ca="1" si="40"/>
        <v/>
      </c>
      <c r="Y857" s="1" t="str">
        <f t="shared" ca="1" si="41"/>
        <v/>
      </c>
    </row>
    <row r="858" spans="1:25" x14ac:dyDescent="0.25">
      <c r="A858" t="s">
        <v>1581</v>
      </c>
      <c r="B858" t="s">
        <v>1581</v>
      </c>
      <c r="C858" t="s">
        <v>1581</v>
      </c>
      <c r="D858" t="s">
        <v>1581</v>
      </c>
      <c r="E858" t="s">
        <v>1581</v>
      </c>
      <c r="F858" t="s">
        <v>1581</v>
      </c>
      <c r="G858" t="s">
        <v>1581</v>
      </c>
      <c r="H858" t="s">
        <v>1581</v>
      </c>
      <c r="I858" t="s">
        <v>1581</v>
      </c>
      <c r="J858" t="s">
        <v>1581</v>
      </c>
      <c r="K858" t="s">
        <v>1581</v>
      </c>
      <c r="L858" t="s">
        <v>1581</v>
      </c>
      <c r="M858" t="s">
        <v>1581</v>
      </c>
      <c r="N858" t="s">
        <v>1581</v>
      </c>
      <c r="O858" t="s">
        <v>1581</v>
      </c>
      <c r="P858" t="s">
        <v>1581</v>
      </c>
      <c r="Q858" t="s">
        <v>1581</v>
      </c>
      <c r="R858" t="s">
        <v>1581</v>
      </c>
      <c r="S858" t="s">
        <v>1581</v>
      </c>
      <c r="T858" t="s">
        <v>1581</v>
      </c>
      <c r="U858" t="s">
        <v>1581</v>
      </c>
      <c r="V858" t="str" cm="1">
        <f t="array" aca="1" ref="V858" ca="1">IFERROR(_xlfn.IFS(A856="  ..............",OFFSET(A856,2,0),A855=" X-------------X",OFFSET(A855,3,0),MATCH("  ..............",A858:A867,0)&gt;2,V857),"-")</f>
        <v/>
      </c>
      <c r="W858" t="str">
        <f t="shared" ca="1" si="39"/>
        <v>X-------X</v>
      </c>
      <c r="X858" t="str">
        <f t="shared" ca="1" si="40"/>
        <v/>
      </c>
      <c r="Y858" s="1" t="str">
        <f t="shared" ca="1" si="41"/>
        <v/>
      </c>
    </row>
    <row r="859" spans="1:25" x14ac:dyDescent="0.25">
      <c r="A859" t="s">
        <v>1736</v>
      </c>
      <c r="B859" t="s">
        <v>1737</v>
      </c>
      <c r="C859" t="s">
        <v>1738</v>
      </c>
      <c r="D859" t="s">
        <v>1739</v>
      </c>
      <c r="E859" t="s">
        <v>1740</v>
      </c>
      <c r="F859" t="s">
        <v>1741</v>
      </c>
      <c r="G859" t="s">
        <v>1742</v>
      </c>
      <c r="H859" t="s">
        <v>1743</v>
      </c>
      <c r="I859" t="s">
        <v>1744</v>
      </c>
      <c r="J859" t="s">
        <v>1581</v>
      </c>
      <c r="K859" t="s">
        <v>1581</v>
      </c>
      <c r="L859" t="s">
        <v>1581</v>
      </c>
      <c r="M859" t="s">
        <v>1581</v>
      </c>
      <c r="N859" t="s">
        <v>1581</v>
      </c>
      <c r="O859" t="s">
        <v>1581</v>
      </c>
      <c r="P859" t="s">
        <v>1581</v>
      </c>
      <c r="Q859" t="s">
        <v>1581</v>
      </c>
      <c r="R859" t="s">
        <v>1581</v>
      </c>
      <c r="S859" t="s">
        <v>1581</v>
      </c>
      <c r="T859" t="s">
        <v>1581</v>
      </c>
      <c r="U859" t="s">
        <v>1581</v>
      </c>
      <c r="V859" t="str" cm="1">
        <f t="array" aca="1" ref="V859" ca="1">IFERROR(_xlfn.IFS(A857="  ..............",OFFSET(A857,2,0),A856=" X-------------X",OFFSET(A856,3,0),MATCH("  ..............",A859:A868,0)&gt;2,V858),"-")</f>
        <v>-</v>
      </c>
      <c r="W859" t="str">
        <f t="shared" ca="1" si="39"/>
        <v>-</v>
      </c>
      <c r="X859" t="str">
        <f t="shared" ca="1" si="40"/>
        <v>-</v>
      </c>
      <c r="Y859" s="1" t="str">
        <f t="shared" ca="1" si="41"/>
        <v>-</v>
      </c>
    </row>
    <row r="860" spans="1:25" x14ac:dyDescent="0.25">
      <c r="A860" t="s">
        <v>1745</v>
      </c>
      <c r="B860" t="s">
        <v>1746</v>
      </c>
      <c r="C860" t="s">
        <v>1747</v>
      </c>
      <c r="D860" t="s">
        <v>1748</v>
      </c>
      <c r="E860" t="s">
        <v>1749</v>
      </c>
      <c r="F860" t="s">
        <v>1750</v>
      </c>
      <c r="G860" t="s">
        <v>1587</v>
      </c>
      <c r="H860" t="s">
        <v>1587</v>
      </c>
      <c r="I860" t="s">
        <v>1591</v>
      </c>
      <c r="J860" t="s">
        <v>1581</v>
      </c>
      <c r="K860" t="s">
        <v>1581</v>
      </c>
      <c r="L860" t="s">
        <v>1581</v>
      </c>
      <c r="M860" t="s">
        <v>1581</v>
      </c>
      <c r="N860" t="s">
        <v>1581</v>
      </c>
      <c r="O860" t="s">
        <v>1581</v>
      </c>
      <c r="P860" t="s">
        <v>1581</v>
      </c>
      <c r="Q860" t="s">
        <v>1581</v>
      </c>
      <c r="R860" t="s">
        <v>1581</v>
      </c>
      <c r="S860" t="s">
        <v>1581</v>
      </c>
      <c r="T860" t="s">
        <v>1581</v>
      </c>
      <c r="U860" t="s">
        <v>1581</v>
      </c>
      <c r="V860" t="str" cm="1">
        <f t="array" aca="1" ref="V860" ca="1">IFERROR(_xlfn.IFS(A858="  ..............",OFFSET(A858,2,0),A857=" X-------------X",OFFSET(A857,3,0),MATCH("  ..............",A860:A869,0)&gt;2,V859),"-")</f>
        <v>-</v>
      </c>
      <c r="W860" t="str">
        <f t="shared" ca="1" si="39"/>
        <v>-</v>
      </c>
      <c r="X860" t="str">
        <f t="shared" ca="1" si="40"/>
        <v/>
      </c>
      <c r="Y860" s="1" t="str">
        <f t="shared" ca="1" si="41"/>
        <v/>
      </c>
    </row>
    <row r="861" spans="1:25" x14ac:dyDescent="0.25">
      <c r="A861" t="s">
        <v>1581</v>
      </c>
      <c r="B861" t="s">
        <v>1581</v>
      </c>
      <c r="C861" t="s">
        <v>1581</v>
      </c>
      <c r="D861" t="s">
        <v>1581</v>
      </c>
      <c r="E861" t="s">
        <v>1581</v>
      </c>
      <c r="F861" t="s">
        <v>1581</v>
      </c>
      <c r="G861" t="s">
        <v>1581</v>
      </c>
      <c r="H861" t="s">
        <v>1581</v>
      </c>
      <c r="I861" t="s">
        <v>1581</v>
      </c>
      <c r="J861" t="s">
        <v>1581</v>
      </c>
      <c r="K861" t="s">
        <v>1581</v>
      </c>
      <c r="L861" t="s">
        <v>1581</v>
      </c>
      <c r="M861" t="s">
        <v>1581</v>
      </c>
      <c r="N861" t="s">
        <v>1581</v>
      </c>
      <c r="O861" t="s">
        <v>1581</v>
      </c>
      <c r="P861" t="s">
        <v>1581</v>
      </c>
      <c r="Q861" t="s">
        <v>1581</v>
      </c>
      <c r="R861" t="s">
        <v>1581</v>
      </c>
      <c r="S861" t="s">
        <v>1581</v>
      </c>
      <c r="T861" t="s">
        <v>1581</v>
      </c>
      <c r="U861" t="s">
        <v>1581</v>
      </c>
      <c r="V861" t="str" cm="1">
        <f t="array" aca="1" ref="V861" ca="1">IFERROR(_xlfn.IFS(A859="  ..............",OFFSET(A859,2,0),A858=" X-------------X",OFFSET(A858,3,0),MATCH("  ..............",A861:A870,0)&gt;2,V860),"-")</f>
        <v>-</v>
      </c>
      <c r="W861" t="str">
        <f t="shared" ca="1" si="39"/>
        <v>-</v>
      </c>
      <c r="X861" t="str">
        <f t="shared" ca="1" si="40"/>
        <v>-------- F L U</v>
      </c>
      <c r="Y861" s="1" t="str">
        <f t="shared" ca="1" si="41"/>
        <v xml:space="preserve"> ------------</v>
      </c>
    </row>
    <row r="862" spans="1:25" x14ac:dyDescent="0.25">
      <c r="A862" t="s">
        <v>1751</v>
      </c>
      <c r="B862" t="s">
        <v>1752</v>
      </c>
      <c r="C862" t="s">
        <v>1753</v>
      </c>
      <c r="D862" t="s">
        <v>1754</v>
      </c>
      <c r="E862" t="s">
        <v>1755</v>
      </c>
      <c r="F862" t="s">
        <v>1756</v>
      </c>
      <c r="G862" t="s">
        <v>1757</v>
      </c>
      <c r="H862" t="s">
        <v>1758</v>
      </c>
      <c r="I862" t="s">
        <v>1759</v>
      </c>
      <c r="J862" t="s">
        <v>1760</v>
      </c>
      <c r="K862" t="s">
        <v>1761</v>
      </c>
      <c r="L862" t="s">
        <v>1762</v>
      </c>
      <c r="M862" t="s">
        <v>1763</v>
      </c>
      <c r="N862" t="s">
        <v>1764</v>
      </c>
      <c r="O862" t="s">
        <v>1765</v>
      </c>
      <c r="P862" t="s">
        <v>1766</v>
      </c>
      <c r="Q862" t="s">
        <v>1767</v>
      </c>
      <c r="R862" t="s">
        <v>1571</v>
      </c>
      <c r="S862" t="s">
        <v>1571</v>
      </c>
      <c r="T862" t="s">
        <v>1759</v>
      </c>
      <c r="U862" t="s">
        <v>1768</v>
      </c>
      <c r="V862" t="str" cm="1">
        <f t="array" aca="1" ref="V862" ca="1">IFERROR(_xlfn.IFS(A860="  ..............",OFFSET(A860,2,0),A859=" X-------------X",OFFSET(A859,3,0),MATCH("  ..............",A862:A871,0)&gt;2,V861),"-")</f>
        <v>-</v>
      </c>
      <c r="W862" t="str">
        <f t="shared" ca="1" si="39"/>
        <v>-</v>
      </c>
      <c r="X862" t="str">
        <f t="shared" ca="1" si="40"/>
        <v xml:space="preserve">              </v>
      </c>
      <c r="Y862" s="1">
        <f t="shared" ca="1" si="41"/>
        <v>0</v>
      </c>
    </row>
    <row r="863" spans="1:25" x14ac:dyDescent="0.25">
      <c r="A863" t="s">
        <v>1769</v>
      </c>
      <c r="B863" t="s">
        <v>1770</v>
      </c>
      <c r="C863" t="s">
        <v>1771</v>
      </c>
      <c r="D863" t="s">
        <v>1772</v>
      </c>
      <c r="E863" t="s">
        <v>1773</v>
      </c>
      <c r="F863" t="s">
        <v>1774</v>
      </c>
      <c r="G863" t="s">
        <v>1775</v>
      </c>
      <c r="H863" t="s">
        <v>1776</v>
      </c>
      <c r="I863" t="s">
        <v>1584</v>
      </c>
      <c r="J863" t="s">
        <v>1585</v>
      </c>
      <c r="K863" t="s">
        <v>1586</v>
      </c>
      <c r="L863" t="s">
        <v>1587</v>
      </c>
      <c r="M863" t="s">
        <v>1587</v>
      </c>
      <c r="N863" t="s">
        <v>1587</v>
      </c>
      <c r="O863" t="s">
        <v>1594</v>
      </c>
      <c r="P863" t="s">
        <v>1584</v>
      </c>
      <c r="Q863" t="s">
        <v>1591</v>
      </c>
      <c r="R863" t="s">
        <v>1777</v>
      </c>
      <c r="S863" t="s">
        <v>1777</v>
      </c>
      <c r="T863" t="s">
        <v>1584</v>
      </c>
      <c r="U863" t="s">
        <v>1778</v>
      </c>
      <c r="V863" t="str" cm="1">
        <f t="array" aca="1" ref="V863" ca="1">IFERROR(_xlfn.IFS(A861="  ..............",OFFSET(A861,2,0),A860=" X-------------X",OFFSET(A860,3,0),MATCH("  ..............",A863:A872,0)&gt;2,V862),"-")</f>
        <v>-</v>
      </c>
      <c r="W863" t="str">
        <f t="shared" ca="1" si="39"/>
        <v>-</v>
      </c>
      <c r="X863" t="str">
        <f t="shared" ca="1" si="40"/>
        <v xml:space="preserve">              </v>
      </c>
      <c r="Y863" s="1">
        <f t="shared" ca="1" si="41"/>
        <v>0</v>
      </c>
    </row>
    <row r="864" spans="1:25" x14ac:dyDescent="0.25">
      <c r="A864" t="s">
        <v>1779</v>
      </c>
      <c r="B864" t="s">
        <v>1780</v>
      </c>
      <c r="C864" t="s">
        <v>1781</v>
      </c>
      <c r="D864" t="s">
        <v>1781</v>
      </c>
      <c r="E864" t="s">
        <v>1781</v>
      </c>
      <c r="F864" t="s">
        <v>1782</v>
      </c>
      <c r="G864" t="s">
        <v>1783</v>
      </c>
      <c r="H864" t="s">
        <v>1784</v>
      </c>
      <c r="I864" t="s">
        <v>1584</v>
      </c>
      <c r="J864" t="s">
        <v>1585</v>
      </c>
      <c r="K864" t="s">
        <v>1586</v>
      </c>
      <c r="L864" t="s">
        <v>1587</v>
      </c>
      <c r="M864" t="s">
        <v>1587</v>
      </c>
      <c r="N864" t="s">
        <v>1587</v>
      </c>
      <c r="O864" t="s">
        <v>1594</v>
      </c>
      <c r="P864" t="s">
        <v>1584</v>
      </c>
      <c r="Q864" t="s">
        <v>1785</v>
      </c>
      <c r="R864" t="s">
        <v>1786</v>
      </c>
      <c r="S864" t="s">
        <v>1787</v>
      </c>
      <c r="T864" t="s">
        <v>1788</v>
      </c>
      <c r="U864" t="s">
        <v>1778</v>
      </c>
      <c r="V864" t="str" cm="1">
        <f t="array" aca="1" ref="V864" ca="1">IFERROR(_xlfn.IFS(A862="  ..............",OFFSET(A862,2,0),A861=" X-------------X",OFFSET(A861,3,0),MATCH("  ..............",A864:A873,0)&gt;2,V863),"-")</f>
        <v>-</v>
      </c>
      <c r="W864" t="str">
        <f t="shared" ca="1" si="39"/>
        <v>-</v>
      </c>
      <c r="X864" t="str">
        <f t="shared" ca="1" si="40"/>
        <v xml:space="preserve">A             </v>
      </c>
      <c r="Y864" s="1" t="str">
        <f t="shared" ca="1" si="41"/>
        <v xml:space="preserve">   Mvar   EQU</v>
      </c>
    </row>
    <row r="865" spans="1:25" x14ac:dyDescent="0.25">
      <c r="A865" t="s">
        <v>1789</v>
      </c>
      <c r="B865" t="s">
        <v>1790</v>
      </c>
      <c r="C865" t="s">
        <v>1791</v>
      </c>
      <c r="D865" t="s">
        <v>1791</v>
      </c>
      <c r="E865" t="s">
        <v>1791</v>
      </c>
      <c r="F865" t="s">
        <v>1792</v>
      </c>
      <c r="G865" t="s">
        <v>1793</v>
      </c>
      <c r="H865" t="s">
        <v>1794</v>
      </c>
      <c r="I865" t="s">
        <v>1795</v>
      </c>
      <c r="J865" t="s">
        <v>1796</v>
      </c>
      <c r="K865" t="s">
        <v>1586</v>
      </c>
      <c r="L865" t="s">
        <v>1797</v>
      </c>
      <c r="M865" t="s">
        <v>1798</v>
      </c>
      <c r="N865" t="s">
        <v>1587</v>
      </c>
      <c r="O865" t="s">
        <v>1594</v>
      </c>
      <c r="P865" t="s">
        <v>1584</v>
      </c>
      <c r="Q865" t="s">
        <v>1799</v>
      </c>
      <c r="R865" t="s">
        <v>1800</v>
      </c>
      <c r="S865" t="s">
        <v>1801</v>
      </c>
      <c r="T865" t="s">
        <v>1802</v>
      </c>
      <c r="U865" t="s">
        <v>1803</v>
      </c>
      <c r="V865" t="str" cm="1">
        <f t="array" aca="1" ref="V865" ca="1">IFERROR(_xlfn.IFS(A863="  ..............",OFFSET(A863,2,0),A862=" X-------------X",OFFSET(A862,3,0),MATCH("  ..............",A865:A874,0)&gt;2,V864),"-")</f>
        <v>-</v>
      </c>
      <c r="W865" t="str">
        <f t="shared" ca="1" si="39"/>
        <v>-</v>
      </c>
      <c r="X865" t="str">
        <f t="shared" ca="1" si="40"/>
        <v xml:space="preserve">     NOME     </v>
      </c>
      <c r="Y865" s="1" t="str">
        <f t="shared" ca="1" si="41"/>
        <v xml:space="preserve">   FLUXO %   </v>
      </c>
    </row>
    <row r="866" spans="1:25" x14ac:dyDescent="0.25">
      <c r="A866" t="s">
        <v>1588</v>
      </c>
      <c r="B866" t="s">
        <v>1587</v>
      </c>
      <c r="C866" t="s">
        <v>1804</v>
      </c>
      <c r="D866" t="s">
        <v>1805</v>
      </c>
      <c r="E866" t="s">
        <v>1806</v>
      </c>
      <c r="F866" t="s">
        <v>1807</v>
      </c>
      <c r="G866" t="s">
        <v>1808</v>
      </c>
      <c r="H866" t="s">
        <v>1587</v>
      </c>
      <c r="I866" t="s">
        <v>1809</v>
      </c>
      <c r="J866" t="s">
        <v>1810</v>
      </c>
      <c r="K866" t="s">
        <v>1811</v>
      </c>
      <c r="L866" t="s">
        <v>1812</v>
      </c>
      <c r="M866" t="s">
        <v>1791</v>
      </c>
      <c r="N866" t="s">
        <v>1813</v>
      </c>
      <c r="O866" t="s">
        <v>1814</v>
      </c>
      <c r="P866" t="s">
        <v>1815</v>
      </c>
      <c r="Q866" t="s">
        <v>1816</v>
      </c>
      <c r="R866" t="s">
        <v>1817</v>
      </c>
      <c r="S866" t="s">
        <v>1818</v>
      </c>
      <c r="T866" t="s">
        <v>1819</v>
      </c>
      <c r="U866" t="s">
        <v>1820</v>
      </c>
      <c r="V866" t="str" cm="1">
        <f t="array" aca="1" ref="V866" ca="1">IFERROR(_xlfn.IFS(A864="  ..............",OFFSET(A864,2,0),A863=" X-------------X",OFFSET(A863,3,0),MATCH("  ..............",A866:A875,0)&gt;2,V865),"-")</f>
        <v>-</v>
      </c>
      <c r="W866" t="str">
        <f t="shared" ca="1" si="39"/>
        <v>-</v>
      </c>
      <c r="X866" t="str">
        <f t="shared" ca="1" si="40"/>
        <v>X------------X</v>
      </c>
      <c r="Y866" s="1" t="str">
        <f t="shared" ca="1" si="41"/>
        <v>X-----------X</v>
      </c>
    </row>
    <row r="867" spans="1:25" x14ac:dyDescent="0.25">
      <c r="A867" t="s">
        <v>1563</v>
      </c>
      <c r="B867" t="s">
        <v>1564</v>
      </c>
      <c r="C867" t="s">
        <v>1564</v>
      </c>
      <c r="D867" t="s">
        <v>1564</v>
      </c>
      <c r="E867" t="s">
        <v>1564</v>
      </c>
      <c r="F867" t="s">
        <v>1565</v>
      </c>
      <c r="G867" t="s">
        <v>1564</v>
      </c>
      <c r="H867" t="s">
        <v>1564</v>
      </c>
      <c r="I867" t="s">
        <v>1566</v>
      </c>
      <c r="J867" t="s">
        <v>1567</v>
      </c>
      <c r="K867" t="s">
        <v>1568</v>
      </c>
      <c r="L867" t="s">
        <v>1564</v>
      </c>
      <c r="M867" t="s">
        <v>1564</v>
      </c>
      <c r="N867" t="s">
        <v>1564</v>
      </c>
      <c r="O867" t="s">
        <v>1569</v>
      </c>
      <c r="P867" t="s">
        <v>1566</v>
      </c>
      <c r="Q867" t="s">
        <v>1570</v>
      </c>
      <c r="R867" t="s">
        <v>1571</v>
      </c>
      <c r="S867" t="s">
        <v>1571</v>
      </c>
      <c r="T867" t="s">
        <v>1566</v>
      </c>
      <c r="U867" t="s">
        <v>1566</v>
      </c>
      <c r="V867" t="str" cm="1">
        <f t="array" aca="1" ref="V867" ca="1">IFERROR(_xlfn.IFS(A865="  ..............",OFFSET(A865,2,0),A864=" X-------------X",OFFSET(A864,3,0),MATCH("  ..............",A867:A876,0)&gt;2,V866),"-")</f>
        <v>-</v>
      </c>
      <c r="W867" t="str">
        <f t="shared" ca="1" si="39"/>
        <v>-</v>
      </c>
      <c r="X867" t="str">
        <f t="shared" ca="1" si="40"/>
        <v/>
      </c>
      <c r="Y867" s="1" t="str">
        <f t="shared" ca="1" si="41"/>
        <v/>
      </c>
    </row>
    <row r="868" spans="1:25" x14ac:dyDescent="0.25">
      <c r="A868" t="s">
        <v>1581</v>
      </c>
      <c r="B868" t="s">
        <v>1581</v>
      </c>
      <c r="C868" t="s">
        <v>1581</v>
      </c>
      <c r="D868" t="s">
        <v>1581</v>
      </c>
      <c r="E868" t="s">
        <v>1581</v>
      </c>
      <c r="F868" t="s">
        <v>1581</v>
      </c>
      <c r="G868" t="s">
        <v>1581</v>
      </c>
      <c r="H868" t="s">
        <v>1581</v>
      </c>
      <c r="I868" t="s">
        <v>1581</v>
      </c>
      <c r="J868" t="s">
        <v>1581</v>
      </c>
      <c r="K868" t="s">
        <v>1581</v>
      </c>
      <c r="L868" t="s">
        <v>1581</v>
      </c>
      <c r="M868" t="s">
        <v>1581</v>
      </c>
      <c r="N868" t="s">
        <v>1581</v>
      </c>
      <c r="O868" t="s">
        <v>1581</v>
      </c>
      <c r="P868" t="s">
        <v>1581</v>
      </c>
      <c r="Q868" t="s">
        <v>1581</v>
      </c>
      <c r="R868" t="s">
        <v>1581</v>
      </c>
      <c r="S868" t="s">
        <v>1581</v>
      </c>
      <c r="T868" t="s">
        <v>1581</v>
      </c>
      <c r="U868" t="s">
        <v>1581</v>
      </c>
      <c r="V868" t="str" cm="1">
        <f t="array" aca="1" ref="V868" ca="1">IFERROR(_xlfn.IFS(A866="  ..............",OFFSET(A866,2,0),A865=" X-------------X",OFFSET(A865,3,0),MATCH("  ..............",A868:A877,0)&gt;2,V867),"-")</f>
        <v>-</v>
      </c>
      <c r="W868" t="str">
        <f t="shared" ca="1" si="39"/>
        <v>-</v>
      </c>
      <c r="X868" t="str">
        <f t="shared" ca="1" si="40"/>
        <v/>
      </c>
      <c r="Y868" s="1" t="str">
        <f t="shared" ca="1" si="41"/>
        <v/>
      </c>
    </row>
    <row r="869" spans="1:25" x14ac:dyDescent="0.25">
      <c r="A869" t="s">
        <v>2283</v>
      </c>
      <c r="B869">
        <v>0.99299999999999999</v>
      </c>
      <c r="C869">
        <v>0</v>
      </c>
      <c r="D869">
        <v>0</v>
      </c>
      <c r="E869">
        <v>2.9</v>
      </c>
      <c r="F869">
        <v>0</v>
      </c>
      <c r="G869">
        <v>0</v>
      </c>
      <c r="H869">
        <v>0</v>
      </c>
      <c r="I869" t="s">
        <v>1581</v>
      </c>
      <c r="J869" t="s">
        <v>1581</v>
      </c>
      <c r="K869" t="s">
        <v>1581</v>
      </c>
      <c r="L869" t="s">
        <v>1581</v>
      </c>
      <c r="M869" t="s">
        <v>1581</v>
      </c>
      <c r="N869" t="s">
        <v>1581</v>
      </c>
      <c r="O869" t="s">
        <v>1581</v>
      </c>
      <c r="P869" t="s">
        <v>1581</v>
      </c>
      <c r="Q869" t="s">
        <v>1581</v>
      </c>
      <c r="R869" t="s">
        <v>1581</v>
      </c>
      <c r="S869" t="s">
        <v>1581</v>
      </c>
      <c r="T869" t="s">
        <v>1581</v>
      </c>
      <c r="U869" t="s">
        <v>1581</v>
      </c>
      <c r="V869" t="str" cm="1">
        <f t="array" aca="1" ref="V869" ca="1">IFERROR(_xlfn.IFS(A867="  ..............",OFFSET(A867,2,0),A866=" X-------------X",OFFSET(A866,3,0),MATCH("  ..............",A869:A878,0)&gt;2,V868),"-")</f>
        <v>-</v>
      </c>
      <c r="W869" t="str">
        <f t="shared" ca="1" si="39"/>
        <v>-</v>
      </c>
      <c r="X869" t="str">
        <f t="shared" ca="1" si="40"/>
        <v xml:space="preserve">              </v>
      </c>
      <c r="Y869" s="1">
        <f t="shared" ca="1" si="41"/>
        <v>0</v>
      </c>
    </row>
    <row r="870" spans="1:25" x14ac:dyDescent="0.25">
      <c r="A870" t="s">
        <v>2284</v>
      </c>
      <c r="B870">
        <v>-53</v>
      </c>
      <c r="C870">
        <v>0</v>
      </c>
      <c r="D870">
        <v>0</v>
      </c>
      <c r="E870">
        <v>1.2</v>
      </c>
      <c r="F870">
        <v>0</v>
      </c>
      <c r="G870">
        <v>0</v>
      </c>
      <c r="H870">
        <v>0</v>
      </c>
      <c r="I870" t="s">
        <v>1584</v>
      </c>
      <c r="J870" t="s">
        <v>1585</v>
      </c>
      <c r="K870" t="s">
        <v>1586</v>
      </c>
      <c r="L870" t="s">
        <v>1587</v>
      </c>
      <c r="M870" t="s">
        <v>1587</v>
      </c>
      <c r="N870" t="s">
        <v>1586</v>
      </c>
      <c r="O870" t="s">
        <v>1581</v>
      </c>
      <c r="P870" t="s">
        <v>1581</v>
      </c>
      <c r="Q870" t="s">
        <v>1581</v>
      </c>
      <c r="R870" t="s">
        <v>1581</v>
      </c>
      <c r="S870" t="s">
        <v>1581</v>
      </c>
      <c r="T870" t="s">
        <v>1581</v>
      </c>
      <c r="U870" t="s">
        <v>1581</v>
      </c>
      <c r="V870" t="str" cm="1">
        <f t="array" aca="1" ref="V870" ca="1">IFERROR(_xlfn.IFS(A868="  ..............",OFFSET(A868,2,0),A867=" X-------------X",OFFSET(A867,3,0),MATCH("  ..............",A870:A879,0)&gt;2,V869),"-")</f>
        <v xml:space="preserve">  SCHARL-RS069  </v>
      </c>
      <c r="W870">
        <f t="shared" ca="1" si="39"/>
        <v>0.99299999999999999</v>
      </c>
      <c r="X870" t="str">
        <f t="shared" ca="1" si="40"/>
        <v xml:space="preserve"> SCHARL-RS000 </v>
      </c>
      <c r="Y870" s="1">
        <f t="shared" ca="1" si="41"/>
        <v>0</v>
      </c>
    </row>
    <row r="871" spans="1:25" x14ac:dyDescent="0.25">
      <c r="A871" t="s">
        <v>1588</v>
      </c>
      <c r="B871" t="s">
        <v>1587</v>
      </c>
      <c r="C871">
        <v>60</v>
      </c>
      <c r="D871">
        <v>60</v>
      </c>
      <c r="E871">
        <v>60</v>
      </c>
      <c r="F871" s="1">
        <v>5.2999999999999999E-2</v>
      </c>
      <c r="G871" t="s">
        <v>1587</v>
      </c>
      <c r="H871" t="s">
        <v>1587</v>
      </c>
      <c r="I871">
        <v>2093</v>
      </c>
      <c r="J871" t="s">
        <v>2272</v>
      </c>
      <c r="K871">
        <v>1</v>
      </c>
      <c r="L871">
        <v>-2.9</v>
      </c>
      <c r="M871">
        <v>-1.2</v>
      </c>
      <c r="N871">
        <v>3.2</v>
      </c>
      <c r="O871" t="s">
        <v>2285</v>
      </c>
      <c r="P871" t="s">
        <v>1584</v>
      </c>
      <c r="Q871" t="s">
        <v>1591</v>
      </c>
      <c r="R871">
        <v>0</v>
      </c>
      <c r="S871">
        <v>0</v>
      </c>
      <c r="T871" t="s">
        <v>1584</v>
      </c>
      <c r="U871" t="s">
        <v>1592</v>
      </c>
      <c r="V871" t="str" cm="1">
        <f t="array" aca="1" ref="V871" ca="1">IFERROR(_xlfn.IFS(A869="  ..............",OFFSET(A869,2,0),A868=" X-------------X",OFFSET(A868,3,0),MATCH("  ..............",A871:A880,0)&gt;2,V870),"-")</f>
        <v>-</v>
      </c>
      <c r="W871" t="str">
        <f t="shared" ca="1" si="39"/>
        <v>-</v>
      </c>
      <c r="X871" t="str">
        <f t="shared" ca="1" si="40"/>
        <v>-</v>
      </c>
      <c r="Y871" s="1" t="str">
        <f t="shared" ca="1" si="41"/>
        <v>-</v>
      </c>
    </row>
    <row r="872" spans="1:25" x14ac:dyDescent="0.25">
      <c r="A872" t="s">
        <v>1572</v>
      </c>
      <c r="B872" t="s">
        <v>1574</v>
      </c>
      <c r="C872" t="s">
        <v>1574</v>
      </c>
      <c r="D872" t="s">
        <v>1574</v>
      </c>
      <c r="E872" t="s">
        <v>1574</v>
      </c>
      <c r="F872" t="s">
        <v>1575</v>
      </c>
      <c r="G872" t="s">
        <v>1574</v>
      </c>
      <c r="H872" t="s">
        <v>1574</v>
      </c>
      <c r="I872" t="s">
        <v>1576</v>
      </c>
      <c r="J872" t="s">
        <v>1573</v>
      </c>
      <c r="K872" t="s">
        <v>1577</v>
      </c>
      <c r="L872" t="s">
        <v>1574</v>
      </c>
      <c r="M872" t="s">
        <v>1574</v>
      </c>
      <c r="N872" t="s">
        <v>1574</v>
      </c>
      <c r="O872" t="s">
        <v>1578</v>
      </c>
      <c r="P872" t="s">
        <v>1576</v>
      </c>
      <c r="Q872" t="s">
        <v>1579</v>
      </c>
      <c r="R872" t="s">
        <v>1580</v>
      </c>
      <c r="S872" t="s">
        <v>1580</v>
      </c>
      <c r="T872" t="s">
        <v>1576</v>
      </c>
      <c r="U872" t="s">
        <v>1576</v>
      </c>
      <c r="V872" t="str" cm="1">
        <f t="array" aca="1" ref="V872" ca="1">IFERROR(_xlfn.IFS(A870="  ..............",OFFSET(A870,2,0),A869=" X-------------X",OFFSET(A869,3,0),MATCH("  ..............",A872:A881,0)&gt;2,V871),"-")</f>
        <v>-</v>
      </c>
      <c r="W872" t="str">
        <f t="shared" ca="1" si="39"/>
        <v>-</v>
      </c>
      <c r="X872" t="str">
        <f t="shared" ca="1" si="40"/>
        <v/>
      </c>
      <c r="Y872" s="1" t="str">
        <f t="shared" ca="1" si="41"/>
        <v/>
      </c>
    </row>
    <row r="873" spans="1:25" x14ac:dyDescent="0.25">
      <c r="A873" t="s">
        <v>2286</v>
      </c>
      <c r="B873">
        <v>1.0089999999999999</v>
      </c>
      <c r="C873">
        <v>5.2</v>
      </c>
      <c r="D873">
        <v>0</v>
      </c>
      <c r="E873">
        <v>39.9</v>
      </c>
      <c r="F873">
        <v>0</v>
      </c>
      <c r="G873">
        <v>3.7</v>
      </c>
      <c r="H873">
        <v>0</v>
      </c>
      <c r="I873" t="s">
        <v>1581</v>
      </c>
      <c r="J873" t="s">
        <v>1581</v>
      </c>
      <c r="K873" t="s">
        <v>1581</v>
      </c>
      <c r="L873" t="s">
        <v>1581</v>
      </c>
      <c r="M873" t="s">
        <v>1581</v>
      </c>
      <c r="N873" t="s">
        <v>1581</v>
      </c>
      <c r="O873" t="s">
        <v>1581</v>
      </c>
      <c r="P873" t="s">
        <v>1581</v>
      </c>
      <c r="Q873" t="s">
        <v>1581</v>
      </c>
      <c r="R873" t="s">
        <v>1581</v>
      </c>
      <c r="S873" t="s">
        <v>1581</v>
      </c>
      <c r="T873" t="s">
        <v>1581</v>
      </c>
      <c r="U873" t="s">
        <v>1581</v>
      </c>
      <c r="V873" t="str" cm="1">
        <f t="array" aca="1" ref="V873" ca="1">IFERROR(_xlfn.IFS(A871="  ..............",OFFSET(A871,2,0),A870=" X-------------X",OFFSET(A870,3,0),MATCH("  ..............",A873:A882,0)&gt;2,V872),"-")</f>
        <v>-</v>
      </c>
      <c r="W873" t="str">
        <f t="shared" ca="1" si="39"/>
        <v>-</v>
      </c>
      <c r="X873" t="str">
        <f t="shared" ca="1" si="40"/>
        <v xml:space="preserve">              </v>
      </c>
      <c r="Y873" s="1">
        <f t="shared" ca="1" si="41"/>
        <v>0</v>
      </c>
    </row>
    <row r="874" spans="1:25" x14ac:dyDescent="0.25">
      <c r="A874" t="s">
        <v>2287</v>
      </c>
      <c r="B874">
        <v>-53.2</v>
      </c>
      <c r="C874">
        <v>0</v>
      </c>
      <c r="D874">
        <v>0</v>
      </c>
      <c r="E874">
        <v>15.5</v>
      </c>
      <c r="F874">
        <v>0</v>
      </c>
      <c r="G874">
        <v>0</v>
      </c>
      <c r="H874">
        <v>0</v>
      </c>
      <c r="I874" t="s">
        <v>1584</v>
      </c>
      <c r="J874" t="s">
        <v>1585</v>
      </c>
      <c r="K874" t="s">
        <v>1586</v>
      </c>
      <c r="L874" t="s">
        <v>1587</v>
      </c>
      <c r="M874" t="s">
        <v>1587</v>
      </c>
      <c r="N874" t="s">
        <v>1586</v>
      </c>
      <c r="O874" t="s">
        <v>1581</v>
      </c>
      <c r="P874" t="s">
        <v>1581</v>
      </c>
      <c r="Q874" t="s">
        <v>1581</v>
      </c>
      <c r="R874" t="s">
        <v>1581</v>
      </c>
      <c r="S874" t="s">
        <v>1581</v>
      </c>
      <c r="T874" t="s">
        <v>1581</v>
      </c>
      <c r="U874" t="s">
        <v>1581</v>
      </c>
      <c r="V874" t="str" cm="1">
        <f t="array" aca="1" ref="V874" ca="1">IFERROR(_xlfn.IFS(A872="  ..............",OFFSET(A872,2,0),A871=" X-------------X",OFFSET(A871,3,0),MATCH("  ..............",A874:A883,0)&gt;2,V873),"-")</f>
        <v xml:space="preserve">  PAROBE-RS138  </v>
      </c>
      <c r="W874">
        <f t="shared" ca="1" si="39"/>
        <v>1.0089999999999999</v>
      </c>
      <c r="X874" t="str">
        <f t="shared" ca="1" si="40"/>
        <v xml:space="preserve"> TAQUAR-RS138 </v>
      </c>
      <c r="Y874" s="1">
        <f t="shared" ca="1" si="41"/>
        <v>0.33500000000000002</v>
      </c>
    </row>
    <row r="875" spans="1:25" x14ac:dyDescent="0.25">
      <c r="A875" t="s">
        <v>1588</v>
      </c>
      <c r="B875" t="s">
        <v>1587</v>
      </c>
      <c r="C875">
        <v>111</v>
      </c>
      <c r="D875">
        <v>111</v>
      </c>
      <c r="E875">
        <v>111</v>
      </c>
      <c r="F875" s="1">
        <v>0.32700000000000001</v>
      </c>
      <c r="G875" t="s">
        <v>1587</v>
      </c>
      <c r="H875" t="s">
        <v>1587</v>
      </c>
      <c r="I875">
        <v>2094</v>
      </c>
      <c r="J875" t="s">
        <v>1983</v>
      </c>
      <c r="K875">
        <v>1</v>
      </c>
      <c r="L875">
        <v>-34.700000000000003</v>
      </c>
      <c r="M875">
        <v>-11.8</v>
      </c>
      <c r="N875">
        <v>36.4</v>
      </c>
      <c r="O875" t="s">
        <v>1594</v>
      </c>
      <c r="P875" t="s">
        <v>1584</v>
      </c>
      <c r="Q875" t="s">
        <v>1591</v>
      </c>
      <c r="R875">
        <v>0.11</v>
      </c>
      <c r="S875">
        <v>0.03</v>
      </c>
      <c r="T875" t="s">
        <v>1584</v>
      </c>
      <c r="U875" t="s">
        <v>1592</v>
      </c>
      <c r="V875" t="str" cm="1">
        <f t="array" aca="1" ref="V875" ca="1">IFERROR(_xlfn.IFS(A873="  ..............",OFFSET(A873,2,0),A872=" X-------------X",OFFSET(A872,3,0),MATCH("  ..............",A875:A884,0)&gt;2,V874),"-")</f>
        <v>-</v>
      </c>
      <c r="W875" t="str">
        <f t="shared" ca="1" si="39"/>
        <v>-</v>
      </c>
      <c r="X875" t="str">
        <f t="shared" ca="1" si="40"/>
        <v>-</v>
      </c>
      <c r="Y875" s="1" t="str">
        <f t="shared" ca="1" si="41"/>
        <v>-</v>
      </c>
    </row>
    <row r="876" spans="1:25" x14ac:dyDescent="0.25">
      <c r="A876" t="s">
        <v>1572</v>
      </c>
      <c r="B876" t="s">
        <v>1574</v>
      </c>
      <c r="C876" t="s">
        <v>1574</v>
      </c>
      <c r="D876" t="s">
        <v>1574</v>
      </c>
      <c r="E876" t="s">
        <v>1574</v>
      </c>
      <c r="F876" t="s">
        <v>1575</v>
      </c>
      <c r="G876" t="s">
        <v>1574</v>
      </c>
      <c r="H876" t="s">
        <v>1574</v>
      </c>
      <c r="I876" t="s">
        <v>1576</v>
      </c>
      <c r="J876" t="s">
        <v>1573</v>
      </c>
      <c r="K876" t="s">
        <v>1577</v>
      </c>
      <c r="L876" t="s">
        <v>1574</v>
      </c>
      <c r="M876" t="s">
        <v>1574</v>
      </c>
      <c r="N876" t="s">
        <v>1574</v>
      </c>
      <c r="O876" t="s">
        <v>1578</v>
      </c>
      <c r="P876" t="s">
        <v>1576</v>
      </c>
      <c r="Q876" t="s">
        <v>1579</v>
      </c>
      <c r="R876" t="s">
        <v>1580</v>
      </c>
      <c r="S876" t="s">
        <v>1580</v>
      </c>
      <c r="T876" t="s">
        <v>1576</v>
      </c>
      <c r="U876" t="s">
        <v>1576</v>
      </c>
      <c r="V876" t="str" cm="1">
        <f t="array" aca="1" ref="V876" ca="1">IFERROR(_xlfn.IFS(A874="  ..............",OFFSET(A874,2,0),A873=" X-------------X",OFFSET(A873,3,0),MATCH("  ..............",A876:A885,0)&gt;2,V875),"-")</f>
        <v>-</v>
      </c>
      <c r="W876" t="str">
        <f t="shared" ca="1" si="39"/>
        <v>-</v>
      </c>
      <c r="X876" t="str">
        <f t="shared" ca="1" si="40"/>
        <v/>
      </c>
      <c r="Y876" s="1" t="str">
        <f t="shared" ca="1" si="41"/>
        <v/>
      </c>
    </row>
    <row r="877" spans="1:25" x14ac:dyDescent="0.25">
      <c r="A877" t="s">
        <v>2288</v>
      </c>
      <c r="B877">
        <v>1.022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 t="s">
        <v>1581</v>
      </c>
      <c r="J877" t="s">
        <v>1581</v>
      </c>
      <c r="K877" t="s">
        <v>1581</v>
      </c>
      <c r="L877" t="s">
        <v>1581</v>
      </c>
      <c r="M877" t="s">
        <v>1581</v>
      </c>
      <c r="N877" t="s">
        <v>1581</v>
      </c>
      <c r="O877" t="s">
        <v>1581</v>
      </c>
      <c r="P877" t="s">
        <v>1581</v>
      </c>
      <c r="Q877" t="s">
        <v>1581</v>
      </c>
      <c r="R877" t="s">
        <v>1581</v>
      </c>
      <c r="S877" t="s">
        <v>1581</v>
      </c>
      <c r="T877" t="s">
        <v>1581</v>
      </c>
      <c r="U877" t="s">
        <v>1581</v>
      </c>
      <c r="V877" t="str" cm="1">
        <f t="array" aca="1" ref="V877" ca="1">IFERROR(_xlfn.IFS(A875="  ..............",OFFSET(A875,2,0),A874=" X-------------X",OFFSET(A874,3,0),MATCH("  ..............",A877:A886,0)&gt;2,V876),"-")</f>
        <v>-</v>
      </c>
      <c r="W877" t="str">
        <f t="shared" ca="1" si="39"/>
        <v>-</v>
      </c>
      <c r="X877" t="str">
        <f t="shared" ca="1" si="40"/>
        <v xml:space="preserve">              </v>
      </c>
      <c r="Y877" s="1">
        <f t="shared" ca="1" si="41"/>
        <v>0</v>
      </c>
    </row>
    <row r="878" spans="1:25" x14ac:dyDescent="0.25">
      <c r="A878" t="s">
        <v>2289</v>
      </c>
      <c r="B878">
        <v>-53.1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1584</v>
      </c>
      <c r="J878" t="s">
        <v>1585</v>
      </c>
      <c r="K878" t="s">
        <v>1586</v>
      </c>
      <c r="L878" t="s">
        <v>1587</v>
      </c>
      <c r="M878" t="s">
        <v>1587</v>
      </c>
      <c r="N878" t="s">
        <v>1586</v>
      </c>
      <c r="O878" t="s">
        <v>1581</v>
      </c>
      <c r="P878" t="s">
        <v>1581</v>
      </c>
      <c r="Q878" t="s">
        <v>1581</v>
      </c>
      <c r="R878" t="s">
        <v>1581</v>
      </c>
      <c r="S878" t="s">
        <v>1581</v>
      </c>
      <c r="T878" t="s">
        <v>1581</v>
      </c>
      <c r="U878" t="s">
        <v>1581</v>
      </c>
      <c r="V878" t="str" cm="1">
        <f t="array" aca="1" ref="V878" ca="1">IFERROR(_xlfn.IFS(A876="  ..............",OFFSET(A876,2,0),A875=" X-------------X",OFFSET(A875,3,0),MATCH("  ..............",A878:A887,0)&gt;2,V877),"-")</f>
        <v xml:space="preserve">  SCHARL-RS000  </v>
      </c>
      <c r="W878">
        <f t="shared" ca="1" si="39"/>
        <v>1.022</v>
      </c>
      <c r="X878" t="str">
        <f t="shared" ca="1" si="40"/>
        <v xml:space="preserve"> SCHARL-RS013 </v>
      </c>
      <c r="Y878" s="1">
        <f t="shared" ca="1" si="41"/>
        <v>0</v>
      </c>
    </row>
    <row r="879" spans="1:25" x14ac:dyDescent="0.25">
      <c r="A879" t="s">
        <v>1588</v>
      </c>
      <c r="B879" t="s">
        <v>1587</v>
      </c>
      <c r="C879">
        <v>20</v>
      </c>
      <c r="D879">
        <v>20</v>
      </c>
      <c r="E879">
        <v>20</v>
      </c>
      <c r="F879" s="1">
        <v>0</v>
      </c>
      <c r="G879" t="s">
        <v>1587</v>
      </c>
      <c r="H879" t="s">
        <v>1587</v>
      </c>
      <c r="I879">
        <v>2089</v>
      </c>
      <c r="J879" t="s">
        <v>2290</v>
      </c>
      <c r="K879">
        <v>1</v>
      </c>
      <c r="L879">
        <v>0</v>
      </c>
      <c r="M879">
        <v>0</v>
      </c>
      <c r="N879">
        <v>0</v>
      </c>
      <c r="O879" t="s">
        <v>1594</v>
      </c>
      <c r="P879" t="s">
        <v>1584</v>
      </c>
      <c r="Q879" t="s">
        <v>1591</v>
      </c>
      <c r="R879">
        <v>0</v>
      </c>
      <c r="S879">
        <v>0</v>
      </c>
      <c r="T879" t="s">
        <v>1584</v>
      </c>
      <c r="U879" t="s">
        <v>1592</v>
      </c>
      <c r="V879" t="str" cm="1">
        <f t="array" aca="1" ref="V879" ca="1">IFERROR(_xlfn.IFS(A877="  ..............",OFFSET(A877,2,0),A876=" X-------------X",OFFSET(A876,3,0),MATCH("  ..............",A879:A888,0)&gt;2,V878),"-")</f>
        <v xml:space="preserve">  SCHARL-RS000  </v>
      </c>
      <c r="W879">
        <f t="shared" ca="1" si="39"/>
        <v>1.022</v>
      </c>
      <c r="X879" t="str">
        <f t="shared" ca="1" si="40"/>
        <v xml:space="preserve"> SCHARL-RS138 </v>
      </c>
      <c r="Y879" s="1" t="str">
        <f t="shared" ca="1" si="41"/>
        <v xml:space="preserve">             </v>
      </c>
    </row>
    <row r="880" spans="1:25" x14ac:dyDescent="0.25">
      <c r="A880" t="s">
        <v>1588</v>
      </c>
      <c r="B880" t="s">
        <v>1587</v>
      </c>
      <c r="C880">
        <v>9999</v>
      </c>
      <c r="D880">
        <v>9999</v>
      </c>
      <c r="E880">
        <v>9999</v>
      </c>
      <c r="F880" s="1">
        <v>0</v>
      </c>
      <c r="G880" t="s">
        <v>1587</v>
      </c>
      <c r="H880" t="s">
        <v>1587</v>
      </c>
      <c r="I880">
        <v>2090</v>
      </c>
      <c r="J880" t="s">
        <v>1858</v>
      </c>
      <c r="K880">
        <v>1</v>
      </c>
      <c r="L880">
        <v>-2.9</v>
      </c>
      <c r="M880">
        <v>-1.2</v>
      </c>
      <c r="N880">
        <v>3.1</v>
      </c>
      <c r="O880" t="s">
        <v>1594</v>
      </c>
      <c r="P880" t="s">
        <v>1584</v>
      </c>
      <c r="Q880" t="s">
        <v>1591</v>
      </c>
      <c r="R880">
        <v>0</v>
      </c>
      <c r="S880">
        <v>0.02</v>
      </c>
      <c r="T880" t="s">
        <v>1584</v>
      </c>
      <c r="U880" t="s">
        <v>1592</v>
      </c>
      <c r="V880" t="str" cm="1">
        <f t="array" aca="1" ref="V880" ca="1">IFERROR(_xlfn.IFS(A878="  ..............",OFFSET(A878,2,0),A877=" X-------------X",OFFSET(A877,3,0),MATCH("  ..............",A880:A889,0)&gt;2,V879),"-")</f>
        <v xml:space="preserve">  SCHARL-RS000  </v>
      </c>
      <c r="W880">
        <f t="shared" ca="1" si="39"/>
        <v>1.022</v>
      </c>
      <c r="X880" t="str">
        <f t="shared" ca="1" si="40"/>
        <v xml:space="preserve"> SCHARL-RS069 </v>
      </c>
      <c r="Y880" s="1">
        <f t="shared" ca="1" si="41"/>
        <v>5.0999999999999997E-2</v>
      </c>
    </row>
    <row r="881" spans="1:25" x14ac:dyDescent="0.25">
      <c r="A881" t="s">
        <v>1588</v>
      </c>
      <c r="B881" t="s">
        <v>1587</v>
      </c>
      <c r="C881">
        <v>60</v>
      </c>
      <c r="D881">
        <v>60</v>
      </c>
      <c r="E881">
        <v>60</v>
      </c>
      <c r="F881" s="1">
        <v>5.0999999999999997E-2</v>
      </c>
      <c r="G881" t="s">
        <v>1587</v>
      </c>
      <c r="H881" t="s">
        <v>1587</v>
      </c>
      <c r="I881">
        <v>2091</v>
      </c>
      <c r="J881" t="s">
        <v>2291</v>
      </c>
      <c r="K881">
        <v>1</v>
      </c>
      <c r="L881">
        <v>2.9</v>
      </c>
      <c r="M881">
        <v>1.2</v>
      </c>
      <c r="N881">
        <v>3.1</v>
      </c>
      <c r="O881" t="s">
        <v>1594</v>
      </c>
      <c r="P881" t="s">
        <v>1584</v>
      </c>
      <c r="Q881" t="s">
        <v>1591</v>
      </c>
      <c r="R881">
        <v>0</v>
      </c>
      <c r="S881">
        <v>0</v>
      </c>
      <c r="T881" t="s">
        <v>1584</v>
      </c>
      <c r="U881" t="s">
        <v>1592</v>
      </c>
      <c r="V881" t="str" cm="1">
        <f t="array" aca="1" ref="V881" ca="1">IFERROR(_xlfn.IFS(A879="  ..............",OFFSET(A879,2,0),A878=" X-------------X",OFFSET(A878,3,0),MATCH("  ..............",A881:A890,0)&gt;2,V880),"-")</f>
        <v>-</v>
      </c>
      <c r="W881" t="str">
        <f t="shared" ca="1" si="39"/>
        <v>-</v>
      </c>
      <c r="X881" t="str">
        <f t="shared" ca="1" si="40"/>
        <v>-</v>
      </c>
      <c r="Y881" s="1" t="str">
        <f t="shared" ca="1" si="41"/>
        <v>-</v>
      </c>
    </row>
    <row r="882" spans="1:25" x14ac:dyDescent="0.25">
      <c r="A882" t="s">
        <v>1572</v>
      </c>
      <c r="B882" t="s">
        <v>1574</v>
      </c>
      <c r="C882" t="s">
        <v>1574</v>
      </c>
      <c r="D882" t="s">
        <v>1574</v>
      </c>
      <c r="E882" t="s">
        <v>1574</v>
      </c>
      <c r="F882" t="s">
        <v>1575</v>
      </c>
      <c r="G882" t="s">
        <v>1574</v>
      </c>
      <c r="H882" t="s">
        <v>1574</v>
      </c>
      <c r="I882" t="s">
        <v>1576</v>
      </c>
      <c r="J882" t="s">
        <v>1573</v>
      </c>
      <c r="K882" t="s">
        <v>1577</v>
      </c>
      <c r="L882" t="s">
        <v>1574</v>
      </c>
      <c r="M882" t="s">
        <v>1574</v>
      </c>
      <c r="N882" t="s">
        <v>1574</v>
      </c>
      <c r="O882" t="s">
        <v>1578</v>
      </c>
      <c r="P882" t="s">
        <v>1576</v>
      </c>
      <c r="Q882" t="s">
        <v>1579</v>
      </c>
      <c r="R882" t="s">
        <v>1580</v>
      </c>
      <c r="S882" t="s">
        <v>1580</v>
      </c>
      <c r="T882" t="s">
        <v>1576</v>
      </c>
      <c r="U882" t="s">
        <v>1576</v>
      </c>
      <c r="V882" t="str" cm="1">
        <f t="array" aca="1" ref="V882" ca="1">IFERROR(_xlfn.IFS(A880="  ..............",OFFSET(A880,2,0),A879=" X-------------X",OFFSET(A879,3,0),MATCH("  ..............",A882:A891,0)&gt;2,V881),"-")</f>
        <v>-</v>
      </c>
      <c r="W882" t="str">
        <f t="shared" ca="1" si="39"/>
        <v>-</v>
      </c>
      <c r="X882" t="str">
        <f t="shared" ca="1" si="40"/>
        <v/>
      </c>
      <c r="Y882" s="1" t="str">
        <f t="shared" ca="1" si="41"/>
        <v/>
      </c>
    </row>
    <row r="883" spans="1:25" x14ac:dyDescent="0.25">
      <c r="A883" t="s">
        <v>2292</v>
      </c>
      <c r="B883">
        <v>1.014</v>
      </c>
      <c r="C883">
        <v>5.6</v>
      </c>
      <c r="D883">
        <v>0</v>
      </c>
      <c r="E883">
        <v>40.700000000000003</v>
      </c>
      <c r="F883">
        <v>0</v>
      </c>
      <c r="G883">
        <v>3.7</v>
      </c>
      <c r="H883">
        <v>0</v>
      </c>
      <c r="I883" t="s">
        <v>1581</v>
      </c>
      <c r="J883" t="s">
        <v>1581</v>
      </c>
      <c r="K883" t="s">
        <v>1581</v>
      </c>
      <c r="L883" t="s">
        <v>1581</v>
      </c>
      <c r="M883" t="s">
        <v>1581</v>
      </c>
      <c r="N883" t="s">
        <v>1581</v>
      </c>
      <c r="O883" t="s">
        <v>1581</v>
      </c>
      <c r="P883" t="s">
        <v>1581</v>
      </c>
      <c r="Q883" t="s">
        <v>1581</v>
      </c>
      <c r="R883" t="s">
        <v>1581</v>
      </c>
      <c r="S883" t="s">
        <v>1581</v>
      </c>
      <c r="T883" t="s">
        <v>1581</v>
      </c>
      <c r="U883" t="s">
        <v>1581</v>
      </c>
      <c r="V883" t="str" cm="1">
        <f t="array" aca="1" ref="V883" ca="1">IFERROR(_xlfn.IFS(A881="  ..............",OFFSET(A881,2,0),A880=" X-------------X",OFFSET(A880,3,0),MATCH("  ..............",A883:A892,0)&gt;2,V882),"-")</f>
        <v>-</v>
      </c>
      <c r="W883" t="str">
        <f t="shared" ca="1" si="39"/>
        <v>-</v>
      </c>
      <c r="X883" t="str">
        <f t="shared" ca="1" si="40"/>
        <v xml:space="preserve">              </v>
      </c>
      <c r="Y883" s="1">
        <f t="shared" ca="1" si="41"/>
        <v>0</v>
      </c>
    </row>
    <row r="884" spans="1:25" x14ac:dyDescent="0.25">
      <c r="A884" t="s">
        <v>2293</v>
      </c>
      <c r="B884">
        <v>-52.8</v>
      </c>
      <c r="C884">
        <v>0</v>
      </c>
      <c r="D884">
        <v>0</v>
      </c>
      <c r="E884">
        <v>10.4</v>
      </c>
      <c r="F884">
        <v>0</v>
      </c>
      <c r="G884">
        <v>0</v>
      </c>
      <c r="H884">
        <v>0</v>
      </c>
      <c r="I884" t="s">
        <v>1584</v>
      </c>
      <c r="J884" t="s">
        <v>1585</v>
      </c>
      <c r="K884" t="s">
        <v>1586</v>
      </c>
      <c r="L884" t="s">
        <v>1587</v>
      </c>
      <c r="M884" t="s">
        <v>1587</v>
      </c>
      <c r="N884" t="s">
        <v>1586</v>
      </c>
      <c r="O884" t="s">
        <v>1581</v>
      </c>
      <c r="P884" t="s">
        <v>1581</v>
      </c>
      <c r="Q884" t="s">
        <v>1581</v>
      </c>
      <c r="R884" t="s">
        <v>1581</v>
      </c>
      <c r="S884" t="s">
        <v>1581</v>
      </c>
      <c r="T884" t="s">
        <v>1581</v>
      </c>
      <c r="U884" t="s">
        <v>1581</v>
      </c>
      <c r="V884" t="str" cm="1">
        <f t="array" aca="1" ref="V884" ca="1">IFERROR(_xlfn.IFS(A882="  ..............",OFFSET(A882,2,0),A881=" X-------------X",OFFSET(A881,3,0),MATCH("  ..............",A884:A893,0)&gt;2,V883),"-")</f>
        <v xml:space="preserve">  TAQUAR-RS138  </v>
      </c>
      <c r="W884">
        <f t="shared" ca="1" si="39"/>
        <v>1.014</v>
      </c>
      <c r="X884" t="str">
        <f t="shared" ca="1" si="40"/>
        <v xml:space="preserve"> 3COROA-RS138 </v>
      </c>
      <c r="Y884" s="1">
        <f t="shared" ca="1" si="41"/>
        <v>0</v>
      </c>
    </row>
    <row r="885" spans="1:25" x14ac:dyDescent="0.25">
      <c r="A885" t="s">
        <v>1588</v>
      </c>
      <c r="B885" t="s">
        <v>1587</v>
      </c>
      <c r="C885">
        <v>97</v>
      </c>
      <c r="D885">
        <v>146</v>
      </c>
      <c r="E885">
        <v>146</v>
      </c>
      <c r="F885" s="1">
        <v>0.33100000000000002</v>
      </c>
      <c r="G885" t="s">
        <v>1587</v>
      </c>
      <c r="H885" t="s">
        <v>1587</v>
      </c>
      <c r="I885">
        <v>1290</v>
      </c>
      <c r="J885" t="s">
        <v>2156</v>
      </c>
      <c r="K885">
        <v>1</v>
      </c>
      <c r="L885">
        <v>30.5</v>
      </c>
      <c r="M885">
        <v>11.4</v>
      </c>
      <c r="N885">
        <v>32.1</v>
      </c>
      <c r="O885" t="s">
        <v>1594</v>
      </c>
      <c r="P885" t="s">
        <v>1584</v>
      </c>
      <c r="Q885" t="s">
        <v>1591</v>
      </c>
      <c r="R885">
        <v>0.15</v>
      </c>
      <c r="S885">
        <v>-0.59</v>
      </c>
      <c r="T885" t="s">
        <v>1584</v>
      </c>
      <c r="U885" t="s">
        <v>1592</v>
      </c>
      <c r="V885" t="str" cm="1">
        <f t="array" aca="1" ref="V885" ca="1">IFERROR(_xlfn.IFS(A883="  ..............",OFFSET(A883,2,0),A882=" X-------------X",OFFSET(A882,3,0),MATCH("  ..............",A885:A894,0)&gt;2,V884),"-")</f>
        <v xml:space="preserve">  TAQUAR-RS138  </v>
      </c>
      <c r="W885">
        <f t="shared" ca="1" si="39"/>
        <v>1.014</v>
      </c>
      <c r="X885" t="str">
        <f t="shared" ca="1" si="40"/>
        <v xml:space="preserve"> SAPATR-RS138 </v>
      </c>
      <c r="Y885" s="1" t="str">
        <f t="shared" ca="1" si="41"/>
        <v xml:space="preserve">             </v>
      </c>
    </row>
    <row r="886" spans="1:25" x14ac:dyDescent="0.25">
      <c r="A886" t="s">
        <v>1588</v>
      </c>
      <c r="B886" t="s">
        <v>1587</v>
      </c>
      <c r="C886">
        <v>82</v>
      </c>
      <c r="D886">
        <v>82</v>
      </c>
      <c r="E886">
        <v>82</v>
      </c>
      <c r="F886" s="1">
        <v>0.36199999999999999</v>
      </c>
      <c r="G886" t="s">
        <v>1587</v>
      </c>
      <c r="H886" t="s">
        <v>1587</v>
      </c>
      <c r="I886">
        <v>2055</v>
      </c>
      <c r="J886" t="s">
        <v>2130</v>
      </c>
      <c r="K886">
        <v>1</v>
      </c>
      <c r="L886">
        <v>27.3</v>
      </c>
      <c r="M886">
        <v>12.7</v>
      </c>
      <c r="N886">
        <v>29.7</v>
      </c>
      <c r="O886" t="s">
        <v>1594</v>
      </c>
      <c r="P886" t="s">
        <v>1584</v>
      </c>
      <c r="Q886" t="s">
        <v>1591</v>
      </c>
      <c r="R886">
        <v>0.36</v>
      </c>
      <c r="S886">
        <v>-1.36</v>
      </c>
      <c r="T886" t="s">
        <v>1584</v>
      </c>
      <c r="U886" t="s">
        <v>1592</v>
      </c>
      <c r="V886" t="str" cm="1">
        <f t="array" aca="1" ref="V886" ca="1">IFERROR(_xlfn.IFS(A884="  ..............",OFFSET(A884,2,0),A883=" X-------------X",OFFSET(A883,3,0),MATCH("  ..............",A886:A895,0)&gt;2,V885),"-")</f>
        <v xml:space="preserve">  TAQUAR-RS138  </v>
      </c>
      <c r="W886">
        <f t="shared" ca="1" si="39"/>
        <v>1.014</v>
      </c>
      <c r="X886" t="str">
        <f t="shared" ca="1" si="40"/>
        <v xml:space="preserve"> PAROBE-RS138 </v>
      </c>
      <c r="Y886" s="1">
        <f t="shared" ca="1" si="41"/>
        <v>0.32700000000000001</v>
      </c>
    </row>
    <row r="887" spans="1:25" x14ac:dyDescent="0.25">
      <c r="A887" t="s">
        <v>1588</v>
      </c>
      <c r="B887" t="s">
        <v>1587</v>
      </c>
      <c r="C887">
        <v>111</v>
      </c>
      <c r="D887">
        <v>111</v>
      </c>
      <c r="E887">
        <v>111</v>
      </c>
      <c r="F887" s="1">
        <v>0.32700000000000001</v>
      </c>
      <c r="G887" t="s">
        <v>1587</v>
      </c>
      <c r="H887" t="s">
        <v>1587</v>
      </c>
      <c r="I887">
        <v>2092</v>
      </c>
      <c r="J887" t="s">
        <v>2294</v>
      </c>
      <c r="K887">
        <v>1</v>
      </c>
      <c r="L887">
        <v>34.799999999999997</v>
      </c>
      <c r="M887">
        <v>11.9</v>
      </c>
      <c r="N887">
        <v>36.299999999999997</v>
      </c>
      <c r="O887" t="s">
        <v>1594</v>
      </c>
      <c r="P887" t="s">
        <v>1584</v>
      </c>
      <c r="Q887" t="s">
        <v>1591</v>
      </c>
      <c r="R887">
        <v>0.11</v>
      </c>
      <c r="S887">
        <v>0.03</v>
      </c>
      <c r="T887" t="s">
        <v>1584</v>
      </c>
      <c r="U887" t="s">
        <v>1592</v>
      </c>
      <c r="V887" t="str" cm="1">
        <f t="array" aca="1" ref="V887" ca="1">IFERROR(_xlfn.IFS(A885="  ..............",OFFSET(A885,2,0),A884=" X-------------X",OFFSET(A884,3,0),MATCH("  ..............",A887:A896,0)&gt;2,V886),"-")</f>
        <v xml:space="preserve">  TAQUAR-RS138  </v>
      </c>
      <c r="W887">
        <f t="shared" ca="1" si="39"/>
        <v>1.014</v>
      </c>
      <c r="X887" t="str">
        <f t="shared" ca="1" si="40"/>
        <v xml:space="preserve"> CACHO3-RS138 </v>
      </c>
      <c r="Y887" s="1">
        <f t="shared" ca="1" si="41"/>
        <v>0.37</v>
      </c>
    </row>
    <row r="888" spans="1:25" x14ac:dyDescent="0.25">
      <c r="A888" t="s">
        <v>1637</v>
      </c>
      <c r="B888" t="s">
        <v>1638</v>
      </c>
      <c r="C888">
        <v>96</v>
      </c>
      <c r="D888">
        <v>96</v>
      </c>
      <c r="E888">
        <v>96</v>
      </c>
      <c r="F888" t="s">
        <v>1639</v>
      </c>
      <c r="G888" t="s">
        <v>1587</v>
      </c>
      <c r="H888" t="s">
        <v>1587</v>
      </c>
      <c r="I888">
        <v>9305</v>
      </c>
      <c r="J888" t="s">
        <v>2226</v>
      </c>
      <c r="K888">
        <v>1</v>
      </c>
      <c r="L888">
        <v>0</v>
      </c>
      <c r="M888">
        <v>0</v>
      </c>
      <c r="N888">
        <v>0</v>
      </c>
      <c r="O888" t="s">
        <v>1594</v>
      </c>
      <c r="P888" t="s">
        <v>1584</v>
      </c>
      <c r="Q888" t="s">
        <v>1591</v>
      </c>
      <c r="R888">
        <v>0</v>
      </c>
      <c r="S888">
        <v>0</v>
      </c>
      <c r="T888" t="s">
        <v>1584</v>
      </c>
      <c r="U888" t="s">
        <v>1592</v>
      </c>
      <c r="V888" t="str" cm="1">
        <f t="array" aca="1" ref="V888" ca="1">IFERROR(_xlfn.IFS(A886="  ..............",OFFSET(A886,2,0),A885=" X-------------X",OFFSET(A885,3,0),MATCH("  ..............",A888:A897,0)&gt;2,V887),"-")</f>
        <v xml:space="preserve">  TAQUAR-RS138  </v>
      </c>
      <c r="W888">
        <f t="shared" ca="1" si="39"/>
        <v>1.014</v>
      </c>
      <c r="X888" t="str">
        <f t="shared" ca="1" si="40"/>
        <v xml:space="preserve"> ROLANT-RS138 </v>
      </c>
      <c r="Y888" s="1">
        <f t="shared" ca="1" si="41"/>
        <v>9.7000000000000003E-2</v>
      </c>
    </row>
    <row r="889" spans="1:25" x14ac:dyDescent="0.25">
      <c r="A889" t="s">
        <v>1588</v>
      </c>
      <c r="B889" t="s">
        <v>1587</v>
      </c>
      <c r="C889">
        <v>134</v>
      </c>
      <c r="D889">
        <v>162</v>
      </c>
      <c r="E889">
        <v>162</v>
      </c>
      <c r="F889" s="1">
        <v>9.7000000000000003E-2</v>
      </c>
      <c r="G889" t="s">
        <v>1587</v>
      </c>
      <c r="H889" t="s">
        <v>1587</v>
      </c>
      <c r="I889">
        <v>9677</v>
      </c>
      <c r="J889" t="s">
        <v>2295</v>
      </c>
      <c r="K889">
        <v>1</v>
      </c>
      <c r="L889">
        <v>12.9</v>
      </c>
      <c r="M889">
        <v>2.8</v>
      </c>
      <c r="N889">
        <v>13</v>
      </c>
      <c r="O889" t="s">
        <v>1594</v>
      </c>
      <c r="P889" t="s">
        <v>1584</v>
      </c>
      <c r="Q889" t="s">
        <v>1591</v>
      </c>
      <c r="R889">
        <v>0.05</v>
      </c>
      <c r="S889">
        <v>-1.89</v>
      </c>
      <c r="T889" t="s">
        <v>1584</v>
      </c>
      <c r="U889" t="s">
        <v>1592</v>
      </c>
      <c r="V889" t="str" cm="1">
        <f t="array" aca="1" ref="V889" ca="1">IFERROR(_xlfn.IFS(A887="  ..............",OFFSET(A887,2,0),A886=" X-------------X",OFFSET(A886,3,0),MATCH("  ..............",A889:A898,0)&gt;2,V888),"-")</f>
        <v xml:space="preserve">  TAQUAR-RS138  </v>
      </c>
      <c r="W889">
        <f t="shared" ca="1" si="39"/>
        <v>1.014</v>
      </c>
      <c r="X889" t="str">
        <f t="shared" ca="1" si="40"/>
        <v xml:space="preserve"> TAQ--1-RS000 </v>
      </c>
      <c r="Y889" s="1">
        <f t="shared" ca="1" si="41"/>
        <v>0.32500000000000001</v>
      </c>
    </row>
    <row r="890" spans="1:25" x14ac:dyDescent="0.25">
      <c r="A890" t="s">
        <v>1588</v>
      </c>
      <c r="B890" t="s">
        <v>1587</v>
      </c>
      <c r="C890">
        <v>150</v>
      </c>
      <c r="D890">
        <v>150</v>
      </c>
      <c r="E890">
        <v>150</v>
      </c>
      <c r="F890" s="1">
        <v>0.32500000000000001</v>
      </c>
      <c r="G890" t="s">
        <v>1587</v>
      </c>
      <c r="H890" t="s">
        <v>1587</v>
      </c>
      <c r="I890">
        <v>41389</v>
      </c>
      <c r="J890" t="s">
        <v>2296</v>
      </c>
      <c r="K890">
        <v>1</v>
      </c>
      <c r="L890">
        <v>-47</v>
      </c>
      <c r="M890">
        <v>-15.2</v>
      </c>
      <c r="N890">
        <v>48.7</v>
      </c>
      <c r="O890" t="s">
        <v>1608</v>
      </c>
      <c r="P890" t="s">
        <v>1584</v>
      </c>
      <c r="Q890">
        <v>2</v>
      </c>
      <c r="R890">
        <v>0.03</v>
      </c>
      <c r="S890">
        <v>-0.4</v>
      </c>
      <c r="T890" t="s">
        <v>1584</v>
      </c>
      <c r="U890" t="s">
        <v>1592</v>
      </c>
      <c r="V890" t="str" cm="1">
        <f t="array" aca="1" ref="V890" ca="1">IFERROR(_xlfn.IFS(A888="  ..............",OFFSET(A888,2,0),A887=" X-------------X",OFFSET(A887,3,0),MATCH("  ..............",A890:A899,0)&gt;2,V889),"-")</f>
        <v xml:space="preserve">  TAQUAR-RS138  </v>
      </c>
      <c r="W890">
        <f t="shared" ca="1" si="39"/>
        <v>1.014</v>
      </c>
      <c r="X890" t="str">
        <f t="shared" ca="1" si="40"/>
        <v xml:space="preserve"> TAQ--2-RS000 </v>
      </c>
      <c r="Y890" s="1">
        <f t="shared" ca="1" si="41"/>
        <v>0.32300000000000001</v>
      </c>
    </row>
    <row r="891" spans="1:25" x14ac:dyDescent="0.25">
      <c r="A891" t="s">
        <v>1588</v>
      </c>
      <c r="B891" t="s">
        <v>1587</v>
      </c>
      <c r="C891">
        <v>150</v>
      </c>
      <c r="D891">
        <v>150</v>
      </c>
      <c r="E891">
        <v>150</v>
      </c>
      <c r="F891" s="1">
        <v>0.32300000000000001</v>
      </c>
      <c r="G891" t="s">
        <v>1587</v>
      </c>
      <c r="H891" t="s">
        <v>1587</v>
      </c>
      <c r="I891">
        <v>41390</v>
      </c>
      <c r="J891" t="s">
        <v>2297</v>
      </c>
      <c r="K891">
        <v>2</v>
      </c>
      <c r="L891">
        <v>-46.7</v>
      </c>
      <c r="M891">
        <v>-15.1</v>
      </c>
      <c r="N891">
        <v>48.5</v>
      </c>
      <c r="O891" t="s">
        <v>1608</v>
      </c>
      <c r="P891" t="s">
        <v>1584</v>
      </c>
      <c r="Q891">
        <v>2</v>
      </c>
      <c r="R891">
        <v>0.03</v>
      </c>
      <c r="S891">
        <v>-0.36</v>
      </c>
      <c r="T891" t="s">
        <v>1584</v>
      </c>
      <c r="U891" t="s">
        <v>1592</v>
      </c>
      <c r="V891" t="str" cm="1">
        <f t="array" aca="1" ref="V891" ca="1">IFERROR(_xlfn.IFS(A889="  ..............",OFFSET(A889,2,0),A888=" X-------------X",OFFSET(A888,3,0),MATCH("  ..............",A891:A900,0)&gt;2,V890),"-")</f>
        <v xml:space="preserve">  TAQUAR-RS138  </v>
      </c>
      <c r="W891">
        <f t="shared" ca="1" si="39"/>
        <v>1.014</v>
      </c>
      <c r="X891" t="str">
        <f t="shared" ca="1" si="40"/>
        <v xml:space="preserve"> TAQ--3-RS000 </v>
      </c>
      <c r="Y891" s="1">
        <f t="shared" ca="1" si="41"/>
        <v>0.32300000000000001</v>
      </c>
    </row>
    <row r="892" spans="1:25" x14ac:dyDescent="0.25">
      <c r="A892" t="s">
        <v>1588</v>
      </c>
      <c r="B892" t="s">
        <v>1587</v>
      </c>
      <c r="C892">
        <v>150</v>
      </c>
      <c r="D892">
        <v>180</v>
      </c>
      <c r="E892">
        <v>180</v>
      </c>
      <c r="F892" s="1">
        <v>0.32300000000000001</v>
      </c>
      <c r="G892" t="s">
        <v>1587</v>
      </c>
      <c r="H892" t="s">
        <v>1587</v>
      </c>
      <c r="I892">
        <v>43461</v>
      </c>
      <c r="J892" t="s">
        <v>2298</v>
      </c>
      <c r="K892">
        <v>3</v>
      </c>
      <c r="L892">
        <v>-46.7</v>
      </c>
      <c r="M892">
        <v>-15.1</v>
      </c>
      <c r="N892">
        <v>48.5</v>
      </c>
      <c r="O892" t="s">
        <v>1608</v>
      </c>
      <c r="P892" t="s">
        <v>1584</v>
      </c>
      <c r="Q892">
        <v>2</v>
      </c>
      <c r="R892">
        <v>0.03</v>
      </c>
      <c r="S892">
        <v>-0.36</v>
      </c>
      <c r="T892" t="s">
        <v>1584</v>
      </c>
      <c r="U892" t="s">
        <v>1592</v>
      </c>
      <c r="V892" t="str" cm="1">
        <f t="array" aca="1" ref="V892" ca="1">IFERROR(_xlfn.IFS(A890="  ..............",OFFSET(A890,2,0),A889=" X-------------X",OFFSET(A889,3,0),MATCH("  ..............",A892:A901,0)&gt;2,V891),"-")</f>
        <v>-</v>
      </c>
      <c r="W892" t="str">
        <f t="shared" ca="1" si="39"/>
        <v>-</v>
      </c>
      <c r="X892" t="str">
        <f t="shared" ca="1" si="40"/>
        <v>-</v>
      </c>
      <c r="Y892" s="1" t="str">
        <f t="shared" ca="1" si="41"/>
        <v>-</v>
      </c>
    </row>
    <row r="893" spans="1:25" x14ac:dyDescent="0.25">
      <c r="A893" t="s">
        <v>1572</v>
      </c>
      <c r="B893" t="s">
        <v>1574</v>
      </c>
      <c r="C893" t="s">
        <v>1574</v>
      </c>
      <c r="D893" t="s">
        <v>1574</v>
      </c>
      <c r="E893" t="s">
        <v>1574</v>
      </c>
      <c r="F893" t="s">
        <v>1575</v>
      </c>
      <c r="G893" t="s">
        <v>1574</v>
      </c>
      <c r="H893" t="s">
        <v>1574</v>
      </c>
      <c r="I893" t="s">
        <v>1576</v>
      </c>
      <c r="J893" t="s">
        <v>1573</v>
      </c>
      <c r="K893" t="s">
        <v>1577</v>
      </c>
      <c r="L893" t="s">
        <v>1574</v>
      </c>
      <c r="M893" t="s">
        <v>1574</v>
      </c>
      <c r="N893" t="s">
        <v>1574</v>
      </c>
      <c r="O893" t="s">
        <v>1578</v>
      </c>
      <c r="P893" t="s">
        <v>1576</v>
      </c>
      <c r="Q893" t="s">
        <v>1579</v>
      </c>
      <c r="R893" t="s">
        <v>1580</v>
      </c>
      <c r="S893" t="s">
        <v>1580</v>
      </c>
      <c r="T893" t="s">
        <v>1576</v>
      </c>
      <c r="U893" t="s">
        <v>1576</v>
      </c>
      <c r="V893" t="str" cm="1">
        <f t="array" aca="1" ref="V893" ca="1">IFERROR(_xlfn.IFS(A891="  ..............",OFFSET(A891,2,0),A890=" X-------------X",OFFSET(A890,3,0),MATCH("  ..............",A893:A902,0)&gt;2,V892),"-")</f>
        <v>-</v>
      </c>
      <c r="W893" t="str">
        <f t="shared" ca="1" si="39"/>
        <v>-</v>
      </c>
      <c r="X893" t="str">
        <f t="shared" ca="1" si="40"/>
        <v/>
      </c>
      <c r="Y893" s="1" t="str">
        <f t="shared" ca="1" si="41"/>
        <v/>
      </c>
    </row>
    <row r="894" spans="1:25" x14ac:dyDescent="0.25">
      <c r="A894" t="s">
        <v>2299</v>
      </c>
      <c r="B894">
        <v>1.0680000000000001</v>
      </c>
      <c r="C894">
        <v>6</v>
      </c>
      <c r="D894">
        <v>0</v>
      </c>
      <c r="E894">
        <v>18.600000000000001</v>
      </c>
      <c r="F894">
        <v>0</v>
      </c>
      <c r="G894">
        <v>0</v>
      </c>
      <c r="H894">
        <v>0</v>
      </c>
      <c r="I894" t="s">
        <v>1581</v>
      </c>
      <c r="J894" t="s">
        <v>1581</v>
      </c>
      <c r="K894" t="s">
        <v>1581</v>
      </c>
      <c r="L894" t="s">
        <v>1581</v>
      </c>
      <c r="M894" t="s">
        <v>1581</v>
      </c>
      <c r="N894" t="s">
        <v>1581</v>
      </c>
      <c r="O894" t="s">
        <v>1581</v>
      </c>
      <c r="P894" t="s">
        <v>1581</v>
      </c>
      <c r="Q894" t="s">
        <v>1581</v>
      </c>
      <c r="R894" t="s">
        <v>1581</v>
      </c>
      <c r="S894" t="s">
        <v>1581</v>
      </c>
      <c r="T894" t="s">
        <v>1581</v>
      </c>
      <c r="U894" t="s">
        <v>1581</v>
      </c>
      <c r="V894" t="str" cm="1">
        <f t="array" aca="1" ref="V894" ca="1">IFERROR(_xlfn.IFS(A892="  ..............",OFFSET(A892,2,0),A891=" X-------------X",OFFSET(A891,3,0),MATCH("  ..............",A894:A903,0)&gt;2,V893),"-")</f>
        <v>-</v>
      </c>
      <c r="W894" t="str">
        <f t="shared" ca="1" si="39"/>
        <v>-</v>
      </c>
      <c r="X894" t="str">
        <f t="shared" ca="1" si="40"/>
        <v xml:space="preserve">              </v>
      </c>
      <c r="Y894" s="1">
        <f t="shared" ca="1" si="41"/>
        <v>0</v>
      </c>
    </row>
    <row r="895" spans="1:25" x14ac:dyDescent="0.25">
      <c r="A895" t="s">
        <v>2300</v>
      </c>
      <c r="B895">
        <v>-45.7</v>
      </c>
      <c r="C895">
        <v>0</v>
      </c>
      <c r="D895">
        <v>0</v>
      </c>
      <c r="E895">
        <v>10.6</v>
      </c>
      <c r="F895">
        <v>0</v>
      </c>
      <c r="G895">
        <v>0</v>
      </c>
      <c r="H895">
        <v>0</v>
      </c>
      <c r="I895" t="s">
        <v>1584</v>
      </c>
      <c r="J895" t="s">
        <v>1585</v>
      </c>
      <c r="K895" t="s">
        <v>1586</v>
      </c>
      <c r="L895" t="s">
        <v>1587</v>
      </c>
      <c r="M895" t="s">
        <v>1587</v>
      </c>
      <c r="N895" t="s">
        <v>1586</v>
      </c>
      <c r="O895" t="s">
        <v>1581</v>
      </c>
      <c r="P895" t="s">
        <v>1581</v>
      </c>
      <c r="Q895" t="s">
        <v>1581</v>
      </c>
      <c r="R895" t="s">
        <v>1581</v>
      </c>
      <c r="S895" t="s">
        <v>1581</v>
      </c>
      <c r="T895" t="s">
        <v>1581</v>
      </c>
      <c r="U895" t="s">
        <v>1581</v>
      </c>
      <c r="V895" t="str" cm="1">
        <f t="array" aca="1" ref="V895" ca="1">IFERROR(_xlfn.IFS(A893="  ..............",OFFSET(A893,2,0),A892=" X-------------X",OFFSET(A892,3,0),MATCH("  ..............",A895:A904,0)&gt;2,V894),"-")</f>
        <v xml:space="preserve">  PFUNDO-RS023  </v>
      </c>
      <c r="W895">
        <f t="shared" ca="1" si="39"/>
        <v>1.0680000000000001</v>
      </c>
      <c r="X895" t="str">
        <f t="shared" ca="1" si="40"/>
        <v xml:space="preserve"> PFUNDO-RS138 </v>
      </c>
      <c r="Y895" s="1">
        <f t="shared" ca="1" si="41"/>
        <v>0.39100000000000001</v>
      </c>
    </row>
    <row r="896" spans="1:25" x14ac:dyDescent="0.25">
      <c r="A896" t="s">
        <v>1588</v>
      </c>
      <c r="B896" t="s">
        <v>1587</v>
      </c>
      <c r="C896">
        <v>25</v>
      </c>
      <c r="D896">
        <v>25</v>
      </c>
      <c r="E896">
        <v>25</v>
      </c>
      <c r="F896" s="1">
        <v>0.61699999999999999</v>
      </c>
      <c r="G896" t="s">
        <v>1587</v>
      </c>
      <c r="H896" t="s">
        <v>1587</v>
      </c>
      <c r="I896">
        <v>1042</v>
      </c>
      <c r="J896" t="s">
        <v>1602</v>
      </c>
      <c r="K896">
        <v>4</v>
      </c>
      <c r="L896">
        <v>-12.6</v>
      </c>
      <c r="M896">
        <v>-10.6</v>
      </c>
      <c r="N896">
        <v>15.4</v>
      </c>
      <c r="O896" t="s">
        <v>1594</v>
      </c>
      <c r="P896" t="s">
        <v>1584</v>
      </c>
      <c r="Q896" t="s">
        <v>1591</v>
      </c>
      <c r="R896">
        <v>0</v>
      </c>
      <c r="S896">
        <v>0.83</v>
      </c>
      <c r="T896" t="s">
        <v>1584</v>
      </c>
      <c r="U896" t="s">
        <v>1592</v>
      </c>
      <c r="V896" t="str" cm="1">
        <f t="array" aca="1" ref="V896" ca="1">IFERROR(_xlfn.IFS(A894="  ..............",OFFSET(A894,2,0),A893=" X-------------X",OFFSET(A893,3,0),MATCH("  ..............",A896:A905,0)&gt;2,V895),"-")</f>
        <v>-</v>
      </c>
      <c r="W896" t="str">
        <f t="shared" ca="1" si="39"/>
        <v>-</v>
      </c>
      <c r="X896" t="str">
        <f t="shared" ca="1" si="40"/>
        <v>-</v>
      </c>
      <c r="Y896" s="1" t="str">
        <f t="shared" ca="1" si="41"/>
        <v>-</v>
      </c>
    </row>
    <row r="897" spans="1:25" x14ac:dyDescent="0.25">
      <c r="A897" t="s">
        <v>1572</v>
      </c>
      <c r="B897" t="s">
        <v>1574</v>
      </c>
      <c r="C897" t="s">
        <v>1574</v>
      </c>
      <c r="D897" t="s">
        <v>1574</v>
      </c>
      <c r="E897" t="s">
        <v>1574</v>
      </c>
      <c r="F897" t="s">
        <v>1575</v>
      </c>
      <c r="G897" t="s">
        <v>1574</v>
      </c>
      <c r="H897" t="s">
        <v>1574</v>
      </c>
      <c r="I897" t="s">
        <v>1576</v>
      </c>
      <c r="J897" t="s">
        <v>1573</v>
      </c>
      <c r="K897" t="s">
        <v>1577</v>
      </c>
      <c r="L897" t="s">
        <v>1574</v>
      </c>
      <c r="M897" t="s">
        <v>1574</v>
      </c>
      <c r="N897" t="s">
        <v>1574</v>
      </c>
      <c r="O897" t="s">
        <v>1578</v>
      </c>
      <c r="P897" t="s">
        <v>1576</v>
      </c>
      <c r="Q897" t="s">
        <v>1579</v>
      </c>
      <c r="R897" t="s">
        <v>1580</v>
      </c>
      <c r="S897" t="s">
        <v>1580</v>
      </c>
      <c r="T897" t="s">
        <v>1576</v>
      </c>
      <c r="U897" t="s">
        <v>1576</v>
      </c>
      <c r="V897" t="str" cm="1">
        <f t="array" aca="1" ref="V897" ca="1">IFERROR(_xlfn.IFS(A895="  ..............",OFFSET(A895,2,0),A894=" X-------------X",OFFSET(A894,3,0),MATCH("  ..............",A897:A906,0)&gt;2,V896),"-")</f>
        <v>-</v>
      </c>
      <c r="W897" t="str">
        <f t="shared" ca="1" si="39"/>
        <v>-</v>
      </c>
      <c r="X897" t="str">
        <f t="shared" ca="1" si="40"/>
        <v/>
      </c>
      <c r="Y897" s="1" t="str">
        <f t="shared" ca="1" si="41"/>
        <v/>
      </c>
    </row>
    <row r="898" spans="1:25" x14ac:dyDescent="0.25">
      <c r="A898" t="s">
        <v>2301</v>
      </c>
      <c r="B898">
        <v>1.016</v>
      </c>
      <c r="C898">
        <v>2.1</v>
      </c>
      <c r="D898">
        <v>0</v>
      </c>
      <c r="E898">
        <v>42.3</v>
      </c>
      <c r="F898">
        <v>0</v>
      </c>
      <c r="G898">
        <v>3.7</v>
      </c>
      <c r="H898">
        <v>0</v>
      </c>
      <c r="I898" t="s">
        <v>1581</v>
      </c>
      <c r="J898" t="s">
        <v>1581</v>
      </c>
      <c r="K898" t="s">
        <v>1581</v>
      </c>
      <c r="L898" t="s">
        <v>1581</v>
      </c>
      <c r="M898" t="s">
        <v>1581</v>
      </c>
      <c r="N898" t="s">
        <v>1581</v>
      </c>
      <c r="O898" t="s">
        <v>1581</v>
      </c>
      <c r="P898" t="s">
        <v>1581</v>
      </c>
      <c r="Q898" t="s">
        <v>1581</v>
      </c>
      <c r="R898" t="s">
        <v>1581</v>
      </c>
      <c r="S898" t="s">
        <v>1581</v>
      </c>
      <c r="T898" t="s">
        <v>1581</v>
      </c>
      <c r="U898" t="s">
        <v>1581</v>
      </c>
      <c r="V898" t="str" cm="1">
        <f t="array" aca="1" ref="V898" ca="1">IFERROR(_xlfn.IFS(A896="  ..............",OFFSET(A896,2,0),A895=" X-------------X",OFFSET(A895,3,0),MATCH("  ..............",A898:A907,0)&gt;2,V897),"-")</f>
        <v>-</v>
      </c>
      <c r="W898" t="str">
        <f t="shared" ca="1" si="39"/>
        <v>-</v>
      </c>
      <c r="X898" t="str">
        <f t="shared" ca="1" si="40"/>
        <v xml:space="preserve">              </v>
      </c>
      <c r="Y898" s="1">
        <f t="shared" ca="1" si="41"/>
        <v>0</v>
      </c>
    </row>
    <row r="899" spans="1:25" x14ac:dyDescent="0.25">
      <c r="A899" t="s">
        <v>2302</v>
      </c>
      <c r="B899">
        <v>-52.9</v>
      </c>
      <c r="C899">
        <v>0</v>
      </c>
      <c r="D899">
        <v>0</v>
      </c>
      <c r="E899">
        <v>15.6</v>
      </c>
      <c r="F899">
        <v>0</v>
      </c>
      <c r="G899">
        <v>0</v>
      </c>
      <c r="H899">
        <v>0</v>
      </c>
      <c r="I899" t="s">
        <v>1584</v>
      </c>
      <c r="J899" t="s">
        <v>1585</v>
      </c>
      <c r="K899" t="s">
        <v>1586</v>
      </c>
      <c r="L899" t="s">
        <v>1587</v>
      </c>
      <c r="M899" t="s">
        <v>1587</v>
      </c>
      <c r="N899" t="s">
        <v>1586</v>
      </c>
      <c r="O899" t="s">
        <v>1581</v>
      </c>
      <c r="P899" t="s">
        <v>1581</v>
      </c>
      <c r="Q899" t="s">
        <v>1581</v>
      </c>
      <c r="R899" t="s">
        <v>1581</v>
      </c>
      <c r="S899" t="s">
        <v>1581</v>
      </c>
      <c r="T899" t="s">
        <v>1581</v>
      </c>
      <c r="U899" t="s">
        <v>1581</v>
      </c>
      <c r="V899" t="str" cm="1">
        <f t="array" aca="1" ref="V899" ca="1">IFERROR(_xlfn.IFS(A897="  ..............",OFFSET(A897,2,0),A896=" X-------------X",OFFSET(A896,3,0),MATCH("  ..............",A899:A908,0)&gt;2,V898),"-")</f>
        <v xml:space="preserve">  ZOOLOG-RS138  </v>
      </c>
      <c r="W899">
        <f t="shared" ca="1" si="39"/>
        <v>1.016</v>
      </c>
      <c r="X899" t="str">
        <f t="shared" ca="1" si="40"/>
        <v xml:space="preserve"> MAXSPR-RS138 </v>
      </c>
      <c r="Y899" s="1">
        <f t="shared" ca="1" si="41"/>
        <v>0.31</v>
      </c>
    </row>
    <row r="900" spans="1:25" x14ac:dyDescent="0.25">
      <c r="A900" t="s">
        <v>1588</v>
      </c>
      <c r="B900" t="s">
        <v>1587</v>
      </c>
      <c r="C900">
        <v>108</v>
      </c>
      <c r="D900">
        <v>108</v>
      </c>
      <c r="E900">
        <v>108</v>
      </c>
      <c r="F900" s="1">
        <v>0.26100000000000001</v>
      </c>
      <c r="G900" t="s">
        <v>1587</v>
      </c>
      <c r="H900" t="s">
        <v>1587</v>
      </c>
      <c r="I900">
        <v>1227</v>
      </c>
      <c r="J900" t="s">
        <v>1876</v>
      </c>
      <c r="K900">
        <v>1</v>
      </c>
      <c r="L900">
        <v>-28.5</v>
      </c>
      <c r="M900">
        <v>2.6</v>
      </c>
      <c r="N900">
        <v>28.2</v>
      </c>
      <c r="O900" t="s">
        <v>1594</v>
      </c>
      <c r="P900" t="s">
        <v>1584</v>
      </c>
      <c r="Q900" t="s">
        <v>1591</v>
      </c>
      <c r="R900">
        <v>7.0000000000000007E-2</v>
      </c>
      <c r="S900">
        <v>-0.65</v>
      </c>
      <c r="T900" t="s">
        <v>1584</v>
      </c>
      <c r="U900" t="s">
        <v>1592</v>
      </c>
      <c r="V900" t="str" cm="1">
        <f t="array" aca="1" ref="V900" ca="1">IFERROR(_xlfn.IFS(A898="  ..............",OFFSET(A898,2,0),A897=" X-------------X",OFFSET(A897,3,0),MATCH("  ..............",A900:A909,0)&gt;2,V899),"-")</f>
        <v xml:space="preserve">  ZOOLOG-RS138  </v>
      </c>
      <c r="W900">
        <f t="shared" ref="W900:W963" ca="1" si="42">IFERROR(OFFSET($A$1,MATCH(V900,A:A,0)-2,1),"-")</f>
        <v>1.016</v>
      </c>
      <c r="X900" t="str">
        <f t="shared" ref="X900:X963" ca="1" si="43">IFERROR(IF(V900=V899,OFFSET($J$1,ROW(X900),0),OFFSET($J$1,MATCH(V900,A:A,0),0)),"-")</f>
        <v xml:space="preserve"> SCHARL-RS138 </v>
      </c>
      <c r="Y900" s="1" t="str">
        <f t="shared" ref="Y900:Y963" ca="1" si="44">IFERROR(OFFSET($F$1,MATCH(X900,J:J,0)-1,0),"-")</f>
        <v xml:space="preserve">             </v>
      </c>
    </row>
    <row r="901" spans="1:25" x14ac:dyDescent="0.25">
      <c r="A901" t="s">
        <v>1588</v>
      </c>
      <c r="B901" t="s">
        <v>1587</v>
      </c>
      <c r="C901">
        <v>108</v>
      </c>
      <c r="D901">
        <v>108</v>
      </c>
      <c r="E901">
        <v>108</v>
      </c>
      <c r="F901" s="1">
        <v>0.16900000000000001</v>
      </c>
      <c r="G901" t="s">
        <v>1587</v>
      </c>
      <c r="H901" t="s">
        <v>1587</v>
      </c>
      <c r="I901">
        <v>2090</v>
      </c>
      <c r="J901" t="s">
        <v>1858</v>
      </c>
      <c r="K901">
        <v>1</v>
      </c>
      <c r="L901">
        <v>-11.7</v>
      </c>
      <c r="M901">
        <v>-14.5</v>
      </c>
      <c r="N901">
        <v>18.3</v>
      </c>
      <c r="O901" t="s">
        <v>1594</v>
      </c>
      <c r="P901" t="s">
        <v>1584</v>
      </c>
      <c r="Q901" t="s">
        <v>1591</v>
      </c>
      <c r="R901">
        <v>0.02</v>
      </c>
      <c r="S901">
        <v>-0.51</v>
      </c>
      <c r="T901" t="s">
        <v>1584</v>
      </c>
      <c r="U901" t="s">
        <v>1592</v>
      </c>
      <c r="V901" t="str" cm="1">
        <f t="array" aca="1" ref="V901" ca="1">IFERROR(_xlfn.IFS(A899="  ..............",OFFSET(A899,2,0),A898=" X-------------X",OFFSET(A898,3,0),MATCH("  ..............",A901:A910,0)&gt;2,V900),"-")</f>
        <v>-</v>
      </c>
      <c r="W901" t="str">
        <f t="shared" ca="1" si="42"/>
        <v>-</v>
      </c>
      <c r="X901" t="str">
        <f t="shared" ca="1" si="43"/>
        <v>-</v>
      </c>
      <c r="Y901" s="1" t="str">
        <f t="shared" ca="1" si="44"/>
        <v>-</v>
      </c>
    </row>
    <row r="902" spans="1:25" x14ac:dyDescent="0.25">
      <c r="A902" t="s">
        <v>1572</v>
      </c>
      <c r="B902" t="s">
        <v>1574</v>
      </c>
      <c r="C902" t="s">
        <v>1574</v>
      </c>
      <c r="D902" t="s">
        <v>1574</v>
      </c>
      <c r="E902" t="s">
        <v>1574</v>
      </c>
      <c r="F902" t="s">
        <v>1575</v>
      </c>
      <c r="G902" t="s">
        <v>1574</v>
      </c>
      <c r="H902" t="s">
        <v>1574</v>
      </c>
      <c r="I902" t="s">
        <v>1576</v>
      </c>
      <c r="J902" t="s">
        <v>1573</v>
      </c>
      <c r="K902" t="s">
        <v>1577</v>
      </c>
      <c r="L902" t="s">
        <v>1574</v>
      </c>
      <c r="M902" t="s">
        <v>1574</v>
      </c>
      <c r="N902" t="s">
        <v>1574</v>
      </c>
      <c r="O902" t="s">
        <v>1578</v>
      </c>
      <c r="P902" t="s">
        <v>1576</v>
      </c>
      <c r="Q902" t="s">
        <v>1579</v>
      </c>
      <c r="R902" t="s">
        <v>1580</v>
      </c>
      <c r="S902" t="s">
        <v>1580</v>
      </c>
      <c r="T902" t="s">
        <v>1576</v>
      </c>
      <c r="U902" t="s">
        <v>1576</v>
      </c>
      <c r="V902" t="str" cm="1">
        <f t="array" aca="1" ref="V902" ca="1">IFERROR(_xlfn.IFS(A900="  ..............",OFFSET(A900,2,0),A899=" X-------------X",OFFSET(A899,3,0),MATCH("  ..............",A902:A911,0)&gt;2,V901),"-")</f>
        <v>-</v>
      </c>
      <c r="W902" t="str">
        <f t="shared" ca="1" si="42"/>
        <v>-</v>
      </c>
      <c r="X902" t="str">
        <f t="shared" ca="1" si="43"/>
        <v/>
      </c>
      <c r="Y902" s="1" t="str">
        <f t="shared" ca="1" si="44"/>
        <v/>
      </c>
    </row>
    <row r="903" spans="1:25" x14ac:dyDescent="0.25">
      <c r="A903" t="s">
        <v>2303</v>
      </c>
      <c r="B903">
        <v>1.012</v>
      </c>
      <c r="C903">
        <v>2.6</v>
      </c>
      <c r="D903">
        <v>0</v>
      </c>
      <c r="E903">
        <v>47.8</v>
      </c>
      <c r="F903">
        <v>0</v>
      </c>
      <c r="G903">
        <v>3.7</v>
      </c>
      <c r="H903">
        <v>0</v>
      </c>
      <c r="I903" t="s">
        <v>1581</v>
      </c>
      <c r="J903" t="s">
        <v>1581</v>
      </c>
      <c r="K903" t="s">
        <v>1581</v>
      </c>
      <c r="L903" t="s">
        <v>1581</v>
      </c>
      <c r="M903" t="s">
        <v>1581</v>
      </c>
      <c r="N903" t="s">
        <v>1581</v>
      </c>
      <c r="O903" t="s">
        <v>1581</v>
      </c>
      <c r="P903" t="s">
        <v>1581</v>
      </c>
      <c r="Q903" t="s">
        <v>1581</v>
      </c>
      <c r="R903" t="s">
        <v>1581</v>
      </c>
      <c r="S903" t="s">
        <v>1581</v>
      </c>
      <c r="T903" t="s">
        <v>1581</v>
      </c>
      <c r="U903" t="s">
        <v>1581</v>
      </c>
      <c r="V903" t="str" cm="1">
        <f t="array" aca="1" ref="V903" ca="1">IFERROR(_xlfn.IFS(A901="  ..............",OFFSET(A901,2,0),A900=" X-------------X",OFFSET(A900,3,0),MATCH("  ..............",A903:A912,0)&gt;2,V902),"-")</f>
        <v>-</v>
      </c>
      <c r="W903" t="str">
        <f t="shared" ca="1" si="42"/>
        <v>-</v>
      </c>
      <c r="X903" t="str">
        <f t="shared" ca="1" si="43"/>
        <v xml:space="preserve">              </v>
      </c>
      <c r="Y903" s="1">
        <f t="shared" ca="1" si="44"/>
        <v>0</v>
      </c>
    </row>
    <row r="904" spans="1:25" x14ac:dyDescent="0.25">
      <c r="A904" t="s">
        <v>2304</v>
      </c>
      <c r="B904">
        <v>-52.8</v>
      </c>
      <c r="C904">
        <v>0</v>
      </c>
      <c r="D904">
        <v>0</v>
      </c>
      <c r="E904">
        <v>17.7</v>
      </c>
      <c r="F904">
        <v>0</v>
      </c>
      <c r="G904">
        <v>0</v>
      </c>
      <c r="H904">
        <v>0</v>
      </c>
      <c r="I904" t="s">
        <v>1584</v>
      </c>
      <c r="J904" t="s">
        <v>1585</v>
      </c>
      <c r="K904" t="s">
        <v>1586</v>
      </c>
      <c r="L904" t="s">
        <v>1587</v>
      </c>
      <c r="M904" t="s">
        <v>1587</v>
      </c>
      <c r="N904" t="s">
        <v>1586</v>
      </c>
      <c r="O904" t="s">
        <v>1581</v>
      </c>
      <c r="P904" t="s">
        <v>1581</v>
      </c>
      <c r="Q904" t="s">
        <v>1581</v>
      </c>
      <c r="R904" t="s">
        <v>1581</v>
      </c>
      <c r="S904" t="s">
        <v>1581</v>
      </c>
      <c r="T904" t="s">
        <v>1581</v>
      </c>
      <c r="U904" t="s">
        <v>1581</v>
      </c>
      <c r="V904" t="str" cm="1">
        <f t="array" aca="1" ref="V904" ca="1">IFERROR(_xlfn.IFS(A902="  ..............",OFFSET(A902,2,0),A901=" X-------------X",OFFSET(A901,3,0),MATCH("  ..............",A904:A913,0)&gt;2,V903),"-")</f>
        <v xml:space="preserve">  SAPUCA-RS138  </v>
      </c>
      <c r="W904">
        <f t="shared" ca="1" si="42"/>
        <v>1.012</v>
      </c>
      <c r="X904" t="str">
        <f t="shared" ca="1" si="43"/>
        <v xml:space="preserve"> STIHL--RS138 </v>
      </c>
      <c r="Y904" s="1" t="str">
        <f t="shared" ca="1" si="44"/>
        <v xml:space="preserve">             </v>
      </c>
    </row>
    <row r="905" spans="1:25" x14ac:dyDescent="0.25">
      <c r="A905" t="s">
        <v>1637</v>
      </c>
      <c r="B905" t="s">
        <v>1638</v>
      </c>
      <c r="C905">
        <v>108</v>
      </c>
      <c r="D905">
        <v>158</v>
      </c>
      <c r="E905">
        <v>158</v>
      </c>
      <c r="F905" t="s">
        <v>1639</v>
      </c>
      <c r="G905" t="s">
        <v>1587</v>
      </c>
      <c r="H905" t="s">
        <v>1587</v>
      </c>
      <c r="I905">
        <v>9199</v>
      </c>
      <c r="J905" t="s">
        <v>2305</v>
      </c>
      <c r="K905">
        <v>1</v>
      </c>
      <c r="L905">
        <v>0</v>
      </c>
      <c r="M905">
        <v>0</v>
      </c>
      <c r="N905">
        <v>0</v>
      </c>
      <c r="O905" t="s">
        <v>1594</v>
      </c>
      <c r="P905" t="s">
        <v>1584</v>
      </c>
      <c r="Q905" t="s">
        <v>1591</v>
      </c>
      <c r="R905">
        <v>0</v>
      </c>
      <c r="S905">
        <v>0</v>
      </c>
      <c r="T905" t="s">
        <v>1584</v>
      </c>
      <c r="U905" t="s">
        <v>1592</v>
      </c>
      <c r="V905" t="str" cm="1">
        <f t="array" aca="1" ref="V905" ca="1">IFERROR(_xlfn.IFS(A903="  ..............",OFFSET(A903,2,0),A902=" X-------------X",OFFSET(A902,3,0),MATCH("  ..............",A905:A914,0)&gt;2,V904),"-")</f>
        <v xml:space="preserve">  SAPUCA-RS138  </v>
      </c>
      <c r="W905">
        <f t="shared" ca="1" si="42"/>
        <v>1.012</v>
      </c>
      <c r="X905" t="str">
        <f t="shared" ca="1" si="43"/>
        <v xml:space="preserve"> CACHO3-RS138 </v>
      </c>
      <c r="Y905" s="1">
        <f t="shared" ca="1" si="44"/>
        <v>0.37</v>
      </c>
    </row>
    <row r="906" spans="1:25" x14ac:dyDescent="0.25">
      <c r="A906" t="s">
        <v>1588</v>
      </c>
      <c r="B906" t="s">
        <v>1587</v>
      </c>
      <c r="C906">
        <v>108</v>
      </c>
      <c r="D906">
        <v>158</v>
      </c>
      <c r="E906">
        <v>158</v>
      </c>
      <c r="F906" s="1">
        <v>0.433</v>
      </c>
      <c r="G906" t="s">
        <v>1587</v>
      </c>
      <c r="H906" t="s">
        <v>1587</v>
      </c>
      <c r="I906">
        <v>9305</v>
      </c>
      <c r="J906" t="s">
        <v>2226</v>
      </c>
      <c r="K906">
        <v>1</v>
      </c>
      <c r="L906">
        <v>-45.2</v>
      </c>
      <c r="M906">
        <v>-14</v>
      </c>
      <c r="N906">
        <v>46.7</v>
      </c>
      <c r="O906" t="s">
        <v>1594</v>
      </c>
      <c r="P906" t="s">
        <v>1584</v>
      </c>
      <c r="Q906" t="s">
        <v>1591</v>
      </c>
      <c r="R906">
        <v>0.19</v>
      </c>
      <c r="S906">
        <v>-0.25</v>
      </c>
      <c r="T906" t="s">
        <v>1584</v>
      </c>
      <c r="U906" t="s">
        <v>1592</v>
      </c>
      <c r="V906" t="str" cm="1">
        <f t="array" aca="1" ref="V906" ca="1">IFERROR(_xlfn.IFS(A904="  ..............",OFFSET(A904,2,0),A903=" X-------------X",OFFSET(A903,3,0),MATCH("  ..............",A906:A915,0)&gt;2,V905),"-")</f>
        <v>-</v>
      </c>
      <c r="W906" t="str">
        <f t="shared" ca="1" si="42"/>
        <v>-</v>
      </c>
      <c r="X906" t="str">
        <f t="shared" ca="1" si="43"/>
        <v>-</v>
      </c>
      <c r="Y906" s="1" t="str">
        <f t="shared" ca="1" si="44"/>
        <v>-</v>
      </c>
    </row>
    <row r="907" spans="1:25" x14ac:dyDescent="0.25">
      <c r="A907" t="s">
        <v>1572</v>
      </c>
      <c r="B907" t="s">
        <v>1574</v>
      </c>
      <c r="C907" t="s">
        <v>1574</v>
      </c>
      <c r="D907" t="s">
        <v>1574</v>
      </c>
      <c r="E907" t="s">
        <v>1574</v>
      </c>
      <c r="F907" t="s">
        <v>1575</v>
      </c>
      <c r="G907" t="s">
        <v>1574</v>
      </c>
      <c r="H907" t="s">
        <v>1574</v>
      </c>
      <c r="I907" t="s">
        <v>1576</v>
      </c>
      <c r="J907" t="s">
        <v>1573</v>
      </c>
      <c r="K907" t="s">
        <v>1577</v>
      </c>
      <c r="L907" t="s">
        <v>1574</v>
      </c>
      <c r="M907" t="s">
        <v>1574</v>
      </c>
      <c r="N907" t="s">
        <v>1574</v>
      </c>
      <c r="O907" t="s">
        <v>1578</v>
      </c>
      <c r="P907" t="s">
        <v>1576</v>
      </c>
      <c r="Q907" t="s">
        <v>1579</v>
      </c>
      <c r="R907" t="s">
        <v>1580</v>
      </c>
      <c r="S907" t="s">
        <v>1580</v>
      </c>
      <c r="T907" t="s">
        <v>1576</v>
      </c>
      <c r="U907" t="s">
        <v>1576</v>
      </c>
      <c r="V907" t="str" cm="1">
        <f t="array" aca="1" ref="V907" ca="1">IFERROR(_xlfn.IFS(A905="  ..............",OFFSET(A905,2,0),A904=" X-------------X",OFFSET(A904,3,0),MATCH("  ..............",A907:A916,0)&gt;2,V906),"-")</f>
        <v>-</v>
      </c>
      <c r="W907" t="str">
        <f t="shared" ca="1" si="42"/>
        <v>-</v>
      </c>
      <c r="X907" t="str">
        <f t="shared" ca="1" si="43"/>
        <v/>
      </c>
      <c r="Y907" s="1" t="str">
        <f t="shared" ca="1" si="44"/>
        <v/>
      </c>
    </row>
    <row r="908" spans="1:25" x14ac:dyDescent="0.25">
      <c r="A908" t="s">
        <v>2306</v>
      </c>
      <c r="B908">
        <v>1.0089999999999999</v>
      </c>
      <c r="C908">
        <v>5.6</v>
      </c>
      <c r="D908">
        <v>0</v>
      </c>
      <c r="E908">
        <v>63.1</v>
      </c>
      <c r="F908">
        <v>0</v>
      </c>
      <c r="G908">
        <v>7.3</v>
      </c>
      <c r="H908">
        <v>0</v>
      </c>
      <c r="I908" t="s">
        <v>1581</v>
      </c>
      <c r="J908" t="s">
        <v>1581</v>
      </c>
      <c r="K908" t="s">
        <v>1581</v>
      </c>
      <c r="L908" t="s">
        <v>1581</v>
      </c>
      <c r="M908" t="s">
        <v>1581</v>
      </c>
      <c r="N908" t="s">
        <v>1581</v>
      </c>
      <c r="O908" t="s">
        <v>1581</v>
      </c>
      <c r="P908" t="s">
        <v>1581</v>
      </c>
      <c r="Q908" t="s">
        <v>1581</v>
      </c>
      <c r="R908" t="s">
        <v>1581</v>
      </c>
      <c r="S908" t="s">
        <v>1581</v>
      </c>
      <c r="T908" t="s">
        <v>1581</v>
      </c>
      <c r="U908" t="s">
        <v>1581</v>
      </c>
      <c r="V908" t="str" cm="1">
        <f t="array" aca="1" ref="V908" ca="1">IFERROR(_xlfn.IFS(A906="  ..............",OFFSET(A906,2,0),A905=" X-------------X",OFFSET(A905,3,0),MATCH("  ..............",A908:A917,0)&gt;2,V907),"-")</f>
        <v>-</v>
      </c>
      <c r="W908" t="str">
        <f t="shared" ca="1" si="42"/>
        <v>-</v>
      </c>
      <c r="X908" t="str">
        <f t="shared" ca="1" si="43"/>
        <v xml:space="preserve">              </v>
      </c>
      <c r="Y908" s="1">
        <f t="shared" ca="1" si="44"/>
        <v>0</v>
      </c>
    </row>
    <row r="909" spans="1:25" x14ac:dyDescent="0.25">
      <c r="A909" t="s">
        <v>2307</v>
      </c>
      <c r="B909">
        <v>-53.8</v>
      </c>
      <c r="C909">
        <v>0</v>
      </c>
      <c r="D909">
        <v>0</v>
      </c>
      <c r="E909">
        <v>23</v>
      </c>
      <c r="F909">
        <v>0</v>
      </c>
      <c r="G909">
        <v>0</v>
      </c>
      <c r="H909">
        <v>0</v>
      </c>
      <c r="I909" t="s">
        <v>1584</v>
      </c>
      <c r="J909" t="s">
        <v>1585</v>
      </c>
      <c r="K909" t="s">
        <v>1586</v>
      </c>
      <c r="L909" t="s">
        <v>1587</v>
      </c>
      <c r="M909" t="s">
        <v>1587</v>
      </c>
      <c r="N909" t="s">
        <v>1586</v>
      </c>
      <c r="O909" t="s">
        <v>1581</v>
      </c>
      <c r="P909" t="s">
        <v>1581</v>
      </c>
      <c r="Q909" t="s">
        <v>1581</v>
      </c>
      <c r="R909" t="s">
        <v>1581</v>
      </c>
      <c r="S909" t="s">
        <v>1581</v>
      </c>
      <c r="T909" t="s">
        <v>1581</v>
      </c>
      <c r="U909" t="s">
        <v>1581</v>
      </c>
      <c r="V909" t="str" cm="1">
        <f t="array" aca="1" ref="V909" ca="1">IFERROR(_xlfn.IFS(A907="  ..............",OFFSET(A907,2,0),A906=" X-------------X",OFFSET(A906,3,0),MATCH("  ..............",A909:A918,0)&gt;2,V908),"-")</f>
        <v xml:space="preserve">  SLEOPO-RS138  </v>
      </c>
      <c r="W909">
        <f t="shared" ca="1" si="42"/>
        <v>1.0089999999999999</v>
      </c>
      <c r="X909" t="str">
        <f t="shared" ca="1" si="43"/>
        <v xml:space="preserve"> STIHL--RS138 </v>
      </c>
      <c r="Y909" s="1" t="str">
        <f t="shared" ca="1" si="44"/>
        <v xml:space="preserve">             </v>
      </c>
    </row>
    <row r="910" spans="1:25" x14ac:dyDescent="0.25">
      <c r="A910" t="s">
        <v>1588</v>
      </c>
      <c r="B910" t="s">
        <v>1587</v>
      </c>
      <c r="C910">
        <v>108</v>
      </c>
      <c r="D910">
        <v>158</v>
      </c>
      <c r="E910">
        <v>158</v>
      </c>
      <c r="F910" s="1">
        <v>9.4E-2</v>
      </c>
      <c r="G910" t="s">
        <v>1587</v>
      </c>
      <c r="H910" t="s">
        <v>1587</v>
      </c>
      <c r="I910">
        <v>9199</v>
      </c>
      <c r="J910" t="s">
        <v>2305</v>
      </c>
      <c r="K910">
        <v>1</v>
      </c>
      <c r="L910">
        <v>9.5</v>
      </c>
      <c r="M910">
        <v>3.8</v>
      </c>
      <c r="N910">
        <v>10.199999999999999</v>
      </c>
      <c r="O910" t="s">
        <v>1594</v>
      </c>
      <c r="P910" t="s">
        <v>1584</v>
      </c>
      <c r="Q910" t="s">
        <v>1591</v>
      </c>
      <c r="R910">
        <v>0</v>
      </c>
      <c r="S910">
        <v>-0.18</v>
      </c>
      <c r="T910" t="s">
        <v>1584</v>
      </c>
      <c r="U910" t="s">
        <v>1592</v>
      </c>
      <c r="V910" t="str" cm="1">
        <f t="array" aca="1" ref="V910" ca="1">IFERROR(_xlfn.IFS(A908="  ..............",OFFSET(A908,2,0),A907=" X-------------X",OFFSET(A907,3,0),MATCH("  ..............",A910:A919,0)&gt;2,V909),"-")</f>
        <v xml:space="preserve">  SLEOPO-RS138  </v>
      </c>
      <c r="W910">
        <f t="shared" ca="1" si="42"/>
        <v>1.0089999999999999</v>
      </c>
      <c r="X910" t="str">
        <f t="shared" ca="1" si="43"/>
        <v xml:space="preserve"> SLEOP2-RS138 </v>
      </c>
      <c r="Y910" s="1">
        <f t="shared" ca="1" si="44"/>
        <v>0.41299999999999998</v>
      </c>
    </row>
    <row r="911" spans="1:25" x14ac:dyDescent="0.25">
      <c r="A911" t="s">
        <v>1588</v>
      </c>
      <c r="B911" t="s">
        <v>1587</v>
      </c>
      <c r="C911">
        <v>167</v>
      </c>
      <c r="D911">
        <v>203</v>
      </c>
      <c r="E911">
        <v>203</v>
      </c>
      <c r="F911" s="1">
        <v>0.41399999999999998</v>
      </c>
      <c r="G911" t="s">
        <v>1587</v>
      </c>
      <c r="H911" t="s">
        <v>1587</v>
      </c>
      <c r="I911">
        <v>9200</v>
      </c>
      <c r="J911" t="s">
        <v>2278</v>
      </c>
      <c r="K911">
        <v>1</v>
      </c>
      <c r="L911">
        <v>-67</v>
      </c>
      <c r="M911">
        <v>-19.5</v>
      </c>
      <c r="N911">
        <v>69.2</v>
      </c>
      <c r="O911" t="s">
        <v>1594</v>
      </c>
      <c r="P911" t="s">
        <v>1584</v>
      </c>
      <c r="Q911" t="s">
        <v>1591</v>
      </c>
      <c r="R911">
        <v>0.1</v>
      </c>
      <c r="S911">
        <v>0.13</v>
      </c>
      <c r="T911" t="s">
        <v>1584</v>
      </c>
      <c r="U911" t="s">
        <v>1592</v>
      </c>
      <c r="V911" t="str" cm="1">
        <f t="array" aca="1" ref="V911" ca="1">IFERROR(_xlfn.IFS(A909="  ..............",OFFSET(A909,2,0),A908=" X-------------X",OFFSET(A908,3,0),MATCH("  ..............",A911:A920,0)&gt;2,V910),"-")</f>
        <v>-</v>
      </c>
      <c r="W911" t="str">
        <f t="shared" ca="1" si="42"/>
        <v>-</v>
      </c>
      <c r="X911" t="str">
        <f t="shared" ca="1" si="43"/>
        <v>-</v>
      </c>
      <c r="Y911" s="1" t="str">
        <f t="shared" ca="1" si="44"/>
        <v>-</v>
      </c>
    </row>
    <row r="912" spans="1:25" x14ac:dyDescent="0.25">
      <c r="A912" t="s">
        <v>1572</v>
      </c>
      <c r="B912" t="s">
        <v>1574</v>
      </c>
      <c r="C912" t="s">
        <v>1574</v>
      </c>
      <c r="D912" t="s">
        <v>1574</v>
      </c>
      <c r="E912" t="s">
        <v>1574</v>
      </c>
      <c r="F912" t="s">
        <v>1575</v>
      </c>
      <c r="G912" t="s">
        <v>1574</v>
      </c>
      <c r="H912" t="s">
        <v>1574</v>
      </c>
      <c r="I912" t="s">
        <v>1576</v>
      </c>
      <c r="J912" t="s">
        <v>1573</v>
      </c>
      <c r="K912" t="s">
        <v>1577</v>
      </c>
      <c r="L912" t="s">
        <v>1574</v>
      </c>
      <c r="M912" t="s">
        <v>1574</v>
      </c>
      <c r="N912" t="s">
        <v>1574</v>
      </c>
      <c r="O912" t="s">
        <v>1578</v>
      </c>
      <c r="P912" t="s">
        <v>1576</v>
      </c>
      <c r="Q912" t="s">
        <v>1579</v>
      </c>
      <c r="R912" t="s">
        <v>1580</v>
      </c>
      <c r="S912" t="s">
        <v>1580</v>
      </c>
      <c r="T912" t="s">
        <v>1576</v>
      </c>
      <c r="U912" t="s">
        <v>1576</v>
      </c>
      <c r="V912" t="str" cm="1">
        <f t="array" aca="1" ref="V912" ca="1">IFERROR(_xlfn.IFS(A910="  ..............",OFFSET(A910,2,0),A909=" X-------------X",OFFSET(A909,3,0),MATCH("  ..............",A912:A921,0)&gt;2,V911),"-")</f>
        <v>-</v>
      </c>
      <c r="W912" t="str">
        <f t="shared" ca="1" si="42"/>
        <v>-</v>
      </c>
      <c r="X912" t="str">
        <f t="shared" ca="1" si="43"/>
        <v/>
      </c>
      <c r="Y912" s="1" t="str">
        <f t="shared" ca="1" si="44"/>
        <v/>
      </c>
    </row>
    <row r="913" spans="1:25" x14ac:dyDescent="0.25">
      <c r="A913" t="s">
        <v>2308</v>
      </c>
      <c r="B913">
        <v>1.006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1581</v>
      </c>
      <c r="J913" t="s">
        <v>1581</v>
      </c>
      <c r="K913" t="s">
        <v>1581</v>
      </c>
      <c r="L913" t="s">
        <v>1581</v>
      </c>
      <c r="M913" t="s">
        <v>1581</v>
      </c>
      <c r="N913" t="s">
        <v>1581</v>
      </c>
      <c r="O913" t="s">
        <v>1581</v>
      </c>
      <c r="P913" t="s">
        <v>1581</v>
      </c>
      <c r="Q913" t="s">
        <v>1581</v>
      </c>
      <c r="R913" t="s">
        <v>1581</v>
      </c>
      <c r="S913" t="s">
        <v>1581</v>
      </c>
      <c r="T913" t="s">
        <v>1581</v>
      </c>
      <c r="U913" t="s">
        <v>1581</v>
      </c>
      <c r="V913" t="str" cm="1">
        <f t="array" aca="1" ref="V913" ca="1">IFERROR(_xlfn.IFS(A911="  ..............",OFFSET(A911,2,0),A910=" X-------------X",OFFSET(A910,3,0),MATCH("  ..............",A913:A922,0)&gt;2,V912),"-")</f>
        <v>-</v>
      </c>
      <c r="W913" t="str">
        <f t="shared" ca="1" si="42"/>
        <v>-</v>
      </c>
      <c r="X913" t="str">
        <f t="shared" ca="1" si="43"/>
        <v xml:space="preserve">              </v>
      </c>
      <c r="Y913" s="1">
        <f t="shared" ca="1" si="44"/>
        <v>0</v>
      </c>
    </row>
    <row r="914" spans="1:25" x14ac:dyDescent="0.25">
      <c r="A914" t="s">
        <v>2309</v>
      </c>
      <c r="B914">
        <v>-49.9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 t="s">
        <v>1584</v>
      </c>
      <c r="J914" t="s">
        <v>1585</v>
      </c>
      <c r="K914" t="s">
        <v>1586</v>
      </c>
      <c r="L914" t="s">
        <v>1587</v>
      </c>
      <c r="M914" t="s">
        <v>1587</v>
      </c>
      <c r="N914" t="s">
        <v>1586</v>
      </c>
      <c r="O914" t="s">
        <v>1581</v>
      </c>
      <c r="P914" t="s">
        <v>1581</v>
      </c>
      <c r="Q914" t="s">
        <v>1581</v>
      </c>
      <c r="R914" t="s">
        <v>1581</v>
      </c>
      <c r="S914" t="s">
        <v>1581</v>
      </c>
      <c r="T914" t="s">
        <v>1581</v>
      </c>
      <c r="U914" t="s">
        <v>1581</v>
      </c>
      <c r="V914" t="str" cm="1">
        <f t="array" aca="1" ref="V914" ca="1">IFERROR(_xlfn.IFS(A912="  ..............",OFFSET(A912,2,0),A911=" X-------------X",OFFSET(A911,3,0),MATCH("  ..............",A914:A923,0)&gt;2,V913),"-")</f>
        <v xml:space="preserve">  XANGRI-RS069  </v>
      </c>
      <c r="W914">
        <f t="shared" ca="1" si="42"/>
        <v>1.006</v>
      </c>
      <c r="X914" t="str">
        <f t="shared" ca="1" si="43"/>
        <v xml:space="preserve"> ATLAN2-RS069 </v>
      </c>
      <c r="Y914" s="1">
        <f t="shared" ca="1" si="44"/>
        <v>0.20799999999999999</v>
      </c>
    </row>
    <row r="915" spans="1:25" x14ac:dyDescent="0.25">
      <c r="A915" t="s">
        <v>1588</v>
      </c>
      <c r="B915" t="s">
        <v>1587</v>
      </c>
      <c r="C915">
        <v>40</v>
      </c>
      <c r="D915">
        <v>40</v>
      </c>
      <c r="E915">
        <v>40</v>
      </c>
      <c r="F915" s="1">
        <v>0.20799999999999999</v>
      </c>
      <c r="G915" t="s">
        <v>1587</v>
      </c>
      <c r="H915" t="s">
        <v>1587</v>
      </c>
      <c r="I915">
        <v>1331</v>
      </c>
      <c r="J915" t="s">
        <v>2310</v>
      </c>
      <c r="K915">
        <v>1</v>
      </c>
      <c r="L915">
        <v>8.3000000000000007</v>
      </c>
      <c r="M915">
        <v>-1.3</v>
      </c>
      <c r="N915">
        <v>8.3000000000000007</v>
      </c>
      <c r="O915" t="s">
        <v>1594</v>
      </c>
      <c r="P915" t="s">
        <v>1584</v>
      </c>
      <c r="Q915" t="s">
        <v>1591</v>
      </c>
      <c r="R915">
        <v>0</v>
      </c>
      <c r="S915">
        <v>0.01</v>
      </c>
      <c r="T915" t="s">
        <v>1584</v>
      </c>
      <c r="U915" t="s">
        <v>1592</v>
      </c>
      <c r="V915" t="str" cm="1">
        <f t="array" aca="1" ref="V915" ca="1">IFERROR(_xlfn.IFS(A913="  ..............",OFFSET(A913,2,0),A912=" X-------------X",OFFSET(A912,3,0),MATCH("  ..............",A915:A924,0)&gt;2,V914),"-")</f>
        <v xml:space="preserve">  XANGRI-RS069  </v>
      </c>
      <c r="W915">
        <f t="shared" ca="1" si="42"/>
        <v>1.006</v>
      </c>
      <c r="X915" t="str">
        <f t="shared" ca="1" si="43"/>
        <v xml:space="preserve"> XANGRI-RS034 </v>
      </c>
      <c r="Y915" s="1">
        <f t="shared" ca="1" si="44"/>
        <v>0.252</v>
      </c>
    </row>
    <row r="916" spans="1:25" x14ac:dyDescent="0.25">
      <c r="A916" t="s">
        <v>1588</v>
      </c>
      <c r="B916" t="s">
        <v>1587</v>
      </c>
      <c r="C916">
        <v>33</v>
      </c>
      <c r="D916">
        <v>33</v>
      </c>
      <c r="E916">
        <v>33</v>
      </c>
      <c r="F916" s="1">
        <v>0.252</v>
      </c>
      <c r="G916" t="s">
        <v>1587</v>
      </c>
      <c r="H916" t="s">
        <v>1587</v>
      </c>
      <c r="I916">
        <v>10111</v>
      </c>
      <c r="J916" t="s">
        <v>2311</v>
      </c>
      <c r="K916">
        <v>1</v>
      </c>
      <c r="L916">
        <v>-8.3000000000000007</v>
      </c>
      <c r="M916">
        <v>1.3</v>
      </c>
      <c r="N916">
        <v>8.3000000000000007</v>
      </c>
      <c r="O916" t="s">
        <v>2067</v>
      </c>
      <c r="P916" t="s">
        <v>1584</v>
      </c>
      <c r="Q916" t="s">
        <v>1591</v>
      </c>
      <c r="R916">
        <v>0.01</v>
      </c>
      <c r="S916">
        <v>0.27</v>
      </c>
      <c r="T916" t="s">
        <v>1584</v>
      </c>
      <c r="U916" t="s">
        <v>1592</v>
      </c>
      <c r="V916" t="str" cm="1">
        <f t="array" aca="1" ref="V916" ca="1">IFERROR(_xlfn.IFS(A914="  ..............",OFFSET(A914,2,0),A913=" X-------------X",OFFSET(A913,3,0),MATCH("  ..............",A916:A925,0)&gt;2,V915),"-")</f>
        <v>-</v>
      </c>
      <c r="W916" t="str">
        <f t="shared" ca="1" si="42"/>
        <v>-</v>
      </c>
      <c r="X916" t="str">
        <f t="shared" ca="1" si="43"/>
        <v>-</v>
      </c>
      <c r="Y916" s="1" t="str">
        <f t="shared" ca="1" si="44"/>
        <v>-</v>
      </c>
    </row>
    <row r="917" spans="1:25" x14ac:dyDescent="0.25">
      <c r="A917" t="s">
        <v>1572</v>
      </c>
      <c r="B917" t="s">
        <v>1574</v>
      </c>
      <c r="C917" t="s">
        <v>1574</v>
      </c>
      <c r="D917" t="s">
        <v>1574</v>
      </c>
      <c r="E917" t="s">
        <v>1574</v>
      </c>
      <c r="F917" t="s">
        <v>1575</v>
      </c>
      <c r="G917" t="s">
        <v>1574</v>
      </c>
      <c r="H917" t="s">
        <v>1574</v>
      </c>
      <c r="I917" t="s">
        <v>1576</v>
      </c>
      <c r="J917" t="s">
        <v>1573</v>
      </c>
      <c r="K917" t="s">
        <v>1577</v>
      </c>
      <c r="L917" t="s">
        <v>1574</v>
      </c>
      <c r="M917" t="s">
        <v>1574</v>
      </c>
      <c r="N917" t="s">
        <v>1574</v>
      </c>
      <c r="O917" t="s">
        <v>1578</v>
      </c>
      <c r="P917" t="s">
        <v>1576</v>
      </c>
      <c r="Q917" t="s">
        <v>1579</v>
      </c>
      <c r="R917" t="s">
        <v>1580</v>
      </c>
      <c r="S917" t="s">
        <v>1580</v>
      </c>
      <c r="T917" t="s">
        <v>1576</v>
      </c>
      <c r="U917" t="s">
        <v>1576</v>
      </c>
      <c r="V917" t="str" cm="1">
        <f t="array" aca="1" ref="V917" ca="1">IFERROR(_xlfn.IFS(A915="  ..............",OFFSET(A915,2,0),A914=" X-------------X",OFFSET(A914,3,0),MATCH("  ..............",A917:A926,0)&gt;2,V916),"-")</f>
        <v>-</v>
      </c>
      <c r="W917" t="str">
        <f t="shared" ca="1" si="42"/>
        <v>-</v>
      </c>
      <c r="X917" t="str">
        <f t="shared" ca="1" si="43"/>
        <v/>
      </c>
      <c r="Y917" s="1" t="str">
        <f t="shared" ca="1" si="44"/>
        <v/>
      </c>
    </row>
    <row r="918" spans="1:25" x14ac:dyDescent="0.25">
      <c r="A918" t="s">
        <v>2312</v>
      </c>
      <c r="B918">
        <v>1.0029999999999999</v>
      </c>
      <c r="C918">
        <v>8.3000000000000007</v>
      </c>
      <c r="D918">
        <v>0</v>
      </c>
      <c r="E918">
        <v>0</v>
      </c>
      <c r="F918">
        <v>0</v>
      </c>
      <c r="G918">
        <v>0</v>
      </c>
      <c r="H918">
        <v>0</v>
      </c>
      <c r="I918" t="s">
        <v>1581</v>
      </c>
      <c r="J918" t="s">
        <v>1581</v>
      </c>
      <c r="K918" t="s">
        <v>1581</v>
      </c>
      <c r="L918" t="s">
        <v>1581</v>
      </c>
      <c r="M918" t="s">
        <v>1581</v>
      </c>
      <c r="N918" t="s">
        <v>1581</v>
      </c>
      <c r="O918" t="s">
        <v>1581</v>
      </c>
      <c r="P918" t="s">
        <v>1581</v>
      </c>
      <c r="Q918" t="s">
        <v>1581</v>
      </c>
      <c r="R918" t="s">
        <v>1581</v>
      </c>
      <c r="S918" t="s">
        <v>1581</v>
      </c>
      <c r="T918" t="s">
        <v>1581</v>
      </c>
      <c r="U918" t="s">
        <v>1581</v>
      </c>
      <c r="V918" t="str" cm="1">
        <f t="array" aca="1" ref="V918" ca="1">IFERROR(_xlfn.IFS(A916="  ..............",OFFSET(A916,2,0),A915=" X-------------X",OFFSET(A915,3,0),MATCH("  ..............",A918:A927,0)&gt;2,V917),"-")</f>
        <v>-</v>
      </c>
      <c r="W918" t="str">
        <f t="shared" ca="1" si="42"/>
        <v>-</v>
      </c>
      <c r="X918" t="str">
        <f t="shared" ca="1" si="43"/>
        <v xml:space="preserve">              </v>
      </c>
      <c r="Y918" s="1">
        <f t="shared" ca="1" si="44"/>
        <v>0</v>
      </c>
    </row>
    <row r="919" spans="1:25" x14ac:dyDescent="0.25">
      <c r="A919" t="s">
        <v>2313</v>
      </c>
      <c r="B919">
        <v>-46.8</v>
      </c>
      <c r="C919">
        <v>-1.1000000000000001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1584</v>
      </c>
      <c r="J919" t="s">
        <v>1585</v>
      </c>
      <c r="K919" t="s">
        <v>1586</v>
      </c>
      <c r="L919" t="s">
        <v>1587</v>
      </c>
      <c r="M919" t="s">
        <v>1587</v>
      </c>
      <c r="N919" t="s">
        <v>1586</v>
      </c>
      <c r="O919" t="s">
        <v>1581</v>
      </c>
      <c r="P919" t="s">
        <v>1581</v>
      </c>
      <c r="Q919" t="s">
        <v>1581</v>
      </c>
      <c r="R919" t="s">
        <v>1581</v>
      </c>
      <c r="S919" t="s">
        <v>1581</v>
      </c>
      <c r="T919" t="s">
        <v>1581</v>
      </c>
      <c r="U919" t="s">
        <v>1581</v>
      </c>
      <c r="V919" t="str" cm="1">
        <f t="array" aca="1" ref="V919" ca="1">IFERROR(_xlfn.IFS(A917="  ..............",OFFSET(A917,2,0),A916=" X-------------X",OFFSET(A916,3,0),MATCH("  ..............",A919:A928,0)&gt;2,V918),"-")</f>
        <v xml:space="preserve">  XANGRIEOL034  </v>
      </c>
      <c r="W919">
        <f t="shared" ca="1" si="42"/>
        <v>1.0029999999999999</v>
      </c>
      <c r="X919" t="str">
        <f t="shared" ca="1" si="43"/>
        <v xml:space="preserve"> XANGRI-RS034 </v>
      </c>
      <c r="Y919" s="1">
        <f t="shared" ca="1" si="44"/>
        <v>0.252</v>
      </c>
    </row>
    <row r="920" spans="1:25" x14ac:dyDescent="0.25">
      <c r="A920" t="s">
        <v>1588</v>
      </c>
      <c r="B920" t="s">
        <v>1587</v>
      </c>
      <c r="C920">
        <v>9999</v>
      </c>
      <c r="D920">
        <v>9999</v>
      </c>
      <c r="E920">
        <v>9999</v>
      </c>
      <c r="F920" s="1">
        <v>0</v>
      </c>
      <c r="G920" t="s">
        <v>1587</v>
      </c>
      <c r="H920" t="s">
        <v>1587</v>
      </c>
      <c r="I920">
        <v>10111</v>
      </c>
      <c r="J920" t="s">
        <v>2311</v>
      </c>
      <c r="K920">
        <v>1</v>
      </c>
      <c r="L920">
        <v>8.3000000000000007</v>
      </c>
      <c r="M920">
        <v>-1.1000000000000001</v>
      </c>
      <c r="N920">
        <v>8.3000000000000007</v>
      </c>
      <c r="O920" t="s">
        <v>1594</v>
      </c>
      <c r="P920" t="s">
        <v>1584</v>
      </c>
      <c r="Q920" t="s">
        <v>1591</v>
      </c>
      <c r="R920">
        <v>0.02</v>
      </c>
      <c r="S920">
        <v>-0.11</v>
      </c>
      <c r="T920" t="s">
        <v>1584</v>
      </c>
      <c r="U920" t="s">
        <v>1592</v>
      </c>
      <c r="V920" t="str" cm="1">
        <f t="array" aca="1" ref="V920" ca="1">IFERROR(_xlfn.IFS(A918="  ..............",OFFSET(A918,2,0),A917=" X-------------X",OFFSET(A917,3,0),MATCH("  ..............",A920:A929,0)&gt;2,V919),"-")</f>
        <v>-</v>
      </c>
      <c r="W920" t="str">
        <f t="shared" ca="1" si="42"/>
        <v>-</v>
      </c>
      <c r="X920" t="str">
        <f t="shared" ca="1" si="43"/>
        <v>-</v>
      </c>
      <c r="Y920" s="1" t="str">
        <f t="shared" ca="1" si="44"/>
        <v>-</v>
      </c>
    </row>
    <row r="921" spans="1:25" x14ac:dyDescent="0.25">
      <c r="A921" t="s">
        <v>1572</v>
      </c>
      <c r="B921" t="s">
        <v>1574</v>
      </c>
      <c r="C921" t="s">
        <v>1574</v>
      </c>
      <c r="D921" t="s">
        <v>1574</v>
      </c>
      <c r="E921" t="s">
        <v>1574</v>
      </c>
      <c r="F921" t="s">
        <v>1575</v>
      </c>
      <c r="G921" t="s">
        <v>1574</v>
      </c>
      <c r="H921" t="s">
        <v>1574</v>
      </c>
      <c r="I921" t="s">
        <v>1576</v>
      </c>
      <c r="J921" t="s">
        <v>1573</v>
      </c>
      <c r="K921" t="s">
        <v>1577</v>
      </c>
      <c r="L921" t="s">
        <v>1574</v>
      </c>
      <c r="M921" t="s">
        <v>1574</v>
      </c>
      <c r="N921" t="s">
        <v>1574</v>
      </c>
      <c r="O921" t="s">
        <v>1578</v>
      </c>
      <c r="P921" t="s">
        <v>1576</v>
      </c>
      <c r="Q921" t="s">
        <v>1579</v>
      </c>
      <c r="R921" t="s">
        <v>1580</v>
      </c>
      <c r="S921" t="s">
        <v>1580</v>
      </c>
      <c r="T921" t="s">
        <v>1576</v>
      </c>
      <c r="U921" t="s">
        <v>1576</v>
      </c>
      <c r="V921" t="str" cm="1">
        <f t="array" aca="1" ref="V921" ca="1">IFERROR(_xlfn.IFS(A919="  ..............",OFFSET(A919,2,0),A918=" X-------------X",OFFSET(A918,3,0),MATCH("  ..............",A921:A930,0)&gt;2,V920),"-")</f>
        <v>-</v>
      </c>
      <c r="W921" t="str">
        <f t="shared" ca="1" si="42"/>
        <v>-</v>
      </c>
      <c r="X921" t="str">
        <f t="shared" ca="1" si="43"/>
        <v/>
      </c>
      <c r="Y921" s="1" t="str">
        <f t="shared" ca="1" si="44"/>
        <v/>
      </c>
    </row>
    <row r="922" spans="1:25" x14ac:dyDescent="0.25">
      <c r="A922" t="s">
        <v>2314</v>
      </c>
      <c r="B922">
        <v>1.036</v>
      </c>
      <c r="C922">
        <v>5.8</v>
      </c>
      <c r="D922">
        <v>0</v>
      </c>
      <c r="E922">
        <v>9.1999999999999993</v>
      </c>
      <c r="F922">
        <v>0</v>
      </c>
      <c r="G922">
        <v>0</v>
      </c>
      <c r="H922">
        <v>0</v>
      </c>
      <c r="I922" t="s">
        <v>1581</v>
      </c>
      <c r="J922" t="s">
        <v>1581</v>
      </c>
      <c r="K922" t="s">
        <v>1581</v>
      </c>
      <c r="L922" t="s">
        <v>1581</v>
      </c>
      <c r="M922" t="s">
        <v>1581</v>
      </c>
      <c r="N922" t="s">
        <v>1581</v>
      </c>
      <c r="O922" t="s">
        <v>1581</v>
      </c>
      <c r="P922" t="s">
        <v>1581</v>
      </c>
      <c r="Q922" t="s">
        <v>1581</v>
      </c>
      <c r="R922" t="s">
        <v>1581</v>
      </c>
      <c r="S922" t="s">
        <v>1581</v>
      </c>
      <c r="T922" t="s">
        <v>1581</v>
      </c>
      <c r="U922" t="s">
        <v>1581</v>
      </c>
      <c r="V922" t="str" cm="1">
        <f t="array" aca="1" ref="V922" ca="1">IFERROR(_xlfn.IFS(A920="  ..............",OFFSET(A920,2,0),A919=" X-------------X",OFFSET(A919,3,0),MATCH("  ..............",A922:A931,0)&gt;2,V921),"-")</f>
        <v>-</v>
      </c>
      <c r="W922" t="str">
        <f t="shared" ca="1" si="42"/>
        <v>-</v>
      </c>
      <c r="X922" t="str">
        <f t="shared" ca="1" si="43"/>
        <v xml:space="preserve">              </v>
      </c>
      <c r="Y922" s="1">
        <f t="shared" ca="1" si="44"/>
        <v>0</v>
      </c>
    </row>
    <row r="923" spans="1:25" x14ac:dyDescent="0.25">
      <c r="A923" t="s">
        <v>2315</v>
      </c>
      <c r="B923">
        <v>-47.8</v>
      </c>
      <c r="C923">
        <v>0.1</v>
      </c>
      <c r="D923">
        <v>0</v>
      </c>
      <c r="E923">
        <v>2.4</v>
      </c>
      <c r="F923">
        <v>0</v>
      </c>
      <c r="G923">
        <v>0</v>
      </c>
      <c r="H923">
        <v>0</v>
      </c>
      <c r="I923" t="s">
        <v>1584</v>
      </c>
      <c r="J923" t="s">
        <v>1585</v>
      </c>
      <c r="K923" t="s">
        <v>1586</v>
      </c>
      <c r="L923" t="s">
        <v>1587</v>
      </c>
      <c r="M923" t="s">
        <v>1587</v>
      </c>
      <c r="N923" t="s">
        <v>1586</v>
      </c>
      <c r="O923" t="s">
        <v>1581</v>
      </c>
      <c r="P923" t="s">
        <v>1581</v>
      </c>
      <c r="Q923" t="s">
        <v>1581</v>
      </c>
      <c r="R923" t="s">
        <v>1581</v>
      </c>
      <c r="S923" t="s">
        <v>1581</v>
      </c>
      <c r="T923" t="s">
        <v>1581</v>
      </c>
      <c r="U923" t="s">
        <v>1581</v>
      </c>
      <c r="V923" t="str" cm="1">
        <f t="array" aca="1" ref="V923" ca="1">IFERROR(_xlfn.IFS(A921="  ..............",OFFSET(A921,2,0),A920=" X-------------X",OFFSET(A920,3,0),MATCH("  ..............",A923:A932,0)&gt;2,V922),"-")</f>
        <v xml:space="preserve">  CERIL3-RS069  </v>
      </c>
      <c r="W923">
        <f t="shared" ca="1" si="42"/>
        <v>1.036</v>
      </c>
      <c r="X923" t="str">
        <f t="shared" ca="1" si="43"/>
        <v xml:space="preserve"> IJUI2--RS069 </v>
      </c>
      <c r="Y923" s="1">
        <f t="shared" ca="1" si="44"/>
        <v>0</v>
      </c>
    </row>
    <row r="924" spans="1:25" x14ac:dyDescent="0.25">
      <c r="A924" t="s">
        <v>1588</v>
      </c>
      <c r="B924" t="s">
        <v>1587</v>
      </c>
      <c r="C924">
        <v>9999</v>
      </c>
      <c r="D924">
        <v>9999</v>
      </c>
      <c r="E924">
        <v>9999</v>
      </c>
      <c r="F924" s="1">
        <v>0</v>
      </c>
      <c r="G924" t="s">
        <v>1587</v>
      </c>
      <c r="H924" t="s">
        <v>1587</v>
      </c>
      <c r="I924">
        <v>1322</v>
      </c>
      <c r="J924" t="s">
        <v>2316</v>
      </c>
      <c r="K924">
        <v>1</v>
      </c>
      <c r="L924">
        <v>-3.4</v>
      </c>
      <c r="M924">
        <v>-2.2999999999999998</v>
      </c>
      <c r="N924">
        <v>4</v>
      </c>
      <c r="O924" t="s">
        <v>1594</v>
      </c>
      <c r="P924" t="s">
        <v>1584</v>
      </c>
      <c r="Q924" t="s">
        <v>1591</v>
      </c>
      <c r="R924">
        <v>0</v>
      </c>
      <c r="S924">
        <v>0</v>
      </c>
      <c r="T924" t="s">
        <v>1584</v>
      </c>
      <c r="U924" t="s">
        <v>1592</v>
      </c>
      <c r="V924" t="str" cm="1">
        <f t="array" aca="1" ref="V924" ca="1">IFERROR(_xlfn.IFS(A922="  ..............",OFFSET(A922,2,0),A921=" X-------------X",OFFSET(A921,3,0),MATCH("  ..............",A924:A933,0)&gt;2,V923),"-")</f>
        <v>-</v>
      </c>
      <c r="W924" t="str">
        <f t="shared" ca="1" si="42"/>
        <v>-</v>
      </c>
      <c r="X924" t="str">
        <f t="shared" ca="1" si="43"/>
        <v>-</v>
      </c>
      <c r="Y924" s="1" t="str">
        <f t="shared" ca="1" si="44"/>
        <v>-</v>
      </c>
    </row>
    <row r="925" spans="1:25" x14ac:dyDescent="0.25">
      <c r="A925" t="s">
        <v>1572</v>
      </c>
      <c r="B925" t="s">
        <v>1574</v>
      </c>
      <c r="C925" t="s">
        <v>1574</v>
      </c>
      <c r="D925" t="s">
        <v>1574</v>
      </c>
      <c r="E925" t="s">
        <v>1574</v>
      </c>
      <c r="F925" t="s">
        <v>1575</v>
      </c>
      <c r="G925" t="s">
        <v>1574</v>
      </c>
      <c r="H925" t="s">
        <v>1574</v>
      </c>
      <c r="I925" t="s">
        <v>1576</v>
      </c>
      <c r="J925" t="s">
        <v>1573</v>
      </c>
      <c r="K925" t="s">
        <v>1577</v>
      </c>
      <c r="L925" t="s">
        <v>1574</v>
      </c>
      <c r="M925" t="s">
        <v>1574</v>
      </c>
      <c r="N925" t="s">
        <v>1574</v>
      </c>
      <c r="O925" t="s">
        <v>1578</v>
      </c>
      <c r="P925" t="s">
        <v>1576</v>
      </c>
      <c r="Q925" t="s">
        <v>1579</v>
      </c>
      <c r="R925" t="s">
        <v>1580</v>
      </c>
      <c r="S925" t="s">
        <v>1580</v>
      </c>
      <c r="T925" t="s">
        <v>1576</v>
      </c>
      <c r="U925" t="s">
        <v>1576</v>
      </c>
      <c r="V925" t="str" cm="1">
        <f t="array" aca="1" ref="V925" ca="1">IFERROR(_xlfn.IFS(A923="  ..............",OFFSET(A923,2,0),A922=" X-------------X",OFFSET(A922,3,0),MATCH("  ..............",A925:A934,0)&gt;2,V924),"-")</f>
        <v>-</v>
      </c>
      <c r="W925" t="str">
        <f t="shared" ca="1" si="42"/>
        <v>-</v>
      </c>
      <c r="X925" t="str">
        <f t="shared" ca="1" si="43"/>
        <v/>
      </c>
      <c r="Y925" s="1" t="str">
        <f t="shared" ca="1" si="44"/>
        <v/>
      </c>
    </row>
    <row r="926" spans="1:25" x14ac:dyDescent="0.25">
      <c r="A926" t="s">
        <v>2317</v>
      </c>
      <c r="B926">
        <v>1.008</v>
      </c>
      <c r="C926">
        <v>0</v>
      </c>
      <c r="D926">
        <v>0</v>
      </c>
      <c r="E926">
        <v>9.5</v>
      </c>
      <c r="F926">
        <v>0</v>
      </c>
      <c r="G926">
        <v>0</v>
      </c>
      <c r="H926">
        <v>0</v>
      </c>
      <c r="I926" t="s">
        <v>1581</v>
      </c>
      <c r="J926" t="s">
        <v>1581</v>
      </c>
      <c r="K926" t="s">
        <v>1581</v>
      </c>
      <c r="L926" t="s">
        <v>1581</v>
      </c>
      <c r="M926" t="s">
        <v>1581</v>
      </c>
      <c r="N926" t="s">
        <v>1581</v>
      </c>
      <c r="O926" t="s">
        <v>1581</v>
      </c>
      <c r="P926" t="s">
        <v>1581</v>
      </c>
      <c r="Q926" t="s">
        <v>1581</v>
      </c>
      <c r="R926" t="s">
        <v>1581</v>
      </c>
      <c r="S926" t="s">
        <v>1581</v>
      </c>
      <c r="T926" t="s">
        <v>1581</v>
      </c>
      <c r="U926" t="s">
        <v>1581</v>
      </c>
      <c r="V926" t="str" cm="1">
        <f t="array" aca="1" ref="V926" ca="1">IFERROR(_xlfn.IFS(A924="  ..............",OFFSET(A924,2,0),A923=" X-------------X",OFFSET(A923,3,0),MATCH("  ..............",A926:A935,0)&gt;2,V925),"-")</f>
        <v>-</v>
      </c>
      <c r="W926" t="str">
        <f t="shared" ca="1" si="42"/>
        <v>-</v>
      </c>
      <c r="X926" t="str">
        <f t="shared" ca="1" si="43"/>
        <v xml:space="preserve">              </v>
      </c>
      <c r="Y926" s="1">
        <f t="shared" ca="1" si="44"/>
        <v>0</v>
      </c>
    </row>
    <row r="927" spans="1:25" x14ac:dyDescent="0.25">
      <c r="A927" t="s">
        <v>2318</v>
      </c>
      <c r="B927">
        <v>-53.8</v>
      </c>
      <c r="C927">
        <v>0</v>
      </c>
      <c r="D927">
        <v>0</v>
      </c>
      <c r="E927">
        <v>4</v>
      </c>
      <c r="F927">
        <v>0</v>
      </c>
      <c r="G927">
        <v>0</v>
      </c>
      <c r="H927">
        <v>0</v>
      </c>
      <c r="I927" t="s">
        <v>1584</v>
      </c>
      <c r="J927" t="s">
        <v>1585</v>
      </c>
      <c r="K927" t="s">
        <v>1586</v>
      </c>
      <c r="L927" t="s">
        <v>1587</v>
      </c>
      <c r="M927" t="s">
        <v>1587</v>
      </c>
      <c r="N927" t="s">
        <v>1586</v>
      </c>
      <c r="O927" t="s">
        <v>1581</v>
      </c>
      <c r="P927" t="s">
        <v>1581</v>
      </c>
      <c r="Q927" t="s">
        <v>1581</v>
      </c>
      <c r="R927" t="s">
        <v>1581</v>
      </c>
      <c r="S927" t="s">
        <v>1581</v>
      </c>
      <c r="T927" t="s">
        <v>1581</v>
      </c>
      <c r="U927" t="s">
        <v>1581</v>
      </c>
      <c r="V927" t="str" cm="1">
        <f t="array" aca="1" ref="V927" ca="1">IFERROR(_xlfn.IFS(A925="  ..............",OFFSET(A925,2,0),A924=" X-------------X",OFFSET(A924,3,0),MATCH("  ..............",A927:A936,0)&gt;2,V926),"-")</f>
        <v xml:space="preserve">  STIHL--RS138  </v>
      </c>
      <c r="W927">
        <f t="shared" ca="1" si="42"/>
        <v>1.008</v>
      </c>
      <c r="X927" t="str">
        <f t="shared" ca="1" si="43"/>
        <v xml:space="preserve"> SAPUCA-RS138 </v>
      </c>
      <c r="Y927" s="1" t="str">
        <f t="shared" ca="1" si="44"/>
        <v xml:space="preserve">             </v>
      </c>
    </row>
    <row r="928" spans="1:25" x14ac:dyDescent="0.25">
      <c r="A928" t="s">
        <v>1637</v>
      </c>
      <c r="B928" t="s">
        <v>1638</v>
      </c>
      <c r="C928">
        <v>108</v>
      </c>
      <c r="D928">
        <v>158</v>
      </c>
      <c r="E928">
        <v>158</v>
      </c>
      <c r="F928" t="s">
        <v>1639</v>
      </c>
      <c r="G928" t="s">
        <v>1587</v>
      </c>
      <c r="H928" t="s">
        <v>1587</v>
      </c>
      <c r="I928">
        <v>3000</v>
      </c>
      <c r="J928" t="s">
        <v>2319</v>
      </c>
      <c r="K928">
        <v>1</v>
      </c>
      <c r="L928">
        <v>0</v>
      </c>
      <c r="M928">
        <v>0</v>
      </c>
      <c r="N928">
        <v>0</v>
      </c>
      <c r="O928" t="s">
        <v>1594</v>
      </c>
      <c r="P928" t="s">
        <v>1584</v>
      </c>
      <c r="Q928" t="s">
        <v>1591</v>
      </c>
      <c r="R928">
        <v>0</v>
      </c>
      <c r="S928">
        <v>0</v>
      </c>
      <c r="T928" t="s">
        <v>1584</v>
      </c>
      <c r="U928" t="s">
        <v>1592</v>
      </c>
      <c r="V928" t="str" cm="1">
        <f t="array" aca="1" ref="V928" ca="1">IFERROR(_xlfn.IFS(A926="  ..............",OFFSET(A926,2,0),A925=" X-------------X",OFFSET(A925,3,0),MATCH("  ..............",A928:A937,0)&gt;2,V927),"-")</f>
        <v xml:space="preserve">  STIHL--RS138  </v>
      </c>
      <c r="W928">
        <f t="shared" ca="1" si="42"/>
        <v>1.008</v>
      </c>
      <c r="X928" t="str">
        <f t="shared" ca="1" si="43"/>
        <v xml:space="preserve"> SLEOPO-RS138 </v>
      </c>
      <c r="Y928" s="1">
        <f t="shared" ca="1" si="44"/>
        <v>9.5000000000000001E-2</v>
      </c>
    </row>
    <row r="929" spans="1:25" x14ac:dyDescent="0.25">
      <c r="A929" t="s">
        <v>1588</v>
      </c>
      <c r="B929" t="s">
        <v>1587</v>
      </c>
      <c r="C929">
        <v>108</v>
      </c>
      <c r="D929">
        <v>158</v>
      </c>
      <c r="E929">
        <v>158</v>
      </c>
      <c r="F929" s="1">
        <v>9.5000000000000001E-2</v>
      </c>
      <c r="G929" t="s">
        <v>1587</v>
      </c>
      <c r="H929" t="s">
        <v>1587</v>
      </c>
      <c r="I929">
        <v>3001</v>
      </c>
      <c r="J929" t="s">
        <v>2320</v>
      </c>
      <c r="K929">
        <v>1</v>
      </c>
      <c r="L929">
        <v>-9.5</v>
      </c>
      <c r="M929">
        <v>-4</v>
      </c>
      <c r="N929">
        <v>10.199999999999999</v>
      </c>
      <c r="O929" t="s">
        <v>1594</v>
      </c>
      <c r="P929" t="s">
        <v>1584</v>
      </c>
      <c r="Q929" t="s">
        <v>1591</v>
      </c>
      <c r="R929">
        <v>0</v>
      </c>
      <c r="S929">
        <v>-0.18</v>
      </c>
      <c r="T929" t="s">
        <v>1584</v>
      </c>
      <c r="U929" t="s">
        <v>1592</v>
      </c>
      <c r="V929" t="str" cm="1">
        <f t="array" aca="1" ref="V929" ca="1">IFERROR(_xlfn.IFS(A927="  ..............",OFFSET(A927,2,0),A926=" X-------------X",OFFSET(A926,3,0),MATCH("  ..............",A929:A938,0)&gt;2,V928),"-")</f>
        <v>-</v>
      </c>
      <c r="W929" t="str">
        <f t="shared" ca="1" si="42"/>
        <v>-</v>
      </c>
      <c r="X929" t="str">
        <f t="shared" ca="1" si="43"/>
        <v>-</v>
      </c>
      <c r="Y929" s="1" t="str">
        <f t="shared" ca="1" si="44"/>
        <v>-</v>
      </c>
    </row>
    <row r="930" spans="1:25" x14ac:dyDescent="0.25">
      <c r="A930" t="s">
        <v>1572</v>
      </c>
      <c r="B930" t="s">
        <v>1574</v>
      </c>
      <c r="C930" t="s">
        <v>1574</v>
      </c>
      <c r="D930" t="s">
        <v>1574</v>
      </c>
      <c r="E930" t="s">
        <v>1574</v>
      </c>
      <c r="F930" t="s">
        <v>1575</v>
      </c>
      <c r="G930" t="s">
        <v>1574</v>
      </c>
      <c r="H930" t="s">
        <v>1574</v>
      </c>
      <c r="I930" t="s">
        <v>1576</v>
      </c>
      <c r="J930" t="s">
        <v>1573</v>
      </c>
      <c r="K930" t="s">
        <v>1577</v>
      </c>
      <c r="L930" t="s">
        <v>1574</v>
      </c>
      <c r="M930" t="s">
        <v>1574</v>
      </c>
      <c r="N930" t="s">
        <v>1574</v>
      </c>
      <c r="O930" t="s">
        <v>1578</v>
      </c>
      <c r="P930" t="s">
        <v>1576</v>
      </c>
      <c r="Q930" t="s">
        <v>1579</v>
      </c>
      <c r="R930" t="s">
        <v>1580</v>
      </c>
      <c r="S930" t="s">
        <v>1580</v>
      </c>
      <c r="T930" t="s">
        <v>1576</v>
      </c>
      <c r="U930" t="s">
        <v>1576</v>
      </c>
      <c r="V930" t="str" cm="1">
        <f t="array" aca="1" ref="V930" ca="1">IFERROR(_xlfn.IFS(A928="  ..............",OFFSET(A928,2,0),A927=" X-------------X",OFFSET(A927,3,0),MATCH("  ..............",A930:A939,0)&gt;2,V929),"-")</f>
        <v>-</v>
      </c>
      <c r="W930" t="str">
        <f t="shared" ca="1" si="42"/>
        <v>-</v>
      </c>
      <c r="X930" t="str">
        <f t="shared" ca="1" si="43"/>
        <v/>
      </c>
      <c r="Y930" s="1" t="str">
        <f t="shared" ca="1" si="44"/>
        <v/>
      </c>
    </row>
    <row r="931" spans="1:25" x14ac:dyDescent="0.25">
      <c r="A931" t="s">
        <v>2321</v>
      </c>
      <c r="B931">
        <v>1.0109999999999999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 t="s">
        <v>1581</v>
      </c>
      <c r="J931" t="s">
        <v>1581</v>
      </c>
      <c r="K931" t="s">
        <v>1581</v>
      </c>
      <c r="L931" t="s">
        <v>1581</v>
      </c>
      <c r="M931" t="s">
        <v>1581</v>
      </c>
      <c r="N931" t="s">
        <v>1581</v>
      </c>
      <c r="O931" t="s">
        <v>1581</v>
      </c>
      <c r="P931" t="s">
        <v>1581</v>
      </c>
      <c r="Q931" t="s">
        <v>1581</v>
      </c>
      <c r="R931" t="s">
        <v>1581</v>
      </c>
      <c r="S931" t="s">
        <v>1581</v>
      </c>
      <c r="T931" t="s">
        <v>1581</v>
      </c>
      <c r="U931" t="s">
        <v>1581</v>
      </c>
      <c r="V931" t="str" cm="1">
        <f t="array" aca="1" ref="V931" ca="1">IFERROR(_xlfn.IFS(A929="  ..............",OFFSET(A929,2,0),A928=" X-------------X",OFFSET(A928,3,0),MATCH("  ..............",A931:A940,0)&gt;2,V930),"-")</f>
        <v>-</v>
      </c>
      <c r="W931" t="str">
        <f t="shared" ca="1" si="42"/>
        <v>-</v>
      </c>
      <c r="X931" t="str">
        <f t="shared" ca="1" si="43"/>
        <v xml:space="preserve">              </v>
      </c>
      <c r="Y931" s="1">
        <f t="shared" ca="1" si="44"/>
        <v>0</v>
      </c>
    </row>
    <row r="932" spans="1:25" x14ac:dyDescent="0.25">
      <c r="A932" t="s">
        <v>2322</v>
      </c>
      <c r="B932">
        <v>-53.5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 t="s">
        <v>1584</v>
      </c>
      <c r="J932" t="s">
        <v>1585</v>
      </c>
      <c r="K932" t="s">
        <v>1586</v>
      </c>
      <c r="L932" t="s">
        <v>1587</v>
      </c>
      <c r="M932" t="s">
        <v>1587</v>
      </c>
      <c r="N932" t="s">
        <v>1586</v>
      </c>
      <c r="O932" t="s">
        <v>1581</v>
      </c>
      <c r="P932" t="s">
        <v>1581</v>
      </c>
      <c r="Q932" t="s">
        <v>1581</v>
      </c>
      <c r="R932" t="s">
        <v>1581</v>
      </c>
      <c r="S932" t="s">
        <v>1581</v>
      </c>
      <c r="T932" t="s">
        <v>1581</v>
      </c>
      <c r="U932" t="s">
        <v>1581</v>
      </c>
      <c r="V932" t="str" cm="1">
        <f t="array" aca="1" ref="V932" ca="1">IFERROR(_xlfn.IFS(A930="  ..............",OFFSET(A930,2,0),A929=" X-------------X",OFFSET(A929,3,0),MATCH("  ..............",A932:A941,0)&gt;2,V931),"-")</f>
        <v xml:space="preserve">  SLEOP2-RS138  </v>
      </c>
      <c r="W932">
        <f t="shared" ca="1" si="42"/>
        <v>1.0109999999999999</v>
      </c>
      <c r="X932" t="str">
        <f t="shared" ca="1" si="43"/>
        <v xml:space="preserve"> SCHARL-RS138 </v>
      </c>
      <c r="Y932" s="1" t="str">
        <f t="shared" ca="1" si="44"/>
        <v xml:space="preserve">             </v>
      </c>
    </row>
    <row r="933" spans="1:25" x14ac:dyDescent="0.25">
      <c r="A933" t="s">
        <v>1588</v>
      </c>
      <c r="B933" t="s">
        <v>1587</v>
      </c>
      <c r="C933">
        <v>167</v>
      </c>
      <c r="D933">
        <v>203</v>
      </c>
      <c r="E933">
        <v>203</v>
      </c>
      <c r="F933" s="1">
        <v>0.41399999999999998</v>
      </c>
      <c r="G933" t="s">
        <v>1587</v>
      </c>
      <c r="H933" t="s">
        <v>1587</v>
      </c>
      <c r="I933">
        <v>2090</v>
      </c>
      <c r="J933" t="s">
        <v>1858</v>
      </c>
      <c r="K933">
        <v>1</v>
      </c>
      <c r="L933">
        <v>-67.099999999999994</v>
      </c>
      <c r="M933">
        <v>-19.600000000000001</v>
      </c>
      <c r="N933">
        <v>69.099999999999994</v>
      </c>
      <c r="O933" t="s">
        <v>1594</v>
      </c>
      <c r="P933" t="s">
        <v>1584</v>
      </c>
      <c r="Q933" t="s">
        <v>1591</v>
      </c>
      <c r="R933">
        <v>0.28999999999999998</v>
      </c>
      <c r="S933">
        <v>0.4</v>
      </c>
      <c r="T933" t="s">
        <v>1584</v>
      </c>
      <c r="U933" t="s">
        <v>1592</v>
      </c>
      <c r="V933" t="str" cm="1">
        <f t="array" aca="1" ref="V933" ca="1">IFERROR(_xlfn.IFS(A931="  ..............",OFFSET(A931,2,0),A930=" X-------------X",OFFSET(A930,3,0),MATCH("  ..............",A933:A942,0)&gt;2,V932),"-")</f>
        <v xml:space="preserve">  SLEOP2-RS138  </v>
      </c>
      <c r="W933">
        <f t="shared" ca="1" si="42"/>
        <v>1.0109999999999999</v>
      </c>
      <c r="X933" t="str">
        <f t="shared" ca="1" si="43"/>
        <v xml:space="preserve"> SLEOPO-RS138 </v>
      </c>
      <c r="Y933" s="1">
        <f t="shared" ca="1" si="44"/>
        <v>9.5000000000000001E-2</v>
      </c>
    </row>
    <row r="934" spans="1:25" x14ac:dyDescent="0.25">
      <c r="A934" t="s">
        <v>1588</v>
      </c>
      <c r="B934" t="s">
        <v>1587</v>
      </c>
      <c r="C934">
        <v>167</v>
      </c>
      <c r="D934">
        <v>203</v>
      </c>
      <c r="E934">
        <v>203</v>
      </c>
      <c r="F934" s="1">
        <v>0.41399999999999998</v>
      </c>
      <c r="G934" t="s">
        <v>1587</v>
      </c>
      <c r="H934" t="s">
        <v>1587</v>
      </c>
      <c r="I934">
        <v>3001</v>
      </c>
      <c r="J934" t="s">
        <v>2320</v>
      </c>
      <c r="K934">
        <v>1</v>
      </c>
      <c r="L934">
        <v>67.099999999999994</v>
      </c>
      <c r="M934">
        <v>19.600000000000001</v>
      </c>
      <c r="N934">
        <v>69.099999999999994</v>
      </c>
      <c r="O934" t="s">
        <v>1594</v>
      </c>
      <c r="P934" t="s">
        <v>1584</v>
      </c>
      <c r="Q934" t="s">
        <v>1591</v>
      </c>
      <c r="R934">
        <v>0.1</v>
      </c>
      <c r="S934">
        <v>0.13</v>
      </c>
      <c r="T934" t="s">
        <v>1584</v>
      </c>
      <c r="U934" t="s">
        <v>1592</v>
      </c>
      <c r="V934" t="str" cm="1">
        <f t="array" aca="1" ref="V934" ca="1">IFERROR(_xlfn.IFS(A932="  ..............",OFFSET(A932,2,0),A931=" X-------------X",OFFSET(A931,3,0),MATCH("  ..............",A934:A943,0)&gt;2,V933),"-")</f>
        <v>-</v>
      </c>
      <c r="W934" t="str">
        <f t="shared" ca="1" si="42"/>
        <v>-</v>
      </c>
      <c r="X934" t="str">
        <f t="shared" ca="1" si="43"/>
        <v>-</v>
      </c>
      <c r="Y934" s="1" t="str">
        <f t="shared" ca="1" si="44"/>
        <v>-</v>
      </c>
    </row>
    <row r="935" spans="1:25" x14ac:dyDescent="0.25">
      <c r="A935" t="s">
        <v>1572</v>
      </c>
      <c r="B935" t="s">
        <v>1574</v>
      </c>
      <c r="C935" t="s">
        <v>1574</v>
      </c>
      <c r="D935" t="s">
        <v>1574</v>
      </c>
      <c r="E935" t="s">
        <v>1574</v>
      </c>
      <c r="F935" t="s">
        <v>1575</v>
      </c>
      <c r="G935" t="s">
        <v>1574</v>
      </c>
      <c r="H935" t="s">
        <v>1574</v>
      </c>
      <c r="I935" t="s">
        <v>1576</v>
      </c>
      <c r="J935" t="s">
        <v>1573</v>
      </c>
      <c r="K935" t="s">
        <v>1577</v>
      </c>
      <c r="L935" t="s">
        <v>1574</v>
      </c>
      <c r="M935" t="s">
        <v>1574</v>
      </c>
      <c r="N935" t="s">
        <v>1574</v>
      </c>
      <c r="O935" t="s">
        <v>1578</v>
      </c>
      <c r="P935" t="s">
        <v>1576</v>
      </c>
      <c r="Q935" t="s">
        <v>1579</v>
      </c>
      <c r="R935" t="s">
        <v>1580</v>
      </c>
      <c r="S935" t="s">
        <v>1580</v>
      </c>
      <c r="T935" t="s">
        <v>1576</v>
      </c>
      <c r="U935" t="s">
        <v>1576</v>
      </c>
      <c r="V935" t="str" cm="1">
        <f t="array" aca="1" ref="V935" ca="1">IFERROR(_xlfn.IFS(A933="  ..............",OFFSET(A933,2,0),A932=" X-------------X",OFFSET(A932,3,0),MATCH("  ..............",A935:A944,0)&gt;2,V934),"-")</f>
        <v>-</v>
      </c>
      <c r="W935" t="str">
        <f t="shared" ca="1" si="42"/>
        <v>-</v>
      </c>
      <c r="X935" t="str">
        <f t="shared" ca="1" si="43"/>
        <v/>
      </c>
      <c r="Y935" s="1" t="str">
        <f t="shared" ca="1" si="44"/>
        <v/>
      </c>
    </row>
    <row r="936" spans="1:25" x14ac:dyDescent="0.25">
      <c r="A936" t="s">
        <v>2323</v>
      </c>
      <c r="B936">
        <v>1.0740000000000001</v>
      </c>
      <c r="C936">
        <v>3.9</v>
      </c>
      <c r="D936">
        <v>0</v>
      </c>
      <c r="E936">
        <v>28.2</v>
      </c>
      <c r="F936">
        <v>0</v>
      </c>
      <c r="G936">
        <v>0</v>
      </c>
      <c r="H936">
        <v>0</v>
      </c>
      <c r="I936" t="s">
        <v>1581</v>
      </c>
      <c r="J936" t="s">
        <v>1581</v>
      </c>
      <c r="K936" t="s">
        <v>1581</v>
      </c>
      <c r="L936" t="s">
        <v>1581</v>
      </c>
      <c r="M936" t="s">
        <v>1581</v>
      </c>
      <c r="N936" t="s">
        <v>1581</v>
      </c>
      <c r="O936" t="s">
        <v>1581</v>
      </c>
      <c r="P936" t="s">
        <v>1581</v>
      </c>
      <c r="Q936" t="s">
        <v>1581</v>
      </c>
      <c r="R936" t="s">
        <v>1581</v>
      </c>
      <c r="S936" t="s">
        <v>1581</v>
      </c>
      <c r="T936" t="s">
        <v>1581</v>
      </c>
      <c r="U936" t="s">
        <v>1581</v>
      </c>
      <c r="V936" t="str" cm="1">
        <f t="array" aca="1" ref="V936" ca="1">IFERROR(_xlfn.IFS(A934="  ..............",OFFSET(A934,2,0),A933=" X-------------X",OFFSET(A933,3,0),MATCH("  ..............",A936:A945,0)&gt;2,V935),"-")</f>
        <v>-</v>
      </c>
      <c r="W936" t="str">
        <f t="shared" ca="1" si="42"/>
        <v>-</v>
      </c>
      <c r="X936" t="str">
        <f t="shared" ca="1" si="43"/>
        <v xml:space="preserve">              </v>
      </c>
      <c r="Y936" s="1">
        <f t="shared" ca="1" si="44"/>
        <v>0</v>
      </c>
    </row>
    <row r="937" spans="1:25" x14ac:dyDescent="0.25">
      <c r="A937" t="s">
        <v>2324</v>
      </c>
      <c r="B937">
        <v>-55.1</v>
      </c>
      <c r="C937">
        <v>0</v>
      </c>
      <c r="D937">
        <v>0</v>
      </c>
      <c r="E937">
        <v>10.8</v>
      </c>
      <c r="F937">
        <v>0</v>
      </c>
      <c r="G937">
        <v>0</v>
      </c>
      <c r="H937">
        <v>0</v>
      </c>
      <c r="I937" t="s">
        <v>1584</v>
      </c>
      <c r="J937" t="s">
        <v>1585</v>
      </c>
      <c r="K937" t="s">
        <v>1586</v>
      </c>
      <c r="L937" t="s">
        <v>1587</v>
      </c>
      <c r="M937" t="s">
        <v>1587</v>
      </c>
      <c r="N937" t="s">
        <v>1586</v>
      </c>
      <c r="O937" t="s">
        <v>1581</v>
      </c>
      <c r="P937" t="s">
        <v>1581</v>
      </c>
      <c r="Q937" t="s">
        <v>1581</v>
      </c>
      <c r="R937" t="s">
        <v>1581</v>
      </c>
      <c r="S937" t="s">
        <v>1581</v>
      </c>
      <c r="T937" t="s">
        <v>1581</v>
      </c>
      <c r="U937" t="s">
        <v>1581</v>
      </c>
      <c r="V937" t="str" cm="1">
        <f t="array" aca="1" ref="V937" ca="1">IFERROR(_xlfn.IFS(A935="  ..............",OFFSET(A935,2,0),A934=" X-------------X",OFFSET(A934,3,0),MATCH("  ..............",A937:A946,0)&gt;2,V936),"-")</f>
        <v xml:space="preserve">  CBOM-A-RS023  </v>
      </c>
      <c r="W937">
        <f t="shared" ca="1" si="42"/>
        <v>1.0740000000000001</v>
      </c>
      <c r="X937" t="str">
        <f t="shared" ca="1" si="43"/>
        <v xml:space="preserve"> CBOM-3-RS000 </v>
      </c>
      <c r="Y937" s="1">
        <f t="shared" ca="1" si="44"/>
        <v>0.33</v>
      </c>
    </row>
    <row r="938" spans="1:25" x14ac:dyDescent="0.25">
      <c r="A938" t="s">
        <v>1588</v>
      </c>
      <c r="B938" t="s">
        <v>1587</v>
      </c>
      <c r="C938">
        <v>75</v>
      </c>
      <c r="D938">
        <v>90</v>
      </c>
      <c r="E938">
        <v>90</v>
      </c>
      <c r="F938" s="1">
        <v>0.33</v>
      </c>
      <c r="G938" t="s">
        <v>1587</v>
      </c>
      <c r="H938" t="s">
        <v>1587</v>
      </c>
      <c r="I938">
        <v>41235</v>
      </c>
      <c r="J938" t="s">
        <v>2325</v>
      </c>
      <c r="K938">
        <v>3</v>
      </c>
      <c r="L938">
        <v>-24.3</v>
      </c>
      <c r="M938">
        <v>-10.8</v>
      </c>
      <c r="N938">
        <v>24.8</v>
      </c>
      <c r="O938" t="s">
        <v>1608</v>
      </c>
      <c r="P938" t="s">
        <v>1584</v>
      </c>
      <c r="Q938">
        <v>2</v>
      </c>
      <c r="R938">
        <v>0</v>
      </c>
      <c r="S938">
        <v>-0.04</v>
      </c>
      <c r="T938" t="s">
        <v>1584</v>
      </c>
      <c r="U938" t="s">
        <v>1592</v>
      </c>
      <c r="V938" t="str" cm="1">
        <f t="array" aca="1" ref="V938" ca="1">IFERROR(_xlfn.IFS(A936="  ..............",OFFSET(A936,2,0),A935=" X-------------X",OFFSET(A935,3,0),MATCH("  ..............",A938:A947,0)&gt;2,V937),"-")</f>
        <v>-</v>
      </c>
      <c r="W938" t="str">
        <f t="shared" ca="1" si="42"/>
        <v>-</v>
      </c>
      <c r="X938" t="str">
        <f t="shared" ca="1" si="43"/>
        <v>-</v>
      </c>
      <c r="Y938" s="1" t="str">
        <f t="shared" ca="1" si="44"/>
        <v>-</v>
      </c>
    </row>
    <row r="939" spans="1:25" x14ac:dyDescent="0.25">
      <c r="A939" t="s">
        <v>1572</v>
      </c>
      <c r="B939" t="s">
        <v>1574</v>
      </c>
      <c r="C939" t="s">
        <v>1574</v>
      </c>
      <c r="D939" t="s">
        <v>1574</v>
      </c>
      <c r="E939" t="s">
        <v>1574</v>
      </c>
      <c r="F939" t="s">
        <v>1575</v>
      </c>
      <c r="G939" t="s">
        <v>1574</v>
      </c>
      <c r="H939" t="s">
        <v>1574</v>
      </c>
      <c r="I939" t="s">
        <v>1576</v>
      </c>
      <c r="J939" t="s">
        <v>1573</v>
      </c>
      <c r="K939" t="s">
        <v>1577</v>
      </c>
      <c r="L939" t="s">
        <v>1574</v>
      </c>
      <c r="M939" t="s">
        <v>1574</v>
      </c>
      <c r="N939" t="s">
        <v>1574</v>
      </c>
      <c r="O939" t="s">
        <v>1578</v>
      </c>
      <c r="P939" t="s">
        <v>1576</v>
      </c>
      <c r="Q939" t="s">
        <v>1579</v>
      </c>
      <c r="R939" t="s">
        <v>1580</v>
      </c>
      <c r="S939" t="s">
        <v>1580</v>
      </c>
      <c r="T939" t="s">
        <v>1576</v>
      </c>
      <c r="U939" t="s">
        <v>1576</v>
      </c>
      <c r="V939" t="str" cm="1">
        <f t="array" aca="1" ref="V939" ca="1">IFERROR(_xlfn.IFS(A937="  ..............",OFFSET(A937,2,0),A936=" X-------------X",OFFSET(A936,3,0),MATCH("  ..............",A939:A948,0)&gt;2,V938),"-")</f>
        <v>-</v>
      </c>
      <c r="W939" t="str">
        <f t="shared" ca="1" si="42"/>
        <v>-</v>
      </c>
      <c r="X939" t="str">
        <f t="shared" ca="1" si="43"/>
        <v/>
      </c>
      <c r="Y939" s="1" t="str">
        <f t="shared" ca="1" si="44"/>
        <v/>
      </c>
    </row>
    <row r="940" spans="1:25" x14ac:dyDescent="0.25">
      <c r="A940" t="s">
        <v>2326</v>
      </c>
      <c r="B940">
        <v>1.018</v>
      </c>
      <c r="C940">
        <v>0.5</v>
      </c>
      <c r="D940">
        <v>0</v>
      </c>
      <c r="E940">
        <v>5.3</v>
      </c>
      <c r="F940">
        <v>0</v>
      </c>
      <c r="G940">
        <v>3.7</v>
      </c>
      <c r="H940">
        <v>0</v>
      </c>
      <c r="I940" t="s">
        <v>1581</v>
      </c>
      <c r="J940" t="s">
        <v>1581</v>
      </c>
      <c r="K940" t="s">
        <v>1581</v>
      </c>
      <c r="L940" t="s">
        <v>1581</v>
      </c>
      <c r="M940" t="s">
        <v>1581</v>
      </c>
      <c r="N940" t="s">
        <v>1581</v>
      </c>
      <c r="O940" t="s">
        <v>1581</v>
      </c>
      <c r="P940" t="s">
        <v>1581</v>
      </c>
      <c r="Q940" t="s">
        <v>1581</v>
      </c>
      <c r="R940" t="s">
        <v>1581</v>
      </c>
      <c r="S940" t="s">
        <v>1581</v>
      </c>
      <c r="T940" t="s">
        <v>1581</v>
      </c>
      <c r="U940" t="s">
        <v>1581</v>
      </c>
      <c r="V940" t="str" cm="1">
        <f t="array" aca="1" ref="V940" ca="1">IFERROR(_xlfn.IFS(A938="  ..............",OFFSET(A938,2,0),A937=" X-------------X",OFFSET(A937,3,0),MATCH("  ..............",A940:A949,0)&gt;2,V939),"-")</f>
        <v>-</v>
      </c>
      <c r="W940" t="str">
        <f t="shared" ca="1" si="42"/>
        <v>-</v>
      </c>
      <c r="X940" t="str">
        <f t="shared" ca="1" si="43"/>
        <v xml:space="preserve">              </v>
      </c>
      <c r="Y940" s="1">
        <f t="shared" ca="1" si="44"/>
        <v>0</v>
      </c>
    </row>
    <row r="941" spans="1:25" x14ac:dyDescent="0.25">
      <c r="A941" t="s">
        <v>2327</v>
      </c>
      <c r="B941">
        <v>-48.8</v>
      </c>
      <c r="C941">
        <v>0</v>
      </c>
      <c r="D941">
        <v>0</v>
      </c>
      <c r="E941">
        <v>0.8</v>
      </c>
      <c r="F941">
        <v>0</v>
      </c>
      <c r="G941">
        <v>0</v>
      </c>
      <c r="H941">
        <v>0</v>
      </c>
      <c r="I941" t="s">
        <v>1584</v>
      </c>
      <c r="J941" t="s">
        <v>1585</v>
      </c>
      <c r="K941" t="s">
        <v>1586</v>
      </c>
      <c r="L941" t="s">
        <v>1587</v>
      </c>
      <c r="M941" t="s">
        <v>1587</v>
      </c>
      <c r="N941" t="s">
        <v>1586</v>
      </c>
      <c r="O941" t="s">
        <v>1581</v>
      </c>
      <c r="P941" t="s">
        <v>1581</v>
      </c>
      <c r="Q941" t="s">
        <v>1581</v>
      </c>
      <c r="R941" t="s">
        <v>1581</v>
      </c>
      <c r="S941" t="s">
        <v>1581</v>
      </c>
      <c r="T941" t="s">
        <v>1581</v>
      </c>
      <c r="U941" t="s">
        <v>1581</v>
      </c>
      <c r="V941" t="str" cm="1">
        <f t="array" aca="1" ref="V941" ca="1">IFERROR(_xlfn.IFS(A939="  ..............",OFFSET(A939,2,0),A938=" X-------------X",OFFSET(A938,3,0),MATCH("  ..............",A941:A950,0)&gt;2,V940),"-")</f>
        <v xml:space="preserve">  MACAMB-RS023  </v>
      </c>
      <c r="W941">
        <f t="shared" ca="1" si="42"/>
        <v>1.018</v>
      </c>
      <c r="X941" t="str">
        <f t="shared" ca="1" si="43"/>
        <v xml:space="preserve"> MACAMB-RS069 </v>
      </c>
      <c r="Y941" s="1">
        <f t="shared" ca="1" si="44"/>
        <v>0.108</v>
      </c>
    </row>
    <row r="942" spans="1:25" x14ac:dyDescent="0.25">
      <c r="A942" t="s">
        <v>1588</v>
      </c>
      <c r="B942" t="s">
        <v>1587</v>
      </c>
      <c r="C942">
        <v>25</v>
      </c>
      <c r="D942">
        <v>37</v>
      </c>
      <c r="E942">
        <v>37</v>
      </c>
      <c r="F942" s="1">
        <v>0.108</v>
      </c>
      <c r="G942" t="s">
        <v>1587</v>
      </c>
      <c r="H942" t="s">
        <v>1587</v>
      </c>
      <c r="I942">
        <v>1235</v>
      </c>
      <c r="J942" t="s">
        <v>2328</v>
      </c>
      <c r="K942">
        <v>2</v>
      </c>
      <c r="L942">
        <v>-2.4</v>
      </c>
      <c r="M942">
        <v>1.4</v>
      </c>
      <c r="N942">
        <v>2.7</v>
      </c>
      <c r="O942" t="s">
        <v>1594</v>
      </c>
      <c r="P942" t="s">
        <v>1584</v>
      </c>
      <c r="Q942" t="s">
        <v>1591</v>
      </c>
      <c r="R942">
        <v>0</v>
      </c>
      <c r="S942">
        <v>0.03</v>
      </c>
      <c r="T942" t="s">
        <v>1584</v>
      </c>
      <c r="U942" t="s">
        <v>1592</v>
      </c>
      <c r="V942" t="str" cm="1">
        <f t="array" aca="1" ref="V942" ca="1">IFERROR(_xlfn.IFS(A940="  ..............",OFFSET(A940,2,0),A939=" X-------------X",OFFSET(A939,3,0),MATCH("  ..............",A942:A951,0)&gt;2,V941),"-")</f>
        <v xml:space="preserve">  MACAMB-RS023  </v>
      </c>
      <c r="W942">
        <f t="shared" ca="1" si="42"/>
        <v>1.018</v>
      </c>
      <c r="X942" t="str">
        <f t="shared" ca="1" si="43"/>
        <v xml:space="preserve"> MACAMB-RS069 </v>
      </c>
      <c r="Y942" s="1">
        <f t="shared" ca="1" si="44"/>
        <v>0.108</v>
      </c>
    </row>
    <row r="943" spans="1:25" x14ac:dyDescent="0.25">
      <c r="A943" t="s">
        <v>1588</v>
      </c>
      <c r="B943" t="s">
        <v>1587</v>
      </c>
      <c r="C943">
        <v>25</v>
      </c>
      <c r="D943">
        <v>25</v>
      </c>
      <c r="E943">
        <v>25</v>
      </c>
      <c r="F943" s="1">
        <v>0.113</v>
      </c>
      <c r="G943" t="s">
        <v>1587</v>
      </c>
      <c r="H943" t="s">
        <v>1587</v>
      </c>
      <c r="I943">
        <v>1235</v>
      </c>
      <c r="J943" t="s">
        <v>2328</v>
      </c>
      <c r="K943">
        <v>8</v>
      </c>
      <c r="L943">
        <v>-2.4</v>
      </c>
      <c r="M943">
        <v>1.5</v>
      </c>
      <c r="N943">
        <v>2.8</v>
      </c>
      <c r="O943" t="s">
        <v>1594</v>
      </c>
      <c r="P943" t="s">
        <v>1584</v>
      </c>
      <c r="Q943" t="s">
        <v>1591</v>
      </c>
      <c r="R943">
        <v>0</v>
      </c>
      <c r="S943">
        <v>0.03</v>
      </c>
      <c r="T943" t="s">
        <v>1584</v>
      </c>
      <c r="U943" t="s">
        <v>1592</v>
      </c>
      <c r="V943" t="str" cm="1">
        <f t="array" aca="1" ref="V943" ca="1">IFERROR(_xlfn.IFS(A941="  ..............",OFFSET(A941,2,0),A940=" X-------------X",OFFSET(A940,3,0),MATCH("  ..............",A943:A952,0)&gt;2,V942),"-")</f>
        <v>-</v>
      </c>
      <c r="W943" t="str">
        <f t="shared" ca="1" si="42"/>
        <v>-</v>
      </c>
      <c r="X943" t="str">
        <f t="shared" ca="1" si="43"/>
        <v>-</v>
      </c>
      <c r="Y943" s="1" t="str">
        <f t="shared" ca="1" si="44"/>
        <v>-</v>
      </c>
    </row>
    <row r="944" spans="1:25" x14ac:dyDescent="0.25">
      <c r="A944" t="s">
        <v>1572</v>
      </c>
      <c r="B944" t="s">
        <v>1574</v>
      </c>
      <c r="C944" t="s">
        <v>1574</v>
      </c>
      <c r="D944" t="s">
        <v>1574</v>
      </c>
      <c r="E944" t="s">
        <v>1574</v>
      </c>
      <c r="F944" t="s">
        <v>1575</v>
      </c>
      <c r="G944" t="s">
        <v>1574</v>
      </c>
      <c r="H944" t="s">
        <v>1574</v>
      </c>
      <c r="I944" t="s">
        <v>1576</v>
      </c>
      <c r="J944" t="s">
        <v>1573</v>
      </c>
      <c r="K944" t="s">
        <v>1577</v>
      </c>
      <c r="L944" t="s">
        <v>1574</v>
      </c>
      <c r="M944" t="s">
        <v>1574</v>
      </c>
      <c r="N944" t="s">
        <v>1574</v>
      </c>
      <c r="O944" t="s">
        <v>1578</v>
      </c>
      <c r="P944" t="s">
        <v>1576</v>
      </c>
      <c r="Q944" t="s">
        <v>1579</v>
      </c>
      <c r="R944" t="s">
        <v>1580</v>
      </c>
      <c r="S944" t="s">
        <v>1580</v>
      </c>
      <c r="T944" t="s">
        <v>1576</v>
      </c>
      <c r="U944" t="s">
        <v>1576</v>
      </c>
      <c r="V944" t="str" cm="1">
        <f t="array" aca="1" ref="V944" ca="1">IFERROR(_xlfn.IFS(A942="  ..............",OFFSET(A942,2,0),A941=" X-------------X",OFFSET(A941,3,0),MATCH("  ..............",A944:A953,0)&gt;2,V943),"-")</f>
        <v>-</v>
      </c>
      <c r="W944" t="str">
        <f t="shared" ca="1" si="42"/>
        <v>-</v>
      </c>
      <c r="X944" t="str">
        <f t="shared" ca="1" si="43"/>
        <v/>
      </c>
      <c r="Y944" s="1" t="str">
        <f t="shared" ca="1" si="44"/>
        <v/>
      </c>
    </row>
    <row r="945" spans="1:25" x14ac:dyDescent="0.25">
      <c r="A945" t="s">
        <v>2329</v>
      </c>
      <c r="B945">
        <v>1.01</v>
      </c>
      <c r="C945">
        <v>3.1</v>
      </c>
      <c r="D945">
        <v>0</v>
      </c>
      <c r="E945">
        <v>15</v>
      </c>
      <c r="F945">
        <v>0</v>
      </c>
      <c r="G945">
        <v>3.7</v>
      </c>
      <c r="H945">
        <v>0</v>
      </c>
      <c r="I945" t="s">
        <v>1581</v>
      </c>
      <c r="J945" t="s">
        <v>1581</v>
      </c>
      <c r="K945" t="s">
        <v>1581</v>
      </c>
      <c r="L945" t="s">
        <v>1581</v>
      </c>
      <c r="M945" t="s">
        <v>1581</v>
      </c>
      <c r="N945" t="s">
        <v>1581</v>
      </c>
      <c r="O945" t="s">
        <v>1581</v>
      </c>
      <c r="P945" t="s">
        <v>1581</v>
      </c>
      <c r="Q945" t="s">
        <v>1581</v>
      </c>
      <c r="R945" t="s">
        <v>1581</v>
      </c>
      <c r="S945" t="s">
        <v>1581</v>
      </c>
      <c r="T945" t="s">
        <v>1581</v>
      </c>
      <c r="U945" t="s">
        <v>1581</v>
      </c>
      <c r="V945" t="str" cm="1">
        <f t="array" aca="1" ref="V945" ca="1">IFERROR(_xlfn.IFS(A943="  ..............",OFFSET(A943,2,0),A942=" X-------------X",OFFSET(A942,3,0),MATCH("  ..............",A945:A954,0)&gt;2,V944),"-")</f>
        <v>-</v>
      </c>
      <c r="W945" t="str">
        <f t="shared" ca="1" si="42"/>
        <v>-</v>
      </c>
      <c r="X945" t="str">
        <f t="shared" ca="1" si="43"/>
        <v xml:space="preserve">              </v>
      </c>
      <c r="Y945" s="1">
        <f t="shared" ca="1" si="44"/>
        <v>0</v>
      </c>
    </row>
    <row r="946" spans="1:25" x14ac:dyDescent="0.25">
      <c r="A946" t="s">
        <v>2330</v>
      </c>
      <c r="B946">
        <v>-49.2</v>
      </c>
      <c r="C946">
        <v>0</v>
      </c>
      <c r="D946">
        <v>0</v>
      </c>
      <c r="E946">
        <v>3.2</v>
      </c>
      <c r="F946">
        <v>0</v>
      </c>
      <c r="G946">
        <v>0</v>
      </c>
      <c r="H946">
        <v>0</v>
      </c>
      <c r="I946" t="s">
        <v>1584</v>
      </c>
      <c r="J946" t="s">
        <v>1585</v>
      </c>
      <c r="K946" t="s">
        <v>1586</v>
      </c>
      <c r="L946" t="s">
        <v>1587</v>
      </c>
      <c r="M946" t="s">
        <v>1587</v>
      </c>
      <c r="N946" t="s">
        <v>1586</v>
      </c>
      <c r="O946" t="s">
        <v>1581</v>
      </c>
      <c r="P946" t="s">
        <v>1581</v>
      </c>
      <c r="Q946" t="s">
        <v>1581</v>
      </c>
      <c r="R946" t="s">
        <v>1581</v>
      </c>
      <c r="S946" t="s">
        <v>1581</v>
      </c>
      <c r="T946" t="s">
        <v>1581</v>
      </c>
      <c r="U946" t="s">
        <v>1581</v>
      </c>
      <c r="V946" t="str" cm="1">
        <f t="array" aca="1" ref="V946" ca="1">IFERROR(_xlfn.IFS(A944="  ..............",OFFSET(A944,2,0),A943=" X-------------X",OFFSET(A943,3,0),MATCH("  ..............",A946:A955,0)&gt;2,V945),"-")</f>
        <v xml:space="preserve">  SBORJA-RS023  </v>
      </c>
      <c r="W946">
        <f t="shared" ca="1" si="42"/>
        <v>1.01</v>
      </c>
      <c r="X946" t="str">
        <f t="shared" ca="1" si="43"/>
        <v xml:space="preserve"> SBORJ2-RS069 </v>
      </c>
      <c r="Y946" s="1">
        <f t="shared" ca="1" si="44"/>
        <v>0.23100000000000001</v>
      </c>
    </row>
    <row r="947" spans="1:25" x14ac:dyDescent="0.25">
      <c r="A947" t="s">
        <v>1588</v>
      </c>
      <c r="B947" t="s">
        <v>1587</v>
      </c>
      <c r="C947">
        <v>25</v>
      </c>
      <c r="D947">
        <v>37</v>
      </c>
      <c r="E947">
        <v>37</v>
      </c>
      <c r="F947" s="1">
        <v>0.23100000000000001</v>
      </c>
      <c r="G947" t="s">
        <v>1587</v>
      </c>
      <c r="H947" t="s">
        <v>1587</v>
      </c>
      <c r="I947">
        <v>1253</v>
      </c>
      <c r="J947" t="s">
        <v>2331</v>
      </c>
      <c r="K947">
        <v>2</v>
      </c>
      <c r="L947">
        <v>-5.8</v>
      </c>
      <c r="M947">
        <v>0.2</v>
      </c>
      <c r="N947">
        <v>5.8</v>
      </c>
      <c r="O947" t="s">
        <v>1594</v>
      </c>
      <c r="P947" t="s">
        <v>1584</v>
      </c>
      <c r="Q947" t="s">
        <v>1591</v>
      </c>
      <c r="R947">
        <v>0</v>
      </c>
      <c r="S947">
        <v>0.13</v>
      </c>
      <c r="T947" t="s">
        <v>1584</v>
      </c>
      <c r="U947" t="s">
        <v>1592</v>
      </c>
      <c r="V947" t="str" cm="1">
        <f t="array" aca="1" ref="V947" ca="1">IFERROR(_xlfn.IFS(A945="  ..............",OFFSET(A945,2,0),A944=" X-------------X",OFFSET(A944,3,0),MATCH("  ..............",A947:A956,0)&gt;2,V946),"-")</f>
        <v xml:space="preserve">  SBORJA-RS023  </v>
      </c>
      <c r="W947">
        <f t="shared" ca="1" si="42"/>
        <v>1.01</v>
      </c>
      <c r="X947" t="str">
        <f t="shared" ca="1" si="43"/>
        <v xml:space="preserve"> SBORJ2-RS069 </v>
      </c>
      <c r="Y947" s="1">
        <f t="shared" ca="1" si="44"/>
        <v>0.23100000000000001</v>
      </c>
    </row>
    <row r="948" spans="1:25" x14ac:dyDescent="0.25">
      <c r="A948" t="s">
        <v>1588</v>
      </c>
      <c r="B948" t="s">
        <v>1587</v>
      </c>
      <c r="C948">
        <v>25</v>
      </c>
      <c r="D948">
        <v>37</v>
      </c>
      <c r="E948">
        <v>37</v>
      </c>
      <c r="F948" s="1">
        <v>0.24</v>
      </c>
      <c r="G948" t="s">
        <v>1587</v>
      </c>
      <c r="H948" t="s">
        <v>1587</v>
      </c>
      <c r="I948">
        <v>1253</v>
      </c>
      <c r="J948" t="s">
        <v>2331</v>
      </c>
      <c r="K948">
        <v>5</v>
      </c>
      <c r="L948">
        <v>-6.1</v>
      </c>
      <c r="M948">
        <v>0.2</v>
      </c>
      <c r="N948">
        <v>6</v>
      </c>
      <c r="O948" t="s">
        <v>1594</v>
      </c>
      <c r="P948" t="s">
        <v>1584</v>
      </c>
      <c r="Q948" t="s">
        <v>1591</v>
      </c>
      <c r="R948">
        <v>0</v>
      </c>
      <c r="S948">
        <v>0.14000000000000001</v>
      </c>
      <c r="T948" t="s">
        <v>1584</v>
      </c>
      <c r="U948" t="s">
        <v>1592</v>
      </c>
      <c r="V948" t="str" cm="1">
        <f t="array" aca="1" ref="V948" ca="1">IFERROR(_xlfn.IFS(A946="  ..............",OFFSET(A946,2,0),A945=" X-------------X",OFFSET(A945,3,0),MATCH("  ..............",A948:A957,0)&gt;2,V947),"-")</f>
        <v>-</v>
      </c>
      <c r="W948" t="str">
        <f t="shared" ca="1" si="42"/>
        <v>-</v>
      </c>
      <c r="X948" t="str">
        <f t="shared" ca="1" si="43"/>
        <v>-</v>
      </c>
      <c r="Y948" s="1" t="str">
        <f t="shared" ca="1" si="44"/>
        <v>-</v>
      </c>
    </row>
    <row r="949" spans="1:25" x14ac:dyDescent="0.25">
      <c r="A949" t="s">
        <v>1572</v>
      </c>
      <c r="B949" t="s">
        <v>1574</v>
      </c>
      <c r="C949" t="s">
        <v>1574</v>
      </c>
      <c r="D949" t="s">
        <v>1574</v>
      </c>
      <c r="E949" t="s">
        <v>1574</v>
      </c>
      <c r="F949" t="s">
        <v>1575</v>
      </c>
      <c r="G949" t="s">
        <v>1574</v>
      </c>
      <c r="H949" t="s">
        <v>1574</v>
      </c>
      <c r="I949" t="s">
        <v>1576</v>
      </c>
      <c r="J949" t="s">
        <v>1573</v>
      </c>
      <c r="K949" t="s">
        <v>1577</v>
      </c>
      <c r="L949" t="s">
        <v>1574</v>
      </c>
      <c r="M949" t="s">
        <v>1574</v>
      </c>
      <c r="N949" t="s">
        <v>1574</v>
      </c>
      <c r="O949" t="s">
        <v>1578</v>
      </c>
      <c r="P949" t="s">
        <v>1576</v>
      </c>
      <c r="Q949" t="s">
        <v>1579</v>
      </c>
      <c r="R949" t="s">
        <v>1580</v>
      </c>
      <c r="S949" t="s">
        <v>1580</v>
      </c>
      <c r="T949" t="s">
        <v>1576</v>
      </c>
      <c r="U949" t="s">
        <v>1576</v>
      </c>
      <c r="V949" t="str" cm="1">
        <f t="array" aca="1" ref="V949" ca="1">IFERROR(_xlfn.IFS(A947="  ..............",OFFSET(A947,2,0),A946=" X-------------X",OFFSET(A946,3,0),MATCH("  ..............",A949:A958,0)&gt;2,V948),"-")</f>
        <v>-</v>
      </c>
      <c r="W949" t="str">
        <f t="shared" ca="1" si="42"/>
        <v>-</v>
      </c>
      <c r="X949" t="str">
        <f t="shared" ca="1" si="43"/>
        <v/>
      </c>
      <c r="Y949" s="1" t="str">
        <f t="shared" ca="1" si="44"/>
        <v/>
      </c>
    </row>
    <row r="950" spans="1:25" x14ac:dyDescent="0.25">
      <c r="A950" t="s">
        <v>2332</v>
      </c>
      <c r="B950">
        <v>1.0629999999999999</v>
      </c>
      <c r="C950">
        <v>2.1</v>
      </c>
      <c r="D950">
        <v>0</v>
      </c>
      <c r="E950">
        <v>16</v>
      </c>
      <c r="F950">
        <v>0</v>
      </c>
      <c r="G950">
        <v>8.1</v>
      </c>
      <c r="H950">
        <v>0</v>
      </c>
      <c r="I950" t="s">
        <v>1581</v>
      </c>
      <c r="J950" t="s">
        <v>1581</v>
      </c>
      <c r="K950" t="s">
        <v>1581</v>
      </c>
      <c r="L950" t="s">
        <v>1581</v>
      </c>
      <c r="M950" t="s">
        <v>1581</v>
      </c>
      <c r="N950" t="s">
        <v>1581</v>
      </c>
      <c r="O950" t="s">
        <v>1581</v>
      </c>
      <c r="P950" t="s">
        <v>1581</v>
      </c>
      <c r="Q950" t="s">
        <v>1581</v>
      </c>
      <c r="R950" t="s">
        <v>1581</v>
      </c>
      <c r="S950" t="s">
        <v>1581</v>
      </c>
      <c r="T950" t="s">
        <v>1581</v>
      </c>
      <c r="U950" t="s">
        <v>1581</v>
      </c>
      <c r="V950" t="str" cm="1">
        <f t="array" aca="1" ref="V950" ca="1">IFERROR(_xlfn.IFS(A948="  ..............",OFFSET(A948,2,0),A947=" X-------------X",OFFSET(A947,3,0),MATCH("  ..............",A950:A959,0)&gt;2,V949),"-")</f>
        <v>-</v>
      </c>
      <c r="W950" t="str">
        <f t="shared" ca="1" si="42"/>
        <v>-</v>
      </c>
      <c r="X950" t="str">
        <f t="shared" ca="1" si="43"/>
        <v xml:space="preserve">              </v>
      </c>
      <c r="Y950" s="1">
        <f t="shared" ca="1" si="44"/>
        <v>0</v>
      </c>
    </row>
    <row r="951" spans="1:25" x14ac:dyDescent="0.25">
      <c r="A951" t="s">
        <v>2333</v>
      </c>
      <c r="B951">
        <v>-53.3</v>
      </c>
      <c r="C951">
        <v>0</v>
      </c>
      <c r="D951">
        <v>0</v>
      </c>
      <c r="E951">
        <v>5.9</v>
      </c>
      <c r="F951">
        <v>0</v>
      </c>
      <c r="G951">
        <v>0</v>
      </c>
      <c r="H951">
        <v>0</v>
      </c>
      <c r="I951" t="s">
        <v>1584</v>
      </c>
      <c r="J951" t="s">
        <v>1585</v>
      </c>
      <c r="K951" t="s">
        <v>1586</v>
      </c>
      <c r="L951" t="s">
        <v>1587</v>
      </c>
      <c r="M951" t="s">
        <v>1587</v>
      </c>
      <c r="N951" t="s">
        <v>1586</v>
      </c>
      <c r="O951" t="s">
        <v>1581</v>
      </c>
      <c r="P951" t="s">
        <v>1581</v>
      </c>
      <c r="Q951" t="s">
        <v>1581</v>
      </c>
      <c r="R951" t="s">
        <v>1581</v>
      </c>
      <c r="S951" t="s">
        <v>1581</v>
      </c>
      <c r="T951" t="s">
        <v>1581</v>
      </c>
      <c r="U951" t="s">
        <v>1581</v>
      </c>
      <c r="V951" t="str" cm="1">
        <f t="array" aca="1" ref="V951" ca="1">IFERROR(_xlfn.IFS(A949="  ..............",OFFSET(A949,2,0),A948=" X-------------X",OFFSET(A948,3,0),MATCH("  ..............",A951:A960,0)&gt;2,V950),"-")</f>
        <v xml:space="preserve">  CIPA-A-RS023  </v>
      </c>
      <c r="W951">
        <f t="shared" ca="1" si="42"/>
        <v>1.0629999999999999</v>
      </c>
      <c r="X951" t="str">
        <f t="shared" ca="1" si="43"/>
        <v xml:space="preserve"> CIND-1-RS000 </v>
      </c>
      <c r="Y951" s="1">
        <f t="shared" ca="1" si="44"/>
        <v>0.17699999999999999</v>
      </c>
    </row>
    <row r="952" spans="1:25" x14ac:dyDescent="0.25">
      <c r="A952" t="s">
        <v>1588</v>
      </c>
      <c r="B952" t="s">
        <v>1587</v>
      </c>
      <c r="C952">
        <v>75</v>
      </c>
      <c r="D952">
        <v>90</v>
      </c>
      <c r="E952">
        <v>90</v>
      </c>
      <c r="F952" s="1">
        <v>0.17699999999999999</v>
      </c>
      <c r="G952" t="s">
        <v>1587</v>
      </c>
      <c r="H952" t="s">
        <v>1587</v>
      </c>
      <c r="I952">
        <v>41249</v>
      </c>
      <c r="J952" t="s">
        <v>2334</v>
      </c>
      <c r="K952">
        <v>1</v>
      </c>
      <c r="L952">
        <v>-13.9</v>
      </c>
      <c r="M952">
        <v>2.2000000000000002</v>
      </c>
      <c r="N952">
        <v>13.2</v>
      </c>
      <c r="O952" t="s">
        <v>1608</v>
      </c>
      <c r="P952" t="s">
        <v>1584</v>
      </c>
      <c r="Q952">
        <v>2</v>
      </c>
      <c r="R952">
        <v>0</v>
      </c>
      <c r="S952">
        <v>-0.01</v>
      </c>
      <c r="T952" t="s">
        <v>1584</v>
      </c>
      <c r="U952" t="s">
        <v>1592</v>
      </c>
      <c r="V952" t="str" cm="1">
        <f t="array" aca="1" ref="V952" ca="1">IFERROR(_xlfn.IFS(A950="  ..............",OFFSET(A950,2,0),A949=" X-------------X",OFFSET(A949,3,0),MATCH("  ..............",A952:A961,0)&gt;2,V951),"-")</f>
        <v>-</v>
      </c>
      <c r="W952" t="str">
        <f t="shared" ca="1" si="42"/>
        <v>-</v>
      </c>
      <c r="X952" t="str">
        <f t="shared" ca="1" si="43"/>
        <v>-</v>
      </c>
      <c r="Y952" s="1" t="str">
        <f t="shared" ca="1" si="44"/>
        <v>-</v>
      </c>
    </row>
    <row r="953" spans="1:25" x14ac:dyDescent="0.25">
      <c r="A953" t="s">
        <v>1572</v>
      </c>
      <c r="B953" t="s">
        <v>1574</v>
      </c>
      <c r="C953" t="s">
        <v>1574</v>
      </c>
      <c r="D953" t="s">
        <v>1574</v>
      </c>
      <c r="E953" t="s">
        <v>1574</v>
      </c>
      <c r="F953" t="s">
        <v>1575</v>
      </c>
      <c r="G953" t="s">
        <v>1574</v>
      </c>
      <c r="H953" t="s">
        <v>1574</v>
      </c>
      <c r="I953" t="s">
        <v>1576</v>
      </c>
      <c r="J953" t="s">
        <v>1573</v>
      </c>
      <c r="K953" t="s">
        <v>1577</v>
      </c>
      <c r="L953" t="s">
        <v>1574</v>
      </c>
      <c r="M953" t="s">
        <v>1574</v>
      </c>
      <c r="N953" t="s">
        <v>1574</v>
      </c>
      <c r="O953" t="s">
        <v>1578</v>
      </c>
      <c r="P953" t="s">
        <v>1576</v>
      </c>
      <c r="Q953" t="s">
        <v>1579</v>
      </c>
      <c r="R953" t="s">
        <v>1580</v>
      </c>
      <c r="S953" t="s">
        <v>1580</v>
      </c>
      <c r="T953" t="s">
        <v>1576</v>
      </c>
      <c r="U953" t="s">
        <v>1576</v>
      </c>
      <c r="V953" t="str" cm="1">
        <f t="array" aca="1" ref="V953" ca="1">IFERROR(_xlfn.IFS(A951="  ..............",OFFSET(A951,2,0),A950=" X-------------X",OFFSET(A950,3,0),MATCH("  ..............",A953:A962,0)&gt;2,V952),"-")</f>
        <v>-</v>
      </c>
      <c r="W953" t="str">
        <f t="shared" ca="1" si="42"/>
        <v>-</v>
      </c>
      <c r="X953" t="str">
        <f t="shared" ca="1" si="43"/>
        <v/>
      </c>
      <c r="Y953" s="1" t="str">
        <f t="shared" ca="1" si="44"/>
        <v/>
      </c>
    </row>
    <row r="954" spans="1:25" x14ac:dyDescent="0.25">
      <c r="A954" t="s">
        <v>2335</v>
      </c>
      <c r="B954">
        <v>1.097</v>
      </c>
      <c r="C954">
        <v>1.7</v>
      </c>
      <c r="D954">
        <v>0</v>
      </c>
      <c r="E954">
        <v>6.7</v>
      </c>
      <c r="F954">
        <v>0</v>
      </c>
      <c r="G954">
        <v>0</v>
      </c>
      <c r="H954">
        <v>0</v>
      </c>
      <c r="I954" t="s">
        <v>1581</v>
      </c>
      <c r="J954" t="s">
        <v>1581</v>
      </c>
      <c r="K954" t="s">
        <v>1581</v>
      </c>
      <c r="L954" t="s">
        <v>1581</v>
      </c>
      <c r="M954" t="s">
        <v>1581</v>
      </c>
      <c r="N954" t="s">
        <v>1581</v>
      </c>
      <c r="O954" t="s">
        <v>1581</v>
      </c>
      <c r="P954" t="s">
        <v>1581</v>
      </c>
      <c r="Q954" t="s">
        <v>1581</v>
      </c>
      <c r="R954" t="s">
        <v>1581</v>
      </c>
      <c r="S954" t="s">
        <v>1581</v>
      </c>
      <c r="T954" t="s">
        <v>1581</v>
      </c>
      <c r="U954" t="s">
        <v>1581</v>
      </c>
      <c r="V954" t="str" cm="1">
        <f t="array" aca="1" ref="V954" ca="1">IFERROR(_xlfn.IFS(A952="  ..............",OFFSET(A952,2,0),A951=" X-------------X",OFFSET(A951,3,0),MATCH("  ..............",A954:A963,0)&gt;2,V953),"-")</f>
        <v>-</v>
      </c>
      <c r="W954" t="str">
        <f t="shared" ca="1" si="42"/>
        <v>-</v>
      </c>
      <c r="X954" t="str">
        <f t="shared" ca="1" si="43"/>
        <v xml:space="preserve">              </v>
      </c>
      <c r="Y954" s="1">
        <f t="shared" ca="1" si="44"/>
        <v>0</v>
      </c>
    </row>
    <row r="955" spans="1:25" x14ac:dyDescent="0.25">
      <c r="A955" t="s">
        <v>2336</v>
      </c>
      <c r="B955">
        <v>-53.2</v>
      </c>
      <c r="C955">
        <v>0</v>
      </c>
      <c r="D955">
        <v>0</v>
      </c>
      <c r="E955">
        <v>2.1</v>
      </c>
      <c r="F955">
        <v>0</v>
      </c>
      <c r="G955">
        <v>0</v>
      </c>
      <c r="H955">
        <v>0</v>
      </c>
      <c r="I955" t="s">
        <v>1584</v>
      </c>
      <c r="J955" t="s">
        <v>1585</v>
      </c>
      <c r="K955" t="s">
        <v>1586</v>
      </c>
      <c r="L955" t="s">
        <v>1587</v>
      </c>
      <c r="M955" t="s">
        <v>1587</v>
      </c>
      <c r="N955" t="s">
        <v>1586</v>
      </c>
      <c r="O955" t="s">
        <v>1581</v>
      </c>
      <c r="P955" t="s">
        <v>1581</v>
      </c>
      <c r="Q955" t="s">
        <v>1581</v>
      </c>
      <c r="R955" t="s">
        <v>1581</v>
      </c>
      <c r="S955" t="s">
        <v>1581</v>
      </c>
      <c r="T955" t="s">
        <v>1581</v>
      </c>
      <c r="U955" t="s">
        <v>1581</v>
      </c>
      <c r="V955" t="str" cm="1">
        <f t="array" aca="1" ref="V955" ca="1">IFERROR(_xlfn.IFS(A953="  ..............",OFFSET(A953,2,0),A952=" X-------------X",OFFSET(A952,3,0),MATCH("  ..............",A955:A964,0)&gt;2,V954),"-")</f>
        <v xml:space="preserve">  SVICEN-RS023  </v>
      </c>
      <c r="W955">
        <f t="shared" ca="1" si="42"/>
        <v>1.097</v>
      </c>
      <c r="X955" t="str">
        <f t="shared" ca="1" si="43"/>
        <v xml:space="preserve"> SVICEN-RS069 </v>
      </c>
      <c r="Y955" s="1">
        <f t="shared" ca="1" si="44"/>
        <v>0.19800000000000001</v>
      </c>
    </row>
    <row r="956" spans="1:25" x14ac:dyDescent="0.25">
      <c r="A956" t="s">
        <v>1588</v>
      </c>
      <c r="B956" t="s">
        <v>1587</v>
      </c>
      <c r="C956">
        <v>25</v>
      </c>
      <c r="D956">
        <v>30</v>
      </c>
      <c r="E956">
        <v>30</v>
      </c>
      <c r="F956" s="1">
        <v>0.19800000000000001</v>
      </c>
      <c r="G956" t="s">
        <v>1587</v>
      </c>
      <c r="H956" t="s">
        <v>1587</v>
      </c>
      <c r="I956">
        <v>1289</v>
      </c>
      <c r="J956" t="s">
        <v>2337</v>
      </c>
      <c r="K956">
        <v>3</v>
      </c>
      <c r="L956">
        <v>-5</v>
      </c>
      <c r="M956">
        <v>-2.1</v>
      </c>
      <c r="N956">
        <v>4.9000000000000004</v>
      </c>
      <c r="O956" t="s">
        <v>1594</v>
      </c>
      <c r="P956" t="s">
        <v>1584</v>
      </c>
      <c r="Q956" t="s">
        <v>1591</v>
      </c>
      <c r="R956">
        <v>0.01</v>
      </c>
      <c r="S956">
        <v>0.09</v>
      </c>
      <c r="T956" t="s">
        <v>1584</v>
      </c>
      <c r="U956" t="s">
        <v>1592</v>
      </c>
      <c r="V956" t="str" cm="1">
        <f t="array" aca="1" ref="V956" ca="1">IFERROR(_xlfn.IFS(A954="  ..............",OFFSET(A954,2,0),A953=" X-------------X",OFFSET(A953,3,0),MATCH("  ..............",A956:A965,0)&gt;2,V955),"-")</f>
        <v>-</v>
      </c>
      <c r="W956" t="str">
        <f t="shared" ca="1" si="42"/>
        <v>-</v>
      </c>
      <c r="X956" t="str">
        <f t="shared" ca="1" si="43"/>
        <v>-</v>
      </c>
      <c r="Y956" s="1" t="str">
        <f t="shared" ca="1" si="44"/>
        <v>-</v>
      </c>
    </row>
    <row r="957" spans="1:25" x14ac:dyDescent="0.25">
      <c r="A957" t="s">
        <v>1572</v>
      </c>
      <c r="B957" t="s">
        <v>1574</v>
      </c>
      <c r="C957" t="s">
        <v>1574</v>
      </c>
      <c r="D957" t="s">
        <v>1574</v>
      </c>
      <c r="E957" t="s">
        <v>1574</v>
      </c>
      <c r="F957" t="s">
        <v>1575</v>
      </c>
      <c r="G957" t="s">
        <v>1574</v>
      </c>
      <c r="H957" t="s">
        <v>1574</v>
      </c>
      <c r="I957" t="s">
        <v>1576</v>
      </c>
      <c r="J957" t="s">
        <v>1573</v>
      </c>
      <c r="K957" t="s">
        <v>1577</v>
      </c>
      <c r="L957" t="s">
        <v>1574</v>
      </c>
      <c r="M957" t="s">
        <v>1574</v>
      </c>
      <c r="N957" t="s">
        <v>1574</v>
      </c>
      <c r="O957" t="s">
        <v>1578</v>
      </c>
      <c r="P957" t="s">
        <v>1576</v>
      </c>
      <c r="Q957" t="s">
        <v>1579</v>
      </c>
      <c r="R957" t="s">
        <v>1580</v>
      </c>
      <c r="S957" t="s">
        <v>1580</v>
      </c>
      <c r="T957" t="s">
        <v>1576</v>
      </c>
      <c r="U957" t="s">
        <v>1576</v>
      </c>
      <c r="V957" t="str" cm="1">
        <f t="array" aca="1" ref="V957" ca="1">IFERROR(_xlfn.IFS(A955="  ..............",OFFSET(A955,2,0),A954=" X-------------X",OFFSET(A954,3,0),MATCH("  ..............",A957:A966,0)&gt;2,V956),"-")</f>
        <v>-</v>
      </c>
      <c r="W957" t="str">
        <f t="shared" ca="1" si="42"/>
        <v>-</v>
      </c>
      <c r="X957" t="str">
        <f t="shared" ca="1" si="43"/>
        <v/>
      </c>
      <c r="Y957" s="1" t="str">
        <f t="shared" ca="1" si="44"/>
        <v/>
      </c>
    </row>
    <row r="958" spans="1:25" x14ac:dyDescent="0.25">
      <c r="A958" t="s">
        <v>2338</v>
      </c>
      <c r="B958">
        <v>1.052</v>
      </c>
      <c r="C958">
        <v>1.9</v>
      </c>
      <c r="D958">
        <v>0</v>
      </c>
      <c r="E958">
        <v>17.8</v>
      </c>
      <c r="F958">
        <v>0</v>
      </c>
      <c r="G958">
        <v>0</v>
      </c>
      <c r="H958">
        <v>0</v>
      </c>
      <c r="I958" t="s">
        <v>1581</v>
      </c>
      <c r="J958" t="s">
        <v>1581</v>
      </c>
      <c r="K958" t="s">
        <v>1581</v>
      </c>
      <c r="L958" t="s">
        <v>1581</v>
      </c>
      <c r="M958" t="s">
        <v>1581</v>
      </c>
      <c r="N958" t="s">
        <v>1581</v>
      </c>
      <c r="O958" t="s">
        <v>1581</v>
      </c>
      <c r="P958" t="s">
        <v>1581</v>
      </c>
      <c r="Q958" t="s">
        <v>1581</v>
      </c>
      <c r="R958" t="s">
        <v>1581</v>
      </c>
      <c r="S958" t="s">
        <v>1581</v>
      </c>
      <c r="T958" t="s">
        <v>1581</v>
      </c>
      <c r="U958" t="s">
        <v>1581</v>
      </c>
      <c r="V958" t="str" cm="1">
        <f t="array" aca="1" ref="V958" ca="1">IFERROR(_xlfn.IFS(A956="  ..............",OFFSET(A956,2,0),A955=" X-------------X",OFFSET(A955,3,0),MATCH("  ..............",A958:A967,0)&gt;2,V957),"-")</f>
        <v>-</v>
      </c>
      <c r="W958" t="str">
        <f t="shared" ca="1" si="42"/>
        <v>-</v>
      </c>
      <c r="X958" t="str">
        <f t="shared" ca="1" si="43"/>
        <v xml:space="preserve">              </v>
      </c>
      <c r="Y958" s="1">
        <f t="shared" ca="1" si="44"/>
        <v>0</v>
      </c>
    </row>
    <row r="959" spans="1:25" x14ac:dyDescent="0.25">
      <c r="A959" t="s">
        <v>2339</v>
      </c>
      <c r="B959">
        <v>-53.3</v>
      </c>
      <c r="C959">
        <v>0</v>
      </c>
      <c r="D959">
        <v>0</v>
      </c>
      <c r="E959">
        <v>5.3</v>
      </c>
      <c r="F959">
        <v>0</v>
      </c>
      <c r="G959">
        <v>0</v>
      </c>
      <c r="H959">
        <v>0</v>
      </c>
      <c r="I959" t="s">
        <v>1584</v>
      </c>
      <c r="J959" t="s">
        <v>1585</v>
      </c>
      <c r="K959" t="s">
        <v>1586</v>
      </c>
      <c r="L959" t="s">
        <v>1587</v>
      </c>
      <c r="M959" t="s">
        <v>1587</v>
      </c>
      <c r="N959" t="s">
        <v>1586</v>
      </c>
      <c r="O959" t="s">
        <v>1581</v>
      </c>
      <c r="P959" t="s">
        <v>1581</v>
      </c>
      <c r="Q959" t="s">
        <v>1581</v>
      </c>
      <c r="R959" t="s">
        <v>1581</v>
      </c>
      <c r="S959" t="s">
        <v>1581</v>
      </c>
      <c r="T959" t="s">
        <v>1581</v>
      </c>
      <c r="U959" t="s">
        <v>1581</v>
      </c>
      <c r="V959" t="str" cm="1">
        <f t="array" aca="1" ref="V959" ca="1">IFERROR(_xlfn.IFS(A957="  ..............",OFFSET(A957,2,0),A956=" X-------------X",OFFSET(A956,3,0),MATCH("  ..............",A959:A968,0)&gt;2,V958),"-")</f>
        <v xml:space="preserve">  SCHARL-RS023  </v>
      </c>
      <c r="W959">
        <f t="shared" ca="1" si="42"/>
        <v>1.052</v>
      </c>
      <c r="X959" t="str">
        <f t="shared" ca="1" si="43"/>
        <v xml:space="preserve"> SCH--5-RS000 </v>
      </c>
      <c r="Y959" s="1">
        <f t="shared" ca="1" si="44"/>
        <v>0.21299999999999999</v>
      </c>
    </row>
    <row r="960" spans="1:25" x14ac:dyDescent="0.25">
      <c r="A960" t="s">
        <v>1588</v>
      </c>
      <c r="B960" t="s">
        <v>1587</v>
      </c>
      <c r="C960">
        <v>75</v>
      </c>
      <c r="D960">
        <v>90</v>
      </c>
      <c r="E960">
        <v>90</v>
      </c>
      <c r="F960" s="1">
        <v>0.21299999999999999</v>
      </c>
      <c r="G960" t="s">
        <v>1587</v>
      </c>
      <c r="H960" t="s">
        <v>1587</v>
      </c>
      <c r="I960">
        <v>41363</v>
      </c>
      <c r="J960" t="s">
        <v>2340</v>
      </c>
      <c r="K960">
        <v>5</v>
      </c>
      <c r="L960">
        <v>-15.9</v>
      </c>
      <c r="M960">
        <v>-5.3</v>
      </c>
      <c r="N960">
        <v>15.9</v>
      </c>
      <c r="O960" t="s">
        <v>1608</v>
      </c>
      <c r="P960" t="s">
        <v>1584</v>
      </c>
      <c r="Q960">
        <v>2</v>
      </c>
      <c r="R960">
        <v>0</v>
      </c>
      <c r="S960">
        <v>-0.02</v>
      </c>
      <c r="T960" t="s">
        <v>1584</v>
      </c>
      <c r="U960" t="s">
        <v>1592</v>
      </c>
      <c r="V960" t="str" cm="1">
        <f t="array" aca="1" ref="V960" ca="1">IFERROR(_xlfn.IFS(A958="  ..............",OFFSET(A958,2,0),A957=" X-------------X",OFFSET(A957,3,0),MATCH("  ..............",A960:A969,0)&gt;2,V959),"-")</f>
        <v>-</v>
      </c>
      <c r="W960" t="str">
        <f t="shared" ca="1" si="42"/>
        <v>-</v>
      </c>
      <c r="X960" t="str">
        <f t="shared" ca="1" si="43"/>
        <v>-</v>
      </c>
      <c r="Y960" s="1" t="str">
        <f t="shared" ca="1" si="44"/>
        <v>-</v>
      </c>
    </row>
    <row r="961" spans="1:25" x14ac:dyDescent="0.25">
      <c r="A961" t="s">
        <v>1572</v>
      </c>
      <c r="B961" t="s">
        <v>1574</v>
      </c>
      <c r="C961" t="s">
        <v>1574</v>
      </c>
      <c r="D961" t="s">
        <v>1574</v>
      </c>
      <c r="E961" t="s">
        <v>1574</v>
      </c>
      <c r="F961" t="s">
        <v>1575</v>
      </c>
      <c r="G961" t="s">
        <v>1574</v>
      </c>
      <c r="H961" t="s">
        <v>1574</v>
      </c>
      <c r="I961" t="s">
        <v>1576</v>
      </c>
      <c r="J961" t="s">
        <v>1573</v>
      </c>
      <c r="K961" t="s">
        <v>1577</v>
      </c>
      <c r="L961" t="s">
        <v>1574</v>
      </c>
      <c r="M961" t="s">
        <v>1574</v>
      </c>
      <c r="N961" t="s">
        <v>1574</v>
      </c>
      <c r="O961" t="s">
        <v>1578</v>
      </c>
      <c r="P961" t="s">
        <v>1576</v>
      </c>
      <c r="Q961" t="s">
        <v>1579</v>
      </c>
      <c r="R961" t="s">
        <v>1580</v>
      </c>
      <c r="S961" t="s">
        <v>1580</v>
      </c>
      <c r="T961" t="s">
        <v>1576</v>
      </c>
      <c r="U961" t="s">
        <v>1576</v>
      </c>
      <c r="V961" t="str" cm="1">
        <f t="array" aca="1" ref="V961" ca="1">IFERROR(_xlfn.IFS(A959="  ..............",OFFSET(A959,2,0),A958=" X-------------X",OFFSET(A958,3,0),MATCH("  ..............",A961:A970,0)&gt;2,V960),"-")</f>
        <v>-</v>
      </c>
      <c r="W961" t="str">
        <f t="shared" ca="1" si="42"/>
        <v>-</v>
      </c>
      <c r="X961" t="str">
        <f t="shared" ca="1" si="43"/>
        <v/>
      </c>
      <c r="Y961" s="1" t="str">
        <f t="shared" ca="1" si="44"/>
        <v/>
      </c>
    </row>
    <row r="962" spans="1:25" x14ac:dyDescent="0.25">
      <c r="A962" t="s">
        <v>2341</v>
      </c>
      <c r="B962">
        <v>1.097</v>
      </c>
      <c r="C962">
        <v>1.6</v>
      </c>
      <c r="D962">
        <v>0</v>
      </c>
      <c r="E962">
        <v>9.6999999999999993</v>
      </c>
      <c r="F962">
        <v>0</v>
      </c>
      <c r="G962">
        <v>0</v>
      </c>
      <c r="H962">
        <v>0</v>
      </c>
      <c r="I962" t="s">
        <v>1581</v>
      </c>
      <c r="J962" t="s">
        <v>1581</v>
      </c>
      <c r="K962" t="s">
        <v>1581</v>
      </c>
      <c r="L962" t="s">
        <v>1581</v>
      </c>
      <c r="M962" t="s">
        <v>1581</v>
      </c>
      <c r="N962" t="s">
        <v>1581</v>
      </c>
      <c r="O962" t="s">
        <v>1581</v>
      </c>
      <c r="P962" t="s">
        <v>1581</v>
      </c>
      <c r="Q962" t="s">
        <v>1581</v>
      </c>
      <c r="R962" t="s">
        <v>1581</v>
      </c>
      <c r="S962" t="s">
        <v>1581</v>
      </c>
      <c r="T962" t="s">
        <v>1581</v>
      </c>
      <c r="U962" t="s">
        <v>1581</v>
      </c>
      <c r="V962" t="str" cm="1">
        <f t="array" aca="1" ref="V962" ca="1">IFERROR(_xlfn.IFS(A960="  ..............",OFFSET(A960,2,0),A959=" X-------------X",OFFSET(A959,3,0),MATCH("  ..............",A962:A971,0)&gt;2,V961),"-")</f>
        <v>-</v>
      </c>
      <c r="W962" t="str">
        <f t="shared" ca="1" si="42"/>
        <v>-</v>
      </c>
      <c r="X962" t="str">
        <f t="shared" ca="1" si="43"/>
        <v xml:space="preserve">              </v>
      </c>
      <c r="Y962" s="1">
        <f t="shared" ca="1" si="44"/>
        <v>0</v>
      </c>
    </row>
    <row r="963" spans="1:25" x14ac:dyDescent="0.25">
      <c r="A963" t="s">
        <v>2342</v>
      </c>
      <c r="B963">
        <v>-56.2</v>
      </c>
      <c r="C963">
        <v>0</v>
      </c>
      <c r="D963">
        <v>0</v>
      </c>
      <c r="E963">
        <v>3.2</v>
      </c>
      <c r="F963">
        <v>0</v>
      </c>
      <c r="G963">
        <v>0</v>
      </c>
      <c r="H963">
        <v>0</v>
      </c>
      <c r="I963" t="s">
        <v>1584</v>
      </c>
      <c r="J963" t="s">
        <v>1585</v>
      </c>
      <c r="K963" t="s">
        <v>1586</v>
      </c>
      <c r="L963" t="s">
        <v>1587</v>
      </c>
      <c r="M963" t="s">
        <v>1587</v>
      </c>
      <c r="N963" t="s">
        <v>1586</v>
      </c>
      <c r="O963" t="s">
        <v>1581</v>
      </c>
      <c r="P963" t="s">
        <v>1581</v>
      </c>
      <c r="Q963" t="s">
        <v>1581</v>
      </c>
      <c r="R963" t="s">
        <v>1581</v>
      </c>
      <c r="S963" t="s">
        <v>1581</v>
      </c>
      <c r="T963" t="s">
        <v>1581</v>
      </c>
      <c r="U963" t="s">
        <v>1581</v>
      </c>
      <c r="V963" t="str" cm="1">
        <f t="array" aca="1" ref="V963" ca="1">IFERROR(_xlfn.IFS(A961="  ..............",OFFSET(A961,2,0),A960=" X-------------X",OFFSET(A960,3,0),MATCH("  ..............",A963:A972,0)&gt;2,V962),"-")</f>
        <v xml:space="preserve">  VAIT34-RS013  </v>
      </c>
      <c r="W963">
        <f t="shared" ca="1" si="42"/>
        <v>1.097</v>
      </c>
      <c r="X963" t="str">
        <f t="shared" ca="1" si="43"/>
        <v xml:space="preserve"> VENAIR-RS069 </v>
      </c>
      <c r="Y963" s="1">
        <f t="shared" ca="1" si="44"/>
        <v>0.318</v>
      </c>
    </row>
    <row r="964" spans="1:25" x14ac:dyDescent="0.25">
      <c r="A964" t="s">
        <v>1588</v>
      </c>
      <c r="B964" t="s">
        <v>1587</v>
      </c>
      <c r="C964">
        <v>25</v>
      </c>
      <c r="D964">
        <v>30</v>
      </c>
      <c r="E964">
        <v>30</v>
      </c>
      <c r="F964" s="1">
        <v>0.318</v>
      </c>
      <c r="G964" t="s">
        <v>1587</v>
      </c>
      <c r="H964" t="s">
        <v>1587</v>
      </c>
      <c r="I964">
        <v>1298</v>
      </c>
      <c r="J964" t="s">
        <v>2343</v>
      </c>
      <c r="K964">
        <v>1</v>
      </c>
      <c r="L964">
        <v>-8.1</v>
      </c>
      <c r="M964">
        <v>-3.2</v>
      </c>
      <c r="N964">
        <v>7.9</v>
      </c>
      <c r="O964" t="s">
        <v>1594</v>
      </c>
      <c r="P964" t="s">
        <v>1584</v>
      </c>
      <c r="Q964" t="s">
        <v>1591</v>
      </c>
      <c r="R964">
        <v>0.01</v>
      </c>
      <c r="S964">
        <v>0.23</v>
      </c>
      <c r="T964" t="s">
        <v>1584</v>
      </c>
      <c r="U964" t="s">
        <v>1592</v>
      </c>
      <c r="V964" t="str" cm="1">
        <f t="array" aca="1" ref="V964" ca="1">IFERROR(_xlfn.IFS(A962="  ..............",OFFSET(A962,2,0),A961=" X-------------X",OFFSET(A961,3,0),MATCH("  ..............",A964:A973,0)&gt;2,V963),"-")</f>
        <v>-</v>
      </c>
      <c r="W964" t="str">
        <f t="shared" ref="W964:W1027" ca="1" si="45">IFERROR(OFFSET($A$1,MATCH(V964,A:A,0)-2,1),"-")</f>
        <v>-</v>
      </c>
      <c r="X964" t="str">
        <f t="shared" ref="X964:X1027" ca="1" si="46">IFERROR(IF(V964=V963,OFFSET($J$1,ROW(X964),0),OFFSET($J$1,MATCH(V964,A:A,0),0)),"-")</f>
        <v>-</v>
      </c>
      <c r="Y964" s="1" t="str">
        <f t="shared" ref="Y964:Y1027" ca="1" si="47">IFERROR(OFFSET($F$1,MATCH(X964,J:J,0)-1,0),"-")</f>
        <v>-</v>
      </c>
    </row>
    <row r="965" spans="1:25" x14ac:dyDescent="0.25">
      <c r="A965" t="s">
        <v>1572</v>
      </c>
      <c r="B965" t="s">
        <v>1574</v>
      </c>
      <c r="C965" t="s">
        <v>1574</v>
      </c>
      <c r="D965" t="s">
        <v>1574</v>
      </c>
      <c r="E965" t="s">
        <v>1574</v>
      </c>
      <c r="F965" t="s">
        <v>1575</v>
      </c>
      <c r="G965" t="s">
        <v>1574</v>
      </c>
      <c r="H965" t="s">
        <v>1574</v>
      </c>
      <c r="I965" t="s">
        <v>1576</v>
      </c>
      <c r="J965" t="s">
        <v>1573</v>
      </c>
      <c r="K965" t="s">
        <v>1577</v>
      </c>
      <c r="L965" t="s">
        <v>1574</v>
      </c>
      <c r="M965" t="s">
        <v>1574</v>
      </c>
      <c r="N965" t="s">
        <v>1574</v>
      </c>
      <c r="O965" t="s">
        <v>1578</v>
      </c>
      <c r="P965" t="s">
        <v>1576</v>
      </c>
      <c r="Q965" t="s">
        <v>1579</v>
      </c>
      <c r="R965" t="s">
        <v>1580</v>
      </c>
      <c r="S965" t="s">
        <v>1580</v>
      </c>
      <c r="T965" t="s">
        <v>1576</v>
      </c>
      <c r="U965" t="s">
        <v>1576</v>
      </c>
      <c r="V965" t="str" cm="1">
        <f t="array" aca="1" ref="V965" ca="1">IFERROR(_xlfn.IFS(A963="  ..............",OFFSET(A963,2,0),A962=" X-------------X",OFFSET(A962,3,0),MATCH("  ..............",A965:A974,0)&gt;2,V964),"-")</f>
        <v>-</v>
      </c>
      <c r="W965" t="str">
        <f t="shared" ca="1" si="45"/>
        <v>-</v>
      </c>
      <c r="X965" t="str">
        <f t="shared" ca="1" si="46"/>
        <v/>
      </c>
      <c r="Y965" s="1" t="str">
        <f t="shared" ca="1" si="47"/>
        <v/>
      </c>
    </row>
    <row r="966" spans="1:25" x14ac:dyDescent="0.25">
      <c r="A966" t="s">
        <v>2344</v>
      </c>
      <c r="B966">
        <v>1.111</v>
      </c>
      <c r="C966">
        <v>2.8</v>
      </c>
      <c r="D966">
        <v>0</v>
      </c>
      <c r="E966">
        <v>14.6</v>
      </c>
      <c r="F966">
        <v>0</v>
      </c>
      <c r="G966">
        <v>0</v>
      </c>
      <c r="H966">
        <v>0</v>
      </c>
      <c r="I966" t="s">
        <v>1581</v>
      </c>
      <c r="J966" t="s">
        <v>1581</v>
      </c>
      <c r="K966" t="s">
        <v>1581</v>
      </c>
      <c r="L966" t="s">
        <v>1581</v>
      </c>
      <c r="M966" t="s">
        <v>1581</v>
      </c>
      <c r="N966" t="s">
        <v>1581</v>
      </c>
      <c r="O966" t="s">
        <v>1581</v>
      </c>
      <c r="P966" t="s">
        <v>1581</v>
      </c>
      <c r="Q966" t="s">
        <v>1581</v>
      </c>
      <c r="R966" t="s">
        <v>1581</v>
      </c>
      <c r="S966" t="s">
        <v>1581</v>
      </c>
      <c r="T966" t="s">
        <v>1581</v>
      </c>
      <c r="U966" t="s">
        <v>1581</v>
      </c>
      <c r="V966" t="str" cm="1">
        <f t="array" aca="1" ref="V966" ca="1">IFERROR(_xlfn.IFS(A964="  ..............",OFFSET(A964,2,0),A963=" X-------------X",OFFSET(A963,3,0),MATCH("  ..............",A966:A975,0)&gt;2,V965),"-")</f>
        <v>-</v>
      </c>
      <c r="W966" t="str">
        <f t="shared" ca="1" si="45"/>
        <v>-</v>
      </c>
      <c r="X966" t="str">
        <f t="shared" ca="1" si="46"/>
        <v xml:space="preserve">              </v>
      </c>
      <c r="Y966" s="1">
        <f t="shared" ca="1" si="47"/>
        <v>0</v>
      </c>
    </row>
    <row r="967" spans="1:25" x14ac:dyDescent="0.25">
      <c r="A967" t="s">
        <v>2345</v>
      </c>
      <c r="B967">
        <v>-56.7</v>
      </c>
      <c r="C967">
        <v>0</v>
      </c>
      <c r="D967">
        <v>0</v>
      </c>
      <c r="E967">
        <v>4.9000000000000004</v>
      </c>
      <c r="F967">
        <v>0</v>
      </c>
      <c r="G967">
        <v>0</v>
      </c>
      <c r="H967">
        <v>0</v>
      </c>
      <c r="I967" t="s">
        <v>1584</v>
      </c>
      <c r="J967" t="s">
        <v>1585</v>
      </c>
      <c r="K967" t="s">
        <v>1586</v>
      </c>
      <c r="L967" t="s">
        <v>1587</v>
      </c>
      <c r="M967" t="s">
        <v>1587</v>
      </c>
      <c r="N967" t="s">
        <v>1586</v>
      </c>
      <c r="O967" t="s">
        <v>1581</v>
      </c>
      <c r="P967" t="s">
        <v>1581</v>
      </c>
      <c r="Q967" t="s">
        <v>1581</v>
      </c>
      <c r="R967" t="s">
        <v>1581</v>
      </c>
      <c r="S967" t="s">
        <v>1581</v>
      </c>
      <c r="T967" t="s">
        <v>1581</v>
      </c>
      <c r="U967" t="s">
        <v>1581</v>
      </c>
      <c r="V967" t="str" cm="1">
        <f t="array" aca="1" ref="V967" ca="1">IFERROR(_xlfn.IFS(A965="  ..............",OFFSET(A965,2,0),A964=" X-------------X",OFFSET(A964,3,0),MATCH("  ..............",A967:A976,0)&gt;2,V966),"-")</f>
        <v xml:space="preserve">  VAIRT5-RS013  </v>
      </c>
      <c r="W967">
        <f t="shared" ca="1" si="45"/>
        <v>1.111</v>
      </c>
      <c r="X967" t="str">
        <f t="shared" ca="1" si="46"/>
        <v xml:space="preserve"> VENAIR-RS069 </v>
      </c>
      <c r="Y967" s="1">
        <f t="shared" ca="1" si="47"/>
        <v>0.318</v>
      </c>
    </row>
    <row r="968" spans="1:25" x14ac:dyDescent="0.25">
      <c r="A968" t="s">
        <v>1588</v>
      </c>
      <c r="B968" t="s">
        <v>1587</v>
      </c>
      <c r="C968">
        <v>25</v>
      </c>
      <c r="D968">
        <v>37</v>
      </c>
      <c r="E968">
        <v>37</v>
      </c>
      <c r="F968" s="1">
        <v>0.46</v>
      </c>
      <c r="G968" t="s">
        <v>1587</v>
      </c>
      <c r="H968" t="s">
        <v>1587</v>
      </c>
      <c r="I968">
        <v>1298</v>
      </c>
      <c r="J968" t="s">
        <v>2343</v>
      </c>
      <c r="K968">
        <v>1</v>
      </c>
      <c r="L968">
        <v>-11.8</v>
      </c>
      <c r="M968">
        <v>-4.9000000000000004</v>
      </c>
      <c r="N968">
        <v>11.5</v>
      </c>
      <c r="O968" t="s">
        <v>1594</v>
      </c>
      <c r="P968" t="s">
        <v>1584</v>
      </c>
      <c r="Q968" t="s">
        <v>1591</v>
      </c>
      <c r="R968">
        <v>0.02</v>
      </c>
      <c r="S968">
        <v>0.49</v>
      </c>
      <c r="T968" t="s">
        <v>1584</v>
      </c>
      <c r="U968" t="s">
        <v>1592</v>
      </c>
      <c r="V968" t="str" cm="1">
        <f t="array" aca="1" ref="V968" ca="1">IFERROR(_xlfn.IFS(A966="  ..............",OFFSET(A966,2,0),A965=" X-------------X",OFFSET(A965,3,0),MATCH("  ..............",A968:A977,0)&gt;2,V967),"-")</f>
        <v>-</v>
      </c>
      <c r="W968" t="str">
        <f t="shared" ca="1" si="45"/>
        <v>-</v>
      </c>
      <c r="X968" t="str">
        <f t="shared" ca="1" si="46"/>
        <v>-</v>
      </c>
      <c r="Y968" s="1" t="str">
        <f t="shared" ca="1" si="47"/>
        <v>-</v>
      </c>
    </row>
    <row r="969" spans="1:25" x14ac:dyDescent="0.25">
      <c r="A969" t="s">
        <v>1572</v>
      </c>
      <c r="B969" t="s">
        <v>1574</v>
      </c>
      <c r="C969" t="s">
        <v>1574</v>
      </c>
      <c r="D969" t="s">
        <v>1574</v>
      </c>
      <c r="E969" t="s">
        <v>1574</v>
      </c>
      <c r="F969" t="s">
        <v>1575</v>
      </c>
      <c r="G969" t="s">
        <v>1574</v>
      </c>
      <c r="H969" t="s">
        <v>1574</v>
      </c>
      <c r="I969" t="s">
        <v>1576</v>
      </c>
      <c r="J969" t="s">
        <v>1573</v>
      </c>
      <c r="K969" t="s">
        <v>1577</v>
      </c>
      <c r="L969" t="s">
        <v>1574</v>
      </c>
      <c r="M969" t="s">
        <v>1574</v>
      </c>
      <c r="N969" t="s">
        <v>1574</v>
      </c>
      <c r="O969" t="s">
        <v>1578</v>
      </c>
      <c r="P969" t="s">
        <v>1576</v>
      </c>
      <c r="Q969" t="s">
        <v>1579</v>
      </c>
      <c r="R969" t="s">
        <v>1580</v>
      </c>
      <c r="S969" t="s">
        <v>1580</v>
      </c>
      <c r="T969" t="s">
        <v>1576</v>
      </c>
      <c r="U969" t="s">
        <v>1576</v>
      </c>
      <c r="V969" t="str" cm="1">
        <f t="array" aca="1" ref="V969" ca="1">IFERROR(_xlfn.IFS(A967="  ..............",OFFSET(A967,2,0),A966=" X-------------X",OFFSET(A966,3,0),MATCH("  ..............",A969:A978,0)&gt;2,V968),"-")</f>
        <v>-</v>
      </c>
      <c r="W969" t="str">
        <f t="shared" ca="1" si="45"/>
        <v>-</v>
      </c>
      <c r="X969" t="str">
        <f t="shared" ca="1" si="46"/>
        <v/>
      </c>
      <c r="Y969" s="1" t="str">
        <f t="shared" ca="1" si="47"/>
        <v/>
      </c>
    </row>
    <row r="970" spans="1:25" x14ac:dyDescent="0.25">
      <c r="A970" t="s">
        <v>2346</v>
      </c>
      <c r="B970">
        <v>1.0149999999999999</v>
      </c>
      <c r="C970">
        <v>3.8</v>
      </c>
      <c r="D970">
        <v>0</v>
      </c>
      <c r="E970">
        <v>47.9</v>
      </c>
      <c r="F970">
        <v>0</v>
      </c>
      <c r="G970">
        <v>3.7</v>
      </c>
      <c r="H970">
        <v>0</v>
      </c>
      <c r="I970" t="s">
        <v>1581</v>
      </c>
      <c r="J970" t="s">
        <v>1581</v>
      </c>
      <c r="K970" t="s">
        <v>1581</v>
      </c>
      <c r="L970" t="s">
        <v>1581</v>
      </c>
      <c r="M970" t="s">
        <v>1581</v>
      </c>
      <c r="N970" t="s">
        <v>1581</v>
      </c>
      <c r="O970" t="s">
        <v>1581</v>
      </c>
      <c r="P970" t="s">
        <v>1581</v>
      </c>
      <c r="Q970" t="s">
        <v>1581</v>
      </c>
      <c r="R970" t="s">
        <v>1581</v>
      </c>
      <c r="S970" t="s">
        <v>1581</v>
      </c>
      <c r="T970" t="s">
        <v>1581</v>
      </c>
      <c r="U970" t="s">
        <v>1581</v>
      </c>
      <c r="V970" t="str" cm="1">
        <f t="array" aca="1" ref="V970" ca="1">IFERROR(_xlfn.IFS(A968="  ..............",OFFSET(A968,2,0),A967=" X-------------X",OFFSET(A967,3,0),MATCH("  ..............",A970:A979,0)&gt;2,V969),"-")</f>
        <v>-</v>
      </c>
      <c r="W970" t="str">
        <f t="shared" ca="1" si="45"/>
        <v>-</v>
      </c>
      <c r="X970" t="str">
        <f t="shared" ca="1" si="46"/>
        <v xml:space="preserve">              </v>
      </c>
      <c r="Y970" s="1">
        <f t="shared" ca="1" si="47"/>
        <v>0</v>
      </c>
    </row>
    <row r="971" spans="1:25" x14ac:dyDescent="0.25">
      <c r="A971" t="s">
        <v>2347</v>
      </c>
      <c r="B971">
        <v>-52.5</v>
      </c>
      <c r="C971">
        <v>0</v>
      </c>
      <c r="D971">
        <v>0</v>
      </c>
      <c r="E971">
        <v>26.4</v>
      </c>
      <c r="F971">
        <v>0</v>
      </c>
      <c r="G971">
        <v>0</v>
      </c>
      <c r="H971">
        <v>0</v>
      </c>
      <c r="I971" t="s">
        <v>1584</v>
      </c>
      <c r="J971" t="s">
        <v>1585</v>
      </c>
      <c r="K971" t="s">
        <v>1586</v>
      </c>
      <c r="L971" t="s">
        <v>1587</v>
      </c>
      <c r="M971" t="s">
        <v>1587</v>
      </c>
      <c r="N971" t="s">
        <v>1586</v>
      </c>
      <c r="O971" t="s">
        <v>1581</v>
      </c>
      <c r="P971" t="s">
        <v>1581</v>
      </c>
      <c r="Q971" t="s">
        <v>1581</v>
      </c>
      <c r="R971" t="s">
        <v>1581</v>
      </c>
      <c r="S971" t="s">
        <v>1581</v>
      </c>
      <c r="T971" t="s">
        <v>1581</v>
      </c>
      <c r="U971" t="s">
        <v>1581</v>
      </c>
      <c r="V971" t="str" cm="1">
        <f t="array" aca="1" ref="V971" ca="1">IFERROR(_xlfn.IFS(A969="  ..............",OFFSET(A969,2,0),A968=" X-------------X",OFFSET(A968,3,0),MATCH("  ..............",A971:A980,0)&gt;2,V970),"-")</f>
        <v xml:space="preserve">  CANOA3-RS138  </v>
      </c>
      <c r="W971">
        <f t="shared" ca="1" si="45"/>
        <v>1.0149999999999999</v>
      </c>
      <c r="X971" t="str">
        <f t="shared" ca="1" si="46"/>
        <v xml:space="preserve"> CINPAL-RS138 </v>
      </c>
      <c r="Y971" s="1">
        <f t="shared" ca="1" si="47"/>
        <v>0.36</v>
      </c>
    </row>
    <row r="972" spans="1:25" x14ac:dyDescent="0.25">
      <c r="A972" t="s">
        <v>1588</v>
      </c>
      <c r="B972" t="s">
        <v>1587</v>
      </c>
      <c r="C972">
        <v>143</v>
      </c>
      <c r="D972">
        <v>167</v>
      </c>
      <c r="E972">
        <v>167</v>
      </c>
      <c r="F972" s="1">
        <v>0.34200000000000003</v>
      </c>
      <c r="G972" t="s">
        <v>1587</v>
      </c>
      <c r="H972" t="s">
        <v>1587</v>
      </c>
      <c r="I972">
        <v>1257</v>
      </c>
      <c r="J972" t="s">
        <v>1877</v>
      </c>
      <c r="K972">
        <v>1</v>
      </c>
      <c r="L972">
        <v>-44.1</v>
      </c>
      <c r="M972">
        <v>-22.7</v>
      </c>
      <c r="N972">
        <v>48.9</v>
      </c>
      <c r="O972" t="s">
        <v>1594</v>
      </c>
      <c r="P972" t="s">
        <v>1584</v>
      </c>
      <c r="Q972" t="s">
        <v>1591</v>
      </c>
      <c r="R972">
        <v>7.0000000000000007E-2</v>
      </c>
      <c r="S972">
        <v>-0.04</v>
      </c>
      <c r="T972" t="s">
        <v>1584</v>
      </c>
      <c r="U972" t="s">
        <v>1592</v>
      </c>
      <c r="V972" t="str" cm="1">
        <f t="array" aca="1" ref="V972" ca="1">IFERROR(_xlfn.IFS(A970="  ..............",OFFSET(A970,2,0),A969=" X-------------X",OFFSET(A969,3,0),MATCH("  ..............",A972:A981,0)&gt;2,V971),"-")</f>
        <v xml:space="preserve">  CANOA3-RS138  </v>
      </c>
      <c r="W972">
        <f t="shared" ca="1" si="45"/>
        <v>1.0149999999999999</v>
      </c>
      <c r="X972" t="str">
        <f t="shared" ca="1" si="46"/>
        <v xml:space="preserve"> CACHO3-RS138 </v>
      </c>
      <c r="Y972" s="1">
        <f t="shared" ca="1" si="47"/>
        <v>0.37</v>
      </c>
    </row>
    <row r="973" spans="1:25" x14ac:dyDescent="0.25">
      <c r="A973" t="s">
        <v>1637</v>
      </c>
      <c r="B973" t="s">
        <v>1638</v>
      </c>
      <c r="C973">
        <v>108</v>
      </c>
      <c r="D973">
        <v>108</v>
      </c>
      <c r="E973">
        <v>108</v>
      </c>
      <c r="F973" t="s">
        <v>1639</v>
      </c>
      <c r="G973" t="s">
        <v>1587</v>
      </c>
      <c r="H973" t="s">
        <v>1587</v>
      </c>
      <c r="I973">
        <v>9305</v>
      </c>
      <c r="J973" t="s">
        <v>2226</v>
      </c>
      <c r="K973">
        <v>1</v>
      </c>
      <c r="L973">
        <v>0</v>
      </c>
      <c r="M973">
        <v>0</v>
      </c>
      <c r="N973">
        <v>0</v>
      </c>
      <c r="O973" t="s">
        <v>1594</v>
      </c>
      <c r="P973" t="s">
        <v>1584</v>
      </c>
      <c r="Q973" t="s">
        <v>1591</v>
      </c>
      <c r="R973">
        <v>0</v>
      </c>
      <c r="S973">
        <v>0</v>
      </c>
      <c r="T973" t="s">
        <v>1584</v>
      </c>
      <c r="U973" t="s">
        <v>1592</v>
      </c>
      <c r="V973" t="str" cm="1">
        <f t="array" aca="1" ref="V973" ca="1">IFERROR(_xlfn.IFS(A971="  ..............",OFFSET(A971,2,0),A970=" X-------------X",OFFSET(A970,3,0),MATCH("  ..............",A973:A982,0)&gt;2,V972),"-")</f>
        <v>-</v>
      </c>
      <c r="W973" t="str">
        <f t="shared" ca="1" si="45"/>
        <v>-</v>
      </c>
      <c r="X973" t="str">
        <f t="shared" ca="1" si="46"/>
        <v>-</v>
      </c>
      <c r="Y973" s="1" t="str">
        <f t="shared" ca="1" si="47"/>
        <v>-</v>
      </c>
    </row>
    <row r="974" spans="1:25" x14ac:dyDescent="0.25">
      <c r="A974" t="s">
        <v>1572</v>
      </c>
      <c r="B974" t="s">
        <v>1574</v>
      </c>
      <c r="C974" t="s">
        <v>1574</v>
      </c>
      <c r="D974" t="s">
        <v>1574</v>
      </c>
      <c r="E974" t="s">
        <v>1574</v>
      </c>
      <c r="F974" t="s">
        <v>1575</v>
      </c>
      <c r="G974" t="s">
        <v>1574</v>
      </c>
      <c r="H974" t="s">
        <v>1574</v>
      </c>
      <c r="I974" t="s">
        <v>1576</v>
      </c>
      <c r="J974" t="s">
        <v>1573</v>
      </c>
      <c r="K974" t="s">
        <v>1577</v>
      </c>
      <c r="L974" t="s">
        <v>1574</v>
      </c>
      <c r="M974" t="s">
        <v>1574</v>
      </c>
      <c r="N974" t="s">
        <v>1574</v>
      </c>
      <c r="O974" t="s">
        <v>1578</v>
      </c>
      <c r="P974" t="s">
        <v>1576</v>
      </c>
      <c r="Q974" t="s">
        <v>1579</v>
      </c>
      <c r="R974" t="s">
        <v>1580</v>
      </c>
      <c r="S974" t="s">
        <v>1580</v>
      </c>
      <c r="T974" t="s">
        <v>1576</v>
      </c>
      <c r="U974" t="s">
        <v>1576</v>
      </c>
      <c r="V974" t="str" cm="1">
        <f t="array" aca="1" ref="V974" ca="1">IFERROR(_xlfn.IFS(A972="  ..............",OFFSET(A972,2,0),A971=" X-------------X",OFFSET(A971,3,0),MATCH("  ..............",A974:A983,0)&gt;2,V973),"-")</f>
        <v>-</v>
      </c>
      <c r="W974" t="str">
        <f t="shared" ca="1" si="45"/>
        <v>-</v>
      </c>
      <c r="X974" t="str">
        <f t="shared" ca="1" si="46"/>
        <v/>
      </c>
      <c r="Y974" s="1" t="str">
        <f t="shared" ca="1" si="47"/>
        <v/>
      </c>
    </row>
    <row r="975" spans="1:25" x14ac:dyDescent="0.25">
      <c r="A975" t="s">
        <v>2348</v>
      </c>
      <c r="B975">
        <v>1.0149999999999999</v>
      </c>
      <c r="C975">
        <v>4.7</v>
      </c>
      <c r="D975">
        <v>0</v>
      </c>
      <c r="E975">
        <v>46.6</v>
      </c>
      <c r="F975">
        <v>0</v>
      </c>
      <c r="G975">
        <v>5.6</v>
      </c>
      <c r="H975">
        <v>0</v>
      </c>
      <c r="I975" t="s">
        <v>1581</v>
      </c>
      <c r="J975" t="s">
        <v>1581</v>
      </c>
      <c r="K975" t="s">
        <v>1581</v>
      </c>
      <c r="L975" t="s">
        <v>1581</v>
      </c>
      <c r="M975" t="s">
        <v>1581</v>
      </c>
      <c r="N975" t="s">
        <v>1581</v>
      </c>
      <c r="O975" t="s">
        <v>1581</v>
      </c>
      <c r="P975" t="s">
        <v>1581</v>
      </c>
      <c r="Q975" t="s">
        <v>1581</v>
      </c>
      <c r="R975" t="s">
        <v>1581</v>
      </c>
      <c r="S975" t="s">
        <v>1581</v>
      </c>
      <c r="T975" t="s">
        <v>1581</v>
      </c>
      <c r="U975" t="s">
        <v>1581</v>
      </c>
      <c r="V975" t="str" cm="1">
        <f t="array" aca="1" ref="V975" ca="1">IFERROR(_xlfn.IFS(A973="  ..............",OFFSET(A973,2,0),A972=" X-------------X",OFFSET(A972,3,0),MATCH("  ..............",A975:A984,0)&gt;2,V974),"-")</f>
        <v>-</v>
      </c>
      <c r="W975" t="str">
        <f t="shared" ca="1" si="45"/>
        <v>-</v>
      </c>
      <c r="X975" t="str">
        <f t="shared" ca="1" si="46"/>
        <v xml:space="preserve">              </v>
      </c>
      <c r="Y975" s="1">
        <f t="shared" ca="1" si="47"/>
        <v>0</v>
      </c>
    </row>
    <row r="976" spans="1:25" x14ac:dyDescent="0.25">
      <c r="A976" t="s">
        <v>2349</v>
      </c>
      <c r="B976">
        <v>-53.2</v>
      </c>
      <c r="C976">
        <v>0</v>
      </c>
      <c r="D976">
        <v>0</v>
      </c>
      <c r="E976">
        <v>16.3</v>
      </c>
      <c r="F976">
        <v>0</v>
      </c>
      <c r="G976">
        <v>0</v>
      </c>
      <c r="H976">
        <v>0</v>
      </c>
      <c r="I976" t="s">
        <v>1584</v>
      </c>
      <c r="J976" t="s">
        <v>1585</v>
      </c>
      <c r="K976" t="s">
        <v>1586</v>
      </c>
      <c r="L976" t="s">
        <v>1587</v>
      </c>
      <c r="M976" t="s">
        <v>1587</v>
      </c>
      <c r="N976" t="s">
        <v>1586</v>
      </c>
      <c r="O976" t="s">
        <v>1581</v>
      </c>
      <c r="P976" t="s">
        <v>1581</v>
      </c>
      <c r="Q976" t="s">
        <v>1581</v>
      </c>
      <c r="R976" t="s">
        <v>1581</v>
      </c>
      <c r="S976" t="s">
        <v>1581</v>
      </c>
      <c r="T976" t="s">
        <v>1581</v>
      </c>
      <c r="U976" t="s">
        <v>1581</v>
      </c>
      <c r="V976" t="str" cm="1">
        <f t="array" aca="1" ref="V976" ca="1">IFERROR(_xlfn.IFS(A974="  ..............",OFFSET(A974,2,0),A973=" X-------------X",OFFSET(A973,3,0),MATCH("  ..............",A976:A985,0)&gt;2,V975),"-")</f>
        <v xml:space="preserve">  NHAMB2-RS138  </v>
      </c>
      <c r="W976">
        <f t="shared" ca="1" si="45"/>
        <v>1.0149999999999999</v>
      </c>
      <c r="X976" t="str">
        <f t="shared" ca="1" si="46"/>
        <v xml:space="preserve"> SCHARL-RS138 </v>
      </c>
      <c r="Y976" s="1" t="str">
        <f t="shared" ca="1" si="47"/>
        <v xml:space="preserve">             </v>
      </c>
    </row>
    <row r="977" spans="1:25" x14ac:dyDescent="0.25">
      <c r="A977" t="s">
        <v>1588</v>
      </c>
      <c r="B977" t="s">
        <v>1587</v>
      </c>
      <c r="C977">
        <v>167</v>
      </c>
      <c r="D977">
        <v>203</v>
      </c>
      <c r="E977">
        <v>203</v>
      </c>
      <c r="F977" s="1">
        <v>0.255</v>
      </c>
      <c r="G977" t="s">
        <v>1587</v>
      </c>
      <c r="H977" t="s">
        <v>1587</v>
      </c>
      <c r="I977">
        <v>2090</v>
      </c>
      <c r="J977" t="s">
        <v>1858</v>
      </c>
      <c r="K977">
        <v>1</v>
      </c>
      <c r="L977">
        <v>-41.9</v>
      </c>
      <c r="M977">
        <v>-10.7</v>
      </c>
      <c r="N977">
        <v>42.6</v>
      </c>
      <c r="O977" t="s">
        <v>1594</v>
      </c>
      <c r="P977" t="s">
        <v>1584</v>
      </c>
      <c r="Q977" t="s">
        <v>1591</v>
      </c>
      <c r="R977">
        <v>0.1</v>
      </c>
      <c r="S977">
        <v>-0.18</v>
      </c>
      <c r="T977" t="s">
        <v>1584</v>
      </c>
      <c r="U977" t="s">
        <v>1592</v>
      </c>
      <c r="V977" t="str" cm="1">
        <f t="array" aca="1" ref="V977" ca="1">IFERROR(_xlfn.IFS(A975="  ..............",OFFSET(A975,2,0),A974=" X-------------X",OFFSET(A974,3,0),MATCH("  ..............",A977:A986,0)&gt;2,V976),"-")</f>
        <v>-</v>
      </c>
      <c r="W977" t="str">
        <f t="shared" ca="1" si="45"/>
        <v>-</v>
      </c>
      <c r="X977" t="str">
        <f t="shared" ca="1" si="46"/>
        <v>-</v>
      </c>
      <c r="Y977" s="1" t="str">
        <f t="shared" ca="1" si="47"/>
        <v>-</v>
      </c>
    </row>
    <row r="978" spans="1:25" x14ac:dyDescent="0.25">
      <c r="A978" t="s">
        <v>1572</v>
      </c>
      <c r="B978" t="s">
        <v>1574</v>
      </c>
      <c r="C978" t="s">
        <v>1574</v>
      </c>
      <c r="D978" t="s">
        <v>1574</v>
      </c>
      <c r="E978" t="s">
        <v>1574</v>
      </c>
      <c r="F978" t="s">
        <v>1575</v>
      </c>
      <c r="G978" t="s">
        <v>1574</v>
      </c>
      <c r="H978" t="s">
        <v>1574</v>
      </c>
      <c r="I978" t="s">
        <v>1576</v>
      </c>
      <c r="J978" t="s">
        <v>1573</v>
      </c>
      <c r="K978" t="s">
        <v>1577</v>
      </c>
      <c r="L978" t="s">
        <v>1574</v>
      </c>
      <c r="M978" t="s">
        <v>1574</v>
      </c>
      <c r="N978" t="s">
        <v>1574</v>
      </c>
      <c r="O978" t="s">
        <v>1578</v>
      </c>
      <c r="P978" t="s">
        <v>1576</v>
      </c>
      <c r="Q978" t="s">
        <v>1579</v>
      </c>
      <c r="R978" t="s">
        <v>1580</v>
      </c>
      <c r="S978" t="s">
        <v>1580</v>
      </c>
      <c r="T978" t="s">
        <v>1576</v>
      </c>
      <c r="U978" t="s">
        <v>1576</v>
      </c>
      <c r="V978" t="str" cm="1">
        <f t="array" aca="1" ref="V978" ca="1">IFERROR(_xlfn.IFS(A976="  ..............",OFFSET(A976,2,0),A975=" X-------------X",OFFSET(A975,3,0),MATCH("  ..............",A978:A987,0)&gt;2,V977),"-")</f>
        <v>-</v>
      </c>
      <c r="W978" t="str">
        <f t="shared" ca="1" si="45"/>
        <v>-</v>
      </c>
      <c r="X978" t="str">
        <f t="shared" ca="1" si="46"/>
        <v/>
      </c>
      <c r="Y978" s="1" t="str">
        <f t="shared" ca="1" si="47"/>
        <v/>
      </c>
    </row>
    <row r="979" spans="1:25" x14ac:dyDescent="0.25">
      <c r="A979" t="s">
        <v>2350</v>
      </c>
      <c r="B979">
        <v>1.083</v>
      </c>
      <c r="C979">
        <v>3</v>
      </c>
      <c r="D979">
        <v>0</v>
      </c>
      <c r="E979">
        <v>24.9</v>
      </c>
      <c r="F979">
        <v>0</v>
      </c>
      <c r="G979">
        <v>8.4</v>
      </c>
      <c r="H979">
        <v>0</v>
      </c>
      <c r="I979" t="s">
        <v>1581</v>
      </c>
      <c r="J979" t="s">
        <v>1581</v>
      </c>
      <c r="K979" t="s">
        <v>1581</v>
      </c>
      <c r="L979" t="s">
        <v>1581</v>
      </c>
      <c r="M979" t="s">
        <v>1581</v>
      </c>
      <c r="N979" t="s">
        <v>1581</v>
      </c>
      <c r="O979" t="s">
        <v>1581</v>
      </c>
      <c r="P979" t="s">
        <v>1581</v>
      </c>
      <c r="Q979" t="s">
        <v>1581</v>
      </c>
      <c r="R979" t="s">
        <v>1581</v>
      </c>
      <c r="S979" t="s">
        <v>1581</v>
      </c>
      <c r="T979" t="s">
        <v>1581</v>
      </c>
      <c r="U979" t="s">
        <v>1581</v>
      </c>
      <c r="V979" t="str" cm="1">
        <f t="array" aca="1" ref="V979" ca="1">IFERROR(_xlfn.IFS(A977="  ..............",OFFSET(A977,2,0),A976=" X-------------X",OFFSET(A976,3,0),MATCH("  ..............",A979:A988,0)&gt;2,V978),"-")</f>
        <v>-</v>
      </c>
      <c r="W979" t="str">
        <f t="shared" ca="1" si="45"/>
        <v>-</v>
      </c>
      <c r="X979" t="str">
        <f t="shared" ca="1" si="46"/>
        <v xml:space="preserve">              </v>
      </c>
      <c r="Y979" s="1">
        <f t="shared" ca="1" si="47"/>
        <v>0</v>
      </c>
    </row>
    <row r="980" spans="1:25" x14ac:dyDescent="0.25">
      <c r="A980" t="s">
        <v>2351</v>
      </c>
      <c r="B980">
        <v>-54.8</v>
      </c>
      <c r="C980">
        <v>0</v>
      </c>
      <c r="D980">
        <v>0</v>
      </c>
      <c r="E980">
        <v>10.3</v>
      </c>
      <c r="F980">
        <v>0</v>
      </c>
      <c r="G980">
        <v>0</v>
      </c>
      <c r="H980">
        <v>0</v>
      </c>
      <c r="I980" t="s">
        <v>1584</v>
      </c>
      <c r="J980" t="s">
        <v>1585</v>
      </c>
      <c r="K980" t="s">
        <v>1586</v>
      </c>
      <c r="L980" t="s">
        <v>1587</v>
      </c>
      <c r="M980" t="s">
        <v>1587</v>
      </c>
      <c r="N980" t="s">
        <v>1586</v>
      </c>
      <c r="O980" t="s">
        <v>1581</v>
      </c>
      <c r="P980" t="s">
        <v>1581</v>
      </c>
      <c r="Q980" t="s">
        <v>1581</v>
      </c>
      <c r="R980" t="s">
        <v>1581</v>
      </c>
      <c r="S980" t="s">
        <v>1581</v>
      </c>
      <c r="T980" t="s">
        <v>1581</v>
      </c>
      <c r="U980" t="s">
        <v>1581</v>
      </c>
      <c r="V980" t="str" cm="1">
        <f t="array" aca="1" ref="V980" ca="1">IFERROR(_xlfn.IFS(A978="  ..............",OFFSET(A978,2,0),A977=" X-------------X",OFFSET(A977,3,0),MATCH("  ..............",A980:A989,0)&gt;2,V979),"-")</f>
        <v xml:space="preserve">  CBOM-B-RS023  </v>
      </c>
      <c r="W980">
        <f t="shared" ca="1" si="45"/>
        <v>1.083</v>
      </c>
      <c r="X980" t="str">
        <f t="shared" ca="1" si="46"/>
        <v xml:space="preserve"> CBOM-6-RS000 </v>
      </c>
      <c r="Y980" s="1">
        <f t="shared" ca="1" si="47"/>
        <v>0.27100000000000002</v>
      </c>
    </row>
    <row r="981" spans="1:25" x14ac:dyDescent="0.25">
      <c r="A981" t="s">
        <v>1588</v>
      </c>
      <c r="B981" t="s">
        <v>1587</v>
      </c>
      <c r="C981">
        <v>75</v>
      </c>
      <c r="D981">
        <v>90</v>
      </c>
      <c r="E981">
        <v>90</v>
      </c>
      <c r="F981" s="1">
        <v>0.27100000000000002</v>
      </c>
      <c r="G981" t="s">
        <v>1587</v>
      </c>
      <c r="H981" t="s">
        <v>1587</v>
      </c>
      <c r="I981">
        <v>41236</v>
      </c>
      <c r="J981" t="s">
        <v>2352</v>
      </c>
      <c r="K981">
        <v>6</v>
      </c>
      <c r="L981">
        <v>-21.9</v>
      </c>
      <c r="M981">
        <v>-1.9</v>
      </c>
      <c r="N981">
        <v>20.3</v>
      </c>
      <c r="O981" t="s">
        <v>1608</v>
      </c>
      <c r="P981" t="s">
        <v>1584</v>
      </c>
      <c r="Q981">
        <v>2</v>
      </c>
      <c r="R981">
        <v>0</v>
      </c>
      <c r="S981">
        <v>-0.03</v>
      </c>
      <c r="T981" t="s">
        <v>1584</v>
      </c>
      <c r="U981" t="s">
        <v>1592</v>
      </c>
      <c r="V981" t="str" cm="1">
        <f t="array" aca="1" ref="V981" ca="1">IFERROR(_xlfn.IFS(A979="  ..............",OFFSET(A979,2,0),A978=" X-------------X",OFFSET(A978,3,0),MATCH("  ..............",A981:A990,0)&gt;2,V980),"-")</f>
        <v>-</v>
      </c>
      <c r="W981" t="str">
        <f t="shared" ca="1" si="45"/>
        <v>-</v>
      </c>
      <c r="X981" t="str">
        <f t="shared" ca="1" si="46"/>
        <v>-</v>
      </c>
      <c r="Y981" s="1" t="str">
        <f t="shared" ca="1" si="47"/>
        <v>-</v>
      </c>
    </row>
    <row r="982" spans="1:25" x14ac:dyDescent="0.25">
      <c r="A982" t="s">
        <v>1572</v>
      </c>
      <c r="B982" t="s">
        <v>1574</v>
      </c>
      <c r="C982" t="s">
        <v>1574</v>
      </c>
      <c r="D982" t="s">
        <v>1574</v>
      </c>
      <c r="E982" t="s">
        <v>1574</v>
      </c>
      <c r="F982" t="s">
        <v>1575</v>
      </c>
      <c r="G982" t="s">
        <v>1574</v>
      </c>
      <c r="H982" t="s">
        <v>1574</v>
      </c>
      <c r="I982" t="s">
        <v>1576</v>
      </c>
      <c r="J982" t="s">
        <v>1573</v>
      </c>
      <c r="K982" t="s">
        <v>1577</v>
      </c>
      <c r="L982" t="s">
        <v>1574</v>
      </c>
      <c r="M982" t="s">
        <v>1574</v>
      </c>
      <c r="N982" t="s">
        <v>1574</v>
      </c>
      <c r="O982" t="s">
        <v>1578</v>
      </c>
      <c r="P982" t="s">
        <v>1576</v>
      </c>
      <c r="Q982" t="s">
        <v>1579</v>
      </c>
      <c r="R982" t="s">
        <v>1580</v>
      </c>
      <c r="S982" t="s">
        <v>1580</v>
      </c>
      <c r="T982" t="s">
        <v>1576</v>
      </c>
      <c r="U982" t="s">
        <v>1576</v>
      </c>
      <c r="V982" t="str" cm="1">
        <f t="array" aca="1" ref="V982" ca="1">IFERROR(_xlfn.IFS(A980="  ..............",OFFSET(A980,2,0),A979=" X-------------X",OFFSET(A979,3,0),MATCH("  ..............",A982:A991,0)&gt;2,V981),"-")</f>
        <v>-</v>
      </c>
      <c r="W982" t="str">
        <f t="shared" ca="1" si="45"/>
        <v>-</v>
      </c>
      <c r="X982" t="str">
        <f t="shared" ca="1" si="46"/>
        <v/>
      </c>
      <c r="Y982" s="1" t="str">
        <f t="shared" ca="1" si="47"/>
        <v/>
      </c>
    </row>
    <row r="983" spans="1:25" x14ac:dyDescent="0.25">
      <c r="A983" t="s">
        <v>2353</v>
      </c>
      <c r="B983">
        <v>1.093</v>
      </c>
      <c r="C983">
        <v>3.2</v>
      </c>
      <c r="D983">
        <v>0</v>
      </c>
      <c r="E983">
        <v>26.6</v>
      </c>
      <c r="F983">
        <v>0</v>
      </c>
      <c r="G983">
        <v>8.6</v>
      </c>
      <c r="H983">
        <v>0</v>
      </c>
      <c r="I983" t="s">
        <v>1581</v>
      </c>
      <c r="J983" t="s">
        <v>1581</v>
      </c>
      <c r="K983" t="s">
        <v>1581</v>
      </c>
      <c r="L983" t="s">
        <v>1581</v>
      </c>
      <c r="M983" t="s">
        <v>1581</v>
      </c>
      <c r="N983" t="s">
        <v>1581</v>
      </c>
      <c r="O983" t="s">
        <v>1581</v>
      </c>
      <c r="P983" t="s">
        <v>1581</v>
      </c>
      <c r="Q983" t="s">
        <v>1581</v>
      </c>
      <c r="R983" t="s">
        <v>1581</v>
      </c>
      <c r="S983" t="s">
        <v>1581</v>
      </c>
      <c r="T983" t="s">
        <v>1581</v>
      </c>
      <c r="U983" t="s">
        <v>1581</v>
      </c>
      <c r="V983" t="str" cm="1">
        <f t="array" aca="1" ref="V983" ca="1">IFERROR(_xlfn.IFS(A981="  ..............",OFFSET(A981,2,0),A980=" X-------------X",OFFSET(A980,3,0),MATCH("  ..............",A983:A992,0)&gt;2,V982),"-")</f>
        <v>-</v>
      </c>
      <c r="W983" t="str">
        <f t="shared" ca="1" si="45"/>
        <v>-</v>
      </c>
      <c r="X983" t="str">
        <f t="shared" ca="1" si="46"/>
        <v xml:space="preserve">              </v>
      </c>
      <c r="Y983" s="1">
        <f t="shared" ca="1" si="47"/>
        <v>0</v>
      </c>
    </row>
    <row r="984" spans="1:25" x14ac:dyDescent="0.25">
      <c r="A984" t="s">
        <v>2354</v>
      </c>
      <c r="B984">
        <v>-54.8</v>
      </c>
      <c r="C984">
        <v>0</v>
      </c>
      <c r="D984">
        <v>0</v>
      </c>
      <c r="E984">
        <v>11</v>
      </c>
      <c r="F984">
        <v>0</v>
      </c>
      <c r="G984">
        <v>0</v>
      </c>
      <c r="H984">
        <v>0</v>
      </c>
      <c r="I984" t="s">
        <v>1584</v>
      </c>
      <c r="J984" t="s">
        <v>1585</v>
      </c>
      <c r="K984" t="s">
        <v>1586</v>
      </c>
      <c r="L984" t="s">
        <v>1587</v>
      </c>
      <c r="M984" t="s">
        <v>1587</v>
      </c>
      <c r="N984" t="s">
        <v>1586</v>
      </c>
      <c r="O984" t="s">
        <v>1581</v>
      </c>
      <c r="P984" t="s">
        <v>1581</v>
      </c>
      <c r="Q984" t="s">
        <v>1581</v>
      </c>
      <c r="R984" t="s">
        <v>1581</v>
      </c>
      <c r="S984" t="s">
        <v>1581</v>
      </c>
      <c r="T984" t="s">
        <v>1581</v>
      </c>
      <c r="U984" t="s">
        <v>1581</v>
      </c>
      <c r="V984" t="str" cm="1">
        <f t="array" aca="1" ref="V984" ca="1">IFERROR(_xlfn.IFS(A982="  ..............",OFFSET(A982,2,0),A981=" X-------------X",OFFSET(A981,3,0),MATCH("  ..............",A984:A993,0)&gt;2,V983),"-")</f>
        <v xml:space="preserve">  CIPA-B-RS023  </v>
      </c>
      <c r="W984">
        <f t="shared" ca="1" si="45"/>
        <v>1.093</v>
      </c>
      <c r="X984" t="str">
        <f t="shared" ca="1" si="46"/>
        <v xml:space="preserve"> CIND-2-RS000 </v>
      </c>
      <c r="Y984" s="1">
        <f t="shared" ca="1" si="47"/>
        <v>0.28699999999999998</v>
      </c>
    </row>
    <row r="985" spans="1:25" x14ac:dyDescent="0.25">
      <c r="A985" t="s">
        <v>1588</v>
      </c>
      <c r="B985" t="s">
        <v>1587</v>
      </c>
      <c r="C985">
        <v>75</v>
      </c>
      <c r="D985">
        <v>90</v>
      </c>
      <c r="E985">
        <v>90</v>
      </c>
      <c r="F985" s="1">
        <v>0.28699999999999998</v>
      </c>
      <c r="G985" t="s">
        <v>1587</v>
      </c>
      <c r="H985" t="s">
        <v>1587</v>
      </c>
      <c r="I985">
        <v>41251</v>
      </c>
      <c r="J985" t="s">
        <v>2355</v>
      </c>
      <c r="K985">
        <v>2</v>
      </c>
      <c r="L985">
        <v>-23.4</v>
      </c>
      <c r="M985">
        <v>-2.4</v>
      </c>
      <c r="N985">
        <v>21.5</v>
      </c>
      <c r="O985" t="s">
        <v>1608</v>
      </c>
      <c r="P985" t="s">
        <v>1584</v>
      </c>
      <c r="Q985">
        <v>2</v>
      </c>
      <c r="R985">
        <v>0</v>
      </c>
      <c r="S985">
        <v>-0.03</v>
      </c>
      <c r="T985" t="s">
        <v>1584</v>
      </c>
      <c r="U985" t="s">
        <v>1592</v>
      </c>
      <c r="V985" t="str" cm="1">
        <f t="array" aca="1" ref="V985" ca="1">IFERROR(_xlfn.IFS(A983="  ..............",OFFSET(A983,2,0),A982=" X-------------X",OFFSET(A982,3,0),MATCH("  ..............",A985:A994,0)&gt;2,V984),"-")</f>
        <v>-</v>
      </c>
      <c r="W985" t="str">
        <f t="shared" ca="1" si="45"/>
        <v>-</v>
      </c>
      <c r="X985" t="str">
        <f t="shared" ca="1" si="46"/>
        <v>-</v>
      </c>
      <c r="Y985" s="1" t="str">
        <f t="shared" ca="1" si="47"/>
        <v>-</v>
      </c>
    </row>
    <row r="986" spans="1:25" x14ac:dyDescent="0.25">
      <c r="A986" t="s">
        <v>1572</v>
      </c>
      <c r="B986" t="s">
        <v>1574</v>
      </c>
      <c r="C986" t="s">
        <v>1574</v>
      </c>
      <c r="D986" t="s">
        <v>1574</v>
      </c>
      <c r="E986" t="s">
        <v>1574</v>
      </c>
      <c r="F986" t="s">
        <v>1575</v>
      </c>
      <c r="G986" t="s">
        <v>1574</v>
      </c>
      <c r="H986" t="s">
        <v>1574</v>
      </c>
      <c r="I986" t="s">
        <v>1576</v>
      </c>
      <c r="J986" t="s">
        <v>1573</v>
      </c>
      <c r="K986" t="s">
        <v>1577</v>
      </c>
      <c r="L986" t="s">
        <v>1574</v>
      </c>
      <c r="M986" t="s">
        <v>1574</v>
      </c>
      <c r="N986" t="s">
        <v>1574</v>
      </c>
      <c r="O986" t="s">
        <v>1578</v>
      </c>
      <c r="P986" t="s">
        <v>1576</v>
      </c>
      <c r="Q986" t="s">
        <v>1579</v>
      </c>
      <c r="R986" t="s">
        <v>1580</v>
      </c>
      <c r="S986" t="s">
        <v>1580</v>
      </c>
      <c r="T986" t="s">
        <v>1576</v>
      </c>
      <c r="U986" t="s">
        <v>1576</v>
      </c>
      <c r="V986" t="str" cm="1">
        <f t="array" aca="1" ref="V986" ca="1">IFERROR(_xlfn.IFS(A984="  ..............",OFFSET(A984,2,0),A983=" X-------------X",OFFSET(A983,3,0),MATCH("  ..............",A986:A995,0)&gt;2,V985),"-")</f>
        <v>-</v>
      </c>
      <c r="W986" t="str">
        <f t="shared" ca="1" si="45"/>
        <v>-</v>
      </c>
      <c r="X986" t="str">
        <f t="shared" ca="1" si="46"/>
        <v/>
      </c>
      <c r="Y986" s="1" t="str">
        <f t="shared" ca="1" si="47"/>
        <v/>
      </c>
    </row>
    <row r="987" spans="1:25" x14ac:dyDescent="0.25">
      <c r="A987" t="s">
        <v>2356</v>
      </c>
      <c r="B987">
        <v>0.98899999999999999</v>
      </c>
      <c r="C987">
        <v>35</v>
      </c>
      <c r="D987">
        <v>0</v>
      </c>
      <c r="E987">
        <v>0</v>
      </c>
      <c r="F987">
        <v>0</v>
      </c>
      <c r="G987">
        <v>0</v>
      </c>
      <c r="H987">
        <v>0</v>
      </c>
      <c r="I987" t="s">
        <v>1581</v>
      </c>
      <c r="J987" t="s">
        <v>1581</v>
      </c>
      <c r="K987" t="s">
        <v>1581</v>
      </c>
      <c r="L987" t="s">
        <v>1581</v>
      </c>
      <c r="M987" t="s">
        <v>1581</v>
      </c>
      <c r="N987" t="s">
        <v>1581</v>
      </c>
      <c r="O987" t="s">
        <v>1581</v>
      </c>
      <c r="P987" t="s">
        <v>1581</v>
      </c>
      <c r="Q987" t="s">
        <v>1581</v>
      </c>
      <c r="R987" t="s">
        <v>1581</v>
      </c>
      <c r="S987" t="s">
        <v>1581</v>
      </c>
      <c r="T987" t="s">
        <v>1581</v>
      </c>
      <c r="U987" t="s">
        <v>1581</v>
      </c>
      <c r="V987" t="str" cm="1">
        <f t="array" aca="1" ref="V987" ca="1">IFERROR(_xlfn.IFS(A985="  ..............",OFFSET(A985,2,0),A984=" X-------------X",OFFSET(A984,3,0),MATCH("  ..............",A987:A996,0)&gt;2,V986),"-")</f>
        <v>-</v>
      </c>
      <c r="W987" t="str">
        <f t="shared" ca="1" si="45"/>
        <v>-</v>
      </c>
      <c r="X987" t="str">
        <f t="shared" ca="1" si="46"/>
        <v xml:space="preserve">              </v>
      </c>
      <c r="Y987" s="1">
        <f t="shared" ca="1" si="47"/>
        <v>0</v>
      </c>
    </row>
    <row r="988" spans="1:25" x14ac:dyDescent="0.25">
      <c r="A988" t="s">
        <v>2357</v>
      </c>
      <c r="B988">
        <v>-36.1</v>
      </c>
      <c r="C988">
        <v>2.5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1584</v>
      </c>
      <c r="J988" t="s">
        <v>1585</v>
      </c>
      <c r="K988" t="s">
        <v>1586</v>
      </c>
      <c r="L988" t="s">
        <v>1587</v>
      </c>
      <c r="M988" t="s">
        <v>1587</v>
      </c>
      <c r="N988" t="s">
        <v>1586</v>
      </c>
      <c r="O988" t="s">
        <v>1581</v>
      </c>
      <c r="P988" t="s">
        <v>1581</v>
      </c>
      <c r="Q988" t="s">
        <v>1581</v>
      </c>
      <c r="R988" t="s">
        <v>1581</v>
      </c>
      <c r="S988" t="s">
        <v>1581</v>
      </c>
      <c r="T988" t="s">
        <v>1581</v>
      </c>
      <c r="U988" t="s">
        <v>1581</v>
      </c>
      <c r="V988" t="str" cm="1">
        <f t="array" aca="1" ref="V988" ca="1">IFERROR(_xlfn.IFS(A986="  ..............",OFFSET(A986,2,0),A985=" X-------------X",OFFSET(A985,3,0),MATCH("  ..............",A988:A997,0)&gt;2,V987),"-")</f>
        <v xml:space="preserve">  PSJOAOUHE001  </v>
      </c>
      <c r="W988">
        <f t="shared" ca="1" si="45"/>
        <v>0.98899999999999999</v>
      </c>
      <c r="X988" t="str">
        <f t="shared" ca="1" si="46"/>
        <v xml:space="preserve"> PSJOAO-RS069 </v>
      </c>
      <c r="Y988" s="1">
        <f t="shared" ca="1" si="47"/>
        <v>0.17</v>
      </c>
    </row>
    <row r="989" spans="1:25" x14ac:dyDescent="0.25">
      <c r="A989" t="s">
        <v>1588</v>
      </c>
      <c r="B989" t="s">
        <v>1587</v>
      </c>
      <c r="C989">
        <v>160</v>
      </c>
      <c r="D989">
        <v>160</v>
      </c>
      <c r="E989">
        <v>160</v>
      </c>
      <c r="F989" s="1">
        <v>0.222</v>
      </c>
      <c r="G989" t="s">
        <v>1587</v>
      </c>
      <c r="H989" t="s">
        <v>1587</v>
      </c>
      <c r="I989">
        <v>9219</v>
      </c>
      <c r="J989" t="s">
        <v>2239</v>
      </c>
      <c r="K989">
        <v>1</v>
      </c>
      <c r="L989">
        <v>35</v>
      </c>
      <c r="M989">
        <v>2.5</v>
      </c>
      <c r="N989">
        <v>35.5</v>
      </c>
      <c r="O989" t="s">
        <v>1594</v>
      </c>
      <c r="P989" t="s">
        <v>1584</v>
      </c>
      <c r="Q989" t="s">
        <v>1591</v>
      </c>
      <c r="R989">
        <v>0</v>
      </c>
      <c r="S989">
        <v>3.45</v>
      </c>
      <c r="T989" t="s">
        <v>1584</v>
      </c>
      <c r="U989" t="s">
        <v>1592</v>
      </c>
      <c r="V989" t="str" cm="1">
        <f t="array" aca="1" ref="V989" ca="1">IFERROR(_xlfn.IFS(A987="  ..............",OFFSET(A987,2,0),A986=" X-------------X",OFFSET(A986,3,0),MATCH("  ..............",A989:A998,0)&gt;2,V988),"-")</f>
        <v>-</v>
      </c>
      <c r="W989" t="str">
        <f t="shared" ca="1" si="45"/>
        <v>-</v>
      </c>
      <c r="X989" t="str">
        <f t="shared" ca="1" si="46"/>
        <v>-</v>
      </c>
      <c r="Y989" s="1" t="str">
        <f t="shared" ca="1" si="47"/>
        <v>-</v>
      </c>
    </row>
    <row r="990" spans="1:25" x14ac:dyDescent="0.25">
      <c r="A990" t="s">
        <v>1572</v>
      </c>
      <c r="B990" t="s">
        <v>1574</v>
      </c>
      <c r="C990" t="s">
        <v>1574</v>
      </c>
      <c r="D990" t="s">
        <v>1574</v>
      </c>
      <c r="E990" t="s">
        <v>1574</v>
      </c>
      <c r="F990" t="s">
        <v>1575</v>
      </c>
      <c r="G990" t="s">
        <v>1574</v>
      </c>
      <c r="H990" t="s">
        <v>1574</v>
      </c>
      <c r="I990" t="s">
        <v>1576</v>
      </c>
      <c r="J990" t="s">
        <v>1573</v>
      </c>
      <c r="K990" t="s">
        <v>1577</v>
      </c>
      <c r="L990" t="s">
        <v>1574</v>
      </c>
      <c r="M990" t="s">
        <v>1574</v>
      </c>
      <c r="N990" t="s">
        <v>1574</v>
      </c>
      <c r="O990" t="s">
        <v>1578</v>
      </c>
      <c r="P990" t="s">
        <v>1576</v>
      </c>
      <c r="Q990" t="s">
        <v>1579</v>
      </c>
      <c r="R990" t="s">
        <v>1580</v>
      </c>
      <c r="S990" t="s">
        <v>1580</v>
      </c>
      <c r="T990" t="s">
        <v>1576</v>
      </c>
      <c r="U990" t="s">
        <v>1576</v>
      </c>
      <c r="V990" t="str" cm="1">
        <f t="array" aca="1" ref="V990" ca="1">IFERROR(_xlfn.IFS(A988="  ..............",OFFSET(A988,2,0),A987=" X-------------X",OFFSET(A987,3,0),MATCH("  ..............",A990:A999,0)&gt;2,V989),"-")</f>
        <v>-</v>
      </c>
      <c r="W990" t="str">
        <f t="shared" ca="1" si="45"/>
        <v>-</v>
      </c>
      <c r="X990" t="str">
        <f t="shared" ca="1" si="46"/>
        <v/>
      </c>
      <c r="Y990" s="1" t="str">
        <f t="shared" ca="1" si="47"/>
        <v/>
      </c>
    </row>
    <row r="991" spans="1:25" x14ac:dyDescent="0.25">
      <c r="A991" t="s">
        <v>2358</v>
      </c>
      <c r="B991">
        <v>1.012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 t="s">
        <v>1581</v>
      </c>
      <c r="J991" t="s">
        <v>1581</v>
      </c>
      <c r="K991" t="s">
        <v>1581</v>
      </c>
      <c r="L991" t="s">
        <v>1581</v>
      </c>
      <c r="M991" t="s">
        <v>1581</v>
      </c>
      <c r="N991" t="s">
        <v>1581</v>
      </c>
      <c r="O991" t="s">
        <v>1581</v>
      </c>
      <c r="P991" t="s">
        <v>1581</v>
      </c>
      <c r="Q991" t="s">
        <v>1581</v>
      </c>
      <c r="R991" t="s">
        <v>1581</v>
      </c>
      <c r="S991" t="s">
        <v>1581</v>
      </c>
      <c r="T991" t="s">
        <v>1581</v>
      </c>
      <c r="U991" t="s">
        <v>1581</v>
      </c>
      <c r="V991" t="str" cm="1">
        <f t="array" aca="1" ref="V991" ca="1">IFERROR(_xlfn.IFS(A989="  ..............",OFFSET(A989,2,0),A988=" X-------------X",OFFSET(A988,3,0),MATCH("  ..............",A991:A1000,0)&gt;2,V990),"-")</f>
        <v>-</v>
      </c>
      <c r="W991" t="str">
        <f t="shared" ca="1" si="45"/>
        <v>-</v>
      </c>
      <c r="X991" t="str">
        <f t="shared" ca="1" si="46"/>
        <v xml:space="preserve">              </v>
      </c>
      <c r="Y991" s="1">
        <f t="shared" ca="1" si="47"/>
        <v>0</v>
      </c>
    </row>
    <row r="992" spans="1:25" x14ac:dyDescent="0.25">
      <c r="A992" t="s">
        <v>2359</v>
      </c>
      <c r="B992">
        <v>-41.8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1584</v>
      </c>
      <c r="J992" t="s">
        <v>1585</v>
      </c>
      <c r="K992" t="s">
        <v>1586</v>
      </c>
      <c r="L992" t="s">
        <v>1587</v>
      </c>
      <c r="M992" t="s">
        <v>1587</v>
      </c>
      <c r="N992" t="s">
        <v>1586</v>
      </c>
      <c r="O992" t="s">
        <v>1581</v>
      </c>
      <c r="P992" t="s">
        <v>1581</v>
      </c>
      <c r="Q992" t="s">
        <v>1581</v>
      </c>
      <c r="R992" t="s">
        <v>1581</v>
      </c>
      <c r="S992" t="s">
        <v>1581</v>
      </c>
      <c r="T992" t="s">
        <v>1581</v>
      </c>
      <c r="U992" t="s">
        <v>1581</v>
      </c>
      <c r="V992" t="str" cm="1">
        <f t="array" aca="1" ref="V992" ca="1">IFERROR(_xlfn.IFS(A990="  ..............",OFFSET(A990,2,0),A989=" X-------------X",OFFSET(A989,3,0),MATCH("  ..............",A992:A1001,0)&gt;2,V991),"-")</f>
        <v xml:space="preserve">  PSJOAO-RS069  </v>
      </c>
      <c r="W992">
        <f t="shared" ca="1" si="45"/>
        <v>1.012</v>
      </c>
      <c r="X992" t="str">
        <f t="shared" ca="1" si="46"/>
        <v xml:space="preserve"> MISSOE-RS069 </v>
      </c>
      <c r="Y992" s="1">
        <f t="shared" ca="1" si="47"/>
        <v>0.17</v>
      </c>
    </row>
    <row r="993" spans="1:25" x14ac:dyDescent="0.25">
      <c r="A993" t="s">
        <v>1588</v>
      </c>
      <c r="B993" t="s">
        <v>1587</v>
      </c>
      <c r="C993">
        <v>87</v>
      </c>
      <c r="D993">
        <v>87</v>
      </c>
      <c r="E993">
        <v>87</v>
      </c>
      <c r="F993" s="1">
        <v>0.17</v>
      </c>
      <c r="G993" t="s">
        <v>1587</v>
      </c>
      <c r="H993" t="s">
        <v>1587</v>
      </c>
      <c r="I993">
        <v>2079</v>
      </c>
      <c r="J993" t="s">
        <v>2360</v>
      </c>
      <c r="K993">
        <v>1</v>
      </c>
      <c r="L993">
        <v>14.9</v>
      </c>
      <c r="M993">
        <v>-1.8</v>
      </c>
      <c r="N993">
        <v>14.8</v>
      </c>
      <c r="O993" t="s">
        <v>1594</v>
      </c>
      <c r="P993" t="s">
        <v>1584</v>
      </c>
      <c r="Q993" t="s">
        <v>1591</v>
      </c>
      <c r="R993">
        <v>0.18</v>
      </c>
      <c r="S993">
        <v>0.1</v>
      </c>
      <c r="T993" t="s">
        <v>1584</v>
      </c>
      <c r="U993" t="s">
        <v>1592</v>
      </c>
      <c r="V993" t="str" cm="1">
        <f t="array" aca="1" ref="V993" ca="1">IFERROR(_xlfn.IFS(A991="  ..............",OFFSET(A991,2,0),A990=" X-------------X",OFFSET(A990,3,0),MATCH("  ..............",A993:A1002,0)&gt;2,V992),"-")</f>
        <v xml:space="preserve">  PSJOAO-RS069  </v>
      </c>
      <c r="W993">
        <f t="shared" ca="1" si="45"/>
        <v>1.012</v>
      </c>
      <c r="X993" t="str">
        <f t="shared" ca="1" si="46"/>
        <v xml:space="preserve"> MISSOE-RS069 </v>
      </c>
      <c r="Y993" s="1">
        <f t="shared" ca="1" si="47"/>
        <v>0.17</v>
      </c>
    </row>
    <row r="994" spans="1:25" x14ac:dyDescent="0.25">
      <c r="A994" t="s">
        <v>1588</v>
      </c>
      <c r="B994" t="s">
        <v>1587</v>
      </c>
      <c r="C994">
        <v>87</v>
      </c>
      <c r="D994">
        <v>87</v>
      </c>
      <c r="E994">
        <v>87</v>
      </c>
      <c r="F994" s="1">
        <v>0.17</v>
      </c>
      <c r="G994" t="s">
        <v>1587</v>
      </c>
      <c r="H994" t="s">
        <v>1587</v>
      </c>
      <c r="I994">
        <v>2079</v>
      </c>
      <c r="J994" t="s">
        <v>2360</v>
      </c>
      <c r="K994">
        <v>2</v>
      </c>
      <c r="L994">
        <v>14.9</v>
      </c>
      <c r="M994">
        <v>-1.8</v>
      </c>
      <c r="N994">
        <v>14.8</v>
      </c>
      <c r="O994" t="s">
        <v>1594</v>
      </c>
      <c r="P994" t="s">
        <v>1584</v>
      </c>
      <c r="Q994" t="s">
        <v>1591</v>
      </c>
      <c r="R994">
        <v>0.18</v>
      </c>
      <c r="S994">
        <v>0.1</v>
      </c>
      <c r="T994" t="s">
        <v>1584</v>
      </c>
      <c r="U994" t="s">
        <v>1592</v>
      </c>
      <c r="V994" t="str" cm="1">
        <f t="array" aca="1" ref="V994" ca="1">IFERROR(_xlfn.IFS(A992="  ..............",OFFSET(A992,2,0),A991=" X-------------X",OFFSET(A991,3,0),MATCH("  ..............",A994:A1003,0)&gt;2,V993),"-")</f>
        <v xml:space="preserve">  PSJOAO-RS069  </v>
      </c>
      <c r="W994">
        <f t="shared" ca="1" si="45"/>
        <v>1.012</v>
      </c>
      <c r="X994" t="str">
        <f t="shared" ca="1" si="46"/>
        <v xml:space="preserve"> PSJOAOUHE001 </v>
      </c>
      <c r="Y994" s="1">
        <f t="shared" ca="1" si="47"/>
        <v>0.216</v>
      </c>
    </row>
    <row r="995" spans="1:25" x14ac:dyDescent="0.25">
      <c r="A995" t="s">
        <v>1588</v>
      </c>
      <c r="B995" t="s">
        <v>1587</v>
      </c>
      <c r="C995">
        <v>160</v>
      </c>
      <c r="D995">
        <v>160</v>
      </c>
      <c r="E995">
        <v>160</v>
      </c>
      <c r="F995" s="1">
        <v>0.216</v>
      </c>
      <c r="G995" t="s">
        <v>1587</v>
      </c>
      <c r="H995" t="s">
        <v>1587</v>
      </c>
      <c r="I995">
        <v>9218</v>
      </c>
      <c r="J995" t="s">
        <v>2361</v>
      </c>
      <c r="K995">
        <v>1</v>
      </c>
      <c r="L995">
        <v>-35</v>
      </c>
      <c r="M995">
        <v>0.9</v>
      </c>
      <c r="N995">
        <v>34.6</v>
      </c>
      <c r="O995" t="s">
        <v>1601</v>
      </c>
      <c r="P995" t="s">
        <v>1584</v>
      </c>
      <c r="Q995" t="s">
        <v>1591</v>
      </c>
      <c r="R995">
        <v>0</v>
      </c>
      <c r="S995">
        <v>3.45</v>
      </c>
      <c r="T995" t="s">
        <v>1584</v>
      </c>
      <c r="U995" t="s">
        <v>1592</v>
      </c>
      <c r="V995" t="str" cm="1">
        <f t="array" aca="1" ref="V995" ca="1">IFERROR(_xlfn.IFS(A993="  ..............",OFFSET(A993,2,0),A992=" X-------------X",OFFSET(A992,3,0),MATCH("  ..............",A995:A1004,0)&gt;2,V994),"-")</f>
        <v xml:space="preserve">  PSJOAO-RS069  </v>
      </c>
      <c r="W995">
        <f t="shared" ca="1" si="45"/>
        <v>1.012</v>
      </c>
      <c r="X995" t="str">
        <f t="shared" ca="1" si="46"/>
        <v xml:space="preserve"> ROQGON-RS069 </v>
      </c>
      <c r="Y995" s="1">
        <f t="shared" ca="1" si="47"/>
        <v>0</v>
      </c>
    </row>
    <row r="996" spans="1:25" x14ac:dyDescent="0.25">
      <c r="A996" t="s">
        <v>1588</v>
      </c>
      <c r="B996" t="s">
        <v>1587</v>
      </c>
      <c r="C996">
        <v>9999</v>
      </c>
      <c r="D996">
        <v>9999</v>
      </c>
      <c r="E996">
        <v>9999</v>
      </c>
      <c r="F996" s="1">
        <v>0</v>
      </c>
      <c r="G996" t="s">
        <v>1587</v>
      </c>
      <c r="H996" t="s">
        <v>1587</v>
      </c>
      <c r="I996">
        <v>9917</v>
      </c>
      <c r="J996" t="s">
        <v>2362</v>
      </c>
      <c r="K996">
        <v>1</v>
      </c>
      <c r="L996">
        <v>5.2</v>
      </c>
      <c r="M996">
        <v>2.6</v>
      </c>
      <c r="N996">
        <v>5.7</v>
      </c>
      <c r="O996" t="s">
        <v>1594</v>
      </c>
      <c r="P996" t="s">
        <v>1584</v>
      </c>
      <c r="Q996" t="s">
        <v>1591</v>
      </c>
      <c r="R996">
        <v>0</v>
      </c>
      <c r="S996">
        <v>0</v>
      </c>
      <c r="T996" t="s">
        <v>1584</v>
      </c>
      <c r="U996" t="s">
        <v>1592</v>
      </c>
      <c r="V996" t="str" cm="1">
        <f t="array" aca="1" ref="V996" ca="1">IFERROR(_xlfn.IFS(A994="  ..............",OFFSET(A994,2,0),A993=" X-------------X",OFFSET(A993,3,0),MATCH("  ..............",A996:A1005,0)&gt;2,V995),"-")</f>
        <v>-</v>
      </c>
      <c r="W996" t="str">
        <f t="shared" ca="1" si="45"/>
        <v>-</v>
      </c>
      <c r="X996" t="str">
        <f t="shared" ca="1" si="46"/>
        <v>-</v>
      </c>
      <c r="Y996" s="1" t="str">
        <f t="shared" ca="1" si="47"/>
        <v>-</v>
      </c>
    </row>
    <row r="997" spans="1:25" x14ac:dyDescent="0.25">
      <c r="A997" t="s">
        <v>1572</v>
      </c>
      <c r="B997" t="s">
        <v>1574</v>
      </c>
      <c r="C997" t="s">
        <v>1574</v>
      </c>
      <c r="D997" t="s">
        <v>1574</v>
      </c>
      <c r="E997" t="s">
        <v>1574</v>
      </c>
      <c r="F997" t="s">
        <v>1575</v>
      </c>
      <c r="G997" t="s">
        <v>1574</v>
      </c>
      <c r="H997" t="s">
        <v>1574</v>
      </c>
      <c r="I997" t="s">
        <v>1576</v>
      </c>
      <c r="J997" t="s">
        <v>1573</v>
      </c>
      <c r="K997" t="s">
        <v>1577</v>
      </c>
      <c r="L997" t="s">
        <v>1574</v>
      </c>
      <c r="M997" t="s">
        <v>1574</v>
      </c>
      <c r="N997" t="s">
        <v>1574</v>
      </c>
      <c r="O997" t="s">
        <v>1578</v>
      </c>
      <c r="P997" t="s">
        <v>1576</v>
      </c>
      <c r="Q997" t="s">
        <v>1579</v>
      </c>
      <c r="R997" t="s">
        <v>1580</v>
      </c>
      <c r="S997" t="s">
        <v>1580</v>
      </c>
      <c r="T997" t="s">
        <v>1576</v>
      </c>
      <c r="U997" t="s">
        <v>1576</v>
      </c>
      <c r="V997" t="str" cm="1">
        <f t="array" aca="1" ref="V997" ca="1">IFERROR(_xlfn.IFS(A995="  ..............",OFFSET(A995,2,0),A994=" X-------------X",OFFSET(A994,3,0),MATCH("  ..............",A997:A1006,0)&gt;2,V996),"-")</f>
        <v>-</v>
      </c>
      <c r="W997" t="str">
        <f t="shared" ca="1" si="45"/>
        <v>-</v>
      </c>
      <c r="X997" t="str">
        <f t="shared" ca="1" si="46"/>
        <v/>
      </c>
      <c r="Y997" s="1" t="str">
        <f t="shared" ca="1" si="47"/>
        <v/>
      </c>
    </row>
    <row r="998" spans="1:25" x14ac:dyDescent="0.25">
      <c r="A998" t="s">
        <v>2363</v>
      </c>
      <c r="B998">
        <v>1.0009999999999999</v>
      </c>
      <c r="C998">
        <v>23</v>
      </c>
      <c r="D998">
        <v>0</v>
      </c>
      <c r="E998">
        <v>0</v>
      </c>
      <c r="F998">
        <v>0</v>
      </c>
      <c r="G998">
        <v>0</v>
      </c>
      <c r="H998">
        <v>0</v>
      </c>
      <c r="I998" t="s">
        <v>1581</v>
      </c>
      <c r="J998" t="s">
        <v>1581</v>
      </c>
      <c r="K998" t="s">
        <v>1581</v>
      </c>
      <c r="L998" t="s">
        <v>1581</v>
      </c>
      <c r="M998" t="s">
        <v>1581</v>
      </c>
      <c r="N998" t="s">
        <v>1581</v>
      </c>
      <c r="O998" t="s">
        <v>1581</v>
      </c>
      <c r="P998" t="s">
        <v>1581</v>
      </c>
      <c r="Q998" t="s">
        <v>1581</v>
      </c>
      <c r="R998" t="s">
        <v>1581</v>
      </c>
      <c r="S998" t="s">
        <v>1581</v>
      </c>
      <c r="T998" t="s">
        <v>1581</v>
      </c>
      <c r="U998" t="s">
        <v>1581</v>
      </c>
      <c r="V998" t="str" cm="1">
        <f t="array" aca="1" ref="V998" ca="1">IFERROR(_xlfn.IFS(A996="  ..............",OFFSET(A996,2,0),A995=" X-------------X",OFFSET(A995,3,0),MATCH("  ..............",A998:A1007,0)&gt;2,V997),"-")</f>
        <v>-</v>
      </c>
      <c r="W998" t="str">
        <f t="shared" ca="1" si="45"/>
        <v>-</v>
      </c>
      <c r="X998" t="str">
        <f t="shared" ca="1" si="46"/>
        <v xml:space="preserve">              </v>
      </c>
      <c r="Y998" s="1">
        <f t="shared" ca="1" si="47"/>
        <v>0</v>
      </c>
    </row>
    <row r="999" spans="1:25" x14ac:dyDescent="0.25">
      <c r="A999" t="s">
        <v>2364</v>
      </c>
      <c r="B999">
        <v>-40</v>
      </c>
      <c r="C999">
        <v>8.5</v>
      </c>
      <c r="D999">
        <v>0</v>
      </c>
      <c r="E999">
        <v>0</v>
      </c>
      <c r="F999">
        <v>0</v>
      </c>
      <c r="G999">
        <v>0</v>
      </c>
      <c r="H999">
        <v>0</v>
      </c>
      <c r="I999" t="s">
        <v>1584</v>
      </c>
      <c r="J999" t="s">
        <v>1585</v>
      </c>
      <c r="K999" t="s">
        <v>1586</v>
      </c>
      <c r="L999" t="s">
        <v>1587</v>
      </c>
      <c r="M999" t="s">
        <v>1587</v>
      </c>
      <c r="N999" t="s">
        <v>1586</v>
      </c>
      <c r="O999" t="s">
        <v>1581</v>
      </c>
      <c r="P999" t="s">
        <v>1581</v>
      </c>
      <c r="Q999" t="s">
        <v>1581</v>
      </c>
      <c r="R999" t="s">
        <v>1581</v>
      </c>
      <c r="S999" t="s">
        <v>1581</v>
      </c>
      <c r="T999" t="s">
        <v>1581</v>
      </c>
      <c r="U999" t="s">
        <v>1581</v>
      </c>
      <c r="V999" t="str" cm="1">
        <f t="array" aca="1" ref="V999" ca="1">IFERROR(_xlfn.IFS(A997="  ..............",OFFSET(A997,2,0),A996=" X-------------X",OFFSET(A996,3,0),MATCH("  ..............",A999:A1008,0)&gt;2,V998),"-")</f>
        <v xml:space="preserve">  SJOSE-UHE001  </v>
      </c>
      <c r="W999">
        <f t="shared" ca="1" si="45"/>
        <v>1.0009999999999999</v>
      </c>
      <c r="X999" t="str">
        <f t="shared" ca="1" si="46"/>
        <v xml:space="preserve"> SJOSE--RS069 </v>
      </c>
      <c r="Y999" s="1">
        <f t="shared" ca="1" si="47"/>
        <v>0.183</v>
      </c>
    </row>
    <row r="1000" spans="1:25" x14ac:dyDescent="0.25">
      <c r="A1000" t="s">
        <v>1588</v>
      </c>
      <c r="B1000" t="s">
        <v>1587</v>
      </c>
      <c r="C1000">
        <v>134</v>
      </c>
      <c r="D1000">
        <v>134</v>
      </c>
      <c r="E1000">
        <v>134</v>
      </c>
      <c r="F1000" s="1">
        <v>0.183</v>
      </c>
      <c r="G1000" t="s">
        <v>1587</v>
      </c>
      <c r="H1000" t="s">
        <v>1587</v>
      </c>
      <c r="I1000">
        <v>9221</v>
      </c>
      <c r="J1000" t="s">
        <v>2365</v>
      </c>
      <c r="K1000">
        <v>1</v>
      </c>
      <c r="L1000">
        <v>23</v>
      </c>
      <c r="M1000">
        <v>8.5</v>
      </c>
      <c r="N1000">
        <v>24.5</v>
      </c>
      <c r="O1000" t="s">
        <v>1594</v>
      </c>
      <c r="P1000" t="s">
        <v>1584</v>
      </c>
      <c r="Q1000" t="s">
        <v>1591</v>
      </c>
      <c r="R1000">
        <v>0</v>
      </c>
      <c r="S1000">
        <v>2.6</v>
      </c>
      <c r="T1000" t="s">
        <v>1584</v>
      </c>
      <c r="U1000" t="s">
        <v>1592</v>
      </c>
      <c r="V1000" t="str" cm="1">
        <f t="array" aca="1" ref="V1000" ca="1">IFERROR(_xlfn.IFS(A998="  ..............",OFFSET(A998,2,0),A997=" X-------------X",OFFSET(A997,3,0),MATCH("  ..............",A1000:A1009,0)&gt;2,V999),"-")</f>
        <v>-</v>
      </c>
      <c r="W1000" t="str">
        <f t="shared" ca="1" si="45"/>
        <v>-</v>
      </c>
      <c r="X1000" t="str">
        <f t="shared" ca="1" si="46"/>
        <v>-</v>
      </c>
      <c r="Y1000" s="1" t="str">
        <f t="shared" ca="1" si="47"/>
        <v>-</v>
      </c>
    </row>
    <row r="1001" spans="1:25" x14ac:dyDescent="0.25">
      <c r="A1001" t="s">
        <v>1572</v>
      </c>
      <c r="B1001" t="s">
        <v>1574</v>
      </c>
      <c r="C1001" t="s">
        <v>1574</v>
      </c>
      <c r="D1001" t="s">
        <v>1574</v>
      </c>
      <c r="E1001" t="s">
        <v>1574</v>
      </c>
      <c r="F1001" t="s">
        <v>1575</v>
      </c>
      <c r="G1001" t="s">
        <v>1574</v>
      </c>
      <c r="H1001" t="s">
        <v>1574</v>
      </c>
      <c r="I1001" t="s">
        <v>1576</v>
      </c>
      <c r="J1001" t="s">
        <v>1573</v>
      </c>
      <c r="K1001" t="s">
        <v>1577</v>
      </c>
      <c r="L1001" t="s">
        <v>1574</v>
      </c>
      <c r="M1001" t="s">
        <v>1574</v>
      </c>
      <c r="N1001" t="s">
        <v>1574</v>
      </c>
      <c r="O1001" t="s">
        <v>1578</v>
      </c>
      <c r="P1001" t="s">
        <v>1576</v>
      </c>
      <c r="Q1001" t="s">
        <v>1579</v>
      </c>
      <c r="R1001" t="s">
        <v>1580</v>
      </c>
      <c r="S1001" t="s">
        <v>1580</v>
      </c>
      <c r="T1001" t="s">
        <v>1576</v>
      </c>
      <c r="U1001" t="s">
        <v>1576</v>
      </c>
      <c r="V1001" t="str" cm="1">
        <f t="array" aca="1" ref="V1001" ca="1">IFERROR(_xlfn.IFS(A999="  ..............",OFFSET(A999,2,0),A998=" X-------------X",OFFSET(A998,3,0),MATCH("  ..............",A1001:A1010,0)&gt;2,V1000),"-")</f>
        <v>-</v>
      </c>
      <c r="W1001" t="str">
        <f t="shared" ca="1" si="45"/>
        <v>-</v>
      </c>
      <c r="X1001" t="str">
        <f t="shared" ca="1" si="46"/>
        <v/>
      </c>
      <c r="Y1001" s="1" t="str">
        <f t="shared" ca="1" si="47"/>
        <v/>
      </c>
    </row>
    <row r="1002" spans="1:25" x14ac:dyDescent="0.25">
      <c r="A1002" t="s">
        <v>2366</v>
      </c>
      <c r="B1002">
        <v>1.018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1581</v>
      </c>
      <c r="J1002" t="s">
        <v>1581</v>
      </c>
      <c r="K1002" t="s">
        <v>1581</v>
      </c>
      <c r="L1002" t="s">
        <v>1581</v>
      </c>
      <c r="M1002" t="s">
        <v>1581</v>
      </c>
      <c r="N1002" t="s">
        <v>1581</v>
      </c>
      <c r="O1002" t="s">
        <v>1581</v>
      </c>
      <c r="P1002" t="s">
        <v>1581</v>
      </c>
      <c r="Q1002" t="s">
        <v>1581</v>
      </c>
      <c r="R1002" t="s">
        <v>1581</v>
      </c>
      <c r="S1002" t="s">
        <v>1581</v>
      </c>
      <c r="T1002" t="s">
        <v>1581</v>
      </c>
      <c r="U1002" t="s">
        <v>1581</v>
      </c>
      <c r="V1002" t="str" cm="1">
        <f t="array" aca="1" ref="V1002" ca="1">IFERROR(_xlfn.IFS(A1000="  ..............",OFFSET(A1000,2,0),A999=" X-------------X",OFFSET(A999,3,0),MATCH("  ..............",A1002:A1011,0)&gt;2,V1001),"-")</f>
        <v>-</v>
      </c>
      <c r="W1002" t="str">
        <f t="shared" ca="1" si="45"/>
        <v>-</v>
      </c>
      <c r="X1002" t="str">
        <f t="shared" ca="1" si="46"/>
        <v xml:space="preserve">              </v>
      </c>
      <c r="Y1002" s="1">
        <f t="shared" ca="1" si="47"/>
        <v>0</v>
      </c>
    </row>
    <row r="1003" spans="1:25" x14ac:dyDescent="0.25">
      <c r="A1003" t="s">
        <v>2367</v>
      </c>
      <c r="B1003">
        <v>-45.8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 t="s">
        <v>1584</v>
      </c>
      <c r="J1003" t="s">
        <v>1585</v>
      </c>
      <c r="K1003" t="s">
        <v>1586</v>
      </c>
      <c r="L1003" t="s">
        <v>1587</v>
      </c>
      <c r="M1003" t="s">
        <v>1587</v>
      </c>
      <c r="N1003" t="s">
        <v>1586</v>
      </c>
      <c r="O1003" t="s">
        <v>1581</v>
      </c>
      <c r="P1003" t="s">
        <v>1581</v>
      </c>
      <c r="Q1003" t="s">
        <v>1581</v>
      </c>
      <c r="R1003" t="s">
        <v>1581</v>
      </c>
      <c r="S1003" t="s">
        <v>1581</v>
      </c>
      <c r="T1003" t="s">
        <v>1581</v>
      </c>
      <c r="U1003" t="s">
        <v>1581</v>
      </c>
      <c r="V1003" t="str" cm="1">
        <f t="array" aca="1" ref="V1003" ca="1">IFERROR(_xlfn.IFS(A1001="  ..............",OFFSET(A1001,2,0),A1000=" X-------------X",OFFSET(A1000,3,0),MATCH("  ..............",A1003:A1012,0)&gt;2,V1002),"-")</f>
        <v xml:space="preserve">  SJOSE--RS069  </v>
      </c>
      <c r="W1003">
        <f t="shared" ca="1" si="45"/>
        <v>1.018</v>
      </c>
      <c r="X1003" t="str">
        <f t="shared" ca="1" si="46"/>
        <v xml:space="preserve"> SJOSE-UHE001 </v>
      </c>
      <c r="Y1003" s="1">
        <f t="shared" ca="1" si="47"/>
        <v>0.17399999999999999</v>
      </c>
    </row>
    <row r="1004" spans="1:25" x14ac:dyDescent="0.25">
      <c r="A1004" t="s">
        <v>1588</v>
      </c>
      <c r="B1004" t="s">
        <v>1587</v>
      </c>
      <c r="C1004">
        <v>134</v>
      </c>
      <c r="D1004">
        <v>134</v>
      </c>
      <c r="E1004">
        <v>134</v>
      </c>
      <c r="F1004" s="1">
        <v>0.17399999999999999</v>
      </c>
      <c r="G1004" t="s">
        <v>1587</v>
      </c>
      <c r="H1004" t="s">
        <v>1587</v>
      </c>
      <c r="I1004">
        <v>9220</v>
      </c>
      <c r="J1004" t="s">
        <v>2368</v>
      </c>
      <c r="K1004">
        <v>1</v>
      </c>
      <c r="L1004">
        <v>-23</v>
      </c>
      <c r="M1004">
        <v>-5.9</v>
      </c>
      <c r="N1004">
        <v>23.3</v>
      </c>
      <c r="O1004" t="s">
        <v>2369</v>
      </c>
      <c r="P1004" t="s">
        <v>1584</v>
      </c>
      <c r="Q1004" t="s">
        <v>1591</v>
      </c>
      <c r="R1004">
        <v>0</v>
      </c>
      <c r="S1004">
        <v>2.6</v>
      </c>
      <c r="T1004" t="s">
        <v>1584</v>
      </c>
      <c r="U1004" t="s">
        <v>1592</v>
      </c>
      <c r="V1004" t="str" cm="1">
        <f t="array" aca="1" ref="V1004" ca="1">IFERROR(_xlfn.IFS(A1002="  ..............",OFFSET(A1002,2,0),A1001=" X-------------X",OFFSET(A1001,3,0),MATCH("  ..............",A1004:A1013,0)&gt;2,V1003),"-")</f>
        <v xml:space="preserve">  SJOSE--RS069  </v>
      </c>
      <c r="W1004">
        <f t="shared" ca="1" si="45"/>
        <v>1.018</v>
      </c>
      <c r="X1004" t="str">
        <f t="shared" ca="1" si="46"/>
        <v xml:space="preserve"> CLARGO-RS069 </v>
      </c>
      <c r="Y1004" s="1">
        <f t="shared" ca="1" si="47"/>
        <v>6.5000000000000002E-2</v>
      </c>
    </row>
    <row r="1005" spans="1:25" x14ac:dyDescent="0.25">
      <c r="A1005" t="s">
        <v>1588</v>
      </c>
      <c r="B1005" t="s">
        <v>1587</v>
      </c>
      <c r="C1005">
        <v>82</v>
      </c>
      <c r="D1005">
        <v>82</v>
      </c>
      <c r="E1005">
        <v>82</v>
      </c>
      <c r="F1005" s="1">
        <v>0.28399999999999997</v>
      </c>
      <c r="G1005" t="s">
        <v>1587</v>
      </c>
      <c r="H1005" t="s">
        <v>1587</v>
      </c>
      <c r="I1005">
        <v>9261</v>
      </c>
      <c r="J1005" t="s">
        <v>1962</v>
      </c>
      <c r="K1005">
        <v>1</v>
      </c>
      <c r="L1005">
        <v>23</v>
      </c>
      <c r="M1005">
        <v>5.9</v>
      </c>
      <c r="N1005">
        <v>23.3</v>
      </c>
      <c r="O1005" t="s">
        <v>1594</v>
      </c>
      <c r="P1005" t="s">
        <v>1584</v>
      </c>
      <c r="Q1005" t="s">
        <v>1591</v>
      </c>
      <c r="R1005">
        <v>0.17</v>
      </c>
      <c r="S1005">
        <v>0.46</v>
      </c>
      <c r="T1005" t="s">
        <v>1584</v>
      </c>
      <c r="U1005" t="s">
        <v>1592</v>
      </c>
      <c r="V1005" t="str" cm="1">
        <f t="array" aca="1" ref="V1005" ca="1">IFERROR(_xlfn.IFS(A1003="  ..............",OFFSET(A1003,2,0),A1002=" X-------------X",OFFSET(A1002,3,0),MATCH("  ..............",A1005:A1014,0)&gt;2,V1004),"-")</f>
        <v>-</v>
      </c>
      <c r="W1005" t="str">
        <f t="shared" ca="1" si="45"/>
        <v>-</v>
      </c>
      <c r="X1005" t="str">
        <f t="shared" ca="1" si="46"/>
        <v>-</v>
      </c>
      <c r="Y1005" s="1" t="str">
        <f t="shared" ca="1" si="47"/>
        <v>-</v>
      </c>
    </row>
    <row r="1006" spans="1:25" x14ac:dyDescent="0.25">
      <c r="A1006" t="s">
        <v>1572</v>
      </c>
      <c r="B1006" t="s">
        <v>1574</v>
      </c>
      <c r="C1006" t="s">
        <v>1574</v>
      </c>
      <c r="D1006" t="s">
        <v>1574</v>
      </c>
      <c r="E1006" t="s">
        <v>1574</v>
      </c>
      <c r="F1006" t="s">
        <v>1575</v>
      </c>
      <c r="G1006" t="s">
        <v>1574</v>
      </c>
      <c r="H1006" t="s">
        <v>1574</v>
      </c>
      <c r="I1006" t="s">
        <v>1576</v>
      </c>
      <c r="J1006" t="s">
        <v>1573</v>
      </c>
      <c r="K1006" t="s">
        <v>1577</v>
      </c>
      <c r="L1006" t="s">
        <v>1574</v>
      </c>
      <c r="M1006" t="s">
        <v>1574</v>
      </c>
      <c r="N1006" t="s">
        <v>1574</v>
      </c>
      <c r="O1006" t="s">
        <v>1578</v>
      </c>
      <c r="P1006" t="s">
        <v>1576</v>
      </c>
      <c r="Q1006" t="s">
        <v>1579</v>
      </c>
      <c r="R1006" t="s">
        <v>1580</v>
      </c>
      <c r="S1006" t="s">
        <v>1580</v>
      </c>
      <c r="T1006" t="s">
        <v>1576</v>
      </c>
      <c r="U1006" t="s">
        <v>1576</v>
      </c>
      <c r="V1006" t="str" cm="1">
        <f t="array" aca="1" ref="V1006" ca="1">IFERROR(_xlfn.IFS(A1004="  ..............",OFFSET(A1004,2,0),A1003=" X-------------X",OFFSET(A1003,3,0),MATCH("  ..............",A1006:A1015,0)&gt;2,V1005),"-")</f>
        <v>-</v>
      </c>
      <c r="W1006" t="str">
        <f t="shared" ca="1" si="45"/>
        <v>-</v>
      </c>
      <c r="X1006" t="str">
        <f t="shared" ca="1" si="46"/>
        <v/>
      </c>
      <c r="Y1006" s="1" t="str">
        <f t="shared" ca="1" si="47"/>
        <v/>
      </c>
    </row>
    <row r="1007" spans="1:25" x14ac:dyDescent="0.25">
      <c r="A1007" t="s">
        <v>2370</v>
      </c>
      <c r="B1007">
        <v>1.018</v>
      </c>
      <c r="C1007">
        <v>4</v>
      </c>
      <c r="D1007">
        <v>0</v>
      </c>
      <c r="E1007">
        <v>0</v>
      </c>
      <c r="F1007">
        <v>0</v>
      </c>
      <c r="G1007">
        <v>0</v>
      </c>
      <c r="H1007">
        <v>0</v>
      </c>
      <c r="I1007" t="s">
        <v>1581</v>
      </c>
      <c r="J1007" t="s">
        <v>1581</v>
      </c>
      <c r="K1007" t="s">
        <v>1581</v>
      </c>
      <c r="L1007" t="s">
        <v>1581</v>
      </c>
      <c r="M1007" t="s">
        <v>1581</v>
      </c>
      <c r="N1007" t="s">
        <v>1581</v>
      </c>
      <c r="O1007" t="s">
        <v>1581</v>
      </c>
      <c r="P1007" t="s">
        <v>1581</v>
      </c>
      <c r="Q1007" t="s">
        <v>1581</v>
      </c>
      <c r="R1007" t="s">
        <v>1581</v>
      </c>
      <c r="S1007" t="s">
        <v>1581</v>
      </c>
      <c r="T1007" t="s">
        <v>1581</v>
      </c>
      <c r="U1007" t="s">
        <v>1581</v>
      </c>
      <c r="V1007" t="str" cm="1">
        <f t="array" aca="1" ref="V1007" ca="1">IFERROR(_xlfn.IFS(A1005="  ..............",OFFSET(A1005,2,0),A1004=" X-------------X",OFFSET(A1004,3,0),MATCH("  ..............",A1007:A1016,0)&gt;2,V1006),"-")</f>
        <v>-</v>
      </c>
      <c r="W1007" t="str">
        <f t="shared" ca="1" si="45"/>
        <v>-</v>
      </c>
      <c r="X1007" t="str">
        <f t="shared" ca="1" si="46"/>
        <v xml:space="preserve">              </v>
      </c>
      <c r="Y1007" s="1">
        <f t="shared" ca="1" si="47"/>
        <v>0</v>
      </c>
    </row>
    <row r="1008" spans="1:25" x14ac:dyDescent="0.25">
      <c r="A1008" t="s">
        <v>2371</v>
      </c>
      <c r="B1008">
        <v>-45.7</v>
      </c>
      <c r="C1008">
        <v>-1.2</v>
      </c>
      <c r="D1008">
        <v>0</v>
      </c>
      <c r="E1008">
        <v>0</v>
      </c>
      <c r="F1008">
        <v>0</v>
      </c>
      <c r="G1008">
        <v>0</v>
      </c>
      <c r="H1008">
        <v>0</v>
      </c>
      <c r="I1008" t="s">
        <v>1584</v>
      </c>
      <c r="J1008" t="s">
        <v>1585</v>
      </c>
      <c r="K1008" t="s">
        <v>1586</v>
      </c>
      <c r="L1008" t="s">
        <v>1587</v>
      </c>
      <c r="M1008" t="s">
        <v>1587</v>
      </c>
      <c r="N1008" t="s">
        <v>1586</v>
      </c>
      <c r="O1008" t="s">
        <v>1581</v>
      </c>
      <c r="P1008" t="s">
        <v>1581</v>
      </c>
      <c r="Q1008" t="s">
        <v>1581</v>
      </c>
      <c r="R1008" t="s">
        <v>1581</v>
      </c>
      <c r="S1008" t="s">
        <v>1581</v>
      </c>
      <c r="T1008" t="s">
        <v>1581</v>
      </c>
      <c r="U1008" t="s">
        <v>1581</v>
      </c>
      <c r="V1008" t="str" cm="1">
        <f t="array" aca="1" ref="V1008" ca="1">IFERROR(_xlfn.IFS(A1006="  ..............",OFFSET(A1006,2,0),A1005=" X-------------X",OFFSET(A1005,3,0),MATCH("  ..............",A1008:A1017,0)&gt;2,V1007),"-")</f>
        <v xml:space="preserve">  KOTZIAPCH006  </v>
      </c>
      <c r="W1008">
        <f t="shared" ca="1" si="45"/>
        <v>1.018</v>
      </c>
      <c r="X1008" t="str">
        <f t="shared" ca="1" si="46"/>
        <v xml:space="preserve"> KOTZIA-RS138 </v>
      </c>
      <c r="Y1008" s="1">
        <f t="shared" ca="1" si="47"/>
        <v>9.9000000000000005E-2</v>
      </c>
    </row>
    <row r="1009" spans="1:25" x14ac:dyDescent="0.25">
      <c r="A1009" t="s">
        <v>1588</v>
      </c>
      <c r="B1009" t="s">
        <v>1587</v>
      </c>
      <c r="C1009">
        <v>15</v>
      </c>
      <c r="D1009">
        <v>15</v>
      </c>
      <c r="E1009">
        <v>15</v>
      </c>
      <c r="F1009" s="1">
        <v>0.27300000000000002</v>
      </c>
      <c r="G1009" t="s">
        <v>1587</v>
      </c>
      <c r="H1009" t="s">
        <v>1587</v>
      </c>
      <c r="I1009">
        <v>9223</v>
      </c>
      <c r="J1009" t="s">
        <v>1711</v>
      </c>
      <c r="K1009">
        <v>1</v>
      </c>
      <c r="L1009">
        <v>4</v>
      </c>
      <c r="M1009">
        <v>-1.2</v>
      </c>
      <c r="N1009">
        <v>4.0999999999999996</v>
      </c>
      <c r="O1009" t="s">
        <v>1608</v>
      </c>
      <c r="P1009" t="s">
        <v>1584</v>
      </c>
      <c r="Q1009" t="s">
        <v>1591</v>
      </c>
      <c r="R1009">
        <v>0</v>
      </c>
      <c r="S1009">
        <v>0.09</v>
      </c>
      <c r="T1009" t="s">
        <v>1584</v>
      </c>
      <c r="U1009" t="s">
        <v>1592</v>
      </c>
      <c r="V1009" t="str" cm="1">
        <f t="array" aca="1" ref="V1009" ca="1">IFERROR(_xlfn.IFS(A1007="  ..............",OFFSET(A1007,2,0),A1006=" X-------------X",OFFSET(A1006,3,0),MATCH("  ..............",A1009:A1018,0)&gt;2,V1008),"-")</f>
        <v>-</v>
      </c>
      <c r="W1009" t="str">
        <f t="shared" ca="1" si="45"/>
        <v>-</v>
      </c>
      <c r="X1009" t="str">
        <f t="shared" ca="1" si="46"/>
        <v>-</v>
      </c>
      <c r="Y1009" s="1" t="str">
        <f t="shared" ca="1" si="47"/>
        <v>-</v>
      </c>
    </row>
    <row r="1010" spans="1:25" x14ac:dyDescent="0.25">
      <c r="A1010" t="s">
        <v>1572</v>
      </c>
      <c r="B1010" t="s">
        <v>1574</v>
      </c>
      <c r="C1010" t="s">
        <v>1574</v>
      </c>
      <c r="D1010" t="s">
        <v>1574</v>
      </c>
      <c r="E1010" t="s">
        <v>1574</v>
      </c>
      <c r="F1010" t="s">
        <v>1575</v>
      </c>
      <c r="G1010" t="s">
        <v>1574</v>
      </c>
      <c r="H1010" t="s">
        <v>1574</v>
      </c>
      <c r="I1010" t="s">
        <v>1576</v>
      </c>
      <c r="J1010" t="s">
        <v>1573</v>
      </c>
      <c r="K1010" t="s">
        <v>1577</v>
      </c>
      <c r="L1010" t="s">
        <v>1574</v>
      </c>
      <c r="M1010" t="s">
        <v>1574</v>
      </c>
      <c r="N1010" t="s">
        <v>1574</v>
      </c>
      <c r="O1010" t="s">
        <v>1578</v>
      </c>
      <c r="P1010" t="s">
        <v>1576</v>
      </c>
      <c r="Q1010" t="s">
        <v>1579</v>
      </c>
      <c r="R1010" t="s">
        <v>1580</v>
      </c>
      <c r="S1010" t="s">
        <v>1580</v>
      </c>
      <c r="T1010" t="s">
        <v>1576</v>
      </c>
      <c r="U1010" t="s">
        <v>1576</v>
      </c>
      <c r="V1010" t="str" cm="1">
        <f t="array" aca="1" ref="V1010" ca="1">IFERROR(_xlfn.IFS(A1008="  ..............",OFFSET(A1008,2,0),A1007=" X-------------X",OFFSET(A1007,3,0),MATCH("  ..............",A1010:A1019,0)&gt;2,V1009),"-")</f>
        <v>-</v>
      </c>
      <c r="W1010" t="str">
        <f t="shared" ca="1" si="45"/>
        <v>-</v>
      </c>
      <c r="X1010" t="str">
        <f t="shared" ca="1" si="46"/>
        <v/>
      </c>
      <c r="Y1010" s="1" t="str">
        <f t="shared" ca="1" si="47"/>
        <v/>
      </c>
    </row>
    <row r="1011" spans="1:25" x14ac:dyDescent="0.25">
      <c r="A1011" t="s">
        <v>2372</v>
      </c>
      <c r="B1011">
        <v>1.024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 t="s">
        <v>1581</v>
      </c>
      <c r="J1011" t="s">
        <v>1581</v>
      </c>
      <c r="K1011" t="s">
        <v>1581</v>
      </c>
      <c r="L1011" t="s">
        <v>1581</v>
      </c>
      <c r="M1011" t="s">
        <v>1581</v>
      </c>
      <c r="N1011" t="s">
        <v>1581</v>
      </c>
      <c r="O1011" t="s">
        <v>1581</v>
      </c>
      <c r="P1011" t="s">
        <v>1581</v>
      </c>
      <c r="Q1011" t="s">
        <v>1581</v>
      </c>
      <c r="R1011" t="s">
        <v>1581</v>
      </c>
      <c r="S1011" t="s">
        <v>1581</v>
      </c>
      <c r="T1011" t="s">
        <v>1581</v>
      </c>
      <c r="U1011" t="s">
        <v>1581</v>
      </c>
      <c r="V1011" t="str" cm="1">
        <f t="array" aca="1" ref="V1011" ca="1">IFERROR(_xlfn.IFS(A1009="  ..............",OFFSET(A1009,2,0),A1008=" X-------------X",OFFSET(A1008,3,0),MATCH("  ..............",A1011:A1020,0)&gt;2,V1010),"-")</f>
        <v>-</v>
      </c>
      <c r="W1011" t="str">
        <f t="shared" ca="1" si="45"/>
        <v>-</v>
      </c>
      <c r="X1011" t="str">
        <f t="shared" ca="1" si="46"/>
        <v xml:space="preserve">              </v>
      </c>
      <c r="Y1011" s="1">
        <f t="shared" ca="1" si="47"/>
        <v>0</v>
      </c>
    </row>
    <row r="1012" spans="1:25" x14ac:dyDescent="0.25">
      <c r="A1012" t="s">
        <v>2373</v>
      </c>
      <c r="B1012">
        <v>-46.9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 t="s">
        <v>1584</v>
      </c>
      <c r="J1012" t="s">
        <v>1585</v>
      </c>
      <c r="K1012" t="s">
        <v>1586</v>
      </c>
      <c r="L1012" t="s">
        <v>1587</v>
      </c>
      <c r="M1012" t="s">
        <v>1587</v>
      </c>
      <c r="N1012" t="s">
        <v>1586</v>
      </c>
      <c r="O1012" t="s">
        <v>1581</v>
      </c>
      <c r="P1012" t="s">
        <v>1581</v>
      </c>
      <c r="Q1012" t="s">
        <v>1581</v>
      </c>
      <c r="R1012" t="s">
        <v>1581</v>
      </c>
      <c r="S1012" t="s">
        <v>1581</v>
      </c>
      <c r="T1012" t="s">
        <v>1581</v>
      </c>
      <c r="U1012" t="s">
        <v>1581</v>
      </c>
      <c r="V1012" t="str" cm="1">
        <f t="array" aca="1" ref="V1012" ca="1">IFERROR(_xlfn.IFS(A1010="  ..............",OFFSET(A1010,2,0),A1009=" X-------------X",OFFSET(A1009,3,0),MATCH("  ..............",A1012:A1021,0)&gt;2,V1011),"-")</f>
        <v xml:space="preserve">  KOTZIA-RS138  </v>
      </c>
      <c r="W1012">
        <f t="shared" ca="1" si="45"/>
        <v>1.024</v>
      </c>
      <c r="X1012" t="str">
        <f t="shared" ca="1" si="46"/>
        <v xml:space="preserve"> JACUI--RS138 </v>
      </c>
      <c r="Y1012" s="1">
        <f t="shared" ca="1" si="47"/>
        <v>0.43</v>
      </c>
    </row>
    <row r="1013" spans="1:25" x14ac:dyDescent="0.25">
      <c r="A1013" t="s">
        <v>1588</v>
      </c>
      <c r="B1013" t="s">
        <v>1587</v>
      </c>
      <c r="C1013">
        <v>91</v>
      </c>
      <c r="D1013">
        <v>91</v>
      </c>
      <c r="E1013">
        <v>91</v>
      </c>
      <c r="F1013" s="1">
        <v>0.10100000000000001</v>
      </c>
      <c r="G1013" t="s">
        <v>1587</v>
      </c>
      <c r="H1013" t="s">
        <v>1587</v>
      </c>
      <c r="I1013">
        <v>1216</v>
      </c>
      <c r="J1013" t="s">
        <v>1623</v>
      </c>
      <c r="K1013">
        <v>1</v>
      </c>
      <c r="L1013">
        <v>9.1</v>
      </c>
      <c r="M1013">
        <v>-2.2999999999999998</v>
      </c>
      <c r="N1013">
        <v>9.1999999999999993</v>
      </c>
      <c r="O1013" t="s">
        <v>1594</v>
      </c>
      <c r="P1013" t="s">
        <v>1584</v>
      </c>
      <c r="Q1013" t="s">
        <v>1591</v>
      </c>
      <c r="R1013">
        <v>0.02</v>
      </c>
      <c r="S1013">
        <v>-0.66</v>
      </c>
      <c r="T1013" t="s">
        <v>1584</v>
      </c>
      <c r="U1013" t="s">
        <v>1592</v>
      </c>
      <c r="V1013" t="str" cm="1">
        <f t="array" aca="1" ref="V1013" ca="1">IFERROR(_xlfn.IFS(A1011="  ..............",OFFSET(A1011,2,0),A1010=" X-------------X",OFFSET(A1010,3,0),MATCH("  ..............",A1013:A1022,0)&gt;2,V1012),"-")</f>
        <v xml:space="preserve">  KOTZIA-RS138  </v>
      </c>
      <c r="W1013">
        <f t="shared" ca="1" si="45"/>
        <v>1.024</v>
      </c>
      <c r="X1013" t="str">
        <f t="shared" ca="1" si="46"/>
        <v xml:space="preserve"> KOTZIAPCH006 </v>
      </c>
      <c r="Y1013" s="1">
        <f t="shared" ca="1" si="47"/>
        <v>0.27300000000000002</v>
      </c>
    </row>
    <row r="1014" spans="1:25" x14ac:dyDescent="0.25">
      <c r="A1014" t="s">
        <v>1588</v>
      </c>
      <c r="B1014" t="s">
        <v>1587</v>
      </c>
      <c r="C1014">
        <v>15</v>
      </c>
      <c r="D1014">
        <v>15</v>
      </c>
      <c r="E1014">
        <v>15</v>
      </c>
      <c r="F1014" s="1">
        <v>0.27300000000000002</v>
      </c>
      <c r="G1014" t="s">
        <v>1587</v>
      </c>
      <c r="H1014" t="s">
        <v>1587</v>
      </c>
      <c r="I1014">
        <v>9222</v>
      </c>
      <c r="J1014" t="s">
        <v>2374</v>
      </c>
      <c r="K1014">
        <v>1</v>
      </c>
      <c r="L1014">
        <v>-4</v>
      </c>
      <c r="M1014">
        <v>1.3</v>
      </c>
      <c r="N1014">
        <v>4.0999999999999996</v>
      </c>
      <c r="O1014" t="s">
        <v>1594</v>
      </c>
      <c r="P1014" t="s">
        <v>1584</v>
      </c>
      <c r="Q1014" t="s">
        <v>1591</v>
      </c>
      <c r="R1014">
        <v>0</v>
      </c>
      <c r="S1014">
        <v>0.09</v>
      </c>
      <c r="T1014" t="s">
        <v>1584</v>
      </c>
      <c r="U1014" t="s">
        <v>1592</v>
      </c>
      <c r="V1014" t="str" cm="1">
        <f t="array" aca="1" ref="V1014" ca="1">IFERROR(_xlfn.IFS(A1012="  ..............",OFFSET(A1012,2,0),A1011=" X-------------X",OFFSET(A1011,3,0),MATCH("  ..............",A1014:A1023,0)&gt;2,V1013),"-")</f>
        <v xml:space="preserve">  KOTZIA-RS138  </v>
      </c>
      <c r="W1014">
        <f t="shared" ca="1" si="45"/>
        <v>1.024</v>
      </c>
      <c r="X1014" t="str">
        <f t="shared" ca="1" si="46"/>
        <v xml:space="preserve"> DREHER-RS138 </v>
      </c>
      <c r="Y1014" s="1">
        <f t="shared" ca="1" si="47"/>
        <v>5.6000000000000001E-2</v>
      </c>
    </row>
    <row r="1015" spans="1:25" x14ac:dyDescent="0.25">
      <c r="A1015" t="s">
        <v>1588</v>
      </c>
      <c r="B1015" t="s">
        <v>1587</v>
      </c>
      <c r="C1015">
        <v>91</v>
      </c>
      <c r="D1015">
        <v>91</v>
      </c>
      <c r="E1015">
        <v>91</v>
      </c>
      <c r="F1015" s="1">
        <v>5.6000000000000001E-2</v>
      </c>
      <c r="G1015" t="s">
        <v>1587</v>
      </c>
      <c r="H1015" t="s">
        <v>1587</v>
      </c>
      <c r="I1015">
        <v>9225</v>
      </c>
      <c r="J1015" t="s">
        <v>2375</v>
      </c>
      <c r="K1015">
        <v>1</v>
      </c>
      <c r="L1015">
        <v>-5.0999999999999996</v>
      </c>
      <c r="M1015">
        <v>1</v>
      </c>
      <c r="N1015">
        <v>5.0999999999999996</v>
      </c>
      <c r="O1015" t="s">
        <v>1594</v>
      </c>
      <c r="P1015" t="s">
        <v>1584</v>
      </c>
      <c r="Q1015" t="s">
        <v>1591</v>
      </c>
      <c r="R1015">
        <v>0</v>
      </c>
      <c r="S1015">
        <v>-0.32</v>
      </c>
      <c r="T1015" t="s">
        <v>1584</v>
      </c>
      <c r="U1015" t="s">
        <v>1592</v>
      </c>
      <c r="V1015" t="str" cm="1">
        <f t="array" aca="1" ref="V1015" ca="1">IFERROR(_xlfn.IFS(A1013="  ..............",OFFSET(A1013,2,0),A1012=" X-------------X",OFFSET(A1012,3,0),MATCH("  ..............",A1015:A1024,0)&gt;2,V1014),"-")</f>
        <v>-</v>
      </c>
      <c r="W1015" t="str">
        <f t="shared" ca="1" si="45"/>
        <v>-</v>
      </c>
      <c r="X1015" t="str">
        <f t="shared" ca="1" si="46"/>
        <v>-</v>
      </c>
      <c r="Y1015" s="1" t="str">
        <f t="shared" ca="1" si="47"/>
        <v>-</v>
      </c>
    </row>
    <row r="1016" spans="1:25" x14ac:dyDescent="0.25">
      <c r="A1016" t="s">
        <v>1572</v>
      </c>
      <c r="B1016" t="s">
        <v>1574</v>
      </c>
      <c r="C1016" t="s">
        <v>1574</v>
      </c>
      <c r="D1016" t="s">
        <v>1574</v>
      </c>
      <c r="E1016" t="s">
        <v>1574</v>
      </c>
      <c r="F1016" t="s">
        <v>1575</v>
      </c>
      <c r="G1016" t="s">
        <v>1574</v>
      </c>
      <c r="H1016" t="s">
        <v>1574</v>
      </c>
      <c r="I1016" t="s">
        <v>1576</v>
      </c>
      <c r="J1016" t="s">
        <v>1573</v>
      </c>
      <c r="K1016" t="s">
        <v>1577</v>
      </c>
      <c r="L1016" t="s">
        <v>1574</v>
      </c>
      <c r="M1016" t="s">
        <v>1574</v>
      </c>
      <c r="N1016" t="s">
        <v>1574</v>
      </c>
      <c r="O1016" t="s">
        <v>1578</v>
      </c>
      <c r="P1016" t="s">
        <v>1576</v>
      </c>
      <c r="Q1016" t="s">
        <v>1579</v>
      </c>
      <c r="R1016" t="s">
        <v>1580</v>
      </c>
      <c r="S1016" t="s">
        <v>1580</v>
      </c>
      <c r="T1016" t="s">
        <v>1576</v>
      </c>
      <c r="U1016" t="s">
        <v>1576</v>
      </c>
      <c r="V1016" t="str" cm="1">
        <f t="array" aca="1" ref="V1016" ca="1">IFERROR(_xlfn.IFS(A1014="  ..............",OFFSET(A1014,2,0),A1013=" X-------------X",OFFSET(A1013,3,0),MATCH("  ..............",A1016:A1025,0)&gt;2,V1015),"-")</f>
        <v>-</v>
      </c>
      <c r="W1016" t="str">
        <f t="shared" ca="1" si="45"/>
        <v>-</v>
      </c>
      <c r="X1016" t="str">
        <f t="shared" ca="1" si="46"/>
        <v/>
      </c>
      <c r="Y1016" s="1" t="str">
        <f t="shared" ca="1" si="47"/>
        <v/>
      </c>
    </row>
    <row r="1017" spans="1:25" x14ac:dyDescent="0.25">
      <c r="A1017" t="s">
        <v>2376</v>
      </c>
      <c r="B1017">
        <v>1.02</v>
      </c>
      <c r="C1017">
        <v>5.0999999999999996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1581</v>
      </c>
      <c r="J1017" t="s">
        <v>1581</v>
      </c>
      <c r="K1017" t="s">
        <v>1581</v>
      </c>
      <c r="L1017" t="s">
        <v>1581</v>
      </c>
      <c r="M1017" t="s">
        <v>1581</v>
      </c>
      <c r="N1017" t="s">
        <v>1581</v>
      </c>
      <c r="O1017" t="s">
        <v>1581</v>
      </c>
      <c r="P1017" t="s">
        <v>1581</v>
      </c>
      <c r="Q1017" t="s">
        <v>1581</v>
      </c>
      <c r="R1017" t="s">
        <v>1581</v>
      </c>
      <c r="S1017" t="s">
        <v>1581</v>
      </c>
      <c r="T1017" t="s">
        <v>1581</v>
      </c>
      <c r="U1017" t="s">
        <v>1581</v>
      </c>
      <c r="V1017" t="str" cm="1">
        <f t="array" aca="1" ref="V1017" ca="1">IFERROR(_xlfn.IFS(A1015="  ..............",OFFSET(A1015,2,0),A1014=" X-------------X",OFFSET(A1014,3,0),MATCH("  ..............",A1017:A1026,0)&gt;2,V1016),"-")</f>
        <v>-</v>
      </c>
      <c r="W1017" t="str">
        <f t="shared" ca="1" si="45"/>
        <v>-</v>
      </c>
      <c r="X1017" t="str">
        <f t="shared" ca="1" si="46"/>
        <v xml:space="preserve">              </v>
      </c>
      <c r="Y1017" s="1">
        <f t="shared" ca="1" si="47"/>
        <v>0</v>
      </c>
    </row>
    <row r="1018" spans="1:25" x14ac:dyDescent="0.25">
      <c r="A1018" t="s">
        <v>2377</v>
      </c>
      <c r="B1018">
        <v>-45.9</v>
      </c>
      <c r="C1018">
        <v>-1.3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1584</v>
      </c>
      <c r="J1018" t="s">
        <v>1585</v>
      </c>
      <c r="K1018" t="s">
        <v>1586</v>
      </c>
      <c r="L1018" t="s">
        <v>1587</v>
      </c>
      <c r="M1018" t="s">
        <v>1587</v>
      </c>
      <c r="N1018" t="s">
        <v>1586</v>
      </c>
      <c r="O1018" t="s">
        <v>1581</v>
      </c>
      <c r="P1018" t="s">
        <v>1581</v>
      </c>
      <c r="Q1018" t="s">
        <v>1581</v>
      </c>
      <c r="R1018" t="s">
        <v>1581</v>
      </c>
      <c r="S1018" t="s">
        <v>1581</v>
      </c>
      <c r="T1018" t="s">
        <v>1581</v>
      </c>
      <c r="U1018" t="s">
        <v>1581</v>
      </c>
      <c r="V1018" t="str" cm="1">
        <f t="array" aca="1" ref="V1018" ca="1">IFERROR(_xlfn.IFS(A1016="  ..............",OFFSET(A1016,2,0),A1015=" X-------------X",OFFSET(A1015,3,0),MATCH("  ..............",A1018:A1027,0)&gt;2,V1017),"-")</f>
        <v xml:space="preserve">  DREHERPCH006  </v>
      </c>
      <c r="W1018">
        <f t="shared" ca="1" si="45"/>
        <v>1.02</v>
      </c>
      <c r="X1018" t="str">
        <f t="shared" ca="1" si="46"/>
        <v xml:space="preserve"> DREHER-RS138 </v>
      </c>
      <c r="Y1018" s="1">
        <f t="shared" ca="1" si="47"/>
        <v>5.6000000000000001E-2</v>
      </c>
    </row>
    <row r="1019" spans="1:25" x14ac:dyDescent="0.25">
      <c r="A1019" t="s">
        <v>1588</v>
      </c>
      <c r="B1019" t="s">
        <v>1587</v>
      </c>
      <c r="C1019">
        <v>23</v>
      </c>
      <c r="D1019">
        <v>23</v>
      </c>
      <c r="E1019">
        <v>23</v>
      </c>
      <c r="F1019" s="1">
        <v>0.224</v>
      </c>
      <c r="G1019" t="s">
        <v>1587</v>
      </c>
      <c r="H1019" t="s">
        <v>1587</v>
      </c>
      <c r="I1019">
        <v>9225</v>
      </c>
      <c r="J1019" t="s">
        <v>2375</v>
      </c>
      <c r="K1019">
        <v>1</v>
      </c>
      <c r="L1019">
        <v>5.0999999999999996</v>
      </c>
      <c r="M1019">
        <v>-1.3</v>
      </c>
      <c r="N1019">
        <v>5.0999999999999996</v>
      </c>
      <c r="O1019" t="s">
        <v>1608</v>
      </c>
      <c r="P1019" t="s">
        <v>1584</v>
      </c>
      <c r="Q1019" t="s">
        <v>1591</v>
      </c>
      <c r="R1019">
        <v>0</v>
      </c>
      <c r="S1019">
        <v>0.09</v>
      </c>
      <c r="T1019" t="s">
        <v>1584</v>
      </c>
      <c r="U1019" t="s">
        <v>1592</v>
      </c>
      <c r="V1019" t="str" cm="1">
        <f t="array" aca="1" ref="V1019" ca="1">IFERROR(_xlfn.IFS(A1017="  ..............",OFFSET(A1017,2,0),A1016=" X-------------X",OFFSET(A1016,3,0),MATCH("  ..............",A1019:A1028,0)&gt;2,V1018),"-")</f>
        <v>-</v>
      </c>
      <c r="W1019" t="str">
        <f t="shared" ca="1" si="45"/>
        <v>-</v>
      </c>
      <c r="X1019" t="str">
        <f t="shared" ca="1" si="46"/>
        <v>-</v>
      </c>
      <c r="Y1019" s="1" t="str">
        <f t="shared" ca="1" si="47"/>
        <v>-</v>
      </c>
    </row>
    <row r="1020" spans="1:25" x14ac:dyDescent="0.25">
      <c r="A1020" t="s">
        <v>1572</v>
      </c>
      <c r="B1020" t="s">
        <v>1574</v>
      </c>
      <c r="C1020" t="s">
        <v>1574</v>
      </c>
      <c r="D1020" t="s">
        <v>1574</v>
      </c>
      <c r="E1020" t="s">
        <v>1574</v>
      </c>
      <c r="F1020" t="s">
        <v>1575</v>
      </c>
      <c r="G1020" t="s">
        <v>1574</v>
      </c>
      <c r="H1020" t="s">
        <v>1574</v>
      </c>
      <c r="I1020" t="s">
        <v>1576</v>
      </c>
      <c r="J1020" t="s">
        <v>1573</v>
      </c>
      <c r="K1020" t="s">
        <v>1577</v>
      </c>
      <c r="L1020" t="s">
        <v>1574</v>
      </c>
      <c r="M1020" t="s">
        <v>1574</v>
      </c>
      <c r="N1020" t="s">
        <v>1574</v>
      </c>
      <c r="O1020" t="s">
        <v>1578</v>
      </c>
      <c r="P1020" t="s">
        <v>1576</v>
      </c>
      <c r="Q1020" t="s">
        <v>1579</v>
      </c>
      <c r="R1020" t="s">
        <v>1580</v>
      </c>
      <c r="S1020" t="s">
        <v>1580</v>
      </c>
      <c r="T1020" t="s">
        <v>1576</v>
      </c>
      <c r="U1020" t="s">
        <v>1576</v>
      </c>
      <c r="V1020" t="str" cm="1">
        <f t="array" aca="1" ref="V1020" ca="1">IFERROR(_xlfn.IFS(A1018="  ..............",OFFSET(A1018,2,0),A1017=" X-------------X",OFFSET(A1017,3,0),MATCH("  ..............",A1020:A1029,0)&gt;2,V1019),"-")</f>
        <v>-</v>
      </c>
      <c r="W1020" t="str">
        <f t="shared" ca="1" si="45"/>
        <v>-</v>
      </c>
      <c r="X1020" t="str">
        <f t="shared" ca="1" si="46"/>
        <v/>
      </c>
      <c r="Y1020" s="1" t="str">
        <f t="shared" ca="1" si="47"/>
        <v/>
      </c>
    </row>
    <row r="1021" spans="1:25" x14ac:dyDescent="0.25">
      <c r="A1021" t="s">
        <v>2378</v>
      </c>
      <c r="B1021">
        <v>1.024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 t="s">
        <v>1581</v>
      </c>
      <c r="J1021" t="s">
        <v>1581</v>
      </c>
      <c r="K1021" t="s">
        <v>1581</v>
      </c>
      <c r="L1021" t="s">
        <v>1581</v>
      </c>
      <c r="M1021" t="s">
        <v>1581</v>
      </c>
      <c r="N1021" t="s">
        <v>1581</v>
      </c>
      <c r="O1021" t="s">
        <v>1581</v>
      </c>
      <c r="P1021" t="s">
        <v>1581</v>
      </c>
      <c r="Q1021" t="s">
        <v>1581</v>
      </c>
      <c r="R1021" t="s">
        <v>1581</v>
      </c>
      <c r="S1021" t="s">
        <v>1581</v>
      </c>
      <c r="T1021" t="s">
        <v>1581</v>
      </c>
      <c r="U1021" t="s">
        <v>1581</v>
      </c>
      <c r="V1021" t="str" cm="1">
        <f t="array" aca="1" ref="V1021" ca="1">IFERROR(_xlfn.IFS(A1019="  ..............",OFFSET(A1019,2,0),A1018=" X-------------X",OFFSET(A1018,3,0),MATCH("  ..............",A1021:A1030,0)&gt;2,V1020),"-")</f>
        <v>-</v>
      </c>
      <c r="W1021" t="str">
        <f t="shared" ca="1" si="45"/>
        <v>-</v>
      </c>
      <c r="X1021" t="str">
        <f t="shared" ca="1" si="46"/>
        <v xml:space="preserve">              </v>
      </c>
      <c r="Y1021" s="1">
        <f t="shared" ca="1" si="47"/>
        <v>0</v>
      </c>
    </row>
    <row r="1022" spans="1:25" x14ac:dyDescent="0.25">
      <c r="A1022" t="s">
        <v>2379</v>
      </c>
      <c r="B1022">
        <v>-46.8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1584</v>
      </c>
      <c r="J1022" t="s">
        <v>1585</v>
      </c>
      <c r="K1022" t="s">
        <v>1586</v>
      </c>
      <c r="L1022" t="s">
        <v>1587</v>
      </c>
      <c r="M1022" t="s">
        <v>1587</v>
      </c>
      <c r="N1022" t="s">
        <v>1586</v>
      </c>
      <c r="O1022" t="s">
        <v>1581</v>
      </c>
      <c r="P1022" t="s">
        <v>1581</v>
      </c>
      <c r="Q1022" t="s">
        <v>1581</v>
      </c>
      <c r="R1022" t="s">
        <v>1581</v>
      </c>
      <c r="S1022" t="s">
        <v>1581</v>
      </c>
      <c r="T1022" t="s">
        <v>1581</v>
      </c>
      <c r="U1022" t="s">
        <v>1581</v>
      </c>
      <c r="V1022" t="str" cm="1">
        <f t="array" aca="1" ref="V1022" ca="1">IFERROR(_xlfn.IFS(A1020="  ..............",OFFSET(A1020,2,0),A1019=" X-------------X",OFFSET(A1019,3,0),MATCH("  ..............",A1022:A1031,0)&gt;2,V1021),"-")</f>
        <v xml:space="preserve">  DREHER-RS138  </v>
      </c>
      <c r="W1022">
        <f t="shared" ca="1" si="45"/>
        <v>1.024</v>
      </c>
      <c r="X1022" t="str">
        <f t="shared" ca="1" si="46"/>
        <v xml:space="preserve"> KOTZIA-RS138 </v>
      </c>
      <c r="Y1022" s="1">
        <f t="shared" ca="1" si="47"/>
        <v>9.9000000000000005E-2</v>
      </c>
    </row>
    <row r="1023" spans="1:25" x14ac:dyDescent="0.25">
      <c r="A1023" t="s">
        <v>1588</v>
      </c>
      <c r="B1023" t="s">
        <v>1587</v>
      </c>
      <c r="C1023">
        <v>91</v>
      </c>
      <c r="D1023">
        <v>91</v>
      </c>
      <c r="E1023">
        <v>91</v>
      </c>
      <c r="F1023" s="1">
        <v>5.7000000000000002E-2</v>
      </c>
      <c r="G1023" t="s">
        <v>1587</v>
      </c>
      <c r="H1023" t="s">
        <v>1587</v>
      </c>
      <c r="I1023">
        <v>9223</v>
      </c>
      <c r="J1023" t="s">
        <v>1711</v>
      </c>
      <c r="K1023">
        <v>1</v>
      </c>
      <c r="L1023">
        <v>5.0999999999999996</v>
      </c>
      <c r="M1023">
        <v>-1.3</v>
      </c>
      <c r="N1023">
        <v>5.0999999999999996</v>
      </c>
      <c r="O1023" t="s">
        <v>1594</v>
      </c>
      <c r="P1023" t="s">
        <v>1584</v>
      </c>
      <c r="Q1023" t="s">
        <v>1591</v>
      </c>
      <c r="R1023">
        <v>0</v>
      </c>
      <c r="S1023">
        <v>-0.32</v>
      </c>
      <c r="T1023" t="s">
        <v>1584</v>
      </c>
      <c r="U1023" t="s">
        <v>1592</v>
      </c>
      <c r="V1023" t="str" cm="1">
        <f t="array" aca="1" ref="V1023" ca="1">IFERROR(_xlfn.IFS(A1021="  ..............",OFFSET(A1021,2,0),A1020=" X-------------X",OFFSET(A1020,3,0),MATCH("  ..............",A1023:A1032,0)&gt;2,V1022),"-")</f>
        <v xml:space="preserve">  DREHER-RS138  </v>
      </c>
      <c r="W1023">
        <f t="shared" ca="1" si="45"/>
        <v>1.024</v>
      </c>
      <c r="X1023" t="str">
        <f t="shared" ca="1" si="46"/>
        <v xml:space="preserve"> DREHERPCH006 </v>
      </c>
      <c r="Y1023" s="1">
        <f t="shared" ca="1" si="47"/>
        <v>0.224</v>
      </c>
    </row>
    <row r="1024" spans="1:25" x14ac:dyDescent="0.25">
      <c r="A1024" t="s">
        <v>1588</v>
      </c>
      <c r="B1024" t="s">
        <v>1587</v>
      </c>
      <c r="C1024">
        <v>23</v>
      </c>
      <c r="D1024">
        <v>23</v>
      </c>
      <c r="E1024">
        <v>23</v>
      </c>
      <c r="F1024" s="1">
        <v>0.224</v>
      </c>
      <c r="G1024" t="s">
        <v>1587</v>
      </c>
      <c r="H1024" t="s">
        <v>1587</v>
      </c>
      <c r="I1024">
        <v>9224</v>
      </c>
      <c r="J1024" t="s">
        <v>2380</v>
      </c>
      <c r="K1024">
        <v>1</v>
      </c>
      <c r="L1024">
        <v>-5.0999999999999996</v>
      </c>
      <c r="M1024">
        <v>1.3</v>
      </c>
      <c r="N1024">
        <v>5.0999999999999996</v>
      </c>
      <c r="O1024" t="s">
        <v>1594</v>
      </c>
      <c r="P1024" t="s">
        <v>1584</v>
      </c>
      <c r="Q1024" t="s">
        <v>1591</v>
      </c>
      <c r="R1024">
        <v>0</v>
      </c>
      <c r="S1024">
        <v>0.09</v>
      </c>
      <c r="T1024" t="s">
        <v>1584</v>
      </c>
      <c r="U1024" t="s">
        <v>1592</v>
      </c>
      <c r="V1024" t="str" cm="1">
        <f t="array" aca="1" ref="V1024" ca="1">IFERROR(_xlfn.IFS(A1022="  ..............",OFFSET(A1022,2,0),A1021=" X-------------X",OFFSET(A1021,3,0),MATCH("  ..............",A1024:A1033,0)&gt;2,V1023),"-")</f>
        <v>-</v>
      </c>
      <c r="W1024" t="str">
        <f t="shared" ca="1" si="45"/>
        <v>-</v>
      </c>
      <c r="X1024" t="str">
        <f t="shared" ca="1" si="46"/>
        <v>-</v>
      </c>
      <c r="Y1024" s="1" t="str">
        <f t="shared" ca="1" si="47"/>
        <v>-</v>
      </c>
    </row>
    <row r="1025" spans="1:25" x14ac:dyDescent="0.25">
      <c r="A1025" t="s">
        <v>1572</v>
      </c>
      <c r="B1025" t="s">
        <v>1574</v>
      </c>
      <c r="C1025" t="s">
        <v>1574</v>
      </c>
      <c r="D1025" t="s">
        <v>1574</v>
      </c>
      <c r="E1025" t="s">
        <v>1574</v>
      </c>
      <c r="F1025" t="s">
        <v>1575</v>
      </c>
      <c r="G1025" t="s">
        <v>1574</v>
      </c>
      <c r="H1025" t="s">
        <v>1574</v>
      </c>
      <c r="I1025" t="s">
        <v>1576</v>
      </c>
      <c r="J1025" t="s">
        <v>1573</v>
      </c>
      <c r="K1025" t="s">
        <v>1577</v>
      </c>
      <c r="L1025" t="s">
        <v>1574</v>
      </c>
      <c r="M1025" t="s">
        <v>1574</v>
      </c>
      <c r="N1025" t="s">
        <v>1574</v>
      </c>
      <c r="O1025" t="s">
        <v>1578</v>
      </c>
      <c r="P1025" t="s">
        <v>1576</v>
      </c>
      <c r="Q1025" t="s">
        <v>1579</v>
      </c>
      <c r="R1025" t="s">
        <v>1580</v>
      </c>
      <c r="S1025" t="s">
        <v>1580</v>
      </c>
      <c r="T1025" t="s">
        <v>1576</v>
      </c>
      <c r="U1025" t="s">
        <v>1576</v>
      </c>
      <c r="V1025" t="str" cm="1">
        <f t="array" aca="1" ref="V1025" ca="1">IFERROR(_xlfn.IFS(A1023="  ..............",OFFSET(A1023,2,0),A1022=" X-------------X",OFFSET(A1022,3,0),MATCH("  ..............",A1025:A1034,0)&gt;2,V1024),"-")</f>
        <v>-</v>
      </c>
      <c r="W1025" t="str">
        <f t="shared" ca="1" si="45"/>
        <v>-</v>
      </c>
      <c r="X1025" t="str">
        <f t="shared" ca="1" si="46"/>
        <v xml:space="preserve"> V11.06.02    </v>
      </c>
      <c r="Y1025" s="1" t="str">
        <f t="shared" ca="1" si="47"/>
        <v xml:space="preserve">A - PROGRAMA </v>
      </c>
    </row>
    <row r="1026" spans="1:25" x14ac:dyDescent="0.25">
      <c r="A1026" t="s">
        <v>1725</v>
      </c>
      <c r="B1026" t="s">
        <v>1726</v>
      </c>
      <c r="C1026" t="s">
        <v>1727</v>
      </c>
      <c r="D1026" t="s">
        <v>1728</v>
      </c>
      <c r="E1026" t="s">
        <v>1729</v>
      </c>
      <c r="F1026" t="s">
        <v>1730</v>
      </c>
      <c r="G1026" t="s">
        <v>1731</v>
      </c>
      <c r="H1026" t="s">
        <v>1732</v>
      </c>
      <c r="I1026" t="s">
        <v>1733</v>
      </c>
      <c r="J1026" t="s">
        <v>1734</v>
      </c>
      <c r="K1026" t="s">
        <v>1586</v>
      </c>
      <c r="L1026" t="s">
        <v>1587</v>
      </c>
      <c r="M1026" t="s">
        <v>1587</v>
      </c>
      <c r="N1026" t="s">
        <v>1587</v>
      </c>
      <c r="O1026" t="s">
        <v>1735</v>
      </c>
      <c r="P1026">
        <v>7</v>
      </c>
      <c r="Q1026" t="s">
        <v>1581</v>
      </c>
      <c r="R1026" t="s">
        <v>1581</v>
      </c>
      <c r="S1026" t="s">
        <v>1581</v>
      </c>
      <c r="T1026" t="s">
        <v>1581</v>
      </c>
      <c r="U1026" t="s">
        <v>1581</v>
      </c>
      <c r="V1026" t="str" cm="1">
        <f t="array" aca="1" ref="V1026" ca="1">IFERROR(_xlfn.IFS(A1024="  ..............",OFFSET(A1024,2,0),A1023=" X-------------X",OFFSET(A1023,3,0),MATCH("  ..............",A1026:A1035,0)&gt;2,V1025),"-")</f>
        <v>-</v>
      </c>
      <c r="W1026" t="str">
        <f t="shared" ca="1" si="45"/>
        <v>-</v>
      </c>
      <c r="X1026" t="str">
        <f t="shared" ca="1" si="46"/>
        <v/>
      </c>
      <c r="Y1026" s="1" t="str">
        <f t="shared" ca="1" si="47"/>
        <v/>
      </c>
    </row>
    <row r="1027" spans="1:25" x14ac:dyDescent="0.25">
      <c r="A1027" t="s">
        <v>1581</v>
      </c>
      <c r="B1027" t="s">
        <v>1581</v>
      </c>
      <c r="C1027" t="s">
        <v>1581</v>
      </c>
      <c r="D1027" t="s">
        <v>1581</v>
      </c>
      <c r="E1027" t="s">
        <v>1581</v>
      </c>
      <c r="F1027" t="s">
        <v>1581</v>
      </c>
      <c r="G1027" t="s">
        <v>1581</v>
      </c>
      <c r="H1027" t="s">
        <v>1581</v>
      </c>
      <c r="I1027" t="s">
        <v>1581</v>
      </c>
      <c r="J1027" t="s">
        <v>1581</v>
      </c>
      <c r="K1027" t="s">
        <v>1581</v>
      </c>
      <c r="L1027" t="s">
        <v>1581</v>
      </c>
      <c r="M1027" t="s">
        <v>1581</v>
      </c>
      <c r="N1027" t="s">
        <v>1581</v>
      </c>
      <c r="O1027" t="s">
        <v>1581</v>
      </c>
      <c r="P1027" t="s">
        <v>1581</v>
      </c>
      <c r="Q1027" t="s">
        <v>1581</v>
      </c>
      <c r="R1027" t="s">
        <v>1581</v>
      </c>
      <c r="S1027" t="s">
        <v>1581</v>
      </c>
      <c r="T1027" t="s">
        <v>1581</v>
      </c>
      <c r="U1027" t="s">
        <v>1581</v>
      </c>
      <c r="V1027" t="str" cm="1">
        <f t="array" aca="1" ref="V1027" ca="1">IFERROR(_xlfn.IFS(A1025="  ..............",OFFSET(A1025,2,0),A1024=" X-------------X",OFFSET(A1024,3,0),MATCH("  ..............",A1027:A1036,0)&gt;2,V1026),"-")</f>
        <v/>
      </c>
      <c r="W1027" t="str">
        <f t="shared" ca="1" si="45"/>
        <v>X-------X</v>
      </c>
      <c r="X1027" t="str">
        <f t="shared" ca="1" si="46"/>
        <v/>
      </c>
      <c r="Y1027" s="1" t="str">
        <f t="shared" ca="1" si="47"/>
        <v/>
      </c>
    </row>
    <row r="1028" spans="1:25" x14ac:dyDescent="0.25">
      <c r="A1028" t="s">
        <v>1736</v>
      </c>
      <c r="B1028" t="s">
        <v>1737</v>
      </c>
      <c r="C1028" t="s">
        <v>1738</v>
      </c>
      <c r="D1028" t="s">
        <v>1739</v>
      </c>
      <c r="E1028" t="s">
        <v>1740</v>
      </c>
      <c r="F1028" t="s">
        <v>1741</v>
      </c>
      <c r="G1028" t="s">
        <v>1742</v>
      </c>
      <c r="H1028" t="s">
        <v>1743</v>
      </c>
      <c r="I1028" t="s">
        <v>1744</v>
      </c>
      <c r="J1028" t="s">
        <v>1581</v>
      </c>
      <c r="K1028" t="s">
        <v>1581</v>
      </c>
      <c r="L1028" t="s">
        <v>1581</v>
      </c>
      <c r="M1028" t="s">
        <v>1581</v>
      </c>
      <c r="N1028" t="s">
        <v>1581</v>
      </c>
      <c r="O1028" t="s">
        <v>1581</v>
      </c>
      <c r="P1028" t="s">
        <v>1581</v>
      </c>
      <c r="Q1028" t="s">
        <v>1581</v>
      </c>
      <c r="R1028" t="s">
        <v>1581</v>
      </c>
      <c r="S1028" t="s">
        <v>1581</v>
      </c>
      <c r="T1028" t="s">
        <v>1581</v>
      </c>
      <c r="U1028" t="s">
        <v>1581</v>
      </c>
      <c r="V1028" t="str" cm="1">
        <f t="array" aca="1" ref="V1028" ca="1">IFERROR(_xlfn.IFS(A1026="  ..............",OFFSET(A1026,2,0),A1025=" X-------------X",OFFSET(A1025,3,0),MATCH("  ..............",A1028:A1037,0)&gt;2,V1027),"-")</f>
        <v>-</v>
      </c>
      <c r="W1028" t="str">
        <f t="shared" ref="W1028:W1091" ca="1" si="48">IFERROR(OFFSET($A$1,MATCH(V1028,A:A,0)-2,1),"-")</f>
        <v>-</v>
      </c>
      <c r="X1028" t="str">
        <f t="shared" ref="X1028:X1091" ca="1" si="49">IFERROR(IF(V1028=V1027,OFFSET($J$1,ROW(X1028),0),OFFSET($J$1,MATCH(V1028,A:A,0),0)),"-")</f>
        <v>-</v>
      </c>
      <c r="Y1028" s="1" t="str">
        <f t="shared" ref="Y1028:Y1091" ca="1" si="50">IFERROR(OFFSET($F$1,MATCH(X1028,J:J,0)-1,0),"-")</f>
        <v>-</v>
      </c>
    </row>
    <row r="1029" spans="1:25" x14ac:dyDescent="0.25">
      <c r="A1029" t="s">
        <v>1745</v>
      </c>
      <c r="B1029" t="s">
        <v>1746</v>
      </c>
      <c r="C1029" t="s">
        <v>1747</v>
      </c>
      <c r="D1029" t="s">
        <v>1748</v>
      </c>
      <c r="E1029" t="s">
        <v>1749</v>
      </c>
      <c r="F1029" t="s">
        <v>1750</v>
      </c>
      <c r="G1029" t="s">
        <v>1587</v>
      </c>
      <c r="H1029" t="s">
        <v>1587</v>
      </c>
      <c r="I1029" t="s">
        <v>1591</v>
      </c>
      <c r="J1029" t="s">
        <v>1581</v>
      </c>
      <c r="K1029" t="s">
        <v>1581</v>
      </c>
      <c r="L1029" t="s">
        <v>1581</v>
      </c>
      <c r="M1029" t="s">
        <v>1581</v>
      </c>
      <c r="N1029" t="s">
        <v>1581</v>
      </c>
      <c r="O1029" t="s">
        <v>1581</v>
      </c>
      <c r="P1029" t="s">
        <v>1581</v>
      </c>
      <c r="Q1029" t="s">
        <v>1581</v>
      </c>
      <c r="R1029" t="s">
        <v>1581</v>
      </c>
      <c r="S1029" t="s">
        <v>1581</v>
      </c>
      <c r="T1029" t="s">
        <v>1581</v>
      </c>
      <c r="U1029" t="s">
        <v>1581</v>
      </c>
      <c r="V1029" t="str" cm="1">
        <f t="array" aca="1" ref="V1029" ca="1">IFERROR(_xlfn.IFS(A1027="  ..............",OFFSET(A1027,2,0),A1026=" X-------------X",OFFSET(A1026,3,0),MATCH("  ..............",A1029:A1038,0)&gt;2,V1028),"-")</f>
        <v>-</v>
      </c>
      <c r="W1029" t="str">
        <f t="shared" ca="1" si="48"/>
        <v>-</v>
      </c>
      <c r="X1029" t="str">
        <f t="shared" ca="1" si="49"/>
        <v/>
      </c>
      <c r="Y1029" s="1" t="str">
        <f t="shared" ca="1" si="50"/>
        <v/>
      </c>
    </row>
    <row r="1030" spans="1:25" x14ac:dyDescent="0.25">
      <c r="A1030" t="s">
        <v>1581</v>
      </c>
      <c r="B1030" t="s">
        <v>1581</v>
      </c>
      <c r="C1030" t="s">
        <v>1581</v>
      </c>
      <c r="D1030" t="s">
        <v>1581</v>
      </c>
      <c r="E1030" t="s">
        <v>1581</v>
      </c>
      <c r="F1030" t="s">
        <v>1581</v>
      </c>
      <c r="G1030" t="s">
        <v>1581</v>
      </c>
      <c r="H1030" t="s">
        <v>1581</v>
      </c>
      <c r="I1030" t="s">
        <v>1581</v>
      </c>
      <c r="J1030" t="s">
        <v>1581</v>
      </c>
      <c r="K1030" t="s">
        <v>1581</v>
      </c>
      <c r="L1030" t="s">
        <v>1581</v>
      </c>
      <c r="M1030" t="s">
        <v>1581</v>
      </c>
      <c r="N1030" t="s">
        <v>1581</v>
      </c>
      <c r="O1030" t="s">
        <v>1581</v>
      </c>
      <c r="P1030" t="s">
        <v>1581</v>
      </c>
      <c r="Q1030" t="s">
        <v>1581</v>
      </c>
      <c r="R1030" t="s">
        <v>1581</v>
      </c>
      <c r="S1030" t="s">
        <v>1581</v>
      </c>
      <c r="T1030" t="s">
        <v>1581</v>
      </c>
      <c r="U1030" t="s">
        <v>1581</v>
      </c>
      <c r="V1030" t="str" cm="1">
        <f t="array" aca="1" ref="V1030" ca="1">IFERROR(_xlfn.IFS(A1028="  ..............",OFFSET(A1028,2,0),A1027=" X-------------X",OFFSET(A1027,3,0),MATCH("  ..............",A1030:A1039,0)&gt;2,V1029),"-")</f>
        <v>-</v>
      </c>
      <c r="W1030" t="str">
        <f t="shared" ca="1" si="48"/>
        <v>-</v>
      </c>
      <c r="X1030" t="str">
        <f t="shared" ca="1" si="49"/>
        <v>-------- F L U</v>
      </c>
      <c r="Y1030" s="1" t="str">
        <f t="shared" ca="1" si="50"/>
        <v xml:space="preserve"> ------------</v>
      </c>
    </row>
    <row r="1031" spans="1:25" x14ac:dyDescent="0.25">
      <c r="A1031" t="s">
        <v>1751</v>
      </c>
      <c r="B1031" t="s">
        <v>1752</v>
      </c>
      <c r="C1031" t="s">
        <v>1753</v>
      </c>
      <c r="D1031" t="s">
        <v>1754</v>
      </c>
      <c r="E1031" t="s">
        <v>1755</v>
      </c>
      <c r="F1031" t="s">
        <v>1756</v>
      </c>
      <c r="G1031" t="s">
        <v>1757</v>
      </c>
      <c r="H1031" t="s">
        <v>1758</v>
      </c>
      <c r="I1031" t="s">
        <v>1759</v>
      </c>
      <c r="J1031" t="s">
        <v>1760</v>
      </c>
      <c r="K1031" t="s">
        <v>1761</v>
      </c>
      <c r="L1031" t="s">
        <v>1762</v>
      </c>
      <c r="M1031" t="s">
        <v>1763</v>
      </c>
      <c r="N1031" t="s">
        <v>1764</v>
      </c>
      <c r="O1031" t="s">
        <v>1765</v>
      </c>
      <c r="P1031" t="s">
        <v>1766</v>
      </c>
      <c r="Q1031" t="s">
        <v>1767</v>
      </c>
      <c r="R1031" t="s">
        <v>1571</v>
      </c>
      <c r="S1031" t="s">
        <v>1571</v>
      </c>
      <c r="T1031" t="s">
        <v>1759</v>
      </c>
      <c r="U1031" t="s">
        <v>1768</v>
      </c>
      <c r="V1031" t="str" cm="1">
        <f t="array" aca="1" ref="V1031" ca="1">IFERROR(_xlfn.IFS(A1029="  ..............",OFFSET(A1029,2,0),A1028=" X-------------X",OFFSET(A1028,3,0),MATCH("  ..............",A1031:A1040,0)&gt;2,V1030),"-")</f>
        <v>-</v>
      </c>
      <c r="W1031" t="str">
        <f t="shared" ca="1" si="48"/>
        <v>-</v>
      </c>
      <c r="X1031" t="str">
        <f t="shared" ca="1" si="49"/>
        <v xml:space="preserve">              </v>
      </c>
      <c r="Y1031" s="1">
        <f t="shared" ca="1" si="50"/>
        <v>0</v>
      </c>
    </row>
    <row r="1032" spans="1:25" x14ac:dyDescent="0.25">
      <c r="A1032" t="s">
        <v>1769</v>
      </c>
      <c r="B1032" t="s">
        <v>1770</v>
      </c>
      <c r="C1032" t="s">
        <v>1771</v>
      </c>
      <c r="D1032" t="s">
        <v>1772</v>
      </c>
      <c r="E1032" t="s">
        <v>1773</v>
      </c>
      <c r="F1032" t="s">
        <v>1774</v>
      </c>
      <c r="G1032" t="s">
        <v>1775</v>
      </c>
      <c r="H1032" t="s">
        <v>1776</v>
      </c>
      <c r="I1032" t="s">
        <v>1584</v>
      </c>
      <c r="J1032" t="s">
        <v>1585</v>
      </c>
      <c r="K1032" t="s">
        <v>1586</v>
      </c>
      <c r="L1032" t="s">
        <v>1587</v>
      </c>
      <c r="M1032" t="s">
        <v>1587</v>
      </c>
      <c r="N1032" t="s">
        <v>1587</v>
      </c>
      <c r="O1032" t="s">
        <v>1594</v>
      </c>
      <c r="P1032" t="s">
        <v>1584</v>
      </c>
      <c r="Q1032" t="s">
        <v>1591</v>
      </c>
      <c r="R1032" t="s">
        <v>1777</v>
      </c>
      <c r="S1032" t="s">
        <v>1777</v>
      </c>
      <c r="T1032" t="s">
        <v>1584</v>
      </c>
      <c r="U1032" t="s">
        <v>1778</v>
      </c>
      <c r="V1032" t="str" cm="1">
        <f t="array" aca="1" ref="V1032" ca="1">IFERROR(_xlfn.IFS(A1030="  ..............",OFFSET(A1030,2,0),A1029=" X-------------X",OFFSET(A1029,3,0),MATCH("  ..............",A1032:A1041,0)&gt;2,V1031),"-")</f>
        <v>-</v>
      </c>
      <c r="W1032" t="str">
        <f t="shared" ca="1" si="48"/>
        <v>-</v>
      </c>
      <c r="X1032" t="str">
        <f t="shared" ca="1" si="49"/>
        <v xml:space="preserve">              </v>
      </c>
      <c r="Y1032" s="1">
        <f t="shared" ca="1" si="50"/>
        <v>0</v>
      </c>
    </row>
    <row r="1033" spans="1:25" x14ac:dyDescent="0.25">
      <c r="A1033" t="s">
        <v>1779</v>
      </c>
      <c r="B1033" t="s">
        <v>1780</v>
      </c>
      <c r="C1033" t="s">
        <v>1781</v>
      </c>
      <c r="D1033" t="s">
        <v>1781</v>
      </c>
      <c r="E1033" t="s">
        <v>1781</v>
      </c>
      <c r="F1033" t="s">
        <v>1782</v>
      </c>
      <c r="G1033" t="s">
        <v>1783</v>
      </c>
      <c r="H1033" t="s">
        <v>1784</v>
      </c>
      <c r="I1033" t="s">
        <v>1584</v>
      </c>
      <c r="J1033" t="s">
        <v>1585</v>
      </c>
      <c r="K1033" t="s">
        <v>1586</v>
      </c>
      <c r="L1033" t="s">
        <v>1587</v>
      </c>
      <c r="M1033" t="s">
        <v>1587</v>
      </c>
      <c r="N1033" t="s">
        <v>1587</v>
      </c>
      <c r="O1033" t="s">
        <v>1594</v>
      </c>
      <c r="P1033" t="s">
        <v>1584</v>
      </c>
      <c r="Q1033" t="s">
        <v>1785</v>
      </c>
      <c r="R1033" t="s">
        <v>1786</v>
      </c>
      <c r="S1033" t="s">
        <v>1787</v>
      </c>
      <c r="T1033" t="s">
        <v>1788</v>
      </c>
      <c r="U1033" t="s">
        <v>1778</v>
      </c>
      <c r="V1033" t="str" cm="1">
        <f t="array" aca="1" ref="V1033" ca="1">IFERROR(_xlfn.IFS(A1031="  ..............",OFFSET(A1031,2,0),A1030=" X-------------X",OFFSET(A1030,3,0),MATCH("  ..............",A1033:A1042,0)&gt;2,V1032),"-")</f>
        <v>-</v>
      </c>
      <c r="W1033" t="str">
        <f t="shared" ca="1" si="48"/>
        <v>-</v>
      </c>
      <c r="X1033" t="str">
        <f t="shared" ca="1" si="49"/>
        <v xml:space="preserve">A             </v>
      </c>
      <c r="Y1033" s="1" t="str">
        <f t="shared" ca="1" si="50"/>
        <v xml:space="preserve">   Mvar   EQU</v>
      </c>
    </row>
    <row r="1034" spans="1:25" x14ac:dyDescent="0.25">
      <c r="A1034" t="s">
        <v>1789</v>
      </c>
      <c r="B1034" t="s">
        <v>1790</v>
      </c>
      <c r="C1034" t="s">
        <v>1791</v>
      </c>
      <c r="D1034" t="s">
        <v>1791</v>
      </c>
      <c r="E1034" t="s">
        <v>1791</v>
      </c>
      <c r="F1034" t="s">
        <v>1792</v>
      </c>
      <c r="G1034" t="s">
        <v>1793</v>
      </c>
      <c r="H1034" t="s">
        <v>1794</v>
      </c>
      <c r="I1034" t="s">
        <v>1795</v>
      </c>
      <c r="J1034" t="s">
        <v>1796</v>
      </c>
      <c r="K1034" t="s">
        <v>1586</v>
      </c>
      <c r="L1034" t="s">
        <v>1797</v>
      </c>
      <c r="M1034" t="s">
        <v>1798</v>
      </c>
      <c r="N1034" t="s">
        <v>1587</v>
      </c>
      <c r="O1034" t="s">
        <v>1594</v>
      </c>
      <c r="P1034" t="s">
        <v>1584</v>
      </c>
      <c r="Q1034" t="s">
        <v>1799</v>
      </c>
      <c r="R1034" t="s">
        <v>1800</v>
      </c>
      <c r="S1034" t="s">
        <v>1801</v>
      </c>
      <c r="T1034" t="s">
        <v>1802</v>
      </c>
      <c r="U1034" t="s">
        <v>1803</v>
      </c>
      <c r="V1034" t="str" cm="1">
        <f t="array" aca="1" ref="V1034" ca="1">IFERROR(_xlfn.IFS(A1032="  ..............",OFFSET(A1032,2,0),A1031=" X-------------X",OFFSET(A1031,3,0),MATCH("  ..............",A1034:A1043,0)&gt;2,V1033),"-")</f>
        <v>-</v>
      </c>
      <c r="W1034" t="str">
        <f t="shared" ca="1" si="48"/>
        <v>-</v>
      </c>
      <c r="X1034" t="str">
        <f t="shared" ca="1" si="49"/>
        <v xml:space="preserve">     NOME     </v>
      </c>
      <c r="Y1034" s="1" t="str">
        <f t="shared" ca="1" si="50"/>
        <v xml:space="preserve">   FLUXO %   </v>
      </c>
    </row>
    <row r="1035" spans="1:25" x14ac:dyDescent="0.25">
      <c r="A1035" t="s">
        <v>1588</v>
      </c>
      <c r="B1035" t="s">
        <v>1587</v>
      </c>
      <c r="C1035" t="s">
        <v>1804</v>
      </c>
      <c r="D1035" t="s">
        <v>1805</v>
      </c>
      <c r="E1035" t="s">
        <v>1806</v>
      </c>
      <c r="F1035" t="s">
        <v>1807</v>
      </c>
      <c r="G1035" t="s">
        <v>1808</v>
      </c>
      <c r="H1035" t="s">
        <v>1587</v>
      </c>
      <c r="I1035" t="s">
        <v>1809</v>
      </c>
      <c r="J1035" t="s">
        <v>1810</v>
      </c>
      <c r="K1035" t="s">
        <v>1811</v>
      </c>
      <c r="L1035" t="s">
        <v>1812</v>
      </c>
      <c r="M1035" t="s">
        <v>1791</v>
      </c>
      <c r="N1035" t="s">
        <v>1813</v>
      </c>
      <c r="O1035" t="s">
        <v>1814</v>
      </c>
      <c r="P1035" t="s">
        <v>1815</v>
      </c>
      <c r="Q1035" t="s">
        <v>1816</v>
      </c>
      <c r="R1035" t="s">
        <v>1817</v>
      </c>
      <c r="S1035" t="s">
        <v>1818</v>
      </c>
      <c r="T1035" t="s">
        <v>1819</v>
      </c>
      <c r="U1035" t="s">
        <v>1820</v>
      </c>
      <c r="V1035" t="str" cm="1">
        <f t="array" aca="1" ref="V1035" ca="1">IFERROR(_xlfn.IFS(A1033="  ..............",OFFSET(A1033,2,0),A1032=" X-------------X",OFFSET(A1032,3,0),MATCH("  ..............",A1035:A1044,0)&gt;2,V1034),"-")</f>
        <v>-</v>
      </c>
      <c r="W1035" t="str">
        <f t="shared" ca="1" si="48"/>
        <v>-</v>
      </c>
      <c r="X1035" t="str">
        <f t="shared" ca="1" si="49"/>
        <v>X------------X</v>
      </c>
      <c r="Y1035" s="1" t="str">
        <f t="shared" ca="1" si="50"/>
        <v>X-----------X</v>
      </c>
    </row>
    <row r="1036" spans="1:25" x14ac:dyDescent="0.25">
      <c r="A1036" t="s">
        <v>1563</v>
      </c>
      <c r="B1036" t="s">
        <v>1564</v>
      </c>
      <c r="C1036" t="s">
        <v>1564</v>
      </c>
      <c r="D1036" t="s">
        <v>1564</v>
      </c>
      <c r="E1036" t="s">
        <v>1564</v>
      </c>
      <c r="F1036" t="s">
        <v>1565</v>
      </c>
      <c r="G1036" t="s">
        <v>1564</v>
      </c>
      <c r="H1036" t="s">
        <v>1564</v>
      </c>
      <c r="I1036" t="s">
        <v>1566</v>
      </c>
      <c r="J1036" t="s">
        <v>1567</v>
      </c>
      <c r="K1036" t="s">
        <v>1568</v>
      </c>
      <c r="L1036" t="s">
        <v>1564</v>
      </c>
      <c r="M1036" t="s">
        <v>1564</v>
      </c>
      <c r="N1036" t="s">
        <v>1564</v>
      </c>
      <c r="O1036" t="s">
        <v>1569</v>
      </c>
      <c r="P1036" t="s">
        <v>1566</v>
      </c>
      <c r="Q1036" t="s">
        <v>1570</v>
      </c>
      <c r="R1036" t="s">
        <v>1571</v>
      </c>
      <c r="S1036" t="s">
        <v>1571</v>
      </c>
      <c r="T1036" t="s">
        <v>1566</v>
      </c>
      <c r="U1036" t="s">
        <v>1566</v>
      </c>
      <c r="V1036" t="str" cm="1">
        <f t="array" aca="1" ref="V1036" ca="1">IFERROR(_xlfn.IFS(A1034="  ..............",OFFSET(A1034,2,0),A1033=" X-------------X",OFFSET(A1033,3,0),MATCH("  ..............",A1036:A1045,0)&gt;2,V1035),"-")</f>
        <v>-</v>
      </c>
      <c r="W1036" t="str">
        <f t="shared" ca="1" si="48"/>
        <v>-</v>
      </c>
      <c r="X1036" t="str">
        <f t="shared" ca="1" si="49"/>
        <v/>
      </c>
      <c r="Y1036" s="1" t="str">
        <f t="shared" ca="1" si="50"/>
        <v/>
      </c>
    </row>
    <row r="1037" spans="1:25" x14ac:dyDescent="0.25">
      <c r="A1037" t="s">
        <v>1581</v>
      </c>
      <c r="B1037" t="s">
        <v>1581</v>
      </c>
      <c r="C1037" t="s">
        <v>1581</v>
      </c>
      <c r="D1037" t="s">
        <v>1581</v>
      </c>
      <c r="E1037" t="s">
        <v>1581</v>
      </c>
      <c r="F1037" t="s">
        <v>1581</v>
      </c>
      <c r="G1037" t="s">
        <v>1581</v>
      </c>
      <c r="H1037" t="s">
        <v>1581</v>
      </c>
      <c r="I1037" t="s">
        <v>1581</v>
      </c>
      <c r="J1037" t="s">
        <v>1581</v>
      </c>
      <c r="K1037" t="s">
        <v>1581</v>
      </c>
      <c r="L1037" t="s">
        <v>1581</v>
      </c>
      <c r="M1037" t="s">
        <v>1581</v>
      </c>
      <c r="N1037" t="s">
        <v>1581</v>
      </c>
      <c r="O1037" t="s">
        <v>1581</v>
      </c>
      <c r="P1037" t="s">
        <v>1581</v>
      </c>
      <c r="Q1037" t="s">
        <v>1581</v>
      </c>
      <c r="R1037" t="s">
        <v>1581</v>
      </c>
      <c r="S1037" t="s">
        <v>1581</v>
      </c>
      <c r="T1037" t="s">
        <v>1581</v>
      </c>
      <c r="U1037" t="s">
        <v>1581</v>
      </c>
      <c r="V1037" t="str" cm="1">
        <f t="array" aca="1" ref="V1037" ca="1">IFERROR(_xlfn.IFS(A1035="  ..............",OFFSET(A1035,2,0),A1034=" X-------------X",OFFSET(A1034,3,0),MATCH("  ..............",A1037:A1046,0)&gt;2,V1036),"-")</f>
        <v>-</v>
      </c>
      <c r="W1037" t="str">
        <f t="shared" ca="1" si="48"/>
        <v>-</v>
      </c>
      <c r="X1037" t="str">
        <f t="shared" ca="1" si="49"/>
        <v/>
      </c>
      <c r="Y1037" s="1" t="str">
        <f t="shared" ca="1" si="50"/>
        <v/>
      </c>
    </row>
    <row r="1038" spans="1:25" x14ac:dyDescent="0.25">
      <c r="A1038" t="s">
        <v>2381</v>
      </c>
      <c r="B1038">
        <v>1.014</v>
      </c>
      <c r="C1038">
        <v>0</v>
      </c>
      <c r="D1038">
        <v>0</v>
      </c>
      <c r="E1038">
        <v>9.5</v>
      </c>
      <c r="F1038">
        <v>0</v>
      </c>
      <c r="G1038">
        <v>0</v>
      </c>
      <c r="H1038">
        <v>0</v>
      </c>
      <c r="I1038" t="s">
        <v>1581</v>
      </c>
      <c r="J1038" t="s">
        <v>1581</v>
      </c>
      <c r="K1038" t="s">
        <v>1581</v>
      </c>
      <c r="L1038" t="s">
        <v>1581</v>
      </c>
      <c r="M1038" t="s">
        <v>1581</v>
      </c>
      <c r="N1038" t="s">
        <v>1581</v>
      </c>
      <c r="O1038" t="s">
        <v>1581</v>
      </c>
      <c r="P1038" t="s">
        <v>1581</v>
      </c>
      <c r="Q1038" t="s">
        <v>1581</v>
      </c>
      <c r="R1038" t="s">
        <v>1581</v>
      </c>
      <c r="S1038" t="s">
        <v>1581</v>
      </c>
      <c r="T1038" t="s">
        <v>1581</v>
      </c>
      <c r="U1038" t="s">
        <v>1581</v>
      </c>
      <c r="V1038" t="str" cm="1">
        <f t="array" aca="1" ref="V1038" ca="1">IFERROR(_xlfn.IFS(A1036="  ..............",OFFSET(A1036,2,0),A1035=" X-------------X",OFFSET(A1035,3,0),MATCH("  ..............",A1038:A1047,0)&gt;2,V1037),"-")</f>
        <v>-</v>
      </c>
      <c r="W1038" t="str">
        <f t="shared" ca="1" si="48"/>
        <v>-</v>
      </c>
      <c r="X1038" t="str">
        <f t="shared" ca="1" si="49"/>
        <v xml:space="preserve">              </v>
      </c>
      <c r="Y1038" s="1">
        <f t="shared" ca="1" si="50"/>
        <v>0</v>
      </c>
    </row>
    <row r="1039" spans="1:25" x14ac:dyDescent="0.25">
      <c r="A1039" t="s">
        <v>2382</v>
      </c>
      <c r="B1039">
        <v>-54.7</v>
      </c>
      <c r="C1039">
        <v>0</v>
      </c>
      <c r="D1039">
        <v>0</v>
      </c>
      <c r="E1039">
        <v>4</v>
      </c>
      <c r="F1039">
        <v>0</v>
      </c>
      <c r="G1039">
        <v>0</v>
      </c>
      <c r="H1039">
        <v>0</v>
      </c>
      <c r="I1039" t="s">
        <v>1584</v>
      </c>
      <c r="J1039" t="s">
        <v>1585</v>
      </c>
      <c r="K1039" t="s">
        <v>1586</v>
      </c>
      <c r="L1039" t="s">
        <v>1587</v>
      </c>
      <c r="M1039" t="s">
        <v>1587</v>
      </c>
      <c r="N1039" t="s">
        <v>1586</v>
      </c>
      <c r="O1039" t="s">
        <v>1581</v>
      </c>
      <c r="P1039" t="s">
        <v>1581</v>
      </c>
      <c r="Q1039" t="s">
        <v>1581</v>
      </c>
      <c r="R1039" t="s">
        <v>1581</v>
      </c>
      <c r="S1039" t="s">
        <v>1581</v>
      </c>
      <c r="T1039" t="s">
        <v>1581</v>
      </c>
      <c r="U1039" t="s">
        <v>1581</v>
      </c>
      <c r="V1039" t="str" cm="1">
        <f t="array" aca="1" ref="V1039" ca="1">IFERROR(_xlfn.IFS(A1037="  ..............",OFFSET(A1037,2,0),A1036=" X-------------X",OFFSET(A1036,3,0),MATCH("  ..............",A1039:A1048,0)&gt;2,V1038),"-")</f>
        <v xml:space="preserve">  GKNPAL-RS069  </v>
      </c>
      <c r="W1039">
        <f t="shared" ca="1" si="48"/>
        <v>1.014</v>
      </c>
      <c r="X1039" t="str">
        <f t="shared" ca="1" si="49"/>
        <v xml:space="preserve"> PALGR8-RS069 </v>
      </c>
      <c r="Y1039" s="1">
        <f t="shared" ca="1" si="50"/>
        <v>0.628</v>
      </c>
    </row>
    <row r="1040" spans="1:25" x14ac:dyDescent="0.25">
      <c r="A1040" t="s">
        <v>1588</v>
      </c>
      <c r="B1040" t="s">
        <v>1587</v>
      </c>
      <c r="C1040">
        <v>80</v>
      </c>
      <c r="D1040">
        <v>95</v>
      </c>
      <c r="E1040">
        <v>95</v>
      </c>
      <c r="F1040" s="1">
        <v>0.628</v>
      </c>
      <c r="G1040" t="s">
        <v>1587</v>
      </c>
      <c r="H1040" t="s">
        <v>1587</v>
      </c>
      <c r="I1040">
        <v>1271</v>
      </c>
      <c r="J1040" t="s">
        <v>2383</v>
      </c>
      <c r="K1040">
        <v>1</v>
      </c>
      <c r="L1040">
        <v>-50.4</v>
      </c>
      <c r="M1040">
        <v>-7.5</v>
      </c>
      <c r="N1040">
        <v>50.2</v>
      </c>
      <c r="O1040" t="s">
        <v>1594</v>
      </c>
      <c r="P1040" t="s">
        <v>1584</v>
      </c>
      <c r="Q1040" t="s">
        <v>1591</v>
      </c>
      <c r="R1040">
        <v>0.04</v>
      </c>
      <c r="S1040">
        <v>0.13</v>
      </c>
      <c r="T1040" t="s">
        <v>1584</v>
      </c>
      <c r="U1040" t="s">
        <v>1592</v>
      </c>
      <c r="V1040" t="str" cm="1">
        <f t="array" aca="1" ref="V1040" ca="1">IFERROR(_xlfn.IFS(A1038="  ..............",OFFSET(A1038,2,0),A1037=" X-------------X",OFFSET(A1037,3,0),MATCH("  ..............",A1040:A1049,0)&gt;2,V1039),"-")</f>
        <v xml:space="preserve">  GKNPAL-RS069  </v>
      </c>
      <c r="W1040">
        <f t="shared" ca="1" si="48"/>
        <v>1.014</v>
      </c>
      <c r="X1040" t="str">
        <f t="shared" ca="1" si="49"/>
        <v xml:space="preserve"> PALE20-RS069 </v>
      </c>
      <c r="Y1040" s="1">
        <f t="shared" ca="1" si="50"/>
        <v>0.48199999999999998</v>
      </c>
    </row>
    <row r="1041" spans="1:25" x14ac:dyDescent="0.25">
      <c r="A1041" t="s">
        <v>1588</v>
      </c>
      <c r="B1041" t="s">
        <v>1587</v>
      </c>
      <c r="C1041">
        <v>84</v>
      </c>
      <c r="D1041">
        <v>101</v>
      </c>
      <c r="E1041">
        <v>101</v>
      </c>
      <c r="F1041" s="1">
        <v>0.48199999999999998</v>
      </c>
      <c r="G1041" t="s">
        <v>1587</v>
      </c>
      <c r="H1041" t="s">
        <v>1587</v>
      </c>
      <c r="I1041">
        <v>9256</v>
      </c>
      <c r="J1041" t="s">
        <v>2384</v>
      </c>
      <c r="K1041">
        <v>1</v>
      </c>
      <c r="L1041">
        <v>40.9</v>
      </c>
      <c r="M1041">
        <v>3.5</v>
      </c>
      <c r="N1041">
        <v>40.5</v>
      </c>
      <c r="O1041" t="s">
        <v>1594</v>
      </c>
      <c r="P1041" t="s">
        <v>1584</v>
      </c>
      <c r="Q1041" t="s">
        <v>1591</v>
      </c>
      <c r="R1041">
        <v>7.0000000000000007E-2</v>
      </c>
      <c r="S1041">
        <v>0.21</v>
      </c>
      <c r="T1041" t="s">
        <v>1584</v>
      </c>
      <c r="U1041" t="s">
        <v>1592</v>
      </c>
      <c r="V1041" t="str" cm="1">
        <f t="array" aca="1" ref="V1041" ca="1">IFERROR(_xlfn.IFS(A1039="  ..............",OFFSET(A1039,2,0),A1038=" X-------------X",OFFSET(A1038,3,0),MATCH("  ..............",A1041:A1050,0)&gt;2,V1040),"-")</f>
        <v>-</v>
      </c>
      <c r="W1041" t="str">
        <f t="shared" ca="1" si="48"/>
        <v>-</v>
      </c>
      <c r="X1041" t="str">
        <f t="shared" ca="1" si="49"/>
        <v>-</v>
      </c>
      <c r="Y1041" s="1" t="str">
        <f t="shared" ca="1" si="50"/>
        <v>-</v>
      </c>
    </row>
    <row r="1042" spans="1:25" x14ac:dyDescent="0.25">
      <c r="A1042" t="s">
        <v>1572</v>
      </c>
      <c r="B1042" t="s">
        <v>1574</v>
      </c>
      <c r="C1042" t="s">
        <v>1574</v>
      </c>
      <c r="D1042" t="s">
        <v>1574</v>
      </c>
      <c r="E1042" t="s">
        <v>1574</v>
      </c>
      <c r="F1042" t="s">
        <v>1575</v>
      </c>
      <c r="G1042" t="s">
        <v>1574</v>
      </c>
      <c r="H1042" t="s">
        <v>1574</v>
      </c>
      <c r="I1042" t="s">
        <v>1576</v>
      </c>
      <c r="J1042" t="s">
        <v>1573</v>
      </c>
      <c r="K1042" t="s">
        <v>1577</v>
      </c>
      <c r="L1042" t="s">
        <v>1574</v>
      </c>
      <c r="M1042" t="s">
        <v>1574</v>
      </c>
      <c r="N1042" t="s">
        <v>1574</v>
      </c>
      <c r="O1042" t="s">
        <v>1578</v>
      </c>
      <c r="P1042" t="s">
        <v>1576</v>
      </c>
      <c r="Q1042" t="s">
        <v>1579</v>
      </c>
      <c r="R1042" t="s">
        <v>1580</v>
      </c>
      <c r="S1042" t="s">
        <v>1580</v>
      </c>
      <c r="T1042" t="s">
        <v>1576</v>
      </c>
      <c r="U1042" t="s">
        <v>1576</v>
      </c>
      <c r="V1042" t="str" cm="1">
        <f t="array" aca="1" ref="V1042" ca="1">IFERROR(_xlfn.IFS(A1040="  ..............",OFFSET(A1040,2,0),A1039=" X-------------X",OFFSET(A1039,3,0),MATCH("  ..............",A1042:A1051,0)&gt;2,V1041),"-")</f>
        <v>-</v>
      </c>
      <c r="W1042" t="str">
        <f t="shared" ca="1" si="48"/>
        <v>-</v>
      </c>
      <c r="X1042" t="str">
        <f t="shared" ca="1" si="49"/>
        <v/>
      </c>
      <c r="Y1042" s="1" t="str">
        <f t="shared" ca="1" si="50"/>
        <v/>
      </c>
    </row>
    <row r="1043" spans="1:25" x14ac:dyDescent="0.25">
      <c r="A1043" t="s">
        <v>2385</v>
      </c>
      <c r="B1043">
        <v>1</v>
      </c>
      <c r="C1043">
        <v>0</v>
      </c>
      <c r="D1043">
        <v>0</v>
      </c>
      <c r="E1043">
        <v>8.3000000000000007</v>
      </c>
      <c r="F1043">
        <v>0</v>
      </c>
      <c r="G1043">
        <v>0</v>
      </c>
      <c r="H1043">
        <v>0</v>
      </c>
      <c r="I1043" t="s">
        <v>1581</v>
      </c>
      <c r="J1043" t="s">
        <v>1581</v>
      </c>
      <c r="K1043" t="s">
        <v>1581</v>
      </c>
      <c r="L1043" t="s">
        <v>1581</v>
      </c>
      <c r="M1043" t="s">
        <v>1581</v>
      </c>
      <c r="N1043" t="s">
        <v>1581</v>
      </c>
      <c r="O1043" t="s">
        <v>1581</v>
      </c>
      <c r="P1043" t="s">
        <v>1581</v>
      </c>
      <c r="Q1043" t="s">
        <v>1581</v>
      </c>
      <c r="R1043" t="s">
        <v>1581</v>
      </c>
      <c r="S1043" t="s">
        <v>1581</v>
      </c>
      <c r="T1043" t="s">
        <v>1581</v>
      </c>
      <c r="U1043" t="s">
        <v>1581</v>
      </c>
      <c r="V1043" t="str" cm="1">
        <f t="array" aca="1" ref="V1043" ca="1">IFERROR(_xlfn.IFS(A1041="  ..............",OFFSET(A1041,2,0),A1040=" X-------------X",OFFSET(A1040,3,0),MATCH("  ..............",A1043:A1052,0)&gt;2,V1042),"-")</f>
        <v>-</v>
      </c>
      <c r="W1043" t="str">
        <f t="shared" ca="1" si="48"/>
        <v>-</v>
      </c>
      <c r="X1043" t="str">
        <f t="shared" ca="1" si="49"/>
        <v xml:space="preserve">              </v>
      </c>
      <c r="Y1043" s="1">
        <f t="shared" ca="1" si="50"/>
        <v>0</v>
      </c>
    </row>
    <row r="1044" spans="1:25" x14ac:dyDescent="0.25">
      <c r="A1044" t="s">
        <v>2386</v>
      </c>
      <c r="B1044">
        <v>-57.3</v>
      </c>
      <c r="C1044">
        <v>0</v>
      </c>
      <c r="D1044">
        <v>0</v>
      </c>
      <c r="E1044">
        <v>2.7</v>
      </c>
      <c r="F1044">
        <v>0</v>
      </c>
      <c r="G1044">
        <v>0</v>
      </c>
      <c r="H1044">
        <v>0</v>
      </c>
      <c r="I1044" t="s">
        <v>1584</v>
      </c>
      <c r="J1044" t="s">
        <v>1585</v>
      </c>
      <c r="K1044" t="s">
        <v>1586</v>
      </c>
      <c r="L1044" t="s">
        <v>1587</v>
      </c>
      <c r="M1044" t="s">
        <v>1587</v>
      </c>
      <c r="N1044" t="s">
        <v>1586</v>
      </c>
      <c r="O1044" t="s">
        <v>1581</v>
      </c>
      <c r="P1044" t="s">
        <v>1581</v>
      </c>
      <c r="Q1044" t="s">
        <v>1581</v>
      </c>
      <c r="R1044" t="s">
        <v>1581</v>
      </c>
      <c r="S1044" t="s">
        <v>1581</v>
      </c>
      <c r="T1044" t="s">
        <v>1581</v>
      </c>
      <c r="U1044" t="s">
        <v>1581</v>
      </c>
      <c r="V1044" t="str" cm="1">
        <f t="array" aca="1" ref="V1044" ca="1">IFERROR(_xlfn.IFS(A1042="  ..............",OFFSET(A1042,2,0),A1041=" X-------------X",OFFSET(A1041,3,0),MATCH("  ..............",A1044:A1053,0)&gt;2,V1043),"-")</f>
        <v xml:space="preserve">  BRPALE-RS069  </v>
      </c>
      <c r="W1044">
        <f t="shared" ca="1" si="48"/>
        <v>1</v>
      </c>
      <c r="X1044" t="str">
        <f t="shared" ca="1" si="49"/>
        <v xml:space="preserve"> BRPALETAP069 </v>
      </c>
      <c r="Y1044" s="1">
        <f t="shared" ca="1" si="50"/>
        <v>0.127</v>
      </c>
    </row>
    <row r="1045" spans="1:25" x14ac:dyDescent="0.25">
      <c r="A1045" t="s">
        <v>1588</v>
      </c>
      <c r="B1045" t="s">
        <v>1587</v>
      </c>
      <c r="C1045">
        <v>69</v>
      </c>
      <c r="D1045">
        <v>88</v>
      </c>
      <c r="E1045">
        <v>88</v>
      </c>
      <c r="F1045" s="1">
        <v>0.127</v>
      </c>
      <c r="G1045" t="s">
        <v>1587</v>
      </c>
      <c r="H1045" t="s">
        <v>1587</v>
      </c>
      <c r="I1045">
        <v>9553</v>
      </c>
      <c r="J1045" t="s">
        <v>2387</v>
      </c>
      <c r="K1045">
        <v>1</v>
      </c>
      <c r="L1045">
        <v>-8.3000000000000007</v>
      </c>
      <c r="M1045">
        <v>-2.7</v>
      </c>
      <c r="N1045">
        <v>8.6999999999999993</v>
      </c>
      <c r="O1045" t="s">
        <v>1594</v>
      </c>
      <c r="P1045" t="s">
        <v>1584</v>
      </c>
      <c r="Q1045" t="s">
        <v>1591</v>
      </c>
      <c r="R1045">
        <v>0.01</v>
      </c>
      <c r="S1045">
        <v>0</v>
      </c>
      <c r="T1045" t="s">
        <v>1584</v>
      </c>
      <c r="U1045" t="s">
        <v>1592</v>
      </c>
      <c r="V1045" t="str" cm="1">
        <f t="array" aca="1" ref="V1045" ca="1">IFERROR(_xlfn.IFS(A1043="  ..............",OFFSET(A1043,2,0),A1042=" X-------------X",OFFSET(A1042,3,0),MATCH("  ..............",A1045:A1054,0)&gt;2,V1044),"-")</f>
        <v>-</v>
      </c>
      <c r="W1045" t="str">
        <f t="shared" ca="1" si="48"/>
        <v>-</v>
      </c>
      <c r="X1045" t="str">
        <f t="shared" ca="1" si="49"/>
        <v>-</v>
      </c>
      <c r="Y1045" s="1" t="str">
        <f t="shared" ca="1" si="50"/>
        <v>-</v>
      </c>
    </row>
    <row r="1046" spans="1:25" x14ac:dyDescent="0.25">
      <c r="A1046" t="s">
        <v>1572</v>
      </c>
      <c r="B1046" t="s">
        <v>1574</v>
      </c>
      <c r="C1046" t="s">
        <v>1574</v>
      </c>
      <c r="D1046" t="s">
        <v>1574</v>
      </c>
      <c r="E1046" t="s">
        <v>1574</v>
      </c>
      <c r="F1046" t="s">
        <v>1575</v>
      </c>
      <c r="G1046" t="s">
        <v>1574</v>
      </c>
      <c r="H1046" t="s">
        <v>1574</v>
      </c>
      <c r="I1046" t="s">
        <v>1576</v>
      </c>
      <c r="J1046" t="s">
        <v>1573</v>
      </c>
      <c r="K1046" t="s">
        <v>1577</v>
      </c>
      <c r="L1046" t="s">
        <v>1574</v>
      </c>
      <c r="M1046" t="s">
        <v>1574</v>
      </c>
      <c r="N1046" t="s">
        <v>1574</v>
      </c>
      <c r="O1046" t="s">
        <v>1578</v>
      </c>
      <c r="P1046" t="s">
        <v>1576</v>
      </c>
      <c r="Q1046" t="s">
        <v>1579</v>
      </c>
      <c r="R1046" t="s">
        <v>1580</v>
      </c>
      <c r="S1046" t="s">
        <v>1580</v>
      </c>
      <c r="T1046" t="s">
        <v>1576</v>
      </c>
      <c r="U1046" t="s">
        <v>1576</v>
      </c>
      <c r="V1046" t="str" cm="1">
        <f t="array" aca="1" ref="V1046" ca="1">IFERROR(_xlfn.IFS(A1044="  ..............",OFFSET(A1044,2,0),A1043=" X-------------X",OFFSET(A1043,3,0),MATCH("  ..............",A1046:A1055,0)&gt;2,V1045),"-")</f>
        <v>-</v>
      </c>
      <c r="W1046" t="str">
        <f t="shared" ca="1" si="48"/>
        <v>-</v>
      </c>
      <c r="X1046" t="str">
        <f t="shared" ca="1" si="49"/>
        <v/>
      </c>
      <c r="Y1046" s="1" t="str">
        <f t="shared" ca="1" si="50"/>
        <v/>
      </c>
    </row>
    <row r="1047" spans="1:25" x14ac:dyDescent="0.25">
      <c r="A1047" t="s">
        <v>2388</v>
      </c>
      <c r="B1047">
        <v>1.0009999999999999</v>
      </c>
      <c r="C1047">
        <v>0</v>
      </c>
      <c r="D1047">
        <v>0</v>
      </c>
      <c r="E1047">
        <v>2.5</v>
      </c>
      <c r="F1047">
        <v>0</v>
      </c>
      <c r="G1047">
        <v>0</v>
      </c>
      <c r="H1047">
        <v>0</v>
      </c>
      <c r="I1047" t="s">
        <v>1581</v>
      </c>
      <c r="J1047" t="s">
        <v>1581</v>
      </c>
      <c r="K1047" t="s">
        <v>1581</v>
      </c>
      <c r="L1047" t="s">
        <v>1581</v>
      </c>
      <c r="M1047" t="s">
        <v>1581</v>
      </c>
      <c r="N1047" t="s">
        <v>1581</v>
      </c>
      <c r="O1047" t="s">
        <v>1581</v>
      </c>
      <c r="P1047" t="s">
        <v>1581</v>
      </c>
      <c r="Q1047" t="s">
        <v>1581</v>
      </c>
      <c r="R1047" t="s">
        <v>1581</v>
      </c>
      <c r="S1047" t="s">
        <v>1581</v>
      </c>
      <c r="T1047" t="s">
        <v>1581</v>
      </c>
      <c r="U1047" t="s">
        <v>1581</v>
      </c>
      <c r="V1047" t="str" cm="1">
        <f t="array" aca="1" ref="V1047" ca="1">IFERROR(_xlfn.IFS(A1045="  ..............",OFFSET(A1045,2,0),A1044=" X-------------X",OFFSET(A1044,3,0),MATCH("  ..............",A1047:A1056,0)&gt;2,V1046),"-")</f>
        <v>-</v>
      </c>
      <c r="W1047" t="str">
        <f t="shared" ca="1" si="48"/>
        <v>-</v>
      </c>
      <c r="X1047" t="str">
        <f t="shared" ca="1" si="49"/>
        <v xml:space="preserve">              </v>
      </c>
      <c r="Y1047" s="1">
        <f t="shared" ca="1" si="50"/>
        <v>0</v>
      </c>
    </row>
    <row r="1048" spans="1:25" x14ac:dyDescent="0.25">
      <c r="A1048" t="s">
        <v>2389</v>
      </c>
      <c r="B1048">
        <v>-57.2</v>
      </c>
      <c r="C1048">
        <v>0</v>
      </c>
      <c r="D1048">
        <v>0</v>
      </c>
      <c r="E1048">
        <v>1.1000000000000001</v>
      </c>
      <c r="F1048">
        <v>0</v>
      </c>
      <c r="G1048">
        <v>0</v>
      </c>
      <c r="H1048">
        <v>0</v>
      </c>
      <c r="I1048" t="s">
        <v>1584</v>
      </c>
      <c r="J1048" t="s">
        <v>1585</v>
      </c>
      <c r="K1048" t="s">
        <v>1586</v>
      </c>
      <c r="L1048" t="s">
        <v>1587</v>
      </c>
      <c r="M1048" t="s">
        <v>1587</v>
      </c>
      <c r="N1048" t="s">
        <v>1586</v>
      </c>
      <c r="O1048" t="s">
        <v>1581</v>
      </c>
      <c r="P1048" t="s">
        <v>1581</v>
      </c>
      <c r="Q1048" t="s">
        <v>1581</v>
      </c>
      <c r="R1048" t="s">
        <v>1581</v>
      </c>
      <c r="S1048" t="s">
        <v>1581</v>
      </c>
      <c r="T1048" t="s">
        <v>1581</v>
      </c>
      <c r="U1048" t="s">
        <v>1581</v>
      </c>
      <c r="V1048" t="str" cm="1">
        <f t="array" aca="1" ref="V1048" ca="1">IFERROR(_xlfn.IFS(A1046="  ..............",OFFSET(A1046,2,0),A1045=" X-------------X",OFFSET(A1045,3,0),MATCH("  ..............",A1048:A1057,0)&gt;2,V1047),"-")</f>
        <v xml:space="preserve">  LATPAL-RS069  </v>
      </c>
      <c r="W1048">
        <f t="shared" ca="1" si="48"/>
        <v>1.0009999999999999</v>
      </c>
      <c r="X1048" t="str">
        <f t="shared" ca="1" si="49"/>
        <v xml:space="preserve"> BRPALETAP069 </v>
      </c>
      <c r="Y1048" s="1">
        <f t="shared" ca="1" si="50"/>
        <v>0.127</v>
      </c>
    </row>
    <row r="1049" spans="1:25" x14ac:dyDescent="0.25">
      <c r="A1049" t="s">
        <v>1588</v>
      </c>
      <c r="B1049" t="s">
        <v>1587</v>
      </c>
      <c r="C1049">
        <v>67</v>
      </c>
      <c r="D1049">
        <v>81</v>
      </c>
      <c r="E1049">
        <v>81</v>
      </c>
      <c r="F1049" s="1">
        <v>4.1000000000000002E-2</v>
      </c>
      <c r="G1049" t="s">
        <v>1587</v>
      </c>
      <c r="H1049" t="s">
        <v>1587</v>
      </c>
      <c r="I1049">
        <v>9553</v>
      </c>
      <c r="J1049" t="s">
        <v>2387</v>
      </c>
      <c r="K1049">
        <v>1</v>
      </c>
      <c r="L1049">
        <v>-2.5</v>
      </c>
      <c r="M1049">
        <v>-1.1000000000000001</v>
      </c>
      <c r="N1049">
        <v>2.7</v>
      </c>
      <c r="O1049" t="s">
        <v>1594</v>
      </c>
      <c r="P1049" t="s">
        <v>1584</v>
      </c>
      <c r="Q1049" t="s">
        <v>1591</v>
      </c>
      <c r="R1049">
        <v>0</v>
      </c>
      <c r="S1049">
        <v>0</v>
      </c>
      <c r="T1049" t="s">
        <v>1584</v>
      </c>
      <c r="U1049" t="s">
        <v>1592</v>
      </c>
      <c r="V1049" t="str" cm="1">
        <f t="array" aca="1" ref="V1049" ca="1">IFERROR(_xlfn.IFS(A1047="  ..............",OFFSET(A1047,2,0),A1046=" X-------------X",OFFSET(A1046,3,0),MATCH("  ..............",A1049:A1058,0)&gt;2,V1048),"-")</f>
        <v>-</v>
      </c>
      <c r="W1049" t="str">
        <f t="shared" ca="1" si="48"/>
        <v>-</v>
      </c>
      <c r="X1049" t="str">
        <f t="shared" ca="1" si="49"/>
        <v>-</v>
      </c>
      <c r="Y1049" s="1" t="str">
        <f t="shared" ca="1" si="50"/>
        <v>-</v>
      </c>
    </row>
    <row r="1050" spans="1:25" x14ac:dyDescent="0.25">
      <c r="A1050" t="s">
        <v>1572</v>
      </c>
      <c r="B1050" t="s">
        <v>1574</v>
      </c>
      <c r="C1050" t="s">
        <v>1574</v>
      </c>
      <c r="D1050" t="s">
        <v>1574</v>
      </c>
      <c r="E1050" t="s">
        <v>1574</v>
      </c>
      <c r="F1050" t="s">
        <v>1575</v>
      </c>
      <c r="G1050" t="s">
        <v>1574</v>
      </c>
      <c r="H1050" t="s">
        <v>1574</v>
      </c>
      <c r="I1050" t="s">
        <v>1576</v>
      </c>
      <c r="J1050" t="s">
        <v>1573</v>
      </c>
      <c r="K1050" t="s">
        <v>1577</v>
      </c>
      <c r="L1050" t="s">
        <v>1574</v>
      </c>
      <c r="M1050" t="s">
        <v>1574</v>
      </c>
      <c r="N1050" t="s">
        <v>1574</v>
      </c>
      <c r="O1050" t="s">
        <v>1578</v>
      </c>
      <c r="P1050" t="s">
        <v>1576</v>
      </c>
      <c r="Q1050" t="s">
        <v>1579</v>
      </c>
      <c r="R1050" t="s">
        <v>1580</v>
      </c>
      <c r="S1050" t="s">
        <v>1580</v>
      </c>
      <c r="T1050" t="s">
        <v>1576</v>
      </c>
      <c r="U1050" t="s">
        <v>1576</v>
      </c>
      <c r="V1050" t="str" cm="1">
        <f t="array" aca="1" ref="V1050" ca="1">IFERROR(_xlfn.IFS(A1048="  ..............",OFFSET(A1048,2,0),A1047=" X-------------X",OFFSET(A1047,3,0),MATCH("  ..............",A1050:A1059,0)&gt;2,V1049),"-")</f>
        <v>-</v>
      </c>
      <c r="W1050" t="str">
        <f t="shared" ca="1" si="48"/>
        <v>-</v>
      </c>
      <c r="X1050" t="str">
        <f t="shared" ca="1" si="49"/>
        <v/>
      </c>
      <c r="Y1050" s="1" t="str">
        <f t="shared" ca="1" si="50"/>
        <v/>
      </c>
    </row>
    <row r="1051" spans="1:25" x14ac:dyDescent="0.25">
      <c r="A1051" t="s">
        <v>2390</v>
      </c>
      <c r="B1051">
        <v>1.012</v>
      </c>
      <c r="C1051">
        <v>0</v>
      </c>
      <c r="D1051">
        <v>0</v>
      </c>
      <c r="E1051">
        <v>3</v>
      </c>
      <c r="F1051">
        <v>0</v>
      </c>
      <c r="G1051">
        <v>0</v>
      </c>
      <c r="H1051">
        <v>0</v>
      </c>
      <c r="I1051" t="s">
        <v>1581</v>
      </c>
      <c r="J1051" t="s">
        <v>1581</v>
      </c>
      <c r="K1051" t="s">
        <v>1581</v>
      </c>
      <c r="L1051" t="s">
        <v>1581</v>
      </c>
      <c r="M1051" t="s">
        <v>1581</v>
      </c>
      <c r="N1051" t="s">
        <v>1581</v>
      </c>
      <c r="O1051" t="s">
        <v>1581</v>
      </c>
      <c r="P1051" t="s">
        <v>1581</v>
      </c>
      <c r="Q1051" t="s">
        <v>1581</v>
      </c>
      <c r="R1051" t="s">
        <v>1581</v>
      </c>
      <c r="S1051" t="s">
        <v>1581</v>
      </c>
      <c r="T1051" t="s">
        <v>1581</v>
      </c>
      <c r="U1051" t="s">
        <v>1581</v>
      </c>
      <c r="V1051" t="str" cm="1">
        <f t="array" aca="1" ref="V1051" ca="1">IFERROR(_xlfn.IFS(A1049="  ..............",OFFSET(A1049,2,0),A1048=" X-------------X",OFFSET(A1048,3,0),MATCH("  ..............",A1051:A1060,0)&gt;2,V1050),"-")</f>
        <v>-</v>
      </c>
      <c r="W1051" t="str">
        <f t="shared" ca="1" si="48"/>
        <v>-</v>
      </c>
      <c r="X1051" t="str">
        <f t="shared" ca="1" si="49"/>
        <v xml:space="preserve">              </v>
      </c>
      <c r="Y1051" s="1">
        <f t="shared" ca="1" si="50"/>
        <v>0</v>
      </c>
    </row>
    <row r="1052" spans="1:25" x14ac:dyDescent="0.25">
      <c r="A1052" t="s">
        <v>2391</v>
      </c>
      <c r="B1052">
        <v>-54.9</v>
      </c>
      <c r="C1052">
        <v>0</v>
      </c>
      <c r="D1052">
        <v>0</v>
      </c>
      <c r="E1052">
        <v>1.3</v>
      </c>
      <c r="F1052">
        <v>0</v>
      </c>
      <c r="G1052">
        <v>0</v>
      </c>
      <c r="H1052">
        <v>0</v>
      </c>
      <c r="I1052" t="s">
        <v>1584</v>
      </c>
      <c r="J1052" t="s">
        <v>1585</v>
      </c>
      <c r="K1052" t="s">
        <v>1586</v>
      </c>
      <c r="L1052" t="s">
        <v>1587</v>
      </c>
      <c r="M1052" t="s">
        <v>1587</v>
      </c>
      <c r="N1052" t="s">
        <v>1586</v>
      </c>
      <c r="O1052" t="s">
        <v>1581</v>
      </c>
      <c r="P1052" t="s">
        <v>1581</v>
      </c>
      <c r="Q1052" t="s">
        <v>1581</v>
      </c>
      <c r="R1052" t="s">
        <v>1581</v>
      </c>
      <c r="S1052" t="s">
        <v>1581</v>
      </c>
      <c r="T1052" t="s">
        <v>1581</v>
      </c>
      <c r="U1052" t="s">
        <v>1581</v>
      </c>
      <c r="V1052" t="str" cm="1">
        <f t="array" aca="1" ref="V1052" ca="1">IFERROR(_xlfn.IFS(A1050="  ..............",OFFSET(A1050,2,0),A1049=" X-------------X",OFFSET(A1049,3,0),MATCH("  ..............",A1052:A1061,0)&gt;2,V1051),"-")</f>
        <v xml:space="preserve">  MNAPA--RS069  </v>
      </c>
      <c r="W1052">
        <f t="shared" ca="1" si="48"/>
        <v>1.012</v>
      </c>
      <c r="X1052" t="str">
        <f t="shared" ca="1" si="49"/>
        <v xml:space="preserve"> MNAPALTAP069 </v>
      </c>
      <c r="Y1052" s="1">
        <f t="shared" ca="1" si="50"/>
        <v>0.06</v>
      </c>
    </row>
    <row r="1053" spans="1:25" x14ac:dyDescent="0.25">
      <c r="A1053" t="s">
        <v>1588</v>
      </c>
      <c r="B1053" t="s">
        <v>1587</v>
      </c>
      <c r="C1053">
        <v>54</v>
      </c>
      <c r="D1053">
        <v>79</v>
      </c>
      <c r="E1053">
        <v>79</v>
      </c>
      <c r="F1053" s="1">
        <v>0.06</v>
      </c>
      <c r="G1053" t="s">
        <v>1587</v>
      </c>
      <c r="H1053" t="s">
        <v>1587</v>
      </c>
      <c r="I1053">
        <v>9555</v>
      </c>
      <c r="J1053" t="s">
        <v>2392</v>
      </c>
      <c r="K1053">
        <v>1</v>
      </c>
      <c r="L1053">
        <v>-3</v>
      </c>
      <c r="M1053">
        <v>-1.3</v>
      </c>
      <c r="N1053">
        <v>3.2</v>
      </c>
      <c r="O1053" t="s">
        <v>1594</v>
      </c>
      <c r="P1053" t="s">
        <v>1584</v>
      </c>
      <c r="Q1053" t="s">
        <v>1591</v>
      </c>
      <c r="R1053">
        <v>0</v>
      </c>
      <c r="S1053">
        <v>-0.01</v>
      </c>
      <c r="T1053" t="s">
        <v>1584</v>
      </c>
      <c r="U1053" t="s">
        <v>1592</v>
      </c>
      <c r="V1053" t="str" cm="1">
        <f t="array" aca="1" ref="V1053" ca="1">IFERROR(_xlfn.IFS(A1051="  ..............",OFFSET(A1051,2,0),A1050=" X-------------X",OFFSET(A1050,3,0),MATCH("  ..............",A1053:A1062,0)&gt;2,V1052),"-")</f>
        <v>-</v>
      </c>
      <c r="W1053" t="str">
        <f t="shared" ca="1" si="48"/>
        <v>-</v>
      </c>
      <c r="X1053" t="str">
        <f t="shared" ca="1" si="49"/>
        <v>-</v>
      </c>
      <c r="Y1053" s="1" t="str">
        <f t="shared" ca="1" si="50"/>
        <v>-</v>
      </c>
    </row>
    <row r="1054" spans="1:25" x14ac:dyDescent="0.25">
      <c r="A1054" t="s">
        <v>1572</v>
      </c>
      <c r="B1054" t="s">
        <v>1574</v>
      </c>
      <c r="C1054" t="s">
        <v>1574</v>
      </c>
      <c r="D1054" t="s">
        <v>1574</v>
      </c>
      <c r="E1054" t="s">
        <v>1574</v>
      </c>
      <c r="F1054" t="s">
        <v>1575</v>
      </c>
      <c r="G1054" t="s">
        <v>1574</v>
      </c>
      <c r="H1054" t="s">
        <v>1574</v>
      </c>
      <c r="I1054" t="s">
        <v>1576</v>
      </c>
      <c r="J1054" t="s">
        <v>1573</v>
      </c>
      <c r="K1054" t="s">
        <v>1577</v>
      </c>
      <c r="L1054" t="s">
        <v>1574</v>
      </c>
      <c r="M1054" t="s">
        <v>1574</v>
      </c>
      <c r="N1054" t="s">
        <v>1574</v>
      </c>
      <c r="O1054" t="s">
        <v>1578</v>
      </c>
      <c r="P1054" t="s">
        <v>1576</v>
      </c>
      <c r="Q1054" t="s">
        <v>1579</v>
      </c>
      <c r="R1054" t="s">
        <v>1580</v>
      </c>
      <c r="S1054" t="s">
        <v>1580</v>
      </c>
      <c r="T1054" t="s">
        <v>1576</v>
      </c>
      <c r="U1054" t="s">
        <v>1576</v>
      </c>
      <c r="V1054" t="str" cm="1">
        <f t="array" aca="1" ref="V1054" ca="1">IFERROR(_xlfn.IFS(A1052="  ..............",OFFSET(A1052,2,0),A1051=" X-------------X",OFFSET(A1051,3,0),MATCH("  ..............",A1054:A1063,0)&gt;2,V1053),"-")</f>
        <v>-</v>
      </c>
      <c r="W1054" t="str">
        <f t="shared" ca="1" si="48"/>
        <v>-</v>
      </c>
      <c r="X1054" t="str">
        <f t="shared" ca="1" si="49"/>
        <v/>
      </c>
      <c r="Y1054" s="1" t="str">
        <f t="shared" ca="1" si="50"/>
        <v/>
      </c>
    </row>
    <row r="1055" spans="1:25" x14ac:dyDescent="0.25">
      <c r="A1055" t="s">
        <v>2393</v>
      </c>
      <c r="B1055">
        <v>1.012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 t="s">
        <v>1581</v>
      </c>
      <c r="J1055" t="s">
        <v>1581</v>
      </c>
      <c r="K1055" t="s">
        <v>1581</v>
      </c>
      <c r="L1055" t="s">
        <v>1581</v>
      </c>
      <c r="M1055" t="s">
        <v>1581</v>
      </c>
      <c r="N1055" t="s">
        <v>1581</v>
      </c>
      <c r="O1055" t="s">
        <v>1581</v>
      </c>
      <c r="P1055" t="s">
        <v>1581</v>
      </c>
      <c r="Q1055" t="s">
        <v>1581</v>
      </c>
      <c r="R1055" t="s">
        <v>1581</v>
      </c>
      <c r="S1055" t="s">
        <v>1581</v>
      </c>
      <c r="T1055" t="s">
        <v>1581</v>
      </c>
      <c r="U1055" t="s">
        <v>1581</v>
      </c>
      <c r="V1055" t="str" cm="1">
        <f t="array" aca="1" ref="V1055" ca="1">IFERROR(_xlfn.IFS(A1053="  ..............",OFFSET(A1053,2,0),A1052=" X-------------X",OFFSET(A1052,3,0),MATCH("  ..............",A1055:A1064,0)&gt;2,V1054),"-")</f>
        <v>-</v>
      </c>
      <c r="W1055" t="str">
        <f t="shared" ca="1" si="48"/>
        <v>-</v>
      </c>
      <c r="X1055" t="str">
        <f t="shared" ca="1" si="49"/>
        <v xml:space="preserve">              </v>
      </c>
      <c r="Y1055" s="1">
        <f t="shared" ca="1" si="50"/>
        <v>0</v>
      </c>
    </row>
    <row r="1056" spans="1:25" x14ac:dyDescent="0.25">
      <c r="A1056" t="s">
        <v>2394</v>
      </c>
      <c r="B1056">
        <v>-54.8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 t="s">
        <v>1584</v>
      </c>
      <c r="J1056" t="s">
        <v>1585</v>
      </c>
      <c r="K1056" t="s">
        <v>1586</v>
      </c>
      <c r="L1056" t="s">
        <v>1587</v>
      </c>
      <c r="M1056" t="s">
        <v>1587</v>
      </c>
      <c r="N1056" t="s">
        <v>1586</v>
      </c>
      <c r="O1056" t="s">
        <v>1581</v>
      </c>
      <c r="P1056" t="s">
        <v>1581</v>
      </c>
      <c r="Q1056" t="s">
        <v>1581</v>
      </c>
      <c r="R1056" t="s">
        <v>1581</v>
      </c>
      <c r="S1056" t="s">
        <v>1581</v>
      </c>
      <c r="T1056" t="s">
        <v>1581</v>
      </c>
      <c r="U1056" t="s">
        <v>1581</v>
      </c>
      <c r="V1056" t="str" cm="1">
        <f t="array" aca="1" ref="V1056" ca="1">IFERROR(_xlfn.IFS(A1054="  ..............",OFFSET(A1054,2,0),A1053=" X-------------X",OFFSET(A1053,3,0),MATCH("  ..............",A1056:A1065,0)&gt;2,V1055),"-")</f>
        <v xml:space="preserve">  GERPGR-RS069  </v>
      </c>
      <c r="W1056">
        <f t="shared" ca="1" si="48"/>
        <v>1.012</v>
      </c>
      <c r="X1056" t="str">
        <f t="shared" ca="1" si="49"/>
        <v xml:space="preserve"> MNAPALTAP069 </v>
      </c>
      <c r="Y1056" s="1">
        <f t="shared" ca="1" si="50"/>
        <v>0.06</v>
      </c>
    </row>
    <row r="1057" spans="1:25" x14ac:dyDescent="0.25">
      <c r="A1057" t="s">
        <v>1588</v>
      </c>
      <c r="B1057" t="s">
        <v>1587</v>
      </c>
      <c r="C1057">
        <v>54</v>
      </c>
      <c r="D1057">
        <v>79</v>
      </c>
      <c r="E1057">
        <v>79</v>
      </c>
      <c r="F1057" s="1">
        <v>0</v>
      </c>
      <c r="G1057" t="s">
        <v>1587</v>
      </c>
      <c r="H1057" t="s">
        <v>1587</v>
      </c>
      <c r="I1057">
        <v>9555</v>
      </c>
      <c r="J1057" t="s">
        <v>2392</v>
      </c>
      <c r="K1057">
        <v>1</v>
      </c>
      <c r="L1057">
        <v>0</v>
      </c>
      <c r="M1057">
        <v>0</v>
      </c>
      <c r="N1057">
        <v>0</v>
      </c>
      <c r="O1057" t="s">
        <v>1594</v>
      </c>
      <c r="P1057" t="s">
        <v>1584</v>
      </c>
      <c r="Q1057" t="s">
        <v>1591</v>
      </c>
      <c r="R1057">
        <v>0</v>
      </c>
      <c r="S1057">
        <v>-0.01</v>
      </c>
      <c r="T1057" t="s">
        <v>1584</v>
      </c>
      <c r="U1057" t="s">
        <v>1592</v>
      </c>
      <c r="V1057" t="str" cm="1">
        <f t="array" aca="1" ref="V1057" ca="1">IFERROR(_xlfn.IFS(A1055="  ..............",OFFSET(A1055,2,0),A1054=" X-------------X",OFFSET(A1054,3,0),MATCH("  ..............",A1057:A1066,0)&gt;2,V1056),"-")</f>
        <v>-</v>
      </c>
      <c r="W1057" t="str">
        <f t="shared" ca="1" si="48"/>
        <v>-</v>
      </c>
      <c r="X1057" t="str">
        <f t="shared" ca="1" si="49"/>
        <v>-</v>
      </c>
      <c r="Y1057" s="1" t="str">
        <f t="shared" ca="1" si="50"/>
        <v>-</v>
      </c>
    </row>
    <row r="1058" spans="1:25" x14ac:dyDescent="0.25">
      <c r="A1058" t="s">
        <v>1572</v>
      </c>
      <c r="B1058" t="s">
        <v>1574</v>
      </c>
      <c r="C1058" t="s">
        <v>1574</v>
      </c>
      <c r="D1058" t="s">
        <v>1574</v>
      </c>
      <c r="E1058" t="s">
        <v>1574</v>
      </c>
      <c r="F1058" t="s">
        <v>1575</v>
      </c>
      <c r="G1058" t="s">
        <v>1574</v>
      </c>
      <c r="H1058" t="s">
        <v>1574</v>
      </c>
      <c r="I1058" t="s">
        <v>1576</v>
      </c>
      <c r="J1058" t="s">
        <v>1573</v>
      </c>
      <c r="K1058" t="s">
        <v>1577</v>
      </c>
      <c r="L1058" t="s">
        <v>1574</v>
      </c>
      <c r="M1058" t="s">
        <v>1574</v>
      </c>
      <c r="N1058" t="s">
        <v>1574</v>
      </c>
      <c r="O1058" t="s">
        <v>1578</v>
      </c>
      <c r="P1058" t="s">
        <v>1576</v>
      </c>
      <c r="Q1058" t="s">
        <v>1579</v>
      </c>
      <c r="R1058" t="s">
        <v>1580</v>
      </c>
      <c r="S1058" t="s">
        <v>1580</v>
      </c>
      <c r="T1058" t="s">
        <v>1576</v>
      </c>
      <c r="U1058" t="s">
        <v>1576</v>
      </c>
      <c r="V1058" t="str" cm="1">
        <f t="array" aca="1" ref="V1058" ca="1">IFERROR(_xlfn.IFS(A1056="  ..............",OFFSET(A1056,2,0),A1055=" X-------------X",OFFSET(A1055,3,0),MATCH("  ..............",A1058:A1067,0)&gt;2,V1057),"-")</f>
        <v>-</v>
      </c>
      <c r="W1058" t="str">
        <f t="shared" ca="1" si="48"/>
        <v>-</v>
      </c>
      <c r="X1058" t="str">
        <f t="shared" ca="1" si="49"/>
        <v/>
      </c>
      <c r="Y1058" s="1" t="str">
        <f t="shared" ca="1" si="50"/>
        <v/>
      </c>
    </row>
    <row r="1059" spans="1:25" x14ac:dyDescent="0.25">
      <c r="A1059" t="s">
        <v>2395</v>
      </c>
      <c r="B1059">
        <v>1.0129999999999999</v>
      </c>
      <c r="C1059">
        <v>0</v>
      </c>
      <c r="D1059">
        <v>0</v>
      </c>
      <c r="E1059">
        <v>4.4000000000000004</v>
      </c>
      <c r="F1059">
        <v>0</v>
      </c>
      <c r="G1059">
        <v>0</v>
      </c>
      <c r="H1059">
        <v>0</v>
      </c>
      <c r="I1059" t="s">
        <v>1581</v>
      </c>
      <c r="J1059" t="s">
        <v>1581</v>
      </c>
      <c r="K1059" t="s">
        <v>1581</v>
      </c>
      <c r="L1059" t="s">
        <v>1581</v>
      </c>
      <c r="M1059" t="s">
        <v>1581</v>
      </c>
      <c r="N1059" t="s">
        <v>1581</v>
      </c>
      <c r="O1059" t="s">
        <v>1581</v>
      </c>
      <c r="P1059" t="s">
        <v>1581</v>
      </c>
      <c r="Q1059" t="s">
        <v>1581</v>
      </c>
      <c r="R1059" t="s">
        <v>1581</v>
      </c>
      <c r="S1059" t="s">
        <v>1581</v>
      </c>
      <c r="T1059" t="s">
        <v>1581</v>
      </c>
      <c r="U1059" t="s">
        <v>1581</v>
      </c>
      <c r="V1059" t="str" cm="1">
        <f t="array" aca="1" ref="V1059" ca="1">IFERROR(_xlfn.IFS(A1057="  ..............",OFFSET(A1057,2,0),A1056=" X-------------X",OFFSET(A1056,3,0),MATCH("  ..............",A1059:A1068,0)&gt;2,V1058),"-")</f>
        <v>-</v>
      </c>
      <c r="W1059" t="str">
        <f t="shared" ca="1" si="48"/>
        <v>-</v>
      </c>
      <c r="X1059" t="str">
        <f t="shared" ca="1" si="49"/>
        <v xml:space="preserve">              </v>
      </c>
      <c r="Y1059" s="1">
        <f t="shared" ca="1" si="50"/>
        <v>0</v>
      </c>
    </row>
    <row r="1060" spans="1:25" x14ac:dyDescent="0.25">
      <c r="A1060" t="s">
        <v>2396</v>
      </c>
      <c r="B1060">
        <v>-54.8</v>
      </c>
      <c r="C1060">
        <v>0</v>
      </c>
      <c r="D1060">
        <v>0</v>
      </c>
      <c r="E1060">
        <v>1.9</v>
      </c>
      <c r="F1060">
        <v>0</v>
      </c>
      <c r="G1060">
        <v>0</v>
      </c>
      <c r="H1060">
        <v>0</v>
      </c>
      <c r="I1060" t="s">
        <v>1584</v>
      </c>
      <c r="J1060" t="s">
        <v>1585</v>
      </c>
      <c r="K1060" t="s">
        <v>1586</v>
      </c>
      <c r="L1060" t="s">
        <v>1587</v>
      </c>
      <c r="M1060" t="s">
        <v>1587</v>
      </c>
      <c r="N1060" t="s">
        <v>1586</v>
      </c>
      <c r="O1060" t="s">
        <v>1581</v>
      </c>
      <c r="P1060" t="s">
        <v>1581</v>
      </c>
      <c r="Q1060" t="s">
        <v>1581</v>
      </c>
      <c r="R1060" t="s">
        <v>1581</v>
      </c>
      <c r="S1060" t="s">
        <v>1581</v>
      </c>
      <c r="T1060" t="s">
        <v>1581</v>
      </c>
      <c r="U1060" t="s">
        <v>1581</v>
      </c>
      <c r="V1060" t="str" cm="1">
        <f t="array" aca="1" ref="V1060" ca="1">IFERROR(_xlfn.IFS(A1058="  ..............",OFFSET(A1058,2,0),A1057=" X-------------X",OFFSET(A1057,3,0),MATCH("  ..............",A1060:A1069,0)&gt;2,V1059),"-")</f>
        <v xml:space="preserve">  FRPPGR-RS069  </v>
      </c>
      <c r="W1060">
        <f t="shared" ca="1" si="48"/>
        <v>1.0129999999999999</v>
      </c>
      <c r="X1060" t="str">
        <f t="shared" ca="1" si="49"/>
        <v xml:space="preserve"> FRPPALTAP069 </v>
      </c>
      <c r="Y1060" s="1">
        <f t="shared" ca="1" si="50"/>
        <v>0.33800000000000002</v>
      </c>
    </row>
    <row r="1061" spans="1:25" x14ac:dyDescent="0.25">
      <c r="A1061" t="s">
        <v>1588</v>
      </c>
      <c r="B1061" t="s">
        <v>1587</v>
      </c>
      <c r="C1061">
        <v>54</v>
      </c>
      <c r="D1061">
        <v>79</v>
      </c>
      <c r="E1061">
        <v>79</v>
      </c>
      <c r="F1061" s="1">
        <v>8.7999999999999995E-2</v>
      </c>
      <c r="G1061" t="s">
        <v>1587</v>
      </c>
      <c r="H1061" t="s">
        <v>1587</v>
      </c>
      <c r="I1061">
        <v>9556</v>
      </c>
      <c r="J1061" t="s">
        <v>1911</v>
      </c>
      <c r="K1061">
        <v>1</v>
      </c>
      <c r="L1061">
        <v>-4.4000000000000004</v>
      </c>
      <c r="M1061">
        <v>-1.9</v>
      </c>
      <c r="N1061">
        <v>4.7</v>
      </c>
      <c r="O1061" t="s">
        <v>1594</v>
      </c>
      <c r="P1061" t="s">
        <v>1584</v>
      </c>
      <c r="Q1061" t="s">
        <v>1591</v>
      </c>
      <c r="R1061">
        <v>0</v>
      </c>
      <c r="S1061">
        <v>0</v>
      </c>
      <c r="T1061" t="s">
        <v>1584</v>
      </c>
      <c r="U1061" t="s">
        <v>1592</v>
      </c>
      <c r="V1061" t="str" cm="1">
        <f t="array" aca="1" ref="V1061" ca="1">IFERROR(_xlfn.IFS(A1059="  ..............",OFFSET(A1059,2,0),A1058=" X-------------X",OFFSET(A1058,3,0),MATCH("  ..............",A1061:A1070,0)&gt;2,V1060),"-")</f>
        <v>-</v>
      </c>
      <c r="W1061" t="str">
        <f t="shared" ca="1" si="48"/>
        <v>-</v>
      </c>
      <c r="X1061" t="str">
        <f t="shared" ca="1" si="49"/>
        <v>-</v>
      </c>
      <c r="Y1061" s="1" t="str">
        <f t="shared" ca="1" si="50"/>
        <v>-</v>
      </c>
    </row>
    <row r="1062" spans="1:25" x14ac:dyDescent="0.25">
      <c r="A1062" t="s">
        <v>1572</v>
      </c>
      <c r="B1062" t="s">
        <v>1574</v>
      </c>
      <c r="C1062" t="s">
        <v>1574</v>
      </c>
      <c r="D1062" t="s">
        <v>1574</v>
      </c>
      <c r="E1062" t="s">
        <v>1574</v>
      </c>
      <c r="F1062" t="s">
        <v>1575</v>
      </c>
      <c r="G1062" t="s">
        <v>1574</v>
      </c>
      <c r="H1062" t="s">
        <v>1574</v>
      </c>
      <c r="I1062" t="s">
        <v>1576</v>
      </c>
      <c r="J1062" t="s">
        <v>1573</v>
      </c>
      <c r="K1062" t="s">
        <v>1577</v>
      </c>
      <c r="L1062" t="s">
        <v>1574</v>
      </c>
      <c r="M1062" t="s">
        <v>1574</v>
      </c>
      <c r="N1062" t="s">
        <v>1574</v>
      </c>
      <c r="O1062" t="s">
        <v>1578</v>
      </c>
      <c r="P1062" t="s">
        <v>1576</v>
      </c>
      <c r="Q1062" t="s">
        <v>1579</v>
      </c>
      <c r="R1062" t="s">
        <v>1580</v>
      </c>
      <c r="S1062" t="s">
        <v>1580</v>
      </c>
      <c r="T1062" t="s">
        <v>1576</v>
      </c>
      <c r="U1062" t="s">
        <v>1576</v>
      </c>
      <c r="V1062" t="str" cm="1">
        <f t="array" aca="1" ref="V1062" ca="1">IFERROR(_xlfn.IFS(A1060="  ..............",OFFSET(A1060,2,0),A1059=" X-------------X",OFFSET(A1059,3,0),MATCH("  ..............",A1062:A1071,0)&gt;2,V1061),"-")</f>
        <v>-</v>
      </c>
      <c r="W1062" t="str">
        <f t="shared" ca="1" si="48"/>
        <v>-</v>
      </c>
      <c r="X1062" t="str">
        <f t="shared" ca="1" si="49"/>
        <v/>
      </c>
      <c r="Y1062" s="1" t="str">
        <f t="shared" ca="1" si="50"/>
        <v/>
      </c>
    </row>
    <row r="1063" spans="1:25" x14ac:dyDescent="0.25">
      <c r="A1063" t="s">
        <v>2397</v>
      </c>
      <c r="B1063">
        <v>1.014</v>
      </c>
      <c r="C1063">
        <v>1.3</v>
      </c>
      <c r="D1063">
        <v>0</v>
      </c>
      <c r="E1063">
        <v>23.3</v>
      </c>
      <c r="F1063">
        <v>0</v>
      </c>
      <c r="G1063">
        <v>7.4</v>
      </c>
      <c r="H1063">
        <v>0</v>
      </c>
      <c r="I1063" t="s">
        <v>1581</v>
      </c>
      <c r="J1063" t="s">
        <v>1581</v>
      </c>
      <c r="K1063" t="s">
        <v>1581</v>
      </c>
      <c r="L1063" t="s">
        <v>1581</v>
      </c>
      <c r="M1063" t="s">
        <v>1581</v>
      </c>
      <c r="N1063" t="s">
        <v>1581</v>
      </c>
      <c r="O1063" t="s">
        <v>1581</v>
      </c>
      <c r="P1063" t="s">
        <v>1581</v>
      </c>
      <c r="Q1063" t="s">
        <v>1581</v>
      </c>
      <c r="R1063" t="s">
        <v>1581</v>
      </c>
      <c r="S1063" t="s">
        <v>1581</v>
      </c>
      <c r="T1063" t="s">
        <v>1581</v>
      </c>
      <c r="U1063" t="s">
        <v>1581</v>
      </c>
      <c r="V1063" t="str" cm="1">
        <f t="array" aca="1" ref="V1063" ca="1">IFERROR(_xlfn.IFS(A1061="  ..............",OFFSET(A1061,2,0),A1060=" X-------------X",OFFSET(A1060,3,0),MATCH("  ..............",A1063:A1072,0)&gt;2,V1062),"-")</f>
        <v>-</v>
      </c>
      <c r="W1063" t="str">
        <f t="shared" ca="1" si="48"/>
        <v>-</v>
      </c>
      <c r="X1063" t="str">
        <f t="shared" ca="1" si="49"/>
        <v xml:space="preserve">              </v>
      </c>
      <c r="Y1063" s="1">
        <f t="shared" ca="1" si="50"/>
        <v>0</v>
      </c>
    </row>
    <row r="1064" spans="1:25" x14ac:dyDescent="0.25">
      <c r="A1064" t="s">
        <v>2398</v>
      </c>
      <c r="B1064">
        <v>-56.5</v>
      </c>
      <c r="C1064">
        <v>0</v>
      </c>
      <c r="D1064">
        <v>0</v>
      </c>
      <c r="E1064">
        <v>7.2</v>
      </c>
      <c r="F1064">
        <v>0</v>
      </c>
      <c r="G1064">
        <v>0</v>
      </c>
      <c r="H1064">
        <v>0</v>
      </c>
      <c r="I1064" t="s">
        <v>1584</v>
      </c>
      <c r="J1064" t="s">
        <v>1585</v>
      </c>
      <c r="K1064" t="s">
        <v>1586</v>
      </c>
      <c r="L1064" t="s">
        <v>1587</v>
      </c>
      <c r="M1064" t="s">
        <v>1587</v>
      </c>
      <c r="N1064" t="s">
        <v>1586</v>
      </c>
      <c r="O1064" t="s">
        <v>1581</v>
      </c>
      <c r="P1064" t="s">
        <v>1581</v>
      </c>
      <c r="Q1064" t="s">
        <v>1581</v>
      </c>
      <c r="R1064" t="s">
        <v>1581</v>
      </c>
      <c r="S1064" t="s">
        <v>1581</v>
      </c>
      <c r="T1064" t="s">
        <v>1581</v>
      </c>
      <c r="U1064" t="s">
        <v>1581</v>
      </c>
      <c r="V1064" t="str" cm="1">
        <f t="array" aca="1" ref="V1064" ca="1">IFERROR(_xlfn.IFS(A1062="  ..............",OFFSET(A1062,2,0),A1061=" X-------------X",OFFSET(A1061,3,0),MATCH("  ..............",A1064:A1073,0)&gt;2,V1063),"-")</f>
        <v xml:space="preserve">  ALVORA-RS069  </v>
      </c>
      <c r="W1064">
        <f t="shared" ca="1" si="48"/>
        <v>1.014</v>
      </c>
      <c r="X1064" t="str">
        <f t="shared" ca="1" si="49"/>
        <v xml:space="preserve"> GRAVA2-RS069 </v>
      </c>
      <c r="Y1064" s="1">
        <f t="shared" ca="1" si="50"/>
        <v>0.47299999999999998</v>
      </c>
    </row>
    <row r="1065" spans="1:25" x14ac:dyDescent="0.25">
      <c r="A1065" t="s">
        <v>1588</v>
      </c>
      <c r="B1065" t="s">
        <v>1587</v>
      </c>
      <c r="C1065">
        <v>54</v>
      </c>
      <c r="D1065">
        <v>79</v>
      </c>
      <c r="E1065">
        <v>79</v>
      </c>
      <c r="F1065" s="1">
        <v>0.40200000000000002</v>
      </c>
      <c r="G1065" t="s">
        <v>1587</v>
      </c>
      <c r="H1065" t="s">
        <v>1587</v>
      </c>
      <c r="I1065">
        <v>1209</v>
      </c>
      <c r="J1065" t="s">
        <v>2133</v>
      </c>
      <c r="K1065">
        <v>1</v>
      </c>
      <c r="L1065">
        <v>-22</v>
      </c>
      <c r="M1065">
        <v>0.3</v>
      </c>
      <c r="N1065">
        <v>21.7</v>
      </c>
      <c r="O1065" t="s">
        <v>1594</v>
      </c>
      <c r="P1065" t="s">
        <v>1584</v>
      </c>
      <c r="Q1065" t="s">
        <v>1591</v>
      </c>
      <c r="R1065">
        <v>0.22</v>
      </c>
      <c r="S1065">
        <v>0.63</v>
      </c>
      <c r="T1065" t="s">
        <v>1584</v>
      </c>
      <c r="U1065" t="s">
        <v>1592</v>
      </c>
      <c r="V1065" t="str" cm="1">
        <f t="array" aca="1" ref="V1065" ca="1">IFERROR(_xlfn.IFS(A1063="  ..............",OFFSET(A1063,2,0),A1062=" X-------------X",OFFSET(A1062,3,0),MATCH("  ..............",A1065:A1074,0)&gt;2,V1064),"-")</f>
        <v xml:space="preserve">  ALVORA-RS069  </v>
      </c>
      <c r="W1065">
        <f t="shared" ca="1" si="48"/>
        <v>1.014</v>
      </c>
      <c r="X1065" t="str">
        <f t="shared" ca="1" si="49"/>
        <v xml:space="preserve"> VIAMA3-RS069 </v>
      </c>
      <c r="Y1065" s="1" t="str">
        <f t="shared" ca="1" si="50"/>
        <v xml:space="preserve">             </v>
      </c>
    </row>
    <row r="1066" spans="1:25" x14ac:dyDescent="0.25">
      <c r="A1066" t="s">
        <v>1637</v>
      </c>
      <c r="B1066" t="s">
        <v>1638</v>
      </c>
      <c r="C1066">
        <v>54</v>
      </c>
      <c r="D1066">
        <v>79</v>
      </c>
      <c r="E1066">
        <v>79</v>
      </c>
      <c r="F1066" t="s">
        <v>1639</v>
      </c>
      <c r="G1066" t="s">
        <v>1587</v>
      </c>
      <c r="H1066" t="s">
        <v>1587</v>
      </c>
      <c r="I1066">
        <v>9264</v>
      </c>
      <c r="J1066" t="s">
        <v>2399</v>
      </c>
      <c r="K1066">
        <v>1</v>
      </c>
      <c r="L1066">
        <v>0</v>
      </c>
      <c r="M1066">
        <v>-0.1</v>
      </c>
      <c r="N1066">
        <v>0.1</v>
      </c>
      <c r="O1066" t="s">
        <v>1594</v>
      </c>
      <c r="P1066" t="s">
        <v>1584</v>
      </c>
      <c r="Q1066" t="s">
        <v>1591</v>
      </c>
      <c r="R1066">
        <v>0</v>
      </c>
      <c r="S1066">
        <v>-0.06</v>
      </c>
      <c r="T1066">
        <v>1.014</v>
      </c>
      <c r="U1066">
        <v>-56.5</v>
      </c>
      <c r="V1066" t="str" cm="1">
        <f t="array" aca="1" ref="V1066" ca="1">IFERROR(_xlfn.IFS(A1064="  ..............",OFFSET(A1064,2,0),A1063=" X-------------X",OFFSET(A1063,3,0),MATCH("  ..............",A1066:A1075,0)&gt;2,V1065),"-")</f>
        <v>-</v>
      </c>
      <c r="W1066" t="str">
        <f t="shared" ca="1" si="48"/>
        <v>-</v>
      </c>
      <c r="X1066" t="str">
        <f t="shared" ca="1" si="49"/>
        <v>-</v>
      </c>
      <c r="Y1066" s="1" t="str">
        <f t="shared" ca="1" si="50"/>
        <v>-</v>
      </c>
    </row>
    <row r="1067" spans="1:25" x14ac:dyDescent="0.25">
      <c r="A1067" t="s">
        <v>1572</v>
      </c>
      <c r="B1067" t="s">
        <v>1574</v>
      </c>
      <c r="C1067" t="s">
        <v>1574</v>
      </c>
      <c r="D1067" t="s">
        <v>1574</v>
      </c>
      <c r="E1067" t="s">
        <v>1574</v>
      </c>
      <c r="F1067" t="s">
        <v>1575</v>
      </c>
      <c r="G1067" t="s">
        <v>1574</v>
      </c>
      <c r="H1067" t="s">
        <v>1574</v>
      </c>
      <c r="I1067" t="s">
        <v>1576</v>
      </c>
      <c r="J1067" t="s">
        <v>1573</v>
      </c>
      <c r="K1067" t="s">
        <v>1577</v>
      </c>
      <c r="L1067" t="s">
        <v>1574</v>
      </c>
      <c r="M1067" t="s">
        <v>1574</v>
      </c>
      <c r="N1067" t="s">
        <v>1574</v>
      </c>
      <c r="O1067" t="s">
        <v>1578</v>
      </c>
      <c r="P1067" t="s">
        <v>1576</v>
      </c>
      <c r="Q1067" t="s">
        <v>1579</v>
      </c>
      <c r="R1067" t="s">
        <v>1580</v>
      </c>
      <c r="S1067" t="s">
        <v>1580</v>
      </c>
      <c r="T1067" t="s">
        <v>1576</v>
      </c>
      <c r="U1067" t="s">
        <v>1576</v>
      </c>
      <c r="V1067" t="str" cm="1">
        <f t="array" aca="1" ref="V1067" ca="1">IFERROR(_xlfn.IFS(A1065="  ..............",OFFSET(A1065,2,0),A1064=" X-------------X",OFFSET(A1064,3,0),MATCH("  ..............",A1067:A1076,0)&gt;2,V1066),"-")</f>
        <v>-</v>
      </c>
      <c r="W1067" t="str">
        <f t="shared" ca="1" si="48"/>
        <v>-</v>
      </c>
      <c r="X1067" t="str">
        <f t="shared" ca="1" si="49"/>
        <v/>
      </c>
      <c r="Y1067" s="1" t="str">
        <f t="shared" ca="1" si="50"/>
        <v/>
      </c>
    </row>
    <row r="1068" spans="1:25" x14ac:dyDescent="0.25">
      <c r="A1068" t="s">
        <v>2400</v>
      </c>
      <c r="B1068">
        <v>1.0069999999999999</v>
      </c>
      <c r="C1068">
        <v>3</v>
      </c>
      <c r="D1068">
        <v>0</v>
      </c>
      <c r="E1068">
        <v>55.2</v>
      </c>
      <c r="F1068">
        <v>0</v>
      </c>
      <c r="G1068">
        <v>7.3</v>
      </c>
      <c r="H1068">
        <v>0</v>
      </c>
      <c r="I1068" t="s">
        <v>1581</v>
      </c>
      <c r="J1068" t="s">
        <v>1581</v>
      </c>
      <c r="K1068" t="s">
        <v>1581</v>
      </c>
      <c r="L1068" t="s">
        <v>1581</v>
      </c>
      <c r="M1068" t="s">
        <v>1581</v>
      </c>
      <c r="N1068" t="s">
        <v>1581</v>
      </c>
      <c r="O1068" t="s">
        <v>1581</v>
      </c>
      <c r="P1068" t="s">
        <v>1581</v>
      </c>
      <c r="Q1068" t="s">
        <v>1581</v>
      </c>
      <c r="R1068" t="s">
        <v>1581</v>
      </c>
      <c r="S1068" t="s">
        <v>1581</v>
      </c>
      <c r="T1068" t="s">
        <v>1581</v>
      </c>
      <c r="U1068" t="s">
        <v>1581</v>
      </c>
      <c r="V1068" t="str" cm="1">
        <f t="array" aca="1" ref="V1068" ca="1">IFERROR(_xlfn.IFS(A1066="  ..............",OFFSET(A1066,2,0),A1065=" X-------------X",OFFSET(A1065,3,0),MATCH("  ..............",A1068:A1077,0)&gt;2,V1067),"-")</f>
        <v>-</v>
      </c>
      <c r="W1068" t="str">
        <f t="shared" ca="1" si="48"/>
        <v>-</v>
      </c>
      <c r="X1068" t="str">
        <f t="shared" ca="1" si="49"/>
        <v xml:space="preserve">              </v>
      </c>
      <c r="Y1068" s="1">
        <f t="shared" ca="1" si="50"/>
        <v>0</v>
      </c>
    </row>
    <row r="1069" spans="1:25" x14ac:dyDescent="0.25">
      <c r="A1069" t="s">
        <v>2401</v>
      </c>
      <c r="B1069">
        <v>-56.2</v>
      </c>
      <c r="C1069">
        <v>0</v>
      </c>
      <c r="D1069">
        <v>0</v>
      </c>
      <c r="E1069">
        <v>17.600000000000001</v>
      </c>
      <c r="F1069">
        <v>0</v>
      </c>
      <c r="G1069">
        <v>0</v>
      </c>
      <c r="H1069">
        <v>0</v>
      </c>
      <c r="I1069" t="s">
        <v>1584</v>
      </c>
      <c r="J1069" t="s">
        <v>1585</v>
      </c>
      <c r="K1069" t="s">
        <v>1586</v>
      </c>
      <c r="L1069" t="s">
        <v>1587</v>
      </c>
      <c r="M1069" t="s">
        <v>1587</v>
      </c>
      <c r="N1069" t="s">
        <v>1586</v>
      </c>
      <c r="O1069" t="s">
        <v>1581</v>
      </c>
      <c r="P1069" t="s">
        <v>1581</v>
      </c>
      <c r="Q1069" t="s">
        <v>1581</v>
      </c>
      <c r="R1069" t="s">
        <v>1581</v>
      </c>
      <c r="S1069" t="s">
        <v>1581</v>
      </c>
      <c r="T1069" t="s">
        <v>1581</v>
      </c>
      <c r="U1069" t="s">
        <v>1581</v>
      </c>
      <c r="V1069" t="str" cm="1">
        <f t="array" aca="1" ref="V1069" ca="1">IFERROR(_xlfn.IFS(A1067="  ..............",OFFSET(A1067,2,0),A1066=" X-------------X",OFFSET(A1066,3,0),MATCH("  ..............",A1069:A1078,0)&gt;2,V1068),"-")</f>
        <v xml:space="preserve">  VIAMA1-RS069  </v>
      </c>
      <c r="W1069">
        <f t="shared" ca="1" si="48"/>
        <v>1.0069999999999999</v>
      </c>
      <c r="X1069" t="str">
        <f t="shared" ca="1" si="49"/>
        <v xml:space="preserve"> VIAMA3-RS069 </v>
      </c>
      <c r="Y1069" s="1" t="str">
        <f t="shared" ca="1" si="50"/>
        <v xml:space="preserve">             </v>
      </c>
    </row>
    <row r="1070" spans="1:25" x14ac:dyDescent="0.25">
      <c r="A1070" t="s">
        <v>1588</v>
      </c>
      <c r="B1070" t="s">
        <v>1587</v>
      </c>
      <c r="C1070">
        <v>54</v>
      </c>
      <c r="D1070">
        <v>79</v>
      </c>
      <c r="E1070">
        <v>79</v>
      </c>
      <c r="F1070" s="1">
        <v>0.97799999999999998</v>
      </c>
      <c r="G1070" t="s">
        <v>1587</v>
      </c>
      <c r="H1070" t="s">
        <v>1587</v>
      </c>
      <c r="I1070">
        <v>9264</v>
      </c>
      <c r="J1070" t="s">
        <v>2399</v>
      </c>
      <c r="K1070">
        <v>1</v>
      </c>
      <c r="L1070">
        <v>-52.2</v>
      </c>
      <c r="M1070">
        <v>-10.3</v>
      </c>
      <c r="N1070">
        <v>52.8</v>
      </c>
      <c r="O1070" t="s">
        <v>1594</v>
      </c>
      <c r="P1070" t="s">
        <v>1584</v>
      </c>
      <c r="Q1070" t="s">
        <v>1591</v>
      </c>
      <c r="R1070">
        <v>0.32</v>
      </c>
      <c r="S1070">
        <v>1.26</v>
      </c>
      <c r="T1070" t="s">
        <v>1584</v>
      </c>
      <c r="U1070" t="s">
        <v>1592</v>
      </c>
      <c r="V1070" t="str" cm="1">
        <f t="array" aca="1" ref="V1070" ca="1">IFERROR(_xlfn.IFS(A1068="  ..............",OFFSET(A1068,2,0),A1067=" X-------------X",OFFSET(A1067,3,0),MATCH("  ..............",A1070:A1079,0)&gt;2,V1069),"-")</f>
        <v xml:space="preserve">  VIAMA1-RS069  </v>
      </c>
      <c r="W1070">
        <f t="shared" ca="1" si="48"/>
        <v>1.0069999999999999</v>
      </c>
      <c r="X1070" t="str">
        <f t="shared" ca="1" si="49"/>
        <v xml:space="preserve"> ACLARATAP069 </v>
      </c>
      <c r="Y1070" s="1" t="str">
        <f t="shared" ca="1" si="50"/>
        <v xml:space="preserve">             </v>
      </c>
    </row>
    <row r="1071" spans="1:25" x14ac:dyDescent="0.25">
      <c r="A1071" t="s">
        <v>1637</v>
      </c>
      <c r="B1071" t="s">
        <v>1638</v>
      </c>
      <c r="C1071">
        <v>54</v>
      </c>
      <c r="D1071">
        <v>79</v>
      </c>
      <c r="E1071">
        <v>79</v>
      </c>
      <c r="F1071" t="s">
        <v>1639</v>
      </c>
      <c r="G1071" t="s">
        <v>1587</v>
      </c>
      <c r="H1071" t="s">
        <v>1587</v>
      </c>
      <c r="I1071">
        <v>9552</v>
      </c>
      <c r="J1071" t="s">
        <v>2402</v>
      </c>
      <c r="K1071">
        <v>1</v>
      </c>
      <c r="L1071">
        <v>0</v>
      </c>
      <c r="M1071">
        <v>0</v>
      </c>
      <c r="N1071">
        <v>0</v>
      </c>
      <c r="O1071" t="s">
        <v>1594</v>
      </c>
      <c r="P1071" t="s">
        <v>1584</v>
      </c>
      <c r="Q1071" t="s">
        <v>1591</v>
      </c>
      <c r="R1071">
        <v>0</v>
      </c>
      <c r="S1071">
        <v>0</v>
      </c>
      <c r="T1071" t="s">
        <v>1584</v>
      </c>
      <c r="U1071" t="s">
        <v>1592</v>
      </c>
      <c r="V1071" t="str" cm="1">
        <f t="array" aca="1" ref="V1071" ca="1">IFERROR(_xlfn.IFS(A1069="  ..............",OFFSET(A1069,2,0),A1068=" X-------------X",OFFSET(A1068,3,0),MATCH("  ..............",A1071:A1080,0)&gt;2,V1070),"-")</f>
        <v>-</v>
      </c>
      <c r="W1071" t="str">
        <f t="shared" ca="1" si="48"/>
        <v>-</v>
      </c>
      <c r="X1071" t="str">
        <f t="shared" ca="1" si="49"/>
        <v>-</v>
      </c>
      <c r="Y1071" s="1" t="str">
        <f t="shared" ca="1" si="50"/>
        <v>-</v>
      </c>
    </row>
    <row r="1072" spans="1:25" x14ac:dyDescent="0.25">
      <c r="A1072" t="s">
        <v>1572</v>
      </c>
      <c r="B1072" t="s">
        <v>1574</v>
      </c>
      <c r="C1072" t="s">
        <v>1574</v>
      </c>
      <c r="D1072" t="s">
        <v>1574</v>
      </c>
      <c r="E1072" t="s">
        <v>1574</v>
      </c>
      <c r="F1072" t="s">
        <v>1575</v>
      </c>
      <c r="G1072" t="s">
        <v>1574</v>
      </c>
      <c r="H1072" t="s">
        <v>1574</v>
      </c>
      <c r="I1072" t="s">
        <v>1576</v>
      </c>
      <c r="J1072" t="s">
        <v>1573</v>
      </c>
      <c r="K1072" t="s">
        <v>1577</v>
      </c>
      <c r="L1072" t="s">
        <v>1574</v>
      </c>
      <c r="M1072" t="s">
        <v>1574</v>
      </c>
      <c r="N1072" t="s">
        <v>1574</v>
      </c>
      <c r="O1072" t="s">
        <v>1578</v>
      </c>
      <c r="P1072" t="s">
        <v>1576</v>
      </c>
      <c r="Q1072" t="s">
        <v>1579</v>
      </c>
      <c r="R1072" t="s">
        <v>1580</v>
      </c>
      <c r="S1072" t="s">
        <v>1580</v>
      </c>
      <c r="T1072" t="s">
        <v>1576</v>
      </c>
      <c r="U1072" t="s">
        <v>1576</v>
      </c>
      <c r="V1072" t="str" cm="1">
        <f t="array" aca="1" ref="V1072" ca="1">IFERROR(_xlfn.IFS(A1070="  ..............",OFFSET(A1070,2,0),A1069=" X-------------X",OFFSET(A1069,3,0),MATCH("  ..............",A1072:A1081,0)&gt;2,V1071),"-")</f>
        <v>-</v>
      </c>
      <c r="W1072" t="str">
        <f t="shared" ca="1" si="48"/>
        <v>-</v>
      </c>
      <c r="X1072" t="str">
        <f t="shared" ca="1" si="49"/>
        <v/>
      </c>
      <c r="Y1072" s="1" t="str">
        <f t="shared" ca="1" si="50"/>
        <v/>
      </c>
    </row>
    <row r="1073" spans="1:25" x14ac:dyDescent="0.25">
      <c r="A1073" t="s">
        <v>2403</v>
      </c>
      <c r="B1073">
        <v>1.012</v>
      </c>
      <c r="C1073">
        <v>1</v>
      </c>
      <c r="D1073">
        <v>0</v>
      </c>
      <c r="E1073">
        <v>25.1</v>
      </c>
      <c r="F1073">
        <v>0</v>
      </c>
      <c r="G1073">
        <v>3.7</v>
      </c>
      <c r="H1073">
        <v>0</v>
      </c>
      <c r="I1073" t="s">
        <v>1581</v>
      </c>
      <c r="J1073" t="s">
        <v>1581</v>
      </c>
      <c r="K1073" t="s">
        <v>1581</v>
      </c>
      <c r="L1073" t="s">
        <v>1581</v>
      </c>
      <c r="M1073" t="s">
        <v>1581</v>
      </c>
      <c r="N1073" t="s">
        <v>1581</v>
      </c>
      <c r="O1073" t="s">
        <v>1581</v>
      </c>
      <c r="P1073" t="s">
        <v>1581</v>
      </c>
      <c r="Q1073" t="s">
        <v>1581</v>
      </c>
      <c r="R1073" t="s">
        <v>1581</v>
      </c>
      <c r="S1073" t="s">
        <v>1581</v>
      </c>
      <c r="T1073" t="s">
        <v>1581</v>
      </c>
      <c r="U1073" t="s">
        <v>1581</v>
      </c>
      <c r="V1073" t="str" cm="1">
        <f t="array" aca="1" ref="V1073" ca="1">IFERROR(_xlfn.IFS(A1071="  ..............",OFFSET(A1071,2,0),A1070=" X-------------X",OFFSET(A1070,3,0),MATCH("  ..............",A1073:A1082,0)&gt;2,V1072),"-")</f>
        <v>-</v>
      </c>
      <c r="W1073" t="str">
        <f t="shared" ca="1" si="48"/>
        <v>-</v>
      </c>
      <c r="X1073" t="str">
        <f t="shared" ca="1" si="49"/>
        <v xml:space="preserve">              </v>
      </c>
      <c r="Y1073" s="1">
        <f t="shared" ca="1" si="50"/>
        <v>0</v>
      </c>
    </row>
    <row r="1074" spans="1:25" x14ac:dyDescent="0.25">
      <c r="A1074" t="s">
        <v>2404</v>
      </c>
      <c r="B1074">
        <v>-54.5</v>
      </c>
      <c r="C1074">
        <v>0</v>
      </c>
      <c r="D1074">
        <v>0</v>
      </c>
      <c r="E1074">
        <v>8.1</v>
      </c>
      <c r="F1074">
        <v>0</v>
      </c>
      <c r="G1074">
        <v>0</v>
      </c>
      <c r="H1074">
        <v>0</v>
      </c>
      <c r="I1074" t="s">
        <v>1584</v>
      </c>
      <c r="J1074" t="s">
        <v>1585</v>
      </c>
      <c r="K1074" t="s">
        <v>1586</v>
      </c>
      <c r="L1074" t="s">
        <v>1587</v>
      </c>
      <c r="M1074" t="s">
        <v>1587</v>
      </c>
      <c r="N1074" t="s">
        <v>1586</v>
      </c>
      <c r="O1074" t="s">
        <v>1581</v>
      </c>
      <c r="P1074" t="s">
        <v>1581</v>
      </c>
      <c r="Q1074" t="s">
        <v>1581</v>
      </c>
      <c r="R1074" t="s">
        <v>1581</v>
      </c>
      <c r="S1074" t="s">
        <v>1581</v>
      </c>
      <c r="T1074" t="s">
        <v>1581</v>
      </c>
      <c r="U1074" t="s">
        <v>1581</v>
      </c>
      <c r="V1074" t="str" cm="1">
        <f t="array" aca="1" ref="V1074" ca="1">IFERROR(_xlfn.IFS(A1072="  ..............",OFFSET(A1072,2,0),A1071=" X-------------X",OFFSET(A1071,3,0),MATCH("  ..............",A1074:A1083,0)&gt;2,V1073),"-")</f>
        <v xml:space="preserve">  PALE1A-RS069  </v>
      </c>
      <c r="W1074">
        <f t="shared" ca="1" si="48"/>
        <v>1.012</v>
      </c>
      <c r="X1074" t="str">
        <f t="shared" ca="1" si="49"/>
        <v xml:space="preserve"> PALEG1-RS069 </v>
      </c>
      <c r="Y1074" s="1">
        <f t="shared" ca="1" si="50"/>
        <v>0.26900000000000002</v>
      </c>
    </row>
    <row r="1075" spans="1:25" x14ac:dyDescent="0.25">
      <c r="A1075" t="s">
        <v>1588</v>
      </c>
      <c r="B1075" t="s">
        <v>1587</v>
      </c>
      <c r="C1075">
        <v>90</v>
      </c>
      <c r="D1075">
        <v>90</v>
      </c>
      <c r="E1075">
        <v>90</v>
      </c>
      <c r="F1075" s="1">
        <v>0.26900000000000002</v>
      </c>
      <c r="G1075" t="s">
        <v>1587</v>
      </c>
      <c r="H1075" t="s">
        <v>1587</v>
      </c>
      <c r="I1075">
        <v>9962</v>
      </c>
      <c r="J1075" t="s">
        <v>2405</v>
      </c>
      <c r="K1075">
        <v>1</v>
      </c>
      <c r="L1075">
        <v>-24.1</v>
      </c>
      <c r="M1075">
        <v>-4.4000000000000004</v>
      </c>
      <c r="N1075">
        <v>24.2</v>
      </c>
      <c r="O1075" t="s">
        <v>1594</v>
      </c>
      <c r="P1075" t="s">
        <v>1584</v>
      </c>
      <c r="Q1075" t="s">
        <v>1591</v>
      </c>
      <c r="R1075">
        <v>0</v>
      </c>
      <c r="S1075">
        <v>0</v>
      </c>
      <c r="T1075" t="s">
        <v>1584</v>
      </c>
      <c r="U1075" t="s">
        <v>1592</v>
      </c>
      <c r="V1075" t="str" cm="1">
        <f t="array" aca="1" ref="V1075" ca="1">IFERROR(_xlfn.IFS(A1073="  ..............",OFFSET(A1073,2,0),A1072=" X-------------X",OFFSET(A1072,3,0),MATCH("  ..............",A1075:A1084,0)&gt;2,V1074),"-")</f>
        <v>-</v>
      </c>
      <c r="W1075" t="str">
        <f t="shared" ca="1" si="48"/>
        <v>-</v>
      </c>
      <c r="X1075" t="str">
        <f t="shared" ca="1" si="49"/>
        <v>-</v>
      </c>
      <c r="Y1075" s="1" t="str">
        <f t="shared" ca="1" si="50"/>
        <v>-</v>
      </c>
    </row>
    <row r="1076" spans="1:25" x14ac:dyDescent="0.25">
      <c r="A1076" t="s">
        <v>1572</v>
      </c>
      <c r="B1076" t="s">
        <v>1574</v>
      </c>
      <c r="C1076" t="s">
        <v>1574</v>
      </c>
      <c r="D1076" t="s">
        <v>1574</v>
      </c>
      <c r="E1076" t="s">
        <v>1574</v>
      </c>
      <c r="F1076" t="s">
        <v>1575</v>
      </c>
      <c r="G1076" t="s">
        <v>1574</v>
      </c>
      <c r="H1076" t="s">
        <v>1574</v>
      </c>
      <c r="I1076" t="s">
        <v>1576</v>
      </c>
      <c r="J1076" t="s">
        <v>1573</v>
      </c>
      <c r="K1076" t="s">
        <v>1577</v>
      </c>
      <c r="L1076" t="s">
        <v>1574</v>
      </c>
      <c r="M1076" t="s">
        <v>1574</v>
      </c>
      <c r="N1076" t="s">
        <v>1574</v>
      </c>
      <c r="O1076" t="s">
        <v>1578</v>
      </c>
      <c r="P1076" t="s">
        <v>1576</v>
      </c>
      <c r="Q1076" t="s">
        <v>1579</v>
      </c>
      <c r="R1076" t="s">
        <v>1580</v>
      </c>
      <c r="S1076" t="s">
        <v>1580</v>
      </c>
      <c r="T1076" t="s">
        <v>1576</v>
      </c>
      <c r="U1076" t="s">
        <v>1576</v>
      </c>
      <c r="V1076" t="str" cm="1">
        <f t="array" aca="1" ref="V1076" ca="1">IFERROR(_xlfn.IFS(A1074="  ..............",OFFSET(A1074,2,0),A1073=" X-------------X",OFFSET(A1073,3,0),MATCH("  ..............",A1076:A1085,0)&gt;2,V1075),"-")</f>
        <v>-</v>
      </c>
      <c r="W1076" t="str">
        <f t="shared" ca="1" si="48"/>
        <v>-</v>
      </c>
      <c r="X1076" t="str">
        <f t="shared" ca="1" si="49"/>
        <v/>
      </c>
      <c r="Y1076" s="1" t="str">
        <f t="shared" ca="1" si="50"/>
        <v/>
      </c>
    </row>
    <row r="1077" spans="1:25" x14ac:dyDescent="0.25">
      <c r="A1077" t="s">
        <v>2406</v>
      </c>
      <c r="B1077">
        <v>1.012</v>
      </c>
      <c r="C1077">
        <v>0.4</v>
      </c>
      <c r="D1077">
        <v>0</v>
      </c>
      <c r="E1077">
        <v>25.5</v>
      </c>
      <c r="F1077">
        <v>0</v>
      </c>
      <c r="G1077">
        <v>7.4</v>
      </c>
      <c r="H1077">
        <v>0</v>
      </c>
      <c r="I1077" t="s">
        <v>1581</v>
      </c>
      <c r="J1077" t="s">
        <v>1581</v>
      </c>
      <c r="K1077" t="s">
        <v>1581</v>
      </c>
      <c r="L1077" t="s">
        <v>1581</v>
      </c>
      <c r="M1077" t="s">
        <v>1581</v>
      </c>
      <c r="N1077" t="s">
        <v>1581</v>
      </c>
      <c r="O1077" t="s">
        <v>1581</v>
      </c>
      <c r="P1077" t="s">
        <v>1581</v>
      </c>
      <c r="Q1077" t="s">
        <v>1581</v>
      </c>
      <c r="R1077" t="s">
        <v>1581</v>
      </c>
      <c r="S1077" t="s">
        <v>1581</v>
      </c>
      <c r="T1077" t="s">
        <v>1581</v>
      </c>
      <c r="U1077" t="s">
        <v>1581</v>
      </c>
      <c r="V1077" t="str" cm="1">
        <f t="array" aca="1" ref="V1077" ca="1">IFERROR(_xlfn.IFS(A1075="  ..............",OFFSET(A1075,2,0),A1074=" X-------------X",OFFSET(A1074,3,0),MATCH("  ..............",A1077:A1086,0)&gt;2,V1076),"-")</f>
        <v>-</v>
      </c>
      <c r="W1077" t="str">
        <f t="shared" ca="1" si="48"/>
        <v>-</v>
      </c>
      <c r="X1077" t="str">
        <f t="shared" ca="1" si="49"/>
        <v xml:space="preserve">              </v>
      </c>
      <c r="Y1077" s="1">
        <f t="shared" ca="1" si="50"/>
        <v>0</v>
      </c>
    </row>
    <row r="1078" spans="1:25" x14ac:dyDescent="0.25">
      <c r="A1078" t="s">
        <v>2407</v>
      </c>
      <c r="B1078">
        <v>-54.5</v>
      </c>
      <c r="C1078">
        <v>0</v>
      </c>
      <c r="D1078">
        <v>0</v>
      </c>
      <c r="E1078">
        <v>7.2</v>
      </c>
      <c r="F1078">
        <v>0</v>
      </c>
      <c r="G1078">
        <v>0</v>
      </c>
      <c r="H1078">
        <v>0</v>
      </c>
      <c r="I1078" t="s">
        <v>1584</v>
      </c>
      <c r="J1078" t="s">
        <v>1585</v>
      </c>
      <c r="K1078" t="s">
        <v>1586</v>
      </c>
      <c r="L1078" t="s">
        <v>1587</v>
      </c>
      <c r="M1078" t="s">
        <v>1587</v>
      </c>
      <c r="N1078" t="s">
        <v>1586</v>
      </c>
      <c r="O1078" t="s">
        <v>1581</v>
      </c>
      <c r="P1078" t="s">
        <v>1581</v>
      </c>
      <c r="Q1078" t="s">
        <v>1581</v>
      </c>
      <c r="R1078" t="s">
        <v>1581</v>
      </c>
      <c r="S1078" t="s">
        <v>1581</v>
      </c>
      <c r="T1078" t="s">
        <v>1581</v>
      </c>
      <c r="U1078" t="s">
        <v>1581</v>
      </c>
      <c r="V1078" t="str" cm="1">
        <f t="array" aca="1" ref="V1078" ca="1">IFERROR(_xlfn.IFS(A1076="  ..............",OFFSET(A1076,2,0),A1075=" X-------------X",OFFSET(A1075,3,0),MATCH("  ..............",A1078:A1087,0)&gt;2,V1077),"-")</f>
        <v xml:space="preserve">  PALE1B-RS069  </v>
      </c>
      <c r="W1078">
        <f t="shared" ca="1" si="48"/>
        <v>1.012</v>
      </c>
      <c r="X1078" t="str">
        <f t="shared" ca="1" si="49"/>
        <v xml:space="preserve"> PALEG1-RS069 </v>
      </c>
      <c r="Y1078" s="1">
        <f t="shared" ca="1" si="50"/>
        <v>0.26900000000000002</v>
      </c>
    </row>
    <row r="1079" spans="1:25" x14ac:dyDescent="0.25">
      <c r="A1079" t="s">
        <v>1588</v>
      </c>
      <c r="B1079" t="s">
        <v>1587</v>
      </c>
      <c r="C1079">
        <v>90</v>
      </c>
      <c r="D1079">
        <v>90</v>
      </c>
      <c r="E1079">
        <v>90</v>
      </c>
      <c r="F1079" s="1">
        <v>0.27600000000000002</v>
      </c>
      <c r="G1079" t="s">
        <v>1587</v>
      </c>
      <c r="H1079" t="s">
        <v>1587</v>
      </c>
      <c r="I1079">
        <v>9962</v>
      </c>
      <c r="J1079" t="s">
        <v>2405</v>
      </c>
      <c r="K1079">
        <v>1</v>
      </c>
      <c r="L1079">
        <v>-25.1</v>
      </c>
      <c r="M1079">
        <v>0.2</v>
      </c>
      <c r="N1079">
        <v>24.8</v>
      </c>
      <c r="O1079" t="s">
        <v>1594</v>
      </c>
      <c r="P1079" t="s">
        <v>1584</v>
      </c>
      <c r="Q1079" t="s">
        <v>1591</v>
      </c>
      <c r="R1079">
        <v>0</v>
      </c>
      <c r="S1079">
        <v>0</v>
      </c>
      <c r="T1079" t="s">
        <v>1584</v>
      </c>
      <c r="U1079" t="s">
        <v>1592</v>
      </c>
      <c r="V1079" t="str" cm="1">
        <f t="array" aca="1" ref="V1079" ca="1">IFERROR(_xlfn.IFS(A1077="  ..............",OFFSET(A1077,2,0),A1076=" X-------------X",OFFSET(A1076,3,0),MATCH("  ..............",A1079:A1088,0)&gt;2,V1078),"-")</f>
        <v>-</v>
      </c>
      <c r="W1079" t="str">
        <f t="shared" ca="1" si="48"/>
        <v>-</v>
      </c>
      <c r="X1079" t="str">
        <f t="shared" ca="1" si="49"/>
        <v>-</v>
      </c>
      <c r="Y1079" s="1" t="str">
        <f t="shared" ca="1" si="50"/>
        <v>-</v>
      </c>
    </row>
    <row r="1080" spans="1:25" x14ac:dyDescent="0.25">
      <c r="A1080" t="s">
        <v>1572</v>
      </c>
      <c r="B1080" t="s">
        <v>1574</v>
      </c>
      <c r="C1080" t="s">
        <v>1574</v>
      </c>
      <c r="D1080" t="s">
        <v>1574</v>
      </c>
      <c r="E1080" t="s">
        <v>1574</v>
      </c>
      <c r="F1080" t="s">
        <v>1575</v>
      </c>
      <c r="G1080" t="s">
        <v>1574</v>
      </c>
      <c r="H1080" t="s">
        <v>1574</v>
      </c>
      <c r="I1080" t="s">
        <v>1576</v>
      </c>
      <c r="J1080" t="s">
        <v>1573</v>
      </c>
      <c r="K1080" t="s">
        <v>1577</v>
      </c>
      <c r="L1080" t="s">
        <v>1574</v>
      </c>
      <c r="M1080" t="s">
        <v>1574</v>
      </c>
      <c r="N1080" t="s">
        <v>1574</v>
      </c>
      <c r="O1080" t="s">
        <v>1578</v>
      </c>
      <c r="P1080" t="s">
        <v>1576</v>
      </c>
      <c r="Q1080" t="s">
        <v>1579</v>
      </c>
      <c r="R1080" t="s">
        <v>1580</v>
      </c>
      <c r="S1080" t="s">
        <v>1580</v>
      </c>
      <c r="T1080" t="s">
        <v>1576</v>
      </c>
      <c r="U1080" t="s">
        <v>1576</v>
      </c>
      <c r="V1080" t="str" cm="1">
        <f t="array" aca="1" ref="V1080" ca="1">IFERROR(_xlfn.IFS(A1078="  ..............",OFFSET(A1078,2,0),A1077=" X-------------X",OFFSET(A1077,3,0),MATCH("  ..............",A1080:A1089,0)&gt;2,V1079),"-")</f>
        <v>-</v>
      </c>
      <c r="W1080" t="str">
        <f t="shared" ca="1" si="48"/>
        <v>-</v>
      </c>
      <c r="X1080" t="str">
        <f t="shared" ca="1" si="49"/>
        <v/>
      </c>
      <c r="Y1080" s="1" t="str">
        <f t="shared" ca="1" si="50"/>
        <v/>
      </c>
    </row>
    <row r="1081" spans="1:25" x14ac:dyDescent="0.25">
      <c r="A1081" t="s">
        <v>2408</v>
      </c>
      <c r="B1081">
        <v>1.012</v>
      </c>
      <c r="C1081">
        <v>1.3</v>
      </c>
      <c r="D1081">
        <v>0</v>
      </c>
      <c r="E1081">
        <v>40.4</v>
      </c>
      <c r="F1081">
        <v>0</v>
      </c>
      <c r="G1081">
        <v>3.7</v>
      </c>
      <c r="H1081">
        <v>0</v>
      </c>
      <c r="I1081" t="s">
        <v>1581</v>
      </c>
      <c r="J1081" t="s">
        <v>1581</v>
      </c>
      <c r="K1081" t="s">
        <v>1581</v>
      </c>
      <c r="L1081" t="s">
        <v>1581</v>
      </c>
      <c r="M1081" t="s">
        <v>1581</v>
      </c>
      <c r="N1081" t="s">
        <v>1581</v>
      </c>
      <c r="O1081" t="s">
        <v>1581</v>
      </c>
      <c r="P1081" t="s">
        <v>1581</v>
      </c>
      <c r="Q1081" t="s">
        <v>1581</v>
      </c>
      <c r="R1081" t="s">
        <v>1581</v>
      </c>
      <c r="S1081" t="s">
        <v>1581</v>
      </c>
      <c r="T1081" t="s">
        <v>1581</v>
      </c>
      <c r="U1081" t="s">
        <v>1581</v>
      </c>
      <c r="V1081" t="str" cm="1">
        <f t="array" aca="1" ref="V1081" ca="1">IFERROR(_xlfn.IFS(A1079="  ..............",OFFSET(A1079,2,0),A1078=" X-------------X",OFFSET(A1078,3,0),MATCH("  ..............",A1081:A1090,0)&gt;2,V1080),"-")</f>
        <v>-</v>
      </c>
      <c r="W1081" t="str">
        <f t="shared" ca="1" si="48"/>
        <v>-</v>
      </c>
      <c r="X1081" t="str">
        <f t="shared" ca="1" si="49"/>
        <v xml:space="preserve">              </v>
      </c>
      <c r="Y1081" s="1">
        <f t="shared" ca="1" si="50"/>
        <v>0</v>
      </c>
    </row>
    <row r="1082" spans="1:25" x14ac:dyDescent="0.25">
      <c r="A1082" t="s">
        <v>2409</v>
      </c>
      <c r="B1082">
        <v>-54.9</v>
      </c>
      <c r="C1082">
        <v>0</v>
      </c>
      <c r="D1082">
        <v>0</v>
      </c>
      <c r="E1082">
        <v>9.1999999999999993</v>
      </c>
      <c r="F1082">
        <v>0</v>
      </c>
      <c r="G1082">
        <v>0</v>
      </c>
      <c r="H1082">
        <v>0</v>
      </c>
      <c r="I1082" t="s">
        <v>1584</v>
      </c>
      <c r="J1082" t="s">
        <v>1585</v>
      </c>
      <c r="K1082" t="s">
        <v>1586</v>
      </c>
      <c r="L1082" t="s">
        <v>1587</v>
      </c>
      <c r="M1082" t="s">
        <v>1587</v>
      </c>
      <c r="N1082" t="s">
        <v>1586</v>
      </c>
      <c r="O1082" t="s">
        <v>1581</v>
      </c>
      <c r="P1082" t="s">
        <v>1581</v>
      </c>
      <c r="Q1082" t="s">
        <v>1581</v>
      </c>
      <c r="R1082" t="s">
        <v>1581</v>
      </c>
      <c r="S1082" t="s">
        <v>1581</v>
      </c>
      <c r="T1082" t="s">
        <v>1581</v>
      </c>
      <c r="U1082" t="s">
        <v>1581</v>
      </c>
      <c r="V1082" t="str" cm="1">
        <f t="array" aca="1" ref="V1082" ca="1">IFERROR(_xlfn.IFS(A1080="  ..............",OFFSET(A1080,2,0),A1079=" X-------------X",OFFSET(A1079,3,0),MATCH("  ..............",A1082:A1091,0)&gt;2,V1081),"-")</f>
        <v xml:space="preserve">  PALEG2-RS069  </v>
      </c>
      <c r="W1082">
        <f t="shared" ca="1" si="48"/>
        <v>1.012</v>
      </c>
      <c r="X1082" t="str">
        <f t="shared" ca="1" si="49"/>
        <v xml:space="preserve"> PALGR9-RS069 </v>
      </c>
      <c r="Y1082" s="1">
        <f t="shared" ca="1" si="50"/>
        <v>0</v>
      </c>
    </row>
    <row r="1083" spans="1:25" x14ac:dyDescent="0.25">
      <c r="A1083" t="s">
        <v>1588</v>
      </c>
      <c r="B1083" t="s">
        <v>1587</v>
      </c>
      <c r="C1083">
        <v>54</v>
      </c>
      <c r="D1083">
        <v>79</v>
      </c>
      <c r="E1083">
        <v>79</v>
      </c>
      <c r="F1083" s="1">
        <v>0.28999999999999998</v>
      </c>
      <c r="G1083" t="s">
        <v>1587</v>
      </c>
      <c r="H1083" t="s">
        <v>1587</v>
      </c>
      <c r="I1083">
        <v>1266</v>
      </c>
      <c r="J1083" t="s">
        <v>1932</v>
      </c>
      <c r="K1083">
        <v>1</v>
      </c>
      <c r="L1083">
        <v>-14.7</v>
      </c>
      <c r="M1083">
        <v>-5.8</v>
      </c>
      <c r="N1083">
        <v>15.7</v>
      </c>
      <c r="O1083" t="s">
        <v>1594</v>
      </c>
      <c r="P1083" t="s">
        <v>1584</v>
      </c>
      <c r="Q1083" t="s">
        <v>1591</v>
      </c>
      <c r="R1083">
        <v>0.03</v>
      </c>
      <c r="S1083">
        <v>0.02</v>
      </c>
      <c r="T1083" t="s">
        <v>1584</v>
      </c>
      <c r="U1083" t="s">
        <v>1592</v>
      </c>
      <c r="V1083" t="str" cm="1">
        <f t="array" aca="1" ref="V1083" ca="1">IFERROR(_xlfn.IFS(A1081="  ..............",OFFSET(A1081,2,0),A1080=" X-------------X",OFFSET(A1080,3,0),MATCH("  ..............",A1083:A1092,0)&gt;2,V1082),"-")</f>
        <v xml:space="preserve">  PALEG2-RS069  </v>
      </c>
      <c r="W1083">
        <f t="shared" ca="1" si="48"/>
        <v>1.012</v>
      </c>
      <c r="X1083" t="str">
        <f t="shared" ca="1" si="49"/>
        <v xml:space="preserve"> GERPALTAP069 </v>
      </c>
      <c r="Y1083" s="1">
        <f t="shared" ca="1" si="50"/>
        <v>0.25</v>
      </c>
    </row>
    <row r="1084" spans="1:25" x14ac:dyDescent="0.25">
      <c r="A1084" t="s">
        <v>1588</v>
      </c>
      <c r="B1084" t="s">
        <v>1587</v>
      </c>
      <c r="C1084">
        <v>52</v>
      </c>
      <c r="D1084">
        <v>76</v>
      </c>
      <c r="E1084">
        <v>76</v>
      </c>
      <c r="F1084" s="1">
        <v>0.25</v>
      </c>
      <c r="G1084" t="s">
        <v>1587</v>
      </c>
      <c r="H1084" t="s">
        <v>1587</v>
      </c>
      <c r="I1084">
        <v>9554</v>
      </c>
      <c r="J1084" t="s">
        <v>2410</v>
      </c>
      <c r="K1084">
        <v>1</v>
      </c>
      <c r="L1084">
        <v>-12.2</v>
      </c>
      <c r="M1084">
        <v>4.9000000000000004</v>
      </c>
      <c r="N1084">
        <v>13</v>
      </c>
      <c r="O1084" t="s">
        <v>1594</v>
      </c>
      <c r="P1084" t="s">
        <v>1584</v>
      </c>
      <c r="Q1084" t="s">
        <v>1591</v>
      </c>
      <c r="R1084">
        <v>0</v>
      </c>
      <c r="S1084">
        <v>0</v>
      </c>
      <c r="T1084" t="s">
        <v>1584</v>
      </c>
      <c r="U1084" t="s">
        <v>1592</v>
      </c>
      <c r="V1084" t="str" cm="1">
        <f t="array" aca="1" ref="V1084" ca="1">IFERROR(_xlfn.IFS(A1082="  ..............",OFFSET(A1082,2,0),A1081=" X-------------X",OFFSET(A1081,3,0),MATCH("  ..............",A1084:A1093,0)&gt;2,V1083),"-")</f>
        <v xml:space="preserve">  PALEG2-RS069  </v>
      </c>
      <c r="W1084">
        <f t="shared" ca="1" si="48"/>
        <v>1.012</v>
      </c>
      <c r="X1084" t="str">
        <f t="shared" ca="1" si="49"/>
        <v xml:space="preserve"> FRPPALTAP069 </v>
      </c>
      <c r="Y1084" s="1">
        <f t="shared" ca="1" si="50"/>
        <v>0.33800000000000002</v>
      </c>
    </row>
    <row r="1085" spans="1:25" x14ac:dyDescent="0.25">
      <c r="A1085" t="s">
        <v>1588</v>
      </c>
      <c r="B1085" t="s">
        <v>1587</v>
      </c>
      <c r="C1085">
        <v>52</v>
      </c>
      <c r="D1085">
        <v>76</v>
      </c>
      <c r="E1085">
        <v>76</v>
      </c>
      <c r="F1085" s="1">
        <v>0.247</v>
      </c>
      <c r="G1085" t="s">
        <v>1587</v>
      </c>
      <c r="H1085" t="s">
        <v>1587</v>
      </c>
      <c r="I1085">
        <v>9556</v>
      </c>
      <c r="J1085" t="s">
        <v>1911</v>
      </c>
      <c r="K1085">
        <v>1</v>
      </c>
      <c r="L1085">
        <v>-12.2</v>
      </c>
      <c r="M1085">
        <v>-4.5999999999999996</v>
      </c>
      <c r="N1085">
        <v>12.9</v>
      </c>
      <c r="O1085" t="s">
        <v>1594</v>
      </c>
      <c r="P1085" t="s">
        <v>1584</v>
      </c>
      <c r="Q1085" t="s">
        <v>1591</v>
      </c>
      <c r="R1085">
        <v>0.01</v>
      </c>
      <c r="S1085">
        <v>0</v>
      </c>
      <c r="T1085" t="s">
        <v>1584</v>
      </c>
      <c r="U1085" t="s">
        <v>1592</v>
      </c>
      <c r="V1085" t="str" cm="1">
        <f t="array" aca="1" ref="V1085" ca="1">IFERROR(_xlfn.IFS(A1083="  ..............",OFFSET(A1083,2,0),A1082=" X-------------X",OFFSET(A1082,3,0),MATCH("  ..............",A1085:A1094,0)&gt;2,V1084),"-")</f>
        <v>-</v>
      </c>
      <c r="W1085" t="str">
        <f t="shared" ca="1" si="48"/>
        <v>-</v>
      </c>
      <c r="X1085" t="str">
        <f t="shared" ca="1" si="49"/>
        <v>-</v>
      </c>
      <c r="Y1085" s="1" t="str">
        <f t="shared" ca="1" si="50"/>
        <v>-</v>
      </c>
    </row>
    <row r="1086" spans="1:25" x14ac:dyDescent="0.25">
      <c r="A1086" t="s">
        <v>1572</v>
      </c>
      <c r="B1086" t="s">
        <v>1574</v>
      </c>
      <c r="C1086" t="s">
        <v>1574</v>
      </c>
      <c r="D1086" t="s">
        <v>1574</v>
      </c>
      <c r="E1086" t="s">
        <v>1574</v>
      </c>
      <c r="F1086" t="s">
        <v>1575</v>
      </c>
      <c r="G1086" t="s">
        <v>1574</v>
      </c>
      <c r="H1086" t="s">
        <v>1574</v>
      </c>
      <c r="I1086" t="s">
        <v>1576</v>
      </c>
      <c r="J1086" t="s">
        <v>1573</v>
      </c>
      <c r="K1086" t="s">
        <v>1577</v>
      </c>
      <c r="L1086" t="s">
        <v>1574</v>
      </c>
      <c r="M1086" t="s">
        <v>1574</v>
      </c>
      <c r="N1086" t="s">
        <v>1574</v>
      </c>
      <c r="O1086" t="s">
        <v>1578</v>
      </c>
      <c r="P1086" t="s">
        <v>1576</v>
      </c>
      <c r="Q1086" t="s">
        <v>1579</v>
      </c>
      <c r="R1086" t="s">
        <v>1580</v>
      </c>
      <c r="S1086" t="s">
        <v>1580</v>
      </c>
      <c r="T1086" t="s">
        <v>1576</v>
      </c>
      <c r="U1086" t="s">
        <v>1576</v>
      </c>
      <c r="V1086" t="str" cm="1">
        <f t="array" aca="1" ref="V1086" ca="1">IFERROR(_xlfn.IFS(A1084="  ..............",OFFSET(A1084,2,0),A1083=" X-------------X",OFFSET(A1083,3,0),MATCH("  ..............",A1086:A1095,0)&gt;2,V1085),"-")</f>
        <v>-</v>
      </c>
      <c r="W1086" t="str">
        <f t="shared" ca="1" si="48"/>
        <v>-</v>
      </c>
      <c r="X1086" t="str">
        <f t="shared" ca="1" si="49"/>
        <v/>
      </c>
      <c r="Y1086" s="1" t="str">
        <f t="shared" ca="1" si="50"/>
        <v/>
      </c>
    </row>
    <row r="1087" spans="1:25" x14ac:dyDescent="0.25">
      <c r="A1087" t="s">
        <v>2411</v>
      </c>
      <c r="B1087">
        <v>1.0129999999999999</v>
      </c>
      <c r="C1087">
        <v>0.7</v>
      </c>
      <c r="D1087">
        <v>0</v>
      </c>
      <c r="E1087">
        <v>16.899999999999999</v>
      </c>
      <c r="F1087">
        <v>0</v>
      </c>
      <c r="G1087">
        <v>0</v>
      </c>
      <c r="H1087">
        <v>0</v>
      </c>
      <c r="I1087" t="s">
        <v>1581</v>
      </c>
      <c r="J1087" t="s">
        <v>1581</v>
      </c>
      <c r="K1087" t="s">
        <v>1581</v>
      </c>
      <c r="L1087" t="s">
        <v>1581</v>
      </c>
      <c r="M1087" t="s">
        <v>1581</v>
      </c>
      <c r="N1087" t="s">
        <v>1581</v>
      </c>
      <c r="O1087" t="s">
        <v>1581</v>
      </c>
      <c r="P1087" t="s">
        <v>1581</v>
      </c>
      <c r="Q1087" t="s">
        <v>1581</v>
      </c>
      <c r="R1087" t="s">
        <v>1581</v>
      </c>
      <c r="S1087" t="s">
        <v>1581</v>
      </c>
      <c r="T1087" t="s">
        <v>1581</v>
      </c>
      <c r="U1087" t="s">
        <v>1581</v>
      </c>
      <c r="V1087" t="str" cm="1">
        <f t="array" aca="1" ref="V1087" ca="1">IFERROR(_xlfn.IFS(A1085="  ..............",OFFSET(A1085,2,0),A1084=" X-------------X",OFFSET(A1084,3,0),MATCH("  ..............",A1087:A1096,0)&gt;2,V1086),"-")</f>
        <v>-</v>
      </c>
      <c r="W1087" t="str">
        <f t="shared" ca="1" si="48"/>
        <v>-</v>
      </c>
      <c r="X1087" t="str">
        <f t="shared" ca="1" si="49"/>
        <v xml:space="preserve">              </v>
      </c>
      <c r="Y1087" s="1">
        <f t="shared" ca="1" si="50"/>
        <v>0</v>
      </c>
    </row>
    <row r="1088" spans="1:25" x14ac:dyDescent="0.25">
      <c r="A1088" t="s">
        <v>2412</v>
      </c>
      <c r="B1088">
        <v>-54.7</v>
      </c>
      <c r="C1088">
        <v>0</v>
      </c>
      <c r="D1088">
        <v>0</v>
      </c>
      <c r="E1088">
        <v>5.5</v>
      </c>
      <c r="F1088">
        <v>0</v>
      </c>
      <c r="G1088">
        <v>0</v>
      </c>
      <c r="H1088">
        <v>0</v>
      </c>
      <c r="I1088" t="s">
        <v>1584</v>
      </c>
      <c r="J1088" t="s">
        <v>1585</v>
      </c>
      <c r="K1088" t="s">
        <v>1586</v>
      </c>
      <c r="L1088" t="s">
        <v>1587</v>
      </c>
      <c r="M1088" t="s">
        <v>1587</v>
      </c>
      <c r="N1088" t="s">
        <v>1586</v>
      </c>
      <c r="O1088" t="s">
        <v>1581</v>
      </c>
      <c r="P1088" t="s">
        <v>1581</v>
      </c>
      <c r="Q1088" t="s">
        <v>1581</v>
      </c>
      <c r="R1088" t="s">
        <v>1581</v>
      </c>
      <c r="S1088" t="s">
        <v>1581</v>
      </c>
      <c r="T1088" t="s">
        <v>1581</v>
      </c>
      <c r="U1088" t="s">
        <v>1581</v>
      </c>
      <c r="V1088" t="str" cm="1">
        <f t="array" aca="1" ref="V1088" ca="1">IFERROR(_xlfn.IFS(A1086="  ..............",OFFSET(A1086,2,0),A1085=" X-------------X",OFFSET(A1085,3,0),MATCH("  ..............",A1088:A1097,0)&gt;2,V1087),"-")</f>
        <v xml:space="preserve">  PALE17-RS069  </v>
      </c>
      <c r="W1088">
        <f t="shared" ca="1" si="48"/>
        <v>1.0129999999999999</v>
      </c>
      <c r="X1088" t="str">
        <f t="shared" ca="1" si="49"/>
        <v xml:space="preserve"> PALGR8-RS069 </v>
      </c>
      <c r="Y1088" s="1">
        <f t="shared" ca="1" si="50"/>
        <v>0.628</v>
      </c>
    </row>
    <row r="1089" spans="1:25" x14ac:dyDescent="0.25">
      <c r="A1089" t="s">
        <v>1588</v>
      </c>
      <c r="B1089" t="s">
        <v>1587</v>
      </c>
      <c r="C1089">
        <v>99</v>
      </c>
      <c r="D1089">
        <v>120</v>
      </c>
      <c r="E1089">
        <v>100</v>
      </c>
      <c r="F1089" s="1">
        <v>0.17100000000000001</v>
      </c>
      <c r="G1089" t="s">
        <v>1587</v>
      </c>
      <c r="H1089" t="s">
        <v>1587</v>
      </c>
      <c r="I1089">
        <v>1271</v>
      </c>
      <c r="J1089" t="s">
        <v>2383</v>
      </c>
      <c r="K1089">
        <v>1</v>
      </c>
      <c r="L1089">
        <v>-16.2</v>
      </c>
      <c r="M1089">
        <v>-5.5</v>
      </c>
      <c r="N1089">
        <v>16.899999999999999</v>
      </c>
      <c r="O1089" t="s">
        <v>1594</v>
      </c>
      <c r="P1089" t="s">
        <v>1584</v>
      </c>
      <c r="Q1089" t="s">
        <v>1591</v>
      </c>
      <c r="R1089">
        <v>0.02</v>
      </c>
      <c r="S1089">
        <v>0.04</v>
      </c>
      <c r="T1089" t="s">
        <v>1584</v>
      </c>
      <c r="U1089" t="s">
        <v>1592</v>
      </c>
      <c r="V1089" t="str" cm="1">
        <f t="array" aca="1" ref="V1089" ca="1">IFERROR(_xlfn.IFS(A1087="  ..............",OFFSET(A1087,2,0),A1086=" X-------------X",OFFSET(A1086,3,0),MATCH("  ..............",A1089:A1098,0)&gt;2,V1088),"-")</f>
        <v>-</v>
      </c>
      <c r="W1089" t="str">
        <f t="shared" ca="1" si="48"/>
        <v>-</v>
      </c>
      <c r="X1089" t="str">
        <f t="shared" ca="1" si="49"/>
        <v>-</v>
      </c>
      <c r="Y1089" s="1" t="str">
        <f t="shared" ca="1" si="50"/>
        <v>-</v>
      </c>
    </row>
    <row r="1090" spans="1:25" x14ac:dyDescent="0.25">
      <c r="A1090" t="s">
        <v>1572</v>
      </c>
      <c r="B1090" t="s">
        <v>1574</v>
      </c>
      <c r="C1090" t="s">
        <v>1574</v>
      </c>
      <c r="D1090" t="s">
        <v>1574</v>
      </c>
      <c r="E1090" t="s">
        <v>1574</v>
      </c>
      <c r="F1090" t="s">
        <v>1575</v>
      </c>
      <c r="G1090" t="s">
        <v>1574</v>
      </c>
      <c r="H1090" t="s">
        <v>1574</v>
      </c>
      <c r="I1090" t="s">
        <v>1576</v>
      </c>
      <c r="J1090" t="s">
        <v>1573</v>
      </c>
      <c r="K1090" t="s">
        <v>1577</v>
      </c>
      <c r="L1090" t="s">
        <v>1574</v>
      </c>
      <c r="M1090" t="s">
        <v>1574</v>
      </c>
      <c r="N1090" t="s">
        <v>1574</v>
      </c>
      <c r="O1090" t="s">
        <v>1578</v>
      </c>
      <c r="P1090" t="s">
        <v>1576</v>
      </c>
      <c r="Q1090" t="s">
        <v>1579</v>
      </c>
      <c r="R1090" t="s">
        <v>1580</v>
      </c>
      <c r="S1090" t="s">
        <v>1580</v>
      </c>
      <c r="T1090" t="s">
        <v>1576</v>
      </c>
      <c r="U1090" t="s">
        <v>1576</v>
      </c>
      <c r="V1090" t="str" cm="1">
        <f t="array" aca="1" ref="V1090" ca="1">IFERROR(_xlfn.IFS(A1088="  ..............",OFFSET(A1088,2,0),A1087=" X-------------X",OFFSET(A1087,3,0),MATCH("  ..............",A1090:A1099,0)&gt;2,V1089),"-")</f>
        <v>-</v>
      </c>
      <c r="W1090" t="str">
        <f t="shared" ca="1" si="48"/>
        <v>-</v>
      </c>
      <c r="X1090" t="str">
        <f t="shared" ca="1" si="49"/>
        <v/>
      </c>
      <c r="Y1090" s="1" t="str">
        <f t="shared" ca="1" si="50"/>
        <v/>
      </c>
    </row>
    <row r="1091" spans="1:25" x14ac:dyDescent="0.25">
      <c r="A1091" t="s">
        <v>2413</v>
      </c>
      <c r="B1091">
        <v>1.02</v>
      </c>
      <c r="C1091">
        <v>1</v>
      </c>
      <c r="D1091">
        <v>0</v>
      </c>
      <c r="E1091">
        <v>47.7</v>
      </c>
      <c r="F1091">
        <v>0</v>
      </c>
      <c r="G1091">
        <v>22.5</v>
      </c>
      <c r="H1091">
        <v>0</v>
      </c>
      <c r="I1091" t="s">
        <v>1581</v>
      </c>
      <c r="J1091" t="s">
        <v>1581</v>
      </c>
      <c r="K1091" t="s">
        <v>1581</v>
      </c>
      <c r="L1091" t="s">
        <v>1581</v>
      </c>
      <c r="M1091" t="s">
        <v>1581</v>
      </c>
      <c r="N1091" t="s">
        <v>1581</v>
      </c>
      <c r="O1091" t="s">
        <v>1581</v>
      </c>
      <c r="P1091" t="s">
        <v>1581</v>
      </c>
      <c r="Q1091" t="s">
        <v>1581</v>
      </c>
      <c r="R1091" t="s">
        <v>1581</v>
      </c>
      <c r="S1091" t="s">
        <v>1581</v>
      </c>
      <c r="T1091" t="s">
        <v>1581</v>
      </c>
      <c r="U1091" t="s">
        <v>1581</v>
      </c>
      <c r="V1091" t="str" cm="1">
        <f t="array" aca="1" ref="V1091" ca="1">IFERROR(_xlfn.IFS(A1089="  ..............",OFFSET(A1089,2,0),A1088=" X-------------X",OFFSET(A1088,3,0),MATCH("  ..............",A1091:A1100,0)&gt;2,V1090),"-")</f>
        <v>-</v>
      </c>
      <c r="W1091" t="str">
        <f t="shared" ca="1" si="48"/>
        <v>-</v>
      </c>
      <c r="X1091" t="str">
        <f t="shared" ca="1" si="49"/>
        <v xml:space="preserve">              </v>
      </c>
      <c r="Y1091" s="1">
        <f t="shared" ca="1" si="50"/>
        <v>0</v>
      </c>
    </row>
    <row r="1092" spans="1:25" x14ac:dyDescent="0.25">
      <c r="A1092" t="s">
        <v>2414</v>
      </c>
      <c r="B1092">
        <v>-55.6</v>
      </c>
      <c r="C1092">
        <v>0</v>
      </c>
      <c r="D1092">
        <v>0</v>
      </c>
      <c r="E1092">
        <v>13.4</v>
      </c>
      <c r="F1092">
        <v>0</v>
      </c>
      <c r="G1092">
        <v>0</v>
      </c>
      <c r="H1092">
        <v>0</v>
      </c>
      <c r="I1092" t="s">
        <v>1584</v>
      </c>
      <c r="J1092" t="s">
        <v>1585</v>
      </c>
      <c r="K1092" t="s">
        <v>1586</v>
      </c>
      <c r="L1092" t="s">
        <v>1587</v>
      </c>
      <c r="M1092" t="s">
        <v>1587</v>
      </c>
      <c r="N1092" t="s">
        <v>1586</v>
      </c>
      <c r="O1092" t="s">
        <v>1581</v>
      </c>
      <c r="P1092" t="s">
        <v>1581</v>
      </c>
      <c r="Q1092" t="s">
        <v>1581</v>
      </c>
      <c r="R1092" t="s">
        <v>1581</v>
      </c>
      <c r="S1092" t="s">
        <v>1581</v>
      </c>
      <c r="T1092" t="s">
        <v>1581</v>
      </c>
      <c r="U1092" t="s">
        <v>1581</v>
      </c>
      <c r="V1092" t="str" cm="1">
        <f t="array" aca="1" ref="V1092" ca="1">IFERROR(_xlfn.IFS(A1090="  ..............",OFFSET(A1090,2,0),A1089=" X-------------X",OFFSET(A1089,3,0),MATCH("  ..............",A1092:A1101,0)&gt;2,V1091),"-")</f>
        <v xml:space="preserve">  PALEG7-RS069  </v>
      </c>
      <c r="W1092">
        <f t="shared" ref="W1092:W1155" ca="1" si="51">IFERROR(OFFSET($A$1,MATCH(V1092,A:A,0)-2,1),"-")</f>
        <v>1.02</v>
      </c>
      <c r="X1092" t="str">
        <f t="shared" ref="X1092:X1155" ca="1" si="52">IFERROR(IF(V1092=V1091,OFFSET($J$1,ROW(X1092),0),OFFSET($J$1,MATCH(V1092,A:A,0),0)),"-")</f>
        <v xml:space="preserve"> PALGR9-RS069 </v>
      </c>
      <c r="Y1092" s="1">
        <f t="shared" ref="Y1092:Y1155" ca="1" si="53">IFERROR(OFFSET($F$1,MATCH(X1092,J:J,0)-1,0),"-")</f>
        <v>0</v>
      </c>
    </row>
    <row r="1093" spans="1:25" x14ac:dyDescent="0.25">
      <c r="A1093" t="s">
        <v>1588</v>
      </c>
      <c r="B1093" t="s">
        <v>1587</v>
      </c>
      <c r="C1093">
        <v>90</v>
      </c>
      <c r="D1093">
        <v>90</v>
      </c>
      <c r="E1093">
        <v>90</v>
      </c>
      <c r="F1093" s="1">
        <v>0.25900000000000001</v>
      </c>
      <c r="G1093" t="s">
        <v>1587</v>
      </c>
      <c r="H1093" t="s">
        <v>1587</v>
      </c>
      <c r="I1093">
        <v>1266</v>
      </c>
      <c r="J1093" t="s">
        <v>1932</v>
      </c>
      <c r="K1093">
        <v>1</v>
      </c>
      <c r="L1093">
        <v>-23.4</v>
      </c>
      <c r="M1093">
        <v>4.5</v>
      </c>
      <c r="N1093">
        <v>23.3</v>
      </c>
      <c r="O1093" t="s">
        <v>1594</v>
      </c>
      <c r="P1093" t="s">
        <v>1584</v>
      </c>
      <c r="Q1093" t="s">
        <v>1591</v>
      </c>
      <c r="R1093">
        <v>0.06</v>
      </c>
      <c r="S1093">
        <v>-6.68</v>
      </c>
      <c r="T1093" t="s">
        <v>1584</v>
      </c>
      <c r="U1093" t="s">
        <v>1592</v>
      </c>
      <c r="V1093" t="str" cm="1">
        <f t="array" aca="1" ref="V1093" ca="1">IFERROR(_xlfn.IFS(A1091="  ..............",OFFSET(A1091,2,0),A1090=" X-------------X",OFFSET(A1090,3,0),MATCH("  ..............",A1093:A1102,0)&gt;2,V1092),"-")</f>
        <v xml:space="preserve">  PALEG7-RS069  </v>
      </c>
      <c r="W1093">
        <f t="shared" ca="1" si="51"/>
        <v>1.02</v>
      </c>
      <c r="X1093" t="str">
        <f t="shared" ca="1" si="52"/>
        <v xml:space="preserve"> PALGR9-RS069 </v>
      </c>
      <c r="Y1093" s="1">
        <f t="shared" ca="1" si="53"/>
        <v>0</v>
      </c>
    </row>
    <row r="1094" spans="1:25" x14ac:dyDescent="0.25">
      <c r="A1094" t="s">
        <v>1588</v>
      </c>
      <c r="B1094" t="s">
        <v>1587</v>
      </c>
      <c r="C1094">
        <v>90</v>
      </c>
      <c r="D1094">
        <v>90</v>
      </c>
      <c r="E1094">
        <v>90</v>
      </c>
      <c r="F1094" s="1">
        <v>0.25900000000000001</v>
      </c>
      <c r="G1094" t="s">
        <v>1587</v>
      </c>
      <c r="H1094" t="s">
        <v>1587</v>
      </c>
      <c r="I1094">
        <v>1266</v>
      </c>
      <c r="J1094" t="s">
        <v>1932</v>
      </c>
      <c r="K1094">
        <v>2</v>
      </c>
      <c r="L1094">
        <v>-23.4</v>
      </c>
      <c r="M1094">
        <v>4.5</v>
      </c>
      <c r="N1094">
        <v>23.3</v>
      </c>
      <c r="O1094" t="s">
        <v>1594</v>
      </c>
      <c r="P1094" t="s">
        <v>1584</v>
      </c>
      <c r="Q1094" t="s">
        <v>1591</v>
      </c>
      <c r="R1094">
        <v>0.06</v>
      </c>
      <c r="S1094">
        <v>-6.68</v>
      </c>
      <c r="T1094" t="s">
        <v>1584</v>
      </c>
      <c r="U1094" t="s">
        <v>1592</v>
      </c>
      <c r="V1094" t="str" cm="1">
        <f t="array" aca="1" ref="V1094" ca="1">IFERROR(_xlfn.IFS(A1092="  ..............",OFFSET(A1092,2,0),A1091=" X-------------X",OFFSET(A1091,3,0),MATCH("  ..............",A1094:A1103,0)&gt;2,V1093),"-")</f>
        <v>-</v>
      </c>
      <c r="W1094" t="str">
        <f t="shared" ca="1" si="51"/>
        <v>-</v>
      </c>
      <c r="X1094" t="str">
        <f t="shared" ca="1" si="52"/>
        <v>-</v>
      </c>
      <c r="Y1094" s="1" t="str">
        <f t="shared" ca="1" si="53"/>
        <v>-</v>
      </c>
    </row>
    <row r="1095" spans="1:25" x14ac:dyDescent="0.25">
      <c r="A1095" t="s">
        <v>1572</v>
      </c>
      <c r="B1095" t="s">
        <v>1574</v>
      </c>
      <c r="C1095" t="s">
        <v>1574</v>
      </c>
      <c r="D1095" t="s">
        <v>1574</v>
      </c>
      <c r="E1095" t="s">
        <v>1574</v>
      </c>
      <c r="F1095" t="s">
        <v>1575</v>
      </c>
      <c r="G1095" t="s">
        <v>1574</v>
      </c>
      <c r="H1095" t="s">
        <v>1574</v>
      </c>
      <c r="I1095" t="s">
        <v>1576</v>
      </c>
      <c r="J1095" t="s">
        <v>1573</v>
      </c>
      <c r="K1095" t="s">
        <v>1577</v>
      </c>
      <c r="L1095" t="s">
        <v>1574</v>
      </c>
      <c r="M1095" t="s">
        <v>1574</v>
      </c>
      <c r="N1095" t="s">
        <v>1574</v>
      </c>
      <c r="O1095" t="s">
        <v>1578</v>
      </c>
      <c r="P1095" t="s">
        <v>1576</v>
      </c>
      <c r="Q1095" t="s">
        <v>1579</v>
      </c>
      <c r="R1095" t="s">
        <v>1580</v>
      </c>
      <c r="S1095" t="s">
        <v>1580</v>
      </c>
      <c r="T1095" t="s">
        <v>1576</v>
      </c>
      <c r="U1095" t="s">
        <v>1576</v>
      </c>
      <c r="V1095" t="str" cm="1">
        <f t="array" aca="1" ref="V1095" ca="1">IFERROR(_xlfn.IFS(A1093="  ..............",OFFSET(A1093,2,0),A1092=" X-------------X",OFFSET(A1092,3,0),MATCH("  ..............",A1095:A1104,0)&gt;2,V1094),"-")</f>
        <v>-</v>
      </c>
      <c r="W1095" t="str">
        <f t="shared" ca="1" si="51"/>
        <v>-</v>
      </c>
      <c r="X1095" t="str">
        <f t="shared" ca="1" si="52"/>
        <v/>
      </c>
      <c r="Y1095" s="1" t="str">
        <f t="shared" ca="1" si="53"/>
        <v/>
      </c>
    </row>
    <row r="1096" spans="1:25" x14ac:dyDescent="0.25">
      <c r="A1096" t="s">
        <v>2415</v>
      </c>
      <c r="B1096">
        <v>1.0509999999999999</v>
      </c>
      <c r="C1096">
        <v>1.1000000000000001</v>
      </c>
      <c r="D1096">
        <v>0</v>
      </c>
      <c r="E1096">
        <v>13.9</v>
      </c>
      <c r="F1096">
        <v>0</v>
      </c>
      <c r="G1096">
        <v>4</v>
      </c>
      <c r="H1096">
        <v>0</v>
      </c>
      <c r="I1096" t="s">
        <v>1581</v>
      </c>
      <c r="J1096" t="s">
        <v>1581</v>
      </c>
      <c r="K1096" t="s">
        <v>1581</v>
      </c>
      <c r="L1096" t="s">
        <v>1581</v>
      </c>
      <c r="M1096" t="s">
        <v>1581</v>
      </c>
      <c r="N1096" t="s">
        <v>1581</v>
      </c>
      <c r="O1096" t="s">
        <v>1581</v>
      </c>
      <c r="P1096" t="s">
        <v>1581</v>
      </c>
      <c r="Q1096" t="s">
        <v>1581</v>
      </c>
      <c r="R1096" t="s">
        <v>1581</v>
      </c>
      <c r="S1096" t="s">
        <v>1581</v>
      </c>
      <c r="T1096" t="s">
        <v>1581</v>
      </c>
      <c r="U1096" t="s">
        <v>1581</v>
      </c>
      <c r="V1096" t="str" cm="1">
        <f t="array" aca="1" ref="V1096" ca="1">IFERROR(_xlfn.IFS(A1094="  ..............",OFFSET(A1094,2,0),A1093=" X-------------X",OFFSET(A1093,3,0),MATCH("  ..............",A1096:A1105,0)&gt;2,V1095),"-")</f>
        <v>-</v>
      </c>
      <c r="W1096" t="str">
        <f t="shared" ca="1" si="51"/>
        <v>-</v>
      </c>
      <c r="X1096" t="str">
        <f t="shared" ca="1" si="52"/>
        <v xml:space="preserve">              </v>
      </c>
      <c r="Y1096" s="1">
        <f t="shared" ca="1" si="53"/>
        <v>0</v>
      </c>
    </row>
    <row r="1097" spans="1:25" x14ac:dyDescent="0.25">
      <c r="A1097" t="s">
        <v>2416</v>
      </c>
      <c r="B1097">
        <v>-53.4</v>
      </c>
      <c r="C1097">
        <v>0</v>
      </c>
      <c r="D1097">
        <v>0</v>
      </c>
      <c r="E1097">
        <v>4.7</v>
      </c>
      <c r="F1097">
        <v>0</v>
      </c>
      <c r="G1097">
        <v>0</v>
      </c>
      <c r="H1097">
        <v>0</v>
      </c>
      <c r="I1097" t="s">
        <v>1584</v>
      </c>
      <c r="J1097" t="s">
        <v>1585</v>
      </c>
      <c r="K1097" t="s">
        <v>1586</v>
      </c>
      <c r="L1097" t="s">
        <v>1587</v>
      </c>
      <c r="M1097" t="s">
        <v>1587</v>
      </c>
      <c r="N1097" t="s">
        <v>1586</v>
      </c>
      <c r="O1097" t="s">
        <v>1581</v>
      </c>
      <c r="P1097" t="s">
        <v>1581</v>
      </c>
      <c r="Q1097" t="s">
        <v>1581</v>
      </c>
      <c r="R1097" t="s">
        <v>1581</v>
      </c>
      <c r="S1097" t="s">
        <v>1581</v>
      </c>
      <c r="T1097" t="s">
        <v>1581</v>
      </c>
      <c r="U1097" t="s">
        <v>1581</v>
      </c>
      <c r="V1097" t="str" cm="1">
        <f t="array" aca="1" ref="V1097" ca="1">IFERROR(_xlfn.IFS(A1095="  ..............",OFFSET(A1095,2,0),A1094=" X-------------X",OFFSET(A1094,3,0),MATCH("  ..............",A1097:A1106,0)&gt;2,V1096),"-")</f>
        <v xml:space="preserve">  ELDORA-RS023  </v>
      </c>
      <c r="W1097">
        <f t="shared" ca="1" si="51"/>
        <v>1.0509999999999999</v>
      </c>
      <c r="X1097" t="str">
        <f t="shared" ca="1" si="52"/>
        <v xml:space="preserve"> ELDO-1-RS000 </v>
      </c>
      <c r="Y1097" s="1">
        <f t="shared" ca="1" si="53"/>
        <v>0.16300000000000001</v>
      </c>
    </row>
    <row r="1098" spans="1:25" x14ac:dyDescent="0.25">
      <c r="A1098" t="s">
        <v>1588</v>
      </c>
      <c r="B1098" t="s">
        <v>1587</v>
      </c>
      <c r="C1098">
        <v>75</v>
      </c>
      <c r="D1098">
        <v>90</v>
      </c>
      <c r="E1098">
        <v>90</v>
      </c>
      <c r="F1098" s="1">
        <v>0.16300000000000001</v>
      </c>
      <c r="G1098" t="s">
        <v>1587</v>
      </c>
      <c r="H1098" t="s">
        <v>1587</v>
      </c>
      <c r="I1098">
        <v>41257</v>
      </c>
      <c r="J1098" t="s">
        <v>2417</v>
      </c>
      <c r="K1098">
        <v>1</v>
      </c>
      <c r="L1098">
        <v>-12.8</v>
      </c>
      <c r="M1098">
        <v>-0.7</v>
      </c>
      <c r="N1098">
        <v>12.2</v>
      </c>
      <c r="O1098" t="s">
        <v>1608</v>
      </c>
      <c r="P1098" t="s">
        <v>1584</v>
      </c>
      <c r="Q1098">
        <v>2</v>
      </c>
      <c r="R1098">
        <v>0</v>
      </c>
      <c r="S1098">
        <v>-0.01</v>
      </c>
      <c r="T1098" t="s">
        <v>1584</v>
      </c>
      <c r="U1098" t="s">
        <v>1592</v>
      </c>
      <c r="V1098" t="str" cm="1">
        <f t="array" aca="1" ref="V1098" ca="1">IFERROR(_xlfn.IFS(A1096="  ..............",OFFSET(A1096,2,0),A1095=" X-------------X",OFFSET(A1095,3,0),MATCH("  ..............",A1098:A1107,0)&gt;2,V1097),"-")</f>
        <v>-</v>
      </c>
      <c r="W1098" t="str">
        <f t="shared" ca="1" si="51"/>
        <v>-</v>
      </c>
      <c r="X1098" t="str">
        <f t="shared" ca="1" si="52"/>
        <v>-</v>
      </c>
      <c r="Y1098" s="1" t="str">
        <f t="shared" ca="1" si="53"/>
        <v>-</v>
      </c>
    </row>
    <row r="1099" spans="1:25" x14ac:dyDescent="0.25">
      <c r="A1099" t="s">
        <v>1572</v>
      </c>
      <c r="B1099" t="s">
        <v>1574</v>
      </c>
      <c r="C1099" t="s">
        <v>1574</v>
      </c>
      <c r="D1099" t="s">
        <v>1574</v>
      </c>
      <c r="E1099" t="s">
        <v>1574</v>
      </c>
      <c r="F1099" t="s">
        <v>1575</v>
      </c>
      <c r="G1099" t="s">
        <v>1574</v>
      </c>
      <c r="H1099" t="s">
        <v>1574</v>
      </c>
      <c r="I1099" t="s">
        <v>1576</v>
      </c>
      <c r="J1099" t="s">
        <v>1573</v>
      </c>
      <c r="K1099" t="s">
        <v>1577</v>
      </c>
      <c r="L1099" t="s">
        <v>1574</v>
      </c>
      <c r="M1099" t="s">
        <v>1574</v>
      </c>
      <c r="N1099" t="s">
        <v>1574</v>
      </c>
      <c r="O1099" t="s">
        <v>1578</v>
      </c>
      <c r="P1099" t="s">
        <v>1576</v>
      </c>
      <c r="Q1099" t="s">
        <v>1579</v>
      </c>
      <c r="R1099" t="s">
        <v>1580</v>
      </c>
      <c r="S1099" t="s">
        <v>1580</v>
      </c>
      <c r="T1099" t="s">
        <v>1576</v>
      </c>
      <c r="U1099" t="s">
        <v>1576</v>
      </c>
      <c r="V1099" t="str" cm="1">
        <f t="array" aca="1" ref="V1099" ca="1">IFERROR(_xlfn.IFS(A1097="  ..............",OFFSET(A1097,2,0),A1096=" X-------------X",OFFSET(A1096,3,0),MATCH("  ..............",A1099:A1108,0)&gt;2,V1098),"-")</f>
        <v>-</v>
      </c>
      <c r="W1099" t="str">
        <f t="shared" ca="1" si="51"/>
        <v>-</v>
      </c>
      <c r="X1099" t="str">
        <f t="shared" ca="1" si="52"/>
        <v/>
      </c>
      <c r="Y1099" s="1" t="str">
        <f t="shared" ca="1" si="53"/>
        <v/>
      </c>
    </row>
    <row r="1100" spans="1:25" x14ac:dyDescent="0.25">
      <c r="A1100" t="s">
        <v>2418</v>
      </c>
      <c r="B1100">
        <v>1.0109999999999999</v>
      </c>
      <c r="C1100">
        <v>3.4</v>
      </c>
      <c r="D1100">
        <v>0</v>
      </c>
      <c r="E1100">
        <v>22.8</v>
      </c>
      <c r="F1100">
        <v>0</v>
      </c>
      <c r="G1100">
        <v>0</v>
      </c>
      <c r="H1100">
        <v>0</v>
      </c>
      <c r="I1100" t="s">
        <v>1581</v>
      </c>
      <c r="J1100" t="s">
        <v>1581</v>
      </c>
      <c r="K1100" t="s">
        <v>1581</v>
      </c>
      <c r="L1100" t="s">
        <v>1581</v>
      </c>
      <c r="M1100" t="s">
        <v>1581</v>
      </c>
      <c r="N1100" t="s">
        <v>1581</v>
      </c>
      <c r="O1100" t="s">
        <v>1581</v>
      </c>
      <c r="P1100" t="s">
        <v>1581</v>
      </c>
      <c r="Q1100" t="s">
        <v>1581</v>
      </c>
      <c r="R1100" t="s">
        <v>1581</v>
      </c>
      <c r="S1100" t="s">
        <v>1581</v>
      </c>
      <c r="T1100" t="s">
        <v>1581</v>
      </c>
      <c r="U1100" t="s">
        <v>1581</v>
      </c>
      <c r="V1100" t="str" cm="1">
        <f t="array" aca="1" ref="V1100" ca="1">IFERROR(_xlfn.IFS(A1098="  ..............",OFFSET(A1098,2,0),A1097=" X-------------X",OFFSET(A1097,3,0),MATCH("  ..............",A1100:A1109,0)&gt;2,V1099),"-")</f>
        <v>-</v>
      </c>
      <c r="W1100" t="str">
        <f t="shared" ca="1" si="51"/>
        <v>-</v>
      </c>
      <c r="X1100" t="str">
        <f t="shared" ca="1" si="52"/>
        <v xml:space="preserve">              </v>
      </c>
      <c r="Y1100" s="1">
        <f t="shared" ca="1" si="53"/>
        <v>0</v>
      </c>
    </row>
    <row r="1101" spans="1:25" x14ac:dyDescent="0.25">
      <c r="A1101" t="s">
        <v>2419</v>
      </c>
      <c r="B1101">
        <v>-53.5</v>
      </c>
      <c r="C1101">
        <v>0</v>
      </c>
      <c r="D1101">
        <v>0</v>
      </c>
      <c r="E1101">
        <v>9.6999999999999993</v>
      </c>
      <c r="F1101">
        <v>0</v>
      </c>
      <c r="G1101">
        <v>0</v>
      </c>
      <c r="H1101">
        <v>0</v>
      </c>
      <c r="I1101" t="s">
        <v>1584</v>
      </c>
      <c r="J1101" t="s">
        <v>1585</v>
      </c>
      <c r="K1101" t="s">
        <v>1586</v>
      </c>
      <c r="L1101" t="s">
        <v>1587</v>
      </c>
      <c r="M1101" t="s">
        <v>1587</v>
      </c>
      <c r="N1101" t="s">
        <v>1586</v>
      </c>
      <c r="O1101" t="s">
        <v>1581</v>
      </c>
      <c r="P1101" t="s">
        <v>1581</v>
      </c>
      <c r="Q1101" t="s">
        <v>1581</v>
      </c>
      <c r="R1101" t="s">
        <v>1581</v>
      </c>
      <c r="S1101" t="s">
        <v>1581</v>
      </c>
      <c r="T1101" t="s">
        <v>1581</v>
      </c>
      <c r="U1101" t="s">
        <v>1581</v>
      </c>
      <c r="V1101" t="str" cm="1">
        <f t="array" aca="1" ref="V1101" ca="1">IFERROR(_xlfn.IFS(A1099="  ..............",OFFSET(A1099,2,0),A1098=" X-------------X",OFFSET(A1098,3,0),MATCH("  ..............",A1101:A1110,0)&gt;2,V1100),"-")</f>
        <v xml:space="preserve">  PMEDIC-RS069  </v>
      </c>
      <c r="W1101">
        <f t="shared" ca="1" si="51"/>
        <v>1.0109999999999999</v>
      </c>
      <c r="X1101" t="str">
        <f t="shared" ca="1" si="52"/>
        <v xml:space="preserve"> PMEDIC-RS138 </v>
      </c>
      <c r="Y1101" s="1">
        <f t="shared" ca="1" si="53"/>
        <v>0.51100000000000001</v>
      </c>
    </row>
    <row r="1102" spans="1:25" x14ac:dyDescent="0.25">
      <c r="A1102" t="s">
        <v>1588</v>
      </c>
      <c r="B1102" t="s">
        <v>1587</v>
      </c>
      <c r="C1102">
        <v>42</v>
      </c>
      <c r="D1102">
        <v>42</v>
      </c>
      <c r="E1102">
        <v>42</v>
      </c>
      <c r="F1102" s="1">
        <v>0.51100000000000001</v>
      </c>
      <c r="G1102" t="s">
        <v>1587</v>
      </c>
      <c r="H1102" t="s">
        <v>1587</v>
      </c>
      <c r="I1102">
        <v>1238</v>
      </c>
      <c r="J1102" t="s">
        <v>2420</v>
      </c>
      <c r="K1102">
        <v>9</v>
      </c>
      <c r="L1102">
        <v>-19.399999999999999</v>
      </c>
      <c r="M1102">
        <v>-9.6999999999999993</v>
      </c>
      <c r="N1102">
        <v>21.5</v>
      </c>
      <c r="O1102" t="s">
        <v>1594</v>
      </c>
      <c r="P1102" t="s">
        <v>1584</v>
      </c>
      <c r="Q1102">
        <v>4</v>
      </c>
      <c r="R1102">
        <v>0.08</v>
      </c>
      <c r="S1102">
        <v>1.56</v>
      </c>
      <c r="T1102" t="s">
        <v>1584</v>
      </c>
      <c r="U1102" t="s">
        <v>1592</v>
      </c>
      <c r="V1102" t="str" cm="1">
        <f t="array" aca="1" ref="V1102" ca="1">IFERROR(_xlfn.IFS(A1100="  ..............",OFFSET(A1100,2,0),A1099=" X-------------X",OFFSET(A1099,3,0),MATCH("  ..............",A1102:A1111,0)&gt;2,V1101),"-")</f>
        <v>-</v>
      </c>
      <c r="W1102" t="str">
        <f t="shared" ca="1" si="51"/>
        <v>-</v>
      </c>
      <c r="X1102" t="str">
        <f t="shared" ca="1" si="52"/>
        <v>-</v>
      </c>
      <c r="Y1102" s="1" t="str">
        <f t="shared" ca="1" si="53"/>
        <v>-</v>
      </c>
    </row>
    <row r="1103" spans="1:25" x14ac:dyDescent="0.25">
      <c r="A1103" t="s">
        <v>1572</v>
      </c>
      <c r="B1103" t="s">
        <v>1574</v>
      </c>
      <c r="C1103" t="s">
        <v>1574</v>
      </c>
      <c r="D1103" t="s">
        <v>1574</v>
      </c>
      <c r="E1103" t="s">
        <v>1574</v>
      </c>
      <c r="F1103" t="s">
        <v>1575</v>
      </c>
      <c r="G1103" t="s">
        <v>1574</v>
      </c>
      <c r="H1103" t="s">
        <v>1574</v>
      </c>
      <c r="I1103" t="s">
        <v>1576</v>
      </c>
      <c r="J1103" t="s">
        <v>1573</v>
      </c>
      <c r="K1103" t="s">
        <v>1577</v>
      </c>
      <c r="L1103" t="s">
        <v>1574</v>
      </c>
      <c r="M1103" t="s">
        <v>1574</v>
      </c>
      <c r="N1103" t="s">
        <v>1574</v>
      </c>
      <c r="O1103" t="s">
        <v>1578</v>
      </c>
      <c r="P1103" t="s">
        <v>1576</v>
      </c>
      <c r="Q1103" t="s">
        <v>1579</v>
      </c>
      <c r="R1103" t="s">
        <v>1580</v>
      </c>
      <c r="S1103" t="s">
        <v>1580</v>
      </c>
      <c r="T1103" t="s">
        <v>1576</v>
      </c>
      <c r="U1103" t="s">
        <v>1576</v>
      </c>
      <c r="V1103" t="str" cm="1">
        <f t="array" aca="1" ref="V1103" ca="1">IFERROR(_xlfn.IFS(A1101="  ..............",OFFSET(A1101,2,0),A1100=" X-------------X",OFFSET(A1100,3,0),MATCH("  ..............",A1103:A1112,0)&gt;2,V1102),"-")</f>
        <v>-</v>
      </c>
      <c r="W1103" t="str">
        <f t="shared" ca="1" si="51"/>
        <v>-</v>
      </c>
      <c r="X1103" t="str">
        <f t="shared" ca="1" si="52"/>
        <v/>
      </c>
      <c r="Y1103" s="1" t="str">
        <f t="shared" ca="1" si="53"/>
        <v/>
      </c>
    </row>
    <row r="1104" spans="1:25" x14ac:dyDescent="0.25">
      <c r="A1104" t="s">
        <v>2421</v>
      </c>
      <c r="B1104">
        <v>1.0509999999999999</v>
      </c>
      <c r="C1104">
        <v>0</v>
      </c>
      <c r="D1104">
        <v>0</v>
      </c>
      <c r="E1104">
        <v>14.9</v>
      </c>
      <c r="F1104">
        <v>0</v>
      </c>
      <c r="G1104">
        <v>0</v>
      </c>
      <c r="H1104">
        <v>0</v>
      </c>
      <c r="I1104" t="s">
        <v>1581</v>
      </c>
      <c r="J1104" t="s">
        <v>1581</v>
      </c>
      <c r="K1104" t="s">
        <v>1581</v>
      </c>
      <c r="L1104" t="s">
        <v>1581</v>
      </c>
      <c r="M1104" t="s">
        <v>1581</v>
      </c>
      <c r="N1104" t="s">
        <v>1581</v>
      </c>
      <c r="O1104" t="s">
        <v>1581</v>
      </c>
      <c r="P1104" t="s">
        <v>1581</v>
      </c>
      <c r="Q1104" t="s">
        <v>1581</v>
      </c>
      <c r="R1104" t="s">
        <v>1581</v>
      </c>
      <c r="S1104" t="s">
        <v>1581</v>
      </c>
      <c r="T1104" t="s">
        <v>1581</v>
      </c>
      <c r="U1104" t="s">
        <v>1581</v>
      </c>
      <c r="V1104" t="str" cm="1">
        <f t="array" aca="1" ref="V1104" ca="1">IFERROR(_xlfn.IFS(A1102="  ..............",OFFSET(A1102,2,0),A1101=" X-------------X",OFFSET(A1101,3,0),MATCH("  ..............",A1104:A1113,0)&gt;2,V1103),"-")</f>
        <v>-</v>
      </c>
      <c r="W1104" t="str">
        <f t="shared" ca="1" si="51"/>
        <v>-</v>
      </c>
      <c r="X1104" t="str">
        <f t="shared" ca="1" si="52"/>
        <v xml:space="preserve">              </v>
      </c>
      <c r="Y1104" s="1">
        <f t="shared" ca="1" si="53"/>
        <v>0</v>
      </c>
    </row>
    <row r="1105" spans="1:25" x14ac:dyDescent="0.25">
      <c r="A1105" t="s">
        <v>2422</v>
      </c>
      <c r="B1105">
        <v>-54.5</v>
      </c>
      <c r="C1105">
        <v>0</v>
      </c>
      <c r="D1105">
        <v>0</v>
      </c>
      <c r="E1105">
        <v>3.9</v>
      </c>
      <c r="F1105">
        <v>0</v>
      </c>
      <c r="G1105">
        <v>0</v>
      </c>
      <c r="H1105">
        <v>0</v>
      </c>
      <c r="I1105" t="s">
        <v>1584</v>
      </c>
      <c r="J1105" t="s">
        <v>1585</v>
      </c>
      <c r="K1105" t="s">
        <v>1586</v>
      </c>
      <c r="L1105" t="s">
        <v>1587</v>
      </c>
      <c r="M1105" t="s">
        <v>1587</v>
      </c>
      <c r="N1105" t="s">
        <v>1586</v>
      </c>
      <c r="O1105" t="s">
        <v>1581</v>
      </c>
      <c r="P1105" t="s">
        <v>1581</v>
      </c>
      <c r="Q1105" t="s">
        <v>1581</v>
      </c>
      <c r="R1105" t="s">
        <v>1581</v>
      </c>
      <c r="S1105" t="s">
        <v>1581</v>
      </c>
      <c r="T1105" t="s">
        <v>1581</v>
      </c>
      <c r="U1105" t="s">
        <v>1581</v>
      </c>
      <c r="V1105" t="str" cm="1">
        <f t="array" aca="1" ref="V1105" ca="1">IFERROR(_xlfn.IFS(A1103="  ..............",OFFSET(A1103,2,0),A1102=" X-------------X",OFFSET(A1102,3,0),MATCH("  ..............",A1105:A1114,0)&gt;2,V1104),"-")</f>
        <v xml:space="preserve">  PALE4A-RS013  </v>
      </c>
      <c r="W1105">
        <f t="shared" ca="1" si="51"/>
        <v>1.0509999999999999</v>
      </c>
      <c r="X1105" t="str">
        <f t="shared" ca="1" si="52"/>
        <v xml:space="preserve"> PAL4-A-RS000 </v>
      </c>
      <c r="Y1105" s="1">
        <f t="shared" ca="1" si="53"/>
        <v>0.19500000000000001</v>
      </c>
    </row>
    <row r="1106" spans="1:25" x14ac:dyDescent="0.25">
      <c r="A1106" t="s">
        <v>1588</v>
      </c>
      <c r="B1106" t="s">
        <v>1587</v>
      </c>
      <c r="C1106">
        <v>75</v>
      </c>
      <c r="D1106">
        <v>90</v>
      </c>
      <c r="E1106">
        <v>90</v>
      </c>
      <c r="F1106" s="1">
        <v>0.19500000000000001</v>
      </c>
      <c r="G1106" t="s">
        <v>1587</v>
      </c>
      <c r="H1106" t="s">
        <v>1587</v>
      </c>
      <c r="I1106">
        <v>41315</v>
      </c>
      <c r="J1106" t="s">
        <v>2423</v>
      </c>
      <c r="K1106">
        <v>1</v>
      </c>
      <c r="L1106">
        <v>-14.9</v>
      </c>
      <c r="M1106">
        <v>-3.9</v>
      </c>
      <c r="N1106">
        <v>14.7</v>
      </c>
      <c r="O1106" t="s">
        <v>1608</v>
      </c>
      <c r="P1106" t="s">
        <v>1584</v>
      </c>
      <c r="Q1106">
        <v>2</v>
      </c>
      <c r="R1106">
        <v>0</v>
      </c>
      <c r="S1106">
        <v>-0.01</v>
      </c>
      <c r="T1106" t="s">
        <v>1584</v>
      </c>
      <c r="U1106" t="s">
        <v>1592</v>
      </c>
      <c r="V1106" t="str" cm="1">
        <f t="array" aca="1" ref="V1106" ca="1">IFERROR(_xlfn.IFS(A1104="  ..............",OFFSET(A1104,2,0),A1103=" X-------------X",OFFSET(A1103,3,0),MATCH("  ..............",A1106:A1115,0)&gt;2,V1105),"-")</f>
        <v>-</v>
      </c>
      <c r="W1106" t="str">
        <f t="shared" ca="1" si="51"/>
        <v>-</v>
      </c>
      <c r="X1106" t="str">
        <f t="shared" ca="1" si="52"/>
        <v>-</v>
      </c>
      <c r="Y1106" s="1" t="str">
        <f t="shared" ca="1" si="53"/>
        <v>-</v>
      </c>
    </row>
    <row r="1107" spans="1:25" x14ac:dyDescent="0.25">
      <c r="A1107" t="s">
        <v>1572</v>
      </c>
      <c r="B1107" t="s">
        <v>1574</v>
      </c>
      <c r="C1107" t="s">
        <v>1574</v>
      </c>
      <c r="D1107" t="s">
        <v>1574</v>
      </c>
      <c r="E1107" t="s">
        <v>1574</v>
      </c>
      <c r="F1107" t="s">
        <v>1575</v>
      </c>
      <c r="G1107" t="s">
        <v>1574</v>
      </c>
      <c r="H1107" t="s">
        <v>1574</v>
      </c>
      <c r="I1107" t="s">
        <v>1576</v>
      </c>
      <c r="J1107" t="s">
        <v>1573</v>
      </c>
      <c r="K1107" t="s">
        <v>1577</v>
      </c>
      <c r="L1107" t="s">
        <v>1574</v>
      </c>
      <c r="M1107" t="s">
        <v>1574</v>
      </c>
      <c r="N1107" t="s">
        <v>1574</v>
      </c>
      <c r="O1107" t="s">
        <v>1578</v>
      </c>
      <c r="P1107" t="s">
        <v>1576</v>
      </c>
      <c r="Q1107" t="s">
        <v>1579</v>
      </c>
      <c r="R1107" t="s">
        <v>1580</v>
      </c>
      <c r="S1107" t="s">
        <v>1580</v>
      </c>
      <c r="T1107" t="s">
        <v>1576</v>
      </c>
      <c r="U1107" t="s">
        <v>1576</v>
      </c>
      <c r="V1107" t="str" cm="1">
        <f t="array" aca="1" ref="V1107" ca="1">IFERROR(_xlfn.IFS(A1105="  ..............",OFFSET(A1105,2,0),A1104=" X-------------X",OFFSET(A1104,3,0),MATCH("  ..............",A1107:A1116,0)&gt;2,V1106),"-")</f>
        <v>-</v>
      </c>
      <c r="W1107" t="str">
        <f t="shared" ca="1" si="51"/>
        <v>-</v>
      </c>
      <c r="X1107" t="str">
        <f t="shared" ca="1" si="52"/>
        <v/>
      </c>
      <c r="Y1107" s="1" t="str">
        <f t="shared" ca="1" si="53"/>
        <v/>
      </c>
    </row>
    <row r="1108" spans="1:25" x14ac:dyDescent="0.25">
      <c r="A1108" t="s">
        <v>2424</v>
      </c>
      <c r="B1108">
        <v>1.0580000000000001</v>
      </c>
      <c r="C1108">
        <v>0.8</v>
      </c>
      <c r="D1108">
        <v>0</v>
      </c>
      <c r="E1108">
        <v>13.1</v>
      </c>
      <c r="F1108">
        <v>0</v>
      </c>
      <c r="G1108">
        <v>8.1</v>
      </c>
      <c r="H1108">
        <v>0</v>
      </c>
      <c r="I1108" t="s">
        <v>1581</v>
      </c>
      <c r="J1108" t="s">
        <v>1581</v>
      </c>
      <c r="K1108" t="s">
        <v>1581</v>
      </c>
      <c r="L1108" t="s">
        <v>1581</v>
      </c>
      <c r="M1108" t="s">
        <v>1581</v>
      </c>
      <c r="N1108" t="s">
        <v>1581</v>
      </c>
      <c r="O1108" t="s">
        <v>1581</v>
      </c>
      <c r="P1108" t="s">
        <v>1581</v>
      </c>
      <c r="Q1108" t="s">
        <v>1581</v>
      </c>
      <c r="R1108" t="s">
        <v>1581</v>
      </c>
      <c r="S1108" t="s">
        <v>1581</v>
      </c>
      <c r="T1108" t="s">
        <v>1581</v>
      </c>
      <c r="U1108" t="s">
        <v>1581</v>
      </c>
      <c r="V1108" t="str" cm="1">
        <f t="array" aca="1" ref="V1108" ca="1">IFERROR(_xlfn.IFS(A1106="  ..............",OFFSET(A1106,2,0),A1105=" X-------------X",OFFSET(A1105,3,0),MATCH("  ..............",A1108:A1117,0)&gt;2,V1107),"-")</f>
        <v>-</v>
      </c>
      <c r="W1108" t="str">
        <f t="shared" ca="1" si="51"/>
        <v>-</v>
      </c>
      <c r="X1108" t="str">
        <f t="shared" ca="1" si="52"/>
        <v xml:space="preserve">              </v>
      </c>
      <c r="Y1108" s="1">
        <f t="shared" ca="1" si="53"/>
        <v>0</v>
      </c>
    </row>
    <row r="1109" spans="1:25" x14ac:dyDescent="0.25">
      <c r="A1109" t="s">
        <v>2425</v>
      </c>
      <c r="B1109">
        <v>-54</v>
      </c>
      <c r="C1109">
        <v>0</v>
      </c>
      <c r="D1109">
        <v>0</v>
      </c>
      <c r="E1109">
        <v>3.7</v>
      </c>
      <c r="F1109">
        <v>0</v>
      </c>
      <c r="G1109">
        <v>0</v>
      </c>
      <c r="H1109">
        <v>0</v>
      </c>
      <c r="I1109" t="s">
        <v>1584</v>
      </c>
      <c r="J1109" t="s">
        <v>1585</v>
      </c>
      <c r="K1109" t="s">
        <v>1586</v>
      </c>
      <c r="L1109" t="s">
        <v>1587</v>
      </c>
      <c r="M1109" t="s">
        <v>1587</v>
      </c>
      <c r="N1109" t="s">
        <v>1586</v>
      </c>
      <c r="O1109" t="s">
        <v>1581</v>
      </c>
      <c r="P1109" t="s">
        <v>1581</v>
      </c>
      <c r="Q1109" t="s">
        <v>1581</v>
      </c>
      <c r="R1109" t="s">
        <v>1581</v>
      </c>
      <c r="S1109" t="s">
        <v>1581</v>
      </c>
      <c r="T1109" t="s">
        <v>1581</v>
      </c>
      <c r="U1109" t="s">
        <v>1581</v>
      </c>
      <c r="V1109" t="str" cm="1">
        <f t="array" aca="1" ref="V1109" ca="1">IFERROR(_xlfn.IFS(A1107="  ..............",OFFSET(A1107,2,0),A1106=" X-------------X",OFFSET(A1106,3,0),MATCH("  ..............",A1109:A1118,0)&gt;2,V1108),"-")</f>
        <v xml:space="preserve">  PALEG6-RS013  </v>
      </c>
      <c r="W1109">
        <f t="shared" ca="1" si="51"/>
        <v>1.0580000000000001</v>
      </c>
      <c r="X1109" t="str">
        <f t="shared" ca="1" si="52"/>
        <v xml:space="preserve"> PAL6-6-RS000 </v>
      </c>
      <c r="Y1109" s="1">
        <f t="shared" ca="1" si="53"/>
        <v>0.16400000000000001</v>
      </c>
    </row>
    <row r="1110" spans="1:25" x14ac:dyDescent="0.25">
      <c r="A1110" t="s">
        <v>1588</v>
      </c>
      <c r="B1110" t="s">
        <v>1587</v>
      </c>
      <c r="C1110">
        <v>75</v>
      </c>
      <c r="D1110">
        <v>90</v>
      </c>
      <c r="E1110">
        <v>90</v>
      </c>
      <c r="F1110" s="1">
        <v>0.16400000000000001</v>
      </c>
      <c r="G1110" t="s">
        <v>1587</v>
      </c>
      <c r="H1110" t="s">
        <v>1587</v>
      </c>
      <c r="I1110">
        <v>41318</v>
      </c>
      <c r="J1110" t="s">
        <v>2426</v>
      </c>
      <c r="K1110">
        <v>6</v>
      </c>
      <c r="L1110">
        <v>-12.3</v>
      </c>
      <c r="M1110">
        <v>4.4000000000000004</v>
      </c>
      <c r="N1110">
        <v>12.3</v>
      </c>
      <c r="O1110" t="s">
        <v>1608</v>
      </c>
      <c r="P1110" t="s">
        <v>1584</v>
      </c>
      <c r="Q1110">
        <v>2</v>
      </c>
      <c r="R1110">
        <v>0</v>
      </c>
      <c r="S1110">
        <v>-0.01</v>
      </c>
      <c r="T1110" t="s">
        <v>1584</v>
      </c>
      <c r="U1110" t="s">
        <v>1592</v>
      </c>
      <c r="V1110" t="str" cm="1">
        <f t="array" aca="1" ref="V1110" ca="1">IFERROR(_xlfn.IFS(A1108="  ..............",OFFSET(A1108,2,0),A1107=" X-------------X",OFFSET(A1107,3,0),MATCH("  ..............",A1110:A1119,0)&gt;2,V1109),"-")</f>
        <v>-</v>
      </c>
      <c r="W1110" t="str">
        <f t="shared" ca="1" si="51"/>
        <v>-</v>
      </c>
      <c r="X1110" t="str">
        <f t="shared" ca="1" si="52"/>
        <v>-</v>
      </c>
      <c r="Y1110" s="1" t="str">
        <f t="shared" ca="1" si="53"/>
        <v>-</v>
      </c>
    </row>
    <row r="1111" spans="1:25" x14ac:dyDescent="0.25">
      <c r="A1111" t="s">
        <v>1572</v>
      </c>
      <c r="B1111" t="s">
        <v>1574</v>
      </c>
      <c r="C1111" t="s">
        <v>1574</v>
      </c>
      <c r="D1111" t="s">
        <v>1574</v>
      </c>
      <c r="E1111" t="s">
        <v>1574</v>
      </c>
      <c r="F1111" t="s">
        <v>1575</v>
      </c>
      <c r="G1111" t="s">
        <v>1574</v>
      </c>
      <c r="H1111" t="s">
        <v>1574</v>
      </c>
      <c r="I1111" t="s">
        <v>1576</v>
      </c>
      <c r="J1111" t="s">
        <v>1573</v>
      </c>
      <c r="K1111" t="s">
        <v>1577</v>
      </c>
      <c r="L1111" t="s">
        <v>1574</v>
      </c>
      <c r="M1111" t="s">
        <v>1574</v>
      </c>
      <c r="N1111" t="s">
        <v>1574</v>
      </c>
      <c r="O1111" t="s">
        <v>1578</v>
      </c>
      <c r="P1111" t="s">
        <v>1576</v>
      </c>
      <c r="Q1111" t="s">
        <v>1579</v>
      </c>
      <c r="R1111" t="s">
        <v>1580</v>
      </c>
      <c r="S1111" t="s">
        <v>1580</v>
      </c>
      <c r="T1111" t="s">
        <v>1576</v>
      </c>
      <c r="U1111" t="s">
        <v>1576</v>
      </c>
      <c r="V1111" t="str" cm="1">
        <f t="array" aca="1" ref="V1111" ca="1">IFERROR(_xlfn.IFS(A1109="  ..............",OFFSET(A1109,2,0),A1108=" X-------------X",OFFSET(A1108,3,0),MATCH("  ..............",A1111:A1120,0)&gt;2,V1110),"-")</f>
        <v>-</v>
      </c>
      <c r="W1111" t="str">
        <f t="shared" ca="1" si="51"/>
        <v>-</v>
      </c>
      <c r="X1111" t="str">
        <f t="shared" ca="1" si="52"/>
        <v/>
      </c>
      <c r="Y1111" s="1" t="str">
        <f t="shared" ca="1" si="53"/>
        <v/>
      </c>
    </row>
    <row r="1112" spans="1:25" x14ac:dyDescent="0.25">
      <c r="A1112" t="s">
        <v>2427</v>
      </c>
      <c r="B1112">
        <v>1.04</v>
      </c>
      <c r="C1112">
        <v>0.1</v>
      </c>
      <c r="D1112">
        <v>0</v>
      </c>
      <c r="E1112">
        <v>10.3</v>
      </c>
      <c r="F1112">
        <v>0</v>
      </c>
      <c r="G1112">
        <v>3.9</v>
      </c>
      <c r="H1112">
        <v>0</v>
      </c>
      <c r="I1112" t="s">
        <v>1581</v>
      </c>
      <c r="J1112" t="s">
        <v>1581</v>
      </c>
      <c r="K1112" t="s">
        <v>1581</v>
      </c>
      <c r="L1112" t="s">
        <v>1581</v>
      </c>
      <c r="M1112" t="s">
        <v>1581</v>
      </c>
      <c r="N1112" t="s">
        <v>1581</v>
      </c>
      <c r="O1112" t="s">
        <v>1581</v>
      </c>
      <c r="P1112" t="s">
        <v>1581</v>
      </c>
      <c r="Q1112" t="s">
        <v>1581</v>
      </c>
      <c r="R1112" t="s">
        <v>1581</v>
      </c>
      <c r="S1112" t="s">
        <v>1581</v>
      </c>
      <c r="T1112" t="s">
        <v>1581</v>
      </c>
      <c r="U1112" t="s">
        <v>1581</v>
      </c>
      <c r="V1112" t="str" cm="1">
        <f t="array" aca="1" ref="V1112" ca="1">IFERROR(_xlfn.IFS(A1110="  ..............",OFFSET(A1110,2,0),A1109=" X-------------X",OFFSET(A1109,3,0),MATCH("  ..............",A1112:A1121,0)&gt;2,V1111),"-")</f>
        <v>-</v>
      </c>
      <c r="W1112" t="str">
        <f t="shared" ca="1" si="51"/>
        <v>-</v>
      </c>
      <c r="X1112" t="str">
        <f t="shared" ca="1" si="52"/>
        <v xml:space="preserve">              </v>
      </c>
      <c r="Y1112" s="1">
        <f t="shared" ca="1" si="53"/>
        <v>0</v>
      </c>
    </row>
    <row r="1113" spans="1:25" x14ac:dyDescent="0.25">
      <c r="A1113" t="s">
        <v>2428</v>
      </c>
      <c r="B1113">
        <v>-53.2</v>
      </c>
      <c r="C1113">
        <v>0</v>
      </c>
      <c r="D1113">
        <v>0</v>
      </c>
      <c r="E1113">
        <v>2.9</v>
      </c>
      <c r="F1113">
        <v>0</v>
      </c>
      <c r="G1113">
        <v>0</v>
      </c>
      <c r="H1113">
        <v>0</v>
      </c>
      <c r="I1113" t="s">
        <v>1584</v>
      </c>
      <c r="J1113" t="s">
        <v>1585</v>
      </c>
      <c r="K1113" t="s">
        <v>1586</v>
      </c>
      <c r="L1113" t="s">
        <v>1587</v>
      </c>
      <c r="M1113" t="s">
        <v>1587</v>
      </c>
      <c r="N1113" t="s">
        <v>1586</v>
      </c>
      <c r="O1113" t="s">
        <v>1581</v>
      </c>
      <c r="P1113" t="s">
        <v>1581</v>
      </c>
      <c r="Q1113" t="s">
        <v>1581</v>
      </c>
      <c r="R1113" t="s">
        <v>1581</v>
      </c>
      <c r="S1113" t="s">
        <v>1581</v>
      </c>
      <c r="T1113" t="s">
        <v>1581</v>
      </c>
      <c r="U1113" t="s">
        <v>1581</v>
      </c>
      <c r="V1113" t="str" cm="1">
        <f t="array" aca="1" ref="V1113" ca="1">IFERROR(_xlfn.IFS(A1111="  ..............",OFFSET(A1111,2,0),A1110=" X-------------X",OFFSET(A1110,3,0),MATCH("  ..............",A1113:A1122,0)&gt;2,V1112),"-")</f>
        <v xml:space="preserve">  PALE10-RS013  </v>
      </c>
      <c r="W1113">
        <f t="shared" ca="1" si="51"/>
        <v>1.04</v>
      </c>
      <c r="X1113" t="str">
        <f t="shared" ca="1" si="52"/>
        <v xml:space="preserve"> PA10-3-RS000 </v>
      </c>
      <c r="Y1113" s="1">
        <f t="shared" ca="1" si="53"/>
        <v>0.19700000000000001</v>
      </c>
    </row>
    <row r="1114" spans="1:25" x14ac:dyDescent="0.25">
      <c r="A1114" t="s">
        <v>1588</v>
      </c>
      <c r="B1114" t="s">
        <v>1587</v>
      </c>
      <c r="C1114">
        <v>50</v>
      </c>
      <c r="D1114">
        <v>75</v>
      </c>
      <c r="E1114">
        <v>75</v>
      </c>
      <c r="F1114" s="1">
        <v>0.19700000000000001</v>
      </c>
      <c r="G1114" t="s">
        <v>1587</v>
      </c>
      <c r="H1114" t="s">
        <v>1587</v>
      </c>
      <c r="I1114">
        <v>41309</v>
      </c>
      <c r="J1114" t="s">
        <v>2429</v>
      </c>
      <c r="K1114">
        <v>3</v>
      </c>
      <c r="L1114">
        <v>-10.199999999999999</v>
      </c>
      <c r="M1114">
        <v>1</v>
      </c>
      <c r="N1114">
        <v>9.9</v>
      </c>
      <c r="O1114" t="s">
        <v>1608</v>
      </c>
      <c r="P1114" t="s">
        <v>1584</v>
      </c>
      <c r="Q1114">
        <v>2</v>
      </c>
      <c r="R1114">
        <v>0</v>
      </c>
      <c r="S1114">
        <v>-0.02</v>
      </c>
      <c r="T1114" t="s">
        <v>1584</v>
      </c>
      <c r="U1114" t="s">
        <v>1592</v>
      </c>
      <c r="V1114" t="str" cm="1">
        <f t="array" aca="1" ref="V1114" ca="1">IFERROR(_xlfn.IFS(A1112="  ..............",OFFSET(A1112,2,0),A1111=" X-------------X",OFFSET(A1111,3,0),MATCH("  ..............",A1114:A1123,0)&gt;2,V1113),"-")</f>
        <v>-</v>
      </c>
      <c r="W1114" t="str">
        <f t="shared" ca="1" si="51"/>
        <v>-</v>
      </c>
      <c r="X1114" t="str">
        <f t="shared" ca="1" si="52"/>
        <v>-</v>
      </c>
      <c r="Y1114" s="1" t="str">
        <f t="shared" ca="1" si="53"/>
        <v>-</v>
      </c>
    </row>
    <row r="1115" spans="1:25" x14ac:dyDescent="0.25">
      <c r="A1115" t="s">
        <v>1572</v>
      </c>
      <c r="B1115" t="s">
        <v>1574</v>
      </c>
      <c r="C1115" t="s">
        <v>1574</v>
      </c>
      <c r="D1115" t="s">
        <v>1574</v>
      </c>
      <c r="E1115" t="s">
        <v>1574</v>
      </c>
      <c r="F1115" t="s">
        <v>1575</v>
      </c>
      <c r="G1115" t="s">
        <v>1574</v>
      </c>
      <c r="H1115" t="s">
        <v>1574</v>
      </c>
      <c r="I1115" t="s">
        <v>1576</v>
      </c>
      <c r="J1115" t="s">
        <v>1573</v>
      </c>
      <c r="K1115" t="s">
        <v>1577</v>
      </c>
      <c r="L1115" t="s">
        <v>1574</v>
      </c>
      <c r="M1115" t="s">
        <v>1574</v>
      </c>
      <c r="N1115" t="s">
        <v>1574</v>
      </c>
      <c r="O1115" t="s">
        <v>1578</v>
      </c>
      <c r="P1115" t="s">
        <v>1576</v>
      </c>
      <c r="Q1115" t="s">
        <v>1579</v>
      </c>
      <c r="R1115" t="s">
        <v>1580</v>
      </c>
      <c r="S1115" t="s">
        <v>1580</v>
      </c>
      <c r="T1115" t="s">
        <v>1576</v>
      </c>
      <c r="U1115" t="s">
        <v>1576</v>
      </c>
      <c r="V1115" t="str" cm="1">
        <f t="array" aca="1" ref="V1115" ca="1">IFERROR(_xlfn.IFS(A1113="  ..............",OFFSET(A1113,2,0),A1112=" X-------------X",OFFSET(A1112,3,0),MATCH("  ..............",A1115:A1124,0)&gt;2,V1114),"-")</f>
        <v>-</v>
      </c>
      <c r="W1115" t="str">
        <f t="shared" ca="1" si="51"/>
        <v>-</v>
      </c>
      <c r="X1115" t="str">
        <f t="shared" ca="1" si="52"/>
        <v/>
      </c>
      <c r="Y1115" s="1" t="str">
        <f t="shared" ca="1" si="53"/>
        <v/>
      </c>
    </row>
    <row r="1116" spans="1:25" x14ac:dyDescent="0.25">
      <c r="A1116" t="s">
        <v>2430</v>
      </c>
      <c r="B1116">
        <v>1.016</v>
      </c>
      <c r="C1116">
        <v>3.1</v>
      </c>
      <c r="D1116">
        <v>0</v>
      </c>
      <c r="E1116">
        <v>66</v>
      </c>
      <c r="F1116">
        <v>0</v>
      </c>
      <c r="G1116">
        <v>14.9</v>
      </c>
      <c r="H1116">
        <v>0</v>
      </c>
      <c r="I1116" t="s">
        <v>1581</v>
      </c>
      <c r="J1116" t="s">
        <v>1581</v>
      </c>
      <c r="K1116" t="s">
        <v>1581</v>
      </c>
      <c r="L1116" t="s">
        <v>1581</v>
      </c>
      <c r="M1116" t="s">
        <v>1581</v>
      </c>
      <c r="N1116" t="s">
        <v>1581</v>
      </c>
      <c r="O1116" t="s">
        <v>1581</v>
      </c>
      <c r="P1116" t="s">
        <v>1581</v>
      </c>
      <c r="Q1116" t="s">
        <v>1581</v>
      </c>
      <c r="R1116" t="s">
        <v>1581</v>
      </c>
      <c r="S1116" t="s">
        <v>1581</v>
      </c>
      <c r="T1116" t="s">
        <v>1581</v>
      </c>
      <c r="U1116" t="s">
        <v>1581</v>
      </c>
      <c r="V1116" t="str" cm="1">
        <f t="array" aca="1" ref="V1116" ca="1">IFERROR(_xlfn.IFS(A1114="  ..............",OFFSET(A1114,2,0),A1113=" X-------------X",OFFSET(A1113,3,0),MATCH("  ..............",A1116:A1125,0)&gt;2,V1115),"-")</f>
        <v>-</v>
      </c>
      <c r="W1116" t="str">
        <f t="shared" ca="1" si="51"/>
        <v>-</v>
      </c>
      <c r="X1116" t="str">
        <f t="shared" ca="1" si="52"/>
        <v xml:space="preserve">              </v>
      </c>
      <c r="Y1116" s="1">
        <f t="shared" ca="1" si="53"/>
        <v>0</v>
      </c>
    </row>
    <row r="1117" spans="1:25" x14ac:dyDescent="0.25">
      <c r="A1117" t="s">
        <v>2431</v>
      </c>
      <c r="B1117">
        <v>-54.9</v>
      </c>
      <c r="C1117">
        <v>0</v>
      </c>
      <c r="D1117">
        <v>0</v>
      </c>
      <c r="E1117">
        <v>19.600000000000001</v>
      </c>
      <c r="F1117">
        <v>0</v>
      </c>
      <c r="G1117">
        <v>0</v>
      </c>
      <c r="H1117">
        <v>0</v>
      </c>
      <c r="I1117" t="s">
        <v>1584</v>
      </c>
      <c r="J1117" t="s">
        <v>1585</v>
      </c>
      <c r="K1117" t="s">
        <v>1586</v>
      </c>
      <c r="L1117" t="s">
        <v>1587</v>
      </c>
      <c r="M1117" t="s">
        <v>1587</v>
      </c>
      <c r="N1117" t="s">
        <v>1586</v>
      </c>
      <c r="O1117" t="s">
        <v>1581</v>
      </c>
      <c r="P1117" t="s">
        <v>1581</v>
      </c>
      <c r="Q1117" t="s">
        <v>1581</v>
      </c>
      <c r="R1117" t="s">
        <v>1581</v>
      </c>
      <c r="S1117" t="s">
        <v>1581</v>
      </c>
      <c r="T1117" t="s">
        <v>1581</v>
      </c>
      <c r="U1117" t="s">
        <v>1581</v>
      </c>
      <c r="V1117" t="str" cm="1">
        <f t="array" aca="1" ref="V1117" ca="1">IFERROR(_xlfn.IFS(A1115="  ..............",OFFSET(A1115,2,0),A1114=" X-------------X",OFFSET(A1114,3,0),MATCH("  ..............",A1117:A1126,0)&gt;2,V1116),"-")</f>
        <v xml:space="preserve">  PAL12--RS069  </v>
      </c>
      <c r="W1117">
        <f t="shared" ca="1" si="51"/>
        <v>1.016</v>
      </c>
      <c r="X1117" t="str">
        <f t="shared" ca="1" si="52"/>
        <v xml:space="preserve"> JBOTAN-RS069 </v>
      </c>
      <c r="Y1117" s="1">
        <f t="shared" ca="1" si="53"/>
        <v>0.73899999999999999</v>
      </c>
    </row>
    <row r="1118" spans="1:25" x14ac:dyDescent="0.25">
      <c r="A1118" t="s">
        <v>1588</v>
      </c>
      <c r="B1118" t="s">
        <v>1587</v>
      </c>
      <c r="C1118">
        <v>84</v>
      </c>
      <c r="D1118">
        <v>101</v>
      </c>
      <c r="E1118">
        <v>101</v>
      </c>
      <c r="F1118" s="1">
        <v>0.73899999999999999</v>
      </c>
      <c r="G1118" t="s">
        <v>1587</v>
      </c>
      <c r="H1118" t="s">
        <v>1587</v>
      </c>
      <c r="I1118">
        <v>10007</v>
      </c>
      <c r="J1118" t="s">
        <v>2432</v>
      </c>
      <c r="K1118">
        <v>1</v>
      </c>
      <c r="L1118">
        <v>-62.9</v>
      </c>
      <c r="M1118">
        <v>-4.7</v>
      </c>
      <c r="N1118">
        <v>62.1</v>
      </c>
      <c r="O1118" t="s">
        <v>1594</v>
      </c>
      <c r="P1118" t="s">
        <v>1584</v>
      </c>
      <c r="Q1118" t="s">
        <v>1591</v>
      </c>
      <c r="R1118">
        <v>0</v>
      </c>
      <c r="S1118">
        <v>0.01</v>
      </c>
      <c r="T1118" t="s">
        <v>1584</v>
      </c>
      <c r="U1118" t="s">
        <v>1592</v>
      </c>
      <c r="V1118" t="str" cm="1">
        <f t="array" aca="1" ref="V1118" ca="1">IFERROR(_xlfn.IFS(A1116="  ..............",OFFSET(A1116,2,0),A1115=" X-------------X",OFFSET(A1115,3,0),MATCH("  ..............",A1118:A1127,0)&gt;2,V1117),"-")</f>
        <v>-</v>
      </c>
      <c r="W1118" t="str">
        <f t="shared" ca="1" si="51"/>
        <v>-</v>
      </c>
      <c r="X1118" t="str">
        <f t="shared" ca="1" si="52"/>
        <v>-</v>
      </c>
      <c r="Y1118" s="1" t="str">
        <f t="shared" ca="1" si="53"/>
        <v>-</v>
      </c>
    </row>
    <row r="1119" spans="1:25" x14ac:dyDescent="0.25">
      <c r="A1119" t="s">
        <v>1572</v>
      </c>
      <c r="B1119" t="s">
        <v>1574</v>
      </c>
      <c r="C1119" t="s">
        <v>1574</v>
      </c>
      <c r="D1119" t="s">
        <v>1574</v>
      </c>
      <c r="E1119" t="s">
        <v>1574</v>
      </c>
      <c r="F1119" t="s">
        <v>1575</v>
      </c>
      <c r="G1119" t="s">
        <v>1574</v>
      </c>
      <c r="H1119" t="s">
        <v>1574</v>
      </c>
      <c r="I1119" t="s">
        <v>1576</v>
      </c>
      <c r="J1119" t="s">
        <v>1573</v>
      </c>
      <c r="K1119" t="s">
        <v>1577</v>
      </c>
      <c r="L1119" t="s">
        <v>1574</v>
      </c>
      <c r="M1119" t="s">
        <v>1574</v>
      </c>
      <c r="N1119" t="s">
        <v>1574</v>
      </c>
      <c r="O1119" t="s">
        <v>1578</v>
      </c>
      <c r="P1119" t="s">
        <v>1576</v>
      </c>
      <c r="Q1119" t="s">
        <v>1579</v>
      </c>
      <c r="R1119" t="s">
        <v>1580</v>
      </c>
      <c r="S1119" t="s">
        <v>1580</v>
      </c>
      <c r="T1119" t="s">
        <v>1576</v>
      </c>
      <c r="U1119" t="s">
        <v>1576</v>
      </c>
      <c r="V1119" t="str" cm="1">
        <f t="array" aca="1" ref="V1119" ca="1">IFERROR(_xlfn.IFS(A1117="  ..............",OFFSET(A1117,2,0),A1116=" X-------------X",OFFSET(A1116,3,0),MATCH("  ..............",A1119:A1128,0)&gt;2,V1118),"-")</f>
        <v>-</v>
      </c>
      <c r="W1119" t="str">
        <f t="shared" ca="1" si="51"/>
        <v>-</v>
      </c>
      <c r="X1119" t="str">
        <f t="shared" ca="1" si="52"/>
        <v/>
      </c>
      <c r="Y1119" s="1" t="str">
        <f t="shared" ca="1" si="53"/>
        <v/>
      </c>
    </row>
    <row r="1120" spans="1:25" x14ac:dyDescent="0.25">
      <c r="A1120" t="s">
        <v>2433</v>
      </c>
      <c r="B1120">
        <v>1.016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 t="s">
        <v>1581</v>
      </c>
      <c r="J1120" t="s">
        <v>1581</v>
      </c>
      <c r="K1120" t="s">
        <v>1581</v>
      </c>
      <c r="L1120" t="s">
        <v>1581</v>
      </c>
      <c r="M1120" t="s">
        <v>1581</v>
      </c>
      <c r="N1120" t="s">
        <v>1581</v>
      </c>
      <c r="O1120" t="s">
        <v>1581</v>
      </c>
      <c r="P1120" t="s">
        <v>1581</v>
      </c>
      <c r="Q1120" t="s">
        <v>1581</v>
      </c>
      <c r="R1120" t="s">
        <v>1581</v>
      </c>
      <c r="S1120" t="s">
        <v>1581</v>
      </c>
      <c r="T1120" t="s">
        <v>1581</v>
      </c>
      <c r="U1120" t="s">
        <v>1581</v>
      </c>
      <c r="V1120" t="str" cm="1">
        <f t="array" aca="1" ref="V1120" ca="1">IFERROR(_xlfn.IFS(A1118="  ..............",OFFSET(A1118,2,0),A1117=" X-------------X",OFFSET(A1117,3,0),MATCH("  ..............",A1120:A1129,0)&gt;2,V1119),"-")</f>
        <v>-</v>
      </c>
      <c r="W1120" t="str">
        <f t="shared" ca="1" si="51"/>
        <v>-</v>
      </c>
      <c r="X1120" t="str">
        <f t="shared" ca="1" si="52"/>
        <v xml:space="preserve">              </v>
      </c>
      <c r="Y1120" s="1">
        <f t="shared" ca="1" si="53"/>
        <v>0</v>
      </c>
    </row>
    <row r="1121" spans="1:25" x14ac:dyDescent="0.25">
      <c r="A1121" t="s">
        <v>2434</v>
      </c>
      <c r="B1121">
        <v>-54.9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 t="s">
        <v>1584</v>
      </c>
      <c r="J1121" t="s">
        <v>1585</v>
      </c>
      <c r="K1121" t="s">
        <v>1586</v>
      </c>
      <c r="L1121" t="s">
        <v>1587</v>
      </c>
      <c r="M1121" t="s">
        <v>1587</v>
      </c>
      <c r="N1121" t="s">
        <v>1586</v>
      </c>
      <c r="O1121" t="s">
        <v>1581</v>
      </c>
      <c r="P1121" t="s">
        <v>1581</v>
      </c>
      <c r="Q1121" t="s">
        <v>1581</v>
      </c>
      <c r="R1121" t="s">
        <v>1581</v>
      </c>
      <c r="S1121" t="s">
        <v>1581</v>
      </c>
      <c r="T1121" t="s">
        <v>1581</v>
      </c>
      <c r="U1121" t="s">
        <v>1581</v>
      </c>
      <c r="V1121" t="str" cm="1">
        <f t="array" aca="1" ref="V1121" ca="1">IFERROR(_xlfn.IFS(A1119="  ..............",OFFSET(A1119,2,0),A1118=" X-------------X",OFFSET(A1118,3,0),MATCH("  ..............",A1121:A1130,0)&gt;2,V1120),"-")</f>
        <v xml:space="preserve">  P12-2Y-RS069  </v>
      </c>
      <c r="W1121">
        <f t="shared" ca="1" si="51"/>
        <v>1.016</v>
      </c>
      <c r="X1121" t="str">
        <f t="shared" ca="1" si="52"/>
        <v xml:space="preserve"> PALG10-RS069 </v>
      </c>
      <c r="Y1121" s="1">
        <f t="shared" ca="1" si="53"/>
        <v>0.20399999999999999</v>
      </c>
    </row>
    <row r="1122" spans="1:25" x14ac:dyDescent="0.25">
      <c r="A1122" t="s">
        <v>1588</v>
      </c>
      <c r="B1122" t="s">
        <v>1587</v>
      </c>
      <c r="C1122">
        <v>52</v>
      </c>
      <c r="D1122">
        <v>76</v>
      </c>
      <c r="E1122">
        <v>76</v>
      </c>
      <c r="F1122" s="1">
        <v>0.20399999999999999</v>
      </c>
      <c r="G1122" t="s">
        <v>1587</v>
      </c>
      <c r="H1122" t="s">
        <v>1587</v>
      </c>
      <c r="I1122">
        <v>1269</v>
      </c>
      <c r="J1122" t="s">
        <v>2435</v>
      </c>
      <c r="K1122">
        <v>1</v>
      </c>
      <c r="L1122">
        <v>10.8</v>
      </c>
      <c r="M1122">
        <v>0</v>
      </c>
      <c r="N1122">
        <v>10.6</v>
      </c>
      <c r="O1122" t="s">
        <v>1594</v>
      </c>
      <c r="P1122" t="s">
        <v>1584</v>
      </c>
      <c r="Q1122" t="s">
        <v>1591</v>
      </c>
      <c r="R1122">
        <v>0.01</v>
      </c>
      <c r="S1122">
        <v>-0.15</v>
      </c>
      <c r="T1122" t="s">
        <v>1584</v>
      </c>
      <c r="U1122" t="s">
        <v>1592</v>
      </c>
      <c r="V1122" t="str" cm="1">
        <f t="array" aca="1" ref="V1122" ca="1">IFERROR(_xlfn.IFS(A1120="  ..............",OFFSET(A1120,2,0),A1119=" X-------------X",OFFSET(A1119,3,0),MATCH("  ..............",A1122:A1131,0)&gt;2,V1121),"-")</f>
        <v xml:space="preserve">  P12-2Y-RS069  </v>
      </c>
      <c r="W1122">
        <f t="shared" ca="1" si="51"/>
        <v>1.016</v>
      </c>
      <c r="X1122" t="str">
        <f t="shared" ca="1" si="52"/>
        <v xml:space="preserve"> JBOTAN-RS069 </v>
      </c>
      <c r="Y1122" s="1">
        <f t="shared" ca="1" si="53"/>
        <v>0.73899999999999999</v>
      </c>
    </row>
    <row r="1123" spans="1:25" x14ac:dyDescent="0.25">
      <c r="A1123" t="s">
        <v>1588</v>
      </c>
      <c r="B1123" t="s">
        <v>1587</v>
      </c>
      <c r="C1123">
        <v>84</v>
      </c>
      <c r="D1123">
        <v>101</v>
      </c>
      <c r="E1123">
        <v>101</v>
      </c>
      <c r="F1123" s="1">
        <v>0.127</v>
      </c>
      <c r="G1123" t="s">
        <v>1587</v>
      </c>
      <c r="H1123" t="s">
        <v>1587</v>
      </c>
      <c r="I1123">
        <v>10007</v>
      </c>
      <c r="J1123" t="s">
        <v>2432</v>
      </c>
      <c r="K1123">
        <v>1</v>
      </c>
      <c r="L1123">
        <v>-10.8</v>
      </c>
      <c r="M1123">
        <v>0</v>
      </c>
      <c r="N1123">
        <v>10.6</v>
      </c>
      <c r="O1123" t="s">
        <v>1594</v>
      </c>
      <c r="P1123" t="s">
        <v>1584</v>
      </c>
      <c r="Q1123" t="s">
        <v>1591</v>
      </c>
      <c r="R1123">
        <v>0.01</v>
      </c>
      <c r="S1123">
        <v>-7.0000000000000007E-2</v>
      </c>
      <c r="T1123" t="s">
        <v>1584</v>
      </c>
      <c r="U1123" t="s">
        <v>1592</v>
      </c>
      <c r="V1123" t="str" cm="1">
        <f t="array" aca="1" ref="V1123" ca="1">IFERROR(_xlfn.IFS(A1121="  ..............",OFFSET(A1121,2,0),A1120=" X-------------X",OFFSET(A1120,3,0),MATCH("  ..............",A1123:A1132,0)&gt;2,V1122),"-")</f>
        <v>-</v>
      </c>
      <c r="W1123" t="str">
        <f t="shared" ca="1" si="51"/>
        <v>-</v>
      </c>
      <c r="X1123" t="str">
        <f t="shared" ca="1" si="52"/>
        <v>-</v>
      </c>
      <c r="Y1123" s="1" t="str">
        <f t="shared" ca="1" si="53"/>
        <v>-</v>
      </c>
    </row>
    <row r="1124" spans="1:25" x14ac:dyDescent="0.25">
      <c r="A1124" t="s">
        <v>1572</v>
      </c>
      <c r="B1124" t="s">
        <v>1574</v>
      </c>
      <c r="C1124" t="s">
        <v>1574</v>
      </c>
      <c r="D1124" t="s">
        <v>1574</v>
      </c>
      <c r="E1124" t="s">
        <v>1574</v>
      </c>
      <c r="F1124" t="s">
        <v>1575</v>
      </c>
      <c r="G1124" t="s">
        <v>1574</v>
      </c>
      <c r="H1124" t="s">
        <v>1574</v>
      </c>
      <c r="I1124" t="s">
        <v>1576</v>
      </c>
      <c r="J1124" t="s">
        <v>1573</v>
      </c>
      <c r="K1124" t="s">
        <v>1577</v>
      </c>
      <c r="L1124" t="s">
        <v>1574</v>
      </c>
      <c r="M1124" t="s">
        <v>1574</v>
      </c>
      <c r="N1124" t="s">
        <v>1574</v>
      </c>
      <c r="O1124" t="s">
        <v>1578</v>
      </c>
      <c r="P1124" t="s">
        <v>1576</v>
      </c>
      <c r="Q1124" t="s">
        <v>1579</v>
      </c>
      <c r="R1124" t="s">
        <v>1580</v>
      </c>
      <c r="S1124" t="s">
        <v>1580</v>
      </c>
      <c r="T1124" t="s">
        <v>1576</v>
      </c>
      <c r="U1124" t="s">
        <v>1576</v>
      </c>
      <c r="V1124" t="str" cm="1">
        <f t="array" aca="1" ref="V1124" ca="1">IFERROR(_xlfn.IFS(A1122="  ..............",OFFSET(A1122,2,0),A1121=" X-------------X",OFFSET(A1121,3,0),MATCH("  ..............",A1124:A1133,0)&gt;2,V1123),"-")</f>
        <v>-</v>
      </c>
      <c r="W1124" t="str">
        <f t="shared" ca="1" si="51"/>
        <v>-</v>
      </c>
      <c r="X1124" t="str">
        <f t="shared" ca="1" si="52"/>
        <v/>
      </c>
      <c r="Y1124" s="1" t="str">
        <f t="shared" ca="1" si="53"/>
        <v/>
      </c>
    </row>
    <row r="1125" spans="1:25" x14ac:dyDescent="0.25">
      <c r="A1125" t="s">
        <v>2436</v>
      </c>
      <c r="B1125">
        <v>1.016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 t="s">
        <v>1581</v>
      </c>
      <c r="J1125" t="s">
        <v>1581</v>
      </c>
      <c r="K1125" t="s">
        <v>1581</v>
      </c>
      <c r="L1125" t="s">
        <v>1581</v>
      </c>
      <c r="M1125" t="s">
        <v>1581</v>
      </c>
      <c r="N1125" t="s">
        <v>1581</v>
      </c>
      <c r="O1125" t="s">
        <v>1581</v>
      </c>
      <c r="P1125" t="s">
        <v>1581</v>
      </c>
      <c r="Q1125" t="s">
        <v>1581</v>
      </c>
      <c r="R1125" t="s">
        <v>1581</v>
      </c>
      <c r="S1125" t="s">
        <v>1581</v>
      </c>
      <c r="T1125" t="s">
        <v>1581</v>
      </c>
      <c r="U1125" t="s">
        <v>1581</v>
      </c>
      <c r="V1125" t="str" cm="1">
        <f t="array" aca="1" ref="V1125" ca="1">IFERROR(_xlfn.IFS(A1123="  ..............",OFFSET(A1123,2,0),A1122=" X-------------X",OFFSET(A1122,3,0),MATCH("  ..............",A1125:A1134,0)&gt;2,V1124),"-")</f>
        <v>-</v>
      </c>
      <c r="W1125" t="str">
        <f t="shared" ca="1" si="51"/>
        <v>-</v>
      </c>
      <c r="X1125" t="str">
        <f t="shared" ca="1" si="52"/>
        <v xml:space="preserve">              </v>
      </c>
      <c r="Y1125" s="1">
        <f t="shared" ca="1" si="53"/>
        <v>0</v>
      </c>
    </row>
    <row r="1126" spans="1:25" x14ac:dyDescent="0.25">
      <c r="A1126" t="s">
        <v>2437</v>
      </c>
      <c r="B1126">
        <v>-54.8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 t="s">
        <v>1584</v>
      </c>
      <c r="J1126" t="s">
        <v>1585</v>
      </c>
      <c r="K1126" t="s">
        <v>1586</v>
      </c>
      <c r="L1126" t="s">
        <v>1587</v>
      </c>
      <c r="M1126" t="s">
        <v>1587</v>
      </c>
      <c r="N1126" t="s">
        <v>1586</v>
      </c>
      <c r="O1126" t="s">
        <v>1581</v>
      </c>
      <c r="P1126" t="s">
        <v>1581</v>
      </c>
      <c r="Q1126" t="s">
        <v>1581</v>
      </c>
      <c r="R1126" t="s">
        <v>1581</v>
      </c>
      <c r="S1126" t="s">
        <v>1581</v>
      </c>
      <c r="T1126" t="s">
        <v>1581</v>
      </c>
      <c r="U1126" t="s">
        <v>1581</v>
      </c>
      <c r="V1126" t="str" cm="1">
        <f t="array" aca="1" ref="V1126" ca="1">IFERROR(_xlfn.IFS(A1124="  ..............",OFFSET(A1124,2,0),A1123=" X-------------X",OFFSET(A1123,3,0),MATCH("  ..............",A1126:A1135,0)&gt;2,V1125),"-")</f>
        <v xml:space="preserve">  P12-1Y-RS069  </v>
      </c>
      <c r="W1126">
        <f t="shared" ca="1" si="51"/>
        <v>1.016</v>
      </c>
      <c r="X1126" t="str">
        <f t="shared" ca="1" si="52"/>
        <v xml:space="preserve"> PALGR6-RS069 </v>
      </c>
      <c r="Y1126" s="1">
        <f t="shared" ca="1" si="53"/>
        <v>0.185</v>
      </c>
    </row>
    <row r="1127" spans="1:25" x14ac:dyDescent="0.25">
      <c r="A1127" t="s">
        <v>1588</v>
      </c>
      <c r="B1127" t="s">
        <v>1587</v>
      </c>
      <c r="C1127">
        <v>54</v>
      </c>
      <c r="D1127">
        <v>79</v>
      </c>
      <c r="E1127">
        <v>79</v>
      </c>
      <c r="F1127" s="1">
        <v>0.185</v>
      </c>
      <c r="G1127" t="s">
        <v>1587</v>
      </c>
      <c r="H1127" t="s">
        <v>1587</v>
      </c>
      <c r="I1127">
        <v>1262</v>
      </c>
      <c r="J1127" t="s">
        <v>2438</v>
      </c>
      <c r="K1127">
        <v>1</v>
      </c>
      <c r="L1127">
        <v>-9.9</v>
      </c>
      <c r="M1127">
        <v>2.1</v>
      </c>
      <c r="N1127">
        <v>10</v>
      </c>
      <c r="O1127" t="s">
        <v>1594</v>
      </c>
      <c r="P1127" t="s">
        <v>1584</v>
      </c>
      <c r="Q1127" t="s">
        <v>1591</v>
      </c>
      <c r="R1127">
        <v>0.01</v>
      </c>
      <c r="S1127">
        <v>-0.14000000000000001</v>
      </c>
      <c r="T1127" t="s">
        <v>1584</v>
      </c>
      <c r="U1127" t="s">
        <v>1592</v>
      </c>
      <c r="V1127" t="str" cm="1">
        <f t="array" aca="1" ref="V1127" ca="1">IFERROR(_xlfn.IFS(A1125="  ..............",OFFSET(A1125,2,0),A1124=" X-------------X",OFFSET(A1124,3,0),MATCH("  ..............",A1127:A1136,0)&gt;2,V1126),"-")</f>
        <v xml:space="preserve">  P12-1Y-RS069  </v>
      </c>
      <c r="W1127">
        <f t="shared" ca="1" si="51"/>
        <v>1.016</v>
      </c>
      <c r="X1127" t="str">
        <f t="shared" ca="1" si="52"/>
        <v xml:space="preserve"> JBOTAN-RS069 </v>
      </c>
      <c r="Y1127" s="1">
        <f t="shared" ca="1" si="53"/>
        <v>0.73899999999999999</v>
      </c>
    </row>
    <row r="1128" spans="1:25" x14ac:dyDescent="0.25">
      <c r="A1128" t="s">
        <v>1588</v>
      </c>
      <c r="B1128" t="s">
        <v>1587</v>
      </c>
      <c r="C1128">
        <v>84</v>
      </c>
      <c r="D1128">
        <v>101</v>
      </c>
      <c r="E1128">
        <v>101</v>
      </c>
      <c r="F1128" s="1">
        <v>0.11899999999999999</v>
      </c>
      <c r="G1128" t="s">
        <v>1587</v>
      </c>
      <c r="H1128" t="s">
        <v>1587</v>
      </c>
      <c r="I1128">
        <v>10007</v>
      </c>
      <c r="J1128" t="s">
        <v>2432</v>
      </c>
      <c r="K1128">
        <v>1</v>
      </c>
      <c r="L1128">
        <v>9.9</v>
      </c>
      <c r="M1128">
        <v>-2.1</v>
      </c>
      <c r="N1128">
        <v>10</v>
      </c>
      <c r="O1128" t="s">
        <v>1594</v>
      </c>
      <c r="P1128" t="s">
        <v>1584</v>
      </c>
      <c r="Q1128" t="s">
        <v>1591</v>
      </c>
      <c r="R1128">
        <v>0</v>
      </c>
      <c r="S1128">
        <v>-7.0000000000000007E-2</v>
      </c>
      <c r="T1128" t="s">
        <v>1584</v>
      </c>
      <c r="U1128" t="s">
        <v>1592</v>
      </c>
      <c r="V1128" t="str" cm="1">
        <f t="array" aca="1" ref="V1128" ca="1">IFERROR(_xlfn.IFS(A1126="  ..............",OFFSET(A1126,2,0),A1125=" X-------------X",OFFSET(A1125,3,0),MATCH("  ..............",A1128:A1137,0)&gt;2,V1127),"-")</f>
        <v>-</v>
      </c>
      <c r="W1128" t="str">
        <f t="shared" ca="1" si="51"/>
        <v>-</v>
      </c>
      <c r="X1128" t="str">
        <f t="shared" ca="1" si="52"/>
        <v>-</v>
      </c>
      <c r="Y1128" s="1" t="str">
        <f t="shared" ca="1" si="53"/>
        <v>-</v>
      </c>
    </row>
    <row r="1129" spans="1:25" x14ac:dyDescent="0.25">
      <c r="A1129" t="s">
        <v>1572</v>
      </c>
      <c r="B1129" t="s">
        <v>1574</v>
      </c>
      <c r="C1129" t="s">
        <v>1574</v>
      </c>
      <c r="D1129" t="s">
        <v>1574</v>
      </c>
      <c r="E1129" t="s">
        <v>1574</v>
      </c>
      <c r="F1129" t="s">
        <v>1575</v>
      </c>
      <c r="G1129" t="s">
        <v>1574</v>
      </c>
      <c r="H1129" t="s">
        <v>1574</v>
      </c>
      <c r="I1129" t="s">
        <v>1576</v>
      </c>
      <c r="J1129" t="s">
        <v>1573</v>
      </c>
      <c r="K1129" t="s">
        <v>1577</v>
      </c>
      <c r="L1129" t="s">
        <v>1574</v>
      </c>
      <c r="M1129" t="s">
        <v>1574</v>
      </c>
      <c r="N1129" t="s">
        <v>1574</v>
      </c>
      <c r="O1129" t="s">
        <v>1578</v>
      </c>
      <c r="P1129" t="s">
        <v>1576</v>
      </c>
      <c r="Q1129" t="s">
        <v>1579</v>
      </c>
      <c r="R1129" t="s">
        <v>1580</v>
      </c>
      <c r="S1129" t="s">
        <v>1580</v>
      </c>
      <c r="T1129" t="s">
        <v>1576</v>
      </c>
      <c r="U1129" t="s">
        <v>1576</v>
      </c>
      <c r="V1129" t="str" cm="1">
        <f t="array" aca="1" ref="V1129" ca="1">IFERROR(_xlfn.IFS(A1127="  ..............",OFFSET(A1127,2,0),A1126=" X-------------X",OFFSET(A1126,3,0),MATCH("  ..............",A1129:A1138,0)&gt;2,V1128),"-")</f>
        <v>-</v>
      </c>
      <c r="W1129" t="str">
        <f t="shared" ca="1" si="51"/>
        <v>-</v>
      </c>
      <c r="X1129" t="str">
        <f t="shared" ca="1" si="52"/>
        <v/>
      </c>
      <c r="Y1129" s="1" t="str">
        <f t="shared" ca="1" si="53"/>
        <v/>
      </c>
    </row>
    <row r="1130" spans="1:25" x14ac:dyDescent="0.25">
      <c r="A1130" t="s">
        <v>2439</v>
      </c>
      <c r="B1130">
        <v>1.0609999999999999</v>
      </c>
      <c r="C1130">
        <v>5.4</v>
      </c>
      <c r="D1130">
        <v>0</v>
      </c>
      <c r="E1130">
        <v>29.8</v>
      </c>
      <c r="F1130">
        <v>0</v>
      </c>
      <c r="G1130">
        <v>4.0999999999999996</v>
      </c>
      <c r="H1130">
        <v>0</v>
      </c>
      <c r="I1130" t="s">
        <v>1581</v>
      </c>
      <c r="J1130" t="s">
        <v>1581</v>
      </c>
      <c r="K1130" t="s">
        <v>1581</v>
      </c>
      <c r="L1130" t="s">
        <v>1581</v>
      </c>
      <c r="M1130" t="s">
        <v>1581</v>
      </c>
      <c r="N1130" t="s">
        <v>1581</v>
      </c>
      <c r="O1130" t="s">
        <v>1581</v>
      </c>
      <c r="P1130" t="s">
        <v>1581</v>
      </c>
      <c r="Q1130" t="s">
        <v>1581</v>
      </c>
      <c r="R1130" t="s">
        <v>1581</v>
      </c>
      <c r="S1130" t="s">
        <v>1581</v>
      </c>
      <c r="T1130" t="s">
        <v>1581</v>
      </c>
      <c r="U1130" t="s">
        <v>1581</v>
      </c>
      <c r="V1130" t="str" cm="1">
        <f t="array" aca="1" ref="V1130" ca="1">IFERROR(_xlfn.IFS(A1128="  ..............",OFFSET(A1128,2,0),A1127=" X-------------X",OFFSET(A1127,3,0),MATCH("  ..............",A1130:A1139,0)&gt;2,V1129),"-")</f>
        <v>-</v>
      </c>
      <c r="W1130" t="str">
        <f t="shared" ca="1" si="51"/>
        <v>-</v>
      </c>
      <c r="X1130" t="str">
        <f t="shared" ca="1" si="52"/>
        <v xml:space="preserve">              </v>
      </c>
      <c r="Y1130" s="1">
        <f t="shared" ca="1" si="53"/>
        <v>0</v>
      </c>
    </row>
    <row r="1131" spans="1:25" x14ac:dyDescent="0.25">
      <c r="A1131" t="s">
        <v>2440</v>
      </c>
      <c r="B1131">
        <v>-58.7</v>
      </c>
      <c r="C1131">
        <v>0</v>
      </c>
      <c r="D1131">
        <v>0</v>
      </c>
      <c r="E1131">
        <v>14.5</v>
      </c>
      <c r="F1131">
        <v>0</v>
      </c>
      <c r="G1131">
        <v>0</v>
      </c>
      <c r="H1131">
        <v>0</v>
      </c>
      <c r="I1131" t="s">
        <v>1584</v>
      </c>
      <c r="J1131" t="s">
        <v>1585</v>
      </c>
      <c r="K1131" t="s">
        <v>1586</v>
      </c>
      <c r="L1131" t="s">
        <v>1587</v>
      </c>
      <c r="M1131" t="s">
        <v>1587</v>
      </c>
      <c r="N1131" t="s">
        <v>1586</v>
      </c>
      <c r="O1131" t="s">
        <v>1581</v>
      </c>
      <c r="P1131" t="s">
        <v>1581</v>
      </c>
      <c r="Q1131" t="s">
        <v>1581</v>
      </c>
      <c r="R1131" t="s">
        <v>1581</v>
      </c>
      <c r="S1131" t="s">
        <v>1581</v>
      </c>
      <c r="T1131" t="s">
        <v>1581</v>
      </c>
      <c r="U1131" t="s">
        <v>1581</v>
      </c>
      <c r="V1131" t="str" cm="1">
        <f t="array" aca="1" ref="V1131" ca="1">IFERROR(_xlfn.IFS(A1129="  ..............",OFFSET(A1129,2,0),A1128=" X-------------X",OFFSET(A1128,3,0),MATCH("  ..............",A1131:A1140,0)&gt;2,V1130),"-")</f>
        <v xml:space="preserve">  SAPATR-RS023  </v>
      </c>
      <c r="W1131">
        <f t="shared" ca="1" si="51"/>
        <v>1.0609999999999999</v>
      </c>
      <c r="X1131" t="str">
        <f t="shared" ca="1" si="52"/>
        <v xml:space="preserve"> SAPATR-RS138 </v>
      </c>
      <c r="Y1131" s="1" t="str">
        <f t="shared" ca="1" si="53"/>
        <v xml:space="preserve">             </v>
      </c>
    </row>
    <row r="1132" spans="1:25" x14ac:dyDescent="0.25">
      <c r="A1132" t="s">
        <v>1588</v>
      </c>
      <c r="B1132" t="s">
        <v>1587</v>
      </c>
      <c r="C1132">
        <v>25</v>
      </c>
      <c r="D1132">
        <v>25</v>
      </c>
      <c r="E1132">
        <v>25</v>
      </c>
      <c r="F1132" t="s">
        <v>2441</v>
      </c>
      <c r="G1132" t="s">
        <v>1587</v>
      </c>
      <c r="H1132" t="s">
        <v>1587</v>
      </c>
      <c r="I1132">
        <v>2055</v>
      </c>
      <c r="J1132" t="s">
        <v>2130</v>
      </c>
      <c r="K1132">
        <v>1</v>
      </c>
      <c r="L1132">
        <v>-24.4</v>
      </c>
      <c r="M1132">
        <v>-10.4</v>
      </c>
      <c r="N1132">
        <v>25</v>
      </c>
      <c r="O1132" t="s">
        <v>1594</v>
      </c>
      <c r="P1132" t="s">
        <v>1584</v>
      </c>
      <c r="Q1132" t="s">
        <v>1591</v>
      </c>
      <c r="R1132">
        <v>0</v>
      </c>
      <c r="S1132">
        <v>2.5</v>
      </c>
      <c r="T1132" t="s">
        <v>1584</v>
      </c>
      <c r="U1132" t="s">
        <v>1592</v>
      </c>
      <c r="V1132" t="str" cm="1">
        <f t="array" aca="1" ref="V1132" ca="1">IFERROR(_xlfn.IFS(A1130="  ..............",OFFSET(A1130,2,0),A1129=" X-------------X",OFFSET(A1129,3,0),MATCH("  ..............",A1132:A1141,0)&gt;2,V1131),"-")</f>
        <v>-</v>
      </c>
      <c r="W1132" t="str">
        <f t="shared" ca="1" si="51"/>
        <v>-</v>
      </c>
      <c r="X1132" t="str">
        <f t="shared" ca="1" si="52"/>
        <v>-</v>
      </c>
      <c r="Y1132" s="1" t="str">
        <f t="shared" ca="1" si="53"/>
        <v>-</v>
      </c>
    </row>
    <row r="1133" spans="1:25" x14ac:dyDescent="0.25">
      <c r="A1133" t="s">
        <v>1572</v>
      </c>
      <c r="B1133" t="s">
        <v>1574</v>
      </c>
      <c r="C1133" t="s">
        <v>1574</v>
      </c>
      <c r="D1133" t="s">
        <v>1574</v>
      </c>
      <c r="E1133" t="s">
        <v>1574</v>
      </c>
      <c r="F1133" t="s">
        <v>1575</v>
      </c>
      <c r="G1133" t="s">
        <v>1574</v>
      </c>
      <c r="H1133" t="s">
        <v>1574</v>
      </c>
      <c r="I1133" t="s">
        <v>1576</v>
      </c>
      <c r="J1133" t="s">
        <v>1573</v>
      </c>
      <c r="K1133" t="s">
        <v>1577</v>
      </c>
      <c r="L1133" t="s">
        <v>1574</v>
      </c>
      <c r="M1133" t="s">
        <v>1574</v>
      </c>
      <c r="N1133" t="s">
        <v>1574</v>
      </c>
      <c r="O1133" t="s">
        <v>1578</v>
      </c>
      <c r="P1133" t="s">
        <v>1576</v>
      </c>
      <c r="Q1133" t="s">
        <v>1579</v>
      </c>
      <c r="R1133" t="s">
        <v>1580</v>
      </c>
      <c r="S1133" t="s">
        <v>1580</v>
      </c>
      <c r="T1133" t="s">
        <v>1576</v>
      </c>
      <c r="U1133" t="s">
        <v>1576</v>
      </c>
      <c r="V1133" t="str" cm="1">
        <f t="array" aca="1" ref="V1133" ca="1">IFERROR(_xlfn.IFS(A1131="  ..............",OFFSET(A1131,2,0),A1130=" X-------------X",OFFSET(A1130,3,0),MATCH("  ..............",A1133:A1142,0)&gt;2,V1132),"-")</f>
        <v>-</v>
      </c>
      <c r="W1133" t="str">
        <f t="shared" ca="1" si="51"/>
        <v>-</v>
      </c>
      <c r="X1133" t="str">
        <f t="shared" ca="1" si="52"/>
        <v/>
      </c>
      <c r="Y1133" s="1" t="str">
        <f t="shared" ca="1" si="53"/>
        <v/>
      </c>
    </row>
    <row r="1134" spans="1:25" x14ac:dyDescent="0.25">
      <c r="A1134" t="s">
        <v>2442</v>
      </c>
      <c r="B1134">
        <v>1.0780000000000001</v>
      </c>
      <c r="C1134">
        <v>0.1</v>
      </c>
      <c r="D1134">
        <v>0</v>
      </c>
      <c r="E1134">
        <v>23.8</v>
      </c>
      <c r="F1134">
        <v>0</v>
      </c>
      <c r="G1134">
        <v>0</v>
      </c>
      <c r="H1134">
        <v>0</v>
      </c>
      <c r="I1134" t="s">
        <v>1581</v>
      </c>
      <c r="J1134" t="s">
        <v>1581</v>
      </c>
      <c r="K1134" t="s">
        <v>1581</v>
      </c>
      <c r="L1134" t="s">
        <v>1581</v>
      </c>
      <c r="M1134" t="s">
        <v>1581</v>
      </c>
      <c r="N1134" t="s">
        <v>1581</v>
      </c>
      <c r="O1134" t="s">
        <v>1581</v>
      </c>
      <c r="P1134" t="s">
        <v>1581</v>
      </c>
      <c r="Q1134" t="s">
        <v>1581</v>
      </c>
      <c r="R1134" t="s">
        <v>1581</v>
      </c>
      <c r="S1134" t="s">
        <v>1581</v>
      </c>
      <c r="T1134" t="s">
        <v>1581</v>
      </c>
      <c r="U1134" t="s">
        <v>1581</v>
      </c>
      <c r="V1134" t="str" cm="1">
        <f t="array" aca="1" ref="V1134" ca="1">IFERROR(_xlfn.IFS(A1132="  ..............",OFFSET(A1132,2,0),A1131=" X-------------X",OFFSET(A1131,3,0),MATCH("  ..............",A1134:A1143,0)&gt;2,V1133),"-")</f>
        <v>-</v>
      </c>
      <c r="W1134" t="str">
        <f t="shared" ca="1" si="51"/>
        <v>-</v>
      </c>
      <c r="X1134" t="str">
        <f t="shared" ca="1" si="52"/>
        <v xml:space="preserve">              </v>
      </c>
      <c r="Y1134" s="1">
        <f t="shared" ca="1" si="53"/>
        <v>0</v>
      </c>
    </row>
    <row r="1135" spans="1:25" x14ac:dyDescent="0.25">
      <c r="A1135" t="s">
        <v>2443</v>
      </c>
      <c r="B1135">
        <v>-56</v>
      </c>
      <c r="C1135">
        <v>0</v>
      </c>
      <c r="D1135">
        <v>0</v>
      </c>
      <c r="E1135">
        <v>6.1</v>
      </c>
      <c r="F1135">
        <v>0</v>
      </c>
      <c r="G1135">
        <v>0</v>
      </c>
      <c r="H1135">
        <v>0</v>
      </c>
      <c r="I1135" t="s">
        <v>1584</v>
      </c>
      <c r="J1135" t="s">
        <v>1585</v>
      </c>
      <c r="K1135" t="s">
        <v>1586</v>
      </c>
      <c r="L1135" t="s">
        <v>1587</v>
      </c>
      <c r="M1135" t="s">
        <v>1587</v>
      </c>
      <c r="N1135" t="s">
        <v>1586</v>
      </c>
      <c r="O1135" t="s">
        <v>1581</v>
      </c>
      <c r="P1135" t="s">
        <v>1581</v>
      </c>
      <c r="Q1135" t="s">
        <v>1581</v>
      </c>
      <c r="R1135" t="s">
        <v>1581</v>
      </c>
      <c r="S1135" t="s">
        <v>1581</v>
      </c>
      <c r="T1135" t="s">
        <v>1581</v>
      </c>
      <c r="U1135" t="s">
        <v>1581</v>
      </c>
      <c r="V1135" t="str" cm="1">
        <f t="array" aca="1" ref="V1135" ca="1">IFERROR(_xlfn.IFS(A1133="  ..............",OFFSET(A1133,2,0),A1132=" X-------------X",OFFSET(A1132,3,0),MATCH("  ..............",A1135:A1144,0)&gt;2,V1134),"-")</f>
        <v xml:space="preserve">  PALE4B-RS013  </v>
      </c>
      <c r="W1135">
        <f t="shared" ca="1" si="51"/>
        <v>1.0780000000000001</v>
      </c>
      <c r="X1135" t="str">
        <f t="shared" ca="1" si="52"/>
        <v xml:space="preserve"> PAL4-B-RS000 </v>
      </c>
      <c r="Y1135" s="1">
        <f t="shared" ca="1" si="53"/>
        <v>0.30299999999999999</v>
      </c>
    </row>
    <row r="1136" spans="1:25" x14ac:dyDescent="0.25">
      <c r="A1136" t="s">
        <v>1588</v>
      </c>
      <c r="B1136" t="s">
        <v>1587</v>
      </c>
      <c r="C1136">
        <v>75</v>
      </c>
      <c r="D1136">
        <v>90</v>
      </c>
      <c r="E1136">
        <v>90</v>
      </c>
      <c r="F1136" s="1">
        <v>0.30299999999999999</v>
      </c>
      <c r="G1136" t="s">
        <v>1587</v>
      </c>
      <c r="H1136" t="s">
        <v>1587</v>
      </c>
      <c r="I1136">
        <v>41316</v>
      </c>
      <c r="J1136" t="s">
        <v>2444</v>
      </c>
      <c r="K1136">
        <v>2</v>
      </c>
      <c r="L1136">
        <v>-23.7</v>
      </c>
      <c r="M1136">
        <v>-6.1</v>
      </c>
      <c r="N1136">
        <v>22.7</v>
      </c>
      <c r="O1136" t="s">
        <v>1608</v>
      </c>
      <c r="P1136" t="s">
        <v>1584</v>
      </c>
      <c r="Q1136">
        <v>2</v>
      </c>
      <c r="R1136">
        <v>0</v>
      </c>
      <c r="S1136">
        <v>-0.03</v>
      </c>
      <c r="T1136" t="s">
        <v>1584</v>
      </c>
      <c r="U1136" t="s">
        <v>1592</v>
      </c>
      <c r="V1136" t="str" cm="1">
        <f t="array" aca="1" ref="V1136" ca="1">IFERROR(_xlfn.IFS(A1134="  ..............",OFFSET(A1134,2,0),A1133=" X-------------X",OFFSET(A1133,3,0),MATCH("  ..............",A1136:A1145,0)&gt;2,V1135),"-")</f>
        <v>-</v>
      </c>
      <c r="W1136" t="str">
        <f t="shared" ca="1" si="51"/>
        <v>-</v>
      </c>
      <c r="X1136" t="str">
        <f t="shared" ca="1" si="52"/>
        <v>-</v>
      </c>
      <c r="Y1136" s="1" t="str">
        <f t="shared" ca="1" si="53"/>
        <v>-</v>
      </c>
    </row>
    <row r="1137" spans="1:25" x14ac:dyDescent="0.25">
      <c r="A1137" t="s">
        <v>1572</v>
      </c>
      <c r="B1137" t="s">
        <v>1574</v>
      </c>
      <c r="C1137" t="s">
        <v>1574</v>
      </c>
      <c r="D1137" t="s">
        <v>1574</v>
      </c>
      <c r="E1137" t="s">
        <v>1574</v>
      </c>
      <c r="F1137" t="s">
        <v>1575</v>
      </c>
      <c r="G1137" t="s">
        <v>1574</v>
      </c>
      <c r="H1137" t="s">
        <v>1574</v>
      </c>
      <c r="I1137" t="s">
        <v>1576</v>
      </c>
      <c r="J1137" t="s">
        <v>1573</v>
      </c>
      <c r="K1137" t="s">
        <v>1577</v>
      </c>
      <c r="L1137" t="s">
        <v>1574</v>
      </c>
      <c r="M1137" t="s">
        <v>1574</v>
      </c>
      <c r="N1137" t="s">
        <v>1574</v>
      </c>
      <c r="O1137" t="s">
        <v>1578</v>
      </c>
      <c r="P1137" t="s">
        <v>1576</v>
      </c>
      <c r="Q1137" t="s">
        <v>1579</v>
      </c>
      <c r="R1137" t="s">
        <v>1580</v>
      </c>
      <c r="S1137" t="s">
        <v>1580</v>
      </c>
      <c r="T1137" t="s">
        <v>1576</v>
      </c>
      <c r="U1137" t="s">
        <v>1576</v>
      </c>
      <c r="V1137" t="str" cm="1">
        <f t="array" aca="1" ref="V1137" ca="1">IFERROR(_xlfn.IFS(A1135="  ..............",OFFSET(A1135,2,0),A1134=" X-------------X",OFFSET(A1134,3,0),MATCH("  ..............",A1137:A1146,0)&gt;2,V1136),"-")</f>
        <v>-</v>
      </c>
      <c r="W1137" t="str">
        <f t="shared" ca="1" si="51"/>
        <v>-</v>
      </c>
      <c r="X1137" t="str">
        <f t="shared" ca="1" si="52"/>
        <v/>
      </c>
      <c r="Y1137" s="1" t="str">
        <f t="shared" ca="1" si="53"/>
        <v/>
      </c>
    </row>
    <row r="1138" spans="1:25" x14ac:dyDescent="0.25">
      <c r="A1138" t="s">
        <v>2445</v>
      </c>
      <c r="B1138">
        <v>1.08</v>
      </c>
      <c r="C1138">
        <v>0.5</v>
      </c>
      <c r="D1138">
        <v>0</v>
      </c>
      <c r="E1138">
        <v>22.1</v>
      </c>
      <c r="F1138">
        <v>0</v>
      </c>
      <c r="G1138">
        <v>18.2</v>
      </c>
      <c r="H1138">
        <v>0</v>
      </c>
      <c r="I1138" t="s">
        <v>1581</v>
      </c>
      <c r="J1138" t="s">
        <v>1581</v>
      </c>
      <c r="K1138" t="s">
        <v>1581</v>
      </c>
      <c r="L1138" t="s">
        <v>1581</v>
      </c>
      <c r="M1138" t="s">
        <v>1581</v>
      </c>
      <c r="N1138" t="s">
        <v>1581</v>
      </c>
      <c r="O1138" t="s">
        <v>1581</v>
      </c>
      <c r="P1138" t="s">
        <v>1581</v>
      </c>
      <c r="Q1138" t="s">
        <v>1581</v>
      </c>
      <c r="R1138" t="s">
        <v>1581</v>
      </c>
      <c r="S1138" t="s">
        <v>1581</v>
      </c>
      <c r="T1138" t="s">
        <v>1581</v>
      </c>
      <c r="U1138" t="s">
        <v>1581</v>
      </c>
      <c r="V1138" t="str" cm="1">
        <f t="array" aca="1" ref="V1138" ca="1">IFERROR(_xlfn.IFS(A1136="  ..............",OFFSET(A1136,2,0),A1135=" X-------------X",OFFSET(A1135,3,0),MATCH("  ..............",A1138:A1147,0)&gt;2,V1137),"-")</f>
        <v>-</v>
      </c>
      <c r="W1138" t="str">
        <f t="shared" ca="1" si="51"/>
        <v>-</v>
      </c>
      <c r="X1138" t="str">
        <f t="shared" ca="1" si="52"/>
        <v xml:space="preserve">              </v>
      </c>
      <c r="Y1138" s="1">
        <f t="shared" ca="1" si="53"/>
        <v>0</v>
      </c>
    </row>
    <row r="1139" spans="1:25" x14ac:dyDescent="0.25">
      <c r="A1139" t="s">
        <v>2446</v>
      </c>
      <c r="B1139">
        <v>-56</v>
      </c>
      <c r="C1139">
        <v>0</v>
      </c>
      <c r="D1139">
        <v>0</v>
      </c>
      <c r="E1139">
        <v>4.3</v>
      </c>
      <c r="F1139">
        <v>0</v>
      </c>
      <c r="G1139">
        <v>0</v>
      </c>
      <c r="H1139">
        <v>0</v>
      </c>
      <c r="I1139" t="s">
        <v>1584</v>
      </c>
      <c r="J1139" t="s">
        <v>1585</v>
      </c>
      <c r="K1139" t="s">
        <v>1586</v>
      </c>
      <c r="L1139" t="s">
        <v>1587</v>
      </c>
      <c r="M1139" t="s">
        <v>1587</v>
      </c>
      <c r="N1139" t="s">
        <v>1586</v>
      </c>
      <c r="O1139" t="s">
        <v>1581</v>
      </c>
      <c r="P1139" t="s">
        <v>1581</v>
      </c>
      <c r="Q1139" t="s">
        <v>1581</v>
      </c>
      <c r="R1139" t="s">
        <v>1581</v>
      </c>
      <c r="S1139" t="s">
        <v>1581</v>
      </c>
      <c r="T1139" t="s">
        <v>1581</v>
      </c>
      <c r="U1139" t="s">
        <v>1581</v>
      </c>
      <c r="V1139" t="str" cm="1">
        <f t="array" aca="1" ref="V1139" ca="1">IFERROR(_xlfn.IFS(A1137="  ..............",OFFSET(A1137,2,0),A1136=" X-------------X",OFFSET(A1136,3,0),MATCH("  ..............",A1139:A1148,0)&gt;2,V1138),"-")</f>
        <v xml:space="preserve">  PALE4C-RS013  </v>
      </c>
      <c r="W1139">
        <f t="shared" ca="1" si="51"/>
        <v>1.08</v>
      </c>
      <c r="X1139" t="str">
        <f t="shared" ca="1" si="52"/>
        <v xml:space="preserve"> PAL4-C-RS000 </v>
      </c>
      <c r="Y1139" s="1">
        <f t="shared" ca="1" si="53"/>
        <v>0.317</v>
      </c>
    </row>
    <row r="1140" spans="1:25" x14ac:dyDescent="0.25">
      <c r="A1140" t="s">
        <v>1588</v>
      </c>
      <c r="B1140" t="s">
        <v>1587</v>
      </c>
      <c r="C1140">
        <v>75</v>
      </c>
      <c r="D1140">
        <v>90</v>
      </c>
      <c r="E1140">
        <v>90</v>
      </c>
      <c r="F1140" s="1">
        <v>0.317</v>
      </c>
      <c r="G1140" t="s">
        <v>1587</v>
      </c>
      <c r="H1140" t="s">
        <v>1587</v>
      </c>
      <c r="I1140">
        <v>41317</v>
      </c>
      <c r="J1140" t="s">
        <v>2447</v>
      </c>
      <c r="K1140">
        <v>3</v>
      </c>
      <c r="L1140">
        <v>-21.6</v>
      </c>
      <c r="M1140">
        <v>13.9</v>
      </c>
      <c r="N1140">
        <v>23.8</v>
      </c>
      <c r="O1140" t="s">
        <v>1608</v>
      </c>
      <c r="P1140" t="s">
        <v>1584</v>
      </c>
      <c r="Q1140">
        <v>2</v>
      </c>
      <c r="R1140">
        <v>0</v>
      </c>
      <c r="S1140">
        <v>-0.04</v>
      </c>
      <c r="T1140" t="s">
        <v>1584</v>
      </c>
      <c r="U1140" t="s">
        <v>1592</v>
      </c>
      <c r="V1140" t="str" cm="1">
        <f t="array" aca="1" ref="V1140" ca="1">IFERROR(_xlfn.IFS(A1138="  ..............",OFFSET(A1138,2,0),A1137=" X-------------X",OFFSET(A1137,3,0),MATCH("  ..............",A1140:A1149,0)&gt;2,V1139),"-")</f>
        <v>-</v>
      </c>
      <c r="W1140" t="str">
        <f t="shared" ca="1" si="51"/>
        <v>-</v>
      </c>
      <c r="X1140" t="str">
        <f t="shared" ca="1" si="52"/>
        <v>-</v>
      </c>
      <c r="Y1140" s="1" t="str">
        <f t="shared" ca="1" si="53"/>
        <v>-</v>
      </c>
    </row>
    <row r="1141" spans="1:25" x14ac:dyDescent="0.25">
      <c r="A1141" t="s">
        <v>1572</v>
      </c>
      <c r="B1141" t="s">
        <v>1574</v>
      </c>
      <c r="C1141" t="s">
        <v>1574</v>
      </c>
      <c r="D1141" t="s">
        <v>1574</v>
      </c>
      <c r="E1141" t="s">
        <v>1574</v>
      </c>
      <c r="F1141" t="s">
        <v>1575</v>
      </c>
      <c r="G1141" t="s">
        <v>1574</v>
      </c>
      <c r="H1141" t="s">
        <v>1574</v>
      </c>
      <c r="I1141" t="s">
        <v>1576</v>
      </c>
      <c r="J1141" t="s">
        <v>1573</v>
      </c>
      <c r="K1141" t="s">
        <v>1577</v>
      </c>
      <c r="L1141" t="s">
        <v>1574</v>
      </c>
      <c r="M1141" t="s">
        <v>1574</v>
      </c>
      <c r="N1141" t="s">
        <v>1574</v>
      </c>
      <c r="O1141" t="s">
        <v>1578</v>
      </c>
      <c r="P1141" t="s">
        <v>1576</v>
      </c>
      <c r="Q1141" t="s">
        <v>1579</v>
      </c>
      <c r="R1141" t="s">
        <v>1580</v>
      </c>
      <c r="S1141" t="s">
        <v>1580</v>
      </c>
      <c r="T1141" t="s">
        <v>1576</v>
      </c>
      <c r="U1141" t="s">
        <v>1576</v>
      </c>
      <c r="V1141" t="str" cm="1">
        <f t="array" aca="1" ref="V1141" ca="1">IFERROR(_xlfn.IFS(A1139="  ..............",OFFSET(A1139,2,0),A1138=" X-------------X",OFFSET(A1138,3,0),MATCH("  ..............",A1141:A1150,0)&gt;2,V1140),"-")</f>
        <v>-</v>
      </c>
      <c r="W1141" t="str">
        <f t="shared" ca="1" si="51"/>
        <v>-</v>
      </c>
      <c r="X1141" t="str">
        <f t="shared" ca="1" si="52"/>
        <v/>
      </c>
      <c r="Y1141" s="1" t="str">
        <f t="shared" ca="1" si="53"/>
        <v/>
      </c>
    </row>
    <row r="1142" spans="1:25" x14ac:dyDescent="0.25">
      <c r="A1142" t="s">
        <v>2448</v>
      </c>
      <c r="B1142">
        <v>1.105</v>
      </c>
      <c r="C1142">
        <v>0.4</v>
      </c>
      <c r="D1142">
        <v>0</v>
      </c>
      <c r="E1142">
        <v>26.4</v>
      </c>
      <c r="F1142">
        <v>0</v>
      </c>
      <c r="G1142">
        <v>8.8000000000000007</v>
      </c>
      <c r="H1142">
        <v>0</v>
      </c>
      <c r="I1142" t="s">
        <v>1581</v>
      </c>
      <c r="J1142" t="s">
        <v>1581</v>
      </c>
      <c r="K1142" t="s">
        <v>1581</v>
      </c>
      <c r="L1142" t="s">
        <v>1581</v>
      </c>
      <c r="M1142" t="s">
        <v>1581</v>
      </c>
      <c r="N1142" t="s">
        <v>1581</v>
      </c>
      <c r="O1142" t="s">
        <v>1581</v>
      </c>
      <c r="P1142" t="s">
        <v>1581</v>
      </c>
      <c r="Q1142" t="s">
        <v>1581</v>
      </c>
      <c r="R1142" t="s">
        <v>1581</v>
      </c>
      <c r="S1142" t="s">
        <v>1581</v>
      </c>
      <c r="T1142" t="s">
        <v>1581</v>
      </c>
      <c r="U1142" t="s">
        <v>1581</v>
      </c>
      <c r="V1142" t="str" cm="1">
        <f t="array" aca="1" ref="V1142" ca="1">IFERROR(_xlfn.IFS(A1140="  ..............",OFFSET(A1140,2,0),A1139=" X-------------X",OFFSET(A1139,3,0),MATCH("  ..............",A1142:A1151,0)&gt;2,V1141),"-")</f>
        <v>-</v>
      </c>
      <c r="W1142" t="str">
        <f t="shared" ca="1" si="51"/>
        <v>-</v>
      </c>
      <c r="X1142" t="str">
        <f t="shared" ca="1" si="52"/>
        <v xml:space="preserve">              </v>
      </c>
      <c r="Y1142" s="1">
        <f t="shared" ca="1" si="53"/>
        <v>0</v>
      </c>
    </row>
    <row r="1143" spans="1:25" x14ac:dyDescent="0.25">
      <c r="A1143" t="s">
        <v>2449</v>
      </c>
      <c r="B1143">
        <v>-56.4</v>
      </c>
      <c r="C1143">
        <v>0</v>
      </c>
      <c r="D1143">
        <v>0</v>
      </c>
      <c r="E1143">
        <v>4.0999999999999996</v>
      </c>
      <c r="F1143">
        <v>0</v>
      </c>
      <c r="G1143">
        <v>0</v>
      </c>
      <c r="H1143">
        <v>0</v>
      </c>
      <c r="I1143" t="s">
        <v>1584</v>
      </c>
      <c r="J1143" t="s">
        <v>1585</v>
      </c>
      <c r="K1143" t="s">
        <v>1586</v>
      </c>
      <c r="L1143" t="s">
        <v>1587</v>
      </c>
      <c r="M1143" t="s">
        <v>1587</v>
      </c>
      <c r="N1143" t="s">
        <v>1586</v>
      </c>
      <c r="O1143" t="s">
        <v>1581</v>
      </c>
      <c r="P1143" t="s">
        <v>1581</v>
      </c>
      <c r="Q1143" t="s">
        <v>1581</v>
      </c>
      <c r="R1143" t="s">
        <v>1581</v>
      </c>
      <c r="S1143" t="s">
        <v>1581</v>
      </c>
      <c r="T1143" t="s">
        <v>1581</v>
      </c>
      <c r="U1143" t="s">
        <v>1581</v>
      </c>
      <c r="V1143" t="str" cm="1">
        <f t="array" aca="1" ref="V1143" ca="1">IFERROR(_xlfn.IFS(A1141="  ..............",OFFSET(A1141,2,0),A1140=" X-------------X",OFFSET(A1140,3,0),MATCH("  ..............",A1143:A1152,0)&gt;2,V1142),"-")</f>
        <v xml:space="preserve">  PALE4D-RS013  </v>
      </c>
      <c r="W1143">
        <f t="shared" ca="1" si="51"/>
        <v>1.105</v>
      </c>
      <c r="X1143" t="str">
        <f t="shared" ca="1" si="52"/>
        <v xml:space="preserve"> PAL4-D-RS000 </v>
      </c>
      <c r="Y1143" s="1">
        <f t="shared" ca="1" si="53"/>
        <v>0.31900000000000001</v>
      </c>
    </row>
    <row r="1144" spans="1:25" x14ac:dyDescent="0.25">
      <c r="A1144" t="s">
        <v>1588</v>
      </c>
      <c r="B1144" t="s">
        <v>1587</v>
      </c>
      <c r="C1144">
        <v>75</v>
      </c>
      <c r="D1144">
        <v>90</v>
      </c>
      <c r="E1144">
        <v>90</v>
      </c>
      <c r="F1144" s="1">
        <v>0.31900000000000001</v>
      </c>
      <c r="G1144" t="s">
        <v>1587</v>
      </c>
      <c r="H1144" t="s">
        <v>1587</v>
      </c>
      <c r="I1144">
        <v>41321</v>
      </c>
      <c r="J1144" t="s">
        <v>2450</v>
      </c>
      <c r="K1144">
        <v>4</v>
      </c>
      <c r="L1144">
        <v>-26</v>
      </c>
      <c r="M1144">
        <v>4.7</v>
      </c>
      <c r="N1144">
        <v>23.9</v>
      </c>
      <c r="O1144" t="s">
        <v>1608</v>
      </c>
      <c r="P1144" t="s">
        <v>1584</v>
      </c>
      <c r="Q1144">
        <v>2</v>
      </c>
      <c r="R1144">
        <v>0</v>
      </c>
      <c r="S1144">
        <v>-0.04</v>
      </c>
      <c r="T1144" t="s">
        <v>1584</v>
      </c>
      <c r="U1144" t="s">
        <v>1592</v>
      </c>
      <c r="V1144" t="str" cm="1">
        <f t="array" aca="1" ref="V1144" ca="1">IFERROR(_xlfn.IFS(A1142="  ..............",OFFSET(A1142,2,0),A1141=" X-------------X",OFFSET(A1141,3,0),MATCH("  ..............",A1144:A1153,0)&gt;2,V1143),"-")</f>
        <v>-</v>
      </c>
      <c r="W1144" t="str">
        <f t="shared" ca="1" si="51"/>
        <v>-</v>
      </c>
      <c r="X1144" t="str">
        <f t="shared" ca="1" si="52"/>
        <v>-</v>
      </c>
      <c r="Y1144" s="1" t="str">
        <f t="shared" ca="1" si="53"/>
        <v>-</v>
      </c>
    </row>
    <row r="1145" spans="1:25" x14ac:dyDescent="0.25">
      <c r="A1145" t="s">
        <v>1572</v>
      </c>
      <c r="B1145" t="s">
        <v>1574</v>
      </c>
      <c r="C1145" t="s">
        <v>1574</v>
      </c>
      <c r="D1145" t="s">
        <v>1574</v>
      </c>
      <c r="E1145" t="s">
        <v>1574</v>
      </c>
      <c r="F1145" t="s">
        <v>1575</v>
      </c>
      <c r="G1145" t="s">
        <v>1574</v>
      </c>
      <c r="H1145" t="s">
        <v>1574</v>
      </c>
      <c r="I1145" t="s">
        <v>1576</v>
      </c>
      <c r="J1145" t="s">
        <v>1573</v>
      </c>
      <c r="K1145" t="s">
        <v>1577</v>
      </c>
      <c r="L1145" t="s">
        <v>1574</v>
      </c>
      <c r="M1145" t="s">
        <v>1574</v>
      </c>
      <c r="N1145" t="s">
        <v>1574</v>
      </c>
      <c r="O1145" t="s">
        <v>1578</v>
      </c>
      <c r="P1145" t="s">
        <v>1576</v>
      </c>
      <c r="Q1145" t="s">
        <v>1579</v>
      </c>
      <c r="R1145" t="s">
        <v>1580</v>
      </c>
      <c r="S1145" t="s">
        <v>1580</v>
      </c>
      <c r="T1145" t="s">
        <v>1576</v>
      </c>
      <c r="U1145" t="s">
        <v>1576</v>
      </c>
      <c r="V1145" t="str" cm="1">
        <f t="array" aca="1" ref="V1145" ca="1">IFERROR(_xlfn.IFS(A1143="  ..............",OFFSET(A1143,2,0),A1142=" X-------------X",OFFSET(A1142,3,0),MATCH("  ..............",A1145:A1154,0)&gt;2,V1144),"-")</f>
        <v>-</v>
      </c>
      <c r="W1145" t="str">
        <f t="shared" ca="1" si="51"/>
        <v>-</v>
      </c>
      <c r="X1145" t="str">
        <f t="shared" ca="1" si="52"/>
        <v/>
      </c>
      <c r="Y1145" s="1" t="str">
        <f t="shared" ca="1" si="53"/>
        <v/>
      </c>
    </row>
    <row r="1146" spans="1:25" x14ac:dyDescent="0.25">
      <c r="A1146" t="s">
        <v>2451</v>
      </c>
      <c r="B1146">
        <v>1.085</v>
      </c>
      <c r="C1146">
        <v>0.2</v>
      </c>
      <c r="D1146">
        <v>0</v>
      </c>
      <c r="E1146">
        <v>21.3</v>
      </c>
      <c r="F1146">
        <v>0</v>
      </c>
      <c r="G1146">
        <v>8.5</v>
      </c>
      <c r="H1146">
        <v>0</v>
      </c>
      <c r="I1146" t="s">
        <v>1581</v>
      </c>
      <c r="J1146" t="s">
        <v>1581</v>
      </c>
      <c r="K1146" t="s">
        <v>1581</v>
      </c>
      <c r="L1146" t="s">
        <v>1581</v>
      </c>
      <c r="M1146" t="s">
        <v>1581</v>
      </c>
      <c r="N1146" t="s">
        <v>1581</v>
      </c>
      <c r="O1146" t="s">
        <v>1581</v>
      </c>
      <c r="P1146" t="s">
        <v>1581</v>
      </c>
      <c r="Q1146" t="s">
        <v>1581</v>
      </c>
      <c r="R1146" t="s">
        <v>1581</v>
      </c>
      <c r="S1146" t="s">
        <v>1581</v>
      </c>
      <c r="T1146" t="s">
        <v>1581</v>
      </c>
      <c r="U1146" t="s">
        <v>1581</v>
      </c>
      <c r="V1146" t="str" cm="1">
        <f t="array" aca="1" ref="V1146" ca="1">IFERROR(_xlfn.IFS(A1144="  ..............",OFFSET(A1144,2,0),A1143=" X-------------X",OFFSET(A1143,3,0),MATCH("  ..............",A1146:A1155,0)&gt;2,V1145),"-")</f>
        <v>-</v>
      </c>
      <c r="W1146" t="str">
        <f t="shared" ca="1" si="51"/>
        <v>-</v>
      </c>
      <c r="X1146" t="str">
        <f t="shared" ca="1" si="52"/>
        <v xml:space="preserve">              </v>
      </c>
      <c r="Y1146" s="1">
        <f t="shared" ca="1" si="53"/>
        <v>0</v>
      </c>
    </row>
    <row r="1147" spans="1:25" x14ac:dyDescent="0.25">
      <c r="A1147" t="s">
        <v>2452</v>
      </c>
      <c r="B1147">
        <v>-55.7</v>
      </c>
      <c r="C1147">
        <v>0</v>
      </c>
      <c r="D1147">
        <v>0</v>
      </c>
      <c r="E1147">
        <v>4.8</v>
      </c>
      <c r="F1147">
        <v>0</v>
      </c>
      <c r="G1147">
        <v>0</v>
      </c>
      <c r="H1147">
        <v>0</v>
      </c>
      <c r="I1147" t="s">
        <v>1584</v>
      </c>
      <c r="J1147" t="s">
        <v>1585</v>
      </c>
      <c r="K1147" t="s">
        <v>1586</v>
      </c>
      <c r="L1147" t="s">
        <v>1587</v>
      </c>
      <c r="M1147" t="s">
        <v>1587</v>
      </c>
      <c r="N1147" t="s">
        <v>1586</v>
      </c>
      <c r="O1147" t="s">
        <v>1581</v>
      </c>
      <c r="P1147" t="s">
        <v>1581</v>
      </c>
      <c r="Q1147" t="s">
        <v>1581</v>
      </c>
      <c r="R1147" t="s">
        <v>1581</v>
      </c>
      <c r="S1147" t="s">
        <v>1581</v>
      </c>
      <c r="T1147" t="s">
        <v>1581</v>
      </c>
      <c r="U1147" t="s">
        <v>1581</v>
      </c>
      <c r="V1147" t="str" cm="1">
        <f t="array" aca="1" ref="V1147" ca="1">IFERROR(_xlfn.IFS(A1145="  ..............",OFFSET(A1145,2,0),A1144=" X-------------X",OFFSET(A1144,3,0),MATCH("  ..............",A1147:A1156,0)&gt;2,V1146),"-")</f>
        <v xml:space="preserve">  PALE4E-RS013  </v>
      </c>
      <c r="W1147">
        <f t="shared" ca="1" si="51"/>
        <v>1.085</v>
      </c>
      <c r="X1147" t="str">
        <f t="shared" ca="1" si="52"/>
        <v xml:space="preserve"> PAL4-E-RS000 </v>
      </c>
      <c r="Y1147" s="1">
        <f t="shared" ca="1" si="53"/>
        <v>0.26300000000000001</v>
      </c>
    </row>
    <row r="1148" spans="1:25" x14ac:dyDescent="0.25">
      <c r="A1148" t="s">
        <v>1588</v>
      </c>
      <c r="B1148" t="s">
        <v>1587</v>
      </c>
      <c r="C1148">
        <v>75</v>
      </c>
      <c r="D1148">
        <v>90</v>
      </c>
      <c r="E1148">
        <v>90</v>
      </c>
      <c r="F1148" s="1">
        <v>0.26300000000000001</v>
      </c>
      <c r="G1148" t="s">
        <v>1587</v>
      </c>
      <c r="H1148" t="s">
        <v>1587</v>
      </c>
      <c r="I1148">
        <v>41322</v>
      </c>
      <c r="J1148" t="s">
        <v>2453</v>
      </c>
      <c r="K1148">
        <v>6</v>
      </c>
      <c r="L1148">
        <v>-21.1</v>
      </c>
      <c r="M1148">
        <v>3.7</v>
      </c>
      <c r="N1148">
        <v>19.7</v>
      </c>
      <c r="O1148" t="s">
        <v>1608</v>
      </c>
      <c r="P1148" t="s">
        <v>1584</v>
      </c>
      <c r="Q1148">
        <v>2</v>
      </c>
      <c r="R1148">
        <v>0</v>
      </c>
      <c r="S1148">
        <v>-0.03</v>
      </c>
      <c r="T1148" t="s">
        <v>1584</v>
      </c>
      <c r="U1148" t="s">
        <v>1592</v>
      </c>
      <c r="V1148" t="str" cm="1">
        <f t="array" aca="1" ref="V1148" ca="1">IFERROR(_xlfn.IFS(A1146="  ..............",OFFSET(A1146,2,0),A1145=" X-------------X",OFFSET(A1145,3,0),MATCH("  ..............",A1148:A1157,0)&gt;2,V1147),"-")</f>
        <v>-</v>
      </c>
      <c r="W1148" t="str">
        <f t="shared" ca="1" si="51"/>
        <v>-</v>
      </c>
      <c r="X1148" t="str">
        <f t="shared" ca="1" si="52"/>
        <v>-</v>
      </c>
      <c r="Y1148" s="1" t="str">
        <f t="shared" ca="1" si="53"/>
        <v>-</v>
      </c>
    </row>
    <row r="1149" spans="1:25" x14ac:dyDescent="0.25">
      <c r="A1149" t="s">
        <v>1572</v>
      </c>
      <c r="B1149" t="s">
        <v>1574</v>
      </c>
      <c r="C1149" t="s">
        <v>1574</v>
      </c>
      <c r="D1149" t="s">
        <v>1574</v>
      </c>
      <c r="E1149" t="s">
        <v>1574</v>
      </c>
      <c r="F1149" t="s">
        <v>1575</v>
      </c>
      <c r="G1149" t="s">
        <v>1574</v>
      </c>
      <c r="H1149" t="s">
        <v>1574</v>
      </c>
      <c r="I1149" t="s">
        <v>1576</v>
      </c>
      <c r="J1149" t="s">
        <v>1573</v>
      </c>
      <c r="K1149" t="s">
        <v>1577</v>
      </c>
      <c r="L1149" t="s">
        <v>1574</v>
      </c>
      <c r="M1149" t="s">
        <v>1574</v>
      </c>
      <c r="N1149" t="s">
        <v>1574</v>
      </c>
      <c r="O1149" t="s">
        <v>1578</v>
      </c>
      <c r="P1149" t="s">
        <v>1576</v>
      </c>
      <c r="Q1149" t="s">
        <v>1579</v>
      </c>
      <c r="R1149" t="s">
        <v>1580</v>
      </c>
      <c r="S1149" t="s">
        <v>1580</v>
      </c>
      <c r="T1149" t="s">
        <v>1576</v>
      </c>
      <c r="U1149" t="s">
        <v>1576</v>
      </c>
      <c r="V1149" t="str" cm="1">
        <f t="array" aca="1" ref="V1149" ca="1">IFERROR(_xlfn.IFS(A1147="  ..............",OFFSET(A1147,2,0),A1146=" X-------------X",OFFSET(A1146,3,0),MATCH("  ..............",A1149:A1158,0)&gt;2,V1148),"-")</f>
        <v>-</v>
      </c>
      <c r="W1149" t="str">
        <f t="shared" ca="1" si="51"/>
        <v>-</v>
      </c>
      <c r="X1149" t="str">
        <f t="shared" ca="1" si="52"/>
        <v/>
      </c>
      <c r="Y1149" s="1" t="str">
        <f t="shared" ca="1" si="53"/>
        <v/>
      </c>
    </row>
    <row r="1150" spans="1:25" x14ac:dyDescent="0.25">
      <c r="A1150" t="s">
        <v>2454</v>
      </c>
      <c r="B1150">
        <v>1.012</v>
      </c>
      <c r="C1150">
        <v>0.6</v>
      </c>
      <c r="D1150">
        <v>0</v>
      </c>
      <c r="E1150">
        <v>21.2</v>
      </c>
      <c r="F1150">
        <v>0</v>
      </c>
      <c r="G1150">
        <v>7.4</v>
      </c>
      <c r="H1150">
        <v>0</v>
      </c>
      <c r="I1150" t="s">
        <v>1581</v>
      </c>
      <c r="J1150" t="s">
        <v>1581</v>
      </c>
      <c r="K1150" t="s">
        <v>1581</v>
      </c>
      <c r="L1150" t="s">
        <v>1581</v>
      </c>
      <c r="M1150" t="s">
        <v>1581</v>
      </c>
      <c r="N1150" t="s">
        <v>1581</v>
      </c>
      <c r="O1150" t="s">
        <v>1581</v>
      </c>
      <c r="P1150" t="s">
        <v>1581</v>
      </c>
      <c r="Q1150" t="s">
        <v>1581</v>
      </c>
      <c r="R1150" t="s">
        <v>1581</v>
      </c>
      <c r="S1150" t="s">
        <v>1581</v>
      </c>
      <c r="T1150" t="s">
        <v>1581</v>
      </c>
      <c r="U1150" t="s">
        <v>1581</v>
      </c>
      <c r="V1150" t="str" cm="1">
        <f t="array" aca="1" ref="V1150" ca="1">IFERROR(_xlfn.IFS(A1148="  ..............",OFFSET(A1148,2,0),A1147=" X-------------X",OFFSET(A1147,3,0),MATCH("  ..............",A1150:A1159,0)&gt;2,V1149),"-")</f>
        <v>-</v>
      </c>
      <c r="W1150" t="str">
        <f t="shared" ca="1" si="51"/>
        <v>-</v>
      </c>
      <c r="X1150" t="str">
        <f t="shared" ca="1" si="52"/>
        <v xml:space="preserve">              </v>
      </c>
      <c r="Y1150" s="1">
        <f t="shared" ca="1" si="53"/>
        <v>0</v>
      </c>
    </row>
    <row r="1151" spans="1:25" x14ac:dyDescent="0.25">
      <c r="A1151" t="s">
        <v>2455</v>
      </c>
      <c r="B1151">
        <v>-54.6</v>
      </c>
      <c r="C1151">
        <v>0</v>
      </c>
      <c r="D1151">
        <v>0</v>
      </c>
      <c r="E1151">
        <v>5.0999999999999996</v>
      </c>
      <c r="F1151">
        <v>0</v>
      </c>
      <c r="G1151">
        <v>0</v>
      </c>
      <c r="H1151">
        <v>0</v>
      </c>
      <c r="I1151" t="s">
        <v>1584</v>
      </c>
      <c r="J1151" t="s">
        <v>1585</v>
      </c>
      <c r="K1151" t="s">
        <v>1586</v>
      </c>
      <c r="L1151" t="s">
        <v>1587</v>
      </c>
      <c r="M1151" t="s">
        <v>1587</v>
      </c>
      <c r="N1151" t="s">
        <v>1586</v>
      </c>
      <c r="O1151" t="s">
        <v>1581</v>
      </c>
      <c r="P1151" t="s">
        <v>1581</v>
      </c>
      <c r="Q1151" t="s">
        <v>1581</v>
      </c>
      <c r="R1151" t="s">
        <v>1581</v>
      </c>
      <c r="S1151" t="s">
        <v>1581</v>
      </c>
      <c r="T1151" t="s">
        <v>1581</v>
      </c>
      <c r="U1151" t="s">
        <v>1581</v>
      </c>
      <c r="V1151" t="str" cm="1">
        <f t="array" aca="1" ref="V1151" ca="1">IFERROR(_xlfn.IFS(A1149="  ..............",OFFSET(A1149,2,0),A1148=" X-------------X",OFFSET(A1148,3,0),MATCH("  ..............",A1151:A1160,0)&gt;2,V1150),"-")</f>
        <v xml:space="preserve">  FLORES-RS069  </v>
      </c>
      <c r="W1151">
        <f t="shared" ca="1" si="51"/>
        <v>1.012</v>
      </c>
      <c r="X1151" t="str">
        <f t="shared" ca="1" si="52"/>
        <v xml:space="preserve"> PALEG1-RS069 </v>
      </c>
      <c r="Y1151" s="1">
        <f t="shared" ca="1" si="53"/>
        <v>0.26900000000000002</v>
      </c>
    </row>
    <row r="1152" spans="1:25" x14ac:dyDescent="0.25">
      <c r="A1152" t="s">
        <v>1588</v>
      </c>
      <c r="B1152" t="s">
        <v>1587</v>
      </c>
      <c r="C1152">
        <v>100</v>
      </c>
      <c r="D1152">
        <v>100</v>
      </c>
      <c r="E1152">
        <v>100</v>
      </c>
      <c r="F1152" s="1">
        <v>0.20499999999999999</v>
      </c>
      <c r="G1152" t="s">
        <v>1587</v>
      </c>
      <c r="H1152" t="s">
        <v>1587</v>
      </c>
      <c r="I1152">
        <v>9962</v>
      </c>
      <c r="J1152" t="s">
        <v>2405</v>
      </c>
      <c r="K1152">
        <v>1</v>
      </c>
      <c r="L1152">
        <v>-20.6</v>
      </c>
      <c r="M1152">
        <v>2.2999999999999998</v>
      </c>
      <c r="N1152">
        <v>20.5</v>
      </c>
      <c r="O1152" t="s">
        <v>1594</v>
      </c>
      <c r="P1152" t="s">
        <v>1584</v>
      </c>
      <c r="Q1152" t="s">
        <v>1591</v>
      </c>
      <c r="R1152">
        <v>0.01</v>
      </c>
      <c r="S1152">
        <v>-1.3</v>
      </c>
      <c r="T1152" t="s">
        <v>1584</v>
      </c>
      <c r="U1152" t="s">
        <v>1592</v>
      </c>
      <c r="V1152" t="str" cm="1">
        <f t="array" aca="1" ref="V1152" ca="1">IFERROR(_xlfn.IFS(A1150="  ..............",OFFSET(A1150,2,0),A1149=" X-------------X",OFFSET(A1149,3,0),MATCH("  ..............",A1152:A1161,0)&gt;2,V1151),"-")</f>
        <v>-</v>
      </c>
      <c r="W1152" t="str">
        <f t="shared" ca="1" si="51"/>
        <v>-</v>
      </c>
      <c r="X1152" t="str">
        <f t="shared" ca="1" si="52"/>
        <v>-</v>
      </c>
      <c r="Y1152" s="1" t="str">
        <f t="shared" ca="1" si="53"/>
        <v>-</v>
      </c>
    </row>
    <row r="1153" spans="1:25" x14ac:dyDescent="0.25">
      <c r="A1153" t="s">
        <v>1572</v>
      </c>
      <c r="B1153" t="s">
        <v>1574</v>
      </c>
      <c r="C1153" t="s">
        <v>1574</v>
      </c>
      <c r="D1153" t="s">
        <v>1574</v>
      </c>
      <c r="E1153" t="s">
        <v>1574</v>
      </c>
      <c r="F1153" t="s">
        <v>1575</v>
      </c>
      <c r="G1153" t="s">
        <v>1574</v>
      </c>
      <c r="H1153" t="s">
        <v>1574</v>
      </c>
      <c r="I1153" t="s">
        <v>1576</v>
      </c>
      <c r="J1153" t="s">
        <v>1573</v>
      </c>
      <c r="K1153" t="s">
        <v>1577</v>
      </c>
      <c r="L1153" t="s">
        <v>1574</v>
      </c>
      <c r="M1153" t="s">
        <v>1574</v>
      </c>
      <c r="N1153" t="s">
        <v>1574</v>
      </c>
      <c r="O1153" t="s">
        <v>1578</v>
      </c>
      <c r="P1153" t="s">
        <v>1576</v>
      </c>
      <c r="Q1153" t="s">
        <v>1579</v>
      </c>
      <c r="R1153" t="s">
        <v>1580</v>
      </c>
      <c r="S1153" t="s">
        <v>1580</v>
      </c>
      <c r="T1153" t="s">
        <v>1576</v>
      </c>
      <c r="U1153" t="s">
        <v>1576</v>
      </c>
      <c r="V1153" t="str" cm="1">
        <f t="array" aca="1" ref="V1153" ca="1">IFERROR(_xlfn.IFS(A1151="  ..............",OFFSET(A1151,2,0),A1150=" X-------------X",OFFSET(A1150,3,0),MATCH("  ..............",A1153:A1162,0)&gt;2,V1152),"-")</f>
        <v>-</v>
      </c>
      <c r="W1153" t="str">
        <f t="shared" ca="1" si="51"/>
        <v>-</v>
      </c>
      <c r="X1153" t="str">
        <f t="shared" ca="1" si="52"/>
        <v/>
      </c>
      <c r="Y1153" s="1" t="str">
        <f t="shared" ca="1" si="53"/>
        <v/>
      </c>
    </row>
    <row r="1154" spans="1:25" x14ac:dyDescent="0.25">
      <c r="A1154" t="s">
        <v>2456</v>
      </c>
      <c r="B1154">
        <v>1.012</v>
      </c>
      <c r="C1154">
        <v>0.8</v>
      </c>
      <c r="D1154">
        <v>0</v>
      </c>
      <c r="E1154">
        <v>36.1</v>
      </c>
      <c r="F1154">
        <v>0</v>
      </c>
      <c r="G1154">
        <v>7.4</v>
      </c>
      <c r="H1154">
        <v>0</v>
      </c>
      <c r="I1154" t="s">
        <v>1581</v>
      </c>
      <c r="J1154" t="s">
        <v>1581</v>
      </c>
      <c r="K1154" t="s">
        <v>1581</v>
      </c>
      <c r="L1154" t="s">
        <v>1581</v>
      </c>
      <c r="M1154" t="s">
        <v>1581</v>
      </c>
      <c r="N1154" t="s">
        <v>1581</v>
      </c>
      <c r="O1154" t="s">
        <v>1581</v>
      </c>
      <c r="P1154" t="s">
        <v>1581</v>
      </c>
      <c r="Q1154" t="s">
        <v>1581</v>
      </c>
      <c r="R1154" t="s">
        <v>1581</v>
      </c>
      <c r="S1154" t="s">
        <v>1581</v>
      </c>
      <c r="T1154" t="s">
        <v>1581</v>
      </c>
      <c r="U1154" t="s">
        <v>1581</v>
      </c>
      <c r="V1154" t="str" cm="1">
        <f t="array" aca="1" ref="V1154" ca="1">IFERROR(_xlfn.IFS(A1152="  ..............",OFFSET(A1152,2,0),A1151=" X-------------X",OFFSET(A1151,3,0),MATCH("  ..............",A1154:A1163,0)&gt;2,V1153),"-")</f>
        <v>-</v>
      </c>
      <c r="W1154" t="str">
        <f t="shared" ca="1" si="51"/>
        <v>-</v>
      </c>
      <c r="X1154" t="str">
        <f t="shared" ca="1" si="52"/>
        <v xml:space="preserve">              </v>
      </c>
      <c r="Y1154" s="1">
        <f t="shared" ca="1" si="53"/>
        <v>0</v>
      </c>
    </row>
    <row r="1155" spans="1:25" x14ac:dyDescent="0.25">
      <c r="A1155" t="s">
        <v>2457</v>
      </c>
      <c r="B1155">
        <v>-55</v>
      </c>
      <c r="C1155">
        <v>0</v>
      </c>
      <c r="D1155">
        <v>0</v>
      </c>
      <c r="E1155">
        <v>8.5</v>
      </c>
      <c r="F1155">
        <v>0</v>
      </c>
      <c r="G1155">
        <v>0</v>
      </c>
      <c r="H1155">
        <v>0</v>
      </c>
      <c r="I1155" t="s">
        <v>1584</v>
      </c>
      <c r="J1155" t="s">
        <v>1585</v>
      </c>
      <c r="K1155" t="s">
        <v>1586</v>
      </c>
      <c r="L1155" t="s">
        <v>1587</v>
      </c>
      <c r="M1155" t="s">
        <v>1587</v>
      </c>
      <c r="N1155" t="s">
        <v>1586</v>
      </c>
      <c r="O1155" t="s">
        <v>1581</v>
      </c>
      <c r="P1155" t="s">
        <v>1581</v>
      </c>
      <c r="Q1155" t="s">
        <v>1581</v>
      </c>
      <c r="R1155" t="s">
        <v>1581</v>
      </c>
      <c r="S1155" t="s">
        <v>1581</v>
      </c>
      <c r="T1155" t="s">
        <v>1581</v>
      </c>
      <c r="U1155" t="s">
        <v>1581</v>
      </c>
      <c r="V1155" t="str" cm="1">
        <f t="array" aca="1" ref="V1155" ca="1">IFERROR(_xlfn.IFS(A1153="  ..............",OFFSET(A1153,2,0),A1152=" X-------------X",OFFSET(A1152,3,0),MATCH("  ..............",A1155:A1164,0)&gt;2,V1154),"-")</f>
        <v xml:space="preserve">  PALE20-RS069  </v>
      </c>
      <c r="W1155">
        <f t="shared" ca="1" si="51"/>
        <v>1.012</v>
      </c>
      <c r="X1155" t="str">
        <f t="shared" ca="1" si="52"/>
        <v xml:space="preserve"> GKNPAL-RS069 </v>
      </c>
      <c r="Y1155" s="1">
        <f t="shared" ca="1" si="53"/>
        <v>0.628</v>
      </c>
    </row>
    <row r="1156" spans="1:25" x14ac:dyDescent="0.25">
      <c r="A1156" t="s">
        <v>1588</v>
      </c>
      <c r="B1156" t="s">
        <v>1587</v>
      </c>
      <c r="C1156">
        <v>84</v>
      </c>
      <c r="D1156">
        <v>101</v>
      </c>
      <c r="E1156">
        <v>101</v>
      </c>
      <c r="F1156" s="1">
        <v>0.48199999999999998</v>
      </c>
      <c r="G1156" t="s">
        <v>1587</v>
      </c>
      <c r="H1156" t="s">
        <v>1587</v>
      </c>
      <c r="I1156">
        <v>9226</v>
      </c>
      <c r="J1156" t="s">
        <v>1924</v>
      </c>
      <c r="K1156">
        <v>1</v>
      </c>
      <c r="L1156">
        <v>-40.799999999999997</v>
      </c>
      <c r="M1156">
        <v>-3.3</v>
      </c>
      <c r="N1156">
        <v>40.5</v>
      </c>
      <c r="O1156" t="s">
        <v>1594</v>
      </c>
      <c r="P1156" t="s">
        <v>1584</v>
      </c>
      <c r="Q1156" t="s">
        <v>1591</v>
      </c>
      <c r="R1156">
        <v>7.0000000000000007E-2</v>
      </c>
      <c r="S1156">
        <v>0.21</v>
      </c>
      <c r="T1156" t="s">
        <v>1584</v>
      </c>
      <c r="U1156" t="s">
        <v>1592</v>
      </c>
      <c r="V1156" t="str" cm="1">
        <f t="array" aca="1" ref="V1156" ca="1">IFERROR(_xlfn.IFS(A1154="  ..............",OFFSET(A1154,2,0),A1153=" X-------------X",OFFSET(A1153,3,0),MATCH("  ..............",A1156:A1165,0)&gt;2,V1155),"-")</f>
        <v xml:space="preserve">  PALE20-RS069  </v>
      </c>
      <c r="W1156">
        <f t="shared" ref="W1156:W1219" ca="1" si="54">IFERROR(OFFSET($A$1,MATCH(V1156,A:A,0)-2,1),"-")</f>
        <v>1.012</v>
      </c>
      <c r="X1156" t="str">
        <f t="shared" ref="X1156:X1219" ca="1" si="55">IFERROR(IF(V1156=V1155,OFFSET($J$1,ROW(X1156),0),OFFSET($J$1,MATCH(V1156,A:A,0),0)),"-")</f>
        <v xml:space="preserve"> FRAPOR-RS069 </v>
      </c>
      <c r="Y1156" s="1">
        <f t="shared" ref="Y1156:Y1219" ca="1" si="56">IFERROR(OFFSET($F$1,MATCH(X1156,J:J,0)-1,0),"-")</f>
        <v>7.2999999999999995E-2</v>
      </c>
    </row>
    <row r="1157" spans="1:25" x14ac:dyDescent="0.25">
      <c r="A1157" t="s">
        <v>1588</v>
      </c>
      <c r="B1157" t="s">
        <v>1587</v>
      </c>
      <c r="C1157">
        <v>80</v>
      </c>
      <c r="D1157">
        <v>95</v>
      </c>
      <c r="E1157">
        <v>95</v>
      </c>
      <c r="F1157" s="1">
        <v>7.2999999999999995E-2</v>
      </c>
      <c r="G1157" t="s">
        <v>1587</v>
      </c>
      <c r="H1157" t="s">
        <v>1587</v>
      </c>
      <c r="I1157">
        <v>10240</v>
      </c>
      <c r="J1157" t="s">
        <v>2458</v>
      </c>
      <c r="K1157">
        <v>1</v>
      </c>
      <c r="L1157">
        <v>5.5</v>
      </c>
      <c r="M1157">
        <v>2.1</v>
      </c>
      <c r="N1157">
        <v>5.8</v>
      </c>
      <c r="O1157" t="s">
        <v>1594</v>
      </c>
      <c r="P1157" t="s">
        <v>1584</v>
      </c>
      <c r="Q1157" t="s">
        <v>1591</v>
      </c>
      <c r="R1157">
        <v>0</v>
      </c>
      <c r="S1157">
        <v>-0.05</v>
      </c>
      <c r="T1157" t="s">
        <v>1584</v>
      </c>
      <c r="U1157" t="s">
        <v>1592</v>
      </c>
      <c r="V1157" t="str" cm="1">
        <f t="array" aca="1" ref="V1157" ca="1">IFERROR(_xlfn.IFS(A1155="  ..............",OFFSET(A1155,2,0),A1154=" X-------------X",OFFSET(A1154,3,0),MATCH("  ..............",A1157:A1166,0)&gt;2,V1156),"-")</f>
        <v>-</v>
      </c>
      <c r="W1157" t="str">
        <f t="shared" ca="1" si="54"/>
        <v>-</v>
      </c>
      <c r="X1157" t="str">
        <f t="shared" ca="1" si="55"/>
        <v>-</v>
      </c>
      <c r="Y1157" s="1" t="str">
        <f t="shared" ca="1" si="56"/>
        <v>-</v>
      </c>
    </row>
    <row r="1158" spans="1:25" x14ac:dyDescent="0.25">
      <c r="A1158" t="s">
        <v>1572</v>
      </c>
      <c r="B1158" t="s">
        <v>1574</v>
      </c>
      <c r="C1158" t="s">
        <v>1574</v>
      </c>
      <c r="D1158" t="s">
        <v>1574</v>
      </c>
      <c r="E1158" t="s">
        <v>1574</v>
      </c>
      <c r="F1158" t="s">
        <v>1575</v>
      </c>
      <c r="G1158" t="s">
        <v>1574</v>
      </c>
      <c r="H1158" t="s">
        <v>1574</v>
      </c>
      <c r="I1158" t="s">
        <v>1576</v>
      </c>
      <c r="J1158" t="s">
        <v>1573</v>
      </c>
      <c r="K1158" t="s">
        <v>1577</v>
      </c>
      <c r="L1158" t="s">
        <v>1574</v>
      </c>
      <c r="M1158" t="s">
        <v>1574</v>
      </c>
      <c r="N1158" t="s">
        <v>1574</v>
      </c>
      <c r="O1158" t="s">
        <v>1578</v>
      </c>
      <c r="P1158" t="s">
        <v>1576</v>
      </c>
      <c r="Q1158" t="s">
        <v>1579</v>
      </c>
      <c r="R1158" t="s">
        <v>1580</v>
      </c>
      <c r="S1158" t="s">
        <v>1580</v>
      </c>
      <c r="T1158" t="s">
        <v>1576</v>
      </c>
      <c r="U1158" t="s">
        <v>1576</v>
      </c>
      <c r="V1158" t="str" cm="1">
        <f t="array" aca="1" ref="V1158" ca="1">IFERROR(_xlfn.IFS(A1156="  ..............",OFFSET(A1156,2,0),A1155=" X-------------X",OFFSET(A1155,3,0),MATCH("  ..............",A1158:A1167,0)&gt;2,V1157),"-")</f>
        <v>-</v>
      </c>
      <c r="W1158" t="str">
        <f t="shared" ca="1" si="54"/>
        <v>-</v>
      </c>
      <c r="X1158" t="str">
        <f t="shared" ca="1" si="55"/>
        <v/>
      </c>
      <c r="Y1158" s="1" t="str">
        <f t="shared" ca="1" si="56"/>
        <v/>
      </c>
    </row>
    <row r="1159" spans="1:25" x14ac:dyDescent="0.25">
      <c r="A1159" t="s">
        <v>2459</v>
      </c>
      <c r="B1159">
        <v>1.0089999999999999</v>
      </c>
      <c r="C1159">
        <v>1</v>
      </c>
      <c r="D1159">
        <v>0</v>
      </c>
      <c r="E1159">
        <v>29.3</v>
      </c>
      <c r="F1159">
        <v>0</v>
      </c>
      <c r="G1159">
        <v>7.3</v>
      </c>
      <c r="H1159">
        <v>0</v>
      </c>
      <c r="I1159" t="s">
        <v>1581</v>
      </c>
      <c r="J1159" t="s">
        <v>1581</v>
      </c>
      <c r="K1159" t="s">
        <v>1581</v>
      </c>
      <c r="L1159" t="s">
        <v>1581</v>
      </c>
      <c r="M1159" t="s">
        <v>1581</v>
      </c>
      <c r="N1159" t="s">
        <v>1581</v>
      </c>
      <c r="O1159" t="s">
        <v>1581</v>
      </c>
      <c r="P1159" t="s">
        <v>1581</v>
      </c>
      <c r="Q1159" t="s">
        <v>1581</v>
      </c>
      <c r="R1159" t="s">
        <v>1581</v>
      </c>
      <c r="S1159" t="s">
        <v>1581</v>
      </c>
      <c r="T1159" t="s">
        <v>1581</v>
      </c>
      <c r="U1159" t="s">
        <v>1581</v>
      </c>
      <c r="V1159" t="str" cm="1">
        <f t="array" aca="1" ref="V1159" ca="1">IFERROR(_xlfn.IFS(A1157="  ..............",OFFSET(A1157,2,0),A1156=" X-------------X",OFFSET(A1156,3,0),MATCH("  ..............",A1159:A1168,0)&gt;2,V1158),"-")</f>
        <v>-</v>
      </c>
      <c r="W1159" t="str">
        <f t="shared" ca="1" si="54"/>
        <v>-</v>
      </c>
      <c r="X1159" t="str">
        <f t="shared" ca="1" si="55"/>
        <v xml:space="preserve">              </v>
      </c>
      <c r="Y1159" s="1">
        <f t="shared" ca="1" si="56"/>
        <v>0</v>
      </c>
    </row>
    <row r="1160" spans="1:25" x14ac:dyDescent="0.25">
      <c r="A1160" t="s">
        <v>2460</v>
      </c>
      <c r="B1160">
        <v>-55.9</v>
      </c>
      <c r="C1160">
        <v>0</v>
      </c>
      <c r="D1160">
        <v>0</v>
      </c>
      <c r="E1160">
        <v>10.7</v>
      </c>
      <c r="F1160">
        <v>0</v>
      </c>
      <c r="G1160">
        <v>0</v>
      </c>
      <c r="H1160">
        <v>0</v>
      </c>
      <c r="I1160" t="s">
        <v>1584</v>
      </c>
      <c r="J1160" t="s">
        <v>1585</v>
      </c>
      <c r="K1160" t="s">
        <v>1586</v>
      </c>
      <c r="L1160" t="s">
        <v>1587</v>
      </c>
      <c r="M1160" t="s">
        <v>1587</v>
      </c>
      <c r="N1160" t="s">
        <v>1586</v>
      </c>
      <c r="O1160" t="s">
        <v>1581</v>
      </c>
      <c r="P1160" t="s">
        <v>1581</v>
      </c>
      <c r="Q1160" t="s">
        <v>1581</v>
      </c>
      <c r="R1160" t="s">
        <v>1581</v>
      </c>
      <c r="S1160" t="s">
        <v>1581</v>
      </c>
      <c r="T1160" t="s">
        <v>1581</v>
      </c>
      <c r="U1160" t="s">
        <v>1581</v>
      </c>
      <c r="V1160" t="str" cm="1">
        <f t="array" aca="1" ref="V1160" ca="1">IFERROR(_xlfn.IFS(A1158="  ..............",OFFSET(A1158,2,0),A1157=" X-------------X",OFFSET(A1157,3,0),MATCH("  ..............",A1160:A1169,0)&gt;2,V1159),"-")</f>
        <v xml:space="preserve">  MENDEU-RS069  </v>
      </c>
      <c r="W1160">
        <f t="shared" ca="1" si="54"/>
        <v>1.0089999999999999</v>
      </c>
      <c r="X1160" t="str">
        <f t="shared" ca="1" si="55"/>
        <v xml:space="preserve"> HOSCLI-RS069 </v>
      </c>
      <c r="Y1160" s="1">
        <f t="shared" ca="1" si="56"/>
        <v>0.46100000000000002</v>
      </c>
    </row>
    <row r="1161" spans="1:25" x14ac:dyDescent="0.25">
      <c r="A1161" t="s">
        <v>1588</v>
      </c>
      <c r="B1161" t="s">
        <v>1587</v>
      </c>
      <c r="C1161">
        <v>80</v>
      </c>
      <c r="D1161">
        <v>95</v>
      </c>
      <c r="E1161">
        <v>95</v>
      </c>
      <c r="F1161" s="1">
        <v>0.35299999999999998</v>
      </c>
      <c r="G1161" t="s">
        <v>1587</v>
      </c>
      <c r="H1161" t="s">
        <v>1587</v>
      </c>
      <c r="I1161">
        <v>10024</v>
      </c>
      <c r="J1161" t="s">
        <v>1919</v>
      </c>
      <c r="K1161">
        <v>1</v>
      </c>
      <c r="L1161">
        <v>-28.3</v>
      </c>
      <c r="M1161">
        <v>-3.4</v>
      </c>
      <c r="N1161">
        <v>28.2</v>
      </c>
      <c r="O1161" t="s">
        <v>1594</v>
      </c>
      <c r="P1161" t="s">
        <v>1584</v>
      </c>
      <c r="Q1161" t="s">
        <v>1591</v>
      </c>
      <c r="R1161">
        <v>0.09</v>
      </c>
      <c r="S1161">
        <v>-1.68</v>
      </c>
      <c r="T1161" t="s">
        <v>1584</v>
      </c>
      <c r="U1161" t="s">
        <v>1592</v>
      </c>
      <c r="V1161" t="str" cm="1">
        <f t="array" aca="1" ref="V1161" ca="1">IFERROR(_xlfn.IFS(A1159="  ..............",OFFSET(A1159,2,0),A1158=" X-------------X",OFFSET(A1158,3,0),MATCH("  ..............",A1161:A1170,0)&gt;2,V1160),"-")</f>
        <v>-</v>
      </c>
      <c r="W1161" t="str">
        <f t="shared" ca="1" si="54"/>
        <v>-</v>
      </c>
      <c r="X1161" t="str">
        <f t="shared" ca="1" si="55"/>
        <v>-</v>
      </c>
      <c r="Y1161" s="1" t="str">
        <f t="shared" ca="1" si="56"/>
        <v>-</v>
      </c>
    </row>
    <row r="1162" spans="1:25" x14ac:dyDescent="0.25">
      <c r="A1162" t="s">
        <v>1572</v>
      </c>
      <c r="B1162" t="s">
        <v>1574</v>
      </c>
      <c r="C1162" t="s">
        <v>1574</v>
      </c>
      <c r="D1162" t="s">
        <v>1574</v>
      </c>
      <c r="E1162" t="s">
        <v>1574</v>
      </c>
      <c r="F1162" t="s">
        <v>1575</v>
      </c>
      <c r="G1162" t="s">
        <v>1574</v>
      </c>
      <c r="H1162" t="s">
        <v>1574</v>
      </c>
      <c r="I1162" t="s">
        <v>1576</v>
      </c>
      <c r="J1162" t="s">
        <v>1573</v>
      </c>
      <c r="K1162" t="s">
        <v>1577</v>
      </c>
      <c r="L1162" t="s">
        <v>1574</v>
      </c>
      <c r="M1162" t="s">
        <v>1574</v>
      </c>
      <c r="N1162" t="s">
        <v>1574</v>
      </c>
      <c r="O1162" t="s">
        <v>1578</v>
      </c>
      <c r="P1162" t="s">
        <v>1576</v>
      </c>
      <c r="Q1162" t="s">
        <v>1579</v>
      </c>
      <c r="R1162" t="s">
        <v>1580</v>
      </c>
      <c r="S1162" t="s">
        <v>1580</v>
      </c>
      <c r="T1162" t="s">
        <v>1576</v>
      </c>
      <c r="U1162" t="s">
        <v>1576</v>
      </c>
      <c r="V1162" t="str" cm="1">
        <f t="array" aca="1" ref="V1162" ca="1">IFERROR(_xlfn.IFS(A1160="  ..............",OFFSET(A1160,2,0),A1159=" X-------------X",OFFSET(A1159,3,0),MATCH("  ..............",A1162:A1171,0)&gt;2,V1161),"-")</f>
        <v>-</v>
      </c>
      <c r="W1162" t="str">
        <f t="shared" ca="1" si="54"/>
        <v>-</v>
      </c>
      <c r="X1162" t="str">
        <f t="shared" ca="1" si="55"/>
        <v/>
      </c>
      <c r="Y1162" s="1" t="str">
        <f t="shared" ca="1" si="56"/>
        <v/>
      </c>
    </row>
    <row r="1163" spans="1:25" x14ac:dyDescent="0.25">
      <c r="A1163" t="s">
        <v>2461</v>
      </c>
      <c r="B1163">
        <v>1.018</v>
      </c>
      <c r="C1163">
        <v>1.1000000000000001</v>
      </c>
      <c r="D1163">
        <v>0</v>
      </c>
      <c r="E1163">
        <v>24.2</v>
      </c>
      <c r="F1163">
        <v>0</v>
      </c>
      <c r="G1163">
        <v>7.5</v>
      </c>
      <c r="H1163">
        <v>0</v>
      </c>
      <c r="I1163" t="s">
        <v>1581</v>
      </c>
      <c r="J1163" t="s">
        <v>1581</v>
      </c>
      <c r="K1163" t="s">
        <v>1581</v>
      </c>
      <c r="L1163" t="s">
        <v>1581</v>
      </c>
      <c r="M1163" t="s">
        <v>1581</v>
      </c>
      <c r="N1163" t="s">
        <v>1581</v>
      </c>
      <c r="O1163" t="s">
        <v>1581</v>
      </c>
      <c r="P1163" t="s">
        <v>1581</v>
      </c>
      <c r="Q1163" t="s">
        <v>1581</v>
      </c>
      <c r="R1163" t="s">
        <v>1581</v>
      </c>
      <c r="S1163" t="s">
        <v>1581</v>
      </c>
      <c r="T1163" t="s">
        <v>1581</v>
      </c>
      <c r="U1163" t="s">
        <v>1581</v>
      </c>
      <c r="V1163" t="str" cm="1">
        <f t="array" aca="1" ref="V1163" ca="1">IFERROR(_xlfn.IFS(A1161="  ..............",OFFSET(A1161,2,0),A1160=" X-------------X",OFFSET(A1160,3,0),MATCH("  ..............",A1163:A1172,0)&gt;2,V1162),"-")</f>
        <v>-</v>
      </c>
      <c r="W1163" t="str">
        <f t="shared" ca="1" si="54"/>
        <v>-</v>
      </c>
      <c r="X1163" t="str">
        <f t="shared" ca="1" si="55"/>
        <v xml:space="preserve">              </v>
      </c>
      <c r="Y1163" s="1">
        <f t="shared" ca="1" si="56"/>
        <v>0</v>
      </c>
    </row>
    <row r="1164" spans="1:25" x14ac:dyDescent="0.25">
      <c r="A1164" t="s">
        <v>2462</v>
      </c>
      <c r="B1164">
        <v>-55.5</v>
      </c>
      <c r="C1164">
        <v>0</v>
      </c>
      <c r="D1164">
        <v>0</v>
      </c>
      <c r="E1164">
        <v>6.4</v>
      </c>
      <c r="F1164">
        <v>0</v>
      </c>
      <c r="G1164">
        <v>0</v>
      </c>
      <c r="H1164">
        <v>0</v>
      </c>
      <c r="I1164" t="s">
        <v>1584</v>
      </c>
      <c r="J1164" t="s">
        <v>1585</v>
      </c>
      <c r="K1164" t="s">
        <v>1586</v>
      </c>
      <c r="L1164" t="s">
        <v>1587</v>
      </c>
      <c r="M1164" t="s">
        <v>1587</v>
      </c>
      <c r="N1164" t="s">
        <v>1586</v>
      </c>
      <c r="O1164" t="s">
        <v>1581</v>
      </c>
      <c r="P1164" t="s">
        <v>1581</v>
      </c>
      <c r="Q1164" t="s">
        <v>1581</v>
      </c>
      <c r="R1164" t="s">
        <v>1581</v>
      </c>
      <c r="S1164" t="s">
        <v>1581</v>
      </c>
      <c r="T1164" t="s">
        <v>1581</v>
      </c>
      <c r="U1164" t="s">
        <v>1581</v>
      </c>
      <c r="V1164" t="str" cm="1">
        <f t="array" aca="1" ref="V1164" ca="1">IFERROR(_xlfn.IFS(A1162="  ..............",OFFSET(A1162,2,0),A1161=" X-------------X",OFFSET(A1161,3,0),MATCH("  ..............",A1164:A1173,0)&gt;2,V1163),"-")</f>
        <v xml:space="preserve">  ALVOR2-RS069  </v>
      </c>
      <c r="W1164">
        <f t="shared" ca="1" si="54"/>
        <v>1.018</v>
      </c>
      <c r="X1164" t="str">
        <f t="shared" ca="1" si="55"/>
        <v xml:space="preserve"> GRAVA2-RS069 </v>
      </c>
      <c r="Y1164" s="1">
        <f t="shared" ca="1" si="56"/>
        <v>0.47299999999999998</v>
      </c>
    </row>
    <row r="1165" spans="1:25" x14ac:dyDescent="0.25">
      <c r="A1165" t="s">
        <v>1588</v>
      </c>
      <c r="B1165" t="s">
        <v>1587</v>
      </c>
      <c r="C1165">
        <v>54</v>
      </c>
      <c r="D1165">
        <v>79</v>
      </c>
      <c r="E1165">
        <v>79</v>
      </c>
      <c r="F1165" s="1">
        <v>0.214</v>
      </c>
      <c r="G1165" t="s">
        <v>1587</v>
      </c>
      <c r="H1165" t="s">
        <v>1587</v>
      </c>
      <c r="I1165">
        <v>1209</v>
      </c>
      <c r="J1165" t="s">
        <v>2133</v>
      </c>
      <c r="K1165">
        <v>1</v>
      </c>
      <c r="L1165">
        <v>-11.7</v>
      </c>
      <c r="M1165">
        <v>-0.9</v>
      </c>
      <c r="N1165">
        <v>11.6</v>
      </c>
      <c r="O1165" t="s">
        <v>1594</v>
      </c>
      <c r="P1165" t="s">
        <v>1584</v>
      </c>
      <c r="Q1165" t="s">
        <v>1591</v>
      </c>
      <c r="R1165">
        <v>0.06</v>
      </c>
      <c r="S1165">
        <v>-0.49</v>
      </c>
      <c r="T1165" t="s">
        <v>1584</v>
      </c>
      <c r="U1165" t="s">
        <v>1592</v>
      </c>
      <c r="V1165" t="str" cm="1">
        <f t="array" aca="1" ref="V1165" ca="1">IFERROR(_xlfn.IFS(A1163="  ..............",OFFSET(A1163,2,0),A1162=" X-------------X",OFFSET(A1162,3,0),MATCH("  ..............",A1165:A1174,0)&gt;2,V1164),"-")</f>
        <v xml:space="preserve">  ALVOR2-RS069  </v>
      </c>
      <c r="W1165">
        <f t="shared" ca="1" si="54"/>
        <v>1.018</v>
      </c>
      <c r="X1165" t="str">
        <f t="shared" ca="1" si="55"/>
        <v xml:space="preserve"> VIAMA3-RS069 </v>
      </c>
      <c r="Y1165" s="1" t="str">
        <f t="shared" ca="1" si="56"/>
        <v xml:space="preserve">             </v>
      </c>
    </row>
    <row r="1166" spans="1:25" x14ac:dyDescent="0.25">
      <c r="A1166" t="s">
        <v>1588</v>
      </c>
      <c r="B1166" t="s">
        <v>1587</v>
      </c>
      <c r="C1166">
        <v>54</v>
      </c>
      <c r="D1166">
        <v>79</v>
      </c>
      <c r="E1166">
        <v>79</v>
      </c>
      <c r="F1166" s="1">
        <v>0.21</v>
      </c>
      <c r="G1166" t="s">
        <v>1587</v>
      </c>
      <c r="H1166" t="s">
        <v>1587</v>
      </c>
      <c r="I1166">
        <v>9264</v>
      </c>
      <c r="J1166" t="s">
        <v>2399</v>
      </c>
      <c r="K1166">
        <v>1</v>
      </c>
      <c r="L1166">
        <v>-11.4</v>
      </c>
      <c r="M1166">
        <v>2</v>
      </c>
      <c r="N1166">
        <v>11.3</v>
      </c>
      <c r="O1166" t="s">
        <v>1594</v>
      </c>
      <c r="P1166" t="s">
        <v>1584</v>
      </c>
      <c r="Q1166" t="s">
        <v>1591</v>
      </c>
      <c r="R1166">
        <v>0.03</v>
      </c>
      <c r="S1166">
        <v>-0.24</v>
      </c>
      <c r="T1166" t="s">
        <v>1584</v>
      </c>
      <c r="U1166" t="s">
        <v>1592</v>
      </c>
      <c r="V1166" t="str" cm="1">
        <f t="array" aca="1" ref="V1166" ca="1">IFERROR(_xlfn.IFS(A1164="  ..............",OFFSET(A1164,2,0),A1163=" X-------------X",OFFSET(A1163,3,0),MATCH("  ..............",A1166:A1175,0)&gt;2,V1165),"-")</f>
        <v>-</v>
      </c>
      <c r="W1166" t="str">
        <f t="shared" ca="1" si="54"/>
        <v>-</v>
      </c>
      <c r="X1166" t="str">
        <f t="shared" ca="1" si="55"/>
        <v>-</v>
      </c>
      <c r="Y1166" s="1" t="str">
        <f t="shared" ca="1" si="56"/>
        <v>-</v>
      </c>
    </row>
    <row r="1167" spans="1:25" x14ac:dyDescent="0.25">
      <c r="A1167" t="s">
        <v>1572</v>
      </c>
      <c r="B1167" t="s">
        <v>1574</v>
      </c>
      <c r="C1167" t="s">
        <v>1574</v>
      </c>
      <c r="D1167" t="s">
        <v>1574</v>
      </c>
      <c r="E1167" t="s">
        <v>1574</v>
      </c>
      <c r="F1167" t="s">
        <v>1575</v>
      </c>
      <c r="G1167" t="s">
        <v>1574</v>
      </c>
      <c r="H1167" t="s">
        <v>1574</v>
      </c>
      <c r="I1167" t="s">
        <v>1576</v>
      </c>
      <c r="J1167" t="s">
        <v>1573</v>
      </c>
      <c r="K1167" t="s">
        <v>1577</v>
      </c>
      <c r="L1167" t="s">
        <v>1574</v>
      </c>
      <c r="M1167" t="s">
        <v>1574</v>
      </c>
      <c r="N1167" t="s">
        <v>1574</v>
      </c>
      <c r="O1167" t="s">
        <v>1578</v>
      </c>
      <c r="P1167" t="s">
        <v>1576</v>
      </c>
      <c r="Q1167" t="s">
        <v>1579</v>
      </c>
      <c r="R1167" t="s">
        <v>1580</v>
      </c>
      <c r="S1167" t="s">
        <v>1580</v>
      </c>
      <c r="T1167" t="s">
        <v>1576</v>
      </c>
      <c r="U1167" t="s">
        <v>1576</v>
      </c>
      <c r="V1167" t="str" cm="1">
        <f t="array" aca="1" ref="V1167" ca="1">IFERROR(_xlfn.IFS(A1165="  ..............",OFFSET(A1165,2,0),A1164=" X-------------X",OFFSET(A1164,3,0),MATCH("  ..............",A1167:A1176,0)&gt;2,V1166),"-")</f>
        <v>-</v>
      </c>
      <c r="W1167" t="str">
        <f t="shared" ca="1" si="54"/>
        <v>-</v>
      </c>
      <c r="X1167" t="str">
        <f t="shared" ca="1" si="55"/>
        <v/>
      </c>
      <c r="Y1167" s="1" t="str">
        <f t="shared" ca="1" si="56"/>
        <v/>
      </c>
    </row>
    <row r="1168" spans="1:25" x14ac:dyDescent="0.25">
      <c r="A1168" t="s">
        <v>2463</v>
      </c>
      <c r="B1168">
        <v>1.099</v>
      </c>
      <c r="C1168">
        <v>0.8</v>
      </c>
      <c r="D1168">
        <v>0</v>
      </c>
      <c r="E1168">
        <v>30.4</v>
      </c>
      <c r="F1168">
        <v>0</v>
      </c>
      <c r="G1168">
        <v>4.3</v>
      </c>
      <c r="H1168">
        <v>0</v>
      </c>
      <c r="I1168" t="s">
        <v>1581</v>
      </c>
      <c r="J1168" t="s">
        <v>1581</v>
      </c>
      <c r="K1168" t="s">
        <v>1581</v>
      </c>
      <c r="L1168" t="s">
        <v>1581</v>
      </c>
      <c r="M1168" t="s">
        <v>1581</v>
      </c>
      <c r="N1168" t="s">
        <v>1581</v>
      </c>
      <c r="O1168" t="s">
        <v>1581</v>
      </c>
      <c r="P1168" t="s">
        <v>1581</v>
      </c>
      <c r="Q1168" t="s">
        <v>1581</v>
      </c>
      <c r="R1168" t="s">
        <v>1581</v>
      </c>
      <c r="S1168" t="s">
        <v>1581</v>
      </c>
      <c r="T1168" t="s">
        <v>1581</v>
      </c>
      <c r="U1168" t="s">
        <v>1581</v>
      </c>
      <c r="V1168" t="str" cm="1">
        <f t="array" aca="1" ref="V1168" ca="1">IFERROR(_xlfn.IFS(A1166="  ..............",OFFSET(A1166,2,0),A1165=" X-------------X",OFFSET(A1165,3,0),MATCH("  ..............",A1168:A1177,0)&gt;2,V1167),"-")</f>
        <v>-</v>
      </c>
      <c r="W1168" t="str">
        <f t="shared" ca="1" si="54"/>
        <v>-</v>
      </c>
      <c r="X1168" t="str">
        <f t="shared" ca="1" si="55"/>
        <v xml:space="preserve">              </v>
      </c>
      <c r="Y1168" s="1">
        <f t="shared" ca="1" si="56"/>
        <v>0</v>
      </c>
    </row>
    <row r="1169" spans="1:25" x14ac:dyDescent="0.25">
      <c r="A1169" t="s">
        <v>2464</v>
      </c>
      <c r="B1169">
        <v>-57</v>
      </c>
      <c r="C1169">
        <v>0</v>
      </c>
      <c r="D1169">
        <v>0</v>
      </c>
      <c r="E1169">
        <v>10</v>
      </c>
      <c r="F1169">
        <v>0</v>
      </c>
      <c r="G1169">
        <v>0</v>
      </c>
      <c r="H1169">
        <v>0</v>
      </c>
      <c r="I1169" t="s">
        <v>1584</v>
      </c>
      <c r="J1169" t="s">
        <v>1585</v>
      </c>
      <c r="K1169" t="s">
        <v>1586</v>
      </c>
      <c r="L1169" t="s">
        <v>1587</v>
      </c>
      <c r="M1169" t="s">
        <v>1587</v>
      </c>
      <c r="N1169" t="s">
        <v>1586</v>
      </c>
      <c r="O1169" t="s">
        <v>1581</v>
      </c>
      <c r="P1169" t="s">
        <v>1581</v>
      </c>
      <c r="Q1169" t="s">
        <v>1581</v>
      </c>
      <c r="R1169" t="s">
        <v>1581</v>
      </c>
      <c r="S1169" t="s">
        <v>1581</v>
      </c>
      <c r="T1169" t="s">
        <v>1581</v>
      </c>
      <c r="U1169" t="s">
        <v>1581</v>
      </c>
      <c r="V1169" t="str" cm="1">
        <f t="array" aca="1" ref="V1169" ca="1">IFERROR(_xlfn.IFS(A1167="  ..............",OFFSET(A1167,2,0),A1166=" X-------------X",OFFSET(A1166,3,0),MATCH("  ..............",A1169:A1178,0)&gt;2,V1168),"-")</f>
        <v xml:space="preserve">  PAL13B-RS013  </v>
      </c>
      <c r="W1169">
        <f t="shared" ca="1" si="54"/>
        <v>1.099</v>
      </c>
      <c r="X1169" t="str">
        <f t="shared" ca="1" si="55"/>
        <v xml:space="preserve"> PA13-2-RS000 </v>
      </c>
      <c r="Y1169" s="1">
        <f t="shared" ca="1" si="56"/>
        <v>0.36599999999999999</v>
      </c>
    </row>
    <row r="1170" spans="1:25" x14ac:dyDescent="0.25">
      <c r="A1170" t="s">
        <v>1588</v>
      </c>
      <c r="B1170" t="s">
        <v>1587</v>
      </c>
      <c r="C1170">
        <v>75</v>
      </c>
      <c r="D1170">
        <v>90</v>
      </c>
      <c r="E1170">
        <v>90</v>
      </c>
      <c r="F1170" s="1">
        <v>0.36599999999999999</v>
      </c>
      <c r="G1170" t="s">
        <v>1587</v>
      </c>
      <c r="H1170" t="s">
        <v>1587</v>
      </c>
      <c r="I1170">
        <v>41314</v>
      </c>
      <c r="J1170" t="s">
        <v>2465</v>
      </c>
      <c r="K1170">
        <v>2</v>
      </c>
      <c r="L1170">
        <v>-29.6</v>
      </c>
      <c r="M1170">
        <v>-5.7</v>
      </c>
      <c r="N1170">
        <v>27.4</v>
      </c>
      <c r="O1170" t="s">
        <v>1608</v>
      </c>
      <c r="P1170" t="s">
        <v>1584</v>
      </c>
      <c r="Q1170">
        <v>2</v>
      </c>
      <c r="R1170">
        <v>0</v>
      </c>
      <c r="S1170">
        <v>-0.05</v>
      </c>
      <c r="T1170" t="s">
        <v>1584</v>
      </c>
      <c r="U1170" t="s">
        <v>1592</v>
      </c>
      <c r="V1170" t="str" cm="1">
        <f t="array" aca="1" ref="V1170" ca="1">IFERROR(_xlfn.IFS(A1168="  ..............",OFFSET(A1168,2,0),A1167=" X-------------X",OFFSET(A1167,3,0),MATCH("  ..............",A1170:A1179,0)&gt;2,V1169),"-")</f>
        <v>-</v>
      </c>
      <c r="W1170" t="str">
        <f t="shared" ca="1" si="54"/>
        <v>-</v>
      </c>
      <c r="X1170" t="str">
        <f t="shared" ca="1" si="55"/>
        <v>-</v>
      </c>
      <c r="Y1170" s="1" t="str">
        <f t="shared" ca="1" si="56"/>
        <v>-</v>
      </c>
    </row>
    <row r="1171" spans="1:25" x14ac:dyDescent="0.25">
      <c r="A1171" t="s">
        <v>1572</v>
      </c>
      <c r="B1171" t="s">
        <v>1574</v>
      </c>
      <c r="C1171" t="s">
        <v>1574</v>
      </c>
      <c r="D1171" t="s">
        <v>1574</v>
      </c>
      <c r="E1171" t="s">
        <v>1574</v>
      </c>
      <c r="F1171" t="s">
        <v>1575</v>
      </c>
      <c r="G1171" t="s">
        <v>1574</v>
      </c>
      <c r="H1171" t="s">
        <v>1574</v>
      </c>
      <c r="I1171" t="s">
        <v>1576</v>
      </c>
      <c r="J1171" t="s">
        <v>1573</v>
      </c>
      <c r="K1171" t="s">
        <v>1577</v>
      </c>
      <c r="L1171" t="s">
        <v>1574</v>
      </c>
      <c r="M1171" t="s">
        <v>1574</v>
      </c>
      <c r="N1171" t="s">
        <v>1574</v>
      </c>
      <c r="O1171" t="s">
        <v>1578</v>
      </c>
      <c r="P1171" t="s">
        <v>1576</v>
      </c>
      <c r="Q1171" t="s">
        <v>1579</v>
      </c>
      <c r="R1171" t="s">
        <v>1580</v>
      </c>
      <c r="S1171" t="s">
        <v>1580</v>
      </c>
      <c r="T1171" t="s">
        <v>1576</v>
      </c>
      <c r="U1171" t="s">
        <v>1576</v>
      </c>
      <c r="V1171" t="str" cm="1">
        <f t="array" aca="1" ref="V1171" ca="1">IFERROR(_xlfn.IFS(A1169="  ..............",OFFSET(A1169,2,0),A1168=" X-------------X",OFFSET(A1168,3,0),MATCH("  ..............",A1171:A1180,0)&gt;2,V1170),"-")</f>
        <v>-</v>
      </c>
      <c r="W1171" t="str">
        <f t="shared" ca="1" si="54"/>
        <v>-</v>
      </c>
      <c r="X1171" t="str">
        <f t="shared" ca="1" si="55"/>
        <v/>
      </c>
      <c r="Y1171" s="1" t="str">
        <f t="shared" ca="1" si="56"/>
        <v/>
      </c>
    </row>
    <row r="1172" spans="1:25" x14ac:dyDescent="0.25">
      <c r="A1172" t="s">
        <v>2466</v>
      </c>
      <c r="B1172">
        <v>1.004</v>
      </c>
      <c r="C1172">
        <v>5</v>
      </c>
      <c r="D1172">
        <v>0</v>
      </c>
      <c r="E1172">
        <v>25.3</v>
      </c>
      <c r="F1172">
        <v>0</v>
      </c>
      <c r="G1172">
        <v>0</v>
      </c>
      <c r="H1172">
        <v>0</v>
      </c>
      <c r="I1172" t="s">
        <v>1581</v>
      </c>
      <c r="J1172" t="s">
        <v>1581</v>
      </c>
      <c r="K1172" t="s">
        <v>1581</v>
      </c>
      <c r="L1172" t="s">
        <v>1581</v>
      </c>
      <c r="M1172" t="s">
        <v>1581</v>
      </c>
      <c r="N1172" t="s">
        <v>1581</v>
      </c>
      <c r="O1172" t="s">
        <v>1581</v>
      </c>
      <c r="P1172" t="s">
        <v>1581</v>
      </c>
      <c r="Q1172" t="s">
        <v>1581</v>
      </c>
      <c r="R1172" t="s">
        <v>1581</v>
      </c>
      <c r="S1172" t="s">
        <v>1581</v>
      </c>
      <c r="T1172" t="s">
        <v>1581</v>
      </c>
      <c r="U1172" t="s">
        <v>1581</v>
      </c>
      <c r="V1172" t="str" cm="1">
        <f t="array" aca="1" ref="V1172" ca="1">IFERROR(_xlfn.IFS(A1170="  ..............",OFFSET(A1170,2,0),A1169=" X-------------X",OFFSET(A1169,3,0),MATCH("  ..............",A1172:A1181,0)&gt;2,V1171),"-")</f>
        <v>-</v>
      </c>
      <c r="W1172" t="str">
        <f t="shared" ca="1" si="54"/>
        <v>-</v>
      </c>
      <c r="X1172" t="str">
        <f t="shared" ca="1" si="55"/>
        <v xml:space="preserve">              </v>
      </c>
      <c r="Y1172" s="1">
        <f t="shared" ca="1" si="56"/>
        <v>0</v>
      </c>
    </row>
    <row r="1173" spans="1:25" x14ac:dyDescent="0.25">
      <c r="A1173" t="s">
        <v>2467</v>
      </c>
      <c r="B1173">
        <v>-47.4</v>
      </c>
      <c r="C1173">
        <v>0</v>
      </c>
      <c r="D1173">
        <v>0</v>
      </c>
      <c r="E1173">
        <v>8</v>
      </c>
      <c r="F1173">
        <v>0</v>
      </c>
      <c r="G1173">
        <v>0</v>
      </c>
      <c r="H1173">
        <v>0</v>
      </c>
      <c r="I1173" t="s">
        <v>1584</v>
      </c>
      <c r="J1173" t="s">
        <v>1585</v>
      </c>
      <c r="K1173" t="s">
        <v>1586</v>
      </c>
      <c r="L1173" t="s">
        <v>1587</v>
      </c>
      <c r="M1173" t="s">
        <v>1587</v>
      </c>
      <c r="N1173" t="s">
        <v>1586</v>
      </c>
      <c r="O1173" t="s">
        <v>1581</v>
      </c>
      <c r="P1173" t="s">
        <v>1581</v>
      </c>
      <c r="Q1173" t="s">
        <v>1581</v>
      </c>
      <c r="R1173" t="s">
        <v>1581</v>
      </c>
      <c r="S1173" t="s">
        <v>1581</v>
      </c>
      <c r="T1173" t="s">
        <v>1581</v>
      </c>
      <c r="U1173" t="s">
        <v>1581</v>
      </c>
      <c r="V1173" t="str" cm="1">
        <f t="array" aca="1" ref="V1173" ca="1">IFERROR(_xlfn.IFS(A1171="  ..............",OFFSET(A1171,2,0),A1170=" X-------------X",OFFSET(A1170,3,0),MATCH("  ..............",A1173:A1182,0)&gt;2,V1172),"-")</f>
        <v xml:space="preserve">  CLARGO-RS069  </v>
      </c>
      <c r="W1173">
        <f t="shared" ca="1" si="54"/>
        <v>1.004</v>
      </c>
      <c r="X1173" t="str">
        <f t="shared" ca="1" si="55"/>
        <v xml:space="preserve"> SROSA--RS069 </v>
      </c>
      <c r="Y1173" s="1">
        <f t="shared" ca="1" si="56"/>
        <v>7.4999999999999997E-2</v>
      </c>
    </row>
    <row r="1174" spans="1:25" x14ac:dyDescent="0.25">
      <c r="A1174" t="s">
        <v>1588</v>
      </c>
      <c r="B1174" t="s">
        <v>1587</v>
      </c>
      <c r="C1174">
        <v>48</v>
      </c>
      <c r="D1174">
        <v>71</v>
      </c>
      <c r="E1174">
        <v>71</v>
      </c>
      <c r="F1174" s="1">
        <v>7.4999999999999997E-2</v>
      </c>
      <c r="G1174" t="s">
        <v>1587</v>
      </c>
      <c r="H1174" t="s">
        <v>1587</v>
      </c>
      <c r="I1174">
        <v>1282</v>
      </c>
      <c r="J1174" t="s">
        <v>2468</v>
      </c>
      <c r="K1174">
        <v>1</v>
      </c>
      <c r="L1174">
        <v>2.5</v>
      </c>
      <c r="M1174">
        <v>-2.6</v>
      </c>
      <c r="N1174">
        <v>3.6</v>
      </c>
      <c r="O1174" t="s">
        <v>1594</v>
      </c>
      <c r="P1174" t="s">
        <v>1584</v>
      </c>
      <c r="Q1174" t="s">
        <v>1591</v>
      </c>
      <c r="R1174">
        <v>0.02</v>
      </c>
      <c r="S1174">
        <v>-0.64</v>
      </c>
      <c r="T1174" t="s">
        <v>1584</v>
      </c>
      <c r="U1174" t="s">
        <v>1592</v>
      </c>
      <c r="V1174" t="str" cm="1">
        <f t="array" aca="1" ref="V1174" ca="1">IFERROR(_xlfn.IFS(A1172="  ..............",OFFSET(A1172,2,0),A1171=" X-------------X",OFFSET(A1171,3,0),MATCH("  ..............",A1174:A1183,0)&gt;2,V1173),"-")</f>
        <v xml:space="preserve">  CLARGO-RS069  </v>
      </c>
      <c r="W1174">
        <f t="shared" ca="1" si="54"/>
        <v>1.004</v>
      </c>
      <c r="X1174" t="str">
        <f t="shared" ca="1" si="55"/>
        <v xml:space="preserve"> SJOSE--RS069 </v>
      </c>
      <c r="Y1174" s="1">
        <f t="shared" ca="1" si="56"/>
        <v>0.183</v>
      </c>
    </row>
    <row r="1175" spans="1:25" x14ac:dyDescent="0.25">
      <c r="A1175" t="s">
        <v>1588</v>
      </c>
      <c r="B1175" t="s">
        <v>1587</v>
      </c>
      <c r="C1175">
        <v>82</v>
      </c>
      <c r="D1175">
        <v>82</v>
      </c>
      <c r="E1175">
        <v>82</v>
      </c>
      <c r="F1175" s="1">
        <v>0.28499999999999998</v>
      </c>
      <c r="G1175" t="s">
        <v>1587</v>
      </c>
      <c r="H1175" t="s">
        <v>1587</v>
      </c>
      <c r="I1175">
        <v>9221</v>
      </c>
      <c r="J1175" t="s">
        <v>2365</v>
      </c>
      <c r="K1175">
        <v>1</v>
      </c>
      <c r="L1175">
        <v>-22.8</v>
      </c>
      <c r="M1175">
        <v>-5.4</v>
      </c>
      <c r="N1175">
        <v>23.4</v>
      </c>
      <c r="O1175" t="s">
        <v>1594</v>
      </c>
      <c r="P1175" t="s">
        <v>1584</v>
      </c>
      <c r="Q1175" t="s">
        <v>1591</v>
      </c>
      <c r="R1175">
        <v>0.17</v>
      </c>
      <c r="S1175">
        <v>0.46</v>
      </c>
      <c r="T1175" t="s">
        <v>1584</v>
      </c>
      <c r="U1175" t="s">
        <v>1592</v>
      </c>
      <c r="V1175" t="str" cm="1">
        <f t="array" aca="1" ref="V1175" ca="1">IFERROR(_xlfn.IFS(A1173="  ..............",OFFSET(A1173,2,0),A1172=" X-------------X",OFFSET(A1172,3,0),MATCH("  ..............",A1175:A1184,0)&gt;2,V1174),"-")</f>
        <v>-</v>
      </c>
      <c r="W1175" t="str">
        <f t="shared" ca="1" si="54"/>
        <v>-</v>
      </c>
      <c r="X1175" t="str">
        <f t="shared" ca="1" si="55"/>
        <v>-</v>
      </c>
      <c r="Y1175" s="1" t="str">
        <f t="shared" ca="1" si="56"/>
        <v>-</v>
      </c>
    </row>
    <row r="1176" spans="1:25" x14ac:dyDescent="0.25">
      <c r="A1176" t="s">
        <v>1572</v>
      </c>
      <c r="B1176" t="s">
        <v>1574</v>
      </c>
      <c r="C1176" t="s">
        <v>1574</v>
      </c>
      <c r="D1176" t="s">
        <v>1574</v>
      </c>
      <c r="E1176" t="s">
        <v>1574</v>
      </c>
      <c r="F1176" t="s">
        <v>1575</v>
      </c>
      <c r="G1176" t="s">
        <v>1574</v>
      </c>
      <c r="H1176" t="s">
        <v>1574</v>
      </c>
      <c r="I1176" t="s">
        <v>1576</v>
      </c>
      <c r="J1176" t="s">
        <v>1573</v>
      </c>
      <c r="K1176" t="s">
        <v>1577</v>
      </c>
      <c r="L1176" t="s">
        <v>1574</v>
      </c>
      <c r="M1176" t="s">
        <v>1574</v>
      </c>
      <c r="N1176" t="s">
        <v>1574</v>
      </c>
      <c r="O1176" t="s">
        <v>1578</v>
      </c>
      <c r="P1176" t="s">
        <v>1576</v>
      </c>
      <c r="Q1176" t="s">
        <v>1579</v>
      </c>
      <c r="R1176" t="s">
        <v>1580</v>
      </c>
      <c r="S1176" t="s">
        <v>1580</v>
      </c>
      <c r="T1176" t="s">
        <v>1576</v>
      </c>
      <c r="U1176" t="s">
        <v>1576</v>
      </c>
      <c r="V1176" t="str" cm="1">
        <f t="array" aca="1" ref="V1176" ca="1">IFERROR(_xlfn.IFS(A1174="  ..............",OFFSET(A1174,2,0),A1173=" X-------------X",OFFSET(A1173,3,0),MATCH("  ..............",A1176:A1185,0)&gt;2,V1175),"-")</f>
        <v>-</v>
      </c>
      <c r="W1176" t="str">
        <f t="shared" ca="1" si="54"/>
        <v>-</v>
      </c>
      <c r="X1176" t="str">
        <f t="shared" ca="1" si="55"/>
        <v/>
      </c>
      <c r="Y1176" s="1" t="str">
        <f t="shared" ca="1" si="56"/>
        <v/>
      </c>
    </row>
    <row r="1177" spans="1:25" x14ac:dyDescent="0.25">
      <c r="A1177" t="s">
        <v>2469</v>
      </c>
      <c r="B1177">
        <v>1.018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 t="s">
        <v>1581</v>
      </c>
      <c r="J1177" t="s">
        <v>1581</v>
      </c>
      <c r="K1177" t="s">
        <v>1581</v>
      </c>
      <c r="L1177" t="s">
        <v>1581</v>
      </c>
      <c r="M1177" t="s">
        <v>1581</v>
      </c>
      <c r="N1177" t="s">
        <v>1581</v>
      </c>
      <c r="O1177" t="s">
        <v>1581</v>
      </c>
      <c r="P1177" t="s">
        <v>1581</v>
      </c>
      <c r="Q1177" t="s">
        <v>1581</v>
      </c>
      <c r="R1177" t="s">
        <v>1581</v>
      </c>
      <c r="S1177" t="s">
        <v>1581</v>
      </c>
      <c r="T1177" t="s">
        <v>1581</v>
      </c>
      <c r="U1177" t="s">
        <v>1581</v>
      </c>
      <c r="V1177" t="str" cm="1">
        <f t="array" aca="1" ref="V1177" ca="1">IFERROR(_xlfn.IFS(A1175="  ..............",OFFSET(A1175,2,0),A1174=" X-------------X",OFFSET(A1174,3,0),MATCH("  ..............",A1177:A1186,0)&gt;2,V1176),"-")</f>
        <v>-</v>
      </c>
      <c r="W1177" t="str">
        <f t="shared" ca="1" si="54"/>
        <v>-</v>
      </c>
      <c r="X1177" t="str">
        <f t="shared" ca="1" si="55"/>
        <v xml:space="preserve">              </v>
      </c>
      <c r="Y1177" s="1">
        <f t="shared" ca="1" si="56"/>
        <v>0</v>
      </c>
    </row>
    <row r="1178" spans="1:25" x14ac:dyDescent="0.25">
      <c r="A1178" t="s">
        <v>2470</v>
      </c>
      <c r="B1178">
        <v>-54.8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 t="s">
        <v>1584</v>
      </c>
      <c r="J1178" t="s">
        <v>1585</v>
      </c>
      <c r="K1178" t="s">
        <v>1586</v>
      </c>
      <c r="L1178" t="s">
        <v>1587</v>
      </c>
      <c r="M1178" t="s">
        <v>1587</v>
      </c>
      <c r="N1178" t="s">
        <v>1586</v>
      </c>
      <c r="O1178" t="s">
        <v>1581</v>
      </c>
      <c r="P1178" t="s">
        <v>1581</v>
      </c>
      <c r="Q1178" t="s">
        <v>1581</v>
      </c>
      <c r="R1178" t="s">
        <v>1581</v>
      </c>
      <c r="S1178" t="s">
        <v>1581</v>
      </c>
      <c r="T1178" t="s">
        <v>1581</v>
      </c>
      <c r="U1178" t="s">
        <v>1581</v>
      </c>
      <c r="V1178" t="str" cm="1">
        <f t="array" aca="1" ref="V1178" ca="1">IFERROR(_xlfn.IFS(A1176="  ..............",OFFSET(A1176,2,0),A1175=" X-------------X",OFFSET(A1175,3,0),MATCH("  ..............",A1178:A1187,0)&gt;2,V1177),"-")</f>
        <v xml:space="preserve">  VIAMA3-RS069  </v>
      </c>
      <c r="W1178">
        <f t="shared" ca="1" si="54"/>
        <v>1.018</v>
      </c>
      <c r="X1178" t="str">
        <f t="shared" ca="1" si="55"/>
        <v xml:space="preserve"> ALVORA-RS069 </v>
      </c>
      <c r="Y1178" s="1">
        <f t="shared" ca="1" si="56"/>
        <v>0.40200000000000002</v>
      </c>
    </row>
    <row r="1179" spans="1:25" x14ac:dyDescent="0.25">
      <c r="A1179" t="s">
        <v>1637</v>
      </c>
      <c r="B1179" t="s">
        <v>1638</v>
      </c>
      <c r="C1179">
        <v>54</v>
      </c>
      <c r="D1179">
        <v>79</v>
      </c>
      <c r="E1179">
        <v>79</v>
      </c>
      <c r="F1179" t="s">
        <v>1639</v>
      </c>
      <c r="G1179" t="s">
        <v>1587</v>
      </c>
      <c r="H1179" t="s">
        <v>1587</v>
      </c>
      <c r="I1179">
        <v>9232</v>
      </c>
      <c r="J1179" t="s">
        <v>1690</v>
      </c>
      <c r="K1179">
        <v>1</v>
      </c>
      <c r="L1179">
        <v>0</v>
      </c>
      <c r="M1179">
        <v>0</v>
      </c>
      <c r="N1179">
        <v>0</v>
      </c>
      <c r="O1179" t="s">
        <v>1594</v>
      </c>
      <c r="P1179" t="s">
        <v>1584</v>
      </c>
      <c r="Q1179" t="s">
        <v>1591</v>
      </c>
      <c r="R1179">
        <v>0</v>
      </c>
      <c r="S1179">
        <v>0</v>
      </c>
      <c r="T1179" t="s">
        <v>1584</v>
      </c>
      <c r="U1179" t="s">
        <v>1592</v>
      </c>
      <c r="V1179" t="str" cm="1">
        <f t="array" aca="1" ref="V1179" ca="1">IFERROR(_xlfn.IFS(A1177="  ..............",OFFSET(A1177,2,0),A1176=" X-------------X",OFFSET(A1176,3,0),MATCH("  ..............",A1179:A1188,0)&gt;2,V1178),"-")</f>
        <v xml:space="preserve">  VIAMA3-RS069  </v>
      </c>
      <c r="W1179">
        <f t="shared" ca="1" si="54"/>
        <v>1.018</v>
      </c>
      <c r="X1179" t="str">
        <f t="shared" ca="1" si="55"/>
        <v xml:space="preserve"> VIAMA1-RS069 </v>
      </c>
      <c r="Y1179" s="1">
        <f t="shared" ca="1" si="56"/>
        <v>0.97799999999999998</v>
      </c>
    </row>
    <row r="1180" spans="1:25" x14ac:dyDescent="0.25">
      <c r="A1180" t="s">
        <v>1588</v>
      </c>
      <c r="B1180" t="s">
        <v>1587</v>
      </c>
      <c r="C1180">
        <v>54</v>
      </c>
      <c r="D1180">
        <v>79</v>
      </c>
      <c r="E1180">
        <v>79</v>
      </c>
      <c r="F1180" s="1">
        <v>0.97799999999999998</v>
      </c>
      <c r="G1180" t="s">
        <v>1587</v>
      </c>
      <c r="H1180" t="s">
        <v>1587</v>
      </c>
      <c r="I1180">
        <v>9233</v>
      </c>
      <c r="J1180" t="s">
        <v>2471</v>
      </c>
      <c r="K1180">
        <v>1</v>
      </c>
      <c r="L1180">
        <v>52.5</v>
      </c>
      <c r="M1180">
        <v>11.6</v>
      </c>
      <c r="N1180">
        <v>52.8</v>
      </c>
      <c r="O1180" t="s">
        <v>1594</v>
      </c>
      <c r="P1180" t="s">
        <v>1584</v>
      </c>
      <c r="Q1180" t="s">
        <v>1591</v>
      </c>
      <c r="R1180">
        <v>0.32</v>
      </c>
      <c r="S1180">
        <v>1.26</v>
      </c>
      <c r="T1180" t="s">
        <v>1584</v>
      </c>
      <c r="U1180" t="s">
        <v>1592</v>
      </c>
      <c r="V1180" t="str" cm="1">
        <f t="array" aca="1" ref="V1180" ca="1">IFERROR(_xlfn.IFS(A1178="  ..............",OFFSET(A1178,2,0),A1177=" X-------------X",OFFSET(A1177,3,0),MATCH("  ..............",A1180:A1189,0)&gt;2,V1179),"-")</f>
        <v xml:space="preserve">  VIAMA3-RS069  </v>
      </c>
      <c r="W1180">
        <f t="shared" ca="1" si="54"/>
        <v>1.018</v>
      </c>
      <c r="X1180" t="str">
        <f t="shared" ca="1" si="55"/>
        <v xml:space="preserve"> ALVOR2-RS069 </v>
      </c>
      <c r="Y1180" s="1">
        <f t="shared" ca="1" si="56"/>
        <v>0.21299999999999999</v>
      </c>
    </row>
    <row r="1181" spans="1:25" x14ac:dyDescent="0.25">
      <c r="A1181" t="s">
        <v>1588</v>
      </c>
      <c r="B1181" t="s">
        <v>1587</v>
      </c>
      <c r="C1181">
        <v>54</v>
      </c>
      <c r="D1181">
        <v>79</v>
      </c>
      <c r="E1181">
        <v>79</v>
      </c>
      <c r="F1181" s="1">
        <v>0.21099999999999999</v>
      </c>
      <c r="G1181" t="s">
        <v>1587</v>
      </c>
      <c r="H1181" t="s">
        <v>1587</v>
      </c>
      <c r="I1181">
        <v>9258</v>
      </c>
      <c r="J1181" t="s">
        <v>1691</v>
      </c>
      <c r="K1181">
        <v>1</v>
      </c>
      <c r="L1181">
        <v>11.4</v>
      </c>
      <c r="M1181">
        <v>-2.2000000000000002</v>
      </c>
      <c r="N1181">
        <v>11.4</v>
      </c>
      <c r="O1181" t="s">
        <v>1594</v>
      </c>
      <c r="P1181" t="s">
        <v>1584</v>
      </c>
      <c r="Q1181" t="s">
        <v>1591</v>
      </c>
      <c r="R1181">
        <v>0.03</v>
      </c>
      <c r="S1181">
        <v>-0.24</v>
      </c>
      <c r="T1181" t="s">
        <v>1584</v>
      </c>
      <c r="U1181" t="s">
        <v>1592</v>
      </c>
      <c r="V1181" t="str" cm="1">
        <f t="array" aca="1" ref="V1181" ca="1">IFERROR(_xlfn.IFS(A1179="  ..............",OFFSET(A1179,2,0),A1178=" X-------------X",OFFSET(A1178,3,0),MATCH("  ..............",A1181:A1190,0)&gt;2,V1180),"-")</f>
        <v xml:space="preserve">  VIAMA3-RS069  </v>
      </c>
      <c r="W1181">
        <f t="shared" ca="1" si="54"/>
        <v>1.018</v>
      </c>
      <c r="X1181" t="str">
        <f t="shared" ca="1" si="55"/>
        <v xml:space="preserve"> PALE16-RS069 </v>
      </c>
      <c r="Y1181" s="1">
        <f t="shared" ca="1" si="56"/>
        <v>0.307</v>
      </c>
    </row>
    <row r="1182" spans="1:25" x14ac:dyDescent="0.25">
      <c r="A1182" t="s">
        <v>1588</v>
      </c>
      <c r="B1182" t="s">
        <v>1587</v>
      </c>
      <c r="C1182">
        <v>54</v>
      </c>
      <c r="D1182">
        <v>79</v>
      </c>
      <c r="E1182">
        <v>79</v>
      </c>
      <c r="F1182" s="1">
        <v>0.307</v>
      </c>
      <c r="G1182" t="s">
        <v>1587</v>
      </c>
      <c r="H1182" t="s">
        <v>1587</v>
      </c>
      <c r="I1182">
        <v>9269</v>
      </c>
      <c r="J1182" t="s">
        <v>2472</v>
      </c>
      <c r="K1182">
        <v>1</v>
      </c>
      <c r="L1182">
        <v>16.100000000000001</v>
      </c>
      <c r="M1182">
        <v>5.2</v>
      </c>
      <c r="N1182">
        <v>16.600000000000001</v>
      </c>
      <c r="O1182" t="s">
        <v>1594</v>
      </c>
      <c r="P1182" t="s">
        <v>1584</v>
      </c>
      <c r="Q1182" t="s">
        <v>1591</v>
      </c>
      <c r="R1182">
        <v>0.06</v>
      </c>
      <c r="S1182">
        <v>-0.09</v>
      </c>
      <c r="T1182" t="s">
        <v>1584</v>
      </c>
      <c r="U1182" t="s">
        <v>1592</v>
      </c>
      <c r="V1182" t="str" cm="1">
        <f t="array" aca="1" ref="V1182" ca="1">IFERROR(_xlfn.IFS(A1180="  ..............",OFFSET(A1180,2,0),A1179=" X-------------X",OFFSET(A1179,3,0),MATCH("  ..............",A1182:A1191,0)&gt;2,V1181),"-")</f>
        <v xml:space="preserve">  VIAMA3-RS069  </v>
      </c>
      <c r="W1182">
        <f t="shared" ca="1" si="54"/>
        <v>1.018</v>
      </c>
      <c r="X1182" t="str">
        <f t="shared" ca="1" si="55"/>
        <v xml:space="preserve"> VIAMO2-RS069 </v>
      </c>
      <c r="Y1182" s="1" t="str">
        <f t="shared" ca="1" si="56"/>
        <v xml:space="preserve">             </v>
      </c>
    </row>
    <row r="1183" spans="1:25" x14ac:dyDescent="0.25">
      <c r="A1183" t="s">
        <v>1588</v>
      </c>
      <c r="B1183" t="s">
        <v>1587</v>
      </c>
      <c r="C1183">
        <v>54</v>
      </c>
      <c r="D1183">
        <v>79</v>
      </c>
      <c r="E1183">
        <v>79</v>
      </c>
      <c r="F1183" s="1">
        <v>0.495</v>
      </c>
      <c r="G1183" t="s">
        <v>1587</v>
      </c>
      <c r="H1183" t="s">
        <v>1587</v>
      </c>
      <c r="I1183">
        <v>9270</v>
      </c>
      <c r="J1183" t="s">
        <v>1894</v>
      </c>
      <c r="K1183">
        <v>1</v>
      </c>
      <c r="L1183">
        <v>26.7</v>
      </c>
      <c r="M1183">
        <v>5.4</v>
      </c>
      <c r="N1183">
        <v>26.7</v>
      </c>
      <c r="O1183" t="s">
        <v>1594</v>
      </c>
      <c r="P1183" t="s">
        <v>1584</v>
      </c>
      <c r="Q1183" t="s">
        <v>1591</v>
      </c>
      <c r="R1183">
        <v>0.06</v>
      </c>
      <c r="S1183">
        <v>0.2</v>
      </c>
      <c r="T1183" t="s">
        <v>1584</v>
      </c>
      <c r="U1183" t="s">
        <v>1592</v>
      </c>
      <c r="V1183" t="str" cm="1">
        <f t="array" aca="1" ref="V1183" ca="1">IFERROR(_xlfn.IFS(A1181="  ..............",OFFSET(A1181,2,0),A1180=" X-------------X",OFFSET(A1180,3,0),MATCH("  ..............",A1183:A1192,0)&gt;2,V1182),"-")</f>
        <v xml:space="preserve">  VIAMA3-RS069  </v>
      </c>
      <c r="W1183">
        <f t="shared" ca="1" si="54"/>
        <v>1.018</v>
      </c>
      <c r="X1183" t="str">
        <f t="shared" ca="1" si="55"/>
        <v xml:space="preserve"> ACLARATAP069 </v>
      </c>
      <c r="Y1183" s="1" t="str">
        <f t="shared" ca="1" si="56"/>
        <v xml:space="preserve">             </v>
      </c>
    </row>
    <row r="1184" spans="1:25" x14ac:dyDescent="0.25">
      <c r="A1184" t="s">
        <v>1588</v>
      </c>
      <c r="B1184" t="s">
        <v>1587</v>
      </c>
      <c r="C1184">
        <v>54</v>
      </c>
      <c r="D1184">
        <v>79</v>
      </c>
      <c r="E1184">
        <v>79</v>
      </c>
      <c r="F1184" s="1">
        <v>0.29699999999999999</v>
      </c>
      <c r="G1184" t="s">
        <v>1587</v>
      </c>
      <c r="H1184" t="s">
        <v>1587</v>
      </c>
      <c r="I1184">
        <v>9552</v>
      </c>
      <c r="J1184" t="s">
        <v>2402</v>
      </c>
      <c r="K1184">
        <v>1</v>
      </c>
      <c r="L1184">
        <v>16.2</v>
      </c>
      <c r="M1184">
        <v>1.9</v>
      </c>
      <c r="N1184">
        <v>16</v>
      </c>
      <c r="O1184" t="s">
        <v>1594</v>
      </c>
      <c r="P1184" t="s">
        <v>1584</v>
      </c>
      <c r="Q1184" t="s">
        <v>1591</v>
      </c>
      <c r="R1184">
        <v>0.02</v>
      </c>
      <c r="S1184">
        <v>-0.04</v>
      </c>
      <c r="T1184" t="s">
        <v>1584</v>
      </c>
      <c r="U1184" t="s">
        <v>1592</v>
      </c>
      <c r="V1184" t="str" cm="1">
        <f t="array" aca="1" ref="V1184" ca="1">IFERROR(_xlfn.IFS(A1182="  ..............",OFFSET(A1182,2,0),A1181=" X-------------X",OFFSET(A1181,3,0),MATCH("  ..............",A1184:A1193,0)&gt;2,V1183),"-")</f>
        <v xml:space="preserve">  VIAMA3-RS069  </v>
      </c>
      <c r="W1184">
        <f t="shared" ca="1" si="54"/>
        <v>1.018</v>
      </c>
      <c r="X1184" t="str">
        <f t="shared" ca="1" si="55"/>
        <v xml:space="preserve"> VIA3-1-RS000 </v>
      </c>
      <c r="Y1184" s="1">
        <f t="shared" ca="1" si="56"/>
        <v>0.49299999999999999</v>
      </c>
    </row>
    <row r="1185" spans="1:25" x14ac:dyDescent="0.25">
      <c r="A1185" t="s">
        <v>1588</v>
      </c>
      <c r="B1185" t="s">
        <v>1587</v>
      </c>
      <c r="C1185">
        <v>83</v>
      </c>
      <c r="D1185">
        <v>100</v>
      </c>
      <c r="E1185">
        <v>100</v>
      </c>
      <c r="F1185" s="1">
        <v>0.49299999999999999</v>
      </c>
      <c r="G1185" t="s">
        <v>1587</v>
      </c>
      <c r="H1185" t="s">
        <v>1587</v>
      </c>
      <c r="I1185">
        <v>41404</v>
      </c>
      <c r="J1185" t="s">
        <v>2473</v>
      </c>
      <c r="K1185">
        <v>1</v>
      </c>
      <c r="L1185">
        <v>-41</v>
      </c>
      <c r="M1185">
        <v>-7.3</v>
      </c>
      <c r="N1185">
        <v>40.9</v>
      </c>
      <c r="O1185" t="s">
        <v>1608</v>
      </c>
      <c r="P1185" t="s">
        <v>1584</v>
      </c>
      <c r="Q1185">
        <v>2</v>
      </c>
      <c r="R1185">
        <v>0.03</v>
      </c>
      <c r="S1185">
        <v>-0.16</v>
      </c>
      <c r="T1185" t="s">
        <v>1584</v>
      </c>
      <c r="U1185" t="s">
        <v>1592</v>
      </c>
      <c r="V1185" t="str" cm="1">
        <f t="array" aca="1" ref="V1185" ca="1">IFERROR(_xlfn.IFS(A1183="  ..............",OFFSET(A1183,2,0),A1182=" X-------------X",OFFSET(A1182,3,0),MATCH("  ..............",A1185:A1194,0)&gt;2,V1184),"-")</f>
        <v xml:space="preserve">  VIAMA3-RS069  </v>
      </c>
      <c r="W1185">
        <f t="shared" ca="1" si="54"/>
        <v>1.018</v>
      </c>
      <c r="X1185" t="str">
        <f t="shared" ca="1" si="55"/>
        <v xml:space="preserve"> VIA3-2-RS000 </v>
      </c>
      <c r="Y1185" s="1">
        <f t="shared" ca="1" si="56"/>
        <v>0.49</v>
      </c>
    </row>
    <row r="1186" spans="1:25" x14ac:dyDescent="0.25">
      <c r="A1186" t="s">
        <v>1588</v>
      </c>
      <c r="B1186" t="s">
        <v>1587</v>
      </c>
      <c r="C1186">
        <v>83</v>
      </c>
      <c r="D1186">
        <v>100</v>
      </c>
      <c r="E1186">
        <v>100</v>
      </c>
      <c r="F1186" s="1">
        <v>0.49</v>
      </c>
      <c r="G1186" t="s">
        <v>1587</v>
      </c>
      <c r="H1186" t="s">
        <v>1587</v>
      </c>
      <c r="I1186">
        <v>41405</v>
      </c>
      <c r="J1186" t="s">
        <v>2474</v>
      </c>
      <c r="K1186">
        <v>2</v>
      </c>
      <c r="L1186">
        <v>-40.700000000000003</v>
      </c>
      <c r="M1186">
        <v>-7.2</v>
      </c>
      <c r="N1186">
        <v>40.6</v>
      </c>
      <c r="O1186" t="s">
        <v>1608</v>
      </c>
      <c r="P1186" t="s">
        <v>1584</v>
      </c>
      <c r="Q1186">
        <v>2</v>
      </c>
      <c r="R1186">
        <v>0.03</v>
      </c>
      <c r="S1186">
        <v>-0.15</v>
      </c>
      <c r="T1186" t="s">
        <v>1584</v>
      </c>
      <c r="U1186" t="s">
        <v>1592</v>
      </c>
      <c r="V1186" t="str" cm="1">
        <f t="array" aca="1" ref="V1186" ca="1">IFERROR(_xlfn.IFS(A1184="  ..............",OFFSET(A1184,2,0),A1183=" X-------------X",OFFSET(A1183,3,0),MATCH("  ..............",A1186:A1195,0)&gt;2,V1185),"-")</f>
        <v xml:space="preserve">  VIAMA3-RS069  </v>
      </c>
      <c r="W1186">
        <f t="shared" ca="1" si="54"/>
        <v>1.018</v>
      </c>
      <c r="X1186" t="str">
        <f t="shared" ca="1" si="55"/>
        <v xml:space="preserve"> VIA3-3-RS000 </v>
      </c>
      <c r="Y1186" s="1">
        <f t="shared" ca="1" si="56"/>
        <v>0.49399999999999999</v>
      </c>
    </row>
    <row r="1187" spans="1:25" x14ac:dyDescent="0.25">
      <c r="A1187" t="s">
        <v>1588</v>
      </c>
      <c r="B1187" t="s">
        <v>1587</v>
      </c>
      <c r="C1187">
        <v>83</v>
      </c>
      <c r="D1187">
        <v>100</v>
      </c>
      <c r="E1187">
        <v>100</v>
      </c>
      <c r="F1187" s="1">
        <v>0.49399999999999999</v>
      </c>
      <c r="G1187" t="s">
        <v>1587</v>
      </c>
      <c r="H1187" t="s">
        <v>1587</v>
      </c>
      <c r="I1187">
        <v>41406</v>
      </c>
      <c r="J1187" t="s">
        <v>2475</v>
      </c>
      <c r="K1187">
        <v>3</v>
      </c>
      <c r="L1187">
        <v>-41.1</v>
      </c>
      <c r="M1187">
        <v>-7.3</v>
      </c>
      <c r="N1187">
        <v>41</v>
      </c>
      <c r="O1187" t="s">
        <v>1608</v>
      </c>
      <c r="P1187" t="s">
        <v>1584</v>
      </c>
      <c r="Q1187">
        <v>2</v>
      </c>
      <c r="R1187">
        <v>0.03</v>
      </c>
      <c r="S1187">
        <v>-0.16</v>
      </c>
      <c r="T1187" t="s">
        <v>1584</v>
      </c>
      <c r="U1187" t="s">
        <v>1592</v>
      </c>
      <c r="V1187" t="str" cm="1">
        <f t="array" aca="1" ref="V1187" ca="1">IFERROR(_xlfn.IFS(A1185="  ..............",OFFSET(A1185,2,0),A1184=" X-------------X",OFFSET(A1184,3,0),MATCH("  ..............",A1187:A1196,0)&gt;2,V1186),"-")</f>
        <v>-</v>
      </c>
      <c r="W1187" t="str">
        <f t="shared" ca="1" si="54"/>
        <v>-</v>
      </c>
      <c r="X1187" t="str">
        <f t="shared" ca="1" si="55"/>
        <v>-</v>
      </c>
      <c r="Y1187" s="1" t="str">
        <f t="shared" ca="1" si="56"/>
        <v>-</v>
      </c>
    </row>
    <row r="1188" spans="1:25" x14ac:dyDescent="0.25">
      <c r="A1188" t="s">
        <v>1572</v>
      </c>
      <c r="B1188" t="s">
        <v>1574</v>
      </c>
      <c r="C1188" t="s">
        <v>1574</v>
      </c>
      <c r="D1188" t="s">
        <v>1574</v>
      </c>
      <c r="E1188" t="s">
        <v>1574</v>
      </c>
      <c r="F1188" t="s">
        <v>1575</v>
      </c>
      <c r="G1188" t="s">
        <v>1574</v>
      </c>
      <c r="H1188" t="s">
        <v>1574</v>
      </c>
      <c r="I1188" t="s">
        <v>1576</v>
      </c>
      <c r="J1188" t="s">
        <v>1573</v>
      </c>
      <c r="K1188" t="s">
        <v>1577</v>
      </c>
      <c r="L1188" t="s">
        <v>1574</v>
      </c>
      <c r="M1188" t="s">
        <v>1574</v>
      </c>
      <c r="N1188" t="s">
        <v>1574</v>
      </c>
      <c r="O1188" t="s">
        <v>1578</v>
      </c>
      <c r="P1188" t="s">
        <v>1576</v>
      </c>
      <c r="Q1188" t="s">
        <v>1579</v>
      </c>
      <c r="R1188" t="s">
        <v>1580</v>
      </c>
      <c r="S1188" t="s">
        <v>1580</v>
      </c>
      <c r="T1188" t="s">
        <v>1576</v>
      </c>
      <c r="U1188" t="s">
        <v>1576</v>
      </c>
      <c r="V1188" t="str" cm="1">
        <f t="array" aca="1" ref="V1188" ca="1">IFERROR(_xlfn.IFS(A1186="  ..............",OFFSET(A1186,2,0),A1185=" X-------------X",OFFSET(A1185,3,0),MATCH("  ..............",A1188:A1197,0)&gt;2,V1187),"-")</f>
        <v>-</v>
      </c>
      <c r="W1188" t="str">
        <f t="shared" ca="1" si="54"/>
        <v>-</v>
      </c>
      <c r="X1188" t="str">
        <f t="shared" ca="1" si="55"/>
        <v/>
      </c>
      <c r="Y1188" s="1" t="str">
        <f t="shared" ca="1" si="56"/>
        <v/>
      </c>
    </row>
    <row r="1189" spans="1:25" x14ac:dyDescent="0.25">
      <c r="A1189" t="s">
        <v>2476</v>
      </c>
      <c r="B1189">
        <v>1.0089999999999999</v>
      </c>
      <c r="C1189">
        <v>2</v>
      </c>
      <c r="D1189">
        <v>0</v>
      </c>
      <c r="E1189">
        <v>45.8</v>
      </c>
      <c r="F1189">
        <v>0</v>
      </c>
      <c r="G1189">
        <v>11</v>
      </c>
      <c r="H1189">
        <v>0</v>
      </c>
      <c r="I1189" t="s">
        <v>1581</v>
      </c>
      <c r="J1189" t="s">
        <v>1581</v>
      </c>
      <c r="K1189" t="s">
        <v>1581</v>
      </c>
      <c r="L1189" t="s">
        <v>1581</v>
      </c>
      <c r="M1189" t="s">
        <v>1581</v>
      </c>
      <c r="N1189" t="s">
        <v>1581</v>
      </c>
      <c r="O1189" t="s">
        <v>1581</v>
      </c>
      <c r="P1189" t="s">
        <v>1581</v>
      </c>
      <c r="Q1189" t="s">
        <v>1581</v>
      </c>
      <c r="R1189" t="s">
        <v>1581</v>
      </c>
      <c r="S1189" t="s">
        <v>1581</v>
      </c>
      <c r="T1189" t="s">
        <v>1581</v>
      </c>
      <c r="U1189" t="s">
        <v>1581</v>
      </c>
      <c r="V1189" t="str" cm="1">
        <f t="array" aca="1" ref="V1189" ca="1">IFERROR(_xlfn.IFS(A1187="  ..............",OFFSET(A1187,2,0),A1186=" X-------------X",OFFSET(A1186,3,0),MATCH("  ..............",A1189:A1198,0)&gt;2,V1188),"-")</f>
        <v>-</v>
      </c>
      <c r="W1189" t="str">
        <f t="shared" ca="1" si="54"/>
        <v>-</v>
      </c>
      <c r="X1189" t="str">
        <f t="shared" ca="1" si="55"/>
        <v xml:space="preserve">              </v>
      </c>
      <c r="Y1189" s="1">
        <f t="shared" ca="1" si="56"/>
        <v>0</v>
      </c>
    </row>
    <row r="1190" spans="1:25" x14ac:dyDescent="0.25">
      <c r="A1190" t="s">
        <v>2477</v>
      </c>
      <c r="B1190">
        <v>-55.8</v>
      </c>
      <c r="C1190">
        <v>0</v>
      </c>
      <c r="D1190">
        <v>0</v>
      </c>
      <c r="E1190">
        <v>14.5</v>
      </c>
      <c r="F1190">
        <v>0</v>
      </c>
      <c r="G1190">
        <v>0</v>
      </c>
      <c r="H1190">
        <v>0</v>
      </c>
      <c r="I1190" t="s">
        <v>1584</v>
      </c>
      <c r="J1190" t="s">
        <v>1585</v>
      </c>
      <c r="K1190" t="s">
        <v>1586</v>
      </c>
      <c r="L1190" t="s">
        <v>1587</v>
      </c>
      <c r="M1190" t="s">
        <v>1587</v>
      </c>
      <c r="N1190" t="s">
        <v>1586</v>
      </c>
      <c r="O1190" t="s">
        <v>1581</v>
      </c>
      <c r="P1190" t="s">
        <v>1581</v>
      </c>
      <c r="Q1190" t="s">
        <v>1581</v>
      </c>
      <c r="R1190" t="s">
        <v>1581</v>
      </c>
      <c r="S1190" t="s">
        <v>1581</v>
      </c>
      <c r="T1190" t="s">
        <v>1581</v>
      </c>
      <c r="U1190" t="s">
        <v>1581</v>
      </c>
      <c r="V1190" t="str" cm="1">
        <f t="array" aca="1" ref="V1190" ca="1">IFERROR(_xlfn.IFS(A1188="  ..............",OFFSET(A1188,2,0),A1187=" X-------------X",OFFSET(A1187,3,0),MATCH("  ..............",A1190:A1199,0)&gt;2,V1189),"-")</f>
        <v xml:space="preserve">  PALEG3-RS069  </v>
      </c>
      <c r="W1190">
        <f t="shared" ca="1" si="54"/>
        <v>1.0089999999999999</v>
      </c>
      <c r="X1190" t="str">
        <f t="shared" ca="1" si="55"/>
        <v xml:space="preserve"> PALG10-RS069 </v>
      </c>
      <c r="Y1190" s="1">
        <f t="shared" ca="1" si="56"/>
        <v>0.20399999999999999</v>
      </c>
    </row>
    <row r="1191" spans="1:25" x14ac:dyDescent="0.25">
      <c r="A1191" t="s">
        <v>1588</v>
      </c>
      <c r="B1191" t="s">
        <v>1587</v>
      </c>
      <c r="C1191">
        <v>80</v>
      </c>
      <c r="D1191">
        <v>95</v>
      </c>
      <c r="E1191">
        <v>95</v>
      </c>
      <c r="F1191" s="1">
        <v>0.54400000000000004</v>
      </c>
      <c r="G1191" t="s">
        <v>1587</v>
      </c>
      <c r="H1191" t="s">
        <v>1587</v>
      </c>
      <c r="I1191">
        <v>1269</v>
      </c>
      <c r="J1191" t="s">
        <v>2435</v>
      </c>
      <c r="K1191">
        <v>1</v>
      </c>
      <c r="L1191">
        <v>-43.8</v>
      </c>
      <c r="M1191">
        <v>-3.5</v>
      </c>
      <c r="N1191">
        <v>43.5</v>
      </c>
      <c r="O1191" t="s">
        <v>1594</v>
      </c>
      <c r="P1191" t="s">
        <v>1584</v>
      </c>
      <c r="Q1191" t="s">
        <v>1591</v>
      </c>
      <c r="R1191">
        <v>0.18</v>
      </c>
      <c r="S1191">
        <v>0.46</v>
      </c>
      <c r="T1191" t="s">
        <v>1584</v>
      </c>
      <c r="U1191" t="s">
        <v>1592</v>
      </c>
      <c r="V1191" t="str" cm="1">
        <f t="array" aca="1" ref="V1191" ca="1">IFERROR(_xlfn.IFS(A1189="  ..............",OFFSET(A1189,2,0),A1188=" X-------------X",OFFSET(A1188,3,0),MATCH("  ..............",A1191:A1200,0)&gt;2,V1190),"-")</f>
        <v>-</v>
      </c>
      <c r="W1191" t="str">
        <f t="shared" ca="1" si="54"/>
        <v>-</v>
      </c>
      <c r="X1191" t="str">
        <f t="shared" ca="1" si="55"/>
        <v>-</v>
      </c>
      <c r="Y1191" s="1" t="str">
        <f t="shared" ca="1" si="56"/>
        <v>-</v>
      </c>
    </row>
    <row r="1192" spans="1:25" x14ac:dyDescent="0.25">
      <c r="A1192" t="s">
        <v>1572</v>
      </c>
      <c r="B1192" t="s">
        <v>1574</v>
      </c>
      <c r="C1192" t="s">
        <v>1574</v>
      </c>
      <c r="D1192" t="s">
        <v>1574</v>
      </c>
      <c r="E1192" t="s">
        <v>1574</v>
      </c>
      <c r="F1192" t="s">
        <v>1575</v>
      </c>
      <c r="G1192" t="s">
        <v>1574</v>
      </c>
      <c r="H1192" t="s">
        <v>1574</v>
      </c>
      <c r="I1192" t="s">
        <v>1576</v>
      </c>
      <c r="J1192" t="s">
        <v>1573</v>
      </c>
      <c r="K1192" t="s">
        <v>1577</v>
      </c>
      <c r="L1192" t="s">
        <v>1574</v>
      </c>
      <c r="M1192" t="s">
        <v>1574</v>
      </c>
      <c r="N1192" t="s">
        <v>1574</v>
      </c>
      <c r="O1192" t="s">
        <v>1578</v>
      </c>
      <c r="P1192" t="s">
        <v>1576</v>
      </c>
      <c r="Q1192" t="s">
        <v>1579</v>
      </c>
      <c r="R1192" t="s">
        <v>1580</v>
      </c>
      <c r="S1192" t="s">
        <v>1580</v>
      </c>
      <c r="T1192" t="s">
        <v>1576</v>
      </c>
      <c r="U1192" t="s">
        <v>1576</v>
      </c>
      <c r="V1192" t="str" cm="1">
        <f t="array" aca="1" ref="V1192" ca="1">IFERROR(_xlfn.IFS(A1190="  ..............",OFFSET(A1190,2,0),A1189=" X-------------X",OFFSET(A1189,3,0),MATCH("  ..............",A1192:A1201,0)&gt;2,V1191),"-")</f>
        <v>-</v>
      </c>
      <c r="W1192" t="str">
        <f t="shared" ca="1" si="54"/>
        <v>-</v>
      </c>
      <c r="X1192" t="str">
        <f t="shared" ca="1" si="55"/>
        <v xml:space="preserve"> V11.06.02    </v>
      </c>
      <c r="Y1192" s="1" t="str">
        <f t="shared" ca="1" si="56"/>
        <v xml:space="preserve">A - PROGRAMA </v>
      </c>
    </row>
    <row r="1193" spans="1:25" x14ac:dyDescent="0.25">
      <c r="A1193" t="s">
        <v>1725</v>
      </c>
      <c r="B1193" t="s">
        <v>1726</v>
      </c>
      <c r="C1193" t="s">
        <v>1727</v>
      </c>
      <c r="D1193" t="s">
        <v>1728</v>
      </c>
      <c r="E1193" t="s">
        <v>1729</v>
      </c>
      <c r="F1193" t="s">
        <v>1730</v>
      </c>
      <c r="G1193" t="s">
        <v>1731</v>
      </c>
      <c r="H1193" t="s">
        <v>1732</v>
      </c>
      <c r="I1193" t="s">
        <v>1733</v>
      </c>
      <c r="J1193" t="s">
        <v>1734</v>
      </c>
      <c r="K1193" t="s">
        <v>1586</v>
      </c>
      <c r="L1193" t="s">
        <v>1587</v>
      </c>
      <c r="M1193" t="s">
        <v>1587</v>
      </c>
      <c r="N1193" t="s">
        <v>1587</v>
      </c>
      <c r="O1193" t="s">
        <v>1735</v>
      </c>
      <c r="P1193">
        <v>8</v>
      </c>
      <c r="Q1193" t="s">
        <v>1581</v>
      </c>
      <c r="R1193" t="s">
        <v>1581</v>
      </c>
      <c r="S1193" t="s">
        <v>1581</v>
      </c>
      <c r="T1193" t="s">
        <v>1581</v>
      </c>
      <c r="U1193" t="s">
        <v>1581</v>
      </c>
      <c r="V1193" t="str" cm="1">
        <f t="array" aca="1" ref="V1193" ca="1">IFERROR(_xlfn.IFS(A1191="  ..............",OFFSET(A1191,2,0),A1190=" X-------------X",OFFSET(A1190,3,0),MATCH("  ..............",A1193:A1202,0)&gt;2,V1192),"-")</f>
        <v>-</v>
      </c>
      <c r="W1193" t="str">
        <f t="shared" ca="1" si="54"/>
        <v>-</v>
      </c>
      <c r="X1193" t="str">
        <f t="shared" ca="1" si="55"/>
        <v/>
      </c>
      <c r="Y1193" s="1" t="str">
        <f t="shared" ca="1" si="56"/>
        <v/>
      </c>
    </row>
    <row r="1194" spans="1:25" x14ac:dyDescent="0.25">
      <c r="A1194" t="s">
        <v>1581</v>
      </c>
      <c r="B1194" t="s">
        <v>1581</v>
      </c>
      <c r="C1194" t="s">
        <v>1581</v>
      </c>
      <c r="D1194" t="s">
        <v>1581</v>
      </c>
      <c r="E1194" t="s">
        <v>1581</v>
      </c>
      <c r="F1194" t="s">
        <v>1581</v>
      </c>
      <c r="G1194" t="s">
        <v>1581</v>
      </c>
      <c r="H1194" t="s">
        <v>1581</v>
      </c>
      <c r="I1194" t="s">
        <v>1581</v>
      </c>
      <c r="J1194" t="s">
        <v>1581</v>
      </c>
      <c r="K1194" t="s">
        <v>1581</v>
      </c>
      <c r="L1194" t="s">
        <v>1581</v>
      </c>
      <c r="M1194" t="s">
        <v>1581</v>
      </c>
      <c r="N1194" t="s">
        <v>1581</v>
      </c>
      <c r="O1194" t="s">
        <v>1581</v>
      </c>
      <c r="P1194" t="s">
        <v>1581</v>
      </c>
      <c r="Q1194" t="s">
        <v>1581</v>
      </c>
      <c r="R1194" t="s">
        <v>1581</v>
      </c>
      <c r="S1194" t="s">
        <v>1581</v>
      </c>
      <c r="T1194" t="s">
        <v>1581</v>
      </c>
      <c r="U1194" t="s">
        <v>1581</v>
      </c>
      <c r="V1194" t="str" cm="1">
        <f t="array" aca="1" ref="V1194" ca="1">IFERROR(_xlfn.IFS(A1192="  ..............",OFFSET(A1192,2,0),A1191=" X-------------X",OFFSET(A1191,3,0),MATCH("  ..............",A1194:A1203,0)&gt;2,V1193),"-")</f>
        <v/>
      </c>
      <c r="W1194" t="str">
        <f t="shared" ca="1" si="54"/>
        <v>X-------X</v>
      </c>
      <c r="X1194" t="str">
        <f t="shared" ca="1" si="55"/>
        <v/>
      </c>
      <c r="Y1194" s="1" t="str">
        <f t="shared" ca="1" si="56"/>
        <v/>
      </c>
    </row>
    <row r="1195" spans="1:25" x14ac:dyDescent="0.25">
      <c r="A1195" t="s">
        <v>1736</v>
      </c>
      <c r="B1195" t="s">
        <v>1737</v>
      </c>
      <c r="C1195" t="s">
        <v>1738</v>
      </c>
      <c r="D1195" t="s">
        <v>1739</v>
      </c>
      <c r="E1195" t="s">
        <v>1740</v>
      </c>
      <c r="F1195" t="s">
        <v>1741</v>
      </c>
      <c r="G1195" t="s">
        <v>1742</v>
      </c>
      <c r="H1195" t="s">
        <v>1743</v>
      </c>
      <c r="I1195" t="s">
        <v>1744</v>
      </c>
      <c r="J1195" t="s">
        <v>1581</v>
      </c>
      <c r="K1195" t="s">
        <v>1581</v>
      </c>
      <c r="L1195" t="s">
        <v>1581</v>
      </c>
      <c r="M1195" t="s">
        <v>1581</v>
      </c>
      <c r="N1195" t="s">
        <v>1581</v>
      </c>
      <c r="O1195" t="s">
        <v>1581</v>
      </c>
      <c r="P1195" t="s">
        <v>1581</v>
      </c>
      <c r="Q1195" t="s">
        <v>1581</v>
      </c>
      <c r="R1195" t="s">
        <v>1581</v>
      </c>
      <c r="S1195" t="s">
        <v>1581</v>
      </c>
      <c r="T1195" t="s">
        <v>1581</v>
      </c>
      <c r="U1195" t="s">
        <v>1581</v>
      </c>
      <c r="V1195" t="str" cm="1">
        <f t="array" aca="1" ref="V1195" ca="1">IFERROR(_xlfn.IFS(A1193="  ..............",OFFSET(A1193,2,0),A1192=" X-------------X",OFFSET(A1192,3,0),MATCH("  ..............",A1195:A1204,0)&gt;2,V1194),"-")</f>
        <v>-</v>
      </c>
      <c r="W1195" t="str">
        <f t="shared" ca="1" si="54"/>
        <v>-</v>
      </c>
      <c r="X1195" t="str">
        <f t="shared" ca="1" si="55"/>
        <v>-</v>
      </c>
      <c r="Y1195" s="1" t="str">
        <f t="shared" ca="1" si="56"/>
        <v>-</v>
      </c>
    </row>
    <row r="1196" spans="1:25" x14ac:dyDescent="0.25">
      <c r="A1196" t="s">
        <v>1745</v>
      </c>
      <c r="B1196" t="s">
        <v>1746</v>
      </c>
      <c r="C1196" t="s">
        <v>1747</v>
      </c>
      <c r="D1196" t="s">
        <v>1748</v>
      </c>
      <c r="E1196" t="s">
        <v>1749</v>
      </c>
      <c r="F1196" t="s">
        <v>1750</v>
      </c>
      <c r="G1196" t="s">
        <v>1587</v>
      </c>
      <c r="H1196" t="s">
        <v>1587</v>
      </c>
      <c r="I1196" t="s">
        <v>1591</v>
      </c>
      <c r="J1196" t="s">
        <v>1581</v>
      </c>
      <c r="K1196" t="s">
        <v>1581</v>
      </c>
      <c r="L1196" t="s">
        <v>1581</v>
      </c>
      <c r="M1196" t="s">
        <v>1581</v>
      </c>
      <c r="N1196" t="s">
        <v>1581</v>
      </c>
      <c r="O1196" t="s">
        <v>1581</v>
      </c>
      <c r="P1196" t="s">
        <v>1581</v>
      </c>
      <c r="Q1196" t="s">
        <v>1581</v>
      </c>
      <c r="R1196" t="s">
        <v>1581</v>
      </c>
      <c r="S1196" t="s">
        <v>1581</v>
      </c>
      <c r="T1196" t="s">
        <v>1581</v>
      </c>
      <c r="U1196" t="s">
        <v>1581</v>
      </c>
      <c r="V1196" t="str" cm="1">
        <f t="array" aca="1" ref="V1196" ca="1">IFERROR(_xlfn.IFS(A1194="  ..............",OFFSET(A1194,2,0),A1193=" X-------------X",OFFSET(A1193,3,0),MATCH("  ..............",A1196:A1205,0)&gt;2,V1195),"-")</f>
        <v>-</v>
      </c>
      <c r="W1196" t="str">
        <f t="shared" ca="1" si="54"/>
        <v>-</v>
      </c>
      <c r="X1196" t="str">
        <f t="shared" ca="1" si="55"/>
        <v/>
      </c>
      <c r="Y1196" s="1" t="str">
        <f t="shared" ca="1" si="56"/>
        <v/>
      </c>
    </row>
    <row r="1197" spans="1:25" x14ac:dyDescent="0.25">
      <c r="A1197" t="s">
        <v>1581</v>
      </c>
      <c r="B1197" t="s">
        <v>1581</v>
      </c>
      <c r="C1197" t="s">
        <v>1581</v>
      </c>
      <c r="D1197" t="s">
        <v>1581</v>
      </c>
      <c r="E1197" t="s">
        <v>1581</v>
      </c>
      <c r="F1197" t="s">
        <v>1581</v>
      </c>
      <c r="G1197" t="s">
        <v>1581</v>
      </c>
      <c r="H1197" t="s">
        <v>1581</v>
      </c>
      <c r="I1197" t="s">
        <v>1581</v>
      </c>
      <c r="J1197" t="s">
        <v>1581</v>
      </c>
      <c r="K1197" t="s">
        <v>1581</v>
      </c>
      <c r="L1197" t="s">
        <v>1581</v>
      </c>
      <c r="M1197" t="s">
        <v>1581</v>
      </c>
      <c r="N1197" t="s">
        <v>1581</v>
      </c>
      <c r="O1197" t="s">
        <v>1581</v>
      </c>
      <c r="P1197" t="s">
        <v>1581</v>
      </c>
      <c r="Q1197" t="s">
        <v>1581</v>
      </c>
      <c r="R1197" t="s">
        <v>1581</v>
      </c>
      <c r="S1197" t="s">
        <v>1581</v>
      </c>
      <c r="T1197" t="s">
        <v>1581</v>
      </c>
      <c r="U1197" t="s">
        <v>1581</v>
      </c>
      <c r="V1197" t="str" cm="1">
        <f t="array" aca="1" ref="V1197" ca="1">IFERROR(_xlfn.IFS(A1195="  ..............",OFFSET(A1195,2,0),A1194=" X-------------X",OFFSET(A1194,3,0),MATCH("  ..............",A1197:A1206,0)&gt;2,V1196),"-")</f>
        <v>-</v>
      </c>
      <c r="W1197" t="str">
        <f t="shared" ca="1" si="54"/>
        <v>-</v>
      </c>
      <c r="X1197" t="str">
        <f t="shared" ca="1" si="55"/>
        <v>-------- F L U</v>
      </c>
      <c r="Y1197" s="1" t="str">
        <f t="shared" ca="1" si="56"/>
        <v xml:space="preserve"> ------------</v>
      </c>
    </row>
    <row r="1198" spans="1:25" x14ac:dyDescent="0.25">
      <c r="A1198" t="s">
        <v>1751</v>
      </c>
      <c r="B1198" t="s">
        <v>1752</v>
      </c>
      <c r="C1198" t="s">
        <v>1753</v>
      </c>
      <c r="D1198" t="s">
        <v>1754</v>
      </c>
      <c r="E1198" t="s">
        <v>1755</v>
      </c>
      <c r="F1198" t="s">
        <v>1756</v>
      </c>
      <c r="G1198" t="s">
        <v>1757</v>
      </c>
      <c r="H1198" t="s">
        <v>1758</v>
      </c>
      <c r="I1198" t="s">
        <v>1759</v>
      </c>
      <c r="J1198" t="s">
        <v>1760</v>
      </c>
      <c r="K1198" t="s">
        <v>1761</v>
      </c>
      <c r="L1198" t="s">
        <v>1762</v>
      </c>
      <c r="M1198" t="s">
        <v>1763</v>
      </c>
      <c r="N1198" t="s">
        <v>1764</v>
      </c>
      <c r="O1198" t="s">
        <v>1765</v>
      </c>
      <c r="P1198" t="s">
        <v>1766</v>
      </c>
      <c r="Q1198" t="s">
        <v>1767</v>
      </c>
      <c r="R1198" t="s">
        <v>1571</v>
      </c>
      <c r="S1198" t="s">
        <v>1571</v>
      </c>
      <c r="T1198" t="s">
        <v>1759</v>
      </c>
      <c r="U1198" t="s">
        <v>1768</v>
      </c>
      <c r="V1198" t="str" cm="1">
        <f t="array" aca="1" ref="V1198" ca="1">IFERROR(_xlfn.IFS(A1196="  ..............",OFFSET(A1196,2,0),A1195=" X-------------X",OFFSET(A1195,3,0),MATCH("  ..............",A1198:A1207,0)&gt;2,V1197),"-")</f>
        <v>-</v>
      </c>
      <c r="W1198" t="str">
        <f t="shared" ca="1" si="54"/>
        <v>-</v>
      </c>
      <c r="X1198" t="str">
        <f t="shared" ca="1" si="55"/>
        <v xml:space="preserve">              </v>
      </c>
      <c r="Y1198" s="1">
        <f t="shared" ca="1" si="56"/>
        <v>0</v>
      </c>
    </row>
    <row r="1199" spans="1:25" x14ac:dyDescent="0.25">
      <c r="A1199" t="s">
        <v>1769</v>
      </c>
      <c r="B1199" t="s">
        <v>1770</v>
      </c>
      <c r="C1199" t="s">
        <v>1771</v>
      </c>
      <c r="D1199" t="s">
        <v>1772</v>
      </c>
      <c r="E1199" t="s">
        <v>1773</v>
      </c>
      <c r="F1199" t="s">
        <v>1774</v>
      </c>
      <c r="G1199" t="s">
        <v>1775</v>
      </c>
      <c r="H1199" t="s">
        <v>1776</v>
      </c>
      <c r="I1199" t="s">
        <v>1584</v>
      </c>
      <c r="J1199" t="s">
        <v>1585</v>
      </c>
      <c r="K1199" t="s">
        <v>1586</v>
      </c>
      <c r="L1199" t="s">
        <v>1587</v>
      </c>
      <c r="M1199" t="s">
        <v>1587</v>
      </c>
      <c r="N1199" t="s">
        <v>1587</v>
      </c>
      <c r="O1199" t="s">
        <v>1594</v>
      </c>
      <c r="P1199" t="s">
        <v>1584</v>
      </c>
      <c r="Q1199" t="s">
        <v>1591</v>
      </c>
      <c r="R1199" t="s">
        <v>1777</v>
      </c>
      <c r="S1199" t="s">
        <v>1777</v>
      </c>
      <c r="T1199" t="s">
        <v>1584</v>
      </c>
      <c r="U1199" t="s">
        <v>1778</v>
      </c>
      <c r="V1199" t="str" cm="1">
        <f t="array" aca="1" ref="V1199" ca="1">IFERROR(_xlfn.IFS(A1197="  ..............",OFFSET(A1197,2,0),A1196=" X-------------X",OFFSET(A1196,3,0),MATCH("  ..............",A1199:A1208,0)&gt;2,V1198),"-")</f>
        <v>-</v>
      </c>
      <c r="W1199" t="str">
        <f t="shared" ca="1" si="54"/>
        <v>-</v>
      </c>
      <c r="X1199" t="str">
        <f t="shared" ca="1" si="55"/>
        <v xml:space="preserve">              </v>
      </c>
      <c r="Y1199" s="1">
        <f t="shared" ca="1" si="56"/>
        <v>0</v>
      </c>
    </row>
    <row r="1200" spans="1:25" x14ac:dyDescent="0.25">
      <c r="A1200" t="s">
        <v>1779</v>
      </c>
      <c r="B1200" t="s">
        <v>1780</v>
      </c>
      <c r="C1200" t="s">
        <v>1781</v>
      </c>
      <c r="D1200" t="s">
        <v>1781</v>
      </c>
      <c r="E1200" t="s">
        <v>1781</v>
      </c>
      <c r="F1200" t="s">
        <v>1782</v>
      </c>
      <c r="G1200" t="s">
        <v>1783</v>
      </c>
      <c r="H1200" t="s">
        <v>1784</v>
      </c>
      <c r="I1200" t="s">
        <v>1584</v>
      </c>
      <c r="J1200" t="s">
        <v>1585</v>
      </c>
      <c r="K1200" t="s">
        <v>1586</v>
      </c>
      <c r="L1200" t="s">
        <v>1587</v>
      </c>
      <c r="M1200" t="s">
        <v>1587</v>
      </c>
      <c r="N1200" t="s">
        <v>1587</v>
      </c>
      <c r="O1200" t="s">
        <v>1594</v>
      </c>
      <c r="P1200" t="s">
        <v>1584</v>
      </c>
      <c r="Q1200" t="s">
        <v>1785</v>
      </c>
      <c r="R1200" t="s">
        <v>1786</v>
      </c>
      <c r="S1200" t="s">
        <v>1787</v>
      </c>
      <c r="T1200" t="s">
        <v>1788</v>
      </c>
      <c r="U1200" t="s">
        <v>1778</v>
      </c>
      <c r="V1200" t="str" cm="1">
        <f t="array" aca="1" ref="V1200" ca="1">IFERROR(_xlfn.IFS(A1198="  ..............",OFFSET(A1198,2,0),A1197=" X-------------X",OFFSET(A1197,3,0),MATCH("  ..............",A1200:A1209,0)&gt;2,V1199),"-")</f>
        <v>-</v>
      </c>
      <c r="W1200" t="str">
        <f t="shared" ca="1" si="54"/>
        <v>-</v>
      </c>
      <c r="X1200" t="str">
        <f t="shared" ca="1" si="55"/>
        <v xml:space="preserve">A             </v>
      </c>
      <c r="Y1200" s="1" t="str">
        <f t="shared" ca="1" si="56"/>
        <v xml:space="preserve">   Mvar   EQU</v>
      </c>
    </row>
    <row r="1201" spans="1:25" x14ac:dyDescent="0.25">
      <c r="A1201" t="s">
        <v>1789</v>
      </c>
      <c r="B1201" t="s">
        <v>1790</v>
      </c>
      <c r="C1201" t="s">
        <v>1791</v>
      </c>
      <c r="D1201" t="s">
        <v>1791</v>
      </c>
      <c r="E1201" t="s">
        <v>1791</v>
      </c>
      <c r="F1201" t="s">
        <v>1792</v>
      </c>
      <c r="G1201" t="s">
        <v>1793</v>
      </c>
      <c r="H1201" t="s">
        <v>1794</v>
      </c>
      <c r="I1201" t="s">
        <v>1795</v>
      </c>
      <c r="J1201" t="s">
        <v>1796</v>
      </c>
      <c r="K1201" t="s">
        <v>1586</v>
      </c>
      <c r="L1201" t="s">
        <v>1797</v>
      </c>
      <c r="M1201" t="s">
        <v>1798</v>
      </c>
      <c r="N1201" t="s">
        <v>1587</v>
      </c>
      <c r="O1201" t="s">
        <v>1594</v>
      </c>
      <c r="P1201" t="s">
        <v>1584</v>
      </c>
      <c r="Q1201" t="s">
        <v>1799</v>
      </c>
      <c r="R1201" t="s">
        <v>1800</v>
      </c>
      <c r="S1201" t="s">
        <v>1801</v>
      </c>
      <c r="T1201" t="s">
        <v>1802</v>
      </c>
      <c r="U1201" t="s">
        <v>1803</v>
      </c>
      <c r="V1201" t="str" cm="1">
        <f t="array" aca="1" ref="V1201" ca="1">IFERROR(_xlfn.IFS(A1199="  ..............",OFFSET(A1199,2,0),A1198=" X-------------X",OFFSET(A1198,3,0),MATCH("  ..............",A1201:A1210,0)&gt;2,V1200),"-")</f>
        <v>-</v>
      </c>
      <c r="W1201" t="str">
        <f t="shared" ca="1" si="54"/>
        <v>-</v>
      </c>
      <c r="X1201" t="str">
        <f t="shared" ca="1" si="55"/>
        <v xml:space="preserve">     NOME     </v>
      </c>
      <c r="Y1201" s="1" t="str">
        <f t="shared" ca="1" si="56"/>
        <v xml:space="preserve">   FLUXO %   </v>
      </c>
    </row>
    <row r="1202" spans="1:25" x14ac:dyDescent="0.25">
      <c r="A1202" t="s">
        <v>1588</v>
      </c>
      <c r="B1202" t="s">
        <v>1587</v>
      </c>
      <c r="C1202" t="s">
        <v>1804</v>
      </c>
      <c r="D1202" t="s">
        <v>1805</v>
      </c>
      <c r="E1202" t="s">
        <v>1806</v>
      </c>
      <c r="F1202" t="s">
        <v>1807</v>
      </c>
      <c r="G1202" t="s">
        <v>1808</v>
      </c>
      <c r="H1202" t="s">
        <v>1587</v>
      </c>
      <c r="I1202" t="s">
        <v>1809</v>
      </c>
      <c r="J1202" t="s">
        <v>1810</v>
      </c>
      <c r="K1202" t="s">
        <v>1811</v>
      </c>
      <c r="L1202" t="s">
        <v>1812</v>
      </c>
      <c r="M1202" t="s">
        <v>1791</v>
      </c>
      <c r="N1202" t="s">
        <v>1813</v>
      </c>
      <c r="O1202" t="s">
        <v>1814</v>
      </c>
      <c r="P1202" t="s">
        <v>1815</v>
      </c>
      <c r="Q1202" t="s">
        <v>1816</v>
      </c>
      <c r="R1202" t="s">
        <v>1817</v>
      </c>
      <c r="S1202" t="s">
        <v>1818</v>
      </c>
      <c r="T1202" t="s">
        <v>1819</v>
      </c>
      <c r="U1202" t="s">
        <v>1820</v>
      </c>
      <c r="V1202" t="str" cm="1">
        <f t="array" aca="1" ref="V1202" ca="1">IFERROR(_xlfn.IFS(A1200="  ..............",OFFSET(A1200,2,0),A1199=" X-------------X",OFFSET(A1199,3,0),MATCH("  ..............",A1202:A1211,0)&gt;2,V1201),"-")</f>
        <v>-</v>
      </c>
      <c r="W1202" t="str">
        <f t="shared" ca="1" si="54"/>
        <v>-</v>
      </c>
      <c r="X1202" t="str">
        <f t="shared" ca="1" si="55"/>
        <v>X------------X</v>
      </c>
      <c r="Y1202" s="1" t="str">
        <f t="shared" ca="1" si="56"/>
        <v>X-----------X</v>
      </c>
    </row>
    <row r="1203" spans="1:25" x14ac:dyDescent="0.25">
      <c r="A1203" t="s">
        <v>1563</v>
      </c>
      <c r="B1203" t="s">
        <v>1564</v>
      </c>
      <c r="C1203" t="s">
        <v>1564</v>
      </c>
      <c r="D1203" t="s">
        <v>1564</v>
      </c>
      <c r="E1203" t="s">
        <v>1564</v>
      </c>
      <c r="F1203" t="s">
        <v>1565</v>
      </c>
      <c r="G1203" t="s">
        <v>1564</v>
      </c>
      <c r="H1203" t="s">
        <v>1564</v>
      </c>
      <c r="I1203" t="s">
        <v>1566</v>
      </c>
      <c r="J1203" t="s">
        <v>1567</v>
      </c>
      <c r="K1203" t="s">
        <v>1568</v>
      </c>
      <c r="L1203" t="s">
        <v>1564</v>
      </c>
      <c r="M1203" t="s">
        <v>1564</v>
      </c>
      <c r="N1203" t="s">
        <v>1564</v>
      </c>
      <c r="O1203" t="s">
        <v>1569</v>
      </c>
      <c r="P1203" t="s">
        <v>1566</v>
      </c>
      <c r="Q1203" t="s">
        <v>1570</v>
      </c>
      <c r="R1203" t="s">
        <v>1571</v>
      </c>
      <c r="S1203" t="s">
        <v>1571</v>
      </c>
      <c r="T1203" t="s">
        <v>1566</v>
      </c>
      <c r="U1203" t="s">
        <v>1566</v>
      </c>
      <c r="V1203" t="str" cm="1">
        <f t="array" aca="1" ref="V1203" ca="1">IFERROR(_xlfn.IFS(A1201="  ..............",OFFSET(A1201,2,0),A1200=" X-------------X",OFFSET(A1200,3,0),MATCH("  ..............",A1203:A1212,0)&gt;2,V1202),"-")</f>
        <v>-</v>
      </c>
      <c r="W1203" t="str">
        <f t="shared" ca="1" si="54"/>
        <v>-</v>
      </c>
      <c r="X1203" t="str">
        <f t="shared" ca="1" si="55"/>
        <v/>
      </c>
      <c r="Y1203" s="1" t="str">
        <f t="shared" ca="1" si="56"/>
        <v/>
      </c>
    </row>
    <row r="1204" spans="1:25" x14ac:dyDescent="0.25">
      <c r="A1204" t="s">
        <v>1581</v>
      </c>
      <c r="B1204" t="s">
        <v>1581</v>
      </c>
      <c r="C1204" t="s">
        <v>1581</v>
      </c>
      <c r="D1204" t="s">
        <v>1581</v>
      </c>
      <c r="E1204" t="s">
        <v>1581</v>
      </c>
      <c r="F1204" t="s">
        <v>1581</v>
      </c>
      <c r="G1204" t="s">
        <v>1581</v>
      </c>
      <c r="H1204" t="s">
        <v>1581</v>
      </c>
      <c r="I1204" t="s">
        <v>1581</v>
      </c>
      <c r="J1204" t="s">
        <v>1581</v>
      </c>
      <c r="K1204" t="s">
        <v>1581</v>
      </c>
      <c r="L1204" t="s">
        <v>1581</v>
      </c>
      <c r="M1204" t="s">
        <v>1581</v>
      </c>
      <c r="N1204" t="s">
        <v>1581</v>
      </c>
      <c r="O1204" t="s">
        <v>1581</v>
      </c>
      <c r="P1204" t="s">
        <v>1581</v>
      </c>
      <c r="Q1204" t="s">
        <v>1581</v>
      </c>
      <c r="R1204" t="s">
        <v>1581</v>
      </c>
      <c r="S1204" t="s">
        <v>1581</v>
      </c>
      <c r="T1204" t="s">
        <v>1581</v>
      </c>
      <c r="U1204" t="s">
        <v>1581</v>
      </c>
      <c r="V1204" t="str" cm="1">
        <f t="array" aca="1" ref="V1204" ca="1">IFERROR(_xlfn.IFS(A1202="  ..............",OFFSET(A1202,2,0),A1201=" X-------------X",OFFSET(A1201,3,0),MATCH("  ..............",A1204:A1213,0)&gt;2,V1203),"-")</f>
        <v>-</v>
      </c>
      <c r="W1204" t="str">
        <f t="shared" ca="1" si="54"/>
        <v>-</v>
      </c>
      <c r="X1204" t="str">
        <f t="shared" ca="1" si="55"/>
        <v/>
      </c>
      <c r="Y1204" s="1" t="str">
        <f t="shared" ca="1" si="56"/>
        <v/>
      </c>
    </row>
    <row r="1205" spans="1:25" x14ac:dyDescent="0.25">
      <c r="A1205" t="s">
        <v>2478</v>
      </c>
      <c r="B1205">
        <v>1.016</v>
      </c>
      <c r="C1205">
        <v>0.4</v>
      </c>
      <c r="D1205">
        <v>0</v>
      </c>
      <c r="E1205">
        <v>38.6</v>
      </c>
      <c r="F1205">
        <v>0</v>
      </c>
      <c r="G1205">
        <v>14.9</v>
      </c>
      <c r="H1205">
        <v>0</v>
      </c>
      <c r="I1205" t="s">
        <v>1581</v>
      </c>
      <c r="J1205" t="s">
        <v>1581</v>
      </c>
      <c r="K1205" t="s">
        <v>1581</v>
      </c>
      <c r="L1205" t="s">
        <v>1581</v>
      </c>
      <c r="M1205" t="s">
        <v>1581</v>
      </c>
      <c r="N1205" t="s">
        <v>1581</v>
      </c>
      <c r="O1205" t="s">
        <v>1581</v>
      </c>
      <c r="P1205" t="s">
        <v>1581</v>
      </c>
      <c r="Q1205" t="s">
        <v>1581</v>
      </c>
      <c r="R1205" t="s">
        <v>1581</v>
      </c>
      <c r="S1205" t="s">
        <v>1581</v>
      </c>
      <c r="T1205" t="s">
        <v>1581</v>
      </c>
      <c r="U1205" t="s">
        <v>1581</v>
      </c>
      <c r="V1205" t="str" cm="1">
        <f t="array" aca="1" ref="V1205" ca="1">IFERROR(_xlfn.IFS(A1203="  ..............",OFFSET(A1203,2,0),A1202=" X-------------X",OFFSET(A1202,3,0),MATCH("  ..............",A1205:A1214,0)&gt;2,V1204),"-")</f>
        <v>-</v>
      </c>
      <c r="W1205" t="str">
        <f t="shared" ca="1" si="54"/>
        <v>-</v>
      </c>
      <c r="X1205" t="str">
        <f t="shared" ca="1" si="55"/>
        <v xml:space="preserve">              </v>
      </c>
      <c r="Y1205" s="1">
        <f t="shared" ca="1" si="56"/>
        <v>0</v>
      </c>
    </row>
    <row r="1206" spans="1:25" x14ac:dyDescent="0.25">
      <c r="A1206" t="s">
        <v>2479</v>
      </c>
      <c r="B1206">
        <v>-55.2</v>
      </c>
      <c r="C1206">
        <v>0</v>
      </c>
      <c r="D1206">
        <v>0</v>
      </c>
      <c r="E1206">
        <v>9.9</v>
      </c>
      <c r="F1206">
        <v>0</v>
      </c>
      <c r="G1206">
        <v>0</v>
      </c>
      <c r="H1206">
        <v>0</v>
      </c>
      <c r="I1206" t="s">
        <v>1584</v>
      </c>
      <c r="J1206" t="s">
        <v>1585</v>
      </c>
      <c r="K1206" t="s">
        <v>1586</v>
      </c>
      <c r="L1206" t="s">
        <v>1587</v>
      </c>
      <c r="M1206" t="s">
        <v>1587</v>
      </c>
      <c r="N1206" t="s">
        <v>1586</v>
      </c>
      <c r="O1206" t="s">
        <v>1581</v>
      </c>
      <c r="P1206" t="s">
        <v>1581</v>
      </c>
      <c r="Q1206" t="s">
        <v>1581</v>
      </c>
      <c r="R1206" t="s">
        <v>1581</v>
      </c>
      <c r="S1206" t="s">
        <v>1581</v>
      </c>
      <c r="T1206" t="s">
        <v>1581</v>
      </c>
      <c r="U1206" t="s">
        <v>1581</v>
      </c>
      <c r="V1206" t="str" cm="1">
        <f t="array" aca="1" ref="V1206" ca="1">IFERROR(_xlfn.IFS(A1204="  ..............",OFFSET(A1204,2,0),A1203=" X-------------X",OFFSET(A1203,3,0),MATCH("  ..............",A1206:A1215,0)&gt;2,V1205),"-")</f>
        <v xml:space="preserve">  PALEG5-RS069  </v>
      </c>
      <c r="W1206">
        <f t="shared" ca="1" si="54"/>
        <v>1.016</v>
      </c>
      <c r="X1206" t="str">
        <f t="shared" ca="1" si="55"/>
        <v xml:space="preserve"> JBOTAN-RS069 </v>
      </c>
      <c r="Y1206" s="1">
        <f t="shared" ca="1" si="56"/>
        <v>0.73899999999999999</v>
      </c>
    </row>
    <row r="1207" spans="1:25" x14ac:dyDescent="0.25">
      <c r="A1207" t="s">
        <v>1588</v>
      </c>
      <c r="B1207" t="s">
        <v>1587</v>
      </c>
      <c r="C1207">
        <v>100</v>
      </c>
      <c r="D1207">
        <v>100</v>
      </c>
      <c r="E1207">
        <v>100</v>
      </c>
      <c r="F1207" s="1">
        <v>0.379</v>
      </c>
      <c r="G1207" t="s">
        <v>1587</v>
      </c>
      <c r="H1207" t="s">
        <v>1587</v>
      </c>
      <c r="I1207">
        <v>10007</v>
      </c>
      <c r="J1207" t="s">
        <v>2432</v>
      </c>
      <c r="K1207">
        <v>1</v>
      </c>
      <c r="L1207">
        <v>-38.200000000000003</v>
      </c>
      <c r="M1207">
        <v>5</v>
      </c>
      <c r="N1207">
        <v>37.9</v>
      </c>
      <c r="O1207" t="s">
        <v>1594</v>
      </c>
      <c r="P1207" t="s">
        <v>1584</v>
      </c>
      <c r="Q1207" t="s">
        <v>1591</v>
      </c>
      <c r="R1207">
        <v>0.04</v>
      </c>
      <c r="S1207">
        <v>-2.09</v>
      </c>
      <c r="T1207" t="s">
        <v>1584</v>
      </c>
      <c r="U1207" t="s">
        <v>1592</v>
      </c>
      <c r="V1207" t="str" cm="1">
        <f t="array" aca="1" ref="V1207" ca="1">IFERROR(_xlfn.IFS(A1205="  ..............",OFFSET(A1205,2,0),A1204=" X-------------X",OFFSET(A1204,3,0),MATCH("  ..............",A1207:A1216,0)&gt;2,V1206),"-")</f>
        <v>-</v>
      </c>
      <c r="W1207" t="str">
        <f t="shared" ca="1" si="54"/>
        <v>-</v>
      </c>
      <c r="X1207" t="str">
        <f t="shared" ca="1" si="55"/>
        <v>-</v>
      </c>
      <c r="Y1207" s="1" t="str">
        <f t="shared" ca="1" si="56"/>
        <v>-</v>
      </c>
    </row>
    <row r="1208" spans="1:25" x14ac:dyDescent="0.25">
      <c r="A1208" t="s">
        <v>1572</v>
      </c>
      <c r="B1208" t="s">
        <v>1574</v>
      </c>
      <c r="C1208" t="s">
        <v>1574</v>
      </c>
      <c r="D1208" t="s">
        <v>1574</v>
      </c>
      <c r="E1208" t="s">
        <v>1574</v>
      </c>
      <c r="F1208" t="s">
        <v>1575</v>
      </c>
      <c r="G1208" t="s">
        <v>1574</v>
      </c>
      <c r="H1208" t="s">
        <v>1574</v>
      </c>
      <c r="I1208" t="s">
        <v>1576</v>
      </c>
      <c r="J1208" t="s">
        <v>1573</v>
      </c>
      <c r="K1208" t="s">
        <v>1577</v>
      </c>
      <c r="L1208" t="s">
        <v>1574</v>
      </c>
      <c r="M1208" t="s">
        <v>1574</v>
      </c>
      <c r="N1208" t="s">
        <v>1574</v>
      </c>
      <c r="O1208" t="s">
        <v>1578</v>
      </c>
      <c r="P1208" t="s">
        <v>1576</v>
      </c>
      <c r="Q1208" t="s">
        <v>1579</v>
      </c>
      <c r="R1208" t="s">
        <v>1580</v>
      </c>
      <c r="S1208" t="s">
        <v>1580</v>
      </c>
      <c r="T1208" t="s">
        <v>1576</v>
      </c>
      <c r="U1208" t="s">
        <v>1576</v>
      </c>
      <c r="V1208" t="str" cm="1">
        <f t="array" aca="1" ref="V1208" ca="1">IFERROR(_xlfn.IFS(A1206="  ..............",OFFSET(A1206,2,0),A1205=" X-------------X",OFFSET(A1205,3,0),MATCH("  ..............",A1208:A1217,0)&gt;2,V1207),"-")</f>
        <v>-</v>
      </c>
      <c r="W1208" t="str">
        <f t="shared" ca="1" si="54"/>
        <v>-</v>
      </c>
      <c r="X1208" t="str">
        <f t="shared" ca="1" si="55"/>
        <v/>
      </c>
      <c r="Y1208" s="1" t="str">
        <f t="shared" ca="1" si="56"/>
        <v/>
      </c>
    </row>
    <row r="1209" spans="1:25" x14ac:dyDescent="0.25">
      <c r="A1209" t="s">
        <v>2480</v>
      </c>
      <c r="B1209">
        <v>1.01</v>
      </c>
      <c r="C1209">
        <v>2.9</v>
      </c>
      <c r="D1209">
        <v>0</v>
      </c>
      <c r="E1209">
        <v>40.700000000000003</v>
      </c>
      <c r="F1209">
        <v>0</v>
      </c>
      <c r="G1209">
        <v>14.7</v>
      </c>
      <c r="H1209">
        <v>0</v>
      </c>
      <c r="I1209" t="s">
        <v>1581</v>
      </c>
      <c r="J1209" t="s">
        <v>1581</v>
      </c>
      <c r="K1209" t="s">
        <v>1581</v>
      </c>
      <c r="L1209" t="s">
        <v>1581</v>
      </c>
      <c r="M1209" t="s">
        <v>1581</v>
      </c>
      <c r="N1209" t="s">
        <v>1581</v>
      </c>
      <c r="O1209" t="s">
        <v>1581</v>
      </c>
      <c r="P1209" t="s">
        <v>1581</v>
      </c>
      <c r="Q1209" t="s">
        <v>1581</v>
      </c>
      <c r="R1209" t="s">
        <v>1581</v>
      </c>
      <c r="S1209" t="s">
        <v>1581</v>
      </c>
      <c r="T1209" t="s">
        <v>1581</v>
      </c>
      <c r="U1209" t="s">
        <v>1581</v>
      </c>
      <c r="V1209" t="str" cm="1">
        <f t="array" aca="1" ref="V1209" ca="1">IFERROR(_xlfn.IFS(A1207="  ..............",OFFSET(A1207,2,0),A1206=" X-------------X",OFFSET(A1206,3,0),MATCH("  ..............",A1209:A1218,0)&gt;2,V1208),"-")</f>
        <v>-</v>
      </c>
      <c r="W1209" t="str">
        <f t="shared" ca="1" si="54"/>
        <v>-</v>
      </c>
      <c r="X1209" t="str">
        <f t="shared" ca="1" si="55"/>
        <v xml:space="preserve">              </v>
      </c>
      <c r="Y1209" s="1">
        <f t="shared" ca="1" si="56"/>
        <v>0</v>
      </c>
    </row>
    <row r="1210" spans="1:25" x14ac:dyDescent="0.25">
      <c r="A1210" t="s">
        <v>2481</v>
      </c>
      <c r="B1210">
        <v>-55.9</v>
      </c>
      <c r="C1210">
        <v>0</v>
      </c>
      <c r="D1210">
        <v>0</v>
      </c>
      <c r="E1210">
        <v>12.4</v>
      </c>
      <c r="F1210">
        <v>0</v>
      </c>
      <c r="G1210">
        <v>0</v>
      </c>
      <c r="H1210">
        <v>0</v>
      </c>
      <c r="I1210" t="s">
        <v>1584</v>
      </c>
      <c r="J1210" t="s">
        <v>1585</v>
      </c>
      <c r="K1210" t="s">
        <v>1586</v>
      </c>
      <c r="L1210" t="s">
        <v>1587</v>
      </c>
      <c r="M1210" t="s">
        <v>1587</v>
      </c>
      <c r="N1210" t="s">
        <v>1586</v>
      </c>
      <c r="O1210" t="s">
        <v>1581</v>
      </c>
      <c r="P1210" t="s">
        <v>1581</v>
      </c>
      <c r="Q1210" t="s">
        <v>1581</v>
      </c>
      <c r="R1210" t="s">
        <v>1581</v>
      </c>
      <c r="S1210" t="s">
        <v>1581</v>
      </c>
      <c r="T1210" t="s">
        <v>1581</v>
      </c>
      <c r="U1210" t="s">
        <v>1581</v>
      </c>
      <c r="V1210" t="str" cm="1">
        <f t="array" aca="1" ref="V1210" ca="1">IFERROR(_xlfn.IFS(A1208="  ..............",OFFSET(A1208,2,0),A1207=" X-------------X",OFFSET(A1207,3,0),MATCH("  ..............",A1210:A1219,0)&gt;2,V1209),"-")</f>
        <v xml:space="preserve">  PALE14-RS069  </v>
      </c>
      <c r="W1210">
        <f t="shared" ca="1" si="54"/>
        <v>1.01</v>
      </c>
      <c r="X1210" t="str">
        <f t="shared" ca="1" si="55"/>
        <v xml:space="preserve"> RESTIN-RS069 </v>
      </c>
      <c r="Y1210" s="1">
        <f t="shared" ca="1" si="56"/>
        <v>0.69399999999999995</v>
      </c>
    </row>
    <row r="1211" spans="1:25" x14ac:dyDescent="0.25">
      <c r="A1211" t="s">
        <v>1588</v>
      </c>
      <c r="B1211" t="s">
        <v>1587</v>
      </c>
      <c r="C1211">
        <v>54</v>
      </c>
      <c r="D1211">
        <v>79</v>
      </c>
      <c r="E1211">
        <v>79</v>
      </c>
      <c r="F1211" s="1">
        <v>0.69399999999999995</v>
      </c>
      <c r="G1211" t="s">
        <v>1587</v>
      </c>
      <c r="H1211" t="s">
        <v>1587</v>
      </c>
      <c r="I1211">
        <v>9303</v>
      </c>
      <c r="J1211" t="s">
        <v>2482</v>
      </c>
      <c r="K1211">
        <v>1</v>
      </c>
      <c r="L1211">
        <v>-37.799999999999997</v>
      </c>
      <c r="M1211">
        <v>2.2999999999999998</v>
      </c>
      <c r="N1211">
        <v>37.5</v>
      </c>
      <c r="O1211" t="s">
        <v>1594</v>
      </c>
      <c r="P1211" t="s">
        <v>1584</v>
      </c>
      <c r="Q1211" t="s">
        <v>1591</v>
      </c>
      <c r="R1211">
        <v>0.18</v>
      </c>
      <c r="S1211">
        <v>0.53</v>
      </c>
      <c r="T1211" t="s">
        <v>1584</v>
      </c>
      <c r="U1211" t="s">
        <v>1592</v>
      </c>
      <c r="V1211" t="str" cm="1">
        <f t="array" aca="1" ref="V1211" ca="1">IFERROR(_xlfn.IFS(A1209="  ..............",OFFSET(A1209,2,0),A1208=" X-------------X",OFFSET(A1208,3,0),MATCH("  ..............",A1211:A1220,0)&gt;2,V1210),"-")</f>
        <v>-</v>
      </c>
      <c r="W1211" t="str">
        <f t="shared" ca="1" si="54"/>
        <v>-</v>
      </c>
      <c r="X1211" t="str">
        <f t="shared" ca="1" si="55"/>
        <v>-</v>
      </c>
      <c r="Y1211" s="1" t="str">
        <f t="shared" ca="1" si="56"/>
        <v>-</v>
      </c>
    </row>
    <row r="1212" spans="1:25" x14ac:dyDescent="0.25">
      <c r="A1212" t="s">
        <v>1572</v>
      </c>
      <c r="B1212" t="s">
        <v>1574</v>
      </c>
      <c r="C1212" t="s">
        <v>1574</v>
      </c>
      <c r="D1212" t="s">
        <v>1574</v>
      </c>
      <c r="E1212" t="s">
        <v>1574</v>
      </c>
      <c r="F1212" t="s">
        <v>1575</v>
      </c>
      <c r="G1212" t="s">
        <v>1574</v>
      </c>
      <c r="H1212" t="s">
        <v>1574</v>
      </c>
      <c r="I1212" t="s">
        <v>1576</v>
      </c>
      <c r="J1212" t="s">
        <v>1573</v>
      </c>
      <c r="K1212" t="s">
        <v>1577</v>
      </c>
      <c r="L1212" t="s">
        <v>1574</v>
      </c>
      <c r="M1212" t="s">
        <v>1574</v>
      </c>
      <c r="N1212" t="s">
        <v>1574</v>
      </c>
      <c r="O1212" t="s">
        <v>1578</v>
      </c>
      <c r="P1212" t="s">
        <v>1576</v>
      </c>
      <c r="Q1212" t="s">
        <v>1579</v>
      </c>
      <c r="R1212" t="s">
        <v>1580</v>
      </c>
      <c r="S1212" t="s">
        <v>1580</v>
      </c>
      <c r="T1212" t="s">
        <v>1576</v>
      </c>
      <c r="U1212" t="s">
        <v>1576</v>
      </c>
      <c r="V1212" t="str" cm="1">
        <f t="array" aca="1" ref="V1212" ca="1">IFERROR(_xlfn.IFS(A1210="  ..............",OFFSET(A1210,2,0),A1209=" X-------------X",OFFSET(A1209,3,0),MATCH("  ..............",A1212:A1221,0)&gt;2,V1211),"-")</f>
        <v>-</v>
      </c>
      <c r="W1212" t="str">
        <f t="shared" ca="1" si="54"/>
        <v>-</v>
      </c>
      <c r="X1212" t="str">
        <f t="shared" ca="1" si="55"/>
        <v/>
      </c>
      <c r="Y1212" s="1" t="str">
        <f t="shared" ca="1" si="56"/>
        <v/>
      </c>
    </row>
    <row r="1213" spans="1:25" x14ac:dyDescent="0.25">
      <c r="A1213" t="s">
        <v>2483</v>
      </c>
      <c r="B1213">
        <v>1.0109999999999999</v>
      </c>
      <c r="C1213">
        <v>1</v>
      </c>
      <c r="D1213">
        <v>0</v>
      </c>
      <c r="E1213">
        <v>34.1</v>
      </c>
      <c r="F1213">
        <v>0</v>
      </c>
      <c r="G1213">
        <v>7.4</v>
      </c>
      <c r="H1213">
        <v>0</v>
      </c>
      <c r="I1213" t="s">
        <v>1581</v>
      </c>
      <c r="J1213" t="s">
        <v>1581</v>
      </c>
      <c r="K1213" t="s">
        <v>1581</v>
      </c>
      <c r="L1213" t="s">
        <v>1581</v>
      </c>
      <c r="M1213" t="s">
        <v>1581</v>
      </c>
      <c r="N1213" t="s">
        <v>1581</v>
      </c>
      <c r="O1213" t="s">
        <v>1581</v>
      </c>
      <c r="P1213" t="s">
        <v>1581</v>
      </c>
      <c r="Q1213" t="s">
        <v>1581</v>
      </c>
      <c r="R1213" t="s">
        <v>1581</v>
      </c>
      <c r="S1213" t="s">
        <v>1581</v>
      </c>
      <c r="T1213" t="s">
        <v>1581</v>
      </c>
      <c r="U1213" t="s">
        <v>1581</v>
      </c>
      <c r="V1213" t="str" cm="1">
        <f t="array" aca="1" ref="V1213" ca="1">IFERROR(_xlfn.IFS(A1211="  ..............",OFFSET(A1211,2,0),A1210=" X-------------X",OFFSET(A1210,3,0),MATCH("  ..............",A1213:A1222,0)&gt;2,V1212),"-")</f>
        <v>-</v>
      </c>
      <c r="W1213" t="str">
        <f t="shared" ca="1" si="54"/>
        <v>-</v>
      </c>
      <c r="X1213" t="str">
        <f t="shared" ca="1" si="55"/>
        <v xml:space="preserve">              </v>
      </c>
      <c r="Y1213" s="1">
        <f t="shared" ca="1" si="56"/>
        <v>0</v>
      </c>
    </row>
    <row r="1214" spans="1:25" x14ac:dyDescent="0.25">
      <c r="A1214" t="s">
        <v>2484</v>
      </c>
      <c r="B1214">
        <v>-55.5</v>
      </c>
      <c r="C1214">
        <v>0</v>
      </c>
      <c r="D1214">
        <v>0</v>
      </c>
      <c r="E1214">
        <v>13.8</v>
      </c>
      <c r="F1214">
        <v>0</v>
      </c>
      <c r="G1214">
        <v>0</v>
      </c>
      <c r="H1214">
        <v>0</v>
      </c>
      <c r="I1214" t="s">
        <v>1584</v>
      </c>
      <c r="J1214" t="s">
        <v>1585</v>
      </c>
      <c r="K1214" t="s">
        <v>1586</v>
      </c>
      <c r="L1214" t="s">
        <v>1587</v>
      </c>
      <c r="M1214" t="s">
        <v>1587</v>
      </c>
      <c r="N1214" t="s">
        <v>1586</v>
      </c>
      <c r="O1214" t="s">
        <v>1581</v>
      </c>
      <c r="P1214" t="s">
        <v>1581</v>
      </c>
      <c r="Q1214" t="s">
        <v>1581</v>
      </c>
      <c r="R1214" t="s">
        <v>1581</v>
      </c>
      <c r="S1214" t="s">
        <v>1581</v>
      </c>
      <c r="T1214" t="s">
        <v>1581</v>
      </c>
      <c r="U1214" t="s">
        <v>1581</v>
      </c>
      <c r="V1214" t="str" cm="1">
        <f t="array" aca="1" ref="V1214" ca="1">IFERROR(_xlfn.IFS(A1212="  ..............",OFFSET(A1212,2,0),A1211=" X-------------X",OFFSET(A1211,3,0),MATCH("  ..............",A1214:A1223,0)&gt;2,V1213),"-")</f>
        <v xml:space="preserve">  PALE16-RS069  </v>
      </c>
      <c r="W1214">
        <f t="shared" ca="1" si="54"/>
        <v>1.0109999999999999</v>
      </c>
      <c r="X1214" t="str">
        <f t="shared" ca="1" si="55"/>
        <v xml:space="preserve"> VIAMA3-RS069 </v>
      </c>
      <c r="Y1214" s="1" t="str">
        <f t="shared" ca="1" si="56"/>
        <v xml:space="preserve">             </v>
      </c>
    </row>
    <row r="1215" spans="1:25" x14ac:dyDescent="0.25">
      <c r="A1215" t="s">
        <v>1588</v>
      </c>
      <c r="B1215" t="s">
        <v>1587</v>
      </c>
      <c r="C1215">
        <v>54</v>
      </c>
      <c r="D1215">
        <v>79</v>
      </c>
      <c r="E1215">
        <v>79</v>
      </c>
      <c r="F1215" s="1">
        <v>0.309</v>
      </c>
      <c r="G1215" t="s">
        <v>1587</v>
      </c>
      <c r="H1215" t="s">
        <v>1587</v>
      </c>
      <c r="I1215">
        <v>9264</v>
      </c>
      <c r="J1215" t="s">
        <v>2399</v>
      </c>
      <c r="K1215">
        <v>1</v>
      </c>
      <c r="L1215">
        <v>-16</v>
      </c>
      <c r="M1215">
        <v>-5.3</v>
      </c>
      <c r="N1215">
        <v>16.7</v>
      </c>
      <c r="O1215" t="s">
        <v>1594</v>
      </c>
      <c r="P1215" t="s">
        <v>1584</v>
      </c>
      <c r="Q1215" t="s">
        <v>1591</v>
      </c>
      <c r="R1215">
        <v>0.06</v>
      </c>
      <c r="S1215">
        <v>-0.09</v>
      </c>
      <c r="T1215" t="s">
        <v>1584</v>
      </c>
      <c r="U1215" t="s">
        <v>1592</v>
      </c>
      <c r="V1215" t="str" cm="1">
        <f t="array" aca="1" ref="V1215" ca="1">IFERROR(_xlfn.IFS(A1213="  ..............",OFFSET(A1213,2,0),A1212=" X-------------X",OFFSET(A1212,3,0),MATCH("  ..............",A1215:A1224,0)&gt;2,V1214),"-")</f>
        <v xml:space="preserve">  PALE16-RS069  </v>
      </c>
      <c r="W1215">
        <f t="shared" ca="1" si="54"/>
        <v>1.0109999999999999</v>
      </c>
      <c r="X1215" t="str">
        <f t="shared" ca="1" si="55"/>
        <v xml:space="preserve"> PA16-2TAP069 </v>
      </c>
      <c r="Y1215" s="1">
        <f t="shared" ca="1" si="56"/>
        <v>0.313</v>
      </c>
    </row>
    <row r="1216" spans="1:25" x14ac:dyDescent="0.25">
      <c r="A1216" t="s">
        <v>1588</v>
      </c>
      <c r="B1216" t="s">
        <v>1587</v>
      </c>
      <c r="C1216">
        <v>84</v>
      </c>
      <c r="D1216">
        <v>101</v>
      </c>
      <c r="E1216">
        <v>101</v>
      </c>
      <c r="F1216" s="1">
        <v>0.20200000000000001</v>
      </c>
      <c r="G1216" t="s">
        <v>1587</v>
      </c>
      <c r="H1216" t="s">
        <v>1587</v>
      </c>
      <c r="I1216">
        <v>9967</v>
      </c>
      <c r="J1216" t="s">
        <v>1899</v>
      </c>
      <c r="K1216">
        <v>1</v>
      </c>
      <c r="L1216">
        <v>-17.100000000000001</v>
      </c>
      <c r="M1216">
        <v>-1.2</v>
      </c>
      <c r="N1216">
        <v>16.899999999999999</v>
      </c>
      <c r="O1216" t="s">
        <v>1594</v>
      </c>
      <c r="P1216" t="s">
        <v>1584</v>
      </c>
      <c r="Q1216" t="s">
        <v>1591</v>
      </c>
      <c r="R1216">
        <v>0.03</v>
      </c>
      <c r="S1216">
        <v>0.06</v>
      </c>
      <c r="T1216" t="s">
        <v>1584</v>
      </c>
      <c r="U1216" t="s">
        <v>1592</v>
      </c>
      <c r="V1216" t="str" cm="1">
        <f t="array" aca="1" ref="V1216" ca="1">IFERROR(_xlfn.IFS(A1214="  ..............",OFFSET(A1214,2,0),A1213=" X-------------X",OFFSET(A1213,3,0),MATCH("  ..............",A1216:A1225,0)&gt;2,V1215),"-")</f>
        <v>-</v>
      </c>
      <c r="W1216" t="str">
        <f t="shared" ca="1" si="54"/>
        <v>-</v>
      </c>
      <c r="X1216" t="str">
        <f t="shared" ca="1" si="55"/>
        <v>-</v>
      </c>
      <c r="Y1216" s="1" t="str">
        <f t="shared" ca="1" si="56"/>
        <v>-</v>
      </c>
    </row>
    <row r="1217" spans="1:25" x14ac:dyDescent="0.25">
      <c r="A1217" t="s">
        <v>1572</v>
      </c>
      <c r="B1217" t="s">
        <v>1574</v>
      </c>
      <c r="C1217" t="s">
        <v>1574</v>
      </c>
      <c r="D1217" t="s">
        <v>1574</v>
      </c>
      <c r="E1217" t="s">
        <v>1574</v>
      </c>
      <c r="F1217" t="s">
        <v>1575</v>
      </c>
      <c r="G1217" t="s">
        <v>1574</v>
      </c>
      <c r="H1217" t="s">
        <v>1574</v>
      </c>
      <c r="I1217" t="s">
        <v>1576</v>
      </c>
      <c r="J1217" t="s">
        <v>1573</v>
      </c>
      <c r="K1217" t="s">
        <v>1577</v>
      </c>
      <c r="L1217" t="s">
        <v>1574</v>
      </c>
      <c r="M1217" t="s">
        <v>1574</v>
      </c>
      <c r="N1217" t="s">
        <v>1574</v>
      </c>
      <c r="O1217" t="s">
        <v>1578</v>
      </c>
      <c r="P1217" t="s">
        <v>1576</v>
      </c>
      <c r="Q1217" t="s">
        <v>1579</v>
      </c>
      <c r="R1217" t="s">
        <v>1580</v>
      </c>
      <c r="S1217" t="s">
        <v>1580</v>
      </c>
      <c r="T1217" t="s">
        <v>1576</v>
      </c>
      <c r="U1217" t="s">
        <v>1576</v>
      </c>
      <c r="V1217" t="str" cm="1">
        <f t="array" aca="1" ref="V1217" ca="1">IFERROR(_xlfn.IFS(A1215="  ..............",OFFSET(A1215,2,0),A1214=" X-------------X",OFFSET(A1214,3,0),MATCH("  ..............",A1217:A1226,0)&gt;2,V1216),"-")</f>
        <v>-</v>
      </c>
      <c r="W1217" t="str">
        <f t="shared" ca="1" si="54"/>
        <v>-</v>
      </c>
      <c r="X1217" t="str">
        <f t="shared" ca="1" si="55"/>
        <v/>
      </c>
      <c r="Y1217" s="1" t="str">
        <f t="shared" ca="1" si="56"/>
        <v/>
      </c>
    </row>
    <row r="1218" spans="1:25" x14ac:dyDescent="0.25">
      <c r="A1218" t="s">
        <v>2485</v>
      </c>
      <c r="B1218">
        <v>1.014</v>
      </c>
      <c r="C1218">
        <v>1.9</v>
      </c>
      <c r="D1218">
        <v>0</v>
      </c>
      <c r="E1218">
        <v>28.5</v>
      </c>
      <c r="F1218">
        <v>0</v>
      </c>
      <c r="G1218">
        <v>7.4</v>
      </c>
      <c r="H1218">
        <v>0</v>
      </c>
      <c r="I1218" t="s">
        <v>1581</v>
      </c>
      <c r="J1218" t="s">
        <v>1581</v>
      </c>
      <c r="K1218" t="s">
        <v>1581</v>
      </c>
      <c r="L1218" t="s">
        <v>1581</v>
      </c>
      <c r="M1218" t="s">
        <v>1581</v>
      </c>
      <c r="N1218" t="s">
        <v>1581</v>
      </c>
      <c r="O1218" t="s">
        <v>1581</v>
      </c>
      <c r="P1218" t="s">
        <v>1581</v>
      </c>
      <c r="Q1218" t="s">
        <v>1581</v>
      </c>
      <c r="R1218" t="s">
        <v>1581</v>
      </c>
      <c r="S1218" t="s">
        <v>1581</v>
      </c>
      <c r="T1218" t="s">
        <v>1581</v>
      </c>
      <c r="U1218" t="s">
        <v>1581</v>
      </c>
      <c r="V1218" t="str" cm="1">
        <f t="array" aca="1" ref="V1218" ca="1">IFERROR(_xlfn.IFS(A1216="  ..............",OFFSET(A1216,2,0),A1215=" X-------------X",OFFSET(A1215,3,0),MATCH("  ..............",A1218:A1227,0)&gt;2,V1217),"-")</f>
        <v>-</v>
      </c>
      <c r="W1218" t="str">
        <f t="shared" ca="1" si="54"/>
        <v>-</v>
      </c>
      <c r="X1218" t="str">
        <f t="shared" ca="1" si="55"/>
        <v xml:space="preserve">              </v>
      </c>
      <c r="Y1218" s="1">
        <f t="shared" ca="1" si="56"/>
        <v>0</v>
      </c>
    </row>
    <row r="1219" spans="1:25" x14ac:dyDescent="0.25">
      <c r="A1219" t="s">
        <v>2486</v>
      </c>
      <c r="B1219">
        <v>-55.3</v>
      </c>
      <c r="C1219">
        <v>0</v>
      </c>
      <c r="D1219">
        <v>0</v>
      </c>
      <c r="E1219">
        <v>12.7</v>
      </c>
      <c r="F1219">
        <v>0</v>
      </c>
      <c r="G1219">
        <v>0</v>
      </c>
      <c r="H1219">
        <v>0</v>
      </c>
      <c r="I1219" t="s">
        <v>1584</v>
      </c>
      <c r="J1219" t="s">
        <v>1585</v>
      </c>
      <c r="K1219" t="s">
        <v>1586</v>
      </c>
      <c r="L1219" t="s">
        <v>1587</v>
      </c>
      <c r="M1219" t="s">
        <v>1587</v>
      </c>
      <c r="N1219" t="s">
        <v>1586</v>
      </c>
      <c r="O1219" t="s">
        <v>1581</v>
      </c>
      <c r="P1219" t="s">
        <v>1581</v>
      </c>
      <c r="Q1219" t="s">
        <v>1581</v>
      </c>
      <c r="R1219" t="s">
        <v>1581</v>
      </c>
      <c r="S1219" t="s">
        <v>1581</v>
      </c>
      <c r="T1219" t="s">
        <v>1581</v>
      </c>
      <c r="U1219" t="s">
        <v>1581</v>
      </c>
      <c r="V1219" t="str" cm="1">
        <f t="array" aca="1" ref="V1219" ca="1">IFERROR(_xlfn.IFS(A1217="  ..............",OFFSET(A1217,2,0),A1216=" X-------------X",OFFSET(A1216,3,0),MATCH("  ..............",A1219:A1228,0)&gt;2,V1218),"-")</f>
        <v xml:space="preserve">  VIAMO2-RS069  </v>
      </c>
      <c r="W1219">
        <f t="shared" ca="1" si="54"/>
        <v>1.014</v>
      </c>
      <c r="X1219" t="str">
        <f t="shared" ca="1" si="55"/>
        <v xml:space="preserve"> PALGR6-RS069 </v>
      </c>
      <c r="Y1219" s="1">
        <f t="shared" ca="1" si="56"/>
        <v>0.185</v>
      </c>
    </row>
    <row r="1220" spans="1:25" x14ac:dyDescent="0.25">
      <c r="A1220" t="s">
        <v>1637</v>
      </c>
      <c r="B1220" t="s">
        <v>1638</v>
      </c>
      <c r="C1220">
        <v>54</v>
      </c>
      <c r="D1220">
        <v>79</v>
      </c>
      <c r="E1220">
        <v>79</v>
      </c>
      <c r="F1220" t="s">
        <v>1639</v>
      </c>
      <c r="G1220" t="s">
        <v>1587</v>
      </c>
      <c r="H1220" t="s">
        <v>1587</v>
      </c>
      <c r="I1220">
        <v>1262</v>
      </c>
      <c r="J1220" t="s">
        <v>2438</v>
      </c>
      <c r="K1220">
        <v>1</v>
      </c>
      <c r="L1220">
        <v>0</v>
      </c>
      <c r="M1220">
        <v>-0.1</v>
      </c>
      <c r="N1220">
        <v>0.1</v>
      </c>
      <c r="O1220" t="s">
        <v>1594</v>
      </c>
      <c r="P1220" t="s">
        <v>1584</v>
      </c>
      <c r="Q1220" t="s">
        <v>1591</v>
      </c>
      <c r="R1220">
        <v>0</v>
      </c>
      <c r="S1220">
        <v>-0.09</v>
      </c>
      <c r="T1220">
        <v>1.014</v>
      </c>
      <c r="U1220">
        <v>-55.3</v>
      </c>
      <c r="V1220" t="str" cm="1">
        <f t="array" aca="1" ref="V1220" ca="1">IFERROR(_xlfn.IFS(A1218="  ..............",OFFSET(A1218,2,0),A1217=" X-------------X",OFFSET(A1217,3,0),MATCH("  ..............",A1220:A1229,0)&gt;2,V1219),"-")</f>
        <v xml:space="preserve">  VIAMO2-RS069  </v>
      </c>
      <c r="W1220">
        <f t="shared" ref="W1220:W1283" ca="1" si="57">IFERROR(OFFSET($A$1,MATCH(V1220,A:A,0)-2,1),"-")</f>
        <v>1.014</v>
      </c>
      <c r="X1220" t="str">
        <f t="shared" ref="X1220:X1283" ca="1" si="58">IFERROR(IF(V1220=V1219,OFFSET($J$1,ROW(X1220),0),OFFSET($J$1,MATCH(V1220,A:A,0),0)),"-")</f>
        <v xml:space="preserve"> VIAMA3-RS069 </v>
      </c>
      <c r="Y1220" s="1" t="str">
        <f t="shared" ref="Y1220:Y1283" ca="1" si="59">IFERROR(OFFSET($F$1,MATCH(X1220,J:J,0)-1,0),"-")</f>
        <v xml:space="preserve">             </v>
      </c>
    </row>
    <row r="1221" spans="1:25" x14ac:dyDescent="0.25">
      <c r="A1221" t="s">
        <v>1588</v>
      </c>
      <c r="B1221" t="s">
        <v>1587</v>
      </c>
      <c r="C1221">
        <v>54</v>
      </c>
      <c r="D1221">
        <v>79</v>
      </c>
      <c r="E1221">
        <v>79</v>
      </c>
      <c r="F1221" s="1">
        <v>0.495</v>
      </c>
      <c r="G1221" t="s">
        <v>1587</v>
      </c>
      <c r="H1221" t="s">
        <v>1587</v>
      </c>
      <c r="I1221">
        <v>9264</v>
      </c>
      <c r="J1221" t="s">
        <v>2399</v>
      </c>
      <c r="K1221">
        <v>1</v>
      </c>
      <c r="L1221">
        <v>-26.6</v>
      </c>
      <c r="M1221">
        <v>-5.2</v>
      </c>
      <c r="N1221">
        <v>26.7</v>
      </c>
      <c r="O1221" t="s">
        <v>1594</v>
      </c>
      <c r="P1221" t="s">
        <v>1584</v>
      </c>
      <c r="Q1221" t="s">
        <v>1591</v>
      </c>
      <c r="R1221">
        <v>0.06</v>
      </c>
      <c r="S1221">
        <v>0.2</v>
      </c>
      <c r="T1221" t="s">
        <v>1584</v>
      </c>
      <c r="U1221" t="s">
        <v>1592</v>
      </c>
      <c r="V1221" t="str" cm="1">
        <f t="array" aca="1" ref="V1221" ca="1">IFERROR(_xlfn.IFS(A1219="  ..............",OFFSET(A1219,2,0),A1218=" X-------------X",OFFSET(A1218,3,0),MATCH("  ..............",A1221:A1230,0)&gt;2,V1220),"-")</f>
        <v>-</v>
      </c>
      <c r="W1221" t="str">
        <f t="shared" ca="1" si="57"/>
        <v>-</v>
      </c>
      <c r="X1221" t="str">
        <f t="shared" ca="1" si="58"/>
        <v>-</v>
      </c>
      <c r="Y1221" s="1" t="str">
        <f t="shared" ca="1" si="59"/>
        <v>-</v>
      </c>
    </row>
    <row r="1222" spans="1:25" x14ac:dyDescent="0.25">
      <c r="A1222" t="s">
        <v>1572</v>
      </c>
      <c r="B1222" t="s">
        <v>1574</v>
      </c>
      <c r="C1222" t="s">
        <v>1574</v>
      </c>
      <c r="D1222" t="s">
        <v>1574</v>
      </c>
      <c r="E1222" t="s">
        <v>1574</v>
      </c>
      <c r="F1222" t="s">
        <v>1575</v>
      </c>
      <c r="G1222" t="s">
        <v>1574</v>
      </c>
      <c r="H1222" t="s">
        <v>1574</v>
      </c>
      <c r="I1222" t="s">
        <v>1576</v>
      </c>
      <c r="J1222" t="s">
        <v>1573</v>
      </c>
      <c r="K1222" t="s">
        <v>1577</v>
      </c>
      <c r="L1222" t="s">
        <v>1574</v>
      </c>
      <c r="M1222" t="s">
        <v>1574</v>
      </c>
      <c r="N1222" t="s">
        <v>1574</v>
      </c>
      <c r="O1222" t="s">
        <v>1578</v>
      </c>
      <c r="P1222" t="s">
        <v>1576</v>
      </c>
      <c r="Q1222" t="s">
        <v>1579</v>
      </c>
      <c r="R1222" t="s">
        <v>1580</v>
      </c>
      <c r="S1222" t="s">
        <v>1580</v>
      </c>
      <c r="T1222" t="s">
        <v>1576</v>
      </c>
      <c r="U1222" t="s">
        <v>1576</v>
      </c>
      <c r="V1222" t="str" cm="1">
        <f t="array" aca="1" ref="V1222" ca="1">IFERROR(_xlfn.IFS(A1220="  ..............",OFFSET(A1220,2,0),A1219=" X-------------X",OFFSET(A1219,3,0),MATCH("  ..............",A1222:A1231,0)&gt;2,V1221),"-")</f>
        <v>-</v>
      </c>
      <c r="W1222" t="str">
        <f t="shared" ca="1" si="57"/>
        <v>-</v>
      </c>
      <c r="X1222" t="str">
        <f t="shared" ca="1" si="58"/>
        <v/>
      </c>
      <c r="Y1222" s="1" t="str">
        <f t="shared" ca="1" si="59"/>
        <v/>
      </c>
    </row>
    <row r="1223" spans="1:25" x14ac:dyDescent="0.25">
      <c r="A1223" t="s">
        <v>2487</v>
      </c>
      <c r="B1223">
        <v>1.004</v>
      </c>
      <c r="C1223">
        <v>2.6</v>
      </c>
      <c r="D1223">
        <v>0</v>
      </c>
      <c r="E1223">
        <v>28.9</v>
      </c>
      <c r="F1223">
        <v>0</v>
      </c>
      <c r="G1223">
        <v>7.3</v>
      </c>
      <c r="H1223">
        <v>0</v>
      </c>
      <c r="I1223" t="s">
        <v>1581</v>
      </c>
      <c r="J1223" t="s">
        <v>1581</v>
      </c>
      <c r="K1223" t="s">
        <v>1581</v>
      </c>
      <c r="L1223" t="s">
        <v>1581</v>
      </c>
      <c r="M1223" t="s">
        <v>1581</v>
      </c>
      <c r="N1223" t="s">
        <v>1581</v>
      </c>
      <c r="O1223" t="s">
        <v>1581</v>
      </c>
      <c r="P1223" t="s">
        <v>1581</v>
      </c>
      <c r="Q1223" t="s">
        <v>1581</v>
      </c>
      <c r="R1223" t="s">
        <v>1581</v>
      </c>
      <c r="S1223" t="s">
        <v>1581</v>
      </c>
      <c r="T1223" t="s">
        <v>1581</v>
      </c>
      <c r="U1223" t="s">
        <v>1581</v>
      </c>
      <c r="V1223" t="str" cm="1">
        <f t="array" aca="1" ref="V1223" ca="1">IFERROR(_xlfn.IFS(A1221="  ..............",OFFSET(A1221,2,0),A1220=" X-------------X",OFFSET(A1220,3,0),MATCH("  ..............",A1223:A1232,0)&gt;2,V1222),"-")</f>
        <v>-</v>
      </c>
      <c r="W1223" t="str">
        <f t="shared" ca="1" si="57"/>
        <v>-</v>
      </c>
      <c r="X1223" t="str">
        <f t="shared" ca="1" si="58"/>
        <v xml:space="preserve">              </v>
      </c>
      <c r="Y1223" s="1">
        <f t="shared" ca="1" si="59"/>
        <v>0</v>
      </c>
    </row>
    <row r="1224" spans="1:25" x14ac:dyDescent="0.25">
      <c r="A1224" t="s">
        <v>2488</v>
      </c>
      <c r="B1224">
        <v>-56.6</v>
      </c>
      <c r="C1224">
        <v>0</v>
      </c>
      <c r="D1224">
        <v>0</v>
      </c>
      <c r="E1224">
        <v>8.6999999999999993</v>
      </c>
      <c r="F1224">
        <v>0</v>
      </c>
      <c r="G1224">
        <v>0</v>
      </c>
      <c r="H1224">
        <v>0</v>
      </c>
      <c r="I1224" t="s">
        <v>1584</v>
      </c>
      <c r="J1224" t="s">
        <v>1585</v>
      </c>
      <c r="K1224" t="s">
        <v>1586</v>
      </c>
      <c r="L1224" t="s">
        <v>1587</v>
      </c>
      <c r="M1224" t="s">
        <v>1587</v>
      </c>
      <c r="N1224" t="s">
        <v>1586</v>
      </c>
      <c r="O1224" t="s">
        <v>1581</v>
      </c>
      <c r="P1224" t="s">
        <v>1581</v>
      </c>
      <c r="Q1224" t="s">
        <v>1581</v>
      </c>
      <c r="R1224" t="s">
        <v>1581</v>
      </c>
      <c r="S1224" t="s">
        <v>1581</v>
      </c>
      <c r="T1224" t="s">
        <v>1581</v>
      </c>
      <c r="U1224" t="s">
        <v>1581</v>
      </c>
      <c r="V1224" t="str" cm="1">
        <f t="array" aca="1" ref="V1224" ca="1">IFERROR(_xlfn.IFS(A1222="  ..............",OFFSET(A1222,2,0),A1221=" X-------------X",OFFSET(A1221,3,0),MATCH("  ..............",A1224:A1233,0)&gt;2,V1223),"-")</f>
        <v xml:space="preserve">  PALE15-RS069  </v>
      </c>
      <c r="W1224">
        <f t="shared" ca="1" si="57"/>
        <v>1.004</v>
      </c>
      <c r="X1224" t="str">
        <f t="shared" ca="1" si="58"/>
        <v xml:space="preserve"> PALE15TAP069 </v>
      </c>
      <c r="Y1224" s="1">
        <f t="shared" ca="1" si="59"/>
        <v>0.312</v>
      </c>
    </row>
    <row r="1225" spans="1:25" x14ac:dyDescent="0.25">
      <c r="A1225" t="s">
        <v>1588</v>
      </c>
      <c r="B1225" t="s">
        <v>1587</v>
      </c>
      <c r="C1225">
        <v>84</v>
      </c>
      <c r="D1225">
        <v>101</v>
      </c>
      <c r="E1225">
        <v>101</v>
      </c>
      <c r="F1225" s="1">
        <v>0.312</v>
      </c>
      <c r="G1225" t="s">
        <v>1587</v>
      </c>
      <c r="H1225" t="s">
        <v>1587</v>
      </c>
      <c r="I1225">
        <v>9272</v>
      </c>
      <c r="J1225" t="s">
        <v>2489</v>
      </c>
      <c r="K1225">
        <v>1</v>
      </c>
      <c r="L1225">
        <v>-26.3</v>
      </c>
      <c r="M1225">
        <v>-1.4</v>
      </c>
      <c r="N1225">
        <v>26.2</v>
      </c>
      <c r="O1225" t="s">
        <v>1594</v>
      </c>
      <c r="P1225" t="s">
        <v>1584</v>
      </c>
      <c r="Q1225" t="s">
        <v>1591</v>
      </c>
      <c r="R1225">
        <v>0.14000000000000001</v>
      </c>
      <c r="S1225">
        <v>0.34</v>
      </c>
      <c r="T1225" t="s">
        <v>1584</v>
      </c>
      <c r="U1225" t="s">
        <v>1592</v>
      </c>
      <c r="V1225" t="str" cm="1">
        <f t="array" aca="1" ref="V1225" ca="1">IFERROR(_xlfn.IFS(A1223="  ..............",OFFSET(A1223,2,0),A1222=" X-------------X",OFFSET(A1222,3,0),MATCH("  ..............",A1225:A1234,0)&gt;2,V1224),"-")</f>
        <v>-</v>
      </c>
      <c r="W1225" t="str">
        <f t="shared" ca="1" si="57"/>
        <v>-</v>
      </c>
      <c r="X1225" t="str">
        <f t="shared" ca="1" si="58"/>
        <v>-</v>
      </c>
      <c r="Y1225" s="1" t="str">
        <f t="shared" ca="1" si="59"/>
        <v>-</v>
      </c>
    </row>
    <row r="1226" spans="1:25" x14ac:dyDescent="0.25">
      <c r="A1226" t="s">
        <v>1572</v>
      </c>
      <c r="B1226" t="s">
        <v>1574</v>
      </c>
      <c r="C1226" t="s">
        <v>1574</v>
      </c>
      <c r="D1226" t="s">
        <v>1574</v>
      </c>
      <c r="E1226" t="s">
        <v>1574</v>
      </c>
      <c r="F1226" t="s">
        <v>1575</v>
      </c>
      <c r="G1226" t="s">
        <v>1574</v>
      </c>
      <c r="H1226" t="s">
        <v>1574</v>
      </c>
      <c r="I1226" t="s">
        <v>1576</v>
      </c>
      <c r="J1226" t="s">
        <v>1573</v>
      </c>
      <c r="K1226" t="s">
        <v>1577</v>
      </c>
      <c r="L1226" t="s">
        <v>1574</v>
      </c>
      <c r="M1226" t="s">
        <v>1574</v>
      </c>
      <c r="N1226" t="s">
        <v>1574</v>
      </c>
      <c r="O1226" t="s">
        <v>1578</v>
      </c>
      <c r="P1226" t="s">
        <v>1576</v>
      </c>
      <c r="Q1226" t="s">
        <v>1579</v>
      </c>
      <c r="R1226" t="s">
        <v>1580</v>
      </c>
      <c r="S1226" t="s">
        <v>1580</v>
      </c>
      <c r="T1226" t="s">
        <v>1576</v>
      </c>
      <c r="U1226" t="s">
        <v>1576</v>
      </c>
      <c r="V1226" t="str" cm="1">
        <f t="array" aca="1" ref="V1226" ca="1">IFERROR(_xlfn.IFS(A1224="  ..............",OFFSET(A1224,2,0),A1223=" X-------------X",OFFSET(A1223,3,0),MATCH("  ..............",A1226:A1235,0)&gt;2,V1225),"-")</f>
        <v>-</v>
      </c>
      <c r="W1226" t="str">
        <f t="shared" ca="1" si="57"/>
        <v>-</v>
      </c>
      <c r="X1226" t="str">
        <f t="shared" ca="1" si="58"/>
        <v/>
      </c>
      <c r="Y1226" s="1" t="str">
        <f t="shared" ca="1" si="59"/>
        <v/>
      </c>
    </row>
    <row r="1227" spans="1:25" x14ac:dyDescent="0.25">
      <c r="A1227" t="s">
        <v>2490</v>
      </c>
      <c r="B1227">
        <v>1.01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 t="s">
        <v>1581</v>
      </c>
      <c r="J1227" t="s">
        <v>1581</v>
      </c>
      <c r="K1227" t="s">
        <v>1581</v>
      </c>
      <c r="L1227" t="s">
        <v>1581</v>
      </c>
      <c r="M1227" t="s">
        <v>1581</v>
      </c>
      <c r="N1227" t="s">
        <v>1581</v>
      </c>
      <c r="O1227" t="s">
        <v>1581</v>
      </c>
      <c r="P1227" t="s">
        <v>1581</v>
      </c>
      <c r="Q1227" t="s">
        <v>1581</v>
      </c>
      <c r="R1227" t="s">
        <v>1581</v>
      </c>
      <c r="S1227" t="s">
        <v>1581</v>
      </c>
      <c r="T1227" t="s">
        <v>1581</v>
      </c>
      <c r="U1227" t="s">
        <v>1581</v>
      </c>
      <c r="V1227" t="str" cm="1">
        <f t="array" aca="1" ref="V1227" ca="1">IFERROR(_xlfn.IFS(A1225="  ..............",OFFSET(A1225,2,0),A1224=" X-------------X",OFFSET(A1224,3,0),MATCH("  ..............",A1227:A1236,0)&gt;2,V1226),"-")</f>
        <v>-</v>
      </c>
      <c r="W1227" t="str">
        <f t="shared" ca="1" si="57"/>
        <v>-</v>
      </c>
      <c r="X1227" t="str">
        <f t="shared" ca="1" si="58"/>
        <v xml:space="preserve">              </v>
      </c>
      <c r="Y1227" s="1">
        <f t="shared" ca="1" si="59"/>
        <v>0</v>
      </c>
    </row>
    <row r="1228" spans="1:25" x14ac:dyDescent="0.25">
      <c r="A1228" t="s">
        <v>2491</v>
      </c>
      <c r="B1228">
        <v>-55.6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 t="s">
        <v>1584</v>
      </c>
      <c r="J1228" t="s">
        <v>1585</v>
      </c>
      <c r="K1228" t="s">
        <v>1586</v>
      </c>
      <c r="L1228" t="s">
        <v>1587</v>
      </c>
      <c r="M1228" t="s">
        <v>1587</v>
      </c>
      <c r="N1228" t="s">
        <v>1586</v>
      </c>
      <c r="O1228" t="s">
        <v>1581</v>
      </c>
      <c r="P1228" t="s">
        <v>1581</v>
      </c>
      <c r="Q1228" t="s">
        <v>1581</v>
      </c>
      <c r="R1228" t="s">
        <v>1581</v>
      </c>
      <c r="S1228" t="s">
        <v>1581</v>
      </c>
      <c r="T1228" t="s">
        <v>1581</v>
      </c>
      <c r="U1228" t="s">
        <v>1581</v>
      </c>
      <c r="V1228" t="str" cm="1">
        <f t="array" aca="1" ref="V1228" ca="1">IFERROR(_xlfn.IFS(A1226="  ..............",OFFSET(A1226,2,0),A1225=" X-------------X",OFFSET(A1225,3,0),MATCH("  ..............",A1228:A1237,0)&gt;2,V1227),"-")</f>
        <v xml:space="preserve">  PALE15TAP069  </v>
      </c>
      <c r="W1228">
        <f t="shared" ca="1" si="57"/>
        <v>1.01</v>
      </c>
      <c r="X1228" t="str">
        <f t="shared" ca="1" si="58"/>
        <v xml:space="preserve"> PALE15-RS069 </v>
      </c>
      <c r="Y1228" s="1">
        <f t="shared" ca="1" si="59"/>
        <v>0.312</v>
      </c>
    </row>
    <row r="1229" spans="1:25" x14ac:dyDescent="0.25">
      <c r="A1229" t="s">
        <v>1588</v>
      </c>
      <c r="B1229" t="s">
        <v>1587</v>
      </c>
      <c r="C1229">
        <v>84</v>
      </c>
      <c r="D1229">
        <v>101</v>
      </c>
      <c r="E1229">
        <v>101</v>
      </c>
      <c r="F1229" s="1">
        <v>0.312</v>
      </c>
      <c r="G1229" t="s">
        <v>1587</v>
      </c>
      <c r="H1229" t="s">
        <v>1587</v>
      </c>
      <c r="I1229">
        <v>9271</v>
      </c>
      <c r="J1229" t="s">
        <v>2492</v>
      </c>
      <c r="K1229">
        <v>1</v>
      </c>
      <c r="L1229">
        <v>26.4</v>
      </c>
      <c r="M1229">
        <v>1.8</v>
      </c>
      <c r="N1229">
        <v>26.2</v>
      </c>
      <c r="O1229" t="s">
        <v>1594</v>
      </c>
      <c r="P1229" t="s">
        <v>1584</v>
      </c>
      <c r="Q1229" t="s">
        <v>1591</v>
      </c>
      <c r="R1229">
        <v>0.14000000000000001</v>
      </c>
      <c r="S1229">
        <v>0.34</v>
      </c>
      <c r="T1229" t="s">
        <v>1584</v>
      </c>
      <c r="U1229" t="s">
        <v>1592</v>
      </c>
      <c r="V1229" t="str" cm="1">
        <f t="array" aca="1" ref="V1229" ca="1">IFERROR(_xlfn.IFS(A1227="  ..............",OFFSET(A1227,2,0),A1226=" X-------------X",OFFSET(A1226,3,0),MATCH("  ..............",A1229:A1238,0)&gt;2,V1228),"-")</f>
        <v xml:space="preserve">  PALE15TAP069  </v>
      </c>
      <c r="W1229">
        <f t="shared" ca="1" si="57"/>
        <v>1.01</v>
      </c>
      <c r="X1229" t="str">
        <f t="shared" ca="1" si="58"/>
        <v xml:space="preserve"> RESTIN-RS069 </v>
      </c>
      <c r="Y1229" s="1">
        <f t="shared" ca="1" si="59"/>
        <v>0.69399999999999995</v>
      </c>
    </row>
    <row r="1230" spans="1:25" x14ac:dyDescent="0.25">
      <c r="A1230" t="s">
        <v>1588</v>
      </c>
      <c r="B1230" t="s">
        <v>1587</v>
      </c>
      <c r="C1230">
        <v>54</v>
      </c>
      <c r="D1230">
        <v>79</v>
      </c>
      <c r="E1230">
        <v>79</v>
      </c>
      <c r="F1230" s="1">
        <v>0.48599999999999999</v>
      </c>
      <c r="G1230" t="s">
        <v>1587</v>
      </c>
      <c r="H1230" t="s">
        <v>1587</v>
      </c>
      <c r="I1230">
        <v>9303</v>
      </c>
      <c r="J1230" t="s">
        <v>2482</v>
      </c>
      <c r="K1230">
        <v>1</v>
      </c>
      <c r="L1230">
        <v>-26.4</v>
      </c>
      <c r="M1230">
        <v>-1.8</v>
      </c>
      <c r="N1230">
        <v>26.2</v>
      </c>
      <c r="O1230" t="s">
        <v>1594</v>
      </c>
      <c r="P1230" t="s">
        <v>1584</v>
      </c>
      <c r="Q1230" t="s">
        <v>1591</v>
      </c>
      <c r="R1230">
        <v>0.09</v>
      </c>
      <c r="S1230">
        <v>0.22</v>
      </c>
      <c r="T1230" t="s">
        <v>1584</v>
      </c>
      <c r="U1230" t="s">
        <v>1592</v>
      </c>
      <c r="V1230" t="str" cm="1">
        <f t="array" aca="1" ref="V1230" ca="1">IFERROR(_xlfn.IFS(A1228="  ..............",OFFSET(A1228,2,0),A1227=" X-------------X",OFFSET(A1227,3,0),MATCH("  ..............",A1230:A1239,0)&gt;2,V1229),"-")</f>
        <v>-</v>
      </c>
      <c r="W1230" t="str">
        <f t="shared" ca="1" si="57"/>
        <v>-</v>
      </c>
      <c r="X1230" t="str">
        <f t="shared" ca="1" si="58"/>
        <v>-</v>
      </c>
      <c r="Y1230" s="1" t="str">
        <f t="shared" ca="1" si="59"/>
        <v>-</v>
      </c>
    </row>
    <row r="1231" spans="1:25" x14ac:dyDescent="0.25">
      <c r="A1231" t="s">
        <v>1572</v>
      </c>
      <c r="B1231" t="s">
        <v>1574</v>
      </c>
      <c r="C1231" t="s">
        <v>1574</v>
      </c>
      <c r="D1231" t="s">
        <v>1574</v>
      </c>
      <c r="E1231" t="s">
        <v>1574</v>
      </c>
      <c r="F1231" t="s">
        <v>1575</v>
      </c>
      <c r="G1231" t="s">
        <v>1574</v>
      </c>
      <c r="H1231" t="s">
        <v>1574</v>
      </c>
      <c r="I1231" t="s">
        <v>1576</v>
      </c>
      <c r="J1231" t="s">
        <v>1573</v>
      </c>
      <c r="K1231" t="s">
        <v>1577</v>
      </c>
      <c r="L1231" t="s">
        <v>1574</v>
      </c>
      <c r="M1231" t="s">
        <v>1574</v>
      </c>
      <c r="N1231" t="s">
        <v>1574</v>
      </c>
      <c r="O1231" t="s">
        <v>1578</v>
      </c>
      <c r="P1231" t="s">
        <v>1576</v>
      </c>
      <c r="Q1231" t="s">
        <v>1579</v>
      </c>
      <c r="R1231" t="s">
        <v>1580</v>
      </c>
      <c r="S1231" t="s">
        <v>1580</v>
      </c>
      <c r="T1231" t="s">
        <v>1576</v>
      </c>
      <c r="U1231" t="s">
        <v>1576</v>
      </c>
      <c r="V1231" t="str" cm="1">
        <f t="array" aca="1" ref="V1231" ca="1">IFERROR(_xlfn.IFS(A1229="  ..............",OFFSET(A1229,2,0),A1228=" X-------------X",OFFSET(A1228,3,0),MATCH("  ..............",A1231:A1240,0)&gt;2,V1230),"-")</f>
        <v>-</v>
      </c>
      <c r="W1231" t="str">
        <f t="shared" ca="1" si="57"/>
        <v>-</v>
      </c>
      <c r="X1231" t="str">
        <f t="shared" ca="1" si="58"/>
        <v/>
      </c>
      <c r="Y1231" s="1" t="str">
        <f t="shared" ca="1" si="59"/>
        <v/>
      </c>
    </row>
    <row r="1232" spans="1:25" x14ac:dyDescent="0.25">
      <c r="A1232" t="s">
        <v>2493</v>
      </c>
      <c r="B1232">
        <v>1.0169999999999999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 t="s">
        <v>1581</v>
      </c>
      <c r="J1232" t="s">
        <v>1581</v>
      </c>
      <c r="K1232" t="s">
        <v>1581</v>
      </c>
      <c r="L1232" t="s">
        <v>1581</v>
      </c>
      <c r="M1232" t="s">
        <v>1581</v>
      </c>
      <c r="N1232" t="s">
        <v>1581</v>
      </c>
      <c r="O1232" t="s">
        <v>1581</v>
      </c>
      <c r="P1232" t="s">
        <v>1581</v>
      </c>
      <c r="Q1232" t="s">
        <v>1581</v>
      </c>
      <c r="R1232" t="s">
        <v>1581</v>
      </c>
      <c r="S1232" t="s">
        <v>1581</v>
      </c>
      <c r="T1232" t="s">
        <v>1581</v>
      </c>
      <c r="U1232" t="s">
        <v>1581</v>
      </c>
      <c r="V1232" t="str" cm="1">
        <f t="array" aca="1" ref="V1232" ca="1">IFERROR(_xlfn.IFS(A1230="  ..............",OFFSET(A1230,2,0),A1229=" X-------------X",OFFSET(A1229,3,0),MATCH("  ..............",A1232:A1241,0)&gt;2,V1231),"-")</f>
        <v>-</v>
      </c>
      <c r="W1232" t="str">
        <f t="shared" ca="1" si="57"/>
        <v>-</v>
      </c>
      <c r="X1232" t="str">
        <f t="shared" ca="1" si="58"/>
        <v xml:space="preserve">              </v>
      </c>
      <c r="Y1232" s="1">
        <f t="shared" ca="1" si="59"/>
        <v>0</v>
      </c>
    </row>
    <row r="1233" spans="1:25" x14ac:dyDescent="0.25">
      <c r="A1233" t="s">
        <v>2494</v>
      </c>
      <c r="B1233">
        <v>-54.5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 t="s">
        <v>1584</v>
      </c>
      <c r="J1233" t="s">
        <v>1585</v>
      </c>
      <c r="K1233" t="s">
        <v>1586</v>
      </c>
      <c r="L1233" t="s">
        <v>1587</v>
      </c>
      <c r="M1233" t="s">
        <v>1587</v>
      </c>
      <c r="N1233" t="s">
        <v>1586</v>
      </c>
      <c r="O1233" t="s">
        <v>1581</v>
      </c>
      <c r="P1233" t="s">
        <v>1581</v>
      </c>
      <c r="Q1233" t="s">
        <v>1581</v>
      </c>
      <c r="R1233" t="s">
        <v>1581</v>
      </c>
      <c r="S1233" t="s">
        <v>1581</v>
      </c>
      <c r="T1233" t="s">
        <v>1581</v>
      </c>
      <c r="U1233" t="s">
        <v>1581</v>
      </c>
      <c r="V1233" t="str" cm="1">
        <f t="array" aca="1" ref="V1233" ca="1">IFERROR(_xlfn.IFS(A1231="  ..............",OFFSET(A1231,2,0),A1230=" X-------------X",OFFSET(A1230,3,0),MATCH("  ..............",A1233:A1242,0)&gt;2,V1232),"-")</f>
        <v xml:space="preserve">  VONPA1TAP069  </v>
      </c>
      <c r="W1233">
        <f t="shared" ca="1" si="57"/>
        <v>1.0169999999999999</v>
      </c>
      <c r="X1233" t="str">
        <f t="shared" ca="1" si="58"/>
        <v xml:space="preserve"> GRAVA2-RS069 </v>
      </c>
      <c r="Y1233" s="1">
        <f t="shared" ca="1" si="59"/>
        <v>0.47299999999999998</v>
      </c>
    </row>
    <row r="1234" spans="1:25" x14ac:dyDescent="0.25">
      <c r="A1234" t="s">
        <v>1588</v>
      </c>
      <c r="B1234" t="s">
        <v>1587</v>
      </c>
      <c r="C1234">
        <v>48</v>
      </c>
      <c r="D1234">
        <v>71</v>
      </c>
      <c r="E1234">
        <v>71</v>
      </c>
      <c r="F1234" s="1">
        <v>0.16300000000000001</v>
      </c>
      <c r="G1234" t="s">
        <v>1587</v>
      </c>
      <c r="H1234" t="s">
        <v>1587</v>
      </c>
      <c r="I1234">
        <v>1209</v>
      </c>
      <c r="J1234" t="s">
        <v>2133</v>
      </c>
      <c r="K1234">
        <v>1</v>
      </c>
      <c r="L1234">
        <v>-6.3</v>
      </c>
      <c r="M1234">
        <v>-4.8</v>
      </c>
      <c r="N1234">
        <v>7.8</v>
      </c>
      <c r="O1234" t="s">
        <v>1594</v>
      </c>
      <c r="P1234" t="s">
        <v>1584</v>
      </c>
      <c r="Q1234" t="s">
        <v>1591</v>
      </c>
      <c r="R1234">
        <v>0.02</v>
      </c>
      <c r="S1234">
        <v>-0.13</v>
      </c>
      <c r="T1234" t="s">
        <v>1584</v>
      </c>
      <c r="U1234" t="s">
        <v>1592</v>
      </c>
      <c r="V1234" t="str" cm="1">
        <f t="array" aca="1" ref="V1234" ca="1">IFERROR(_xlfn.IFS(A1232="  ..............",OFFSET(A1232,2,0),A1231=" X-------------X",OFFSET(A1231,3,0),MATCH("  ..............",A1234:A1243,0)&gt;2,V1233),"-")</f>
        <v xml:space="preserve">  VONPA1TAP069  </v>
      </c>
      <c r="W1234">
        <f t="shared" ca="1" si="57"/>
        <v>1.0169999999999999</v>
      </c>
      <c r="X1234" t="str">
        <f t="shared" ca="1" si="58"/>
        <v xml:space="preserve"> PALGR8-RS069 </v>
      </c>
      <c r="Y1234" s="1">
        <f t="shared" ca="1" si="59"/>
        <v>0.628</v>
      </c>
    </row>
    <row r="1235" spans="1:25" x14ac:dyDescent="0.25">
      <c r="A1235" t="s">
        <v>1588</v>
      </c>
      <c r="B1235" t="s">
        <v>1587</v>
      </c>
      <c r="C1235">
        <v>48</v>
      </c>
      <c r="D1235">
        <v>71</v>
      </c>
      <c r="E1235">
        <v>71</v>
      </c>
      <c r="F1235" s="1">
        <v>0.06</v>
      </c>
      <c r="G1235" t="s">
        <v>1587</v>
      </c>
      <c r="H1235" t="s">
        <v>1587</v>
      </c>
      <c r="I1235">
        <v>1271</v>
      </c>
      <c r="J1235" t="s">
        <v>2383</v>
      </c>
      <c r="K1235">
        <v>1</v>
      </c>
      <c r="L1235">
        <v>1.1000000000000001</v>
      </c>
      <c r="M1235">
        <v>2.7</v>
      </c>
      <c r="N1235">
        <v>2.9</v>
      </c>
      <c r="O1235" t="s">
        <v>1594</v>
      </c>
      <c r="P1235" t="s">
        <v>1584</v>
      </c>
      <c r="Q1235" t="s">
        <v>1591</v>
      </c>
      <c r="R1235">
        <v>0</v>
      </c>
      <c r="S1235">
        <v>-0.1</v>
      </c>
      <c r="T1235" t="s">
        <v>1584</v>
      </c>
      <c r="U1235" t="s">
        <v>1592</v>
      </c>
      <c r="V1235" t="str" cm="1">
        <f t="array" aca="1" ref="V1235" ca="1">IFERROR(_xlfn.IFS(A1233="  ..............",OFFSET(A1233,2,0),A1232=" X-------------X",OFFSET(A1232,3,0),MATCH("  ..............",A1235:A1244,0)&gt;2,V1234),"-")</f>
        <v xml:space="preserve">  VONPA1TAP069  </v>
      </c>
      <c r="W1235">
        <f t="shared" ca="1" si="57"/>
        <v>1.0169999999999999</v>
      </c>
      <c r="X1235" t="str">
        <f t="shared" ca="1" si="58"/>
        <v xml:space="preserve"> VONPA1-RS069 </v>
      </c>
      <c r="Y1235" s="1">
        <f t="shared" ca="1" si="59"/>
        <v>7.3999999999999996E-2</v>
      </c>
    </row>
    <row r="1236" spans="1:25" x14ac:dyDescent="0.25">
      <c r="A1236" t="s">
        <v>1588</v>
      </c>
      <c r="B1236" t="s">
        <v>1587</v>
      </c>
      <c r="C1236">
        <v>75</v>
      </c>
      <c r="D1236">
        <v>90</v>
      </c>
      <c r="E1236">
        <v>90</v>
      </c>
      <c r="F1236" s="1">
        <v>7.3999999999999996E-2</v>
      </c>
      <c r="G1236" t="s">
        <v>1587</v>
      </c>
      <c r="H1236" t="s">
        <v>1587</v>
      </c>
      <c r="I1236">
        <v>9274</v>
      </c>
      <c r="J1236" t="s">
        <v>2495</v>
      </c>
      <c r="K1236">
        <v>1</v>
      </c>
      <c r="L1236">
        <v>5.2</v>
      </c>
      <c r="M1236">
        <v>2.2000000000000002</v>
      </c>
      <c r="N1236">
        <v>5.5</v>
      </c>
      <c r="O1236" t="s">
        <v>1594</v>
      </c>
      <c r="P1236" t="s">
        <v>1584</v>
      </c>
      <c r="Q1236" t="s">
        <v>1591</v>
      </c>
      <c r="R1236">
        <v>0</v>
      </c>
      <c r="S1236">
        <v>-0.04</v>
      </c>
      <c r="T1236" t="s">
        <v>1584</v>
      </c>
      <c r="U1236" t="s">
        <v>1592</v>
      </c>
      <c r="V1236" t="str" cm="1">
        <f t="array" aca="1" ref="V1236" ca="1">IFERROR(_xlfn.IFS(A1234="  ..............",OFFSET(A1234,2,0),A1233=" X-------------X",OFFSET(A1233,3,0),MATCH("  ..............",A1236:A1245,0)&gt;2,V1235),"-")</f>
        <v>-</v>
      </c>
      <c r="W1236" t="str">
        <f t="shared" ca="1" si="57"/>
        <v>-</v>
      </c>
      <c r="X1236" t="str">
        <f t="shared" ca="1" si="58"/>
        <v>-</v>
      </c>
      <c r="Y1236" s="1" t="str">
        <f t="shared" ca="1" si="59"/>
        <v>-</v>
      </c>
    </row>
    <row r="1237" spans="1:25" x14ac:dyDescent="0.25">
      <c r="A1237" t="s">
        <v>1572</v>
      </c>
      <c r="B1237" t="s">
        <v>1574</v>
      </c>
      <c r="C1237" t="s">
        <v>1574</v>
      </c>
      <c r="D1237" t="s">
        <v>1574</v>
      </c>
      <c r="E1237" t="s">
        <v>1574</v>
      </c>
      <c r="F1237" t="s">
        <v>1575</v>
      </c>
      <c r="G1237" t="s">
        <v>1574</v>
      </c>
      <c r="H1237" t="s">
        <v>1574</v>
      </c>
      <c r="I1237" t="s">
        <v>1576</v>
      </c>
      <c r="J1237" t="s">
        <v>1573</v>
      </c>
      <c r="K1237" t="s">
        <v>1577</v>
      </c>
      <c r="L1237" t="s">
        <v>1574</v>
      </c>
      <c r="M1237" t="s">
        <v>1574</v>
      </c>
      <c r="N1237" t="s">
        <v>1574</v>
      </c>
      <c r="O1237" t="s">
        <v>1578</v>
      </c>
      <c r="P1237" t="s">
        <v>1576</v>
      </c>
      <c r="Q1237" t="s">
        <v>1579</v>
      </c>
      <c r="R1237" t="s">
        <v>1580</v>
      </c>
      <c r="S1237" t="s">
        <v>1580</v>
      </c>
      <c r="T1237" t="s">
        <v>1576</v>
      </c>
      <c r="U1237" t="s">
        <v>1576</v>
      </c>
      <c r="V1237" t="str" cm="1">
        <f t="array" aca="1" ref="V1237" ca="1">IFERROR(_xlfn.IFS(A1235="  ..............",OFFSET(A1235,2,0),A1234=" X-------------X",OFFSET(A1234,3,0),MATCH("  ..............",A1237:A1246,0)&gt;2,V1236),"-")</f>
        <v>-</v>
      </c>
      <c r="W1237" t="str">
        <f t="shared" ca="1" si="57"/>
        <v>-</v>
      </c>
      <c r="X1237" t="str">
        <f t="shared" ca="1" si="58"/>
        <v/>
      </c>
      <c r="Y1237" s="1" t="str">
        <f t="shared" ca="1" si="59"/>
        <v/>
      </c>
    </row>
    <row r="1238" spans="1:25" x14ac:dyDescent="0.25">
      <c r="A1238" t="s">
        <v>2496</v>
      </c>
      <c r="B1238">
        <v>1.0169999999999999</v>
      </c>
      <c r="C1238">
        <v>0</v>
      </c>
      <c r="D1238">
        <v>0</v>
      </c>
      <c r="E1238">
        <v>5.2</v>
      </c>
      <c r="F1238">
        <v>0</v>
      </c>
      <c r="G1238">
        <v>0</v>
      </c>
      <c r="H1238">
        <v>0</v>
      </c>
      <c r="I1238" t="s">
        <v>1581</v>
      </c>
      <c r="J1238" t="s">
        <v>1581</v>
      </c>
      <c r="K1238" t="s">
        <v>1581</v>
      </c>
      <c r="L1238" t="s">
        <v>1581</v>
      </c>
      <c r="M1238" t="s">
        <v>1581</v>
      </c>
      <c r="N1238" t="s">
        <v>1581</v>
      </c>
      <c r="O1238" t="s">
        <v>1581</v>
      </c>
      <c r="P1238" t="s">
        <v>1581</v>
      </c>
      <c r="Q1238" t="s">
        <v>1581</v>
      </c>
      <c r="R1238" t="s">
        <v>1581</v>
      </c>
      <c r="S1238" t="s">
        <v>1581</v>
      </c>
      <c r="T1238" t="s">
        <v>1581</v>
      </c>
      <c r="U1238" t="s">
        <v>1581</v>
      </c>
      <c r="V1238" t="str" cm="1">
        <f t="array" aca="1" ref="V1238" ca="1">IFERROR(_xlfn.IFS(A1236="  ..............",OFFSET(A1236,2,0),A1235=" X-------------X",OFFSET(A1235,3,0),MATCH("  ..............",A1238:A1247,0)&gt;2,V1237),"-")</f>
        <v>-</v>
      </c>
      <c r="W1238" t="str">
        <f t="shared" ca="1" si="57"/>
        <v>-</v>
      </c>
      <c r="X1238" t="str">
        <f t="shared" ca="1" si="58"/>
        <v xml:space="preserve">              </v>
      </c>
      <c r="Y1238" s="1">
        <f t="shared" ca="1" si="59"/>
        <v>0</v>
      </c>
    </row>
    <row r="1239" spans="1:25" x14ac:dyDescent="0.25">
      <c r="A1239" t="s">
        <v>2497</v>
      </c>
      <c r="B1239">
        <v>-54.5</v>
      </c>
      <c r="C1239">
        <v>0</v>
      </c>
      <c r="D1239">
        <v>0</v>
      </c>
      <c r="E1239">
        <v>2.2000000000000002</v>
      </c>
      <c r="F1239">
        <v>0</v>
      </c>
      <c r="G1239">
        <v>0</v>
      </c>
      <c r="H1239">
        <v>0</v>
      </c>
      <c r="I1239" t="s">
        <v>1584</v>
      </c>
      <c r="J1239" t="s">
        <v>1585</v>
      </c>
      <c r="K1239" t="s">
        <v>1586</v>
      </c>
      <c r="L1239" t="s">
        <v>1587</v>
      </c>
      <c r="M1239" t="s">
        <v>1587</v>
      </c>
      <c r="N1239" t="s">
        <v>1586</v>
      </c>
      <c r="O1239" t="s">
        <v>1581</v>
      </c>
      <c r="P1239" t="s">
        <v>1581</v>
      </c>
      <c r="Q1239" t="s">
        <v>1581</v>
      </c>
      <c r="R1239" t="s">
        <v>1581</v>
      </c>
      <c r="S1239" t="s">
        <v>1581</v>
      </c>
      <c r="T1239" t="s">
        <v>1581</v>
      </c>
      <c r="U1239" t="s">
        <v>1581</v>
      </c>
      <c r="V1239" t="str" cm="1">
        <f t="array" aca="1" ref="V1239" ca="1">IFERROR(_xlfn.IFS(A1237="  ..............",OFFSET(A1237,2,0),A1236=" X-------------X",OFFSET(A1236,3,0),MATCH("  ..............",A1239:A1248,0)&gt;2,V1238),"-")</f>
        <v xml:space="preserve">  VONPA1-RS069  </v>
      </c>
      <c r="W1239">
        <f t="shared" ca="1" si="57"/>
        <v>1.0169999999999999</v>
      </c>
      <c r="X1239" t="str">
        <f t="shared" ca="1" si="58"/>
        <v xml:space="preserve"> VONPA1TAP069 </v>
      </c>
      <c r="Y1239" s="1">
        <f t="shared" ca="1" si="59"/>
        <v>0.161</v>
      </c>
    </row>
    <row r="1240" spans="1:25" x14ac:dyDescent="0.25">
      <c r="A1240" t="s">
        <v>1588</v>
      </c>
      <c r="B1240" t="s">
        <v>1587</v>
      </c>
      <c r="C1240">
        <v>75</v>
      </c>
      <c r="D1240">
        <v>90</v>
      </c>
      <c r="E1240">
        <v>90</v>
      </c>
      <c r="F1240" s="1">
        <v>7.3999999999999996E-2</v>
      </c>
      <c r="G1240" t="s">
        <v>1587</v>
      </c>
      <c r="H1240" t="s">
        <v>1587</v>
      </c>
      <c r="I1240">
        <v>9273</v>
      </c>
      <c r="J1240" t="s">
        <v>1692</v>
      </c>
      <c r="K1240">
        <v>1</v>
      </c>
      <c r="L1240">
        <v>-5.2</v>
      </c>
      <c r="M1240">
        <v>-2.2000000000000002</v>
      </c>
      <c r="N1240">
        <v>5.6</v>
      </c>
      <c r="O1240" t="s">
        <v>1594</v>
      </c>
      <c r="P1240" t="s">
        <v>1584</v>
      </c>
      <c r="Q1240" t="s">
        <v>1591</v>
      </c>
      <c r="R1240">
        <v>0</v>
      </c>
      <c r="S1240">
        <v>-0.04</v>
      </c>
      <c r="T1240" t="s">
        <v>1584</v>
      </c>
      <c r="U1240" t="s">
        <v>1592</v>
      </c>
      <c r="V1240" t="str" cm="1">
        <f t="array" aca="1" ref="V1240" ca="1">IFERROR(_xlfn.IFS(A1238="  ..............",OFFSET(A1238,2,0),A1237=" X-------------X",OFFSET(A1237,3,0),MATCH("  ..............",A1240:A1249,0)&gt;2,V1239),"-")</f>
        <v>-</v>
      </c>
      <c r="W1240" t="str">
        <f t="shared" ca="1" si="57"/>
        <v>-</v>
      </c>
      <c r="X1240" t="str">
        <f t="shared" ca="1" si="58"/>
        <v>-</v>
      </c>
      <c r="Y1240" s="1" t="str">
        <f t="shared" ca="1" si="59"/>
        <v>-</v>
      </c>
    </row>
    <row r="1241" spans="1:25" x14ac:dyDescent="0.25">
      <c r="A1241" t="s">
        <v>1572</v>
      </c>
      <c r="B1241" t="s">
        <v>1574</v>
      </c>
      <c r="C1241" t="s">
        <v>1574</v>
      </c>
      <c r="D1241" t="s">
        <v>1574</v>
      </c>
      <c r="E1241" t="s">
        <v>1574</v>
      </c>
      <c r="F1241" t="s">
        <v>1575</v>
      </c>
      <c r="G1241" t="s">
        <v>1574</v>
      </c>
      <c r="H1241" t="s">
        <v>1574</v>
      </c>
      <c r="I1241" t="s">
        <v>1576</v>
      </c>
      <c r="J1241" t="s">
        <v>1573</v>
      </c>
      <c r="K1241" t="s">
        <v>1577</v>
      </c>
      <c r="L1241" t="s">
        <v>1574</v>
      </c>
      <c r="M1241" t="s">
        <v>1574</v>
      </c>
      <c r="N1241" t="s">
        <v>1574</v>
      </c>
      <c r="O1241" t="s">
        <v>1578</v>
      </c>
      <c r="P1241" t="s">
        <v>1576</v>
      </c>
      <c r="Q1241" t="s">
        <v>1579</v>
      </c>
      <c r="R1241" t="s">
        <v>1580</v>
      </c>
      <c r="S1241" t="s">
        <v>1580</v>
      </c>
      <c r="T1241" t="s">
        <v>1576</v>
      </c>
      <c r="U1241" t="s">
        <v>1576</v>
      </c>
      <c r="V1241" t="str" cm="1">
        <f t="array" aca="1" ref="V1241" ca="1">IFERROR(_xlfn.IFS(A1239="  ..............",OFFSET(A1239,2,0),A1238=" X-------------X",OFFSET(A1238,3,0),MATCH("  ..............",A1241:A1250,0)&gt;2,V1240),"-")</f>
        <v>-</v>
      </c>
      <c r="W1241" t="str">
        <f t="shared" ca="1" si="57"/>
        <v>-</v>
      </c>
      <c r="X1241" t="str">
        <f t="shared" ca="1" si="58"/>
        <v/>
      </c>
      <c r="Y1241" s="1" t="str">
        <f t="shared" ca="1" si="59"/>
        <v/>
      </c>
    </row>
    <row r="1242" spans="1:25" x14ac:dyDescent="0.25">
      <c r="A1242" t="s">
        <v>2498</v>
      </c>
      <c r="B1242">
        <v>1.002</v>
      </c>
      <c r="C1242">
        <v>0.4</v>
      </c>
      <c r="D1242">
        <v>0</v>
      </c>
      <c r="E1242">
        <v>5.6</v>
      </c>
      <c r="F1242">
        <v>0</v>
      </c>
      <c r="G1242">
        <v>3.6</v>
      </c>
      <c r="H1242">
        <v>0</v>
      </c>
      <c r="I1242" t="s">
        <v>1581</v>
      </c>
      <c r="J1242" t="s">
        <v>1581</v>
      </c>
      <c r="K1242" t="s">
        <v>1581</v>
      </c>
      <c r="L1242" t="s">
        <v>1581</v>
      </c>
      <c r="M1242" t="s">
        <v>1581</v>
      </c>
      <c r="N1242" t="s">
        <v>1581</v>
      </c>
      <c r="O1242" t="s">
        <v>1581</v>
      </c>
      <c r="P1242" t="s">
        <v>1581</v>
      </c>
      <c r="Q1242" t="s">
        <v>1581</v>
      </c>
      <c r="R1242" t="s">
        <v>1581</v>
      </c>
      <c r="S1242" t="s">
        <v>1581</v>
      </c>
      <c r="T1242" t="s">
        <v>1581</v>
      </c>
      <c r="U1242" t="s">
        <v>1581</v>
      </c>
      <c r="V1242" t="str" cm="1">
        <f t="array" aca="1" ref="V1242" ca="1">IFERROR(_xlfn.IFS(A1240="  ..............",OFFSET(A1240,2,0),A1239=" X-------------X",OFFSET(A1239,3,0),MATCH("  ..............",A1242:A1251,0)&gt;2,V1241),"-")</f>
        <v>-</v>
      </c>
      <c r="W1242" t="str">
        <f t="shared" ca="1" si="57"/>
        <v>-</v>
      </c>
      <c r="X1242" t="str">
        <f t="shared" ca="1" si="58"/>
        <v xml:space="preserve">              </v>
      </c>
      <c r="Y1242" s="1">
        <f t="shared" ca="1" si="59"/>
        <v>0</v>
      </c>
    </row>
    <row r="1243" spans="1:25" x14ac:dyDescent="0.25">
      <c r="A1243" t="s">
        <v>2499</v>
      </c>
      <c r="B1243">
        <v>-57.2</v>
      </c>
      <c r="C1243">
        <v>0</v>
      </c>
      <c r="D1243">
        <v>0</v>
      </c>
      <c r="E1243">
        <v>1.6</v>
      </c>
      <c r="F1243">
        <v>0</v>
      </c>
      <c r="G1243">
        <v>0</v>
      </c>
      <c r="H1243">
        <v>0</v>
      </c>
      <c r="I1243" t="s">
        <v>1584</v>
      </c>
      <c r="J1243" t="s">
        <v>1585</v>
      </c>
      <c r="K1243" t="s">
        <v>1586</v>
      </c>
      <c r="L1243" t="s">
        <v>1587</v>
      </c>
      <c r="M1243" t="s">
        <v>1587</v>
      </c>
      <c r="N1243" t="s">
        <v>1586</v>
      </c>
      <c r="O1243" t="s">
        <v>1581</v>
      </c>
      <c r="P1243" t="s">
        <v>1581</v>
      </c>
      <c r="Q1243" t="s">
        <v>1581</v>
      </c>
      <c r="R1243" t="s">
        <v>1581</v>
      </c>
      <c r="S1243" t="s">
        <v>1581</v>
      </c>
      <c r="T1243" t="s">
        <v>1581</v>
      </c>
      <c r="U1243" t="s">
        <v>1581</v>
      </c>
      <c r="V1243" t="str" cm="1">
        <f t="array" aca="1" ref="V1243" ca="1">IFERROR(_xlfn.IFS(A1241="  ..............",OFFSET(A1241,2,0),A1240=" X-------------X",OFFSET(A1240,3,0),MATCH("  ..............",A1243:A1252,0)&gt;2,V1242),"-")</f>
        <v xml:space="preserve">  AGUCLA-RS069  </v>
      </c>
      <c r="W1243">
        <f t="shared" ca="1" si="57"/>
        <v>1.002</v>
      </c>
      <c r="X1243" t="str">
        <f t="shared" ca="1" si="58"/>
        <v xml:space="preserve"> ACLARATAP069 </v>
      </c>
      <c r="Y1243" s="1" t="str">
        <f t="shared" ca="1" si="59"/>
        <v xml:space="preserve">             </v>
      </c>
    </row>
    <row r="1244" spans="1:25" x14ac:dyDescent="0.25">
      <c r="A1244" t="s">
        <v>1588</v>
      </c>
      <c r="B1244" t="s">
        <v>1587</v>
      </c>
      <c r="C1244">
        <v>84</v>
      </c>
      <c r="D1244">
        <v>101</v>
      </c>
      <c r="E1244">
        <v>101</v>
      </c>
      <c r="F1244" s="1">
        <v>0.191</v>
      </c>
      <c r="G1244" t="s">
        <v>1587</v>
      </c>
      <c r="H1244" t="s">
        <v>1587</v>
      </c>
      <c r="I1244">
        <v>9552</v>
      </c>
      <c r="J1244" t="s">
        <v>2402</v>
      </c>
      <c r="K1244">
        <v>1</v>
      </c>
      <c r="L1244">
        <v>-16</v>
      </c>
      <c r="M1244">
        <v>-1.8</v>
      </c>
      <c r="N1244">
        <v>16.100000000000001</v>
      </c>
      <c r="O1244" t="s">
        <v>1594</v>
      </c>
      <c r="P1244" t="s">
        <v>1584</v>
      </c>
      <c r="Q1244" t="s">
        <v>1591</v>
      </c>
      <c r="R1244">
        <v>0.16</v>
      </c>
      <c r="S1244">
        <v>0.25</v>
      </c>
      <c r="T1244" t="s">
        <v>1584</v>
      </c>
      <c r="U1244" t="s">
        <v>1592</v>
      </c>
      <c r="V1244" t="str" cm="1">
        <f t="array" aca="1" ref="V1244" ca="1">IFERROR(_xlfn.IFS(A1242="  ..............",OFFSET(A1242,2,0),A1241=" X-------------X",OFFSET(A1241,3,0),MATCH("  ..............",A1244:A1253,0)&gt;2,V1243),"-")</f>
        <v xml:space="preserve">  AGUCLA-RS069  </v>
      </c>
      <c r="W1244">
        <f t="shared" ca="1" si="57"/>
        <v>1.002</v>
      </c>
      <c r="X1244" t="str">
        <f t="shared" ca="1" si="58"/>
        <v xml:space="preserve"> BRPALETAP069 </v>
      </c>
      <c r="Y1244" s="1">
        <f t="shared" ca="1" si="59"/>
        <v>0.127</v>
      </c>
    </row>
    <row r="1245" spans="1:25" x14ac:dyDescent="0.25">
      <c r="A1245" t="s">
        <v>1588</v>
      </c>
      <c r="B1245" t="s">
        <v>1587</v>
      </c>
      <c r="C1245">
        <v>69</v>
      </c>
      <c r="D1245">
        <v>88</v>
      </c>
      <c r="E1245">
        <v>88</v>
      </c>
      <c r="F1245" s="1">
        <v>0.16600000000000001</v>
      </c>
      <c r="G1245" t="s">
        <v>1587</v>
      </c>
      <c r="H1245" t="s">
        <v>1587</v>
      </c>
      <c r="I1245">
        <v>9553</v>
      </c>
      <c r="J1245" t="s">
        <v>2387</v>
      </c>
      <c r="K1245">
        <v>1</v>
      </c>
      <c r="L1245">
        <v>10.8</v>
      </c>
      <c r="M1245">
        <v>3.8</v>
      </c>
      <c r="N1245">
        <v>11.4</v>
      </c>
      <c r="O1245" t="s">
        <v>1594</v>
      </c>
      <c r="P1245" t="s">
        <v>1584</v>
      </c>
      <c r="Q1245" t="s">
        <v>1591</v>
      </c>
      <c r="R1245">
        <v>0.01</v>
      </c>
      <c r="S1245">
        <v>0</v>
      </c>
      <c r="T1245" t="s">
        <v>1584</v>
      </c>
      <c r="U1245" t="s">
        <v>1592</v>
      </c>
      <c r="V1245" t="str" cm="1">
        <f t="array" aca="1" ref="V1245" ca="1">IFERROR(_xlfn.IFS(A1243="  ..............",OFFSET(A1243,2,0),A1242=" X-------------X",OFFSET(A1242,3,0),MATCH("  ..............",A1245:A1254,0)&gt;2,V1244),"-")</f>
        <v>-</v>
      </c>
      <c r="W1245" t="str">
        <f t="shared" ca="1" si="57"/>
        <v>-</v>
      </c>
      <c r="X1245" t="str">
        <f t="shared" ca="1" si="58"/>
        <v>-</v>
      </c>
      <c r="Y1245" s="1" t="str">
        <f t="shared" ca="1" si="59"/>
        <v>-</v>
      </c>
    </row>
    <row r="1246" spans="1:25" x14ac:dyDescent="0.25">
      <c r="A1246" t="s">
        <v>1572</v>
      </c>
      <c r="B1246" t="s">
        <v>1574</v>
      </c>
      <c r="C1246" t="s">
        <v>1574</v>
      </c>
      <c r="D1246" t="s">
        <v>1574</v>
      </c>
      <c r="E1246" t="s">
        <v>1574</v>
      </c>
      <c r="F1246" t="s">
        <v>1575</v>
      </c>
      <c r="G1246" t="s">
        <v>1574</v>
      </c>
      <c r="H1246" t="s">
        <v>1574</v>
      </c>
      <c r="I1246" t="s">
        <v>1576</v>
      </c>
      <c r="J1246" t="s">
        <v>1573</v>
      </c>
      <c r="K1246" t="s">
        <v>1577</v>
      </c>
      <c r="L1246" t="s">
        <v>1574</v>
      </c>
      <c r="M1246" t="s">
        <v>1574</v>
      </c>
      <c r="N1246" t="s">
        <v>1574</v>
      </c>
      <c r="O1246" t="s">
        <v>1578</v>
      </c>
      <c r="P1246" t="s">
        <v>1576</v>
      </c>
      <c r="Q1246" t="s">
        <v>1579</v>
      </c>
      <c r="R1246" t="s">
        <v>1580</v>
      </c>
      <c r="S1246" t="s">
        <v>1580</v>
      </c>
      <c r="T1246" t="s">
        <v>1576</v>
      </c>
      <c r="U1246" t="s">
        <v>1576</v>
      </c>
      <c r="V1246" t="str" cm="1">
        <f t="array" aca="1" ref="V1246" ca="1">IFERROR(_xlfn.IFS(A1244="  ..............",OFFSET(A1244,2,0),A1243=" X-------------X",OFFSET(A1243,3,0),MATCH("  ..............",A1246:A1255,0)&gt;2,V1245),"-")</f>
        <v>-</v>
      </c>
      <c r="W1246" t="str">
        <f t="shared" ca="1" si="57"/>
        <v>-</v>
      </c>
      <c r="X1246" t="str">
        <f t="shared" ca="1" si="58"/>
        <v/>
      </c>
      <c r="Y1246" s="1" t="str">
        <f t="shared" ca="1" si="59"/>
        <v/>
      </c>
    </row>
    <row r="1247" spans="1:25" x14ac:dyDescent="0.25">
      <c r="A1247" t="s">
        <v>2500</v>
      </c>
      <c r="B1247">
        <v>1.014</v>
      </c>
      <c r="C1247">
        <v>1.9</v>
      </c>
      <c r="D1247">
        <v>0</v>
      </c>
      <c r="E1247">
        <v>23.3</v>
      </c>
      <c r="F1247">
        <v>0</v>
      </c>
      <c r="G1247">
        <v>7.4</v>
      </c>
      <c r="H1247">
        <v>0</v>
      </c>
      <c r="I1247" t="s">
        <v>1581</v>
      </c>
      <c r="J1247" t="s">
        <v>1581</v>
      </c>
      <c r="K1247" t="s">
        <v>1581</v>
      </c>
      <c r="L1247" t="s">
        <v>1581</v>
      </c>
      <c r="M1247" t="s">
        <v>1581</v>
      </c>
      <c r="N1247" t="s">
        <v>1581</v>
      </c>
      <c r="O1247" t="s">
        <v>1581</v>
      </c>
      <c r="P1247" t="s">
        <v>1581</v>
      </c>
      <c r="Q1247" t="s">
        <v>1581</v>
      </c>
      <c r="R1247" t="s">
        <v>1581</v>
      </c>
      <c r="S1247" t="s">
        <v>1581</v>
      </c>
      <c r="T1247" t="s">
        <v>1581</v>
      </c>
      <c r="U1247" t="s">
        <v>1581</v>
      </c>
      <c r="V1247" t="str" cm="1">
        <f t="array" aca="1" ref="V1247" ca="1">IFERROR(_xlfn.IFS(A1245="  ..............",OFFSET(A1245,2,0),A1244=" X-------------X",OFFSET(A1244,3,0),MATCH("  ..............",A1247:A1256,0)&gt;2,V1246),"-")</f>
        <v>-</v>
      </c>
      <c r="W1247" t="str">
        <f t="shared" ca="1" si="57"/>
        <v>-</v>
      </c>
      <c r="X1247" t="str">
        <f t="shared" ca="1" si="58"/>
        <v xml:space="preserve">              </v>
      </c>
      <c r="Y1247" s="1">
        <f t="shared" ca="1" si="59"/>
        <v>0</v>
      </c>
    </row>
    <row r="1248" spans="1:25" x14ac:dyDescent="0.25">
      <c r="A1248" t="s">
        <v>2501</v>
      </c>
      <c r="B1248">
        <v>-55</v>
      </c>
      <c r="C1248">
        <v>0</v>
      </c>
      <c r="D1248">
        <v>0</v>
      </c>
      <c r="E1248">
        <v>10.1</v>
      </c>
      <c r="F1248">
        <v>0</v>
      </c>
      <c r="G1248">
        <v>0</v>
      </c>
      <c r="H1248">
        <v>0</v>
      </c>
      <c r="I1248" t="s">
        <v>1584</v>
      </c>
      <c r="J1248" t="s">
        <v>1585</v>
      </c>
      <c r="K1248" t="s">
        <v>1586</v>
      </c>
      <c r="L1248" t="s">
        <v>1587</v>
      </c>
      <c r="M1248" t="s">
        <v>1587</v>
      </c>
      <c r="N1248" t="s">
        <v>1586</v>
      </c>
      <c r="O1248" t="s">
        <v>1581</v>
      </c>
      <c r="P1248" t="s">
        <v>1581</v>
      </c>
      <c r="Q1248" t="s">
        <v>1581</v>
      </c>
      <c r="R1248" t="s">
        <v>1581</v>
      </c>
      <c r="S1248" t="s">
        <v>1581</v>
      </c>
      <c r="T1248" t="s">
        <v>1581</v>
      </c>
      <c r="U1248" t="s">
        <v>1581</v>
      </c>
      <c r="V1248" t="str" cm="1">
        <f t="array" aca="1" ref="V1248" ca="1">IFERROR(_xlfn.IFS(A1246="  ..............",OFFSET(A1246,2,0),A1245=" X-------------X",OFFSET(A1245,3,0),MATCH("  ..............",A1248:A1257,0)&gt;2,V1247),"-")</f>
        <v xml:space="preserve">  RINCAO-RS069  </v>
      </c>
      <c r="W1248">
        <f t="shared" ca="1" si="57"/>
        <v>1.014</v>
      </c>
      <c r="X1248" t="str">
        <f t="shared" ca="1" si="58"/>
        <v xml:space="preserve"> RESTIN-RS069 </v>
      </c>
      <c r="Y1248" s="1">
        <f t="shared" ca="1" si="59"/>
        <v>0.69399999999999995</v>
      </c>
    </row>
    <row r="1249" spans="1:25" x14ac:dyDescent="0.25">
      <c r="A1249" t="s">
        <v>1588</v>
      </c>
      <c r="B1249" t="s">
        <v>1587</v>
      </c>
      <c r="C1249">
        <v>54</v>
      </c>
      <c r="D1249">
        <v>79</v>
      </c>
      <c r="E1249">
        <v>79</v>
      </c>
      <c r="F1249" s="1">
        <v>0.14099999999999999</v>
      </c>
      <c r="G1249" t="s">
        <v>1587</v>
      </c>
      <c r="H1249" t="s">
        <v>1587</v>
      </c>
      <c r="I1249">
        <v>9303</v>
      </c>
      <c r="J1249" t="s">
        <v>2482</v>
      </c>
      <c r="K1249">
        <v>1</v>
      </c>
      <c r="L1249">
        <v>-7.5</v>
      </c>
      <c r="M1249">
        <v>-1.9</v>
      </c>
      <c r="N1249">
        <v>7.6</v>
      </c>
      <c r="O1249" t="s">
        <v>1594</v>
      </c>
      <c r="P1249" t="s">
        <v>1584</v>
      </c>
      <c r="Q1249" t="s">
        <v>1591</v>
      </c>
      <c r="R1249">
        <v>0</v>
      </c>
      <c r="S1249">
        <v>-0.02</v>
      </c>
      <c r="T1249" t="s">
        <v>1584</v>
      </c>
      <c r="U1249" t="s">
        <v>1592</v>
      </c>
      <c r="V1249" t="str" cm="1">
        <f t="array" aca="1" ref="V1249" ca="1">IFERROR(_xlfn.IFS(A1247="  ..............",OFFSET(A1247,2,0),A1246=" X-------------X",OFFSET(A1246,3,0),MATCH("  ..............",A1249:A1258,0)&gt;2,V1248),"-")</f>
        <v xml:space="preserve">  RINCAO-RS069  </v>
      </c>
      <c r="W1249">
        <f t="shared" ca="1" si="57"/>
        <v>1.014</v>
      </c>
      <c r="X1249" t="str">
        <f t="shared" ca="1" si="58"/>
        <v xml:space="preserve"> ENT874-RS069 </v>
      </c>
      <c r="Y1249" s="1">
        <f t="shared" ca="1" si="59"/>
        <v>0.13900000000000001</v>
      </c>
    </row>
    <row r="1250" spans="1:25" x14ac:dyDescent="0.25">
      <c r="A1250" t="s">
        <v>1588</v>
      </c>
      <c r="B1250" t="s">
        <v>1587</v>
      </c>
      <c r="C1250">
        <v>54</v>
      </c>
      <c r="D1250">
        <v>79</v>
      </c>
      <c r="E1250">
        <v>79</v>
      </c>
      <c r="F1250" s="1">
        <v>0.255</v>
      </c>
      <c r="G1250" t="s">
        <v>1587</v>
      </c>
      <c r="H1250" t="s">
        <v>1587</v>
      </c>
      <c r="I1250">
        <v>9392</v>
      </c>
      <c r="J1250" t="s">
        <v>1898</v>
      </c>
      <c r="K1250">
        <v>1</v>
      </c>
      <c r="L1250">
        <v>-13.9</v>
      </c>
      <c r="M1250">
        <v>-0.8</v>
      </c>
      <c r="N1250">
        <v>13.7</v>
      </c>
      <c r="O1250" t="s">
        <v>1594</v>
      </c>
      <c r="P1250" t="s">
        <v>1584</v>
      </c>
      <c r="Q1250" t="s">
        <v>1591</v>
      </c>
      <c r="R1250">
        <v>0.02</v>
      </c>
      <c r="S1250">
        <v>0</v>
      </c>
      <c r="T1250" t="s">
        <v>1584</v>
      </c>
      <c r="U1250" t="s">
        <v>1592</v>
      </c>
      <c r="V1250" t="str" cm="1">
        <f t="array" aca="1" ref="V1250" ca="1">IFERROR(_xlfn.IFS(A1248="  ..............",OFFSET(A1248,2,0),A1247=" X-------------X",OFFSET(A1247,3,0),MATCH("  ..............",A1250:A1259,0)&gt;2,V1249),"-")</f>
        <v>-</v>
      </c>
      <c r="W1250" t="str">
        <f t="shared" ca="1" si="57"/>
        <v>-</v>
      </c>
      <c r="X1250" t="str">
        <f t="shared" ca="1" si="58"/>
        <v>-</v>
      </c>
      <c r="Y1250" s="1" t="str">
        <f t="shared" ca="1" si="59"/>
        <v>-</v>
      </c>
    </row>
    <row r="1251" spans="1:25" x14ac:dyDescent="0.25">
      <c r="A1251" t="s">
        <v>1572</v>
      </c>
      <c r="B1251" t="s">
        <v>1574</v>
      </c>
      <c r="C1251" t="s">
        <v>1574</v>
      </c>
      <c r="D1251" t="s">
        <v>1574</v>
      </c>
      <c r="E1251" t="s">
        <v>1574</v>
      </c>
      <c r="F1251" t="s">
        <v>1575</v>
      </c>
      <c r="G1251" t="s">
        <v>1574</v>
      </c>
      <c r="H1251" t="s">
        <v>1574</v>
      </c>
      <c r="I1251" t="s">
        <v>1576</v>
      </c>
      <c r="J1251" t="s">
        <v>1573</v>
      </c>
      <c r="K1251" t="s">
        <v>1577</v>
      </c>
      <c r="L1251" t="s">
        <v>1574</v>
      </c>
      <c r="M1251" t="s">
        <v>1574</v>
      </c>
      <c r="N1251" t="s">
        <v>1574</v>
      </c>
      <c r="O1251" t="s">
        <v>1578</v>
      </c>
      <c r="P1251" t="s">
        <v>1576</v>
      </c>
      <c r="Q1251" t="s">
        <v>1579</v>
      </c>
      <c r="R1251" t="s">
        <v>1580</v>
      </c>
      <c r="S1251" t="s">
        <v>1580</v>
      </c>
      <c r="T1251" t="s">
        <v>1576</v>
      </c>
      <c r="U1251" t="s">
        <v>1576</v>
      </c>
      <c r="V1251" t="str" cm="1">
        <f t="array" aca="1" ref="V1251" ca="1">IFERROR(_xlfn.IFS(A1249="  ..............",OFFSET(A1249,2,0),A1248=" X-------------X",OFFSET(A1248,3,0),MATCH("  ..............",A1251:A1260,0)&gt;2,V1250),"-")</f>
        <v>-</v>
      </c>
      <c r="W1251" t="str">
        <f t="shared" ca="1" si="57"/>
        <v>-</v>
      </c>
      <c r="X1251" t="str">
        <f t="shared" ca="1" si="58"/>
        <v/>
      </c>
      <c r="Y1251" s="1" t="str">
        <f t="shared" ca="1" si="59"/>
        <v/>
      </c>
    </row>
    <row r="1252" spans="1:25" x14ac:dyDescent="0.25">
      <c r="A1252" t="s">
        <v>2502</v>
      </c>
      <c r="B1252">
        <v>1.0129999999999999</v>
      </c>
      <c r="C1252">
        <v>0</v>
      </c>
      <c r="D1252">
        <v>0</v>
      </c>
      <c r="E1252">
        <v>4.0999999999999996</v>
      </c>
      <c r="F1252">
        <v>0</v>
      </c>
      <c r="G1252">
        <v>0</v>
      </c>
      <c r="H1252">
        <v>0</v>
      </c>
      <c r="I1252" t="s">
        <v>1581</v>
      </c>
      <c r="J1252" t="s">
        <v>1581</v>
      </c>
      <c r="K1252" t="s">
        <v>1581</v>
      </c>
      <c r="L1252" t="s">
        <v>1581</v>
      </c>
      <c r="M1252" t="s">
        <v>1581</v>
      </c>
      <c r="N1252" t="s">
        <v>1581</v>
      </c>
      <c r="O1252" t="s">
        <v>1581</v>
      </c>
      <c r="P1252" t="s">
        <v>1581</v>
      </c>
      <c r="Q1252" t="s">
        <v>1581</v>
      </c>
      <c r="R1252" t="s">
        <v>1581</v>
      </c>
      <c r="S1252" t="s">
        <v>1581</v>
      </c>
      <c r="T1252" t="s">
        <v>1581</v>
      </c>
      <c r="U1252" t="s">
        <v>1581</v>
      </c>
      <c r="V1252" t="str" cm="1">
        <f t="array" aca="1" ref="V1252" ca="1">IFERROR(_xlfn.IFS(A1250="  ..............",OFFSET(A1250,2,0),A1249=" X-------------X",OFFSET(A1249,3,0),MATCH("  ..............",A1252:A1261,0)&gt;2,V1251),"-")</f>
        <v>-</v>
      </c>
      <c r="W1252" t="str">
        <f t="shared" ca="1" si="57"/>
        <v>-</v>
      </c>
      <c r="X1252" t="str">
        <f t="shared" ca="1" si="58"/>
        <v xml:space="preserve">              </v>
      </c>
      <c r="Y1252" s="1">
        <f t="shared" ca="1" si="59"/>
        <v>0</v>
      </c>
    </row>
    <row r="1253" spans="1:25" x14ac:dyDescent="0.25">
      <c r="A1253" t="s">
        <v>2503</v>
      </c>
      <c r="B1253">
        <v>-54.5</v>
      </c>
      <c r="C1253">
        <v>0</v>
      </c>
      <c r="D1253">
        <v>0</v>
      </c>
      <c r="E1253">
        <v>1.7</v>
      </c>
      <c r="F1253">
        <v>0</v>
      </c>
      <c r="G1253">
        <v>0</v>
      </c>
      <c r="H1253">
        <v>0</v>
      </c>
      <c r="I1253" t="s">
        <v>1584</v>
      </c>
      <c r="J1253" t="s">
        <v>1585</v>
      </c>
      <c r="K1253" t="s">
        <v>1586</v>
      </c>
      <c r="L1253" t="s">
        <v>1587</v>
      </c>
      <c r="M1253" t="s">
        <v>1587</v>
      </c>
      <c r="N1253" t="s">
        <v>1586</v>
      </c>
      <c r="O1253" t="s">
        <v>1581</v>
      </c>
      <c r="P1253" t="s">
        <v>1581</v>
      </c>
      <c r="Q1253" t="s">
        <v>1581</v>
      </c>
      <c r="R1253" t="s">
        <v>1581</v>
      </c>
      <c r="S1253" t="s">
        <v>1581</v>
      </c>
      <c r="T1253" t="s">
        <v>1581</v>
      </c>
      <c r="U1253" t="s">
        <v>1581</v>
      </c>
      <c r="V1253" t="str" cm="1">
        <f t="array" aca="1" ref="V1253" ca="1">IFERROR(_xlfn.IFS(A1251="  ..............",OFFSET(A1251,2,0),A1250=" X-------------X",OFFSET(A1250,3,0),MATCH("  ..............",A1253:A1262,0)&gt;2,V1252),"-")</f>
        <v xml:space="preserve">  ZAFFAR-RS069  </v>
      </c>
      <c r="W1253">
        <f t="shared" ca="1" si="57"/>
        <v>1.0129999999999999</v>
      </c>
      <c r="X1253" t="str">
        <f t="shared" ca="1" si="58"/>
        <v xml:space="preserve"> PALEG1-RS069 </v>
      </c>
      <c r="Y1253" s="1">
        <f t="shared" ca="1" si="59"/>
        <v>0.26900000000000002</v>
      </c>
    </row>
    <row r="1254" spans="1:25" x14ac:dyDescent="0.25">
      <c r="A1254" t="s">
        <v>1588</v>
      </c>
      <c r="B1254" t="s">
        <v>1587</v>
      </c>
      <c r="C1254">
        <v>84</v>
      </c>
      <c r="D1254">
        <v>101</v>
      </c>
      <c r="E1254">
        <v>101</v>
      </c>
      <c r="F1254" s="1">
        <v>5.6000000000000001E-2</v>
      </c>
      <c r="G1254" t="s">
        <v>1587</v>
      </c>
      <c r="H1254" t="s">
        <v>1587</v>
      </c>
      <c r="I1254">
        <v>9962</v>
      </c>
      <c r="J1254" t="s">
        <v>2405</v>
      </c>
      <c r="K1254">
        <v>1</v>
      </c>
      <c r="L1254">
        <v>-2.2999999999999998</v>
      </c>
      <c r="M1254">
        <v>4.2</v>
      </c>
      <c r="N1254">
        <v>4.7</v>
      </c>
      <c r="O1254" t="s">
        <v>1594</v>
      </c>
      <c r="P1254" t="s">
        <v>1584</v>
      </c>
      <c r="Q1254" t="s">
        <v>1591</v>
      </c>
      <c r="R1254">
        <v>0</v>
      </c>
      <c r="S1254">
        <v>-0.4</v>
      </c>
      <c r="T1254" t="s">
        <v>1584</v>
      </c>
      <c r="U1254" t="s">
        <v>1592</v>
      </c>
      <c r="V1254" t="str" cm="1">
        <f t="array" aca="1" ref="V1254" ca="1">IFERROR(_xlfn.IFS(A1252="  ..............",OFFSET(A1252,2,0),A1251=" X-------------X",OFFSET(A1251,3,0),MATCH("  ..............",A1254:A1263,0)&gt;2,V1253),"-")</f>
        <v xml:space="preserve">  ZAFFAR-RS069  </v>
      </c>
      <c r="W1254">
        <f t="shared" ca="1" si="57"/>
        <v>1.0129999999999999</v>
      </c>
      <c r="X1254" t="str">
        <f t="shared" ca="1" si="58"/>
        <v xml:space="preserve"> HOCONC-RS069 </v>
      </c>
      <c r="Y1254" s="1">
        <f t="shared" ca="1" si="59"/>
        <v>0.1</v>
      </c>
    </row>
    <row r="1255" spans="1:25" x14ac:dyDescent="0.25">
      <c r="A1255" t="s">
        <v>1588</v>
      </c>
      <c r="B1255" t="s">
        <v>1587</v>
      </c>
      <c r="C1255">
        <v>80</v>
      </c>
      <c r="D1255">
        <v>95</v>
      </c>
      <c r="E1255">
        <v>95</v>
      </c>
      <c r="F1255" s="1">
        <v>7.5999999999999998E-2</v>
      </c>
      <c r="G1255" t="s">
        <v>1587</v>
      </c>
      <c r="H1255" t="s">
        <v>1587</v>
      </c>
      <c r="I1255">
        <v>10054</v>
      </c>
      <c r="J1255" t="s">
        <v>1926</v>
      </c>
      <c r="K1255">
        <v>1</v>
      </c>
      <c r="L1255">
        <v>-1.8</v>
      </c>
      <c r="M1255">
        <v>-5.9</v>
      </c>
      <c r="N1255">
        <v>6.1</v>
      </c>
      <c r="O1255" t="s">
        <v>1594</v>
      </c>
      <c r="P1255" t="s">
        <v>1584</v>
      </c>
      <c r="Q1255" t="s">
        <v>1591</v>
      </c>
      <c r="R1255">
        <v>0</v>
      </c>
      <c r="S1255">
        <v>-0.01</v>
      </c>
      <c r="T1255" t="s">
        <v>1584</v>
      </c>
      <c r="U1255" t="s">
        <v>1592</v>
      </c>
      <c r="V1255" t="str" cm="1">
        <f t="array" aca="1" ref="V1255" ca="1">IFERROR(_xlfn.IFS(A1253="  ..............",OFFSET(A1253,2,0),A1252=" X-------------X",OFFSET(A1252,3,0),MATCH("  ..............",A1255:A1264,0)&gt;2,V1254),"-")</f>
        <v>-</v>
      </c>
      <c r="W1255" t="str">
        <f t="shared" ca="1" si="57"/>
        <v>-</v>
      </c>
      <c r="X1255" t="str">
        <f t="shared" ca="1" si="58"/>
        <v>-</v>
      </c>
      <c r="Y1255" s="1" t="str">
        <f t="shared" ca="1" si="59"/>
        <v>-</v>
      </c>
    </row>
    <row r="1256" spans="1:25" x14ac:dyDescent="0.25">
      <c r="A1256" t="s">
        <v>1572</v>
      </c>
      <c r="B1256" t="s">
        <v>1574</v>
      </c>
      <c r="C1256" t="s">
        <v>1574</v>
      </c>
      <c r="D1256" t="s">
        <v>1574</v>
      </c>
      <c r="E1256" t="s">
        <v>1574</v>
      </c>
      <c r="F1256" t="s">
        <v>1575</v>
      </c>
      <c r="G1256" t="s">
        <v>1574</v>
      </c>
      <c r="H1256" t="s">
        <v>1574</v>
      </c>
      <c r="I1256" t="s">
        <v>1576</v>
      </c>
      <c r="J1256" t="s">
        <v>1573</v>
      </c>
      <c r="K1256" t="s">
        <v>1577</v>
      </c>
      <c r="L1256" t="s">
        <v>1574</v>
      </c>
      <c r="M1256" t="s">
        <v>1574</v>
      </c>
      <c r="N1256" t="s">
        <v>1574</v>
      </c>
      <c r="O1256" t="s">
        <v>1578</v>
      </c>
      <c r="P1256" t="s">
        <v>1576</v>
      </c>
      <c r="Q1256" t="s">
        <v>1579</v>
      </c>
      <c r="R1256" t="s">
        <v>1580</v>
      </c>
      <c r="S1256" t="s">
        <v>1580</v>
      </c>
      <c r="T1256" t="s">
        <v>1576</v>
      </c>
      <c r="U1256" t="s">
        <v>1576</v>
      </c>
      <c r="V1256" t="str" cm="1">
        <f t="array" aca="1" ref="V1256" ca="1">IFERROR(_xlfn.IFS(A1254="  ..............",OFFSET(A1254,2,0),A1253=" X-------------X",OFFSET(A1253,3,0),MATCH("  ..............",A1256:A1265,0)&gt;2,V1255),"-")</f>
        <v>-</v>
      </c>
      <c r="W1256" t="str">
        <f t="shared" ca="1" si="57"/>
        <v>-</v>
      </c>
      <c r="X1256" t="str">
        <f t="shared" ca="1" si="58"/>
        <v/>
      </c>
      <c r="Y1256" s="1" t="str">
        <f t="shared" ca="1" si="59"/>
        <v/>
      </c>
    </row>
    <row r="1257" spans="1:25" x14ac:dyDescent="0.25">
      <c r="A1257" t="s">
        <v>2504</v>
      </c>
      <c r="B1257">
        <v>1.0660000000000001</v>
      </c>
      <c r="C1257">
        <v>2.2999999999999998</v>
      </c>
      <c r="D1257">
        <v>0</v>
      </c>
      <c r="E1257">
        <v>24.2</v>
      </c>
      <c r="F1257">
        <v>0</v>
      </c>
      <c r="G1257">
        <v>4.0999999999999996</v>
      </c>
      <c r="H1257">
        <v>0</v>
      </c>
      <c r="I1257" t="s">
        <v>1581</v>
      </c>
      <c r="J1257" t="s">
        <v>1581</v>
      </c>
      <c r="K1257" t="s">
        <v>1581</v>
      </c>
      <c r="L1257" t="s">
        <v>1581</v>
      </c>
      <c r="M1257" t="s">
        <v>1581</v>
      </c>
      <c r="N1257" t="s">
        <v>1581</v>
      </c>
      <c r="O1257" t="s">
        <v>1581</v>
      </c>
      <c r="P1257" t="s">
        <v>1581</v>
      </c>
      <c r="Q1257" t="s">
        <v>1581</v>
      </c>
      <c r="R1257" t="s">
        <v>1581</v>
      </c>
      <c r="S1257" t="s">
        <v>1581</v>
      </c>
      <c r="T1257" t="s">
        <v>1581</v>
      </c>
      <c r="U1257" t="s">
        <v>1581</v>
      </c>
      <c r="V1257" t="str" cm="1">
        <f t="array" aca="1" ref="V1257" ca="1">IFERROR(_xlfn.IFS(A1255="  ..............",OFFSET(A1255,2,0),A1254=" X-------------X",OFFSET(A1254,3,0),MATCH("  ..............",A1257:A1266,0)&gt;2,V1256),"-")</f>
        <v>-</v>
      </c>
      <c r="W1257" t="str">
        <f t="shared" ca="1" si="57"/>
        <v>-</v>
      </c>
      <c r="X1257" t="str">
        <f t="shared" ca="1" si="58"/>
        <v xml:space="preserve">              </v>
      </c>
      <c r="Y1257" s="1">
        <f t="shared" ca="1" si="59"/>
        <v>0</v>
      </c>
    </row>
    <row r="1258" spans="1:25" x14ac:dyDescent="0.25">
      <c r="A1258" t="s">
        <v>2505</v>
      </c>
      <c r="B1258">
        <v>-50.8</v>
      </c>
      <c r="C1258">
        <v>0</v>
      </c>
      <c r="D1258">
        <v>0</v>
      </c>
      <c r="E1258">
        <v>7.1</v>
      </c>
      <c r="F1258">
        <v>0</v>
      </c>
      <c r="G1258">
        <v>0</v>
      </c>
      <c r="H1258">
        <v>0</v>
      </c>
      <c r="I1258" t="s">
        <v>1584</v>
      </c>
      <c r="J1258" t="s">
        <v>1585</v>
      </c>
      <c r="K1258" t="s">
        <v>1586</v>
      </c>
      <c r="L1258" t="s">
        <v>1587</v>
      </c>
      <c r="M1258" t="s">
        <v>1587</v>
      </c>
      <c r="N1258" t="s">
        <v>1586</v>
      </c>
      <c r="O1258" t="s">
        <v>1581</v>
      </c>
      <c r="P1258" t="s">
        <v>1581</v>
      </c>
      <c r="Q1258" t="s">
        <v>1581</v>
      </c>
      <c r="R1258" t="s">
        <v>1581</v>
      </c>
      <c r="S1258" t="s">
        <v>1581</v>
      </c>
      <c r="T1258" t="s">
        <v>1581</v>
      </c>
      <c r="U1258" t="s">
        <v>1581</v>
      </c>
      <c r="V1258" t="str" cm="1">
        <f t="array" aca="1" ref="V1258" ca="1">IFERROR(_xlfn.IFS(A1256="  ..............",OFFSET(A1256,2,0),A1255=" X-------------X",OFFSET(A1255,3,0),MATCH("  ..............",A1258:A1267,0)&gt;2,V1257),"-")</f>
        <v xml:space="preserve">  CAX5-A-RS013  </v>
      </c>
      <c r="W1258">
        <f t="shared" ca="1" si="57"/>
        <v>1.0660000000000001</v>
      </c>
      <c r="X1258" t="str">
        <f t="shared" ca="1" si="58"/>
        <v xml:space="preserve"> CAX5-1-RS000 </v>
      </c>
      <c r="Y1258" s="1">
        <f t="shared" ca="1" si="59"/>
        <v>0.41499999999999998</v>
      </c>
    </row>
    <row r="1259" spans="1:25" x14ac:dyDescent="0.25">
      <c r="A1259" t="s">
        <v>1588</v>
      </c>
      <c r="B1259" t="s">
        <v>1587</v>
      </c>
      <c r="C1259">
        <v>50</v>
      </c>
      <c r="D1259">
        <v>75</v>
      </c>
      <c r="E1259">
        <v>75</v>
      </c>
      <c r="F1259" s="1">
        <v>0.41499999999999998</v>
      </c>
      <c r="G1259" t="s">
        <v>1587</v>
      </c>
      <c r="H1259" t="s">
        <v>1587</v>
      </c>
      <c r="I1259">
        <v>41226</v>
      </c>
      <c r="J1259" t="s">
        <v>2506</v>
      </c>
      <c r="K1259">
        <v>1</v>
      </c>
      <c r="L1259">
        <v>-21.9</v>
      </c>
      <c r="M1259">
        <v>-3</v>
      </c>
      <c r="N1259">
        <v>20.7</v>
      </c>
      <c r="O1259" t="s">
        <v>1608</v>
      </c>
      <c r="P1259" t="s">
        <v>1584</v>
      </c>
      <c r="Q1259">
        <v>2</v>
      </c>
      <c r="R1259">
        <v>0.01</v>
      </c>
      <c r="S1259">
        <v>-0.09</v>
      </c>
      <c r="T1259" t="s">
        <v>1584</v>
      </c>
      <c r="U1259" t="s">
        <v>1592</v>
      </c>
      <c r="V1259" t="str" cm="1">
        <f t="array" aca="1" ref="V1259" ca="1">IFERROR(_xlfn.IFS(A1257="  ..............",OFFSET(A1257,2,0),A1256=" X-------------X",OFFSET(A1256,3,0),MATCH("  ..............",A1259:A1268,0)&gt;2,V1258),"-")</f>
        <v>-</v>
      </c>
      <c r="W1259" t="str">
        <f t="shared" ca="1" si="57"/>
        <v>-</v>
      </c>
      <c r="X1259" t="str">
        <f t="shared" ca="1" si="58"/>
        <v>-</v>
      </c>
      <c r="Y1259" s="1" t="str">
        <f t="shared" ca="1" si="59"/>
        <v>-</v>
      </c>
    </row>
    <row r="1260" spans="1:25" x14ac:dyDescent="0.25">
      <c r="A1260" t="s">
        <v>1572</v>
      </c>
      <c r="B1260" t="s">
        <v>1574</v>
      </c>
      <c r="C1260" t="s">
        <v>1574</v>
      </c>
      <c r="D1260" t="s">
        <v>1574</v>
      </c>
      <c r="E1260" t="s">
        <v>1574</v>
      </c>
      <c r="F1260" t="s">
        <v>1575</v>
      </c>
      <c r="G1260" t="s">
        <v>1574</v>
      </c>
      <c r="H1260" t="s">
        <v>1574</v>
      </c>
      <c r="I1260" t="s">
        <v>1576</v>
      </c>
      <c r="J1260" t="s">
        <v>1573</v>
      </c>
      <c r="K1260" t="s">
        <v>1577</v>
      </c>
      <c r="L1260" t="s">
        <v>1574</v>
      </c>
      <c r="M1260" t="s">
        <v>1574</v>
      </c>
      <c r="N1260" t="s">
        <v>1574</v>
      </c>
      <c r="O1260" t="s">
        <v>1578</v>
      </c>
      <c r="P1260" t="s">
        <v>1576</v>
      </c>
      <c r="Q1260" t="s">
        <v>1579</v>
      </c>
      <c r="R1260" t="s">
        <v>1580</v>
      </c>
      <c r="S1260" t="s">
        <v>1580</v>
      </c>
      <c r="T1260" t="s">
        <v>1576</v>
      </c>
      <c r="U1260" t="s">
        <v>1576</v>
      </c>
      <c r="V1260" t="str" cm="1">
        <f t="array" aca="1" ref="V1260" ca="1">IFERROR(_xlfn.IFS(A1258="  ..............",OFFSET(A1258,2,0),A1257=" X-------------X",OFFSET(A1257,3,0),MATCH("  ..............",A1260:A1269,0)&gt;2,V1259),"-")</f>
        <v>-</v>
      </c>
      <c r="W1260" t="str">
        <f t="shared" ca="1" si="57"/>
        <v>-</v>
      </c>
      <c r="X1260" t="str">
        <f t="shared" ca="1" si="58"/>
        <v/>
      </c>
      <c r="Y1260" s="1" t="str">
        <f t="shared" ca="1" si="59"/>
        <v/>
      </c>
    </row>
    <row r="1261" spans="1:25" x14ac:dyDescent="0.25">
      <c r="A1261" t="s">
        <v>2507</v>
      </c>
      <c r="B1261">
        <v>1.103</v>
      </c>
      <c r="C1261">
        <v>2.1</v>
      </c>
      <c r="D1261">
        <v>0</v>
      </c>
      <c r="E1261">
        <v>30.5</v>
      </c>
      <c r="F1261">
        <v>0</v>
      </c>
      <c r="G1261">
        <v>8.8000000000000007</v>
      </c>
      <c r="H1261">
        <v>0</v>
      </c>
      <c r="I1261" t="s">
        <v>1581</v>
      </c>
      <c r="J1261" t="s">
        <v>1581</v>
      </c>
      <c r="K1261" t="s">
        <v>1581</v>
      </c>
      <c r="L1261" t="s">
        <v>1581</v>
      </c>
      <c r="M1261" t="s">
        <v>1581</v>
      </c>
      <c r="N1261" t="s">
        <v>1581</v>
      </c>
      <c r="O1261" t="s">
        <v>1581</v>
      </c>
      <c r="P1261" t="s">
        <v>1581</v>
      </c>
      <c r="Q1261" t="s">
        <v>1581</v>
      </c>
      <c r="R1261" t="s">
        <v>1581</v>
      </c>
      <c r="S1261" t="s">
        <v>1581</v>
      </c>
      <c r="T1261" t="s">
        <v>1581</v>
      </c>
      <c r="U1261" t="s">
        <v>1581</v>
      </c>
      <c r="V1261" t="str" cm="1">
        <f t="array" aca="1" ref="V1261" ca="1">IFERROR(_xlfn.IFS(A1259="  ..............",OFFSET(A1259,2,0),A1258=" X-------------X",OFFSET(A1258,3,0),MATCH("  ..............",A1261:A1270,0)&gt;2,V1260),"-")</f>
        <v>-</v>
      </c>
      <c r="W1261" t="str">
        <f t="shared" ca="1" si="57"/>
        <v>-</v>
      </c>
      <c r="X1261" t="str">
        <f t="shared" ca="1" si="58"/>
        <v xml:space="preserve">              </v>
      </c>
      <c r="Y1261" s="1">
        <f t="shared" ca="1" si="59"/>
        <v>0</v>
      </c>
    </row>
    <row r="1262" spans="1:25" x14ac:dyDescent="0.25">
      <c r="A1262" t="s">
        <v>2508</v>
      </c>
      <c r="B1262">
        <v>-54</v>
      </c>
      <c r="C1262">
        <v>0</v>
      </c>
      <c r="D1262">
        <v>0</v>
      </c>
      <c r="E1262">
        <v>4.3</v>
      </c>
      <c r="F1262">
        <v>0</v>
      </c>
      <c r="G1262">
        <v>0</v>
      </c>
      <c r="H1262">
        <v>0</v>
      </c>
      <c r="I1262" t="s">
        <v>1584</v>
      </c>
      <c r="J1262" t="s">
        <v>1585</v>
      </c>
      <c r="K1262" t="s">
        <v>1586</v>
      </c>
      <c r="L1262" t="s">
        <v>1587</v>
      </c>
      <c r="M1262" t="s">
        <v>1587</v>
      </c>
      <c r="N1262" t="s">
        <v>1586</v>
      </c>
      <c r="O1262" t="s">
        <v>1581</v>
      </c>
      <c r="P1262" t="s">
        <v>1581</v>
      </c>
      <c r="Q1262" t="s">
        <v>1581</v>
      </c>
      <c r="R1262" t="s">
        <v>1581</v>
      </c>
      <c r="S1262" t="s">
        <v>1581</v>
      </c>
      <c r="T1262" t="s">
        <v>1581</v>
      </c>
      <c r="U1262" t="s">
        <v>1581</v>
      </c>
      <c r="V1262" t="str" cm="1">
        <f t="array" aca="1" ref="V1262" ca="1">IFERROR(_xlfn.IFS(A1260="  ..............",OFFSET(A1260,2,0),A1259=" X-------------X",OFFSET(A1259,3,0),MATCH("  ..............",A1262:A1271,0)&gt;2,V1261),"-")</f>
        <v xml:space="preserve">  CAXIA2-RS013  </v>
      </c>
      <c r="W1262">
        <f t="shared" ca="1" si="57"/>
        <v>1.103</v>
      </c>
      <c r="X1262" t="str">
        <f t="shared" ca="1" si="58"/>
        <v xml:space="preserve"> CAXIA2-RS069 </v>
      </c>
      <c r="Y1262" s="1">
        <f t="shared" ca="1" si="59"/>
        <v>2E-3</v>
      </c>
    </row>
    <row r="1263" spans="1:25" x14ac:dyDescent="0.25">
      <c r="A1263" t="s">
        <v>1588</v>
      </c>
      <c r="B1263" t="s">
        <v>1587</v>
      </c>
      <c r="C1263">
        <v>42</v>
      </c>
      <c r="D1263">
        <v>63</v>
      </c>
      <c r="E1263">
        <v>63</v>
      </c>
      <c r="F1263" s="1">
        <v>0.62</v>
      </c>
      <c r="G1263" t="s">
        <v>1587</v>
      </c>
      <c r="H1263" t="s">
        <v>1587</v>
      </c>
      <c r="I1263">
        <v>1201</v>
      </c>
      <c r="J1263" t="s">
        <v>1645</v>
      </c>
      <c r="K1263">
        <v>2</v>
      </c>
      <c r="L1263">
        <v>-28.4</v>
      </c>
      <c r="M1263">
        <v>4.5</v>
      </c>
      <c r="N1263">
        <v>26.1</v>
      </c>
      <c r="O1263" t="s">
        <v>1594</v>
      </c>
      <c r="P1263" t="s">
        <v>1584</v>
      </c>
      <c r="Q1263" t="s">
        <v>1591</v>
      </c>
      <c r="R1263">
        <v>0.05</v>
      </c>
      <c r="S1263">
        <v>1.76</v>
      </c>
      <c r="T1263" t="s">
        <v>1584</v>
      </c>
      <c r="U1263" t="s">
        <v>1592</v>
      </c>
      <c r="V1263" t="str" cm="1">
        <f t="array" aca="1" ref="V1263" ca="1">IFERROR(_xlfn.IFS(A1261="  ..............",OFFSET(A1261,2,0),A1260=" X-------------X",OFFSET(A1260,3,0),MATCH("  ..............",A1263:A1272,0)&gt;2,V1262),"-")</f>
        <v>-</v>
      </c>
      <c r="W1263" t="str">
        <f t="shared" ca="1" si="57"/>
        <v>-</v>
      </c>
      <c r="X1263" t="str">
        <f t="shared" ca="1" si="58"/>
        <v>-</v>
      </c>
      <c r="Y1263" s="1" t="str">
        <f t="shared" ca="1" si="59"/>
        <v>-</v>
      </c>
    </row>
    <row r="1264" spans="1:25" x14ac:dyDescent="0.25">
      <c r="A1264" t="s">
        <v>1572</v>
      </c>
      <c r="B1264" t="s">
        <v>1574</v>
      </c>
      <c r="C1264" t="s">
        <v>1574</v>
      </c>
      <c r="D1264" t="s">
        <v>1574</v>
      </c>
      <c r="E1264" t="s">
        <v>1574</v>
      </c>
      <c r="F1264" t="s">
        <v>1575</v>
      </c>
      <c r="G1264" t="s">
        <v>1574</v>
      </c>
      <c r="H1264" t="s">
        <v>1574</v>
      </c>
      <c r="I1264" t="s">
        <v>1576</v>
      </c>
      <c r="J1264" t="s">
        <v>1573</v>
      </c>
      <c r="K1264" t="s">
        <v>1577</v>
      </c>
      <c r="L1264" t="s">
        <v>1574</v>
      </c>
      <c r="M1264" t="s">
        <v>1574</v>
      </c>
      <c r="N1264" t="s">
        <v>1574</v>
      </c>
      <c r="O1264" t="s">
        <v>1578</v>
      </c>
      <c r="P1264" t="s">
        <v>1576</v>
      </c>
      <c r="Q1264" t="s">
        <v>1579</v>
      </c>
      <c r="R1264" t="s">
        <v>1580</v>
      </c>
      <c r="S1264" t="s">
        <v>1580</v>
      </c>
      <c r="T1264" t="s">
        <v>1576</v>
      </c>
      <c r="U1264" t="s">
        <v>1576</v>
      </c>
      <c r="V1264" t="str" cm="1">
        <f t="array" aca="1" ref="V1264" ca="1">IFERROR(_xlfn.IFS(A1262="  ..............",OFFSET(A1262,2,0),A1261=" X-------------X",OFFSET(A1261,3,0),MATCH("  ..............",A1264:A1273,0)&gt;2,V1263),"-")</f>
        <v>-</v>
      </c>
      <c r="W1264" t="str">
        <f t="shared" ca="1" si="57"/>
        <v>-</v>
      </c>
      <c r="X1264" t="str">
        <f t="shared" ca="1" si="58"/>
        <v/>
      </c>
      <c r="Y1264" s="1" t="str">
        <f t="shared" ca="1" si="59"/>
        <v/>
      </c>
    </row>
    <row r="1265" spans="1:25" x14ac:dyDescent="0.25">
      <c r="A1265" t="s">
        <v>2509</v>
      </c>
      <c r="B1265">
        <v>1.06</v>
      </c>
      <c r="C1265">
        <v>3.5</v>
      </c>
      <c r="D1265">
        <v>0</v>
      </c>
      <c r="E1265">
        <v>24.8</v>
      </c>
      <c r="F1265">
        <v>0</v>
      </c>
      <c r="G1265">
        <v>4</v>
      </c>
      <c r="H1265">
        <v>0</v>
      </c>
      <c r="I1265" t="s">
        <v>1581</v>
      </c>
      <c r="J1265" t="s">
        <v>1581</v>
      </c>
      <c r="K1265" t="s">
        <v>1581</v>
      </c>
      <c r="L1265" t="s">
        <v>1581</v>
      </c>
      <c r="M1265" t="s">
        <v>1581</v>
      </c>
      <c r="N1265" t="s">
        <v>1581</v>
      </c>
      <c r="O1265" t="s">
        <v>1581</v>
      </c>
      <c r="P1265" t="s">
        <v>1581</v>
      </c>
      <c r="Q1265" t="s">
        <v>1581</v>
      </c>
      <c r="R1265" t="s">
        <v>1581</v>
      </c>
      <c r="S1265" t="s">
        <v>1581</v>
      </c>
      <c r="T1265" t="s">
        <v>1581</v>
      </c>
      <c r="U1265" t="s">
        <v>1581</v>
      </c>
      <c r="V1265" t="str" cm="1">
        <f t="array" aca="1" ref="V1265" ca="1">IFERROR(_xlfn.IFS(A1263="  ..............",OFFSET(A1263,2,0),A1262=" X-------------X",OFFSET(A1262,3,0),MATCH("  ..............",A1265:A1274,0)&gt;2,V1264),"-")</f>
        <v>-</v>
      </c>
      <c r="W1265" t="str">
        <f t="shared" ca="1" si="57"/>
        <v>-</v>
      </c>
      <c r="X1265" t="str">
        <f t="shared" ca="1" si="58"/>
        <v xml:space="preserve">              </v>
      </c>
      <c r="Y1265" s="1">
        <f t="shared" ca="1" si="59"/>
        <v>0</v>
      </c>
    </row>
    <row r="1266" spans="1:25" x14ac:dyDescent="0.25">
      <c r="A1266" t="s">
        <v>2510</v>
      </c>
      <c r="B1266">
        <v>-50.7</v>
      </c>
      <c r="C1266">
        <v>0</v>
      </c>
      <c r="D1266">
        <v>0</v>
      </c>
      <c r="E1266">
        <v>10.7</v>
      </c>
      <c r="F1266">
        <v>0</v>
      </c>
      <c r="G1266">
        <v>0</v>
      </c>
      <c r="H1266">
        <v>0</v>
      </c>
      <c r="I1266" t="s">
        <v>1584</v>
      </c>
      <c r="J1266" t="s">
        <v>1585</v>
      </c>
      <c r="K1266" t="s">
        <v>1586</v>
      </c>
      <c r="L1266" t="s">
        <v>1587</v>
      </c>
      <c r="M1266" t="s">
        <v>1587</v>
      </c>
      <c r="N1266" t="s">
        <v>1586</v>
      </c>
      <c r="O1266" t="s">
        <v>1581</v>
      </c>
      <c r="P1266" t="s">
        <v>1581</v>
      </c>
      <c r="Q1266" t="s">
        <v>1581</v>
      </c>
      <c r="R1266" t="s">
        <v>1581</v>
      </c>
      <c r="S1266" t="s">
        <v>1581</v>
      </c>
      <c r="T1266" t="s">
        <v>1581</v>
      </c>
      <c r="U1266" t="s">
        <v>1581</v>
      </c>
      <c r="V1266" t="str" cm="1">
        <f t="array" aca="1" ref="V1266" ca="1">IFERROR(_xlfn.IFS(A1264="  ..............",OFFSET(A1264,2,0),A1263=" X-------------X",OFFSET(A1263,3,0),MATCH("  ..............",A1266:A1275,0)&gt;2,V1265),"-")</f>
        <v xml:space="preserve">  CAX5-B-RS013  </v>
      </c>
      <c r="W1266">
        <f t="shared" ca="1" si="57"/>
        <v>1.06</v>
      </c>
      <c r="X1266" t="str">
        <f t="shared" ca="1" si="58"/>
        <v xml:space="preserve"> CAX5-2-RS000 </v>
      </c>
      <c r="Y1266" s="1">
        <f t="shared" ca="1" si="59"/>
        <v>0.42099999999999999</v>
      </c>
    </row>
    <row r="1267" spans="1:25" x14ac:dyDescent="0.25">
      <c r="A1267" t="s">
        <v>1588</v>
      </c>
      <c r="B1267" t="s">
        <v>1587</v>
      </c>
      <c r="C1267">
        <v>50</v>
      </c>
      <c r="D1267">
        <v>50</v>
      </c>
      <c r="E1267">
        <v>50</v>
      </c>
      <c r="F1267" s="1">
        <v>0.42099999999999999</v>
      </c>
      <c r="G1267" t="s">
        <v>1587</v>
      </c>
      <c r="H1267" t="s">
        <v>1587</v>
      </c>
      <c r="I1267">
        <v>41227</v>
      </c>
      <c r="J1267" t="s">
        <v>2511</v>
      </c>
      <c r="K1267">
        <v>2</v>
      </c>
      <c r="L1267">
        <v>-21.3</v>
      </c>
      <c r="M1267">
        <v>-6.7</v>
      </c>
      <c r="N1267">
        <v>21</v>
      </c>
      <c r="O1267" t="s">
        <v>1608</v>
      </c>
      <c r="P1267" t="s">
        <v>1584</v>
      </c>
      <c r="Q1267">
        <v>2</v>
      </c>
      <c r="R1267">
        <v>0.01</v>
      </c>
      <c r="S1267">
        <v>-7.0000000000000007E-2</v>
      </c>
      <c r="T1267" t="s">
        <v>1584</v>
      </c>
      <c r="U1267" t="s">
        <v>1592</v>
      </c>
      <c r="V1267" t="str" cm="1">
        <f t="array" aca="1" ref="V1267" ca="1">IFERROR(_xlfn.IFS(A1265="  ..............",OFFSET(A1265,2,0),A1264=" X-------------X",OFFSET(A1264,3,0),MATCH("  ..............",A1267:A1276,0)&gt;2,V1266),"-")</f>
        <v>-</v>
      </c>
      <c r="W1267" t="str">
        <f t="shared" ca="1" si="57"/>
        <v>-</v>
      </c>
      <c r="X1267" t="str">
        <f t="shared" ca="1" si="58"/>
        <v>-</v>
      </c>
      <c r="Y1267" s="1" t="str">
        <f t="shared" ca="1" si="59"/>
        <v>-</v>
      </c>
    </row>
    <row r="1268" spans="1:25" x14ac:dyDescent="0.25">
      <c r="A1268" t="s">
        <v>1572</v>
      </c>
      <c r="B1268" t="s">
        <v>1574</v>
      </c>
      <c r="C1268" t="s">
        <v>1574</v>
      </c>
      <c r="D1268" t="s">
        <v>1574</v>
      </c>
      <c r="E1268" t="s">
        <v>1574</v>
      </c>
      <c r="F1268" t="s">
        <v>1575</v>
      </c>
      <c r="G1268" t="s">
        <v>1574</v>
      </c>
      <c r="H1268" t="s">
        <v>1574</v>
      </c>
      <c r="I1268" t="s">
        <v>1576</v>
      </c>
      <c r="J1268" t="s">
        <v>1573</v>
      </c>
      <c r="K1268" t="s">
        <v>1577</v>
      </c>
      <c r="L1268" t="s">
        <v>1574</v>
      </c>
      <c r="M1268" t="s">
        <v>1574</v>
      </c>
      <c r="N1268" t="s">
        <v>1574</v>
      </c>
      <c r="O1268" t="s">
        <v>1578</v>
      </c>
      <c r="P1268" t="s">
        <v>1576</v>
      </c>
      <c r="Q1268" t="s">
        <v>1579</v>
      </c>
      <c r="R1268" t="s">
        <v>1580</v>
      </c>
      <c r="S1268" t="s">
        <v>1580</v>
      </c>
      <c r="T1268" t="s">
        <v>1576</v>
      </c>
      <c r="U1268" t="s">
        <v>1576</v>
      </c>
      <c r="V1268" t="str" cm="1">
        <f t="array" aca="1" ref="V1268" ca="1">IFERROR(_xlfn.IFS(A1266="  ..............",OFFSET(A1266,2,0),A1265=" X-------------X",OFFSET(A1265,3,0),MATCH("  ..............",A1268:A1277,0)&gt;2,V1267),"-")</f>
        <v>-</v>
      </c>
      <c r="W1268" t="str">
        <f t="shared" ca="1" si="57"/>
        <v>-</v>
      </c>
      <c r="X1268" t="str">
        <f t="shared" ca="1" si="58"/>
        <v/>
      </c>
      <c r="Y1268" s="1" t="str">
        <f t="shared" ca="1" si="59"/>
        <v/>
      </c>
    </row>
    <row r="1269" spans="1:25" x14ac:dyDescent="0.25">
      <c r="A1269" t="s">
        <v>2512</v>
      </c>
      <c r="B1269">
        <v>1.046</v>
      </c>
      <c r="C1269">
        <v>3.1</v>
      </c>
      <c r="D1269">
        <v>0</v>
      </c>
      <c r="E1269">
        <v>9.4</v>
      </c>
      <c r="F1269">
        <v>0</v>
      </c>
      <c r="G1269">
        <v>7.9</v>
      </c>
      <c r="H1269">
        <v>0</v>
      </c>
      <c r="I1269" t="s">
        <v>1581</v>
      </c>
      <c r="J1269" t="s">
        <v>1581</v>
      </c>
      <c r="K1269" t="s">
        <v>1581</v>
      </c>
      <c r="L1269" t="s">
        <v>1581</v>
      </c>
      <c r="M1269" t="s">
        <v>1581</v>
      </c>
      <c r="N1269" t="s">
        <v>1581</v>
      </c>
      <c r="O1269" t="s">
        <v>1581</v>
      </c>
      <c r="P1269" t="s">
        <v>1581</v>
      </c>
      <c r="Q1269" t="s">
        <v>1581</v>
      </c>
      <c r="R1269" t="s">
        <v>1581</v>
      </c>
      <c r="S1269" t="s">
        <v>1581</v>
      </c>
      <c r="T1269" t="s">
        <v>1581</v>
      </c>
      <c r="U1269" t="s">
        <v>1581</v>
      </c>
      <c r="V1269" t="str" cm="1">
        <f t="array" aca="1" ref="V1269" ca="1">IFERROR(_xlfn.IFS(A1267="  ..............",OFFSET(A1267,2,0),A1266=" X-------------X",OFFSET(A1266,3,0),MATCH("  ..............",A1269:A1278,0)&gt;2,V1268),"-")</f>
        <v>-</v>
      </c>
      <c r="W1269" t="str">
        <f t="shared" ca="1" si="57"/>
        <v>-</v>
      </c>
      <c r="X1269" t="str">
        <f t="shared" ca="1" si="58"/>
        <v xml:space="preserve">              </v>
      </c>
      <c r="Y1269" s="1">
        <f t="shared" ca="1" si="59"/>
        <v>0</v>
      </c>
    </row>
    <row r="1270" spans="1:25" x14ac:dyDescent="0.25">
      <c r="A1270" t="s">
        <v>2513</v>
      </c>
      <c r="B1270">
        <v>-51.7</v>
      </c>
      <c r="C1270">
        <v>0</v>
      </c>
      <c r="D1270">
        <v>0</v>
      </c>
      <c r="E1270">
        <v>3.7</v>
      </c>
      <c r="F1270">
        <v>0</v>
      </c>
      <c r="G1270">
        <v>0</v>
      </c>
      <c r="H1270">
        <v>0</v>
      </c>
      <c r="I1270" t="s">
        <v>1584</v>
      </c>
      <c r="J1270" t="s">
        <v>1585</v>
      </c>
      <c r="K1270" t="s">
        <v>1586</v>
      </c>
      <c r="L1270" t="s">
        <v>1587</v>
      </c>
      <c r="M1270" t="s">
        <v>1587</v>
      </c>
      <c r="N1270" t="s">
        <v>1586</v>
      </c>
      <c r="O1270" t="s">
        <v>1581</v>
      </c>
      <c r="P1270" t="s">
        <v>1581</v>
      </c>
      <c r="Q1270" t="s">
        <v>1581</v>
      </c>
      <c r="R1270" t="s">
        <v>1581</v>
      </c>
      <c r="S1270" t="s">
        <v>1581</v>
      </c>
      <c r="T1270" t="s">
        <v>1581</v>
      </c>
      <c r="U1270" t="s">
        <v>1581</v>
      </c>
      <c r="V1270" t="str" cm="1">
        <f t="array" aca="1" ref="V1270" ca="1">IFERROR(_xlfn.IFS(A1268="  ..............",OFFSET(A1268,2,0),A1267=" X-------------X",OFFSET(A1267,3,0),MATCH("  ..............",A1270:A1279,0)&gt;2,V1269),"-")</f>
        <v xml:space="preserve">  GRARGE-RS023  </v>
      </c>
      <c r="W1270">
        <f t="shared" ca="1" si="57"/>
        <v>1.046</v>
      </c>
      <c r="X1270" t="str">
        <f t="shared" ca="1" si="58"/>
        <v xml:space="preserve"> GRA--3-RS000 </v>
      </c>
      <c r="Y1270" s="1">
        <f t="shared" ca="1" si="59"/>
        <v>9.6000000000000002E-2</v>
      </c>
    </row>
    <row r="1271" spans="1:25" x14ac:dyDescent="0.25">
      <c r="A1271" t="s">
        <v>1588</v>
      </c>
      <c r="B1271" t="s">
        <v>1587</v>
      </c>
      <c r="C1271">
        <v>75</v>
      </c>
      <c r="D1271">
        <v>90</v>
      </c>
      <c r="E1271">
        <v>90</v>
      </c>
      <c r="F1271" s="1">
        <v>9.6000000000000002E-2</v>
      </c>
      <c r="G1271" t="s">
        <v>1587</v>
      </c>
      <c r="H1271" t="s">
        <v>1587</v>
      </c>
      <c r="I1271">
        <v>41270</v>
      </c>
      <c r="J1271" t="s">
        <v>2514</v>
      </c>
      <c r="K1271">
        <v>3</v>
      </c>
      <c r="L1271">
        <v>-6.3</v>
      </c>
      <c r="M1271">
        <v>4.2</v>
      </c>
      <c r="N1271">
        <v>7.2</v>
      </c>
      <c r="O1271" t="s">
        <v>1608</v>
      </c>
      <c r="P1271" t="s">
        <v>1584</v>
      </c>
      <c r="Q1271">
        <v>2</v>
      </c>
      <c r="R1271">
        <v>0</v>
      </c>
      <c r="S1271">
        <v>0</v>
      </c>
      <c r="T1271" t="s">
        <v>1584</v>
      </c>
      <c r="U1271" t="s">
        <v>1592</v>
      </c>
      <c r="V1271" t="str" cm="1">
        <f t="array" aca="1" ref="V1271" ca="1">IFERROR(_xlfn.IFS(A1269="  ..............",OFFSET(A1269,2,0),A1268=" X-------------X",OFFSET(A1268,3,0),MATCH("  ..............",A1271:A1280,0)&gt;2,V1270),"-")</f>
        <v>-</v>
      </c>
      <c r="W1271" t="str">
        <f t="shared" ca="1" si="57"/>
        <v>-</v>
      </c>
      <c r="X1271" t="str">
        <f t="shared" ca="1" si="58"/>
        <v>-</v>
      </c>
      <c r="Y1271" s="1" t="str">
        <f t="shared" ca="1" si="59"/>
        <v>-</v>
      </c>
    </row>
    <row r="1272" spans="1:25" x14ac:dyDescent="0.25">
      <c r="A1272" t="s">
        <v>1572</v>
      </c>
      <c r="B1272" t="s">
        <v>1574</v>
      </c>
      <c r="C1272" t="s">
        <v>1574</v>
      </c>
      <c r="D1272" t="s">
        <v>1574</v>
      </c>
      <c r="E1272" t="s">
        <v>1574</v>
      </c>
      <c r="F1272" t="s">
        <v>1575</v>
      </c>
      <c r="G1272" t="s">
        <v>1574</v>
      </c>
      <c r="H1272" t="s">
        <v>1574</v>
      </c>
      <c r="I1272" t="s">
        <v>1576</v>
      </c>
      <c r="J1272" t="s">
        <v>1573</v>
      </c>
      <c r="K1272" t="s">
        <v>1577</v>
      </c>
      <c r="L1272" t="s">
        <v>1574</v>
      </c>
      <c r="M1272" t="s">
        <v>1574</v>
      </c>
      <c r="N1272" t="s">
        <v>1574</v>
      </c>
      <c r="O1272" t="s">
        <v>1578</v>
      </c>
      <c r="P1272" t="s">
        <v>1576</v>
      </c>
      <c r="Q1272" t="s">
        <v>1579</v>
      </c>
      <c r="R1272" t="s">
        <v>1580</v>
      </c>
      <c r="S1272" t="s">
        <v>1580</v>
      </c>
      <c r="T1272" t="s">
        <v>1576</v>
      </c>
      <c r="U1272" t="s">
        <v>1576</v>
      </c>
      <c r="V1272" t="str" cm="1">
        <f t="array" aca="1" ref="V1272" ca="1">IFERROR(_xlfn.IFS(A1270="  ..............",OFFSET(A1270,2,0),A1269=" X-------------X",OFFSET(A1269,3,0),MATCH("  ..............",A1272:A1281,0)&gt;2,V1271),"-")</f>
        <v>-</v>
      </c>
      <c r="W1272" t="str">
        <f t="shared" ca="1" si="57"/>
        <v>-</v>
      </c>
      <c r="X1272" t="str">
        <f t="shared" ca="1" si="58"/>
        <v/>
      </c>
      <c r="Y1272" s="1" t="str">
        <f t="shared" ca="1" si="59"/>
        <v/>
      </c>
    </row>
    <row r="1273" spans="1:25" x14ac:dyDescent="0.25">
      <c r="A1273" t="s">
        <v>2515</v>
      </c>
      <c r="B1273">
        <v>1.123</v>
      </c>
      <c r="C1273">
        <v>6.6</v>
      </c>
      <c r="D1273">
        <v>0</v>
      </c>
      <c r="E1273">
        <v>25</v>
      </c>
      <c r="F1273">
        <v>0</v>
      </c>
      <c r="G1273">
        <v>0</v>
      </c>
      <c r="H1273">
        <v>0</v>
      </c>
      <c r="I1273" t="s">
        <v>1581</v>
      </c>
      <c r="J1273" t="s">
        <v>1581</v>
      </c>
      <c r="K1273" t="s">
        <v>1581</v>
      </c>
      <c r="L1273" t="s">
        <v>1581</v>
      </c>
      <c r="M1273" t="s">
        <v>1581</v>
      </c>
      <c r="N1273" t="s">
        <v>1581</v>
      </c>
      <c r="O1273" t="s">
        <v>1581</v>
      </c>
      <c r="P1273" t="s">
        <v>1581</v>
      </c>
      <c r="Q1273" t="s">
        <v>1581</v>
      </c>
      <c r="R1273" t="s">
        <v>1581</v>
      </c>
      <c r="S1273" t="s">
        <v>1581</v>
      </c>
      <c r="T1273" t="s">
        <v>1581</v>
      </c>
      <c r="U1273" t="s">
        <v>1581</v>
      </c>
      <c r="V1273" t="str" cm="1">
        <f t="array" aca="1" ref="V1273" ca="1">IFERROR(_xlfn.IFS(A1271="  ..............",OFFSET(A1271,2,0),A1270=" X-------------X",OFFSET(A1270,3,0),MATCH("  ..............",A1273:A1282,0)&gt;2,V1272),"-")</f>
        <v>-</v>
      </c>
      <c r="W1273" t="str">
        <f t="shared" ca="1" si="57"/>
        <v>-</v>
      </c>
      <c r="X1273" t="str">
        <f t="shared" ca="1" si="58"/>
        <v xml:space="preserve">              </v>
      </c>
      <c r="Y1273" s="1">
        <f t="shared" ca="1" si="59"/>
        <v>0</v>
      </c>
    </row>
    <row r="1274" spans="1:25" x14ac:dyDescent="0.25">
      <c r="A1274" t="s">
        <v>2516</v>
      </c>
      <c r="B1274">
        <v>-47</v>
      </c>
      <c r="C1274">
        <v>0</v>
      </c>
      <c r="D1274">
        <v>0</v>
      </c>
      <c r="E1274">
        <v>9.1999999999999993</v>
      </c>
      <c r="F1274">
        <v>0</v>
      </c>
      <c r="G1274">
        <v>0</v>
      </c>
      <c r="H1274">
        <v>0</v>
      </c>
      <c r="I1274" t="s">
        <v>1584</v>
      </c>
      <c r="J1274" t="s">
        <v>1585</v>
      </c>
      <c r="K1274" t="s">
        <v>1586</v>
      </c>
      <c r="L1274" t="s">
        <v>1587</v>
      </c>
      <c r="M1274" t="s">
        <v>1587</v>
      </c>
      <c r="N1274" t="s">
        <v>1586</v>
      </c>
      <c r="O1274" t="s">
        <v>1581</v>
      </c>
      <c r="P1274" t="s">
        <v>1581</v>
      </c>
      <c r="Q1274" t="s">
        <v>1581</v>
      </c>
      <c r="R1274" t="s">
        <v>1581</v>
      </c>
      <c r="S1274" t="s">
        <v>1581</v>
      </c>
      <c r="T1274" t="s">
        <v>1581</v>
      </c>
      <c r="U1274" t="s">
        <v>1581</v>
      </c>
      <c r="V1274" t="str" cm="1">
        <f t="array" aca="1" ref="V1274" ca="1">IFERROR(_xlfn.IFS(A1272="  ..............",OFFSET(A1272,2,0),A1271=" X-------------X",OFFSET(A1271,3,0),MATCH("  ..............",A1274:A1283,0)&gt;2,V1273),"-")</f>
        <v xml:space="preserve">  SANGEL-RS023  </v>
      </c>
      <c r="W1274">
        <f t="shared" ca="1" si="57"/>
        <v>1.123</v>
      </c>
      <c r="X1274" t="str">
        <f t="shared" ca="1" si="58"/>
        <v xml:space="preserve"> SANGEL-RS069 </v>
      </c>
      <c r="Y1274" s="1">
        <f t="shared" ca="1" si="59"/>
        <v>0.313</v>
      </c>
    </row>
    <row r="1275" spans="1:25" x14ac:dyDescent="0.25">
      <c r="A1275" t="s">
        <v>1588</v>
      </c>
      <c r="B1275" t="s">
        <v>1587</v>
      </c>
      <c r="C1275">
        <v>25</v>
      </c>
      <c r="D1275">
        <v>37</v>
      </c>
      <c r="E1275">
        <v>37</v>
      </c>
      <c r="F1275" s="1">
        <v>0.34599999999999997</v>
      </c>
      <c r="G1275" t="s">
        <v>1587</v>
      </c>
      <c r="H1275" t="s">
        <v>1587</v>
      </c>
      <c r="I1275">
        <v>1251</v>
      </c>
      <c r="J1275" t="s">
        <v>2044</v>
      </c>
      <c r="K1275">
        <v>3</v>
      </c>
      <c r="L1275">
        <v>-8.4</v>
      </c>
      <c r="M1275">
        <v>-4.9000000000000004</v>
      </c>
      <c r="N1275">
        <v>8.6</v>
      </c>
      <c r="O1275" t="s">
        <v>1594</v>
      </c>
      <c r="P1275" t="s">
        <v>1584</v>
      </c>
      <c r="Q1275" t="s">
        <v>1591</v>
      </c>
      <c r="R1275">
        <v>0.03</v>
      </c>
      <c r="S1275">
        <v>0.28000000000000003</v>
      </c>
      <c r="T1275" t="s">
        <v>1584</v>
      </c>
      <c r="U1275" t="s">
        <v>1592</v>
      </c>
      <c r="V1275" t="str" cm="1">
        <f t="array" aca="1" ref="V1275" ca="1">IFERROR(_xlfn.IFS(A1273="  ..............",OFFSET(A1273,2,0),A1272=" X-------------X",OFFSET(A1272,3,0),MATCH("  ..............",A1275:A1284,0)&gt;2,V1274),"-")</f>
        <v xml:space="preserve">  SANGEL-RS023  </v>
      </c>
      <c r="W1275">
        <f t="shared" ca="1" si="57"/>
        <v>1.123</v>
      </c>
      <c r="X1275" t="str">
        <f t="shared" ca="1" si="58"/>
        <v xml:space="preserve"> SANGEL-RS069 </v>
      </c>
      <c r="Y1275" s="1">
        <f t="shared" ca="1" si="59"/>
        <v>0.313</v>
      </c>
    </row>
    <row r="1276" spans="1:25" x14ac:dyDescent="0.25">
      <c r="A1276" t="s">
        <v>1588</v>
      </c>
      <c r="B1276" t="s">
        <v>1587</v>
      </c>
      <c r="C1276">
        <v>25</v>
      </c>
      <c r="D1276">
        <v>30</v>
      </c>
      <c r="E1276">
        <v>30</v>
      </c>
      <c r="F1276" s="1">
        <v>0.34499999999999997</v>
      </c>
      <c r="G1276" t="s">
        <v>1587</v>
      </c>
      <c r="H1276" t="s">
        <v>1587</v>
      </c>
      <c r="I1276">
        <v>1251</v>
      </c>
      <c r="J1276" t="s">
        <v>2044</v>
      </c>
      <c r="K1276">
        <v>4</v>
      </c>
      <c r="L1276">
        <v>-8</v>
      </c>
      <c r="M1276">
        <v>-5.4</v>
      </c>
      <c r="N1276">
        <v>8.6</v>
      </c>
      <c r="O1276" t="s">
        <v>1594</v>
      </c>
      <c r="P1276" t="s">
        <v>1584</v>
      </c>
      <c r="Q1276" t="s">
        <v>1591</v>
      </c>
      <c r="R1276">
        <v>0.02</v>
      </c>
      <c r="S1276">
        <v>0.28000000000000003</v>
      </c>
      <c r="T1276" t="s">
        <v>1584</v>
      </c>
      <c r="U1276" t="s">
        <v>1592</v>
      </c>
      <c r="V1276" t="str" cm="1">
        <f t="array" aca="1" ref="V1276" ca="1">IFERROR(_xlfn.IFS(A1274="  ..............",OFFSET(A1274,2,0),A1273=" X-------------X",OFFSET(A1273,3,0),MATCH("  ..............",A1276:A1285,0)&gt;2,V1275),"-")</f>
        <v xml:space="preserve">  SANGEL-RS023  </v>
      </c>
      <c r="W1276">
        <f t="shared" ca="1" si="57"/>
        <v>1.123</v>
      </c>
      <c r="X1276" t="str">
        <f t="shared" ca="1" si="58"/>
        <v xml:space="preserve"> CERMIS-RS023 </v>
      </c>
      <c r="Y1276" s="1">
        <f t="shared" ca="1" si="59"/>
        <v>0</v>
      </c>
    </row>
    <row r="1277" spans="1:25" x14ac:dyDescent="0.25">
      <c r="A1277" t="s">
        <v>1588</v>
      </c>
      <c r="B1277" t="s">
        <v>1587</v>
      </c>
      <c r="C1277">
        <v>9999</v>
      </c>
      <c r="D1277">
        <v>9999</v>
      </c>
      <c r="E1277">
        <v>9999</v>
      </c>
      <c r="F1277" s="1">
        <v>0</v>
      </c>
      <c r="G1277" t="s">
        <v>1587</v>
      </c>
      <c r="H1277" t="s">
        <v>1587</v>
      </c>
      <c r="I1277">
        <v>10206</v>
      </c>
      <c r="J1277" t="s">
        <v>2517</v>
      </c>
      <c r="K1277">
        <v>1</v>
      </c>
      <c r="L1277">
        <v>-2</v>
      </c>
      <c r="M1277">
        <v>1.1000000000000001</v>
      </c>
      <c r="N1277">
        <v>2</v>
      </c>
      <c r="O1277" t="s">
        <v>1594</v>
      </c>
      <c r="P1277" t="s">
        <v>1584</v>
      </c>
      <c r="Q1277" t="s">
        <v>1591</v>
      </c>
      <c r="R1277">
        <v>0</v>
      </c>
      <c r="S1277">
        <v>0</v>
      </c>
      <c r="T1277" t="s">
        <v>1584</v>
      </c>
      <c r="U1277" t="s">
        <v>1592</v>
      </c>
      <c r="V1277" t="str" cm="1">
        <f t="array" aca="1" ref="V1277" ca="1">IFERROR(_xlfn.IFS(A1275="  ..............",OFFSET(A1275,2,0),A1274=" X-------------X",OFFSET(A1274,3,0),MATCH("  ..............",A1277:A1286,0)&gt;2,V1276),"-")</f>
        <v>-</v>
      </c>
      <c r="W1277" t="str">
        <f t="shared" ca="1" si="57"/>
        <v>-</v>
      </c>
      <c r="X1277" t="str">
        <f t="shared" ca="1" si="58"/>
        <v>-</v>
      </c>
      <c r="Y1277" s="1" t="str">
        <f t="shared" ca="1" si="59"/>
        <v>-</v>
      </c>
    </row>
    <row r="1278" spans="1:25" x14ac:dyDescent="0.25">
      <c r="A1278" t="s">
        <v>1572</v>
      </c>
      <c r="B1278" t="s">
        <v>1574</v>
      </c>
      <c r="C1278" t="s">
        <v>1574</v>
      </c>
      <c r="D1278" t="s">
        <v>1574</v>
      </c>
      <c r="E1278" t="s">
        <v>1574</v>
      </c>
      <c r="F1278" t="s">
        <v>1575</v>
      </c>
      <c r="G1278" t="s">
        <v>1574</v>
      </c>
      <c r="H1278" t="s">
        <v>1574</v>
      </c>
      <c r="I1278" t="s">
        <v>1576</v>
      </c>
      <c r="J1278" t="s">
        <v>1573</v>
      </c>
      <c r="K1278" t="s">
        <v>1577</v>
      </c>
      <c r="L1278" t="s">
        <v>1574</v>
      </c>
      <c r="M1278" t="s">
        <v>1574</v>
      </c>
      <c r="N1278" t="s">
        <v>1574</v>
      </c>
      <c r="O1278" t="s">
        <v>1578</v>
      </c>
      <c r="P1278" t="s">
        <v>1576</v>
      </c>
      <c r="Q1278" t="s">
        <v>1579</v>
      </c>
      <c r="R1278" t="s">
        <v>1580</v>
      </c>
      <c r="S1278" t="s">
        <v>1580</v>
      </c>
      <c r="T1278" t="s">
        <v>1576</v>
      </c>
      <c r="U1278" t="s">
        <v>1576</v>
      </c>
      <c r="V1278" t="str" cm="1">
        <f t="array" aca="1" ref="V1278" ca="1">IFERROR(_xlfn.IFS(A1276="  ..............",OFFSET(A1276,2,0),A1275=" X-------------X",OFFSET(A1275,3,0),MATCH("  ..............",A1278:A1287,0)&gt;2,V1277),"-")</f>
        <v>-</v>
      </c>
      <c r="W1278" t="str">
        <f t="shared" ca="1" si="57"/>
        <v>-</v>
      </c>
      <c r="X1278" t="str">
        <f t="shared" ca="1" si="58"/>
        <v/>
      </c>
      <c r="Y1278" s="1" t="str">
        <f t="shared" ca="1" si="59"/>
        <v/>
      </c>
    </row>
    <row r="1279" spans="1:25" x14ac:dyDescent="0.25">
      <c r="A1279" t="s">
        <v>2518</v>
      </c>
      <c r="B1279">
        <v>1.014</v>
      </c>
      <c r="C1279">
        <v>0</v>
      </c>
      <c r="D1279">
        <v>0</v>
      </c>
      <c r="E1279">
        <v>13</v>
      </c>
      <c r="F1279">
        <v>0</v>
      </c>
      <c r="G1279">
        <v>0</v>
      </c>
      <c r="H1279">
        <v>0</v>
      </c>
      <c r="I1279" t="s">
        <v>1581</v>
      </c>
      <c r="J1279" t="s">
        <v>1581</v>
      </c>
      <c r="K1279" t="s">
        <v>1581</v>
      </c>
      <c r="L1279" t="s">
        <v>1581</v>
      </c>
      <c r="M1279" t="s">
        <v>1581</v>
      </c>
      <c r="N1279" t="s">
        <v>1581</v>
      </c>
      <c r="O1279" t="s">
        <v>1581</v>
      </c>
      <c r="P1279" t="s">
        <v>1581</v>
      </c>
      <c r="Q1279" t="s">
        <v>1581</v>
      </c>
      <c r="R1279" t="s">
        <v>1581</v>
      </c>
      <c r="S1279" t="s">
        <v>1581</v>
      </c>
      <c r="T1279" t="s">
        <v>1581</v>
      </c>
      <c r="U1279" t="s">
        <v>1581</v>
      </c>
      <c r="V1279" t="str" cm="1">
        <f t="array" aca="1" ref="V1279" ca="1">IFERROR(_xlfn.IFS(A1277="  ..............",OFFSET(A1277,2,0),A1276=" X-------------X",OFFSET(A1276,3,0),MATCH("  ..............",A1279:A1288,0)&gt;2,V1278),"-")</f>
        <v>-</v>
      </c>
      <c r="W1279" t="str">
        <f t="shared" ca="1" si="57"/>
        <v>-</v>
      </c>
      <c r="X1279" t="str">
        <f t="shared" ca="1" si="58"/>
        <v xml:space="preserve">              </v>
      </c>
      <c r="Y1279" s="1">
        <f t="shared" ca="1" si="59"/>
        <v>0</v>
      </c>
    </row>
    <row r="1280" spans="1:25" x14ac:dyDescent="0.25">
      <c r="A1280" t="s">
        <v>2519</v>
      </c>
      <c r="B1280">
        <v>-55</v>
      </c>
      <c r="C1280">
        <v>0</v>
      </c>
      <c r="D1280">
        <v>0</v>
      </c>
      <c r="E1280">
        <v>5.5</v>
      </c>
      <c r="F1280">
        <v>0</v>
      </c>
      <c r="G1280">
        <v>0</v>
      </c>
      <c r="H1280">
        <v>0</v>
      </c>
      <c r="I1280" t="s">
        <v>1584</v>
      </c>
      <c r="J1280" t="s">
        <v>1585</v>
      </c>
      <c r="K1280" t="s">
        <v>1586</v>
      </c>
      <c r="L1280" t="s">
        <v>1587</v>
      </c>
      <c r="M1280" t="s">
        <v>1587</v>
      </c>
      <c r="N1280" t="s">
        <v>1586</v>
      </c>
      <c r="O1280" t="s">
        <v>1581</v>
      </c>
      <c r="P1280" t="s">
        <v>1581</v>
      </c>
      <c r="Q1280" t="s">
        <v>1581</v>
      </c>
      <c r="R1280" t="s">
        <v>1581</v>
      </c>
      <c r="S1280" t="s">
        <v>1581</v>
      </c>
      <c r="T1280" t="s">
        <v>1581</v>
      </c>
      <c r="U1280" t="s">
        <v>1581</v>
      </c>
      <c r="V1280" t="str" cm="1">
        <f t="array" aca="1" ref="V1280" ca="1">IFERROR(_xlfn.IFS(A1278="  ..............",OFFSET(A1278,2,0),A1277=" X-------------X",OFFSET(A1277,3,0),MATCH("  ..............",A1280:A1289,0)&gt;2,V1279),"-")</f>
        <v xml:space="preserve">  PUCPAL-RS069  </v>
      </c>
      <c r="W1280">
        <f t="shared" ca="1" si="57"/>
        <v>1.014</v>
      </c>
      <c r="X1280" t="str">
        <f t="shared" ca="1" si="58"/>
        <v xml:space="preserve"> PALGR6-RS069 </v>
      </c>
      <c r="Y1280" s="1">
        <f t="shared" ca="1" si="59"/>
        <v>0.185</v>
      </c>
    </row>
    <row r="1281" spans="1:25" x14ac:dyDescent="0.25">
      <c r="A1281" t="s">
        <v>1588</v>
      </c>
      <c r="B1281" t="s">
        <v>1587</v>
      </c>
      <c r="C1281">
        <v>54</v>
      </c>
      <c r="D1281">
        <v>79</v>
      </c>
      <c r="E1281">
        <v>79</v>
      </c>
      <c r="F1281" s="1">
        <v>0.33700000000000002</v>
      </c>
      <c r="G1281" t="s">
        <v>1587</v>
      </c>
      <c r="H1281" t="s">
        <v>1587</v>
      </c>
      <c r="I1281">
        <v>1262</v>
      </c>
      <c r="J1281" t="s">
        <v>2438</v>
      </c>
      <c r="K1281">
        <v>1</v>
      </c>
      <c r="L1281">
        <v>-18.399999999999999</v>
      </c>
      <c r="M1281">
        <v>-0.6</v>
      </c>
      <c r="N1281">
        <v>18.2</v>
      </c>
      <c r="O1281" t="s">
        <v>1594</v>
      </c>
      <c r="P1281" t="s">
        <v>1584</v>
      </c>
      <c r="Q1281" t="s">
        <v>1591</v>
      </c>
      <c r="R1281">
        <v>0.04</v>
      </c>
      <c r="S1281">
        <v>-0.06</v>
      </c>
      <c r="T1281" t="s">
        <v>1584</v>
      </c>
      <c r="U1281" t="s">
        <v>1592</v>
      </c>
      <c r="V1281" t="str" cm="1">
        <f t="array" aca="1" ref="V1281" ca="1">IFERROR(_xlfn.IFS(A1279="  ..............",OFFSET(A1279,2,0),A1278=" X-------------X",OFFSET(A1278,3,0),MATCH("  ..............",A1281:A1290,0)&gt;2,V1280),"-")</f>
        <v xml:space="preserve">  PUCPAL-RS069  </v>
      </c>
      <c r="W1281">
        <f t="shared" ca="1" si="57"/>
        <v>1.014</v>
      </c>
      <c r="X1281" t="str">
        <f t="shared" ca="1" si="58"/>
        <v xml:space="preserve"> PALG10-RS069 </v>
      </c>
      <c r="Y1281" s="1">
        <f t="shared" ca="1" si="59"/>
        <v>0.20399999999999999</v>
      </c>
    </row>
    <row r="1282" spans="1:25" x14ac:dyDescent="0.25">
      <c r="A1282" t="s">
        <v>1588</v>
      </c>
      <c r="B1282" t="s">
        <v>1587</v>
      </c>
      <c r="C1282">
        <v>54</v>
      </c>
      <c r="D1282">
        <v>79</v>
      </c>
      <c r="E1282">
        <v>79</v>
      </c>
      <c r="F1282" s="1">
        <v>0.13400000000000001</v>
      </c>
      <c r="G1282" t="s">
        <v>1587</v>
      </c>
      <c r="H1282" t="s">
        <v>1587</v>
      </c>
      <c r="I1282">
        <v>1269</v>
      </c>
      <c r="J1282" t="s">
        <v>2435</v>
      </c>
      <c r="K1282">
        <v>1</v>
      </c>
      <c r="L1282">
        <v>5.4</v>
      </c>
      <c r="M1282">
        <v>-4.9000000000000004</v>
      </c>
      <c r="N1282">
        <v>7.2</v>
      </c>
      <c r="O1282" t="s">
        <v>1594</v>
      </c>
      <c r="P1282" t="s">
        <v>1584</v>
      </c>
      <c r="Q1282" t="s">
        <v>1591</v>
      </c>
      <c r="R1282">
        <v>0</v>
      </c>
      <c r="S1282">
        <v>-0.14000000000000001</v>
      </c>
      <c r="T1282" t="s">
        <v>1584</v>
      </c>
      <c r="U1282" t="s">
        <v>1592</v>
      </c>
      <c r="V1282" t="str" cm="1">
        <f t="array" aca="1" ref="V1282" ca="1">IFERROR(_xlfn.IFS(A1280="  ..............",OFFSET(A1280,2,0),A1279=" X-------------X",OFFSET(A1279,3,0),MATCH("  ..............",A1282:A1291,0)&gt;2,V1281),"-")</f>
        <v>-</v>
      </c>
      <c r="W1282" t="str">
        <f t="shared" ca="1" si="57"/>
        <v>-</v>
      </c>
      <c r="X1282" t="str">
        <f t="shared" ca="1" si="58"/>
        <v>-</v>
      </c>
      <c r="Y1282" s="1" t="str">
        <f t="shared" ca="1" si="59"/>
        <v>-</v>
      </c>
    </row>
    <row r="1283" spans="1:25" x14ac:dyDescent="0.25">
      <c r="A1283" t="s">
        <v>1572</v>
      </c>
      <c r="B1283" t="s">
        <v>1574</v>
      </c>
      <c r="C1283" t="s">
        <v>1574</v>
      </c>
      <c r="D1283" t="s">
        <v>1574</v>
      </c>
      <c r="E1283" t="s">
        <v>1574</v>
      </c>
      <c r="F1283" t="s">
        <v>1575</v>
      </c>
      <c r="G1283" t="s">
        <v>1574</v>
      </c>
      <c r="H1283" t="s">
        <v>1574</v>
      </c>
      <c r="I1283" t="s">
        <v>1576</v>
      </c>
      <c r="J1283" t="s">
        <v>1573</v>
      </c>
      <c r="K1283" t="s">
        <v>1577</v>
      </c>
      <c r="L1283" t="s">
        <v>1574</v>
      </c>
      <c r="M1283" t="s">
        <v>1574</v>
      </c>
      <c r="N1283" t="s">
        <v>1574</v>
      </c>
      <c r="O1283" t="s">
        <v>1578</v>
      </c>
      <c r="P1283" t="s">
        <v>1576</v>
      </c>
      <c r="Q1283" t="s">
        <v>1579</v>
      </c>
      <c r="R1283" t="s">
        <v>1580</v>
      </c>
      <c r="S1283" t="s">
        <v>1580</v>
      </c>
      <c r="T1283" t="s">
        <v>1576</v>
      </c>
      <c r="U1283" t="s">
        <v>1576</v>
      </c>
      <c r="V1283" t="str" cm="1">
        <f t="array" aca="1" ref="V1283" ca="1">IFERROR(_xlfn.IFS(A1281="  ..............",OFFSET(A1281,2,0),A1280=" X-------------X",OFFSET(A1280,3,0),MATCH("  ..............",A1283:A1292,0)&gt;2,V1282),"-")</f>
        <v>-</v>
      </c>
      <c r="W1283" t="str">
        <f t="shared" ca="1" si="57"/>
        <v>-</v>
      </c>
      <c r="X1283" t="str">
        <f t="shared" ca="1" si="58"/>
        <v/>
      </c>
      <c r="Y1283" s="1" t="str">
        <f t="shared" ca="1" si="59"/>
        <v/>
      </c>
    </row>
    <row r="1284" spans="1:25" x14ac:dyDescent="0.25">
      <c r="A1284" t="s">
        <v>2520</v>
      </c>
      <c r="B1284">
        <v>0.98699999999999999</v>
      </c>
      <c r="C1284">
        <v>19</v>
      </c>
      <c r="D1284">
        <v>0</v>
      </c>
      <c r="E1284">
        <v>21.4</v>
      </c>
      <c r="F1284">
        <v>0</v>
      </c>
      <c r="G1284">
        <v>0</v>
      </c>
      <c r="H1284">
        <v>0</v>
      </c>
      <c r="I1284" t="s">
        <v>1581</v>
      </c>
      <c r="J1284" t="s">
        <v>1581</v>
      </c>
      <c r="K1284" t="s">
        <v>1581</v>
      </c>
      <c r="L1284" t="s">
        <v>1581</v>
      </c>
      <c r="M1284" t="s">
        <v>1581</v>
      </c>
      <c r="N1284" t="s">
        <v>1581</v>
      </c>
      <c r="O1284" t="s">
        <v>1581</v>
      </c>
      <c r="P1284" t="s">
        <v>1581</v>
      </c>
      <c r="Q1284" t="s">
        <v>1581</v>
      </c>
      <c r="R1284" t="s">
        <v>1581</v>
      </c>
      <c r="S1284" t="s">
        <v>1581</v>
      </c>
      <c r="T1284" t="s">
        <v>1581</v>
      </c>
      <c r="U1284" t="s">
        <v>1581</v>
      </c>
      <c r="V1284" t="str" cm="1">
        <f t="array" aca="1" ref="V1284" ca="1">IFERROR(_xlfn.IFS(A1282="  ..............",OFFSET(A1282,2,0),A1281=" X-------------X",OFFSET(A1281,3,0),MATCH("  ..............",A1284:A1293,0)&gt;2,V1283),"-")</f>
        <v>-</v>
      </c>
      <c r="W1284" t="str">
        <f t="shared" ref="W1284:W1347" ca="1" si="60">IFERROR(OFFSET($A$1,MATCH(V1284,A:A,0)-2,1),"-")</f>
        <v>-</v>
      </c>
      <c r="X1284" t="str">
        <f t="shared" ref="X1284:X1347" ca="1" si="61">IFERROR(IF(V1284=V1283,OFFSET($J$1,ROW(X1284),0),OFFSET($J$1,MATCH(V1284,A:A,0),0)),"-")</f>
        <v xml:space="preserve">              </v>
      </c>
      <c r="Y1284" s="1">
        <f t="shared" ref="Y1284:Y1347" ca="1" si="62">IFERROR(OFFSET($F$1,MATCH(X1284,J:J,0)-1,0),"-")</f>
        <v>0</v>
      </c>
    </row>
    <row r="1285" spans="1:25" x14ac:dyDescent="0.25">
      <c r="A1285" t="s">
        <v>2521</v>
      </c>
      <c r="B1285">
        <v>-52.3</v>
      </c>
      <c r="C1285">
        <v>0</v>
      </c>
      <c r="D1285">
        <v>0</v>
      </c>
      <c r="E1285">
        <v>12</v>
      </c>
      <c r="F1285">
        <v>0</v>
      </c>
      <c r="G1285">
        <v>0</v>
      </c>
      <c r="H1285">
        <v>0</v>
      </c>
      <c r="I1285" t="s">
        <v>1584</v>
      </c>
      <c r="J1285" t="s">
        <v>1585</v>
      </c>
      <c r="K1285" t="s">
        <v>1586</v>
      </c>
      <c r="L1285" t="s">
        <v>1587</v>
      </c>
      <c r="M1285" t="s">
        <v>1587</v>
      </c>
      <c r="N1285" t="s">
        <v>1586</v>
      </c>
      <c r="O1285" t="s">
        <v>1581</v>
      </c>
      <c r="P1285" t="s">
        <v>1581</v>
      </c>
      <c r="Q1285" t="s">
        <v>1581</v>
      </c>
      <c r="R1285" t="s">
        <v>1581</v>
      </c>
      <c r="S1285" t="s">
        <v>1581</v>
      </c>
      <c r="T1285" t="s">
        <v>1581</v>
      </c>
      <c r="U1285" t="s">
        <v>1581</v>
      </c>
      <c r="V1285" t="str" cm="1">
        <f t="array" aca="1" ref="V1285" ca="1">IFERROR(_xlfn.IFS(A1283="  ..............",OFFSET(A1283,2,0),A1282=" X-------------X",OFFSET(A1282,3,0),MATCH("  ..............",A1285:A1294,0)&gt;2,V1284),"-")</f>
        <v xml:space="preserve">  SMARCO-RS069  </v>
      </c>
      <c r="W1285">
        <f t="shared" ca="1" si="60"/>
        <v>0.98699999999999999</v>
      </c>
      <c r="X1285" t="str">
        <f t="shared" ca="1" si="61"/>
        <v xml:space="preserve"> POTOMETAP069 </v>
      </c>
      <c r="Y1285" s="1">
        <f t="shared" ca="1" si="62"/>
        <v>0.433</v>
      </c>
    </row>
    <row r="1286" spans="1:25" x14ac:dyDescent="0.25">
      <c r="A1286" t="s">
        <v>1588</v>
      </c>
      <c r="B1286" t="s">
        <v>1587</v>
      </c>
      <c r="C1286">
        <v>52</v>
      </c>
      <c r="D1286">
        <v>66</v>
      </c>
      <c r="E1286">
        <v>66</v>
      </c>
      <c r="F1286" s="1">
        <v>0.23899999999999999</v>
      </c>
      <c r="G1286" t="s">
        <v>1587</v>
      </c>
      <c r="H1286" t="s">
        <v>1587</v>
      </c>
      <c r="I1286">
        <v>9293</v>
      </c>
      <c r="J1286" t="s">
        <v>2182</v>
      </c>
      <c r="K1286">
        <v>1</v>
      </c>
      <c r="L1286">
        <v>-2.4</v>
      </c>
      <c r="M1286">
        <v>-12</v>
      </c>
      <c r="N1286">
        <v>12.4</v>
      </c>
      <c r="O1286" t="s">
        <v>1594</v>
      </c>
      <c r="P1286" t="s">
        <v>1584</v>
      </c>
      <c r="Q1286" t="s">
        <v>1591</v>
      </c>
      <c r="R1286">
        <v>0.1</v>
      </c>
      <c r="S1286">
        <v>-7.0000000000000007E-2</v>
      </c>
      <c r="T1286" t="s">
        <v>1584</v>
      </c>
      <c r="U1286" t="s">
        <v>1592</v>
      </c>
      <c r="V1286" t="str" cm="1">
        <f t="array" aca="1" ref="V1286" ca="1">IFERROR(_xlfn.IFS(A1284="  ..............",OFFSET(A1284,2,0),A1283=" X-------------X",OFFSET(A1283,3,0),MATCH("  ..............",A1286:A1295,0)&gt;2,V1285),"-")</f>
        <v>-</v>
      </c>
      <c r="W1286" t="str">
        <f t="shared" ca="1" si="60"/>
        <v>-</v>
      </c>
      <c r="X1286" t="str">
        <f t="shared" ca="1" si="61"/>
        <v>-</v>
      </c>
      <c r="Y1286" s="1" t="str">
        <f t="shared" ca="1" si="62"/>
        <v>-</v>
      </c>
    </row>
    <row r="1287" spans="1:25" x14ac:dyDescent="0.25">
      <c r="A1287" t="s">
        <v>1572</v>
      </c>
      <c r="B1287" t="s">
        <v>1574</v>
      </c>
      <c r="C1287" t="s">
        <v>1574</v>
      </c>
      <c r="D1287" t="s">
        <v>1574</v>
      </c>
      <c r="E1287" t="s">
        <v>1574</v>
      </c>
      <c r="F1287" t="s">
        <v>1575</v>
      </c>
      <c r="G1287" t="s">
        <v>1574</v>
      </c>
      <c r="H1287" t="s">
        <v>1574</v>
      </c>
      <c r="I1287" t="s">
        <v>1576</v>
      </c>
      <c r="J1287" t="s">
        <v>1573</v>
      </c>
      <c r="K1287" t="s">
        <v>1577</v>
      </c>
      <c r="L1287" t="s">
        <v>1574</v>
      </c>
      <c r="M1287" t="s">
        <v>1574</v>
      </c>
      <c r="N1287" t="s">
        <v>1574</v>
      </c>
      <c r="O1287" t="s">
        <v>1578</v>
      </c>
      <c r="P1287" t="s">
        <v>1576</v>
      </c>
      <c r="Q1287" t="s">
        <v>1579</v>
      </c>
      <c r="R1287" t="s">
        <v>1580</v>
      </c>
      <c r="S1287" t="s">
        <v>1580</v>
      </c>
      <c r="T1287" t="s">
        <v>1576</v>
      </c>
      <c r="U1287" t="s">
        <v>1576</v>
      </c>
      <c r="V1287" t="str" cm="1">
        <f t="array" aca="1" ref="V1287" ca="1">IFERROR(_xlfn.IFS(A1285="  ..............",OFFSET(A1285,2,0),A1284=" X-------------X",OFFSET(A1284,3,0),MATCH("  ..............",A1287:A1296,0)&gt;2,V1286),"-")</f>
        <v>-</v>
      </c>
      <c r="W1287" t="str">
        <f t="shared" ca="1" si="60"/>
        <v>-</v>
      </c>
      <c r="X1287" t="str">
        <f t="shared" ca="1" si="61"/>
        <v/>
      </c>
      <c r="Y1287" s="1" t="str">
        <f t="shared" ca="1" si="62"/>
        <v/>
      </c>
    </row>
    <row r="1288" spans="1:25" x14ac:dyDescent="0.25">
      <c r="A1288" t="s">
        <v>2522</v>
      </c>
      <c r="B1288">
        <v>1.006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 t="s">
        <v>1581</v>
      </c>
      <c r="J1288" t="s">
        <v>1581</v>
      </c>
      <c r="K1288" t="s">
        <v>1581</v>
      </c>
      <c r="L1288" t="s">
        <v>1581</v>
      </c>
      <c r="M1288" t="s">
        <v>1581</v>
      </c>
      <c r="N1288" t="s">
        <v>1581</v>
      </c>
      <c r="O1288" t="s">
        <v>1581</v>
      </c>
      <c r="P1288" t="s">
        <v>1581</v>
      </c>
      <c r="Q1288" t="s">
        <v>1581</v>
      </c>
      <c r="R1288" t="s">
        <v>1581</v>
      </c>
      <c r="S1288" t="s">
        <v>1581</v>
      </c>
      <c r="T1288" t="s">
        <v>1581</v>
      </c>
      <c r="U1288" t="s">
        <v>1581</v>
      </c>
      <c r="V1288" t="str" cm="1">
        <f t="array" aca="1" ref="V1288" ca="1">IFERROR(_xlfn.IFS(A1286="  ..............",OFFSET(A1286,2,0),A1285=" X-------------X",OFFSET(A1285,3,0),MATCH("  ..............",A1288:A1297,0)&gt;2,V1287),"-")</f>
        <v>-</v>
      </c>
      <c r="W1288" t="str">
        <f t="shared" ca="1" si="60"/>
        <v>-</v>
      </c>
      <c r="X1288" t="str">
        <f t="shared" ca="1" si="61"/>
        <v xml:space="preserve">              </v>
      </c>
      <c r="Y1288" s="1">
        <f t="shared" ca="1" si="62"/>
        <v>0</v>
      </c>
    </row>
    <row r="1289" spans="1:25" x14ac:dyDescent="0.25">
      <c r="A1289" t="s">
        <v>2523</v>
      </c>
      <c r="B1289">
        <v>-52.6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 t="s">
        <v>1584</v>
      </c>
      <c r="J1289" t="s">
        <v>1585</v>
      </c>
      <c r="K1289" t="s">
        <v>1586</v>
      </c>
      <c r="L1289" t="s">
        <v>1587</v>
      </c>
      <c r="M1289" t="s">
        <v>1587</v>
      </c>
      <c r="N1289" t="s">
        <v>1586</v>
      </c>
      <c r="O1289" t="s">
        <v>1581</v>
      </c>
      <c r="P1289" t="s">
        <v>1581</v>
      </c>
      <c r="Q1289" t="s">
        <v>1581</v>
      </c>
      <c r="R1289" t="s">
        <v>1581</v>
      </c>
      <c r="S1289" t="s">
        <v>1581</v>
      </c>
      <c r="T1289" t="s">
        <v>1581</v>
      </c>
      <c r="U1289" t="s">
        <v>1581</v>
      </c>
      <c r="V1289" t="str" cm="1">
        <f t="array" aca="1" ref="V1289" ca="1">IFERROR(_xlfn.IFS(A1287="  ..............",OFFSET(A1287,2,0),A1286=" X-------------X",OFFSET(A1286,3,0),MATCH("  ..............",A1289:A1298,0)&gt;2,V1288),"-")</f>
        <v xml:space="preserve">  POTOMETAP069  </v>
      </c>
      <c r="W1289">
        <f t="shared" ca="1" si="60"/>
        <v>1.006</v>
      </c>
      <c r="X1289" t="str">
        <f t="shared" ca="1" si="61"/>
        <v xml:space="preserve"> CAXIA4-RS069 </v>
      </c>
      <c r="Y1289" s="1" t="str">
        <f t="shared" ca="1" si="62"/>
        <v xml:space="preserve">             </v>
      </c>
    </row>
    <row r="1290" spans="1:25" x14ac:dyDescent="0.25">
      <c r="A1290" t="s">
        <v>1588</v>
      </c>
      <c r="B1290" t="s">
        <v>1587</v>
      </c>
      <c r="C1290">
        <v>54</v>
      </c>
      <c r="D1290">
        <v>79</v>
      </c>
      <c r="E1290">
        <v>79</v>
      </c>
      <c r="F1290" s="1">
        <v>0.433</v>
      </c>
      <c r="G1290" t="s">
        <v>1587</v>
      </c>
      <c r="H1290" t="s">
        <v>1587</v>
      </c>
      <c r="I1290">
        <v>1389</v>
      </c>
      <c r="J1290" t="s">
        <v>1666</v>
      </c>
      <c r="K1290">
        <v>1</v>
      </c>
      <c r="L1290">
        <v>-15.7</v>
      </c>
      <c r="M1290">
        <v>-17.5</v>
      </c>
      <c r="N1290">
        <v>23.4</v>
      </c>
      <c r="O1290" t="s">
        <v>1594</v>
      </c>
      <c r="P1290" t="s">
        <v>1584</v>
      </c>
      <c r="Q1290" t="s">
        <v>1591</v>
      </c>
      <c r="R1290">
        <v>0.02</v>
      </c>
      <c r="S1290">
        <v>0.06</v>
      </c>
      <c r="T1290" t="s">
        <v>1584</v>
      </c>
      <c r="U1290" t="s">
        <v>1592</v>
      </c>
      <c r="V1290" t="str" cm="1">
        <f t="array" aca="1" ref="V1290" ca="1">IFERROR(_xlfn.IFS(A1288="  ..............",OFFSET(A1288,2,0),A1287=" X-------------X",OFFSET(A1287,3,0),MATCH("  ..............",A1290:A1299,0)&gt;2,V1289),"-")</f>
        <v xml:space="preserve">  POTOMETAP069  </v>
      </c>
      <c r="W1290">
        <f t="shared" ca="1" si="60"/>
        <v>1.006</v>
      </c>
      <c r="X1290" t="str">
        <f t="shared" ca="1" si="61"/>
        <v xml:space="preserve"> SMARCO-RS069 </v>
      </c>
      <c r="Y1290" s="1">
        <f t="shared" ca="1" si="62"/>
        <v>0.23300000000000001</v>
      </c>
    </row>
    <row r="1291" spans="1:25" x14ac:dyDescent="0.25">
      <c r="A1291" t="s">
        <v>1588</v>
      </c>
      <c r="B1291" t="s">
        <v>1587</v>
      </c>
      <c r="C1291">
        <v>52</v>
      </c>
      <c r="D1291">
        <v>66</v>
      </c>
      <c r="E1291">
        <v>66</v>
      </c>
      <c r="F1291" s="1">
        <v>0.23300000000000001</v>
      </c>
      <c r="G1291" t="s">
        <v>1587</v>
      </c>
      <c r="H1291" t="s">
        <v>1587</v>
      </c>
      <c r="I1291">
        <v>9292</v>
      </c>
      <c r="J1291" t="s">
        <v>2524</v>
      </c>
      <c r="K1291">
        <v>1</v>
      </c>
      <c r="L1291">
        <v>2.5</v>
      </c>
      <c r="M1291">
        <v>11.9</v>
      </c>
      <c r="N1291">
        <v>12.1</v>
      </c>
      <c r="O1291" t="s">
        <v>1594</v>
      </c>
      <c r="P1291" t="s">
        <v>1584</v>
      </c>
      <c r="Q1291" t="s">
        <v>1591</v>
      </c>
      <c r="R1291">
        <v>0.1</v>
      </c>
      <c r="S1291">
        <v>-7.0000000000000007E-2</v>
      </c>
      <c r="T1291" t="s">
        <v>1584</v>
      </c>
      <c r="U1291" t="s">
        <v>1592</v>
      </c>
      <c r="V1291" t="str" cm="1">
        <f t="array" aca="1" ref="V1291" ca="1">IFERROR(_xlfn.IFS(A1289="  ..............",OFFSET(A1289,2,0),A1288=" X-------------X",OFFSET(A1288,3,0),MATCH("  ..............",A1291:A1300,0)&gt;2,V1290),"-")</f>
        <v xml:space="preserve">  POTOMETAP069  </v>
      </c>
      <c r="W1291">
        <f t="shared" ca="1" si="60"/>
        <v>1.006</v>
      </c>
      <c r="X1291" t="str">
        <f t="shared" ca="1" si="61"/>
        <v xml:space="preserve"> POTOME-RS069 </v>
      </c>
      <c r="Y1291" s="1">
        <f t="shared" ca="1" si="62"/>
        <v>0.26400000000000001</v>
      </c>
    </row>
    <row r="1292" spans="1:25" x14ac:dyDescent="0.25">
      <c r="A1292" t="s">
        <v>1588</v>
      </c>
      <c r="B1292" t="s">
        <v>1587</v>
      </c>
      <c r="C1292">
        <v>54</v>
      </c>
      <c r="D1292">
        <v>79</v>
      </c>
      <c r="E1292">
        <v>79</v>
      </c>
      <c r="F1292" s="1">
        <v>0.26400000000000001</v>
      </c>
      <c r="G1292" t="s">
        <v>1587</v>
      </c>
      <c r="H1292" t="s">
        <v>1587</v>
      </c>
      <c r="I1292">
        <v>9294</v>
      </c>
      <c r="J1292" t="s">
        <v>2525</v>
      </c>
      <c r="K1292">
        <v>1</v>
      </c>
      <c r="L1292">
        <v>13.2</v>
      </c>
      <c r="M1292">
        <v>5.6</v>
      </c>
      <c r="N1292">
        <v>14.3</v>
      </c>
      <c r="O1292" t="s">
        <v>1594</v>
      </c>
      <c r="P1292" t="s">
        <v>1584</v>
      </c>
      <c r="Q1292" t="s">
        <v>1591</v>
      </c>
      <c r="R1292">
        <v>0</v>
      </c>
      <c r="S1292">
        <v>-0.01</v>
      </c>
      <c r="T1292" t="s">
        <v>1584</v>
      </c>
      <c r="U1292" t="s">
        <v>1592</v>
      </c>
      <c r="V1292" t="str" cm="1">
        <f t="array" aca="1" ref="V1292" ca="1">IFERROR(_xlfn.IFS(A1290="  ..............",OFFSET(A1290,2,0),A1289=" X-------------X",OFFSET(A1289,3,0),MATCH("  ..............",A1292:A1301,0)&gt;2,V1291),"-")</f>
        <v>-</v>
      </c>
      <c r="W1292" t="str">
        <f t="shared" ca="1" si="60"/>
        <v>-</v>
      </c>
      <c r="X1292" t="str">
        <f t="shared" ca="1" si="61"/>
        <v>-</v>
      </c>
      <c r="Y1292" s="1" t="str">
        <f t="shared" ca="1" si="62"/>
        <v>-</v>
      </c>
    </row>
    <row r="1293" spans="1:25" x14ac:dyDescent="0.25">
      <c r="A1293" t="s">
        <v>1572</v>
      </c>
      <c r="B1293" t="s">
        <v>1574</v>
      </c>
      <c r="C1293" t="s">
        <v>1574</v>
      </c>
      <c r="D1293" t="s">
        <v>1574</v>
      </c>
      <c r="E1293" t="s">
        <v>1574</v>
      </c>
      <c r="F1293" t="s">
        <v>1575</v>
      </c>
      <c r="G1293" t="s">
        <v>1574</v>
      </c>
      <c r="H1293" t="s">
        <v>1574</v>
      </c>
      <c r="I1293" t="s">
        <v>1576</v>
      </c>
      <c r="J1293" t="s">
        <v>1573</v>
      </c>
      <c r="K1293" t="s">
        <v>1577</v>
      </c>
      <c r="L1293" t="s">
        <v>1574</v>
      </c>
      <c r="M1293" t="s">
        <v>1574</v>
      </c>
      <c r="N1293" t="s">
        <v>1574</v>
      </c>
      <c r="O1293" t="s">
        <v>1578</v>
      </c>
      <c r="P1293" t="s">
        <v>1576</v>
      </c>
      <c r="Q1293" t="s">
        <v>1579</v>
      </c>
      <c r="R1293" t="s">
        <v>1580</v>
      </c>
      <c r="S1293" t="s">
        <v>1580</v>
      </c>
      <c r="T1293" t="s">
        <v>1576</v>
      </c>
      <c r="U1293" t="s">
        <v>1576</v>
      </c>
      <c r="V1293" t="str" cm="1">
        <f t="array" aca="1" ref="V1293" ca="1">IFERROR(_xlfn.IFS(A1291="  ..............",OFFSET(A1291,2,0),A1290=" X-------------X",OFFSET(A1290,3,0),MATCH("  ..............",A1293:A1302,0)&gt;2,V1292),"-")</f>
        <v>-</v>
      </c>
      <c r="W1293" t="str">
        <f t="shared" ca="1" si="60"/>
        <v>-</v>
      </c>
      <c r="X1293" t="str">
        <f t="shared" ca="1" si="61"/>
        <v/>
      </c>
      <c r="Y1293" s="1" t="str">
        <f t="shared" ca="1" si="62"/>
        <v/>
      </c>
    </row>
    <row r="1294" spans="1:25" x14ac:dyDescent="0.25">
      <c r="A1294" t="s">
        <v>2526</v>
      </c>
      <c r="B1294">
        <v>1.006</v>
      </c>
      <c r="C1294">
        <v>0</v>
      </c>
      <c r="D1294">
        <v>0</v>
      </c>
      <c r="E1294">
        <v>13.2</v>
      </c>
      <c r="F1294">
        <v>0</v>
      </c>
      <c r="G1294">
        <v>0</v>
      </c>
      <c r="H1294">
        <v>0</v>
      </c>
      <c r="I1294" t="s">
        <v>1581</v>
      </c>
      <c r="J1294" t="s">
        <v>1581</v>
      </c>
      <c r="K1294" t="s">
        <v>1581</v>
      </c>
      <c r="L1294" t="s">
        <v>1581</v>
      </c>
      <c r="M1294" t="s">
        <v>1581</v>
      </c>
      <c r="N1294" t="s">
        <v>1581</v>
      </c>
      <c r="O1294" t="s">
        <v>1581</v>
      </c>
      <c r="P1294" t="s">
        <v>1581</v>
      </c>
      <c r="Q1294" t="s">
        <v>1581</v>
      </c>
      <c r="R1294" t="s">
        <v>1581</v>
      </c>
      <c r="S1294" t="s">
        <v>1581</v>
      </c>
      <c r="T1294" t="s">
        <v>1581</v>
      </c>
      <c r="U1294" t="s">
        <v>1581</v>
      </c>
      <c r="V1294" t="str" cm="1">
        <f t="array" aca="1" ref="V1294" ca="1">IFERROR(_xlfn.IFS(A1292="  ..............",OFFSET(A1292,2,0),A1291=" X-------------X",OFFSET(A1291,3,0),MATCH("  ..............",A1294:A1303,0)&gt;2,V1293),"-")</f>
        <v>-</v>
      </c>
      <c r="W1294" t="str">
        <f t="shared" ca="1" si="60"/>
        <v>-</v>
      </c>
      <c r="X1294" t="str">
        <f t="shared" ca="1" si="61"/>
        <v xml:space="preserve">              </v>
      </c>
      <c r="Y1294" s="1">
        <f t="shared" ca="1" si="62"/>
        <v>0</v>
      </c>
    </row>
    <row r="1295" spans="1:25" x14ac:dyDescent="0.25">
      <c r="A1295" t="s">
        <v>2527</v>
      </c>
      <c r="B1295">
        <v>-52.6</v>
      </c>
      <c r="C1295">
        <v>0</v>
      </c>
      <c r="D1295">
        <v>0</v>
      </c>
      <c r="E1295">
        <v>5.6</v>
      </c>
      <c r="F1295">
        <v>0</v>
      </c>
      <c r="G1295">
        <v>0</v>
      </c>
      <c r="H1295">
        <v>0</v>
      </c>
      <c r="I1295" t="s">
        <v>1584</v>
      </c>
      <c r="J1295" t="s">
        <v>1585</v>
      </c>
      <c r="K1295" t="s">
        <v>1586</v>
      </c>
      <c r="L1295" t="s">
        <v>1587</v>
      </c>
      <c r="M1295" t="s">
        <v>1587</v>
      </c>
      <c r="N1295" t="s">
        <v>1586</v>
      </c>
      <c r="O1295" t="s">
        <v>1581</v>
      </c>
      <c r="P1295" t="s">
        <v>1581</v>
      </c>
      <c r="Q1295" t="s">
        <v>1581</v>
      </c>
      <c r="R1295" t="s">
        <v>1581</v>
      </c>
      <c r="S1295" t="s">
        <v>1581</v>
      </c>
      <c r="T1295" t="s">
        <v>1581</v>
      </c>
      <c r="U1295" t="s">
        <v>1581</v>
      </c>
      <c r="V1295" t="str" cm="1">
        <f t="array" aca="1" ref="V1295" ca="1">IFERROR(_xlfn.IFS(A1293="  ..............",OFFSET(A1293,2,0),A1292=" X-------------X",OFFSET(A1292,3,0),MATCH("  ..............",A1295:A1304,0)&gt;2,V1294),"-")</f>
        <v xml:space="preserve">  POTOME-RS069  </v>
      </c>
      <c r="W1295">
        <f t="shared" ca="1" si="60"/>
        <v>1.006</v>
      </c>
      <c r="X1295" t="str">
        <f t="shared" ca="1" si="61"/>
        <v xml:space="preserve"> POTOMETAP069 </v>
      </c>
      <c r="Y1295" s="1">
        <f t="shared" ca="1" si="62"/>
        <v>0.433</v>
      </c>
    </row>
    <row r="1296" spans="1:25" x14ac:dyDescent="0.25">
      <c r="A1296" t="s">
        <v>1588</v>
      </c>
      <c r="B1296" t="s">
        <v>1587</v>
      </c>
      <c r="C1296">
        <v>54</v>
      </c>
      <c r="D1296">
        <v>79</v>
      </c>
      <c r="E1296">
        <v>79</v>
      </c>
      <c r="F1296" s="1">
        <v>0.26400000000000001</v>
      </c>
      <c r="G1296" t="s">
        <v>1587</v>
      </c>
      <c r="H1296" t="s">
        <v>1587</v>
      </c>
      <c r="I1296">
        <v>9293</v>
      </c>
      <c r="J1296" t="s">
        <v>2182</v>
      </c>
      <c r="K1296">
        <v>1</v>
      </c>
      <c r="L1296">
        <v>-13.2</v>
      </c>
      <c r="M1296">
        <v>-5.6</v>
      </c>
      <c r="N1296">
        <v>14.3</v>
      </c>
      <c r="O1296" t="s">
        <v>1594</v>
      </c>
      <c r="P1296" t="s">
        <v>1584</v>
      </c>
      <c r="Q1296" t="s">
        <v>1591</v>
      </c>
      <c r="R1296">
        <v>0</v>
      </c>
      <c r="S1296">
        <v>-0.01</v>
      </c>
      <c r="T1296" t="s">
        <v>1584</v>
      </c>
      <c r="U1296" t="s">
        <v>1592</v>
      </c>
      <c r="V1296" t="str" cm="1">
        <f t="array" aca="1" ref="V1296" ca="1">IFERROR(_xlfn.IFS(A1294="  ..............",OFFSET(A1294,2,0),A1293=" X-------------X",OFFSET(A1293,3,0),MATCH("  ..............",A1296:A1305,0)&gt;2,V1295),"-")</f>
        <v>-</v>
      </c>
      <c r="W1296" t="str">
        <f t="shared" ca="1" si="60"/>
        <v>-</v>
      </c>
      <c r="X1296" t="str">
        <f t="shared" ca="1" si="61"/>
        <v>-</v>
      </c>
      <c r="Y1296" s="1" t="str">
        <f t="shared" ca="1" si="62"/>
        <v>-</v>
      </c>
    </row>
    <row r="1297" spans="1:25" x14ac:dyDescent="0.25">
      <c r="A1297" t="s">
        <v>1572</v>
      </c>
      <c r="B1297" t="s">
        <v>1574</v>
      </c>
      <c r="C1297" t="s">
        <v>1574</v>
      </c>
      <c r="D1297" t="s">
        <v>1574</v>
      </c>
      <c r="E1297" t="s">
        <v>1574</v>
      </c>
      <c r="F1297" t="s">
        <v>1575</v>
      </c>
      <c r="G1297" t="s">
        <v>1574</v>
      </c>
      <c r="H1297" t="s">
        <v>1574</v>
      </c>
      <c r="I1297" t="s">
        <v>1576</v>
      </c>
      <c r="J1297" t="s">
        <v>1573</v>
      </c>
      <c r="K1297" t="s">
        <v>1577</v>
      </c>
      <c r="L1297" t="s">
        <v>1574</v>
      </c>
      <c r="M1297" t="s">
        <v>1574</v>
      </c>
      <c r="N1297" t="s">
        <v>1574</v>
      </c>
      <c r="O1297" t="s">
        <v>1578</v>
      </c>
      <c r="P1297" t="s">
        <v>1576</v>
      </c>
      <c r="Q1297" t="s">
        <v>1579</v>
      </c>
      <c r="R1297" t="s">
        <v>1580</v>
      </c>
      <c r="S1297" t="s">
        <v>1580</v>
      </c>
      <c r="T1297" t="s">
        <v>1576</v>
      </c>
      <c r="U1297" t="s">
        <v>1576</v>
      </c>
      <c r="V1297" t="str" cm="1">
        <f t="array" aca="1" ref="V1297" ca="1">IFERROR(_xlfn.IFS(A1295="  ..............",OFFSET(A1295,2,0),A1294=" X-------------X",OFFSET(A1294,3,0),MATCH("  ..............",A1297:A1306,0)&gt;2,V1296),"-")</f>
        <v>-</v>
      </c>
      <c r="W1297" t="str">
        <f t="shared" ca="1" si="60"/>
        <v>-</v>
      </c>
      <c r="X1297" t="str">
        <f t="shared" ca="1" si="61"/>
        <v/>
      </c>
      <c r="Y1297" s="1" t="str">
        <f t="shared" ca="1" si="62"/>
        <v/>
      </c>
    </row>
    <row r="1298" spans="1:25" x14ac:dyDescent="0.25">
      <c r="A1298" t="s">
        <v>2528</v>
      </c>
      <c r="B1298">
        <v>1.0109999999999999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 t="s">
        <v>1581</v>
      </c>
      <c r="J1298" t="s">
        <v>1581</v>
      </c>
      <c r="K1298" t="s">
        <v>1581</v>
      </c>
      <c r="L1298" t="s">
        <v>1581</v>
      </c>
      <c r="M1298" t="s">
        <v>1581</v>
      </c>
      <c r="N1298" t="s">
        <v>1581</v>
      </c>
      <c r="O1298" t="s">
        <v>1581</v>
      </c>
      <c r="P1298" t="s">
        <v>1581</v>
      </c>
      <c r="Q1298" t="s">
        <v>1581</v>
      </c>
      <c r="R1298" t="s">
        <v>1581</v>
      </c>
      <c r="S1298" t="s">
        <v>1581</v>
      </c>
      <c r="T1298" t="s">
        <v>1581</v>
      </c>
      <c r="U1298" t="s">
        <v>1581</v>
      </c>
      <c r="V1298" t="str" cm="1">
        <f t="array" aca="1" ref="V1298" ca="1">IFERROR(_xlfn.IFS(A1296="  ..............",OFFSET(A1296,2,0),A1295=" X-------------X",OFFSET(A1295,3,0),MATCH("  ..............",A1298:A1307,0)&gt;2,V1297),"-")</f>
        <v>-</v>
      </c>
      <c r="W1298" t="str">
        <f t="shared" ca="1" si="60"/>
        <v>-</v>
      </c>
      <c r="X1298" t="str">
        <f t="shared" ca="1" si="61"/>
        <v xml:space="preserve">              </v>
      </c>
      <c r="Y1298" s="1">
        <f t="shared" ca="1" si="62"/>
        <v>0</v>
      </c>
    </row>
    <row r="1299" spans="1:25" x14ac:dyDescent="0.25">
      <c r="A1299" t="s">
        <v>2529</v>
      </c>
      <c r="B1299">
        <v>-50.5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 t="s">
        <v>1584</v>
      </c>
      <c r="J1299" t="s">
        <v>1585</v>
      </c>
      <c r="K1299" t="s">
        <v>1586</v>
      </c>
      <c r="L1299" t="s">
        <v>1587</v>
      </c>
      <c r="M1299" t="s">
        <v>1587</v>
      </c>
      <c r="N1299" t="s">
        <v>1586</v>
      </c>
      <c r="O1299" t="s">
        <v>1581</v>
      </c>
      <c r="P1299" t="s">
        <v>1581</v>
      </c>
      <c r="Q1299" t="s">
        <v>1581</v>
      </c>
      <c r="R1299" t="s">
        <v>1581</v>
      </c>
      <c r="S1299" t="s">
        <v>1581</v>
      </c>
      <c r="T1299" t="s">
        <v>1581</v>
      </c>
      <c r="U1299" t="s">
        <v>1581</v>
      </c>
      <c r="V1299" t="str" cm="1">
        <f t="array" aca="1" ref="V1299" ca="1">IFERROR(_xlfn.IFS(A1297="  ..............",OFFSET(A1297,2,0),A1296=" X-------------X",OFFSET(A1296,3,0),MATCH("  ..............",A1299:A1308,0)&gt;2,V1298),"-")</f>
        <v xml:space="preserve">  EBERLETAP069  </v>
      </c>
      <c r="W1299">
        <f t="shared" ca="1" si="60"/>
        <v>1.0109999999999999</v>
      </c>
      <c r="X1299" t="str">
        <f t="shared" ca="1" si="61"/>
        <v xml:space="preserve"> CAXIA3-RS069 </v>
      </c>
      <c r="Y1299" s="1">
        <f t="shared" ca="1" si="62"/>
        <v>0.29499999999999998</v>
      </c>
    </row>
    <row r="1300" spans="1:25" x14ac:dyDescent="0.25">
      <c r="A1300" t="s">
        <v>1637</v>
      </c>
      <c r="B1300" t="s">
        <v>1638</v>
      </c>
      <c r="C1300">
        <v>80</v>
      </c>
      <c r="D1300">
        <v>95</v>
      </c>
      <c r="E1300">
        <v>95</v>
      </c>
      <c r="F1300" t="s">
        <v>1639</v>
      </c>
      <c r="G1300" t="s">
        <v>1587</v>
      </c>
      <c r="H1300" t="s">
        <v>1587</v>
      </c>
      <c r="I1300">
        <v>1388</v>
      </c>
      <c r="J1300" t="s">
        <v>2172</v>
      </c>
      <c r="K1300">
        <v>1</v>
      </c>
      <c r="L1300">
        <v>0</v>
      </c>
      <c r="M1300">
        <v>0</v>
      </c>
      <c r="N1300">
        <v>0</v>
      </c>
      <c r="O1300" t="s">
        <v>1594</v>
      </c>
      <c r="P1300" t="s">
        <v>1584</v>
      </c>
      <c r="Q1300" t="s">
        <v>1591</v>
      </c>
      <c r="R1300">
        <v>0</v>
      </c>
      <c r="S1300">
        <v>0</v>
      </c>
      <c r="T1300" t="s">
        <v>1584</v>
      </c>
      <c r="U1300" t="s">
        <v>1592</v>
      </c>
      <c r="V1300" t="str" cm="1">
        <f t="array" aca="1" ref="V1300" ca="1">IFERROR(_xlfn.IFS(A1298="  ..............",OFFSET(A1298,2,0),A1297=" X-------------X",OFFSET(A1297,3,0),MATCH("  ..............",A1300:A1309,0)&gt;2,V1299),"-")</f>
        <v xml:space="preserve">  EBERLETAP069  </v>
      </c>
      <c r="W1300">
        <f t="shared" ca="1" si="60"/>
        <v>1.0109999999999999</v>
      </c>
      <c r="X1300" t="str">
        <f t="shared" ca="1" si="61"/>
        <v xml:space="preserve"> EBERLE-RS069 </v>
      </c>
      <c r="Y1300" s="1">
        <f t="shared" ca="1" si="62"/>
        <v>0</v>
      </c>
    </row>
    <row r="1301" spans="1:25" x14ac:dyDescent="0.25">
      <c r="A1301" t="s">
        <v>1588</v>
      </c>
      <c r="B1301" t="s">
        <v>1587</v>
      </c>
      <c r="C1301">
        <v>54</v>
      </c>
      <c r="D1301">
        <v>79</v>
      </c>
      <c r="E1301">
        <v>79</v>
      </c>
      <c r="F1301" s="1">
        <v>0</v>
      </c>
      <c r="G1301" t="s">
        <v>1587</v>
      </c>
      <c r="H1301" t="s">
        <v>1587</v>
      </c>
      <c r="I1301">
        <v>9296</v>
      </c>
      <c r="J1301" t="s">
        <v>2530</v>
      </c>
      <c r="K1301">
        <v>1</v>
      </c>
      <c r="L1301">
        <v>0</v>
      </c>
      <c r="M1301">
        <v>0</v>
      </c>
      <c r="N1301">
        <v>0</v>
      </c>
      <c r="O1301" t="s">
        <v>1594</v>
      </c>
      <c r="P1301" t="s">
        <v>1584</v>
      </c>
      <c r="Q1301" t="s">
        <v>1591</v>
      </c>
      <c r="R1301">
        <v>0</v>
      </c>
      <c r="S1301">
        <v>-0.01</v>
      </c>
      <c r="T1301" t="s">
        <v>1584</v>
      </c>
      <c r="U1301" t="s">
        <v>1592</v>
      </c>
      <c r="V1301" t="str" cm="1">
        <f t="array" aca="1" ref="V1301" ca="1">IFERROR(_xlfn.IFS(A1299="  ..............",OFFSET(A1299,2,0),A1298=" X-------------X",OFFSET(A1298,3,0),MATCH("  ..............",A1301:A1310,0)&gt;2,V1300),"-")</f>
        <v xml:space="preserve">  EBERLETAP069  </v>
      </c>
      <c r="W1301">
        <f t="shared" ca="1" si="60"/>
        <v>1.0109999999999999</v>
      </c>
      <c r="X1301" t="str">
        <f t="shared" ca="1" si="61"/>
        <v xml:space="preserve"> RANDONTAP069 </v>
      </c>
      <c r="Y1301" s="1">
        <f t="shared" ca="1" si="62"/>
        <v>9.7000000000000003E-2</v>
      </c>
    </row>
    <row r="1302" spans="1:25" x14ac:dyDescent="0.25">
      <c r="A1302" t="s">
        <v>1588</v>
      </c>
      <c r="B1302" t="s">
        <v>1587</v>
      </c>
      <c r="C1302">
        <v>80</v>
      </c>
      <c r="D1302">
        <v>95</v>
      </c>
      <c r="E1302">
        <v>95</v>
      </c>
      <c r="F1302" s="1">
        <v>0</v>
      </c>
      <c r="G1302" t="s">
        <v>1587</v>
      </c>
      <c r="H1302" t="s">
        <v>1587</v>
      </c>
      <c r="I1302">
        <v>9297</v>
      </c>
      <c r="J1302" t="s">
        <v>1669</v>
      </c>
      <c r="K1302">
        <v>1</v>
      </c>
      <c r="L1302">
        <v>0</v>
      </c>
      <c r="M1302">
        <v>0</v>
      </c>
      <c r="N1302">
        <v>0</v>
      </c>
      <c r="O1302" t="s">
        <v>1594</v>
      </c>
      <c r="P1302" t="s">
        <v>1584</v>
      </c>
      <c r="Q1302" t="s">
        <v>1591</v>
      </c>
      <c r="R1302">
        <v>0</v>
      </c>
      <c r="S1302">
        <v>-0.06</v>
      </c>
      <c r="T1302" t="s">
        <v>1584</v>
      </c>
      <c r="U1302" t="s">
        <v>1592</v>
      </c>
      <c r="V1302" t="str" cm="1">
        <f t="array" aca="1" ref="V1302" ca="1">IFERROR(_xlfn.IFS(A1300="  ..............",OFFSET(A1300,2,0),A1299=" X-------------X",OFFSET(A1299,3,0),MATCH("  ..............",A1302:A1311,0)&gt;2,V1301),"-")</f>
        <v>-</v>
      </c>
      <c r="W1302" t="str">
        <f t="shared" ca="1" si="60"/>
        <v>-</v>
      </c>
      <c r="X1302" t="str">
        <f t="shared" ca="1" si="61"/>
        <v>-</v>
      </c>
      <c r="Y1302" s="1" t="str">
        <f t="shared" ca="1" si="62"/>
        <v>-</v>
      </c>
    </row>
    <row r="1303" spans="1:25" x14ac:dyDescent="0.25">
      <c r="A1303" t="s">
        <v>1572</v>
      </c>
      <c r="B1303" t="s">
        <v>1574</v>
      </c>
      <c r="C1303" t="s">
        <v>1574</v>
      </c>
      <c r="D1303" t="s">
        <v>1574</v>
      </c>
      <c r="E1303" t="s">
        <v>1574</v>
      </c>
      <c r="F1303" t="s">
        <v>1575</v>
      </c>
      <c r="G1303" t="s">
        <v>1574</v>
      </c>
      <c r="H1303" t="s">
        <v>1574</v>
      </c>
      <c r="I1303" t="s">
        <v>1576</v>
      </c>
      <c r="J1303" t="s">
        <v>1573</v>
      </c>
      <c r="K1303" t="s">
        <v>1577</v>
      </c>
      <c r="L1303" t="s">
        <v>1574</v>
      </c>
      <c r="M1303" t="s">
        <v>1574</v>
      </c>
      <c r="N1303" t="s">
        <v>1574</v>
      </c>
      <c r="O1303" t="s">
        <v>1578</v>
      </c>
      <c r="P1303" t="s">
        <v>1576</v>
      </c>
      <c r="Q1303" t="s">
        <v>1579</v>
      </c>
      <c r="R1303" t="s">
        <v>1580</v>
      </c>
      <c r="S1303" t="s">
        <v>1580</v>
      </c>
      <c r="T1303" t="s">
        <v>1576</v>
      </c>
      <c r="U1303" t="s">
        <v>1576</v>
      </c>
      <c r="V1303" t="str" cm="1">
        <f t="array" aca="1" ref="V1303" ca="1">IFERROR(_xlfn.IFS(A1301="  ..............",OFFSET(A1301,2,0),A1300=" X-------------X",OFFSET(A1300,3,0),MATCH("  ..............",A1303:A1312,0)&gt;2,V1302),"-")</f>
        <v>-</v>
      </c>
      <c r="W1303" t="str">
        <f t="shared" ca="1" si="60"/>
        <v>-</v>
      </c>
      <c r="X1303" t="str">
        <f t="shared" ca="1" si="61"/>
        <v/>
      </c>
      <c r="Y1303" s="1" t="str">
        <f t="shared" ca="1" si="62"/>
        <v/>
      </c>
    </row>
    <row r="1304" spans="1:25" x14ac:dyDescent="0.25">
      <c r="A1304" t="s">
        <v>2531</v>
      </c>
      <c r="B1304">
        <v>1.0109999999999999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 t="s">
        <v>1581</v>
      </c>
      <c r="J1304" t="s">
        <v>1581</v>
      </c>
      <c r="K1304" t="s">
        <v>1581</v>
      </c>
      <c r="L1304" t="s">
        <v>1581</v>
      </c>
      <c r="M1304" t="s">
        <v>1581</v>
      </c>
      <c r="N1304" t="s">
        <v>1581</v>
      </c>
      <c r="O1304" t="s">
        <v>1581</v>
      </c>
      <c r="P1304" t="s">
        <v>1581</v>
      </c>
      <c r="Q1304" t="s">
        <v>1581</v>
      </c>
      <c r="R1304" t="s">
        <v>1581</v>
      </c>
      <c r="S1304" t="s">
        <v>1581</v>
      </c>
      <c r="T1304" t="s">
        <v>1581</v>
      </c>
      <c r="U1304" t="s">
        <v>1581</v>
      </c>
      <c r="V1304" t="str" cm="1">
        <f t="array" aca="1" ref="V1304" ca="1">IFERROR(_xlfn.IFS(A1302="  ..............",OFFSET(A1302,2,0),A1301=" X-------------X",OFFSET(A1301,3,0),MATCH("  ..............",A1304:A1313,0)&gt;2,V1303),"-")</f>
        <v>-</v>
      </c>
      <c r="W1304" t="str">
        <f t="shared" ca="1" si="60"/>
        <v>-</v>
      </c>
      <c r="X1304" t="str">
        <f t="shared" ca="1" si="61"/>
        <v xml:space="preserve">              </v>
      </c>
      <c r="Y1304" s="1">
        <f t="shared" ca="1" si="62"/>
        <v>0</v>
      </c>
    </row>
    <row r="1305" spans="1:25" x14ac:dyDescent="0.25">
      <c r="A1305" t="s">
        <v>2532</v>
      </c>
      <c r="B1305">
        <v>-50.5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 t="s">
        <v>1584</v>
      </c>
      <c r="J1305" t="s">
        <v>1585</v>
      </c>
      <c r="K1305" t="s">
        <v>1586</v>
      </c>
      <c r="L1305" t="s">
        <v>1587</v>
      </c>
      <c r="M1305" t="s">
        <v>1587</v>
      </c>
      <c r="N1305" t="s">
        <v>1586</v>
      </c>
      <c r="O1305" t="s">
        <v>1581</v>
      </c>
      <c r="P1305" t="s">
        <v>1581</v>
      </c>
      <c r="Q1305" t="s">
        <v>1581</v>
      </c>
      <c r="R1305" t="s">
        <v>1581</v>
      </c>
      <c r="S1305" t="s">
        <v>1581</v>
      </c>
      <c r="T1305" t="s">
        <v>1581</v>
      </c>
      <c r="U1305" t="s">
        <v>1581</v>
      </c>
      <c r="V1305" t="str" cm="1">
        <f t="array" aca="1" ref="V1305" ca="1">IFERROR(_xlfn.IFS(A1303="  ..............",OFFSET(A1303,2,0),A1302=" X-------------X",OFFSET(A1302,3,0),MATCH("  ..............",A1305:A1314,0)&gt;2,V1304),"-")</f>
        <v xml:space="preserve">  EBERLE-RS069  </v>
      </c>
      <c r="W1305">
        <f t="shared" ca="1" si="60"/>
        <v>1.0109999999999999</v>
      </c>
      <c r="X1305" t="str">
        <f t="shared" ca="1" si="61"/>
        <v xml:space="preserve"> EBERLETAP069 </v>
      </c>
      <c r="Y1305" s="1" t="str">
        <f t="shared" ca="1" si="62"/>
        <v xml:space="preserve">             </v>
      </c>
    </row>
    <row r="1306" spans="1:25" x14ac:dyDescent="0.25">
      <c r="A1306" t="s">
        <v>1588</v>
      </c>
      <c r="B1306" t="s">
        <v>1587</v>
      </c>
      <c r="C1306">
        <v>54</v>
      </c>
      <c r="D1306">
        <v>79</v>
      </c>
      <c r="E1306">
        <v>79</v>
      </c>
      <c r="F1306" s="1">
        <v>0</v>
      </c>
      <c r="G1306" t="s">
        <v>1587</v>
      </c>
      <c r="H1306" t="s">
        <v>1587</v>
      </c>
      <c r="I1306">
        <v>9295</v>
      </c>
      <c r="J1306" t="s">
        <v>2179</v>
      </c>
      <c r="K1306">
        <v>1</v>
      </c>
      <c r="L1306">
        <v>0</v>
      </c>
      <c r="M1306">
        <v>0</v>
      </c>
      <c r="N1306">
        <v>0</v>
      </c>
      <c r="O1306" t="s">
        <v>1594</v>
      </c>
      <c r="P1306" t="s">
        <v>1584</v>
      </c>
      <c r="Q1306" t="s">
        <v>1591</v>
      </c>
      <c r="R1306">
        <v>0</v>
      </c>
      <c r="S1306">
        <v>-0.01</v>
      </c>
      <c r="T1306" t="s">
        <v>1584</v>
      </c>
      <c r="U1306" t="s">
        <v>1592</v>
      </c>
      <c r="V1306" t="str" cm="1">
        <f t="array" aca="1" ref="V1306" ca="1">IFERROR(_xlfn.IFS(A1304="  ..............",OFFSET(A1304,2,0),A1303=" X-------------X",OFFSET(A1303,3,0),MATCH("  ..............",A1306:A1315,0)&gt;2,V1305),"-")</f>
        <v>-</v>
      </c>
      <c r="W1306" t="str">
        <f t="shared" ca="1" si="60"/>
        <v>-</v>
      </c>
      <c r="X1306" t="str">
        <f t="shared" ca="1" si="61"/>
        <v>-</v>
      </c>
      <c r="Y1306" s="1" t="str">
        <f t="shared" ca="1" si="62"/>
        <v>-</v>
      </c>
    </row>
    <row r="1307" spans="1:25" x14ac:dyDescent="0.25">
      <c r="A1307" t="s">
        <v>1572</v>
      </c>
      <c r="B1307" t="s">
        <v>1574</v>
      </c>
      <c r="C1307" t="s">
        <v>1574</v>
      </c>
      <c r="D1307" t="s">
        <v>1574</v>
      </c>
      <c r="E1307" t="s">
        <v>1574</v>
      </c>
      <c r="F1307" t="s">
        <v>1575</v>
      </c>
      <c r="G1307" t="s">
        <v>1574</v>
      </c>
      <c r="H1307" t="s">
        <v>1574</v>
      </c>
      <c r="I1307" t="s">
        <v>1576</v>
      </c>
      <c r="J1307" t="s">
        <v>1573</v>
      </c>
      <c r="K1307" t="s">
        <v>1577</v>
      </c>
      <c r="L1307" t="s">
        <v>1574</v>
      </c>
      <c r="M1307" t="s">
        <v>1574</v>
      </c>
      <c r="N1307" t="s">
        <v>1574</v>
      </c>
      <c r="O1307" t="s">
        <v>1578</v>
      </c>
      <c r="P1307" t="s">
        <v>1576</v>
      </c>
      <c r="Q1307" t="s">
        <v>1579</v>
      </c>
      <c r="R1307" t="s">
        <v>1580</v>
      </c>
      <c r="S1307" t="s">
        <v>1580</v>
      </c>
      <c r="T1307" t="s">
        <v>1576</v>
      </c>
      <c r="U1307" t="s">
        <v>1576</v>
      </c>
      <c r="V1307" t="str" cm="1">
        <f t="array" aca="1" ref="V1307" ca="1">IFERROR(_xlfn.IFS(A1305="  ..............",OFFSET(A1305,2,0),A1304=" X-------------X",OFFSET(A1304,3,0),MATCH("  ..............",A1307:A1316,0)&gt;2,V1306),"-")</f>
        <v>-</v>
      </c>
      <c r="W1307" t="str">
        <f t="shared" ca="1" si="60"/>
        <v>-</v>
      </c>
      <c r="X1307" t="str">
        <f t="shared" ca="1" si="61"/>
        <v/>
      </c>
      <c r="Y1307" s="1" t="str">
        <f t="shared" ca="1" si="62"/>
        <v/>
      </c>
    </row>
    <row r="1308" spans="1:25" x14ac:dyDescent="0.25">
      <c r="A1308" t="s">
        <v>2533</v>
      </c>
      <c r="B1308">
        <v>1.0109999999999999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 t="s">
        <v>1581</v>
      </c>
      <c r="J1308" t="s">
        <v>1581</v>
      </c>
      <c r="K1308" t="s">
        <v>1581</v>
      </c>
      <c r="L1308" t="s">
        <v>1581</v>
      </c>
      <c r="M1308" t="s">
        <v>1581</v>
      </c>
      <c r="N1308" t="s">
        <v>1581</v>
      </c>
      <c r="O1308" t="s">
        <v>1581</v>
      </c>
      <c r="P1308" t="s">
        <v>1581</v>
      </c>
      <c r="Q1308" t="s">
        <v>1581</v>
      </c>
      <c r="R1308" t="s">
        <v>1581</v>
      </c>
      <c r="S1308" t="s">
        <v>1581</v>
      </c>
      <c r="T1308" t="s">
        <v>1581</v>
      </c>
      <c r="U1308" t="s">
        <v>1581</v>
      </c>
      <c r="V1308" t="str" cm="1">
        <f t="array" aca="1" ref="V1308" ca="1">IFERROR(_xlfn.IFS(A1306="  ..............",OFFSET(A1306,2,0),A1305=" X-------------X",OFFSET(A1305,3,0),MATCH("  ..............",A1308:A1317,0)&gt;2,V1307),"-")</f>
        <v>-</v>
      </c>
      <c r="W1308" t="str">
        <f t="shared" ca="1" si="60"/>
        <v>-</v>
      </c>
      <c r="X1308" t="str">
        <f t="shared" ca="1" si="61"/>
        <v xml:space="preserve">              </v>
      </c>
      <c r="Y1308" s="1">
        <f t="shared" ca="1" si="62"/>
        <v>0</v>
      </c>
    </row>
    <row r="1309" spans="1:25" x14ac:dyDescent="0.25">
      <c r="A1309" t="s">
        <v>2534</v>
      </c>
      <c r="B1309">
        <v>-50.5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 t="s">
        <v>1584</v>
      </c>
      <c r="J1309" t="s">
        <v>1585</v>
      </c>
      <c r="K1309" t="s">
        <v>1586</v>
      </c>
      <c r="L1309" t="s">
        <v>1587</v>
      </c>
      <c r="M1309" t="s">
        <v>1587</v>
      </c>
      <c r="N1309" t="s">
        <v>1586</v>
      </c>
      <c r="O1309" t="s">
        <v>1581</v>
      </c>
      <c r="P1309" t="s">
        <v>1581</v>
      </c>
      <c r="Q1309" t="s">
        <v>1581</v>
      </c>
      <c r="R1309" t="s">
        <v>1581</v>
      </c>
      <c r="S1309" t="s">
        <v>1581</v>
      </c>
      <c r="T1309" t="s">
        <v>1581</v>
      </c>
      <c r="U1309" t="s">
        <v>1581</v>
      </c>
      <c r="V1309" t="str" cm="1">
        <f t="array" aca="1" ref="V1309" ca="1">IFERROR(_xlfn.IFS(A1307="  ..............",OFFSET(A1307,2,0),A1306=" X-------------X",OFFSET(A1306,3,0),MATCH("  ..............",A1309:A1318,0)&gt;2,V1308),"-")</f>
        <v xml:space="preserve">  RANDONTAP069  </v>
      </c>
      <c r="W1309">
        <f t="shared" ca="1" si="60"/>
        <v>1.0109999999999999</v>
      </c>
      <c r="X1309" t="str">
        <f t="shared" ca="1" si="61"/>
        <v xml:space="preserve"> CAXIA2-RS069 </v>
      </c>
      <c r="Y1309" s="1">
        <f t="shared" ca="1" si="62"/>
        <v>2E-3</v>
      </c>
    </row>
    <row r="1310" spans="1:25" x14ac:dyDescent="0.25">
      <c r="A1310" t="s">
        <v>1588</v>
      </c>
      <c r="B1310" t="s">
        <v>1587</v>
      </c>
      <c r="C1310">
        <v>94</v>
      </c>
      <c r="D1310">
        <v>108</v>
      </c>
      <c r="E1310">
        <v>108</v>
      </c>
      <c r="F1310" s="1">
        <v>9.7000000000000003E-2</v>
      </c>
      <c r="G1310" t="s">
        <v>1587</v>
      </c>
      <c r="H1310" t="s">
        <v>1587</v>
      </c>
      <c r="I1310">
        <v>1201</v>
      </c>
      <c r="J1310" t="s">
        <v>1645</v>
      </c>
      <c r="K1310">
        <v>1</v>
      </c>
      <c r="L1310">
        <v>-8.5</v>
      </c>
      <c r="M1310">
        <v>-3.5</v>
      </c>
      <c r="N1310">
        <v>9.1</v>
      </c>
      <c r="O1310" t="s">
        <v>1594</v>
      </c>
      <c r="P1310" t="s">
        <v>1584</v>
      </c>
      <c r="Q1310" t="s">
        <v>1591</v>
      </c>
      <c r="R1310">
        <v>0</v>
      </c>
      <c r="S1310">
        <v>0</v>
      </c>
      <c r="T1310" t="s">
        <v>1584</v>
      </c>
      <c r="U1310" t="s">
        <v>1592</v>
      </c>
      <c r="V1310" t="str" cm="1">
        <f t="array" aca="1" ref="V1310" ca="1">IFERROR(_xlfn.IFS(A1308="  ..............",OFFSET(A1308,2,0),A1307=" X-------------X",OFFSET(A1307,3,0),MATCH("  ..............",A1310:A1319,0)&gt;2,V1309),"-")</f>
        <v xml:space="preserve">  RANDONTAP069  </v>
      </c>
      <c r="W1310">
        <f t="shared" ca="1" si="60"/>
        <v>1.0109999999999999</v>
      </c>
      <c r="X1310" t="str">
        <f t="shared" ca="1" si="61"/>
        <v xml:space="preserve"> EBERLETAP069 </v>
      </c>
      <c r="Y1310" s="1" t="str">
        <f t="shared" ca="1" si="62"/>
        <v xml:space="preserve">             </v>
      </c>
    </row>
    <row r="1311" spans="1:25" x14ac:dyDescent="0.25">
      <c r="A1311" t="s">
        <v>1588</v>
      </c>
      <c r="B1311" t="s">
        <v>1587</v>
      </c>
      <c r="C1311">
        <v>80</v>
      </c>
      <c r="D1311">
        <v>95</v>
      </c>
      <c r="E1311">
        <v>95</v>
      </c>
      <c r="F1311" s="1">
        <v>1E-3</v>
      </c>
      <c r="G1311" t="s">
        <v>1587</v>
      </c>
      <c r="H1311" t="s">
        <v>1587</v>
      </c>
      <c r="I1311">
        <v>9295</v>
      </c>
      <c r="J1311" t="s">
        <v>2179</v>
      </c>
      <c r="K1311">
        <v>1</v>
      </c>
      <c r="L1311">
        <v>0</v>
      </c>
      <c r="M1311">
        <v>-0.1</v>
      </c>
      <c r="N1311">
        <v>0.1</v>
      </c>
      <c r="O1311" t="s">
        <v>1594</v>
      </c>
      <c r="P1311" t="s">
        <v>1584</v>
      </c>
      <c r="Q1311" t="s">
        <v>1591</v>
      </c>
      <c r="R1311">
        <v>0</v>
      </c>
      <c r="S1311">
        <v>-0.06</v>
      </c>
      <c r="T1311" t="s">
        <v>1584</v>
      </c>
      <c r="U1311" t="s">
        <v>1592</v>
      </c>
      <c r="V1311" t="str" cm="1">
        <f t="array" aca="1" ref="V1311" ca="1">IFERROR(_xlfn.IFS(A1309="  ..............",OFFSET(A1309,2,0),A1308=" X-------------X",OFFSET(A1308,3,0),MATCH("  ..............",A1311:A1320,0)&gt;2,V1310),"-")</f>
        <v xml:space="preserve">  RANDONTAP069  </v>
      </c>
      <c r="W1311">
        <f t="shared" ca="1" si="60"/>
        <v>1.0109999999999999</v>
      </c>
      <c r="X1311" t="str">
        <f t="shared" ca="1" si="61"/>
        <v xml:space="preserve"> RANDON-RS069 </v>
      </c>
      <c r="Y1311" s="1">
        <f t="shared" ca="1" si="62"/>
        <v>0.16900000000000001</v>
      </c>
    </row>
    <row r="1312" spans="1:25" x14ac:dyDescent="0.25">
      <c r="A1312" t="s">
        <v>1588</v>
      </c>
      <c r="B1312" t="s">
        <v>1587</v>
      </c>
      <c r="C1312">
        <v>54</v>
      </c>
      <c r="D1312">
        <v>79</v>
      </c>
      <c r="E1312">
        <v>79</v>
      </c>
      <c r="F1312" s="1">
        <v>0.16900000000000001</v>
      </c>
      <c r="G1312" t="s">
        <v>1587</v>
      </c>
      <c r="H1312" t="s">
        <v>1587</v>
      </c>
      <c r="I1312">
        <v>9298</v>
      </c>
      <c r="J1312" t="s">
        <v>2535</v>
      </c>
      <c r="K1312">
        <v>1</v>
      </c>
      <c r="L1312">
        <v>8.5</v>
      </c>
      <c r="M1312">
        <v>3.6</v>
      </c>
      <c r="N1312">
        <v>9.1</v>
      </c>
      <c r="O1312" t="s">
        <v>1594</v>
      </c>
      <c r="P1312" t="s">
        <v>1584</v>
      </c>
      <c r="Q1312" t="s">
        <v>1591</v>
      </c>
      <c r="R1312">
        <v>0</v>
      </c>
      <c r="S1312">
        <v>-0.01</v>
      </c>
      <c r="T1312" t="s">
        <v>1584</v>
      </c>
      <c r="U1312" t="s">
        <v>1592</v>
      </c>
      <c r="V1312" t="str" cm="1">
        <f t="array" aca="1" ref="V1312" ca="1">IFERROR(_xlfn.IFS(A1310="  ..............",OFFSET(A1310,2,0),A1309=" X-------------X",OFFSET(A1309,3,0),MATCH("  ..............",A1312:A1321,0)&gt;2,V1311),"-")</f>
        <v>-</v>
      </c>
      <c r="W1312" t="str">
        <f t="shared" ca="1" si="60"/>
        <v>-</v>
      </c>
      <c r="X1312" t="str">
        <f t="shared" ca="1" si="61"/>
        <v>-</v>
      </c>
      <c r="Y1312" s="1" t="str">
        <f t="shared" ca="1" si="62"/>
        <v>-</v>
      </c>
    </row>
    <row r="1313" spans="1:25" x14ac:dyDescent="0.25">
      <c r="A1313" t="s">
        <v>1572</v>
      </c>
      <c r="B1313" t="s">
        <v>1574</v>
      </c>
      <c r="C1313" t="s">
        <v>1574</v>
      </c>
      <c r="D1313" t="s">
        <v>1574</v>
      </c>
      <c r="E1313" t="s">
        <v>1574</v>
      </c>
      <c r="F1313" t="s">
        <v>1575</v>
      </c>
      <c r="G1313" t="s">
        <v>1574</v>
      </c>
      <c r="H1313" t="s">
        <v>1574</v>
      </c>
      <c r="I1313" t="s">
        <v>1576</v>
      </c>
      <c r="J1313" t="s">
        <v>1573</v>
      </c>
      <c r="K1313" t="s">
        <v>1577</v>
      </c>
      <c r="L1313" t="s">
        <v>1574</v>
      </c>
      <c r="M1313" t="s">
        <v>1574</v>
      </c>
      <c r="N1313" t="s">
        <v>1574</v>
      </c>
      <c r="O1313" t="s">
        <v>1578</v>
      </c>
      <c r="P1313" t="s">
        <v>1576</v>
      </c>
      <c r="Q1313" t="s">
        <v>1579</v>
      </c>
      <c r="R1313" t="s">
        <v>1580</v>
      </c>
      <c r="S1313" t="s">
        <v>1580</v>
      </c>
      <c r="T1313" t="s">
        <v>1576</v>
      </c>
      <c r="U1313" t="s">
        <v>1576</v>
      </c>
      <c r="V1313" t="str" cm="1">
        <f t="array" aca="1" ref="V1313" ca="1">IFERROR(_xlfn.IFS(A1311="  ..............",OFFSET(A1311,2,0),A1310=" X-------------X",OFFSET(A1310,3,0),MATCH("  ..............",A1313:A1322,0)&gt;2,V1312),"-")</f>
        <v>-</v>
      </c>
      <c r="W1313" t="str">
        <f t="shared" ca="1" si="60"/>
        <v>-</v>
      </c>
      <c r="X1313" t="str">
        <f t="shared" ca="1" si="61"/>
        <v/>
      </c>
      <c r="Y1313" s="1" t="str">
        <f t="shared" ca="1" si="62"/>
        <v/>
      </c>
    </row>
    <row r="1314" spans="1:25" x14ac:dyDescent="0.25">
      <c r="A1314" t="s">
        <v>2536</v>
      </c>
      <c r="B1314">
        <v>1.0109999999999999</v>
      </c>
      <c r="C1314">
        <v>0</v>
      </c>
      <c r="D1314">
        <v>0</v>
      </c>
      <c r="E1314">
        <v>8.5</v>
      </c>
      <c r="F1314">
        <v>0</v>
      </c>
      <c r="G1314">
        <v>0</v>
      </c>
      <c r="H1314">
        <v>0</v>
      </c>
      <c r="I1314" t="s">
        <v>1581</v>
      </c>
      <c r="J1314" t="s">
        <v>1581</v>
      </c>
      <c r="K1314" t="s">
        <v>1581</v>
      </c>
      <c r="L1314" t="s">
        <v>1581</v>
      </c>
      <c r="M1314" t="s">
        <v>1581</v>
      </c>
      <c r="N1314" t="s">
        <v>1581</v>
      </c>
      <c r="O1314" t="s">
        <v>1581</v>
      </c>
      <c r="P1314" t="s">
        <v>1581</v>
      </c>
      <c r="Q1314" t="s">
        <v>1581</v>
      </c>
      <c r="R1314" t="s">
        <v>1581</v>
      </c>
      <c r="S1314" t="s">
        <v>1581</v>
      </c>
      <c r="T1314" t="s">
        <v>1581</v>
      </c>
      <c r="U1314" t="s">
        <v>1581</v>
      </c>
      <c r="V1314" t="str" cm="1">
        <f t="array" aca="1" ref="V1314" ca="1">IFERROR(_xlfn.IFS(A1312="  ..............",OFFSET(A1312,2,0),A1311=" X-------------X",OFFSET(A1311,3,0),MATCH("  ..............",A1314:A1323,0)&gt;2,V1313),"-")</f>
        <v>-</v>
      </c>
      <c r="W1314" t="str">
        <f t="shared" ca="1" si="60"/>
        <v>-</v>
      </c>
      <c r="X1314" t="str">
        <f t="shared" ca="1" si="61"/>
        <v xml:space="preserve">              </v>
      </c>
      <c r="Y1314" s="1">
        <f t="shared" ca="1" si="62"/>
        <v>0</v>
      </c>
    </row>
    <row r="1315" spans="1:25" x14ac:dyDescent="0.25">
      <c r="A1315" t="s">
        <v>2537</v>
      </c>
      <c r="B1315">
        <v>-50.5</v>
      </c>
      <c r="C1315">
        <v>0</v>
      </c>
      <c r="D1315">
        <v>0</v>
      </c>
      <c r="E1315">
        <v>3.6</v>
      </c>
      <c r="F1315">
        <v>0</v>
      </c>
      <c r="G1315">
        <v>0</v>
      </c>
      <c r="H1315">
        <v>0</v>
      </c>
      <c r="I1315" t="s">
        <v>1584</v>
      </c>
      <c r="J1315" t="s">
        <v>1585</v>
      </c>
      <c r="K1315" t="s">
        <v>1586</v>
      </c>
      <c r="L1315" t="s">
        <v>1587</v>
      </c>
      <c r="M1315" t="s">
        <v>1587</v>
      </c>
      <c r="N1315" t="s">
        <v>1586</v>
      </c>
      <c r="O1315" t="s">
        <v>1581</v>
      </c>
      <c r="P1315" t="s">
        <v>1581</v>
      </c>
      <c r="Q1315" t="s">
        <v>1581</v>
      </c>
      <c r="R1315" t="s">
        <v>1581</v>
      </c>
      <c r="S1315" t="s">
        <v>1581</v>
      </c>
      <c r="T1315" t="s">
        <v>1581</v>
      </c>
      <c r="U1315" t="s">
        <v>1581</v>
      </c>
      <c r="V1315" t="str" cm="1">
        <f t="array" aca="1" ref="V1315" ca="1">IFERROR(_xlfn.IFS(A1313="  ..............",OFFSET(A1313,2,0),A1312=" X-------------X",OFFSET(A1312,3,0),MATCH("  ..............",A1315:A1324,0)&gt;2,V1314),"-")</f>
        <v xml:space="preserve">  RANDON-RS069  </v>
      </c>
      <c r="W1315">
        <f t="shared" ca="1" si="60"/>
        <v>1.0109999999999999</v>
      </c>
      <c r="X1315" t="str">
        <f t="shared" ca="1" si="61"/>
        <v xml:space="preserve"> RANDONTAP069 </v>
      </c>
      <c r="Y1315" s="1">
        <f t="shared" ca="1" si="62"/>
        <v>9.7000000000000003E-2</v>
      </c>
    </row>
    <row r="1316" spans="1:25" x14ac:dyDescent="0.25">
      <c r="A1316" t="s">
        <v>1588</v>
      </c>
      <c r="B1316" t="s">
        <v>1587</v>
      </c>
      <c r="C1316">
        <v>54</v>
      </c>
      <c r="D1316">
        <v>79</v>
      </c>
      <c r="E1316">
        <v>79</v>
      </c>
      <c r="F1316" s="1">
        <v>0.16900000000000001</v>
      </c>
      <c r="G1316" t="s">
        <v>1587</v>
      </c>
      <c r="H1316" t="s">
        <v>1587</v>
      </c>
      <c r="I1316">
        <v>9297</v>
      </c>
      <c r="J1316" t="s">
        <v>1669</v>
      </c>
      <c r="K1316">
        <v>1</v>
      </c>
      <c r="L1316">
        <v>-8.5</v>
      </c>
      <c r="M1316">
        <v>-3.6</v>
      </c>
      <c r="N1316">
        <v>9.1</v>
      </c>
      <c r="O1316" t="s">
        <v>1594</v>
      </c>
      <c r="P1316" t="s">
        <v>1584</v>
      </c>
      <c r="Q1316" t="s">
        <v>1591</v>
      </c>
      <c r="R1316">
        <v>0</v>
      </c>
      <c r="S1316">
        <v>-0.01</v>
      </c>
      <c r="T1316" t="s">
        <v>1584</v>
      </c>
      <c r="U1316" t="s">
        <v>1592</v>
      </c>
      <c r="V1316" t="str" cm="1">
        <f t="array" aca="1" ref="V1316" ca="1">IFERROR(_xlfn.IFS(A1314="  ..............",OFFSET(A1314,2,0),A1313=" X-------------X",OFFSET(A1313,3,0),MATCH("  ..............",A1316:A1325,0)&gt;2,V1315),"-")</f>
        <v>-</v>
      </c>
      <c r="W1316" t="str">
        <f t="shared" ca="1" si="60"/>
        <v>-</v>
      </c>
      <c r="X1316" t="str">
        <f t="shared" ca="1" si="61"/>
        <v>-</v>
      </c>
      <c r="Y1316" s="1" t="str">
        <f t="shared" ca="1" si="62"/>
        <v>-</v>
      </c>
    </row>
    <row r="1317" spans="1:25" x14ac:dyDescent="0.25">
      <c r="A1317" t="s">
        <v>1572</v>
      </c>
      <c r="B1317" t="s">
        <v>1574</v>
      </c>
      <c r="C1317" t="s">
        <v>1574</v>
      </c>
      <c r="D1317" t="s">
        <v>1574</v>
      </c>
      <c r="E1317" t="s">
        <v>1574</v>
      </c>
      <c r="F1317" t="s">
        <v>1575</v>
      </c>
      <c r="G1317" t="s">
        <v>1574</v>
      </c>
      <c r="H1317" t="s">
        <v>1574</v>
      </c>
      <c r="I1317" t="s">
        <v>1576</v>
      </c>
      <c r="J1317" t="s">
        <v>1573</v>
      </c>
      <c r="K1317" t="s">
        <v>1577</v>
      </c>
      <c r="L1317" t="s">
        <v>1574</v>
      </c>
      <c r="M1317" t="s">
        <v>1574</v>
      </c>
      <c r="N1317" t="s">
        <v>1574</v>
      </c>
      <c r="O1317" t="s">
        <v>1578</v>
      </c>
      <c r="P1317" t="s">
        <v>1576</v>
      </c>
      <c r="Q1317" t="s">
        <v>1579</v>
      </c>
      <c r="R1317" t="s">
        <v>1580</v>
      </c>
      <c r="S1317" t="s">
        <v>1580</v>
      </c>
      <c r="T1317" t="s">
        <v>1576</v>
      </c>
      <c r="U1317" t="s">
        <v>1576</v>
      </c>
      <c r="V1317" t="str" cm="1">
        <f t="array" aca="1" ref="V1317" ca="1">IFERROR(_xlfn.IFS(A1315="  ..............",OFFSET(A1315,2,0),A1314=" X-------------X",OFFSET(A1314,3,0),MATCH("  ..............",A1317:A1326,0)&gt;2,V1316),"-")</f>
        <v>-</v>
      </c>
      <c r="W1317" t="str">
        <f t="shared" ca="1" si="60"/>
        <v>-</v>
      </c>
      <c r="X1317" t="str">
        <f t="shared" ca="1" si="61"/>
        <v/>
      </c>
      <c r="Y1317" s="1" t="str">
        <f t="shared" ca="1" si="62"/>
        <v/>
      </c>
    </row>
    <row r="1318" spans="1:25" x14ac:dyDescent="0.25">
      <c r="A1318" t="s">
        <v>2538</v>
      </c>
      <c r="B1318">
        <v>0.98899999999999999</v>
      </c>
      <c r="C1318">
        <v>4.3</v>
      </c>
      <c r="D1318">
        <v>0</v>
      </c>
      <c r="E1318">
        <v>27.6</v>
      </c>
      <c r="F1318">
        <v>0</v>
      </c>
      <c r="G1318">
        <v>3.5</v>
      </c>
      <c r="H1318">
        <v>0</v>
      </c>
      <c r="I1318" t="s">
        <v>1581</v>
      </c>
      <c r="J1318" t="s">
        <v>1581</v>
      </c>
      <c r="K1318" t="s">
        <v>1581</v>
      </c>
      <c r="L1318" t="s">
        <v>1581</v>
      </c>
      <c r="M1318" t="s">
        <v>1581</v>
      </c>
      <c r="N1318" t="s">
        <v>1581</v>
      </c>
      <c r="O1318" t="s">
        <v>1581</v>
      </c>
      <c r="P1318" t="s">
        <v>1581</v>
      </c>
      <c r="Q1318" t="s">
        <v>1581</v>
      </c>
      <c r="R1318" t="s">
        <v>1581</v>
      </c>
      <c r="S1318" t="s">
        <v>1581</v>
      </c>
      <c r="T1318" t="s">
        <v>1581</v>
      </c>
      <c r="U1318" t="s">
        <v>1581</v>
      </c>
      <c r="V1318" t="str" cm="1">
        <f t="array" aca="1" ref="V1318" ca="1">IFERROR(_xlfn.IFS(A1316="  ..............",OFFSET(A1316,2,0),A1315=" X-------------X",OFFSET(A1315,3,0),MATCH("  ..............",A1318:A1327,0)&gt;2,V1317),"-")</f>
        <v>-</v>
      </c>
      <c r="W1318" t="str">
        <f t="shared" ca="1" si="60"/>
        <v>-</v>
      </c>
      <c r="X1318" t="str">
        <f t="shared" ca="1" si="61"/>
        <v xml:space="preserve">              </v>
      </c>
      <c r="Y1318" s="1">
        <f t="shared" ca="1" si="62"/>
        <v>0</v>
      </c>
    </row>
    <row r="1319" spans="1:25" x14ac:dyDescent="0.25">
      <c r="A1319" t="s">
        <v>2539</v>
      </c>
      <c r="B1319">
        <v>-52.1</v>
      </c>
      <c r="C1319">
        <v>0</v>
      </c>
      <c r="D1319">
        <v>0</v>
      </c>
      <c r="E1319">
        <v>13</v>
      </c>
      <c r="F1319">
        <v>0</v>
      </c>
      <c r="G1319">
        <v>0</v>
      </c>
      <c r="H1319">
        <v>0</v>
      </c>
      <c r="I1319" t="s">
        <v>1584</v>
      </c>
      <c r="J1319" t="s">
        <v>1585</v>
      </c>
      <c r="K1319" t="s">
        <v>1586</v>
      </c>
      <c r="L1319" t="s">
        <v>1587</v>
      </c>
      <c r="M1319" t="s">
        <v>1587</v>
      </c>
      <c r="N1319" t="s">
        <v>1586</v>
      </c>
      <c r="O1319" t="s">
        <v>1581</v>
      </c>
      <c r="P1319" t="s">
        <v>1581</v>
      </c>
      <c r="Q1319" t="s">
        <v>1581</v>
      </c>
      <c r="R1319" t="s">
        <v>1581</v>
      </c>
      <c r="S1319" t="s">
        <v>1581</v>
      </c>
      <c r="T1319" t="s">
        <v>1581</v>
      </c>
      <c r="U1319" t="s">
        <v>1581</v>
      </c>
      <c r="V1319" t="str" cm="1">
        <f t="array" aca="1" ref="V1319" ca="1">IFERROR(_xlfn.IFS(A1317="  ..............",OFFSET(A1317,2,0),A1316=" X-------------X",OFFSET(A1316,3,0),MATCH("  ..............",A1319:A1328,0)&gt;2,V1318),"-")</f>
        <v xml:space="preserve">  FCUNHA-RS069  </v>
      </c>
      <c r="W1319">
        <f t="shared" ca="1" si="60"/>
        <v>0.98899999999999999</v>
      </c>
      <c r="X1319" t="str">
        <f t="shared" ca="1" si="61"/>
        <v xml:space="preserve"> CAXIA2-RS069 </v>
      </c>
      <c r="Y1319" s="1">
        <f t="shared" ca="1" si="62"/>
        <v>2E-3</v>
      </c>
    </row>
    <row r="1320" spans="1:25" x14ac:dyDescent="0.25">
      <c r="A1320" t="s">
        <v>1588</v>
      </c>
      <c r="B1320" t="s">
        <v>1587</v>
      </c>
      <c r="C1320">
        <v>84</v>
      </c>
      <c r="D1320">
        <v>101</v>
      </c>
      <c r="E1320">
        <v>101</v>
      </c>
      <c r="F1320" s="1">
        <v>0.30299999999999999</v>
      </c>
      <c r="G1320" t="s">
        <v>1587</v>
      </c>
      <c r="H1320" t="s">
        <v>1587</v>
      </c>
      <c r="I1320">
        <v>1201</v>
      </c>
      <c r="J1320" t="s">
        <v>1645</v>
      </c>
      <c r="K1320">
        <v>1</v>
      </c>
      <c r="L1320">
        <v>-23.3</v>
      </c>
      <c r="M1320">
        <v>-9.5</v>
      </c>
      <c r="N1320">
        <v>25.4</v>
      </c>
      <c r="O1320" t="s">
        <v>1594</v>
      </c>
      <c r="P1320" t="s">
        <v>1584</v>
      </c>
      <c r="Q1320" t="s">
        <v>1591</v>
      </c>
      <c r="R1320">
        <v>0.25</v>
      </c>
      <c r="S1320">
        <v>0.7</v>
      </c>
      <c r="T1320" t="s">
        <v>1584</v>
      </c>
      <c r="U1320" t="s">
        <v>1592</v>
      </c>
      <c r="V1320" t="str" cm="1">
        <f t="array" aca="1" ref="V1320" ca="1">IFERROR(_xlfn.IFS(A1318="  ..............",OFFSET(A1318,2,0),A1317=" X-------------X",OFFSET(A1317,3,0),MATCH("  ..............",A1320:A1329,0)&gt;2,V1319),"-")</f>
        <v>-</v>
      </c>
      <c r="W1320" t="str">
        <f t="shared" ca="1" si="60"/>
        <v>-</v>
      </c>
      <c r="X1320" t="str">
        <f t="shared" ca="1" si="61"/>
        <v>-</v>
      </c>
      <c r="Y1320" s="1" t="str">
        <f t="shared" ca="1" si="62"/>
        <v>-</v>
      </c>
    </row>
    <row r="1321" spans="1:25" x14ac:dyDescent="0.25">
      <c r="A1321" t="s">
        <v>1572</v>
      </c>
      <c r="B1321" t="s">
        <v>1574</v>
      </c>
      <c r="C1321" t="s">
        <v>1574</v>
      </c>
      <c r="D1321" t="s">
        <v>1574</v>
      </c>
      <c r="E1321" t="s">
        <v>1574</v>
      </c>
      <c r="F1321" t="s">
        <v>1575</v>
      </c>
      <c r="G1321" t="s">
        <v>1574</v>
      </c>
      <c r="H1321" t="s">
        <v>1574</v>
      </c>
      <c r="I1321" t="s">
        <v>1576</v>
      </c>
      <c r="J1321" t="s">
        <v>1573</v>
      </c>
      <c r="K1321" t="s">
        <v>1577</v>
      </c>
      <c r="L1321" t="s">
        <v>1574</v>
      </c>
      <c r="M1321" t="s">
        <v>1574</v>
      </c>
      <c r="N1321" t="s">
        <v>1574</v>
      </c>
      <c r="O1321" t="s">
        <v>1578</v>
      </c>
      <c r="P1321" t="s">
        <v>1576</v>
      </c>
      <c r="Q1321" t="s">
        <v>1579</v>
      </c>
      <c r="R1321" t="s">
        <v>1580</v>
      </c>
      <c r="S1321" t="s">
        <v>1580</v>
      </c>
      <c r="T1321" t="s">
        <v>1576</v>
      </c>
      <c r="U1321" t="s">
        <v>1576</v>
      </c>
      <c r="V1321" t="str" cm="1">
        <f t="array" aca="1" ref="V1321" ca="1">IFERROR(_xlfn.IFS(A1319="  ..............",OFFSET(A1319,2,0),A1318=" X-------------X",OFFSET(A1318,3,0),MATCH("  ..............",A1321:A1330,0)&gt;2,V1320),"-")</f>
        <v>-</v>
      </c>
      <c r="W1321" t="str">
        <f t="shared" ca="1" si="60"/>
        <v>-</v>
      </c>
      <c r="X1321" t="str">
        <f t="shared" ca="1" si="61"/>
        <v/>
      </c>
      <c r="Y1321" s="1" t="str">
        <f t="shared" ca="1" si="62"/>
        <v/>
      </c>
    </row>
    <row r="1322" spans="1:25" x14ac:dyDescent="0.25">
      <c r="A1322" t="s">
        <v>2540</v>
      </c>
      <c r="B1322">
        <v>0.96499999999999997</v>
      </c>
      <c r="C1322">
        <v>0.3</v>
      </c>
      <c r="D1322">
        <v>0</v>
      </c>
      <c r="E1322">
        <v>2.8</v>
      </c>
      <c r="F1322">
        <v>0</v>
      </c>
      <c r="G1322">
        <v>0</v>
      </c>
      <c r="H1322">
        <v>0</v>
      </c>
      <c r="I1322" t="s">
        <v>1581</v>
      </c>
      <c r="J1322" t="s">
        <v>1581</v>
      </c>
      <c r="K1322" t="s">
        <v>1581</v>
      </c>
      <c r="L1322" t="s">
        <v>1581</v>
      </c>
      <c r="M1322" t="s">
        <v>1581</v>
      </c>
      <c r="N1322" t="s">
        <v>1581</v>
      </c>
      <c r="O1322" t="s">
        <v>1581</v>
      </c>
      <c r="P1322" t="s">
        <v>1581</v>
      </c>
      <c r="Q1322" t="s">
        <v>1581</v>
      </c>
      <c r="R1322" t="s">
        <v>1581</v>
      </c>
      <c r="S1322" t="s">
        <v>1581</v>
      </c>
      <c r="T1322" t="s">
        <v>1581</v>
      </c>
      <c r="U1322" t="s">
        <v>1581</v>
      </c>
      <c r="V1322" t="str" cm="1">
        <f t="array" aca="1" ref="V1322" ca="1">IFERROR(_xlfn.IFS(A1320="  ..............",OFFSET(A1320,2,0),A1319=" X-------------X",OFFSET(A1319,3,0),MATCH("  ..............",A1322:A1331,0)&gt;2,V1321),"-")</f>
        <v>-</v>
      </c>
      <c r="W1322" t="str">
        <f t="shared" ca="1" si="60"/>
        <v>-</v>
      </c>
      <c r="X1322" t="str">
        <f t="shared" ca="1" si="61"/>
        <v xml:space="preserve">              </v>
      </c>
      <c r="Y1322" s="1">
        <f t="shared" ca="1" si="62"/>
        <v>0</v>
      </c>
    </row>
    <row r="1323" spans="1:25" x14ac:dyDescent="0.25">
      <c r="A1323" t="s">
        <v>2541</v>
      </c>
      <c r="B1323">
        <v>-55.1</v>
      </c>
      <c r="C1323">
        <v>0</v>
      </c>
      <c r="D1323">
        <v>0</v>
      </c>
      <c r="E1323">
        <v>1.2</v>
      </c>
      <c r="F1323">
        <v>0</v>
      </c>
      <c r="G1323">
        <v>0</v>
      </c>
      <c r="H1323">
        <v>0</v>
      </c>
      <c r="I1323" t="s">
        <v>1584</v>
      </c>
      <c r="J1323" t="s">
        <v>1585</v>
      </c>
      <c r="K1323" t="s">
        <v>1586</v>
      </c>
      <c r="L1323" t="s">
        <v>1587</v>
      </c>
      <c r="M1323" t="s">
        <v>1587</v>
      </c>
      <c r="N1323" t="s">
        <v>1586</v>
      </c>
      <c r="O1323" t="s">
        <v>1581</v>
      </c>
      <c r="P1323" t="s">
        <v>1581</v>
      </c>
      <c r="Q1323" t="s">
        <v>1581</v>
      </c>
      <c r="R1323" t="s">
        <v>1581</v>
      </c>
      <c r="S1323" t="s">
        <v>1581</v>
      </c>
      <c r="T1323" t="s">
        <v>1581</v>
      </c>
      <c r="U1323" t="s">
        <v>1581</v>
      </c>
      <c r="V1323" t="str" cm="1">
        <f t="array" aca="1" ref="V1323" ca="1">IFERROR(_xlfn.IFS(A1321="  ..............",OFFSET(A1321,2,0),A1320=" X-------------X",OFFSET(A1320,3,0),MATCH("  ..............",A1323:A1332,0)&gt;2,V1322),"-")</f>
        <v xml:space="preserve">  PALE6B-RS013  </v>
      </c>
      <c r="W1323">
        <f t="shared" ca="1" si="60"/>
        <v>0.96499999999999997</v>
      </c>
      <c r="X1323" t="str">
        <f t="shared" ca="1" si="61"/>
        <v xml:space="preserve"> PALGR6-RS069 </v>
      </c>
      <c r="Y1323" s="1">
        <f t="shared" ca="1" si="62"/>
        <v>0.185</v>
      </c>
    </row>
    <row r="1324" spans="1:25" x14ac:dyDescent="0.25">
      <c r="A1324" t="s">
        <v>1588</v>
      </c>
      <c r="B1324" t="s">
        <v>1587</v>
      </c>
      <c r="C1324">
        <v>31</v>
      </c>
      <c r="D1324">
        <v>31</v>
      </c>
      <c r="E1324">
        <v>31</v>
      </c>
      <c r="F1324" s="1">
        <v>9.2999999999999999E-2</v>
      </c>
      <c r="G1324" t="s">
        <v>1587</v>
      </c>
      <c r="H1324" t="s">
        <v>1587</v>
      </c>
      <c r="I1324">
        <v>1262</v>
      </c>
      <c r="J1324" t="s">
        <v>2438</v>
      </c>
      <c r="K1324">
        <v>1</v>
      </c>
      <c r="L1324">
        <v>-2.5</v>
      </c>
      <c r="M1324">
        <v>-1.2</v>
      </c>
      <c r="N1324">
        <v>2.9</v>
      </c>
      <c r="O1324" t="s">
        <v>1594</v>
      </c>
      <c r="P1324" t="s">
        <v>1584</v>
      </c>
      <c r="Q1324" t="s">
        <v>1591</v>
      </c>
      <c r="R1324">
        <v>0</v>
      </c>
      <c r="S1324">
        <v>0.03</v>
      </c>
      <c r="T1324" t="s">
        <v>1584</v>
      </c>
      <c r="U1324" t="s">
        <v>1592</v>
      </c>
      <c r="V1324" t="str" cm="1">
        <f t="array" aca="1" ref="V1324" ca="1">IFERROR(_xlfn.IFS(A1322="  ..............",OFFSET(A1322,2,0),A1321=" X-------------X",OFFSET(A1321,3,0),MATCH("  ..............",A1324:A1333,0)&gt;2,V1323),"-")</f>
        <v>-</v>
      </c>
      <c r="W1324" t="str">
        <f t="shared" ca="1" si="60"/>
        <v>-</v>
      </c>
      <c r="X1324" t="str">
        <f t="shared" ca="1" si="61"/>
        <v>-</v>
      </c>
      <c r="Y1324" s="1" t="str">
        <f t="shared" ca="1" si="62"/>
        <v>-</v>
      </c>
    </row>
    <row r="1325" spans="1:25" x14ac:dyDescent="0.25">
      <c r="A1325" t="s">
        <v>1572</v>
      </c>
      <c r="B1325" t="s">
        <v>1574</v>
      </c>
      <c r="C1325" t="s">
        <v>1574</v>
      </c>
      <c r="D1325" t="s">
        <v>1574</v>
      </c>
      <c r="E1325" t="s">
        <v>1574</v>
      </c>
      <c r="F1325" t="s">
        <v>1575</v>
      </c>
      <c r="G1325" t="s">
        <v>1574</v>
      </c>
      <c r="H1325" t="s">
        <v>1574</v>
      </c>
      <c r="I1325" t="s">
        <v>1576</v>
      </c>
      <c r="J1325" t="s">
        <v>1573</v>
      </c>
      <c r="K1325" t="s">
        <v>1577</v>
      </c>
      <c r="L1325" t="s">
        <v>1574</v>
      </c>
      <c r="M1325" t="s">
        <v>1574</v>
      </c>
      <c r="N1325" t="s">
        <v>1574</v>
      </c>
      <c r="O1325" t="s">
        <v>1578</v>
      </c>
      <c r="P1325" t="s">
        <v>1576</v>
      </c>
      <c r="Q1325" t="s">
        <v>1579</v>
      </c>
      <c r="R1325" t="s">
        <v>1580</v>
      </c>
      <c r="S1325" t="s">
        <v>1580</v>
      </c>
      <c r="T1325" t="s">
        <v>1576</v>
      </c>
      <c r="U1325" t="s">
        <v>1576</v>
      </c>
      <c r="V1325" t="str" cm="1">
        <f t="array" aca="1" ref="V1325" ca="1">IFERROR(_xlfn.IFS(A1323="  ..............",OFFSET(A1323,2,0),A1322=" X-------------X",OFFSET(A1322,3,0),MATCH("  ..............",A1325:A1334,0)&gt;2,V1324),"-")</f>
        <v>-</v>
      </c>
      <c r="W1325" t="str">
        <f t="shared" ca="1" si="60"/>
        <v>-</v>
      </c>
      <c r="X1325" t="str">
        <f t="shared" ca="1" si="61"/>
        <v/>
      </c>
      <c r="Y1325" s="1" t="str">
        <f t="shared" ca="1" si="62"/>
        <v/>
      </c>
    </row>
    <row r="1326" spans="1:25" x14ac:dyDescent="0.25">
      <c r="A1326" t="s">
        <v>2542</v>
      </c>
      <c r="B1326">
        <v>1.0509999999999999</v>
      </c>
      <c r="C1326">
        <v>0.4</v>
      </c>
      <c r="D1326">
        <v>0</v>
      </c>
      <c r="E1326">
        <v>17.8</v>
      </c>
      <c r="F1326">
        <v>0</v>
      </c>
      <c r="G1326">
        <v>4</v>
      </c>
      <c r="H1326">
        <v>0</v>
      </c>
      <c r="I1326" t="s">
        <v>1581</v>
      </c>
      <c r="J1326" t="s">
        <v>1581</v>
      </c>
      <c r="K1326" t="s">
        <v>1581</v>
      </c>
      <c r="L1326" t="s">
        <v>1581</v>
      </c>
      <c r="M1326" t="s">
        <v>1581</v>
      </c>
      <c r="N1326" t="s">
        <v>1581</v>
      </c>
      <c r="O1326" t="s">
        <v>1581</v>
      </c>
      <c r="P1326" t="s">
        <v>1581</v>
      </c>
      <c r="Q1326" t="s">
        <v>1581</v>
      </c>
      <c r="R1326" t="s">
        <v>1581</v>
      </c>
      <c r="S1326" t="s">
        <v>1581</v>
      </c>
      <c r="T1326" t="s">
        <v>1581</v>
      </c>
      <c r="U1326" t="s">
        <v>1581</v>
      </c>
      <c r="V1326" t="str" cm="1">
        <f t="array" aca="1" ref="V1326" ca="1">IFERROR(_xlfn.IFS(A1324="  ..............",OFFSET(A1324,2,0),A1323=" X-------------X",OFFSET(A1323,3,0),MATCH("  ..............",A1326:A1335,0)&gt;2,V1325),"-")</f>
        <v>-</v>
      </c>
      <c r="W1326" t="str">
        <f t="shared" ca="1" si="60"/>
        <v>-</v>
      </c>
      <c r="X1326" t="str">
        <f t="shared" ca="1" si="61"/>
        <v xml:space="preserve">              </v>
      </c>
      <c r="Y1326" s="1">
        <f t="shared" ca="1" si="62"/>
        <v>0</v>
      </c>
    </row>
    <row r="1327" spans="1:25" x14ac:dyDescent="0.25">
      <c r="A1327" t="s">
        <v>2543</v>
      </c>
      <c r="B1327">
        <v>-54.2</v>
      </c>
      <c r="C1327">
        <v>0</v>
      </c>
      <c r="D1327">
        <v>0</v>
      </c>
      <c r="E1327">
        <v>3.9</v>
      </c>
      <c r="F1327">
        <v>0</v>
      </c>
      <c r="G1327">
        <v>0</v>
      </c>
      <c r="H1327">
        <v>0</v>
      </c>
      <c r="I1327" t="s">
        <v>1584</v>
      </c>
      <c r="J1327" t="s">
        <v>1585</v>
      </c>
      <c r="K1327" t="s">
        <v>1586</v>
      </c>
      <c r="L1327" t="s">
        <v>1587</v>
      </c>
      <c r="M1327" t="s">
        <v>1587</v>
      </c>
      <c r="N1327" t="s">
        <v>1586</v>
      </c>
      <c r="O1327" t="s">
        <v>1581</v>
      </c>
      <c r="P1327" t="s">
        <v>1581</v>
      </c>
      <c r="Q1327" t="s">
        <v>1581</v>
      </c>
      <c r="R1327" t="s">
        <v>1581</v>
      </c>
      <c r="S1327" t="s">
        <v>1581</v>
      </c>
      <c r="T1327" t="s">
        <v>1581</v>
      </c>
      <c r="U1327" t="s">
        <v>1581</v>
      </c>
      <c r="V1327" t="str" cm="1">
        <f t="array" aca="1" ref="V1327" ca="1">IFERROR(_xlfn.IFS(A1325="  ..............",OFFSET(A1325,2,0),A1324=" X-------------X",OFFSET(A1324,3,0),MATCH("  ..............",A1327:A1336,0)&gt;2,V1326),"-")</f>
        <v xml:space="preserve">  PAL10B-RS013  </v>
      </c>
      <c r="W1327">
        <f t="shared" ca="1" si="60"/>
        <v>1.0509999999999999</v>
      </c>
      <c r="X1327" t="str">
        <f t="shared" ca="1" si="61"/>
        <v xml:space="preserve"> PA10-5-RS000 </v>
      </c>
      <c r="Y1327" s="1">
        <f t="shared" ca="1" si="62"/>
        <v>0.33100000000000002</v>
      </c>
    </row>
    <row r="1328" spans="1:25" x14ac:dyDescent="0.25">
      <c r="A1328" t="s">
        <v>1588</v>
      </c>
      <c r="B1328" t="s">
        <v>1587</v>
      </c>
      <c r="C1328">
        <v>50</v>
      </c>
      <c r="D1328">
        <v>50</v>
      </c>
      <c r="E1328">
        <v>50</v>
      </c>
      <c r="F1328" s="1">
        <v>0.33100000000000002</v>
      </c>
      <c r="G1328" t="s">
        <v>1587</v>
      </c>
      <c r="H1328" t="s">
        <v>1587</v>
      </c>
      <c r="I1328">
        <v>41312</v>
      </c>
      <c r="J1328" t="s">
        <v>2544</v>
      </c>
      <c r="K1328">
        <v>5</v>
      </c>
      <c r="L1328">
        <v>-17.399999999999999</v>
      </c>
      <c r="M1328">
        <v>0.1</v>
      </c>
      <c r="N1328">
        <v>16.600000000000001</v>
      </c>
      <c r="O1328" t="s">
        <v>1608</v>
      </c>
      <c r="P1328" t="s">
        <v>1584</v>
      </c>
      <c r="Q1328">
        <v>2</v>
      </c>
      <c r="R1328">
        <v>0.01</v>
      </c>
      <c r="S1328">
        <v>-0.06</v>
      </c>
      <c r="T1328" t="s">
        <v>1584</v>
      </c>
      <c r="U1328" t="s">
        <v>1592</v>
      </c>
      <c r="V1328" t="str" cm="1">
        <f t="array" aca="1" ref="V1328" ca="1">IFERROR(_xlfn.IFS(A1326="  ..............",OFFSET(A1326,2,0),A1325=" X-------------X",OFFSET(A1325,3,0),MATCH("  ..............",A1328:A1337,0)&gt;2,V1327),"-")</f>
        <v>-</v>
      </c>
      <c r="W1328" t="str">
        <f t="shared" ca="1" si="60"/>
        <v>-</v>
      </c>
      <c r="X1328" t="str">
        <f t="shared" ca="1" si="61"/>
        <v>-</v>
      </c>
      <c r="Y1328" s="1" t="str">
        <f t="shared" ca="1" si="62"/>
        <v>-</v>
      </c>
    </row>
    <row r="1329" spans="1:25" x14ac:dyDescent="0.25">
      <c r="A1329" t="s">
        <v>1572</v>
      </c>
      <c r="B1329" t="s">
        <v>1574</v>
      </c>
      <c r="C1329" t="s">
        <v>1574</v>
      </c>
      <c r="D1329" t="s">
        <v>1574</v>
      </c>
      <c r="E1329" t="s">
        <v>1574</v>
      </c>
      <c r="F1329" t="s">
        <v>1575</v>
      </c>
      <c r="G1329" t="s">
        <v>1574</v>
      </c>
      <c r="H1329" t="s">
        <v>1574</v>
      </c>
      <c r="I1329" t="s">
        <v>1576</v>
      </c>
      <c r="J1329" t="s">
        <v>1573</v>
      </c>
      <c r="K1329" t="s">
        <v>1577</v>
      </c>
      <c r="L1329" t="s">
        <v>1574</v>
      </c>
      <c r="M1329" t="s">
        <v>1574</v>
      </c>
      <c r="N1329" t="s">
        <v>1574</v>
      </c>
      <c r="O1329" t="s">
        <v>1578</v>
      </c>
      <c r="P1329" t="s">
        <v>1576</v>
      </c>
      <c r="Q1329" t="s">
        <v>1579</v>
      </c>
      <c r="R1329" t="s">
        <v>1580</v>
      </c>
      <c r="S1329" t="s">
        <v>1580</v>
      </c>
      <c r="T1329" t="s">
        <v>1576</v>
      </c>
      <c r="U1329" t="s">
        <v>1576</v>
      </c>
      <c r="V1329" t="str" cm="1">
        <f t="array" aca="1" ref="V1329" ca="1">IFERROR(_xlfn.IFS(A1327="  ..............",OFFSET(A1327,2,0),A1326=" X-------------X",OFFSET(A1326,3,0),MATCH("  ..............",A1329:A1338,0)&gt;2,V1328),"-")</f>
        <v>-</v>
      </c>
      <c r="W1329" t="str">
        <f t="shared" ca="1" si="60"/>
        <v>-</v>
      </c>
      <c r="X1329" t="str">
        <f t="shared" ca="1" si="61"/>
        <v/>
      </c>
      <c r="Y1329" s="1" t="str">
        <f t="shared" ca="1" si="62"/>
        <v/>
      </c>
    </row>
    <row r="1330" spans="1:25" x14ac:dyDescent="0.25">
      <c r="A1330" t="s">
        <v>2545</v>
      </c>
      <c r="B1330">
        <v>1.014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 t="s">
        <v>1581</v>
      </c>
      <c r="J1330" t="s">
        <v>1581</v>
      </c>
      <c r="K1330" t="s">
        <v>1581</v>
      </c>
      <c r="L1330" t="s">
        <v>1581</v>
      </c>
      <c r="M1330" t="s">
        <v>1581</v>
      </c>
      <c r="N1330" t="s">
        <v>1581</v>
      </c>
      <c r="O1330" t="s">
        <v>1581</v>
      </c>
      <c r="P1330" t="s">
        <v>1581</v>
      </c>
      <c r="Q1330" t="s">
        <v>1581</v>
      </c>
      <c r="R1330" t="s">
        <v>1581</v>
      </c>
      <c r="S1330" t="s">
        <v>1581</v>
      </c>
      <c r="T1330" t="s">
        <v>1581</v>
      </c>
      <c r="U1330" t="s">
        <v>1581</v>
      </c>
      <c r="V1330" t="str" cm="1">
        <f t="array" aca="1" ref="V1330" ca="1">IFERROR(_xlfn.IFS(A1328="  ..............",OFFSET(A1328,2,0),A1327=" X-------------X",OFFSET(A1327,3,0),MATCH("  ..............",A1330:A1339,0)&gt;2,V1329),"-")</f>
        <v>-</v>
      </c>
      <c r="W1330" t="str">
        <f t="shared" ca="1" si="60"/>
        <v>-</v>
      </c>
      <c r="X1330" t="str">
        <f t="shared" ca="1" si="61"/>
        <v xml:space="preserve">              </v>
      </c>
      <c r="Y1330" s="1">
        <f t="shared" ca="1" si="62"/>
        <v>0</v>
      </c>
    </row>
    <row r="1331" spans="1:25" x14ac:dyDescent="0.25">
      <c r="A1331" t="s">
        <v>2546</v>
      </c>
      <c r="B1331">
        <v>-55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 t="s">
        <v>1584</v>
      </c>
      <c r="J1331" t="s">
        <v>1585</v>
      </c>
      <c r="K1331" t="s">
        <v>1586</v>
      </c>
      <c r="L1331" t="s">
        <v>1587</v>
      </c>
      <c r="M1331" t="s">
        <v>1587</v>
      </c>
      <c r="N1331" t="s">
        <v>1586</v>
      </c>
      <c r="O1331" t="s">
        <v>1581</v>
      </c>
      <c r="P1331" t="s">
        <v>1581</v>
      </c>
      <c r="Q1331" t="s">
        <v>1581</v>
      </c>
      <c r="R1331" t="s">
        <v>1581</v>
      </c>
      <c r="S1331" t="s">
        <v>1581</v>
      </c>
      <c r="T1331" t="s">
        <v>1581</v>
      </c>
      <c r="U1331" t="s">
        <v>1581</v>
      </c>
      <c r="V1331" t="str" cm="1">
        <f t="array" aca="1" ref="V1331" ca="1">IFERROR(_xlfn.IFS(A1329="  ..............",OFFSET(A1329,2,0),A1328=" X-------------X",OFFSET(A1328,3,0),MATCH("  ..............",A1331:A1340,0)&gt;2,V1330),"-")</f>
        <v xml:space="preserve">  RESTIN-RS069  </v>
      </c>
      <c r="W1331">
        <f t="shared" ca="1" si="60"/>
        <v>1.014</v>
      </c>
      <c r="X1331" t="str">
        <f t="shared" ca="1" si="61"/>
        <v xml:space="preserve"> PALE14-RS069 </v>
      </c>
      <c r="Y1331" s="1">
        <f t="shared" ca="1" si="62"/>
        <v>0.69399999999999995</v>
      </c>
    </row>
    <row r="1332" spans="1:25" x14ac:dyDescent="0.25">
      <c r="A1332" t="s">
        <v>1588</v>
      </c>
      <c r="B1332" t="s">
        <v>1587</v>
      </c>
      <c r="C1332">
        <v>54</v>
      </c>
      <c r="D1332">
        <v>79</v>
      </c>
      <c r="E1332">
        <v>79</v>
      </c>
      <c r="F1332" s="1">
        <v>0.69399999999999995</v>
      </c>
      <c r="G1332" t="s">
        <v>1587</v>
      </c>
      <c r="H1332" t="s">
        <v>1587</v>
      </c>
      <c r="I1332">
        <v>9268</v>
      </c>
      <c r="J1332" t="s">
        <v>2547</v>
      </c>
      <c r="K1332">
        <v>1</v>
      </c>
      <c r="L1332">
        <v>38</v>
      </c>
      <c r="M1332">
        <v>-1.8</v>
      </c>
      <c r="N1332">
        <v>37.5</v>
      </c>
      <c r="O1332" t="s">
        <v>1594</v>
      </c>
      <c r="P1332" t="s">
        <v>1584</v>
      </c>
      <c r="Q1332" t="s">
        <v>1591</v>
      </c>
      <c r="R1332">
        <v>0.18</v>
      </c>
      <c r="S1332">
        <v>0.53</v>
      </c>
      <c r="T1332" t="s">
        <v>1584</v>
      </c>
      <c r="U1332" t="s">
        <v>1592</v>
      </c>
      <c r="V1332" t="str" cm="1">
        <f t="array" aca="1" ref="V1332" ca="1">IFERROR(_xlfn.IFS(A1330="  ..............",OFFSET(A1330,2,0),A1329=" X-------------X",OFFSET(A1329,3,0),MATCH("  ..............",A1332:A1341,0)&gt;2,V1331),"-")</f>
        <v xml:space="preserve">  RESTIN-RS069  </v>
      </c>
      <c r="W1332">
        <f t="shared" ca="1" si="60"/>
        <v>1.014</v>
      </c>
      <c r="X1332" t="str">
        <f t="shared" ca="1" si="61"/>
        <v xml:space="preserve"> PALE15TAP069 </v>
      </c>
      <c r="Y1332" s="1">
        <f t="shared" ca="1" si="62"/>
        <v>0.312</v>
      </c>
    </row>
    <row r="1333" spans="1:25" x14ac:dyDescent="0.25">
      <c r="A1333" t="s">
        <v>1588</v>
      </c>
      <c r="B1333" t="s">
        <v>1587</v>
      </c>
      <c r="C1333">
        <v>54</v>
      </c>
      <c r="D1333">
        <v>79</v>
      </c>
      <c r="E1333">
        <v>79</v>
      </c>
      <c r="F1333" s="1">
        <v>0.48599999999999999</v>
      </c>
      <c r="G1333" t="s">
        <v>1587</v>
      </c>
      <c r="H1333" t="s">
        <v>1587</v>
      </c>
      <c r="I1333">
        <v>9272</v>
      </c>
      <c r="J1333" t="s">
        <v>2489</v>
      </c>
      <c r="K1333">
        <v>1</v>
      </c>
      <c r="L1333">
        <v>26.5</v>
      </c>
      <c r="M1333">
        <v>2</v>
      </c>
      <c r="N1333">
        <v>26.2</v>
      </c>
      <c r="O1333" t="s">
        <v>1594</v>
      </c>
      <c r="P1333" t="s">
        <v>1584</v>
      </c>
      <c r="Q1333" t="s">
        <v>1591</v>
      </c>
      <c r="R1333">
        <v>0.09</v>
      </c>
      <c r="S1333">
        <v>0.22</v>
      </c>
      <c r="T1333" t="s">
        <v>1584</v>
      </c>
      <c r="U1333" t="s">
        <v>1592</v>
      </c>
      <c r="V1333" t="str" cm="1">
        <f t="array" aca="1" ref="V1333" ca="1">IFERROR(_xlfn.IFS(A1331="  ..............",OFFSET(A1331,2,0),A1330=" X-------------X",OFFSET(A1330,3,0),MATCH("  ..............",A1333:A1342,0)&gt;2,V1332),"-")</f>
        <v xml:space="preserve">  RESTIN-RS069  </v>
      </c>
      <c r="W1333">
        <f t="shared" ca="1" si="60"/>
        <v>1.014</v>
      </c>
      <c r="X1333" t="str">
        <f t="shared" ca="1" si="61"/>
        <v xml:space="preserve"> RINCAO-RS069 </v>
      </c>
      <c r="Y1333" s="1">
        <f t="shared" ca="1" si="62"/>
        <v>0.14099999999999999</v>
      </c>
    </row>
    <row r="1334" spans="1:25" x14ac:dyDescent="0.25">
      <c r="A1334" t="s">
        <v>1588</v>
      </c>
      <c r="B1334" t="s">
        <v>1587</v>
      </c>
      <c r="C1334">
        <v>54</v>
      </c>
      <c r="D1334">
        <v>79</v>
      </c>
      <c r="E1334">
        <v>79</v>
      </c>
      <c r="F1334" s="1">
        <v>0.14099999999999999</v>
      </c>
      <c r="G1334" t="s">
        <v>1587</v>
      </c>
      <c r="H1334" t="s">
        <v>1587</v>
      </c>
      <c r="I1334">
        <v>9276</v>
      </c>
      <c r="J1334" t="s">
        <v>2548</v>
      </c>
      <c r="K1334">
        <v>1</v>
      </c>
      <c r="L1334">
        <v>7.5</v>
      </c>
      <c r="M1334">
        <v>1.9</v>
      </c>
      <c r="N1334">
        <v>7.6</v>
      </c>
      <c r="O1334" t="s">
        <v>1594</v>
      </c>
      <c r="P1334" t="s">
        <v>1584</v>
      </c>
      <c r="Q1334" t="s">
        <v>1591</v>
      </c>
      <c r="R1334">
        <v>0</v>
      </c>
      <c r="S1334">
        <v>-0.02</v>
      </c>
      <c r="T1334" t="s">
        <v>1584</v>
      </c>
      <c r="U1334" t="s">
        <v>1592</v>
      </c>
      <c r="V1334" t="str" cm="1">
        <f t="array" aca="1" ref="V1334" ca="1">IFERROR(_xlfn.IFS(A1332="  ..............",OFFSET(A1332,2,0),A1331=" X-------------X",OFFSET(A1331,3,0),MATCH("  ..............",A1334:A1343,0)&gt;2,V1333),"-")</f>
        <v xml:space="preserve">  RESTIN-RS069  </v>
      </c>
      <c r="W1334">
        <f t="shared" ca="1" si="60"/>
        <v>1.014</v>
      </c>
      <c r="X1334" t="str">
        <f t="shared" ca="1" si="61"/>
        <v xml:space="preserve"> REST-2-RS000 </v>
      </c>
      <c r="Y1334" s="1">
        <f t="shared" ca="1" si="62"/>
        <v>0.42799999999999999</v>
      </c>
    </row>
    <row r="1335" spans="1:25" x14ac:dyDescent="0.25">
      <c r="A1335" t="s">
        <v>1588</v>
      </c>
      <c r="B1335" t="s">
        <v>1587</v>
      </c>
      <c r="C1335">
        <v>83</v>
      </c>
      <c r="D1335">
        <v>100</v>
      </c>
      <c r="E1335">
        <v>100</v>
      </c>
      <c r="F1335" s="1">
        <v>0.42799999999999999</v>
      </c>
      <c r="G1335" t="s">
        <v>1587</v>
      </c>
      <c r="H1335" t="s">
        <v>1587</v>
      </c>
      <c r="I1335">
        <v>43929</v>
      </c>
      <c r="J1335" t="s">
        <v>2549</v>
      </c>
      <c r="K1335">
        <v>2</v>
      </c>
      <c r="L1335">
        <v>-36</v>
      </c>
      <c r="M1335">
        <v>-1</v>
      </c>
      <c r="N1335">
        <v>35.5</v>
      </c>
      <c r="O1335" t="s">
        <v>1608</v>
      </c>
      <c r="P1335" t="s">
        <v>1584</v>
      </c>
      <c r="Q1335">
        <v>2</v>
      </c>
      <c r="R1335">
        <v>0.02</v>
      </c>
      <c r="S1335">
        <v>-0.12</v>
      </c>
      <c r="T1335" t="s">
        <v>1584</v>
      </c>
      <c r="U1335" t="s">
        <v>1592</v>
      </c>
      <c r="V1335" t="str" cm="1">
        <f t="array" aca="1" ref="V1335" ca="1">IFERROR(_xlfn.IFS(A1333="  ..............",OFFSET(A1333,2,0),A1332=" X-------------X",OFFSET(A1332,3,0),MATCH("  ..............",A1335:A1344,0)&gt;2,V1334),"-")</f>
        <v xml:space="preserve">  RESTIN-RS069  </v>
      </c>
      <c r="W1335">
        <f t="shared" ca="1" si="60"/>
        <v>1.014</v>
      </c>
      <c r="X1335" t="str">
        <f t="shared" ca="1" si="61"/>
        <v xml:space="preserve"> REST-1-RS000 </v>
      </c>
      <c r="Y1335" s="1">
        <f t="shared" ca="1" si="62"/>
        <v>0.42799999999999999</v>
      </c>
    </row>
    <row r="1336" spans="1:25" x14ac:dyDescent="0.25">
      <c r="A1336" t="s">
        <v>1588</v>
      </c>
      <c r="B1336" t="s">
        <v>1587</v>
      </c>
      <c r="C1336">
        <v>83</v>
      </c>
      <c r="D1336">
        <v>100</v>
      </c>
      <c r="E1336">
        <v>100</v>
      </c>
      <c r="F1336" s="1">
        <v>0.42799999999999999</v>
      </c>
      <c r="G1336" t="s">
        <v>1587</v>
      </c>
      <c r="H1336" t="s">
        <v>1587</v>
      </c>
      <c r="I1336">
        <v>43931</v>
      </c>
      <c r="J1336" t="s">
        <v>2550</v>
      </c>
      <c r="K1336">
        <v>1</v>
      </c>
      <c r="L1336">
        <v>-36</v>
      </c>
      <c r="M1336">
        <v>-1.1000000000000001</v>
      </c>
      <c r="N1336">
        <v>35.5</v>
      </c>
      <c r="O1336" t="s">
        <v>1608</v>
      </c>
      <c r="P1336" t="s">
        <v>1584</v>
      </c>
      <c r="Q1336">
        <v>2</v>
      </c>
      <c r="R1336">
        <v>0.02</v>
      </c>
      <c r="S1336">
        <v>-0.12</v>
      </c>
      <c r="T1336" t="s">
        <v>1584</v>
      </c>
      <c r="U1336" t="s">
        <v>1592</v>
      </c>
      <c r="V1336" t="str" cm="1">
        <f t="array" aca="1" ref="V1336" ca="1">IFERROR(_xlfn.IFS(A1334="  ..............",OFFSET(A1334,2,0),A1333=" X-------------X",OFFSET(A1333,3,0),MATCH("  ..............",A1336:A1345,0)&gt;2,V1335),"-")</f>
        <v>-</v>
      </c>
      <c r="W1336" t="str">
        <f t="shared" ca="1" si="60"/>
        <v>-</v>
      </c>
      <c r="X1336" t="str">
        <f t="shared" ca="1" si="61"/>
        <v>-</v>
      </c>
      <c r="Y1336" s="1" t="str">
        <f t="shared" ca="1" si="62"/>
        <v>-</v>
      </c>
    </row>
    <row r="1337" spans="1:25" x14ac:dyDescent="0.25">
      <c r="A1337" t="s">
        <v>1572</v>
      </c>
      <c r="B1337" t="s">
        <v>1574</v>
      </c>
      <c r="C1337" t="s">
        <v>1574</v>
      </c>
      <c r="D1337" t="s">
        <v>1574</v>
      </c>
      <c r="E1337" t="s">
        <v>1574</v>
      </c>
      <c r="F1337" t="s">
        <v>1575</v>
      </c>
      <c r="G1337" t="s">
        <v>1574</v>
      </c>
      <c r="H1337" t="s">
        <v>1574</v>
      </c>
      <c r="I1337" t="s">
        <v>1576</v>
      </c>
      <c r="J1337" t="s">
        <v>1573</v>
      </c>
      <c r="K1337" t="s">
        <v>1577</v>
      </c>
      <c r="L1337" t="s">
        <v>1574</v>
      </c>
      <c r="M1337" t="s">
        <v>1574</v>
      </c>
      <c r="N1337" t="s">
        <v>1574</v>
      </c>
      <c r="O1337" t="s">
        <v>1578</v>
      </c>
      <c r="P1337" t="s">
        <v>1576</v>
      </c>
      <c r="Q1337" t="s">
        <v>1579</v>
      </c>
      <c r="R1337" t="s">
        <v>1580</v>
      </c>
      <c r="S1337" t="s">
        <v>1580</v>
      </c>
      <c r="T1337" t="s">
        <v>1576</v>
      </c>
      <c r="U1337" t="s">
        <v>1576</v>
      </c>
      <c r="V1337" t="str" cm="1">
        <f t="array" aca="1" ref="V1337" ca="1">IFERROR(_xlfn.IFS(A1335="  ..............",OFFSET(A1335,2,0),A1334=" X-------------X",OFFSET(A1334,3,0),MATCH("  ..............",A1337:A1346,0)&gt;2,V1336),"-")</f>
        <v>-</v>
      </c>
      <c r="W1337" t="str">
        <f t="shared" ca="1" si="60"/>
        <v>-</v>
      </c>
      <c r="X1337" t="str">
        <f t="shared" ca="1" si="61"/>
        <v/>
      </c>
      <c r="Y1337" s="1" t="str">
        <f t="shared" ca="1" si="62"/>
        <v/>
      </c>
    </row>
    <row r="1338" spans="1:25" x14ac:dyDescent="0.25">
      <c r="A1338" t="s">
        <v>2551</v>
      </c>
      <c r="B1338">
        <v>1.02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 t="s">
        <v>1581</v>
      </c>
      <c r="J1338" t="s">
        <v>1581</v>
      </c>
      <c r="K1338" t="s">
        <v>1581</v>
      </c>
      <c r="L1338" t="s">
        <v>1581</v>
      </c>
      <c r="M1338" t="s">
        <v>1581</v>
      </c>
      <c r="N1338" t="s">
        <v>1581</v>
      </c>
      <c r="O1338" t="s">
        <v>1581</v>
      </c>
      <c r="P1338" t="s">
        <v>1581</v>
      </c>
      <c r="Q1338" t="s">
        <v>1581</v>
      </c>
      <c r="R1338" t="s">
        <v>1581</v>
      </c>
      <c r="S1338" t="s">
        <v>1581</v>
      </c>
      <c r="T1338" t="s">
        <v>1581</v>
      </c>
      <c r="U1338" t="s">
        <v>1581</v>
      </c>
      <c r="V1338" t="str" cm="1">
        <f t="array" aca="1" ref="V1338" ca="1">IFERROR(_xlfn.IFS(A1336="  ..............",OFFSET(A1336,2,0),A1335=" X-------------X",OFFSET(A1335,3,0),MATCH("  ..............",A1338:A1347,0)&gt;2,V1337),"-")</f>
        <v>-</v>
      </c>
      <c r="W1338" t="str">
        <f t="shared" ca="1" si="60"/>
        <v>-</v>
      </c>
      <c r="X1338" t="str">
        <f t="shared" ca="1" si="61"/>
        <v xml:space="preserve">              </v>
      </c>
      <c r="Y1338" s="1">
        <f t="shared" ca="1" si="62"/>
        <v>0</v>
      </c>
    </row>
    <row r="1339" spans="1:25" x14ac:dyDescent="0.25">
      <c r="A1339" t="s">
        <v>2552</v>
      </c>
      <c r="B1339">
        <v>-52.2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 t="s">
        <v>1584</v>
      </c>
      <c r="J1339" t="s">
        <v>1585</v>
      </c>
      <c r="K1339" t="s">
        <v>1586</v>
      </c>
      <c r="L1339" t="s">
        <v>1587</v>
      </c>
      <c r="M1339" t="s">
        <v>1587</v>
      </c>
      <c r="N1339" t="s">
        <v>1586</v>
      </c>
      <c r="O1339" t="s">
        <v>1581</v>
      </c>
      <c r="P1339" t="s">
        <v>1581</v>
      </c>
      <c r="Q1339" t="s">
        <v>1581</v>
      </c>
      <c r="R1339" t="s">
        <v>1581</v>
      </c>
      <c r="S1339" t="s">
        <v>1581</v>
      </c>
      <c r="T1339" t="s">
        <v>1581</v>
      </c>
      <c r="U1339" t="s">
        <v>1581</v>
      </c>
      <c r="V1339" t="str" cm="1">
        <f t="array" aca="1" ref="V1339" ca="1">IFERROR(_xlfn.IFS(A1337="  ..............",OFFSET(A1337,2,0),A1336=" X-------------X",OFFSET(A1336,3,0),MATCH("  ..............",A1339:A1348,0)&gt;2,V1338),"-")</f>
        <v xml:space="preserve">  CACHO3-RS138  </v>
      </c>
      <c r="W1339">
        <f t="shared" ca="1" si="60"/>
        <v>1.02</v>
      </c>
      <c r="X1339" t="str">
        <f t="shared" ca="1" si="61"/>
        <v xml:space="preserve"> CACHOE-RS138 </v>
      </c>
      <c r="Y1339" s="1" t="str">
        <f t="shared" ca="1" si="62"/>
        <v xml:space="preserve">             </v>
      </c>
    </row>
    <row r="1340" spans="1:25" x14ac:dyDescent="0.25">
      <c r="A1340" t="s">
        <v>1588</v>
      </c>
      <c r="B1340" t="s">
        <v>1587</v>
      </c>
      <c r="C1340">
        <v>108</v>
      </c>
      <c r="D1340">
        <v>108</v>
      </c>
      <c r="E1340">
        <v>108</v>
      </c>
      <c r="F1340" s="1">
        <v>0.36899999999999999</v>
      </c>
      <c r="G1340" t="s">
        <v>1587</v>
      </c>
      <c r="H1340" t="s">
        <v>1587</v>
      </c>
      <c r="I1340">
        <v>2068</v>
      </c>
      <c r="J1340" t="s">
        <v>2223</v>
      </c>
      <c r="K1340">
        <v>1</v>
      </c>
      <c r="L1340">
        <v>36.1</v>
      </c>
      <c r="M1340">
        <v>18.7</v>
      </c>
      <c r="N1340">
        <v>39.9</v>
      </c>
      <c r="O1340" t="s">
        <v>1594</v>
      </c>
      <c r="P1340" t="s">
        <v>1584</v>
      </c>
      <c r="Q1340" t="s">
        <v>1591</v>
      </c>
      <c r="R1340">
        <v>0.05</v>
      </c>
      <c r="S1340">
        <v>-0.1</v>
      </c>
      <c r="T1340" t="s">
        <v>1584</v>
      </c>
      <c r="U1340" t="s">
        <v>1592</v>
      </c>
      <c r="V1340" t="str" cm="1">
        <f t="array" aca="1" ref="V1340" ca="1">IFERROR(_xlfn.IFS(A1338="  ..............",OFFSET(A1338,2,0),A1337=" X-------------X",OFFSET(A1337,3,0),MATCH("  ..............",A1340:A1349,0)&gt;2,V1339),"-")</f>
        <v>-</v>
      </c>
      <c r="W1340" t="str">
        <f t="shared" ca="1" si="60"/>
        <v>-</v>
      </c>
      <c r="X1340" t="str">
        <f t="shared" ca="1" si="61"/>
        <v>-</v>
      </c>
      <c r="Y1340" s="1" t="str">
        <f t="shared" ca="1" si="62"/>
        <v>-</v>
      </c>
    </row>
    <row r="1341" spans="1:25" x14ac:dyDescent="0.25">
      <c r="A1341" t="s">
        <v>1588</v>
      </c>
      <c r="B1341" t="s">
        <v>1587</v>
      </c>
      <c r="C1341">
        <v>96</v>
      </c>
      <c r="D1341">
        <v>96</v>
      </c>
      <c r="E1341">
        <v>96</v>
      </c>
      <c r="F1341" s="1">
        <v>7.3999999999999996E-2</v>
      </c>
      <c r="G1341" t="s">
        <v>1587</v>
      </c>
      <c r="H1341" t="s">
        <v>1587</v>
      </c>
      <c r="I1341">
        <v>2068</v>
      </c>
      <c r="J1341" t="s">
        <v>2223</v>
      </c>
      <c r="K1341">
        <v>2</v>
      </c>
      <c r="L1341">
        <v>6.8</v>
      </c>
      <c r="M1341">
        <v>2.5</v>
      </c>
      <c r="N1341">
        <v>7.1</v>
      </c>
      <c r="O1341" t="s">
        <v>1594</v>
      </c>
      <c r="P1341" t="s">
        <v>1584</v>
      </c>
      <c r="Q1341" t="s">
        <v>1591</v>
      </c>
      <c r="R1341">
        <v>0.01</v>
      </c>
      <c r="S1341">
        <v>-1.37</v>
      </c>
      <c r="T1341" t="s">
        <v>1584</v>
      </c>
      <c r="U1341" t="s">
        <v>1592</v>
      </c>
      <c r="V1341" t="str" cm="1">
        <f t="array" aca="1" ref="V1341" ca="1">IFERROR(_xlfn.IFS(A1339="  ..............",OFFSET(A1339,2,0),A1338=" X-------------X",OFFSET(A1338,3,0),MATCH("  ..............",A1341:A1350,0)&gt;2,V1340),"-")</f>
        <v>-</v>
      </c>
      <c r="W1341" t="str">
        <f t="shared" ca="1" si="60"/>
        <v>-</v>
      </c>
      <c r="X1341" t="str">
        <f t="shared" ca="1" si="61"/>
        <v xml:space="preserve"> TAQUAR-RS138 </v>
      </c>
      <c r="Y1341" s="1">
        <f t="shared" ca="1" si="62"/>
        <v>0.33500000000000002</v>
      </c>
    </row>
    <row r="1342" spans="1:25" x14ac:dyDescent="0.25">
      <c r="A1342" t="s">
        <v>1637</v>
      </c>
      <c r="B1342" t="s">
        <v>1638</v>
      </c>
      <c r="C1342">
        <v>96</v>
      </c>
      <c r="D1342">
        <v>96</v>
      </c>
      <c r="E1342">
        <v>96</v>
      </c>
      <c r="F1342" t="s">
        <v>1639</v>
      </c>
      <c r="G1342" t="s">
        <v>1587</v>
      </c>
      <c r="H1342" t="s">
        <v>1587</v>
      </c>
      <c r="I1342">
        <v>2094</v>
      </c>
      <c r="J1342" t="s">
        <v>1983</v>
      </c>
      <c r="K1342">
        <v>1</v>
      </c>
      <c r="L1342">
        <v>0</v>
      </c>
      <c r="M1342">
        <v>0</v>
      </c>
      <c r="N1342">
        <v>0</v>
      </c>
      <c r="O1342" t="s">
        <v>1594</v>
      </c>
      <c r="P1342" t="s">
        <v>1584</v>
      </c>
      <c r="Q1342" t="s">
        <v>1591</v>
      </c>
      <c r="R1342">
        <v>0</v>
      </c>
      <c r="S1342">
        <v>0</v>
      </c>
      <c r="T1342" t="s">
        <v>1584</v>
      </c>
      <c r="U1342" t="s">
        <v>1592</v>
      </c>
      <c r="V1342" t="str" cm="1">
        <f t="array" aca="1" ref="V1342" ca="1">IFERROR(_xlfn.IFS(A1340="  ..............",OFFSET(A1340,2,0),A1339=" X-------------X",OFFSET(A1339,3,0),MATCH("  ..............",A1342:A1351,0)&gt;2,V1341),"-")</f>
        <v>-</v>
      </c>
      <c r="W1342" t="str">
        <f t="shared" ca="1" si="60"/>
        <v>-</v>
      </c>
      <c r="X1342" t="str">
        <f t="shared" ca="1" si="61"/>
        <v xml:space="preserve"> SAPUCA-RS138 </v>
      </c>
      <c r="Y1342" s="1" t="str">
        <f t="shared" ca="1" si="62"/>
        <v xml:space="preserve">             </v>
      </c>
    </row>
    <row r="1343" spans="1:25" x14ac:dyDescent="0.25">
      <c r="A1343" t="s">
        <v>1588</v>
      </c>
      <c r="B1343" t="s">
        <v>1587</v>
      </c>
      <c r="C1343">
        <v>108</v>
      </c>
      <c r="D1343">
        <v>158</v>
      </c>
      <c r="E1343">
        <v>158</v>
      </c>
      <c r="F1343" s="1">
        <v>0.43</v>
      </c>
      <c r="G1343" t="s">
        <v>1587</v>
      </c>
      <c r="H1343" t="s">
        <v>1587</v>
      </c>
      <c r="I1343">
        <v>3000</v>
      </c>
      <c r="J1343" t="s">
        <v>2319</v>
      </c>
      <c r="K1343">
        <v>1</v>
      </c>
      <c r="L1343">
        <v>45.4</v>
      </c>
      <c r="M1343">
        <v>13.8</v>
      </c>
      <c r="N1343">
        <v>46.5</v>
      </c>
      <c r="O1343" t="s">
        <v>1594</v>
      </c>
      <c r="P1343" t="s">
        <v>1584</v>
      </c>
      <c r="Q1343" t="s">
        <v>1591</v>
      </c>
      <c r="R1343">
        <v>0.19</v>
      </c>
      <c r="S1343">
        <v>-0.25</v>
      </c>
      <c r="T1343" t="s">
        <v>1584</v>
      </c>
      <c r="U1343" t="s">
        <v>1592</v>
      </c>
      <c r="V1343" t="str" cm="1">
        <f t="array" aca="1" ref="V1343" ca="1">IFERROR(_xlfn.IFS(A1341="  ..............",OFFSET(A1341,2,0),A1340=" X-------------X",OFFSET(A1340,3,0),MATCH("  ..............",A1343:A1352,0)&gt;2,V1342),"-")</f>
        <v>-</v>
      </c>
      <c r="W1343" t="str">
        <f t="shared" ca="1" si="60"/>
        <v>-</v>
      </c>
      <c r="X1343" t="str">
        <f t="shared" ca="1" si="61"/>
        <v xml:space="preserve"> CANOA3-RS138 </v>
      </c>
      <c r="Y1343" s="1">
        <f t="shared" ca="1" si="62"/>
        <v>0.34100000000000003</v>
      </c>
    </row>
    <row r="1344" spans="1:25" x14ac:dyDescent="0.25">
      <c r="A1344" t="s">
        <v>1637</v>
      </c>
      <c r="B1344" t="s">
        <v>1638</v>
      </c>
      <c r="C1344">
        <v>108</v>
      </c>
      <c r="D1344">
        <v>108</v>
      </c>
      <c r="E1344">
        <v>108</v>
      </c>
      <c r="F1344" t="s">
        <v>1639</v>
      </c>
      <c r="G1344" t="s">
        <v>1587</v>
      </c>
      <c r="H1344" t="s">
        <v>1587</v>
      </c>
      <c r="I1344">
        <v>9214</v>
      </c>
      <c r="J1344" t="s">
        <v>1888</v>
      </c>
      <c r="K1344">
        <v>1</v>
      </c>
      <c r="L1344">
        <v>0</v>
      </c>
      <c r="M1344">
        <v>0</v>
      </c>
      <c r="N1344">
        <v>0</v>
      </c>
      <c r="O1344" t="s">
        <v>1594</v>
      </c>
      <c r="P1344" t="s">
        <v>1584</v>
      </c>
      <c r="Q1344" t="s">
        <v>1591</v>
      </c>
      <c r="R1344">
        <v>0</v>
      </c>
      <c r="S1344">
        <v>0</v>
      </c>
      <c r="T1344" t="s">
        <v>1584</v>
      </c>
      <c r="U1344" t="s">
        <v>1592</v>
      </c>
      <c r="V1344" t="str" cm="1">
        <f t="array" aca="1" ref="V1344" ca="1">IFERROR(_xlfn.IFS(A1342="  ..............",OFFSET(A1342,2,0),A1341=" X-------------X",OFFSET(A1341,3,0),MATCH("  ..............",A1344:A1353,0)&gt;2,V1343),"-")</f>
        <v>-</v>
      </c>
      <c r="W1344" t="str">
        <f t="shared" ca="1" si="60"/>
        <v>-</v>
      </c>
      <c r="X1344" t="str">
        <f t="shared" ca="1" si="61"/>
        <v xml:space="preserve"> ESTEI2-RS138 </v>
      </c>
      <c r="Y1344" s="1">
        <f t="shared" ca="1" si="62"/>
        <v>0.06</v>
      </c>
    </row>
    <row r="1345" spans="1:25" x14ac:dyDescent="0.25">
      <c r="A1345" t="s">
        <v>1588</v>
      </c>
      <c r="B1345" t="s">
        <v>1587</v>
      </c>
      <c r="C1345">
        <v>167</v>
      </c>
      <c r="D1345">
        <v>203</v>
      </c>
      <c r="E1345">
        <v>203</v>
      </c>
      <c r="F1345" s="1">
        <v>0.06</v>
      </c>
      <c r="G1345" t="s">
        <v>1587</v>
      </c>
      <c r="H1345" t="s">
        <v>1587</v>
      </c>
      <c r="I1345">
        <v>10321</v>
      </c>
      <c r="J1345" t="s">
        <v>2553</v>
      </c>
      <c r="K1345">
        <v>1</v>
      </c>
      <c r="L1345">
        <v>9.6999999999999993</v>
      </c>
      <c r="M1345">
        <v>3.1</v>
      </c>
      <c r="N1345">
        <v>9.9</v>
      </c>
      <c r="O1345" t="s">
        <v>1594</v>
      </c>
      <c r="P1345" t="s">
        <v>1584</v>
      </c>
      <c r="Q1345" t="s">
        <v>1591</v>
      </c>
      <c r="R1345">
        <v>0</v>
      </c>
      <c r="S1345">
        <v>-0.47</v>
      </c>
      <c r="T1345" t="s">
        <v>1584</v>
      </c>
      <c r="U1345" t="s">
        <v>1592</v>
      </c>
      <c r="V1345" t="str" cm="1">
        <f t="array" aca="1" ref="V1345" ca="1">IFERROR(_xlfn.IFS(A1343="  ..............",OFFSET(A1343,2,0),A1342=" X-------------X",OFFSET(A1342,3,0),MATCH("  ..............",A1345:A1354,0)&gt;2,V1344),"-")</f>
        <v>-</v>
      </c>
      <c r="W1345" t="str">
        <f t="shared" ca="1" si="60"/>
        <v>-</v>
      </c>
      <c r="X1345" t="str">
        <f t="shared" ca="1" si="61"/>
        <v xml:space="preserve"> ESTEI2-RS138 </v>
      </c>
      <c r="Y1345" s="1">
        <f t="shared" ca="1" si="62"/>
        <v>0.06</v>
      </c>
    </row>
    <row r="1346" spans="1:25" x14ac:dyDescent="0.25">
      <c r="A1346" t="s">
        <v>1588</v>
      </c>
      <c r="B1346" t="s">
        <v>1587</v>
      </c>
      <c r="C1346">
        <v>167</v>
      </c>
      <c r="D1346">
        <v>203</v>
      </c>
      <c r="E1346">
        <v>203</v>
      </c>
      <c r="F1346" s="1">
        <v>0.06</v>
      </c>
      <c r="G1346" t="s">
        <v>1587</v>
      </c>
      <c r="H1346" t="s">
        <v>1587</v>
      </c>
      <c r="I1346">
        <v>10321</v>
      </c>
      <c r="J1346" t="s">
        <v>2553</v>
      </c>
      <c r="K1346">
        <v>2</v>
      </c>
      <c r="L1346">
        <v>9.6999999999999993</v>
      </c>
      <c r="M1346">
        <v>3.1</v>
      </c>
      <c r="N1346">
        <v>9.9</v>
      </c>
      <c r="O1346" t="s">
        <v>1594</v>
      </c>
      <c r="P1346" t="s">
        <v>1584</v>
      </c>
      <c r="Q1346" t="s">
        <v>1591</v>
      </c>
      <c r="R1346">
        <v>0</v>
      </c>
      <c r="S1346">
        <v>-0.47</v>
      </c>
      <c r="T1346" t="s">
        <v>1584</v>
      </c>
      <c r="U1346" t="s">
        <v>1592</v>
      </c>
      <c r="V1346" t="str" cm="1">
        <f t="array" aca="1" ref="V1346" ca="1">IFERROR(_xlfn.IFS(A1344="  ..............",OFFSET(A1344,2,0),A1343=" X-------------X",OFFSET(A1343,3,0),MATCH("  ..............",A1346:A1355,0)&gt;2,V1345),"-")</f>
        <v>-</v>
      </c>
      <c r="W1346" t="str">
        <f t="shared" ca="1" si="60"/>
        <v>-</v>
      </c>
      <c r="X1346" t="str">
        <f t="shared" ca="1" si="61"/>
        <v xml:space="preserve"> CAC3-1-RS000 </v>
      </c>
      <c r="Y1346" s="1">
        <f t="shared" ca="1" si="62"/>
        <v>0.22800000000000001</v>
      </c>
    </row>
    <row r="1347" spans="1:25" x14ac:dyDescent="0.25">
      <c r="A1347" t="s">
        <v>1588</v>
      </c>
      <c r="B1347" t="s">
        <v>1587</v>
      </c>
      <c r="C1347">
        <v>165</v>
      </c>
      <c r="D1347">
        <v>198</v>
      </c>
      <c r="E1347">
        <v>198</v>
      </c>
      <c r="F1347" s="1">
        <v>0.22800000000000001</v>
      </c>
      <c r="G1347" t="s">
        <v>1587</v>
      </c>
      <c r="H1347" t="s">
        <v>1587</v>
      </c>
      <c r="I1347">
        <v>43449</v>
      </c>
      <c r="J1347" t="s">
        <v>2554</v>
      </c>
      <c r="K1347">
        <v>1</v>
      </c>
      <c r="L1347">
        <v>-35.9</v>
      </c>
      <c r="M1347">
        <v>-13.7</v>
      </c>
      <c r="N1347">
        <v>37.700000000000003</v>
      </c>
      <c r="O1347" t="s">
        <v>1608</v>
      </c>
      <c r="P1347" t="s">
        <v>1584</v>
      </c>
      <c r="Q1347">
        <v>2</v>
      </c>
      <c r="R1347">
        <v>0.01</v>
      </c>
      <c r="S1347">
        <v>-0.26</v>
      </c>
      <c r="T1347" t="s">
        <v>1584</v>
      </c>
      <c r="U1347" t="s">
        <v>1592</v>
      </c>
      <c r="V1347" t="str" cm="1">
        <f t="array" aca="1" ref="V1347" ca="1">IFERROR(_xlfn.IFS(A1345="  ..............",OFFSET(A1345,2,0),A1344=" X-------------X",OFFSET(A1344,3,0),MATCH("  ..............",A1347:A1356,0)&gt;2,V1346),"-")</f>
        <v>-</v>
      </c>
      <c r="W1347" t="str">
        <f t="shared" ca="1" si="60"/>
        <v>-</v>
      </c>
      <c r="X1347" t="str">
        <f t="shared" ca="1" si="61"/>
        <v xml:space="preserve"> CAC3-2-RS000 </v>
      </c>
      <c r="Y1347" s="1">
        <f t="shared" ca="1" si="62"/>
        <v>0.22800000000000001</v>
      </c>
    </row>
    <row r="1348" spans="1:25" x14ac:dyDescent="0.25">
      <c r="A1348" t="s">
        <v>1588</v>
      </c>
      <c r="B1348" t="s">
        <v>1587</v>
      </c>
      <c r="C1348">
        <v>165</v>
      </c>
      <c r="D1348">
        <v>198</v>
      </c>
      <c r="E1348">
        <v>198</v>
      </c>
      <c r="F1348" s="1">
        <v>0.22800000000000001</v>
      </c>
      <c r="G1348" t="s">
        <v>1587</v>
      </c>
      <c r="H1348" t="s">
        <v>1587</v>
      </c>
      <c r="I1348">
        <v>43450</v>
      </c>
      <c r="J1348" t="s">
        <v>2555</v>
      </c>
      <c r="K1348">
        <v>2</v>
      </c>
      <c r="L1348">
        <v>-35.9</v>
      </c>
      <c r="M1348">
        <v>-13.7</v>
      </c>
      <c r="N1348">
        <v>37.700000000000003</v>
      </c>
      <c r="O1348" t="s">
        <v>1608</v>
      </c>
      <c r="P1348" t="s">
        <v>1584</v>
      </c>
      <c r="Q1348">
        <v>2</v>
      </c>
      <c r="R1348">
        <v>0.01</v>
      </c>
      <c r="S1348">
        <v>-0.26</v>
      </c>
      <c r="T1348" t="s">
        <v>1584</v>
      </c>
      <c r="U1348" t="s">
        <v>1592</v>
      </c>
      <c r="V1348" t="str" cm="1">
        <f t="array" aca="1" ref="V1348" ca="1">IFERROR(_xlfn.IFS(A1346="  ..............",OFFSET(A1346,2,0),A1345=" X-------------X",OFFSET(A1345,3,0),MATCH("  ..............",A1348:A1357,0)&gt;2,V1347),"-")</f>
        <v>-</v>
      </c>
      <c r="W1348" t="str">
        <f t="shared" ref="W1348:W1411" ca="1" si="63">IFERROR(OFFSET($A$1,MATCH(V1348,A:A,0)-2,1),"-")</f>
        <v>-</v>
      </c>
      <c r="X1348" t="str">
        <f t="shared" ref="X1348:X1411" ca="1" si="64">IFERROR(IF(V1348=V1347,OFFSET($J$1,ROW(X1348),0),OFFSET($J$1,MATCH(V1348,A:A,0),0)),"-")</f>
        <v xml:space="preserve"> CAC3-3-RS000 </v>
      </c>
      <c r="Y1348" s="1">
        <f t="shared" ref="Y1348:Y1411" ca="1" si="65">IFERROR(OFFSET($F$1,MATCH(X1348,J:J,0)-1,0),"-")</f>
        <v>0.22800000000000001</v>
      </c>
    </row>
    <row r="1349" spans="1:25" x14ac:dyDescent="0.25">
      <c r="A1349" t="s">
        <v>1588</v>
      </c>
      <c r="B1349" t="s">
        <v>1587</v>
      </c>
      <c r="C1349">
        <v>165</v>
      </c>
      <c r="D1349">
        <v>198</v>
      </c>
      <c r="E1349">
        <v>198</v>
      </c>
      <c r="F1349" s="1">
        <v>0.22800000000000001</v>
      </c>
      <c r="G1349" t="s">
        <v>1587</v>
      </c>
      <c r="H1349" t="s">
        <v>1587</v>
      </c>
      <c r="I1349">
        <v>43451</v>
      </c>
      <c r="J1349" t="s">
        <v>2556</v>
      </c>
      <c r="K1349">
        <v>3</v>
      </c>
      <c r="L1349">
        <v>-35.9</v>
      </c>
      <c r="M1349">
        <v>-13.7</v>
      </c>
      <c r="N1349">
        <v>37.700000000000003</v>
      </c>
      <c r="O1349" t="s">
        <v>1608</v>
      </c>
      <c r="P1349" t="s">
        <v>1584</v>
      </c>
      <c r="Q1349">
        <v>2</v>
      </c>
      <c r="R1349">
        <v>0.01</v>
      </c>
      <c r="S1349">
        <v>-0.26</v>
      </c>
      <c r="T1349" t="s">
        <v>1584</v>
      </c>
      <c r="U1349" t="s">
        <v>1592</v>
      </c>
      <c r="V1349" t="str" cm="1">
        <f t="array" aca="1" ref="V1349" ca="1">IFERROR(_xlfn.IFS(A1347="  ..............",OFFSET(A1347,2,0),A1346=" X-------------X",OFFSET(A1346,3,0),MATCH("  ..............",A1349:A1358,0)&gt;2,V1348),"-")</f>
        <v>-</v>
      </c>
      <c r="W1349" t="str">
        <f t="shared" ca="1" si="63"/>
        <v>-</v>
      </c>
      <c r="X1349" t="str">
        <f t="shared" ca="1" si="64"/>
        <v>..............</v>
      </c>
      <c r="Y1349" s="1" t="str">
        <f t="shared" ca="1" si="65"/>
        <v>.............</v>
      </c>
    </row>
    <row r="1350" spans="1:25" x14ac:dyDescent="0.25">
      <c r="A1350" t="s">
        <v>1572</v>
      </c>
      <c r="B1350" t="s">
        <v>1574</v>
      </c>
      <c r="C1350" t="s">
        <v>1574</v>
      </c>
      <c r="D1350" t="s">
        <v>1574</v>
      </c>
      <c r="E1350" t="s">
        <v>1574</v>
      </c>
      <c r="F1350" t="s">
        <v>1575</v>
      </c>
      <c r="G1350" t="s">
        <v>1574</v>
      </c>
      <c r="H1350" t="s">
        <v>1574</v>
      </c>
      <c r="I1350" t="s">
        <v>1576</v>
      </c>
      <c r="J1350" t="s">
        <v>1573</v>
      </c>
      <c r="K1350" t="s">
        <v>1577</v>
      </c>
      <c r="L1350" t="s">
        <v>1574</v>
      </c>
      <c r="M1350" t="s">
        <v>1574</v>
      </c>
      <c r="N1350" t="s">
        <v>1574</v>
      </c>
      <c r="O1350" t="s">
        <v>1578</v>
      </c>
      <c r="P1350" t="s">
        <v>1576</v>
      </c>
      <c r="Q1350" t="s">
        <v>1579</v>
      </c>
      <c r="R1350" t="s">
        <v>1580</v>
      </c>
      <c r="S1350" t="s">
        <v>1580</v>
      </c>
      <c r="T1350" t="s">
        <v>1576</v>
      </c>
      <c r="U1350" t="s">
        <v>1576</v>
      </c>
      <c r="V1350" t="str" cm="1">
        <f t="array" aca="1" ref="V1350" ca="1">IFERROR(_xlfn.IFS(A1348="  ..............",OFFSET(A1348,2,0),A1347=" X-------------X",OFFSET(A1347,3,0),MATCH("  ..............",A1350:A1359,0)&gt;2,V1349),"-")</f>
        <v>-</v>
      </c>
      <c r="W1350" t="str">
        <f t="shared" ca="1" si="63"/>
        <v>-</v>
      </c>
      <c r="X1350" t="str">
        <f t="shared" ca="1" si="64"/>
        <v/>
      </c>
      <c r="Y1350" s="1" t="str">
        <f t="shared" ca="1" si="65"/>
        <v/>
      </c>
    </row>
    <row r="1351" spans="1:25" x14ac:dyDescent="0.25">
      <c r="A1351" t="s">
        <v>2557</v>
      </c>
      <c r="B1351">
        <v>1.0149999999999999</v>
      </c>
      <c r="C1351">
        <v>0</v>
      </c>
      <c r="D1351">
        <v>0</v>
      </c>
      <c r="E1351">
        <v>8.6</v>
      </c>
      <c r="F1351">
        <v>0</v>
      </c>
      <c r="G1351">
        <v>0</v>
      </c>
      <c r="H1351">
        <v>0</v>
      </c>
      <c r="I1351" t="s">
        <v>1581</v>
      </c>
      <c r="J1351" t="s">
        <v>1581</v>
      </c>
      <c r="K1351" t="s">
        <v>1581</v>
      </c>
      <c r="L1351" t="s">
        <v>1581</v>
      </c>
      <c r="M1351" t="s">
        <v>1581</v>
      </c>
      <c r="N1351" t="s">
        <v>1581</v>
      </c>
      <c r="O1351" t="s">
        <v>1581</v>
      </c>
      <c r="P1351" t="s">
        <v>1581</v>
      </c>
      <c r="Q1351" t="s">
        <v>1581</v>
      </c>
      <c r="R1351" t="s">
        <v>1581</v>
      </c>
      <c r="S1351" t="s">
        <v>1581</v>
      </c>
      <c r="T1351" t="s">
        <v>1581</v>
      </c>
      <c r="U1351" t="s">
        <v>1581</v>
      </c>
      <c r="V1351" t="str" cm="1">
        <f t="array" aca="1" ref="V1351" ca="1">IFERROR(_xlfn.IFS(A1349="  ..............",OFFSET(A1349,2,0),A1348=" X-------------X",OFFSET(A1348,3,0),MATCH("  ..............",A1351:A1360,0)&gt;2,V1350),"-")</f>
        <v>-</v>
      </c>
      <c r="W1351" t="str">
        <f t="shared" ca="1" si="63"/>
        <v>-</v>
      </c>
      <c r="X1351" t="str">
        <f t="shared" ca="1" si="64"/>
        <v xml:space="preserve">              </v>
      </c>
      <c r="Y1351" s="1">
        <f t="shared" ca="1" si="65"/>
        <v>0</v>
      </c>
    </row>
    <row r="1352" spans="1:25" x14ac:dyDescent="0.25">
      <c r="A1352" t="s">
        <v>2558</v>
      </c>
      <c r="B1352">
        <v>-54.9</v>
      </c>
      <c r="C1352">
        <v>0</v>
      </c>
      <c r="D1352">
        <v>0</v>
      </c>
      <c r="E1352">
        <v>3.6</v>
      </c>
      <c r="F1352">
        <v>0</v>
      </c>
      <c r="G1352">
        <v>0</v>
      </c>
      <c r="H1352">
        <v>0</v>
      </c>
      <c r="I1352" t="s">
        <v>1584</v>
      </c>
      <c r="J1352" t="s">
        <v>1585</v>
      </c>
      <c r="K1352" t="s">
        <v>1586</v>
      </c>
      <c r="L1352" t="s">
        <v>1587</v>
      </c>
      <c r="M1352" t="s">
        <v>1587</v>
      </c>
      <c r="N1352" t="s">
        <v>1586</v>
      </c>
      <c r="O1352" t="s">
        <v>1581</v>
      </c>
      <c r="P1352" t="s">
        <v>1581</v>
      </c>
      <c r="Q1352" t="s">
        <v>1581</v>
      </c>
      <c r="R1352" t="s">
        <v>1581</v>
      </c>
      <c r="S1352" t="s">
        <v>1581</v>
      </c>
      <c r="T1352" t="s">
        <v>1581</v>
      </c>
      <c r="U1352" t="s">
        <v>1581</v>
      </c>
      <c r="V1352" t="str" cm="1">
        <f t="array" aca="1" ref="V1352" ca="1">IFERROR(_xlfn.IFS(A1350="  ..............",OFFSET(A1350,2,0),A1349=" X-------------X",OFFSET(A1349,3,0),MATCH("  ..............",A1352:A1361,0)&gt;2,V1351),"-")</f>
        <v xml:space="preserve">  SHIGUA-RS069  </v>
      </c>
      <c r="W1352">
        <f t="shared" ca="1" si="63"/>
        <v>1.0149999999999999</v>
      </c>
      <c r="X1352" t="str">
        <f t="shared" ca="1" si="64"/>
        <v xml:space="preserve"> JBOTAN-RS069 </v>
      </c>
      <c r="Y1352" s="1">
        <f t="shared" ca="1" si="65"/>
        <v>0.73899999999999999</v>
      </c>
    </row>
    <row r="1353" spans="1:25" x14ac:dyDescent="0.25">
      <c r="A1353" t="s">
        <v>1588</v>
      </c>
      <c r="B1353" t="s">
        <v>1587</v>
      </c>
      <c r="C1353">
        <v>50</v>
      </c>
      <c r="D1353">
        <v>50</v>
      </c>
      <c r="E1353">
        <v>50</v>
      </c>
      <c r="F1353" s="1">
        <v>0.184</v>
      </c>
      <c r="G1353" t="s">
        <v>1587</v>
      </c>
      <c r="H1353" t="s">
        <v>1587</v>
      </c>
      <c r="I1353">
        <v>10007</v>
      </c>
      <c r="J1353" t="s">
        <v>2432</v>
      </c>
      <c r="K1353">
        <v>1</v>
      </c>
      <c r="L1353">
        <v>-8.6</v>
      </c>
      <c r="M1353">
        <v>-3.6</v>
      </c>
      <c r="N1353">
        <v>9.1999999999999993</v>
      </c>
      <c r="O1353" t="s">
        <v>1594</v>
      </c>
      <c r="P1353" t="s">
        <v>1584</v>
      </c>
      <c r="Q1353" t="s">
        <v>1591</v>
      </c>
      <c r="R1353">
        <v>0.01</v>
      </c>
      <c r="S1353">
        <v>-0.69</v>
      </c>
      <c r="T1353" t="s">
        <v>1584</v>
      </c>
      <c r="U1353" t="s">
        <v>1592</v>
      </c>
      <c r="V1353" t="str" cm="1">
        <f t="array" aca="1" ref="V1353" ca="1">IFERROR(_xlfn.IFS(A1351="  ..............",OFFSET(A1351,2,0),A1350=" X-------------X",OFFSET(A1350,3,0),MATCH("  ..............",A1353:A1362,0)&gt;2,V1352),"-")</f>
        <v>-</v>
      </c>
      <c r="W1353" t="str">
        <f t="shared" ca="1" si="63"/>
        <v>-</v>
      </c>
      <c r="X1353" t="str">
        <f t="shared" ca="1" si="64"/>
        <v>-</v>
      </c>
      <c r="Y1353" s="1" t="str">
        <f t="shared" ca="1" si="65"/>
        <v>-</v>
      </c>
    </row>
    <row r="1354" spans="1:25" x14ac:dyDescent="0.25">
      <c r="A1354" t="s">
        <v>1572</v>
      </c>
      <c r="B1354" t="s">
        <v>1574</v>
      </c>
      <c r="C1354" t="s">
        <v>1574</v>
      </c>
      <c r="D1354" t="s">
        <v>1574</v>
      </c>
      <c r="E1354" t="s">
        <v>1574</v>
      </c>
      <c r="F1354" t="s">
        <v>1575</v>
      </c>
      <c r="G1354" t="s">
        <v>1574</v>
      </c>
      <c r="H1354" t="s">
        <v>1574</v>
      </c>
      <c r="I1354" t="s">
        <v>1576</v>
      </c>
      <c r="J1354" t="s">
        <v>1573</v>
      </c>
      <c r="K1354" t="s">
        <v>1577</v>
      </c>
      <c r="L1354" t="s">
        <v>1574</v>
      </c>
      <c r="M1354" t="s">
        <v>1574</v>
      </c>
      <c r="N1354" t="s">
        <v>1574</v>
      </c>
      <c r="O1354" t="s">
        <v>1578</v>
      </c>
      <c r="P1354" t="s">
        <v>1576</v>
      </c>
      <c r="Q1354" t="s">
        <v>1579</v>
      </c>
      <c r="R1354" t="s">
        <v>1580</v>
      </c>
      <c r="S1354" t="s">
        <v>1580</v>
      </c>
      <c r="T1354" t="s">
        <v>1576</v>
      </c>
      <c r="U1354" t="s">
        <v>1576</v>
      </c>
      <c r="V1354" t="str" cm="1">
        <f t="array" aca="1" ref="V1354" ca="1">IFERROR(_xlfn.IFS(A1352="  ..............",OFFSET(A1352,2,0),A1351=" X-------------X",OFFSET(A1351,3,0),MATCH("  ..............",A1354:A1363,0)&gt;2,V1353),"-")</f>
        <v>-</v>
      </c>
      <c r="W1354" t="str">
        <f t="shared" ca="1" si="63"/>
        <v>-</v>
      </c>
      <c r="X1354" t="str">
        <f t="shared" ca="1" si="64"/>
        <v/>
      </c>
      <c r="Y1354" s="1" t="str">
        <f t="shared" ca="1" si="65"/>
        <v/>
      </c>
    </row>
    <row r="1355" spans="1:25" x14ac:dyDescent="0.25">
      <c r="A1355" t="s">
        <v>2559</v>
      </c>
      <c r="B1355">
        <v>1.0149999999999999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 t="s">
        <v>1581</v>
      </c>
      <c r="J1355" t="s">
        <v>1581</v>
      </c>
      <c r="K1355" t="s">
        <v>1581</v>
      </c>
      <c r="L1355" t="s">
        <v>1581</v>
      </c>
      <c r="M1355" t="s">
        <v>1581</v>
      </c>
      <c r="N1355" t="s">
        <v>1581</v>
      </c>
      <c r="O1355" t="s">
        <v>1581</v>
      </c>
      <c r="P1355" t="s">
        <v>1581</v>
      </c>
      <c r="Q1355" t="s">
        <v>1581</v>
      </c>
      <c r="R1355" t="s">
        <v>1581</v>
      </c>
      <c r="S1355" t="s">
        <v>1581</v>
      </c>
      <c r="T1355" t="s">
        <v>1581</v>
      </c>
      <c r="U1355" t="s">
        <v>1581</v>
      </c>
      <c r="V1355" t="str" cm="1">
        <f t="array" aca="1" ref="V1355" ca="1">IFERROR(_xlfn.IFS(A1353="  ..............",OFFSET(A1353,2,0),A1352=" X-------------X",OFFSET(A1352,3,0),MATCH("  ..............",A1355:A1364,0)&gt;2,V1354),"-")</f>
        <v>-</v>
      </c>
      <c r="W1355" t="str">
        <f t="shared" ca="1" si="63"/>
        <v>-</v>
      </c>
      <c r="X1355" t="str">
        <f t="shared" ca="1" si="64"/>
        <v xml:space="preserve">              </v>
      </c>
      <c r="Y1355" s="1">
        <f t="shared" ca="1" si="65"/>
        <v>0</v>
      </c>
    </row>
    <row r="1356" spans="1:25" x14ac:dyDescent="0.25">
      <c r="A1356" t="s">
        <v>2560</v>
      </c>
      <c r="B1356">
        <v>-54.8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 t="s">
        <v>1584</v>
      </c>
      <c r="J1356" t="s">
        <v>1585</v>
      </c>
      <c r="K1356" t="s">
        <v>1586</v>
      </c>
      <c r="L1356" t="s">
        <v>1587</v>
      </c>
      <c r="M1356" t="s">
        <v>1587</v>
      </c>
      <c r="N1356" t="s">
        <v>1586</v>
      </c>
      <c r="O1356" t="s">
        <v>1581</v>
      </c>
      <c r="P1356" t="s">
        <v>1581</v>
      </c>
      <c r="Q1356" t="s">
        <v>1581</v>
      </c>
      <c r="R1356" t="s">
        <v>1581</v>
      </c>
      <c r="S1356" t="s">
        <v>1581</v>
      </c>
      <c r="T1356" t="s">
        <v>1581</v>
      </c>
      <c r="U1356" t="s">
        <v>1581</v>
      </c>
      <c r="V1356" t="str" cm="1">
        <f t="array" aca="1" ref="V1356" ca="1">IFERROR(_xlfn.IFS(A1354="  ..............",OFFSET(A1354,2,0),A1353=" X-------------X",OFFSET(A1353,3,0),MATCH("  ..............",A1356:A1365,0)&gt;2,V1355),"-")</f>
        <v xml:space="preserve">  ENT874-RS069  </v>
      </c>
      <c r="W1356">
        <f t="shared" ca="1" si="63"/>
        <v>1.0149999999999999</v>
      </c>
      <c r="X1356" t="str">
        <f t="shared" ca="1" si="64"/>
        <v xml:space="preserve"> PALGR6-RS069 </v>
      </c>
      <c r="Y1356" s="1">
        <f t="shared" ca="1" si="65"/>
        <v>0.185</v>
      </c>
    </row>
    <row r="1357" spans="1:25" x14ac:dyDescent="0.25">
      <c r="A1357" t="s">
        <v>1588</v>
      </c>
      <c r="B1357" t="s">
        <v>1587</v>
      </c>
      <c r="C1357">
        <v>99</v>
      </c>
      <c r="D1357">
        <v>112</v>
      </c>
      <c r="E1357">
        <v>112</v>
      </c>
      <c r="F1357" s="1">
        <v>0.13900000000000001</v>
      </c>
      <c r="G1357" t="s">
        <v>1587</v>
      </c>
      <c r="H1357" t="s">
        <v>1587</v>
      </c>
      <c r="I1357">
        <v>1262</v>
      </c>
      <c r="J1357" t="s">
        <v>2438</v>
      </c>
      <c r="K1357">
        <v>1</v>
      </c>
      <c r="L1357">
        <v>-13.9</v>
      </c>
      <c r="M1357">
        <v>-0.8</v>
      </c>
      <c r="N1357">
        <v>13.7</v>
      </c>
      <c r="O1357" t="s">
        <v>1594</v>
      </c>
      <c r="P1357" t="s">
        <v>1584</v>
      </c>
      <c r="Q1357" t="s">
        <v>1591</v>
      </c>
      <c r="R1357">
        <v>0.01</v>
      </c>
      <c r="S1357">
        <v>-0.05</v>
      </c>
      <c r="T1357" t="s">
        <v>1584</v>
      </c>
      <c r="U1357" t="s">
        <v>1592</v>
      </c>
      <c r="V1357" t="str" cm="1">
        <f t="array" aca="1" ref="V1357" ca="1">IFERROR(_xlfn.IFS(A1355="  ..............",OFFSET(A1355,2,0),A1354=" X-------------X",OFFSET(A1354,3,0),MATCH("  ..............",A1357:A1366,0)&gt;2,V1356),"-")</f>
        <v xml:space="preserve">  ENT874-RS069  </v>
      </c>
      <c r="W1357">
        <f t="shared" ca="1" si="63"/>
        <v>1.0149999999999999</v>
      </c>
      <c r="X1357" t="str">
        <f t="shared" ca="1" si="64"/>
        <v xml:space="preserve"> RINCAO-RS069 </v>
      </c>
      <c r="Y1357" s="1">
        <f t="shared" ca="1" si="65"/>
        <v>0.14099999999999999</v>
      </c>
    </row>
    <row r="1358" spans="1:25" x14ac:dyDescent="0.25">
      <c r="A1358" t="s">
        <v>1588</v>
      </c>
      <c r="B1358" t="s">
        <v>1587</v>
      </c>
      <c r="C1358">
        <v>54</v>
      </c>
      <c r="D1358">
        <v>79</v>
      </c>
      <c r="E1358">
        <v>79</v>
      </c>
      <c r="F1358" s="1">
        <v>0.255</v>
      </c>
      <c r="G1358" t="s">
        <v>1587</v>
      </c>
      <c r="H1358" t="s">
        <v>1587</v>
      </c>
      <c r="I1358">
        <v>9276</v>
      </c>
      <c r="J1358" t="s">
        <v>2548</v>
      </c>
      <c r="K1358">
        <v>1</v>
      </c>
      <c r="L1358">
        <v>13.9</v>
      </c>
      <c r="M1358">
        <v>0.8</v>
      </c>
      <c r="N1358">
        <v>13.7</v>
      </c>
      <c r="O1358" t="s">
        <v>1594</v>
      </c>
      <c r="P1358" t="s">
        <v>1584</v>
      </c>
      <c r="Q1358" t="s">
        <v>1591</v>
      </c>
      <c r="R1358">
        <v>0.02</v>
      </c>
      <c r="S1358">
        <v>0</v>
      </c>
      <c r="T1358" t="s">
        <v>1584</v>
      </c>
      <c r="U1358" t="s">
        <v>1592</v>
      </c>
      <c r="V1358" t="str" cm="1">
        <f t="array" aca="1" ref="V1358" ca="1">IFERROR(_xlfn.IFS(A1356="  ..............",OFFSET(A1356,2,0),A1355=" X-------------X",OFFSET(A1355,3,0),MATCH("  ..............",A1358:A1367,0)&gt;2,V1357),"-")</f>
        <v>-</v>
      </c>
      <c r="W1358" t="str">
        <f t="shared" ca="1" si="63"/>
        <v>-</v>
      </c>
      <c r="X1358" t="str">
        <f t="shared" ca="1" si="64"/>
        <v>-</v>
      </c>
      <c r="Y1358" s="1" t="str">
        <f t="shared" ca="1" si="65"/>
        <v>-</v>
      </c>
    </row>
    <row r="1359" spans="1:25" x14ac:dyDescent="0.25">
      <c r="A1359" t="s">
        <v>1572</v>
      </c>
      <c r="B1359" t="s">
        <v>1574</v>
      </c>
      <c r="C1359" t="s">
        <v>1574</v>
      </c>
      <c r="D1359" t="s">
        <v>1574</v>
      </c>
      <c r="E1359" t="s">
        <v>1574</v>
      </c>
      <c r="F1359" t="s">
        <v>1575</v>
      </c>
      <c r="G1359" t="s">
        <v>1574</v>
      </c>
      <c r="H1359" t="s">
        <v>1574</v>
      </c>
      <c r="I1359" t="s">
        <v>1576</v>
      </c>
      <c r="J1359" t="s">
        <v>1573</v>
      </c>
      <c r="K1359" t="s">
        <v>1577</v>
      </c>
      <c r="L1359" t="s">
        <v>1574</v>
      </c>
      <c r="M1359" t="s">
        <v>1574</v>
      </c>
      <c r="N1359" t="s">
        <v>1574</v>
      </c>
      <c r="O1359" t="s">
        <v>1578</v>
      </c>
      <c r="P1359" t="s">
        <v>1576</v>
      </c>
      <c r="Q1359" t="s">
        <v>1579</v>
      </c>
      <c r="R1359" t="s">
        <v>1580</v>
      </c>
      <c r="S1359" t="s">
        <v>1580</v>
      </c>
      <c r="T1359" t="s">
        <v>1576</v>
      </c>
      <c r="U1359" t="s">
        <v>1576</v>
      </c>
      <c r="V1359" t="str" cm="1">
        <f t="array" aca="1" ref="V1359" ca="1">IFERROR(_xlfn.IFS(A1357="  ..............",OFFSET(A1357,2,0),A1356=" X-------------X",OFFSET(A1356,3,0),MATCH("  ..............",A1359:A1368,0)&gt;2,V1358),"-")</f>
        <v>-</v>
      </c>
      <c r="W1359" t="str">
        <f t="shared" ca="1" si="63"/>
        <v>-</v>
      </c>
      <c r="X1359" t="str">
        <f t="shared" ca="1" si="64"/>
        <v xml:space="preserve"> V11.06.02    </v>
      </c>
      <c r="Y1359" s="1" t="str">
        <f t="shared" ca="1" si="65"/>
        <v xml:space="preserve">A - PROGRAMA </v>
      </c>
    </row>
    <row r="1360" spans="1:25" x14ac:dyDescent="0.25">
      <c r="A1360" t="s">
        <v>1725</v>
      </c>
      <c r="B1360" t="s">
        <v>1726</v>
      </c>
      <c r="C1360" t="s">
        <v>1727</v>
      </c>
      <c r="D1360" t="s">
        <v>1728</v>
      </c>
      <c r="E1360" t="s">
        <v>1729</v>
      </c>
      <c r="F1360" t="s">
        <v>1730</v>
      </c>
      <c r="G1360" t="s">
        <v>1731</v>
      </c>
      <c r="H1360" t="s">
        <v>1732</v>
      </c>
      <c r="I1360" t="s">
        <v>1733</v>
      </c>
      <c r="J1360" t="s">
        <v>1734</v>
      </c>
      <c r="K1360" t="s">
        <v>1586</v>
      </c>
      <c r="L1360" t="s">
        <v>1587</v>
      </c>
      <c r="M1360" t="s">
        <v>1587</v>
      </c>
      <c r="N1360" t="s">
        <v>1587</v>
      </c>
      <c r="O1360" t="s">
        <v>1735</v>
      </c>
      <c r="P1360">
        <v>9</v>
      </c>
      <c r="Q1360" t="s">
        <v>1581</v>
      </c>
      <c r="R1360" t="s">
        <v>1581</v>
      </c>
      <c r="S1360" t="s">
        <v>1581</v>
      </c>
      <c r="T1360" t="s">
        <v>1581</v>
      </c>
      <c r="U1360" t="s">
        <v>1581</v>
      </c>
      <c r="V1360" t="str" cm="1">
        <f t="array" aca="1" ref="V1360" ca="1">IFERROR(_xlfn.IFS(A1358="  ..............",OFFSET(A1358,2,0),A1357=" X-------------X",OFFSET(A1357,3,0),MATCH("  ..............",A1360:A1369,0)&gt;2,V1359),"-")</f>
        <v>-</v>
      </c>
      <c r="W1360" t="str">
        <f t="shared" ca="1" si="63"/>
        <v>-</v>
      </c>
      <c r="X1360" t="str">
        <f t="shared" ca="1" si="64"/>
        <v/>
      </c>
      <c r="Y1360" s="1" t="str">
        <f t="shared" ca="1" si="65"/>
        <v/>
      </c>
    </row>
    <row r="1361" spans="1:25" x14ac:dyDescent="0.25">
      <c r="A1361" t="s">
        <v>1581</v>
      </c>
      <c r="B1361" t="s">
        <v>1581</v>
      </c>
      <c r="C1361" t="s">
        <v>1581</v>
      </c>
      <c r="D1361" t="s">
        <v>1581</v>
      </c>
      <c r="E1361" t="s">
        <v>1581</v>
      </c>
      <c r="F1361" t="s">
        <v>1581</v>
      </c>
      <c r="G1361" t="s">
        <v>1581</v>
      </c>
      <c r="H1361" t="s">
        <v>1581</v>
      </c>
      <c r="I1361" t="s">
        <v>1581</v>
      </c>
      <c r="J1361" t="s">
        <v>1581</v>
      </c>
      <c r="K1361" t="s">
        <v>1581</v>
      </c>
      <c r="L1361" t="s">
        <v>1581</v>
      </c>
      <c r="M1361" t="s">
        <v>1581</v>
      </c>
      <c r="N1361" t="s">
        <v>1581</v>
      </c>
      <c r="O1361" t="s">
        <v>1581</v>
      </c>
      <c r="P1361" t="s">
        <v>1581</v>
      </c>
      <c r="Q1361" t="s">
        <v>1581</v>
      </c>
      <c r="R1361" t="s">
        <v>1581</v>
      </c>
      <c r="S1361" t="s">
        <v>1581</v>
      </c>
      <c r="T1361" t="s">
        <v>1581</v>
      </c>
      <c r="U1361" t="s">
        <v>1581</v>
      </c>
      <c r="V1361" t="str" cm="1">
        <f t="array" aca="1" ref="V1361" ca="1">IFERROR(_xlfn.IFS(A1359="  ..............",OFFSET(A1359,2,0),A1358=" X-------------X",OFFSET(A1358,3,0),MATCH("  ..............",A1361:A1370,0)&gt;2,V1360),"-")</f>
        <v/>
      </c>
      <c r="W1361" t="str">
        <f t="shared" ca="1" si="63"/>
        <v>X-------X</v>
      </c>
      <c r="X1361" t="str">
        <f t="shared" ca="1" si="64"/>
        <v/>
      </c>
      <c r="Y1361" s="1" t="str">
        <f t="shared" ca="1" si="65"/>
        <v/>
      </c>
    </row>
    <row r="1362" spans="1:25" x14ac:dyDescent="0.25">
      <c r="A1362" t="s">
        <v>1736</v>
      </c>
      <c r="B1362" t="s">
        <v>1737</v>
      </c>
      <c r="C1362" t="s">
        <v>1738</v>
      </c>
      <c r="D1362" t="s">
        <v>1739</v>
      </c>
      <c r="E1362" t="s">
        <v>1740</v>
      </c>
      <c r="F1362" t="s">
        <v>1741</v>
      </c>
      <c r="G1362" t="s">
        <v>1742</v>
      </c>
      <c r="H1362" t="s">
        <v>1743</v>
      </c>
      <c r="I1362" t="s">
        <v>1744</v>
      </c>
      <c r="J1362" t="s">
        <v>1581</v>
      </c>
      <c r="K1362" t="s">
        <v>1581</v>
      </c>
      <c r="L1362" t="s">
        <v>1581</v>
      </c>
      <c r="M1362" t="s">
        <v>1581</v>
      </c>
      <c r="N1362" t="s">
        <v>1581</v>
      </c>
      <c r="O1362" t="s">
        <v>1581</v>
      </c>
      <c r="P1362" t="s">
        <v>1581</v>
      </c>
      <c r="Q1362" t="s">
        <v>1581</v>
      </c>
      <c r="R1362" t="s">
        <v>1581</v>
      </c>
      <c r="S1362" t="s">
        <v>1581</v>
      </c>
      <c r="T1362" t="s">
        <v>1581</v>
      </c>
      <c r="U1362" t="s">
        <v>1581</v>
      </c>
      <c r="V1362" t="str" cm="1">
        <f t="array" aca="1" ref="V1362" ca="1">IFERROR(_xlfn.IFS(A1360="  ..............",OFFSET(A1360,2,0),A1359=" X-------------X",OFFSET(A1359,3,0),MATCH("  ..............",A1362:A1371,0)&gt;2,V1361),"-")</f>
        <v>-</v>
      </c>
      <c r="W1362" t="str">
        <f t="shared" ca="1" si="63"/>
        <v>-</v>
      </c>
      <c r="X1362" t="str">
        <f t="shared" ca="1" si="64"/>
        <v>-</v>
      </c>
      <c r="Y1362" s="1" t="str">
        <f t="shared" ca="1" si="65"/>
        <v>-</v>
      </c>
    </row>
    <row r="1363" spans="1:25" x14ac:dyDescent="0.25">
      <c r="A1363" t="s">
        <v>1745</v>
      </c>
      <c r="B1363" t="s">
        <v>1746</v>
      </c>
      <c r="C1363" t="s">
        <v>1747</v>
      </c>
      <c r="D1363" t="s">
        <v>1748</v>
      </c>
      <c r="E1363" t="s">
        <v>1749</v>
      </c>
      <c r="F1363" t="s">
        <v>1750</v>
      </c>
      <c r="G1363" t="s">
        <v>1587</v>
      </c>
      <c r="H1363" t="s">
        <v>1587</v>
      </c>
      <c r="I1363" t="s">
        <v>1591</v>
      </c>
      <c r="J1363" t="s">
        <v>1581</v>
      </c>
      <c r="K1363" t="s">
        <v>1581</v>
      </c>
      <c r="L1363" t="s">
        <v>1581</v>
      </c>
      <c r="M1363" t="s">
        <v>1581</v>
      </c>
      <c r="N1363" t="s">
        <v>1581</v>
      </c>
      <c r="O1363" t="s">
        <v>1581</v>
      </c>
      <c r="P1363" t="s">
        <v>1581</v>
      </c>
      <c r="Q1363" t="s">
        <v>1581</v>
      </c>
      <c r="R1363" t="s">
        <v>1581</v>
      </c>
      <c r="S1363" t="s">
        <v>1581</v>
      </c>
      <c r="T1363" t="s">
        <v>1581</v>
      </c>
      <c r="U1363" t="s">
        <v>1581</v>
      </c>
      <c r="V1363" t="str" cm="1">
        <f t="array" aca="1" ref="V1363" ca="1">IFERROR(_xlfn.IFS(A1361="  ..............",OFFSET(A1361,2,0),A1360=" X-------------X",OFFSET(A1360,3,0),MATCH("  ..............",A1363:A1372,0)&gt;2,V1362),"-")</f>
        <v>-</v>
      </c>
      <c r="W1363" t="str">
        <f t="shared" ca="1" si="63"/>
        <v>-</v>
      </c>
      <c r="X1363" t="str">
        <f t="shared" ca="1" si="64"/>
        <v/>
      </c>
      <c r="Y1363" s="1" t="str">
        <f t="shared" ca="1" si="65"/>
        <v/>
      </c>
    </row>
    <row r="1364" spans="1:25" x14ac:dyDescent="0.25">
      <c r="A1364" t="s">
        <v>1581</v>
      </c>
      <c r="B1364" t="s">
        <v>1581</v>
      </c>
      <c r="C1364" t="s">
        <v>1581</v>
      </c>
      <c r="D1364" t="s">
        <v>1581</v>
      </c>
      <c r="E1364" t="s">
        <v>1581</v>
      </c>
      <c r="F1364" t="s">
        <v>1581</v>
      </c>
      <c r="G1364" t="s">
        <v>1581</v>
      </c>
      <c r="H1364" t="s">
        <v>1581</v>
      </c>
      <c r="I1364" t="s">
        <v>1581</v>
      </c>
      <c r="J1364" t="s">
        <v>1581</v>
      </c>
      <c r="K1364" t="s">
        <v>1581</v>
      </c>
      <c r="L1364" t="s">
        <v>1581</v>
      </c>
      <c r="M1364" t="s">
        <v>1581</v>
      </c>
      <c r="N1364" t="s">
        <v>1581</v>
      </c>
      <c r="O1364" t="s">
        <v>1581</v>
      </c>
      <c r="P1364" t="s">
        <v>1581</v>
      </c>
      <c r="Q1364" t="s">
        <v>1581</v>
      </c>
      <c r="R1364" t="s">
        <v>1581</v>
      </c>
      <c r="S1364" t="s">
        <v>1581</v>
      </c>
      <c r="T1364" t="s">
        <v>1581</v>
      </c>
      <c r="U1364" t="s">
        <v>1581</v>
      </c>
      <c r="V1364" t="str" cm="1">
        <f t="array" aca="1" ref="V1364" ca="1">IFERROR(_xlfn.IFS(A1362="  ..............",OFFSET(A1362,2,0),A1361=" X-------------X",OFFSET(A1361,3,0),MATCH("  ..............",A1364:A1373,0)&gt;2,V1363),"-")</f>
        <v>-</v>
      </c>
      <c r="W1364" t="str">
        <f t="shared" ca="1" si="63"/>
        <v>-</v>
      </c>
      <c r="X1364" t="str">
        <f t="shared" ca="1" si="64"/>
        <v>-------- F L U</v>
      </c>
      <c r="Y1364" s="1" t="str">
        <f t="shared" ca="1" si="65"/>
        <v xml:space="preserve"> ------------</v>
      </c>
    </row>
    <row r="1365" spans="1:25" x14ac:dyDescent="0.25">
      <c r="A1365" t="s">
        <v>1751</v>
      </c>
      <c r="B1365" t="s">
        <v>1752</v>
      </c>
      <c r="C1365" t="s">
        <v>1753</v>
      </c>
      <c r="D1365" t="s">
        <v>1754</v>
      </c>
      <c r="E1365" t="s">
        <v>1755</v>
      </c>
      <c r="F1365" t="s">
        <v>1756</v>
      </c>
      <c r="G1365" t="s">
        <v>1757</v>
      </c>
      <c r="H1365" t="s">
        <v>1758</v>
      </c>
      <c r="I1365" t="s">
        <v>1759</v>
      </c>
      <c r="J1365" t="s">
        <v>1760</v>
      </c>
      <c r="K1365" t="s">
        <v>1761</v>
      </c>
      <c r="L1365" t="s">
        <v>1762</v>
      </c>
      <c r="M1365" t="s">
        <v>1763</v>
      </c>
      <c r="N1365" t="s">
        <v>1764</v>
      </c>
      <c r="O1365" t="s">
        <v>1765</v>
      </c>
      <c r="P1365" t="s">
        <v>1766</v>
      </c>
      <c r="Q1365" t="s">
        <v>1767</v>
      </c>
      <c r="R1365" t="s">
        <v>1571</v>
      </c>
      <c r="S1365" t="s">
        <v>1571</v>
      </c>
      <c r="T1365" t="s">
        <v>1759</v>
      </c>
      <c r="U1365" t="s">
        <v>1768</v>
      </c>
      <c r="V1365" t="str" cm="1">
        <f t="array" aca="1" ref="V1365" ca="1">IFERROR(_xlfn.IFS(A1363="  ..............",OFFSET(A1363,2,0),A1362=" X-------------X",OFFSET(A1362,3,0),MATCH("  ..............",A1365:A1374,0)&gt;2,V1364),"-")</f>
        <v>-</v>
      </c>
      <c r="W1365" t="str">
        <f t="shared" ca="1" si="63"/>
        <v>-</v>
      </c>
      <c r="X1365" t="str">
        <f t="shared" ca="1" si="64"/>
        <v xml:space="preserve">              </v>
      </c>
      <c r="Y1365" s="1">
        <f t="shared" ca="1" si="65"/>
        <v>0</v>
      </c>
    </row>
    <row r="1366" spans="1:25" x14ac:dyDescent="0.25">
      <c r="A1366" t="s">
        <v>1769</v>
      </c>
      <c r="B1366" t="s">
        <v>1770</v>
      </c>
      <c r="C1366" t="s">
        <v>1771</v>
      </c>
      <c r="D1366" t="s">
        <v>1772</v>
      </c>
      <c r="E1366" t="s">
        <v>1773</v>
      </c>
      <c r="F1366" t="s">
        <v>1774</v>
      </c>
      <c r="G1366" t="s">
        <v>1775</v>
      </c>
      <c r="H1366" t="s">
        <v>1776</v>
      </c>
      <c r="I1366" t="s">
        <v>1584</v>
      </c>
      <c r="J1366" t="s">
        <v>1585</v>
      </c>
      <c r="K1366" t="s">
        <v>1586</v>
      </c>
      <c r="L1366" t="s">
        <v>1587</v>
      </c>
      <c r="M1366" t="s">
        <v>1587</v>
      </c>
      <c r="N1366" t="s">
        <v>1587</v>
      </c>
      <c r="O1366" t="s">
        <v>1594</v>
      </c>
      <c r="P1366" t="s">
        <v>1584</v>
      </c>
      <c r="Q1366" t="s">
        <v>1591</v>
      </c>
      <c r="R1366" t="s">
        <v>1777</v>
      </c>
      <c r="S1366" t="s">
        <v>1777</v>
      </c>
      <c r="T1366" t="s">
        <v>1584</v>
      </c>
      <c r="U1366" t="s">
        <v>1778</v>
      </c>
      <c r="V1366" t="str" cm="1">
        <f t="array" aca="1" ref="V1366" ca="1">IFERROR(_xlfn.IFS(A1364="  ..............",OFFSET(A1364,2,0),A1363=" X-------------X",OFFSET(A1363,3,0),MATCH("  ..............",A1366:A1375,0)&gt;2,V1365),"-")</f>
        <v>-</v>
      </c>
      <c r="W1366" t="str">
        <f t="shared" ca="1" si="63"/>
        <v>-</v>
      </c>
      <c r="X1366" t="str">
        <f t="shared" ca="1" si="64"/>
        <v xml:space="preserve">              </v>
      </c>
      <c r="Y1366" s="1">
        <f t="shared" ca="1" si="65"/>
        <v>0</v>
      </c>
    </row>
    <row r="1367" spans="1:25" x14ac:dyDescent="0.25">
      <c r="A1367" t="s">
        <v>1779</v>
      </c>
      <c r="B1367" t="s">
        <v>1780</v>
      </c>
      <c r="C1367" t="s">
        <v>1781</v>
      </c>
      <c r="D1367" t="s">
        <v>1781</v>
      </c>
      <c r="E1367" t="s">
        <v>1781</v>
      </c>
      <c r="F1367" t="s">
        <v>1782</v>
      </c>
      <c r="G1367" t="s">
        <v>1783</v>
      </c>
      <c r="H1367" t="s">
        <v>1784</v>
      </c>
      <c r="I1367" t="s">
        <v>1584</v>
      </c>
      <c r="J1367" t="s">
        <v>1585</v>
      </c>
      <c r="K1367" t="s">
        <v>1586</v>
      </c>
      <c r="L1367" t="s">
        <v>1587</v>
      </c>
      <c r="M1367" t="s">
        <v>1587</v>
      </c>
      <c r="N1367" t="s">
        <v>1587</v>
      </c>
      <c r="O1367" t="s">
        <v>1594</v>
      </c>
      <c r="P1367" t="s">
        <v>1584</v>
      </c>
      <c r="Q1367" t="s">
        <v>1785</v>
      </c>
      <c r="R1367" t="s">
        <v>1786</v>
      </c>
      <c r="S1367" t="s">
        <v>1787</v>
      </c>
      <c r="T1367" t="s">
        <v>1788</v>
      </c>
      <c r="U1367" t="s">
        <v>1778</v>
      </c>
      <c r="V1367" t="str" cm="1">
        <f t="array" aca="1" ref="V1367" ca="1">IFERROR(_xlfn.IFS(A1365="  ..............",OFFSET(A1365,2,0),A1364=" X-------------X",OFFSET(A1364,3,0),MATCH("  ..............",A1367:A1376,0)&gt;2,V1366),"-")</f>
        <v>-</v>
      </c>
      <c r="W1367" t="str">
        <f t="shared" ca="1" si="63"/>
        <v>-</v>
      </c>
      <c r="X1367" t="str">
        <f t="shared" ca="1" si="64"/>
        <v xml:space="preserve">A             </v>
      </c>
      <c r="Y1367" s="1" t="str">
        <f t="shared" ca="1" si="65"/>
        <v xml:space="preserve">   Mvar   EQU</v>
      </c>
    </row>
    <row r="1368" spans="1:25" x14ac:dyDescent="0.25">
      <c r="A1368" t="s">
        <v>1789</v>
      </c>
      <c r="B1368" t="s">
        <v>1790</v>
      </c>
      <c r="C1368" t="s">
        <v>1791</v>
      </c>
      <c r="D1368" t="s">
        <v>1791</v>
      </c>
      <c r="E1368" t="s">
        <v>1791</v>
      </c>
      <c r="F1368" t="s">
        <v>1792</v>
      </c>
      <c r="G1368" t="s">
        <v>1793</v>
      </c>
      <c r="H1368" t="s">
        <v>1794</v>
      </c>
      <c r="I1368" t="s">
        <v>1795</v>
      </c>
      <c r="J1368" t="s">
        <v>1796</v>
      </c>
      <c r="K1368" t="s">
        <v>1586</v>
      </c>
      <c r="L1368" t="s">
        <v>1797</v>
      </c>
      <c r="M1368" t="s">
        <v>1798</v>
      </c>
      <c r="N1368" t="s">
        <v>1587</v>
      </c>
      <c r="O1368" t="s">
        <v>1594</v>
      </c>
      <c r="P1368" t="s">
        <v>1584</v>
      </c>
      <c r="Q1368" t="s">
        <v>1799</v>
      </c>
      <c r="R1368" t="s">
        <v>1800</v>
      </c>
      <c r="S1368" t="s">
        <v>1801</v>
      </c>
      <c r="T1368" t="s">
        <v>1802</v>
      </c>
      <c r="U1368" t="s">
        <v>1803</v>
      </c>
      <c r="V1368" t="str" cm="1">
        <f t="array" aca="1" ref="V1368" ca="1">IFERROR(_xlfn.IFS(A1366="  ..............",OFFSET(A1366,2,0),A1365=" X-------------X",OFFSET(A1365,3,0),MATCH("  ..............",A1368:A1377,0)&gt;2,V1367),"-")</f>
        <v>-</v>
      </c>
      <c r="W1368" t="str">
        <f t="shared" ca="1" si="63"/>
        <v>-</v>
      </c>
      <c r="X1368" t="str">
        <f t="shared" ca="1" si="64"/>
        <v xml:space="preserve">     NOME     </v>
      </c>
      <c r="Y1368" s="1" t="str">
        <f t="shared" ca="1" si="65"/>
        <v xml:space="preserve">   FLUXO %   </v>
      </c>
    </row>
    <row r="1369" spans="1:25" x14ac:dyDescent="0.25">
      <c r="A1369" t="s">
        <v>1588</v>
      </c>
      <c r="B1369" t="s">
        <v>1587</v>
      </c>
      <c r="C1369" t="s">
        <v>1804</v>
      </c>
      <c r="D1369" t="s">
        <v>1805</v>
      </c>
      <c r="E1369" t="s">
        <v>1806</v>
      </c>
      <c r="F1369" t="s">
        <v>1807</v>
      </c>
      <c r="G1369" t="s">
        <v>1808</v>
      </c>
      <c r="H1369" t="s">
        <v>1587</v>
      </c>
      <c r="I1369" t="s">
        <v>1809</v>
      </c>
      <c r="J1369" t="s">
        <v>1810</v>
      </c>
      <c r="K1369" t="s">
        <v>1811</v>
      </c>
      <c r="L1369" t="s">
        <v>1812</v>
      </c>
      <c r="M1369" t="s">
        <v>1791</v>
      </c>
      <c r="N1369" t="s">
        <v>1813</v>
      </c>
      <c r="O1369" t="s">
        <v>1814</v>
      </c>
      <c r="P1369" t="s">
        <v>1815</v>
      </c>
      <c r="Q1369" t="s">
        <v>1816</v>
      </c>
      <c r="R1369" t="s">
        <v>1817</v>
      </c>
      <c r="S1369" t="s">
        <v>1818</v>
      </c>
      <c r="T1369" t="s">
        <v>1819</v>
      </c>
      <c r="U1369" t="s">
        <v>1820</v>
      </c>
      <c r="V1369" t="str" cm="1">
        <f t="array" aca="1" ref="V1369" ca="1">IFERROR(_xlfn.IFS(A1367="  ..............",OFFSET(A1367,2,0),A1366=" X-------------X",OFFSET(A1366,3,0),MATCH("  ..............",A1369:A1378,0)&gt;2,V1368),"-")</f>
        <v>-</v>
      </c>
      <c r="W1369" t="str">
        <f t="shared" ca="1" si="63"/>
        <v>-</v>
      </c>
      <c r="X1369" t="str">
        <f t="shared" ca="1" si="64"/>
        <v>X------------X</v>
      </c>
      <c r="Y1369" s="1" t="str">
        <f t="shared" ca="1" si="65"/>
        <v>X-----------X</v>
      </c>
    </row>
    <row r="1370" spans="1:25" x14ac:dyDescent="0.25">
      <c r="A1370" t="s">
        <v>1563</v>
      </c>
      <c r="B1370" t="s">
        <v>1564</v>
      </c>
      <c r="C1370" t="s">
        <v>1564</v>
      </c>
      <c r="D1370" t="s">
        <v>1564</v>
      </c>
      <c r="E1370" t="s">
        <v>1564</v>
      </c>
      <c r="F1370" t="s">
        <v>1565</v>
      </c>
      <c r="G1370" t="s">
        <v>1564</v>
      </c>
      <c r="H1370" t="s">
        <v>1564</v>
      </c>
      <c r="I1370" t="s">
        <v>1566</v>
      </c>
      <c r="J1370" t="s">
        <v>1567</v>
      </c>
      <c r="K1370" t="s">
        <v>1568</v>
      </c>
      <c r="L1370" t="s">
        <v>1564</v>
      </c>
      <c r="M1370" t="s">
        <v>1564</v>
      </c>
      <c r="N1370" t="s">
        <v>1564</v>
      </c>
      <c r="O1370" t="s">
        <v>1569</v>
      </c>
      <c r="P1370" t="s">
        <v>1566</v>
      </c>
      <c r="Q1370" t="s">
        <v>1570</v>
      </c>
      <c r="R1370" t="s">
        <v>1571</v>
      </c>
      <c r="S1370" t="s">
        <v>1571</v>
      </c>
      <c r="T1370" t="s">
        <v>1566</v>
      </c>
      <c r="U1370" t="s">
        <v>1566</v>
      </c>
      <c r="V1370" t="str" cm="1">
        <f t="array" aca="1" ref="V1370" ca="1">IFERROR(_xlfn.IFS(A1368="  ..............",OFFSET(A1368,2,0),A1367=" X-------------X",OFFSET(A1367,3,0),MATCH("  ..............",A1370:A1379,0)&gt;2,V1369),"-")</f>
        <v>-</v>
      </c>
      <c r="W1370" t="str">
        <f t="shared" ca="1" si="63"/>
        <v>-</v>
      </c>
      <c r="X1370" t="str">
        <f t="shared" ca="1" si="64"/>
        <v/>
      </c>
      <c r="Y1370" s="1" t="str">
        <f t="shared" ca="1" si="65"/>
        <v/>
      </c>
    </row>
    <row r="1371" spans="1:25" x14ac:dyDescent="0.25">
      <c r="A1371" t="s">
        <v>1581</v>
      </c>
      <c r="B1371" t="s">
        <v>1581</v>
      </c>
      <c r="C1371" t="s">
        <v>1581</v>
      </c>
      <c r="D1371" t="s">
        <v>1581</v>
      </c>
      <c r="E1371" t="s">
        <v>1581</v>
      </c>
      <c r="F1371" t="s">
        <v>1581</v>
      </c>
      <c r="G1371" t="s">
        <v>1581</v>
      </c>
      <c r="H1371" t="s">
        <v>1581</v>
      </c>
      <c r="I1371" t="s">
        <v>1581</v>
      </c>
      <c r="J1371" t="s">
        <v>1581</v>
      </c>
      <c r="K1371" t="s">
        <v>1581</v>
      </c>
      <c r="L1371" t="s">
        <v>1581</v>
      </c>
      <c r="M1371" t="s">
        <v>1581</v>
      </c>
      <c r="N1371" t="s">
        <v>1581</v>
      </c>
      <c r="O1371" t="s">
        <v>1581</v>
      </c>
      <c r="P1371" t="s">
        <v>1581</v>
      </c>
      <c r="Q1371" t="s">
        <v>1581</v>
      </c>
      <c r="R1371" t="s">
        <v>1581</v>
      </c>
      <c r="S1371" t="s">
        <v>1581</v>
      </c>
      <c r="T1371" t="s">
        <v>1581</v>
      </c>
      <c r="U1371" t="s">
        <v>1581</v>
      </c>
      <c r="V1371" t="str" cm="1">
        <f t="array" aca="1" ref="V1371" ca="1">IFERROR(_xlfn.IFS(A1369="  ..............",OFFSET(A1369,2,0),A1368=" X-------------X",OFFSET(A1368,3,0),MATCH("  ..............",A1371:A1380,0)&gt;2,V1370),"-")</f>
        <v>-</v>
      </c>
      <c r="W1371" t="str">
        <f t="shared" ca="1" si="63"/>
        <v>-</v>
      </c>
      <c r="X1371" t="str">
        <f t="shared" ca="1" si="64"/>
        <v/>
      </c>
      <c r="Y1371" s="1" t="str">
        <f t="shared" ca="1" si="65"/>
        <v/>
      </c>
    </row>
    <row r="1372" spans="1:25" x14ac:dyDescent="0.25">
      <c r="A1372" t="s">
        <v>2561</v>
      </c>
      <c r="B1372">
        <v>1.034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 t="s">
        <v>1581</v>
      </c>
      <c r="J1372" t="s">
        <v>1581</v>
      </c>
      <c r="K1372" t="s">
        <v>1581</v>
      </c>
      <c r="L1372" t="s">
        <v>1581</v>
      </c>
      <c r="M1372" t="s">
        <v>1581</v>
      </c>
      <c r="N1372" t="s">
        <v>1581</v>
      </c>
      <c r="O1372" t="s">
        <v>1581</v>
      </c>
      <c r="P1372" t="s">
        <v>1581</v>
      </c>
      <c r="Q1372" t="s">
        <v>1581</v>
      </c>
      <c r="R1372" t="s">
        <v>1581</v>
      </c>
      <c r="S1372" t="s">
        <v>1581</v>
      </c>
      <c r="T1372" t="s">
        <v>1581</v>
      </c>
      <c r="U1372" t="s">
        <v>1581</v>
      </c>
      <c r="V1372" t="str" cm="1">
        <f t="array" aca="1" ref="V1372" ca="1">IFERROR(_xlfn.IFS(A1370="  ..............",OFFSET(A1370,2,0),A1369=" X-------------X",OFFSET(A1369,3,0),MATCH("  ..............",A1372:A1381,0)&gt;2,V1371),"-")</f>
        <v>-</v>
      </c>
      <c r="W1372" t="str">
        <f t="shared" ca="1" si="63"/>
        <v>-</v>
      </c>
      <c r="X1372" t="str">
        <f t="shared" ca="1" si="64"/>
        <v xml:space="preserve">              </v>
      </c>
      <c r="Y1372" s="1">
        <f t="shared" ca="1" si="65"/>
        <v>0</v>
      </c>
    </row>
    <row r="1373" spans="1:25" x14ac:dyDescent="0.25">
      <c r="A1373" t="s">
        <v>2562</v>
      </c>
      <c r="B1373">
        <v>-51.1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 t="s">
        <v>1584</v>
      </c>
      <c r="J1373" t="s">
        <v>1585</v>
      </c>
      <c r="K1373" t="s">
        <v>1586</v>
      </c>
      <c r="L1373" t="s">
        <v>1587</v>
      </c>
      <c r="M1373" t="s">
        <v>1587</v>
      </c>
      <c r="N1373" t="s">
        <v>1586</v>
      </c>
      <c r="O1373" t="s">
        <v>1581</v>
      </c>
      <c r="P1373" t="s">
        <v>1581</v>
      </c>
      <c r="Q1373" t="s">
        <v>1581</v>
      </c>
      <c r="R1373" t="s">
        <v>1581</v>
      </c>
      <c r="S1373" t="s">
        <v>1581</v>
      </c>
      <c r="T1373" t="s">
        <v>1581</v>
      </c>
      <c r="U1373" t="s">
        <v>1581</v>
      </c>
      <c r="V1373" t="str" cm="1">
        <f t="array" aca="1" ref="V1373" ca="1">IFERROR(_xlfn.IFS(A1371="  ..............",OFFSET(A1371,2,0),A1370=" X-------------X",OFFSET(A1370,3,0),MATCH("  ..............",A1373:A1382,0)&gt;2,V1372),"-")</f>
        <v xml:space="preserve">  NPETR2-RS069  </v>
      </c>
      <c r="W1373">
        <f t="shared" ca="1" si="63"/>
        <v>1.034</v>
      </c>
      <c r="X1373" t="str">
        <f t="shared" ca="1" si="64"/>
        <v xml:space="preserve"> GRAMAD-RS069 </v>
      </c>
      <c r="Y1373" s="1">
        <f t="shared" ca="1" si="65"/>
        <v>0.253</v>
      </c>
    </row>
    <row r="1374" spans="1:25" x14ac:dyDescent="0.25">
      <c r="A1374" t="s">
        <v>1588</v>
      </c>
      <c r="B1374" t="s">
        <v>1587</v>
      </c>
      <c r="C1374">
        <v>84</v>
      </c>
      <c r="D1374">
        <v>101</v>
      </c>
      <c r="E1374">
        <v>101</v>
      </c>
      <c r="F1374" s="1">
        <v>0.253</v>
      </c>
      <c r="G1374" t="s">
        <v>1587</v>
      </c>
      <c r="H1374" t="s">
        <v>1587</v>
      </c>
      <c r="I1374">
        <v>9550</v>
      </c>
      <c r="J1374" t="s">
        <v>2563</v>
      </c>
      <c r="K1374">
        <v>1</v>
      </c>
      <c r="L1374">
        <v>19.399999999999999</v>
      </c>
      <c r="M1374">
        <v>10.3</v>
      </c>
      <c r="N1374">
        <v>21.3</v>
      </c>
      <c r="O1374" t="s">
        <v>1594</v>
      </c>
      <c r="P1374" t="s">
        <v>1584</v>
      </c>
      <c r="Q1374" t="s">
        <v>1591</v>
      </c>
      <c r="R1374">
        <v>0.23</v>
      </c>
      <c r="S1374">
        <v>0.49</v>
      </c>
      <c r="T1374" t="s">
        <v>1584</v>
      </c>
      <c r="U1374" t="s">
        <v>1592</v>
      </c>
      <c r="V1374" t="str" cm="1">
        <f t="array" aca="1" ref="V1374" ca="1">IFERROR(_xlfn.IFS(A1372="  ..............",OFFSET(A1372,2,0),A1371=" X-------------X",OFFSET(A1371,3,0),MATCH("  ..............",A1374:A1383,0)&gt;2,V1373),"-")</f>
        <v xml:space="preserve">  NPETR2-RS069  </v>
      </c>
      <c r="W1374">
        <f t="shared" ca="1" si="63"/>
        <v>1.034</v>
      </c>
      <c r="X1374" t="str">
        <f t="shared" ca="1" si="64"/>
        <v xml:space="preserve"> NPETRO-RS069 </v>
      </c>
      <c r="Y1374" s="1">
        <f t="shared" ca="1" si="65"/>
        <v>0.23699999999999999</v>
      </c>
    </row>
    <row r="1375" spans="1:25" x14ac:dyDescent="0.25">
      <c r="A1375" t="s">
        <v>1588</v>
      </c>
      <c r="B1375" t="s">
        <v>1587</v>
      </c>
      <c r="C1375">
        <v>95</v>
      </c>
      <c r="D1375">
        <v>108</v>
      </c>
      <c r="E1375">
        <v>108</v>
      </c>
      <c r="F1375" s="1">
        <v>0.23699999999999999</v>
      </c>
      <c r="G1375" t="s">
        <v>1587</v>
      </c>
      <c r="H1375" t="s">
        <v>1587</v>
      </c>
      <c r="I1375">
        <v>9573</v>
      </c>
      <c r="J1375" t="s">
        <v>2564</v>
      </c>
      <c r="K1375">
        <v>1</v>
      </c>
      <c r="L1375">
        <v>22.6</v>
      </c>
      <c r="M1375">
        <v>5.5</v>
      </c>
      <c r="N1375">
        <v>22.5</v>
      </c>
      <c r="O1375" t="s">
        <v>1594</v>
      </c>
      <c r="P1375" t="s">
        <v>1584</v>
      </c>
      <c r="Q1375" t="s">
        <v>1591</v>
      </c>
      <c r="R1375">
        <v>0.21</v>
      </c>
      <c r="S1375">
        <v>0.55000000000000004</v>
      </c>
      <c r="T1375" t="s">
        <v>1584</v>
      </c>
      <c r="U1375" t="s">
        <v>1592</v>
      </c>
      <c r="V1375" t="str" cm="1">
        <f t="array" aca="1" ref="V1375" ca="1">IFERROR(_xlfn.IFS(A1373="  ..............",OFFSET(A1373,2,0),A1372=" X-------------X",OFFSET(A1372,3,0),MATCH("  ..............",A1375:A1384,0)&gt;2,V1374),"-")</f>
        <v xml:space="preserve">  NPETR2-RS069  </v>
      </c>
      <c r="W1375">
        <f t="shared" ca="1" si="63"/>
        <v>1.034</v>
      </c>
      <c r="X1375" t="str">
        <f t="shared" ca="1" si="64"/>
        <v xml:space="preserve"> NVP--1-RS000 </v>
      </c>
      <c r="Y1375" s="1">
        <f t="shared" ca="1" si="65"/>
        <v>0.26800000000000002</v>
      </c>
    </row>
    <row r="1376" spans="1:25" x14ac:dyDescent="0.25">
      <c r="A1376" t="s">
        <v>1588</v>
      </c>
      <c r="B1376" t="s">
        <v>1587</v>
      </c>
      <c r="C1376">
        <v>83</v>
      </c>
      <c r="D1376">
        <v>100</v>
      </c>
      <c r="E1376">
        <v>100</v>
      </c>
      <c r="F1376" s="1">
        <v>0.26800000000000002</v>
      </c>
      <c r="G1376" t="s">
        <v>1587</v>
      </c>
      <c r="H1376" t="s">
        <v>1587</v>
      </c>
      <c r="I1376">
        <v>41305</v>
      </c>
      <c r="J1376" t="s">
        <v>2565</v>
      </c>
      <c r="K1376">
        <v>1</v>
      </c>
      <c r="L1376">
        <v>-21.5</v>
      </c>
      <c r="M1376">
        <v>-8</v>
      </c>
      <c r="N1376">
        <v>22.2</v>
      </c>
      <c r="O1376" t="s">
        <v>1608</v>
      </c>
      <c r="P1376" t="s">
        <v>1584</v>
      </c>
      <c r="Q1376">
        <v>2</v>
      </c>
      <c r="R1376">
        <v>0.01</v>
      </c>
      <c r="S1376">
        <v>-0.04</v>
      </c>
      <c r="T1376" t="s">
        <v>1584</v>
      </c>
      <c r="U1376" t="s">
        <v>1592</v>
      </c>
      <c r="V1376" t="str" cm="1">
        <f t="array" aca="1" ref="V1376" ca="1">IFERROR(_xlfn.IFS(A1374="  ..............",OFFSET(A1374,2,0),A1373=" X-------------X",OFFSET(A1373,3,0),MATCH("  ..............",A1376:A1385,0)&gt;2,V1375),"-")</f>
        <v xml:space="preserve">  NPETR2-RS069  </v>
      </c>
      <c r="W1376">
        <f t="shared" ca="1" si="63"/>
        <v>1.034</v>
      </c>
      <c r="X1376" t="str">
        <f t="shared" ca="1" si="64"/>
        <v xml:space="preserve"> NVP--2-RS000 </v>
      </c>
      <c r="Y1376" s="1">
        <f t="shared" ca="1" si="65"/>
        <v>0.25600000000000001</v>
      </c>
    </row>
    <row r="1377" spans="1:25" x14ac:dyDescent="0.25">
      <c r="A1377" t="s">
        <v>1588</v>
      </c>
      <c r="B1377" t="s">
        <v>1587</v>
      </c>
      <c r="C1377">
        <v>83</v>
      </c>
      <c r="D1377">
        <v>100</v>
      </c>
      <c r="E1377">
        <v>100</v>
      </c>
      <c r="F1377" s="1">
        <v>0.25600000000000001</v>
      </c>
      <c r="G1377" t="s">
        <v>1587</v>
      </c>
      <c r="H1377" t="s">
        <v>1587</v>
      </c>
      <c r="I1377">
        <v>41412</v>
      </c>
      <c r="J1377" t="s">
        <v>2566</v>
      </c>
      <c r="K1377">
        <v>2</v>
      </c>
      <c r="L1377">
        <v>-20.5</v>
      </c>
      <c r="M1377">
        <v>-7.8</v>
      </c>
      <c r="N1377">
        <v>21.2</v>
      </c>
      <c r="O1377" t="s">
        <v>1608</v>
      </c>
      <c r="P1377" t="s">
        <v>1584</v>
      </c>
      <c r="Q1377">
        <v>2</v>
      </c>
      <c r="R1377">
        <v>0.01</v>
      </c>
      <c r="S1377">
        <v>-0.06</v>
      </c>
      <c r="T1377" t="s">
        <v>1584</v>
      </c>
      <c r="U1377" t="s">
        <v>1592</v>
      </c>
      <c r="V1377" t="str" cm="1">
        <f t="array" aca="1" ref="V1377" ca="1">IFERROR(_xlfn.IFS(A1375="  ..............",OFFSET(A1375,2,0),A1374=" X-------------X",OFFSET(A1374,3,0),MATCH("  ..............",A1377:A1386,0)&gt;2,V1376),"-")</f>
        <v>-</v>
      </c>
      <c r="W1377" t="str">
        <f t="shared" ca="1" si="63"/>
        <v>-</v>
      </c>
      <c r="X1377" t="str">
        <f t="shared" ca="1" si="64"/>
        <v>-</v>
      </c>
      <c r="Y1377" s="1" t="str">
        <f t="shared" ca="1" si="65"/>
        <v>-</v>
      </c>
    </row>
    <row r="1378" spans="1:25" x14ac:dyDescent="0.25">
      <c r="A1378" t="s">
        <v>1572</v>
      </c>
      <c r="B1378" t="s">
        <v>1574</v>
      </c>
      <c r="C1378" t="s">
        <v>1574</v>
      </c>
      <c r="D1378" t="s">
        <v>1574</v>
      </c>
      <c r="E1378" t="s">
        <v>1574</v>
      </c>
      <c r="F1378" t="s">
        <v>1575</v>
      </c>
      <c r="G1378" t="s">
        <v>1574</v>
      </c>
      <c r="H1378" t="s">
        <v>1574</v>
      </c>
      <c r="I1378" t="s">
        <v>1576</v>
      </c>
      <c r="J1378" t="s">
        <v>1573</v>
      </c>
      <c r="K1378" t="s">
        <v>1577</v>
      </c>
      <c r="L1378" t="s">
        <v>1574</v>
      </c>
      <c r="M1378" t="s">
        <v>1574</v>
      </c>
      <c r="N1378" t="s">
        <v>1574</v>
      </c>
      <c r="O1378" t="s">
        <v>1578</v>
      </c>
      <c r="P1378" t="s">
        <v>1576</v>
      </c>
      <c r="Q1378" t="s">
        <v>1579</v>
      </c>
      <c r="R1378" t="s">
        <v>1580</v>
      </c>
      <c r="S1378" t="s">
        <v>1580</v>
      </c>
      <c r="T1378" t="s">
        <v>1576</v>
      </c>
      <c r="U1378" t="s">
        <v>1576</v>
      </c>
      <c r="V1378" t="str" cm="1">
        <f t="array" aca="1" ref="V1378" ca="1">IFERROR(_xlfn.IFS(A1376="  ..............",OFFSET(A1376,2,0),A1375=" X-------------X",OFFSET(A1375,3,0),MATCH("  ..............",A1378:A1387,0)&gt;2,V1377),"-")</f>
        <v>-</v>
      </c>
      <c r="W1378" t="str">
        <f t="shared" ca="1" si="63"/>
        <v>-</v>
      </c>
      <c r="X1378" t="str">
        <f t="shared" ca="1" si="64"/>
        <v/>
      </c>
      <c r="Y1378" s="1" t="str">
        <f t="shared" ca="1" si="65"/>
        <v/>
      </c>
    </row>
    <row r="1379" spans="1:25" x14ac:dyDescent="0.25">
      <c r="A1379" t="s">
        <v>2567</v>
      </c>
      <c r="B1379">
        <v>1.0169999999999999</v>
      </c>
      <c r="C1379">
        <v>2.2999999999999998</v>
      </c>
      <c r="D1379">
        <v>0</v>
      </c>
      <c r="E1379">
        <v>40.799999999999997</v>
      </c>
      <c r="F1379">
        <v>0</v>
      </c>
      <c r="G1379">
        <v>0</v>
      </c>
      <c r="H1379">
        <v>0</v>
      </c>
      <c r="I1379" t="s">
        <v>1581</v>
      </c>
      <c r="J1379" t="s">
        <v>1581</v>
      </c>
      <c r="K1379" t="s">
        <v>1581</v>
      </c>
      <c r="L1379" t="s">
        <v>1581</v>
      </c>
      <c r="M1379" t="s">
        <v>1581</v>
      </c>
      <c r="N1379" t="s">
        <v>1581</v>
      </c>
      <c r="O1379" t="s">
        <v>1581</v>
      </c>
      <c r="P1379" t="s">
        <v>1581</v>
      </c>
      <c r="Q1379" t="s">
        <v>1581</v>
      </c>
      <c r="R1379" t="s">
        <v>1581</v>
      </c>
      <c r="S1379" t="s">
        <v>1581</v>
      </c>
      <c r="T1379" t="s">
        <v>1581</v>
      </c>
      <c r="U1379" t="s">
        <v>1581</v>
      </c>
      <c r="V1379" t="str" cm="1">
        <f t="array" aca="1" ref="V1379" ca="1">IFERROR(_xlfn.IFS(A1377="  ..............",OFFSET(A1377,2,0),A1376=" X-------------X",OFFSET(A1376,3,0),MATCH("  ..............",A1379:A1388,0)&gt;2,V1378),"-")</f>
        <v>-</v>
      </c>
      <c r="W1379" t="str">
        <f t="shared" ca="1" si="63"/>
        <v>-</v>
      </c>
      <c r="X1379" t="str">
        <f t="shared" ca="1" si="64"/>
        <v xml:space="preserve">              </v>
      </c>
      <c r="Y1379" s="1">
        <f t="shared" ca="1" si="65"/>
        <v>0</v>
      </c>
    </row>
    <row r="1380" spans="1:25" x14ac:dyDescent="0.25">
      <c r="A1380" t="s">
        <v>2568</v>
      </c>
      <c r="B1380">
        <v>-42.4</v>
      </c>
      <c r="C1380">
        <v>0</v>
      </c>
      <c r="D1380">
        <v>0</v>
      </c>
      <c r="E1380">
        <v>21.7</v>
      </c>
      <c r="F1380">
        <v>0</v>
      </c>
      <c r="G1380">
        <v>0</v>
      </c>
      <c r="H1380">
        <v>0</v>
      </c>
      <c r="I1380" t="s">
        <v>1584</v>
      </c>
      <c r="J1380" t="s">
        <v>1585</v>
      </c>
      <c r="K1380" t="s">
        <v>1586</v>
      </c>
      <c r="L1380" t="s">
        <v>1587</v>
      </c>
      <c r="M1380" t="s">
        <v>1587</v>
      </c>
      <c r="N1380" t="s">
        <v>1586</v>
      </c>
      <c r="O1380" t="s">
        <v>1581</v>
      </c>
      <c r="P1380" t="s">
        <v>1581</v>
      </c>
      <c r="Q1380" t="s">
        <v>1581</v>
      </c>
      <c r="R1380" t="s">
        <v>1581</v>
      </c>
      <c r="S1380" t="s">
        <v>1581</v>
      </c>
      <c r="T1380" t="s">
        <v>1581</v>
      </c>
      <c r="U1380" t="s">
        <v>1581</v>
      </c>
      <c r="V1380" t="str" cm="1">
        <f t="array" aca="1" ref="V1380" ca="1">IFERROR(_xlfn.IFS(A1378="  ..............",OFFSET(A1378,2,0),A1377=" X-------------X",OFFSET(A1377,3,0),MATCH("  ..............",A1380:A1389,0)&gt;2,V1379),"-")</f>
        <v xml:space="preserve">  PLANAL-RS138  </v>
      </c>
      <c r="W1380">
        <f t="shared" ca="1" si="63"/>
        <v>1.0169999999999999</v>
      </c>
      <c r="X1380" t="str">
        <f t="shared" ca="1" si="64"/>
        <v xml:space="preserve"> FCHAPE-RS138 </v>
      </c>
      <c r="Y1380" s="1">
        <f t="shared" ca="1" si="65"/>
        <v>0.28799999999999998</v>
      </c>
    </row>
    <row r="1381" spans="1:25" x14ac:dyDescent="0.25">
      <c r="A1381" t="s">
        <v>1588</v>
      </c>
      <c r="B1381" t="s">
        <v>1587</v>
      </c>
      <c r="C1381">
        <v>167</v>
      </c>
      <c r="D1381">
        <v>203</v>
      </c>
      <c r="E1381">
        <v>203</v>
      </c>
      <c r="F1381" s="1">
        <v>0.28799999999999998</v>
      </c>
      <c r="G1381" t="s">
        <v>1587</v>
      </c>
      <c r="H1381" t="s">
        <v>1587</v>
      </c>
      <c r="I1381">
        <v>1062</v>
      </c>
      <c r="J1381" t="s">
        <v>2569</v>
      </c>
      <c r="K1381">
        <v>1</v>
      </c>
      <c r="L1381">
        <v>-44.1</v>
      </c>
      <c r="M1381">
        <v>-21.1</v>
      </c>
      <c r="N1381">
        <v>48.1</v>
      </c>
      <c r="O1381" t="s">
        <v>1594</v>
      </c>
      <c r="P1381" t="s">
        <v>1584</v>
      </c>
      <c r="Q1381">
        <v>53</v>
      </c>
      <c r="R1381">
        <v>0.39</v>
      </c>
      <c r="S1381">
        <v>-0.15</v>
      </c>
      <c r="T1381" t="s">
        <v>1584</v>
      </c>
      <c r="U1381" t="s">
        <v>1592</v>
      </c>
      <c r="V1381" t="str" cm="1">
        <f t="array" aca="1" ref="V1381" ca="1">IFERROR(_xlfn.IFS(A1379="  ..............",OFFSET(A1379,2,0),A1378=" X-------------X",OFFSET(A1378,3,0),MATCH("  ..............",A1381:A1390,0)&gt;2,V1380),"-")</f>
        <v xml:space="preserve">  PLANAL-RS138  </v>
      </c>
      <c r="W1381">
        <f t="shared" ca="1" si="63"/>
        <v>1.0169999999999999</v>
      </c>
      <c r="X1381" t="str">
        <f t="shared" ca="1" si="64"/>
        <v xml:space="preserve"> CONSTA-RS138 </v>
      </c>
      <c r="Y1381" s="1">
        <f t="shared" ca="1" si="65"/>
        <v>3.3000000000000002E-2</v>
      </c>
    </row>
    <row r="1382" spans="1:25" x14ac:dyDescent="0.25">
      <c r="A1382" t="s">
        <v>1588</v>
      </c>
      <c r="B1382" t="s">
        <v>1587</v>
      </c>
      <c r="C1382">
        <v>167</v>
      </c>
      <c r="D1382">
        <v>203</v>
      </c>
      <c r="E1382">
        <v>203</v>
      </c>
      <c r="F1382" s="1">
        <v>3.3000000000000002E-2</v>
      </c>
      <c r="G1382" t="s">
        <v>1587</v>
      </c>
      <c r="H1382" t="s">
        <v>1587</v>
      </c>
      <c r="I1382">
        <v>1335</v>
      </c>
      <c r="J1382" t="s">
        <v>2570</v>
      </c>
      <c r="K1382">
        <v>1</v>
      </c>
      <c r="L1382">
        <v>5.6</v>
      </c>
      <c r="M1382">
        <v>-0.6</v>
      </c>
      <c r="N1382">
        <v>5.5</v>
      </c>
      <c r="O1382" t="s">
        <v>1594</v>
      </c>
      <c r="P1382" t="s">
        <v>1584</v>
      </c>
      <c r="Q1382" t="s">
        <v>1591</v>
      </c>
      <c r="R1382">
        <v>0.01</v>
      </c>
      <c r="S1382">
        <v>-3.46</v>
      </c>
      <c r="T1382" t="s">
        <v>1584</v>
      </c>
      <c r="U1382" t="s">
        <v>1592</v>
      </c>
      <c r="V1382" t="str" cm="1">
        <f t="array" aca="1" ref="V1382" ca="1">IFERROR(_xlfn.IFS(A1380="  ..............",OFFSET(A1380,2,0),A1379=" X-------------X",OFFSET(A1379,3,0),MATCH("  ..............",A1382:A1391,0)&gt;2,V1381),"-")</f>
        <v>-</v>
      </c>
      <c r="W1382" t="str">
        <f t="shared" ca="1" si="63"/>
        <v>-</v>
      </c>
      <c r="X1382" t="str">
        <f t="shared" ca="1" si="64"/>
        <v>-</v>
      </c>
      <c r="Y1382" s="1" t="str">
        <f t="shared" ca="1" si="65"/>
        <v>-</v>
      </c>
    </row>
    <row r="1383" spans="1:25" x14ac:dyDescent="0.25">
      <c r="A1383" t="s">
        <v>1572</v>
      </c>
      <c r="B1383" t="s">
        <v>1574</v>
      </c>
      <c r="C1383" t="s">
        <v>1574</v>
      </c>
      <c r="D1383" t="s">
        <v>1574</v>
      </c>
      <c r="E1383" t="s">
        <v>1574</v>
      </c>
      <c r="F1383" t="s">
        <v>1575</v>
      </c>
      <c r="G1383" t="s">
        <v>1574</v>
      </c>
      <c r="H1383" t="s">
        <v>1574</v>
      </c>
      <c r="I1383" t="s">
        <v>1576</v>
      </c>
      <c r="J1383" t="s">
        <v>1573</v>
      </c>
      <c r="K1383" t="s">
        <v>1577</v>
      </c>
      <c r="L1383" t="s">
        <v>1574</v>
      </c>
      <c r="M1383" t="s">
        <v>1574</v>
      </c>
      <c r="N1383" t="s">
        <v>1574</v>
      </c>
      <c r="O1383" t="s">
        <v>1578</v>
      </c>
      <c r="P1383" t="s">
        <v>1576</v>
      </c>
      <c r="Q1383" t="s">
        <v>1579</v>
      </c>
      <c r="R1383" t="s">
        <v>1580</v>
      </c>
      <c r="S1383" t="s">
        <v>1580</v>
      </c>
      <c r="T1383" t="s">
        <v>1576</v>
      </c>
      <c r="U1383" t="s">
        <v>1576</v>
      </c>
      <c r="V1383" t="str" cm="1">
        <f t="array" aca="1" ref="V1383" ca="1">IFERROR(_xlfn.IFS(A1381="  ..............",OFFSET(A1381,2,0),A1380=" X-------------X",OFFSET(A1380,3,0),MATCH("  ..............",A1383:A1392,0)&gt;2,V1382),"-")</f>
        <v>-</v>
      </c>
      <c r="W1383" t="str">
        <f t="shared" ca="1" si="63"/>
        <v>-</v>
      </c>
      <c r="X1383" t="str">
        <f t="shared" ca="1" si="64"/>
        <v/>
      </c>
      <c r="Y1383" s="1" t="str">
        <f t="shared" ca="1" si="65"/>
        <v/>
      </c>
    </row>
    <row r="1384" spans="1:25" x14ac:dyDescent="0.25">
      <c r="A1384" t="s">
        <v>2571</v>
      </c>
      <c r="B1384">
        <v>1.0069999999999999</v>
      </c>
      <c r="C1384">
        <v>2.4</v>
      </c>
      <c r="D1384">
        <v>0</v>
      </c>
      <c r="E1384">
        <v>21.6</v>
      </c>
      <c r="F1384">
        <v>0</v>
      </c>
      <c r="G1384">
        <v>0</v>
      </c>
      <c r="H1384">
        <v>0</v>
      </c>
      <c r="I1384" t="s">
        <v>1581</v>
      </c>
      <c r="J1384" t="s">
        <v>1581</v>
      </c>
      <c r="K1384" t="s">
        <v>1581</v>
      </c>
      <c r="L1384" t="s">
        <v>1581</v>
      </c>
      <c r="M1384" t="s">
        <v>1581</v>
      </c>
      <c r="N1384" t="s">
        <v>1581</v>
      </c>
      <c r="O1384" t="s">
        <v>1581</v>
      </c>
      <c r="P1384" t="s">
        <v>1581</v>
      </c>
      <c r="Q1384" t="s">
        <v>1581</v>
      </c>
      <c r="R1384" t="s">
        <v>1581</v>
      </c>
      <c r="S1384" t="s">
        <v>1581</v>
      </c>
      <c r="T1384" t="s">
        <v>1581</v>
      </c>
      <c r="U1384" t="s">
        <v>1581</v>
      </c>
      <c r="V1384" t="str" cm="1">
        <f t="array" aca="1" ref="V1384" ca="1">IFERROR(_xlfn.IFS(A1382="  ..............",OFFSET(A1382,2,0),A1381=" X-------------X",OFFSET(A1381,3,0),MATCH("  ..............",A1384:A1393,0)&gt;2,V1383),"-")</f>
        <v>-</v>
      </c>
      <c r="W1384" t="str">
        <f t="shared" ca="1" si="63"/>
        <v>-</v>
      </c>
      <c r="X1384" t="str">
        <f t="shared" ca="1" si="64"/>
        <v xml:space="preserve">              </v>
      </c>
      <c r="Y1384" s="1">
        <f t="shared" ca="1" si="65"/>
        <v>0</v>
      </c>
    </row>
    <row r="1385" spans="1:25" x14ac:dyDescent="0.25">
      <c r="A1385" t="s">
        <v>2572</v>
      </c>
      <c r="B1385">
        <v>-52.6</v>
      </c>
      <c r="C1385">
        <v>0</v>
      </c>
      <c r="D1385">
        <v>0</v>
      </c>
      <c r="E1385">
        <v>9.8000000000000007</v>
      </c>
      <c r="F1385">
        <v>0</v>
      </c>
      <c r="G1385">
        <v>0</v>
      </c>
      <c r="H1385">
        <v>0</v>
      </c>
      <c r="I1385" t="s">
        <v>1584</v>
      </c>
      <c r="J1385" t="s">
        <v>1585</v>
      </c>
      <c r="K1385" t="s">
        <v>1586</v>
      </c>
      <c r="L1385" t="s">
        <v>1587</v>
      </c>
      <c r="M1385" t="s">
        <v>1587</v>
      </c>
      <c r="N1385" t="s">
        <v>1586</v>
      </c>
      <c r="O1385" t="s">
        <v>1581</v>
      </c>
      <c r="P1385" t="s">
        <v>1581</v>
      </c>
      <c r="Q1385" t="s">
        <v>1581</v>
      </c>
      <c r="R1385" t="s">
        <v>1581</v>
      </c>
      <c r="S1385" t="s">
        <v>1581</v>
      </c>
      <c r="T1385" t="s">
        <v>1581</v>
      </c>
      <c r="U1385" t="s">
        <v>1581</v>
      </c>
      <c r="V1385" t="str" cm="1">
        <f t="array" aca="1" ref="V1385" ca="1">IFERROR(_xlfn.IFS(A1383="  ..............",OFFSET(A1383,2,0),A1382=" X-------------X",OFFSET(A1382,3,0),MATCH("  ..............",A1385:A1394,0)&gt;2,V1384),"-")</f>
        <v xml:space="preserve">  GRAMAD-RS069  </v>
      </c>
      <c r="W1385">
        <f t="shared" ca="1" si="63"/>
        <v>1.0069999999999999</v>
      </c>
      <c r="X1385" t="str">
        <f t="shared" ca="1" si="64"/>
        <v xml:space="preserve"> NPETR2-RS069 </v>
      </c>
      <c r="Y1385" s="1">
        <f t="shared" ca="1" si="65"/>
        <v>0.255</v>
      </c>
    </row>
    <row r="1386" spans="1:25" x14ac:dyDescent="0.25">
      <c r="A1386" t="s">
        <v>1588</v>
      </c>
      <c r="B1386" t="s">
        <v>1587</v>
      </c>
      <c r="C1386">
        <v>84</v>
      </c>
      <c r="D1386">
        <v>101</v>
      </c>
      <c r="E1386">
        <v>101</v>
      </c>
      <c r="F1386" s="1">
        <v>0.255</v>
      </c>
      <c r="G1386" t="s">
        <v>1587</v>
      </c>
      <c r="H1386" t="s">
        <v>1587</v>
      </c>
      <c r="I1386">
        <v>9548</v>
      </c>
      <c r="J1386" t="s">
        <v>2573</v>
      </c>
      <c r="K1386">
        <v>1</v>
      </c>
      <c r="L1386">
        <v>-19.2</v>
      </c>
      <c r="M1386">
        <v>-9.8000000000000007</v>
      </c>
      <c r="N1386">
        <v>21.4</v>
      </c>
      <c r="O1386" t="s">
        <v>1594</v>
      </c>
      <c r="P1386" t="s">
        <v>1584</v>
      </c>
      <c r="Q1386" t="s">
        <v>1591</v>
      </c>
      <c r="R1386">
        <v>0.23</v>
      </c>
      <c r="S1386">
        <v>0.49</v>
      </c>
      <c r="T1386" t="s">
        <v>1584</v>
      </c>
      <c r="U1386" t="s">
        <v>1592</v>
      </c>
      <c r="V1386" t="str" cm="1">
        <f t="array" aca="1" ref="V1386" ca="1">IFERROR(_xlfn.IFS(A1384="  ..............",OFFSET(A1384,2,0),A1383=" X-------------X",OFFSET(A1383,3,0),MATCH("  ..............",A1386:A1395,0)&gt;2,V1385),"-")</f>
        <v xml:space="preserve">  GRAMAD-RS069  </v>
      </c>
      <c r="W1386">
        <f t="shared" ca="1" si="63"/>
        <v>1.0069999999999999</v>
      </c>
      <c r="X1386" t="str">
        <f t="shared" ca="1" si="64"/>
        <v xml:space="preserve"> GRAMADTAP069 </v>
      </c>
      <c r="Y1386" s="1" t="str">
        <f t="shared" ca="1" si="65"/>
        <v xml:space="preserve">             </v>
      </c>
    </row>
    <row r="1387" spans="1:25" x14ac:dyDescent="0.25">
      <c r="A1387" t="s">
        <v>1637</v>
      </c>
      <c r="B1387" t="s">
        <v>1638</v>
      </c>
      <c r="C1387">
        <v>84</v>
      </c>
      <c r="D1387">
        <v>101</v>
      </c>
      <c r="E1387">
        <v>101</v>
      </c>
      <c r="F1387" t="s">
        <v>1639</v>
      </c>
      <c r="G1387" t="s">
        <v>1587</v>
      </c>
      <c r="H1387" t="s">
        <v>1587</v>
      </c>
      <c r="I1387">
        <v>9758</v>
      </c>
      <c r="J1387" t="s">
        <v>2574</v>
      </c>
      <c r="K1387">
        <v>1</v>
      </c>
      <c r="L1387">
        <v>0</v>
      </c>
      <c r="M1387">
        <v>0</v>
      </c>
      <c r="N1387">
        <v>0</v>
      </c>
      <c r="O1387" t="s">
        <v>1594</v>
      </c>
      <c r="P1387" t="s">
        <v>1584</v>
      </c>
      <c r="Q1387" t="s">
        <v>1591</v>
      </c>
      <c r="R1387">
        <v>0</v>
      </c>
      <c r="S1387">
        <v>0</v>
      </c>
      <c r="T1387" t="s">
        <v>1584</v>
      </c>
      <c r="U1387" t="s">
        <v>1592</v>
      </c>
      <c r="V1387" t="str" cm="1">
        <f t="array" aca="1" ref="V1387" ca="1">IFERROR(_xlfn.IFS(A1385="  ..............",OFFSET(A1385,2,0),A1384=" X-------------X",OFFSET(A1384,3,0),MATCH("  ..............",A1387:A1396,0)&gt;2,V1386),"-")</f>
        <v>-</v>
      </c>
      <c r="W1387" t="str">
        <f t="shared" ca="1" si="63"/>
        <v>-</v>
      </c>
      <c r="X1387" t="str">
        <f t="shared" ca="1" si="64"/>
        <v>-</v>
      </c>
      <c r="Y1387" s="1" t="str">
        <f t="shared" ca="1" si="65"/>
        <v>-</v>
      </c>
    </row>
    <row r="1388" spans="1:25" x14ac:dyDescent="0.25">
      <c r="A1388" t="s">
        <v>1572</v>
      </c>
      <c r="B1388" t="s">
        <v>1574</v>
      </c>
      <c r="C1388" t="s">
        <v>1574</v>
      </c>
      <c r="D1388" t="s">
        <v>1574</v>
      </c>
      <c r="E1388" t="s">
        <v>1574</v>
      </c>
      <c r="F1388" t="s">
        <v>1575</v>
      </c>
      <c r="G1388" t="s">
        <v>1574</v>
      </c>
      <c r="H1388" t="s">
        <v>1574</v>
      </c>
      <c r="I1388" t="s">
        <v>1576</v>
      </c>
      <c r="J1388" t="s">
        <v>1573</v>
      </c>
      <c r="K1388" t="s">
        <v>1577</v>
      </c>
      <c r="L1388" t="s">
        <v>1574</v>
      </c>
      <c r="M1388" t="s">
        <v>1574</v>
      </c>
      <c r="N1388" t="s">
        <v>1574</v>
      </c>
      <c r="O1388" t="s">
        <v>1578</v>
      </c>
      <c r="P1388" t="s">
        <v>1576</v>
      </c>
      <c r="Q1388" t="s">
        <v>1579</v>
      </c>
      <c r="R1388" t="s">
        <v>1580</v>
      </c>
      <c r="S1388" t="s">
        <v>1580</v>
      </c>
      <c r="T1388" t="s">
        <v>1576</v>
      </c>
      <c r="U1388" t="s">
        <v>1576</v>
      </c>
      <c r="V1388" t="str" cm="1">
        <f t="array" aca="1" ref="V1388" ca="1">IFERROR(_xlfn.IFS(A1386="  ..............",OFFSET(A1386,2,0),A1385=" X-------------X",OFFSET(A1385,3,0),MATCH("  ..............",A1388:A1397,0)&gt;2,V1387),"-")</f>
        <v>-</v>
      </c>
      <c r="W1388" t="str">
        <f t="shared" ca="1" si="63"/>
        <v>-</v>
      </c>
      <c r="X1388" t="str">
        <f t="shared" ca="1" si="64"/>
        <v/>
      </c>
      <c r="Y1388" s="1" t="str">
        <f t="shared" ca="1" si="65"/>
        <v/>
      </c>
    </row>
    <row r="1389" spans="1:25" x14ac:dyDescent="0.25">
      <c r="A1389" t="s">
        <v>2575</v>
      </c>
      <c r="B1389">
        <v>1.0089999999999999</v>
      </c>
      <c r="C1389">
        <v>2.7</v>
      </c>
      <c r="D1389">
        <v>0</v>
      </c>
      <c r="E1389">
        <v>26.9</v>
      </c>
      <c r="F1389">
        <v>0</v>
      </c>
      <c r="G1389">
        <v>3.7</v>
      </c>
      <c r="H1389">
        <v>0</v>
      </c>
      <c r="I1389" t="s">
        <v>1581</v>
      </c>
      <c r="J1389" t="s">
        <v>1581</v>
      </c>
      <c r="K1389" t="s">
        <v>1581</v>
      </c>
      <c r="L1389" t="s">
        <v>1581</v>
      </c>
      <c r="M1389" t="s">
        <v>1581</v>
      </c>
      <c r="N1389" t="s">
        <v>1581</v>
      </c>
      <c r="O1389" t="s">
        <v>1581</v>
      </c>
      <c r="P1389" t="s">
        <v>1581</v>
      </c>
      <c r="Q1389" t="s">
        <v>1581</v>
      </c>
      <c r="R1389" t="s">
        <v>1581</v>
      </c>
      <c r="S1389" t="s">
        <v>1581</v>
      </c>
      <c r="T1389" t="s">
        <v>1581</v>
      </c>
      <c r="U1389" t="s">
        <v>1581</v>
      </c>
      <c r="V1389" t="str" cm="1">
        <f t="array" aca="1" ref="V1389" ca="1">IFERROR(_xlfn.IFS(A1387="  ..............",OFFSET(A1387,2,0),A1386=" X-------------X",OFFSET(A1386,3,0),MATCH("  ..............",A1389:A1398,0)&gt;2,V1388),"-")</f>
        <v>-</v>
      </c>
      <c r="W1389" t="str">
        <f t="shared" ca="1" si="63"/>
        <v>-</v>
      </c>
      <c r="X1389" t="str">
        <f t="shared" ca="1" si="64"/>
        <v xml:space="preserve">              </v>
      </c>
      <c r="Y1389" s="1">
        <f t="shared" ca="1" si="65"/>
        <v>0</v>
      </c>
    </row>
    <row r="1390" spans="1:25" x14ac:dyDescent="0.25">
      <c r="A1390" t="s">
        <v>2576</v>
      </c>
      <c r="B1390">
        <v>-56.5</v>
      </c>
      <c r="C1390">
        <v>0</v>
      </c>
      <c r="D1390">
        <v>0</v>
      </c>
      <c r="E1390">
        <v>8.6999999999999993</v>
      </c>
      <c r="F1390">
        <v>0</v>
      </c>
      <c r="G1390">
        <v>0</v>
      </c>
      <c r="H1390">
        <v>0</v>
      </c>
      <c r="I1390" t="s">
        <v>1584</v>
      </c>
      <c r="J1390" t="s">
        <v>1585</v>
      </c>
      <c r="K1390" t="s">
        <v>1586</v>
      </c>
      <c r="L1390" t="s">
        <v>1587</v>
      </c>
      <c r="M1390" t="s">
        <v>1587</v>
      </c>
      <c r="N1390" t="s">
        <v>1586</v>
      </c>
      <c r="O1390" t="s">
        <v>1581</v>
      </c>
      <c r="P1390" t="s">
        <v>1581</v>
      </c>
      <c r="Q1390" t="s">
        <v>1581</v>
      </c>
      <c r="R1390" t="s">
        <v>1581</v>
      </c>
      <c r="S1390" t="s">
        <v>1581</v>
      </c>
      <c r="T1390" t="s">
        <v>1581</v>
      </c>
      <c r="U1390" t="s">
        <v>1581</v>
      </c>
      <c r="V1390" t="str" cm="1">
        <f t="array" aca="1" ref="V1390" ca="1">IFERROR(_xlfn.IFS(A1388="  ..............",OFFSET(A1388,2,0),A1387=" X-------------X",OFFSET(A1387,3,0),MATCH("  ..............",A1390:A1399,0)&gt;2,V1389),"-")</f>
        <v xml:space="preserve">  CANELA-RS069  </v>
      </c>
      <c r="W1390">
        <f t="shared" ca="1" si="63"/>
        <v>1.0089999999999999</v>
      </c>
      <c r="X1390" t="str">
        <f t="shared" ca="1" si="64"/>
        <v xml:space="preserve"> GRAMADTAP069 </v>
      </c>
      <c r="Y1390" s="1" t="str">
        <f t="shared" ca="1" si="65"/>
        <v xml:space="preserve">             </v>
      </c>
    </row>
    <row r="1391" spans="1:25" x14ac:dyDescent="0.25">
      <c r="A1391" t="s">
        <v>1588</v>
      </c>
      <c r="B1391" t="s">
        <v>1587</v>
      </c>
      <c r="C1391">
        <v>41</v>
      </c>
      <c r="D1391">
        <v>59</v>
      </c>
      <c r="E1391">
        <v>59</v>
      </c>
      <c r="F1391" s="1">
        <v>0.59699999999999998</v>
      </c>
      <c r="G1391" t="s">
        <v>1587</v>
      </c>
      <c r="H1391" t="s">
        <v>1587</v>
      </c>
      <c r="I1391">
        <v>9758</v>
      </c>
      <c r="J1391" t="s">
        <v>2574</v>
      </c>
      <c r="K1391">
        <v>1</v>
      </c>
      <c r="L1391">
        <v>-24.2</v>
      </c>
      <c r="M1391">
        <v>-5</v>
      </c>
      <c r="N1391">
        <v>24.5</v>
      </c>
      <c r="O1391" t="s">
        <v>1594</v>
      </c>
      <c r="P1391" t="s">
        <v>1584</v>
      </c>
      <c r="Q1391" t="s">
        <v>1591</v>
      </c>
      <c r="R1391">
        <v>0.06</v>
      </c>
      <c r="S1391">
        <v>0.1</v>
      </c>
      <c r="T1391" t="s">
        <v>1584</v>
      </c>
      <c r="U1391" t="s">
        <v>1592</v>
      </c>
      <c r="V1391" t="str" cm="1">
        <f t="array" aca="1" ref="V1391" ca="1">IFERROR(_xlfn.IFS(A1389="  ..............",OFFSET(A1389,2,0),A1388=" X-------------X",OFFSET(A1388,3,0),MATCH("  ..............",A1391:A1400,0)&gt;2,V1390),"-")</f>
        <v>-</v>
      </c>
      <c r="W1391" t="str">
        <f t="shared" ca="1" si="63"/>
        <v>-</v>
      </c>
      <c r="X1391" t="str">
        <f t="shared" ca="1" si="64"/>
        <v>-</v>
      </c>
      <c r="Y1391" s="1" t="str">
        <f t="shared" ca="1" si="65"/>
        <v>-</v>
      </c>
    </row>
    <row r="1392" spans="1:25" x14ac:dyDescent="0.25">
      <c r="A1392" t="s">
        <v>1572</v>
      </c>
      <c r="B1392" t="s">
        <v>1574</v>
      </c>
      <c r="C1392" t="s">
        <v>1574</v>
      </c>
      <c r="D1392" t="s">
        <v>1574</v>
      </c>
      <c r="E1392" t="s">
        <v>1574</v>
      </c>
      <c r="F1392" t="s">
        <v>1575</v>
      </c>
      <c r="G1392" t="s">
        <v>1574</v>
      </c>
      <c r="H1392" t="s">
        <v>1574</v>
      </c>
      <c r="I1392" t="s">
        <v>1576</v>
      </c>
      <c r="J1392" t="s">
        <v>1573</v>
      </c>
      <c r="K1392" t="s">
        <v>1577</v>
      </c>
      <c r="L1392" t="s">
        <v>1574</v>
      </c>
      <c r="M1392" t="s">
        <v>1574</v>
      </c>
      <c r="N1392" t="s">
        <v>1574</v>
      </c>
      <c r="O1392" t="s">
        <v>1578</v>
      </c>
      <c r="P1392" t="s">
        <v>1576</v>
      </c>
      <c r="Q1392" t="s">
        <v>1579</v>
      </c>
      <c r="R1392" t="s">
        <v>1580</v>
      </c>
      <c r="S1392" t="s">
        <v>1580</v>
      </c>
      <c r="T1392" t="s">
        <v>1576</v>
      </c>
      <c r="U1392" t="s">
        <v>1576</v>
      </c>
      <c r="V1392" t="str" cm="1">
        <f t="array" aca="1" ref="V1392" ca="1">IFERROR(_xlfn.IFS(A1390="  ..............",OFFSET(A1390,2,0),A1389=" X-------------X",OFFSET(A1389,3,0),MATCH("  ..............",A1392:A1401,0)&gt;2,V1391),"-")</f>
        <v>-</v>
      </c>
      <c r="W1392" t="str">
        <f t="shared" ca="1" si="63"/>
        <v>-</v>
      </c>
      <c r="X1392" t="str">
        <f t="shared" ca="1" si="64"/>
        <v/>
      </c>
      <c r="Y1392" s="1" t="str">
        <f t="shared" ca="1" si="65"/>
        <v/>
      </c>
    </row>
    <row r="1393" spans="1:25" x14ac:dyDescent="0.25">
      <c r="A1393" t="s">
        <v>2577</v>
      </c>
      <c r="B1393">
        <v>1.016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 t="s">
        <v>1581</v>
      </c>
      <c r="J1393" t="s">
        <v>1581</v>
      </c>
      <c r="K1393" t="s">
        <v>1581</v>
      </c>
      <c r="L1393" t="s">
        <v>1581</v>
      </c>
      <c r="M1393" t="s">
        <v>1581</v>
      </c>
      <c r="N1393" t="s">
        <v>1581</v>
      </c>
      <c r="O1393" t="s">
        <v>1581</v>
      </c>
      <c r="P1393" t="s">
        <v>1581</v>
      </c>
      <c r="Q1393" t="s">
        <v>1581</v>
      </c>
      <c r="R1393" t="s">
        <v>1581</v>
      </c>
      <c r="S1393" t="s">
        <v>1581</v>
      </c>
      <c r="T1393" t="s">
        <v>1581</v>
      </c>
      <c r="U1393" t="s">
        <v>1581</v>
      </c>
      <c r="V1393" t="str" cm="1">
        <f t="array" aca="1" ref="V1393" ca="1">IFERROR(_xlfn.IFS(A1391="  ..............",OFFSET(A1391,2,0),A1390=" X-------------X",OFFSET(A1390,3,0),MATCH("  ..............",A1393:A1402,0)&gt;2,V1392),"-")</f>
        <v>-</v>
      </c>
      <c r="W1393" t="str">
        <f t="shared" ca="1" si="63"/>
        <v>-</v>
      </c>
      <c r="X1393" t="str">
        <f t="shared" ca="1" si="64"/>
        <v xml:space="preserve">              </v>
      </c>
      <c r="Y1393" s="1">
        <f t="shared" ca="1" si="65"/>
        <v>0</v>
      </c>
    </row>
    <row r="1394" spans="1:25" x14ac:dyDescent="0.25">
      <c r="A1394" t="s">
        <v>2578</v>
      </c>
      <c r="B1394">
        <v>-55.1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 t="s">
        <v>1584</v>
      </c>
      <c r="J1394" t="s">
        <v>1585</v>
      </c>
      <c r="K1394" t="s">
        <v>1586</v>
      </c>
      <c r="L1394" t="s">
        <v>1587</v>
      </c>
      <c r="M1394" t="s">
        <v>1587</v>
      </c>
      <c r="N1394" t="s">
        <v>1586</v>
      </c>
      <c r="O1394" t="s">
        <v>1581</v>
      </c>
      <c r="P1394" t="s">
        <v>1581</v>
      </c>
      <c r="Q1394" t="s">
        <v>1581</v>
      </c>
      <c r="R1394" t="s">
        <v>1581</v>
      </c>
      <c r="S1394" t="s">
        <v>1581</v>
      </c>
      <c r="T1394" t="s">
        <v>1581</v>
      </c>
      <c r="U1394" t="s">
        <v>1581</v>
      </c>
      <c r="V1394" t="str" cm="1">
        <f t="array" aca="1" ref="V1394" ca="1">IFERROR(_xlfn.IFS(A1392="  ..............",OFFSET(A1392,2,0),A1391=" X-------------X",OFFSET(A1391,3,0),MATCH("  ..............",A1394:A1403,0)&gt;2,V1393),"-")</f>
        <v xml:space="preserve">  ACLARATAP069  </v>
      </c>
      <c r="W1394">
        <f t="shared" ca="1" si="63"/>
        <v>1.016</v>
      </c>
      <c r="X1394" t="str">
        <f t="shared" ca="1" si="64"/>
        <v xml:space="preserve"> VIAMA1-RS069 </v>
      </c>
      <c r="Y1394" s="1">
        <f t="shared" ca="1" si="65"/>
        <v>0.97799999999999998</v>
      </c>
    </row>
    <row r="1395" spans="1:25" x14ac:dyDescent="0.25">
      <c r="A1395" t="s">
        <v>1637</v>
      </c>
      <c r="B1395" t="s">
        <v>1638</v>
      </c>
      <c r="C1395">
        <v>54</v>
      </c>
      <c r="D1395">
        <v>79</v>
      </c>
      <c r="E1395">
        <v>79</v>
      </c>
      <c r="F1395" t="s">
        <v>1639</v>
      </c>
      <c r="G1395" t="s">
        <v>1587</v>
      </c>
      <c r="H1395" t="s">
        <v>1587</v>
      </c>
      <c r="I1395">
        <v>9233</v>
      </c>
      <c r="J1395" t="s">
        <v>2471</v>
      </c>
      <c r="K1395">
        <v>1</v>
      </c>
      <c r="L1395">
        <v>0</v>
      </c>
      <c r="M1395">
        <v>-0.1</v>
      </c>
      <c r="N1395">
        <v>0.1</v>
      </c>
      <c r="O1395" t="s">
        <v>1594</v>
      </c>
      <c r="P1395" t="s">
        <v>1584</v>
      </c>
      <c r="Q1395" t="s">
        <v>1591</v>
      </c>
      <c r="R1395">
        <v>0</v>
      </c>
      <c r="S1395">
        <v>-7.0000000000000007E-2</v>
      </c>
      <c r="T1395">
        <v>1.016</v>
      </c>
      <c r="U1395">
        <v>-55.1</v>
      </c>
      <c r="V1395" t="str" cm="1">
        <f t="array" aca="1" ref="V1395" ca="1">IFERROR(_xlfn.IFS(A1393="  ..............",OFFSET(A1393,2,0),A1392=" X-------------X",OFFSET(A1392,3,0),MATCH("  ..............",A1395:A1404,0)&gt;2,V1394),"-")</f>
        <v xml:space="preserve">  ACLARATAP069  </v>
      </c>
      <c r="W1395">
        <f t="shared" ca="1" si="63"/>
        <v>1.016</v>
      </c>
      <c r="X1395" t="str">
        <f t="shared" ca="1" si="64"/>
        <v xml:space="preserve"> VIAMA3-RS069 </v>
      </c>
      <c r="Y1395" s="1" t="str">
        <f t="shared" ca="1" si="65"/>
        <v xml:space="preserve">             </v>
      </c>
    </row>
    <row r="1396" spans="1:25" x14ac:dyDescent="0.25">
      <c r="A1396" t="s">
        <v>1588</v>
      </c>
      <c r="B1396" t="s">
        <v>1587</v>
      </c>
      <c r="C1396">
        <v>54</v>
      </c>
      <c r="D1396">
        <v>79</v>
      </c>
      <c r="E1396">
        <v>79</v>
      </c>
      <c r="F1396" s="1">
        <v>0.29699999999999999</v>
      </c>
      <c r="G1396" t="s">
        <v>1587</v>
      </c>
      <c r="H1396" t="s">
        <v>1587</v>
      </c>
      <c r="I1396">
        <v>9264</v>
      </c>
      <c r="J1396" t="s">
        <v>2399</v>
      </c>
      <c r="K1396">
        <v>1</v>
      </c>
      <c r="L1396">
        <v>-16.2</v>
      </c>
      <c r="M1396">
        <v>-2</v>
      </c>
      <c r="N1396">
        <v>16</v>
      </c>
      <c r="O1396" t="s">
        <v>1594</v>
      </c>
      <c r="P1396" t="s">
        <v>1584</v>
      </c>
      <c r="Q1396" t="s">
        <v>1591</v>
      </c>
      <c r="R1396">
        <v>0.02</v>
      </c>
      <c r="S1396">
        <v>-0.04</v>
      </c>
      <c r="T1396" t="s">
        <v>1584</v>
      </c>
      <c r="U1396" t="s">
        <v>1592</v>
      </c>
      <c r="V1396" t="str" cm="1">
        <f t="array" aca="1" ref="V1396" ca="1">IFERROR(_xlfn.IFS(A1394="  ..............",OFFSET(A1394,2,0),A1393=" X-------------X",OFFSET(A1393,3,0),MATCH("  ..............",A1396:A1405,0)&gt;2,V1395),"-")</f>
        <v xml:space="preserve">  ACLARATAP069  </v>
      </c>
      <c r="W1396">
        <f t="shared" ca="1" si="63"/>
        <v>1.016</v>
      </c>
      <c r="X1396" t="str">
        <f t="shared" ca="1" si="64"/>
        <v xml:space="preserve"> AGUCLA-RS069 </v>
      </c>
      <c r="Y1396" s="1">
        <f t="shared" ca="1" si="65"/>
        <v>0.191</v>
      </c>
    </row>
    <row r="1397" spans="1:25" x14ac:dyDescent="0.25">
      <c r="A1397" t="s">
        <v>1588</v>
      </c>
      <c r="B1397" t="s">
        <v>1587</v>
      </c>
      <c r="C1397">
        <v>84</v>
      </c>
      <c r="D1397">
        <v>101</v>
      </c>
      <c r="E1397">
        <v>101</v>
      </c>
      <c r="F1397" s="1">
        <v>0.191</v>
      </c>
      <c r="G1397" t="s">
        <v>1587</v>
      </c>
      <c r="H1397" t="s">
        <v>1587</v>
      </c>
      <c r="I1397">
        <v>9275</v>
      </c>
      <c r="J1397" t="s">
        <v>2579</v>
      </c>
      <c r="K1397">
        <v>1</v>
      </c>
      <c r="L1397">
        <v>16.2</v>
      </c>
      <c r="M1397">
        <v>2</v>
      </c>
      <c r="N1397">
        <v>16</v>
      </c>
      <c r="O1397" t="s">
        <v>1594</v>
      </c>
      <c r="P1397" t="s">
        <v>1584</v>
      </c>
      <c r="Q1397" t="s">
        <v>1591</v>
      </c>
      <c r="R1397">
        <v>0.16</v>
      </c>
      <c r="S1397">
        <v>0.25</v>
      </c>
      <c r="T1397" t="s">
        <v>1584</v>
      </c>
      <c r="U1397" t="s">
        <v>1592</v>
      </c>
      <c r="V1397" t="str" cm="1">
        <f t="array" aca="1" ref="V1397" ca="1">IFERROR(_xlfn.IFS(A1395="  ..............",OFFSET(A1395,2,0),A1394=" X-------------X",OFFSET(A1394,3,0),MATCH("  ..............",A1397:A1406,0)&gt;2,V1396),"-")</f>
        <v>-</v>
      </c>
      <c r="W1397" t="str">
        <f t="shared" ca="1" si="63"/>
        <v>-</v>
      </c>
      <c r="X1397" t="str">
        <f t="shared" ca="1" si="64"/>
        <v>-</v>
      </c>
      <c r="Y1397" s="1" t="str">
        <f t="shared" ca="1" si="65"/>
        <v>-</v>
      </c>
    </row>
    <row r="1398" spans="1:25" x14ac:dyDescent="0.25">
      <c r="A1398" t="s">
        <v>1572</v>
      </c>
      <c r="B1398" t="s">
        <v>1574</v>
      </c>
      <c r="C1398" t="s">
        <v>1574</v>
      </c>
      <c r="D1398" t="s">
        <v>1574</v>
      </c>
      <c r="E1398" t="s">
        <v>1574</v>
      </c>
      <c r="F1398" t="s">
        <v>1575</v>
      </c>
      <c r="G1398" t="s">
        <v>1574</v>
      </c>
      <c r="H1398" t="s">
        <v>1574</v>
      </c>
      <c r="I1398" t="s">
        <v>1576</v>
      </c>
      <c r="J1398" t="s">
        <v>1573</v>
      </c>
      <c r="K1398" t="s">
        <v>1577</v>
      </c>
      <c r="L1398" t="s">
        <v>1574</v>
      </c>
      <c r="M1398" t="s">
        <v>1574</v>
      </c>
      <c r="N1398" t="s">
        <v>1574</v>
      </c>
      <c r="O1398" t="s">
        <v>1578</v>
      </c>
      <c r="P1398" t="s">
        <v>1576</v>
      </c>
      <c r="Q1398" t="s">
        <v>1579</v>
      </c>
      <c r="R1398" t="s">
        <v>1580</v>
      </c>
      <c r="S1398" t="s">
        <v>1580</v>
      </c>
      <c r="T1398" t="s">
        <v>1576</v>
      </c>
      <c r="U1398" t="s">
        <v>1576</v>
      </c>
      <c r="V1398" t="str" cm="1">
        <f t="array" aca="1" ref="V1398" ca="1">IFERROR(_xlfn.IFS(A1396="  ..............",OFFSET(A1396,2,0),A1395=" X-------------X",OFFSET(A1395,3,0),MATCH("  ..............",A1398:A1407,0)&gt;2,V1397),"-")</f>
        <v>-</v>
      </c>
      <c r="W1398" t="str">
        <f t="shared" ca="1" si="63"/>
        <v>-</v>
      </c>
      <c r="X1398" t="str">
        <f t="shared" ca="1" si="64"/>
        <v/>
      </c>
      <c r="Y1398" s="1" t="str">
        <f t="shared" ca="1" si="65"/>
        <v/>
      </c>
    </row>
    <row r="1399" spans="1:25" x14ac:dyDescent="0.25">
      <c r="A1399" t="s">
        <v>2580</v>
      </c>
      <c r="B1399">
        <v>1.0009999999999999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 t="s">
        <v>1581</v>
      </c>
      <c r="J1399" t="s">
        <v>1581</v>
      </c>
      <c r="K1399" t="s">
        <v>1581</v>
      </c>
      <c r="L1399" t="s">
        <v>1581</v>
      </c>
      <c r="M1399" t="s">
        <v>1581</v>
      </c>
      <c r="N1399" t="s">
        <v>1581</v>
      </c>
      <c r="O1399" t="s">
        <v>1581</v>
      </c>
      <c r="P1399" t="s">
        <v>1581</v>
      </c>
      <c r="Q1399" t="s">
        <v>1581</v>
      </c>
      <c r="R1399" t="s">
        <v>1581</v>
      </c>
      <c r="S1399" t="s">
        <v>1581</v>
      </c>
      <c r="T1399" t="s">
        <v>1581</v>
      </c>
      <c r="U1399" t="s">
        <v>1581</v>
      </c>
      <c r="V1399" t="str" cm="1">
        <f t="array" aca="1" ref="V1399" ca="1">IFERROR(_xlfn.IFS(A1397="  ..............",OFFSET(A1397,2,0),A1396=" X-------------X",OFFSET(A1396,3,0),MATCH("  ..............",A1399:A1408,0)&gt;2,V1398),"-")</f>
        <v>-</v>
      </c>
      <c r="W1399" t="str">
        <f t="shared" ca="1" si="63"/>
        <v>-</v>
      </c>
      <c r="X1399" t="str">
        <f t="shared" ca="1" si="64"/>
        <v xml:space="preserve">              </v>
      </c>
      <c r="Y1399" s="1">
        <f t="shared" ca="1" si="65"/>
        <v>0</v>
      </c>
    </row>
    <row r="1400" spans="1:25" x14ac:dyDescent="0.25">
      <c r="A1400" t="s">
        <v>2581</v>
      </c>
      <c r="B1400">
        <v>-57.2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 t="s">
        <v>1584</v>
      </c>
      <c r="J1400" t="s">
        <v>1585</v>
      </c>
      <c r="K1400" t="s">
        <v>1586</v>
      </c>
      <c r="L1400" t="s">
        <v>1587</v>
      </c>
      <c r="M1400" t="s">
        <v>1587</v>
      </c>
      <c r="N1400" t="s">
        <v>1586</v>
      </c>
      <c r="O1400" t="s">
        <v>1581</v>
      </c>
      <c r="P1400" t="s">
        <v>1581</v>
      </c>
      <c r="Q1400" t="s">
        <v>1581</v>
      </c>
      <c r="R1400" t="s">
        <v>1581</v>
      </c>
      <c r="S1400" t="s">
        <v>1581</v>
      </c>
      <c r="T1400" t="s">
        <v>1581</v>
      </c>
      <c r="U1400" t="s">
        <v>1581</v>
      </c>
      <c r="V1400" t="str" cm="1">
        <f t="array" aca="1" ref="V1400" ca="1">IFERROR(_xlfn.IFS(A1398="  ..............",OFFSET(A1398,2,0),A1397=" X-------------X",OFFSET(A1397,3,0),MATCH("  ..............",A1400:A1409,0)&gt;2,V1399),"-")</f>
        <v xml:space="preserve">  BRPALETAP069  </v>
      </c>
      <c r="W1400">
        <f t="shared" ca="1" si="63"/>
        <v>1.0009999999999999</v>
      </c>
      <c r="X1400" t="str">
        <f t="shared" ca="1" si="64"/>
        <v xml:space="preserve"> BRPALE-RS069 </v>
      </c>
      <c r="Y1400" s="1">
        <f t="shared" ca="1" si="65"/>
        <v>0.126</v>
      </c>
    </row>
    <row r="1401" spans="1:25" x14ac:dyDescent="0.25">
      <c r="A1401" t="s">
        <v>1588</v>
      </c>
      <c r="B1401" t="s">
        <v>1587</v>
      </c>
      <c r="C1401">
        <v>69</v>
      </c>
      <c r="D1401">
        <v>88</v>
      </c>
      <c r="E1401">
        <v>88</v>
      </c>
      <c r="F1401" s="1">
        <v>0.126</v>
      </c>
      <c r="G1401" t="s">
        <v>1587</v>
      </c>
      <c r="H1401" t="s">
        <v>1587</v>
      </c>
      <c r="I1401">
        <v>9227</v>
      </c>
      <c r="J1401" t="s">
        <v>2582</v>
      </c>
      <c r="K1401">
        <v>1</v>
      </c>
      <c r="L1401">
        <v>8.3000000000000007</v>
      </c>
      <c r="M1401">
        <v>2.7</v>
      </c>
      <c r="N1401">
        <v>8.6999999999999993</v>
      </c>
      <c r="O1401" t="s">
        <v>1594</v>
      </c>
      <c r="P1401" t="s">
        <v>1584</v>
      </c>
      <c r="Q1401" t="s">
        <v>1591</v>
      </c>
      <c r="R1401">
        <v>0.01</v>
      </c>
      <c r="S1401">
        <v>0</v>
      </c>
      <c r="T1401" t="s">
        <v>1584</v>
      </c>
      <c r="U1401" t="s">
        <v>1592</v>
      </c>
      <c r="V1401" t="str" cm="1">
        <f t="array" aca="1" ref="V1401" ca="1">IFERROR(_xlfn.IFS(A1399="  ..............",OFFSET(A1399,2,0),A1398=" X-------------X",OFFSET(A1398,3,0),MATCH("  ..............",A1401:A1410,0)&gt;2,V1400),"-")</f>
        <v xml:space="preserve">  BRPALETAP069  </v>
      </c>
      <c r="W1401">
        <f t="shared" ca="1" si="63"/>
        <v>1.0009999999999999</v>
      </c>
      <c r="X1401" t="str">
        <f t="shared" ca="1" si="64"/>
        <v xml:space="preserve"> LATPAL-RS069 </v>
      </c>
      <c r="Y1401" s="1">
        <f t="shared" ca="1" si="65"/>
        <v>4.1000000000000002E-2</v>
      </c>
    </row>
    <row r="1402" spans="1:25" x14ac:dyDescent="0.25">
      <c r="A1402" t="s">
        <v>1588</v>
      </c>
      <c r="B1402" t="s">
        <v>1587</v>
      </c>
      <c r="C1402">
        <v>67</v>
      </c>
      <c r="D1402">
        <v>81</v>
      </c>
      <c r="E1402">
        <v>81</v>
      </c>
      <c r="F1402" s="1">
        <v>4.1000000000000002E-2</v>
      </c>
      <c r="G1402" t="s">
        <v>1587</v>
      </c>
      <c r="H1402" t="s">
        <v>1587</v>
      </c>
      <c r="I1402">
        <v>9228</v>
      </c>
      <c r="J1402" t="s">
        <v>2583</v>
      </c>
      <c r="K1402">
        <v>1</v>
      </c>
      <c r="L1402">
        <v>2.5</v>
      </c>
      <c r="M1402">
        <v>1.1000000000000001</v>
      </c>
      <c r="N1402">
        <v>2.7</v>
      </c>
      <c r="O1402" t="s">
        <v>1594</v>
      </c>
      <c r="P1402" t="s">
        <v>1584</v>
      </c>
      <c r="Q1402" t="s">
        <v>1591</v>
      </c>
      <c r="R1402">
        <v>0</v>
      </c>
      <c r="S1402">
        <v>0</v>
      </c>
      <c r="T1402" t="s">
        <v>1584</v>
      </c>
      <c r="U1402" t="s">
        <v>1592</v>
      </c>
      <c r="V1402" t="str" cm="1">
        <f t="array" aca="1" ref="V1402" ca="1">IFERROR(_xlfn.IFS(A1400="  ..............",OFFSET(A1400,2,0),A1399=" X-------------X",OFFSET(A1399,3,0),MATCH("  ..............",A1402:A1411,0)&gt;2,V1401),"-")</f>
        <v xml:space="preserve">  BRPALETAP069  </v>
      </c>
      <c r="W1402">
        <f t="shared" ca="1" si="63"/>
        <v>1.0009999999999999</v>
      </c>
      <c r="X1402" t="str">
        <f t="shared" ca="1" si="64"/>
        <v xml:space="preserve"> AGUCLA-RS069 </v>
      </c>
      <c r="Y1402" s="1">
        <f t="shared" ca="1" si="65"/>
        <v>0.191</v>
      </c>
    </row>
    <row r="1403" spans="1:25" x14ac:dyDescent="0.25">
      <c r="A1403" t="s">
        <v>1588</v>
      </c>
      <c r="B1403" t="s">
        <v>1587</v>
      </c>
      <c r="C1403">
        <v>69</v>
      </c>
      <c r="D1403">
        <v>88</v>
      </c>
      <c r="E1403">
        <v>88</v>
      </c>
      <c r="F1403" s="1">
        <v>0.16600000000000001</v>
      </c>
      <c r="G1403" t="s">
        <v>1587</v>
      </c>
      <c r="H1403" t="s">
        <v>1587</v>
      </c>
      <c r="I1403">
        <v>9275</v>
      </c>
      <c r="J1403" t="s">
        <v>2579</v>
      </c>
      <c r="K1403">
        <v>1</v>
      </c>
      <c r="L1403">
        <v>-10.8</v>
      </c>
      <c r="M1403">
        <v>-3.8</v>
      </c>
      <c r="N1403">
        <v>11.4</v>
      </c>
      <c r="O1403" t="s">
        <v>1594</v>
      </c>
      <c r="P1403" t="s">
        <v>1584</v>
      </c>
      <c r="Q1403" t="s">
        <v>1591</v>
      </c>
      <c r="R1403">
        <v>0.01</v>
      </c>
      <c r="S1403">
        <v>0</v>
      </c>
      <c r="T1403" t="s">
        <v>1584</v>
      </c>
      <c r="U1403" t="s">
        <v>1592</v>
      </c>
      <c r="V1403" t="str" cm="1">
        <f t="array" aca="1" ref="V1403" ca="1">IFERROR(_xlfn.IFS(A1401="  ..............",OFFSET(A1401,2,0),A1400=" X-------------X",OFFSET(A1400,3,0),MATCH("  ..............",A1403:A1412,0)&gt;2,V1402),"-")</f>
        <v>-</v>
      </c>
      <c r="W1403" t="str">
        <f t="shared" ca="1" si="63"/>
        <v>-</v>
      </c>
      <c r="X1403" t="str">
        <f t="shared" ca="1" si="64"/>
        <v>-</v>
      </c>
      <c r="Y1403" s="1" t="str">
        <f t="shared" ca="1" si="65"/>
        <v>-</v>
      </c>
    </row>
    <row r="1404" spans="1:25" x14ac:dyDescent="0.25">
      <c r="A1404" t="s">
        <v>1572</v>
      </c>
      <c r="B1404" t="s">
        <v>1574</v>
      </c>
      <c r="C1404" t="s">
        <v>1574</v>
      </c>
      <c r="D1404" t="s">
        <v>1574</v>
      </c>
      <c r="E1404" t="s">
        <v>1574</v>
      </c>
      <c r="F1404" t="s">
        <v>1575</v>
      </c>
      <c r="G1404" t="s">
        <v>1574</v>
      </c>
      <c r="H1404" t="s">
        <v>1574</v>
      </c>
      <c r="I1404" t="s">
        <v>1576</v>
      </c>
      <c r="J1404" t="s">
        <v>1573</v>
      </c>
      <c r="K1404" t="s">
        <v>1577</v>
      </c>
      <c r="L1404" t="s">
        <v>1574</v>
      </c>
      <c r="M1404" t="s">
        <v>1574</v>
      </c>
      <c r="N1404" t="s">
        <v>1574</v>
      </c>
      <c r="O1404" t="s">
        <v>1578</v>
      </c>
      <c r="P1404" t="s">
        <v>1576</v>
      </c>
      <c r="Q1404" t="s">
        <v>1579</v>
      </c>
      <c r="R1404" t="s">
        <v>1580</v>
      </c>
      <c r="S1404" t="s">
        <v>1580</v>
      </c>
      <c r="T1404" t="s">
        <v>1576</v>
      </c>
      <c r="U1404" t="s">
        <v>1576</v>
      </c>
      <c r="V1404" t="str" cm="1">
        <f t="array" aca="1" ref="V1404" ca="1">IFERROR(_xlfn.IFS(A1402="  ..............",OFFSET(A1402,2,0),A1401=" X-------------X",OFFSET(A1401,3,0),MATCH("  ..............",A1404:A1413,0)&gt;2,V1403),"-")</f>
        <v>-</v>
      </c>
      <c r="W1404" t="str">
        <f t="shared" ca="1" si="63"/>
        <v>-</v>
      </c>
      <c r="X1404" t="str">
        <f t="shared" ca="1" si="64"/>
        <v/>
      </c>
      <c r="Y1404" s="1" t="str">
        <f t="shared" ca="1" si="65"/>
        <v/>
      </c>
    </row>
    <row r="1405" spans="1:25" x14ac:dyDescent="0.25">
      <c r="A1405" t="s">
        <v>2584</v>
      </c>
      <c r="B1405">
        <v>1.012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 t="s">
        <v>1581</v>
      </c>
      <c r="J1405" t="s">
        <v>1581</v>
      </c>
      <c r="K1405" t="s">
        <v>1581</v>
      </c>
      <c r="L1405" t="s">
        <v>1581</v>
      </c>
      <c r="M1405" t="s">
        <v>1581</v>
      </c>
      <c r="N1405" t="s">
        <v>1581</v>
      </c>
      <c r="O1405" t="s">
        <v>1581</v>
      </c>
      <c r="P1405" t="s">
        <v>1581</v>
      </c>
      <c r="Q1405" t="s">
        <v>1581</v>
      </c>
      <c r="R1405" t="s">
        <v>1581</v>
      </c>
      <c r="S1405" t="s">
        <v>1581</v>
      </c>
      <c r="T1405" t="s">
        <v>1581</v>
      </c>
      <c r="U1405" t="s">
        <v>1581</v>
      </c>
      <c r="V1405" t="str" cm="1">
        <f t="array" aca="1" ref="V1405" ca="1">IFERROR(_xlfn.IFS(A1403="  ..............",OFFSET(A1403,2,0),A1402=" X-------------X",OFFSET(A1402,3,0),MATCH("  ..............",A1405:A1414,0)&gt;2,V1404),"-")</f>
        <v>-</v>
      </c>
      <c r="W1405" t="str">
        <f t="shared" ca="1" si="63"/>
        <v>-</v>
      </c>
      <c r="X1405" t="str">
        <f t="shared" ca="1" si="64"/>
        <v xml:space="preserve">              </v>
      </c>
      <c r="Y1405" s="1">
        <f t="shared" ca="1" si="65"/>
        <v>0</v>
      </c>
    </row>
    <row r="1406" spans="1:25" x14ac:dyDescent="0.25">
      <c r="A1406" t="s">
        <v>2585</v>
      </c>
      <c r="B1406">
        <v>-54.8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 t="s">
        <v>1584</v>
      </c>
      <c r="J1406" t="s">
        <v>1585</v>
      </c>
      <c r="K1406" t="s">
        <v>1586</v>
      </c>
      <c r="L1406" t="s">
        <v>1587</v>
      </c>
      <c r="M1406" t="s">
        <v>1587</v>
      </c>
      <c r="N1406" t="s">
        <v>1586</v>
      </c>
      <c r="O1406" t="s">
        <v>1581</v>
      </c>
      <c r="P1406" t="s">
        <v>1581</v>
      </c>
      <c r="Q1406" t="s">
        <v>1581</v>
      </c>
      <c r="R1406" t="s">
        <v>1581</v>
      </c>
      <c r="S1406" t="s">
        <v>1581</v>
      </c>
      <c r="T1406" t="s">
        <v>1581</v>
      </c>
      <c r="U1406" t="s">
        <v>1581</v>
      </c>
      <c r="V1406" t="str" cm="1">
        <f t="array" aca="1" ref="V1406" ca="1">IFERROR(_xlfn.IFS(A1404="  ..............",OFFSET(A1404,2,0),A1403=" X-------------X",OFFSET(A1403,3,0),MATCH("  ..............",A1406:A1415,0)&gt;2,V1405),"-")</f>
        <v xml:space="preserve">  GERPALTAP069  </v>
      </c>
      <c r="W1406">
        <f t="shared" ca="1" si="63"/>
        <v>1.012</v>
      </c>
      <c r="X1406" t="str">
        <f t="shared" ca="1" si="64"/>
        <v xml:space="preserve"> PALEG2-RS069 </v>
      </c>
      <c r="Y1406" s="1">
        <f t="shared" ca="1" si="65"/>
        <v>0.28899999999999998</v>
      </c>
    </row>
    <row r="1407" spans="1:25" x14ac:dyDescent="0.25">
      <c r="A1407" t="s">
        <v>1588</v>
      </c>
      <c r="B1407" t="s">
        <v>1587</v>
      </c>
      <c r="C1407">
        <v>52</v>
      </c>
      <c r="D1407">
        <v>76</v>
      </c>
      <c r="E1407">
        <v>76</v>
      </c>
      <c r="F1407" s="1">
        <v>0.25</v>
      </c>
      <c r="G1407" t="s">
        <v>1587</v>
      </c>
      <c r="H1407" t="s">
        <v>1587</v>
      </c>
      <c r="I1407">
        <v>9236</v>
      </c>
      <c r="J1407" t="s">
        <v>1909</v>
      </c>
      <c r="K1407">
        <v>1</v>
      </c>
      <c r="L1407">
        <v>12.2</v>
      </c>
      <c r="M1407">
        <v>-4.9000000000000004</v>
      </c>
      <c r="N1407">
        <v>13</v>
      </c>
      <c r="O1407" t="s">
        <v>1594</v>
      </c>
      <c r="P1407" t="s">
        <v>1584</v>
      </c>
      <c r="Q1407" t="s">
        <v>1591</v>
      </c>
      <c r="R1407">
        <v>0</v>
      </c>
      <c r="S1407">
        <v>0</v>
      </c>
      <c r="T1407" t="s">
        <v>1584</v>
      </c>
      <c r="U1407" t="s">
        <v>1592</v>
      </c>
      <c r="V1407" t="str" cm="1">
        <f t="array" aca="1" ref="V1407" ca="1">IFERROR(_xlfn.IFS(A1405="  ..............",OFFSET(A1405,2,0),A1404=" X-------------X",OFFSET(A1404,3,0),MATCH("  ..............",A1407:A1416,0)&gt;2,V1406),"-")</f>
        <v xml:space="preserve">  GERPALTAP069  </v>
      </c>
      <c r="W1407">
        <f t="shared" ca="1" si="63"/>
        <v>1.012</v>
      </c>
      <c r="X1407" t="str">
        <f t="shared" ca="1" si="64"/>
        <v xml:space="preserve"> MNAPALTAP069 </v>
      </c>
      <c r="Y1407" s="1">
        <f t="shared" ca="1" si="65"/>
        <v>0.06</v>
      </c>
    </row>
    <row r="1408" spans="1:25" x14ac:dyDescent="0.25">
      <c r="A1408" t="s">
        <v>1588</v>
      </c>
      <c r="B1408" t="s">
        <v>1587</v>
      </c>
      <c r="C1408">
        <v>54</v>
      </c>
      <c r="D1408">
        <v>79</v>
      </c>
      <c r="E1408">
        <v>79</v>
      </c>
      <c r="F1408" s="1">
        <v>0.06</v>
      </c>
      <c r="G1408" t="s">
        <v>1587</v>
      </c>
      <c r="H1408" t="s">
        <v>1587</v>
      </c>
      <c r="I1408">
        <v>9555</v>
      </c>
      <c r="J1408" t="s">
        <v>2392</v>
      </c>
      <c r="K1408">
        <v>1</v>
      </c>
      <c r="L1408">
        <v>3</v>
      </c>
      <c r="M1408">
        <v>1.3</v>
      </c>
      <c r="N1408">
        <v>3.2</v>
      </c>
      <c r="O1408" t="s">
        <v>1594</v>
      </c>
      <c r="P1408" t="s">
        <v>1584</v>
      </c>
      <c r="Q1408" t="s">
        <v>1591</v>
      </c>
      <c r="R1408">
        <v>0</v>
      </c>
      <c r="S1408">
        <v>-0.01</v>
      </c>
      <c r="T1408" t="s">
        <v>1584</v>
      </c>
      <c r="U1408" t="s">
        <v>1592</v>
      </c>
      <c r="V1408" t="str" cm="1">
        <f t="array" aca="1" ref="V1408" ca="1">IFERROR(_xlfn.IFS(A1406="  ..............",OFFSET(A1406,2,0),A1405=" X-------------X",OFFSET(A1405,3,0),MATCH("  ..............",A1408:A1417,0)&gt;2,V1407),"-")</f>
        <v xml:space="preserve">  GERPALTAP069  </v>
      </c>
      <c r="W1408">
        <f t="shared" ca="1" si="63"/>
        <v>1.012</v>
      </c>
      <c r="X1408" t="str">
        <f t="shared" ca="1" si="64"/>
        <v xml:space="preserve"> PALEG1-RS069 </v>
      </c>
      <c r="Y1408" s="1">
        <f t="shared" ca="1" si="65"/>
        <v>0.26900000000000002</v>
      </c>
    </row>
    <row r="1409" spans="1:25" x14ac:dyDescent="0.25">
      <c r="A1409" t="s">
        <v>1588</v>
      </c>
      <c r="B1409" t="s">
        <v>1587</v>
      </c>
      <c r="C1409">
        <v>80</v>
      </c>
      <c r="D1409">
        <v>95</v>
      </c>
      <c r="E1409">
        <v>95</v>
      </c>
      <c r="F1409" s="1">
        <v>0.193</v>
      </c>
      <c r="G1409" t="s">
        <v>1587</v>
      </c>
      <c r="H1409" t="s">
        <v>1587</v>
      </c>
      <c r="I1409">
        <v>9962</v>
      </c>
      <c r="J1409" t="s">
        <v>2405</v>
      </c>
      <c r="K1409">
        <v>1</v>
      </c>
      <c r="L1409">
        <v>-15.2</v>
      </c>
      <c r="M1409">
        <v>3.6</v>
      </c>
      <c r="N1409">
        <v>15.4</v>
      </c>
      <c r="O1409" t="s">
        <v>1594</v>
      </c>
      <c r="P1409" t="s">
        <v>1584</v>
      </c>
      <c r="Q1409" t="s">
        <v>1591</v>
      </c>
      <c r="R1409">
        <v>0.03</v>
      </c>
      <c r="S1409">
        <v>0.02</v>
      </c>
      <c r="T1409" t="s">
        <v>1584</v>
      </c>
      <c r="U1409" t="s">
        <v>1592</v>
      </c>
      <c r="V1409" t="str" cm="1">
        <f t="array" aca="1" ref="V1409" ca="1">IFERROR(_xlfn.IFS(A1407="  ..............",OFFSET(A1407,2,0),A1406=" X-------------X",OFFSET(A1406,3,0),MATCH("  ..............",A1409:A1418,0)&gt;2,V1408),"-")</f>
        <v>-</v>
      </c>
      <c r="W1409" t="str">
        <f t="shared" ca="1" si="63"/>
        <v>-</v>
      </c>
      <c r="X1409" t="str">
        <f t="shared" ca="1" si="64"/>
        <v>-</v>
      </c>
      <c r="Y1409" s="1" t="str">
        <f t="shared" ca="1" si="65"/>
        <v>-</v>
      </c>
    </row>
    <row r="1410" spans="1:25" x14ac:dyDescent="0.25">
      <c r="A1410" t="s">
        <v>1572</v>
      </c>
      <c r="B1410" t="s">
        <v>1574</v>
      </c>
      <c r="C1410" t="s">
        <v>1574</v>
      </c>
      <c r="D1410" t="s">
        <v>1574</v>
      </c>
      <c r="E1410" t="s">
        <v>1574</v>
      </c>
      <c r="F1410" t="s">
        <v>1575</v>
      </c>
      <c r="G1410" t="s">
        <v>1574</v>
      </c>
      <c r="H1410" t="s">
        <v>1574</v>
      </c>
      <c r="I1410" t="s">
        <v>1576</v>
      </c>
      <c r="J1410" t="s">
        <v>1573</v>
      </c>
      <c r="K1410" t="s">
        <v>1577</v>
      </c>
      <c r="L1410" t="s">
        <v>1574</v>
      </c>
      <c r="M1410" t="s">
        <v>1574</v>
      </c>
      <c r="N1410" t="s">
        <v>1574</v>
      </c>
      <c r="O1410" t="s">
        <v>1578</v>
      </c>
      <c r="P1410" t="s">
        <v>1576</v>
      </c>
      <c r="Q1410" t="s">
        <v>1579</v>
      </c>
      <c r="R1410" t="s">
        <v>1580</v>
      </c>
      <c r="S1410" t="s">
        <v>1580</v>
      </c>
      <c r="T1410" t="s">
        <v>1576</v>
      </c>
      <c r="U1410" t="s">
        <v>1576</v>
      </c>
      <c r="V1410" t="str" cm="1">
        <f t="array" aca="1" ref="V1410" ca="1">IFERROR(_xlfn.IFS(A1408="  ..............",OFFSET(A1408,2,0),A1407=" X-------------X",OFFSET(A1407,3,0),MATCH("  ..............",A1410:A1419,0)&gt;2,V1409),"-")</f>
        <v>-</v>
      </c>
      <c r="W1410" t="str">
        <f t="shared" ca="1" si="63"/>
        <v>-</v>
      </c>
      <c r="X1410" t="str">
        <f t="shared" ca="1" si="64"/>
        <v/>
      </c>
      <c r="Y1410" s="1" t="str">
        <f t="shared" ca="1" si="65"/>
        <v/>
      </c>
    </row>
    <row r="1411" spans="1:25" x14ac:dyDescent="0.25">
      <c r="A1411" t="s">
        <v>2586</v>
      </c>
      <c r="B1411">
        <v>1.012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 t="s">
        <v>1581</v>
      </c>
      <c r="J1411" t="s">
        <v>1581</v>
      </c>
      <c r="K1411" t="s">
        <v>1581</v>
      </c>
      <c r="L1411" t="s">
        <v>1581</v>
      </c>
      <c r="M1411" t="s">
        <v>1581</v>
      </c>
      <c r="N1411" t="s">
        <v>1581</v>
      </c>
      <c r="O1411" t="s">
        <v>1581</v>
      </c>
      <c r="P1411" t="s">
        <v>1581</v>
      </c>
      <c r="Q1411" t="s">
        <v>1581</v>
      </c>
      <c r="R1411" t="s">
        <v>1581</v>
      </c>
      <c r="S1411" t="s">
        <v>1581</v>
      </c>
      <c r="T1411" t="s">
        <v>1581</v>
      </c>
      <c r="U1411" t="s">
        <v>1581</v>
      </c>
      <c r="V1411" t="str" cm="1">
        <f t="array" aca="1" ref="V1411" ca="1">IFERROR(_xlfn.IFS(A1409="  ..............",OFFSET(A1409,2,0),A1408=" X-------------X",OFFSET(A1408,3,0),MATCH("  ..............",A1411:A1420,0)&gt;2,V1410),"-")</f>
        <v>-</v>
      </c>
      <c r="W1411" t="str">
        <f t="shared" ca="1" si="63"/>
        <v>-</v>
      </c>
      <c r="X1411" t="str">
        <f t="shared" ca="1" si="64"/>
        <v xml:space="preserve">              </v>
      </c>
      <c r="Y1411" s="1">
        <f t="shared" ca="1" si="65"/>
        <v>0</v>
      </c>
    </row>
    <row r="1412" spans="1:25" x14ac:dyDescent="0.25">
      <c r="A1412" t="s">
        <v>2587</v>
      </c>
      <c r="B1412">
        <v>-54.8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 t="s">
        <v>1584</v>
      </c>
      <c r="J1412" t="s">
        <v>1585</v>
      </c>
      <c r="K1412" t="s">
        <v>1586</v>
      </c>
      <c r="L1412" t="s">
        <v>1587</v>
      </c>
      <c r="M1412" t="s">
        <v>1587</v>
      </c>
      <c r="N1412" t="s">
        <v>1586</v>
      </c>
      <c r="O1412" t="s">
        <v>1581</v>
      </c>
      <c r="P1412" t="s">
        <v>1581</v>
      </c>
      <c r="Q1412" t="s">
        <v>1581</v>
      </c>
      <c r="R1412" t="s">
        <v>1581</v>
      </c>
      <c r="S1412" t="s">
        <v>1581</v>
      </c>
      <c r="T1412" t="s">
        <v>1581</v>
      </c>
      <c r="U1412" t="s">
        <v>1581</v>
      </c>
      <c r="V1412" t="str" cm="1">
        <f t="array" aca="1" ref="V1412" ca="1">IFERROR(_xlfn.IFS(A1410="  ..............",OFFSET(A1410,2,0),A1409=" X-------------X",OFFSET(A1409,3,0),MATCH("  ..............",A1412:A1421,0)&gt;2,V1411),"-")</f>
        <v xml:space="preserve">  MNAPALTAP069  </v>
      </c>
      <c r="W1412">
        <f t="shared" ref="W1412:W1475" ca="1" si="66">IFERROR(OFFSET($A$1,MATCH(V1412,A:A,0)-2,1),"-")</f>
        <v>1.012</v>
      </c>
      <c r="X1412" t="str">
        <f t="shared" ref="X1412:X1475" ca="1" si="67">IFERROR(IF(V1412=V1411,OFFSET($J$1,ROW(X1412),0),OFFSET($J$1,MATCH(V1412,A:A,0),0)),"-")</f>
        <v xml:space="preserve"> MNAPA--RS069 </v>
      </c>
      <c r="Y1412" s="1">
        <f t="shared" ref="Y1412:Y1475" ca="1" si="68">IFERROR(OFFSET($F$1,MATCH(X1412,J:J,0)-1,0),"-")</f>
        <v>0.06</v>
      </c>
    </row>
    <row r="1413" spans="1:25" x14ac:dyDescent="0.25">
      <c r="A1413" t="s">
        <v>1588</v>
      </c>
      <c r="B1413" t="s">
        <v>1587</v>
      </c>
      <c r="C1413">
        <v>54</v>
      </c>
      <c r="D1413">
        <v>79</v>
      </c>
      <c r="E1413">
        <v>79</v>
      </c>
      <c r="F1413" s="1">
        <v>0.06</v>
      </c>
      <c r="G1413" t="s">
        <v>1587</v>
      </c>
      <c r="H1413" t="s">
        <v>1587</v>
      </c>
      <c r="I1413">
        <v>9229</v>
      </c>
      <c r="J1413" t="s">
        <v>2588</v>
      </c>
      <c r="K1413">
        <v>1</v>
      </c>
      <c r="L1413">
        <v>3</v>
      </c>
      <c r="M1413">
        <v>1.3</v>
      </c>
      <c r="N1413">
        <v>3.2</v>
      </c>
      <c r="O1413" t="s">
        <v>1594</v>
      </c>
      <c r="P1413" t="s">
        <v>1584</v>
      </c>
      <c r="Q1413" t="s">
        <v>1591</v>
      </c>
      <c r="R1413">
        <v>0</v>
      </c>
      <c r="S1413">
        <v>-0.01</v>
      </c>
      <c r="T1413" t="s">
        <v>1584</v>
      </c>
      <c r="U1413" t="s">
        <v>1592</v>
      </c>
      <c r="V1413" t="str" cm="1">
        <f t="array" aca="1" ref="V1413" ca="1">IFERROR(_xlfn.IFS(A1411="  ..............",OFFSET(A1411,2,0),A1410=" X-------------X",OFFSET(A1410,3,0),MATCH("  ..............",A1413:A1422,0)&gt;2,V1412),"-")</f>
        <v xml:space="preserve">  MNAPALTAP069  </v>
      </c>
      <c r="W1413">
        <f t="shared" ca="1" si="66"/>
        <v>1.012</v>
      </c>
      <c r="X1413" t="str">
        <f t="shared" ca="1" si="67"/>
        <v xml:space="preserve"> GERPGR-RS069 </v>
      </c>
      <c r="Y1413" s="1">
        <f t="shared" ca="1" si="68"/>
        <v>0</v>
      </c>
    </row>
    <row r="1414" spans="1:25" x14ac:dyDescent="0.25">
      <c r="A1414" t="s">
        <v>1588</v>
      </c>
      <c r="B1414" t="s">
        <v>1587</v>
      </c>
      <c r="C1414">
        <v>54</v>
      </c>
      <c r="D1414">
        <v>79</v>
      </c>
      <c r="E1414">
        <v>79</v>
      </c>
      <c r="F1414" s="1">
        <v>0</v>
      </c>
      <c r="G1414" t="s">
        <v>1587</v>
      </c>
      <c r="H1414" t="s">
        <v>1587</v>
      </c>
      <c r="I1414">
        <v>9230</v>
      </c>
      <c r="J1414" t="s">
        <v>2589</v>
      </c>
      <c r="K1414">
        <v>1</v>
      </c>
      <c r="L1414">
        <v>0</v>
      </c>
      <c r="M1414">
        <v>0</v>
      </c>
      <c r="N1414">
        <v>0</v>
      </c>
      <c r="O1414" t="s">
        <v>1594</v>
      </c>
      <c r="P1414" t="s">
        <v>1584</v>
      </c>
      <c r="Q1414" t="s">
        <v>1591</v>
      </c>
      <c r="R1414">
        <v>0</v>
      </c>
      <c r="S1414">
        <v>-0.01</v>
      </c>
      <c r="T1414" t="s">
        <v>1584</v>
      </c>
      <c r="U1414" t="s">
        <v>1592</v>
      </c>
      <c r="V1414" t="str" cm="1">
        <f t="array" aca="1" ref="V1414" ca="1">IFERROR(_xlfn.IFS(A1412="  ..............",OFFSET(A1412,2,0),A1411=" X-------------X",OFFSET(A1411,3,0),MATCH("  ..............",A1414:A1423,0)&gt;2,V1413),"-")</f>
        <v xml:space="preserve">  MNAPALTAP069  </v>
      </c>
      <c r="W1414">
        <f t="shared" ca="1" si="66"/>
        <v>1.012</v>
      </c>
      <c r="X1414" t="str">
        <f t="shared" ca="1" si="67"/>
        <v xml:space="preserve"> GERPALTAP069 </v>
      </c>
      <c r="Y1414" s="1">
        <f t="shared" ca="1" si="68"/>
        <v>0.25</v>
      </c>
    </row>
    <row r="1415" spans="1:25" x14ac:dyDescent="0.25">
      <c r="A1415" t="s">
        <v>1588</v>
      </c>
      <c r="B1415" t="s">
        <v>1587</v>
      </c>
      <c r="C1415">
        <v>54</v>
      </c>
      <c r="D1415">
        <v>79</v>
      </c>
      <c r="E1415">
        <v>79</v>
      </c>
      <c r="F1415" s="1">
        <v>0.06</v>
      </c>
      <c r="G1415" t="s">
        <v>1587</v>
      </c>
      <c r="H1415" t="s">
        <v>1587</v>
      </c>
      <c r="I1415">
        <v>9554</v>
      </c>
      <c r="J1415" t="s">
        <v>2410</v>
      </c>
      <c r="K1415">
        <v>1</v>
      </c>
      <c r="L1415">
        <v>-3</v>
      </c>
      <c r="M1415">
        <v>-1.3</v>
      </c>
      <c r="N1415">
        <v>3.2</v>
      </c>
      <c r="O1415" t="s">
        <v>1594</v>
      </c>
      <c r="P1415" t="s">
        <v>1584</v>
      </c>
      <c r="Q1415" t="s">
        <v>1591</v>
      </c>
      <c r="R1415">
        <v>0</v>
      </c>
      <c r="S1415">
        <v>-0.01</v>
      </c>
      <c r="T1415" t="s">
        <v>1584</v>
      </c>
      <c r="U1415" t="s">
        <v>1592</v>
      </c>
      <c r="V1415" t="str" cm="1">
        <f t="array" aca="1" ref="V1415" ca="1">IFERROR(_xlfn.IFS(A1413="  ..............",OFFSET(A1413,2,0),A1412=" X-------------X",OFFSET(A1412,3,0),MATCH("  ..............",A1415:A1424,0)&gt;2,V1414),"-")</f>
        <v>-</v>
      </c>
      <c r="W1415" t="str">
        <f t="shared" ca="1" si="66"/>
        <v>-</v>
      </c>
      <c r="X1415" t="str">
        <f t="shared" ca="1" si="67"/>
        <v>-</v>
      </c>
      <c r="Y1415" s="1" t="str">
        <f t="shared" ca="1" si="68"/>
        <v>-</v>
      </c>
    </row>
    <row r="1416" spans="1:25" x14ac:dyDescent="0.25">
      <c r="A1416" t="s">
        <v>1572</v>
      </c>
      <c r="B1416" t="s">
        <v>1574</v>
      </c>
      <c r="C1416" t="s">
        <v>1574</v>
      </c>
      <c r="D1416" t="s">
        <v>1574</v>
      </c>
      <c r="E1416" t="s">
        <v>1574</v>
      </c>
      <c r="F1416" t="s">
        <v>1575</v>
      </c>
      <c r="G1416" t="s">
        <v>1574</v>
      </c>
      <c r="H1416" t="s">
        <v>1574</v>
      </c>
      <c r="I1416" t="s">
        <v>1576</v>
      </c>
      <c r="J1416" t="s">
        <v>1573</v>
      </c>
      <c r="K1416" t="s">
        <v>1577</v>
      </c>
      <c r="L1416" t="s">
        <v>1574</v>
      </c>
      <c r="M1416" t="s">
        <v>1574</v>
      </c>
      <c r="N1416" t="s">
        <v>1574</v>
      </c>
      <c r="O1416" t="s">
        <v>1578</v>
      </c>
      <c r="P1416" t="s">
        <v>1576</v>
      </c>
      <c r="Q1416" t="s">
        <v>1579</v>
      </c>
      <c r="R1416" t="s">
        <v>1580</v>
      </c>
      <c r="S1416" t="s">
        <v>1580</v>
      </c>
      <c r="T1416" t="s">
        <v>1576</v>
      </c>
      <c r="U1416" t="s">
        <v>1576</v>
      </c>
      <c r="V1416" t="str" cm="1">
        <f t="array" aca="1" ref="V1416" ca="1">IFERROR(_xlfn.IFS(A1414="  ..............",OFFSET(A1414,2,0),A1413=" X-------------X",OFFSET(A1413,3,0),MATCH("  ..............",A1416:A1425,0)&gt;2,V1415),"-")</f>
        <v>-</v>
      </c>
      <c r="W1416" t="str">
        <f t="shared" ca="1" si="66"/>
        <v>-</v>
      </c>
      <c r="X1416" t="str">
        <f t="shared" ca="1" si="67"/>
        <v/>
      </c>
      <c r="Y1416" s="1" t="str">
        <f t="shared" ca="1" si="68"/>
        <v/>
      </c>
    </row>
    <row r="1417" spans="1:25" x14ac:dyDescent="0.25">
      <c r="A1417" t="s">
        <v>2590</v>
      </c>
      <c r="B1417">
        <v>1.0129999999999999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 t="s">
        <v>1581</v>
      </c>
      <c r="J1417" t="s">
        <v>1581</v>
      </c>
      <c r="K1417" t="s">
        <v>1581</v>
      </c>
      <c r="L1417" t="s">
        <v>1581</v>
      </c>
      <c r="M1417" t="s">
        <v>1581</v>
      </c>
      <c r="N1417" t="s">
        <v>1581</v>
      </c>
      <c r="O1417" t="s">
        <v>1581</v>
      </c>
      <c r="P1417" t="s">
        <v>1581</v>
      </c>
      <c r="Q1417" t="s">
        <v>1581</v>
      </c>
      <c r="R1417" t="s">
        <v>1581</v>
      </c>
      <c r="S1417" t="s">
        <v>1581</v>
      </c>
      <c r="T1417" t="s">
        <v>1581</v>
      </c>
      <c r="U1417" t="s">
        <v>1581</v>
      </c>
      <c r="V1417" t="str" cm="1">
        <f t="array" aca="1" ref="V1417" ca="1">IFERROR(_xlfn.IFS(A1415="  ..............",OFFSET(A1415,2,0),A1414=" X-------------X",OFFSET(A1414,3,0),MATCH("  ..............",A1417:A1426,0)&gt;2,V1416),"-")</f>
        <v>-</v>
      </c>
      <c r="W1417" t="str">
        <f t="shared" ca="1" si="66"/>
        <v>-</v>
      </c>
      <c r="X1417" t="str">
        <f t="shared" ca="1" si="67"/>
        <v xml:space="preserve">              </v>
      </c>
      <c r="Y1417" s="1">
        <f t="shared" ca="1" si="68"/>
        <v>0</v>
      </c>
    </row>
    <row r="1418" spans="1:25" x14ac:dyDescent="0.25">
      <c r="A1418" t="s">
        <v>2591</v>
      </c>
      <c r="B1418">
        <v>-54.8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 t="s">
        <v>1584</v>
      </c>
      <c r="J1418" t="s">
        <v>1585</v>
      </c>
      <c r="K1418" t="s">
        <v>1586</v>
      </c>
      <c r="L1418" t="s">
        <v>1587</v>
      </c>
      <c r="M1418" t="s">
        <v>1587</v>
      </c>
      <c r="N1418" t="s">
        <v>1586</v>
      </c>
      <c r="O1418" t="s">
        <v>1581</v>
      </c>
      <c r="P1418" t="s">
        <v>1581</v>
      </c>
      <c r="Q1418" t="s">
        <v>1581</v>
      </c>
      <c r="R1418" t="s">
        <v>1581</v>
      </c>
      <c r="S1418" t="s">
        <v>1581</v>
      </c>
      <c r="T1418" t="s">
        <v>1581</v>
      </c>
      <c r="U1418" t="s">
        <v>1581</v>
      </c>
      <c r="V1418" t="str" cm="1">
        <f t="array" aca="1" ref="V1418" ca="1">IFERROR(_xlfn.IFS(A1416="  ..............",OFFSET(A1416,2,0),A1415=" X-------------X",OFFSET(A1415,3,0),MATCH("  ..............",A1418:A1427,0)&gt;2,V1417),"-")</f>
        <v xml:space="preserve">  FRPPALTAP069  </v>
      </c>
      <c r="W1418">
        <f t="shared" ca="1" si="66"/>
        <v>1.0129999999999999</v>
      </c>
      <c r="X1418" t="str">
        <f t="shared" ca="1" si="67"/>
        <v xml:space="preserve"> PALGR9-RS069 </v>
      </c>
      <c r="Y1418" s="1">
        <f t="shared" ca="1" si="68"/>
        <v>0</v>
      </c>
    </row>
    <row r="1419" spans="1:25" x14ac:dyDescent="0.25">
      <c r="A1419" t="s">
        <v>1588</v>
      </c>
      <c r="B1419" t="s">
        <v>1587</v>
      </c>
      <c r="C1419">
        <v>52</v>
      </c>
      <c r="D1419">
        <v>76</v>
      </c>
      <c r="E1419">
        <v>76</v>
      </c>
      <c r="F1419" s="1">
        <v>0.33800000000000002</v>
      </c>
      <c r="G1419" t="s">
        <v>1587</v>
      </c>
      <c r="H1419" t="s">
        <v>1587</v>
      </c>
      <c r="I1419">
        <v>1266</v>
      </c>
      <c r="J1419" t="s">
        <v>1932</v>
      </c>
      <c r="K1419">
        <v>1</v>
      </c>
      <c r="L1419">
        <v>-16.600000000000001</v>
      </c>
      <c r="M1419">
        <v>-6.5</v>
      </c>
      <c r="N1419">
        <v>17.600000000000001</v>
      </c>
      <c r="O1419" t="s">
        <v>1594</v>
      </c>
      <c r="P1419" t="s">
        <v>1584</v>
      </c>
      <c r="Q1419" t="s">
        <v>1591</v>
      </c>
      <c r="R1419">
        <v>0.03</v>
      </c>
      <c r="S1419">
        <v>0.03</v>
      </c>
      <c r="T1419" t="s">
        <v>1584</v>
      </c>
      <c r="U1419" t="s">
        <v>1592</v>
      </c>
      <c r="V1419" t="str" cm="1">
        <f t="array" aca="1" ref="V1419" ca="1">IFERROR(_xlfn.IFS(A1417="  ..............",OFFSET(A1417,2,0),A1416=" X-------------X",OFFSET(A1416,3,0),MATCH("  ..............",A1419:A1428,0)&gt;2,V1418),"-")</f>
        <v xml:space="preserve">  FRPPALTAP069  </v>
      </c>
      <c r="W1419">
        <f t="shared" ca="1" si="66"/>
        <v>1.0129999999999999</v>
      </c>
      <c r="X1419" t="str">
        <f t="shared" ca="1" si="67"/>
        <v xml:space="preserve"> FRPPGR-RS069 </v>
      </c>
      <c r="Y1419" s="1">
        <f t="shared" ca="1" si="68"/>
        <v>8.7999999999999995E-2</v>
      </c>
    </row>
    <row r="1420" spans="1:25" x14ac:dyDescent="0.25">
      <c r="A1420" t="s">
        <v>1588</v>
      </c>
      <c r="B1420" t="s">
        <v>1587</v>
      </c>
      <c r="C1420">
        <v>54</v>
      </c>
      <c r="D1420">
        <v>79</v>
      </c>
      <c r="E1420">
        <v>79</v>
      </c>
      <c r="F1420" s="1">
        <v>8.7999999999999995E-2</v>
      </c>
      <c r="G1420" t="s">
        <v>1587</v>
      </c>
      <c r="H1420" t="s">
        <v>1587</v>
      </c>
      <c r="I1420">
        <v>9231</v>
      </c>
      <c r="J1420" t="s">
        <v>2592</v>
      </c>
      <c r="K1420">
        <v>1</v>
      </c>
      <c r="L1420">
        <v>4.4000000000000004</v>
      </c>
      <c r="M1420">
        <v>1.9</v>
      </c>
      <c r="N1420">
        <v>4.7</v>
      </c>
      <c r="O1420" t="s">
        <v>1594</v>
      </c>
      <c r="P1420" t="s">
        <v>1584</v>
      </c>
      <c r="Q1420" t="s">
        <v>1591</v>
      </c>
      <c r="R1420">
        <v>0</v>
      </c>
      <c r="S1420">
        <v>0</v>
      </c>
      <c r="T1420" t="s">
        <v>1584</v>
      </c>
      <c r="U1420" t="s">
        <v>1592</v>
      </c>
      <c r="V1420" t="str" cm="1">
        <f t="array" aca="1" ref="V1420" ca="1">IFERROR(_xlfn.IFS(A1418="  ..............",OFFSET(A1418,2,0),A1417=" X-------------X",OFFSET(A1417,3,0),MATCH("  ..............",A1420:A1429,0)&gt;2,V1419),"-")</f>
        <v xml:space="preserve">  FRPPALTAP069  </v>
      </c>
      <c r="W1420">
        <f t="shared" ca="1" si="66"/>
        <v>1.0129999999999999</v>
      </c>
      <c r="X1420" t="str">
        <f t="shared" ca="1" si="67"/>
        <v xml:space="preserve"> PALEG2-RS069 </v>
      </c>
      <c r="Y1420" s="1">
        <f t="shared" ca="1" si="68"/>
        <v>0.28899999999999998</v>
      </c>
    </row>
    <row r="1421" spans="1:25" x14ac:dyDescent="0.25">
      <c r="A1421" t="s">
        <v>1588</v>
      </c>
      <c r="B1421" t="s">
        <v>1587</v>
      </c>
      <c r="C1421">
        <v>52</v>
      </c>
      <c r="D1421">
        <v>76</v>
      </c>
      <c r="E1421">
        <v>76</v>
      </c>
      <c r="F1421" s="1">
        <v>0.247</v>
      </c>
      <c r="G1421" t="s">
        <v>1587</v>
      </c>
      <c r="H1421" t="s">
        <v>1587</v>
      </c>
      <c r="I1421">
        <v>9236</v>
      </c>
      <c r="J1421" t="s">
        <v>1909</v>
      </c>
      <c r="K1421">
        <v>1</v>
      </c>
      <c r="L1421">
        <v>12.2</v>
      </c>
      <c r="M1421">
        <v>4.5999999999999996</v>
      </c>
      <c r="N1421">
        <v>12.9</v>
      </c>
      <c r="O1421" t="s">
        <v>1594</v>
      </c>
      <c r="P1421" t="s">
        <v>1584</v>
      </c>
      <c r="Q1421" t="s">
        <v>1591</v>
      </c>
      <c r="R1421">
        <v>0.01</v>
      </c>
      <c r="S1421">
        <v>0</v>
      </c>
      <c r="T1421" t="s">
        <v>1584</v>
      </c>
      <c r="U1421" t="s">
        <v>1592</v>
      </c>
      <c r="V1421" t="str" cm="1">
        <f t="array" aca="1" ref="V1421" ca="1">IFERROR(_xlfn.IFS(A1419="  ..............",OFFSET(A1419,2,0),A1418=" X-------------X",OFFSET(A1418,3,0),MATCH("  ..............",A1421:A1430,0)&gt;2,V1420),"-")</f>
        <v>-</v>
      </c>
      <c r="W1421" t="str">
        <f t="shared" ca="1" si="66"/>
        <v>-</v>
      </c>
      <c r="X1421" t="str">
        <f t="shared" ca="1" si="67"/>
        <v>-</v>
      </c>
      <c r="Y1421" s="1" t="str">
        <f t="shared" ca="1" si="68"/>
        <v>-</v>
      </c>
    </row>
    <row r="1422" spans="1:25" x14ac:dyDescent="0.25">
      <c r="A1422" t="s">
        <v>1572</v>
      </c>
      <c r="B1422" t="s">
        <v>1574</v>
      </c>
      <c r="C1422" t="s">
        <v>1574</v>
      </c>
      <c r="D1422" t="s">
        <v>1574</v>
      </c>
      <c r="E1422" t="s">
        <v>1574</v>
      </c>
      <c r="F1422" t="s">
        <v>1575</v>
      </c>
      <c r="G1422" t="s">
        <v>1574</v>
      </c>
      <c r="H1422" t="s">
        <v>1574</v>
      </c>
      <c r="I1422" t="s">
        <v>1576</v>
      </c>
      <c r="J1422" t="s">
        <v>1573</v>
      </c>
      <c r="K1422" t="s">
        <v>1577</v>
      </c>
      <c r="L1422" t="s">
        <v>1574</v>
      </c>
      <c r="M1422" t="s">
        <v>1574</v>
      </c>
      <c r="N1422" t="s">
        <v>1574</v>
      </c>
      <c r="O1422" t="s">
        <v>1578</v>
      </c>
      <c r="P1422" t="s">
        <v>1576</v>
      </c>
      <c r="Q1422" t="s">
        <v>1579</v>
      </c>
      <c r="R1422" t="s">
        <v>1580</v>
      </c>
      <c r="S1422" t="s">
        <v>1580</v>
      </c>
      <c r="T1422" t="s">
        <v>1576</v>
      </c>
      <c r="U1422" t="s">
        <v>1576</v>
      </c>
      <c r="V1422" t="str" cm="1">
        <f t="array" aca="1" ref="V1422" ca="1">IFERROR(_xlfn.IFS(A1420="  ..............",OFFSET(A1420,2,0),A1419=" X-------------X",OFFSET(A1419,3,0),MATCH("  ..............",A1422:A1431,0)&gt;2,V1421),"-")</f>
        <v>-</v>
      </c>
      <c r="W1422" t="str">
        <f t="shared" ca="1" si="66"/>
        <v>-</v>
      </c>
      <c r="X1422" t="str">
        <f t="shared" ca="1" si="67"/>
        <v/>
      </c>
      <c r="Y1422" s="1" t="str">
        <f t="shared" ca="1" si="68"/>
        <v/>
      </c>
    </row>
    <row r="1423" spans="1:25" x14ac:dyDescent="0.25">
      <c r="A1423" t="s">
        <v>2593</v>
      </c>
      <c r="B1423">
        <v>1.03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 t="s">
        <v>1581</v>
      </c>
      <c r="J1423" t="s">
        <v>1581</v>
      </c>
      <c r="K1423" t="s">
        <v>1581</v>
      </c>
      <c r="L1423" t="s">
        <v>1581</v>
      </c>
      <c r="M1423" t="s">
        <v>1581</v>
      </c>
      <c r="N1423" t="s">
        <v>1581</v>
      </c>
      <c r="O1423" t="s">
        <v>1581</v>
      </c>
      <c r="P1423" t="s">
        <v>1581</v>
      </c>
      <c r="Q1423" t="s">
        <v>1581</v>
      </c>
      <c r="R1423" t="s">
        <v>1581</v>
      </c>
      <c r="S1423" t="s">
        <v>1581</v>
      </c>
      <c r="T1423" t="s">
        <v>1581</v>
      </c>
      <c r="U1423" t="s">
        <v>1581</v>
      </c>
      <c r="V1423" t="str" cm="1">
        <f t="array" aca="1" ref="V1423" ca="1">IFERROR(_xlfn.IFS(A1421="  ..............",OFFSET(A1421,2,0),A1420=" X-------------X",OFFSET(A1420,3,0),MATCH("  ..............",A1423:A1432,0)&gt;2,V1422),"-")</f>
        <v>-</v>
      </c>
      <c r="W1423" t="str">
        <f t="shared" ca="1" si="66"/>
        <v>-</v>
      </c>
      <c r="X1423" t="str">
        <f t="shared" ca="1" si="67"/>
        <v xml:space="preserve">              </v>
      </c>
      <c r="Y1423" s="1">
        <f t="shared" ca="1" si="68"/>
        <v>0</v>
      </c>
    </row>
    <row r="1424" spans="1:25" x14ac:dyDescent="0.25">
      <c r="A1424" t="s">
        <v>2594</v>
      </c>
      <c r="B1424">
        <v>-54.9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 t="s">
        <v>1584</v>
      </c>
      <c r="J1424" t="s">
        <v>1585</v>
      </c>
      <c r="K1424" t="s">
        <v>1586</v>
      </c>
      <c r="L1424" t="s">
        <v>1587</v>
      </c>
      <c r="M1424" t="s">
        <v>1587</v>
      </c>
      <c r="N1424" t="s">
        <v>1586</v>
      </c>
      <c r="O1424" t="s">
        <v>1581</v>
      </c>
      <c r="P1424" t="s">
        <v>1581</v>
      </c>
      <c r="Q1424" t="s">
        <v>1581</v>
      </c>
      <c r="R1424" t="s">
        <v>1581</v>
      </c>
      <c r="S1424" t="s">
        <v>1581</v>
      </c>
      <c r="T1424" t="s">
        <v>1581</v>
      </c>
      <c r="U1424" t="s">
        <v>1581</v>
      </c>
      <c r="V1424" t="str" cm="1">
        <f t="array" aca="1" ref="V1424" ca="1">IFERROR(_xlfn.IFS(A1422="  ..............",OFFSET(A1422,2,0),A1421=" X-------------X",OFFSET(A1421,3,0),MATCH("  ..............",A1424:A1433,0)&gt;2,V1423),"-")</f>
        <v xml:space="preserve">  CANAS2-RS069  </v>
      </c>
      <c r="W1424">
        <f t="shared" ca="1" si="66"/>
        <v>1.03</v>
      </c>
      <c r="X1424" t="str">
        <f t="shared" ca="1" si="67"/>
        <v xml:space="preserve"> CANAS2-RS138 </v>
      </c>
      <c r="Y1424" s="1">
        <f t="shared" ca="1" si="68"/>
        <v>0.33800000000000002</v>
      </c>
    </row>
    <row r="1425" spans="1:25" x14ac:dyDescent="0.25">
      <c r="A1425" t="s">
        <v>1588</v>
      </c>
      <c r="B1425" t="s">
        <v>1587</v>
      </c>
      <c r="C1425">
        <v>50</v>
      </c>
      <c r="D1425">
        <v>50</v>
      </c>
      <c r="E1425">
        <v>50</v>
      </c>
      <c r="F1425" s="1">
        <v>0.48899999999999999</v>
      </c>
      <c r="G1425" t="s">
        <v>1587</v>
      </c>
      <c r="H1425" t="s">
        <v>1587</v>
      </c>
      <c r="I1425">
        <v>2065</v>
      </c>
      <c r="J1425" t="s">
        <v>2216</v>
      </c>
      <c r="K1425">
        <v>1</v>
      </c>
      <c r="L1425">
        <v>-24.6</v>
      </c>
      <c r="M1425">
        <v>-5.6</v>
      </c>
      <c r="N1425">
        <v>24.4</v>
      </c>
      <c r="O1425" t="s">
        <v>1594</v>
      </c>
      <c r="P1425" t="s">
        <v>1584</v>
      </c>
      <c r="Q1425" t="s">
        <v>1591</v>
      </c>
      <c r="R1425">
        <v>0</v>
      </c>
      <c r="S1425">
        <v>0.69</v>
      </c>
      <c r="T1425" t="s">
        <v>1584</v>
      </c>
      <c r="U1425" t="s">
        <v>1592</v>
      </c>
      <c r="V1425" t="str" cm="1">
        <f t="array" aca="1" ref="V1425" ca="1">IFERROR(_xlfn.IFS(A1423="  ..............",OFFSET(A1423,2,0),A1422=" X-------------X",OFFSET(A1422,3,0),MATCH("  ..............",A1425:A1434,0)&gt;2,V1424),"-")</f>
        <v xml:space="preserve">  CANAS2-RS069  </v>
      </c>
      <c r="W1425">
        <f t="shared" ca="1" si="66"/>
        <v>1.03</v>
      </c>
      <c r="X1425" t="str">
        <f t="shared" ca="1" si="67"/>
        <v xml:space="preserve"> GRAMADTAP069 </v>
      </c>
      <c r="Y1425" s="1" t="str">
        <f t="shared" ca="1" si="68"/>
        <v xml:space="preserve">             </v>
      </c>
    </row>
    <row r="1426" spans="1:25" x14ac:dyDescent="0.25">
      <c r="A1426" t="s">
        <v>1588</v>
      </c>
      <c r="B1426" t="s">
        <v>1587</v>
      </c>
      <c r="C1426">
        <v>41</v>
      </c>
      <c r="D1426">
        <v>59</v>
      </c>
      <c r="E1426">
        <v>59</v>
      </c>
      <c r="F1426" s="1">
        <v>0.59599999999999997</v>
      </c>
      <c r="G1426" t="s">
        <v>1587</v>
      </c>
      <c r="H1426" t="s">
        <v>1587</v>
      </c>
      <c r="I1426">
        <v>9758</v>
      </c>
      <c r="J1426" t="s">
        <v>2574</v>
      </c>
      <c r="K1426">
        <v>1</v>
      </c>
      <c r="L1426">
        <v>24.6</v>
      </c>
      <c r="M1426">
        <v>5.6</v>
      </c>
      <c r="N1426">
        <v>24.4</v>
      </c>
      <c r="O1426" t="s">
        <v>1594</v>
      </c>
      <c r="P1426" t="s">
        <v>1584</v>
      </c>
      <c r="Q1426" t="s">
        <v>1591</v>
      </c>
      <c r="R1426">
        <v>0.28999999999999998</v>
      </c>
      <c r="S1426">
        <v>0.46</v>
      </c>
      <c r="T1426" t="s">
        <v>1584</v>
      </c>
      <c r="U1426" t="s">
        <v>1592</v>
      </c>
      <c r="V1426" t="str" cm="1">
        <f t="array" aca="1" ref="V1426" ca="1">IFERROR(_xlfn.IFS(A1424="  ..............",OFFSET(A1424,2,0),A1423=" X-------------X",OFFSET(A1423,3,0),MATCH("  ..............",A1426:A1435,0)&gt;2,V1425),"-")</f>
        <v>-</v>
      </c>
      <c r="W1426" t="str">
        <f t="shared" ca="1" si="66"/>
        <v>-</v>
      </c>
      <c r="X1426" t="str">
        <f t="shared" ca="1" si="67"/>
        <v>-</v>
      </c>
      <c r="Y1426" s="1" t="str">
        <f t="shared" ca="1" si="68"/>
        <v>-</v>
      </c>
    </row>
    <row r="1427" spans="1:25" x14ac:dyDescent="0.25">
      <c r="A1427" t="s">
        <v>1572</v>
      </c>
      <c r="B1427" t="s">
        <v>1574</v>
      </c>
      <c r="C1427" t="s">
        <v>1574</v>
      </c>
      <c r="D1427" t="s">
        <v>1574</v>
      </c>
      <c r="E1427" t="s">
        <v>1574</v>
      </c>
      <c r="F1427" t="s">
        <v>1575</v>
      </c>
      <c r="G1427" t="s">
        <v>1574</v>
      </c>
      <c r="H1427" t="s">
        <v>1574</v>
      </c>
      <c r="I1427" t="s">
        <v>1576</v>
      </c>
      <c r="J1427" t="s">
        <v>1573</v>
      </c>
      <c r="K1427" t="s">
        <v>1577</v>
      </c>
      <c r="L1427" t="s">
        <v>1574</v>
      </c>
      <c r="M1427" t="s">
        <v>1574</v>
      </c>
      <c r="N1427" t="s">
        <v>1574</v>
      </c>
      <c r="O1427" t="s">
        <v>1578</v>
      </c>
      <c r="P1427" t="s">
        <v>1576</v>
      </c>
      <c r="Q1427" t="s">
        <v>1579</v>
      </c>
      <c r="R1427" t="s">
        <v>1580</v>
      </c>
      <c r="S1427" t="s">
        <v>1580</v>
      </c>
      <c r="T1427" t="s">
        <v>1576</v>
      </c>
      <c r="U1427" t="s">
        <v>1576</v>
      </c>
      <c r="V1427" t="str" cm="1">
        <f t="array" aca="1" ref="V1427" ca="1">IFERROR(_xlfn.IFS(A1425="  ..............",OFFSET(A1425,2,0),A1424=" X-------------X",OFFSET(A1424,3,0),MATCH("  ..............",A1427:A1436,0)&gt;2,V1426),"-")</f>
        <v>-</v>
      </c>
      <c r="W1427" t="str">
        <f t="shared" ca="1" si="66"/>
        <v>-</v>
      </c>
      <c r="X1427" t="str">
        <f t="shared" ca="1" si="67"/>
        <v/>
      </c>
      <c r="Y1427" s="1" t="str">
        <f t="shared" ca="1" si="68"/>
        <v/>
      </c>
    </row>
    <row r="1428" spans="1:25" x14ac:dyDescent="0.25">
      <c r="A1428" t="s">
        <v>2595</v>
      </c>
      <c r="B1428">
        <v>1.036</v>
      </c>
      <c r="C1428">
        <v>4</v>
      </c>
      <c r="D1428">
        <v>0</v>
      </c>
      <c r="E1428">
        <v>6.7</v>
      </c>
      <c r="F1428">
        <v>0</v>
      </c>
      <c r="G1428">
        <v>0</v>
      </c>
      <c r="H1428">
        <v>0</v>
      </c>
      <c r="I1428" t="s">
        <v>1581</v>
      </c>
      <c r="J1428" t="s">
        <v>1581</v>
      </c>
      <c r="K1428" t="s">
        <v>1581</v>
      </c>
      <c r="L1428" t="s">
        <v>1581</v>
      </c>
      <c r="M1428" t="s">
        <v>1581</v>
      </c>
      <c r="N1428" t="s">
        <v>1581</v>
      </c>
      <c r="O1428" t="s">
        <v>1581</v>
      </c>
      <c r="P1428" t="s">
        <v>1581</v>
      </c>
      <c r="Q1428" t="s">
        <v>1581</v>
      </c>
      <c r="R1428" t="s">
        <v>1581</v>
      </c>
      <c r="S1428" t="s">
        <v>1581</v>
      </c>
      <c r="T1428" t="s">
        <v>1581</v>
      </c>
      <c r="U1428" t="s">
        <v>1581</v>
      </c>
      <c r="V1428" t="str" cm="1">
        <f t="array" aca="1" ref="V1428" ca="1">IFERROR(_xlfn.IFS(A1426="  ..............",OFFSET(A1426,2,0),A1425=" X-------------X",OFFSET(A1425,3,0),MATCH("  ..............",A1428:A1437,0)&gt;2,V1427),"-")</f>
        <v>-</v>
      </c>
      <c r="W1428" t="str">
        <f t="shared" ca="1" si="66"/>
        <v>-</v>
      </c>
      <c r="X1428" t="str">
        <f t="shared" ca="1" si="67"/>
        <v xml:space="preserve">              </v>
      </c>
      <c r="Y1428" s="1">
        <f t="shared" ca="1" si="68"/>
        <v>0</v>
      </c>
    </row>
    <row r="1429" spans="1:25" x14ac:dyDescent="0.25">
      <c r="A1429" t="s">
        <v>2596</v>
      </c>
      <c r="B1429">
        <v>-47.8</v>
      </c>
      <c r="C1429">
        <v>0.8</v>
      </c>
      <c r="D1429">
        <v>0</v>
      </c>
      <c r="E1429">
        <v>1.3</v>
      </c>
      <c r="F1429">
        <v>0</v>
      </c>
      <c r="G1429">
        <v>0</v>
      </c>
      <c r="H1429">
        <v>0</v>
      </c>
      <c r="I1429" t="s">
        <v>1584</v>
      </c>
      <c r="J1429" t="s">
        <v>1585</v>
      </c>
      <c r="K1429" t="s">
        <v>1586</v>
      </c>
      <c r="L1429" t="s">
        <v>1587</v>
      </c>
      <c r="M1429" t="s">
        <v>1587</v>
      </c>
      <c r="N1429" t="s">
        <v>1586</v>
      </c>
      <c r="O1429" t="s">
        <v>1581</v>
      </c>
      <c r="P1429" t="s">
        <v>1581</v>
      </c>
      <c r="Q1429" t="s">
        <v>1581</v>
      </c>
      <c r="R1429" t="s">
        <v>1581</v>
      </c>
      <c r="S1429" t="s">
        <v>1581</v>
      </c>
      <c r="T1429" t="s">
        <v>1581</v>
      </c>
      <c r="U1429" t="s">
        <v>1581</v>
      </c>
      <c r="V1429" t="str" cm="1">
        <f t="array" aca="1" ref="V1429" ca="1">IFERROR(_xlfn.IFS(A1427="  ..............",OFFSET(A1427,2,0),A1426=" X-------------X",OFFSET(A1426,3,0),MATCH("  ..............",A1429:A1438,0)&gt;2,V1428),"-")</f>
        <v xml:space="preserve">  DEMEI2-RS069  </v>
      </c>
      <c r="W1429">
        <f t="shared" ca="1" si="66"/>
        <v>1.036</v>
      </c>
      <c r="X1429" t="str">
        <f t="shared" ca="1" si="67"/>
        <v xml:space="preserve"> IJUI2--RS069 </v>
      </c>
      <c r="Y1429" s="1">
        <f t="shared" ca="1" si="68"/>
        <v>0</v>
      </c>
    </row>
    <row r="1430" spans="1:25" x14ac:dyDescent="0.25">
      <c r="A1430" t="s">
        <v>1588</v>
      </c>
      <c r="B1430" t="s">
        <v>1587</v>
      </c>
      <c r="C1430">
        <v>40</v>
      </c>
      <c r="D1430">
        <v>65</v>
      </c>
      <c r="E1430">
        <v>65</v>
      </c>
      <c r="F1430" s="1">
        <v>6.6000000000000003E-2</v>
      </c>
      <c r="G1430" t="s">
        <v>1587</v>
      </c>
      <c r="H1430" t="s">
        <v>1587</v>
      </c>
      <c r="I1430">
        <v>1322</v>
      </c>
      <c r="J1430" t="s">
        <v>2316</v>
      </c>
      <c r="K1430">
        <v>1</v>
      </c>
      <c r="L1430">
        <v>-2.7</v>
      </c>
      <c r="M1430">
        <v>-0.5</v>
      </c>
      <c r="N1430">
        <v>2.7</v>
      </c>
      <c r="O1430" t="s">
        <v>1594</v>
      </c>
      <c r="P1430" t="s">
        <v>1584</v>
      </c>
      <c r="Q1430" t="s">
        <v>1591</v>
      </c>
      <c r="R1430">
        <v>0</v>
      </c>
      <c r="S1430">
        <v>-0.01</v>
      </c>
      <c r="T1430" t="s">
        <v>1584</v>
      </c>
      <c r="U1430" t="s">
        <v>1592</v>
      </c>
      <c r="V1430" t="str" cm="1">
        <f t="array" aca="1" ref="V1430" ca="1">IFERROR(_xlfn.IFS(A1428="  ..............",OFFSET(A1428,2,0),A1427=" X-------------X",OFFSET(A1427,3,0),MATCH("  ..............",A1430:A1439,0)&gt;2,V1429),"-")</f>
        <v>-</v>
      </c>
      <c r="W1430" t="str">
        <f t="shared" ca="1" si="66"/>
        <v>-</v>
      </c>
      <c r="X1430" t="str">
        <f t="shared" ca="1" si="67"/>
        <v>-</v>
      </c>
      <c r="Y1430" s="1" t="str">
        <f t="shared" ca="1" si="68"/>
        <v>-</v>
      </c>
    </row>
    <row r="1431" spans="1:25" x14ac:dyDescent="0.25">
      <c r="A1431" t="s">
        <v>1572</v>
      </c>
      <c r="B1431" t="s">
        <v>1574</v>
      </c>
      <c r="C1431" t="s">
        <v>1574</v>
      </c>
      <c r="D1431" t="s">
        <v>1574</v>
      </c>
      <c r="E1431" t="s">
        <v>1574</v>
      </c>
      <c r="F1431" t="s">
        <v>1575</v>
      </c>
      <c r="G1431" t="s">
        <v>1574</v>
      </c>
      <c r="H1431" t="s">
        <v>1574</v>
      </c>
      <c r="I1431" t="s">
        <v>1576</v>
      </c>
      <c r="J1431" t="s">
        <v>1573</v>
      </c>
      <c r="K1431" t="s">
        <v>1577</v>
      </c>
      <c r="L1431" t="s">
        <v>1574</v>
      </c>
      <c r="M1431" t="s">
        <v>1574</v>
      </c>
      <c r="N1431" t="s">
        <v>1574</v>
      </c>
      <c r="O1431" t="s">
        <v>1578</v>
      </c>
      <c r="P1431" t="s">
        <v>1576</v>
      </c>
      <c r="Q1431" t="s">
        <v>1579</v>
      </c>
      <c r="R1431" t="s">
        <v>1580</v>
      </c>
      <c r="S1431" t="s">
        <v>1580</v>
      </c>
      <c r="T1431" t="s">
        <v>1576</v>
      </c>
      <c r="U1431" t="s">
        <v>1576</v>
      </c>
      <c r="V1431" t="str" cm="1">
        <f t="array" aca="1" ref="V1431" ca="1">IFERROR(_xlfn.IFS(A1429="  ..............",OFFSET(A1429,2,0),A1428=" X-------------X",OFFSET(A1428,3,0),MATCH("  ..............",A1431:A1440,0)&gt;2,V1430),"-")</f>
        <v>-</v>
      </c>
      <c r="W1431" t="str">
        <f t="shared" ca="1" si="66"/>
        <v>-</v>
      </c>
      <c r="X1431" t="str">
        <f t="shared" ca="1" si="67"/>
        <v/>
      </c>
      <c r="Y1431" s="1" t="str">
        <f t="shared" ca="1" si="68"/>
        <v/>
      </c>
    </row>
    <row r="1432" spans="1:25" x14ac:dyDescent="0.25">
      <c r="A1432" t="s">
        <v>2597</v>
      </c>
      <c r="B1432">
        <v>1.0309999999999999</v>
      </c>
      <c r="C1432">
        <v>4.5</v>
      </c>
      <c r="D1432">
        <v>0</v>
      </c>
      <c r="E1432">
        <v>7.9</v>
      </c>
      <c r="F1432">
        <v>0</v>
      </c>
      <c r="G1432">
        <v>0</v>
      </c>
      <c r="H1432">
        <v>0</v>
      </c>
      <c r="I1432" t="s">
        <v>1581</v>
      </c>
      <c r="J1432" t="s">
        <v>1581</v>
      </c>
      <c r="K1432" t="s">
        <v>1581</v>
      </c>
      <c r="L1432" t="s">
        <v>1581</v>
      </c>
      <c r="M1432" t="s">
        <v>1581</v>
      </c>
      <c r="N1432" t="s">
        <v>1581</v>
      </c>
      <c r="O1432" t="s">
        <v>1581</v>
      </c>
      <c r="P1432" t="s">
        <v>1581</v>
      </c>
      <c r="Q1432" t="s">
        <v>1581</v>
      </c>
      <c r="R1432" t="s">
        <v>1581</v>
      </c>
      <c r="S1432" t="s">
        <v>1581</v>
      </c>
      <c r="T1432" t="s">
        <v>1581</v>
      </c>
      <c r="U1432" t="s">
        <v>1581</v>
      </c>
      <c r="V1432" t="str" cm="1">
        <f t="array" aca="1" ref="V1432" ca="1">IFERROR(_xlfn.IFS(A1430="  ..............",OFFSET(A1430,2,0),A1429=" X-------------X",OFFSET(A1429,3,0),MATCH("  ..............",A1432:A1441,0)&gt;2,V1431),"-")</f>
        <v>-</v>
      </c>
      <c r="W1432" t="str">
        <f t="shared" ca="1" si="66"/>
        <v>-</v>
      </c>
      <c r="X1432" t="str">
        <f t="shared" ca="1" si="67"/>
        <v xml:space="preserve">              </v>
      </c>
      <c r="Y1432" s="1">
        <f t="shared" ca="1" si="68"/>
        <v>0</v>
      </c>
    </row>
    <row r="1433" spans="1:25" x14ac:dyDescent="0.25">
      <c r="A1433" t="s">
        <v>2598</v>
      </c>
      <c r="B1433">
        <v>-48</v>
      </c>
      <c r="C1433">
        <v>0</v>
      </c>
      <c r="D1433">
        <v>0</v>
      </c>
      <c r="E1433">
        <v>2.4</v>
      </c>
      <c r="F1433">
        <v>0</v>
      </c>
      <c r="G1433">
        <v>0</v>
      </c>
      <c r="H1433">
        <v>0</v>
      </c>
      <c r="I1433" t="s">
        <v>1584</v>
      </c>
      <c r="J1433" t="s">
        <v>1585</v>
      </c>
      <c r="K1433" t="s">
        <v>1586</v>
      </c>
      <c r="L1433" t="s">
        <v>1587</v>
      </c>
      <c r="M1433" t="s">
        <v>1587</v>
      </c>
      <c r="N1433" t="s">
        <v>1586</v>
      </c>
      <c r="O1433" t="s">
        <v>1581</v>
      </c>
      <c r="P1433" t="s">
        <v>1581</v>
      </c>
      <c r="Q1433" t="s">
        <v>1581</v>
      </c>
      <c r="R1433" t="s">
        <v>1581</v>
      </c>
      <c r="S1433" t="s">
        <v>1581</v>
      </c>
      <c r="T1433" t="s">
        <v>1581</v>
      </c>
      <c r="U1433" t="s">
        <v>1581</v>
      </c>
      <c r="V1433" t="str" cm="1">
        <f t="array" aca="1" ref="V1433" ca="1">IFERROR(_xlfn.IFS(A1431="  ..............",OFFSET(A1431,2,0),A1430=" X-------------X",OFFSET(A1430,3,0),MATCH("  ..............",A1433:A1442,0)&gt;2,V1432),"-")</f>
        <v xml:space="preserve">  CERILU-RS069  </v>
      </c>
      <c r="W1433">
        <f t="shared" ca="1" si="66"/>
        <v>1.0309999999999999</v>
      </c>
      <c r="X1433" t="str">
        <f t="shared" ca="1" si="67"/>
        <v xml:space="preserve"> IJUI2--RS069 </v>
      </c>
      <c r="Y1433" s="1">
        <f t="shared" ca="1" si="68"/>
        <v>0</v>
      </c>
    </row>
    <row r="1434" spans="1:25" x14ac:dyDescent="0.25">
      <c r="A1434" t="s">
        <v>1588</v>
      </c>
      <c r="B1434" t="s">
        <v>1587</v>
      </c>
      <c r="C1434">
        <v>39</v>
      </c>
      <c r="D1434">
        <v>49</v>
      </c>
      <c r="E1434">
        <v>49</v>
      </c>
      <c r="F1434" s="1">
        <v>0.10299999999999999</v>
      </c>
      <c r="G1434" t="s">
        <v>1587</v>
      </c>
      <c r="H1434" t="s">
        <v>1587</v>
      </c>
      <c r="I1434">
        <v>1322</v>
      </c>
      <c r="J1434" t="s">
        <v>2316</v>
      </c>
      <c r="K1434">
        <v>1</v>
      </c>
      <c r="L1434">
        <v>-3.4</v>
      </c>
      <c r="M1434">
        <v>-2.4</v>
      </c>
      <c r="N1434">
        <v>4</v>
      </c>
      <c r="O1434" t="s">
        <v>1594</v>
      </c>
      <c r="P1434" t="s">
        <v>1584</v>
      </c>
      <c r="Q1434" t="s">
        <v>1591</v>
      </c>
      <c r="R1434">
        <v>0.01</v>
      </c>
      <c r="S1434">
        <v>-0.17</v>
      </c>
      <c r="T1434" t="s">
        <v>1584</v>
      </c>
      <c r="U1434" t="s">
        <v>1592</v>
      </c>
      <c r="V1434" t="str" cm="1">
        <f t="array" aca="1" ref="V1434" ca="1">IFERROR(_xlfn.IFS(A1432="  ..............",OFFSET(A1432,2,0),A1431=" X-------------X",OFFSET(A1431,3,0),MATCH("  ..............",A1434:A1443,0)&gt;2,V1433),"-")</f>
        <v>-</v>
      </c>
      <c r="W1434" t="str">
        <f t="shared" ca="1" si="66"/>
        <v>-</v>
      </c>
      <c r="X1434" t="str">
        <f t="shared" ca="1" si="67"/>
        <v>-</v>
      </c>
      <c r="Y1434" s="1" t="str">
        <f t="shared" ca="1" si="68"/>
        <v>-</v>
      </c>
    </row>
    <row r="1435" spans="1:25" x14ac:dyDescent="0.25">
      <c r="A1435" t="s">
        <v>1572</v>
      </c>
      <c r="B1435" t="s">
        <v>1574</v>
      </c>
      <c r="C1435" t="s">
        <v>1574</v>
      </c>
      <c r="D1435" t="s">
        <v>1574</v>
      </c>
      <c r="E1435" t="s">
        <v>1574</v>
      </c>
      <c r="F1435" t="s">
        <v>1575</v>
      </c>
      <c r="G1435" t="s">
        <v>1574</v>
      </c>
      <c r="H1435" t="s">
        <v>1574</v>
      </c>
      <c r="I1435" t="s">
        <v>1576</v>
      </c>
      <c r="J1435" t="s">
        <v>1573</v>
      </c>
      <c r="K1435" t="s">
        <v>1577</v>
      </c>
      <c r="L1435" t="s">
        <v>1574</v>
      </c>
      <c r="M1435" t="s">
        <v>1574</v>
      </c>
      <c r="N1435" t="s">
        <v>1574</v>
      </c>
      <c r="O1435" t="s">
        <v>1578</v>
      </c>
      <c r="P1435" t="s">
        <v>1576</v>
      </c>
      <c r="Q1435" t="s">
        <v>1579</v>
      </c>
      <c r="R1435" t="s">
        <v>1580</v>
      </c>
      <c r="S1435" t="s">
        <v>1580</v>
      </c>
      <c r="T1435" t="s">
        <v>1576</v>
      </c>
      <c r="U1435" t="s">
        <v>1576</v>
      </c>
      <c r="V1435" t="str" cm="1">
        <f t="array" aca="1" ref="V1435" ca="1">IFERROR(_xlfn.IFS(A1433="  ..............",OFFSET(A1433,2,0),A1432=" X-------------X",OFFSET(A1432,3,0),MATCH("  ..............",A1435:A1444,0)&gt;2,V1434),"-")</f>
        <v>-</v>
      </c>
      <c r="W1435" t="str">
        <f t="shared" ca="1" si="66"/>
        <v>-</v>
      </c>
      <c r="X1435" t="str">
        <f t="shared" ca="1" si="67"/>
        <v/>
      </c>
      <c r="Y1435" s="1" t="str">
        <f t="shared" ca="1" si="68"/>
        <v/>
      </c>
    </row>
    <row r="1436" spans="1:25" x14ac:dyDescent="0.25">
      <c r="A1436" t="s">
        <v>2599</v>
      </c>
      <c r="B1436">
        <v>1.012</v>
      </c>
      <c r="C1436">
        <v>3.9</v>
      </c>
      <c r="D1436">
        <v>0</v>
      </c>
      <c r="E1436">
        <v>20.2</v>
      </c>
      <c r="F1436">
        <v>0</v>
      </c>
      <c r="G1436">
        <v>0</v>
      </c>
      <c r="H1436">
        <v>0</v>
      </c>
      <c r="I1436" t="s">
        <v>1581</v>
      </c>
      <c r="J1436" t="s">
        <v>1581</v>
      </c>
      <c r="K1436" t="s">
        <v>1581</v>
      </c>
      <c r="L1436" t="s">
        <v>1581</v>
      </c>
      <c r="M1436" t="s">
        <v>1581</v>
      </c>
      <c r="N1436" t="s">
        <v>1581</v>
      </c>
      <c r="O1436" t="s">
        <v>1581</v>
      </c>
      <c r="P1436" t="s">
        <v>1581</v>
      </c>
      <c r="Q1436" t="s">
        <v>1581</v>
      </c>
      <c r="R1436" t="s">
        <v>1581</v>
      </c>
      <c r="S1436" t="s">
        <v>1581</v>
      </c>
      <c r="T1436" t="s">
        <v>1581</v>
      </c>
      <c r="U1436" t="s">
        <v>1581</v>
      </c>
      <c r="V1436" t="str" cm="1">
        <f t="array" aca="1" ref="V1436" ca="1">IFERROR(_xlfn.IFS(A1434="  ..............",OFFSET(A1434,2,0),A1433=" X-------------X",OFFSET(A1433,3,0),MATCH("  ..............",A1436:A1445,0)&gt;2,V1435),"-")</f>
        <v>-</v>
      </c>
      <c r="W1436" t="str">
        <f t="shared" ca="1" si="66"/>
        <v>-</v>
      </c>
      <c r="X1436" t="str">
        <f t="shared" ca="1" si="67"/>
        <v xml:space="preserve">              </v>
      </c>
      <c r="Y1436" s="1">
        <f t="shared" ca="1" si="68"/>
        <v>0</v>
      </c>
    </row>
    <row r="1437" spans="1:25" x14ac:dyDescent="0.25">
      <c r="A1437" t="s">
        <v>2600</v>
      </c>
      <c r="B1437">
        <v>-52.1</v>
      </c>
      <c r="C1437">
        <v>0</v>
      </c>
      <c r="D1437">
        <v>0</v>
      </c>
      <c r="E1437">
        <v>6.9</v>
      </c>
      <c r="F1437">
        <v>0</v>
      </c>
      <c r="G1437">
        <v>0</v>
      </c>
      <c r="H1437">
        <v>0</v>
      </c>
      <c r="I1437" t="s">
        <v>1584</v>
      </c>
      <c r="J1437" t="s">
        <v>1585</v>
      </c>
      <c r="K1437" t="s">
        <v>1586</v>
      </c>
      <c r="L1437" t="s">
        <v>1587</v>
      </c>
      <c r="M1437" t="s">
        <v>1587</v>
      </c>
      <c r="N1437" t="s">
        <v>1586</v>
      </c>
      <c r="O1437" t="s">
        <v>1581</v>
      </c>
      <c r="P1437" t="s">
        <v>1581</v>
      </c>
      <c r="Q1437" t="s">
        <v>1581</v>
      </c>
      <c r="R1437" t="s">
        <v>1581</v>
      </c>
      <c r="S1437" t="s">
        <v>1581</v>
      </c>
      <c r="T1437" t="s">
        <v>1581</v>
      </c>
      <c r="U1437" t="s">
        <v>1581</v>
      </c>
      <c r="V1437" t="str" cm="1">
        <f t="array" aca="1" ref="V1437" ca="1">IFERROR(_xlfn.IFS(A1435="  ..............",OFFSET(A1435,2,0),A1434=" X-------------X",OFFSET(A1434,3,0),MATCH("  ..............",A1437:A1446,0)&gt;2,V1436),"-")</f>
        <v xml:space="preserve">  CAMAQ3-RS069  </v>
      </c>
      <c r="W1437">
        <f t="shared" ca="1" si="66"/>
        <v>1.012</v>
      </c>
      <c r="X1437" t="str">
        <f t="shared" ca="1" si="67"/>
        <v xml:space="preserve"> CAMAQU-RS069 </v>
      </c>
      <c r="Y1437" s="1">
        <f t="shared" ca="1" si="68"/>
        <v>0.33400000000000002</v>
      </c>
    </row>
    <row r="1438" spans="1:25" x14ac:dyDescent="0.25">
      <c r="A1438" t="s">
        <v>1588</v>
      </c>
      <c r="B1438" t="s">
        <v>1587</v>
      </c>
      <c r="C1438">
        <v>75</v>
      </c>
      <c r="D1438">
        <v>90</v>
      </c>
      <c r="E1438">
        <v>90</v>
      </c>
      <c r="F1438" s="1">
        <v>0.33400000000000002</v>
      </c>
      <c r="G1438" t="s">
        <v>1587</v>
      </c>
      <c r="H1438" t="s">
        <v>1587</v>
      </c>
      <c r="I1438">
        <v>1195</v>
      </c>
      <c r="J1438" t="s">
        <v>2601</v>
      </c>
      <c r="K1438">
        <v>1</v>
      </c>
      <c r="L1438">
        <v>25.1</v>
      </c>
      <c r="M1438">
        <v>3.7</v>
      </c>
      <c r="N1438">
        <v>25.1</v>
      </c>
      <c r="O1438" t="s">
        <v>1594</v>
      </c>
      <c r="P1438" t="s">
        <v>1584</v>
      </c>
      <c r="Q1438" t="s">
        <v>1591</v>
      </c>
      <c r="R1438">
        <v>0.05</v>
      </c>
      <c r="S1438">
        <v>0.14000000000000001</v>
      </c>
      <c r="T1438" t="s">
        <v>1584</v>
      </c>
      <c r="U1438" t="s">
        <v>1592</v>
      </c>
      <c r="V1438" t="str" cm="1">
        <f t="array" aca="1" ref="V1438" ca="1">IFERROR(_xlfn.IFS(A1436="  ..............",OFFSET(A1436,2,0),A1435=" X-------------X",OFFSET(A1435,3,0),MATCH("  ..............",A1438:A1447,0)&gt;2,V1437),"-")</f>
        <v xml:space="preserve">  CAMAQ3-RS069  </v>
      </c>
      <c r="W1438">
        <f t="shared" ca="1" si="66"/>
        <v>1.012</v>
      </c>
      <c r="X1438" t="str">
        <f t="shared" ca="1" si="67"/>
        <v xml:space="preserve"> CAM3-1-RS000 </v>
      </c>
      <c r="Y1438" s="1">
        <f t="shared" ca="1" si="68"/>
        <v>0.255</v>
      </c>
    </row>
    <row r="1439" spans="1:25" x14ac:dyDescent="0.25">
      <c r="A1439" t="s">
        <v>1588</v>
      </c>
      <c r="B1439" t="s">
        <v>1587</v>
      </c>
      <c r="C1439">
        <v>83</v>
      </c>
      <c r="D1439">
        <v>100</v>
      </c>
      <c r="E1439">
        <v>100</v>
      </c>
      <c r="F1439" s="1">
        <v>0.255</v>
      </c>
      <c r="G1439" t="s">
        <v>1587</v>
      </c>
      <c r="H1439" t="s">
        <v>1587</v>
      </c>
      <c r="I1439">
        <v>41219</v>
      </c>
      <c r="J1439" t="s">
        <v>2602</v>
      </c>
      <c r="K1439">
        <v>1</v>
      </c>
      <c r="L1439">
        <v>-20.7</v>
      </c>
      <c r="M1439">
        <v>-5.3</v>
      </c>
      <c r="N1439">
        <v>21.2</v>
      </c>
      <c r="O1439" t="s">
        <v>1608</v>
      </c>
      <c r="P1439" t="s">
        <v>1584</v>
      </c>
      <c r="Q1439">
        <v>2</v>
      </c>
      <c r="R1439">
        <v>0.01</v>
      </c>
      <c r="S1439">
        <v>0.81</v>
      </c>
      <c r="T1439" t="s">
        <v>1584</v>
      </c>
      <c r="U1439" t="s">
        <v>1592</v>
      </c>
      <c r="V1439" t="str" cm="1">
        <f t="array" aca="1" ref="V1439" ca="1">IFERROR(_xlfn.IFS(A1437="  ..............",OFFSET(A1437,2,0),A1436=" X-------------X",OFFSET(A1436,3,0),MATCH("  ..............",A1439:A1448,0)&gt;2,V1438),"-")</f>
        <v xml:space="preserve">  CAMAQ3-RS069  </v>
      </c>
      <c r="W1439">
        <f t="shared" ca="1" si="66"/>
        <v>1.012</v>
      </c>
      <c r="X1439" t="str">
        <f t="shared" ca="1" si="67"/>
        <v xml:space="preserve"> CAM3-2-RS000 </v>
      </c>
      <c r="Y1439" s="1">
        <f t="shared" ca="1" si="68"/>
        <v>0.254</v>
      </c>
    </row>
    <row r="1440" spans="1:25" x14ac:dyDescent="0.25">
      <c r="A1440" t="s">
        <v>1588</v>
      </c>
      <c r="B1440" t="s">
        <v>1587</v>
      </c>
      <c r="C1440">
        <v>83</v>
      </c>
      <c r="D1440">
        <v>100</v>
      </c>
      <c r="E1440">
        <v>100</v>
      </c>
      <c r="F1440" s="1">
        <v>0.254</v>
      </c>
      <c r="G1440" t="s">
        <v>1587</v>
      </c>
      <c r="H1440" t="s">
        <v>1587</v>
      </c>
      <c r="I1440">
        <v>41220</v>
      </c>
      <c r="J1440" t="s">
        <v>2603</v>
      </c>
      <c r="K1440">
        <v>2</v>
      </c>
      <c r="L1440">
        <v>-20.7</v>
      </c>
      <c r="M1440">
        <v>-5.3</v>
      </c>
      <c r="N1440">
        <v>21.1</v>
      </c>
      <c r="O1440" t="s">
        <v>1608</v>
      </c>
      <c r="P1440" t="s">
        <v>1584</v>
      </c>
      <c r="Q1440">
        <v>2</v>
      </c>
      <c r="R1440">
        <v>0.01</v>
      </c>
      <c r="S1440">
        <v>0.8</v>
      </c>
      <c r="T1440" t="s">
        <v>1584</v>
      </c>
      <c r="U1440" t="s">
        <v>1592</v>
      </c>
      <c r="V1440" t="str" cm="1">
        <f t="array" aca="1" ref="V1440" ca="1">IFERROR(_xlfn.IFS(A1438="  ..............",OFFSET(A1438,2,0),A1437=" X-------------X",OFFSET(A1437,3,0),MATCH("  ..............",A1440:A1449,0)&gt;2,V1439),"-")</f>
        <v>-</v>
      </c>
      <c r="W1440" t="str">
        <f t="shared" ca="1" si="66"/>
        <v>-</v>
      </c>
      <c r="X1440" t="str">
        <f t="shared" ca="1" si="67"/>
        <v>-</v>
      </c>
      <c r="Y1440" s="1" t="str">
        <f t="shared" ca="1" si="68"/>
        <v>-</v>
      </c>
    </row>
    <row r="1441" spans="1:25" x14ac:dyDescent="0.25">
      <c r="A1441" t="s">
        <v>1572</v>
      </c>
      <c r="B1441" t="s">
        <v>1574</v>
      </c>
      <c r="C1441" t="s">
        <v>1574</v>
      </c>
      <c r="D1441" t="s">
        <v>1574</v>
      </c>
      <c r="E1441" t="s">
        <v>1574</v>
      </c>
      <c r="F1441" t="s">
        <v>1575</v>
      </c>
      <c r="G1441" t="s">
        <v>1574</v>
      </c>
      <c r="H1441" t="s">
        <v>1574</v>
      </c>
      <c r="I1441" t="s">
        <v>1576</v>
      </c>
      <c r="J1441" t="s">
        <v>1573</v>
      </c>
      <c r="K1441" t="s">
        <v>1577</v>
      </c>
      <c r="L1441" t="s">
        <v>1574</v>
      </c>
      <c r="M1441" t="s">
        <v>1574</v>
      </c>
      <c r="N1441" t="s">
        <v>1574</v>
      </c>
      <c r="O1441" t="s">
        <v>1578</v>
      </c>
      <c r="P1441" t="s">
        <v>1576</v>
      </c>
      <c r="Q1441" t="s">
        <v>1579</v>
      </c>
      <c r="R1441" t="s">
        <v>1580</v>
      </c>
      <c r="S1441" t="s">
        <v>1580</v>
      </c>
      <c r="T1441" t="s">
        <v>1576</v>
      </c>
      <c r="U1441" t="s">
        <v>1576</v>
      </c>
      <c r="V1441" t="str" cm="1">
        <f t="array" aca="1" ref="V1441" ca="1">IFERROR(_xlfn.IFS(A1439="  ..............",OFFSET(A1439,2,0),A1438=" X-------------X",OFFSET(A1438,3,0),MATCH("  ..............",A1441:A1450,0)&gt;2,V1440),"-")</f>
        <v>-</v>
      </c>
      <c r="W1441" t="str">
        <f t="shared" ca="1" si="66"/>
        <v>-</v>
      </c>
      <c r="X1441" t="str">
        <f t="shared" ca="1" si="67"/>
        <v/>
      </c>
      <c r="Y1441" s="1" t="str">
        <f t="shared" ca="1" si="68"/>
        <v/>
      </c>
    </row>
    <row r="1442" spans="1:25" x14ac:dyDescent="0.25">
      <c r="A1442" t="s">
        <v>2604</v>
      </c>
      <c r="B1442">
        <v>1.016</v>
      </c>
      <c r="C1442">
        <v>4.0999999999999996</v>
      </c>
      <c r="D1442">
        <v>0</v>
      </c>
      <c r="E1442">
        <v>26.5</v>
      </c>
      <c r="F1442">
        <v>0</v>
      </c>
      <c r="G1442">
        <v>3.7</v>
      </c>
      <c r="H1442">
        <v>0</v>
      </c>
      <c r="I1442" t="s">
        <v>1581</v>
      </c>
      <c r="J1442" t="s">
        <v>1581</v>
      </c>
      <c r="K1442" t="s">
        <v>1581</v>
      </c>
      <c r="L1442" t="s">
        <v>1581</v>
      </c>
      <c r="M1442" t="s">
        <v>1581</v>
      </c>
      <c r="N1442" t="s">
        <v>1581</v>
      </c>
      <c r="O1442" t="s">
        <v>1581</v>
      </c>
      <c r="P1442" t="s">
        <v>1581</v>
      </c>
      <c r="Q1442" t="s">
        <v>1581</v>
      </c>
      <c r="R1442" t="s">
        <v>1581</v>
      </c>
      <c r="S1442" t="s">
        <v>1581</v>
      </c>
      <c r="T1442" t="s">
        <v>1581</v>
      </c>
      <c r="U1442" t="s">
        <v>1581</v>
      </c>
      <c r="V1442" t="str" cm="1">
        <f t="array" aca="1" ref="V1442" ca="1">IFERROR(_xlfn.IFS(A1440="  ..............",OFFSET(A1440,2,0),A1439=" X-------------X",OFFSET(A1439,3,0),MATCH("  ..............",A1442:A1451,0)&gt;2,V1441),"-")</f>
        <v>-</v>
      </c>
      <c r="W1442" t="str">
        <f t="shared" ca="1" si="66"/>
        <v>-</v>
      </c>
      <c r="X1442" t="str">
        <f t="shared" ca="1" si="67"/>
        <v xml:space="preserve">              </v>
      </c>
      <c r="Y1442" s="1">
        <f t="shared" ca="1" si="68"/>
        <v>0</v>
      </c>
    </row>
    <row r="1443" spans="1:25" x14ac:dyDescent="0.25">
      <c r="A1443" t="s">
        <v>2605</v>
      </c>
      <c r="B1443">
        <v>-52.9</v>
      </c>
      <c r="C1443">
        <v>0</v>
      </c>
      <c r="D1443">
        <v>0</v>
      </c>
      <c r="E1443">
        <v>8.6999999999999993</v>
      </c>
      <c r="F1443">
        <v>0</v>
      </c>
      <c r="G1443">
        <v>0</v>
      </c>
      <c r="H1443">
        <v>0</v>
      </c>
      <c r="I1443" t="s">
        <v>1584</v>
      </c>
      <c r="J1443" t="s">
        <v>1585</v>
      </c>
      <c r="K1443" t="s">
        <v>1586</v>
      </c>
      <c r="L1443" t="s">
        <v>1587</v>
      </c>
      <c r="M1443" t="s">
        <v>1587</v>
      </c>
      <c r="N1443" t="s">
        <v>1586</v>
      </c>
      <c r="O1443" t="s">
        <v>1581</v>
      </c>
      <c r="P1443" t="s">
        <v>1581</v>
      </c>
      <c r="Q1443" t="s">
        <v>1581</v>
      </c>
      <c r="R1443" t="s">
        <v>1581</v>
      </c>
      <c r="S1443" t="s">
        <v>1581</v>
      </c>
      <c r="T1443" t="s">
        <v>1581</v>
      </c>
      <c r="U1443" t="s">
        <v>1581</v>
      </c>
      <c r="V1443" t="str" cm="1">
        <f t="array" aca="1" ref="V1443" ca="1">IFERROR(_xlfn.IFS(A1441="  ..............",OFFSET(A1441,2,0),A1440=" X-------------X",OFFSET(A1440,3,0),MATCH("  ..............",A1443:A1452,0)&gt;2,V1442),"-")</f>
        <v xml:space="preserve">  NPETRO-RS069  </v>
      </c>
      <c r="W1443">
        <f t="shared" ca="1" si="66"/>
        <v>1.016</v>
      </c>
      <c r="X1443" t="str">
        <f t="shared" ca="1" si="67"/>
        <v xml:space="preserve"> NPETR2-RS069 </v>
      </c>
      <c r="Y1443" s="1">
        <f t="shared" ca="1" si="68"/>
        <v>0.255</v>
      </c>
    </row>
    <row r="1444" spans="1:25" x14ac:dyDescent="0.25">
      <c r="A1444" t="s">
        <v>1588</v>
      </c>
      <c r="B1444" t="s">
        <v>1587</v>
      </c>
      <c r="C1444">
        <v>95</v>
      </c>
      <c r="D1444">
        <v>108</v>
      </c>
      <c r="E1444">
        <v>108</v>
      </c>
      <c r="F1444" s="1">
        <v>0.23799999999999999</v>
      </c>
      <c r="G1444" t="s">
        <v>1587</v>
      </c>
      <c r="H1444" t="s">
        <v>1587</v>
      </c>
      <c r="I1444">
        <v>9548</v>
      </c>
      <c r="J1444" t="s">
        <v>2573</v>
      </c>
      <c r="K1444">
        <v>1</v>
      </c>
      <c r="L1444">
        <v>-22.4</v>
      </c>
      <c r="M1444">
        <v>-5</v>
      </c>
      <c r="N1444">
        <v>22.6</v>
      </c>
      <c r="O1444" t="s">
        <v>1594</v>
      </c>
      <c r="P1444" t="s">
        <v>1584</v>
      </c>
      <c r="Q1444" t="s">
        <v>1591</v>
      </c>
      <c r="R1444">
        <v>0.21</v>
      </c>
      <c r="S1444">
        <v>0.55000000000000004</v>
      </c>
      <c r="T1444" t="s">
        <v>1584</v>
      </c>
      <c r="U1444" t="s">
        <v>1592</v>
      </c>
      <c r="V1444" t="str" cm="1">
        <f t="array" aca="1" ref="V1444" ca="1">IFERROR(_xlfn.IFS(A1442="  ..............",OFFSET(A1442,2,0),A1441=" X-------------X",OFFSET(A1441,3,0),MATCH("  ..............",A1444:A1453,0)&gt;2,V1443),"-")</f>
        <v xml:space="preserve">  NPETRO-RS069  </v>
      </c>
      <c r="W1444">
        <f t="shared" ca="1" si="66"/>
        <v>1.016</v>
      </c>
      <c r="X1444" t="str">
        <f t="shared" ca="1" si="67"/>
        <v xml:space="preserve"> FELIZ--RS069 </v>
      </c>
      <c r="Y1444" s="1">
        <f t="shared" ca="1" si="68"/>
        <v>0.51600000000000001</v>
      </c>
    </row>
    <row r="1445" spans="1:25" x14ac:dyDescent="0.25">
      <c r="A1445" t="s">
        <v>1637</v>
      </c>
      <c r="B1445" t="s">
        <v>1638</v>
      </c>
      <c r="C1445">
        <v>30</v>
      </c>
      <c r="D1445">
        <v>43</v>
      </c>
      <c r="E1445">
        <v>43</v>
      </c>
      <c r="F1445" t="s">
        <v>1639</v>
      </c>
      <c r="G1445" t="s">
        <v>1587</v>
      </c>
      <c r="H1445" t="s">
        <v>1587</v>
      </c>
      <c r="I1445">
        <v>9714</v>
      </c>
      <c r="J1445" t="s">
        <v>1679</v>
      </c>
      <c r="K1445">
        <v>1</v>
      </c>
      <c r="L1445">
        <v>0</v>
      </c>
      <c r="M1445">
        <v>0</v>
      </c>
      <c r="N1445">
        <v>0</v>
      </c>
      <c r="O1445" t="s">
        <v>1594</v>
      </c>
      <c r="P1445" t="s">
        <v>1584</v>
      </c>
      <c r="Q1445" t="s">
        <v>1591</v>
      </c>
      <c r="R1445">
        <v>0</v>
      </c>
      <c r="S1445">
        <v>0</v>
      </c>
      <c r="T1445" t="s">
        <v>1584</v>
      </c>
      <c r="U1445" t="s">
        <v>1592</v>
      </c>
      <c r="V1445" t="str" cm="1">
        <f t="array" aca="1" ref="V1445" ca="1">IFERROR(_xlfn.IFS(A1443="  ..............",OFFSET(A1443,2,0),A1442=" X-------------X",OFFSET(A1442,3,0),MATCH("  ..............",A1445:A1454,0)&gt;2,V1444),"-")</f>
        <v>-</v>
      </c>
      <c r="W1445" t="str">
        <f t="shared" ca="1" si="66"/>
        <v>-</v>
      </c>
      <c r="X1445" t="str">
        <f t="shared" ca="1" si="67"/>
        <v>-</v>
      </c>
      <c r="Y1445" s="1" t="str">
        <f t="shared" ca="1" si="68"/>
        <v>-</v>
      </c>
    </row>
    <row r="1446" spans="1:25" x14ac:dyDescent="0.25">
      <c r="A1446" t="s">
        <v>1572</v>
      </c>
      <c r="B1446" t="s">
        <v>1574</v>
      </c>
      <c r="C1446" t="s">
        <v>1574</v>
      </c>
      <c r="D1446" t="s">
        <v>1574</v>
      </c>
      <c r="E1446" t="s">
        <v>1574</v>
      </c>
      <c r="F1446" t="s">
        <v>1575</v>
      </c>
      <c r="G1446" t="s">
        <v>1574</v>
      </c>
      <c r="H1446" t="s">
        <v>1574</v>
      </c>
      <c r="I1446" t="s">
        <v>1576</v>
      </c>
      <c r="J1446" t="s">
        <v>1573</v>
      </c>
      <c r="K1446" t="s">
        <v>1577</v>
      </c>
      <c r="L1446" t="s">
        <v>1574</v>
      </c>
      <c r="M1446" t="s">
        <v>1574</v>
      </c>
      <c r="N1446" t="s">
        <v>1574</v>
      </c>
      <c r="O1446" t="s">
        <v>1578</v>
      </c>
      <c r="P1446" t="s">
        <v>1576</v>
      </c>
      <c r="Q1446" t="s">
        <v>1579</v>
      </c>
      <c r="R1446" t="s">
        <v>1580</v>
      </c>
      <c r="S1446" t="s">
        <v>1580</v>
      </c>
      <c r="T1446" t="s">
        <v>1576</v>
      </c>
      <c r="U1446" t="s">
        <v>1576</v>
      </c>
      <c r="V1446" t="str" cm="1">
        <f t="array" aca="1" ref="V1446" ca="1">IFERROR(_xlfn.IFS(A1444="  ..............",OFFSET(A1444,2,0),A1443=" X-------------X",OFFSET(A1443,3,0),MATCH("  ..............",A1446:A1455,0)&gt;2,V1445),"-")</f>
        <v>-</v>
      </c>
      <c r="W1446" t="str">
        <f t="shared" ca="1" si="66"/>
        <v>-</v>
      </c>
      <c r="X1446" t="str">
        <f t="shared" ca="1" si="67"/>
        <v/>
      </c>
      <c r="Y1446" s="1" t="str">
        <f t="shared" ca="1" si="68"/>
        <v/>
      </c>
    </row>
    <row r="1447" spans="1:25" x14ac:dyDescent="0.25">
      <c r="A1447" t="s">
        <v>2606</v>
      </c>
      <c r="B1447">
        <v>1.016</v>
      </c>
      <c r="C1447">
        <v>13.8</v>
      </c>
      <c r="D1447">
        <v>0</v>
      </c>
      <c r="E1447">
        <v>79.8</v>
      </c>
      <c r="F1447">
        <v>0</v>
      </c>
      <c r="G1447">
        <v>0</v>
      </c>
      <c r="H1447">
        <v>0</v>
      </c>
      <c r="I1447" t="s">
        <v>1581</v>
      </c>
      <c r="J1447" t="s">
        <v>1581</v>
      </c>
      <c r="K1447" t="s">
        <v>1581</v>
      </c>
      <c r="L1447" t="s">
        <v>1581</v>
      </c>
      <c r="M1447" t="s">
        <v>1581</v>
      </c>
      <c r="N1447" t="s">
        <v>1581</v>
      </c>
      <c r="O1447" t="s">
        <v>1581</v>
      </c>
      <c r="P1447" t="s">
        <v>1581</v>
      </c>
      <c r="Q1447" t="s">
        <v>1581</v>
      </c>
      <c r="R1447" t="s">
        <v>1581</v>
      </c>
      <c r="S1447" t="s">
        <v>1581</v>
      </c>
      <c r="T1447" t="s">
        <v>1581</v>
      </c>
      <c r="U1447" t="s">
        <v>1581</v>
      </c>
      <c r="V1447" t="str" cm="1">
        <f t="array" aca="1" ref="V1447" ca="1">IFERROR(_xlfn.IFS(A1445="  ..............",OFFSET(A1445,2,0),A1444=" X-------------X",OFFSET(A1444,3,0),MATCH("  ..............",A1447:A1456,0)&gt;2,V1446),"-")</f>
        <v>-</v>
      </c>
      <c r="W1447" t="str">
        <f t="shared" ca="1" si="66"/>
        <v>-</v>
      </c>
      <c r="X1447" t="str">
        <f t="shared" ca="1" si="67"/>
        <v xml:space="preserve">              </v>
      </c>
      <c r="Y1447" s="1">
        <f t="shared" ca="1" si="68"/>
        <v>0</v>
      </c>
    </row>
    <row r="1448" spans="1:25" x14ac:dyDescent="0.25">
      <c r="A1448" t="s">
        <v>2607</v>
      </c>
      <c r="B1448">
        <v>-52</v>
      </c>
      <c r="C1448">
        <v>0</v>
      </c>
      <c r="D1448">
        <v>0</v>
      </c>
      <c r="E1448">
        <v>32.5</v>
      </c>
      <c r="F1448">
        <v>0</v>
      </c>
      <c r="G1448">
        <v>0</v>
      </c>
      <c r="H1448">
        <v>0</v>
      </c>
      <c r="I1448" t="s">
        <v>1584</v>
      </c>
      <c r="J1448" t="s">
        <v>1585</v>
      </c>
      <c r="K1448" t="s">
        <v>1586</v>
      </c>
      <c r="L1448" t="s">
        <v>1587</v>
      </c>
      <c r="M1448" t="s">
        <v>1587</v>
      </c>
      <c r="N1448" t="s">
        <v>1586</v>
      </c>
      <c r="O1448" t="s">
        <v>1581</v>
      </c>
      <c r="P1448" t="s">
        <v>1581</v>
      </c>
      <c r="Q1448" t="s">
        <v>1581</v>
      </c>
      <c r="R1448" t="s">
        <v>1581</v>
      </c>
      <c r="S1448" t="s">
        <v>1581</v>
      </c>
      <c r="T1448" t="s">
        <v>1581</v>
      </c>
      <c r="U1448" t="s">
        <v>1581</v>
      </c>
      <c r="V1448" t="str" cm="1">
        <f t="array" aca="1" ref="V1448" ca="1">IFERROR(_xlfn.IFS(A1446="  ..............",OFFSET(A1446,2,0),A1445=" X-------------X",OFFSET(A1445,3,0),MATCH("  ..............",A1448:A1457,0)&gt;2,V1447),"-")</f>
        <v xml:space="preserve">  CANDE2-RS069  </v>
      </c>
      <c r="W1448">
        <f t="shared" ca="1" si="66"/>
        <v>1.016</v>
      </c>
      <c r="X1448" t="str">
        <f t="shared" ca="1" si="67"/>
        <v xml:space="preserve"> CNDE-1-RS000 </v>
      </c>
      <c r="Y1448" s="1">
        <f t="shared" ca="1" si="68"/>
        <v>0.435</v>
      </c>
    </row>
    <row r="1449" spans="1:25" x14ac:dyDescent="0.25">
      <c r="A1449" t="s">
        <v>1588</v>
      </c>
      <c r="B1449" t="s">
        <v>1587</v>
      </c>
      <c r="C1449">
        <v>83</v>
      </c>
      <c r="D1449">
        <v>100</v>
      </c>
      <c r="E1449">
        <v>100</v>
      </c>
      <c r="F1449" s="1">
        <v>0.435</v>
      </c>
      <c r="G1449" t="s">
        <v>1587</v>
      </c>
      <c r="H1449" t="s">
        <v>1587</v>
      </c>
      <c r="I1449">
        <v>43847</v>
      </c>
      <c r="J1449" t="s">
        <v>2608</v>
      </c>
      <c r="K1449">
        <v>1</v>
      </c>
      <c r="L1449">
        <v>-32.9</v>
      </c>
      <c r="M1449">
        <v>-16.2</v>
      </c>
      <c r="N1449">
        <v>36.1</v>
      </c>
      <c r="O1449" t="s">
        <v>1608</v>
      </c>
      <c r="P1449" t="s">
        <v>1584</v>
      </c>
      <c r="Q1449">
        <v>2</v>
      </c>
      <c r="R1449">
        <v>0.02</v>
      </c>
      <c r="S1449">
        <v>-0.12</v>
      </c>
      <c r="T1449" t="s">
        <v>1584</v>
      </c>
      <c r="U1449" t="s">
        <v>1592</v>
      </c>
      <c r="V1449" t="str" cm="1">
        <f t="array" aca="1" ref="V1449" ca="1">IFERROR(_xlfn.IFS(A1447="  ..............",OFFSET(A1447,2,0),A1446=" X-------------X",OFFSET(A1446,3,0),MATCH("  ..............",A1449:A1458,0)&gt;2,V1448),"-")</f>
        <v xml:space="preserve">  CANDE2-RS069  </v>
      </c>
      <c r="W1449">
        <f t="shared" ca="1" si="66"/>
        <v>1.016</v>
      </c>
      <c r="X1449" t="str">
        <f t="shared" ca="1" si="67"/>
        <v xml:space="preserve"> CNDE-2-RS000 </v>
      </c>
      <c r="Y1449" s="1">
        <f t="shared" ca="1" si="68"/>
        <v>0.438</v>
      </c>
    </row>
    <row r="1450" spans="1:25" x14ac:dyDescent="0.25">
      <c r="A1450" t="s">
        <v>1588</v>
      </c>
      <c r="B1450" t="s">
        <v>1587</v>
      </c>
      <c r="C1450">
        <v>83</v>
      </c>
      <c r="D1450">
        <v>100</v>
      </c>
      <c r="E1450">
        <v>100</v>
      </c>
      <c r="F1450" s="1">
        <v>0.438</v>
      </c>
      <c r="G1450" t="s">
        <v>1587</v>
      </c>
      <c r="H1450" t="s">
        <v>1587</v>
      </c>
      <c r="I1450">
        <v>43848</v>
      </c>
      <c r="J1450" t="s">
        <v>2609</v>
      </c>
      <c r="K1450">
        <v>2</v>
      </c>
      <c r="L1450">
        <v>-33.1</v>
      </c>
      <c r="M1450">
        <v>-16.3</v>
      </c>
      <c r="N1450">
        <v>36.299999999999997</v>
      </c>
      <c r="O1450" t="s">
        <v>1608</v>
      </c>
      <c r="P1450" t="s">
        <v>1584</v>
      </c>
      <c r="Q1450">
        <v>2</v>
      </c>
      <c r="R1450">
        <v>0.02</v>
      </c>
      <c r="S1450">
        <v>-0.12</v>
      </c>
      <c r="T1450" t="s">
        <v>1584</v>
      </c>
      <c r="U1450" t="s">
        <v>1592</v>
      </c>
      <c r="V1450" t="str" cm="1">
        <f t="array" aca="1" ref="V1450" ca="1">IFERROR(_xlfn.IFS(A1448="  ..............",OFFSET(A1448,2,0),A1447=" X-------------X",OFFSET(A1447,3,0),MATCH("  ..............",A1450:A1459,0)&gt;2,V1449),"-")</f>
        <v>-</v>
      </c>
      <c r="W1450" t="str">
        <f t="shared" ca="1" si="66"/>
        <v>-</v>
      </c>
      <c r="X1450" t="str">
        <f t="shared" ca="1" si="67"/>
        <v>-</v>
      </c>
      <c r="Y1450" s="1" t="str">
        <f t="shared" ca="1" si="68"/>
        <v>-</v>
      </c>
    </row>
    <row r="1451" spans="1:25" x14ac:dyDescent="0.25">
      <c r="A1451" t="s">
        <v>1572</v>
      </c>
      <c r="B1451" t="s">
        <v>1574</v>
      </c>
      <c r="C1451" t="s">
        <v>1574</v>
      </c>
      <c r="D1451" t="s">
        <v>1574</v>
      </c>
      <c r="E1451" t="s">
        <v>1574</v>
      </c>
      <c r="F1451" t="s">
        <v>1575</v>
      </c>
      <c r="G1451" t="s">
        <v>1574</v>
      </c>
      <c r="H1451" t="s">
        <v>1574</v>
      </c>
      <c r="I1451" t="s">
        <v>1576</v>
      </c>
      <c r="J1451" t="s">
        <v>1573</v>
      </c>
      <c r="K1451" t="s">
        <v>1577</v>
      </c>
      <c r="L1451" t="s">
        <v>1574</v>
      </c>
      <c r="M1451" t="s">
        <v>1574</v>
      </c>
      <c r="N1451" t="s">
        <v>1574</v>
      </c>
      <c r="O1451" t="s">
        <v>1578</v>
      </c>
      <c r="P1451" t="s">
        <v>1576</v>
      </c>
      <c r="Q1451" t="s">
        <v>1579</v>
      </c>
      <c r="R1451" t="s">
        <v>1580</v>
      </c>
      <c r="S1451" t="s">
        <v>1580</v>
      </c>
      <c r="T1451" t="s">
        <v>1576</v>
      </c>
      <c r="U1451" t="s">
        <v>1576</v>
      </c>
      <c r="V1451" t="str" cm="1">
        <f t="array" aca="1" ref="V1451" ca="1">IFERROR(_xlfn.IFS(A1449="  ..............",OFFSET(A1449,2,0),A1448=" X-------------X",OFFSET(A1448,3,0),MATCH("  ..............",A1451:A1460,0)&gt;2,V1450),"-")</f>
        <v>-</v>
      </c>
      <c r="W1451" t="str">
        <f t="shared" ca="1" si="66"/>
        <v>-</v>
      </c>
      <c r="X1451" t="str">
        <f t="shared" ca="1" si="67"/>
        <v/>
      </c>
      <c r="Y1451" s="1" t="str">
        <f t="shared" ca="1" si="68"/>
        <v/>
      </c>
    </row>
    <row r="1452" spans="1:25" x14ac:dyDescent="0.25">
      <c r="A1452" t="s">
        <v>2610</v>
      </c>
      <c r="B1452">
        <v>1.05</v>
      </c>
      <c r="C1452">
        <v>2.1</v>
      </c>
      <c r="D1452">
        <v>0</v>
      </c>
      <c r="E1452">
        <v>17.899999999999999</v>
      </c>
      <c r="F1452">
        <v>0</v>
      </c>
      <c r="G1452">
        <v>0</v>
      </c>
      <c r="H1452">
        <v>0</v>
      </c>
      <c r="I1452" t="s">
        <v>1581</v>
      </c>
      <c r="J1452" t="s">
        <v>1581</v>
      </c>
      <c r="K1452" t="s">
        <v>1581</v>
      </c>
      <c r="L1452" t="s">
        <v>1581</v>
      </c>
      <c r="M1452" t="s">
        <v>1581</v>
      </c>
      <c r="N1452" t="s">
        <v>1581</v>
      </c>
      <c r="O1452" t="s">
        <v>1581</v>
      </c>
      <c r="P1452" t="s">
        <v>1581</v>
      </c>
      <c r="Q1452" t="s">
        <v>1581</v>
      </c>
      <c r="R1452" t="s">
        <v>1581</v>
      </c>
      <c r="S1452" t="s">
        <v>1581</v>
      </c>
      <c r="T1452" t="s">
        <v>1581</v>
      </c>
      <c r="U1452" t="s">
        <v>1581</v>
      </c>
      <c r="V1452" t="str" cm="1">
        <f t="array" aca="1" ref="V1452" ca="1">IFERROR(_xlfn.IFS(A1450="  ..............",OFFSET(A1450,2,0),A1449=" X-------------X",OFFSET(A1449,3,0),MATCH("  ..............",A1452:A1461,0)&gt;2,V1451),"-")</f>
        <v>-</v>
      </c>
      <c r="W1452" t="str">
        <f t="shared" ca="1" si="66"/>
        <v>-</v>
      </c>
      <c r="X1452" t="str">
        <f t="shared" ca="1" si="67"/>
        <v xml:space="preserve">              </v>
      </c>
      <c r="Y1452" s="1">
        <f t="shared" ca="1" si="68"/>
        <v>0</v>
      </c>
    </row>
    <row r="1453" spans="1:25" x14ac:dyDescent="0.25">
      <c r="A1453" t="s">
        <v>2611</v>
      </c>
      <c r="B1453">
        <v>-53.3</v>
      </c>
      <c r="C1453">
        <v>0</v>
      </c>
      <c r="D1453">
        <v>0</v>
      </c>
      <c r="E1453">
        <v>6</v>
      </c>
      <c r="F1453">
        <v>0</v>
      </c>
      <c r="G1453">
        <v>0</v>
      </c>
      <c r="H1453">
        <v>0</v>
      </c>
      <c r="I1453" t="s">
        <v>1584</v>
      </c>
      <c r="J1453" t="s">
        <v>1585</v>
      </c>
      <c r="K1453" t="s">
        <v>1586</v>
      </c>
      <c r="L1453" t="s">
        <v>1587</v>
      </c>
      <c r="M1453" t="s">
        <v>1587</v>
      </c>
      <c r="N1453" t="s">
        <v>1586</v>
      </c>
      <c r="O1453" t="s">
        <v>1581</v>
      </c>
      <c r="P1453" t="s">
        <v>1581</v>
      </c>
      <c r="Q1453" t="s">
        <v>1581</v>
      </c>
      <c r="R1453" t="s">
        <v>1581</v>
      </c>
      <c r="S1453" t="s">
        <v>1581</v>
      </c>
      <c r="T1453" t="s">
        <v>1581</v>
      </c>
      <c r="U1453" t="s">
        <v>1581</v>
      </c>
      <c r="V1453" t="str" cm="1">
        <f t="array" aca="1" ref="V1453" ca="1">IFERROR(_xlfn.IFS(A1451="  ..............",OFFSET(A1451,2,0),A1450=" X-------------X",OFFSET(A1450,3,0),MATCH("  ..............",A1453:A1462,0)&gt;2,V1452),"-")</f>
        <v xml:space="preserve">  SCHARB-RS023  </v>
      </c>
      <c r="W1453">
        <f t="shared" ca="1" si="66"/>
        <v>1.05</v>
      </c>
      <c r="X1453" t="str">
        <f t="shared" ca="1" si="67"/>
        <v xml:space="preserve"> SCH--4-RS000 </v>
      </c>
      <c r="Y1453" s="1">
        <f t="shared" ca="1" si="68"/>
        <v>0.215</v>
      </c>
    </row>
    <row r="1454" spans="1:25" x14ac:dyDescent="0.25">
      <c r="A1454" t="s">
        <v>1588</v>
      </c>
      <c r="B1454" t="s">
        <v>1587</v>
      </c>
      <c r="C1454">
        <v>75</v>
      </c>
      <c r="D1454">
        <v>90</v>
      </c>
      <c r="E1454">
        <v>90</v>
      </c>
      <c r="F1454" s="1">
        <v>0.215</v>
      </c>
      <c r="G1454" t="s">
        <v>1587</v>
      </c>
      <c r="H1454" t="s">
        <v>1587</v>
      </c>
      <c r="I1454">
        <v>41364</v>
      </c>
      <c r="J1454" t="s">
        <v>2612</v>
      </c>
      <c r="K1454">
        <v>4</v>
      </c>
      <c r="L1454">
        <v>-15.8</v>
      </c>
      <c r="M1454">
        <v>-6</v>
      </c>
      <c r="N1454">
        <v>16.100000000000001</v>
      </c>
      <c r="O1454" t="s">
        <v>1608</v>
      </c>
      <c r="P1454" t="s">
        <v>1584</v>
      </c>
      <c r="Q1454">
        <v>2</v>
      </c>
      <c r="R1454">
        <v>0</v>
      </c>
      <c r="S1454">
        <v>-0.02</v>
      </c>
      <c r="T1454" t="s">
        <v>1584</v>
      </c>
      <c r="U1454" t="s">
        <v>1592</v>
      </c>
      <c r="V1454" t="str" cm="1">
        <f t="array" aca="1" ref="V1454" ca="1">IFERROR(_xlfn.IFS(A1452="  ..............",OFFSET(A1452,2,0),A1451=" X-------------X",OFFSET(A1451,3,0),MATCH("  ..............",A1454:A1463,0)&gt;2,V1453),"-")</f>
        <v>-</v>
      </c>
      <c r="W1454" t="str">
        <f t="shared" ca="1" si="66"/>
        <v>-</v>
      </c>
      <c r="X1454" t="str">
        <f t="shared" ca="1" si="67"/>
        <v>-</v>
      </c>
      <c r="Y1454" s="1" t="str">
        <f t="shared" ca="1" si="68"/>
        <v>-</v>
      </c>
    </row>
    <row r="1455" spans="1:25" x14ac:dyDescent="0.25">
      <c r="A1455" t="s">
        <v>1572</v>
      </c>
      <c r="B1455" t="s">
        <v>1574</v>
      </c>
      <c r="C1455" t="s">
        <v>1574</v>
      </c>
      <c r="D1455" t="s">
        <v>1574</v>
      </c>
      <c r="E1455" t="s">
        <v>1574</v>
      </c>
      <c r="F1455" t="s">
        <v>1575</v>
      </c>
      <c r="G1455" t="s">
        <v>1574</v>
      </c>
      <c r="H1455" t="s">
        <v>1574</v>
      </c>
      <c r="I1455" t="s">
        <v>1576</v>
      </c>
      <c r="J1455" t="s">
        <v>1573</v>
      </c>
      <c r="K1455" t="s">
        <v>1577</v>
      </c>
      <c r="L1455" t="s">
        <v>1574</v>
      </c>
      <c r="M1455" t="s">
        <v>1574</v>
      </c>
      <c r="N1455" t="s">
        <v>1574</v>
      </c>
      <c r="O1455" t="s">
        <v>1578</v>
      </c>
      <c r="P1455" t="s">
        <v>1576</v>
      </c>
      <c r="Q1455" t="s">
        <v>1579</v>
      </c>
      <c r="R1455" t="s">
        <v>1580</v>
      </c>
      <c r="S1455" t="s">
        <v>1580</v>
      </c>
      <c r="T1455" t="s">
        <v>1576</v>
      </c>
      <c r="U1455" t="s">
        <v>1576</v>
      </c>
      <c r="V1455" t="str" cm="1">
        <f t="array" aca="1" ref="V1455" ca="1">IFERROR(_xlfn.IFS(A1453="  ..............",OFFSET(A1453,2,0),A1452=" X-------------X",OFFSET(A1452,3,0),MATCH("  ..............",A1455:A1464,0)&gt;2,V1454),"-")</f>
        <v>-</v>
      </c>
      <c r="W1455" t="str">
        <f t="shared" ca="1" si="66"/>
        <v>-</v>
      </c>
      <c r="X1455" t="str">
        <f t="shared" ca="1" si="67"/>
        <v/>
      </c>
      <c r="Y1455" s="1" t="str">
        <f t="shared" ca="1" si="68"/>
        <v/>
      </c>
    </row>
    <row r="1456" spans="1:25" x14ac:dyDescent="0.25">
      <c r="A1456" t="s">
        <v>2613</v>
      </c>
      <c r="B1456">
        <v>1.0740000000000001</v>
      </c>
      <c r="C1456">
        <v>1.9</v>
      </c>
      <c r="D1456">
        <v>0</v>
      </c>
      <c r="E1456">
        <v>19.2</v>
      </c>
      <c r="F1456">
        <v>0</v>
      </c>
      <c r="G1456">
        <v>8.3000000000000007</v>
      </c>
      <c r="H1456">
        <v>0</v>
      </c>
      <c r="I1456" t="s">
        <v>1581</v>
      </c>
      <c r="J1456" t="s">
        <v>1581</v>
      </c>
      <c r="K1456" t="s">
        <v>1581</v>
      </c>
      <c r="L1456" t="s">
        <v>1581</v>
      </c>
      <c r="M1456" t="s">
        <v>1581</v>
      </c>
      <c r="N1456" t="s">
        <v>1581</v>
      </c>
      <c r="O1456" t="s">
        <v>1581</v>
      </c>
      <c r="P1456" t="s">
        <v>1581</v>
      </c>
      <c r="Q1456" t="s">
        <v>1581</v>
      </c>
      <c r="R1456" t="s">
        <v>1581</v>
      </c>
      <c r="S1456" t="s">
        <v>1581</v>
      </c>
      <c r="T1456" t="s">
        <v>1581</v>
      </c>
      <c r="U1456" t="s">
        <v>1581</v>
      </c>
      <c r="V1456" t="str" cm="1">
        <f t="array" aca="1" ref="V1456" ca="1">IFERROR(_xlfn.IFS(A1454="  ..............",OFFSET(A1454,2,0),A1453=" X-------------X",OFFSET(A1453,3,0),MATCH("  ..............",A1456:A1465,0)&gt;2,V1455),"-")</f>
        <v>-</v>
      </c>
      <c r="W1456" t="str">
        <f t="shared" ca="1" si="66"/>
        <v>-</v>
      </c>
      <c r="X1456" t="str">
        <f t="shared" ca="1" si="67"/>
        <v xml:space="preserve">              </v>
      </c>
      <c r="Y1456" s="1">
        <f t="shared" ca="1" si="68"/>
        <v>0</v>
      </c>
    </row>
    <row r="1457" spans="1:25" x14ac:dyDescent="0.25">
      <c r="A1457" t="s">
        <v>2614</v>
      </c>
      <c r="B1457">
        <v>-54.6</v>
      </c>
      <c r="C1457">
        <v>0</v>
      </c>
      <c r="D1457">
        <v>0</v>
      </c>
      <c r="E1457">
        <v>3.1</v>
      </c>
      <c r="F1457">
        <v>0</v>
      </c>
      <c r="G1457">
        <v>0</v>
      </c>
      <c r="H1457">
        <v>0</v>
      </c>
      <c r="I1457" t="s">
        <v>1584</v>
      </c>
      <c r="J1457" t="s">
        <v>1585</v>
      </c>
      <c r="K1457" t="s">
        <v>1586</v>
      </c>
      <c r="L1457" t="s">
        <v>1587</v>
      </c>
      <c r="M1457" t="s">
        <v>1587</v>
      </c>
      <c r="N1457" t="s">
        <v>1586</v>
      </c>
      <c r="O1457" t="s">
        <v>1581</v>
      </c>
      <c r="P1457" t="s">
        <v>1581</v>
      </c>
      <c r="Q1457" t="s">
        <v>1581</v>
      </c>
      <c r="R1457" t="s">
        <v>1581</v>
      </c>
      <c r="S1457" t="s">
        <v>1581</v>
      </c>
      <c r="T1457" t="s">
        <v>1581</v>
      </c>
      <c r="U1457" t="s">
        <v>1581</v>
      </c>
      <c r="V1457" t="str" cm="1">
        <f t="array" aca="1" ref="V1457" ca="1">IFERROR(_xlfn.IFS(A1455="  ..............",OFFSET(A1455,2,0),A1454=" X-------------X",OFFSET(A1454,3,0),MATCH("  ..............",A1457:A1466,0)&gt;2,V1456),"-")</f>
        <v xml:space="preserve">  CANO1B-RS023  </v>
      </c>
      <c r="W1457">
        <f t="shared" ca="1" si="66"/>
        <v>1.0740000000000001</v>
      </c>
      <c r="X1457" t="str">
        <f t="shared" ca="1" si="67"/>
        <v xml:space="preserve"> CNA1-2-RS000 </v>
      </c>
      <c r="Y1457" s="1">
        <f t="shared" ca="1" si="68"/>
        <v>0.224</v>
      </c>
    </row>
    <row r="1458" spans="1:25" x14ac:dyDescent="0.25">
      <c r="A1458" t="s">
        <v>1588</v>
      </c>
      <c r="B1458" t="s">
        <v>1587</v>
      </c>
      <c r="C1458">
        <v>75</v>
      </c>
      <c r="D1458">
        <v>90</v>
      </c>
      <c r="E1458">
        <v>90</v>
      </c>
      <c r="F1458" s="1">
        <v>0.224</v>
      </c>
      <c r="G1458" t="s">
        <v>1587</v>
      </c>
      <c r="H1458" t="s">
        <v>1587</v>
      </c>
      <c r="I1458">
        <v>41254</v>
      </c>
      <c r="J1458" t="s">
        <v>2615</v>
      </c>
      <c r="K1458">
        <v>2</v>
      </c>
      <c r="L1458">
        <v>-17.3</v>
      </c>
      <c r="M1458">
        <v>5.2</v>
      </c>
      <c r="N1458">
        <v>16.8</v>
      </c>
      <c r="O1458" t="s">
        <v>1608</v>
      </c>
      <c r="P1458" t="s">
        <v>1584</v>
      </c>
      <c r="Q1458">
        <v>2</v>
      </c>
      <c r="R1458">
        <v>0</v>
      </c>
      <c r="S1458">
        <v>-0.02</v>
      </c>
      <c r="T1458" t="s">
        <v>1584</v>
      </c>
      <c r="U1458" t="s">
        <v>1592</v>
      </c>
      <c r="V1458" t="str" cm="1">
        <f t="array" aca="1" ref="V1458" ca="1">IFERROR(_xlfn.IFS(A1456="  ..............",OFFSET(A1456,2,0),A1455=" X-------------X",OFFSET(A1455,3,0),MATCH("  ..............",A1458:A1467,0)&gt;2,V1457),"-")</f>
        <v>-</v>
      </c>
      <c r="W1458" t="str">
        <f t="shared" ca="1" si="66"/>
        <v>-</v>
      </c>
      <c r="X1458" t="str">
        <f t="shared" ca="1" si="67"/>
        <v>-</v>
      </c>
      <c r="Y1458" s="1" t="str">
        <f t="shared" ca="1" si="68"/>
        <v>-</v>
      </c>
    </row>
    <row r="1459" spans="1:25" x14ac:dyDescent="0.25">
      <c r="A1459" t="s">
        <v>1572</v>
      </c>
      <c r="B1459" t="s">
        <v>1574</v>
      </c>
      <c r="C1459" t="s">
        <v>1574</v>
      </c>
      <c r="D1459" t="s">
        <v>1574</v>
      </c>
      <c r="E1459" t="s">
        <v>1574</v>
      </c>
      <c r="F1459" t="s">
        <v>1575</v>
      </c>
      <c r="G1459" t="s">
        <v>1574</v>
      </c>
      <c r="H1459" t="s">
        <v>1574</v>
      </c>
      <c r="I1459" t="s">
        <v>1576</v>
      </c>
      <c r="J1459" t="s">
        <v>1573</v>
      </c>
      <c r="K1459" t="s">
        <v>1577</v>
      </c>
      <c r="L1459" t="s">
        <v>1574</v>
      </c>
      <c r="M1459" t="s">
        <v>1574</v>
      </c>
      <c r="N1459" t="s">
        <v>1574</v>
      </c>
      <c r="O1459" t="s">
        <v>1578</v>
      </c>
      <c r="P1459" t="s">
        <v>1576</v>
      </c>
      <c r="Q1459" t="s">
        <v>1579</v>
      </c>
      <c r="R1459" t="s">
        <v>1580</v>
      </c>
      <c r="S1459" t="s">
        <v>1580</v>
      </c>
      <c r="T1459" t="s">
        <v>1576</v>
      </c>
      <c r="U1459" t="s">
        <v>1576</v>
      </c>
      <c r="V1459" t="str" cm="1">
        <f t="array" aca="1" ref="V1459" ca="1">IFERROR(_xlfn.IFS(A1457="  ..............",OFFSET(A1457,2,0),A1456=" X-------------X",OFFSET(A1456,3,0),MATCH("  ..............",A1459:A1468,0)&gt;2,V1458),"-")</f>
        <v>-</v>
      </c>
      <c r="W1459" t="str">
        <f t="shared" ca="1" si="66"/>
        <v>-</v>
      </c>
      <c r="X1459" t="str">
        <f t="shared" ca="1" si="67"/>
        <v/>
      </c>
      <c r="Y1459" s="1" t="str">
        <f t="shared" ca="1" si="68"/>
        <v/>
      </c>
    </row>
    <row r="1460" spans="1:25" x14ac:dyDescent="0.25">
      <c r="A1460" t="s">
        <v>2616</v>
      </c>
      <c r="B1460">
        <v>1.0229999999999999</v>
      </c>
      <c r="C1460">
        <v>2.8</v>
      </c>
      <c r="D1460">
        <v>0</v>
      </c>
      <c r="E1460">
        <v>0.3</v>
      </c>
      <c r="F1460">
        <v>0</v>
      </c>
      <c r="G1460">
        <v>0</v>
      </c>
      <c r="H1460">
        <v>0</v>
      </c>
      <c r="I1460" t="s">
        <v>1581</v>
      </c>
      <c r="J1460" t="s">
        <v>1581</v>
      </c>
      <c r="K1460" t="s">
        <v>1581</v>
      </c>
      <c r="L1460" t="s">
        <v>1581</v>
      </c>
      <c r="M1460" t="s">
        <v>1581</v>
      </c>
      <c r="N1460" t="s">
        <v>1581</v>
      </c>
      <c r="O1460" t="s">
        <v>1581</v>
      </c>
      <c r="P1460" t="s">
        <v>1581</v>
      </c>
      <c r="Q1460" t="s">
        <v>1581</v>
      </c>
      <c r="R1460" t="s">
        <v>1581</v>
      </c>
      <c r="S1460" t="s">
        <v>1581</v>
      </c>
      <c r="T1460" t="s">
        <v>1581</v>
      </c>
      <c r="U1460" t="s">
        <v>1581</v>
      </c>
      <c r="V1460" t="str" cm="1">
        <f t="array" aca="1" ref="V1460" ca="1">IFERROR(_xlfn.IFS(A1458="  ..............",OFFSET(A1458,2,0),A1457=" X-------------X",OFFSET(A1457,3,0),MATCH("  ..............",A1460:A1469,0)&gt;2,V1459),"-")</f>
        <v>-</v>
      </c>
      <c r="W1460" t="str">
        <f t="shared" ca="1" si="66"/>
        <v>-</v>
      </c>
      <c r="X1460" t="str">
        <f t="shared" ca="1" si="67"/>
        <v xml:space="preserve">              </v>
      </c>
      <c r="Y1460" s="1">
        <f t="shared" ca="1" si="68"/>
        <v>0</v>
      </c>
    </row>
    <row r="1461" spans="1:25" x14ac:dyDescent="0.25">
      <c r="A1461" t="s">
        <v>2617</v>
      </c>
      <c r="B1461">
        <v>-46.9</v>
      </c>
      <c r="C1461">
        <v>0</v>
      </c>
      <c r="D1461">
        <v>0</v>
      </c>
      <c r="E1461">
        <v>0.3</v>
      </c>
      <c r="F1461">
        <v>0</v>
      </c>
      <c r="G1461">
        <v>0</v>
      </c>
      <c r="H1461">
        <v>0</v>
      </c>
      <c r="I1461" t="s">
        <v>1584</v>
      </c>
      <c r="J1461" t="s">
        <v>1585</v>
      </c>
      <c r="K1461" t="s">
        <v>1586</v>
      </c>
      <c r="L1461" t="s">
        <v>1587</v>
      </c>
      <c r="M1461" t="s">
        <v>1587</v>
      </c>
      <c r="N1461" t="s">
        <v>1586</v>
      </c>
      <c r="O1461" t="s">
        <v>1581</v>
      </c>
      <c r="P1461" t="s">
        <v>1581</v>
      </c>
      <c r="Q1461" t="s">
        <v>1581</v>
      </c>
      <c r="R1461" t="s">
        <v>1581</v>
      </c>
      <c r="S1461" t="s">
        <v>1581</v>
      </c>
      <c r="T1461" t="s">
        <v>1581</v>
      </c>
      <c r="U1461" t="s">
        <v>1581</v>
      </c>
      <c r="V1461" t="str" cm="1">
        <f t="array" aca="1" ref="V1461" ca="1">IFERROR(_xlfn.IFS(A1459="  ..............",OFFSET(A1459,2,0),A1458=" X-------------X",OFFSET(A1458,3,0),MATCH("  ..............",A1461:A1470,0)&gt;2,V1460),"-")</f>
        <v xml:space="preserve">  LAGEGR-RS138  </v>
      </c>
      <c r="W1461">
        <f t="shared" ca="1" si="66"/>
        <v>1.0229999999999999</v>
      </c>
      <c r="X1461" t="str">
        <f t="shared" ca="1" si="67"/>
        <v xml:space="preserve"> VACARI-RS138 </v>
      </c>
      <c r="Y1461" s="1" t="str">
        <f t="shared" ca="1" si="68"/>
        <v xml:space="preserve">             </v>
      </c>
    </row>
    <row r="1462" spans="1:25" x14ac:dyDescent="0.25">
      <c r="A1462" t="s">
        <v>1588</v>
      </c>
      <c r="B1462" t="s">
        <v>1587</v>
      </c>
      <c r="C1462">
        <v>167</v>
      </c>
      <c r="D1462">
        <v>203</v>
      </c>
      <c r="E1462">
        <v>203</v>
      </c>
      <c r="F1462" s="1">
        <v>7.1999999999999995E-2</v>
      </c>
      <c r="G1462" t="s">
        <v>1587</v>
      </c>
      <c r="H1462" t="s">
        <v>1587</v>
      </c>
      <c r="I1462">
        <v>1328</v>
      </c>
      <c r="J1462" t="s">
        <v>2083</v>
      </c>
      <c r="K1462">
        <v>1</v>
      </c>
      <c r="L1462">
        <v>11.5</v>
      </c>
      <c r="M1462">
        <v>4.5</v>
      </c>
      <c r="N1462">
        <v>12.1</v>
      </c>
      <c r="O1462" t="s">
        <v>1594</v>
      </c>
      <c r="P1462" t="s">
        <v>1584</v>
      </c>
      <c r="Q1462" t="s">
        <v>1591</v>
      </c>
      <c r="R1462">
        <v>0.09</v>
      </c>
      <c r="S1462">
        <v>-4.2699999999999996</v>
      </c>
      <c r="T1462" t="s">
        <v>1584</v>
      </c>
      <c r="U1462" t="s">
        <v>1592</v>
      </c>
      <c r="V1462" t="str" cm="1">
        <f t="array" aca="1" ref="V1462" ca="1">IFERROR(_xlfn.IFS(A1460="  ..............",OFFSET(A1460,2,0),A1459=" X-------------X",OFFSET(A1459,3,0),MATCH("  ..............",A1462:A1471,0)&gt;2,V1461),"-")</f>
        <v xml:space="preserve">  LAGEGR-RS138  </v>
      </c>
      <c r="W1462">
        <f t="shared" ca="1" si="66"/>
        <v>1.0229999999999999</v>
      </c>
      <c r="X1462" t="str">
        <f t="shared" ca="1" si="67"/>
        <v xml:space="preserve"> LGR-1--RS000 </v>
      </c>
      <c r="Y1462" s="1">
        <f t="shared" ca="1" si="68"/>
        <v>6.7000000000000004E-2</v>
      </c>
    </row>
    <row r="1463" spans="1:25" x14ac:dyDescent="0.25">
      <c r="A1463" t="s">
        <v>1588</v>
      </c>
      <c r="B1463" t="s">
        <v>1587</v>
      </c>
      <c r="C1463">
        <v>75</v>
      </c>
      <c r="D1463">
        <v>90</v>
      </c>
      <c r="E1463">
        <v>90</v>
      </c>
      <c r="F1463" s="1">
        <v>6.7000000000000004E-2</v>
      </c>
      <c r="G1463" t="s">
        <v>1587</v>
      </c>
      <c r="H1463" t="s">
        <v>1587</v>
      </c>
      <c r="I1463">
        <v>41285</v>
      </c>
      <c r="J1463" t="s">
        <v>2618</v>
      </c>
      <c r="K1463">
        <v>1</v>
      </c>
      <c r="L1463">
        <v>-4.5</v>
      </c>
      <c r="M1463">
        <v>-2.4</v>
      </c>
      <c r="N1463">
        <v>5</v>
      </c>
      <c r="O1463" t="s">
        <v>1608</v>
      </c>
      <c r="P1463" t="s">
        <v>1584</v>
      </c>
      <c r="Q1463">
        <v>2</v>
      </c>
      <c r="R1463">
        <v>0</v>
      </c>
      <c r="S1463">
        <v>0</v>
      </c>
      <c r="T1463" t="s">
        <v>1584</v>
      </c>
      <c r="U1463" t="s">
        <v>1592</v>
      </c>
      <c r="V1463" t="str" cm="1">
        <f t="array" aca="1" ref="V1463" ca="1">IFERROR(_xlfn.IFS(A1461="  ..............",OFFSET(A1461,2,0),A1460=" X-------------X",OFFSET(A1460,3,0),MATCH("  ..............",A1463:A1472,0)&gt;2,V1462),"-")</f>
        <v xml:space="preserve">  LAGEGR-RS138  </v>
      </c>
      <c r="W1463">
        <f t="shared" ca="1" si="66"/>
        <v>1.0229999999999999</v>
      </c>
      <c r="X1463" t="str">
        <f t="shared" ca="1" si="67"/>
        <v xml:space="preserve"> LGR-2--RS000 </v>
      </c>
      <c r="Y1463" s="1">
        <f t="shared" ca="1" si="68"/>
        <v>6.6000000000000003E-2</v>
      </c>
    </row>
    <row r="1464" spans="1:25" x14ac:dyDescent="0.25">
      <c r="A1464" t="s">
        <v>1588</v>
      </c>
      <c r="B1464" t="s">
        <v>1587</v>
      </c>
      <c r="C1464">
        <v>75</v>
      </c>
      <c r="D1464">
        <v>90</v>
      </c>
      <c r="E1464">
        <v>90</v>
      </c>
      <c r="F1464" s="1">
        <v>6.6000000000000003E-2</v>
      </c>
      <c r="G1464" t="s">
        <v>1587</v>
      </c>
      <c r="H1464" t="s">
        <v>1587</v>
      </c>
      <c r="I1464">
        <v>41286</v>
      </c>
      <c r="J1464" t="s">
        <v>2619</v>
      </c>
      <c r="K1464">
        <v>2</v>
      </c>
      <c r="L1464">
        <v>-4.5</v>
      </c>
      <c r="M1464">
        <v>-2.4</v>
      </c>
      <c r="N1464">
        <v>4.9000000000000004</v>
      </c>
      <c r="O1464" t="s">
        <v>1608</v>
      </c>
      <c r="P1464" t="s">
        <v>1584</v>
      </c>
      <c r="Q1464">
        <v>2</v>
      </c>
      <c r="R1464">
        <v>0</v>
      </c>
      <c r="S1464">
        <v>0</v>
      </c>
      <c r="T1464" t="s">
        <v>1584</v>
      </c>
      <c r="U1464" t="s">
        <v>1592</v>
      </c>
      <c r="V1464" t="str" cm="1">
        <f t="array" aca="1" ref="V1464" ca="1">IFERROR(_xlfn.IFS(A1462="  ..............",OFFSET(A1462,2,0),A1461=" X-------------X",OFFSET(A1461,3,0),MATCH("  ..............",A1464:A1473,0)&gt;2,V1463),"-")</f>
        <v>-</v>
      </c>
      <c r="W1464" t="str">
        <f t="shared" ca="1" si="66"/>
        <v>-</v>
      </c>
      <c r="X1464" t="str">
        <f t="shared" ca="1" si="67"/>
        <v>-</v>
      </c>
      <c r="Y1464" s="1" t="str">
        <f t="shared" ca="1" si="68"/>
        <v>-</v>
      </c>
    </row>
    <row r="1465" spans="1:25" x14ac:dyDescent="0.25">
      <c r="A1465" t="s">
        <v>1572</v>
      </c>
      <c r="B1465" t="s">
        <v>1574</v>
      </c>
      <c r="C1465" t="s">
        <v>1574</v>
      </c>
      <c r="D1465" t="s">
        <v>1574</v>
      </c>
      <c r="E1465" t="s">
        <v>1574</v>
      </c>
      <c r="F1465" t="s">
        <v>1575</v>
      </c>
      <c r="G1465" t="s">
        <v>1574</v>
      </c>
      <c r="H1465" t="s">
        <v>1574</v>
      </c>
      <c r="I1465" t="s">
        <v>1576</v>
      </c>
      <c r="J1465" t="s">
        <v>1573</v>
      </c>
      <c r="K1465" t="s">
        <v>1577</v>
      </c>
      <c r="L1465" t="s">
        <v>1574</v>
      </c>
      <c r="M1465" t="s">
        <v>1574</v>
      </c>
      <c r="N1465" t="s">
        <v>1574</v>
      </c>
      <c r="O1465" t="s">
        <v>1578</v>
      </c>
      <c r="P1465" t="s">
        <v>1576</v>
      </c>
      <c r="Q1465" t="s">
        <v>1579</v>
      </c>
      <c r="R1465" t="s">
        <v>1580</v>
      </c>
      <c r="S1465" t="s">
        <v>1580</v>
      </c>
      <c r="T1465" t="s">
        <v>1576</v>
      </c>
      <c r="U1465" t="s">
        <v>1576</v>
      </c>
      <c r="V1465" t="str" cm="1">
        <f t="array" aca="1" ref="V1465" ca="1">IFERROR(_xlfn.IFS(A1463="  ..............",OFFSET(A1463,2,0),A1462=" X-------------X",OFFSET(A1462,3,0),MATCH("  ..............",A1465:A1474,0)&gt;2,V1464),"-")</f>
        <v>-</v>
      </c>
      <c r="W1465" t="str">
        <f t="shared" ca="1" si="66"/>
        <v>-</v>
      </c>
      <c r="X1465" t="str">
        <f t="shared" ca="1" si="67"/>
        <v/>
      </c>
      <c r="Y1465" s="1" t="str">
        <f t="shared" ca="1" si="68"/>
        <v/>
      </c>
    </row>
    <row r="1466" spans="1:25" x14ac:dyDescent="0.25">
      <c r="A1466" t="s">
        <v>2620</v>
      </c>
      <c r="B1466">
        <v>1.006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 t="s">
        <v>1581</v>
      </c>
      <c r="J1466" t="s">
        <v>1581</v>
      </c>
      <c r="K1466" t="s">
        <v>1581</v>
      </c>
      <c r="L1466" t="s">
        <v>1581</v>
      </c>
      <c r="M1466" t="s">
        <v>1581</v>
      </c>
      <c r="N1466" t="s">
        <v>1581</v>
      </c>
      <c r="O1466" t="s">
        <v>1581</v>
      </c>
      <c r="P1466" t="s">
        <v>1581</v>
      </c>
      <c r="Q1466" t="s">
        <v>1581</v>
      </c>
      <c r="R1466" t="s">
        <v>1581</v>
      </c>
      <c r="S1466" t="s">
        <v>1581</v>
      </c>
      <c r="T1466" t="s">
        <v>1581</v>
      </c>
      <c r="U1466" t="s">
        <v>1581</v>
      </c>
      <c r="V1466" t="str" cm="1">
        <f t="array" aca="1" ref="V1466" ca="1">IFERROR(_xlfn.IFS(A1464="  ..............",OFFSET(A1464,2,0),A1463=" X-------------X",OFFSET(A1463,3,0),MATCH("  ..............",A1466:A1475,0)&gt;2,V1465),"-")</f>
        <v>-</v>
      </c>
      <c r="W1466" t="str">
        <f t="shared" ca="1" si="66"/>
        <v>-</v>
      </c>
      <c r="X1466" t="str">
        <f t="shared" ca="1" si="67"/>
        <v xml:space="preserve">              </v>
      </c>
      <c r="Y1466" s="1">
        <f t="shared" ca="1" si="68"/>
        <v>0</v>
      </c>
    </row>
    <row r="1467" spans="1:25" x14ac:dyDescent="0.25">
      <c r="A1467" t="s">
        <v>2621</v>
      </c>
      <c r="B1467">
        <v>-50.5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 t="s">
        <v>1584</v>
      </c>
      <c r="J1467" t="s">
        <v>1585</v>
      </c>
      <c r="K1467" t="s">
        <v>1586</v>
      </c>
      <c r="L1467" t="s">
        <v>1587</v>
      </c>
      <c r="M1467" t="s">
        <v>1587</v>
      </c>
      <c r="N1467" t="s">
        <v>1586</v>
      </c>
      <c r="O1467" t="s">
        <v>1581</v>
      </c>
      <c r="P1467" t="s">
        <v>1581</v>
      </c>
      <c r="Q1467" t="s">
        <v>1581</v>
      </c>
      <c r="R1467" t="s">
        <v>1581</v>
      </c>
      <c r="S1467" t="s">
        <v>1581</v>
      </c>
      <c r="T1467" t="s">
        <v>1581</v>
      </c>
      <c r="U1467" t="s">
        <v>1581</v>
      </c>
      <c r="V1467" t="str" cm="1">
        <f t="array" aca="1" ref="V1467" ca="1">IFERROR(_xlfn.IFS(A1465="  ..............",OFFSET(A1465,2,0),A1464=" X-------------X",OFFSET(A1464,3,0),MATCH("  ..............",A1467:A1476,0)&gt;2,V1466),"-")</f>
        <v xml:space="preserve">  PANAM2-RS069  </v>
      </c>
      <c r="W1467">
        <f t="shared" ca="1" si="66"/>
        <v>1.006</v>
      </c>
      <c r="X1467" t="str">
        <f t="shared" ca="1" si="67"/>
        <v xml:space="preserve"> IJUI2--RS069 </v>
      </c>
      <c r="Y1467" s="1">
        <f t="shared" ca="1" si="68"/>
        <v>0</v>
      </c>
    </row>
    <row r="1468" spans="1:25" x14ac:dyDescent="0.25">
      <c r="A1468" t="s">
        <v>1588</v>
      </c>
      <c r="B1468" t="s">
        <v>1587</v>
      </c>
      <c r="C1468">
        <v>40</v>
      </c>
      <c r="D1468">
        <v>65</v>
      </c>
      <c r="E1468">
        <v>65</v>
      </c>
      <c r="F1468" s="1">
        <v>0.36599999999999999</v>
      </c>
      <c r="G1468" t="s">
        <v>1587</v>
      </c>
      <c r="H1468" t="s">
        <v>1587</v>
      </c>
      <c r="I1468">
        <v>1322</v>
      </c>
      <c r="J1468" t="s">
        <v>2316</v>
      </c>
      <c r="K1468">
        <v>1</v>
      </c>
      <c r="L1468">
        <v>-14.6</v>
      </c>
      <c r="M1468">
        <v>-1.9</v>
      </c>
      <c r="N1468">
        <v>14.6</v>
      </c>
      <c r="O1468" t="s">
        <v>1594</v>
      </c>
      <c r="P1468" t="s">
        <v>1584</v>
      </c>
      <c r="Q1468" t="s">
        <v>1591</v>
      </c>
      <c r="R1468">
        <v>0.34</v>
      </c>
      <c r="S1468">
        <v>0.05</v>
      </c>
      <c r="T1468" t="s">
        <v>1584</v>
      </c>
      <c r="U1468" t="s">
        <v>1592</v>
      </c>
      <c r="V1468" t="str" cm="1">
        <f t="array" aca="1" ref="V1468" ca="1">IFERROR(_xlfn.IFS(A1466="  ..............",OFFSET(A1466,2,0),A1465=" X-------------X",OFFSET(A1465,3,0),MATCH("  ..............",A1468:A1477,0)&gt;2,V1467),"-")</f>
        <v xml:space="preserve">  PANAM2-RS069  </v>
      </c>
      <c r="W1468">
        <f t="shared" ca="1" si="66"/>
        <v>1.006</v>
      </c>
      <c r="X1468" t="str">
        <f t="shared" ca="1" si="67"/>
        <v xml:space="preserve"> PANAM2-RS013 </v>
      </c>
      <c r="Y1468" s="1">
        <f t="shared" ca="1" si="68"/>
        <v>0.58499999999999996</v>
      </c>
    </row>
    <row r="1469" spans="1:25" x14ac:dyDescent="0.25">
      <c r="A1469" t="s">
        <v>1588</v>
      </c>
      <c r="B1469" t="s">
        <v>1587</v>
      </c>
      <c r="C1469">
        <v>25</v>
      </c>
      <c r="D1469">
        <v>25</v>
      </c>
      <c r="E1469">
        <v>25</v>
      </c>
      <c r="F1469" s="1">
        <v>0.58499999999999996</v>
      </c>
      <c r="G1469" t="s">
        <v>1587</v>
      </c>
      <c r="H1469" t="s">
        <v>1587</v>
      </c>
      <c r="I1469">
        <v>9652</v>
      </c>
      <c r="J1469" t="s">
        <v>2622</v>
      </c>
      <c r="K1469">
        <v>1</v>
      </c>
      <c r="L1469">
        <v>14.6</v>
      </c>
      <c r="M1469">
        <v>1.9</v>
      </c>
      <c r="N1469">
        <v>14.6</v>
      </c>
      <c r="O1469" t="s">
        <v>2220</v>
      </c>
      <c r="P1469" t="s">
        <v>1584</v>
      </c>
      <c r="Q1469" t="s">
        <v>1591</v>
      </c>
      <c r="R1469">
        <v>0</v>
      </c>
      <c r="S1469">
        <v>0.56999999999999995</v>
      </c>
      <c r="T1469" t="s">
        <v>1584</v>
      </c>
      <c r="U1469" t="s">
        <v>1592</v>
      </c>
      <c r="V1469" t="str" cm="1">
        <f t="array" aca="1" ref="V1469" ca="1">IFERROR(_xlfn.IFS(A1467="  ..............",OFFSET(A1467,2,0),A1466=" X-------------X",OFFSET(A1466,3,0),MATCH("  ..............",A1469:A1478,0)&gt;2,V1468),"-")</f>
        <v>-</v>
      </c>
      <c r="W1469" t="str">
        <f t="shared" ca="1" si="66"/>
        <v>-</v>
      </c>
      <c r="X1469" t="str">
        <f t="shared" ca="1" si="67"/>
        <v>-</v>
      </c>
      <c r="Y1469" s="1" t="str">
        <f t="shared" ca="1" si="68"/>
        <v>-</v>
      </c>
    </row>
    <row r="1470" spans="1:25" x14ac:dyDescent="0.25">
      <c r="A1470" t="s">
        <v>1572</v>
      </c>
      <c r="B1470" t="s">
        <v>1574</v>
      </c>
      <c r="C1470" t="s">
        <v>1574</v>
      </c>
      <c r="D1470" t="s">
        <v>1574</v>
      </c>
      <c r="E1470" t="s">
        <v>1574</v>
      </c>
      <c r="F1470" t="s">
        <v>1575</v>
      </c>
      <c r="G1470" t="s">
        <v>1574</v>
      </c>
      <c r="H1470" t="s">
        <v>1574</v>
      </c>
      <c r="I1470" t="s">
        <v>1576</v>
      </c>
      <c r="J1470" t="s">
        <v>1573</v>
      </c>
      <c r="K1470" t="s">
        <v>1577</v>
      </c>
      <c r="L1470" t="s">
        <v>1574</v>
      </c>
      <c r="M1470" t="s">
        <v>1574</v>
      </c>
      <c r="N1470" t="s">
        <v>1574</v>
      </c>
      <c r="O1470" t="s">
        <v>1578</v>
      </c>
      <c r="P1470" t="s">
        <v>1576</v>
      </c>
      <c r="Q1470" t="s">
        <v>1579</v>
      </c>
      <c r="R1470" t="s">
        <v>1580</v>
      </c>
      <c r="S1470" t="s">
        <v>1580</v>
      </c>
      <c r="T1470" t="s">
        <v>1576</v>
      </c>
      <c r="U1470" t="s">
        <v>1576</v>
      </c>
      <c r="V1470" t="str" cm="1">
        <f t="array" aca="1" ref="V1470" ca="1">IFERROR(_xlfn.IFS(A1468="  ..............",OFFSET(A1468,2,0),A1467=" X-------------X",OFFSET(A1467,3,0),MATCH("  ..............",A1470:A1479,0)&gt;2,V1469),"-")</f>
        <v>-</v>
      </c>
      <c r="W1470" t="str">
        <f t="shared" ca="1" si="66"/>
        <v>-</v>
      </c>
      <c r="X1470" t="str">
        <f t="shared" ca="1" si="67"/>
        <v/>
      </c>
      <c r="Y1470" s="1" t="str">
        <f t="shared" ca="1" si="68"/>
        <v/>
      </c>
    </row>
    <row r="1471" spans="1:25" x14ac:dyDescent="0.25">
      <c r="A1471" t="s">
        <v>2623</v>
      </c>
      <c r="B1471">
        <v>1.034</v>
      </c>
      <c r="C1471">
        <v>0</v>
      </c>
      <c r="D1471">
        <v>0</v>
      </c>
      <c r="E1471">
        <v>14.6</v>
      </c>
      <c r="F1471">
        <v>0</v>
      </c>
      <c r="G1471">
        <v>0</v>
      </c>
      <c r="H1471">
        <v>0</v>
      </c>
      <c r="I1471" t="s">
        <v>1581</v>
      </c>
      <c r="J1471" t="s">
        <v>1581</v>
      </c>
      <c r="K1471" t="s">
        <v>1581</v>
      </c>
      <c r="L1471" t="s">
        <v>1581</v>
      </c>
      <c r="M1471" t="s">
        <v>1581</v>
      </c>
      <c r="N1471" t="s">
        <v>1581</v>
      </c>
      <c r="O1471" t="s">
        <v>1581</v>
      </c>
      <c r="P1471" t="s">
        <v>1581</v>
      </c>
      <c r="Q1471" t="s">
        <v>1581</v>
      </c>
      <c r="R1471" t="s">
        <v>1581</v>
      </c>
      <c r="S1471" t="s">
        <v>1581</v>
      </c>
      <c r="T1471" t="s">
        <v>1581</v>
      </c>
      <c r="U1471" t="s">
        <v>1581</v>
      </c>
      <c r="V1471" t="str" cm="1">
        <f t="array" aca="1" ref="V1471" ca="1">IFERROR(_xlfn.IFS(A1469="  ..............",OFFSET(A1469,2,0),A1468=" X-------------X",OFFSET(A1468,3,0),MATCH("  ..............",A1471:A1480,0)&gt;2,V1470),"-")</f>
        <v>-</v>
      </c>
      <c r="W1471" t="str">
        <f t="shared" ca="1" si="66"/>
        <v>-</v>
      </c>
      <c r="X1471" t="str">
        <f t="shared" ca="1" si="67"/>
        <v xml:space="preserve">              </v>
      </c>
      <c r="Y1471" s="1">
        <f t="shared" ca="1" si="68"/>
        <v>0</v>
      </c>
    </row>
    <row r="1472" spans="1:25" x14ac:dyDescent="0.25">
      <c r="A1472" t="s">
        <v>2624</v>
      </c>
      <c r="B1472">
        <v>-52.7</v>
      </c>
      <c r="C1472">
        <v>0</v>
      </c>
      <c r="D1472">
        <v>0</v>
      </c>
      <c r="E1472">
        <v>1.3</v>
      </c>
      <c r="F1472">
        <v>0</v>
      </c>
      <c r="G1472">
        <v>0</v>
      </c>
      <c r="H1472">
        <v>0</v>
      </c>
      <c r="I1472" t="s">
        <v>1584</v>
      </c>
      <c r="J1472" t="s">
        <v>1585</v>
      </c>
      <c r="K1472" t="s">
        <v>1586</v>
      </c>
      <c r="L1472" t="s">
        <v>1587</v>
      </c>
      <c r="M1472" t="s">
        <v>1587</v>
      </c>
      <c r="N1472" t="s">
        <v>1586</v>
      </c>
      <c r="O1472" t="s">
        <v>1581</v>
      </c>
      <c r="P1472" t="s">
        <v>1581</v>
      </c>
      <c r="Q1472" t="s">
        <v>1581</v>
      </c>
      <c r="R1472" t="s">
        <v>1581</v>
      </c>
      <c r="S1472" t="s">
        <v>1581</v>
      </c>
      <c r="T1472" t="s">
        <v>1581</v>
      </c>
      <c r="U1472" t="s">
        <v>1581</v>
      </c>
      <c r="V1472" t="str" cm="1">
        <f t="array" aca="1" ref="V1472" ca="1">IFERROR(_xlfn.IFS(A1470="  ..............",OFFSET(A1470,2,0),A1469=" X-------------X",OFFSET(A1469,3,0),MATCH("  ..............",A1472:A1481,0)&gt;2,V1471),"-")</f>
        <v xml:space="preserve">  PANAM2-RS013  </v>
      </c>
      <c r="W1472">
        <f t="shared" ca="1" si="66"/>
        <v>1.034</v>
      </c>
      <c r="X1472" t="str">
        <f t="shared" ca="1" si="67"/>
        <v xml:space="preserve"> PANAM2-RS069 </v>
      </c>
      <c r="Y1472" s="1">
        <f t="shared" ca="1" si="68"/>
        <v>0.36399999999999999</v>
      </c>
    </row>
    <row r="1473" spans="1:25" x14ac:dyDescent="0.25">
      <c r="A1473" t="s">
        <v>1588</v>
      </c>
      <c r="B1473" t="s">
        <v>1587</v>
      </c>
      <c r="C1473">
        <v>25</v>
      </c>
      <c r="D1473">
        <v>25</v>
      </c>
      <c r="E1473">
        <v>25</v>
      </c>
      <c r="F1473" s="1">
        <v>0.56699999999999995</v>
      </c>
      <c r="G1473" t="s">
        <v>1587</v>
      </c>
      <c r="H1473" t="s">
        <v>1587</v>
      </c>
      <c r="I1473">
        <v>9651</v>
      </c>
      <c r="J1473" t="s">
        <v>2073</v>
      </c>
      <c r="K1473">
        <v>1</v>
      </c>
      <c r="L1473">
        <v>-14.6</v>
      </c>
      <c r="M1473">
        <v>-1.3</v>
      </c>
      <c r="N1473">
        <v>14.2</v>
      </c>
      <c r="O1473" t="s">
        <v>1594</v>
      </c>
      <c r="P1473" t="s">
        <v>1584</v>
      </c>
      <c r="Q1473" t="s">
        <v>1591</v>
      </c>
      <c r="R1473">
        <v>0</v>
      </c>
      <c r="S1473">
        <v>0.56999999999999995</v>
      </c>
      <c r="T1473" t="s">
        <v>1584</v>
      </c>
      <c r="U1473" t="s">
        <v>1592</v>
      </c>
      <c r="V1473" t="str" cm="1">
        <f t="array" aca="1" ref="V1473" ca="1">IFERROR(_xlfn.IFS(A1471="  ..............",OFFSET(A1471,2,0),A1470=" X-------------X",OFFSET(A1470,3,0),MATCH("  ..............",A1473:A1482,0)&gt;2,V1472),"-")</f>
        <v>-</v>
      </c>
      <c r="W1473" t="str">
        <f t="shared" ca="1" si="66"/>
        <v>-</v>
      </c>
      <c r="X1473" t="str">
        <f t="shared" ca="1" si="67"/>
        <v>-</v>
      </c>
      <c r="Y1473" s="1" t="str">
        <f t="shared" ca="1" si="68"/>
        <v>-</v>
      </c>
    </row>
    <row r="1474" spans="1:25" x14ac:dyDescent="0.25">
      <c r="A1474" t="s">
        <v>1572</v>
      </c>
      <c r="B1474" t="s">
        <v>1574</v>
      </c>
      <c r="C1474" t="s">
        <v>1574</v>
      </c>
      <c r="D1474" t="s">
        <v>1574</v>
      </c>
      <c r="E1474" t="s">
        <v>1574</v>
      </c>
      <c r="F1474" t="s">
        <v>1575</v>
      </c>
      <c r="G1474" t="s">
        <v>1574</v>
      </c>
      <c r="H1474" t="s">
        <v>1574</v>
      </c>
      <c r="I1474" t="s">
        <v>1576</v>
      </c>
      <c r="J1474" t="s">
        <v>1573</v>
      </c>
      <c r="K1474" t="s">
        <v>1577</v>
      </c>
      <c r="L1474" t="s">
        <v>1574</v>
      </c>
      <c r="M1474" t="s">
        <v>1574</v>
      </c>
      <c r="N1474" t="s">
        <v>1574</v>
      </c>
      <c r="O1474" t="s">
        <v>1578</v>
      </c>
      <c r="P1474" t="s">
        <v>1576</v>
      </c>
      <c r="Q1474" t="s">
        <v>1579</v>
      </c>
      <c r="R1474" t="s">
        <v>1580</v>
      </c>
      <c r="S1474" t="s">
        <v>1580</v>
      </c>
      <c r="T1474" t="s">
        <v>1576</v>
      </c>
      <c r="U1474" t="s">
        <v>1576</v>
      </c>
      <c r="V1474" t="str" cm="1">
        <f t="array" aca="1" ref="V1474" ca="1">IFERROR(_xlfn.IFS(A1472="  ..............",OFFSET(A1472,2,0),A1471=" X-------------X",OFFSET(A1471,3,0),MATCH("  ..............",A1474:A1483,0)&gt;2,V1473),"-")</f>
        <v>-</v>
      </c>
      <c r="W1474" t="str">
        <f t="shared" ca="1" si="66"/>
        <v>-</v>
      </c>
      <c r="X1474" t="str">
        <f t="shared" ca="1" si="67"/>
        <v/>
      </c>
      <c r="Y1474" s="1" t="str">
        <f t="shared" ca="1" si="68"/>
        <v/>
      </c>
    </row>
    <row r="1475" spans="1:25" x14ac:dyDescent="0.25">
      <c r="A1475" t="s">
        <v>2625</v>
      </c>
      <c r="B1475">
        <v>1.0009999999999999</v>
      </c>
      <c r="C1475">
        <v>0</v>
      </c>
      <c r="D1475">
        <v>0</v>
      </c>
      <c r="E1475">
        <v>14.7</v>
      </c>
      <c r="F1475">
        <v>0</v>
      </c>
      <c r="G1475">
        <v>0</v>
      </c>
      <c r="H1475">
        <v>0</v>
      </c>
      <c r="I1475" t="s">
        <v>1581</v>
      </c>
      <c r="J1475" t="s">
        <v>1581</v>
      </c>
      <c r="K1475" t="s">
        <v>1581</v>
      </c>
      <c r="L1475" t="s">
        <v>1581</v>
      </c>
      <c r="M1475" t="s">
        <v>1581</v>
      </c>
      <c r="N1475" t="s">
        <v>1581</v>
      </c>
      <c r="O1475" t="s">
        <v>1581</v>
      </c>
      <c r="P1475" t="s">
        <v>1581</v>
      </c>
      <c r="Q1475" t="s">
        <v>1581</v>
      </c>
      <c r="R1475" t="s">
        <v>1581</v>
      </c>
      <c r="S1475" t="s">
        <v>1581</v>
      </c>
      <c r="T1475" t="s">
        <v>1581</v>
      </c>
      <c r="U1475" t="s">
        <v>1581</v>
      </c>
      <c r="V1475" t="str" cm="1">
        <f t="array" aca="1" ref="V1475" ca="1">IFERROR(_xlfn.IFS(A1473="  ..............",OFFSET(A1473,2,0),A1472=" X-------------X",OFFSET(A1472,3,0),MATCH("  ..............",A1475:A1484,0)&gt;2,V1474),"-")</f>
        <v>-</v>
      </c>
      <c r="W1475" t="str">
        <f t="shared" ca="1" si="66"/>
        <v>-</v>
      </c>
      <c r="X1475" t="str">
        <f t="shared" ca="1" si="67"/>
        <v xml:space="preserve">              </v>
      </c>
      <c r="Y1475" s="1">
        <f t="shared" ca="1" si="68"/>
        <v>0</v>
      </c>
    </row>
    <row r="1476" spans="1:25" x14ac:dyDescent="0.25">
      <c r="A1476" t="s">
        <v>2626</v>
      </c>
      <c r="B1476">
        <v>-58.3</v>
      </c>
      <c r="C1476">
        <v>0</v>
      </c>
      <c r="D1476">
        <v>0</v>
      </c>
      <c r="E1476">
        <v>1.3</v>
      </c>
      <c r="F1476">
        <v>0</v>
      </c>
      <c r="G1476">
        <v>0</v>
      </c>
      <c r="H1476">
        <v>0</v>
      </c>
      <c r="I1476" t="s">
        <v>1584</v>
      </c>
      <c r="J1476" t="s">
        <v>1585</v>
      </c>
      <c r="K1476" t="s">
        <v>1586</v>
      </c>
      <c r="L1476" t="s">
        <v>1587</v>
      </c>
      <c r="M1476" t="s">
        <v>1587</v>
      </c>
      <c r="N1476" t="s">
        <v>1586</v>
      </c>
      <c r="O1476" t="s">
        <v>1581</v>
      </c>
      <c r="P1476" t="s">
        <v>1581</v>
      </c>
      <c r="Q1476" t="s">
        <v>1581</v>
      </c>
      <c r="R1476" t="s">
        <v>1581</v>
      </c>
      <c r="S1476" t="s">
        <v>1581</v>
      </c>
      <c r="T1476" t="s">
        <v>1581</v>
      </c>
      <c r="U1476" t="s">
        <v>1581</v>
      </c>
      <c r="V1476" t="str" cm="1">
        <f t="array" aca="1" ref="V1476" ca="1">IFERROR(_xlfn.IFS(A1474="  ..............",OFFSET(A1474,2,0),A1473=" X-------------X",OFFSET(A1473,3,0),MATCH("  ..............",A1476:A1485,0)&gt;2,V1475),"-")</f>
        <v xml:space="preserve">  HIDPA1-RS013  </v>
      </c>
      <c r="W1476">
        <f t="shared" ref="W1476:W1539" ca="1" si="69">IFERROR(OFFSET($A$1,MATCH(V1476,A:A,0)-2,1),"-")</f>
        <v>1.0009999999999999</v>
      </c>
      <c r="X1476" t="str">
        <f t="shared" ref="X1476:X1539" ca="1" si="70">IFERROR(IF(V1476=V1475,OFFSET($J$1,ROW(X1476),0),OFFSET($J$1,MATCH(V1476,A:A,0),0)),"-")</f>
        <v xml:space="preserve"> PANAMB-RS013 </v>
      </c>
      <c r="Y1476" s="1">
        <f t="shared" ref="Y1476:Y1539" ca="1" si="71">IFERROR(OFFSET($F$1,MATCH(X1476,J:J,0)-1,0),"-")</f>
        <v>0.79300000000000004</v>
      </c>
    </row>
    <row r="1477" spans="1:25" x14ac:dyDescent="0.25">
      <c r="A1477" t="s">
        <v>1588</v>
      </c>
      <c r="B1477" t="s">
        <v>1587</v>
      </c>
      <c r="C1477">
        <v>9999</v>
      </c>
      <c r="D1477">
        <v>9999</v>
      </c>
      <c r="E1477">
        <v>9999</v>
      </c>
      <c r="F1477" s="1">
        <v>0</v>
      </c>
      <c r="G1477" t="s">
        <v>1587</v>
      </c>
      <c r="H1477" t="s">
        <v>1587</v>
      </c>
      <c r="I1477">
        <v>1333</v>
      </c>
      <c r="J1477" t="s">
        <v>2034</v>
      </c>
      <c r="K1477">
        <v>1</v>
      </c>
      <c r="L1477">
        <v>-14.7</v>
      </c>
      <c r="M1477">
        <v>-1.3</v>
      </c>
      <c r="N1477">
        <v>14.7</v>
      </c>
      <c r="O1477" t="s">
        <v>1594</v>
      </c>
      <c r="P1477" t="s">
        <v>1584</v>
      </c>
      <c r="Q1477" t="s">
        <v>1591</v>
      </c>
      <c r="R1477">
        <v>0</v>
      </c>
      <c r="S1477">
        <v>-0.01</v>
      </c>
      <c r="T1477" t="s">
        <v>1584</v>
      </c>
      <c r="U1477" t="s">
        <v>1592</v>
      </c>
      <c r="V1477" t="str" cm="1">
        <f t="array" aca="1" ref="V1477" ca="1">IFERROR(_xlfn.IFS(A1475="  ..............",OFFSET(A1475,2,0),A1474=" X-------------X",OFFSET(A1474,3,0),MATCH("  ..............",A1477:A1486,0)&gt;2,V1476),"-")</f>
        <v>-</v>
      </c>
      <c r="W1477" t="str">
        <f t="shared" ca="1" si="69"/>
        <v>-</v>
      </c>
      <c r="X1477" t="str">
        <f t="shared" ca="1" si="70"/>
        <v>-</v>
      </c>
      <c r="Y1477" s="1" t="str">
        <f t="shared" ca="1" si="71"/>
        <v>-</v>
      </c>
    </row>
    <row r="1478" spans="1:25" x14ac:dyDescent="0.25">
      <c r="A1478" t="s">
        <v>1572</v>
      </c>
      <c r="B1478" t="s">
        <v>1574</v>
      </c>
      <c r="C1478" t="s">
        <v>1574</v>
      </c>
      <c r="D1478" t="s">
        <v>1574</v>
      </c>
      <c r="E1478" t="s">
        <v>1574</v>
      </c>
      <c r="F1478" t="s">
        <v>1575</v>
      </c>
      <c r="G1478" t="s">
        <v>1574</v>
      </c>
      <c r="H1478" t="s">
        <v>1574</v>
      </c>
      <c r="I1478" t="s">
        <v>1576</v>
      </c>
      <c r="J1478" t="s">
        <v>1573</v>
      </c>
      <c r="K1478" t="s">
        <v>1577</v>
      </c>
      <c r="L1478" t="s">
        <v>1574</v>
      </c>
      <c r="M1478" t="s">
        <v>1574</v>
      </c>
      <c r="N1478" t="s">
        <v>1574</v>
      </c>
      <c r="O1478" t="s">
        <v>1578</v>
      </c>
      <c r="P1478" t="s">
        <v>1576</v>
      </c>
      <c r="Q1478" t="s">
        <v>1579</v>
      </c>
      <c r="R1478" t="s">
        <v>1580</v>
      </c>
      <c r="S1478" t="s">
        <v>1580</v>
      </c>
      <c r="T1478" t="s">
        <v>1576</v>
      </c>
      <c r="U1478" t="s">
        <v>1576</v>
      </c>
      <c r="V1478" t="str" cm="1">
        <f t="array" aca="1" ref="V1478" ca="1">IFERROR(_xlfn.IFS(A1476="  ..............",OFFSET(A1476,2,0),A1475=" X-------------X",OFFSET(A1475,3,0),MATCH("  ..............",A1478:A1487,0)&gt;2,V1477),"-")</f>
        <v>-</v>
      </c>
      <c r="W1478" t="str">
        <f t="shared" ca="1" si="69"/>
        <v>-</v>
      </c>
      <c r="X1478" t="str">
        <f t="shared" ca="1" si="70"/>
        <v/>
      </c>
      <c r="Y1478" s="1" t="str">
        <f t="shared" ca="1" si="71"/>
        <v/>
      </c>
    </row>
    <row r="1479" spans="1:25" x14ac:dyDescent="0.25">
      <c r="A1479" t="s">
        <v>2627</v>
      </c>
      <c r="B1479">
        <v>1.0009999999999999</v>
      </c>
      <c r="C1479">
        <v>1.8</v>
      </c>
      <c r="D1479">
        <v>0</v>
      </c>
      <c r="E1479">
        <v>6.2</v>
      </c>
      <c r="F1479">
        <v>0</v>
      </c>
      <c r="G1479">
        <v>0</v>
      </c>
      <c r="H1479">
        <v>0</v>
      </c>
      <c r="I1479" t="s">
        <v>1581</v>
      </c>
      <c r="J1479" t="s">
        <v>1581</v>
      </c>
      <c r="K1479" t="s">
        <v>1581</v>
      </c>
      <c r="L1479" t="s">
        <v>1581</v>
      </c>
      <c r="M1479" t="s">
        <v>1581</v>
      </c>
      <c r="N1479" t="s">
        <v>1581</v>
      </c>
      <c r="O1479" t="s">
        <v>1581</v>
      </c>
      <c r="P1479" t="s">
        <v>1581</v>
      </c>
      <c r="Q1479" t="s">
        <v>1581</v>
      </c>
      <c r="R1479" t="s">
        <v>1581</v>
      </c>
      <c r="S1479" t="s">
        <v>1581</v>
      </c>
      <c r="T1479" t="s">
        <v>1581</v>
      </c>
      <c r="U1479" t="s">
        <v>1581</v>
      </c>
      <c r="V1479" t="str" cm="1">
        <f t="array" aca="1" ref="V1479" ca="1">IFERROR(_xlfn.IFS(A1477="  ..............",OFFSET(A1477,2,0),A1476=" X-------------X",OFFSET(A1476,3,0),MATCH("  ..............",A1479:A1488,0)&gt;2,V1478),"-")</f>
        <v>-</v>
      </c>
      <c r="W1479" t="str">
        <f t="shared" ca="1" si="69"/>
        <v>-</v>
      </c>
      <c r="X1479" t="str">
        <f t="shared" ca="1" si="70"/>
        <v xml:space="preserve">              </v>
      </c>
      <c r="Y1479" s="1">
        <f t="shared" ca="1" si="71"/>
        <v>0</v>
      </c>
    </row>
    <row r="1480" spans="1:25" x14ac:dyDescent="0.25">
      <c r="A1480" t="s">
        <v>2628</v>
      </c>
      <c r="B1480">
        <v>-58.3</v>
      </c>
      <c r="C1480">
        <v>0</v>
      </c>
      <c r="D1480">
        <v>0</v>
      </c>
      <c r="E1480">
        <v>1.7</v>
      </c>
      <c r="F1480">
        <v>0</v>
      </c>
      <c r="G1480">
        <v>0</v>
      </c>
      <c r="H1480">
        <v>0</v>
      </c>
      <c r="I1480" t="s">
        <v>1584</v>
      </c>
      <c r="J1480" t="s">
        <v>1585</v>
      </c>
      <c r="K1480" t="s">
        <v>1586</v>
      </c>
      <c r="L1480" t="s">
        <v>1587</v>
      </c>
      <c r="M1480" t="s">
        <v>1587</v>
      </c>
      <c r="N1480" t="s">
        <v>1586</v>
      </c>
      <c r="O1480" t="s">
        <v>1581</v>
      </c>
      <c r="P1480" t="s">
        <v>1581</v>
      </c>
      <c r="Q1480" t="s">
        <v>1581</v>
      </c>
      <c r="R1480" t="s">
        <v>1581</v>
      </c>
      <c r="S1480" t="s">
        <v>1581</v>
      </c>
      <c r="T1480" t="s">
        <v>1581</v>
      </c>
      <c r="U1480" t="s">
        <v>1581</v>
      </c>
      <c r="V1480" t="str" cm="1">
        <f t="array" aca="1" ref="V1480" ca="1">IFERROR(_xlfn.IFS(A1478="  ..............",OFFSET(A1478,2,0),A1477=" X-------------X",OFFSET(A1477,3,0),MATCH("  ..............",A1480:A1489,0)&gt;2,V1479),"-")</f>
        <v xml:space="preserve">  COPRE1-RS013  </v>
      </c>
      <c r="W1480">
        <f t="shared" ca="1" si="69"/>
        <v>1.0009999999999999</v>
      </c>
      <c r="X1480" t="str">
        <f t="shared" ca="1" si="70"/>
        <v xml:space="preserve"> PANAMB-RS013 </v>
      </c>
      <c r="Y1480" s="1">
        <f t="shared" ca="1" si="71"/>
        <v>0.79300000000000004</v>
      </c>
    </row>
    <row r="1481" spans="1:25" x14ac:dyDescent="0.25">
      <c r="A1481" t="s">
        <v>1588</v>
      </c>
      <c r="B1481" t="s">
        <v>1587</v>
      </c>
      <c r="C1481">
        <v>9999</v>
      </c>
      <c r="D1481">
        <v>9999</v>
      </c>
      <c r="E1481">
        <v>9999</v>
      </c>
      <c r="F1481" s="1">
        <v>0</v>
      </c>
      <c r="G1481" t="s">
        <v>1587</v>
      </c>
      <c r="H1481" t="s">
        <v>1587</v>
      </c>
      <c r="I1481">
        <v>1333</v>
      </c>
      <c r="J1481" t="s">
        <v>2034</v>
      </c>
      <c r="K1481">
        <v>1</v>
      </c>
      <c r="L1481">
        <v>-4.4000000000000004</v>
      </c>
      <c r="M1481">
        <v>-1.7</v>
      </c>
      <c r="N1481">
        <v>4.7</v>
      </c>
      <c r="O1481" t="s">
        <v>1594</v>
      </c>
      <c r="P1481" t="s">
        <v>1584</v>
      </c>
      <c r="Q1481" t="s">
        <v>1591</v>
      </c>
      <c r="R1481">
        <v>0</v>
      </c>
      <c r="S1481">
        <v>-0.01</v>
      </c>
      <c r="T1481" t="s">
        <v>1584</v>
      </c>
      <c r="U1481" t="s">
        <v>1592</v>
      </c>
      <c r="V1481" t="str" cm="1">
        <f t="array" aca="1" ref="V1481" ca="1">IFERROR(_xlfn.IFS(A1479="  ..............",OFFSET(A1479,2,0),A1478=" X-------------X",OFFSET(A1478,3,0),MATCH("  ..............",A1481:A1490,0)&gt;2,V1480),"-")</f>
        <v>-</v>
      </c>
      <c r="W1481" t="str">
        <f t="shared" ca="1" si="69"/>
        <v>-</v>
      </c>
      <c r="X1481" t="str">
        <f t="shared" ca="1" si="70"/>
        <v>-</v>
      </c>
      <c r="Y1481" s="1" t="str">
        <f t="shared" ca="1" si="71"/>
        <v>-</v>
      </c>
    </row>
    <row r="1482" spans="1:25" x14ac:dyDescent="0.25">
      <c r="A1482" t="s">
        <v>1572</v>
      </c>
      <c r="B1482" t="s">
        <v>1574</v>
      </c>
      <c r="C1482" t="s">
        <v>1574</v>
      </c>
      <c r="D1482" t="s">
        <v>1574</v>
      </c>
      <c r="E1482" t="s">
        <v>1574</v>
      </c>
      <c r="F1482" t="s">
        <v>1575</v>
      </c>
      <c r="G1482" t="s">
        <v>1574</v>
      </c>
      <c r="H1482" t="s">
        <v>1574</v>
      </c>
      <c r="I1482" t="s">
        <v>1576</v>
      </c>
      <c r="J1482" t="s">
        <v>1573</v>
      </c>
      <c r="K1482" t="s">
        <v>1577</v>
      </c>
      <c r="L1482" t="s">
        <v>1574</v>
      </c>
      <c r="M1482" t="s">
        <v>1574</v>
      </c>
      <c r="N1482" t="s">
        <v>1574</v>
      </c>
      <c r="O1482" t="s">
        <v>1578</v>
      </c>
      <c r="P1482" t="s">
        <v>1576</v>
      </c>
      <c r="Q1482" t="s">
        <v>1579</v>
      </c>
      <c r="R1482" t="s">
        <v>1580</v>
      </c>
      <c r="S1482" t="s">
        <v>1580</v>
      </c>
      <c r="T1482" t="s">
        <v>1576</v>
      </c>
      <c r="U1482" t="s">
        <v>1576</v>
      </c>
      <c r="V1482" t="str" cm="1">
        <f t="array" aca="1" ref="V1482" ca="1">IFERROR(_xlfn.IFS(A1480="  ..............",OFFSET(A1480,2,0),A1479=" X-------------X",OFFSET(A1479,3,0),MATCH("  ..............",A1482:A1491,0)&gt;2,V1481),"-")</f>
        <v>-</v>
      </c>
      <c r="W1482" t="str">
        <f t="shared" ca="1" si="69"/>
        <v>-</v>
      </c>
      <c r="X1482" t="str">
        <f t="shared" ca="1" si="70"/>
        <v/>
      </c>
      <c r="Y1482" s="1" t="str">
        <f t="shared" ca="1" si="71"/>
        <v/>
      </c>
    </row>
    <row r="1483" spans="1:25" x14ac:dyDescent="0.25">
      <c r="A1483" t="s">
        <v>2629</v>
      </c>
      <c r="B1483">
        <v>1.0209999999999999</v>
      </c>
      <c r="C1483">
        <v>0</v>
      </c>
      <c r="D1483">
        <v>0</v>
      </c>
      <c r="E1483">
        <v>5.6</v>
      </c>
      <c r="F1483">
        <v>0</v>
      </c>
      <c r="G1483">
        <v>0</v>
      </c>
      <c r="H1483">
        <v>0</v>
      </c>
      <c r="I1483" t="s">
        <v>1581</v>
      </c>
      <c r="J1483" t="s">
        <v>1581</v>
      </c>
      <c r="K1483" t="s">
        <v>1581</v>
      </c>
      <c r="L1483" t="s">
        <v>1581</v>
      </c>
      <c r="M1483" t="s">
        <v>1581</v>
      </c>
      <c r="N1483" t="s">
        <v>1581</v>
      </c>
      <c r="O1483" t="s">
        <v>1581</v>
      </c>
      <c r="P1483" t="s">
        <v>1581</v>
      </c>
      <c r="Q1483" t="s">
        <v>1581</v>
      </c>
      <c r="R1483" t="s">
        <v>1581</v>
      </c>
      <c r="S1483" t="s">
        <v>1581</v>
      </c>
      <c r="T1483" t="s">
        <v>1581</v>
      </c>
      <c r="U1483" t="s">
        <v>1581</v>
      </c>
      <c r="V1483" t="str" cm="1">
        <f t="array" aca="1" ref="V1483" ca="1">IFERROR(_xlfn.IFS(A1481="  ..............",OFFSET(A1481,2,0),A1480=" X-------------X",OFFSET(A1480,3,0),MATCH("  ..............",A1483:A1492,0)&gt;2,V1482),"-")</f>
        <v>-</v>
      </c>
      <c r="W1483" t="str">
        <f t="shared" ca="1" si="69"/>
        <v>-</v>
      </c>
      <c r="X1483" t="str">
        <f t="shared" ca="1" si="70"/>
        <v xml:space="preserve">              </v>
      </c>
      <c r="Y1483" s="1">
        <f t="shared" ca="1" si="71"/>
        <v>0</v>
      </c>
    </row>
    <row r="1484" spans="1:25" x14ac:dyDescent="0.25">
      <c r="A1484" t="s">
        <v>2630</v>
      </c>
      <c r="B1484">
        <v>-51.4</v>
      </c>
      <c r="C1484">
        <v>0</v>
      </c>
      <c r="D1484">
        <v>0</v>
      </c>
      <c r="E1484">
        <v>2.1</v>
      </c>
      <c r="F1484">
        <v>0</v>
      </c>
      <c r="G1484">
        <v>0</v>
      </c>
      <c r="H1484">
        <v>0</v>
      </c>
      <c r="I1484" t="s">
        <v>1584</v>
      </c>
      <c r="J1484" t="s">
        <v>1585</v>
      </c>
      <c r="K1484" t="s">
        <v>1586</v>
      </c>
      <c r="L1484" t="s">
        <v>1587</v>
      </c>
      <c r="M1484" t="s">
        <v>1587</v>
      </c>
      <c r="N1484" t="s">
        <v>1586</v>
      </c>
      <c r="O1484" t="s">
        <v>1581</v>
      </c>
      <c r="P1484" t="s">
        <v>1581</v>
      </c>
      <c r="Q1484" t="s">
        <v>1581</v>
      </c>
      <c r="R1484" t="s">
        <v>1581</v>
      </c>
      <c r="S1484" t="s">
        <v>1581</v>
      </c>
      <c r="T1484" t="s">
        <v>1581</v>
      </c>
      <c r="U1484" t="s">
        <v>1581</v>
      </c>
      <c r="V1484" t="str" cm="1">
        <f t="array" aca="1" ref="V1484" ca="1">IFERROR(_xlfn.IFS(A1482="  ..............",OFFSET(A1482,2,0),A1481=" X-------------X",OFFSET(A1481,3,0),MATCH("  ..............",A1484:A1493,0)&gt;2,V1483),"-")</f>
        <v xml:space="preserve">  COPRE2-RS023  </v>
      </c>
      <c r="W1484">
        <f t="shared" ca="1" si="69"/>
        <v>1.0209999999999999</v>
      </c>
      <c r="X1484" t="str">
        <f t="shared" ca="1" si="70"/>
        <v xml:space="preserve"> CAL1-A-RS023 </v>
      </c>
      <c r="Y1484" s="1">
        <f t="shared" ca="1" si="71"/>
        <v>0.45200000000000001</v>
      </c>
    </row>
    <row r="1485" spans="1:25" x14ac:dyDescent="0.25">
      <c r="A1485" t="s">
        <v>1588</v>
      </c>
      <c r="B1485" t="s">
        <v>1587</v>
      </c>
      <c r="C1485">
        <v>9999</v>
      </c>
      <c r="D1485">
        <v>9999</v>
      </c>
      <c r="E1485">
        <v>9999</v>
      </c>
      <c r="F1485" s="1">
        <v>0</v>
      </c>
      <c r="G1485" t="s">
        <v>1587</v>
      </c>
      <c r="H1485" t="s">
        <v>1587</v>
      </c>
      <c r="I1485">
        <v>9675</v>
      </c>
      <c r="J1485" t="s">
        <v>2208</v>
      </c>
      <c r="K1485">
        <v>1</v>
      </c>
      <c r="L1485">
        <v>-5.6</v>
      </c>
      <c r="M1485">
        <v>-2.1</v>
      </c>
      <c r="N1485">
        <v>5.9</v>
      </c>
      <c r="O1485" t="s">
        <v>1594</v>
      </c>
      <c r="P1485" t="s">
        <v>1584</v>
      </c>
      <c r="Q1485" t="s">
        <v>1591</v>
      </c>
      <c r="R1485">
        <v>0</v>
      </c>
      <c r="S1485">
        <v>-0.01</v>
      </c>
      <c r="T1485" t="s">
        <v>1584</v>
      </c>
      <c r="U1485" t="s">
        <v>1592</v>
      </c>
      <c r="V1485" t="str" cm="1">
        <f t="array" aca="1" ref="V1485" ca="1">IFERROR(_xlfn.IFS(A1483="  ..............",OFFSET(A1483,2,0),A1482=" X-------------X",OFFSET(A1482,3,0),MATCH("  ..............",A1485:A1494,0)&gt;2,V1484),"-")</f>
        <v>-</v>
      </c>
      <c r="W1485" t="str">
        <f t="shared" ca="1" si="69"/>
        <v>-</v>
      </c>
      <c r="X1485" t="str">
        <f t="shared" ca="1" si="70"/>
        <v>-</v>
      </c>
      <c r="Y1485" s="1" t="str">
        <f t="shared" ca="1" si="71"/>
        <v>-</v>
      </c>
    </row>
    <row r="1486" spans="1:25" x14ac:dyDescent="0.25">
      <c r="A1486" t="s">
        <v>1572</v>
      </c>
      <c r="B1486" t="s">
        <v>1574</v>
      </c>
      <c r="C1486" t="s">
        <v>1574</v>
      </c>
      <c r="D1486" t="s">
        <v>1574</v>
      </c>
      <c r="E1486" t="s">
        <v>1574</v>
      </c>
      <c r="F1486" t="s">
        <v>1575</v>
      </c>
      <c r="G1486" t="s">
        <v>1574</v>
      </c>
      <c r="H1486" t="s">
        <v>1574</v>
      </c>
      <c r="I1486" t="s">
        <v>1576</v>
      </c>
      <c r="J1486" t="s">
        <v>1573</v>
      </c>
      <c r="K1486" t="s">
        <v>1577</v>
      </c>
      <c r="L1486" t="s">
        <v>1574</v>
      </c>
      <c r="M1486" t="s">
        <v>1574</v>
      </c>
      <c r="N1486" t="s">
        <v>1574</v>
      </c>
      <c r="O1486" t="s">
        <v>1578</v>
      </c>
      <c r="P1486" t="s">
        <v>1576</v>
      </c>
      <c r="Q1486" t="s">
        <v>1579</v>
      </c>
      <c r="R1486" t="s">
        <v>1580</v>
      </c>
      <c r="S1486" t="s">
        <v>1580</v>
      </c>
      <c r="T1486" t="s">
        <v>1576</v>
      </c>
      <c r="U1486" t="s">
        <v>1576</v>
      </c>
      <c r="V1486" t="str" cm="1">
        <f t="array" aca="1" ref="V1486" ca="1">IFERROR(_xlfn.IFS(A1484="  ..............",OFFSET(A1484,2,0),A1483=" X-------------X",OFFSET(A1483,3,0),MATCH("  ..............",A1486:A1495,0)&gt;2,V1485),"-")</f>
        <v>-</v>
      </c>
      <c r="W1486" t="str">
        <f t="shared" ca="1" si="69"/>
        <v>-</v>
      </c>
      <c r="X1486" t="str">
        <f t="shared" ca="1" si="70"/>
        <v/>
      </c>
      <c r="Y1486" s="1" t="str">
        <f t="shared" ca="1" si="71"/>
        <v/>
      </c>
    </row>
    <row r="1487" spans="1:25" x14ac:dyDescent="0.25">
      <c r="A1487" t="s">
        <v>2631</v>
      </c>
      <c r="B1487">
        <v>1.0620000000000001</v>
      </c>
      <c r="C1487">
        <v>2</v>
      </c>
      <c r="D1487">
        <v>0</v>
      </c>
      <c r="E1487">
        <v>25.9</v>
      </c>
      <c r="F1487">
        <v>0</v>
      </c>
      <c r="G1487">
        <v>0</v>
      </c>
      <c r="H1487">
        <v>0</v>
      </c>
      <c r="I1487" t="s">
        <v>1581</v>
      </c>
      <c r="J1487" t="s">
        <v>1581</v>
      </c>
      <c r="K1487" t="s">
        <v>1581</v>
      </c>
      <c r="L1487" t="s">
        <v>1581</v>
      </c>
      <c r="M1487" t="s">
        <v>1581</v>
      </c>
      <c r="N1487" t="s">
        <v>1581</v>
      </c>
      <c r="O1487" t="s">
        <v>1581</v>
      </c>
      <c r="P1487" t="s">
        <v>1581</v>
      </c>
      <c r="Q1487" t="s">
        <v>1581</v>
      </c>
      <c r="R1487" t="s">
        <v>1581</v>
      </c>
      <c r="S1487" t="s">
        <v>1581</v>
      </c>
      <c r="T1487" t="s">
        <v>1581</v>
      </c>
      <c r="U1487" t="s">
        <v>1581</v>
      </c>
      <c r="V1487" t="str" cm="1">
        <f t="array" aca="1" ref="V1487" ca="1">IFERROR(_xlfn.IFS(A1485="  ..............",OFFSET(A1485,2,0),A1484=" X-------------X",OFFSET(A1484,3,0),MATCH("  ..............",A1487:A1496,0)&gt;2,V1486),"-")</f>
        <v>-</v>
      </c>
      <c r="W1487" t="str">
        <f t="shared" ca="1" si="69"/>
        <v>-</v>
      </c>
      <c r="X1487" t="str">
        <f t="shared" ca="1" si="70"/>
        <v xml:space="preserve">              </v>
      </c>
      <c r="Y1487" s="1">
        <f t="shared" ca="1" si="71"/>
        <v>0</v>
      </c>
    </row>
    <row r="1488" spans="1:25" x14ac:dyDescent="0.25">
      <c r="A1488" t="s">
        <v>2632</v>
      </c>
      <c r="B1488">
        <v>-55.4</v>
      </c>
      <c r="C1488">
        <v>0</v>
      </c>
      <c r="D1488">
        <v>0</v>
      </c>
      <c r="E1488">
        <v>7.7</v>
      </c>
      <c r="F1488">
        <v>0</v>
      </c>
      <c r="G1488">
        <v>0</v>
      </c>
      <c r="H1488">
        <v>0</v>
      </c>
      <c r="I1488" t="s">
        <v>1584</v>
      </c>
      <c r="J1488" t="s">
        <v>1585</v>
      </c>
      <c r="K1488" t="s">
        <v>1586</v>
      </c>
      <c r="L1488" t="s">
        <v>1587</v>
      </c>
      <c r="M1488" t="s">
        <v>1587</v>
      </c>
      <c r="N1488" t="s">
        <v>1586</v>
      </c>
      <c r="O1488" t="s">
        <v>1581</v>
      </c>
      <c r="P1488" t="s">
        <v>1581</v>
      </c>
      <c r="Q1488" t="s">
        <v>1581</v>
      </c>
      <c r="R1488" t="s">
        <v>1581</v>
      </c>
      <c r="S1488" t="s">
        <v>1581</v>
      </c>
      <c r="T1488" t="s">
        <v>1581</v>
      </c>
      <c r="U1488" t="s">
        <v>1581</v>
      </c>
      <c r="V1488" t="str" cm="1">
        <f t="array" aca="1" ref="V1488" ca="1">IFERROR(_xlfn.IFS(A1486="  ..............",OFFSET(A1486,2,0),A1485=" X-------------X",OFFSET(A1485,3,0),MATCH("  ..............",A1488:A1497,0)&gt;2,V1487),"-")</f>
        <v xml:space="preserve">  DEMEI1-RS023  </v>
      </c>
      <c r="W1488">
        <f t="shared" ca="1" si="69"/>
        <v>1.0620000000000001</v>
      </c>
      <c r="X1488" t="str">
        <f t="shared" ca="1" si="70"/>
        <v xml:space="preserve"> IJUI1--RS023 </v>
      </c>
      <c r="Y1488" s="1" t="str">
        <f t="shared" ca="1" si="71"/>
        <v xml:space="preserve"> SUP  112.4% </v>
      </c>
    </row>
    <row r="1489" spans="1:25" x14ac:dyDescent="0.25">
      <c r="A1489" t="s">
        <v>1588</v>
      </c>
      <c r="B1489" t="s">
        <v>1587</v>
      </c>
      <c r="C1489">
        <v>9999</v>
      </c>
      <c r="D1489">
        <v>9999</v>
      </c>
      <c r="E1489">
        <v>9999</v>
      </c>
      <c r="F1489" s="1">
        <v>0</v>
      </c>
      <c r="G1489" t="s">
        <v>1587</v>
      </c>
      <c r="H1489" t="s">
        <v>1587</v>
      </c>
      <c r="I1489">
        <v>9674</v>
      </c>
      <c r="J1489" t="s">
        <v>2018</v>
      </c>
      <c r="K1489">
        <v>1</v>
      </c>
      <c r="L1489">
        <v>-23.9</v>
      </c>
      <c r="M1489">
        <v>-7.7</v>
      </c>
      <c r="N1489">
        <v>23.6</v>
      </c>
      <c r="O1489" t="s">
        <v>1594</v>
      </c>
      <c r="P1489" t="s">
        <v>1584</v>
      </c>
      <c r="Q1489" t="s">
        <v>1591</v>
      </c>
      <c r="R1489">
        <v>0</v>
      </c>
      <c r="S1489">
        <v>-0.01</v>
      </c>
      <c r="T1489" t="s">
        <v>1584</v>
      </c>
      <c r="U1489" t="s">
        <v>1592</v>
      </c>
      <c r="V1489" t="str" cm="1">
        <f t="array" aca="1" ref="V1489" ca="1">IFERROR(_xlfn.IFS(A1487="  ..............",OFFSET(A1487,2,0),A1486=" X-------------X",OFFSET(A1486,3,0),MATCH("  ..............",A1489:A1498,0)&gt;2,V1488),"-")</f>
        <v>-</v>
      </c>
      <c r="W1489" t="str">
        <f t="shared" ca="1" si="69"/>
        <v>-</v>
      </c>
      <c r="X1489" t="str">
        <f t="shared" ca="1" si="70"/>
        <v>-</v>
      </c>
      <c r="Y1489" s="1" t="str">
        <f t="shared" ca="1" si="71"/>
        <v>-</v>
      </c>
    </row>
    <row r="1490" spans="1:25" x14ac:dyDescent="0.25">
      <c r="A1490" t="s">
        <v>1572</v>
      </c>
      <c r="B1490" t="s">
        <v>1574</v>
      </c>
      <c r="C1490" t="s">
        <v>1574</v>
      </c>
      <c r="D1490" t="s">
        <v>1574</v>
      </c>
      <c r="E1490" t="s">
        <v>1574</v>
      </c>
      <c r="F1490" t="s">
        <v>1575</v>
      </c>
      <c r="G1490" t="s">
        <v>1574</v>
      </c>
      <c r="H1490" t="s">
        <v>1574</v>
      </c>
      <c r="I1490" t="s">
        <v>1576</v>
      </c>
      <c r="J1490" t="s">
        <v>1573</v>
      </c>
      <c r="K1490" t="s">
        <v>1577</v>
      </c>
      <c r="L1490" t="s">
        <v>1574</v>
      </c>
      <c r="M1490" t="s">
        <v>1574</v>
      </c>
      <c r="N1490" t="s">
        <v>1574</v>
      </c>
      <c r="O1490" t="s">
        <v>1578</v>
      </c>
      <c r="P1490" t="s">
        <v>1576</v>
      </c>
      <c r="Q1490" t="s">
        <v>1579</v>
      </c>
      <c r="R1490" t="s">
        <v>1580</v>
      </c>
      <c r="S1490" t="s">
        <v>1580</v>
      </c>
      <c r="T1490" t="s">
        <v>1576</v>
      </c>
      <c r="U1490" t="s">
        <v>1576</v>
      </c>
      <c r="V1490" t="str" cm="1">
        <f t="array" aca="1" ref="V1490" ca="1">IFERROR(_xlfn.IFS(A1488="  ..............",OFFSET(A1488,2,0),A1487=" X-------------X",OFFSET(A1487,3,0),MATCH("  ..............",A1490:A1499,0)&gt;2,V1489),"-")</f>
        <v>-</v>
      </c>
      <c r="W1490" t="str">
        <f t="shared" ca="1" si="69"/>
        <v>-</v>
      </c>
      <c r="X1490" t="str">
        <f t="shared" ca="1" si="70"/>
        <v/>
      </c>
      <c r="Y1490" s="1" t="str">
        <f t="shared" ca="1" si="71"/>
        <v/>
      </c>
    </row>
    <row r="1491" spans="1:25" x14ac:dyDescent="0.25">
      <c r="A1491" t="s">
        <v>2633</v>
      </c>
      <c r="B1491">
        <v>1.0620000000000001</v>
      </c>
      <c r="C1491">
        <v>2.5</v>
      </c>
      <c r="D1491">
        <v>0</v>
      </c>
      <c r="E1491">
        <v>5.7</v>
      </c>
      <c r="F1491">
        <v>0</v>
      </c>
      <c r="G1491">
        <v>0</v>
      </c>
      <c r="H1491">
        <v>0</v>
      </c>
      <c r="I1491" t="s">
        <v>1581</v>
      </c>
      <c r="J1491" t="s">
        <v>1581</v>
      </c>
      <c r="K1491" t="s">
        <v>1581</v>
      </c>
      <c r="L1491" t="s">
        <v>1581</v>
      </c>
      <c r="M1491" t="s">
        <v>1581</v>
      </c>
      <c r="N1491" t="s">
        <v>1581</v>
      </c>
      <c r="O1491" t="s">
        <v>1581</v>
      </c>
      <c r="P1491" t="s">
        <v>1581</v>
      </c>
      <c r="Q1491" t="s">
        <v>1581</v>
      </c>
      <c r="R1491" t="s">
        <v>1581</v>
      </c>
      <c r="S1491" t="s">
        <v>1581</v>
      </c>
      <c r="T1491" t="s">
        <v>1581</v>
      </c>
      <c r="U1491" t="s">
        <v>1581</v>
      </c>
      <c r="V1491" t="str" cm="1">
        <f t="array" aca="1" ref="V1491" ca="1">IFERROR(_xlfn.IFS(A1489="  ..............",OFFSET(A1489,2,0),A1488=" X-------------X",OFFSET(A1488,3,0),MATCH("  ..............",A1491:A1500,0)&gt;2,V1490),"-")</f>
        <v>-</v>
      </c>
      <c r="W1491" t="str">
        <f t="shared" ca="1" si="69"/>
        <v>-</v>
      </c>
      <c r="X1491" t="str">
        <f t="shared" ca="1" si="70"/>
        <v xml:space="preserve">              </v>
      </c>
      <c r="Y1491" s="1">
        <f t="shared" ca="1" si="71"/>
        <v>0</v>
      </c>
    </row>
    <row r="1492" spans="1:25" x14ac:dyDescent="0.25">
      <c r="A1492" t="s">
        <v>2634</v>
      </c>
      <c r="B1492">
        <v>-55.4</v>
      </c>
      <c r="C1492">
        <v>0</v>
      </c>
      <c r="D1492">
        <v>0</v>
      </c>
      <c r="E1492">
        <v>1.4</v>
      </c>
      <c r="F1492">
        <v>0</v>
      </c>
      <c r="G1492">
        <v>0</v>
      </c>
      <c r="H1492">
        <v>0</v>
      </c>
      <c r="I1492" t="s">
        <v>1584</v>
      </c>
      <c r="J1492" t="s">
        <v>1585</v>
      </c>
      <c r="K1492" t="s">
        <v>1586</v>
      </c>
      <c r="L1492" t="s">
        <v>1587</v>
      </c>
      <c r="M1492" t="s">
        <v>1587</v>
      </c>
      <c r="N1492" t="s">
        <v>1586</v>
      </c>
      <c r="O1492" t="s">
        <v>1581</v>
      </c>
      <c r="P1492" t="s">
        <v>1581</v>
      </c>
      <c r="Q1492" t="s">
        <v>1581</v>
      </c>
      <c r="R1492" t="s">
        <v>1581</v>
      </c>
      <c r="S1492" t="s">
        <v>1581</v>
      </c>
      <c r="T1492" t="s">
        <v>1581</v>
      </c>
      <c r="U1492" t="s">
        <v>1581</v>
      </c>
      <c r="V1492" t="str" cm="1">
        <f t="array" aca="1" ref="V1492" ca="1">IFERROR(_xlfn.IFS(A1490="  ..............",OFFSET(A1490,2,0),A1489=" X-------------X",OFFSET(A1489,3,0),MATCH("  ..............",A1492:A1501,0)&gt;2,V1491),"-")</f>
        <v xml:space="preserve">  CERLU1-RS023  </v>
      </c>
      <c r="W1492">
        <f t="shared" ca="1" si="69"/>
        <v>1.0620000000000001</v>
      </c>
      <c r="X1492" t="str">
        <f t="shared" ca="1" si="70"/>
        <v xml:space="preserve"> IJUI1--RS023 </v>
      </c>
      <c r="Y1492" s="1" t="str">
        <f t="shared" ca="1" si="71"/>
        <v xml:space="preserve"> SUP  112.4% </v>
      </c>
    </row>
    <row r="1493" spans="1:25" x14ac:dyDescent="0.25">
      <c r="A1493" t="s">
        <v>1588</v>
      </c>
      <c r="B1493" t="s">
        <v>1587</v>
      </c>
      <c r="C1493">
        <v>9999</v>
      </c>
      <c r="D1493">
        <v>9999</v>
      </c>
      <c r="E1493">
        <v>9999</v>
      </c>
      <c r="F1493" s="1">
        <v>0</v>
      </c>
      <c r="G1493" t="s">
        <v>1587</v>
      </c>
      <c r="H1493" t="s">
        <v>1587</v>
      </c>
      <c r="I1493">
        <v>9674</v>
      </c>
      <c r="J1493" t="s">
        <v>2018</v>
      </c>
      <c r="K1493">
        <v>1</v>
      </c>
      <c r="L1493">
        <v>-3.2</v>
      </c>
      <c r="M1493">
        <v>-1.4</v>
      </c>
      <c r="N1493">
        <v>3.3</v>
      </c>
      <c r="O1493" t="s">
        <v>1594</v>
      </c>
      <c r="P1493" t="s">
        <v>1584</v>
      </c>
      <c r="Q1493" t="s">
        <v>1591</v>
      </c>
      <c r="R1493">
        <v>0</v>
      </c>
      <c r="S1493">
        <v>-0.01</v>
      </c>
      <c r="T1493" t="s">
        <v>1584</v>
      </c>
      <c r="U1493" t="s">
        <v>1592</v>
      </c>
      <c r="V1493" t="str" cm="1">
        <f t="array" aca="1" ref="V1493" ca="1">IFERROR(_xlfn.IFS(A1491="  ..............",OFFSET(A1491,2,0),A1490=" X-------------X",OFFSET(A1490,3,0),MATCH("  ..............",A1493:A1502,0)&gt;2,V1492),"-")</f>
        <v>-</v>
      </c>
      <c r="W1493" t="str">
        <f t="shared" ca="1" si="69"/>
        <v>-</v>
      </c>
      <c r="X1493" t="str">
        <f t="shared" ca="1" si="70"/>
        <v>-</v>
      </c>
      <c r="Y1493" s="1" t="str">
        <f t="shared" ca="1" si="71"/>
        <v>-</v>
      </c>
    </row>
    <row r="1494" spans="1:25" x14ac:dyDescent="0.25">
      <c r="A1494" t="s">
        <v>1572</v>
      </c>
      <c r="B1494" t="s">
        <v>1574</v>
      </c>
      <c r="C1494" t="s">
        <v>1574</v>
      </c>
      <c r="D1494" t="s">
        <v>1574</v>
      </c>
      <c r="E1494" t="s">
        <v>1574</v>
      </c>
      <c r="F1494" t="s">
        <v>1575</v>
      </c>
      <c r="G1494" t="s">
        <v>1574</v>
      </c>
      <c r="H1494" t="s">
        <v>1574</v>
      </c>
      <c r="I1494" t="s">
        <v>1576</v>
      </c>
      <c r="J1494" t="s">
        <v>1573</v>
      </c>
      <c r="K1494" t="s">
        <v>1577</v>
      </c>
      <c r="L1494" t="s">
        <v>1574</v>
      </c>
      <c r="M1494" t="s">
        <v>1574</v>
      </c>
      <c r="N1494" t="s">
        <v>1574</v>
      </c>
      <c r="O1494" t="s">
        <v>1578</v>
      </c>
      <c r="P1494" t="s">
        <v>1576</v>
      </c>
      <c r="Q1494" t="s">
        <v>1579</v>
      </c>
      <c r="R1494" t="s">
        <v>1580</v>
      </c>
      <c r="S1494" t="s">
        <v>1580</v>
      </c>
      <c r="T1494" t="s">
        <v>1576</v>
      </c>
      <c r="U1494" t="s">
        <v>1576</v>
      </c>
      <c r="V1494" t="str" cm="1">
        <f t="array" aca="1" ref="V1494" ca="1">IFERROR(_xlfn.IFS(A1492="  ..............",OFFSET(A1492,2,0),A1491=" X-------------X",OFFSET(A1491,3,0),MATCH("  ..............",A1494:A1503,0)&gt;2,V1493),"-")</f>
        <v>-</v>
      </c>
      <c r="W1494" t="str">
        <f t="shared" ca="1" si="69"/>
        <v>-</v>
      </c>
      <c r="X1494" t="str">
        <f t="shared" ca="1" si="70"/>
        <v/>
      </c>
      <c r="Y1494" s="1" t="str">
        <f t="shared" ca="1" si="71"/>
        <v/>
      </c>
    </row>
    <row r="1495" spans="1:25" x14ac:dyDescent="0.25">
      <c r="A1495" t="s">
        <v>2635</v>
      </c>
      <c r="B1495">
        <v>1.046</v>
      </c>
      <c r="C1495">
        <v>3.5</v>
      </c>
      <c r="D1495">
        <v>0</v>
      </c>
      <c r="E1495">
        <v>13.2</v>
      </c>
      <c r="F1495">
        <v>0</v>
      </c>
      <c r="G1495">
        <v>3.9</v>
      </c>
      <c r="H1495">
        <v>0</v>
      </c>
      <c r="I1495" t="s">
        <v>1581</v>
      </c>
      <c r="J1495" t="s">
        <v>1581</v>
      </c>
      <c r="K1495" t="s">
        <v>1581</v>
      </c>
      <c r="L1495" t="s">
        <v>1581</v>
      </c>
      <c r="M1495" t="s">
        <v>1581</v>
      </c>
      <c r="N1495" t="s">
        <v>1581</v>
      </c>
      <c r="O1495" t="s">
        <v>1581</v>
      </c>
      <c r="P1495" t="s">
        <v>1581</v>
      </c>
      <c r="Q1495" t="s">
        <v>1581</v>
      </c>
      <c r="R1495" t="s">
        <v>1581</v>
      </c>
      <c r="S1495" t="s">
        <v>1581</v>
      </c>
      <c r="T1495" t="s">
        <v>1581</v>
      </c>
      <c r="U1495" t="s">
        <v>1581</v>
      </c>
      <c r="V1495" t="str" cm="1">
        <f t="array" aca="1" ref="V1495" ca="1">IFERROR(_xlfn.IFS(A1493="  ..............",OFFSET(A1493,2,0),A1492=" X-------------X",OFFSET(A1492,3,0),MATCH("  ..............",A1495:A1504,0)&gt;2,V1494),"-")</f>
        <v>-</v>
      </c>
      <c r="W1495" t="str">
        <f t="shared" ca="1" si="69"/>
        <v>-</v>
      </c>
      <c r="X1495" t="str">
        <f t="shared" ca="1" si="70"/>
        <v xml:space="preserve">              </v>
      </c>
      <c r="Y1495" s="1">
        <f t="shared" ca="1" si="71"/>
        <v>0</v>
      </c>
    </row>
    <row r="1496" spans="1:25" x14ac:dyDescent="0.25">
      <c r="A1496" t="s">
        <v>2636</v>
      </c>
      <c r="B1496">
        <v>-51.7</v>
      </c>
      <c r="C1496">
        <v>0</v>
      </c>
      <c r="D1496">
        <v>0</v>
      </c>
      <c r="E1496">
        <v>4.3</v>
      </c>
      <c r="F1496">
        <v>0</v>
      </c>
      <c r="G1496">
        <v>0</v>
      </c>
      <c r="H1496">
        <v>0</v>
      </c>
      <c r="I1496" t="s">
        <v>1584</v>
      </c>
      <c r="J1496" t="s">
        <v>1585</v>
      </c>
      <c r="K1496" t="s">
        <v>1586</v>
      </c>
      <c r="L1496" t="s">
        <v>1587</v>
      </c>
      <c r="M1496" t="s">
        <v>1587</v>
      </c>
      <c r="N1496" t="s">
        <v>1586</v>
      </c>
      <c r="O1496" t="s">
        <v>1581</v>
      </c>
      <c r="P1496" t="s">
        <v>1581</v>
      </c>
      <c r="Q1496" t="s">
        <v>1581</v>
      </c>
      <c r="R1496" t="s">
        <v>1581</v>
      </c>
      <c r="S1496" t="s">
        <v>1581</v>
      </c>
      <c r="T1496" t="s">
        <v>1581</v>
      </c>
      <c r="U1496" t="s">
        <v>1581</v>
      </c>
      <c r="V1496" t="str" cm="1">
        <f t="array" aca="1" ref="V1496" ca="1">IFERROR(_xlfn.IFS(A1494="  ..............",OFFSET(A1494,2,0),A1493=" X-------------X",OFFSET(A1493,3,0),MATCH("  ..............",A1496:A1505,0)&gt;2,V1495),"-")</f>
        <v xml:space="preserve">  CAL1-B-RS023  </v>
      </c>
      <c r="W1496">
        <f t="shared" ca="1" si="69"/>
        <v>1.046</v>
      </c>
      <c r="X1496" t="str">
        <f t="shared" ca="1" si="70"/>
        <v xml:space="preserve"> CALTA1-RS069 </v>
      </c>
      <c r="Y1496" s="1" t="str">
        <f t="shared" ca="1" si="71"/>
        <v xml:space="preserve">             </v>
      </c>
    </row>
    <row r="1497" spans="1:25" x14ac:dyDescent="0.25">
      <c r="A1497" t="s">
        <v>1588</v>
      </c>
      <c r="B1497" t="s">
        <v>1587</v>
      </c>
      <c r="C1497">
        <v>25</v>
      </c>
      <c r="D1497">
        <v>25</v>
      </c>
      <c r="E1497">
        <v>25</v>
      </c>
      <c r="F1497" s="1">
        <v>0.371</v>
      </c>
      <c r="G1497" t="s">
        <v>1587</v>
      </c>
      <c r="H1497" t="s">
        <v>1587</v>
      </c>
      <c r="I1497">
        <v>1301</v>
      </c>
      <c r="J1497" t="s">
        <v>2016</v>
      </c>
      <c r="K1497">
        <v>1</v>
      </c>
      <c r="L1497">
        <v>-9.6999999999999993</v>
      </c>
      <c r="M1497">
        <v>-0.4</v>
      </c>
      <c r="N1497">
        <v>9.3000000000000007</v>
      </c>
      <c r="O1497" t="s">
        <v>1594</v>
      </c>
      <c r="P1497" t="s">
        <v>1584</v>
      </c>
      <c r="Q1497" t="s">
        <v>1591</v>
      </c>
      <c r="R1497">
        <v>0</v>
      </c>
      <c r="S1497">
        <v>0.35</v>
      </c>
      <c r="T1497" t="s">
        <v>1584</v>
      </c>
      <c r="U1497" t="s">
        <v>1592</v>
      </c>
      <c r="V1497" t="str" cm="1">
        <f t="array" aca="1" ref="V1497" ca="1">IFERROR(_xlfn.IFS(A1495="  ..............",OFFSET(A1495,2,0),A1494=" X-------------X",OFFSET(A1494,3,0),MATCH("  ..............",A1497:A1506,0)&gt;2,V1496),"-")</f>
        <v>-</v>
      </c>
      <c r="W1497" t="str">
        <f t="shared" ca="1" si="69"/>
        <v>-</v>
      </c>
      <c r="X1497" t="str">
        <f t="shared" ca="1" si="70"/>
        <v>-</v>
      </c>
      <c r="Y1497" s="1" t="str">
        <f t="shared" ca="1" si="71"/>
        <v>-</v>
      </c>
    </row>
    <row r="1498" spans="1:25" x14ac:dyDescent="0.25">
      <c r="A1498" t="s">
        <v>1572</v>
      </c>
      <c r="B1498" t="s">
        <v>1574</v>
      </c>
      <c r="C1498" t="s">
        <v>1574</v>
      </c>
      <c r="D1498" t="s">
        <v>1574</v>
      </c>
      <c r="E1498" t="s">
        <v>1574</v>
      </c>
      <c r="F1498" t="s">
        <v>1575</v>
      </c>
      <c r="G1498" t="s">
        <v>1574</v>
      </c>
      <c r="H1498" t="s">
        <v>1574</v>
      </c>
      <c r="I1498" t="s">
        <v>1576</v>
      </c>
      <c r="J1498" t="s">
        <v>1573</v>
      </c>
      <c r="K1498" t="s">
        <v>1577</v>
      </c>
      <c r="L1498" t="s">
        <v>1574</v>
      </c>
      <c r="M1498" t="s">
        <v>1574</v>
      </c>
      <c r="N1498" t="s">
        <v>1574</v>
      </c>
      <c r="O1498" t="s">
        <v>1578</v>
      </c>
      <c r="P1498" t="s">
        <v>1576</v>
      </c>
      <c r="Q1498" t="s">
        <v>1579</v>
      </c>
      <c r="R1498" t="s">
        <v>1580</v>
      </c>
      <c r="S1498" t="s">
        <v>1580</v>
      </c>
      <c r="T1498" t="s">
        <v>1576</v>
      </c>
      <c r="U1498" t="s">
        <v>1576</v>
      </c>
      <c r="V1498" t="str" cm="1">
        <f t="array" aca="1" ref="V1498" ca="1">IFERROR(_xlfn.IFS(A1496="  ..............",OFFSET(A1496,2,0),A1495=" X-------------X",OFFSET(A1495,3,0),MATCH("  ..............",A1498:A1507,0)&gt;2,V1497),"-")</f>
        <v>-</v>
      </c>
      <c r="W1498" t="str">
        <f t="shared" ca="1" si="69"/>
        <v>-</v>
      </c>
      <c r="X1498" t="str">
        <f t="shared" ca="1" si="70"/>
        <v/>
      </c>
      <c r="Y1498" s="1" t="str">
        <f t="shared" ca="1" si="71"/>
        <v/>
      </c>
    </row>
    <row r="1499" spans="1:25" x14ac:dyDescent="0.25">
      <c r="A1499" t="s">
        <v>2637</v>
      </c>
      <c r="B1499">
        <v>1.016</v>
      </c>
      <c r="C1499">
        <v>0</v>
      </c>
      <c r="D1499">
        <v>0</v>
      </c>
      <c r="E1499">
        <v>2</v>
      </c>
      <c r="F1499">
        <v>0</v>
      </c>
      <c r="G1499">
        <v>0</v>
      </c>
      <c r="H1499">
        <v>0</v>
      </c>
      <c r="I1499" t="s">
        <v>1581</v>
      </c>
      <c r="J1499" t="s">
        <v>1581</v>
      </c>
      <c r="K1499" t="s">
        <v>1581</v>
      </c>
      <c r="L1499" t="s">
        <v>1581</v>
      </c>
      <c r="M1499" t="s">
        <v>1581</v>
      </c>
      <c r="N1499" t="s">
        <v>1581</v>
      </c>
      <c r="O1499" t="s">
        <v>1581</v>
      </c>
      <c r="P1499" t="s">
        <v>1581</v>
      </c>
      <c r="Q1499" t="s">
        <v>1581</v>
      </c>
      <c r="R1499" t="s">
        <v>1581</v>
      </c>
      <c r="S1499" t="s">
        <v>1581</v>
      </c>
      <c r="T1499" t="s">
        <v>1581</v>
      </c>
      <c r="U1499" t="s">
        <v>1581</v>
      </c>
      <c r="V1499" t="str" cm="1">
        <f t="array" aca="1" ref="V1499" ca="1">IFERROR(_xlfn.IFS(A1497="  ..............",OFFSET(A1497,2,0),A1496=" X-------------X",OFFSET(A1496,3,0),MATCH("  ..............",A1499:A1508,0)&gt;2,V1498),"-")</f>
        <v>-</v>
      </c>
      <c r="W1499" t="str">
        <f t="shared" ca="1" si="69"/>
        <v>-</v>
      </c>
      <c r="X1499" t="str">
        <f t="shared" ca="1" si="70"/>
        <v xml:space="preserve">              </v>
      </c>
      <c r="Y1499" s="1">
        <f t="shared" ca="1" si="71"/>
        <v>0</v>
      </c>
    </row>
    <row r="1500" spans="1:25" x14ac:dyDescent="0.25">
      <c r="A1500" t="s">
        <v>2638</v>
      </c>
      <c r="B1500">
        <v>-54.5</v>
      </c>
      <c r="C1500">
        <v>0</v>
      </c>
      <c r="D1500">
        <v>0</v>
      </c>
      <c r="E1500">
        <v>0.7</v>
      </c>
      <c r="F1500">
        <v>0</v>
      </c>
      <c r="G1500">
        <v>0</v>
      </c>
      <c r="H1500">
        <v>0</v>
      </c>
      <c r="I1500" t="s">
        <v>1584</v>
      </c>
      <c r="J1500" t="s">
        <v>1585</v>
      </c>
      <c r="K1500" t="s">
        <v>1586</v>
      </c>
      <c r="L1500" t="s">
        <v>1587</v>
      </c>
      <c r="M1500" t="s">
        <v>1587</v>
      </c>
      <c r="N1500" t="s">
        <v>1586</v>
      </c>
      <c r="O1500" t="s">
        <v>1581</v>
      </c>
      <c r="P1500" t="s">
        <v>1581</v>
      </c>
      <c r="Q1500" t="s">
        <v>1581</v>
      </c>
      <c r="R1500" t="s">
        <v>1581</v>
      </c>
      <c r="S1500" t="s">
        <v>1581</v>
      </c>
      <c r="T1500" t="s">
        <v>1581</v>
      </c>
      <c r="U1500" t="s">
        <v>1581</v>
      </c>
      <c r="V1500" t="str" cm="1">
        <f t="array" aca="1" ref="V1500" ca="1">IFERROR(_xlfn.IFS(A1498="  ..............",OFFSET(A1498,2,0),A1497=" X-------------X",OFFSET(A1497,3,0),MATCH("  ..............",A1500:A1509,0)&gt;2,V1499),"-")</f>
        <v xml:space="preserve">  ARENA--RS069  </v>
      </c>
      <c r="W1500">
        <f t="shared" ca="1" si="69"/>
        <v>1.016</v>
      </c>
      <c r="X1500" t="str">
        <f t="shared" ca="1" si="70"/>
        <v xml:space="preserve"> PALGR9-RS069 </v>
      </c>
      <c r="Y1500" s="1">
        <f t="shared" ca="1" si="71"/>
        <v>0</v>
      </c>
    </row>
    <row r="1501" spans="1:25" x14ac:dyDescent="0.25">
      <c r="A1501" t="s">
        <v>1588</v>
      </c>
      <c r="B1501" t="s">
        <v>1587</v>
      </c>
      <c r="C1501">
        <v>36</v>
      </c>
      <c r="D1501">
        <v>36</v>
      </c>
      <c r="E1501">
        <v>36</v>
      </c>
      <c r="F1501" s="1">
        <v>5.8000000000000003E-2</v>
      </c>
      <c r="G1501" t="s">
        <v>1587</v>
      </c>
      <c r="H1501" t="s">
        <v>1587</v>
      </c>
      <c r="I1501">
        <v>1266</v>
      </c>
      <c r="J1501" t="s">
        <v>1932</v>
      </c>
      <c r="K1501">
        <v>1</v>
      </c>
      <c r="L1501">
        <v>-2</v>
      </c>
      <c r="M1501">
        <v>-0.7</v>
      </c>
      <c r="N1501">
        <v>2.1</v>
      </c>
      <c r="O1501" t="s">
        <v>1594</v>
      </c>
      <c r="P1501" t="s">
        <v>1584</v>
      </c>
      <c r="Q1501" t="s">
        <v>1591</v>
      </c>
      <c r="R1501">
        <v>0</v>
      </c>
      <c r="S1501">
        <v>-0.06</v>
      </c>
      <c r="T1501" t="s">
        <v>1584</v>
      </c>
      <c r="U1501" t="s">
        <v>1592</v>
      </c>
      <c r="V1501" t="str" cm="1">
        <f t="array" aca="1" ref="V1501" ca="1">IFERROR(_xlfn.IFS(A1499="  ..............",OFFSET(A1499,2,0),A1498=" X-------------X",OFFSET(A1498,3,0),MATCH("  ..............",A1501:A1510,0)&gt;2,V1500),"-")</f>
        <v>-</v>
      </c>
      <c r="W1501" t="str">
        <f t="shared" ca="1" si="69"/>
        <v>-</v>
      </c>
      <c r="X1501" t="str">
        <f t="shared" ca="1" si="70"/>
        <v>-</v>
      </c>
      <c r="Y1501" s="1" t="str">
        <f t="shared" ca="1" si="71"/>
        <v>-</v>
      </c>
    </row>
    <row r="1502" spans="1:25" x14ac:dyDescent="0.25">
      <c r="A1502" t="s">
        <v>1572</v>
      </c>
      <c r="B1502" t="s">
        <v>1574</v>
      </c>
      <c r="C1502" t="s">
        <v>1574</v>
      </c>
      <c r="D1502" t="s">
        <v>1574</v>
      </c>
      <c r="E1502" t="s">
        <v>1574</v>
      </c>
      <c r="F1502" t="s">
        <v>1575</v>
      </c>
      <c r="G1502" t="s">
        <v>1574</v>
      </c>
      <c r="H1502" t="s">
        <v>1574</v>
      </c>
      <c r="I1502" t="s">
        <v>1576</v>
      </c>
      <c r="J1502" t="s">
        <v>1573</v>
      </c>
      <c r="K1502" t="s">
        <v>1577</v>
      </c>
      <c r="L1502" t="s">
        <v>1574</v>
      </c>
      <c r="M1502" t="s">
        <v>1574</v>
      </c>
      <c r="N1502" t="s">
        <v>1574</v>
      </c>
      <c r="O1502" t="s">
        <v>1578</v>
      </c>
      <c r="P1502" t="s">
        <v>1576</v>
      </c>
      <c r="Q1502" t="s">
        <v>1579</v>
      </c>
      <c r="R1502" t="s">
        <v>1580</v>
      </c>
      <c r="S1502" t="s">
        <v>1580</v>
      </c>
      <c r="T1502" t="s">
        <v>1576</v>
      </c>
      <c r="U1502" t="s">
        <v>1576</v>
      </c>
      <c r="V1502" t="str" cm="1">
        <f t="array" aca="1" ref="V1502" ca="1">IFERROR(_xlfn.IFS(A1500="  ..............",OFFSET(A1500,2,0),A1499=" X-------------X",OFFSET(A1499,3,0),MATCH("  ..............",A1502:A1511,0)&gt;2,V1501),"-")</f>
        <v>-</v>
      </c>
      <c r="W1502" t="str">
        <f t="shared" ca="1" si="69"/>
        <v>-</v>
      </c>
      <c r="X1502" t="str">
        <f t="shared" ca="1" si="70"/>
        <v/>
      </c>
      <c r="Y1502" s="1" t="str">
        <f t="shared" ca="1" si="71"/>
        <v/>
      </c>
    </row>
    <row r="1503" spans="1:25" x14ac:dyDescent="0.25">
      <c r="A1503" t="s">
        <v>2639</v>
      </c>
      <c r="B1503">
        <v>1.0629999999999999</v>
      </c>
      <c r="C1503">
        <v>0</v>
      </c>
      <c r="D1503">
        <v>0</v>
      </c>
      <c r="E1503">
        <v>0</v>
      </c>
      <c r="F1503">
        <v>0</v>
      </c>
      <c r="G1503">
        <v>4.0999999999999996</v>
      </c>
      <c r="H1503">
        <v>0</v>
      </c>
      <c r="I1503" t="s">
        <v>1581</v>
      </c>
      <c r="J1503" t="s">
        <v>1581</v>
      </c>
      <c r="K1503" t="s">
        <v>1581</v>
      </c>
      <c r="L1503" t="s">
        <v>1581</v>
      </c>
      <c r="M1503" t="s">
        <v>1581</v>
      </c>
      <c r="N1503" t="s">
        <v>1581</v>
      </c>
      <c r="O1503" t="s">
        <v>1581</v>
      </c>
      <c r="P1503" t="s">
        <v>1581</v>
      </c>
      <c r="Q1503" t="s">
        <v>1581</v>
      </c>
      <c r="R1503" t="s">
        <v>1581</v>
      </c>
      <c r="S1503" t="s">
        <v>1581</v>
      </c>
      <c r="T1503" t="s">
        <v>1581</v>
      </c>
      <c r="U1503" t="s">
        <v>1581</v>
      </c>
      <c r="V1503" t="str" cm="1">
        <f t="array" aca="1" ref="V1503" ca="1">IFERROR(_xlfn.IFS(A1501="  ..............",OFFSET(A1501,2,0),A1500=" X-------------X",OFFSET(A1500,3,0),MATCH("  ..............",A1503:A1512,0)&gt;2,V1502),"-")</f>
        <v>-</v>
      </c>
      <c r="W1503" t="str">
        <f t="shared" ca="1" si="69"/>
        <v>-</v>
      </c>
      <c r="X1503" t="str">
        <f t="shared" ca="1" si="70"/>
        <v xml:space="preserve">              </v>
      </c>
      <c r="Y1503" s="1">
        <f t="shared" ca="1" si="71"/>
        <v>0</v>
      </c>
    </row>
    <row r="1504" spans="1:25" x14ac:dyDescent="0.25">
      <c r="A1504" t="s">
        <v>2640</v>
      </c>
      <c r="B1504">
        <v>-55.4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 t="s">
        <v>1584</v>
      </c>
      <c r="J1504" t="s">
        <v>1585</v>
      </c>
      <c r="K1504" t="s">
        <v>1586</v>
      </c>
      <c r="L1504" t="s">
        <v>1587</v>
      </c>
      <c r="M1504" t="s">
        <v>1587</v>
      </c>
      <c r="N1504" t="s">
        <v>1586</v>
      </c>
      <c r="O1504" t="s">
        <v>1581</v>
      </c>
      <c r="P1504" t="s">
        <v>1581</v>
      </c>
      <c r="Q1504" t="s">
        <v>1581</v>
      </c>
      <c r="R1504" t="s">
        <v>1581</v>
      </c>
      <c r="S1504" t="s">
        <v>1581</v>
      </c>
      <c r="T1504" t="s">
        <v>1581</v>
      </c>
      <c r="U1504" t="s">
        <v>1581</v>
      </c>
      <c r="V1504" t="str" cm="1">
        <f t="array" aca="1" ref="V1504" ca="1">IFERROR(_xlfn.IFS(A1502="  ..............",OFFSET(A1502,2,0),A1501=" X-------------X",OFFSET(A1501,3,0),MATCH("  ..............",A1504:A1513,0)&gt;2,V1503),"-")</f>
        <v xml:space="preserve">  IJUI1--RS023  </v>
      </c>
      <c r="W1504">
        <f t="shared" ca="1" si="69"/>
        <v>1.0629999999999999</v>
      </c>
      <c r="X1504" t="str">
        <f t="shared" ca="1" si="70"/>
        <v xml:space="preserve"> IJUI1--RS069 </v>
      </c>
      <c r="Y1504" s="1" t="str">
        <f t="shared" ca="1" si="71"/>
        <v xml:space="preserve">             </v>
      </c>
    </row>
    <row r="1505" spans="1:25" x14ac:dyDescent="0.25">
      <c r="A1505" t="s">
        <v>1588</v>
      </c>
      <c r="B1505" t="s">
        <v>1587</v>
      </c>
      <c r="C1505">
        <v>25</v>
      </c>
      <c r="D1505">
        <v>25</v>
      </c>
      <c r="E1505">
        <v>25</v>
      </c>
      <c r="F1505" t="s">
        <v>2641</v>
      </c>
      <c r="G1505" t="s">
        <v>1587</v>
      </c>
      <c r="H1505" t="s">
        <v>1587</v>
      </c>
      <c r="I1505">
        <v>1302</v>
      </c>
      <c r="J1505" t="s">
        <v>2009</v>
      </c>
      <c r="K1505">
        <v>1</v>
      </c>
      <c r="L1505">
        <v>-27.1</v>
      </c>
      <c r="M1505">
        <v>-5</v>
      </c>
      <c r="N1505">
        <v>25.9</v>
      </c>
      <c r="O1505" t="s">
        <v>1594</v>
      </c>
      <c r="P1505" t="s">
        <v>1584</v>
      </c>
      <c r="Q1505" t="s">
        <v>1591</v>
      </c>
      <c r="R1505">
        <v>0</v>
      </c>
      <c r="S1505">
        <v>2.48</v>
      </c>
      <c r="T1505" t="s">
        <v>1584</v>
      </c>
      <c r="U1505" t="s">
        <v>1592</v>
      </c>
      <c r="V1505" t="str" cm="1">
        <f t="array" aca="1" ref="V1505" ca="1">IFERROR(_xlfn.IFS(A1503="  ..............",OFFSET(A1503,2,0),A1502=" X-------------X",OFFSET(A1502,3,0),MATCH("  ..............",A1505:A1514,0)&gt;2,V1504),"-")</f>
        <v xml:space="preserve">  IJUI1--RS023  </v>
      </c>
      <c r="W1505">
        <f t="shared" ca="1" si="69"/>
        <v>1.0629999999999999</v>
      </c>
      <c r="X1505" t="str">
        <f t="shared" ca="1" si="70"/>
        <v xml:space="preserve"> DEMEI1-RS023 </v>
      </c>
      <c r="Y1505" s="1">
        <f t="shared" ca="1" si="71"/>
        <v>0</v>
      </c>
    </row>
    <row r="1506" spans="1:25" x14ac:dyDescent="0.25">
      <c r="A1506" t="s">
        <v>1588</v>
      </c>
      <c r="B1506" t="s">
        <v>1587</v>
      </c>
      <c r="C1506">
        <v>9999</v>
      </c>
      <c r="D1506">
        <v>9999</v>
      </c>
      <c r="E1506">
        <v>9999</v>
      </c>
      <c r="F1506" s="1">
        <v>0</v>
      </c>
      <c r="G1506" t="s">
        <v>1587</v>
      </c>
      <c r="H1506" t="s">
        <v>1587</v>
      </c>
      <c r="I1506">
        <v>9657</v>
      </c>
      <c r="J1506" t="s">
        <v>2642</v>
      </c>
      <c r="K1506">
        <v>1</v>
      </c>
      <c r="L1506">
        <v>23.9</v>
      </c>
      <c r="M1506">
        <v>7.7</v>
      </c>
      <c r="N1506">
        <v>23.6</v>
      </c>
      <c r="O1506" t="s">
        <v>1594</v>
      </c>
      <c r="P1506" t="s">
        <v>1584</v>
      </c>
      <c r="Q1506" t="s">
        <v>1591</v>
      </c>
      <c r="R1506">
        <v>0</v>
      </c>
      <c r="S1506">
        <v>-0.01</v>
      </c>
      <c r="T1506" t="s">
        <v>1584</v>
      </c>
      <c r="U1506" t="s">
        <v>1592</v>
      </c>
      <c r="V1506" t="str" cm="1">
        <f t="array" aca="1" ref="V1506" ca="1">IFERROR(_xlfn.IFS(A1504="  ..............",OFFSET(A1504,2,0),A1503=" X-------------X",OFFSET(A1503,3,0),MATCH("  ..............",A1506:A1515,0)&gt;2,V1505),"-")</f>
        <v xml:space="preserve">  IJUI1--RS023  </v>
      </c>
      <c r="W1506">
        <f t="shared" ca="1" si="69"/>
        <v>1.0629999999999999</v>
      </c>
      <c r="X1506" t="str">
        <f t="shared" ca="1" si="70"/>
        <v xml:space="preserve"> CERLU1-RS023 </v>
      </c>
      <c r="Y1506" s="1">
        <f t="shared" ca="1" si="71"/>
        <v>0</v>
      </c>
    </row>
    <row r="1507" spans="1:25" x14ac:dyDescent="0.25">
      <c r="A1507" t="s">
        <v>1588</v>
      </c>
      <c r="B1507" t="s">
        <v>1587</v>
      </c>
      <c r="C1507">
        <v>9999</v>
      </c>
      <c r="D1507">
        <v>9999</v>
      </c>
      <c r="E1507">
        <v>9999</v>
      </c>
      <c r="F1507" s="1">
        <v>0</v>
      </c>
      <c r="G1507" t="s">
        <v>1587</v>
      </c>
      <c r="H1507" t="s">
        <v>1587</v>
      </c>
      <c r="I1507">
        <v>9659</v>
      </c>
      <c r="J1507" t="s">
        <v>2643</v>
      </c>
      <c r="K1507">
        <v>1</v>
      </c>
      <c r="L1507">
        <v>3.2</v>
      </c>
      <c r="M1507">
        <v>1.4</v>
      </c>
      <c r="N1507">
        <v>3.3</v>
      </c>
      <c r="O1507" t="s">
        <v>1594</v>
      </c>
      <c r="P1507" t="s">
        <v>1584</v>
      </c>
      <c r="Q1507" t="s">
        <v>1591</v>
      </c>
      <c r="R1507">
        <v>0</v>
      </c>
      <c r="S1507">
        <v>-0.01</v>
      </c>
      <c r="T1507" t="s">
        <v>1584</v>
      </c>
      <c r="U1507" t="s">
        <v>1592</v>
      </c>
      <c r="V1507" t="str" cm="1">
        <f t="array" aca="1" ref="V1507" ca="1">IFERROR(_xlfn.IFS(A1505="  ..............",OFFSET(A1505,2,0),A1504=" X-------------X",OFFSET(A1504,3,0),MATCH("  ..............",A1507:A1516,0)&gt;2,V1506),"-")</f>
        <v>-</v>
      </c>
      <c r="W1507" t="str">
        <f t="shared" ca="1" si="69"/>
        <v>-</v>
      </c>
      <c r="X1507" t="str">
        <f t="shared" ca="1" si="70"/>
        <v>-</v>
      </c>
      <c r="Y1507" s="1" t="str">
        <f t="shared" ca="1" si="71"/>
        <v>-</v>
      </c>
    </row>
    <row r="1508" spans="1:25" x14ac:dyDescent="0.25">
      <c r="A1508" t="s">
        <v>1572</v>
      </c>
      <c r="B1508" t="s">
        <v>1574</v>
      </c>
      <c r="C1508" t="s">
        <v>1574</v>
      </c>
      <c r="D1508" t="s">
        <v>1574</v>
      </c>
      <c r="E1508" t="s">
        <v>1574</v>
      </c>
      <c r="F1508" t="s">
        <v>1575</v>
      </c>
      <c r="G1508" t="s">
        <v>1574</v>
      </c>
      <c r="H1508" t="s">
        <v>1574</v>
      </c>
      <c r="I1508" t="s">
        <v>1576</v>
      </c>
      <c r="J1508" t="s">
        <v>1573</v>
      </c>
      <c r="K1508" t="s">
        <v>1577</v>
      </c>
      <c r="L1508" t="s">
        <v>1574</v>
      </c>
      <c r="M1508" t="s">
        <v>1574</v>
      </c>
      <c r="N1508" t="s">
        <v>1574</v>
      </c>
      <c r="O1508" t="s">
        <v>1578</v>
      </c>
      <c r="P1508" t="s">
        <v>1576</v>
      </c>
      <c r="Q1508" t="s">
        <v>1579</v>
      </c>
      <c r="R1508" t="s">
        <v>1580</v>
      </c>
      <c r="S1508" t="s">
        <v>1580</v>
      </c>
      <c r="T1508" t="s">
        <v>1576</v>
      </c>
      <c r="U1508" t="s">
        <v>1576</v>
      </c>
      <c r="V1508" t="str" cm="1">
        <f t="array" aca="1" ref="V1508" ca="1">IFERROR(_xlfn.IFS(A1506="  ..............",OFFSET(A1506,2,0),A1505=" X-------------X",OFFSET(A1505,3,0),MATCH("  ..............",A1508:A1517,0)&gt;2,V1507),"-")</f>
        <v>-</v>
      </c>
      <c r="W1508" t="str">
        <f t="shared" ca="1" si="69"/>
        <v>-</v>
      </c>
      <c r="X1508" t="str">
        <f t="shared" ca="1" si="70"/>
        <v/>
      </c>
      <c r="Y1508" s="1" t="str">
        <f t="shared" ca="1" si="71"/>
        <v/>
      </c>
    </row>
    <row r="1509" spans="1:25" x14ac:dyDescent="0.25">
      <c r="A1509" t="s">
        <v>2644</v>
      </c>
      <c r="B1509">
        <v>1.0209999999999999</v>
      </c>
      <c r="C1509">
        <v>1.3</v>
      </c>
      <c r="D1509">
        <v>0</v>
      </c>
      <c r="E1509">
        <v>7.1</v>
      </c>
      <c r="F1509">
        <v>0</v>
      </c>
      <c r="G1509">
        <v>3.8</v>
      </c>
      <c r="H1509">
        <v>0</v>
      </c>
      <c r="I1509" t="s">
        <v>1581</v>
      </c>
      <c r="J1509" t="s">
        <v>1581</v>
      </c>
      <c r="K1509" t="s">
        <v>1581</v>
      </c>
      <c r="L1509" t="s">
        <v>1581</v>
      </c>
      <c r="M1509" t="s">
        <v>1581</v>
      </c>
      <c r="N1509" t="s">
        <v>1581</v>
      </c>
      <c r="O1509" t="s">
        <v>1581</v>
      </c>
      <c r="P1509" t="s">
        <v>1581</v>
      </c>
      <c r="Q1509" t="s">
        <v>1581</v>
      </c>
      <c r="R1509" t="s">
        <v>1581</v>
      </c>
      <c r="S1509" t="s">
        <v>1581</v>
      </c>
      <c r="T1509" t="s">
        <v>1581</v>
      </c>
      <c r="U1509" t="s">
        <v>1581</v>
      </c>
      <c r="V1509" t="str" cm="1">
        <f t="array" aca="1" ref="V1509" ca="1">IFERROR(_xlfn.IFS(A1507="  ..............",OFFSET(A1507,2,0),A1506=" X-------------X",OFFSET(A1506,3,0),MATCH("  ..............",A1509:A1518,0)&gt;2,V1508),"-")</f>
        <v>-</v>
      </c>
      <c r="W1509" t="str">
        <f t="shared" ca="1" si="69"/>
        <v>-</v>
      </c>
      <c r="X1509" t="str">
        <f t="shared" ca="1" si="70"/>
        <v xml:space="preserve">              </v>
      </c>
      <c r="Y1509" s="1">
        <f t="shared" ca="1" si="71"/>
        <v>0</v>
      </c>
    </row>
    <row r="1510" spans="1:25" x14ac:dyDescent="0.25">
      <c r="A1510" t="s">
        <v>2645</v>
      </c>
      <c r="B1510">
        <v>-51.4</v>
      </c>
      <c r="C1510">
        <v>0</v>
      </c>
      <c r="D1510">
        <v>0</v>
      </c>
      <c r="E1510">
        <v>2.2999999999999998</v>
      </c>
      <c r="F1510">
        <v>0</v>
      </c>
      <c r="G1510">
        <v>0</v>
      </c>
      <c r="H1510">
        <v>0</v>
      </c>
      <c r="I1510" t="s">
        <v>1584</v>
      </c>
      <c r="J1510" t="s">
        <v>1585</v>
      </c>
      <c r="K1510" t="s">
        <v>1586</v>
      </c>
      <c r="L1510" t="s">
        <v>1587</v>
      </c>
      <c r="M1510" t="s">
        <v>1587</v>
      </c>
      <c r="N1510" t="s">
        <v>1586</v>
      </c>
      <c r="O1510" t="s">
        <v>1581</v>
      </c>
      <c r="P1510" t="s">
        <v>1581</v>
      </c>
      <c r="Q1510" t="s">
        <v>1581</v>
      </c>
      <c r="R1510" t="s">
        <v>1581</v>
      </c>
      <c r="S1510" t="s">
        <v>1581</v>
      </c>
      <c r="T1510" t="s">
        <v>1581</v>
      </c>
      <c r="U1510" t="s">
        <v>1581</v>
      </c>
      <c r="V1510" t="str" cm="1">
        <f t="array" aca="1" ref="V1510" ca="1">IFERROR(_xlfn.IFS(A1508="  ..............",OFFSET(A1508,2,0),A1507=" X-------------X",OFFSET(A1507,3,0),MATCH("  ..............",A1510:A1519,0)&gt;2,V1509),"-")</f>
        <v xml:space="preserve">  CAL1-A-RS023  </v>
      </c>
      <c r="W1510">
        <f t="shared" ca="1" si="69"/>
        <v>1.0209999999999999</v>
      </c>
      <c r="X1510" t="str">
        <f t="shared" ca="1" si="70"/>
        <v xml:space="preserve"> CRUZAL-RS138 </v>
      </c>
      <c r="Y1510" s="1">
        <f t="shared" ca="1" si="71"/>
        <v>0.187</v>
      </c>
    </row>
    <row r="1511" spans="1:25" x14ac:dyDescent="0.25">
      <c r="A1511" t="s">
        <v>1588</v>
      </c>
      <c r="B1511" t="s">
        <v>1587</v>
      </c>
      <c r="C1511">
        <v>25</v>
      </c>
      <c r="D1511">
        <v>25</v>
      </c>
      <c r="E1511">
        <v>25</v>
      </c>
      <c r="F1511" s="1">
        <v>0.44700000000000001</v>
      </c>
      <c r="G1511" t="s">
        <v>1587</v>
      </c>
      <c r="H1511" t="s">
        <v>1587</v>
      </c>
      <c r="I1511">
        <v>2061</v>
      </c>
      <c r="J1511" t="s">
        <v>1710</v>
      </c>
      <c r="K1511">
        <v>1</v>
      </c>
      <c r="L1511">
        <v>-11.4</v>
      </c>
      <c r="M1511">
        <v>-0.6</v>
      </c>
      <c r="N1511">
        <v>11.2</v>
      </c>
      <c r="O1511" t="s">
        <v>1594</v>
      </c>
      <c r="P1511" t="s">
        <v>1584</v>
      </c>
      <c r="Q1511" t="s">
        <v>1591</v>
      </c>
      <c r="R1511">
        <v>0</v>
      </c>
      <c r="S1511">
        <v>0.52</v>
      </c>
      <c r="T1511" t="s">
        <v>1584</v>
      </c>
      <c r="U1511" t="s">
        <v>1592</v>
      </c>
      <c r="V1511" t="str" cm="1">
        <f t="array" aca="1" ref="V1511" ca="1">IFERROR(_xlfn.IFS(A1509="  ..............",OFFSET(A1509,2,0),A1508=" X-------------X",OFFSET(A1508,3,0),MATCH("  ..............",A1511:A1520,0)&gt;2,V1510),"-")</f>
        <v xml:space="preserve">  CAL1-A-RS023  </v>
      </c>
      <c r="W1511">
        <f t="shared" ca="1" si="69"/>
        <v>1.0209999999999999</v>
      </c>
      <c r="X1511" t="str">
        <f t="shared" ca="1" si="70"/>
        <v xml:space="preserve"> COPRE2-RS023 </v>
      </c>
      <c r="Y1511" s="1">
        <f t="shared" ca="1" si="71"/>
        <v>0</v>
      </c>
    </row>
    <row r="1512" spans="1:25" x14ac:dyDescent="0.25">
      <c r="A1512" t="s">
        <v>1588</v>
      </c>
      <c r="B1512" t="s">
        <v>1587</v>
      </c>
      <c r="C1512">
        <v>9999</v>
      </c>
      <c r="D1512">
        <v>9999</v>
      </c>
      <c r="E1512">
        <v>9999</v>
      </c>
      <c r="F1512" s="1">
        <v>0</v>
      </c>
      <c r="G1512" t="s">
        <v>1587</v>
      </c>
      <c r="H1512" t="s">
        <v>1587</v>
      </c>
      <c r="I1512">
        <v>9655</v>
      </c>
      <c r="J1512" t="s">
        <v>2646</v>
      </c>
      <c r="K1512">
        <v>1</v>
      </c>
      <c r="L1512">
        <v>5.6</v>
      </c>
      <c r="M1512">
        <v>2.1</v>
      </c>
      <c r="N1512">
        <v>5.9</v>
      </c>
      <c r="O1512" t="s">
        <v>1594</v>
      </c>
      <c r="P1512" t="s">
        <v>1584</v>
      </c>
      <c r="Q1512" t="s">
        <v>1591</v>
      </c>
      <c r="R1512">
        <v>0</v>
      </c>
      <c r="S1512">
        <v>-0.01</v>
      </c>
      <c r="T1512" t="s">
        <v>1584</v>
      </c>
      <c r="U1512" t="s">
        <v>1592</v>
      </c>
      <c r="V1512" t="str" cm="1">
        <f t="array" aca="1" ref="V1512" ca="1">IFERROR(_xlfn.IFS(A1510="  ..............",OFFSET(A1510,2,0),A1509=" X-------------X",OFFSET(A1509,3,0),MATCH("  ..............",A1512:A1521,0)&gt;2,V1511),"-")</f>
        <v>-</v>
      </c>
      <c r="W1512" t="str">
        <f t="shared" ca="1" si="69"/>
        <v>-</v>
      </c>
      <c r="X1512" t="str">
        <f t="shared" ca="1" si="70"/>
        <v>-</v>
      </c>
      <c r="Y1512" s="1" t="str">
        <f t="shared" ca="1" si="71"/>
        <v>-</v>
      </c>
    </row>
    <row r="1513" spans="1:25" x14ac:dyDescent="0.25">
      <c r="A1513" t="s">
        <v>1572</v>
      </c>
      <c r="B1513" t="s">
        <v>1574</v>
      </c>
      <c r="C1513" t="s">
        <v>1574</v>
      </c>
      <c r="D1513" t="s">
        <v>1574</v>
      </c>
      <c r="E1513" t="s">
        <v>1574</v>
      </c>
      <c r="F1513" t="s">
        <v>1575</v>
      </c>
      <c r="G1513" t="s">
        <v>1574</v>
      </c>
      <c r="H1513" t="s">
        <v>1574</v>
      </c>
      <c r="I1513" t="s">
        <v>1576</v>
      </c>
      <c r="J1513" t="s">
        <v>1573</v>
      </c>
      <c r="K1513" t="s">
        <v>1577</v>
      </c>
      <c r="L1513" t="s">
        <v>1574</v>
      </c>
      <c r="M1513" t="s">
        <v>1574</v>
      </c>
      <c r="N1513" t="s">
        <v>1574</v>
      </c>
      <c r="O1513" t="s">
        <v>1578</v>
      </c>
      <c r="P1513" t="s">
        <v>1576</v>
      </c>
      <c r="Q1513" t="s">
        <v>1579</v>
      </c>
      <c r="R1513" t="s">
        <v>1580</v>
      </c>
      <c r="S1513" t="s">
        <v>1580</v>
      </c>
      <c r="T1513" t="s">
        <v>1576</v>
      </c>
      <c r="U1513" t="s">
        <v>1576</v>
      </c>
      <c r="V1513" t="str" cm="1">
        <f t="array" aca="1" ref="V1513" ca="1">IFERROR(_xlfn.IFS(A1511="  ..............",OFFSET(A1511,2,0),A1510=" X-------------X",OFFSET(A1510,3,0),MATCH("  ..............",A1513:A1522,0)&gt;2,V1512),"-")</f>
        <v>-</v>
      </c>
      <c r="W1513" t="str">
        <f t="shared" ca="1" si="69"/>
        <v>-</v>
      </c>
      <c r="X1513" t="str">
        <f t="shared" ca="1" si="70"/>
        <v/>
      </c>
      <c r="Y1513" s="1" t="str">
        <f t="shared" ca="1" si="71"/>
        <v/>
      </c>
    </row>
    <row r="1514" spans="1:25" x14ac:dyDescent="0.25">
      <c r="A1514" t="s">
        <v>2647</v>
      </c>
      <c r="B1514">
        <v>1.028</v>
      </c>
      <c r="C1514">
        <v>2.7</v>
      </c>
      <c r="D1514">
        <v>0</v>
      </c>
      <c r="E1514">
        <v>25.7</v>
      </c>
      <c r="F1514">
        <v>0</v>
      </c>
      <c r="G1514">
        <v>0</v>
      </c>
      <c r="H1514">
        <v>0</v>
      </c>
      <c r="I1514" t="s">
        <v>1581</v>
      </c>
      <c r="J1514" t="s">
        <v>1581</v>
      </c>
      <c r="K1514" t="s">
        <v>1581</v>
      </c>
      <c r="L1514" t="s">
        <v>1581</v>
      </c>
      <c r="M1514" t="s">
        <v>1581</v>
      </c>
      <c r="N1514" t="s">
        <v>1581</v>
      </c>
      <c r="O1514" t="s">
        <v>1581</v>
      </c>
      <c r="P1514" t="s">
        <v>1581</v>
      </c>
      <c r="Q1514" t="s">
        <v>1581</v>
      </c>
      <c r="R1514" t="s">
        <v>1581</v>
      </c>
      <c r="S1514" t="s">
        <v>1581</v>
      </c>
      <c r="T1514" t="s">
        <v>1581</v>
      </c>
      <c r="U1514" t="s">
        <v>1581</v>
      </c>
      <c r="V1514" t="str" cm="1">
        <f t="array" aca="1" ref="V1514" ca="1">IFERROR(_xlfn.IFS(A1512="  ..............",OFFSET(A1512,2,0),A1511=" X-------------X",OFFSET(A1511,3,0),MATCH("  ..............",A1514:A1523,0)&gt;2,V1513),"-")</f>
        <v>-</v>
      </c>
      <c r="W1514" t="str">
        <f t="shared" ca="1" si="69"/>
        <v>-</v>
      </c>
      <c r="X1514" t="str">
        <f t="shared" ca="1" si="70"/>
        <v xml:space="preserve">              </v>
      </c>
      <c r="Y1514" s="1">
        <f t="shared" ca="1" si="71"/>
        <v>0</v>
      </c>
    </row>
    <row r="1515" spans="1:25" x14ac:dyDescent="0.25">
      <c r="A1515" t="s">
        <v>2648</v>
      </c>
      <c r="B1515">
        <v>-51</v>
      </c>
      <c r="C1515">
        <v>0</v>
      </c>
      <c r="D1515">
        <v>0</v>
      </c>
      <c r="E1515">
        <v>9.5</v>
      </c>
      <c r="F1515">
        <v>0</v>
      </c>
      <c r="G1515">
        <v>0</v>
      </c>
      <c r="H1515">
        <v>0</v>
      </c>
      <c r="I1515" t="s">
        <v>1584</v>
      </c>
      <c r="J1515" t="s">
        <v>1585</v>
      </c>
      <c r="K1515" t="s">
        <v>1586</v>
      </c>
      <c r="L1515" t="s">
        <v>1587</v>
      </c>
      <c r="M1515" t="s">
        <v>1587</v>
      </c>
      <c r="N1515" t="s">
        <v>1586</v>
      </c>
      <c r="O1515" t="s">
        <v>1581</v>
      </c>
      <c r="P1515" t="s">
        <v>1581</v>
      </c>
      <c r="Q1515" t="s">
        <v>1581</v>
      </c>
      <c r="R1515" t="s">
        <v>1581</v>
      </c>
      <c r="S1515" t="s">
        <v>1581</v>
      </c>
      <c r="T1515" t="s">
        <v>1581</v>
      </c>
      <c r="U1515" t="s">
        <v>1581</v>
      </c>
      <c r="V1515" t="str" cm="1">
        <f t="array" aca="1" ref="V1515" ca="1">IFERROR(_xlfn.IFS(A1513="  ..............",OFFSET(A1513,2,0),A1512=" X-------------X",OFFSET(A1512,3,0),MATCH("  ..............",A1515:A1524,0)&gt;2,V1514),"-")</f>
        <v xml:space="preserve">  CAXIA7-RS069  </v>
      </c>
      <c r="W1515">
        <f t="shared" ca="1" si="69"/>
        <v>1.028</v>
      </c>
      <c r="X1515" t="str">
        <f t="shared" ca="1" si="70"/>
        <v xml:space="preserve"> CAXIA6-RS069 </v>
      </c>
      <c r="Y1515" s="1">
        <f t="shared" ca="1" si="71"/>
        <v>0.29499999999999998</v>
      </c>
    </row>
    <row r="1516" spans="1:25" x14ac:dyDescent="0.25">
      <c r="A1516" t="s">
        <v>1588</v>
      </c>
      <c r="B1516" t="s">
        <v>1587</v>
      </c>
      <c r="C1516">
        <v>84</v>
      </c>
      <c r="D1516">
        <v>101</v>
      </c>
      <c r="E1516">
        <v>101</v>
      </c>
      <c r="F1516" s="1">
        <v>0.14399999999999999</v>
      </c>
      <c r="G1516" t="s">
        <v>1587</v>
      </c>
      <c r="H1516" t="s">
        <v>1587</v>
      </c>
      <c r="I1516">
        <v>1387</v>
      </c>
      <c r="J1516" t="s">
        <v>2178</v>
      </c>
      <c r="K1516">
        <v>1</v>
      </c>
      <c r="L1516">
        <v>-11.5</v>
      </c>
      <c r="M1516">
        <v>-4.8</v>
      </c>
      <c r="N1516">
        <v>12.1</v>
      </c>
      <c r="O1516" t="s">
        <v>1594</v>
      </c>
      <c r="P1516" t="s">
        <v>1584</v>
      </c>
      <c r="Q1516" t="s">
        <v>1591</v>
      </c>
      <c r="R1516">
        <v>0.04</v>
      </c>
      <c r="S1516">
        <v>-0.01</v>
      </c>
      <c r="T1516" t="s">
        <v>1584</v>
      </c>
      <c r="U1516" t="s">
        <v>1592</v>
      </c>
      <c r="V1516" t="str" cm="1">
        <f t="array" aca="1" ref="V1516" ca="1">IFERROR(_xlfn.IFS(A1514="  ..............",OFFSET(A1514,2,0),A1513=" X-------------X",OFFSET(A1513,3,0),MATCH("  ..............",A1516:A1525,0)&gt;2,V1515),"-")</f>
        <v xml:space="preserve">  CAXIA7-RS069  </v>
      </c>
      <c r="W1516">
        <f t="shared" ca="1" si="69"/>
        <v>1.028</v>
      </c>
      <c r="X1516" t="str">
        <f t="shared" ca="1" si="70"/>
        <v xml:space="preserve"> CAXIA6-RS069 </v>
      </c>
      <c r="Y1516" s="1">
        <f t="shared" ca="1" si="71"/>
        <v>0.29499999999999998</v>
      </c>
    </row>
    <row r="1517" spans="1:25" x14ac:dyDescent="0.25">
      <c r="A1517" t="s">
        <v>1588</v>
      </c>
      <c r="B1517" t="s">
        <v>1587</v>
      </c>
      <c r="C1517">
        <v>84</v>
      </c>
      <c r="D1517">
        <v>101</v>
      </c>
      <c r="E1517">
        <v>101</v>
      </c>
      <c r="F1517" s="1">
        <v>0.14399999999999999</v>
      </c>
      <c r="G1517" t="s">
        <v>1587</v>
      </c>
      <c r="H1517" t="s">
        <v>1587</v>
      </c>
      <c r="I1517">
        <v>1387</v>
      </c>
      <c r="J1517" t="s">
        <v>2178</v>
      </c>
      <c r="K1517">
        <v>2</v>
      </c>
      <c r="L1517">
        <v>-11.5</v>
      </c>
      <c r="M1517">
        <v>-4.7</v>
      </c>
      <c r="N1517">
        <v>12.1</v>
      </c>
      <c r="O1517" t="s">
        <v>1594</v>
      </c>
      <c r="P1517" t="s">
        <v>1584</v>
      </c>
      <c r="Q1517" t="s">
        <v>1591</v>
      </c>
      <c r="R1517">
        <v>0.04</v>
      </c>
      <c r="S1517">
        <v>-0.01</v>
      </c>
      <c r="T1517" t="s">
        <v>1584</v>
      </c>
      <c r="U1517" t="s">
        <v>1592</v>
      </c>
      <c r="V1517" t="str" cm="1">
        <f t="array" aca="1" ref="V1517" ca="1">IFERROR(_xlfn.IFS(A1515="  ..............",OFFSET(A1515,2,0),A1514=" X-------------X",OFFSET(A1514,3,0),MATCH("  ..............",A1517:A1526,0)&gt;2,V1516),"-")</f>
        <v>-</v>
      </c>
      <c r="W1517" t="str">
        <f t="shared" ca="1" si="69"/>
        <v>-</v>
      </c>
      <c r="X1517" t="str">
        <f t="shared" ca="1" si="70"/>
        <v>-</v>
      </c>
      <c r="Y1517" s="1" t="str">
        <f t="shared" ca="1" si="71"/>
        <v>-</v>
      </c>
    </row>
    <row r="1518" spans="1:25" x14ac:dyDescent="0.25">
      <c r="A1518" t="s">
        <v>1572</v>
      </c>
      <c r="B1518" t="s">
        <v>1574</v>
      </c>
      <c r="C1518" t="s">
        <v>1574</v>
      </c>
      <c r="D1518" t="s">
        <v>1574</v>
      </c>
      <c r="E1518" t="s">
        <v>1574</v>
      </c>
      <c r="F1518" t="s">
        <v>1575</v>
      </c>
      <c r="G1518" t="s">
        <v>1574</v>
      </c>
      <c r="H1518" t="s">
        <v>1574</v>
      </c>
      <c r="I1518" t="s">
        <v>1576</v>
      </c>
      <c r="J1518" t="s">
        <v>1573</v>
      </c>
      <c r="K1518" t="s">
        <v>1577</v>
      </c>
      <c r="L1518" t="s">
        <v>1574</v>
      </c>
      <c r="M1518" t="s">
        <v>1574</v>
      </c>
      <c r="N1518" t="s">
        <v>1574</v>
      </c>
      <c r="O1518" t="s">
        <v>1578</v>
      </c>
      <c r="P1518" t="s">
        <v>1576</v>
      </c>
      <c r="Q1518" t="s">
        <v>1579</v>
      </c>
      <c r="R1518" t="s">
        <v>1580</v>
      </c>
      <c r="S1518" t="s">
        <v>1580</v>
      </c>
      <c r="T1518" t="s">
        <v>1576</v>
      </c>
      <c r="U1518" t="s">
        <v>1576</v>
      </c>
      <c r="V1518" t="str" cm="1">
        <f t="array" aca="1" ref="V1518" ca="1">IFERROR(_xlfn.IFS(A1516="  ..............",OFFSET(A1516,2,0),A1515=" X-------------X",OFFSET(A1515,3,0),MATCH("  ..............",A1518:A1527,0)&gt;2,V1517),"-")</f>
        <v>-</v>
      </c>
      <c r="W1518" t="str">
        <f t="shared" ca="1" si="69"/>
        <v>-</v>
      </c>
      <c r="X1518" t="str">
        <f t="shared" ca="1" si="70"/>
        <v/>
      </c>
      <c r="Y1518" s="1" t="str">
        <f t="shared" ca="1" si="71"/>
        <v/>
      </c>
    </row>
    <row r="1519" spans="1:25" x14ac:dyDescent="0.25">
      <c r="A1519" t="s">
        <v>2649</v>
      </c>
      <c r="B1519">
        <v>1.0069999999999999</v>
      </c>
      <c r="C1519">
        <v>2.6</v>
      </c>
      <c r="D1519">
        <v>0</v>
      </c>
      <c r="E1519">
        <v>15.4</v>
      </c>
      <c r="F1519">
        <v>0</v>
      </c>
      <c r="G1519">
        <v>0</v>
      </c>
      <c r="H1519">
        <v>0</v>
      </c>
      <c r="I1519" t="s">
        <v>1581</v>
      </c>
      <c r="J1519" t="s">
        <v>1581</v>
      </c>
      <c r="K1519" t="s">
        <v>1581</v>
      </c>
      <c r="L1519" t="s">
        <v>1581</v>
      </c>
      <c r="M1519" t="s">
        <v>1581</v>
      </c>
      <c r="N1519" t="s">
        <v>1581</v>
      </c>
      <c r="O1519" t="s">
        <v>1581</v>
      </c>
      <c r="P1519" t="s">
        <v>1581</v>
      </c>
      <c r="Q1519" t="s">
        <v>1581</v>
      </c>
      <c r="R1519" t="s">
        <v>1581</v>
      </c>
      <c r="S1519" t="s">
        <v>1581</v>
      </c>
      <c r="T1519" t="s">
        <v>1581</v>
      </c>
      <c r="U1519" t="s">
        <v>1581</v>
      </c>
      <c r="V1519" t="str" cm="1">
        <f t="array" aca="1" ref="V1519" ca="1">IFERROR(_xlfn.IFS(A1517="  ..............",OFFSET(A1517,2,0),A1516=" X-------------X",OFFSET(A1516,3,0),MATCH("  ..............",A1519:A1528,0)&gt;2,V1518),"-")</f>
        <v>-</v>
      </c>
      <c r="W1519" t="str">
        <f t="shared" ca="1" si="69"/>
        <v>-</v>
      </c>
      <c r="X1519" t="str">
        <f t="shared" ca="1" si="70"/>
        <v xml:space="preserve">              </v>
      </c>
      <c r="Y1519" s="1">
        <f t="shared" ca="1" si="71"/>
        <v>0</v>
      </c>
    </row>
    <row r="1520" spans="1:25" x14ac:dyDescent="0.25">
      <c r="A1520" t="s">
        <v>2650</v>
      </c>
      <c r="B1520">
        <v>-53.3</v>
      </c>
      <c r="C1520">
        <v>0</v>
      </c>
      <c r="D1520">
        <v>0</v>
      </c>
      <c r="E1520">
        <v>4.7</v>
      </c>
      <c r="F1520">
        <v>0</v>
      </c>
      <c r="G1520">
        <v>0</v>
      </c>
      <c r="H1520">
        <v>0</v>
      </c>
      <c r="I1520" t="s">
        <v>1584</v>
      </c>
      <c r="J1520" t="s">
        <v>1585</v>
      </c>
      <c r="K1520" t="s">
        <v>1586</v>
      </c>
      <c r="L1520" t="s">
        <v>1587</v>
      </c>
      <c r="M1520" t="s">
        <v>1587</v>
      </c>
      <c r="N1520" t="s">
        <v>1586</v>
      </c>
      <c r="O1520" t="s">
        <v>1581</v>
      </c>
      <c r="P1520" t="s">
        <v>1581</v>
      </c>
      <c r="Q1520" t="s">
        <v>1581</v>
      </c>
      <c r="R1520" t="s">
        <v>1581</v>
      </c>
      <c r="S1520" t="s">
        <v>1581</v>
      </c>
      <c r="T1520" t="s">
        <v>1581</v>
      </c>
      <c r="U1520" t="s">
        <v>1581</v>
      </c>
      <c r="V1520" t="str" cm="1">
        <f t="array" aca="1" ref="V1520" ca="1">IFERROR(_xlfn.IFS(A1518="  ..............",OFFSET(A1518,2,0),A1517=" X-------------X",OFFSET(A1517,3,0),MATCH("  ..............",A1520:A1529,0)&gt;2,V1519),"-")</f>
        <v xml:space="preserve">  ROLANT-RS138  </v>
      </c>
      <c r="W1520">
        <f t="shared" ca="1" si="69"/>
        <v>1.0069999999999999</v>
      </c>
      <c r="X1520" t="str">
        <f t="shared" ca="1" si="70"/>
        <v xml:space="preserve"> TAQUAR-RS138 </v>
      </c>
      <c r="Y1520" s="1">
        <f t="shared" ca="1" si="71"/>
        <v>0.33500000000000002</v>
      </c>
    </row>
    <row r="1521" spans="1:25" x14ac:dyDescent="0.25">
      <c r="A1521" t="s">
        <v>1588</v>
      </c>
      <c r="B1521" t="s">
        <v>1587</v>
      </c>
      <c r="C1521">
        <v>134</v>
      </c>
      <c r="D1521">
        <v>162</v>
      </c>
      <c r="E1521">
        <v>162</v>
      </c>
      <c r="F1521" s="1">
        <v>0.10100000000000001</v>
      </c>
      <c r="G1521" t="s">
        <v>1587</v>
      </c>
      <c r="H1521" t="s">
        <v>1587</v>
      </c>
      <c r="I1521">
        <v>2094</v>
      </c>
      <c r="J1521" t="s">
        <v>1983</v>
      </c>
      <c r="K1521">
        <v>1</v>
      </c>
      <c r="L1521">
        <v>-12.8</v>
      </c>
      <c r="M1521">
        <v>-4.7</v>
      </c>
      <c r="N1521">
        <v>13.5</v>
      </c>
      <c r="O1521" t="s">
        <v>1594</v>
      </c>
      <c r="P1521" t="s">
        <v>1584</v>
      </c>
      <c r="Q1521" t="s">
        <v>1591</v>
      </c>
      <c r="R1521">
        <v>0.05</v>
      </c>
      <c r="S1521">
        <v>-1.89</v>
      </c>
      <c r="T1521" t="s">
        <v>1584</v>
      </c>
      <c r="U1521" t="s">
        <v>1592</v>
      </c>
      <c r="V1521" t="str" cm="1">
        <f t="array" aca="1" ref="V1521" ca="1">IFERROR(_xlfn.IFS(A1519="  ..............",OFFSET(A1519,2,0),A1518=" X-------------X",OFFSET(A1518,3,0),MATCH("  ..............",A1521:A1530,0)&gt;2,V1520),"-")</f>
        <v>-</v>
      </c>
      <c r="W1521" t="str">
        <f t="shared" ca="1" si="69"/>
        <v>-</v>
      </c>
      <c r="X1521" t="str">
        <f t="shared" ca="1" si="70"/>
        <v>-</v>
      </c>
      <c r="Y1521" s="1" t="str">
        <f t="shared" ca="1" si="71"/>
        <v>-</v>
      </c>
    </row>
    <row r="1522" spans="1:25" x14ac:dyDescent="0.25">
      <c r="A1522" t="s">
        <v>1572</v>
      </c>
      <c r="B1522" t="s">
        <v>1574</v>
      </c>
      <c r="C1522" t="s">
        <v>1574</v>
      </c>
      <c r="D1522" t="s">
        <v>1574</v>
      </c>
      <c r="E1522" t="s">
        <v>1574</v>
      </c>
      <c r="F1522" t="s">
        <v>1575</v>
      </c>
      <c r="G1522" t="s">
        <v>1574</v>
      </c>
      <c r="H1522" t="s">
        <v>1574</v>
      </c>
      <c r="I1522" t="s">
        <v>1576</v>
      </c>
      <c r="J1522" t="s">
        <v>1573</v>
      </c>
      <c r="K1522" t="s">
        <v>1577</v>
      </c>
      <c r="L1522" t="s">
        <v>1574</v>
      </c>
      <c r="M1522" t="s">
        <v>1574</v>
      </c>
      <c r="N1522" t="s">
        <v>1574</v>
      </c>
      <c r="O1522" t="s">
        <v>1578</v>
      </c>
      <c r="P1522" t="s">
        <v>1576</v>
      </c>
      <c r="Q1522" t="s">
        <v>1579</v>
      </c>
      <c r="R1522" t="s">
        <v>1580</v>
      </c>
      <c r="S1522" t="s">
        <v>1580</v>
      </c>
      <c r="T1522" t="s">
        <v>1576</v>
      </c>
      <c r="U1522" t="s">
        <v>1576</v>
      </c>
      <c r="V1522" t="str" cm="1">
        <f t="array" aca="1" ref="V1522" ca="1">IFERROR(_xlfn.IFS(A1520="  ..............",OFFSET(A1520,2,0),A1519=" X-------------X",OFFSET(A1519,3,0),MATCH("  ..............",A1522:A1531,0)&gt;2,V1521),"-")</f>
        <v>-</v>
      </c>
      <c r="W1522" t="str">
        <f t="shared" ca="1" si="69"/>
        <v>-</v>
      </c>
      <c r="X1522" t="str">
        <f t="shared" ca="1" si="70"/>
        <v/>
      </c>
      <c r="Y1522" s="1" t="str">
        <f t="shared" ca="1" si="71"/>
        <v/>
      </c>
    </row>
    <row r="1523" spans="1:25" x14ac:dyDescent="0.25">
      <c r="A1523" t="s">
        <v>2651</v>
      </c>
      <c r="B1523">
        <v>1.016</v>
      </c>
      <c r="C1523">
        <v>2.4</v>
      </c>
      <c r="D1523">
        <v>0</v>
      </c>
      <c r="E1523">
        <v>11</v>
      </c>
      <c r="F1523">
        <v>0</v>
      </c>
      <c r="G1523">
        <v>0</v>
      </c>
      <c r="H1523">
        <v>0</v>
      </c>
      <c r="I1523" t="s">
        <v>1581</v>
      </c>
      <c r="J1523" t="s">
        <v>1581</v>
      </c>
      <c r="K1523" t="s">
        <v>1581</v>
      </c>
      <c r="L1523" t="s">
        <v>1581</v>
      </c>
      <c r="M1523" t="s">
        <v>1581</v>
      </c>
      <c r="N1523" t="s">
        <v>1581</v>
      </c>
      <c r="O1523" t="s">
        <v>1581</v>
      </c>
      <c r="P1523" t="s">
        <v>1581</v>
      </c>
      <c r="Q1523" t="s">
        <v>1581</v>
      </c>
      <c r="R1523" t="s">
        <v>1581</v>
      </c>
      <c r="S1523" t="s">
        <v>1581</v>
      </c>
      <c r="T1523" t="s">
        <v>1581</v>
      </c>
      <c r="U1523" t="s">
        <v>1581</v>
      </c>
      <c r="V1523" t="str" cm="1">
        <f t="array" aca="1" ref="V1523" ca="1">IFERROR(_xlfn.IFS(A1521="  ..............",OFFSET(A1521,2,0),A1520=" X-------------X",OFFSET(A1520,3,0),MATCH("  ..............",A1523:A1532,0)&gt;2,V1522),"-")</f>
        <v>-</v>
      </c>
      <c r="W1523" t="str">
        <f t="shared" ca="1" si="69"/>
        <v>-</v>
      </c>
      <c r="X1523" t="str">
        <f t="shared" ca="1" si="70"/>
        <v xml:space="preserve">              </v>
      </c>
      <c r="Y1523" s="1">
        <f t="shared" ca="1" si="71"/>
        <v>0</v>
      </c>
    </row>
    <row r="1524" spans="1:25" x14ac:dyDescent="0.25">
      <c r="A1524" t="s">
        <v>2652</v>
      </c>
      <c r="B1524">
        <v>-46.5</v>
      </c>
      <c r="C1524">
        <v>0</v>
      </c>
      <c r="D1524">
        <v>0</v>
      </c>
      <c r="E1524">
        <v>5.3</v>
      </c>
      <c r="F1524">
        <v>0</v>
      </c>
      <c r="G1524">
        <v>0</v>
      </c>
      <c r="H1524">
        <v>0</v>
      </c>
      <c r="I1524" t="s">
        <v>1584</v>
      </c>
      <c r="J1524" t="s">
        <v>1585</v>
      </c>
      <c r="K1524" t="s">
        <v>1586</v>
      </c>
      <c r="L1524" t="s">
        <v>1587</v>
      </c>
      <c r="M1524" t="s">
        <v>1587</v>
      </c>
      <c r="N1524" t="s">
        <v>1586</v>
      </c>
      <c r="O1524" t="s">
        <v>1581</v>
      </c>
      <c r="P1524" t="s">
        <v>1581</v>
      </c>
      <c r="Q1524" t="s">
        <v>1581</v>
      </c>
      <c r="R1524" t="s">
        <v>1581</v>
      </c>
      <c r="S1524" t="s">
        <v>1581</v>
      </c>
      <c r="T1524" t="s">
        <v>1581</v>
      </c>
      <c r="U1524" t="s">
        <v>1581</v>
      </c>
      <c r="V1524" t="str" cm="1">
        <f t="array" aca="1" ref="V1524" ca="1">IFERROR(_xlfn.IFS(A1522="  ..............",OFFSET(A1522,2,0),A1521=" X-------------X",OFFSET(A1521,3,0),MATCH("  ..............",A1524:A1533,0)&gt;2,V1523),"-")</f>
        <v xml:space="preserve">  SANAND-RS138  </v>
      </c>
      <c r="W1524">
        <f t="shared" ca="1" si="69"/>
        <v>1.016</v>
      </c>
      <c r="X1524" t="str">
        <f t="shared" ca="1" si="70"/>
        <v xml:space="preserve"> SANANDTAP138 </v>
      </c>
      <c r="Y1524" s="1">
        <f t="shared" ca="1" si="71"/>
        <v>0.42599999999999999</v>
      </c>
    </row>
    <row r="1525" spans="1:25" x14ac:dyDescent="0.25">
      <c r="A1525" t="s">
        <v>1588</v>
      </c>
      <c r="B1525" t="s">
        <v>1587</v>
      </c>
      <c r="C1525">
        <v>167</v>
      </c>
      <c r="D1525">
        <v>203</v>
      </c>
      <c r="E1525">
        <v>203</v>
      </c>
      <c r="F1525" s="1">
        <v>0.06</v>
      </c>
      <c r="G1525" t="s">
        <v>1587</v>
      </c>
      <c r="H1525" t="s">
        <v>1587</v>
      </c>
      <c r="I1525">
        <v>9679</v>
      </c>
      <c r="J1525" t="s">
        <v>2084</v>
      </c>
      <c r="K1525">
        <v>1</v>
      </c>
      <c r="L1525">
        <v>-8.6</v>
      </c>
      <c r="M1525">
        <v>-5.3</v>
      </c>
      <c r="N1525">
        <v>9.9</v>
      </c>
      <c r="O1525" t="s">
        <v>1594</v>
      </c>
      <c r="P1525" t="s">
        <v>1584</v>
      </c>
      <c r="Q1525" t="s">
        <v>1591</v>
      </c>
      <c r="R1525">
        <v>0.01</v>
      </c>
      <c r="S1525">
        <v>-1.31</v>
      </c>
      <c r="T1525" t="s">
        <v>1584</v>
      </c>
      <c r="U1525" t="s">
        <v>1592</v>
      </c>
      <c r="V1525" t="str" cm="1">
        <f t="array" aca="1" ref="V1525" ca="1">IFERROR(_xlfn.IFS(A1523="  ..............",OFFSET(A1523,2,0),A1522=" X-------------X",OFFSET(A1522,3,0),MATCH("  ..............",A1525:A1534,0)&gt;2,V1524),"-")</f>
        <v>-</v>
      </c>
      <c r="W1525" t="str">
        <f t="shared" ca="1" si="69"/>
        <v>-</v>
      </c>
      <c r="X1525" t="str">
        <f t="shared" ca="1" si="70"/>
        <v>-</v>
      </c>
      <c r="Y1525" s="1" t="str">
        <f t="shared" ca="1" si="71"/>
        <v>-</v>
      </c>
    </row>
    <row r="1526" spans="1:25" x14ac:dyDescent="0.25">
      <c r="A1526" t="s">
        <v>1572</v>
      </c>
      <c r="B1526" t="s">
        <v>1574</v>
      </c>
      <c r="C1526" t="s">
        <v>1574</v>
      </c>
      <c r="D1526" t="s">
        <v>1574</v>
      </c>
      <c r="E1526" t="s">
        <v>1574</v>
      </c>
      <c r="F1526" t="s">
        <v>1575</v>
      </c>
      <c r="G1526" t="s">
        <v>1574</v>
      </c>
      <c r="H1526" t="s">
        <v>1574</v>
      </c>
      <c r="I1526" t="s">
        <v>1576</v>
      </c>
      <c r="J1526" t="s">
        <v>1573</v>
      </c>
      <c r="K1526" t="s">
        <v>1577</v>
      </c>
      <c r="L1526" t="s">
        <v>1574</v>
      </c>
      <c r="M1526" t="s">
        <v>1574</v>
      </c>
      <c r="N1526" t="s">
        <v>1574</v>
      </c>
      <c r="O1526" t="s">
        <v>1578</v>
      </c>
      <c r="P1526" t="s">
        <v>1576</v>
      </c>
      <c r="Q1526" t="s">
        <v>1579</v>
      </c>
      <c r="R1526" t="s">
        <v>1580</v>
      </c>
      <c r="S1526" t="s">
        <v>1580</v>
      </c>
      <c r="T1526" t="s">
        <v>1576</v>
      </c>
      <c r="U1526" t="s">
        <v>1576</v>
      </c>
      <c r="V1526" t="str" cm="1">
        <f t="array" aca="1" ref="V1526" ca="1">IFERROR(_xlfn.IFS(A1524="  ..............",OFFSET(A1524,2,0),A1523=" X-------------X",OFFSET(A1523,3,0),MATCH("  ..............",A1526:A1535,0)&gt;2,V1525),"-")</f>
        <v>-</v>
      </c>
      <c r="W1526" t="str">
        <f t="shared" ca="1" si="69"/>
        <v>-</v>
      </c>
      <c r="X1526" t="str">
        <f t="shared" ca="1" si="70"/>
        <v xml:space="preserve"> V11.06.02    </v>
      </c>
      <c r="Y1526" s="1" t="str">
        <f t="shared" ca="1" si="71"/>
        <v xml:space="preserve">A - PROGRAMA </v>
      </c>
    </row>
    <row r="1527" spans="1:25" x14ac:dyDescent="0.25">
      <c r="A1527" t="s">
        <v>1725</v>
      </c>
      <c r="B1527" t="s">
        <v>1726</v>
      </c>
      <c r="C1527" t="s">
        <v>1727</v>
      </c>
      <c r="D1527" t="s">
        <v>1728</v>
      </c>
      <c r="E1527" t="s">
        <v>1729</v>
      </c>
      <c r="F1527" t="s">
        <v>1730</v>
      </c>
      <c r="G1527" t="s">
        <v>1731</v>
      </c>
      <c r="H1527" t="s">
        <v>1732</v>
      </c>
      <c r="I1527" t="s">
        <v>1733</v>
      </c>
      <c r="J1527" t="s">
        <v>1734</v>
      </c>
      <c r="K1527" t="s">
        <v>1586</v>
      </c>
      <c r="L1527" t="s">
        <v>1587</v>
      </c>
      <c r="M1527" t="s">
        <v>1587</v>
      </c>
      <c r="N1527" t="s">
        <v>1587</v>
      </c>
      <c r="O1527" t="s">
        <v>1735</v>
      </c>
      <c r="P1527">
        <v>10</v>
      </c>
      <c r="Q1527" t="s">
        <v>1581</v>
      </c>
      <c r="R1527" t="s">
        <v>1581</v>
      </c>
      <c r="S1527" t="s">
        <v>1581</v>
      </c>
      <c r="T1527" t="s">
        <v>1581</v>
      </c>
      <c r="U1527" t="s">
        <v>1581</v>
      </c>
      <c r="V1527" t="str" cm="1">
        <f t="array" aca="1" ref="V1527" ca="1">IFERROR(_xlfn.IFS(A1525="  ..............",OFFSET(A1525,2,0),A1524=" X-------------X",OFFSET(A1524,3,0),MATCH("  ..............",A1527:A1536,0)&gt;2,V1526),"-")</f>
        <v>-</v>
      </c>
      <c r="W1527" t="str">
        <f t="shared" ca="1" si="69"/>
        <v>-</v>
      </c>
      <c r="X1527" t="str">
        <f t="shared" ca="1" si="70"/>
        <v/>
      </c>
      <c r="Y1527" s="1" t="str">
        <f t="shared" ca="1" si="71"/>
        <v/>
      </c>
    </row>
    <row r="1528" spans="1:25" x14ac:dyDescent="0.25">
      <c r="A1528" t="s">
        <v>1581</v>
      </c>
      <c r="B1528" t="s">
        <v>1581</v>
      </c>
      <c r="C1528" t="s">
        <v>1581</v>
      </c>
      <c r="D1528" t="s">
        <v>1581</v>
      </c>
      <c r="E1528" t="s">
        <v>1581</v>
      </c>
      <c r="F1528" t="s">
        <v>1581</v>
      </c>
      <c r="G1528" t="s">
        <v>1581</v>
      </c>
      <c r="H1528" t="s">
        <v>1581</v>
      </c>
      <c r="I1528" t="s">
        <v>1581</v>
      </c>
      <c r="J1528" t="s">
        <v>1581</v>
      </c>
      <c r="K1528" t="s">
        <v>1581</v>
      </c>
      <c r="L1528" t="s">
        <v>1581</v>
      </c>
      <c r="M1528" t="s">
        <v>1581</v>
      </c>
      <c r="N1528" t="s">
        <v>1581</v>
      </c>
      <c r="O1528" t="s">
        <v>1581</v>
      </c>
      <c r="P1528" t="s">
        <v>1581</v>
      </c>
      <c r="Q1528" t="s">
        <v>1581</v>
      </c>
      <c r="R1528" t="s">
        <v>1581</v>
      </c>
      <c r="S1528" t="s">
        <v>1581</v>
      </c>
      <c r="T1528" t="s">
        <v>1581</v>
      </c>
      <c r="U1528" t="s">
        <v>1581</v>
      </c>
      <c r="V1528" t="str" cm="1">
        <f t="array" aca="1" ref="V1528" ca="1">IFERROR(_xlfn.IFS(A1526="  ..............",OFFSET(A1526,2,0),A1525=" X-------------X",OFFSET(A1525,3,0),MATCH("  ..............",A1528:A1537,0)&gt;2,V1527),"-")</f>
        <v/>
      </c>
      <c r="W1528" t="str">
        <f t="shared" ca="1" si="69"/>
        <v>X-------X</v>
      </c>
      <c r="X1528" t="str">
        <f t="shared" ca="1" si="70"/>
        <v/>
      </c>
      <c r="Y1528" s="1" t="str">
        <f t="shared" ca="1" si="71"/>
        <v/>
      </c>
    </row>
    <row r="1529" spans="1:25" x14ac:dyDescent="0.25">
      <c r="A1529" t="s">
        <v>1736</v>
      </c>
      <c r="B1529" t="s">
        <v>1737</v>
      </c>
      <c r="C1529" t="s">
        <v>1738</v>
      </c>
      <c r="D1529" t="s">
        <v>1739</v>
      </c>
      <c r="E1529" t="s">
        <v>1740</v>
      </c>
      <c r="F1529" t="s">
        <v>1741</v>
      </c>
      <c r="G1529" t="s">
        <v>1742</v>
      </c>
      <c r="H1529" t="s">
        <v>1743</v>
      </c>
      <c r="I1529" t="s">
        <v>1744</v>
      </c>
      <c r="J1529" t="s">
        <v>1581</v>
      </c>
      <c r="K1529" t="s">
        <v>1581</v>
      </c>
      <c r="L1529" t="s">
        <v>1581</v>
      </c>
      <c r="M1529" t="s">
        <v>1581</v>
      </c>
      <c r="N1529" t="s">
        <v>1581</v>
      </c>
      <c r="O1529" t="s">
        <v>1581</v>
      </c>
      <c r="P1529" t="s">
        <v>1581</v>
      </c>
      <c r="Q1529" t="s">
        <v>1581</v>
      </c>
      <c r="R1529" t="s">
        <v>1581</v>
      </c>
      <c r="S1529" t="s">
        <v>1581</v>
      </c>
      <c r="T1529" t="s">
        <v>1581</v>
      </c>
      <c r="U1529" t="s">
        <v>1581</v>
      </c>
      <c r="V1529" t="str" cm="1">
        <f t="array" aca="1" ref="V1529" ca="1">IFERROR(_xlfn.IFS(A1527="  ..............",OFFSET(A1527,2,0),A1526=" X-------------X",OFFSET(A1526,3,0),MATCH("  ..............",A1529:A1538,0)&gt;2,V1528),"-")</f>
        <v>-</v>
      </c>
      <c r="W1529" t="str">
        <f t="shared" ca="1" si="69"/>
        <v>-</v>
      </c>
      <c r="X1529" t="str">
        <f t="shared" ca="1" si="70"/>
        <v>-</v>
      </c>
      <c r="Y1529" s="1" t="str">
        <f t="shared" ca="1" si="71"/>
        <v>-</v>
      </c>
    </row>
    <row r="1530" spans="1:25" x14ac:dyDescent="0.25">
      <c r="A1530" t="s">
        <v>1745</v>
      </c>
      <c r="B1530" t="s">
        <v>1746</v>
      </c>
      <c r="C1530" t="s">
        <v>1747</v>
      </c>
      <c r="D1530" t="s">
        <v>1748</v>
      </c>
      <c r="E1530" t="s">
        <v>1749</v>
      </c>
      <c r="F1530" t="s">
        <v>1750</v>
      </c>
      <c r="G1530" t="s">
        <v>1587</v>
      </c>
      <c r="H1530" t="s">
        <v>1587</v>
      </c>
      <c r="I1530" t="s">
        <v>1591</v>
      </c>
      <c r="J1530" t="s">
        <v>1581</v>
      </c>
      <c r="K1530" t="s">
        <v>1581</v>
      </c>
      <c r="L1530" t="s">
        <v>1581</v>
      </c>
      <c r="M1530" t="s">
        <v>1581</v>
      </c>
      <c r="N1530" t="s">
        <v>1581</v>
      </c>
      <c r="O1530" t="s">
        <v>1581</v>
      </c>
      <c r="P1530" t="s">
        <v>1581</v>
      </c>
      <c r="Q1530" t="s">
        <v>1581</v>
      </c>
      <c r="R1530" t="s">
        <v>1581</v>
      </c>
      <c r="S1530" t="s">
        <v>1581</v>
      </c>
      <c r="T1530" t="s">
        <v>1581</v>
      </c>
      <c r="U1530" t="s">
        <v>1581</v>
      </c>
      <c r="V1530" t="str" cm="1">
        <f t="array" aca="1" ref="V1530" ca="1">IFERROR(_xlfn.IFS(A1528="  ..............",OFFSET(A1528,2,0),A1527=" X-------------X",OFFSET(A1527,3,0),MATCH("  ..............",A1530:A1539,0)&gt;2,V1529),"-")</f>
        <v>-</v>
      </c>
      <c r="W1530" t="str">
        <f t="shared" ca="1" si="69"/>
        <v>-</v>
      </c>
      <c r="X1530" t="str">
        <f t="shared" ca="1" si="70"/>
        <v/>
      </c>
      <c r="Y1530" s="1" t="str">
        <f t="shared" ca="1" si="71"/>
        <v/>
      </c>
    </row>
    <row r="1531" spans="1:25" x14ac:dyDescent="0.25">
      <c r="A1531" t="s">
        <v>1581</v>
      </c>
      <c r="B1531" t="s">
        <v>1581</v>
      </c>
      <c r="C1531" t="s">
        <v>1581</v>
      </c>
      <c r="D1531" t="s">
        <v>1581</v>
      </c>
      <c r="E1531" t="s">
        <v>1581</v>
      </c>
      <c r="F1531" t="s">
        <v>1581</v>
      </c>
      <c r="G1531" t="s">
        <v>1581</v>
      </c>
      <c r="H1531" t="s">
        <v>1581</v>
      </c>
      <c r="I1531" t="s">
        <v>1581</v>
      </c>
      <c r="J1531" t="s">
        <v>1581</v>
      </c>
      <c r="K1531" t="s">
        <v>1581</v>
      </c>
      <c r="L1531" t="s">
        <v>1581</v>
      </c>
      <c r="M1531" t="s">
        <v>1581</v>
      </c>
      <c r="N1531" t="s">
        <v>1581</v>
      </c>
      <c r="O1531" t="s">
        <v>1581</v>
      </c>
      <c r="P1531" t="s">
        <v>1581</v>
      </c>
      <c r="Q1531" t="s">
        <v>1581</v>
      </c>
      <c r="R1531" t="s">
        <v>1581</v>
      </c>
      <c r="S1531" t="s">
        <v>1581</v>
      </c>
      <c r="T1531" t="s">
        <v>1581</v>
      </c>
      <c r="U1531" t="s">
        <v>1581</v>
      </c>
      <c r="V1531" t="str" cm="1">
        <f t="array" aca="1" ref="V1531" ca="1">IFERROR(_xlfn.IFS(A1529="  ..............",OFFSET(A1529,2,0),A1528=" X-------------X",OFFSET(A1528,3,0),MATCH("  ..............",A1531:A1540,0)&gt;2,V1530),"-")</f>
        <v>-</v>
      </c>
      <c r="W1531" t="str">
        <f t="shared" ca="1" si="69"/>
        <v>-</v>
      </c>
      <c r="X1531" t="str">
        <f t="shared" ca="1" si="70"/>
        <v>-------- F L U</v>
      </c>
      <c r="Y1531" s="1" t="str">
        <f t="shared" ca="1" si="71"/>
        <v xml:space="preserve"> ------------</v>
      </c>
    </row>
    <row r="1532" spans="1:25" x14ac:dyDescent="0.25">
      <c r="A1532" t="s">
        <v>1751</v>
      </c>
      <c r="B1532" t="s">
        <v>1752</v>
      </c>
      <c r="C1532" t="s">
        <v>1753</v>
      </c>
      <c r="D1532" t="s">
        <v>1754</v>
      </c>
      <c r="E1532" t="s">
        <v>1755</v>
      </c>
      <c r="F1532" t="s">
        <v>1756</v>
      </c>
      <c r="G1532" t="s">
        <v>1757</v>
      </c>
      <c r="H1532" t="s">
        <v>1758</v>
      </c>
      <c r="I1532" t="s">
        <v>1759</v>
      </c>
      <c r="J1532" t="s">
        <v>1760</v>
      </c>
      <c r="K1532" t="s">
        <v>1761</v>
      </c>
      <c r="L1532" t="s">
        <v>1762</v>
      </c>
      <c r="M1532" t="s">
        <v>1763</v>
      </c>
      <c r="N1532" t="s">
        <v>1764</v>
      </c>
      <c r="O1532" t="s">
        <v>1765</v>
      </c>
      <c r="P1532" t="s">
        <v>1766</v>
      </c>
      <c r="Q1532" t="s">
        <v>1767</v>
      </c>
      <c r="R1532" t="s">
        <v>1571</v>
      </c>
      <c r="S1532" t="s">
        <v>1571</v>
      </c>
      <c r="T1532" t="s">
        <v>1759</v>
      </c>
      <c r="U1532" t="s">
        <v>1768</v>
      </c>
      <c r="V1532" t="str" cm="1">
        <f t="array" aca="1" ref="V1532" ca="1">IFERROR(_xlfn.IFS(A1530="  ..............",OFFSET(A1530,2,0),A1529=" X-------------X",OFFSET(A1529,3,0),MATCH("  ..............",A1532:A1541,0)&gt;2,V1531),"-")</f>
        <v>-</v>
      </c>
      <c r="W1532" t="str">
        <f t="shared" ca="1" si="69"/>
        <v>-</v>
      </c>
      <c r="X1532" t="str">
        <f t="shared" ca="1" si="70"/>
        <v xml:space="preserve">              </v>
      </c>
      <c r="Y1532" s="1">
        <f t="shared" ca="1" si="71"/>
        <v>0</v>
      </c>
    </row>
    <row r="1533" spans="1:25" x14ac:dyDescent="0.25">
      <c r="A1533" t="s">
        <v>1769</v>
      </c>
      <c r="B1533" t="s">
        <v>1770</v>
      </c>
      <c r="C1533" t="s">
        <v>1771</v>
      </c>
      <c r="D1533" t="s">
        <v>1772</v>
      </c>
      <c r="E1533" t="s">
        <v>1773</v>
      </c>
      <c r="F1533" t="s">
        <v>1774</v>
      </c>
      <c r="G1533" t="s">
        <v>1775</v>
      </c>
      <c r="H1533" t="s">
        <v>1776</v>
      </c>
      <c r="I1533" t="s">
        <v>1584</v>
      </c>
      <c r="J1533" t="s">
        <v>1585</v>
      </c>
      <c r="K1533" t="s">
        <v>1586</v>
      </c>
      <c r="L1533" t="s">
        <v>1587</v>
      </c>
      <c r="M1533" t="s">
        <v>1587</v>
      </c>
      <c r="N1533" t="s">
        <v>1587</v>
      </c>
      <c r="O1533" t="s">
        <v>1594</v>
      </c>
      <c r="P1533" t="s">
        <v>1584</v>
      </c>
      <c r="Q1533" t="s">
        <v>1591</v>
      </c>
      <c r="R1533" t="s">
        <v>1777</v>
      </c>
      <c r="S1533" t="s">
        <v>1777</v>
      </c>
      <c r="T1533" t="s">
        <v>1584</v>
      </c>
      <c r="U1533" t="s">
        <v>1778</v>
      </c>
      <c r="V1533" t="str" cm="1">
        <f t="array" aca="1" ref="V1533" ca="1">IFERROR(_xlfn.IFS(A1531="  ..............",OFFSET(A1531,2,0),A1530=" X-------------X",OFFSET(A1530,3,0),MATCH("  ..............",A1533:A1542,0)&gt;2,V1532),"-")</f>
        <v>-</v>
      </c>
      <c r="W1533" t="str">
        <f t="shared" ca="1" si="69"/>
        <v>-</v>
      </c>
      <c r="X1533" t="str">
        <f t="shared" ca="1" si="70"/>
        <v xml:space="preserve">              </v>
      </c>
      <c r="Y1533" s="1">
        <f t="shared" ca="1" si="71"/>
        <v>0</v>
      </c>
    </row>
    <row r="1534" spans="1:25" x14ac:dyDescent="0.25">
      <c r="A1534" t="s">
        <v>1779</v>
      </c>
      <c r="B1534" t="s">
        <v>1780</v>
      </c>
      <c r="C1534" t="s">
        <v>1781</v>
      </c>
      <c r="D1534" t="s">
        <v>1781</v>
      </c>
      <c r="E1534" t="s">
        <v>1781</v>
      </c>
      <c r="F1534" t="s">
        <v>1782</v>
      </c>
      <c r="G1534" t="s">
        <v>1783</v>
      </c>
      <c r="H1534" t="s">
        <v>1784</v>
      </c>
      <c r="I1534" t="s">
        <v>1584</v>
      </c>
      <c r="J1534" t="s">
        <v>1585</v>
      </c>
      <c r="K1534" t="s">
        <v>1586</v>
      </c>
      <c r="L1534" t="s">
        <v>1587</v>
      </c>
      <c r="M1534" t="s">
        <v>1587</v>
      </c>
      <c r="N1534" t="s">
        <v>1587</v>
      </c>
      <c r="O1534" t="s">
        <v>1594</v>
      </c>
      <c r="P1534" t="s">
        <v>1584</v>
      </c>
      <c r="Q1534" t="s">
        <v>1785</v>
      </c>
      <c r="R1534" t="s">
        <v>1786</v>
      </c>
      <c r="S1534" t="s">
        <v>1787</v>
      </c>
      <c r="T1534" t="s">
        <v>1788</v>
      </c>
      <c r="U1534" t="s">
        <v>1778</v>
      </c>
      <c r="V1534" t="str" cm="1">
        <f t="array" aca="1" ref="V1534" ca="1">IFERROR(_xlfn.IFS(A1532="  ..............",OFFSET(A1532,2,0),A1531=" X-------------X",OFFSET(A1531,3,0),MATCH("  ..............",A1534:A1543,0)&gt;2,V1533),"-")</f>
        <v>-</v>
      </c>
      <c r="W1534" t="str">
        <f t="shared" ca="1" si="69"/>
        <v>-</v>
      </c>
      <c r="X1534" t="str">
        <f t="shared" ca="1" si="70"/>
        <v xml:space="preserve">A             </v>
      </c>
      <c r="Y1534" s="1" t="str">
        <f t="shared" ca="1" si="71"/>
        <v xml:space="preserve">   Mvar   EQU</v>
      </c>
    </row>
    <row r="1535" spans="1:25" x14ac:dyDescent="0.25">
      <c r="A1535" t="s">
        <v>1789</v>
      </c>
      <c r="B1535" t="s">
        <v>1790</v>
      </c>
      <c r="C1535" t="s">
        <v>1791</v>
      </c>
      <c r="D1535" t="s">
        <v>1791</v>
      </c>
      <c r="E1535" t="s">
        <v>1791</v>
      </c>
      <c r="F1535" t="s">
        <v>1792</v>
      </c>
      <c r="G1535" t="s">
        <v>1793</v>
      </c>
      <c r="H1535" t="s">
        <v>1794</v>
      </c>
      <c r="I1535" t="s">
        <v>1795</v>
      </c>
      <c r="J1535" t="s">
        <v>1796</v>
      </c>
      <c r="K1535" t="s">
        <v>1586</v>
      </c>
      <c r="L1535" t="s">
        <v>1797</v>
      </c>
      <c r="M1535" t="s">
        <v>1798</v>
      </c>
      <c r="N1535" t="s">
        <v>1587</v>
      </c>
      <c r="O1535" t="s">
        <v>1594</v>
      </c>
      <c r="P1535" t="s">
        <v>1584</v>
      </c>
      <c r="Q1535" t="s">
        <v>1799</v>
      </c>
      <c r="R1535" t="s">
        <v>1800</v>
      </c>
      <c r="S1535" t="s">
        <v>1801</v>
      </c>
      <c r="T1535" t="s">
        <v>1802</v>
      </c>
      <c r="U1535" t="s">
        <v>1803</v>
      </c>
      <c r="V1535" t="str" cm="1">
        <f t="array" aca="1" ref="V1535" ca="1">IFERROR(_xlfn.IFS(A1533="  ..............",OFFSET(A1533,2,0),A1532=" X-------------X",OFFSET(A1532,3,0),MATCH("  ..............",A1535:A1544,0)&gt;2,V1534),"-")</f>
        <v>-</v>
      </c>
      <c r="W1535" t="str">
        <f t="shared" ca="1" si="69"/>
        <v>-</v>
      </c>
      <c r="X1535" t="str">
        <f t="shared" ca="1" si="70"/>
        <v xml:space="preserve">     NOME     </v>
      </c>
      <c r="Y1535" s="1" t="str">
        <f t="shared" ca="1" si="71"/>
        <v xml:space="preserve">   FLUXO %   </v>
      </c>
    </row>
    <row r="1536" spans="1:25" x14ac:dyDescent="0.25">
      <c r="A1536" t="s">
        <v>1588</v>
      </c>
      <c r="B1536" t="s">
        <v>1587</v>
      </c>
      <c r="C1536" t="s">
        <v>1804</v>
      </c>
      <c r="D1536" t="s">
        <v>1805</v>
      </c>
      <c r="E1536" t="s">
        <v>1806</v>
      </c>
      <c r="F1536" t="s">
        <v>1807</v>
      </c>
      <c r="G1536" t="s">
        <v>1808</v>
      </c>
      <c r="H1536" t="s">
        <v>1587</v>
      </c>
      <c r="I1536" t="s">
        <v>1809</v>
      </c>
      <c r="J1536" t="s">
        <v>1810</v>
      </c>
      <c r="K1536" t="s">
        <v>1811</v>
      </c>
      <c r="L1536" t="s">
        <v>1812</v>
      </c>
      <c r="M1536" t="s">
        <v>1791</v>
      </c>
      <c r="N1536" t="s">
        <v>1813</v>
      </c>
      <c r="O1536" t="s">
        <v>1814</v>
      </c>
      <c r="P1536" t="s">
        <v>1815</v>
      </c>
      <c r="Q1536" t="s">
        <v>1816</v>
      </c>
      <c r="R1536" t="s">
        <v>1817</v>
      </c>
      <c r="S1536" t="s">
        <v>1818</v>
      </c>
      <c r="T1536" t="s">
        <v>1819</v>
      </c>
      <c r="U1536" t="s">
        <v>1820</v>
      </c>
      <c r="V1536" t="str" cm="1">
        <f t="array" aca="1" ref="V1536" ca="1">IFERROR(_xlfn.IFS(A1534="  ..............",OFFSET(A1534,2,0),A1533=" X-------------X",OFFSET(A1533,3,0),MATCH("  ..............",A1536:A1545,0)&gt;2,V1535),"-")</f>
        <v>-</v>
      </c>
      <c r="W1536" t="str">
        <f t="shared" ca="1" si="69"/>
        <v>-</v>
      </c>
      <c r="X1536" t="str">
        <f t="shared" ca="1" si="70"/>
        <v>X------------X</v>
      </c>
      <c r="Y1536" s="1" t="str">
        <f t="shared" ca="1" si="71"/>
        <v>X-----------X</v>
      </c>
    </row>
    <row r="1537" spans="1:25" x14ac:dyDescent="0.25">
      <c r="A1537" t="s">
        <v>1563</v>
      </c>
      <c r="B1537" t="s">
        <v>1564</v>
      </c>
      <c r="C1537" t="s">
        <v>1564</v>
      </c>
      <c r="D1537" t="s">
        <v>1564</v>
      </c>
      <c r="E1537" t="s">
        <v>1564</v>
      </c>
      <c r="F1537" t="s">
        <v>1565</v>
      </c>
      <c r="G1537" t="s">
        <v>1564</v>
      </c>
      <c r="H1537" t="s">
        <v>1564</v>
      </c>
      <c r="I1537" t="s">
        <v>1566</v>
      </c>
      <c r="J1537" t="s">
        <v>1567</v>
      </c>
      <c r="K1537" t="s">
        <v>1568</v>
      </c>
      <c r="L1537" t="s">
        <v>1564</v>
      </c>
      <c r="M1537" t="s">
        <v>1564</v>
      </c>
      <c r="N1537" t="s">
        <v>1564</v>
      </c>
      <c r="O1537" t="s">
        <v>1569</v>
      </c>
      <c r="P1537" t="s">
        <v>1566</v>
      </c>
      <c r="Q1537" t="s">
        <v>1570</v>
      </c>
      <c r="R1537" t="s">
        <v>1571</v>
      </c>
      <c r="S1537" t="s">
        <v>1571</v>
      </c>
      <c r="T1537" t="s">
        <v>1566</v>
      </c>
      <c r="U1537" t="s">
        <v>1566</v>
      </c>
      <c r="V1537" t="str" cm="1">
        <f t="array" aca="1" ref="V1537" ca="1">IFERROR(_xlfn.IFS(A1535="  ..............",OFFSET(A1535,2,0),A1534=" X-------------X",OFFSET(A1534,3,0),MATCH("  ..............",A1537:A1546,0)&gt;2,V1536),"-")</f>
        <v>-</v>
      </c>
      <c r="W1537" t="str">
        <f t="shared" ca="1" si="69"/>
        <v>-</v>
      </c>
      <c r="X1537" t="str">
        <f t="shared" ca="1" si="70"/>
        <v/>
      </c>
      <c r="Y1537" s="1" t="str">
        <f t="shared" ca="1" si="71"/>
        <v/>
      </c>
    </row>
    <row r="1538" spans="1:25" x14ac:dyDescent="0.25">
      <c r="A1538" t="s">
        <v>1581</v>
      </c>
      <c r="B1538" t="s">
        <v>1581</v>
      </c>
      <c r="C1538" t="s">
        <v>1581</v>
      </c>
      <c r="D1538" t="s">
        <v>1581</v>
      </c>
      <c r="E1538" t="s">
        <v>1581</v>
      </c>
      <c r="F1538" t="s">
        <v>1581</v>
      </c>
      <c r="G1538" t="s">
        <v>1581</v>
      </c>
      <c r="H1538" t="s">
        <v>1581</v>
      </c>
      <c r="I1538" t="s">
        <v>1581</v>
      </c>
      <c r="J1538" t="s">
        <v>1581</v>
      </c>
      <c r="K1538" t="s">
        <v>1581</v>
      </c>
      <c r="L1538" t="s">
        <v>1581</v>
      </c>
      <c r="M1538" t="s">
        <v>1581</v>
      </c>
      <c r="N1538" t="s">
        <v>1581</v>
      </c>
      <c r="O1538" t="s">
        <v>1581</v>
      </c>
      <c r="P1538" t="s">
        <v>1581</v>
      </c>
      <c r="Q1538" t="s">
        <v>1581</v>
      </c>
      <c r="R1538" t="s">
        <v>1581</v>
      </c>
      <c r="S1538" t="s">
        <v>1581</v>
      </c>
      <c r="T1538" t="s">
        <v>1581</v>
      </c>
      <c r="U1538" t="s">
        <v>1581</v>
      </c>
      <c r="V1538" t="str" cm="1">
        <f t="array" aca="1" ref="V1538" ca="1">IFERROR(_xlfn.IFS(A1536="  ..............",OFFSET(A1536,2,0),A1535=" X-------------X",OFFSET(A1535,3,0),MATCH("  ..............",A1538:A1547,0)&gt;2,V1537),"-")</f>
        <v>-</v>
      </c>
      <c r="W1538" t="str">
        <f t="shared" ca="1" si="69"/>
        <v>-</v>
      </c>
      <c r="X1538" t="str">
        <f t="shared" ca="1" si="70"/>
        <v/>
      </c>
      <c r="Y1538" s="1" t="str">
        <f t="shared" ca="1" si="71"/>
        <v/>
      </c>
    </row>
    <row r="1539" spans="1:25" x14ac:dyDescent="0.25">
      <c r="A1539" t="s">
        <v>2653</v>
      </c>
      <c r="B1539">
        <v>1.02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 t="s">
        <v>1581</v>
      </c>
      <c r="J1539" t="s">
        <v>1581</v>
      </c>
      <c r="K1539" t="s">
        <v>1581</v>
      </c>
      <c r="L1539" t="s">
        <v>1581</v>
      </c>
      <c r="M1539" t="s">
        <v>1581</v>
      </c>
      <c r="N1539" t="s">
        <v>1581</v>
      </c>
      <c r="O1539" t="s">
        <v>1581</v>
      </c>
      <c r="P1539" t="s">
        <v>1581</v>
      </c>
      <c r="Q1539" t="s">
        <v>1581</v>
      </c>
      <c r="R1539" t="s">
        <v>1581</v>
      </c>
      <c r="S1539" t="s">
        <v>1581</v>
      </c>
      <c r="T1539" t="s">
        <v>1581</v>
      </c>
      <c r="U1539" t="s">
        <v>1581</v>
      </c>
      <c r="V1539" t="str" cm="1">
        <f t="array" aca="1" ref="V1539" ca="1">IFERROR(_xlfn.IFS(A1537="  ..............",OFFSET(A1537,2,0),A1536=" X-------------X",OFFSET(A1536,3,0),MATCH("  ..............",A1539:A1548,0)&gt;2,V1538),"-")</f>
        <v>-</v>
      </c>
      <c r="W1539" t="str">
        <f t="shared" ca="1" si="69"/>
        <v>-</v>
      </c>
      <c r="X1539" t="str">
        <f t="shared" ca="1" si="70"/>
        <v xml:space="preserve">              </v>
      </c>
      <c r="Y1539" s="1">
        <f t="shared" ca="1" si="71"/>
        <v>0</v>
      </c>
    </row>
    <row r="1540" spans="1:25" x14ac:dyDescent="0.25">
      <c r="A1540" t="s">
        <v>2654</v>
      </c>
      <c r="B1540">
        <v>-46.3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 t="s">
        <v>1584</v>
      </c>
      <c r="J1540" t="s">
        <v>1585</v>
      </c>
      <c r="K1540" t="s">
        <v>1586</v>
      </c>
      <c r="L1540" t="s">
        <v>1587</v>
      </c>
      <c r="M1540" t="s">
        <v>1587</v>
      </c>
      <c r="N1540" t="s">
        <v>1586</v>
      </c>
      <c r="O1540" t="s">
        <v>1581</v>
      </c>
      <c r="P1540" t="s">
        <v>1581</v>
      </c>
      <c r="Q1540" t="s">
        <v>1581</v>
      </c>
      <c r="R1540" t="s">
        <v>1581</v>
      </c>
      <c r="S1540" t="s">
        <v>1581</v>
      </c>
      <c r="T1540" t="s">
        <v>1581</v>
      </c>
      <c r="U1540" t="s">
        <v>1581</v>
      </c>
      <c r="V1540" t="str" cm="1">
        <f t="array" aca="1" ref="V1540" ca="1">IFERROR(_xlfn.IFS(A1538="  ..............",OFFSET(A1538,2,0),A1537=" X-------------X",OFFSET(A1537,3,0),MATCH("  ..............",A1540:A1549,0)&gt;2,V1539),"-")</f>
        <v xml:space="preserve">  SANANDTAP138  </v>
      </c>
      <c r="W1540">
        <f t="shared" ref="W1540:W1603" ca="1" si="72">IFERROR(OFFSET($A$1,MATCH(V1540,A:A,0)-2,1),"-")</f>
        <v>1.02</v>
      </c>
      <c r="X1540" t="str">
        <f t="shared" ref="X1540:X1603" ca="1" si="73">IFERROR(IF(V1540=V1539,OFFSET($J$1,ROW(X1540),0),OFFSET($J$1,MATCH(V1540,A:A,0),0)),"-")</f>
        <v xml:space="preserve"> LVERM2-RS138 </v>
      </c>
      <c r="Y1540" s="1">
        <f t="shared" ref="Y1540:Y1603" ca="1" si="74">IFERROR(OFFSET($F$1,MATCH(X1540,J:J,0)-1,0),"-")</f>
        <v>0.17199999999999999</v>
      </c>
    </row>
    <row r="1541" spans="1:25" x14ac:dyDescent="0.25">
      <c r="A1541" t="s">
        <v>1588</v>
      </c>
      <c r="B1541" t="s">
        <v>1587</v>
      </c>
      <c r="C1541">
        <v>167</v>
      </c>
      <c r="D1541">
        <v>203</v>
      </c>
      <c r="E1541">
        <v>203</v>
      </c>
      <c r="F1541" s="1">
        <v>0.42899999999999999</v>
      </c>
      <c r="G1541" t="s">
        <v>1587</v>
      </c>
      <c r="H1541" t="s">
        <v>1587</v>
      </c>
      <c r="I1541">
        <v>1326</v>
      </c>
      <c r="J1541" t="s">
        <v>1724</v>
      </c>
      <c r="K1541">
        <v>1</v>
      </c>
      <c r="L1541">
        <v>-69</v>
      </c>
      <c r="M1541">
        <v>-24.3</v>
      </c>
      <c r="N1541">
        <v>71.7</v>
      </c>
      <c r="O1541" t="s">
        <v>1594</v>
      </c>
      <c r="P1541" t="s">
        <v>1584</v>
      </c>
      <c r="Q1541" t="s">
        <v>1591</v>
      </c>
      <c r="R1541">
        <v>0.86</v>
      </c>
      <c r="S1541">
        <v>1.61</v>
      </c>
      <c r="T1541" t="s">
        <v>1584</v>
      </c>
      <c r="U1541" t="s">
        <v>1592</v>
      </c>
      <c r="V1541" t="str" cm="1">
        <f t="array" aca="1" ref="V1541" ca="1">IFERROR(_xlfn.IFS(A1539="  ..............",OFFSET(A1539,2,0),A1538=" X-------------X",OFFSET(A1538,3,0),MATCH("  ..............",A1541:A1550,0)&gt;2,V1540),"-")</f>
        <v xml:space="preserve">  SANANDTAP138  </v>
      </c>
      <c r="W1541">
        <f t="shared" ca="1" si="72"/>
        <v>1.02</v>
      </c>
      <c r="X1541" t="str">
        <f t="shared" ca="1" si="73"/>
        <v xml:space="preserve"> TAPEJA-RS138 </v>
      </c>
      <c r="Y1541" s="1">
        <f t="shared" ca="1" si="74"/>
        <v>0.25800000000000001</v>
      </c>
    </row>
    <row r="1542" spans="1:25" x14ac:dyDescent="0.25">
      <c r="A1542" t="s">
        <v>1588</v>
      </c>
      <c r="B1542" t="s">
        <v>1587</v>
      </c>
      <c r="C1542">
        <v>167</v>
      </c>
      <c r="D1542">
        <v>203</v>
      </c>
      <c r="E1542">
        <v>203</v>
      </c>
      <c r="F1542" s="1">
        <v>0.374</v>
      </c>
      <c r="G1542" t="s">
        <v>1587</v>
      </c>
      <c r="H1542" t="s">
        <v>1587</v>
      </c>
      <c r="I1542">
        <v>1340</v>
      </c>
      <c r="J1542" t="s">
        <v>2041</v>
      </c>
      <c r="K1542">
        <v>1</v>
      </c>
      <c r="L1542">
        <v>60.3</v>
      </c>
      <c r="M1542">
        <v>20.399999999999999</v>
      </c>
      <c r="N1542">
        <v>62.4</v>
      </c>
      <c r="O1542" t="s">
        <v>1594</v>
      </c>
      <c r="P1542" t="s">
        <v>1584</v>
      </c>
      <c r="Q1542" t="s">
        <v>1591</v>
      </c>
      <c r="R1542">
        <v>0.89</v>
      </c>
      <c r="S1542">
        <v>0.98</v>
      </c>
      <c r="T1542" t="s">
        <v>1584</v>
      </c>
      <c r="U1542" t="s">
        <v>1592</v>
      </c>
      <c r="V1542" t="str" cm="1">
        <f t="array" aca="1" ref="V1542" ca="1">IFERROR(_xlfn.IFS(A1540="  ..............",OFFSET(A1540,2,0),A1539=" X-------------X",OFFSET(A1539,3,0),MATCH("  ..............",A1542:A1551,0)&gt;2,V1541),"-")</f>
        <v xml:space="preserve">  SANANDTAP138  </v>
      </c>
      <c r="W1542">
        <f t="shared" ca="1" si="72"/>
        <v>1.02</v>
      </c>
      <c r="X1542" t="str">
        <f t="shared" ca="1" si="73"/>
        <v xml:space="preserve"> SANAND-RS138 </v>
      </c>
      <c r="Y1542" s="1">
        <f t="shared" ca="1" si="74"/>
        <v>5.6000000000000001E-2</v>
      </c>
    </row>
    <row r="1543" spans="1:25" x14ac:dyDescent="0.25">
      <c r="A1543" t="s">
        <v>1588</v>
      </c>
      <c r="B1543" t="s">
        <v>1587</v>
      </c>
      <c r="C1543">
        <v>167</v>
      </c>
      <c r="D1543">
        <v>203</v>
      </c>
      <c r="E1543">
        <v>203</v>
      </c>
      <c r="F1543" s="1">
        <v>5.6000000000000001E-2</v>
      </c>
      <c r="G1543" t="s">
        <v>1587</v>
      </c>
      <c r="H1543" t="s">
        <v>1587</v>
      </c>
      <c r="I1543">
        <v>9678</v>
      </c>
      <c r="J1543" t="s">
        <v>2655</v>
      </c>
      <c r="K1543">
        <v>1</v>
      </c>
      <c r="L1543">
        <v>8.6</v>
      </c>
      <c r="M1543">
        <v>4</v>
      </c>
      <c r="N1543">
        <v>9.3000000000000007</v>
      </c>
      <c r="O1543" t="s">
        <v>1594</v>
      </c>
      <c r="P1543" t="s">
        <v>1584</v>
      </c>
      <c r="Q1543" t="s">
        <v>1591</v>
      </c>
      <c r="R1543">
        <v>0.01</v>
      </c>
      <c r="S1543">
        <v>-1.31</v>
      </c>
      <c r="T1543" t="s">
        <v>1584</v>
      </c>
      <c r="U1543" t="s">
        <v>1592</v>
      </c>
      <c r="V1543" t="str" cm="1">
        <f t="array" aca="1" ref="V1543" ca="1">IFERROR(_xlfn.IFS(A1541="  ..............",OFFSET(A1541,2,0),A1540=" X-------------X",OFFSET(A1540,3,0),MATCH("  ..............",A1543:A1552,0)&gt;2,V1542),"-")</f>
        <v>-</v>
      </c>
      <c r="W1543" t="str">
        <f t="shared" ca="1" si="72"/>
        <v>-</v>
      </c>
      <c r="X1543" t="str">
        <f t="shared" ca="1" si="73"/>
        <v>-</v>
      </c>
      <c r="Y1543" s="1" t="str">
        <f t="shared" ca="1" si="74"/>
        <v>-</v>
      </c>
    </row>
    <row r="1544" spans="1:25" x14ac:dyDescent="0.25">
      <c r="A1544" t="s">
        <v>1572</v>
      </c>
      <c r="B1544" t="s">
        <v>1574</v>
      </c>
      <c r="C1544" t="s">
        <v>1574</v>
      </c>
      <c r="D1544" t="s">
        <v>1574</v>
      </c>
      <c r="E1544" t="s">
        <v>1574</v>
      </c>
      <c r="F1544" t="s">
        <v>1575</v>
      </c>
      <c r="G1544" t="s">
        <v>1574</v>
      </c>
      <c r="H1544" t="s">
        <v>1574</v>
      </c>
      <c r="I1544" t="s">
        <v>1576</v>
      </c>
      <c r="J1544" t="s">
        <v>1573</v>
      </c>
      <c r="K1544" t="s">
        <v>1577</v>
      </c>
      <c r="L1544" t="s">
        <v>1574</v>
      </c>
      <c r="M1544" t="s">
        <v>1574</v>
      </c>
      <c r="N1544" t="s">
        <v>1574</v>
      </c>
      <c r="O1544" t="s">
        <v>1578</v>
      </c>
      <c r="P1544" t="s">
        <v>1576</v>
      </c>
      <c r="Q1544" t="s">
        <v>1579</v>
      </c>
      <c r="R1544" t="s">
        <v>1580</v>
      </c>
      <c r="S1544" t="s">
        <v>1580</v>
      </c>
      <c r="T1544" t="s">
        <v>1576</v>
      </c>
      <c r="U1544" t="s">
        <v>1576</v>
      </c>
      <c r="V1544" t="str" cm="1">
        <f t="array" aca="1" ref="V1544" ca="1">IFERROR(_xlfn.IFS(A1542="  ..............",OFFSET(A1542,2,0),A1541=" X-------------X",OFFSET(A1541,3,0),MATCH("  ..............",A1544:A1553,0)&gt;2,V1543),"-")</f>
        <v>-</v>
      </c>
      <c r="W1544" t="str">
        <f t="shared" ca="1" si="72"/>
        <v>-</v>
      </c>
      <c r="X1544" t="str">
        <f t="shared" ca="1" si="73"/>
        <v/>
      </c>
      <c r="Y1544" s="1" t="str">
        <f t="shared" ca="1" si="74"/>
        <v/>
      </c>
    </row>
    <row r="1545" spans="1:25" x14ac:dyDescent="0.25">
      <c r="A1545" t="s">
        <v>2656</v>
      </c>
      <c r="B1545">
        <v>1.0069999999999999</v>
      </c>
      <c r="C1545">
        <v>2.4</v>
      </c>
      <c r="D1545">
        <v>0</v>
      </c>
      <c r="E1545">
        <v>23.2</v>
      </c>
      <c r="F1545">
        <v>0</v>
      </c>
      <c r="G1545">
        <v>0</v>
      </c>
      <c r="H1545">
        <v>0</v>
      </c>
      <c r="I1545" t="s">
        <v>1581</v>
      </c>
      <c r="J1545" t="s">
        <v>1581</v>
      </c>
      <c r="K1545" t="s">
        <v>1581</v>
      </c>
      <c r="L1545" t="s">
        <v>1581</v>
      </c>
      <c r="M1545" t="s">
        <v>1581</v>
      </c>
      <c r="N1545" t="s">
        <v>1581</v>
      </c>
      <c r="O1545" t="s">
        <v>1581</v>
      </c>
      <c r="P1545" t="s">
        <v>1581</v>
      </c>
      <c r="Q1545" t="s">
        <v>1581</v>
      </c>
      <c r="R1545" t="s">
        <v>1581</v>
      </c>
      <c r="S1545" t="s">
        <v>1581</v>
      </c>
      <c r="T1545" t="s">
        <v>1581</v>
      </c>
      <c r="U1545" t="s">
        <v>1581</v>
      </c>
      <c r="V1545" t="str" cm="1">
        <f t="array" aca="1" ref="V1545" ca="1">IFERROR(_xlfn.IFS(A1543="  ..............",OFFSET(A1543,2,0),A1542=" X-------------X",OFFSET(A1542,3,0),MATCH("  ..............",A1545:A1554,0)&gt;2,V1544),"-")</f>
        <v>-</v>
      </c>
      <c r="W1545" t="str">
        <f t="shared" ca="1" si="72"/>
        <v>-</v>
      </c>
      <c r="X1545" t="str">
        <f t="shared" ca="1" si="73"/>
        <v xml:space="preserve">              </v>
      </c>
      <c r="Y1545" s="1">
        <f t="shared" ca="1" si="74"/>
        <v>0</v>
      </c>
    </row>
    <row r="1546" spans="1:25" x14ac:dyDescent="0.25">
      <c r="A1546" t="s">
        <v>2657</v>
      </c>
      <c r="B1546">
        <v>-52.8</v>
      </c>
      <c r="C1546">
        <v>0</v>
      </c>
      <c r="D1546">
        <v>0</v>
      </c>
      <c r="E1546">
        <v>4.3</v>
      </c>
      <c r="F1546">
        <v>0</v>
      </c>
      <c r="G1546">
        <v>0</v>
      </c>
      <c r="H1546">
        <v>0</v>
      </c>
      <c r="I1546" t="s">
        <v>1584</v>
      </c>
      <c r="J1546" t="s">
        <v>1585</v>
      </c>
      <c r="K1546" t="s">
        <v>1586</v>
      </c>
      <c r="L1546" t="s">
        <v>1587</v>
      </c>
      <c r="M1546" t="s">
        <v>1587</v>
      </c>
      <c r="N1546" t="s">
        <v>1586</v>
      </c>
      <c r="O1546" t="s">
        <v>1581</v>
      </c>
      <c r="P1546" t="s">
        <v>1581</v>
      </c>
      <c r="Q1546" t="s">
        <v>1581</v>
      </c>
      <c r="R1546" t="s">
        <v>1581</v>
      </c>
      <c r="S1546" t="s">
        <v>1581</v>
      </c>
      <c r="T1546" t="s">
        <v>1581</v>
      </c>
      <c r="U1546" t="s">
        <v>1581</v>
      </c>
      <c r="V1546" t="str" cm="1">
        <f t="array" aca="1" ref="V1546" ca="1">IFERROR(_xlfn.IFS(A1544="  ..............",OFFSET(A1544,2,0),A1543=" X-------------X",OFFSET(A1543,3,0),MATCH("  ..............",A1546:A1555,0)&gt;2,V1545),"-")</f>
        <v xml:space="preserve">  CERTAJ-RS069  </v>
      </c>
      <c r="W1546">
        <f t="shared" ca="1" si="72"/>
        <v>1.0069999999999999</v>
      </c>
      <c r="X1546" t="str">
        <f t="shared" ca="1" si="73"/>
        <v xml:space="preserve"> PPETRO-RS069 </v>
      </c>
      <c r="Y1546" s="1">
        <f t="shared" ca="1" si="74"/>
        <v>0.217</v>
      </c>
    </row>
    <row r="1547" spans="1:25" x14ac:dyDescent="0.25">
      <c r="A1547" t="s">
        <v>1588</v>
      </c>
      <c r="B1547" t="s">
        <v>1587</v>
      </c>
      <c r="C1547">
        <v>62</v>
      </c>
      <c r="D1547">
        <v>74</v>
      </c>
      <c r="E1547">
        <v>74</v>
      </c>
      <c r="F1547" s="1">
        <v>0.34</v>
      </c>
      <c r="G1547" t="s">
        <v>1587</v>
      </c>
      <c r="H1547" t="s">
        <v>1587</v>
      </c>
      <c r="I1547">
        <v>2077</v>
      </c>
      <c r="J1547" t="s">
        <v>2105</v>
      </c>
      <c r="K1547">
        <v>1</v>
      </c>
      <c r="L1547">
        <v>-20.8</v>
      </c>
      <c r="M1547">
        <v>-4.3</v>
      </c>
      <c r="N1547">
        <v>21.1</v>
      </c>
      <c r="O1547" t="s">
        <v>1594</v>
      </c>
      <c r="P1547" t="s">
        <v>1584</v>
      </c>
      <c r="Q1547" t="s">
        <v>1591</v>
      </c>
      <c r="R1547">
        <v>0.22</v>
      </c>
      <c r="S1547">
        <v>0.53</v>
      </c>
      <c r="T1547" t="s">
        <v>1584</v>
      </c>
      <c r="U1547" t="s">
        <v>1592</v>
      </c>
      <c r="V1547" t="str" cm="1">
        <f t="array" aca="1" ref="V1547" ca="1">IFERROR(_xlfn.IFS(A1545="  ..............",OFFSET(A1545,2,0),A1544=" X-------------X",OFFSET(A1544,3,0),MATCH("  ..............",A1547:A1556,0)&gt;2,V1546),"-")</f>
        <v>-</v>
      </c>
      <c r="W1547" t="str">
        <f t="shared" ca="1" si="72"/>
        <v>-</v>
      </c>
      <c r="X1547" t="str">
        <f t="shared" ca="1" si="73"/>
        <v>-</v>
      </c>
      <c r="Y1547" s="1" t="str">
        <f t="shared" ca="1" si="74"/>
        <v>-</v>
      </c>
    </row>
    <row r="1548" spans="1:25" x14ac:dyDescent="0.25">
      <c r="A1548" t="s">
        <v>1572</v>
      </c>
      <c r="B1548" t="s">
        <v>1574</v>
      </c>
      <c r="C1548" t="s">
        <v>1574</v>
      </c>
      <c r="D1548" t="s">
        <v>1574</v>
      </c>
      <c r="E1548" t="s">
        <v>1574</v>
      </c>
      <c r="F1548" t="s">
        <v>1575</v>
      </c>
      <c r="G1548" t="s">
        <v>1574</v>
      </c>
      <c r="H1548" t="s">
        <v>1574</v>
      </c>
      <c r="I1548" t="s">
        <v>1576</v>
      </c>
      <c r="J1548" t="s">
        <v>1573</v>
      </c>
      <c r="K1548" t="s">
        <v>1577</v>
      </c>
      <c r="L1548" t="s">
        <v>1574</v>
      </c>
      <c r="M1548" t="s">
        <v>1574</v>
      </c>
      <c r="N1548" t="s">
        <v>1574</v>
      </c>
      <c r="O1548" t="s">
        <v>1578</v>
      </c>
      <c r="P1548" t="s">
        <v>1576</v>
      </c>
      <c r="Q1548" t="s">
        <v>1579</v>
      </c>
      <c r="R1548" t="s">
        <v>1580</v>
      </c>
      <c r="S1548" t="s">
        <v>1580</v>
      </c>
      <c r="T1548" t="s">
        <v>1576</v>
      </c>
      <c r="U1548" t="s">
        <v>1576</v>
      </c>
      <c r="V1548" t="str" cm="1">
        <f t="array" aca="1" ref="V1548" ca="1">IFERROR(_xlfn.IFS(A1546="  ..............",OFFSET(A1546,2,0),A1545=" X-------------X",OFFSET(A1545,3,0),MATCH("  ..............",A1548:A1557,0)&gt;2,V1547),"-")</f>
        <v>-</v>
      </c>
      <c r="W1548" t="str">
        <f t="shared" ca="1" si="72"/>
        <v>-</v>
      </c>
      <c r="X1548" t="str">
        <f t="shared" ca="1" si="73"/>
        <v/>
      </c>
      <c r="Y1548" s="1" t="str">
        <f t="shared" ca="1" si="74"/>
        <v/>
      </c>
    </row>
    <row r="1549" spans="1:25" x14ac:dyDescent="0.25">
      <c r="A1549" t="s">
        <v>2658</v>
      </c>
      <c r="B1549">
        <v>1.008</v>
      </c>
      <c r="C1549">
        <v>5.4</v>
      </c>
      <c r="D1549">
        <v>0</v>
      </c>
      <c r="E1549">
        <v>25.4</v>
      </c>
      <c r="F1549">
        <v>0</v>
      </c>
      <c r="G1549">
        <v>3.7</v>
      </c>
      <c r="H1549">
        <v>0</v>
      </c>
      <c r="I1549" t="s">
        <v>1581</v>
      </c>
      <c r="J1549" t="s">
        <v>1581</v>
      </c>
      <c r="K1549" t="s">
        <v>1581</v>
      </c>
      <c r="L1549" t="s">
        <v>1581</v>
      </c>
      <c r="M1549" t="s">
        <v>1581</v>
      </c>
      <c r="N1549" t="s">
        <v>1581</v>
      </c>
      <c r="O1549" t="s">
        <v>1581</v>
      </c>
      <c r="P1549" t="s">
        <v>1581</v>
      </c>
      <c r="Q1549" t="s">
        <v>1581</v>
      </c>
      <c r="R1549" t="s">
        <v>1581</v>
      </c>
      <c r="S1549" t="s">
        <v>1581</v>
      </c>
      <c r="T1549" t="s">
        <v>1581</v>
      </c>
      <c r="U1549" t="s">
        <v>1581</v>
      </c>
      <c r="V1549" t="str" cm="1">
        <f t="array" aca="1" ref="V1549" ca="1">IFERROR(_xlfn.IFS(A1547="  ..............",OFFSET(A1547,2,0),A1546=" X-------------X",OFFSET(A1546,3,0),MATCH("  ..............",A1549:A1558,0)&gt;2,V1548),"-")</f>
        <v>-</v>
      </c>
      <c r="W1549" t="str">
        <f t="shared" ca="1" si="72"/>
        <v>-</v>
      </c>
      <c r="X1549" t="str">
        <f t="shared" ca="1" si="73"/>
        <v xml:space="preserve">              </v>
      </c>
      <c r="Y1549" s="1">
        <f t="shared" ca="1" si="74"/>
        <v>0</v>
      </c>
    </row>
    <row r="1550" spans="1:25" x14ac:dyDescent="0.25">
      <c r="A1550" t="s">
        <v>2659</v>
      </c>
      <c r="B1550">
        <v>-48.6</v>
      </c>
      <c r="C1550">
        <v>0</v>
      </c>
      <c r="D1550">
        <v>0</v>
      </c>
      <c r="E1550">
        <v>6.7</v>
      </c>
      <c r="F1550">
        <v>0</v>
      </c>
      <c r="G1550">
        <v>0</v>
      </c>
      <c r="H1550">
        <v>0</v>
      </c>
      <c r="I1550" t="s">
        <v>1584</v>
      </c>
      <c r="J1550" t="s">
        <v>1585</v>
      </c>
      <c r="K1550" t="s">
        <v>1586</v>
      </c>
      <c r="L1550" t="s">
        <v>1587</v>
      </c>
      <c r="M1550" t="s">
        <v>1587</v>
      </c>
      <c r="N1550" t="s">
        <v>1586</v>
      </c>
      <c r="O1550" t="s">
        <v>1581</v>
      </c>
      <c r="P1550" t="s">
        <v>1581</v>
      </c>
      <c r="Q1550" t="s">
        <v>1581</v>
      </c>
      <c r="R1550" t="s">
        <v>1581</v>
      </c>
      <c r="S1550" t="s">
        <v>1581</v>
      </c>
      <c r="T1550" t="s">
        <v>1581</v>
      </c>
      <c r="U1550" t="s">
        <v>1581</v>
      </c>
      <c r="V1550" t="str" cm="1">
        <f t="array" aca="1" ref="V1550" ca="1">IFERROR(_xlfn.IFS(A1548="  ..............",OFFSET(A1548,2,0),A1547=" X-------------X",OFFSET(A1547,3,0),MATCH("  ..............",A1550:A1559,0)&gt;2,V1549),"-")</f>
        <v xml:space="preserve">  TORRE2-RS069  </v>
      </c>
      <c r="W1550">
        <f t="shared" ca="1" si="72"/>
        <v>1.008</v>
      </c>
      <c r="X1550" t="str">
        <f t="shared" ca="1" si="73"/>
        <v xml:space="preserve"> TOR--1-RS000 </v>
      </c>
      <c r="Y1550" s="1">
        <f t="shared" ca="1" si="74"/>
        <v>0.121</v>
      </c>
    </row>
    <row r="1551" spans="1:25" x14ac:dyDescent="0.25">
      <c r="A1551" t="s">
        <v>1588</v>
      </c>
      <c r="B1551" t="s">
        <v>1587</v>
      </c>
      <c r="C1551">
        <v>83</v>
      </c>
      <c r="D1551">
        <v>100</v>
      </c>
      <c r="E1551">
        <v>100</v>
      </c>
      <c r="F1551" s="1">
        <v>0.121</v>
      </c>
      <c r="G1551" t="s">
        <v>1587</v>
      </c>
      <c r="H1551" t="s">
        <v>1587</v>
      </c>
      <c r="I1551">
        <v>43890</v>
      </c>
      <c r="J1551" t="s">
        <v>2660</v>
      </c>
      <c r="K1551">
        <v>1</v>
      </c>
      <c r="L1551">
        <v>-10</v>
      </c>
      <c r="M1551">
        <v>-1.5</v>
      </c>
      <c r="N1551">
        <v>10</v>
      </c>
      <c r="O1551" t="s">
        <v>1608</v>
      </c>
      <c r="P1551" t="s">
        <v>1584</v>
      </c>
      <c r="Q1551">
        <v>2</v>
      </c>
      <c r="R1551">
        <v>0</v>
      </c>
      <c r="S1551">
        <v>-0.02</v>
      </c>
      <c r="T1551" t="s">
        <v>1584</v>
      </c>
      <c r="U1551" t="s">
        <v>1592</v>
      </c>
      <c r="V1551" t="str" cm="1">
        <f t="array" aca="1" ref="V1551" ca="1">IFERROR(_xlfn.IFS(A1549="  ..............",OFFSET(A1549,2,0),A1548=" X-------------X",OFFSET(A1548,3,0),MATCH("  ..............",A1551:A1560,0)&gt;2,V1550),"-")</f>
        <v xml:space="preserve">  TORRE2-RS069  </v>
      </c>
      <c r="W1551">
        <f t="shared" ca="1" si="72"/>
        <v>1.008</v>
      </c>
      <c r="X1551" t="str">
        <f t="shared" ca="1" si="73"/>
        <v xml:space="preserve"> TOR--2-RS000 </v>
      </c>
      <c r="Y1551" s="1">
        <f t="shared" ca="1" si="74"/>
        <v>0.121</v>
      </c>
    </row>
    <row r="1552" spans="1:25" x14ac:dyDescent="0.25">
      <c r="A1552" t="s">
        <v>1588</v>
      </c>
      <c r="B1552" t="s">
        <v>1587</v>
      </c>
      <c r="C1552">
        <v>83</v>
      </c>
      <c r="D1552">
        <v>100</v>
      </c>
      <c r="E1552">
        <v>100</v>
      </c>
      <c r="F1552" s="1">
        <v>0.121</v>
      </c>
      <c r="G1552" t="s">
        <v>1587</v>
      </c>
      <c r="H1552" t="s">
        <v>1587</v>
      </c>
      <c r="I1552">
        <v>43891</v>
      </c>
      <c r="J1552" t="s">
        <v>2661</v>
      </c>
      <c r="K1552">
        <v>2</v>
      </c>
      <c r="L1552">
        <v>-10</v>
      </c>
      <c r="M1552">
        <v>-1.5</v>
      </c>
      <c r="N1552">
        <v>10</v>
      </c>
      <c r="O1552" t="s">
        <v>1608</v>
      </c>
      <c r="P1552" t="s">
        <v>1584</v>
      </c>
      <c r="Q1552">
        <v>2</v>
      </c>
      <c r="R1552">
        <v>0</v>
      </c>
      <c r="S1552">
        <v>-0.02</v>
      </c>
      <c r="T1552" t="s">
        <v>1584</v>
      </c>
      <c r="U1552" t="s">
        <v>1592</v>
      </c>
      <c r="V1552" t="str" cm="1">
        <f t="array" aca="1" ref="V1552" ca="1">IFERROR(_xlfn.IFS(A1550="  ..............",OFFSET(A1550,2,0),A1549=" X-------------X",OFFSET(A1549,3,0),MATCH("  ..............",A1552:A1561,0)&gt;2,V1551),"-")</f>
        <v>-</v>
      </c>
      <c r="W1552" t="str">
        <f t="shared" ca="1" si="72"/>
        <v>-</v>
      </c>
      <c r="X1552" t="str">
        <f t="shared" ca="1" si="73"/>
        <v>-</v>
      </c>
      <c r="Y1552" s="1" t="str">
        <f t="shared" ca="1" si="74"/>
        <v>-</v>
      </c>
    </row>
    <row r="1553" spans="1:25" x14ac:dyDescent="0.25">
      <c r="A1553" t="s">
        <v>1572</v>
      </c>
      <c r="B1553" t="s">
        <v>1574</v>
      </c>
      <c r="C1553" t="s">
        <v>1574</v>
      </c>
      <c r="D1553" t="s">
        <v>1574</v>
      </c>
      <c r="E1553" t="s">
        <v>1574</v>
      </c>
      <c r="F1553" t="s">
        <v>1575</v>
      </c>
      <c r="G1553" t="s">
        <v>1574</v>
      </c>
      <c r="H1553" t="s">
        <v>1574</v>
      </c>
      <c r="I1553" t="s">
        <v>1576</v>
      </c>
      <c r="J1553" t="s">
        <v>1573</v>
      </c>
      <c r="K1553" t="s">
        <v>1577</v>
      </c>
      <c r="L1553" t="s">
        <v>1574</v>
      </c>
      <c r="M1553" t="s">
        <v>1574</v>
      </c>
      <c r="N1553" t="s">
        <v>1574</v>
      </c>
      <c r="O1553" t="s">
        <v>1578</v>
      </c>
      <c r="P1553" t="s">
        <v>1576</v>
      </c>
      <c r="Q1553" t="s">
        <v>1579</v>
      </c>
      <c r="R1553" t="s">
        <v>1580</v>
      </c>
      <c r="S1553" t="s">
        <v>1580</v>
      </c>
      <c r="T1553" t="s">
        <v>1576</v>
      </c>
      <c r="U1553" t="s">
        <v>1576</v>
      </c>
      <c r="V1553" t="str" cm="1">
        <f t="array" aca="1" ref="V1553" ca="1">IFERROR(_xlfn.IFS(A1551="  ..............",OFFSET(A1551,2,0),A1550=" X-------------X",OFFSET(A1550,3,0),MATCH("  ..............",A1553:A1562,0)&gt;2,V1552),"-")</f>
        <v>-</v>
      </c>
      <c r="W1553" t="str">
        <f t="shared" ca="1" si="72"/>
        <v>-</v>
      </c>
      <c r="X1553" t="str">
        <f t="shared" ca="1" si="73"/>
        <v/>
      </c>
      <c r="Y1553" s="1" t="str">
        <f t="shared" ca="1" si="74"/>
        <v/>
      </c>
    </row>
    <row r="1554" spans="1:25" x14ac:dyDescent="0.25">
      <c r="A1554" t="s">
        <v>2662</v>
      </c>
      <c r="B1554">
        <v>0.98099999999999998</v>
      </c>
      <c r="C1554">
        <v>5.6</v>
      </c>
      <c r="D1554">
        <v>0</v>
      </c>
      <c r="E1554">
        <v>28.6</v>
      </c>
      <c r="F1554">
        <v>0</v>
      </c>
      <c r="G1554">
        <v>3.5</v>
      </c>
      <c r="H1554">
        <v>0</v>
      </c>
      <c r="I1554" t="s">
        <v>1581</v>
      </c>
      <c r="J1554" t="s">
        <v>1581</v>
      </c>
      <c r="K1554" t="s">
        <v>1581</v>
      </c>
      <c r="L1554" t="s">
        <v>1581</v>
      </c>
      <c r="M1554" t="s">
        <v>1581</v>
      </c>
      <c r="N1554" t="s">
        <v>1581</v>
      </c>
      <c r="O1554" t="s">
        <v>1581</v>
      </c>
      <c r="P1554" t="s">
        <v>1581</v>
      </c>
      <c r="Q1554" t="s">
        <v>1581</v>
      </c>
      <c r="R1554" t="s">
        <v>1581</v>
      </c>
      <c r="S1554" t="s">
        <v>1581</v>
      </c>
      <c r="T1554" t="s">
        <v>1581</v>
      </c>
      <c r="U1554" t="s">
        <v>1581</v>
      </c>
      <c r="V1554" t="str" cm="1">
        <f t="array" aca="1" ref="V1554" ca="1">IFERROR(_xlfn.IFS(A1552="  ..............",OFFSET(A1552,2,0),A1551=" X-------------X",OFFSET(A1551,3,0),MATCH("  ..............",A1554:A1563,0)&gt;2,V1553),"-")</f>
        <v>-</v>
      </c>
      <c r="W1554" t="str">
        <f t="shared" ca="1" si="72"/>
        <v>-</v>
      </c>
      <c r="X1554" t="str">
        <f t="shared" ca="1" si="73"/>
        <v xml:space="preserve">              </v>
      </c>
      <c r="Y1554" s="1">
        <f t="shared" ca="1" si="74"/>
        <v>0</v>
      </c>
    </row>
    <row r="1555" spans="1:25" x14ac:dyDescent="0.25">
      <c r="A1555" t="s">
        <v>2663</v>
      </c>
      <c r="B1555">
        <v>-53.4</v>
      </c>
      <c r="C1555">
        <v>0</v>
      </c>
      <c r="D1555">
        <v>0</v>
      </c>
      <c r="E1555">
        <v>12.1</v>
      </c>
      <c r="F1555">
        <v>0</v>
      </c>
      <c r="G1555">
        <v>0</v>
      </c>
      <c r="H1555">
        <v>0</v>
      </c>
      <c r="I1555" t="s">
        <v>1584</v>
      </c>
      <c r="J1555" t="s">
        <v>1585</v>
      </c>
      <c r="K1555" t="s">
        <v>1586</v>
      </c>
      <c r="L1555" t="s">
        <v>1587</v>
      </c>
      <c r="M1555" t="s">
        <v>1587</v>
      </c>
      <c r="N1555" t="s">
        <v>1586</v>
      </c>
      <c r="O1555" t="s">
        <v>1581</v>
      </c>
      <c r="P1555" t="s">
        <v>1581</v>
      </c>
      <c r="Q1555" t="s">
        <v>1581</v>
      </c>
      <c r="R1555" t="s">
        <v>1581</v>
      </c>
      <c r="S1555" t="s">
        <v>1581</v>
      </c>
      <c r="T1555" t="s">
        <v>1581</v>
      </c>
      <c r="U1555" t="s">
        <v>1581</v>
      </c>
      <c r="V1555" t="str" cm="1">
        <f t="array" aca="1" ref="V1555" ca="1">IFERROR(_xlfn.IFS(A1553="  ..............",OFFSET(A1553,2,0),A1552=" X-------------X",OFFSET(A1552,3,0),MATCH("  ..............",A1555:A1564,0)&gt;2,V1554),"-")</f>
        <v xml:space="preserve">  FELIZ--RS069  </v>
      </c>
      <c r="W1555">
        <f t="shared" ca="1" si="72"/>
        <v>0.98099999999999998</v>
      </c>
      <c r="X1555" t="str">
        <f t="shared" ca="1" si="73"/>
        <v xml:space="preserve"> FARROU-RS069 </v>
      </c>
      <c r="Y1555" s="1">
        <f t="shared" ca="1" si="74"/>
        <v>0.51900000000000002</v>
      </c>
    </row>
    <row r="1556" spans="1:25" x14ac:dyDescent="0.25">
      <c r="A1556" t="s">
        <v>1588</v>
      </c>
      <c r="B1556" t="s">
        <v>1587</v>
      </c>
      <c r="C1556">
        <v>48</v>
      </c>
      <c r="D1556">
        <v>71</v>
      </c>
      <c r="E1556">
        <v>71</v>
      </c>
      <c r="F1556" s="1">
        <v>0.51900000000000002</v>
      </c>
      <c r="G1556" t="s">
        <v>1587</v>
      </c>
      <c r="H1556" t="s">
        <v>1587</v>
      </c>
      <c r="I1556">
        <v>1207</v>
      </c>
      <c r="J1556" t="s">
        <v>2664</v>
      </c>
      <c r="K1556">
        <v>1</v>
      </c>
      <c r="L1556">
        <v>-23</v>
      </c>
      <c r="M1556">
        <v>-8.1999999999999993</v>
      </c>
      <c r="N1556">
        <v>24.9</v>
      </c>
      <c r="O1556" t="s">
        <v>1594</v>
      </c>
      <c r="P1556" t="s">
        <v>1584</v>
      </c>
      <c r="Q1556" t="s">
        <v>1591</v>
      </c>
      <c r="R1556">
        <v>0.54</v>
      </c>
      <c r="S1556">
        <v>1.31</v>
      </c>
      <c r="T1556" t="s">
        <v>1584</v>
      </c>
      <c r="U1556" t="s">
        <v>1592</v>
      </c>
      <c r="V1556" t="str" cm="1">
        <f t="array" aca="1" ref="V1556" ca="1">IFERROR(_xlfn.IFS(A1554="  ..............",OFFSET(A1554,2,0),A1553=" X-------------X",OFFSET(A1553,3,0),MATCH("  ..............",A1556:A1565,0)&gt;2,V1555),"-")</f>
        <v xml:space="preserve">  FELIZ--RS069  </v>
      </c>
      <c r="W1556">
        <f t="shared" ca="1" si="72"/>
        <v>0.98099999999999998</v>
      </c>
      <c r="X1556" t="str">
        <f t="shared" ca="1" si="73"/>
        <v xml:space="preserve"> NPETRO-RS069 </v>
      </c>
      <c r="Y1556" s="1">
        <f t="shared" ca="1" si="74"/>
        <v>0.23699999999999999</v>
      </c>
    </row>
    <row r="1557" spans="1:25" x14ac:dyDescent="0.25">
      <c r="A1557" t="s">
        <v>1637</v>
      </c>
      <c r="B1557" t="s">
        <v>1638</v>
      </c>
      <c r="C1557">
        <v>30</v>
      </c>
      <c r="D1557">
        <v>43</v>
      </c>
      <c r="E1557">
        <v>43</v>
      </c>
      <c r="F1557" t="s">
        <v>1639</v>
      </c>
      <c r="G1557" t="s">
        <v>1587</v>
      </c>
      <c r="H1557" t="s">
        <v>1587</v>
      </c>
      <c r="I1557">
        <v>9573</v>
      </c>
      <c r="J1557" t="s">
        <v>2564</v>
      </c>
      <c r="K1557">
        <v>1</v>
      </c>
      <c r="L1557">
        <v>0</v>
      </c>
      <c r="M1557">
        <v>-0.4</v>
      </c>
      <c r="N1557">
        <v>0.4</v>
      </c>
      <c r="O1557" t="s">
        <v>1594</v>
      </c>
      <c r="P1557" t="s">
        <v>1584</v>
      </c>
      <c r="Q1557" t="s">
        <v>1591</v>
      </c>
      <c r="R1557">
        <v>0</v>
      </c>
      <c r="S1557">
        <v>-0.41</v>
      </c>
      <c r="T1557">
        <v>0.98199999999999998</v>
      </c>
      <c r="U1557">
        <v>-53.5</v>
      </c>
      <c r="V1557" t="str" cm="1">
        <f t="array" aca="1" ref="V1557" ca="1">IFERROR(_xlfn.IFS(A1555="  ..............",OFFSET(A1555,2,0),A1554=" X-------------X",OFFSET(A1554,3,0),MATCH("  ..............",A1557:A1566,0)&gt;2,V1556),"-")</f>
        <v>-</v>
      </c>
      <c r="W1557" t="str">
        <f t="shared" ca="1" si="72"/>
        <v>-</v>
      </c>
      <c r="X1557" t="str">
        <f t="shared" ca="1" si="73"/>
        <v>-</v>
      </c>
      <c r="Y1557" s="1" t="str">
        <f t="shared" ca="1" si="74"/>
        <v>-</v>
      </c>
    </row>
    <row r="1558" spans="1:25" x14ac:dyDescent="0.25">
      <c r="A1558" t="s">
        <v>1572</v>
      </c>
      <c r="B1558" t="s">
        <v>1574</v>
      </c>
      <c r="C1558" t="s">
        <v>1574</v>
      </c>
      <c r="D1558" t="s">
        <v>1574</v>
      </c>
      <c r="E1558" t="s">
        <v>1574</v>
      </c>
      <c r="F1558" t="s">
        <v>1575</v>
      </c>
      <c r="G1558" t="s">
        <v>1574</v>
      </c>
      <c r="H1558" t="s">
        <v>1574</v>
      </c>
      <c r="I1558" t="s">
        <v>1576</v>
      </c>
      <c r="J1558" t="s">
        <v>1573</v>
      </c>
      <c r="K1558" t="s">
        <v>1577</v>
      </c>
      <c r="L1558" t="s">
        <v>1574</v>
      </c>
      <c r="M1558" t="s">
        <v>1574</v>
      </c>
      <c r="N1558" t="s">
        <v>1574</v>
      </c>
      <c r="O1558" t="s">
        <v>1578</v>
      </c>
      <c r="P1558" t="s">
        <v>1576</v>
      </c>
      <c r="Q1558" t="s">
        <v>1579</v>
      </c>
      <c r="R1558" t="s">
        <v>1580</v>
      </c>
      <c r="S1558" t="s">
        <v>1580</v>
      </c>
      <c r="T1558" t="s">
        <v>1576</v>
      </c>
      <c r="U1558" t="s">
        <v>1576</v>
      </c>
      <c r="V1558" t="str" cm="1">
        <f t="array" aca="1" ref="V1558" ca="1">IFERROR(_xlfn.IFS(A1556="  ..............",OFFSET(A1556,2,0),A1555=" X-------------X",OFFSET(A1555,3,0),MATCH("  ..............",A1558:A1567,0)&gt;2,V1557),"-")</f>
        <v>-</v>
      </c>
      <c r="W1558" t="str">
        <f t="shared" ca="1" si="72"/>
        <v>-</v>
      </c>
      <c r="X1558" t="str">
        <f t="shared" ca="1" si="73"/>
        <v/>
      </c>
      <c r="Y1558" s="1" t="str">
        <f t="shared" ca="1" si="74"/>
        <v/>
      </c>
    </row>
    <row r="1559" spans="1:25" x14ac:dyDescent="0.25">
      <c r="A1559" t="s">
        <v>2665</v>
      </c>
      <c r="B1559">
        <v>1.046</v>
      </c>
      <c r="C1559">
        <v>0</v>
      </c>
      <c r="D1559">
        <v>0</v>
      </c>
      <c r="E1559">
        <v>12.2</v>
      </c>
      <c r="F1559">
        <v>0</v>
      </c>
      <c r="G1559">
        <v>0</v>
      </c>
      <c r="H1559">
        <v>0</v>
      </c>
      <c r="I1559" t="s">
        <v>1581</v>
      </c>
      <c r="J1559" t="s">
        <v>1581</v>
      </c>
      <c r="K1559" t="s">
        <v>1581</v>
      </c>
      <c r="L1559" t="s">
        <v>1581</v>
      </c>
      <c r="M1559" t="s">
        <v>1581</v>
      </c>
      <c r="N1559" t="s">
        <v>1581</v>
      </c>
      <c r="O1559" t="s">
        <v>1581</v>
      </c>
      <c r="P1559" t="s">
        <v>1581</v>
      </c>
      <c r="Q1559" t="s">
        <v>1581</v>
      </c>
      <c r="R1559" t="s">
        <v>1581</v>
      </c>
      <c r="S1559" t="s">
        <v>1581</v>
      </c>
      <c r="T1559" t="s">
        <v>1581</v>
      </c>
      <c r="U1559" t="s">
        <v>1581</v>
      </c>
      <c r="V1559" t="str" cm="1">
        <f t="array" aca="1" ref="V1559" ca="1">IFERROR(_xlfn.IFS(A1557="  ..............",OFFSET(A1557,2,0),A1556=" X-------------X",OFFSET(A1556,3,0),MATCH("  ..............",A1559:A1568,0)&gt;2,V1558),"-")</f>
        <v>-</v>
      </c>
      <c r="W1559" t="str">
        <f t="shared" ca="1" si="72"/>
        <v>-</v>
      </c>
      <c r="X1559" t="str">
        <f t="shared" ca="1" si="73"/>
        <v xml:space="preserve">              </v>
      </c>
      <c r="Y1559" s="1">
        <f t="shared" ca="1" si="74"/>
        <v>0</v>
      </c>
    </row>
    <row r="1560" spans="1:25" x14ac:dyDescent="0.25">
      <c r="A1560" t="s">
        <v>2666</v>
      </c>
      <c r="B1560">
        <v>-55.3</v>
      </c>
      <c r="C1560">
        <v>0</v>
      </c>
      <c r="D1560">
        <v>0</v>
      </c>
      <c r="E1560">
        <v>4.7</v>
      </c>
      <c r="F1560">
        <v>0</v>
      </c>
      <c r="G1560">
        <v>0</v>
      </c>
      <c r="H1560">
        <v>0</v>
      </c>
      <c r="I1560" t="s">
        <v>1584</v>
      </c>
      <c r="J1560" t="s">
        <v>1585</v>
      </c>
      <c r="K1560" t="s">
        <v>1586</v>
      </c>
      <c r="L1560" t="s">
        <v>1587</v>
      </c>
      <c r="M1560" t="s">
        <v>1587</v>
      </c>
      <c r="N1560" t="s">
        <v>1586</v>
      </c>
      <c r="O1560" t="s">
        <v>1581</v>
      </c>
      <c r="P1560" t="s">
        <v>1581</v>
      </c>
      <c r="Q1560" t="s">
        <v>1581</v>
      </c>
      <c r="R1560" t="s">
        <v>1581</v>
      </c>
      <c r="S1560" t="s">
        <v>1581</v>
      </c>
      <c r="T1560" t="s">
        <v>1581</v>
      </c>
      <c r="U1560" t="s">
        <v>1581</v>
      </c>
      <c r="V1560" t="str" cm="1">
        <f t="array" aca="1" ref="V1560" ca="1">IFERROR(_xlfn.IFS(A1558="  ..............",OFFSET(A1558,2,0),A1557=" X-------------X",OFFSET(A1557,3,0),MATCH("  ..............",A1560:A1569,0)&gt;2,V1559),"-")</f>
        <v xml:space="preserve">  PERDIG-RS069  </v>
      </c>
      <c r="W1560">
        <f t="shared" ca="1" si="72"/>
        <v>1.046</v>
      </c>
      <c r="X1560" t="str">
        <f t="shared" ca="1" si="73"/>
        <v xml:space="preserve"> LAJEA2-RS069 </v>
      </c>
      <c r="Y1560" s="1">
        <f t="shared" ca="1" si="74"/>
        <v>0.623</v>
      </c>
    </row>
    <row r="1561" spans="1:25" x14ac:dyDescent="0.25">
      <c r="A1561" t="s">
        <v>1588</v>
      </c>
      <c r="B1561" t="s">
        <v>1587</v>
      </c>
      <c r="C1561">
        <v>30</v>
      </c>
      <c r="D1561">
        <v>48</v>
      </c>
      <c r="E1561">
        <v>48</v>
      </c>
      <c r="F1561" s="1">
        <v>0.41699999999999998</v>
      </c>
      <c r="G1561" t="s">
        <v>1587</v>
      </c>
      <c r="H1561" t="s">
        <v>1587</v>
      </c>
      <c r="I1561">
        <v>2081</v>
      </c>
      <c r="J1561" t="s">
        <v>2257</v>
      </c>
      <c r="K1561">
        <v>1</v>
      </c>
      <c r="L1561">
        <v>-12.2</v>
      </c>
      <c r="M1561">
        <v>-4.7</v>
      </c>
      <c r="N1561">
        <v>12.5</v>
      </c>
      <c r="O1561" t="s">
        <v>1594</v>
      </c>
      <c r="P1561" t="s">
        <v>1584</v>
      </c>
      <c r="Q1561" t="s">
        <v>1591</v>
      </c>
      <c r="R1561">
        <v>0.01</v>
      </c>
      <c r="S1561">
        <v>0</v>
      </c>
      <c r="T1561" t="s">
        <v>1584</v>
      </c>
      <c r="U1561" t="s">
        <v>1592</v>
      </c>
      <c r="V1561" t="str" cm="1">
        <f t="array" aca="1" ref="V1561" ca="1">IFERROR(_xlfn.IFS(A1559="  ..............",OFFSET(A1559,2,0),A1558=" X-------------X",OFFSET(A1558,3,0),MATCH("  ..............",A1561:A1570,0)&gt;2,V1560),"-")</f>
        <v>-</v>
      </c>
      <c r="W1561" t="str">
        <f t="shared" ca="1" si="72"/>
        <v>-</v>
      </c>
      <c r="X1561" t="str">
        <f t="shared" ca="1" si="73"/>
        <v>-</v>
      </c>
      <c r="Y1561" s="1" t="str">
        <f t="shared" ca="1" si="74"/>
        <v>-</v>
      </c>
    </row>
    <row r="1562" spans="1:25" x14ac:dyDescent="0.25">
      <c r="A1562" t="s">
        <v>1572</v>
      </c>
      <c r="B1562" t="s">
        <v>1574</v>
      </c>
      <c r="C1562" t="s">
        <v>1574</v>
      </c>
      <c r="D1562" t="s">
        <v>1574</v>
      </c>
      <c r="E1562" t="s">
        <v>1574</v>
      </c>
      <c r="F1562" t="s">
        <v>1575</v>
      </c>
      <c r="G1562" t="s">
        <v>1574</v>
      </c>
      <c r="H1562" t="s">
        <v>1574</v>
      </c>
      <c r="I1562" t="s">
        <v>1576</v>
      </c>
      <c r="J1562" t="s">
        <v>1573</v>
      </c>
      <c r="K1562" t="s">
        <v>1577</v>
      </c>
      <c r="L1562" t="s">
        <v>1574</v>
      </c>
      <c r="M1562" t="s">
        <v>1574</v>
      </c>
      <c r="N1562" t="s">
        <v>1574</v>
      </c>
      <c r="O1562" t="s">
        <v>1578</v>
      </c>
      <c r="P1562" t="s">
        <v>1576</v>
      </c>
      <c r="Q1562" t="s">
        <v>1579</v>
      </c>
      <c r="R1562" t="s">
        <v>1580</v>
      </c>
      <c r="S1562" t="s">
        <v>1580</v>
      </c>
      <c r="T1562" t="s">
        <v>1576</v>
      </c>
      <c r="U1562" t="s">
        <v>1576</v>
      </c>
      <c r="V1562" t="str" cm="1">
        <f t="array" aca="1" ref="V1562" ca="1">IFERROR(_xlfn.IFS(A1560="  ..............",OFFSET(A1560,2,0),A1559=" X-------------X",OFFSET(A1559,3,0),MATCH("  ..............",A1562:A1571,0)&gt;2,V1561),"-")</f>
        <v>-</v>
      </c>
      <c r="W1562" t="str">
        <f t="shared" ca="1" si="72"/>
        <v>-</v>
      </c>
      <c r="X1562" t="str">
        <f t="shared" ca="1" si="73"/>
        <v/>
      </c>
      <c r="Y1562" s="1" t="str">
        <f t="shared" ca="1" si="74"/>
        <v/>
      </c>
    </row>
    <row r="1563" spans="1:25" x14ac:dyDescent="0.25">
      <c r="A1563" t="s">
        <v>2667</v>
      </c>
      <c r="B1563">
        <v>1.0129999999999999</v>
      </c>
      <c r="C1563">
        <v>0</v>
      </c>
      <c r="D1563">
        <v>0</v>
      </c>
      <c r="E1563">
        <v>1.1000000000000001</v>
      </c>
      <c r="F1563">
        <v>0</v>
      </c>
      <c r="G1563">
        <v>0</v>
      </c>
      <c r="H1563">
        <v>0</v>
      </c>
      <c r="I1563" t="s">
        <v>1581</v>
      </c>
      <c r="J1563" t="s">
        <v>1581</v>
      </c>
      <c r="K1563" t="s">
        <v>1581</v>
      </c>
      <c r="L1563" t="s">
        <v>1581</v>
      </c>
      <c r="M1563" t="s">
        <v>1581</v>
      </c>
      <c r="N1563" t="s">
        <v>1581</v>
      </c>
      <c r="O1563" t="s">
        <v>1581</v>
      </c>
      <c r="P1563" t="s">
        <v>1581</v>
      </c>
      <c r="Q1563" t="s">
        <v>1581</v>
      </c>
      <c r="R1563" t="s">
        <v>1581</v>
      </c>
      <c r="S1563" t="s">
        <v>1581</v>
      </c>
      <c r="T1563" t="s">
        <v>1581</v>
      </c>
      <c r="U1563" t="s">
        <v>1581</v>
      </c>
      <c r="V1563" t="str" cm="1">
        <f t="array" aca="1" ref="V1563" ca="1">IFERROR(_xlfn.IFS(A1561="  ..............",OFFSET(A1561,2,0),A1560=" X-------------X",OFFSET(A1560,3,0),MATCH("  ..............",A1563:A1572,0)&gt;2,V1562),"-")</f>
        <v>-</v>
      </c>
      <c r="W1563" t="str">
        <f t="shared" ca="1" si="72"/>
        <v>-</v>
      </c>
      <c r="X1563" t="str">
        <f t="shared" ca="1" si="73"/>
        <v xml:space="preserve">              </v>
      </c>
      <c r="Y1563" s="1">
        <f t="shared" ca="1" si="74"/>
        <v>0</v>
      </c>
    </row>
    <row r="1564" spans="1:25" x14ac:dyDescent="0.25">
      <c r="A1564" t="s">
        <v>2668</v>
      </c>
      <c r="B1564">
        <v>-52.2</v>
      </c>
      <c r="C1564">
        <v>0</v>
      </c>
      <c r="D1564">
        <v>0</v>
      </c>
      <c r="E1564">
        <v>0.5</v>
      </c>
      <c r="F1564">
        <v>0</v>
      </c>
      <c r="G1564">
        <v>0</v>
      </c>
      <c r="H1564">
        <v>0</v>
      </c>
      <c r="I1564" t="s">
        <v>1584</v>
      </c>
      <c r="J1564" t="s">
        <v>1585</v>
      </c>
      <c r="K1564" t="s">
        <v>1586</v>
      </c>
      <c r="L1564" t="s">
        <v>1587</v>
      </c>
      <c r="M1564" t="s">
        <v>1587</v>
      </c>
      <c r="N1564" t="s">
        <v>1586</v>
      </c>
      <c r="O1564" t="s">
        <v>1581</v>
      </c>
      <c r="P1564" t="s">
        <v>1581</v>
      </c>
      <c r="Q1564" t="s">
        <v>1581</v>
      </c>
      <c r="R1564" t="s">
        <v>1581</v>
      </c>
      <c r="S1564" t="s">
        <v>1581</v>
      </c>
      <c r="T1564" t="s">
        <v>1581</v>
      </c>
      <c r="U1564" t="s">
        <v>1581</v>
      </c>
      <c r="V1564" t="str" cm="1">
        <f t="array" aca="1" ref="V1564" ca="1">IFERROR(_xlfn.IFS(A1562="  ..............",OFFSET(A1562,2,0),A1561=" X-------------X",OFFSET(A1561,3,0),MATCH("  ..............",A1564:A1573,0)&gt;2,V1563),"-")</f>
        <v xml:space="preserve">  HEXION-RS069  </v>
      </c>
      <c r="W1564">
        <f t="shared" ca="1" si="72"/>
        <v>1.0129999999999999</v>
      </c>
      <c r="X1564" t="str">
        <f t="shared" ca="1" si="73"/>
        <v xml:space="preserve"> POLINDTAP069 </v>
      </c>
      <c r="Y1564" s="1">
        <f t="shared" ca="1" si="74"/>
        <v>0.217</v>
      </c>
    </row>
    <row r="1565" spans="1:25" x14ac:dyDescent="0.25">
      <c r="A1565" t="s">
        <v>1588</v>
      </c>
      <c r="B1565" t="s">
        <v>1587</v>
      </c>
      <c r="C1565">
        <v>30</v>
      </c>
      <c r="D1565">
        <v>48</v>
      </c>
      <c r="E1565">
        <v>48</v>
      </c>
      <c r="F1565" s="1">
        <v>0.38</v>
      </c>
      <c r="G1565" t="s">
        <v>1587</v>
      </c>
      <c r="H1565" t="s">
        <v>1587</v>
      </c>
      <c r="I1565">
        <v>1334</v>
      </c>
      <c r="J1565" t="s">
        <v>2233</v>
      </c>
      <c r="K1565">
        <v>1</v>
      </c>
      <c r="L1565">
        <v>-10.6</v>
      </c>
      <c r="M1565">
        <v>-4.5</v>
      </c>
      <c r="N1565">
        <v>11.4</v>
      </c>
      <c r="O1565" t="s">
        <v>1594</v>
      </c>
      <c r="P1565" t="s">
        <v>1584</v>
      </c>
      <c r="Q1565" t="s">
        <v>1591</v>
      </c>
      <c r="R1565">
        <v>0.01</v>
      </c>
      <c r="S1565">
        <v>0</v>
      </c>
      <c r="T1565" t="s">
        <v>1584</v>
      </c>
      <c r="U1565" t="s">
        <v>1592</v>
      </c>
      <c r="V1565" t="str" cm="1">
        <f t="array" aca="1" ref="V1565" ca="1">IFERROR(_xlfn.IFS(A1563="  ..............",OFFSET(A1563,2,0),A1562=" X-------------X",OFFSET(A1562,3,0),MATCH("  ..............",A1565:A1574,0)&gt;2,V1564),"-")</f>
        <v xml:space="preserve">  HEXION-RS069  </v>
      </c>
      <c r="W1565">
        <f t="shared" ca="1" si="72"/>
        <v>1.0129999999999999</v>
      </c>
      <c r="X1565" t="str">
        <f t="shared" ca="1" si="73"/>
        <v xml:space="preserve"> POLOFI-RS069 </v>
      </c>
      <c r="Y1565" s="1">
        <f t="shared" ca="1" si="74"/>
        <v>0.34</v>
      </c>
    </row>
    <row r="1566" spans="1:25" x14ac:dyDescent="0.25">
      <c r="A1566" t="s">
        <v>1588</v>
      </c>
      <c r="B1566" t="s">
        <v>1587</v>
      </c>
      <c r="C1566">
        <v>30</v>
      </c>
      <c r="D1566">
        <v>48</v>
      </c>
      <c r="E1566">
        <v>48</v>
      </c>
      <c r="F1566" s="1">
        <v>0.34</v>
      </c>
      <c r="G1566" t="s">
        <v>1587</v>
      </c>
      <c r="H1566" t="s">
        <v>1587</v>
      </c>
      <c r="I1566">
        <v>1384</v>
      </c>
      <c r="J1566" t="s">
        <v>2669</v>
      </c>
      <c r="K1566">
        <v>1</v>
      </c>
      <c r="L1566">
        <v>9.5</v>
      </c>
      <c r="M1566">
        <v>4</v>
      </c>
      <c r="N1566">
        <v>10.199999999999999</v>
      </c>
      <c r="O1566" t="s">
        <v>1594</v>
      </c>
      <c r="P1566" t="s">
        <v>1584</v>
      </c>
      <c r="Q1566" t="s">
        <v>1591</v>
      </c>
      <c r="R1566">
        <v>0.02</v>
      </c>
      <c r="S1566">
        <v>-0.01</v>
      </c>
      <c r="T1566" t="s">
        <v>1584</v>
      </c>
      <c r="U1566" t="s">
        <v>1592</v>
      </c>
      <c r="V1566" t="str" cm="1">
        <f t="array" aca="1" ref="V1566" ca="1">IFERROR(_xlfn.IFS(A1564="  ..............",OFFSET(A1564,2,0),A1563=" X-------------X",OFFSET(A1563,3,0),MATCH("  ..............",A1566:A1575,0)&gt;2,V1565),"-")</f>
        <v>-</v>
      </c>
      <c r="W1566" t="str">
        <f t="shared" ca="1" si="72"/>
        <v>-</v>
      </c>
      <c r="X1566" t="str">
        <f t="shared" ca="1" si="73"/>
        <v>-</v>
      </c>
      <c r="Y1566" s="1" t="str">
        <f t="shared" ca="1" si="74"/>
        <v>-</v>
      </c>
    </row>
    <row r="1567" spans="1:25" x14ac:dyDescent="0.25">
      <c r="A1567" t="s">
        <v>1572</v>
      </c>
      <c r="B1567" t="s">
        <v>1574</v>
      </c>
      <c r="C1567" t="s">
        <v>1574</v>
      </c>
      <c r="D1567" t="s">
        <v>1574</v>
      </c>
      <c r="E1567" t="s">
        <v>1574</v>
      </c>
      <c r="F1567" t="s">
        <v>1575</v>
      </c>
      <c r="G1567" t="s">
        <v>1574</v>
      </c>
      <c r="H1567" t="s">
        <v>1574</v>
      </c>
      <c r="I1567" t="s">
        <v>1576</v>
      </c>
      <c r="J1567" t="s">
        <v>1573</v>
      </c>
      <c r="K1567" t="s">
        <v>1577</v>
      </c>
      <c r="L1567" t="s">
        <v>1574</v>
      </c>
      <c r="M1567" t="s">
        <v>1574</v>
      </c>
      <c r="N1567" t="s">
        <v>1574</v>
      </c>
      <c r="O1567" t="s">
        <v>1578</v>
      </c>
      <c r="P1567" t="s">
        <v>1576</v>
      </c>
      <c r="Q1567" t="s">
        <v>1579</v>
      </c>
      <c r="R1567" t="s">
        <v>1580</v>
      </c>
      <c r="S1567" t="s">
        <v>1580</v>
      </c>
      <c r="T1567" t="s">
        <v>1576</v>
      </c>
      <c r="U1567" t="s">
        <v>1576</v>
      </c>
      <c r="V1567" t="str" cm="1">
        <f t="array" aca="1" ref="V1567" ca="1">IFERROR(_xlfn.IFS(A1565="  ..............",OFFSET(A1565,2,0),A1564=" X-------------X",OFFSET(A1564,3,0),MATCH("  ..............",A1567:A1576,0)&gt;2,V1566),"-")</f>
        <v>-</v>
      </c>
      <c r="W1567" t="str">
        <f t="shared" ca="1" si="72"/>
        <v>-</v>
      </c>
      <c r="X1567" t="str">
        <f t="shared" ca="1" si="73"/>
        <v/>
      </c>
      <c r="Y1567" s="1" t="str">
        <f t="shared" ca="1" si="74"/>
        <v/>
      </c>
    </row>
    <row r="1568" spans="1:25" x14ac:dyDescent="0.25">
      <c r="A1568" t="s">
        <v>2670</v>
      </c>
      <c r="B1568">
        <v>1.0049999999999999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 t="s">
        <v>1581</v>
      </c>
      <c r="J1568" t="s">
        <v>1581</v>
      </c>
      <c r="K1568" t="s">
        <v>1581</v>
      </c>
      <c r="L1568" t="s">
        <v>1581</v>
      </c>
      <c r="M1568" t="s">
        <v>1581</v>
      </c>
      <c r="N1568" t="s">
        <v>1581</v>
      </c>
      <c r="O1568" t="s">
        <v>1581</v>
      </c>
      <c r="P1568" t="s">
        <v>1581</v>
      </c>
      <c r="Q1568" t="s">
        <v>1581</v>
      </c>
      <c r="R1568" t="s">
        <v>1581</v>
      </c>
      <c r="S1568" t="s">
        <v>1581</v>
      </c>
      <c r="T1568" t="s">
        <v>1581</v>
      </c>
      <c r="U1568" t="s">
        <v>1581</v>
      </c>
      <c r="V1568" t="str" cm="1">
        <f t="array" aca="1" ref="V1568" ca="1">IFERROR(_xlfn.IFS(A1566="  ..............",OFFSET(A1566,2,0),A1565=" X-------------X",OFFSET(A1565,3,0),MATCH("  ..............",A1568:A1577,0)&gt;2,V1567),"-")</f>
        <v>-</v>
      </c>
      <c r="W1568" t="str">
        <f t="shared" ca="1" si="72"/>
        <v>-</v>
      </c>
      <c r="X1568" t="str">
        <f t="shared" ca="1" si="73"/>
        <v xml:space="preserve">              </v>
      </c>
      <c r="Y1568" s="1">
        <f t="shared" ca="1" si="74"/>
        <v>0</v>
      </c>
    </row>
    <row r="1569" spans="1:25" x14ac:dyDescent="0.25">
      <c r="A1569" t="s">
        <v>2671</v>
      </c>
      <c r="B1569">
        <v>-48.3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 t="s">
        <v>1584</v>
      </c>
      <c r="J1569" t="s">
        <v>1585</v>
      </c>
      <c r="K1569" t="s">
        <v>1586</v>
      </c>
      <c r="L1569" t="s">
        <v>1587</v>
      </c>
      <c r="M1569" t="s">
        <v>1587</v>
      </c>
      <c r="N1569" t="s">
        <v>1586</v>
      </c>
      <c r="O1569" t="s">
        <v>1581</v>
      </c>
      <c r="P1569" t="s">
        <v>1581</v>
      </c>
      <c r="Q1569" t="s">
        <v>1581</v>
      </c>
      <c r="R1569" t="s">
        <v>1581</v>
      </c>
      <c r="S1569" t="s">
        <v>1581</v>
      </c>
      <c r="T1569" t="s">
        <v>1581</v>
      </c>
      <c r="U1569" t="s">
        <v>1581</v>
      </c>
      <c r="V1569" t="str" cm="1">
        <f t="array" aca="1" ref="V1569" ca="1">IFERROR(_xlfn.IFS(A1567="  ..............",OFFSET(A1567,2,0),A1566=" X-------------X",OFFSET(A1566,3,0),MATCH("  ..............",A1569:A1578,0)&gt;2,V1568),"-")</f>
        <v xml:space="preserve">  PALMA1-RS138  </v>
      </c>
      <c r="W1569">
        <f t="shared" ca="1" si="72"/>
        <v>1.0049999999999999</v>
      </c>
      <c r="X1569" t="str">
        <f t="shared" ca="1" si="73"/>
        <v xml:space="preserve"> MOSTAR-RS138 </v>
      </c>
      <c r="Y1569" s="1">
        <f t="shared" ca="1" si="74"/>
        <v>6.4000000000000001E-2</v>
      </c>
    </row>
    <row r="1570" spans="1:25" x14ac:dyDescent="0.25">
      <c r="A1570" t="s">
        <v>1588</v>
      </c>
      <c r="B1570" t="s">
        <v>1587</v>
      </c>
      <c r="C1570">
        <v>103</v>
      </c>
      <c r="D1570">
        <v>131</v>
      </c>
      <c r="E1570">
        <v>131</v>
      </c>
      <c r="F1570" s="1">
        <v>6.4000000000000001E-2</v>
      </c>
      <c r="G1570" t="s">
        <v>1587</v>
      </c>
      <c r="H1570" t="s">
        <v>1587</v>
      </c>
      <c r="I1570">
        <v>1234</v>
      </c>
      <c r="J1570" t="s">
        <v>2672</v>
      </c>
      <c r="K1570">
        <v>1</v>
      </c>
      <c r="L1570">
        <v>6.6</v>
      </c>
      <c r="M1570">
        <v>0.8</v>
      </c>
      <c r="N1570">
        <v>6.6</v>
      </c>
      <c r="O1570" t="s">
        <v>1594</v>
      </c>
      <c r="P1570" t="s">
        <v>1584</v>
      </c>
      <c r="Q1570" t="s">
        <v>1591</v>
      </c>
      <c r="R1570">
        <v>0.03</v>
      </c>
      <c r="S1570">
        <v>-2.13</v>
      </c>
      <c r="T1570" t="s">
        <v>1584</v>
      </c>
      <c r="U1570" t="s">
        <v>1592</v>
      </c>
      <c r="V1570" t="str" cm="1">
        <f t="array" aca="1" ref="V1570" ca="1">IFERROR(_xlfn.IFS(A1568="  ..............",OFFSET(A1568,2,0),A1567=" X-------------X",OFFSET(A1567,3,0),MATCH("  ..............",A1570:A1579,0)&gt;2,V1569),"-")</f>
        <v xml:space="preserve">  PALMA1-RS138  </v>
      </c>
      <c r="W1570">
        <f t="shared" ca="1" si="72"/>
        <v>1.0049999999999999</v>
      </c>
      <c r="X1570" t="str">
        <f t="shared" ca="1" si="73"/>
        <v xml:space="preserve"> COLPAL-RS138 </v>
      </c>
      <c r="Y1570" s="1">
        <f t="shared" ca="1" si="74"/>
        <v>5.3999999999999999E-2</v>
      </c>
    </row>
    <row r="1571" spans="1:25" x14ac:dyDescent="0.25">
      <c r="A1571" t="s">
        <v>1588</v>
      </c>
      <c r="B1571" t="s">
        <v>1587</v>
      </c>
      <c r="C1571">
        <v>124</v>
      </c>
      <c r="D1571">
        <v>153</v>
      </c>
      <c r="E1571">
        <v>153</v>
      </c>
      <c r="F1571" s="1">
        <v>5.3999999999999999E-2</v>
      </c>
      <c r="G1571" t="s">
        <v>1587</v>
      </c>
      <c r="H1571" t="s">
        <v>1587</v>
      </c>
      <c r="I1571">
        <v>9751</v>
      </c>
      <c r="J1571" t="s">
        <v>2673</v>
      </c>
      <c r="K1571">
        <v>1</v>
      </c>
      <c r="L1571">
        <v>-6.6</v>
      </c>
      <c r="M1571">
        <v>-0.8</v>
      </c>
      <c r="N1571">
        <v>6.6</v>
      </c>
      <c r="O1571" t="s">
        <v>1594</v>
      </c>
      <c r="P1571" t="s">
        <v>1584</v>
      </c>
      <c r="Q1571" t="s">
        <v>1591</v>
      </c>
      <c r="R1571">
        <v>0</v>
      </c>
      <c r="S1571">
        <v>-1.98</v>
      </c>
      <c r="T1571" t="s">
        <v>1584</v>
      </c>
      <c r="U1571" t="s">
        <v>1592</v>
      </c>
      <c r="V1571" t="str" cm="1">
        <f t="array" aca="1" ref="V1571" ca="1">IFERROR(_xlfn.IFS(A1569="  ..............",OFFSET(A1569,2,0),A1568=" X-------------X",OFFSET(A1568,3,0),MATCH("  ..............",A1571:A1580,0)&gt;2,V1570),"-")</f>
        <v>-</v>
      </c>
      <c r="W1571" t="str">
        <f t="shared" ca="1" si="72"/>
        <v>-</v>
      </c>
      <c r="X1571" t="str">
        <f t="shared" ca="1" si="73"/>
        <v>-</v>
      </c>
      <c r="Y1571" s="1" t="str">
        <f t="shared" ca="1" si="74"/>
        <v>-</v>
      </c>
    </row>
    <row r="1572" spans="1:25" x14ac:dyDescent="0.25">
      <c r="A1572" t="s">
        <v>1572</v>
      </c>
      <c r="B1572" t="s">
        <v>1574</v>
      </c>
      <c r="C1572" t="s">
        <v>1574</v>
      </c>
      <c r="D1572" t="s">
        <v>1574</v>
      </c>
      <c r="E1572" t="s">
        <v>1574</v>
      </c>
      <c r="F1572" t="s">
        <v>1575</v>
      </c>
      <c r="G1572" t="s">
        <v>1574</v>
      </c>
      <c r="H1572" t="s">
        <v>1574</v>
      </c>
      <c r="I1572" t="s">
        <v>1576</v>
      </c>
      <c r="J1572" t="s">
        <v>1573</v>
      </c>
      <c r="K1572" t="s">
        <v>1577</v>
      </c>
      <c r="L1572" t="s">
        <v>1574</v>
      </c>
      <c r="M1572" t="s">
        <v>1574</v>
      </c>
      <c r="N1572" t="s">
        <v>1574</v>
      </c>
      <c r="O1572" t="s">
        <v>1578</v>
      </c>
      <c r="P1572" t="s">
        <v>1576</v>
      </c>
      <c r="Q1572" t="s">
        <v>1579</v>
      </c>
      <c r="R1572" t="s">
        <v>1580</v>
      </c>
      <c r="S1572" t="s">
        <v>1580</v>
      </c>
      <c r="T1572" t="s">
        <v>1576</v>
      </c>
      <c r="U1572" t="s">
        <v>1576</v>
      </c>
      <c r="V1572" t="str" cm="1">
        <f t="array" aca="1" ref="V1572" ca="1">IFERROR(_xlfn.IFS(A1570="  ..............",OFFSET(A1570,2,0),A1569=" X-------------X",OFFSET(A1569,3,0),MATCH("  ..............",A1572:A1581,0)&gt;2,V1571),"-")</f>
        <v>-</v>
      </c>
      <c r="W1572" t="str">
        <f t="shared" ca="1" si="72"/>
        <v>-</v>
      </c>
      <c r="X1572" t="str">
        <f t="shared" ca="1" si="73"/>
        <v/>
      </c>
      <c r="Y1572" s="1" t="str">
        <f t="shared" ca="1" si="74"/>
        <v/>
      </c>
    </row>
    <row r="1573" spans="1:25" x14ac:dyDescent="0.25">
      <c r="A1573" t="s">
        <v>2674</v>
      </c>
      <c r="B1573">
        <v>1.004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 t="s">
        <v>1581</v>
      </c>
      <c r="J1573" t="s">
        <v>1581</v>
      </c>
      <c r="K1573" t="s">
        <v>1581</v>
      </c>
      <c r="L1573" t="s">
        <v>1581</v>
      </c>
      <c r="M1573" t="s">
        <v>1581</v>
      </c>
      <c r="N1573" t="s">
        <v>1581</v>
      </c>
      <c r="O1573" t="s">
        <v>1581</v>
      </c>
      <c r="P1573" t="s">
        <v>1581</v>
      </c>
      <c r="Q1573" t="s">
        <v>1581</v>
      </c>
      <c r="R1573" t="s">
        <v>1581</v>
      </c>
      <c r="S1573" t="s">
        <v>1581</v>
      </c>
      <c r="T1573" t="s">
        <v>1581</v>
      </c>
      <c r="U1573" t="s">
        <v>1581</v>
      </c>
      <c r="V1573" t="str" cm="1">
        <f t="array" aca="1" ref="V1573" ca="1">IFERROR(_xlfn.IFS(A1571="  ..............",OFFSET(A1571,2,0),A1570=" X-------------X",OFFSET(A1570,3,0),MATCH("  ..............",A1573:A1582,0)&gt;2,V1572),"-")</f>
        <v>-</v>
      </c>
      <c r="W1573" t="str">
        <f t="shared" ca="1" si="72"/>
        <v>-</v>
      </c>
      <c r="X1573" t="str">
        <f t="shared" ca="1" si="73"/>
        <v xml:space="preserve">              </v>
      </c>
      <c r="Y1573" s="1">
        <f t="shared" ca="1" si="74"/>
        <v>0</v>
      </c>
    </row>
    <row r="1574" spans="1:25" x14ac:dyDescent="0.25">
      <c r="A1574" t="s">
        <v>2675</v>
      </c>
      <c r="B1574">
        <v>-48.3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 t="s">
        <v>1584</v>
      </c>
      <c r="J1574" t="s">
        <v>1585</v>
      </c>
      <c r="K1574" t="s">
        <v>1586</v>
      </c>
      <c r="L1574" t="s">
        <v>1587</v>
      </c>
      <c r="M1574" t="s">
        <v>1587</v>
      </c>
      <c r="N1574" t="s">
        <v>1586</v>
      </c>
      <c r="O1574" t="s">
        <v>1581</v>
      </c>
      <c r="P1574" t="s">
        <v>1581</v>
      </c>
      <c r="Q1574" t="s">
        <v>1581</v>
      </c>
      <c r="R1574" t="s">
        <v>1581</v>
      </c>
      <c r="S1574" t="s">
        <v>1581</v>
      </c>
      <c r="T1574" t="s">
        <v>1581</v>
      </c>
      <c r="U1574" t="s">
        <v>1581</v>
      </c>
      <c r="V1574" t="str" cm="1">
        <f t="array" aca="1" ref="V1574" ca="1">IFERROR(_xlfn.IFS(A1572="  ..............",OFFSET(A1572,2,0),A1571=" X-------------X",OFFSET(A1571,3,0),MATCH("  ..............",A1574:A1583,0)&gt;2,V1573),"-")</f>
        <v xml:space="preserve">  PALMA2-RS138  </v>
      </c>
      <c r="W1574">
        <f t="shared" ca="1" si="72"/>
        <v>1.004</v>
      </c>
      <c r="X1574" t="str">
        <f t="shared" ca="1" si="73"/>
        <v xml:space="preserve"> PALMARTAP138 </v>
      </c>
      <c r="Y1574" s="1">
        <f t="shared" ca="1" si="74"/>
        <v>0.11</v>
      </c>
    </row>
    <row r="1575" spans="1:25" x14ac:dyDescent="0.25">
      <c r="A1575" t="s">
        <v>1588</v>
      </c>
      <c r="B1575" t="s">
        <v>1587</v>
      </c>
      <c r="C1575">
        <v>103</v>
      </c>
      <c r="D1575">
        <v>131</v>
      </c>
      <c r="E1575">
        <v>131</v>
      </c>
      <c r="F1575" s="1">
        <v>0.105</v>
      </c>
      <c r="G1575" t="s">
        <v>1587</v>
      </c>
      <c r="H1575" t="s">
        <v>1587</v>
      </c>
      <c r="I1575">
        <v>9730</v>
      </c>
      <c r="J1575" t="s">
        <v>1834</v>
      </c>
      <c r="K1575">
        <v>1</v>
      </c>
      <c r="L1575">
        <v>10.4</v>
      </c>
      <c r="M1575">
        <v>3.2</v>
      </c>
      <c r="N1575">
        <v>10.8</v>
      </c>
      <c r="O1575" t="s">
        <v>1594</v>
      </c>
      <c r="P1575" t="s">
        <v>1584</v>
      </c>
      <c r="Q1575" t="s">
        <v>1591</v>
      </c>
      <c r="R1575">
        <v>0.01</v>
      </c>
      <c r="S1575">
        <v>-0.28999999999999998</v>
      </c>
      <c r="T1575" t="s">
        <v>1584</v>
      </c>
      <c r="U1575" t="s">
        <v>1592</v>
      </c>
      <c r="V1575" t="str" cm="1">
        <f t="array" aca="1" ref="V1575" ca="1">IFERROR(_xlfn.IFS(A1573="  ..............",OFFSET(A1573,2,0),A1572=" X-------------X",OFFSET(A1572,3,0),MATCH("  ..............",A1575:A1584,0)&gt;2,V1574),"-")</f>
        <v xml:space="preserve">  PALMA2-RS138  </v>
      </c>
      <c r="W1575">
        <f t="shared" ca="1" si="72"/>
        <v>1.004</v>
      </c>
      <c r="X1575" t="str">
        <f t="shared" ca="1" si="73"/>
        <v xml:space="preserve"> COLPAL-RS138 </v>
      </c>
      <c r="Y1575" s="1">
        <f t="shared" ca="1" si="74"/>
        <v>5.3999999999999999E-2</v>
      </c>
    </row>
    <row r="1576" spans="1:25" x14ac:dyDescent="0.25">
      <c r="A1576" t="s">
        <v>1588</v>
      </c>
      <c r="B1576" t="s">
        <v>1587</v>
      </c>
      <c r="C1576">
        <v>124</v>
      </c>
      <c r="D1576">
        <v>153</v>
      </c>
      <c r="E1576">
        <v>153</v>
      </c>
      <c r="F1576" s="1">
        <v>8.6999999999999994E-2</v>
      </c>
      <c r="G1576" t="s">
        <v>1587</v>
      </c>
      <c r="H1576" t="s">
        <v>1587</v>
      </c>
      <c r="I1576">
        <v>9751</v>
      </c>
      <c r="J1576" t="s">
        <v>2673</v>
      </c>
      <c r="K1576">
        <v>1</v>
      </c>
      <c r="L1576">
        <v>-10.4</v>
      </c>
      <c r="M1576">
        <v>-3.2</v>
      </c>
      <c r="N1576">
        <v>10.8</v>
      </c>
      <c r="O1576" t="s">
        <v>1594</v>
      </c>
      <c r="P1576" t="s">
        <v>1584</v>
      </c>
      <c r="Q1576" t="s">
        <v>1591</v>
      </c>
      <c r="R1576">
        <v>0.01</v>
      </c>
      <c r="S1576">
        <v>-1.97</v>
      </c>
      <c r="T1576" t="s">
        <v>1584</v>
      </c>
      <c r="U1576" t="s">
        <v>1592</v>
      </c>
      <c r="V1576" t="str" cm="1">
        <f t="array" aca="1" ref="V1576" ca="1">IFERROR(_xlfn.IFS(A1574="  ..............",OFFSET(A1574,2,0),A1573=" X-------------X",OFFSET(A1573,3,0),MATCH("  ..............",A1576:A1585,0)&gt;2,V1575),"-")</f>
        <v>-</v>
      </c>
      <c r="W1576" t="str">
        <f t="shared" ca="1" si="72"/>
        <v>-</v>
      </c>
      <c r="X1576" t="str">
        <f t="shared" ca="1" si="73"/>
        <v>-</v>
      </c>
      <c r="Y1576" s="1" t="str">
        <f t="shared" ca="1" si="74"/>
        <v>-</v>
      </c>
    </row>
    <row r="1577" spans="1:25" x14ac:dyDescent="0.25">
      <c r="A1577" t="s">
        <v>1572</v>
      </c>
      <c r="B1577" t="s">
        <v>1574</v>
      </c>
      <c r="C1577" t="s">
        <v>1574</v>
      </c>
      <c r="D1577" t="s">
        <v>1574</v>
      </c>
      <c r="E1577" t="s">
        <v>1574</v>
      </c>
      <c r="F1577" t="s">
        <v>1575</v>
      </c>
      <c r="G1577" t="s">
        <v>1574</v>
      </c>
      <c r="H1577" t="s">
        <v>1574</v>
      </c>
      <c r="I1577" t="s">
        <v>1576</v>
      </c>
      <c r="J1577" t="s">
        <v>1573</v>
      </c>
      <c r="K1577" t="s">
        <v>1577</v>
      </c>
      <c r="L1577" t="s">
        <v>1574</v>
      </c>
      <c r="M1577" t="s">
        <v>1574</v>
      </c>
      <c r="N1577" t="s">
        <v>1574</v>
      </c>
      <c r="O1577" t="s">
        <v>1578</v>
      </c>
      <c r="P1577" t="s">
        <v>1576</v>
      </c>
      <c r="Q1577" t="s">
        <v>1579</v>
      </c>
      <c r="R1577" t="s">
        <v>1580</v>
      </c>
      <c r="S1577" t="s">
        <v>1580</v>
      </c>
      <c r="T1577" t="s">
        <v>1576</v>
      </c>
      <c r="U1577" t="s">
        <v>1576</v>
      </c>
      <c r="V1577" t="str" cm="1">
        <f t="array" aca="1" ref="V1577" ca="1">IFERROR(_xlfn.IFS(A1575="  ..............",OFFSET(A1575,2,0),A1574=" X-------------X",OFFSET(A1574,3,0),MATCH("  ..............",A1577:A1586,0)&gt;2,V1576),"-")</f>
        <v>-</v>
      </c>
      <c r="W1577" t="str">
        <f t="shared" ca="1" si="72"/>
        <v>-</v>
      </c>
      <c r="X1577" t="str">
        <f t="shared" ca="1" si="73"/>
        <v/>
      </c>
      <c r="Y1577" s="1" t="str">
        <f t="shared" ca="1" si="74"/>
        <v/>
      </c>
    </row>
    <row r="1578" spans="1:25" x14ac:dyDescent="0.25">
      <c r="A1578" t="s">
        <v>2676</v>
      </c>
      <c r="B1578">
        <v>1.0029999999999999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 t="s">
        <v>1581</v>
      </c>
      <c r="J1578" t="s">
        <v>1581</v>
      </c>
      <c r="K1578" t="s">
        <v>1581</v>
      </c>
      <c r="L1578" t="s">
        <v>1581</v>
      </c>
      <c r="M1578" t="s">
        <v>1581</v>
      </c>
      <c r="N1578" t="s">
        <v>1581</v>
      </c>
      <c r="O1578" t="s">
        <v>1581</v>
      </c>
      <c r="P1578" t="s">
        <v>1581</v>
      </c>
      <c r="Q1578" t="s">
        <v>1581</v>
      </c>
      <c r="R1578" t="s">
        <v>1581</v>
      </c>
      <c r="S1578" t="s">
        <v>1581</v>
      </c>
      <c r="T1578" t="s">
        <v>1581</v>
      </c>
      <c r="U1578" t="s">
        <v>1581</v>
      </c>
      <c r="V1578" t="str" cm="1">
        <f t="array" aca="1" ref="V1578" ca="1">IFERROR(_xlfn.IFS(A1576="  ..............",OFFSET(A1576,2,0),A1575=" X-------------X",OFFSET(A1575,3,0),MATCH("  ..............",A1578:A1587,0)&gt;2,V1577),"-")</f>
        <v>-</v>
      </c>
      <c r="W1578" t="str">
        <f t="shared" ca="1" si="72"/>
        <v>-</v>
      </c>
      <c r="X1578" t="str">
        <f t="shared" ca="1" si="73"/>
        <v xml:space="preserve">              </v>
      </c>
      <c r="Y1578" s="1">
        <f t="shared" ca="1" si="74"/>
        <v>0</v>
      </c>
    </row>
    <row r="1579" spans="1:25" x14ac:dyDescent="0.25">
      <c r="A1579" t="s">
        <v>2677</v>
      </c>
      <c r="B1579">
        <v>-48.4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 t="s">
        <v>1584</v>
      </c>
      <c r="J1579" t="s">
        <v>1585</v>
      </c>
      <c r="K1579" t="s">
        <v>1586</v>
      </c>
      <c r="L1579" t="s">
        <v>1587</v>
      </c>
      <c r="M1579" t="s">
        <v>1587</v>
      </c>
      <c r="N1579" t="s">
        <v>1586</v>
      </c>
      <c r="O1579" t="s">
        <v>1581</v>
      </c>
      <c r="P1579" t="s">
        <v>1581</v>
      </c>
      <c r="Q1579" t="s">
        <v>1581</v>
      </c>
      <c r="R1579" t="s">
        <v>1581</v>
      </c>
      <c r="S1579" t="s">
        <v>1581</v>
      </c>
      <c r="T1579" t="s">
        <v>1581</v>
      </c>
      <c r="U1579" t="s">
        <v>1581</v>
      </c>
      <c r="V1579" t="str" cm="1">
        <f t="array" aca="1" ref="V1579" ca="1">IFERROR(_xlfn.IFS(A1577="  ..............",OFFSET(A1577,2,0),A1576=" X-------------X",OFFSET(A1576,3,0),MATCH("  ..............",A1579:A1588,0)&gt;2,V1578),"-")</f>
        <v xml:space="preserve">  PALMARTAP138  </v>
      </c>
      <c r="W1579">
        <f t="shared" ca="1" si="72"/>
        <v>1.0029999999999999</v>
      </c>
      <c r="X1579" t="str">
        <f t="shared" ca="1" si="73"/>
        <v xml:space="preserve"> PALMAR-RS138 </v>
      </c>
      <c r="Y1579" s="1">
        <f t="shared" ca="1" si="74"/>
        <v>1.6E-2</v>
      </c>
    </row>
    <row r="1580" spans="1:25" x14ac:dyDescent="0.25">
      <c r="A1580" t="s">
        <v>1588</v>
      </c>
      <c r="B1580" t="s">
        <v>1587</v>
      </c>
      <c r="C1580">
        <v>103</v>
      </c>
      <c r="D1580">
        <v>131</v>
      </c>
      <c r="E1580">
        <v>131</v>
      </c>
      <c r="F1580" s="1">
        <v>0.106</v>
      </c>
      <c r="G1580" t="s">
        <v>1587</v>
      </c>
      <c r="H1580" t="s">
        <v>1587</v>
      </c>
      <c r="I1580">
        <v>1229</v>
      </c>
      <c r="J1580" t="s">
        <v>1605</v>
      </c>
      <c r="K1580">
        <v>1</v>
      </c>
      <c r="L1580">
        <v>10.4</v>
      </c>
      <c r="M1580">
        <v>3.5</v>
      </c>
      <c r="N1580">
        <v>10.9</v>
      </c>
      <c r="O1580" t="s">
        <v>1594</v>
      </c>
      <c r="P1580" t="s">
        <v>1584</v>
      </c>
      <c r="Q1580" t="s">
        <v>1591</v>
      </c>
      <c r="R1580">
        <v>0.03</v>
      </c>
      <c r="S1580">
        <v>-1.1499999999999999</v>
      </c>
      <c r="T1580" t="s">
        <v>1584</v>
      </c>
      <c r="U1580" t="s">
        <v>1592</v>
      </c>
      <c r="V1580" t="str" cm="1">
        <f t="array" aca="1" ref="V1580" ca="1">IFERROR(_xlfn.IFS(A1578="  ..............",OFFSET(A1578,2,0),A1577=" X-------------X",OFFSET(A1577,3,0),MATCH("  ..............",A1580:A1589,0)&gt;2,V1579),"-")</f>
        <v xml:space="preserve">  PALMARTAP138  </v>
      </c>
      <c r="W1580">
        <f t="shared" ca="1" si="72"/>
        <v>1.0029999999999999</v>
      </c>
      <c r="X1580" t="str">
        <f t="shared" ca="1" si="73"/>
        <v xml:space="preserve"> PALMA2-RS138 </v>
      </c>
      <c r="Y1580" s="1">
        <f t="shared" ca="1" si="74"/>
        <v>0.106</v>
      </c>
    </row>
    <row r="1581" spans="1:25" x14ac:dyDescent="0.25">
      <c r="A1581" t="s">
        <v>1588</v>
      </c>
      <c r="B1581" t="s">
        <v>1587</v>
      </c>
      <c r="C1581">
        <v>103</v>
      </c>
      <c r="D1581">
        <v>131</v>
      </c>
      <c r="E1581">
        <v>131</v>
      </c>
      <c r="F1581" s="1">
        <v>0.106</v>
      </c>
      <c r="G1581" t="s">
        <v>1587</v>
      </c>
      <c r="H1581" t="s">
        <v>1587</v>
      </c>
      <c r="I1581">
        <v>9729</v>
      </c>
      <c r="J1581" t="s">
        <v>2678</v>
      </c>
      <c r="K1581">
        <v>1</v>
      </c>
      <c r="L1581">
        <v>-10.4</v>
      </c>
      <c r="M1581">
        <v>-3.5</v>
      </c>
      <c r="N1581">
        <v>10.9</v>
      </c>
      <c r="O1581" t="s">
        <v>1594</v>
      </c>
      <c r="P1581" t="s">
        <v>1584</v>
      </c>
      <c r="Q1581" t="s">
        <v>1591</v>
      </c>
      <c r="R1581">
        <v>0.01</v>
      </c>
      <c r="S1581">
        <v>-0.28999999999999998</v>
      </c>
      <c r="T1581" t="s">
        <v>1584</v>
      </c>
      <c r="U1581" t="s">
        <v>1592</v>
      </c>
      <c r="V1581" t="str" cm="1">
        <f t="array" aca="1" ref="V1581" ca="1">IFERROR(_xlfn.IFS(A1579="  ..............",OFFSET(A1579,2,0),A1578=" X-------------X",OFFSET(A1578,3,0),MATCH("  ..............",A1581:A1590,0)&gt;2,V1580),"-")</f>
        <v>-</v>
      </c>
      <c r="W1581" t="str">
        <f t="shared" ca="1" si="72"/>
        <v>-</v>
      </c>
      <c r="X1581" t="str">
        <f t="shared" ca="1" si="73"/>
        <v>-</v>
      </c>
      <c r="Y1581" s="1" t="str">
        <f t="shared" ca="1" si="74"/>
        <v>-</v>
      </c>
    </row>
    <row r="1582" spans="1:25" x14ac:dyDescent="0.25">
      <c r="A1582" t="s">
        <v>1572</v>
      </c>
      <c r="B1582" t="s">
        <v>1574</v>
      </c>
      <c r="C1582" t="s">
        <v>1574</v>
      </c>
      <c r="D1582" t="s">
        <v>1574</v>
      </c>
      <c r="E1582" t="s">
        <v>1574</v>
      </c>
      <c r="F1582" t="s">
        <v>1575</v>
      </c>
      <c r="G1582" t="s">
        <v>1574</v>
      </c>
      <c r="H1582" t="s">
        <v>1574</v>
      </c>
      <c r="I1582" t="s">
        <v>1576</v>
      </c>
      <c r="J1582" t="s">
        <v>1573</v>
      </c>
      <c r="K1582" t="s">
        <v>1577</v>
      </c>
      <c r="L1582" t="s">
        <v>1574</v>
      </c>
      <c r="M1582" t="s">
        <v>1574</v>
      </c>
      <c r="N1582" t="s">
        <v>1574</v>
      </c>
      <c r="O1582" t="s">
        <v>1578</v>
      </c>
      <c r="P1582" t="s">
        <v>1576</v>
      </c>
      <c r="Q1582" t="s">
        <v>1579</v>
      </c>
      <c r="R1582" t="s">
        <v>1580</v>
      </c>
      <c r="S1582" t="s">
        <v>1580</v>
      </c>
      <c r="T1582" t="s">
        <v>1576</v>
      </c>
      <c r="U1582" t="s">
        <v>1576</v>
      </c>
      <c r="V1582" t="str" cm="1">
        <f t="array" aca="1" ref="V1582" ca="1">IFERROR(_xlfn.IFS(A1580="  ..............",OFFSET(A1580,2,0),A1579=" X-------------X",OFFSET(A1579,3,0),MATCH("  ..............",A1582:A1591,0)&gt;2,V1581),"-")</f>
        <v>-</v>
      </c>
      <c r="W1582" t="str">
        <f t="shared" ca="1" si="72"/>
        <v>-</v>
      </c>
      <c r="X1582" t="str">
        <f t="shared" ca="1" si="73"/>
        <v/>
      </c>
      <c r="Y1582" s="1" t="str">
        <f t="shared" ca="1" si="74"/>
        <v/>
      </c>
    </row>
    <row r="1583" spans="1:25" x14ac:dyDescent="0.25">
      <c r="A1583" t="s">
        <v>2679</v>
      </c>
      <c r="B1583">
        <v>1.006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 t="s">
        <v>1581</v>
      </c>
      <c r="J1583" t="s">
        <v>1581</v>
      </c>
      <c r="K1583" t="s">
        <v>1581</v>
      </c>
      <c r="L1583" t="s">
        <v>1581</v>
      </c>
      <c r="M1583" t="s">
        <v>1581</v>
      </c>
      <c r="N1583" t="s">
        <v>1581</v>
      </c>
      <c r="O1583" t="s">
        <v>1581</v>
      </c>
      <c r="P1583" t="s">
        <v>1581</v>
      </c>
      <c r="Q1583" t="s">
        <v>1581</v>
      </c>
      <c r="R1583" t="s">
        <v>1581</v>
      </c>
      <c r="S1583" t="s">
        <v>1581</v>
      </c>
      <c r="T1583" t="s">
        <v>1581</v>
      </c>
      <c r="U1583" t="s">
        <v>1581</v>
      </c>
      <c r="V1583" t="str" cm="1">
        <f t="array" aca="1" ref="V1583" ca="1">IFERROR(_xlfn.IFS(A1581="  ..............",OFFSET(A1581,2,0),A1580=" X-------------X",OFFSET(A1580,3,0),MATCH("  ..............",A1583:A1592,0)&gt;2,V1582),"-")</f>
        <v>-</v>
      </c>
      <c r="W1583" t="str">
        <f t="shared" ca="1" si="72"/>
        <v>-</v>
      </c>
      <c r="X1583" t="str">
        <f t="shared" ca="1" si="73"/>
        <v xml:space="preserve">              </v>
      </c>
      <c r="Y1583" s="1">
        <f t="shared" ca="1" si="74"/>
        <v>0</v>
      </c>
    </row>
    <row r="1584" spans="1:25" x14ac:dyDescent="0.25">
      <c r="A1584" t="s">
        <v>2680</v>
      </c>
      <c r="B1584">
        <v>-48.2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 t="s">
        <v>1584</v>
      </c>
      <c r="J1584" t="s">
        <v>1585</v>
      </c>
      <c r="K1584" t="s">
        <v>1586</v>
      </c>
      <c r="L1584" t="s">
        <v>1587</v>
      </c>
      <c r="M1584" t="s">
        <v>1587</v>
      </c>
      <c r="N1584" t="s">
        <v>1586</v>
      </c>
      <c r="O1584" t="s">
        <v>1581</v>
      </c>
      <c r="P1584" t="s">
        <v>1581</v>
      </c>
      <c r="Q1584" t="s">
        <v>1581</v>
      </c>
      <c r="R1584" t="s">
        <v>1581</v>
      </c>
      <c r="S1584" t="s">
        <v>1581</v>
      </c>
      <c r="T1584" t="s">
        <v>1581</v>
      </c>
      <c r="U1584" t="s">
        <v>1581</v>
      </c>
      <c r="V1584" t="str" cm="1">
        <f t="array" aca="1" ref="V1584" ca="1">IFERROR(_xlfn.IFS(A1582="  ..............",OFFSET(A1582,2,0),A1581=" X-------------X",OFFSET(A1581,3,0),MATCH("  ..............",A1584:A1593,0)&gt;2,V1583),"-")</f>
        <v xml:space="preserve">  COLPAL-RS138  </v>
      </c>
      <c r="W1584">
        <f t="shared" ca="1" si="72"/>
        <v>1.006</v>
      </c>
      <c r="X1584" t="str">
        <f t="shared" ca="1" si="73"/>
        <v xml:space="preserve"> COLPAL-RS034 </v>
      </c>
      <c r="Y1584" s="1">
        <f t="shared" ca="1" si="74"/>
        <v>0.376</v>
      </c>
    </row>
    <row r="1585" spans="1:25" x14ac:dyDescent="0.25">
      <c r="A1585" t="s">
        <v>1588</v>
      </c>
      <c r="B1585" t="s">
        <v>1587</v>
      </c>
      <c r="C1585">
        <v>45</v>
      </c>
      <c r="D1585">
        <v>45</v>
      </c>
      <c r="E1585">
        <v>45</v>
      </c>
      <c r="F1585" s="1">
        <v>0.376</v>
      </c>
      <c r="G1585" t="s">
        <v>1587</v>
      </c>
      <c r="H1585" t="s">
        <v>1587</v>
      </c>
      <c r="I1585">
        <v>9727</v>
      </c>
      <c r="J1585" t="s">
        <v>2681</v>
      </c>
      <c r="K1585">
        <v>1</v>
      </c>
      <c r="L1585">
        <v>-17</v>
      </c>
      <c r="M1585">
        <v>0</v>
      </c>
      <c r="N1585">
        <v>16.899999999999999</v>
      </c>
      <c r="O1585" t="s">
        <v>2067</v>
      </c>
      <c r="P1585" t="s">
        <v>1584</v>
      </c>
      <c r="Q1585">
        <v>2</v>
      </c>
      <c r="R1585">
        <v>0.02</v>
      </c>
      <c r="S1585">
        <v>0.7</v>
      </c>
      <c r="T1585" t="s">
        <v>1584</v>
      </c>
      <c r="U1585" t="s">
        <v>1592</v>
      </c>
      <c r="V1585" t="str" cm="1">
        <f t="array" aca="1" ref="V1585" ca="1">IFERROR(_xlfn.IFS(A1583="  ..............",OFFSET(A1583,2,0),A1582=" X-------------X",OFFSET(A1582,3,0),MATCH("  ..............",A1585:A1594,0)&gt;2,V1584),"-")</f>
        <v xml:space="preserve">  COLPAL-RS138  </v>
      </c>
      <c r="W1585">
        <f t="shared" ca="1" si="72"/>
        <v>1.006</v>
      </c>
      <c r="X1585" t="str">
        <f t="shared" ca="1" si="73"/>
        <v xml:space="preserve"> PALMA1-RS138 </v>
      </c>
      <c r="Y1585" s="1">
        <f t="shared" ca="1" si="74"/>
        <v>7.0000000000000007E-2</v>
      </c>
    </row>
    <row r="1586" spans="1:25" x14ac:dyDescent="0.25">
      <c r="A1586" t="s">
        <v>1588</v>
      </c>
      <c r="B1586" t="s">
        <v>1587</v>
      </c>
      <c r="C1586">
        <v>124</v>
      </c>
      <c r="D1586">
        <v>153</v>
      </c>
      <c r="E1586">
        <v>153</v>
      </c>
      <c r="F1586" s="1">
        <v>5.3999999999999999E-2</v>
      </c>
      <c r="G1586" t="s">
        <v>1587</v>
      </c>
      <c r="H1586" t="s">
        <v>1587</v>
      </c>
      <c r="I1586">
        <v>9728</v>
      </c>
      <c r="J1586" t="s">
        <v>1845</v>
      </c>
      <c r="K1586">
        <v>1</v>
      </c>
      <c r="L1586">
        <v>6.6</v>
      </c>
      <c r="M1586">
        <v>-1.2</v>
      </c>
      <c r="N1586">
        <v>6.7</v>
      </c>
      <c r="O1586" t="s">
        <v>1594</v>
      </c>
      <c r="P1586" t="s">
        <v>1584</v>
      </c>
      <c r="Q1586" t="s">
        <v>1591</v>
      </c>
      <c r="R1586">
        <v>0</v>
      </c>
      <c r="S1586">
        <v>-1.98</v>
      </c>
      <c r="T1586" t="s">
        <v>1584</v>
      </c>
      <c r="U1586" t="s">
        <v>1592</v>
      </c>
      <c r="V1586" t="str" cm="1">
        <f t="array" aca="1" ref="V1586" ca="1">IFERROR(_xlfn.IFS(A1584="  ..............",OFFSET(A1584,2,0),A1583=" X-------------X",OFFSET(A1583,3,0),MATCH("  ..............",A1586:A1595,0)&gt;2,V1585),"-")</f>
        <v xml:space="preserve">  COLPAL-RS138  </v>
      </c>
      <c r="W1586">
        <f t="shared" ca="1" si="72"/>
        <v>1.006</v>
      </c>
      <c r="X1586" t="str">
        <f t="shared" ca="1" si="73"/>
        <v xml:space="preserve"> PALMA2-RS138 </v>
      </c>
      <c r="Y1586" s="1">
        <f t="shared" ca="1" si="74"/>
        <v>0.106</v>
      </c>
    </row>
    <row r="1587" spans="1:25" x14ac:dyDescent="0.25">
      <c r="A1587" t="s">
        <v>1588</v>
      </c>
      <c r="B1587" t="s">
        <v>1587</v>
      </c>
      <c r="C1587">
        <v>124</v>
      </c>
      <c r="D1587">
        <v>153</v>
      </c>
      <c r="E1587">
        <v>153</v>
      </c>
      <c r="F1587" s="1">
        <v>8.4000000000000005E-2</v>
      </c>
      <c r="G1587" t="s">
        <v>1587</v>
      </c>
      <c r="H1587" t="s">
        <v>1587</v>
      </c>
      <c r="I1587">
        <v>9729</v>
      </c>
      <c r="J1587" t="s">
        <v>2678</v>
      </c>
      <c r="K1587">
        <v>1</v>
      </c>
      <c r="L1587">
        <v>10.4</v>
      </c>
      <c r="M1587">
        <v>1.3</v>
      </c>
      <c r="N1587">
        <v>10.4</v>
      </c>
      <c r="O1587" t="s">
        <v>1594</v>
      </c>
      <c r="P1587" t="s">
        <v>1584</v>
      </c>
      <c r="Q1587" t="s">
        <v>1591</v>
      </c>
      <c r="R1587">
        <v>0.01</v>
      </c>
      <c r="S1587">
        <v>-1.97</v>
      </c>
      <c r="T1587" t="s">
        <v>1584</v>
      </c>
      <c r="U1587" t="s">
        <v>1592</v>
      </c>
      <c r="V1587" t="str" cm="1">
        <f t="array" aca="1" ref="V1587" ca="1">IFERROR(_xlfn.IFS(A1585="  ..............",OFFSET(A1585,2,0),A1584=" X-------------X",OFFSET(A1584,3,0),MATCH("  ..............",A1587:A1596,0)&gt;2,V1586),"-")</f>
        <v>-</v>
      </c>
      <c r="W1587" t="str">
        <f t="shared" ca="1" si="72"/>
        <v>-</v>
      </c>
      <c r="X1587" t="str">
        <f t="shared" ca="1" si="73"/>
        <v>-</v>
      </c>
      <c r="Y1587" s="1" t="str">
        <f t="shared" ca="1" si="74"/>
        <v>-</v>
      </c>
    </row>
    <row r="1588" spans="1:25" x14ac:dyDescent="0.25">
      <c r="A1588" t="s">
        <v>1572</v>
      </c>
      <c r="B1588" t="s">
        <v>1574</v>
      </c>
      <c r="C1588" t="s">
        <v>1574</v>
      </c>
      <c r="D1588" t="s">
        <v>1574</v>
      </c>
      <c r="E1588" t="s">
        <v>1574</v>
      </c>
      <c r="F1588" t="s">
        <v>1575</v>
      </c>
      <c r="G1588" t="s">
        <v>1574</v>
      </c>
      <c r="H1588" t="s">
        <v>1574</v>
      </c>
      <c r="I1588" t="s">
        <v>1576</v>
      </c>
      <c r="J1588" t="s">
        <v>1573</v>
      </c>
      <c r="K1588" t="s">
        <v>1577</v>
      </c>
      <c r="L1588" t="s">
        <v>1574</v>
      </c>
      <c r="M1588" t="s">
        <v>1574</v>
      </c>
      <c r="N1588" t="s">
        <v>1574</v>
      </c>
      <c r="O1588" t="s">
        <v>1578</v>
      </c>
      <c r="P1588" t="s">
        <v>1576</v>
      </c>
      <c r="Q1588" t="s">
        <v>1579</v>
      </c>
      <c r="R1588" t="s">
        <v>1580</v>
      </c>
      <c r="S1588" t="s">
        <v>1580</v>
      </c>
      <c r="T1588" t="s">
        <v>1576</v>
      </c>
      <c r="U1588" t="s">
        <v>1576</v>
      </c>
      <c r="V1588" t="str" cm="1">
        <f t="array" aca="1" ref="V1588" ca="1">IFERROR(_xlfn.IFS(A1586="  ..............",OFFSET(A1586,2,0),A1585=" X-------------X",OFFSET(A1585,3,0),MATCH("  ..............",A1588:A1597,0)&gt;2,V1587),"-")</f>
        <v>-</v>
      </c>
      <c r="W1588" t="str">
        <f t="shared" ca="1" si="72"/>
        <v>-</v>
      </c>
      <c r="X1588" t="str">
        <f t="shared" ca="1" si="73"/>
        <v/>
      </c>
      <c r="Y1588" s="1" t="str">
        <f t="shared" ca="1" si="74"/>
        <v/>
      </c>
    </row>
    <row r="1589" spans="1:25" x14ac:dyDescent="0.25">
      <c r="A1589" t="s">
        <v>2682</v>
      </c>
      <c r="B1589">
        <v>1.0409999999999999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 t="s">
        <v>1581</v>
      </c>
      <c r="J1589" t="s">
        <v>1581</v>
      </c>
      <c r="K1589" t="s">
        <v>1581</v>
      </c>
      <c r="L1589" t="s">
        <v>1581</v>
      </c>
      <c r="M1589" t="s">
        <v>1581</v>
      </c>
      <c r="N1589" t="s">
        <v>1581</v>
      </c>
      <c r="O1589" t="s">
        <v>1581</v>
      </c>
      <c r="P1589" t="s">
        <v>1581</v>
      </c>
      <c r="Q1589" t="s">
        <v>1581</v>
      </c>
      <c r="R1589" t="s">
        <v>1581</v>
      </c>
      <c r="S1589" t="s">
        <v>1581</v>
      </c>
      <c r="T1589" t="s">
        <v>1581</v>
      </c>
      <c r="U1589" t="s">
        <v>1581</v>
      </c>
      <c r="V1589" t="str" cm="1">
        <f t="array" aca="1" ref="V1589" ca="1">IFERROR(_xlfn.IFS(A1587="  ..............",OFFSET(A1587,2,0),A1586=" X-------------X",OFFSET(A1586,3,0),MATCH("  ..............",A1589:A1598,0)&gt;2,V1588),"-")</f>
        <v>-</v>
      </c>
      <c r="W1589" t="str">
        <f t="shared" ca="1" si="72"/>
        <v>-</v>
      </c>
      <c r="X1589" t="str">
        <f t="shared" ca="1" si="73"/>
        <v xml:space="preserve">              </v>
      </c>
      <c r="Y1589" s="1">
        <f t="shared" ca="1" si="74"/>
        <v>0</v>
      </c>
    </row>
    <row r="1590" spans="1:25" x14ac:dyDescent="0.25">
      <c r="A1590" t="s">
        <v>2683</v>
      </c>
      <c r="B1590">
        <v>-52.9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 t="s">
        <v>1584</v>
      </c>
      <c r="J1590" t="s">
        <v>1585</v>
      </c>
      <c r="K1590" t="s">
        <v>1586</v>
      </c>
      <c r="L1590" t="s">
        <v>1587</v>
      </c>
      <c r="M1590" t="s">
        <v>1587</v>
      </c>
      <c r="N1590" t="s">
        <v>1586</v>
      </c>
      <c r="O1590" t="s">
        <v>1581</v>
      </c>
      <c r="P1590" t="s">
        <v>1581</v>
      </c>
      <c r="Q1590" t="s">
        <v>1581</v>
      </c>
      <c r="R1590" t="s">
        <v>1581</v>
      </c>
      <c r="S1590" t="s">
        <v>1581</v>
      </c>
      <c r="T1590" t="s">
        <v>1581</v>
      </c>
      <c r="U1590" t="s">
        <v>1581</v>
      </c>
      <c r="V1590" t="str" cm="1">
        <f t="array" aca="1" ref="V1590" ca="1">IFERROR(_xlfn.IFS(A1588="  ..............",OFFSET(A1588,2,0),A1587=" X-------------X",OFFSET(A1587,3,0),MATCH("  ..............",A1590:A1599,0)&gt;2,V1589),"-")</f>
        <v xml:space="preserve">  SCR1RB-RS013  </v>
      </c>
      <c r="W1590">
        <f t="shared" ca="1" si="72"/>
        <v>1.0409999999999999</v>
      </c>
      <c r="X1590" t="str">
        <f t="shared" ca="1" si="73"/>
        <v xml:space="preserve"> SCRU1A-RS013 </v>
      </c>
      <c r="Y1590" s="1">
        <f t="shared" ca="1" si="74"/>
        <v>0</v>
      </c>
    </row>
    <row r="1591" spans="1:25" x14ac:dyDescent="0.25">
      <c r="A1591" t="s">
        <v>1588</v>
      </c>
      <c r="B1591" t="s">
        <v>1587</v>
      </c>
      <c r="C1591">
        <v>9999</v>
      </c>
      <c r="D1591">
        <v>9999</v>
      </c>
      <c r="E1591">
        <v>9999</v>
      </c>
      <c r="F1591" s="1">
        <v>0</v>
      </c>
      <c r="G1591" t="s">
        <v>1587</v>
      </c>
      <c r="H1591" t="s">
        <v>1587</v>
      </c>
      <c r="I1591">
        <v>1309</v>
      </c>
      <c r="J1591" t="s">
        <v>2684</v>
      </c>
      <c r="K1591">
        <v>6</v>
      </c>
      <c r="L1591">
        <v>13.1</v>
      </c>
      <c r="M1591">
        <v>6.2</v>
      </c>
      <c r="N1591">
        <v>13.9</v>
      </c>
      <c r="O1591" t="s">
        <v>1594</v>
      </c>
      <c r="P1591" t="s">
        <v>1584</v>
      </c>
      <c r="Q1591" t="s">
        <v>1591</v>
      </c>
      <c r="R1591">
        <v>0</v>
      </c>
      <c r="S1591">
        <v>0.25</v>
      </c>
      <c r="T1591" t="s">
        <v>1584</v>
      </c>
      <c r="U1591" t="s">
        <v>1592</v>
      </c>
      <c r="V1591" t="str" cm="1">
        <f t="array" aca="1" ref="V1591" ca="1">IFERROR(_xlfn.IFS(A1589="  ..............",OFFSET(A1589,2,0),A1588=" X-------------X",OFFSET(A1588,3,0),MATCH("  ..............",A1591:A1600,0)&gt;2,V1590),"-")</f>
        <v xml:space="preserve">  SCR1RB-RS013  </v>
      </c>
      <c r="W1591">
        <f t="shared" ca="1" si="72"/>
        <v>1.0409999999999999</v>
      </c>
      <c r="X1591" t="str">
        <f t="shared" ca="1" si="73"/>
        <v xml:space="preserve"> SCZ1-6-RS000 </v>
      </c>
      <c r="Y1591" s="1">
        <f t="shared" ca="1" si="74"/>
        <v>0.27800000000000002</v>
      </c>
    </row>
    <row r="1592" spans="1:25" x14ac:dyDescent="0.25">
      <c r="A1592" t="s">
        <v>1588</v>
      </c>
      <c r="B1592" t="s">
        <v>1587</v>
      </c>
      <c r="C1592">
        <v>50</v>
      </c>
      <c r="D1592">
        <v>50</v>
      </c>
      <c r="E1592">
        <v>50</v>
      </c>
      <c r="F1592" s="1">
        <v>0.27800000000000002</v>
      </c>
      <c r="G1592" t="s">
        <v>1587</v>
      </c>
      <c r="H1592" t="s">
        <v>1587</v>
      </c>
      <c r="I1592">
        <v>41368</v>
      </c>
      <c r="J1592" t="s">
        <v>2685</v>
      </c>
      <c r="K1592">
        <v>6</v>
      </c>
      <c r="L1592">
        <v>-13.1</v>
      </c>
      <c r="M1592">
        <v>-6.2</v>
      </c>
      <c r="N1592">
        <v>13.9</v>
      </c>
      <c r="O1592" t="s">
        <v>1608</v>
      </c>
      <c r="P1592" t="s">
        <v>1584</v>
      </c>
      <c r="Q1592">
        <v>2</v>
      </c>
      <c r="R1592">
        <v>0</v>
      </c>
      <c r="S1592">
        <v>-0.04</v>
      </c>
      <c r="T1592" t="s">
        <v>1584</v>
      </c>
      <c r="U1592" t="s">
        <v>1592</v>
      </c>
      <c r="V1592" t="str" cm="1">
        <f t="array" aca="1" ref="V1592" ca="1">IFERROR(_xlfn.IFS(A1590="  ..............",OFFSET(A1590,2,0),A1589=" X-------------X",OFFSET(A1589,3,0),MATCH("  ..............",A1592:A1601,0)&gt;2,V1591),"-")</f>
        <v>-</v>
      </c>
      <c r="W1592" t="str">
        <f t="shared" ca="1" si="72"/>
        <v>-</v>
      </c>
      <c r="X1592" t="str">
        <f t="shared" ca="1" si="73"/>
        <v>-</v>
      </c>
      <c r="Y1592" s="1" t="str">
        <f t="shared" ca="1" si="74"/>
        <v>-</v>
      </c>
    </row>
    <row r="1593" spans="1:25" x14ac:dyDescent="0.25">
      <c r="A1593" t="s">
        <v>1572</v>
      </c>
      <c r="B1593" t="s">
        <v>1574</v>
      </c>
      <c r="C1593" t="s">
        <v>1574</v>
      </c>
      <c r="D1593" t="s">
        <v>1574</v>
      </c>
      <c r="E1593" t="s">
        <v>1574</v>
      </c>
      <c r="F1593" t="s">
        <v>1575</v>
      </c>
      <c r="G1593" t="s">
        <v>1574</v>
      </c>
      <c r="H1593" t="s">
        <v>1574</v>
      </c>
      <c r="I1593" t="s">
        <v>1576</v>
      </c>
      <c r="J1593" t="s">
        <v>1573</v>
      </c>
      <c r="K1593" t="s">
        <v>1577</v>
      </c>
      <c r="L1593" t="s">
        <v>1574</v>
      </c>
      <c r="M1593" t="s">
        <v>1574</v>
      </c>
      <c r="N1593" t="s">
        <v>1574</v>
      </c>
      <c r="O1593" t="s">
        <v>1578</v>
      </c>
      <c r="P1593" t="s">
        <v>1576</v>
      </c>
      <c r="Q1593" t="s">
        <v>1579</v>
      </c>
      <c r="R1593" t="s">
        <v>1580</v>
      </c>
      <c r="S1593" t="s">
        <v>1580</v>
      </c>
      <c r="T1593" t="s">
        <v>1576</v>
      </c>
      <c r="U1593" t="s">
        <v>1576</v>
      </c>
      <c r="V1593" t="str" cm="1">
        <f t="array" aca="1" ref="V1593" ca="1">IFERROR(_xlfn.IFS(A1591="  ..............",OFFSET(A1591,2,0),A1590=" X-------------X",OFFSET(A1590,3,0),MATCH("  ..............",A1593:A1602,0)&gt;2,V1592),"-")</f>
        <v>-</v>
      </c>
      <c r="W1593" t="str">
        <f t="shared" ca="1" si="72"/>
        <v>-</v>
      </c>
      <c r="X1593" t="str">
        <f t="shared" ca="1" si="73"/>
        <v/>
      </c>
      <c r="Y1593" s="1" t="str">
        <f t="shared" ca="1" si="74"/>
        <v/>
      </c>
    </row>
    <row r="1594" spans="1:25" x14ac:dyDescent="0.25">
      <c r="A1594" t="s">
        <v>2686</v>
      </c>
      <c r="B1594">
        <v>1.038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 t="s">
        <v>1581</v>
      </c>
      <c r="J1594" t="s">
        <v>1581</v>
      </c>
      <c r="K1594" t="s">
        <v>1581</v>
      </c>
      <c r="L1594" t="s">
        <v>1581</v>
      </c>
      <c r="M1594" t="s">
        <v>1581</v>
      </c>
      <c r="N1594" t="s">
        <v>1581</v>
      </c>
      <c r="O1594" t="s">
        <v>1581</v>
      </c>
      <c r="P1594" t="s">
        <v>1581</v>
      </c>
      <c r="Q1594" t="s">
        <v>1581</v>
      </c>
      <c r="R1594" t="s">
        <v>1581</v>
      </c>
      <c r="S1594" t="s">
        <v>1581</v>
      </c>
      <c r="T1594" t="s">
        <v>1581</v>
      </c>
      <c r="U1594" t="s">
        <v>1581</v>
      </c>
      <c r="V1594" t="str" cm="1">
        <f t="array" aca="1" ref="V1594" ca="1">IFERROR(_xlfn.IFS(A1592="  ..............",OFFSET(A1592,2,0),A1591=" X-------------X",OFFSET(A1591,3,0),MATCH("  ..............",A1594:A1603,0)&gt;2,V1593),"-")</f>
        <v>-</v>
      </c>
      <c r="W1594" t="str">
        <f t="shared" ca="1" si="72"/>
        <v>-</v>
      </c>
      <c r="X1594" t="str">
        <f t="shared" ca="1" si="73"/>
        <v xml:space="preserve">              </v>
      </c>
      <c r="Y1594" s="1">
        <f t="shared" ca="1" si="74"/>
        <v>0</v>
      </c>
    </row>
    <row r="1595" spans="1:25" x14ac:dyDescent="0.25">
      <c r="A1595" t="s">
        <v>2687</v>
      </c>
      <c r="B1595">
        <v>-52.5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 t="s">
        <v>1584</v>
      </c>
      <c r="J1595" t="s">
        <v>1585</v>
      </c>
      <c r="K1595" t="s">
        <v>1586</v>
      </c>
      <c r="L1595" t="s">
        <v>1587</v>
      </c>
      <c r="M1595" t="s">
        <v>1587</v>
      </c>
      <c r="N1595" t="s">
        <v>1586</v>
      </c>
      <c r="O1595" t="s">
        <v>1581</v>
      </c>
      <c r="P1595" t="s">
        <v>1581</v>
      </c>
      <c r="Q1595" t="s">
        <v>1581</v>
      </c>
      <c r="R1595" t="s">
        <v>1581</v>
      </c>
      <c r="S1595" t="s">
        <v>1581</v>
      </c>
      <c r="T1595" t="s">
        <v>1581</v>
      </c>
      <c r="U1595" t="s">
        <v>1581</v>
      </c>
      <c r="V1595" t="str" cm="1">
        <f t="array" aca="1" ref="V1595" ca="1">IFERROR(_xlfn.IFS(A1593="  ..............",OFFSET(A1593,2,0),A1592=" X-------------X",OFFSET(A1592,3,0),MATCH("  ..............",A1595:A1604,0)&gt;2,V1594),"-")</f>
        <v xml:space="preserve">  SCR1RA-RS013  </v>
      </c>
      <c r="W1595">
        <f t="shared" ca="1" si="72"/>
        <v>1.038</v>
      </c>
      <c r="X1595" t="str">
        <f t="shared" ca="1" si="73"/>
        <v xml:space="preserve"> SCRU1B-RS013 </v>
      </c>
      <c r="Y1595" s="1">
        <f t="shared" ca="1" si="74"/>
        <v>0</v>
      </c>
    </row>
    <row r="1596" spans="1:25" x14ac:dyDescent="0.25">
      <c r="A1596" t="s">
        <v>1588</v>
      </c>
      <c r="B1596" t="s">
        <v>1587</v>
      </c>
      <c r="C1596">
        <v>9999</v>
      </c>
      <c r="D1596">
        <v>9999</v>
      </c>
      <c r="E1596">
        <v>9999</v>
      </c>
      <c r="F1596" s="1">
        <v>0</v>
      </c>
      <c r="G1596" t="s">
        <v>1587</v>
      </c>
      <c r="H1596" t="s">
        <v>1587</v>
      </c>
      <c r="I1596">
        <v>1343</v>
      </c>
      <c r="J1596" t="s">
        <v>2688</v>
      </c>
      <c r="K1596">
        <v>7</v>
      </c>
      <c r="L1596">
        <v>9.5</v>
      </c>
      <c r="M1596">
        <v>3</v>
      </c>
      <c r="N1596">
        <v>9.6</v>
      </c>
      <c r="O1596" t="s">
        <v>1594</v>
      </c>
      <c r="P1596" t="s">
        <v>1584</v>
      </c>
      <c r="Q1596" t="s">
        <v>1591</v>
      </c>
      <c r="R1596">
        <v>0</v>
      </c>
      <c r="S1596">
        <v>0.12</v>
      </c>
      <c r="T1596" t="s">
        <v>1584</v>
      </c>
      <c r="U1596" t="s">
        <v>1592</v>
      </c>
      <c r="V1596" t="str" cm="1">
        <f t="array" aca="1" ref="V1596" ca="1">IFERROR(_xlfn.IFS(A1594="  ..............",OFFSET(A1594,2,0),A1593=" X-------------X",OFFSET(A1593,3,0),MATCH("  ..............",A1596:A1605,0)&gt;2,V1595),"-")</f>
        <v xml:space="preserve">  SCR1RA-RS013  </v>
      </c>
      <c r="W1596">
        <f t="shared" ca="1" si="72"/>
        <v>1.038</v>
      </c>
      <c r="X1596" t="str">
        <f t="shared" ca="1" si="73"/>
        <v xml:space="preserve"> SCZ1-7-RS000 </v>
      </c>
      <c r="Y1596" s="1">
        <f t="shared" ca="1" si="74"/>
        <v>0.192</v>
      </c>
    </row>
    <row r="1597" spans="1:25" x14ac:dyDescent="0.25">
      <c r="A1597" t="s">
        <v>1588</v>
      </c>
      <c r="B1597" t="s">
        <v>1587</v>
      </c>
      <c r="C1597">
        <v>50</v>
      </c>
      <c r="D1597">
        <v>50</v>
      </c>
      <c r="E1597">
        <v>50</v>
      </c>
      <c r="F1597" s="1">
        <v>0.192</v>
      </c>
      <c r="G1597" t="s">
        <v>1587</v>
      </c>
      <c r="H1597" t="s">
        <v>1587</v>
      </c>
      <c r="I1597">
        <v>41369</v>
      </c>
      <c r="J1597" t="s">
        <v>2689</v>
      </c>
      <c r="K1597">
        <v>7</v>
      </c>
      <c r="L1597">
        <v>-9.5</v>
      </c>
      <c r="M1597">
        <v>-3</v>
      </c>
      <c r="N1597">
        <v>9.6</v>
      </c>
      <c r="O1597" t="s">
        <v>1608</v>
      </c>
      <c r="P1597" t="s">
        <v>1584</v>
      </c>
      <c r="Q1597">
        <v>2</v>
      </c>
      <c r="R1597">
        <v>0</v>
      </c>
      <c r="S1597">
        <v>-0.02</v>
      </c>
      <c r="T1597" t="s">
        <v>1584</v>
      </c>
      <c r="U1597" t="s">
        <v>1592</v>
      </c>
      <c r="V1597" t="str" cm="1">
        <f t="array" aca="1" ref="V1597" ca="1">IFERROR(_xlfn.IFS(A1595="  ..............",OFFSET(A1595,2,0),A1594=" X-------------X",OFFSET(A1594,3,0),MATCH("  ..............",A1597:A1606,0)&gt;2,V1596),"-")</f>
        <v>-</v>
      </c>
      <c r="W1597" t="str">
        <f t="shared" ca="1" si="72"/>
        <v>-</v>
      </c>
      <c r="X1597" t="str">
        <f t="shared" ca="1" si="73"/>
        <v>-</v>
      </c>
      <c r="Y1597" s="1" t="str">
        <f t="shared" ca="1" si="74"/>
        <v>-</v>
      </c>
    </row>
    <row r="1598" spans="1:25" x14ac:dyDescent="0.25">
      <c r="A1598" t="s">
        <v>1572</v>
      </c>
      <c r="B1598" t="s">
        <v>1574</v>
      </c>
      <c r="C1598" t="s">
        <v>1574</v>
      </c>
      <c r="D1598" t="s">
        <v>1574</v>
      </c>
      <c r="E1598" t="s">
        <v>1574</v>
      </c>
      <c r="F1598" t="s">
        <v>1575</v>
      </c>
      <c r="G1598" t="s">
        <v>1574</v>
      </c>
      <c r="H1598" t="s">
        <v>1574</v>
      </c>
      <c r="I1598" t="s">
        <v>1576</v>
      </c>
      <c r="J1598" t="s">
        <v>1573</v>
      </c>
      <c r="K1598" t="s">
        <v>1577</v>
      </c>
      <c r="L1598" t="s">
        <v>1574</v>
      </c>
      <c r="M1598" t="s">
        <v>1574</v>
      </c>
      <c r="N1598" t="s">
        <v>1574</v>
      </c>
      <c r="O1598" t="s">
        <v>1578</v>
      </c>
      <c r="P1598" t="s">
        <v>1576</v>
      </c>
      <c r="Q1598" t="s">
        <v>1579</v>
      </c>
      <c r="R1598" t="s">
        <v>1580</v>
      </c>
      <c r="S1598" t="s">
        <v>1580</v>
      </c>
      <c r="T1598" t="s">
        <v>1576</v>
      </c>
      <c r="U1598" t="s">
        <v>1576</v>
      </c>
      <c r="V1598" t="str" cm="1">
        <f t="array" aca="1" ref="V1598" ca="1">IFERROR(_xlfn.IFS(A1596="  ..............",OFFSET(A1596,2,0),A1595=" X-------------X",OFFSET(A1595,3,0),MATCH("  ..............",A1598:A1607,0)&gt;2,V1597),"-")</f>
        <v>-</v>
      </c>
      <c r="W1598" t="str">
        <f t="shared" ca="1" si="72"/>
        <v>-</v>
      </c>
      <c r="X1598" t="str">
        <f t="shared" ca="1" si="73"/>
        <v/>
      </c>
      <c r="Y1598" s="1" t="str">
        <f t="shared" ca="1" si="74"/>
        <v/>
      </c>
    </row>
    <row r="1599" spans="1:25" x14ac:dyDescent="0.25">
      <c r="A1599" t="s">
        <v>2690</v>
      </c>
      <c r="B1599">
        <v>1.0129999999999999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 t="s">
        <v>1581</v>
      </c>
      <c r="J1599" t="s">
        <v>1581</v>
      </c>
      <c r="K1599" t="s">
        <v>1581</v>
      </c>
      <c r="L1599" t="s">
        <v>1581</v>
      </c>
      <c r="M1599" t="s">
        <v>1581</v>
      </c>
      <c r="N1599" t="s">
        <v>1581</v>
      </c>
      <c r="O1599" t="s">
        <v>1581</v>
      </c>
      <c r="P1599" t="s">
        <v>1581</v>
      </c>
      <c r="Q1599" t="s">
        <v>1581</v>
      </c>
      <c r="R1599" t="s">
        <v>1581</v>
      </c>
      <c r="S1599" t="s">
        <v>1581</v>
      </c>
      <c r="T1599" t="s">
        <v>1581</v>
      </c>
      <c r="U1599" t="s">
        <v>1581</v>
      </c>
      <c r="V1599" t="str" cm="1">
        <f t="array" aca="1" ref="V1599" ca="1">IFERROR(_xlfn.IFS(A1597="  ..............",OFFSET(A1597,2,0),A1596=" X-------------X",OFFSET(A1596,3,0),MATCH("  ..............",A1599:A1608,0)&gt;2,V1598),"-")</f>
        <v>-</v>
      </c>
      <c r="W1599" t="str">
        <f t="shared" ca="1" si="72"/>
        <v>-</v>
      </c>
      <c r="X1599" t="str">
        <f t="shared" ca="1" si="73"/>
        <v xml:space="preserve">              </v>
      </c>
      <c r="Y1599" s="1">
        <f t="shared" ca="1" si="74"/>
        <v>0</v>
      </c>
    </row>
    <row r="1600" spans="1:25" x14ac:dyDescent="0.25">
      <c r="A1600" t="s">
        <v>2691</v>
      </c>
      <c r="B1600">
        <v>-56.2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 t="s">
        <v>1584</v>
      </c>
      <c r="J1600" t="s">
        <v>1585</v>
      </c>
      <c r="K1600" t="s">
        <v>1586</v>
      </c>
      <c r="L1600" t="s">
        <v>1587</v>
      </c>
      <c r="M1600" t="s">
        <v>1587</v>
      </c>
      <c r="N1600" t="s">
        <v>1586</v>
      </c>
      <c r="O1600" t="s">
        <v>1581</v>
      </c>
      <c r="P1600" t="s">
        <v>1581</v>
      </c>
      <c r="Q1600" t="s">
        <v>1581</v>
      </c>
      <c r="R1600" t="s">
        <v>1581</v>
      </c>
      <c r="S1600" t="s">
        <v>1581</v>
      </c>
      <c r="T1600" t="s">
        <v>1581</v>
      </c>
      <c r="U1600" t="s">
        <v>1581</v>
      </c>
      <c r="V1600" t="str" cm="1">
        <f t="array" aca="1" ref="V1600" ca="1">IFERROR(_xlfn.IFS(A1598="  ..............",OFFSET(A1598,2,0),A1597=" X-------------X",OFFSET(A1597,3,0),MATCH("  ..............",A1600:A1609,0)&gt;2,V1599),"-")</f>
        <v xml:space="preserve">  GRAMADTAP069  </v>
      </c>
      <c r="W1600">
        <f t="shared" ca="1" si="72"/>
        <v>1.0129999999999999</v>
      </c>
      <c r="X1600" t="str">
        <f t="shared" ca="1" si="73"/>
        <v xml:space="preserve"> GRAMAD-RS069 </v>
      </c>
      <c r="Y1600" s="1">
        <f t="shared" ca="1" si="74"/>
        <v>0.253</v>
      </c>
    </row>
    <row r="1601" spans="1:25" x14ac:dyDescent="0.25">
      <c r="A1601" t="s">
        <v>1637</v>
      </c>
      <c r="B1601" t="s">
        <v>1638</v>
      </c>
      <c r="C1601">
        <v>84</v>
      </c>
      <c r="D1601">
        <v>101</v>
      </c>
      <c r="E1601">
        <v>101</v>
      </c>
      <c r="F1601" t="s">
        <v>1639</v>
      </c>
      <c r="G1601" t="s">
        <v>1587</v>
      </c>
      <c r="H1601" t="s">
        <v>1587</v>
      </c>
      <c r="I1601">
        <v>9550</v>
      </c>
      <c r="J1601" t="s">
        <v>2563</v>
      </c>
      <c r="K1601">
        <v>1</v>
      </c>
      <c r="L1601">
        <v>0</v>
      </c>
      <c r="M1601">
        <v>0</v>
      </c>
      <c r="N1601">
        <v>0</v>
      </c>
      <c r="O1601" t="s">
        <v>1594</v>
      </c>
      <c r="P1601" t="s">
        <v>1584</v>
      </c>
      <c r="Q1601" t="s">
        <v>1591</v>
      </c>
      <c r="R1601">
        <v>0</v>
      </c>
      <c r="S1601">
        <v>0</v>
      </c>
      <c r="T1601" t="s">
        <v>1584</v>
      </c>
      <c r="U1601" t="s">
        <v>1592</v>
      </c>
      <c r="V1601" t="str" cm="1">
        <f t="array" aca="1" ref="V1601" ca="1">IFERROR(_xlfn.IFS(A1599="  ..............",OFFSET(A1599,2,0),A1598=" X-------------X",OFFSET(A1598,3,0),MATCH("  ..............",A1601:A1610,0)&gt;2,V1600),"-")</f>
        <v xml:space="preserve">  GRAMADTAP069  </v>
      </c>
      <c r="W1601">
        <f t="shared" ca="1" si="72"/>
        <v>1.0129999999999999</v>
      </c>
      <c r="X1601" t="str">
        <f t="shared" ca="1" si="73"/>
        <v xml:space="preserve"> CANELA-RS069 </v>
      </c>
      <c r="Y1601" s="1">
        <f t="shared" ca="1" si="74"/>
        <v>0.59699999999999998</v>
      </c>
    </row>
    <row r="1602" spans="1:25" x14ac:dyDescent="0.25">
      <c r="A1602" t="s">
        <v>1588</v>
      </c>
      <c r="B1602" t="s">
        <v>1587</v>
      </c>
      <c r="C1602">
        <v>41</v>
      </c>
      <c r="D1602">
        <v>59</v>
      </c>
      <c r="E1602">
        <v>59</v>
      </c>
      <c r="F1602" s="1">
        <v>0.59699999999999998</v>
      </c>
      <c r="G1602" t="s">
        <v>1587</v>
      </c>
      <c r="H1602" t="s">
        <v>1587</v>
      </c>
      <c r="I1602">
        <v>9551</v>
      </c>
      <c r="J1602" t="s">
        <v>2692</v>
      </c>
      <c r="K1602">
        <v>1</v>
      </c>
      <c r="L1602">
        <v>24.3</v>
      </c>
      <c r="M1602">
        <v>5.0999999999999996</v>
      </c>
      <c r="N1602">
        <v>24.5</v>
      </c>
      <c r="O1602" t="s">
        <v>1594</v>
      </c>
      <c r="P1602" t="s">
        <v>1584</v>
      </c>
      <c r="Q1602" t="s">
        <v>1591</v>
      </c>
      <c r="R1602">
        <v>0.06</v>
      </c>
      <c r="S1602">
        <v>0.1</v>
      </c>
      <c r="T1602" t="s">
        <v>1584</v>
      </c>
      <c r="U1602" t="s">
        <v>1592</v>
      </c>
      <c r="V1602" t="str" cm="1">
        <f t="array" aca="1" ref="V1602" ca="1">IFERROR(_xlfn.IFS(A1600="  ..............",OFFSET(A1600,2,0),A1599=" X-------------X",OFFSET(A1599,3,0),MATCH("  ..............",A1602:A1611,0)&gt;2,V1601),"-")</f>
        <v xml:space="preserve">  GRAMADTAP069  </v>
      </c>
      <c r="W1602">
        <f t="shared" ca="1" si="72"/>
        <v>1.0129999999999999</v>
      </c>
      <c r="X1602" t="str">
        <f t="shared" ca="1" si="73"/>
        <v xml:space="preserve"> CANAS2-RS069 </v>
      </c>
      <c r="Y1602" s="1">
        <f t="shared" ca="1" si="74"/>
        <v>0.505</v>
      </c>
    </row>
    <row r="1603" spans="1:25" x14ac:dyDescent="0.25">
      <c r="A1603" t="s">
        <v>1588</v>
      </c>
      <c r="B1603" t="s">
        <v>1587</v>
      </c>
      <c r="C1603">
        <v>41</v>
      </c>
      <c r="D1603">
        <v>59</v>
      </c>
      <c r="E1603">
        <v>59</v>
      </c>
      <c r="F1603" s="1">
        <v>0.59699999999999998</v>
      </c>
      <c r="G1603" t="s">
        <v>1587</v>
      </c>
      <c r="H1603" t="s">
        <v>1587</v>
      </c>
      <c r="I1603">
        <v>9557</v>
      </c>
      <c r="J1603" t="s">
        <v>2219</v>
      </c>
      <c r="K1603">
        <v>1</v>
      </c>
      <c r="L1603">
        <v>-24.3</v>
      </c>
      <c r="M1603">
        <v>-5.0999999999999996</v>
      </c>
      <c r="N1603">
        <v>24.5</v>
      </c>
      <c r="O1603" t="s">
        <v>1594</v>
      </c>
      <c r="P1603" t="s">
        <v>1584</v>
      </c>
      <c r="Q1603" t="s">
        <v>1591</v>
      </c>
      <c r="R1603">
        <v>0.28999999999999998</v>
      </c>
      <c r="S1603">
        <v>0.46</v>
      </c>
      <c r="T1603" t="s">
        <v>1584</v>
      </c>
      <c r="U1603" t="s">
        <v>1592</v>
      </c>
      <c r="V1603" t="str" cm="1">
        <f t="array" aca="1" ref="V1603" ca="1">IFERROR(_xlfn.IFS(A1601="  ..............",OFFSET(A1601,2,0),A1600=" X-------------X",OFFSET(A1600,3,0),MATCH("  ..............",A1603:A1612,0)&gt;2,V1602),"-")</f>
        <v>-</v>
      </c>
      <c r="W1603" t="str">
        <f t="shared" ca="1" si="72"/>
        <v>-</v>
      </c>
      <c r="X1603" t="str">
        <f t="shared" ca="1" si="73"/>
        <v>-</v>
      </c>
      <c r="Y1603" s="1" t="str">
        <f t="shared" ca="1" si="74"/>
        <v>-</v>
      </c>
    </row>
    <row r="1604" spans="1:25" x14ac:dyDescent="0.25">
      <c r="A1604" t="s">
        <v>1572</v>
      </c>
      <c r="B1604" t="s">
        <v>1574</v>
      </c>
      <c r="C1604" t="s">
        <v>1574</v>
      </c>
      <c r="D1604" t="s">
        <v>1574</v>
      </c>
      <c r="E1604" t="s">
        <v>1574</v>
      </c>
      <c r="F1604" t="s">
        <v>1575</v>
      </c>
      <c r="G1604" t="s">
        <v>1574</v>
      </c>
      <c r="H1604" t="s">
        <v>1574</v>
      </c>
      <c r="I1604" t="s">
        <v>1576</v>
      </c>
      <c r="J1604" t="s">
        <v>1573</v>
      </c>
      <c r="K1604" t="s">
        <v>1577</v>
      </c>
      <c r="L1604" t="s">
        <v>1574</v>
      </c>
      <c r="M1604" t="s">
        <v>1574</v>
      </c>
      <c r="N1604" t="s">
        <v>1574</v>
      </c>
      <c r="O1604" t="s">
        <v>1578</v>
      </c>
      <c r="P1604" t="s">
        <v>1576</v>
      </c>
      <c r="Q1604" t="s">
        <v>1579</v>
      </c>
      <c r="R1604" t="s">
        <v>1580</v>
      </c>
      <c r="S1604" t="s">
        <v>1580</v>
      </c>
      <c r="T1604" t="s">
        <v>1576</v>
      </c>
      <c r="U1604" t="s">
        <v>1576</v>
      </c>
      <c r="V1604" t="str" cm="1">
        <f t="array" aca="1" ref="V1604" ca="1">IFERROR(_xlfn.IFS(A1602="  ..............",OFFSET(A1602,2,0),A1601=" X-------------X",OFFSET(A1601,3,0),MATCH("  ..............",A1604:A1613,0)&gt;2,V1603),"-")</f>
        <v>-</v>
      </c>
      <c r="W1604" t="str">
        <f t="shared" ref="W1604:W1667" ca="1" si="75">IFERROR(OFFSET($A$1,MATCH(V1604,A:A,0)-2,1),"-")</f>
        <v>-</v>
      </c>
      <c r="X1604" t="str">
        <f t="shared" ref="X1604:X1667" ca="1" si="76">IFERROR(IF(V1604=V1603,OFFSET($J$1,ROW(X1604),0),OFFSET($J$1,MATCH(V1604,A:A,0),0)),"-")</f>
        <v/>
      </c>
      <c r="Y1604" s="1" t="str">
        <f t="shared" ref="Y1604:Y1667" ca="1" si="77">IFERROR(OFFSET($F$1,MATCH(X1604,J:J,0)-1,0),"-")</f>
        <v/>
      </c>
    </row>
    <row r="1605" spans="1:25" x14ac:dyDescent="0.25">
      <c r="A1605" t="s">
        <v>2693</v>
      </c>
      <c r="B1605">
        <v>1.01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 t="s">
        <v>1581</v>
      </c>
      <c r="J1605" t="s">
        <v>1581</v>
      </c>
      <c r="K1605" t="s">
        <v>1581</v>
      </c>
      <c r="L1605" t="s">
        <v>1581</v>
      </c>
      <c r="M1605" t="s">
        <v>1581</v>
      </c>
      <c r="N1605" t="s">
        <v>1581</v>
      </c>
      <c r="O1605" t="s">
        <v>1581</v>
      </c>
      <c r="P1605" t="s">
        <v>1581</v>
      </c>
      <c r="Q1605" t="s">
        <v>1581</v>
      </c>
      <c r="R1605" t="s">
        <v>1581</v>
      </c>
      <c r="S1605" t="s">
        <v>1581</v>
      </c>
      <c r="T1605" t="s">
        <v>1581</v>
      </c>
      <c r="U1605" t="s">
        <v>1581</v>
      </c>
      <c r="V1605" t="str" cm="1">
        <f t="array" aca="1" ref="V1605" ca="1">IFERROR(_xlfn.IFS(A1603="  ..............",OFFSET(A1603,2,0),A1602=" X-------------X",OFFSET(A1602,3,0),MATCH("  ..............",A1605:A1614,0)&gt;2,V1604),"-")</f>
        <v>-</v>
      </c>
      <c r="W1605" t="str">
        <f t="shared" ca="1" si="75"/>
        <v>-</v>
      </c>
      <c r="X1605" t="str">
        <f t="shared" ca="1" si="76"/>
        <v xml:space="preserve">              </v>
      </c>
      <c r="Y1605" s="1">
        <f t="shared" ca="1" si="77"/>
        <v>0</v>
      </c>
    </row>
    <row r="1606" spans="1:25" x14ac:dyDescent="0.25">
      <c r="A1606" t="s">
        <v>2694</v>
      </c>
      <c r="B1606">
        <v>-53.6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 t="s">
        <v>1584</v>
      </c>
      <c r="J1606" t="s">
        <v>1585</v>
      </c>
      <c r="K1606" t="s">
        <v>1586</v>
      </c>
      <c r="L1606" t="s">
        <v>1587</v>
      </c>
      <c r="M1606" t="s">
        <v>1587</v>
      </c>
      <c r="N1606" t="s">
        <v>1586</v>
      </c>
      <c r="O1606" t="s">
        <v>1581</v>
      </c>
      <c r="P1606" t="s">
        <v>1581</v>
      </c>
      <c r="Q1606" t="s">
        <v>1581</v>
      </c>
      <c r="R1606" t="s">
        <v>1581</v>
      </c>
      <c r="S1606" t="s">
        <v>1581</v>
      </c>
      <c r="T1606" t="s">
        <v>1581</v>
      </c>
      <c r="U1606" t="s">
        <v>1581</v>
      </c>
      <c r="V1606" t="str" cm="1">
        <f t="array" aca="1" ref="V1606" ca="1">IFERROR(_xlfn.IFS(A1604="  ..............",OFFSET(A1604,2,0),A1603=" X-------------X",OFFSET(A1603,3,0),MATCH("  ..............",A1606:A1615,0)&gt;2,V1605),"-")</f>
        <v xml:space="preserve">  STHGUATAP069  </v>
      </c>
      <c r="W1606">
        <f t="shared" ca="1" si="75"/>
        <v>1.01</v>
      </c>
      <c r="X1606" t="str">
        <f t="shared" ca="1" si="76"/>
        <v xml:space="preserve"> GUAIB2-RS069 </v>
      </c>
      <c r="Y1606" s="1">
        <f t="shared" ca="1" si="77"/>
        <v>0.42599999999999999</v>
      </c>
    </row>
    <row r="1607" spans="1:25" x14ac:dyDescent="0.25">
      <c r="A1607" t="s">
        <v>1588</v>
      </c>
      <c r="B1607" t="s">
        <v>1587</v>
      </c>
      <c r="C1607">
        <v>48</v>
      </c>
      <c r="D1607">
        <v>71</v>
      </c>
      <c r="E1607">
        <v>71</v>
      </c>
      <c r="F1607" s="1">
        <v>0.42599999999999999</v>
      </c>
      <c r="G1607" t="s">
        <v>1587</v>
      </c>
      <c r="H1607" t="s">
        <v>1587</v>
      </c>
      <c r="I1607">
        <v>1197</v>
      </c>
      <c r="J1607" t="s">
        <v>2695</v>
      </c>
      <c r="K1607">
        <v>1</v>
      </c>
      <c r="L1607">
        <v>-19</v>
      </c>
      <c r="M1607">
        <v>-8</v>
      </c>
      <c r="N1607">
        <v>20.5</v>
      </c>
      <c r="O1607" t="s">
        <v>1594</v>
      </c>
      <c r="P1607" t="s">
        <v>1584</v>
      </c>
      <c r="Q1607" t="s">
        <v>1591</v>
      </c>
      <c r="R1607">
        <v>7.0000000000000007E-2</v>
      </c>
      <c r="S1607">
        <v>0.12</v>
      </c>
      <c r="T1607" t="s">
        <v>1584</v>
      </c>
      <c r="U1607" t="s">
        <v>1592</v>
      </c>
      <c r="V1607" t="str" cm="1">
        <f t="array" aca="1" ref="V1607" ca="1">IFERROR(_xlfn.IFS(A1605="  ..............",OFFSET(A1605,2,0),A1604=" X-------------X",OFFSET(A1604,3,0),MATCH("  ..............",A1607:A1616,0)&gt;2,V1606),"-")</f>
        <v xml:space="preserve">  STHGUATAP069  </v>
      </c>
      <c r="W1607">
        <f t="shared" ca="1" si="75"/>
        <v>1.01</v>
      </c>
      <c r="X1607" t="str">
        <f t="shared" ca="1" si="76"/>
        <v xml:space="preserve"> STHGUA-RS069 </v>
      </c>
      <c r="Y1607" s="1">
        <f t="shared" ca="1" si="77"/>
        <v>0.186</v>
      </c>
    </row>
    <row r="1608" spans="1:25" x14ac:dyDescent="0.25">
      <c r="A1608" t="s">
        <v>1588</v>
      </c>
      <c r="B1608" t="s">
        <v>1587</v>
      </c>
      <c r="C1608">
        <v>23</v>
      </c>
      <c r="D1608">
        <v>33</v>
      </c>
      <c r="E1608">
        <v>33</v>
      </c>
      <c r="F1608" s="1">
        <v>0.186</v>
      </c>
      <c r="G1608" t="s">
        <v>1587</v>
      </c>
      <c r="H1608" t="s">
        <v>1587</v>
      </c>
      <c r="I1608">
        <v>9774</v>
      </c>
      <c r="J1608" t="s">
        <v>2696</v>
      </c>
      <c r="K1608">
        <v>1</v>
      </c>
      <c r="L1608">
        <v>4</v>
      </c>
      <c r="M1608">
        <v>1.6</v>
      </c>
      <c r="N1608">
        <v>4.3</v>
      </c>
      <c r="O1608" t="s">
        <v>1594</v>
      </c>
      <c r="P1608" t="s">
        <v>1584</v>
      </c>
      <c r="Q1608" t="s">
        <v>1591</v>
      </c>
      <c r="R1608">
        <v>0.01</v>
      </c>
      <c r="S1608">
        <v>-0.06</v>
      </c>
      <c r="T1608" t="s">
        <v>1584</v>
      </c>
      <c r="U1608" t="s">
        <v>1592</v>
      </c>
      <c r="V1608" t="str" cm="1">
        <f t="array" aca="1" ref="V1608" ca="1">IFERROR(_xlfn.IFS(A1606="  ..............",OFFSET(A1606,2,0),A1605=" X-------------X",OFFSET(A1605,3,0),MATCH("  ..............",A1608:A1617,0)&gt;2,V1607),"-")</f>
        <v xml:space="preserve">  STHGUATAP069  </v>
      </c>
      <c r="W1608">
        <f t="shared" ca="1" si="75"/>
        <v>1.01</v>
      </c>
      <c r="X1608" t="str">
        <f t="shared" ca="1" si="76"/>
        <v xml:space="preserve"> RIOGUATAP069 </v>
      </c>
      <c r="Y1608" s="1">
        <f t="shared" ca="1" si="77"/>
        <v>0.33700000000000002</v>
      </c>
    </row>
    <row r="1609" spans="1:25" x14ac:dyDescent="0.25">
      <c r="A1609" t="s">
        <v>1588</v>
      </c>
      <c r="B1609" t="s">
        <v>1587</v>
      </c>
      <c r="C1609">
        <v>48</v>
      </c>
      <c r="D1609">
        <v>71</v>
      </c>
      <c r="E1609">
        <v>71</v>
      </c>
      <c r="F1609" s="1">
        <v>0.33700000000000002</v>
      </c>
      <c r="G1609" t="s">
        <v>1587</v>
      </c>
      <c r="H1609" t="s">
        <v>1587</v>
      </c>
      <c r="I1609">
        <v>9777</v>
      </c>
      <c r="J1609" t="s">
        <v>2697</v>
      </c>
      <c r="K1609">
        <v>1</v>
      </c>
      <c r="L1609">
        <v>15</v>
      </c>
      <c r="M1609">
        <v>6.4</v>
      </c>
      <c r="N1609">
        <v>16.2</v>
      </c>
      <c r="O1609" t="s">
        <v>1594</v>
      </c>
      <c r="P1609" t="s">
        <v>1584</v>
      </c>
      <c r="Q1609" t="s">
        <v>1591</v>
      </c>
      <c r="R1609">
        <v>0.02</v>
      </c>
      <c r="S1609">
        <v>0.02</v>
      </c>
      <c r="T1609" t="s">
        <v>1584</v>
      </c>
      <c r="U1609" t="s">
        <v>1592</v>
      </c>
      <c r="V1609" t="str" cm="1">
        <f t="array" aca="1" ref="V1609" ca="1">IFERROR(_xlfn.IFS(A1607="  ..............",OFFSET(A1607,2,0),A1606=" X-------------X",OFFSET(A1606,3,0),MATCH("  ..............",A1609:A1618,0)&gt;2,V1608),"-")</f>
        <v>-</v>
      </c>
      <c r="W1609" t="str">
        <f t="shared" ca="1" si="75"/>
        <v>-</v>
      </c>
      <c r="X1609" t="str">
        <f t="shared" ca="1" si="76"/>
        <v>-</v>
      </c>
      <c r="Y1609" s="1" t="str">
        <f t="shared" ca="1" si="77"/>
        <v>-</v>
      </c>
    </row>
    <row r="1610" spans="1:25" x14ac:dyDescent="0.25">
      <c r="A1610" t="s">
        <v>1572</v>
      </c>
      <c r="B1610" t="s">
        <v>1574</v>
      </c>
      <c r="C1610" t="s">
        <v>1574</v>
      </c>
      <c r="D1610" t="s">
        <v>1574</v>
      </c>
      <c r="E1610" t="s">
        <v>1574</v>
      </c>
      <c r="F1610" t="s">
        <v>1575</v>
      </c>
      <c r="G1610" t="s">
        <v>1574</v>
      </c>
      <c r="H1610" t="s">
        <v>1574</v>
      </c>
      <c r="I1610" t="s">
        <v>1576</v>
      </c>
      <c r="J1610" t="s">
        <v>1573</v>
      </c>
      <c r="K1610" t="s">
        <v>1577</v>
      </c>
      <c r="L1610" t="s">
        <v>1574</v>
      </c>
      <c r="M1610" t="s">
        <v>1574</v>
      </c>
      <c r="N1610" t="s">
        <v>1574</v>
      </c>
      <c r="O1610" t="s">
        <v>1578</v>
      </c>
      <c r="P1610" t="s">
        <v>1576</v>
      </c>
      <c r="Q1610" t="s">
        <v>1579</v>
      </c>
      <c r="R1610" t="s">
        <v>1580</v>
      </c>
      <c r="S1610" t="s">
        <v>1580</v>
      </c>
      <c r="T1610" t="s">
        <v>1576</v>
      </c>
      <c r="U1610" t="s">
        <v>1576</v>
      </c>
      <c r="V1610" t="str" cm="1">
        <f t="array" aca="1" ref="V1610" ca="1">IFERROR(_xlfn.IFS(A1608="  ..............",OFFSET(A1608,2,0),A1607=" X-------------X",OFFSET(A1607,3,0),MATCH("  ..............",A1610:A1619,0)&gt;2,V1609),"-")</f>
        <v>-</v>
      </c>
      <c r="W1610" t="str">
        <f t="shared" ca="1" si="75"/>
        <v>-</v>
      </c>
      <c r="X1610" t="str">
        <f t="shared" ca="1" si="76"/>
        <v/>
      </c>
      <c r="Y1610" s="1" t="str">
        <f t="shared" ca="1" si="77"/>
        <v/>
      </c>
    </row>
    <row r="1611" spans="1:25" x14ac:dyDescent="0.25">
      <c r="A1611" t="s">
        <v>2698</v>
      </c>
      <c r="B1611">
        <v>1.008</v>
      </c>
      <c r="C1611">
        <v>0</v>
      </c>
      <c r="D1611">
        <v>0</v>
      </c>
      <c r="E1611">
        <v>4</v>
      </c>
      <c r="F1611">
        <v>0</v>
      </c>
      <c r="G1611">
        <v>0</v>
      </c>
      <c r="H1611">
        <v>0</v>
      </c>
      <c r="I1611" t="s">
        <v>1581</v>
      </c>
      <c r="J1611" t="s">
        <v>1581</v>
      </c>
      <c r="K1611" t="s">
        <v>1581</v>
      </c>
      <c r="L1611" t="s">
        <v>1581</v>
      </c>
      <c r="M1611" t="s">
        <v>1581</v>
      </c>
      <c r="N1611" t="s">
        <v>1581</v>
      </c>
      <c r="O1611" t="s">
        <v>1581</v>
      </c>
      <c r="P1611" t="s">
        <v>1581</v>
      </c>
      <c r="Q1611" t="s">
        <v>1581</v>
      </c>
      <c r="R1611" t="s">
        <v>1581</v>
      </c>
      <c r="S1611" t="s">
        <v>1581</v>
      </c>
      <c r="T1611" t="s">
        <v>1581</v>
      </c>
      <c r="U1611" t="s">
        <v>1581</v>
      </c>
      <c r="V1611" t="str" cm="1">
        <f t="array" aca="1" ref="V1611" ca="1">IFERROR(_xlfn.IFS(A1609="  ..............",OFFSET(A1609,2,0),A1608=" X-------------X",OFFSET(A1608,3,0),MATCH("  ..............",A1611:A1620,0)&gt;2,V1610),"-")</f>
        <v>-</v>
      </c>
      <c r="W1611" t="str">
        <f t="shared" ca="1" si="75"/>
        <v>-</v>
      </c>
      <c r="X1611" t="str">
        <f t="shared" ca="1" si="76"/>
        <v xml:space="preserve">              </v>
      </c>
      <c r="Y1611" s="1">
        <f t="shared" ca="1" si="77"/>
        <v>0</v>
      </c>
    </row>
    <row r="1612" spans="1:25" x14ac:dyDescent="0.25">
      <c r="A1612" t="s">
        <v>2699</v>
      </c>
      <c r="B1612">
        <v>-53.7</v>
      </c>
      <c r="C1612">
        <v>0</v>
      </c>
      <c r="D1612">
        <v>0</v>
      </c>
      <c r="E1612">
        <v>1.7</v>
      </c>
      <c r="F1612">
        <v>0</v>
      </c>
      <c r="G1612">
        <v>0</v>
      </c>
      <c r="H1612">
        <v>0</v>
      </c>
      <c r="I1612" t="s">
        <v>1584</v>
      </c>
      <c r="J1612" t="s">
        <v>1585</v>
      </c>
      <c r="K1612" t="s">
        <v>1586</v>
      </c>
      <c r="L1612" t="s">
        <v>1587</v>
      </c>
      <c r="M1612" t="s">
        <v>1587</v>
      </c>
      <c r="N1612" t="s">
        <v>1586</v>
      </c>
      <c r="O1612" t="s">
        <v>1581</v>
      </c>
      <c r="P1612" t="s">
        <v>1581</v>
      </c>
      <c r="Q1612" t="s">
        <v>1581</v>
      </c>
      <c r="R1612" t="s">
        <v>1581</v>
      </c>
      <c r="S1612" t="s">
        <v>1581</v>
      </c>
      <c r="T1612" t="s">
        <v>1581</v>
      </c>
      <c r="U1612" t="s">
        <v>1581</v>
      </c>
      <c r="V1612" t="str" cm="1">
        <f t="array" aca="1" ref="V1612" ca="1">IFERROR(_xlfn.IFS(A1610="  ..............",OFFSET(A1610,2,0),A1609=" X-------------X",OFFSET(A1609,3,0),MATCH("  ..............",A1612:A1621,0)&gt;2,V1611),"-")</f>
        <v xml:space="preserve">  STHGUA-RS069  </v>
      </c>
      <c r="W1612">
        <f t="shared" ca="1" si="75"/>
        <v>1.008</v>
      </c>
      <c r="X1612" t="str">
        <f t="shared" ca="1" si="76"/>
        <v xml:space="preserve"> STHGUATAP069 </v>
      </c>
      <c r="Y1612" s="1">
        <f t="shared" ca="1" si="77"/>
        <v>0.42499999999999999</v>
      </c>
    </row>
    <row r="1613" spans="1:25" x14ac:dyDescent="0.25">
      <c r="A1613" t="s">
        <v>1588</v>
      </c>
      <c r="B1613" t="s">
        <v>1587</v>
      </c>
      <c r="C1613">
        <v>23</v>
      </c>
      <c r="D1613">
        <v>33</v>
      </c>
      <c r="E1613">
        <v>33</v>
      </c>
      <c r="F1613" s="1">
        <v>0.188</v>
      </c>
      <c r="G1613" t="s">
        <v>1587</v>
      </c>
      <c r="H1613" t="s">
        <v>1587</v>
      </c>
      <c r="I1613">
        <v>9773</v>
      </c>
      <c r="J1613" t="s">
        <v>1658</v>
      </c>
      <c r="K1613">
        <v>1</v>
      </c>
      <c r="L1613">
        <v>-4</v>
      </c>
      <c r="M1613">
        <v>-1.7</v>
      </c>
      <c r="N1613">
        <v>4.3</v>
      </c>
      <c r="O1613" t="s">
        <v>1594</v>
      </c>
      <c r="P1613" t="s">
        <v>1584</v>
      </c>
      <c r="Q1613" t="s">
        <v>1591</v>
      </c>
      <c r="R1613">
        <v>0.01</v>
      </c>
      <c r="S1613">
        <v>-0.06</v>
      </c>
      <c r="T1613" t="s">
        <v>1584</v>
      </c>
      <c r="U1613" t="s">
        <v>1592</v>
      </c>
      <c r="V1613" t="str" cm="1">
        <f t="array" aca="1" ref="V1613" ca="1">IFERROR(_xlfn.IFS(A1611="  ..............",OFFSET(A1611,2,0),A1610=" X-------------X",OFFSET(A1610,3,0),MATCH("  ..............",A1613:A1622,0)&gt;2,V1612),"-")</f>
        <v>-</v>
      </c>
      <c r="W1613" t="str">
        <f t="shared" ca="1" si="75"/>
        <v>-</v>
      </c>
      <c r="X1613" t="str">
        <f t="shared" ca="1" si="76"/>
        <v>-</v>
      </c>
      <c r="Y1613" s="1" t="str">
        <f t="shared" ca="1" si="77"/>
        <v>-</v>
      </c>
    </row>
    <row r="1614" spans="1:25" x14ac:dyDescent="0.25">
      <c r="A1614" t="s">
        <v>1572</v>
      </c>
      <c r="B1614" t="s">
        <v>1574</v>
      </c>
      <c r="C1614" t="s">
        <v>1574</v>
      </c>
      <c r="D1614" t="s">
        <v>1574</v>
      </c>
      <c r="E1614" t="s">
        <v>1574</v>
      </c>
      <c r="F1614" t="s">
        <v>1575</v>
      </c>
      <c r="G1614" t="s">
        <v>1574</v>
      </c>
      <c r="H1614" t="s">
        <v>1574</v>
      </c>
      <c r="I1614" t="s">
        <v>1576</v>
      </c>
      <c r="J1614" t="s">
        <v>1573</v>
      </c>
      <c r="K1614" t="s">
        <v>1577</v>
      </c>
      <c r="L1614" t="s">
        <v>1574</v>
      </c>
      <c r="M1614" t="s">
        <v>1574</v>
      </c>
      <c r="N1614" t="s">
        <v>1574</v>
      </c>
      <c r="O1614" t="s">
        <v>1578</v>
      </c>
      <c r="P1614" t="s">
        <v>1576</v>
      </c>
      <c r="Q1614" t="s">
        <v>1579</v>
      </c>
      <c r="R1614" t="s">
        <v>1580</v>
      </c>
      <c r="S1614" t="s">
        <v>1580</v>
      </c>
      <c r="T1614" t="s">
        <v>1576</v>
      </c>
      <c r="U1614" t="s">
        <v>1576</v>
      </c>
      <c r="V1614" t="str" cm="1">
        <f t="array" aca="1" ref="V1614" ca="1">IFERROR(_xlfn.IFS(A1612="  ..............",OFFSET(A1612,2,0),A1611=" X-------------X",OFFSET(A1611,3,0),MATCH("  ..............",A1614:A1623,0)&gt;2,V1613),"-")</f>
        <v>-</v>
      </c>
      <c r="W1614" t="str">
        <f t="shared" ca="1" si="75"/>
        <v>-</v>
      </c>
      <c r="X1614" t="str">
        <f t="shared" ca="1" si="76"/>
        <v/>
      </c>
      <c r="Y1614" s="1" t="str">
        <f t="shared" ca="1" si="77"/>
        <v/>
      </c>
    </row>
    <row r="1615" spans="1:25" x14ac:dyDescent="0.25">
      <c r="A1615" t="s">
        <v>2700</v>
      </c>
      <c r="B1615">
        <v>1.0049999999999999</v>
      </c>
      <c r="C1615">
        <v>1.9</v>
      </c>
      <c r="D1615">
        <v>0</v>
      </c>
      <c r="E1615">
        <v>21</v>
      </c>
      <c r="F1615">
        <v>0</v>
      </c>
      <c r="G1615">
        <v>0</v>
      </c>
      <c r="H1615">
        <v>0</v>
      </c>
      <c r="I1615" t="s">
        <v>1581</v>
      </c>
      <c r="J1615" t="s">
        <v>1581</v>
      </c>
      <c r="K1615" t="s">
        <v>1581</v>
      </c>
      <c r="L1615" t="s">
        <v>1581</v>
      </c>
      <c r="M1615" t="s">
        <v>1581</v>
      </c>
      <c r="N1615" t="s">
        <v>1581</v>
      </c>
      <c r="O1615" t="s">
        <v>1581</v>
      </c>
      <c r="P1615" t="s">
        <v>1581</v>
      </c>
      <c r="Q1615" t="s">
        <v>1581</v>
      </c>
      <c r="R1615" t="s">
        <v>1581</v>
      </c>
      <c r="S1615" t="s">
        <v>1581</v>
      </c>
      <c r="T1615" t="s">
        <v>1581</v>
      </c>
      <c r="U1615" t="s">
        <v>1581</v>
      </c>
      <c r="V1615" t="str" cm="1">
        <f t="array" aca="1" ref="V1615" ca="1">IFERROR(_xlfn.IFS(A1613="  ..............",OFFSET(A1613,2,0),A1612=" X-------------X",OFFSET(A1612,3,0),MATCH("  ..............",A1615:A1624,0)&gt;2,V1614),"-")</f>
        <v>-</v>
      </c>
      <c r="W1615" t="str">
        <f t="shared" ca="1" si="75"/>
        <v>-</v>
      </c>
      <c r="X1615" t="str">
        <f t="shared" ca="1" si="76"/>
        <v xml:space="preserve">              </v>
      </c>
      <c r="Y1615" s="1">
        <f t="shared" ca="1" si="77"/>
        <v>0</v>
      </c>
    </row>
    <row r="1616" spans="1:25" x14ac:dyDescent="0.25">
      <c r="A1616" t="s">
        <v>2701</v>
      </c>
      <c r="B1616">
        <v>-54.1</v>
      </c>
      <c r="C1616">
        <v>0</v>
      </c>
      <c r="D1616">
        <v>0</v>
      </c>
      <c r="E1616">
        <v>10</v>
      </c>
      <c r="F1616">
        <v>0</v>
      </c>
      <c r="G1616">
        <v>0</v>
      </c>
      <c r="H1616">
        <v>0</v>
      </c>
      <c r="I1616" t="s">
        <v>1584</v>
      </c>
      <c r="J1616" t="s">
        <v>1585</v>
      </c>
      <c r="K1616" t="s">
        <v>1586</v>
      </c>
      <c r="L1616" t="s">
        <v>1587</v>
      </c>
      <c r="M1616" t="s">
        <v>1587</v>
      </c>
      <c r="N1616" t="s">
        <v>1586</v>
      </c>
      <c r="O1616" t="s">
        <v>1581</v>
      </c>
      <c r="P1616" t="s">
        <v>1581</v>
      </c>
      <c r="Q1616" t="s">
        <v>1581</v>
      </c>
      <c r="R1616" t="s">
        <v>1581</v>
      </c>
      <c r="S1616" t="s">
        <v>1581</v>
      </c>
      <c r="T1616" t="s">
        <v>1581</v>
      </c>
      <c r="U1616" t="s">
        <v>1581</v>
      </c>
      <c r="V1616" t="str" cm="1">
        <f t="array" aca="1" ref="V1616" ca="1">IFERROR(_xlfn.IFS(A1614="  ..............",OFFSET(A1614,2,0),A1613=" X-------------X",OFFSET(A1613,3,0),MATCH("  ..............",A1616:A1625,0)&gt;2,V1615),"-")</f>
        <v xml:space="preserve">  GUA1-A-RS069  </v>
      </c>
      <c r="W1616">
        <f t="shared" ca="1" si="75"/>
        <v>1.0049999999999999</v>
      </c>
      <c r="X1616" t="str">
        <f t="shared" ca="1" si="76"/>
        <v xml:space="preserve"> GUAIB2-RS069 </v>
      </c>
      <c r="Y1616" s="1">
        <f t="shared" ca="1" si="77"/>
        <v>0.42599999999999999</v>
      </c>
    </row>
    <row r="1617" spans="1:25" x14ac:dyDescent="0.25">
      <c r="A1617" t="s">
        <v>1588</v>
      </c>
      <c r="B1617" t="s">
        <v>1587</v>
      </c>
      <c r="C1617">
        <v>54</v>
      </c>
      <c r="D1617">
        <v>79</v>
      </c>
      <c r="E1617">
        <v>79</v>
      </c>
      <c r="F1617" s="1">
        <v>0.77400000000000002</v>
      </c>
      <c r="G1617" t="s">
        <v>1587</v>
      </c>
      <c r="H1617" t="s">
        <v>1587</v>
      </c>
      <c r="I1617">
        <v>1197</v>
      </c>
      <c r="J1617" t="s">
        <v>2695</v>
      </c>
      <c r="K1617">
        <v>1</v>
      </c>
      <c r="L1617">
        <v>-39.9</v>
      </c>
      <c r="M1617">
        <v>-13.2</v>
      </c>
      <c r="N1617">
        <v>41.8</v>
      </c>
      <c r="O1617" t="s">
        <v>1594</v>
      </c>
      <c r="P1617" t="s">
        <v>1584</v>
      </c>
      <c r="Q1617" t="s">
        <v>1591</v>
      </c>
      <c r="R1617">
        <v>0.24</v>
      </c>
      <c r="S1617">
        <v>0.74</v>
      </c>
      <c r="T1617" t="s">
        <v>1584</v>
      </c>
      <c r="U1617" t="s">
        <v>1592</v>
      </c>
      <c r="V1617" t="str" cm="1">
        <f t="array" aca="1" ref="V1617" ca="1">IFERROR(_xlfn.IFS(A1615="  ..............",OFFSET(A1615,2,0),A1614=" X-------------X",OFFSET(A1614,3,0),MATCH("  ..............",A1617:A1626,0)&gt;2,V1616),"-")</f>
        <v xml:space="preserve">  GUA1-A-RS069  </v>
      </c>
      <c r="W1617">
        <f t="shared" ca="1" si="75"/>
        <v>1.0049999999999999</v>
      </c>
      <c r="X1617" t="str">
        <f t="shared" ca="1" si="76"/>
        <v xml:space="preserve"> GUA1-B-RS069 </v>
      </c>
      <c r="Y1617" s="1">
        <f t="shared" ca="1" si="77"/>
        <v>0</v>
      </c>
    </row>
    <row r="1618" spans="1:25" x14ac:dyDescent="0.25">
      <c r="A1618" t="s">
        <v>1588</v>
      </c>
      <c r="B1618" t="s">
        <v>1587</v>
      </c>
      <c r="C1618">
        <v>9999</v>
      </c>
      <c r="D1618">
        <v>9999</v>
      </c>
      <c r="E1618">
        <v>9999</v>
      </c>
      <c r="F1618" s="1">
        <v>0</v>
      </c>
      <c r="G1618" t="s">
        <v>1587</v>
      </c>
      <c r="H1618" t="s">
        <v>1587</v>
      </c>
      <c r="I1618">
        <v>9776</v>
      </c>
      <c r="J1618" t="s">
        <v>2702</v>
      </c>
      <c r="K1618">
        <v>1</v>
      </c>
      <c r="L1618">
        <v>20.8</v>
      </c>
      <c r="M1618">
        <v>3.2</v>
      </c>
      <c r="N1618">
        <v>20.9</v>
      </c>
      <c r="O1618" t="s">
        <v>1594</v>
      </c>
      <c r="P1618" t="s">
        <v>1584</v>
      </c>
      <c r="Q1618" t="s">
        <v>1591</v>
      </c>
      <c r="R1618">
        <v>0</v>
      </c>
      <c r="S1618">
        <v>0</v>
      </c>
      <c r="T1618" t="s">
        <v>1584</v>
      </c>
      <c r="U1618" t="s">
        <v>1592</v>
      </c>
      <c r="V1618" t="str" cm="1">
        <f t="array" aca="1" ref="V1618" ca="1">IFERROR(_xlfn.IFS(A1616="  ..............",OFFSET(A1616,2,0),A1615=" X-------------X",OFFSET(A1615,3,0),MATCH("  ..............",A1618:A1627,0)&gt;2,V1617),"-")</f>
        <v>-</v>
      </c>
      <c r="W1618" t="str">
        <f t="shared" ca="1" si="75"/>
        <v>-</v>
      </c>
      <c r="X1618" t="str">
        <f t="shared" ca="1" si="76"/>
        <v>-</v>
      </c>
      <c r="Y1618" s="1" t="str">
        <f t="shared" ca="1" si="77"/>
        <v>-</v>
      </c>
    </row>
    <row r="1619" spans="1:25" x14ac:dyDescent="0.25">
      <c r="A1619" t="s">
        <v>1572</v>
      </c>
      <c r="B1619" t="s">
        <v>1574</v>
      </c>
      <c r="C1619" t="s">
        <v>1574</v>
      </c>
      <c r="D1619" t="s">
        <v>1574</v>
      </c>
      <c r="E1619" t="s">
        <v>1574</v>
      </c>
      <c r="F1619" t="s">
        <v>1575</v>
      </c>
      <c r="G1619" t="s">
        <v>1574</v>
      </c>
      <c r="H1619" t="s">
        <v>1574</v>
      </c>
      <c r="I1619" t="s">
        <v>1576</v>
      </c>
      <c r="J1619" t="s">
        <v>1573</v>
      </c>
      <c r="K1619" t="s">
        <v>1577</v>
      </c>
      <c r="L1619" t="s">
        <v>1574</v>
      </c>
      <c r="M1619" t="s">
        <v>1574</v>
      </c>
      <c r="N1619" t="s">
        <v>1574</v>
      </c>
      <c r="O1619" t="s">
        <v>1578</v>
      </c>
      <c r="P1619" t="s">
        <v>1576</v>
      </c>
      <c r="Q1619" t="s">
        <v>1579</v>
      </c>
      <c r="R1619" t="s">
        <v>1580</v>
      </c>
      <c r="S1619" t="s">
        <v>1580</v>
      </c>
      <c r="T1619" t="s">
        <v>1576</v>
      </c>
      <c r="U1619" t="s">
        <v>1576</v>
      </c>
      <c r="V1619" t="str" cm="1">
        <f t="array" aca="1" ref="V1619" ca="1">IFERROR(_xlfn.IFS(A1617="  ..............",OFFSET(A1617,2,0),A1616=" X-------------X",OFFSET(A1616,3,0),MATCH("  ..............",A1619:A1628,0)&gt;2,V1618),"-")</f>
        <v>-</v>
      </c>
      <c r="W1619" t="str">
        <f t="shared" ca="1" si="75"/>
        <v>-</v>
      </c>
      <c r="X1619" t="str">
        <f t="shared" ca="1" si="76"/>
        <v/>
      </c>
      <c r="Y1619" s="1" t="str">
        <f t="shared" ca="1" si="77"/>
        <v/>
      </c>
    </row>
    <row r="1620" spans="1:25" x14ac:dyDescent="0.25">
      <c r="A1620" t="s">
        <v>2703</v>
      </c>
      <c r="B1620">
        <v>1.0049999999999999</v>
      </c>
      <c r="C1620">
        <v>3.4</v>
      </c>
      <c r="D1620">
        <v>0</v>
      </c>
      <c r="E1620">
        <v>24.2</v>
      </c>
      <c r="F1620">
        <v>0</v>
      </c>
      <c r="G1620">
        <v>7.3</v>
      </c>
      <c r="H1620">
        <v>0</v>
      </c>
      <c r="I1620" t="s">
        <v>1581</v>
      </c>
      <c r="J1620" t="s">
        <v>1581</v>
      </c>
      <c r="K1620" t="s">
        <v>1581</v>
      </c>
      <c r="L1620" t="s">
        <v>1581</v>
      </c>
      <c r="M1620" t="s">
        <v>1581</v>
      </c>
      <c r="N1620" t="s">
        <v>1581</v>
      </c>
      <c r="O1620" t="s">
        <v>1581</v>
      </c>
      <c r="P1620" t="s">
        <v>1581</v>
      </c>
      <c r="Q1620" t="s">
        <v>1581</v>
      </c>
      <c r="R1620" t="s">
        <v>1581</v>
      </c>
      <c r="S1620" t="s">
        <v>1581</v>
      </c>
      <c r="T1620" t="s">
        <v>1581</v>
      </c>
      <c r="U1620" t="s">
        <v>1581</v>
      </c>
      <c r="V1620" t="str" cm="1">
        <f t="array" aca="1" ref="V1620" ca="1">IFERROR(_xlfn.IFS(A1618="  ..............",OFFSET(A1618,2,0),A1617=" X-------------X",OFFSET(A1617,3,0),MATCH("  ..............",A1620:A1629,0)&gt;2,V1619),"-")</f>
        <v>-</v>
      </c>
      <c r="W1620" t="str">
        <f t="shared" ca="1" si="75"/>
        <v>-</v>
      </c>
      <c r="X1620" t="str">
        <f t="shared" ca="1" si="76"/>
        <v xml:space="preserve">              </v>
      </c>
      <c r="Y1620" s="1">
        <f t="shared" ca="1" si="77"/>
        <v>0</v>
      </c>
    </row>
    <row r="1621" spans="1:25" x14ac:dyDescent="0.25">
      <c r="A1621" t="s">
        <v>2704</v>
      </c>
      <c r="B1621">
        <v>-54.1</v>
      </c>
      <c r="C1621">
        <v>0</v>
      </c>
      <c r="D1621">
        <v>0</v>
      </c>
      <c r="E1621">
        <v>10.5</v>
      </c>
      <c r="F1621">
        <v>0</v>
      </c>
      <c r="G1621">
        <v>0</v>
      </c>
      <c r="H1621">
        <v>0</v>
      </c>
      <c r="I1621" t="s">
        <v>1584</v>
      </c>
      <c r="J1621" t="s">
        <v>1585</v>
      </c>
      <c r="K1621" t="s">
        <v>1586</v>
      </c>
      <c r="L1621" t="s">
        <v>1587</v>
      </c>
      <c r="M1621" t="s">
        <v>1587</v>
      </c>
      <c r="N1621" t="s">
        <v>1586</v>
      </c>
      <c r="O1621" t="s">
        <v>1581</v>
      </c>
      <c r="P1621" t="s">
        <v>1581</v>
      </c>
      <c r="Q1621" t="s">
        <v>1581</v>
      </c>
      <c r="R1621" t="s">
        <v>1581</v>
      </c>
      <c r="S1621" t="s">
        <v>1581</v>
      </c>
      <c r="T1621" t="s">
        <v>1581</v>
      </c>
      <c r="U1621" t="s">
        <v>1581</v>
      </c>
      <c r="V1621" t="str" cm="1">
        <f t="array" aca="1" ref="V1621" ca="1">IFERROR(_xlfn.IFS(A1619="  ..............",OFFSET(A1619,2,0),A1618=" X-------------X",OFFSET(A1618,3,0),MATCH("  ..............",A1621:A1630,0)&gt;2,V1620),"-")</f>
        <v xml:space="preserve">  GUA1-B-RS069  </v>
      </c>
      <c r="W1621">
        <f t="shared" ca="1" si="75"/>
        <v>1.0049999999999999</v>
      </c>
      <c r="X1621" t="str">
        <f t="shared" ca="1" si="76"/>
        <v xml:space="preserve"> GUA1-A-RS069 </v>
      </c>
      <c r="Y1621" s="1">
        <f t="shared" ca="1" si="77"/>
        <v>0.77400000000000002</v>
      </c>
    </row>
    <row r="1622" spans="1:25" x14ac:dyDescent="0.25">
      <c r="A1622" t="s">
        <v>1588</v>
      </c>
      <c r="B1622" t="s">
        <v>1587</v>
      </c>
      <c r="C1622">
        <v>9999</v>
      </c>
      <c r="D1622">
        <v>9999</v>
      </c>
      <c r="E1622">
        <v>9999</v>
      </c>
      <c r="F1622" s="1">
        <v>0</v>
      </c>
      <c r="G1622" t="s">
        <v>1587</v>
      </c>
      <c r="H1622" t="s">
        <v>1587</v>
      </c>
      <c r="I1622">
        <v>9775</v>
      </c>
      <c r="J1622" t="s">
        <v>1659</v>
      </c>
      <c r="K1622">
        <v>1</v>
      </c>
      <c r="L1622">
        <v>-20.8</v>
      </c>
      <c r="M1622">
        <v>-3.2</v>
      </c>
      <c r="N1622">
        <v>20.9</v>
      </c>
      <c r="O1622" t="s">
        <v>1594</v>
      </c>
      <c r="P1622" t="s">
        <v>1584</v>
      </c>
      <c r="Q1622" t="s">
        <v>1591</v>
      </c>
      <c r="R1622">
        <v>0</v>
      </c>
      <c r="S1622">
        <v>0</v>
      </c>
      <c r="T1622" t="s">
        <v>1584</v>
      </c>
      <c r="U1622" t="s">
        <v>1592</v>
      </c>
      <c r="V1622" t="str" cm="1">
        <f t="array" aca="1" ref="V1622" ca="1">IFERROR(_xlfn.IFS(A1620="  ..............",OFFSET(A1620,2,0),A1619=" X-------------X",OFFSET(A1619,3,0),MATCH("  ..............",A1622:A1631,0)&gt;2,V1621),"-")</f>
        <v>-</v>
      </c>
      <c r="W1622" t="str">
        <f t="shared" ca="1" si="75"/>
        <v>-</v>
      </c>
      <c r="X1622" t="str">
        <f t="shared" ca="1" si="76"/>
        <v>-</v>
      </c>
      <c r="Y1622" s="1" t="str">
        <f t="shared" ca="1" si="77"/>
        <v>-</v>
      </c>
    </row>
    <row r="1623" spans="1:25" x14ac:dyDescent="0.25">
      <c r="A1623" t="s">
        <v>1572</v>
      </c>
      <c r="B1623" t="s">
        <v>1574</v>
      </c>
      <c r="C1623" t="s">
        <v>1574</v>
      </c>
      <c r="D1623" t="s">
        <v>1574</v>
      </c>
      <c r="E1623" t="s">
        <v>1574</v>
      </c>
      <c r="F1623" t="s">
        <v>1575</v>
      </c>
      <c r="G1623" t="s">
        <v>1574</v>
      </c>
      <c r="H1623" t="s">
        <v>1574</v>
      </c>
      <c r="I1623" t="s">
        <v>1576</v>
      </c>
      <c r="J1623" t="s">
        <v>1573</v>
      </c>
      <c r="K1623" t="s">
        <v>1577</v>
      </c>
      <c r="L1623" t="s">
        <v>1574</v>
      </c>
      <c r="M1623" t="s">
        <v>1574</v>
      </c>
      <c r="N1623" t="s">
        <v>1574</v>
      </c>
      <c r="O1623" t="s">
        <v>1578</v>
      </c>
      <c r="P1623" t="s">
        <v>1576</v>
      </c>
      <c r="Q1623" t="s">
        <v>1579</v>
      </c>
      <c r="R1623" t="s">
        <v>1580</v>
      </c>
      <c r="S1623" t="s">
        <v>1580</v>
      </c>
      <c r="T1623" t="s">
        <v>1576</v>
      </c>
      <c r="U1623" t="s">
        <v>1576</v>
      </c>
      <c r="V1623" t="str" cm="1">
        <f t="array" aca="1" ref="V1623" ca="1">IFERROR(_xlfn.IFS(A1621="  ..............",OFFSET(A1621,2,0),A1620=" X-------------X",OFFSET(A1620,3,0),MATCH("  ..............",A1623:A1632,0)&gt;2,V1622),"-")</f>
        <v>-</v>
      </c>
      <c r="W1623" t="str">
        <f t="shared" ca="1" si="75"/>
        <v>-</v>
      </c>
      <c r="X1623" t="str">
        <f t="shared" ca="1" si="76"/>
        <v/>
      </c>
      <c r="Y1623" s="1" t="str">
        <f t="shared" ca="1" si="77"/>
        <v/>
      </c>
    </row>
    <row r="1624" spans="1:25" x14ac:dyDescent="0.25">
      <c r="A1624" t="s">
        <v>2705</v>
      </c>
      <c r="B1624">
        <v>1.008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 t="s">
        <v>1581</v>
      </c>
      <c r="J1624" t="s">
        <v>1581</v>
      </c>
      <c r="K1624" t="s">
        <v>1581</v>
      </c>
      <c r="L1624" t="s">
        <v>1581</v>
      </c>
      <c r="M1624" t="s">
        <v>1581</v>
      </c>
      <c r="N1624" t="s">
        <v>1581</v>
      </c>
      <c r="O1624" t="s">
        <v>1581</v>
      </c>
      <c r="P1624" t="s">
        <v>1581</v>
      </c>
      <c r="Q1624" t="s">
        <v>1581</v>
      </c>
      <c r="R1624" t="s">
        <v>1581</v>
      </c>
      <c r="S1624" t="s">
        <v>1581</v>
      </c>
      <c r="T1624" t="s">
        <v>1581</v>
      </c>
      <c r="U1624" t="s">
        <v>1581</v>
      </c>
      <c r="V1624" t="str" cm="1">
        <f t="array" aca="1" ref="V1624" ca="1">IFERROR(_xlfn.IFS(A1622="  ..............",OFFSET(A1622,2,0),A1621=" X-------------X",OFFSET(A1621,3,0),MATCH("  ..............",A1624:A1633,0)&gt;2,V1623),"-")</f>
        <v>-</v>
      </c>
      <c r="W1624" t="str">
        <f t="shared" ca="1" si="75"/>
        <v>-</v>
      </c>
      <c r="X1624" t="str">
        <f t="shared" ca="1" si="76"/>
        <v xml:space="preserve">              </v>
      </c>
      <c r="Y1624" s="1">
        <f t="shared" ca="1" si="77"/>
        <v>0</v>
      </c>
    </row>
    <row r="1625" spans="1:25" x14ac:dyDescent="0.25">
      <c r="A1625" t="s">
        <v>2706</v>
      </c>
      <c r="B1625">
        <v>-53.7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 t="s">
        <v>1584</v>
      </c>
      <c r="J1625" t="s">
        <v>1585</v>
      </c>
      <c r="K1625" t="s">
        <v>1586</v>
      </c>
      <c r="L1625" t="s">
        <v>1587</v>
      </c>
      <c r="M1625" t="s">
        <v>1587</v>
      </c>
      <c r="N1625" t="s">
        <v>1586</v>
      </c>
      <c r="O1625" t="s">
        <v>1581</v>
      </c>
      <c r="P1625" t="s">
        <v>1581</v>
      </c>
      <c r="Q1625" t="s">
        <v>1581</v>
      </c>
      <c r="R1625" t="s">
        <v>1581</v>
      </c>
      <c r="S1625" t="s">
        <v>1581</v>
      </c>
      <c r="T1625" t="s">
        <v>1581</v>
      </c>
      <c r="U1625" t="s">
        <v>1581</v>
      </c>
      <c r="V1625" t="str" cm="1">
        <f t="array" aca="1" ref="V1625" ca="1">IFERROR(_xlfn.IFS(A1623="  ..............",OFFSET(A1623,2,0),A1622=" X-------------X",OFFSET(A1622,3,0),MATCH("  ..............",A1625:A1634,0)&gt;2,V1624),"-")</f>
        <v xml:space="preserve">  RIOGUATAP069  </v>
      </c>
      <c r="W1625">
        <f t="shared" ca="1" si="75"/>
        <v>1.008</v>
      </c>
      <c r="X1625" t="str">
        <f t="shared" ca="1" si="76"/>
        <v xml:space="preserve"> STHGUATAP069 </v>
      </c>
      <c r="Y1625" s="1">
        <f t="shared" ca="1" si="77"/>
        <v>0.42499999999999999</v>
      </c>
    </row>
    <row r="1626" spans="1:25" x14ac:dyDescent="0.25">
      <c r="A1626" t="s">
        <v>1588</v>
      </c>
      <c r="B1626" t="s">
        <v>1587</v>
      </c>
      <c r="C1626">
        <v>48</v>
      </c>
      <c r="D1626">
        <v>71</v>
      </c>
      <c r="E1626">
        <v>71</v>
      </c>
      <c r="F1626" s="1">
        <v>0.33700000000000002</v>
      </c>
      <c r="G1626" t="s">
        <v>1587</v>
      </c>
      <c r="H1626" t="s">
        <v>1587</v>
      </c>
      <c r="I1626">
        <v>9773</v>
      </c>
      <c r="J1626" t="s">
        <v>1658</v>
      </c>
      <c r="K1626">
        <v>1</v>
      </c>
      <c r="L1626">
        <v>-15</v>
      </c>
      <c r="M1626">
        <v>-6.4</v>
      </c>
      <c r="N1626">
        <v>16.2</v>
      </c>
      <c r="O1626" t="s">
        <v>1594</v>
      </c>
      <c r="P1626" t="s">
        <v>1584</v>
      </c>
      <c r="Q1626" t="s">
        <v>1591</v>
      </c>
      <c r="R1626">
        <v>0.02</v>
      </c>
      <c r="S1626">
        <v>0.02</v>
      </c>
      <c r="T1626" t="s">
        <v>1584</v>
      </c>
      <c r="U1626" t="s">
        <v>1592</v>
      </c>
      <c r="V1626" t="str" cm="1">
        <f t="array" aca="1" ref="V1626" ca="1">IFERROR(_xlfn.IFS(A1624="  ..............",OFFSET(A1624,2,0),A1623=" X-------------X",OFFSET(A1623,3,0),MATCH("  ..............",A1626:A1635,0)&gt;2,V1625),"-")</f>
        <v xml:space="preserve">  RIOGUATAP069  </v>
      </c>
      <c r="W1626">
        <f t="shared" ca="1" si="75"/>
        <v>1.008</v>
      </c>
      <c r="X1626" t="str">
        <f t="shared" ca="1" si="76"/>
        <v xml:space="preserve"> RIOGUA-RS069 </v>
      </c>
      <c r="Y1626" s="1">
        <f t="shared" ca="1" si="77"/>
        <v>1E-3</v>
      </c>
    </row>
    <row r="1627" spans="1:25" x14ac:dyDescent="0.25">
      <c r="A1627" t="s">
        <v>1588</v>
      </c>
      <c r="B1627" t="s">
        <v>1587</v>
      </c>
      <c r="C1627">
        <v>30</v>
      </c>
      <c r="D1627">
        <v>43</v>
      </c>
      <c r="E1627">
        <v>43</v>
      </c>
      <c r="F1627" s="1">
        <v>1E-3</v>
      </c>
      <c r="G1627" t="s">
        <v>1587</v>
      </c>
      <c r="H1627" t="s">
        <v>1587</v>
      </c>
      <c r="I1627">
        <v>9778</v>
      </c>
      <c r="J1627" t="s">
        <v>2707</v>
      </c>
      <c r="K1627">
        <v>1</v>
      </c>
      <c r="L1627">
        <v>0</v>
      </c>
      <c r="M1627">
        <v>0</v>
      </c>
      <c r="N1627">
        <v>0</v>
      </c>
      <c r="O1627" t="s">
        <v>1594</v>
      </c>
      <c r="P1627" t="s">
        <v>1584</v>
      </c>
      <c r="Q1627" t="s">
        <v>1591</v>
      </c>
      <c r="R1627">
        <v>0</v>
      </c>
      <c r="S1627">
        <v>-0.02</v>
      </c>
      <c r="T1627" t="s">
        <v>1584</v>
      </c>
      <c r="U1627" t="s">
        <v>1592</v>
      </c>
      <c r="V1627" t="str" cm="1">
        <f t="array" aca="1" ref="V1627" ca="1">IFERROR(_xlfn.IFS(A1625="  ..............",OFFSET(A1625,2,0),A1624=" X-------------X",OFFSET(A1624,3,0),MATCH("  ..............",A1627:A1636,0)&gt;2,V1626),"-")</f>
        <v xml:space="preserve">  RIOGUATAP069  </v>
      </c>
      <c r="W1627">
        <f t="shared" ca="1" si="75"/>
        <v>1.008</v>
      </c>
      <c r="X1627" t="str">
        <f t="shared" ca="1" si="76"/>
        <v xml:space="preserve"> APGGUA-RS069 </v>
      </c>
      <c r="Y1627" s="1">
        <f t="shared" ca="1" si="77"/>
        <v>0.55800000000000005</v>
      </c>
    </row>
    <row r="1628" spans="1:25" x14ac:dyDescent="0.25">
      <c r="A1628" t="s">
        <v>1588</v>
      </c>
      <c r="B1628" t="s">
        <v>1587</v>
      </c>
      <c r="C1628">
        <v>29</v>
      </c>
      <c r="D1628">
        <v>41</v>
      </c>
      <c r="E1628">
        <v>41</v>
      </c>
      <c r="F1628" s="1">
        <v>0.55800000000000005</v>
      </c>
      <c r="G1628" t="s">
        <v>1587</v>
      </c>
      <c r="H1628" t="s">
        <v>1587</v>
      </c>
      <c r="I1628">
        <v>9779</v>
      </c>
      <c r="J1628" t="s">
        <v>2708</v>
      </c>
      <c r="K1628">
        <v>1</v>
      </c>
      <c r="L1628">
        <v>15</v>
      </c>
      <c r="M1628">
        <v>6.4</v>
      </c>
      <c r="N1628">
        <v>16.2</v>
      </c>
      <c r="O1628" t="s">
        <v>1594</v>
      </c>
      <c r="P1628" t="s">
        <v>1584</v>
      </c>
      <c r="Q1628" t="s">
        <v>1591</v>
      </c>
      <c r="R1628">
        <v>0.01</v>
      </c>
      <c r="S1628">
        <v>0</v>
      </c>
      <c r="T1628" t="s">
        <v>1584</v>
      </c>
      <c r="U1628" t="s">
        <v>1592</v>
      </c>
      <c r="V1628" t="str" cm="1">
        <f t="array" aca="1" ref="V1628" ca="1">IFERROR(_xlfn.IFS(A1626="  ..............",OFFSET(A1626,2,0),A1625=" X-------------X",OFFSET(A1625,3,0),MATCH("  ..............",A1628:A1637,0)&gt;2,V1627),"-")</f>
        <v>-</v>
      </c>
      <c r="W1628" t="str">
        <f t="shared" ca="1" si="75"/>
        <v>-</v>
      </c>
      <c r="X1628" t="str">
        <f t="shared" ca="1" si="76"/>
        <v>-</v>
      </c>
      <c r="Y1628" s="1" t="str">
        <f t="shared" ca="1" si="77"/>
        <v>-</v>
      </c>
    </row>
    <row r="1629" spans="1:25" x14ac:dyDescent="0.25">
      <c r="A1629" t="s">
        <v>1572</v>
      </c>
      <c r="B1629" t="s">
        <v>1574</v>
      </c>
      <c r="C1629" t="s">
        <v>1574</v>
      </c>
      <c r="D1629" t="s">
        <v>1574</v>
      </c>
      <c r="E1629" t="s">
        <v>1574</v>
      </c>
      <c r="F1629" t="s">
        <v>1575</v>
      </c>
      <c r="G1629" t="s">
        <v>1574</v>
      </c>
      <c r="H1629" t="s">
        <v>1574</v>
      </c>
      <c r="I1629" t="s">
        <v>1576</v>
      </c>
      <c r="J1629" t="s">
        <v>1573</v>
      </c>
      <c r="K1629" t="s">
        <v>1577</v>
      </c>
      <c r="L1629" t="s">
        <v>1574</v>
      </c>
      <c r="M1629" t="s">
        <v>1574</v>
      </c>
      <c r="N1629" t="s">
        <v>1574</v>
      </c>
      <c r="O1629" t="s">
        <v>1578</v>
      </c>
      <c r="P1629" t="s">
        <v>1576</v>
      </c>
      <c r="Q1629" t="s">
        <v>1579</v>
      </c>
      <c r="R1629" t="s">
        <v>1580</v>
      </c>
      <c r="S1629" t="s">
        <v>1580</v>
      </c>
      <c r="T1629" t="s">
        <v>1576</v>
      </c>
      <c r="U1629" t="s">
        <v>1576</v>
      </c>
      <c r="V1629" t="str" cm="1">
        <f t="array" aca="1" ref="V1629" ca="1">IFERROR(_xlfn.IFS(A1627="  ..............",OFFSET(A1627,2,0),A1626=" X-------------X",OFFSET(A1626,3,0),MATCH("  ..............",A1629:A1638,0)&gt;2,V1628),"-")</f>
        <v>-</v>
      </c>
      <c r="W1629" t="str">
        <f t="shared" ca="1" si="75"/>
        <v>-</v>
      </c>
      <c r="X1629" t="str">
        <f t="shared" ca="1" si="76"/>
        <v/>
      </c>
      <c r="Y1629" s="1" t="str">
        <f t="shared" ca="1" si="77"/>
        <v/>
      </c>
    </row>
    <row r="1630" spans="1:25" x14ac:dyDescent="0.25">
      <c r="A1630" t="s">
        <v>2709</v>
      </c>
      <c r="B1630">
        <v>1.008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 t="s">
        <v>1581</v>
      </c>
      <c r="J1630" t="s">
        <v>1581</v>
      </c>
      <c r="K1630" t="s">
        <v>1581</v>
      </c>
      <c r="L1630" t="s">
        <v>1581</v>
      </c>
      <c r="M1630" t="s">
        <v>1581</v>
      </c>
      <c r="N1630" t="s">
        <v>1581</v>
      </c>
      <c r="O1630" t="s">
        <v>1581</v>
      </c>
      <c r="P1630" t="s">
        <v>1581</v>
      </c>
      <c r="Q1630" t="s">
        <v>1581</v>
      </c>
      <c r="R1630" t="s">
        <v>1581</v>
      </c>
      <c r="S1630" t="s">
        <v>1581</v>
      </c>
      <c r="T1630" t="s">
        <v>1581</v>
      </c>
      <c r="U1630" t="s">
        <v>1581</v>
      </c>
      <c r="V1630" t="str" cm="1">
        <f t="array" aca="1" ref="V1630" ca="1">IFERROR(_xlfn.IFS(A1628="  ..............",OFFSET(A1628,2,0),A1627=" X-------------X",OFFSET(A1627,3,0),MATCH("  ..............",A1630:A1639,0)&gt;2,V1629),"-")</f>
        <v>-</v>
      </c>
      <c r="W1630" t="str">
        <f t="shared" ca="1" si="75"/>
        <v>-</v>
      </c>
      <c r="X1630" t="str">
        <f t="shared" ca="1" si="76"/>
        <v xml:space="preserve">              </v>
      </c>
      <c r="Y1630" s="1">
        <f t="shared" ca="1" si="77"/>
        <v>0</v>
      </c>
    </row>
    <row r="1631" spans="1:25" x14ac:dyDescent="0.25">
      <c r="A1631" t="s">
        <v>2710</v>
      </c>
      <c r="B1631">
        <v>-53.7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 t="s">
        <v>1584</v>
      </c>
      <c r="J1631" t="s">
        <v>1585</v>
      </c>
      <c r="K1631" t="s">
        <v>1586</v>
      </c>
      <c r="L1631" t="s">
        <v>1587</v>
      </c>
      <c r="M1631" t="s">
        <v>1587</v>
      </c>
      <c r="N1631" t="s">
        <v>1586</v>
      </c>
      <c r="O1631" t="s">
        <v>1581</v>
      </c>
      <c r="P1631" t="s">
        <v>1581</v>
      </c>
      <c r="Q1631" t="s">
        <v>1581</v>
      </c>
      <c r="R1631" t="s">
        <v>1581</v>
      </c>
      <c r="S1631" t="s">
        <v>1581</v>
      </c>
      <c r="T1631" t="s">
        <v>1581</v>
      </c>
      <c r="U1631" t="s">
        <v>1581</v>
      </c>
      <c r="V1631" t="str" cm="1">
        <f t="array" aca="1" ref="V1631" ca="1">IFERROR(_xlfn.IFS(A1629="  ..............",OFFSET(A1629,2,0),A1628=" X-------------X",OFFSET(A1628,3,0),MATCH("  ..............",A1631:A1640,0)&gt;2,V1630),"-")</f>
        <v xml:space="preserve">  RIOGUA-RS069  </v>
      </c>
      <c r="W1631">
        <f t="shared" ca="1" si="75"/>
        <v>1.008</v>
      </c>
      <c r="X1631" t="str">
        <f t="shared" ca="1" si="76"/>
        <v xml:space="preserve"> RIOGUATAP069 </v>
      </c>
      <c r="Y1631" s="1">
        <f t="shared" ca="1" si="77"/>
        <v>0.33700000000000002</v>
      </c>
    </row>
    <row r="1632" spans="1:25" x14ac:dyDescent="0.25">
      <c r="A1632" t="s">
        <v>1588</v>
      </c>
      <c r="B1632" t="s">
        <v>1587</v>
      </c>
      <c r="C1632">
        <v>30</v>
      </c>
      <c r="D1632">
        <v>43</v>
      </c>
      <c r="E1632">
        <v>43</v>
      </c>
      <c r="F1632" s="1">
        <v>0</v>
      </c>
      <c r="G1632" t="s">
        <v>1587</v>
      </c>
      <c r="H1632" t="s">
        <v>1587</v>
      </c>
      <c r="I1632">
        <v>9777</v>
      </c>
      <c r="J1632" t="s">
        <v>2697</v>
      </c>
      <c r="K1632">
        <v>1</v>
      </c>
      <c r="L1632">
        <v>0</v>
      </c>
      <c r="M1632">
        <v>0</v>
      </c>
      <c r="N1632">
        <v>0</v>
      </c>
      <c r="O1632" t="s">
        <v>1594</v>
      </c>
      <c r="P1632" t="s">
        <v>1584</v>
      </c>
      <c r="Q1632" t="s">
        <v>1591</v>
      </c>
      <c r="R1632">
        <v>0</v>
      </c>
      <c r="S1632">
        <v>-0.02</v>
      </c>
      <c r="T1632" t="s">
        <v>1584</v>
      </c>
      <c r="U1632" t="s">
        <v>1592</v>
      </c>
      <c r="V1632" t="str" cm="1">
        <f t="array" aca="1" ref="V1632" ca="1">IFERROR(_xlfn.IFS(A1630="  ..............",OFFSET(A1630,2,0),A1629=" X-------------X",OFFSET(A1629,3,0),MATCH("  ..............",A1632:A1641,0)&gt;2,V1631),"-")</f>
        <v>-</v>
      </c>
      <c r="W1632" t="str">
        <f t="shared" ca="1" si="75"/>
        <v>-</v>
      </c>
      <c r="X1632" t="str">
        <f t="shared" ca="1" si="76"/>
        <v>-</v>
      </c>
      <c r="Y1632" s="1" t="str">
        <f t="shared" ca="1" si="77"/>
        <v>-</v>
      </c>
    </row>
    <row r="1633" spans="1:25" x14ac:dyDescent="0.25">
      <c r="A1633" t="s">
        <v>1572</v>
      </c>
      <c r="B1633" t="s">
        <v>1574</v>
      </c>
      <c r="C1633" t="s">
        <v>1574</v>
      </c>
      <c r="D1633" t="s">
        <v>1574</v>
      </c>
      <c r="E1633" t="s">
        <v>1574</v>
      </c>
      <c r="F1633" t="s">
        <v>1575</v>
      </c>
      <c r="G1633" t="s">
        <v>1574</v>
      </c>
      <c r="H1633" t="s">
        <v>1574</v>
      </c>
      <c r="I1633" t="s">
        <v>1576</v>
      </c>
      <c r="J1633" t="s">
        <v>1573</v>
      </c>
      <c r="K1633" t="s">
        <v>1577</v>
      </c>
      <c r="L1633" t="s">
        <v>1574</v>
      </c>
      <c r="M1633" t="s">
        <v>1574</v>
      </c>
      <c r="N1633" t="s">
        <v>1574</v>
      </c>
      <c r="O1633" t="s">
        <v>1578</v>
      </c>
      <c r="P1633" t="s">
        <v>1576</v>
      </c>
      <c r="Q1633" t="s">
        <v>1579</v>
      </c>
      <c r="R1633" t="s">
        <v>1580</v>
      </c>
      <c r="S1633" t="s">
        <v>1580</v>
      </c>
      <c r="T1633" t="s">
        <v>1576</v>
      </c>
      <c r="U1633" t="s">
        <v>1576</v>
      </c>
      <c r="V1633" t="str" cm="1">
        <f t="array" aca="1" ref="V1633" ca="1">IFERROR(_xlfn.IFS(A1631="  ..............",OFFSET(A1631,2,0),A1630=" X-------------X",OFFSET(A1630,3,0),MATCH("  ..............",A1633:A1642,0)&gt;2,V1632),"-")</f>
        <v>-</v>
      </c>
      <c r="W1633" t="str">
        <f t="shared" ca="1" si="75"/>
        <v>-</v>
      </c>
      <c r="X1633" t="str">
        <f t="shared" ca="1" si="76"/>
        <v/>
      </c>
      <c r="Y1633" s="1" t="str">
        <f t="shared" ca="1" si="77"/>
        <v/>
      </c>
    </row>
    <row r="1634" spans="1:25" x14ac:dyDescent="0.25">
      <c r="A1634" t="s">
        <v>2711</v>
      </c>
      <c r="B1634">
        <v>1.0069999999999999</v>
      </c>
      <c r="C1634">
        <v>0</v>
      </c>
      <c r="D1634">
        <v>0</v>
      </c>
      <c r="E1634">
        <v>15</v>
      </c>
      <c r="F1634">
        <v>0</v>
      </c>
      <c r="G1634">
        <v>0</v>
      </c>
      <c r="H1634">
        <v>0</v>
      </c>
      <c r="I1634" t="s">
        <v>1581</v>
      </c>
      <c r="J1634" t="s">
        <v>1581</v>
      </c>
      <c r="K1634" t="s">
        <v>1581</v>
      </c>
      <c r="L1634" t="s">
        <v>1581</v>
      </c>
      <c r="M1634" t="s">
        <v>1581</v>
      </c>
      <c r="N1634" t="s">
        <v>1581</v>
      </c>
      <c r="O1634" t="s">
        <v>1581</v>
      </c>
      <c r="P1634" t="s">
        <v>1581</v>
      </c>
      <c r="Q1634" t="s">
        <v>1581</v>
      </c>
      <c r="R1634" t="s">
        <v>1581</v>
      </c>
      <c r="S1634" t="s">
        <v>1581</v>
      </c>
      <c r="T1634" t="s">
        <v>1581</v>
      </c>
      <c r="U1634" t="s">
        <v>1581</v>
      </c>
      <c r="V1634" t="str" cm="1">
        <f t="array" aca="1" ref="V1634" ca="1">IFERROR(_xlfn.IFS(A1632="  ..............",OFFSET(A1632,2,0),A1631=" X-------------X",OFFSET(A1631,3,0),MATCH("  ..............",A1634:A1643,0)&gt;2,V1633),"-")</f>
        <v>-</v>
      </c>
      <c r="W1634" t="str">
        <f t="shared" ca="1" si="75"/>
        <v>-</v>
      </c>
      <c r="X1634" t="str">
        <f t="shared" ca="1" si="76"/>
        <v xml:space="preserve">              </v>
      </c>
      <c r="Y1634" s="1">
        <f t="shared" ca="1" si="77"/>
        <v>0</v>
      </c>
    </row>
    <row r="1635" spans="1:25" x14ac:dyDescent="0.25">
      <c r="A1635" t="s">
        <v>2712</v>
      </c>
      <c r="B1635">
        <v>-53.8</v>
      </c>
      <c r="C1635">
        <v>0</v>
      </c>
      <c r="D1635">
        <v>0</v>
      </c>
      <c r="E1635">
        <v>6.4</v>
      </c>
      <c r="F1635">
        <v>0</v>
      </c>
      <c r="G1635">
        <v>0</v>
      </c>
      <c r="H1635">
        <v>0</v>
      </c>
      <c r="I1635" t="s">
        <v>1584</v>
      </c>
      <c r="J1635" t="s">
        <v>1585</v>
      </c>
      <c r="K1635" t="s">
        <v>1586</v>
      </c>
      <c r="L1635" t="s">
        <v>1587</v>
      </c>
      <c r="M1635" t="s">
        <v>1587</v>
      </c>
      <c r="N1635" t="s">
        <v>1586</v>
      </c>
      <c r="O1635" t="s">
        <v>1581</v>
      </c>
      <c r="P1635" t="s">
        <v>1581</v>
      </c>
      <c r="Q1635" t="s">
        <v>1581</v>
      </c>
      <c r="R1635" t="s">
        <v>1581</v>
      </c>
      <c r="S1635" t="s">
        <v>1581</v>
      </c>
      <c r="T1635" t="s">
        <v>1581</v>
      </c>
      <c r="U1635" t="s">
        <v>1581</v>
      </c>
      <c r="V1635" t="str" cm="1">
        <f t="array" aca="1" ref="V1635" ca="1">IFERROR(_xlfn.IFS(A1633="  ..............",OFFSET(A1633,2,0),A1632=" X-------------X",OFFSET(A1632,3,0),MATCH("  ..............",A1635:A1644,0)&gt;2,V1634),"-")</f>
        <v xml:space="preserve">  APGGUA-RS069  </v>
      </c>
      <c r="W1635">
        <f t="shared" ca="1" si="75"/>
        <v>1.0069999999999999</v>
      </c>
      <c r="X1635" t="str">
        <f t="shared" ca="1" si="76"/>
        <v xml:space="preserve"> RIOGUATAP069 </v>
      </c>
      <c r="Y1635" s="1">
        <f t="shared" ca="1" si="77"/>
        <v>0.33700000000000002</v>
      </c>
    </row>
    <row r="1636" spans="1:25" x14ac:dyDescent="0.25">
      <c r="A1636" t="s">
        <v>1588</v>
      </c>
      <c r="B1636" t="s">
        <v>1587</v>
      </c>
      <c r="C1636">
        <v>29</v>
      </c>
      <c r="D1636">
        <v>41</v>
      </c>
      <c r="E1636">
        <v>41</v>
      </c>
      <c r="F1636" s="1">
        <v>0.55800000000000005</v>
      </c>
      <c r="G1636" t="s">
        <v>1587</v>
      </c>
      <c r="H1636" t="s">
        <v>1587</v>
      </c>
      <c r="I1636">
        <v>9777</v>
      </c>
      <c r="J1636" t="s">
        <v>2697</v>
      </c>
      <c r="K1636">
        <v>1</v>
      </c>
      <c r="L1636">
        <v>-15</v>
      </c>
      <c r="M1636">
        <v>-6.4</v>
      </c>
      <c r="N1636">
        <v>16.2</v>
      </c>
      <c r="O1636" t="s">
        <v>1594</v>
      </c>
      <c r="P1636" t="s">
        <v>1584</v>
      </c>
      <c r="Q1636" t="s">
        <v>1591</v>
      </c>
      <c r="R1636">
        <v>0.01</v>
      </c>
      <c r="S1636">
        <v>0</v>
      </c>
      <c r="T1636" t="s">
        <v>1584</v>
      </c>
      <c r="U1636" t="s">
        <v>1592</v>
      </c>
      <c r="V1636" t="str" cm="1">
        <f t="array" aca="1" ref="V1636" ca="1">IFERROR(_xlfn.IFS(A1634="  ..............",OFFSET(A1634,2,0),A1633=" X-------------X",OFFSET(A1633,3,0),MATCH("  ..............",A1636:A1645,0)&gt;2,V1635),"-")</f>
        <v>-</v>
      </c>
      <c r="W1636" t="str">
        <f t="shared" ca="1" si="75"/>
        <v>-</v>
      </c>
      <c r="X1636" t="str">
        <f t="shared" ca="1" si="76"/>
        <v>-</v>
      </c>
      <c r="Y1636" s="1" t="str">
        <f t="shared" ca="1" si="77"/>
        <v>-</v>
      </c>
    </row>
    <row r="1637" spans="1:25" x14ac:dyDescent="0.25">
      <c r="A1637" t="s">
        <v>1572</v>
      </c>
      <c r="B1637" t="s">
        <v>1574</v>
      </c>
      <c r="C1637" t="s">
        <v>1574</v>
      </c>
      <c r="D1637" t="s">
        <v>1574</v>
      </c>
      <c r="E1637" t="s">
        <v>1574</v>
      </c>
      <c r="F1637" t="s">
        <v>1575</v>
      </c>
      <c r="G1637" t="s">
        <v>1574</v>
      </c>
      <c r="H1637" t="s">
        <v>1574</v>
      </c>
      <c r="I1637" t="s">
        <v>1576</v>
      </c>
      <c r="J1637" t="s">
        <v>1573</v>
      </c>
      <c r="K1637" t="s">
        <v>1577</v>
      </c>
      <c r="L1637" t="s">
        <v>1574</v>
      </c>
      <c r="M1637" t="s">
        <v>1574</v>
      </c>
      <c r="N1637" t="s">
        <v>1574</v>
      </c>
      <c r="O1637" t="s">
        <v>1578</v>
      </c>
      <c r="P1637" t="s">
        <v>1576</v>
      </c>
      <c r="Q1637" t="s">
        <v>1579</v>
      </c>
      <c r="R1637" t="s">
        <v>1580</v>
      </c>
      <c r="S1637" t="s">
        <v>1580</v>
      </c>
      <c r="T1637" t="s">
        <v>1576</v>
      </c>
      <c r="U1637" t="s">
        <v>1576</v>
      </c>
      <c r="V1637" t="str" cm="1">
        <f t="array" aca="1" ref="V1637" ca="1">IFERROR(_xlfn.IFS(A1635="  ..............",OFFSET(A1635,2,0),A1634=" X-------------X",OFFSET(A1634,3,0),MATCH("  ..............",A1637:A1646,0)&gt;2,V1636),"-")</f>
        <v>-</v>
      </c>
      <c r="W1637" t="str">
        <f t="shared" ca="1" si="75"/>
        <v>-</v>
      </c>
      <c r="X1637" t="str">
        <f t="shared" ca="1" si="76"/>
        <v/>
      </c>
      <c r="Y1637" s="1" t="str">
        <f t="shared" ca="1" si="77"/>
        <v/>
      </c>
    </row>
    <row r="1638" spans="1:25" x14ac:dyDescent="0.25">
      <c r="A1638" t="s">
        <v>2713</v>
      </c>
      <c r="B1638">
        <v>1.046</v>
      </c>
      <c r="C1638">
        <v>2.6</v>
      </c>
      <c r="D1638">
        <v>0</v>
      </c>
      <c r="E1638">
        <v>16.100000000000001</v>
      </c>
      <c r="F1638">
        <v>0</v>
      </c>
      <c r="G1638">
        <v>3.9</v>
      </c>
      <c r="H1638">
        <v>0</v>
      </c>
      <c r="I1638" t="s">
        <v>1581</v>
      </c>
      <c r="J1638" t="s">
        <v>1581</v>
      </c>
      <c r="K1638" t="s">
        <v>1581</v>
      </c>
      <c r="L1638" t="s">
        <v>1581</v>
      </c>
      <c r="M1638" t="s">
        <v>1581</v>
      </c>
      <c r="N1638" t="s">
        <v>1581</v>
      </c>
      <c r="O1638" t="s">
        <v>1581</v>
      </c>
      <c r="P1638" t="s">
        <v>1581</v>
      </c>
      <c r="Q1638" t="s">
        <v>1581</v>
      </c>
      <c r="R1638" t="s">
        <v>1581</v>
      </c>
      <c r="S1638" t="s">
        <v>1581</v>
      </c>
      <c r="T1638" t="s">
        <v>1581</v>
      </c>
      <c r="U1638" t="s">
        <v>1581</v>
      </c>
      <c r="V1638" t="str" cm="1">
        <f t="array" aca="1" ref="V1638" ca="1">IFERROR(_xlfn.IFS(A1636="  ..............",OFFSET(A1636,2,0),A1635=" X-------------X",OFFSET(A1635,3,0),MATCH("  ..............",A1638:A1647,0)&gt;2,V1637),"-")</f>
        <v>-</v>
      </c>
      <c r="W1638" t="str">
        <f t="shared" ca="1" si="75"/>
        <v>-</v>
      </c>
      <c r="X1638" t="str">
        <f t="shared" ca="1" si="76"/>
        <v xml:space="preserve">              </v>
      </c>
      <c r="Y1638" s="1">
        <f t="shared" ca="1" si="77"/>
        <v>0</v>
      </c>
    </row>
    <row r="1639" spans="1:25" x14ac:dyDescent="0.25">
      <c r="A1639" t="s">
        <v>2714</v>
      </c>
      <c r="B1639">
        <v>-55.4</v>
      </c>
      <c r="C1639">
        <v>0</v>
      </c>
      <c r="D1639">
        <v>0</v>
      </c>
      <c r="E1639">
        <v>5.8</v>
      </c>
      <c r="F1639">
        <v>0</v>
      </c>
      <c r="G1639">
        <v>0</v>
      </c>
      <c r="H1639">
        <v>0</v>
      </c>
      <c r="I1639" t="s">
        <v>1584</v>
      </c>
      <c r="J1639" t="s">
        <v>1585</v>
      </c>
      <c r="K1639" t="s">
        <v>1586</v>
      </c>
      <c r="L1639" t="s">
        <v>1587</v>
      </c>
      <c r="M1639" t="s">
        <v>1587</v>
      </c>
      <c r="N1639" t="s">
        <v>1586</v>
      </c>
      <c r="O1639" t="s">
        <v>1581</v>
      </c>
      <c r="P1639" t="s">
        <v>1581</v>
      </c>
      <c r="Q1639" t="s">
        <v>1581</v>
      </c>
      <c r="R1639" t="s">
        <v>1581</v>
      </c>
      <c r="S1639" t="s">
        <v>1581</v>
      </c>
      <c r="T1639" t="s">
        <v>1581</v>
      </c>
      <c r="U1639" t="s">
        <v>1581</v>
      </c>
      <c r="V1639" t="str" cm="1">
        <f t="array" aca="1" ref="V1639" ca="1">IFERROR(_xlfn.IFS(A1637="  ..............",OFFSET(A1637,2,0),A1636=" X-------------X",OFFSET(A1636,3,0),MATCH("  ..............",A1639:A1648,0)&gt;2,V1638),"-")</f>
        <v xml:space="preserve">  LAJEA1-RS069  </v>
      </c>
      <c r="W1639">
        <f t="shared" ca="1" si="75"/>
        <v>1.046</v>
      </c>
      <c r="X1639" t="str">
        <f t="shared" ca="1" si="76"/>
        <v xml:space="preserve"> LAJEA2-RS069 </v>
      </c>
      <c r="Y1639" s="1">
        <f t="shared" ca="1" si="77"/>
        <v>0.623</v>
      </c>
    </row>
    <row r="1640" spans="1:25" x14ac:dyDescent="0.25">
      <c r="A1640" t="s">
        <v>1588</v>
      </c>
      <c r="B1640" t="s">
        <v>1587</v>
      </c>
      <c r="C1640">
        <v>84</v>
      </c>
      <c r="D1640">
        <v>101</v>
      </c>
      <c r="E1640">
        <v>101</v>
      </c>
      <c r="F1640" s="1">
        <v>7.8E-2</v>
      </c>
      <c r="G1640" t="s">
        <v>1587</v>
      </c>
      <c r="H1640" t="s">
        <v>1587</v>
      </c>
      <c r="I1640">
        <v>2081</v>
      </c>
      <c r="J1640" t="s">
        <v>2257</v>
      </c>
      <c r="K1640">
        <v>1</v>
      </c>
      <c r="L1640">
        <v>-6.8</v>
      </c>
      <c r="M1640">
        <v>-0.9</v>
      </c>
      <c r="N1640">
        <v>6.5</v>
      </c>
      <c r="O1640" t="s">
        <v>1594</v>
      </c>
      <c r="P1640" t="s">
        <v>1584</v>
      </c>
      <c r="Q1640" t="s">
        <v>1591</v>
      </c>
      <c r="R1640">
        <v>0</v>
      </c>
      <c r="S1640">
        <v>-0.06</v>
      </c>
      <c r="T1640" t="s">
        <v>1584</v>
      </c>
      <c r="U1640" t="s">
        <v>1592</v>
      </c>
      <c r="V1640" t="str" cm="1">
        <f t="array" aca="1" ref="V1640" ca="1">IFERROR(_xlfn.IFS(A1638="  ..............",OFFSET(A1638,2,0),A1637=" X-------------X",OFFSET(A1637,3,0),MATCH("  ..............",A1640:A1649,0)&gt;2,V1639),"-")</f>
        <v xml:space="preserve">  LAJEA1-RS069  </v>
      </c>
      <c r="W1640">
        <f t="shared" ca="1" si="75"/>
        <v>1.046</v>
      </c>
      <c r="X1640" t="str">
        <f t="shared" ca="1" si="76"/>
        <v xml:space="preserve"> LAJEA2-RS069 </v>
      </c>
      <c r="Y1640" s="1">
        <f t="shared" ca="1" si="77"/>
        <v>0.623</v>
      </c>
    </row>
    <row r="1641" spans="1:25" x14ac:dyDescent="0.25">
      <c r="A1641" t="s">
        <v>1588</v>
      </c>
      <c r="B1641" t="s">
        <v>1587</v>
      </c>
      <c r="C1641">
        <v>84</v>
      </c>
      <c r="D1641">
        <v>101</v>
      </c>
      <c r="E1641">
        <v>101</v>
      </c>
      <c r="F1641" s="1">
        <v>7.8E-2</v>
      </c>
      <c r="G1641" t="s">
        <v>1587</v>
      </c>
      <c r="H1641" t="s">
        <v>1587</v>
      </c>
      <c r="I1641">
        <v>2081</v>
      </c>
      <c r="J1641" t="s">
        <v>2257</v>
      </c>
      <c r="K1641">
        <v>2</v>
      </c>
      <c r="L1641">
        <v>-6.8</v>
      </c>
      <c r="M1641">
        <v>-0.9</v>
      </c>
      <c r="N1641">
        <v>6.5</v>
      </c>
      <c r="O1641" t="s">
        <v>1594</v>
      </c>
      <c r="P1641" t="s">
        <v>1584</v>
      </c>
      <c r="Q1641" t="s">
        <v>1591</v>
      </c>
      <c r="R1641">
        <v>0</v>
      </c>
      <c r="S1641">
        <v>-0.06</v>
      </c>
      <c r="T1641" t="s">
        <v>1584</v>
      </c>
      <c r="U1641" t="s">
        <v>1592</v>
      </c>
      <c r="V1641" t="str" cm="1">
        <f t="array" aca="1" ref="V1641" ca="1">IFERROR(_xlfn.IFS(A1639="  ..............",OFFSET(A1639,2,0),A1638=" X-------------X",OFFSET(A1638,3,0),MATCH("  ..............",A1641:A1650,0)&gt;2,V1640),"-")</f>
        <v xml:space="preserve">  LAJEA1-RS069  </v>
      </c>
      <c r="W1641">
        <f t="shared" ca="1" si="75"/>
        <v>1.046</v>
      </c>
      <c r="X1641" t="str">
        <f t="shared" ca="1" si="76"/>
        <v xml:space="preserve"> ARMEIO-RS069 </v>
      </c>
      <c r="Y1641" s="1">
        <f t="shared" ca="1" si="77"/>
        <v>0.89900000000000002</v>
      </c>
    </row>
    <row r="1642" spans="1:25" x14ac:dyDescent="0.25">
      <c r="A1642" t="s">
        <v>1637</v>
      </c>
      <c r="B1642" t="s">
        <v>1638</v>
      </c>
      <c r="C1642">
        <v>46</v>
      </c>
      <c r="D1642">
        <v>55</v>
      </c>
      <c r="E1642">
        <v>55</v>
      </c>
      <c r="F1642" t="s">
        <v>1639</v>
      </c>
      <c r="G1642" t="s">
        <v>1587</v>
      </c>
      <c r="H1642" t="s">
        <v>1587</v>
      </c>
      <c r="I1642">
        <v>9797</v>
      </c>
      <c r="J1642" t="s">
        <v>2249</v>
      </c>
      <c r="K1642">
        <v>1</v>
      </c>
      <c r="L1642">
        <v>0</v>
      </c>
      <c r="M1642">
        <v>0</v>
      </c>
      <c r="N1642">
        <v>0</v>
      </c>
      <c r="O1642" t="s">
        <v>1594</v>
      </c>
      <c r="P1642" t="s">
        <v>1584</v>
      </c>
      <c r="Q1642" t="s">
        <v>1591</v>
      </c>
      <c r="R1642">
        <v>0</v>
      </c>
      <c r="S1642">
        <v>0</v>
      </c>
      <c r="T1642" t="s">
        <v>1584</v>
      </c>
      <c r="U1642" t="s">
        <v>1592</v>
      </c>
      <c r="V1642" t="str" cm="1">
        <f t="array" aca="1" ref="V1642" ca="1">IFERROR(_xlfn.IFS(A1640="  ..............",OFFSET(A1640,2,0),A1639=" X-------------X",OFFSET(A1639,3,0),MATCH("  ..............",A1642:A1651,0)&gt;2,V1641),"-")</f>
        <v>-</v>
      </c>
      <c r="W1642" t="str">
        <f t="shared" ca="1" si="75"/>
        <v>-</v>
      </c>
      <c r="X1642" t="str">
        <f t="shared" ca="1" si="76"/>
        <v>-</v>
      </c>
      <c r="Y1642" s="1" t="str">
        <f t="shared" ca="1" si="77"/>
        <v>-</v>
      </c>
    </row>
    <row r="1643" spans="1:25" x14ac:dyDescent="0.25">
      <c r="A1643" t="s">
        <v>1572</v>
      </c>
      <c r="B1643" t="s">
        <v>1574</v>
      </c>
      <c r="C1643" t="s">
        <v>1574</v>
      </c>
      <c r="D1643" t="s">
        <v>1574</v>
      </c>
      <c r="E1643" t="s">
        <v>1574</v>
      </c>
      <c r="F1643" t="s">
        <v>1575</v>
      </c>
      <c r="G1643" t="s">
        <v>1574</v>
      </c>
      <c r="H1643" t="s">
        <v>1574</v>
      </c>
      <c r="I1643" t="s">
        <v>1576</v>
      </c>
      <c r="J1643" t="s">
        <v>1573</v>
      </c>
      <c r="K1643" t="s">
        <v>1577</v>
      </c>
      <c r="L1643" t="s">
        <v>1574</v>
      </c>
      <c r="M1643" t="s">
        <v>1574</v>
      </c>
      <c r="N1643" t="s">
        <v>1574</v>
      </c>
      <c r="O1643" t="s">
        <v>1578</v>
      </c>
      <c r="P1643" t="s">
        <v>1576</v>
      </c>
      <c r="Q1643" t="s">
        <v>1579</v>
      </c>
      <c r="R1643" t="s">
        <v>1580</v>
      </c>
      <c r="S1643" t="s">
        <v>1580</v>
      </c>
      <c r="T1643" t="s">
        <v>1576</v>
      </c>
      <c r="U1643" t="s">
        <v>1576</v>
      </c>
      <c r="V1643" t="str" cm="1">
        <f t="array" aca="1" ref="V1643" ca="1">IFERROR(_xlfn.IFS(A1641="  ..............",OFFSET(A1641,2,0),A1640=" X-------------X",OFFSET(A1640,3,0),MATCH("  ..............",A1643:A1652,0)&gt;2,V1642),"-")</f>
        <v>-</v>
      </c>
      <c r="W1643" t="str">
        <f t="shared" ca="1" si="75"/>
        <v>-</v>
      </c>
      <c r="X1643" t="str">
        <f t="shared" ca="1" si="76"/>
        <v/>
      </c>
      <c r="Y1643" s="1" t="str">
        <f t="shared" ca="1" si="77"/>
        <v/>
      </c>
    </row>
    <row r="1644" spans="1:25" x14ac:dyDescent="0.25">
      <c r="A1644" t="s">
        <v>2715</v>
      </c>
      <c r="B1644">
        <v>1.028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 t="s">
        <v>1581</v>
      </c>
      <c r="J1644" t="s">
        <v>1581</v>
      </c>
      <c r="K1644" t="s">
        <v>1581</v>
      </c>
      <c r="L1644" t="s">
        <v>1581</v>
      </c>
      <c r="M1644" t="s">
        <v>1581</v>
      </c>
      <c r="N1644" t="s">
        <v>1581</v>
      </c>
      <c r="O1644" t="s">
        <v>1581</v>
      </c>
      <c r="P1644" t="s">
        <v>1581</v>
      </c>
      <c r="Q1644" t="s">
        <v>1581</v>
      </c>
      <c r="R1644" t="s">
        <v>1581</v>
      </c>
      <c r="S1644" t="s">
        <v>1581</v>
      </c>
      <c r="T1644" t="s">
        <v>1581</v>
      </c>
      <c r="U1644" t="s">
        <v>1581</v>
      </c>
      <c r="V1644" t="str" cm="1">
        <f t="array" aca="1" ref="V1644" ca="1">IFERROR(_xlfn.IFS(A1642="  ..............",OFFSET(A1642,2,0),A1641=" X-------------X",OFFSET(A1641,3,0),MATCH("  ..............",A1644:A1653,0)&gt;2,V1643),"-")</f>
        <v>-</v>
      </c>
      <c r="W1644" t="str">
        <f t="shared" ca="1" si="75"/>
        <v>-</v>
      </c>
      <c r="X1644" t="str">
        <f t="shared" ca="1" si="76"/>
        <v xml:space="preserve">              </v>
      </c>
      <c r="Y1644" s="1">
        <f t="shared" ca="1" si="77"/>
        <v>0</v>
      </c>
    </row>
    <row r="1645" spans="1:25" x14ac:dyDescent="0.25">
      <c r="A1645" t="s">
        <v>2716</v>
      </c>
      <c r="B1645">
        <v>-54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 t="s">
        <v>1584</v>
      </c>
      <c r="J1645" t="s">
        <v>1585</v>
      </c>
      <c r="K1645" t="s">
        <v>1586</v>
      </c>
      <c r="L1645" t="s">
        <v>1587</v>
      </c>
      <c r="M1645" t="s">
        <v>1587</v>
      </c>
      <c r="N1645" t="s">
        <v>1586</v>
      </c>
      <c r="O1645" t="s">
        <v>1581</v>
      </c>
      <c r="P1645" t="s">
        <v>1581</v>
      </c>
      <c r="Q1645" t="s">
        <v>1581</v>
      </c>
      <c r="R1645" t="s">
        <v>1581</v>
      </c>
      <c r="S1645" t="s">
        <v>1581</v>
      </c>
      <c r="T1645" t="s">
        <v>1581</v>
      </c>
      <c r="U1645" t="s">
        <v>1581</v>
      </c>
      <c r="V1645" t="str" cm="1">
        <f t="array" aca="1" ref="V1645" ca="1">IFERROR(_xlfn.IFS(A1643="  ..............",OFFSET(A1643,2,0),A1642=" X-------------X",OFFSET(A1642,3,0),MATCH("  ..............",A1645:A1654,0)&gt;2,V1644),"-")</f>
        <v xml:space="preserve">  LAJEA3-RS069  </v>
      </c>
      <c r="W1645">
        <f t="shared" ca="1" si="75"/>
        <v>1.028</v>
      </c>
      <c r="X1645" t="str">
        <f t="shared" ca="1" si="76"/>
        <v xml:space="preserve"> CERTE2-RS069 </v>
      </c>
      <c r="Y1645" s="1">
        <f t="shared" ca="1" si="77"/>
        <v>0.19400000000000001</v>
      </c>
    </row>
    <row r="1646" spans="1:25" x14ac:dyDescent="0.25">
      <c r="A1646" t="s">
        <v>1588</v>
      </c>
      <c r="B1646" t="s">
        <v>1587</v>
      </c>
      <c r="C1646">
        <v>68</v>
      </c>
      <c r="D1646">
        <v>68</v>
      </c>
      <c r="E1646">
        <v>68</v>
      </c>
      <c r="F1646" s="1">
        <v>0.19400000000000001</v>
      </c>
      <c r="G1646" t="s">
        <v>1587</v>
      </c>
      <c r="H1646" t="s">
        <v>1587</v>
      </c>
      <c r="I1646">
        <v>9798</v>
      </c>
      <c r="J1646" t="s">
        <v>2717</v>
      </c>
      <c r="K1646">
        <v>1</v>
      </c>
      <c r="L1646">
        <v>13.2</v>
      </c>
      <c r="M1646">
        <v>3</v>
      </c>
      <c r="N1646">
        <v>13.2</v>
      </c>
      <c r="O1646" t="s">
        <v>1594</v>
      </c>
      <c r="P1646" t="s">
        <v>1584</v>
      </c>
      <c r="Q1646" t="s">
        <v>1591</v>
      </c>
      <c r="R1646">
        <v>0.04</v>
      </c>
      <c r="S1646">
        <v>-0.02</v>
      </c>
      <c r="T1646" t="s">
        <v>1584</v>
      </c>
      <c r="U1646" t="s">
        <v>1592</v>
      </c>
      <c r="V1646" t="str" cm="1">
        <f t="array" aca="1" ref="V1646" ca="1">IFERROR(_xlfn.IFS(A1644="  ..............",OFFSET(A1644,2,0),A1643=" X-------------X",OFFSET(A1643,3,0),MATCH("  ..............",A1646:A1655,0)&gt;2,V1645),"-")</f>
        <v xml:space="preserve">  LAJEA3-RS069  </v>
      </c>
      <c r="W1646">
        <f t="shared" ca="1" si="75"/>
        <v>1.028</v>
      </c>
      <c r="X1646" t="str">
        <f t="shared" ca="1" si="76"/>
        <v xml:space="preserve"> CERTE2-RS069 </v>
      </c>
      <c r="Y1646" s="1">
        <f t="shared" ca="1" si="77"/>
        <v>0.19400000000000001</v>
      </c>
    </row>
    <row r="1647" spans="1:25" x14ac:dyDescent="0.25">
      <c r="A1647" t="s">
        <v>1588</v>
      </c>
      <c r="B1647" t="s">
        <v>1587</v>
      </c>
      <c r="C1647">
        <v>68</v>
      </c>
      <c r="D1647">
        <v>68</v>
      </c>
      <c r="E1647">
        <v>68</v>
      </c>
      <c r="F1647" s="1">
        <v>0.193</v>
      </c>
      <c r="G1647" t="s">
        <v>1587</v>
      </c>
      <c r="H1647" t="s">
        <v>1587</v>
      </c>
      <c r="I1647">
        <v>9798</v>
      </c>
      <c r="J1647" t="s">
        <v>2717</v>
      </c>
      <c r="K1647">
        <v>2</v>
      </c>
      <c r="L1647">
        <v>13.1</v>
      </c>
      <c r="M1647">
        <v>3</v>
      </c>
      <c r="N1647">
        <v>13.1</v>
      </c>
      <c r="O1647" t="s">
        <v>1594</v>
      </c>
      <c r="P1647" t="s">
        <v>1584</v>
      </c>
      <c r="Q1647" t="s">
        <v>1591</v>
      </c>
      <c r="R1647">
        <v>0.04</v>
      </c>
      <c r="S1647">
        <v>-0.02</v>
      </c>
      <c r="T1647" t="s">
        <v>1584</v>
      </c>
      <c r="U1647" t="s">
        <v>1592</v>
      </c>
      <c r="V1647" t="str" cm="1">
        <f t="array" aca="1" ref="V1647" ca="1">IFERROR(_xlfn.IFS(A1645="  ..............",OFFSET(A1645,2,0),A1644=" X-------------X",OFFSET(A1644,3,0),MATCH("  ..............",A1647:A1656,0)&gt;2,V1646),"-")</f>
        <v xml:space="preserve">  LAJEA3-RS069  </v>
      </c>
      <c r="W1647">
        <f t="shared" ca="1" si="75"/>
        <v>1.028</v>
      </c>
      <c r="X1647" t="str">
        <f t="shared" ca="1" si="76"/>
        <v xml:space="preserve"> CERTE1-RS069 </v>
      </c>
      <c r="Y1647" s="1">
        <f t="shared" ca="1" si="77"/>
        <v>0.38700000000000001</v>
      </c>
    </row>
    <row r="1648" spans="1:25" x14ac:dyDescent="0.25">
      <c r="A1648" t="s">
        <v>1588</v>
      </c>
      <c r="B1648" t="s">
        <v>1587</v>
      </c>
      <c r="C1648">
        <v>68</v>
      </c>
      <c r="D1648">
        <v>68</v>
      </c>
      <c r="E1648">
        <v>68</v>
      </c>
      <c r="F1648" s="1">
        <v>0.38700000000000001</v>
      </c>
      <c r="G1648" t="s">
        <v>1587</v>
      </c>
      <c r="H1648" t="s">
        <v>1587</v>
      </c>
      <c r="I1648">
        <v>10255</v>
      </c>
      <c r="J1648" t="s">
        <v>2718</v>
      </c>
      <c r="K1648">
        <v>1</v>
      </c>
      <c r="L1648">
        <v>26.8</v>
      </c>
      <c r="M1648">
        <v>3.7</v>
      </c>
      <c r="N1648">
        <v>26.3</v>
      </c>
      <c r="O1648" t="s">
        <v>1594</v>
      </c>
      <c r="P1648" t="s">
        <v>1584</v>
      </c>
      <c r="Q1648" t="s">
        <v>1591</v>
      </c>
      <c r="R1648">
        <v>0.2</v>
      </c>
      <c r="S1648">
        <v>0.49</v>
      </c>
      <c r="T1648" t="s">
        <v>1584</v>
      </c>
      <c r="U1648" t="s">
        <v>1592</v>
      </c>
      <c r="V1648" t="str" cm="1">
        <f t="array" aca="1" ref="V1648" ca="1">IFERROR(_xlfn.IFS(A1646="  ..............",OFFSET(A1646,2,0),A1645=" X-------------X",OFFSET(A1645,3,0),MATCH("  ..............",A1648:A1657,0)&gt;2,V1647),"-")</f>
        <v xml:space="preserve">  LAJEA3-RS069  </v>
      </c>
      <c r="W1648">
        <f t="shared" ca="1" si="75"/>
        <v>1.028</v>
      </c>
      <c r="X1648" t="str">
        <f t="shared" ca="1" si="76"/>
        <v xml:space="preserve"> CERTE1-RS069 </v>
      </c>
      <c r="Y1648" s="1">
        <f t="shared" ca="1" si="77"/>
        <v>0.38700000000000001</v>
      </c>
    </row>
    <row r="1649" spans="1:25" x14ac:dyDescent="0.25">
      <c r="A1649" t="s">
        <v>1588</v>
      </c>
      <c r="B1649" t="s">
        <v>1587</v>
      </c>
      <c r="C1649">
        <v>68</v>
      </c>
      <c r="D1649">
        <v>68</v>
      </c>
      <c r="E1649">
        <v>68</v>
      </c>
      <c r="F1649" s="1">
        <v>0.38700000000000001</v>
      </c>
      <c r="G1649" t="s">
        <v>1587</v>
      </c>
      <c r="H1649" t="s">
        <v>1587</v>
      </c>
      <c r="I1649">
        <v>10255</v>
      </c>
      <c r="J1649" t="s">
        <v>2718</v>
      </c>
      <c r="K1649">
        <v>2</v>
      </c>
      <c r="L1649">
        <v>26.8</v>
      </c>
      <c r="M1649">
        <v>3.7</v>
      </c>
      <c r="N1649">
        <v>26.3</v>
      </c>
      <c r="O1649" t="s">
        <v>1594</v>
      </c>
      <c r="P1649" t="s">
        <v>1584</v>
      </c>
      <c r="Q1649" t="s">
        <v>1591</v>
      </c>
      <c r="R1649">
        <v>0.2</v>
      </c>
      <c r="S1649">
        <v>0.49</v>
      </c>
      <c r="T1649" t="s">
        <v>1584</v>
      </c>
      <c r="U1649" t="s">
        <v>1592</v>
      </c>
      <c r="V1649" t="str" cm="1">
        <f t="array" aca="1" ref="V1649" ca="1">IFERROR(_xlfn.IFS(A1647="  ..............",OFFSET(A1647,2,0),A1646=" X-------------X",OFFSET(A1646,3,0),MATCH("  ..............",A1649:A1658,0)&gt;2,V1648),"-")</f>
        <v xml:space="preserve">  LAJEA3-RS069  </v>
      </c>
      <c r="W1649">
        <f t="shared" ca="1" si="75"/>
        <v>1.028</v>
      </c>
      <c r="X1649" t="str">
        <f t="shared" ca="1" si="76"/>
        <v xml:space="preserve"> LAJ3-1-RS000 </v>
      </c>
      <c r="Y1649" s="1">
        <f t="shared" ca="1" si="77"/>
        <v>0</v>
      </c>
    </row>
    <row r="1650" spans="1:25" x14ac:dyDescent="0.25">
      <c r="A1650" t="s">
        <v>1588</v>
      </c>
      <c r="B1650" t="s">
        <v>1587</v>
      </c>
      <c r="C1650">
        <v>9999</v>
      </c>
      <c r="D1650">
        <v>9999</v>
      </c>
      <c r="E1650">
        <v>9999</v>
      </c>
      <c r="F1650" s="1">
        <v>0</v>
      </c>
      <c r="G1650" t="s">
        <v>1587</v>
      </c>
      <c r="H1650" t="s">
        <v>1587</v>
      </c>
      <c r="I1650">
        <v>43185</v>
      </c>
      <c r="J1650" t="s">
        <v>2719</v>
      </c>
      <c r="K1650">
        <v>1</v>
      </c>
      <c r="L1650">
        <v>-26.6</v>
      </c>
      <c r="M1650">
        <v>-4.5</v>
      </c>
      <c r="N1650">
        <v>26.3</v>
      </c>
      <c r="O1650" t="s">
        <v>1608</v>
      </c>
      <c r="P1650" t="s">
        <v>1584</v>
      </c>
      <c r="Q1650">
        <v>2</v>
      </c>
      <c r="R1650">
        <v>0.01</v>
      </c>
      <c r="S1650">
        <v>-0.09</v>
      </c>
      <c r="T1650" t="s">
        <v>1584</v>
      </c>
      <c r="U1650" t="s">
        <v>1592</v>
      </c>
      <c r="V1650" t="str" cm="1">
        <f t="array" aca="1" ref="V1650" ca="1">IFERROR(_xlfn.IFS(A1648="  ..............",OFFSET(A1648,2,0),A1647=" X-------------X",OFFSET(A1647,3,0),MATCH("  ..............",A1650:A1659,0)&gt;2,V1649),"-")</f>
        <v xml:space="preserve">  LAJEA3-RS069  </v>
      </c>
      <c r="W1650">
        <f t="shared" ca="1" si="75"/>
        <v>1.028</v>
      </c>
      <c r="X1650" t="str">
        <f t="shared" ca="1" si="76"/>
        <v xml:space="preserve"> LAJ3-2-RS000 </v>
      </c>
      <c r="Y1650" s="1">
        <f t="shared" ca="1" si="77"/>
        <v>0</v>
      </c>
    </row>
    <row r="1651" spans="1:25" x14ac:dyDescent="0.25">
      <c r="A1651" t="s">
        <v>1588</v>
      </c>
      <c r="B1651" t="s">
        <v>1587</v>
      </c>
      <c r="C1651">
        <v>9999</v>
      </c>
      <c r="D1651">
        <v>9999</v>
      </c>
      <c r="E1651">
        <v>9999</v>
      </c>
      <c r="F1651" s="1">
        <v>0</v>
      </c>
      <c r="G1651" t="s">
        <v>1587</v>
      </c>
      <c r="H1651" t="s">
        <v>1587</v>
      </c>
      <c r="I1651">
        <v>43187</v>
      </c>
      <c r="J1651" t="s">
        <v>2720</v>
      </c>
      <c r="K1651">
        <v>2</v>
      </c>
      <c r="L1651">
        <v>-26.7</v>
      </c>
      <c r="M1651">
        <v>-4.5</v>
      </c>
      <c r="N1651">
        <v>26.3</v>
      </c>
      <c r="O1651" t="s">
        <v>1608</v>
      </c>
      <c r="P1651" t="s">
        <v>1584</v>
      </c>
      <c r="Q1651">
        <v>2</v>
      </c>
      <c r="R1651">
        <v>0.01</v>
      </c>
      <c r="S1651">
        <v>-0.09</v>
      </c>
      <c r="T1651" t="s">
        <v>1584</v>
      </c>
      <c r="U1651" t="s">
        <v>1592</v>
      </c>
      <c r="V1651" t="str" cm="1">
        <f t="array" aca="1" ref="V1651" ca="1">IFERROR(_xlfn.IFS(A1649="  ..............",OFFSET(A1649,2,0),A1648=" X-------------X",OFFSET(A1648,3,0),MATCH("  ..............",A1651:A1660,0)&gt;2,V1650),"-")</f>
        <v xml:space="preserve">  LAJEA3-RS069  </v>
      </c>
      <c r="W1651">
        <f t="shared" ca="1" si="75"/>
        <v>1.028</v>
      </c>
      <c r="X1651" t="str">
        <f t="shared" ca="1" si="76"/>
        <v xml:space="preserve"> LAJ3-3-RS000 </v>
      </c>
      <c r="Y1651" s="1">
        <f t="shared" ca="1" si="77"/>
        <v>0.317</v>
      </c>
    </row>
    <row r="1652" spans="1:25" x14ac:dyDescent="0.25">
      <c r="A1652" t="s">
        <v>1588</v>
      </c>
      <c r="B1652" t="s">
        <v>1587</v>
      </c>
      <c r="C1652">
        <v>83</v>
      </c>
      <c r="D1652">
        <v>100</v>
      </c>
      <c r="E1652">
        <v>100</v>
      </c>
      <c r="F1652" s="1">
        <v>0.317</v>
      </c>
      <c r="G1652" t="s">
        <v>1587</v>
      </c>
      <c r="H1652" t="s">
        <v>1587</v>
      </c>
      <c r="I1652">
        <v>43499</v>
      </c>
      <c r="J1652" t="s">
        <v>2721</v>
      </c>
      <c r="K1652">
        <v>3</v>
      </c>
      <c r="L1652">
        <v>-26.7</v>
      </c>
      <c r="M1652">
        <v>-4.5</v>
      </c>
      <c r="N1652">
        <v>26.3</v>
      </c>
      <c r="O1652" t="s">
        <v>1608</v>
      </c>
      <c r="P1652" t="s">
        <v>1584</v>
      </c>
      <c r="Q1652">
        <v>2</v>
      </c>
      <c r="R1652">
        <v>0.01</v>
      </c>
      <c r="S1652">
        <v>-0.09</v>
      </c>
      <c r="T1652" t="s">
        <v>1584</v>
      </c>
      <c r="U1652" t="s">
        <v>1592</v>
      </c>
      <c r="V1652" t="str" cm="1">
        <f t="array" aca="1" ref="V1652" ca="1">IFERROR(_xlfn.IFS(A1650="  ..............",OFFSET(A1650,2,0),A1649=" X-------------X",OFFSET(A1649,3,0),MATCH("  ..............",A1652:A1661,0)&gt;2,V1651),"-")</f>
        <v>-</v>
      </c>
      <c r="W1652" t="str">
        <f t="shared" ca="1" si="75"/>
        <v>-</v>
      </c>
      <c r="X1652" t="str">
        <f t="shared" ca="1" si="76"/>
        <v>-</v>
      </c>
      <c r="Y1652" s="1" t="str">
        <f t="shared" ca="1" si="77"/>
        <v>-</v>
      </c>
    </row>
    <row r="1653" spans="1:25" x14ac:dyDescent="0.25">
      <c r="A1653" t="s">
        <v>1572</v>
      </c>
      <c r="B1653" t="s">
        <v>1574</v>
      </c>
      <c r="C1653" t="s">
        <v>1574</v>
      </c>
      <c r="D1653" t="s">
        <v>1574</v>
      </c>
      <c r="E1653" t="s">
        <v>1574</v>
      </c>
      <c r="F1653" t="s">
        <v>1575</v>
      </c>
      <c r="G1653" t="s">
        <v>1574</v>
      </c>
      <c r="H1653" t="s">
        <v>1574</v>
      </c>
      <c r="I1653" t="s">
        <v>1576</v>
      </c>
      <c r="J1653" t="s">
        <v>1573</v>
      </c>
      <c r="K1653" t="s">
        <v>1577</v>
      </c>
      <c r="L1653" t="s">
        <v>1574</v>
      </c>
      <c r="M1653" t="s">
        <v>1574</v>
      </c>
      <c r="N1653" t="s">
        <v>1574</v>
      </c>
      <c r="O1653" t="s">
        <v>1578</v>
      </c>
      <c r="P1653" t="s">
        <v>1576</v>
      </c>
      <c r="Q1653" t="s">
        <v>1579</v>
      </c>
      <c r="R1653" t="s">
        <v>1580</v>
      </c>
      <c r="S1653" t="s">
        <v>1580</v>
      </c>
      <c r="T1653" t="s">
        <v>1576</v>
      </c>
      <c r="U1653" t="s">
        <v>1576</v>
      </c>
      <c r="V1653" t="str" cm="1">
        <f t="array" aca="1" ref="V1653" ca="1">IFERROR(_xlfn.IFS(A1651="  ..............",OFFSET(A1651,2,0),A1650=" X-------------X",OFFSET(A1650,3,0),MATCH("  ..............",A1653:A1662,0)&gt;2,V1652),"-")</f>
        <v>-</v>
      </c>
      <c r="W1653" t="str">
        <f t="shared" ca="1" si="75"/>
        <v>-</v>
      </c>
      <c r="X1653" t="str">
        <f t="shared" ca="1" si="76"/>
        <v/>
      </c>
      <c r="Y1653" s="1" t="str">
        <f t="shared" ca="1" si="77"/>
        <v/>
      </c>
    </row>
    <row r="1654" spans="1:25" x14ac:dyDescent="0.25">
      <c r="A1654" t="s">
        <v>2722</v>
      </c>
      <c r="B1654">
        <v>0.95299999999999996</v>
      </c>
      <c r="C1654">
        <v>6.5</v>
      </c>
      <c r="D1654">
        <v>0</v>
      </c>
      <c r="E1654">
        <v>36.9</v>
      </c>
      <c r="F1654">
        <v>0</v>
      </c>
      <c r="G1654">
        <v>9.8000000000000007</v>
      </c>
      <c r="H1654">
        <v>0</v>
      </c>
      <c r="I1654" t="s">
        <v>1581</v>
      </c>
      <c r="J1654" t="s">
        <v>1581</v>
      </c>
      <c r="K1654" t="s">
        <v>1581</v>
      </c>
      <c r="L1654" t="s">
        <v>1581</v>
      </c>
      <c r="M1654" t="s">
        <v>1581</v>
      </c>
      <c r="N1654" t="s">
        <v>1581</v>
      </c>
      <c r="O1654" t="s">
        <v>1581</v>
      </c>
      <c r="P1654" t="s">
        <v>1581</v>
      </c>
      <c r="Q1654" t="s">
        <v>1581</v>
      </c>
      <c r="R1654" t="s">
        <v>1581</v>
      </c>
      <c r="S1654" t="s">
        <v>1581</v>
      </c>
      <c r="T1654" t="s">
        <v>1581</v>
      </c>
      <c r="U1654" t="s">
        <v>1581</v>
      </c>
      <c r="V1654" t="str" cm="1">
        <f t="array" aca="1" ref="V1654" ca="1">IFERROR(_xlfn.IFS(A1652="  ..............",OFFSET(A1652,2,0),A1651=" X-------------X",OFFSET(A1651,3,0),MATCH("  ..............",A1654:A1663,0)&gt;2,V1653),"-")</f>
        <v>-</v>
      </c>
      <c r="W1654" t="str">
        <f t="shared" ca="1" si="75"/>
        <v>-</v>
      </c>
      <c r="X1654" t="str">
        <f t="shared" ca="1" si="76"/>
        <v xml:space="preserve">              </v>
      </c>
      <c r="Y1654" s="1">
        <f t="shared" ca="1" si="77"/>
        <v>0</v>
      </c>
    </row>
    <row r="1655" spans="1:25" x14ac:dyDescent="0.25">
      <c r="A1655" t="s">
        <v>2723</v>
      </c>
      <c r="B1655">
        <v>-62.4</v>
      </c>
      <c r="C1655">
        <v>0</v>
      </c>
      <c r="D1655">
        <v>0</v>
      </c>
      <c r="E1655">
        <v>12.7</v>
      </c>
      <c r="F1655">
        <v>0</v>
      </c>
      <c r="G1655">
        <v>0</v>
      </c>
      <c r="H1655">
        <v>0</v>
      </c>
      <c r="I1655" t="s">
        <v>1584</v>
      </c>
      <c r="J1655" t="s">
        <v>1585</v>
      </c>
      <c r="K1655" t="s">
        <v>1586</v>
      </c>
      <c r="L1655" t="s">
        <v>1587</v>
      </c>
      <c r="M1655" t="s">
        <v>1587</v>
      </c>
      <c r="N1655" t="s">
        <v>1586</v>
      </c>
      <c r="O1655" t="s">
        <v>1581</v>
      </c>
      <c r="P1655" t="s">
        <v>1581</v>
      </c>
      <c r="Q1655" t="s">
        <v>1581</v>
      </c>
      <c r="R1655" t="s">
        <v>1581</v>
      </c>
      <c r="S1655" t="s">
        <v>1581</v>
      </c>
      <c r="T1655" t="s">
        <v>1581</v>
      </c>
      <c r="U1655" t="s">
        <v>1581</v>
      </c>
      <c r="V1655" t="str" cm="1">
        <f t="array" aca="1" ref="V1655" ca="1">IFERROR(_xlfn.IFS(A1653="  ..............",OFFSET(A1653,2,0),A1652=" X-------------X",OFFSET(A1652,3,0),MATCH("  ..............",A1655:A1664,0)&gt;2,V1654),"-")</f>
        <v xml:space="preserve">  ENCANT-RS069  </v>
      </c>
      <c r="W1655">
        <f t="shared" ca="1" si="75"/>
        <v>0.95299999999999996</v>
      </c>
      <c r="X1655" t="str">
        <f t="shared" ca="1" si="76"/>
        <v xml:space="preserve"> ROCSAL-RS069 </v>
      </c>
      <c r="Y1655" s="1">
        <f t="shared" ca="1" si="77"/>
        <v>0.69599999999999995</v>
      </c>
    </row>
    <row r="1656" spans="1:25" x14ac:dyDescent="0.25">
      <c r="A1656" t="s">
        <v>1588</v>
      </c>
      <c r="B1656" t="s">
        <v>1587</v>
      </c>
      <c r="C1656">
        <v>46</v>
      </c>
      <c r="D1656">
        <v>55</v>
      </c>
      <c r="E1656">
        <v>55</v>
      </c>
      <c r="F1656" s="1">
        <v>0.69599999999999995</v>
      </c>
      <c r="G1656" t="s">
        <v>1587</v>
      </c>
      <c r="H1656" t="s">
        <v>1587</v>
      </c>
      <c r="I1656">
        <v>9796</v>
      </c>
      <c r="J1656" t="s">
        <v>2724</v>
      </c>
      <c r="K1656">
        <v>1</v>
      </c>
      <c r="L1656">
        <v>-30.4</v>
      </c>
      <c r="M1656">
        <v>-2.9</v>
      </c>
      <c r="N1656">
        <v>32</v>
      </c>
      <c r="O1656" t="s">
        <v>1594</v>
      </c>
      <c r="P1656" t="s">
        <v>1584</v>
      </c>
      <c r="Q1656" t="s">
        <v>1591</v>
      </c>
      <c r="R1656">
        <v>0.69</v>
      </c>
      <c r="S1656">
        <v>0.97</v>
      </c>
      <c r="T1656" t="s">
        <v>1584</v>
      </c>
      <c r="U1656" t="s">
        <v>1592</v>
      </c>
      <c r="V1656" t="str" cm="1">
        <f t="array" aca="1" ref="V1656" ca="1">IFERROR(_xlfn.IFS(A1654="  ..............",OFFSET(A1654,2,0),A1653=" X-------------X",OFFSET(A1653,3,0),MATCH("  ..............",A1656:A1665,0)&gt;2,V1655),"-")</f>
        <v>-</v>
      </c>
      <c r="W1656" t="str">
        <f t="shared" ca="1" si="75"/>
        <v>-</v>
      </c>
      <c r="X1656" t="str">
        <f t="shared" ca="1" si="76"/>
        <v>-</v>
      </c>
      <c r="Y1656" s="1" t="str">
        <f t="shared" ca="1" si="77"/>
        <v>-</v>
      </c>
    </row>
    <row r="1657" spans="1:25" x14ac:dyDescent="0.25">
      <c r="A1657" t="s">
        <v>1572</v>
      </c>
      <c r="B1657" t="s">
        <v>1574</v>
      </c>
      <c r="C1657" t="s">
        <v>1574</v>
      </c>
      <c r="D1657" t="s">
        <v>1574</v>
      </c>
      <c r="E1657" t="s">
        <v>1574</v>
      </c>
      <c r="F1657" t="s">
        <v>1575</v>
      </c>
      <c r="G1657" t="s">
        <v>1574</v>
      </c>
      <c r="H1657" t="s">
        <v>1574</v>
      </c>
      <c r="I1657" t="s">
        <v>1576</v>
      </c>
      <c r="J1657" t="s">
        <v>1573</v>
      </c>
      <c r="K1657" t="s">
        <v>1577</v>
      </c>
      <c r="L1657" t="s">
        <v>1574</v>
      </c>
      <c r="M1657" t="s">
        <v>1574</v>
      </c>
      <c r="N1657" t="s">
        <v>1574</v>
      </c>
      <c r="O1657" t="s">
        <v>1578</v>
      </c>
      <c r="P1657" t="s">
        <v>1576</v>
      </c>
      <c r="Q1657" t="s">
        <v>1579</v>
      </c>
      <c r="R1657" t="s">
        <v>1580</v>
      </c>
      <c r="S1657" t="s">
        <v>1580</v>
      </c>
      <c r="T1657" t="s">
        <v>1576</v>
      </c>
      <c r="U1657" t="s">
        <v>1576</v>
      </c>
      <c r="V1657" t="str" cm="1">
        <f t="array" aca="1" ref="V1657" ca="1">IFERROR(_xlfn.IFS(A1655="  ..............",OFFSET(A1655,2,0),A1654=" X-------------X",OFFSET(A1654,3,0),MATCH("  ..............",A1657:A1666,0)&gt;2,V1656),"-")</f>
        <v>-</v>
      </c>
      <c r="W1657" t="str">
        <f t="shared" ca="1" si="75"/>
        <v>-</v>
      </c>
      <c r="X1657" t="str">
        <f t="shared" ca="1" si="76"/>
        <v/>
      </c>
      <c r="Y1657" s="1" t="str">
        <f t="shared" ca="1" si="77"/>
        <v/>
      </c>
    </row>
    <row r="1658" spans="1:25" x14ac:dyDescent="0.25">
      <c r="A1658" t="s">
        <v>2725</v>
      </c>
      <c r="B1658">
        <v>0.97899999999999998</v>
      </c>
      <c r="C1658">
        <v>1.3</v>
      </c>
      <c r="D1658">
        <v>0</v>
      </c>
      <c r="E1658">
        <v>8.9</v>
      </c>
      <c r="F1658">
        <v>0</v>
      </c>
      <c r="G1658">
        <v>3.4</v>
      </c>
      <c r="H1658">
        <v>0</v>
      </c>
      <c r="I1658" t="s">
        <v>1581</v>
      </c>
      <c r="J1658" t="s">
        <v>1581</v>
      </c>
      <c r="K1658" t="s">
        <v>1581</v>
      </c>
      <c r="L1658" t="s">
        <v>1581</v>
      </c>
      <c r="M1658" t="s">
        <v>1581</v>
      </c>
      <c r="N1658" t="s">
        <v>1581</v>
      </c>
      <c r="O1658" t="s">
        <v>1581</v>
      </c>
      <c r="P1658" t="s">
        <v>1581</v>
      </c>
      <c r="Q1658" t="s">
        <v>1581</v>
      </c>
      <c r="R1658" t="s">
        <v>1581</v>
      </c>
      <c r="S1658" t="s">
        <v>1581</v>
      </c>
      <c r="T1658" t="s">
        <v>1581</v>
      </c>
      <c r="U1658" t="s">
        <v>1581</v>
      </c>
      <c r="V1658" t="str" cm="1">
        <f t="array" aca="1" ref="V1658" ca="1">IFERROR(_xlfn.IFS(A1656="  ..............",OFFSET(A1656,2,0),A1655=" X-------------X",OFFSET(A1655,3,0),MATCH("  ..............",A1658:A1667,0)&gt;2,V1657),"-")</f>
        <v>-</v>
      </c>
      <c r="W1658" t="str">
        <f t="shared" ca="1" si="75"/>
        <v>-</v>
      </c>
      <c r="X1658" t="str">
        <f t="shared" ca="1" si="76"/>
        <v xml:space="preserve">              </v>
      </c>
      <c r="Y1658" s="1">
        <f t="shared" ca="1" si="77"/>
        <v>0</v>
      </c>
    </row>
    <row r="1659" spans="1:25" x14ac:dyDescent="0.25">
      <c r="A1659" t="s">
        <v>2726</v>
      </c>
      <c r="B1659">
        <v>-60.5</v>
      </c>
      <c r="C1659">
        <v>0</v>
      </c>
      <c r="D1659">
        <v>0</v>
      </c>
      <c r="E1659">
        <v>2.2000000000000002</v>
      </c>
      <c r="F1659">
        <v>0</v>
      </c>
      <c r="G1659">
        <v>0</v>
      </c>
      <c r="H1659">
        <v>0</v>
      </c>
      <c r="I1659" t="s">
        <v>1584</v>
      </c>
      <c r="J1659" t="s">
        <v>1585</v>
      </c>
      <c r="K1659" t="s">
        <v>1586</v>
      </c>
      <c r="L1659" t="s">
        <v>1587</v>
      </c>
      <c r="M1659" t="s">
        <v>1587</v>
      </c>
      <c r="N1659" t="s">
        <v>1586</v>
      </c>
      <c r="O1659" t="s">
        <v>1581</v>
      </c>
      <c r="P1659" t="s">
        <v>1581</v>
      </c>
      <c r="Q1659" t="s">
        <v>1581</v>
      </c>
      <c r="R1659" t="s">
        <v>1581</v>
      </c>
      <c r="S1659" t="s">
        <v>1581</v>
      </c>
      <c r="T1659" t="s">
        <v>1581</v>
      </c>
      <c r="U1659" t="s">
        <v>1581</v>
      </c>
      <c r="V1659" t="str" cm="1">
        <f t="array" aca="1" ref="V1659" ca="1">IFERROR(_xlfn.IFS(A1657="  ..............",OFFSET(A1657,2,0),A1656=" X-------------X",OFFSET(A1656,3,0),MATCH("  ..............",A1659:A1668,0)&gt;2,V1658),"-")</f>
        <v xml:space="preserve">  ROCSAL-RS069  </v>
      </c>
      <c r="W1659">
        <f t="shared" ca="1" si="75"/>
        <v>0.97899999999999998</v>
      </c>
      <c r="X1659" t="str">
        <f t="shared" ca="1" si="76"/>
        <v xml:space="preserve"> ENCANT-RS069 </v>
      </c>
      <c r="Y1659" s="1">
        <f t="shared" ca="1" si="77"/>
        <v>0.69599999999999995</v>
      </c>
    </row>
    <row r="1660" spans="1:25" x14ac:dyDescent="0.25">
      <c r="A1660" t="s">
        <v>1588</v>
      </c>
      <c r="B1660" t="s">
        <v>1587</v>
      </c>
      <c r="C1660">
        <v>46</v>
      </c>
      <c r="D1660">
        <v>55</v>
      </c>
      <c r="E1660">
        <v>55</v>
      </c>
      <c r="F1660" s="1">
        <v>0.69599999999999995</v>
      </c>
      <c r="G1660" t="s">
        <v>1587</v>
      </c>
      <c r="H1660" t="s">
        <v>1587</v>
      </c>
      <c r="I1660">
        <v>9795</v>
      </c>
      <c r="J1660" t="s">
        <v>2727</v>
      </c>
      <c r="K1660">
        <v>1</v>
      </c>
      <c r="L1660">
        <v>31.1</v>
      </c>
      <c r="M1660">
        <v>3.9</v>
      </c>
      <c r="N1660">
        <v>32</v>
      </c>
      <c r="O1660" t="s">
        <v>1594</v>
      </c>
      <c r="P1660" t="s">
        <v>1584</v>
      </c>
      <c r="Q1660" t="s">
        <v>1591</v>
      </c>
      <c r="R1660">
        <v>0.69</v>
      </c>
      <c r="S1660">
        <v>0.97</v>
      </c>
      <c r="T1660" t="s">
        <v>1584</v>
      </c>
      <c r="U1660" t="s">
        <v>1592</v>
      </c>
      <c r="V1660" t="str" cm="1">
        <f t="array" aca="1" ref="V1660" ca="1">IFERROR(_xlfn.IFS(A1658="  ..............",OFFSET(A1658,2,0),A1657=" X-------------X",OFFSET(A1657,3,0),MATCH("  ..............",A1660:A1669,0)&gt;2,V1659),"-")</f>
        <v xml:space="preserve">  ROCSAL-RS069  </v>
      </c>
      <c r="W1660">
        <f t="shared" ca="1" si="75"/>
        <v>0.97899999999999998</v>
      </c>
      <c r="X1660" t="str">
        <f t="shared" ca="1" si="76"/>
        <v xml:space="preserve"> ARMEIO-RS069 </v>
      </c>
      <c r="Y1660" s="1">
        <f t="shared" ca="1" si="77"/>
        <v>0.89900000000000002</v>
      </c>
    </row>
    <row r="1661" spans="1:25" x14ac:dyDescent="0.25">
      <c r="A1661" t="s">
        <v>1588</v>
      </c>
      <c r="B1661" t="s">
        <v>1587</v>
      </c>
      <c r="C1661">
        <v>46</v>
      </c>
      <c r="D1661">
        <v>55</v>
      </c>
      <c r="E1661">
        <v>55</v>
      </c>
      <c r="F1661" s="1">
        <v>0.86099999999999999</v>
      </c>
      <c r="G1661" t="s">
        <v>1587</v>
      </c>
      <c r="H1661" t="s">
        <v>1587</v>
      </c>
      <c r="I1661">
        <v>9797</v>
      </c>
      <c r="J1661" t="s">
        <v>2249</v>
      </c>
      <c r="K1661">
        <v>1</v>
      </c>
      <c r="L1661">
        <v>-38.700000000000003</v>
      </c>
      <c r="M1661">
        <v>-2.6</v>
      </c>
      <c r="N1661">
        <v>39.6</v>
      </c>
      <c r="O1661" t="s">
        <v>1594</v>
      </c>
      <c r="P1661" t="s">
        <v>1584</v>
      </c>
      <c r="Q1661" t="s">
        <v>1591</v>
      </c>
      <c r="R1661">
        <v>1.57</v>
      </c>
      <c r="S1661">
        <v>2.27</v>
      </c>
      <c r="T1661" t="s">
        <v>1584</v>
      </c>
      <c r="U1661" t="s">
        <v>1592</v>
      </c>
      <c r="V1661" t="str" cm="1">
        <f t="array" aca="1" ref="V1661" ca="1">IFERROR(_xlfn.IFS(A1659="  ..............",OFFSET(A1659,2,0),A1658=" X-------------X",OFFSET(A1658,3,0),MATCH("  ..............",A1661:A1670,0)&gt;2,V1660),"-")</f>
        <v>-</v>
      </c>
      <c r="W1661" t="str">
        <f t="shared" ca="1" si="75"/>
        <v>-</v>
      </c>
      <c r="X1661" t="str">
        <f t="shared" ca="1" si="76"/>
        <v>-</v>
      </c>
      <c r="Y1661" s="1" t="str">
        <f t="shared" ca="1" si="77"/>
        <v>-</v>
      </c>
    </row>
    <row r="1662" spans="1:25" x14ac:dyDescent="0.25">
      <c r="A1662" t="s">
        <v>1572</v>
      </c>
      <c r="B1662" t="s">
        <v>1574</v>
      </c>
      <c r="C1662" t="s">
        <v>1574</v>
      </c>
      <c r="D1662" t="s">
        <v>1574</v>
      </c>
      <c r="E1662" t="s">
        <v>1574</v>
      </c>
      <c r="F1662" t="s">
        <v>1575</v>
      </c>
      <c r="G1662" t="s">
        <v>1574</v>
      </c>
      <c r="H1662" t="s">
        <v>1574</v>
      </c>
      <c r="I1662" t="s">
        <v>1576</v>
      </c>
      <c r="J1662" t="s">
        <v>1573</v>
      </c>
      <c r="K1662" t="s">
        <v>1577</v>
      </c>
      <c r="L1662" t="s">
        <v>1574</v>
      </c>
      <c r="M1662" t="s">
        <v>1574</v>
      </c>
      <c r="N1662" t="s">
        <v>1574</v>
      </c>
      <c r="O1662" t="s">
        <v>1578</v>
      </c>
      <c r="P1662" t="s">
        <v>1576</v>
      </c>
      <c r="Q1662" t="s">
        <v>1579</v>
      </c>
      <c r="R1662" t="s">
        <v>1580</v>
      </c>
      <c r="S1662" t="s">
        <v>1580</v>
      </c>
      <c r="T1662" t="s">
        <v>1576</v>
      </c>
      <c r="U1662" t="s">
        <v>1576</v>
      </c>
      <c r="V1662" t="str" cm="1">
        <f t="array" aca="1" ref="V1662" ca="1">IFERROR(_xlfn.IFS(A1660="  ..............",OFFSET(A1660,2,0),A1659=" X-------------X",OFFSET(A1659,3,0),MATCH("  ..............",A1662:A1671,0)&gt;2,V1661),"-")</f>
        <v>-</v>
      </c>
      <c r="W1662" t="str">
        <f t="shared" ca="1" si="75"/>
        <v>-</v>
      </c>
      <c r="X1662" t="str">
        <f t="shared" ca="1" si="76"/>
        <v/>
      </c>
      <c r="Y1662" s="1" t="str">
        <f t="shared" ca="1" si="77"/>
        <v/>
      </c>
    </row>
    <row r="1663" spans="1:25" x14ac:dyDescent="0.25">
      <c r="A1663" t="s">
        <v>2728</v>
      </c>
      <c r="B1663">
        <v>1.024</v>
      </c>
      <c r="C1663">
        <v>2.2999999999999998</v>
      </c>
      <c r="D1663">
        <v>0</v>
      </c>
      <c r="E1663">
        <v>23</v>
      </c>
      <c r="F1663">
        <v>0</v>
      </c>
      <c r="G1663">
        <v>0</v>
      </c>
      <c r="H1663">
        <v>0</v>
      </c>
      <c r="I1663" t="s">
        <v>1581</v>
      </c>
      <c r="J1663" t="s">
        <v>1581</v>
      </c>
      <c r="K1663" t="s">
        <v>1581</v>
      </c>
      <c r="L1663" t="s">
        <v>1581</v>
      </c>
      <c r="M1663" t="s">
        <v>1581</v>
      </c>
      <c r="N1663" t="s">
        <v>1581</v>
      </c>
      <c r="O1663" t="s">
        <v>1581</v>
      </c>
      <c r="P1663" t="s">
        <v>1581</v>
      </c>
      <c r="Q1663" t="s">
        <v>1581</v>
      </c>
      <c r="R1663" t="s">
        <v>1581</v>
      </c>
      <c r="S1663" t="s">
        <v>1581</v>
      </c>
      <c r="T1663" t="s">
        <v>1581</v>
      </c>
      <c r="U1663" t="s">
        <v>1581</v>
      </c>
      <c r="V1663" t="str" cm="1">
        <f t="array" aca="1" ref="V1663" ca="1">IFERROR(_xlfn.IFS(A1661="  ..............",OFFSET(A1661,2,0),A1660=" X-------------X",OFFSET(A1660,3,0),MATCH("  ..............",A1663:A1672,0)&gt;2,V1662),"-")</f>
        <v>-</v>
      </c>
      <c r="W1663" t="str">
        <f t="shared" ca="1" si="75"/>
        <v>-</v>
      </c>
      <c r="X1663" t="str">
        <f t="shared" ca="1" si="76"/>
        <v xml:space="preserve">              </v>
      </c>
      <c r="Y1663" s="1">
        <f t="shared" ca="1" si="77"/>
        <v>0</v>
      </c>
    </row>
    <row r="1664" spans="1:25" x14ac:dyDescent="0.25">
      <c r="A1664" t="s">
        <v>2729</v>
      </c>
      <c r="B1664">
        <v>-57.1</v>
      </c>
      <c r="C1664">
        <v>0</v>
      </c>
      <c r="D1664">
        <v>0</v>
      </c>
      <c r="E1664">
        <v>4.7</v>
      </c>
      <c r="F1664">
        <v>0</v>
      </c>
      <c r="G1664">
        <v>0</v>
      </c>
      <c r="H1664">
        <v>0</v>
      </c>
      <c r="I1664" t="s">
        <v>1584</v>
      </c>
      <c r="J1664" t="s">
        <v>1585</v>
      </c>
      <c r="K1664" t="s">
        <v>1586</v>
      </c>
      <c r="L1664" t="s">
        <v>1587</v>
      </c>
      <c r="M1664" t="s">
        <v>1587</v>
      </c>
      <c r="N1664" t="s">
        <v>1586</v>
      </c>
      <c r="O1664" t="s">
        <v>1581</v>
      </c>
      <c r="P1664" t="s">
        <v>1581</v>
      </c>
      <c r="Q1664" t="s">
        <v>1581</v>
      </c>
      <c r="R1664" t="s">
        <v>1581</v>
      </c>
      <c r="S1664" t="s">
        <v>1581</v>
      </c>
      <c r="T1664" t="s">
        <v>1581</v>
      </c>
      <c r="U1664" t="s">
        <v>1581</v>
      </c>
      <c r="V1664" t="str" cm="1">
        <f t="array" aca="1" ref="V1664" ca="1">IFERROR(_xlfn.IFS(A1662="  ..............",OFFSET(A1662,2,0),A1661=" X-------------X",OFFSET(A1661,3,0),MATCH("  ..............",A1664:A1673,0)&gt;2,V1663),"-")</f>
        <v xml:space="preserve">  ARMEIO-RS069  </v>
      </c>
      <c r="W1664">
        <f t="shared" ca="1" si="75"/>
        <v>1.024</v>
      </c>
      <c r="X1664" t="str">
        <f t="shared" ca="1" si="76"/>
        <v xml:space="preserve"> LAJEA2-RS069 </v>
      </c>
      <c r="Y1664" s="1">
        <f t="shared" ca="1" si="77"/>
        <v>0.623</v>
      </c>
    </row>
    <row r="1665" spans="1:25" x14ac:dyDescent="0.25">
      <c r="A1665" t="s">
        <v>1588</v>
      </c>
      <c r="B1665" t="s">
        <v>1587</v>
      </c>
      <c r="C1665">
        <v>67</v>
      </c>
      <c r="D1665">
        <v>81</v>
      </c>
      <c r="E1665">
        <v>81</v>
      </c>
      <c r="F1665" s="1">
        <v>0.89900000000000002</v>
      </c>
      <c r="G1665" t="s">
        <v>1587</v>
      </c>
      <c r="H1665" t="s">
        <v>1587</v>
      </c>
      <c r="I1665">
        <v>2081</v>
      </c>
      <c r="J1665" t="s">
        <v>2257</v>
      </c>
      <c r="K1665">
        <v>1</v>
      </c>
      <c r="L1665">
        <v>-61</v>
      </c>
      <c r="M1665">
        <v>-9.6</v>
      </c>
      <c r="N1665">
        <v>60.3</v>
      </c>
      <c r="O1665" t="s">
        <v>1594</v>
      </c>
      <c r="P1665" t="s">
        <v>1584</v>
      </c>
      <c r="Q1665" t="s">
        <v>1591</v>
      </c>
      <c r="R1665">
        <v>1.02</v>
      </c>
      <c r="S1665">
        <v>2.12</v>
      </c>
      <c r="T1665" t="s">
        <v>1584</v>
      </c>
      <c r="U1665" t="s">
        <v>1592</v>
      </c>
      <c r="V1665" t="str" cm="1">
        <f t="array" aca="1" ref="V1665" ca="1">IFERROR(_xlfn.IFS(A1663="  ..............",OFFSET(A1663,2,0),A1662=" X-------------X",OFFSET(A1662,3,0),MATCH("  ..............",A1665:A1674,0)&gt;2,V1664),"-")</f>
        <v xml:space="preserve">  ARMEIO-RS069  </v>
      </c>
      <c r="W1665">
        <f t="shared" ca="1" si="75"/>
        <v>1.024</v>
      </c>
      <c r="X1665" t="str">
        <f t="shared" ca="1" si="76"/>
        <v xml:space="preserve"> LAJEA1-RS069 </v>
      </c>
      <c r="Y1665" s="1">
        <f t="shared" ca="1" si="77"/>
        <v>7.6999999999999999E-2</v>
      </c>
    </row>
    <row r="1666" spans="1:25" x14ac:dyDescent="0.25">
      <c r="A1666" t="s">
        <v>1637</v>
      </c>
      <c r="B1666" t="s">
        <v>1638</v>
      </c>
      <c r="C1666">
        <v>46</v>
      </c>
      <c r="D1666">
        <v>55</v>
      </c>
      <c r="E1666">
        <v>55</v>
      </c>
      <c r="F1666" t="s">
        <v>1639</v>
      </c>
      <c r="G1666" t="s">
        <v>1587</v>
      </c>
      <c r="H1666" t="s">
        <v>1587</v>
      </c>
      <c r="I1666">
        <v>9781</v>
      </c>
      <c r="J1666" t="s">
        <v>2248</v>
      </c>
      <c r="K1666">
        <v>1</v>
      </c>
      <c r="L1666">
        <v>0</v>
      </c>
      <c r="M1666">
        <v>0</v>
      </c>
      <c r="N1666">
        <v>0</v>
      </c>
      <c r="O1666" t="s">
        <v>1594</v>
      </c>
      <c r="P1666" t="s">
        <v>1584</v>
      </c>
      <c r="Q1666" t="s">
        <v>1591</v>
      </c>
      <c r="R1666">
        <v>0</v>
      </c>
      <c r="S1666">
        <v>0</v>
      </c>
      <c r="T1666" t="s">
        <v>1584</v>
      </c>
      <c r="U1666" t="s">
        <v>1592</v>
      </c>
      <c r="V1666" t="str" cm="1">
        <f t="array" aca="1" ref="V1666" ca="1">IFERROR(_xlfn.IFS(A1664="  ..............",OFFSET(A1664,2,0),A1663=" X-------------X",OFFSET(A1663,3,0),MATCH("  ..............",A1666:A1675,0)&gt;2,V1665),"-")</f>
        <v xml:space="preserve">  ARMEIO-RS069  </v>
      </c>
      <c r="W1666">
        <f t="shared" ca="1" si="75"/>
        <v>1.024</v>
      </c>
      <c r="X1666" t="str">
        <f t="shared" ca="1" si="76"/>
        <v xml:space="preserve"> ROCSAL-RS069 </v>
      </c>
      <c r="Y1666" s="1">
        <f t="shared" ca="1" si="77"/>
        <v>0.69599999999999995</v>
      </c>
    </row>
    <row r="1667" spans="1:25" x14ac:dyDescent="0.25">
      <c r="A1667" t="s">
        <v>1588</v>
      </c>
      <c r="B1667" t="s">
        <v>1587</v>
      </c>
      <c r="C1667">
        <v>46</v>
      </c>
      <c r="D1667">
        <v>55</v>
      </c>
      <c r="E1667">
        <v>55</v>
      </c>
      <c r="F1667" s="1">
        <v>0.86099999999999999</v>
      </c>
      <c r="G1667" t="s">
        <v>1587</v>
      </c>
      <c r="H1667" t="s">
        <v>1587</v>
      </c>
      <c r="I1667">
        <v>9796</v>
      </c>
      <c r="J1667" t="s">
        <v>2724</v>
      </c>
      <c r="K1667">
        <v>1</v>
      </c>
      <c r="L1667">
        <v>40.299999999999997</v>
      </c>
      <c r="M1667">
        <v>4.9000000000000004</v>
      </c>
      <c r="N1667">
        <v>39.6</v>
      </c>
      <c r="O1667" t="s">
        <v>1594</v>
      </c>
      <c r="P1667" t="s">
        <v>1584</v>
      </c>
      <c r="Q1667" t="s">
        <v>1591</v>
      </c>
      <c r="R1667">
        <v>1.57</v>
      </c>
      <c r="S1667">
        <v>2.27</v>
      </c>
      <c r="T1667" t="s">
        <v>1584</v>
      </c>
      <c r="U1667" t="s">
        <v>1592</v>
      </c>
      <c r="V1667" t="str" cm="1">
        <f t="array" aca="1" ref="V1667" ca="1">IFERROR(_xlfn.IFS(A1665="  ..............",OFFSET(A1665,2,0),A1664=" X-------------X",OFFSET(A1664,3,0),MATCH("  ..............",A1667:A1676,0)&gt;2,V1666),"-")</f>
        <v>-</v>
      </c>
      <c r="W1667" t="str">
        <f t="shared" ca="1" si="75"/>
        <v>-</v>
      </c>
      <c r="X1667" t="str">
        <f t="shared" ca="1" si="76"/>
        <v>-</v>
      </c>
      <c r="Y1667" s="1" t="str">
        <f t="shared" ca="1" si="77"/>
        <v>-</v>
      </c>
    </row>
    <row r="1668" spans="1:25" x14ac:dyDescent="0.25">
      <c r="A1668" t="s">
        <v>1572</v>
      </c>
      <c r="B1668" t="s">
        <v>1574</v>
      </c>
      <c r="C1668" t="s">
        <v>1574</v>
      </c>
      <c r="D1668" t="s">
        <v>1574</v>
      </c>
      <c r="E1668" t="s">
        <v>1574</v>
      </c>
      <c r="F1668" t="s">
        <v>1575</v>
      </c>
      <c r="G1668" t="s">
        <v>1574</v>
      </c>
      <c r="H1668" t="s">
        <v>1574</v>
      </c>
      <c r="I1668" t="s">
        <v>1576</v>
      </c>
      <c r="J1668" t="s">
        <v>1573</v>
      </c>
      <c r="K1668" t="s">
        <v>1577</v>
      </c>
      <c r="L1668" t="s">
        <v>1574</v>
      </c>
      <c r="M1668" t="s">
        <v>1574</v>
      </c>
      <c r="N1668" t="s">
        <v>1574</v>
      </c>
      <c r="O1668" t="s">
        <v>1578</v>
      </c>
      <c r="P1668" t="s">
        <v>1576</v>
      </c>
      <c r="Q1668" t="s">
        <v>1579</v>
      </c>
      <c r="R1668" t="s">
        <v>1580</v>
      </c>
      <c r="S1668" t="s">
        <v>1580</v>
      </c>
      <c r="T1668" t="s">
        <v>1576</v>
      </c>
      <c r="U1668" t="s">
        <v>1576</v>
      </c>
      <c r="V1668" t="str" cm="1">
        <f t="array" aca="1" ref="V1668" ca="1">IFERROR(_xlfn.IFS(A1666="  ..............",OFFSET(A1666,2,0),A1665=" X-------------X",OFFSET(A1665,3,0),MATCH("  ..............",A1668:A1677,0)&gt;2,V1667),"-")</f>
        <v>-</v>
      </c>
      <c r="W1668" t="str">
        <f t="shared" ref="W1668:W1731" ca="1" si="78">IFERROR(OFFSET($A$1,MATCH(V1668,A:A,0)-2,1),"-")</f>
        <v>-</v>
      </c>
      <c r="X1668" t="str">
        <f t="shared" ref="X1668:X1731" ca="1" si="79">IFERROR(IF(V1668=V1667,OFFSET($J$1,ROW(X1668),0),OFFSET($J$1,MATCH(V1668,A:A,0),0)),"-")</f>
        <v/>
      </c>
      <c r="Y1668" s="1" t="str">
        <f t="shared" ref="Y1668:Y1731" ca="1" si="80">IFERROR(OFFSET($F$1,MATCH(X1668,J:J,0)-1,0),"-")</f>
        <v/>
      </c>
    </row>
    <row r="1669" spans="1:25" x14ac:dyDescent="0.25">
      <c r="A1669" t="s">
        <v>2730</v>
      </c>
      <c r="B1669">
        <v>1.0229999999999999</v>
      </c>
      <c r="C1669">
        <v>17.399999999999999</v>
      </c>
      <c r="D1669">
        <v>0</v>
      </c>
      <c r="E1669">
        <v>43.7</v>
      </c>
      <c r="F1669">
        <v>0</v>
      </c>
      <c r="G1669">
        <v>0</v>
      </c>
      <c r="H1669">
        <v>0</v>
      </c>
      <c r="I1669" t="s">
        <v>1581</v>
      </c>
      <c r="J1669" t="s">
        <v>1581</v>
      </c>
      <c r="K1669" t="s">
        <v>1581</v>
      </c>
      <c r="L1669" t="s">
        <v>1581</v>
      </c>
      <c r="M1669" t="s">
        <v>1581</v>
      </c>
      <c r="N1669" t="s">
        <v>1581</v>
      </c>
      <c r="O1669" t="s">
        <v>1581</v>
      </c>
      <c r="P1669" t="s">
        <v>1581</v>
      </c>
      <c r="Q1669" t="s">
        <v>1581</v>
      </c>
      <c r="R1669" t="s">
        <v>1581</v>
      </c>
      <c r="S1669" t="s">
        <v>1581</v>
      </c>
      <c r="T1669" t="s">
        <v>1581</v>
      </c>
      <c r="U1669" t="s">
        <v>1581</v>
      </c>
      <c r="V1669" t="str" cm="1">
        <f t="array" aca="1" ref="V1669" ca="1">IFERROR(_xlfn.IFS(A1667="  ..............",OFFSET(A1667,2,0),A1666=" X-------------X",OFFSET(A1666,3,0),MATCH("  ..............",A1669:A1678,0)&gt;2,V1668),"-")</f>
        <v>-</v>
      </c>
      <c r="W1669" t="str">
        <f t="shared" ca="1" si="78"/>
        <v>-</v>
      </c>
      <c r="X1669" t="str">
        <f t="shared" ca="1" si="79"/>
        <v xml:space="preserve">              </v>
      </c>
      <c r="Y1669" s="1">
        <f t="shared" ca="1" si="80"/>
        <v>0</v>
      </c>
    </row>
    <row r="1670" spans="1:25" x14ac:dyDescent="0.25">
      <c r="A1670" t="s">
        <v>2731</v>
      </c>
      <c r="B1670">
        <v>-54.4</v>
      </c>
      <c r="C1670">
        <v>0</v>
      </c>
      <c r="D1670">
        <v>0</v>
      </c>
      <c r="E1670">
        <v>6.1</v>
      </c>
      <c r="F1670">
        <v>0</v>
      </c>
      <c r="G1670">
        <v>0</v>
      </c>
      <c r="H1670">
        <v>0</v>
      </c>
      <c r="I1670" t="s">
        <v>1584</v>
      </c>
      <c r="J1670" t="s">
        <v>1585</v>
      </c>
      <c r="K1670" t="s">
        <v>1586</v>
      </c>
      <c r="L1670" t="s">
        <v>1587</v>
      </c>
      <c r="M1670" t="s">
        <v>1587</v>
      </c>
      <c r="N1670" t="s">
        <v>1586</v>
      </c>
      <c r="O1670" t="s">
        <v>1581</v>
      </c>
      <c r="P1670" t="s">
        <v>1581</v>
      </c>
      <c r="Q1670" t="s">
        <v>1581</v>
      </c>
      <c r="R1670" t="s">
        <v>1581</v>
      </c>
      <c r="S1670" t="s">
        <v>1581</v>
      </c>
      <c r="T1670" t="s">
        <v>1581</v>
      </c>
      <c r="U1670" t="s">
        <v>1581</v>
      </c>
      <c r="V1670" t="str" cm="1">
        <f t="array" aca="1" ref="V1670" ca="1">IFERROR(_xlfn.IFS(A1668="  ..............",OFFSET(A1668,2,0),A1667=" X-------------X",OFFSET(A1667,3,0),MATCH("  ..............",A1670:A1679,0)&gt;2,V1669),"-")</f>
        <v xml:space="preserve">  CERTE2-RS069  </v>
      </c>
      <c r="W1670">
        <f t="shared" ca="1" si="78"/>
        <v>1.0229999999999999</v>
      </c>
      <c r="X1670" t="str">
        <f t="shared" ca="1" si="79"/>
        <v xml:space="preserve"> LAJEA3-RS069 </v>
      </c>
      <c r="Y1670" s="1">
        <f t="shared" ca="1" si="80"/>
        <v>0.19500000000000001</v>
      </c>
    </row>
    <row r="1671" spans="1:25" x14ac:dyDescent="0.25">
      <c r="A1671" t="s">
        <v>1588</v>
      </c>
      <c r="B1671" t="s">
        <v>1587</v>
      </c>
      <c r="C1671">
        <v>68</v>
      </c>
      <c r="D1671">
        <v>68</v>
      </c>
      <c r="E1671">
        <v>68</v>
      </c>
      <c r="F1671" s="1">
        <v>0.19500000000000001</v>
      </c>
      <c r="G1671" t="s">
        <v>1587</v>
      </c>
      <c r="H1671" t="s">
        <v>1587</v>
      </c>
      <c r="I1671">
        <v>9782</v>
      </c>
      <c r="J1671" t="s">
        <v>2732</v>
      </c>
      <c r="K1671">
        <v>1</v>
      </c>
      <c r="L1671">
        <v>-13.2</v>
      </c>
      <c r="M1671">
        <v>-3.1</v>
      </c>
      <c r="N1671">
        <v>13.2</v>
      </c>
      <c r="O1671" t="s">
        <v>1594</v>
      </c>
      <c r="P1671" t="s">
        <v>1584</v>
      </c>
      <c r="Q1671" t="s">
        <v>1591</v>
      </c>
      <c r="R1671">
        <v>0.04</v>
      </c>
      <c r="S1671">
        <v>-0.02</v>
      </c>
      <c r="T1671" t="s">
        <v>1584</v>
      </c>
      <c r="U1671" t="s">
        <v>1592</v>
      </c>
      <c r="V1671" t="str" cm="1">
        <f t="array" aca="1" ref="V1671" ca="1">IFERROR(_xlfn.IFS(A1669="  ..............",OFFSET(A1669,2,0),A1668=" X-------------X",OFFSET(A1668,3,0),MATCH("  ..............",A1671:A1680,0)&gt;2,V1670),"-")</f>
        <v xml:space="preserve">  CERTE2-RS069  </v>
      </c>
      <c r="W1671">
        <f t="shared" ca="1" si="78"/>
        <v>1.0229999999999999</v>
      </c>
      <c r="X1671" t="str">
        <f t="shared" ca="1" si="79"/>
        <v xml:space="preserve"> LAJEA3-RS069 </v>
      </c>
      <c r="Y1671" s="1">
        <f t="shared" ca="1" si="80"/>
        <v>0.19500000000000001</v>
      </c>
    </row>
    <row r="1672" spans="1:25" x14ac:dyDescent="0.25">
      <c r="A1672" t="s">
        <v>1588</v>
      </c>
      <c r="B1672" t="s">
        <v>1587</v>
      </c>
      <c r="C1672">
        <v>68</v>
      </c>
      <c r="D1672">
        <v>68</v>
      </c>
      <c r="E1672">
        <v>68</v>
      </c>
      <c r="F1672" s="1">
        <v>0.193</v>
      </c>
      <c r="G1672" t="s">
        <v>1587</v>
      </c>
      <c r="H1672" t="s">
        <v>1587</v>
      </c>
      <c r="I1672">
        <v>9782</v>
      </c>
      <c r="J1672" t="s">
        <v>2732</v>
      </c>
      <c r="K1672">
        <v>2</v>
      </c>
      <c r="L1672">
        <v>-13.1</v>
      </c>
      <c r="M1672">
        <v>-3</v>
      </c>
      <c r="N1672">
        <v>13.1</v>
      </c>
      <c r="O1672" t="s">
        <v>1594</v>
      </c>
      <c r="P1672" t="s">
        <v>1584</v>
      </c>
      <c r="Q1672" t="s">
        <v>1591</v>
      </c>
      <c r="R1672">
        <v>0.04</v>
      </c>
      <c r="S1672">
        <v>-0.02</v>
      </c>
      <c r="T1672" t="s">
        <v>1584</v>
      </c>
      <c r="U1672" t="s">
        <v>1592</v>
      </c>
      <c r="V1672" t="str" cm="1">
        <f t="array" aca="1" ref="V1672" ca="1">IFERROR(_xlfn.IFS(A1670="  ..............",OFFSET(A1670,2,0),A1669=" X-------------X",OFFSET(A1669,3,0),MATCH("  ..............",A1672:A1681,0)&gt;2,V1671),"-")</f>
        <v>-</v>
      </c>
      <c r="W1672" t="str">
        <f t="shared" ca="1" si="78"/>
        <v>-</v>
      </c>
      <c r="X1672" t="str">
        <f t="shared" ca="1" si="79"/>
        <v>-</v>
      </c>
      <c r="Y1672" s="1" t="str">
        <f t="shared" ca="1" si="80"/>
        <v>-</v>
      </c>
    </row>
    <row r="1673" spans="1:25" x14ac:dyDescent="0.25">
      <c r="A1673" t="s">
        <v>1572</v>
      </c>
      <c r="B1673" t="s">
        <v>1574</v>
      </c>
      <c r="C1673" t="s">
        <v>1574</v>
      </c>
      <c r="D1673" t="s">
        <v>1574</v>
      </c>
      <c r="E1673" t="s">
        <v>1574</v>
      </c>
      <c r="F1673" t="s">
        <v>1575</v>
      </c>
      <c r="G1673" t="s">
        <v>1574</v>
      </c>
      <c r="H1673" t="s">
        <v>1574</v>
      </c>
      <c r="I1673" t="s">
        <v>1576</v>
      </c>
      <c r="J1673" t="s">
        <v>1573</v>
      </c>
      <c r="K1673" t="s">
        <v>1577</v>
      </c>
      <c r="L1673" t="s">
        <v>1574</v>
      </c>
      <c r="M1673" t="s">
        <v>1574</v>
      </c>
      <c r="N1673" t="s">
        <v>1574</v>
      </c>
      <c r="O1673" t="s">
        <v>1578</v>
      </c>
      <c r="P1673" t="s">
        <v>1576</v>
      </c>
      <c r="Q1673" t="s">
        <v>1579</v>
      </c>
      <c r="R1673" t="s">
        <v>1580</v>
      </c>
      <c r="S1673" t="s">
        <v>1580</v>
      </c>
      <c r="T1673" t="s">
        <v>1576</v>
      </c>
      <c r="U1673" t="s">
        <v>1576</v>
      </c>
      <c r="V1673" t="str" cm="1">
        <f t="array" aca="1" ref="V1673" ca="1">IFERROR(_xlfn.IFS(A1671="  ..............",OFFSET(A1671,2,0),A1670=" X-------------X",OFFSET(A1670,3,0),MATCH("  ..............",A1673:A1682,0)&gt;2,V1672),"-")</f>
        <v>-</v>
      </c>
      <c r="W1673" t="str">
        <f t="shared" ca="1" si="78"/>
        <v>-</v>
      </c>
      <c r="X1673" t="str">
        <f t="shared" ca="1" si="79"/>
        <v/>
      </c>
      <c r="Y1673" s="1" t="str">
        <f t="shared" ca="1" si="80"/>
        <v/>
      </c>
    </row>
    <row r="1674" spans="1:25" x14ac:dyDescent="0.25">
      <c r="A1674" t="s">
        <v>2733</v>
      </c>
      <c r="B1674">
        <v>0.999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 t="s">
        <v>1581</v>
      </c>
      <c r="J1674" t="s">
        <v>1581</v>
      </c>
      <c r="K1674" t="s">
        <v>1581</v>
      </c>
      <c r="L1674" t="s">
        <v>1581</v>
      </c>
      <c r="M1674" t="s">
        <v>1581</v>
      </c>
      <c r="N1674" t="s">
        <v>1581</v>
      </c>
      <c r="O1674" t="s">
        <v>1581</v>
      </c>
      <c r="P1674" t="s">
        <v>1581</v>
      </c>
      <c r="Q1674" t="s">
        <v>1581</v>
      </c>
      <c r="R1674" t="s">
        <v>1581</v>
      </c>
      <c r="S1674" t="s">
        <v>1581</v>
      </c>
      <c r="T1674" t="s">
        <v>1581</v>
      </c>
      <c r="U1674" t="s">
        <v>1581</v>
      </c>
      <c r="V1674" t="str" cm="1">
        <f t="array" aca="1" ref="V1674" ca="1">IFERROR(_xlfn.IFS(A1672="  ..............",OFFSET(A1672,2,0),A1671=" X-------------X",OFFSET(A1671,3,0),MATCH("  ..............",A1674:A1683,0)&gt;2,V1673),"-")</f>
        <v>-</v>
      </c>
      <c r="W1674" t="str">
        <f t="shared" ca="1" si="78"/>
        <v>-</v>
      </c>
      <c r="X1674" t="str">
        <f t="shared" ca="1" si="79"/>
        <v xml:space="preserve">              </v>
      </c>
      <c r="Y1674" s="1">
        <f t="shared" ca="1" si="80"/>
        <v>0</v>
      </c>
    </row>
    <row r="1675" spans="1:25" x14ac:dyDescent="0.25">
      <c r="A1675" t="s">
        <v>2734</v>
      </c>
      <c r="B1675">
        <v>-46.8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 t="s">
        <v>1584</v>
      </c>
      <c r="J1675" t="s">
        <v>1585</v>
      </c>
      <c r="K1675" t="s">
        <v>1586</v>
      </c>
      <c r="L1675" t="s">
        <v>1587</v>
      </c>
      <c r="M1675" t="s">
        <v>1587</v>
      </c>
      <c r="N1675" t="s">
        <v>1586</v>
      </c>
      <c r="O1675" t="s">
        <v>1581</v>
      </c>
      <c r="P1675" t="s">
        <v>1581</v>
      </c>
      <c r="Q1675" t="s">
        <v>1581</v>
      </c>
      <c r="R1675" t="s">
        <v>1581</v>
      </c>
      <c r="S1675" t="s">
        <v>1581</v>
      </c>
      <c r="T1675" t="s">
        <v>1581</v>
      </c>
      <c r="U1675" t="s">
        <v>1581</v>
      </c>
      <c r="V1675" t="str" cm="1">
        <f t="array" aca="1" ref="V1675" ca="1">IFERROR(_xlfn.IFS(A1673="  ..............",OFFSET(A1673,2,0),A1672=" X-------------X",OFFSET(A1672,3,0),MATCH("  ..............",A1675:A1684,0)&gt;2,V1674),"-")</f>
        <v xml:space="preserve">  SVP2-A-RS138  </v>
      </c>
      <c r="W1675">
        <f t="shared" ca="1" si="78"/>
        <v>0.999</v>
      </c>
      <c r="X1675" t="str">
        <f t="shared" ca="1" si="79"/>
        <v xml:space="preserve"> SVPALM-RS138 </v>
      </c>
      <c r="Y1675" s="1">
        <f t="shared" ca="1" si="80"/>
        <v>0.1</v>
      </c>
    </row>
    <row r="1676" spans="1:25" x14ac:dyDescent="0.25">
      <c r="A1676" t="s">
        <v>1588</v>
      </c>
      <c r="B1676" t="s">
        <v>1587</v>
      </c>
      <c r="C1676">
        <v>97</v>
      </c>
      <c r="D1676">
        <v>141</v>
      </c>
      <c r="E1676">
        <v>141</v>
      </c>
      <c r="F1676" s="1">
        <v>0.1</v>
      </c>
      <c r="G1676" t="s">
        <v>1587</v>
      </c>
      <c r="H1676" t="s">
        <v>1587</v>
      </c>
      <c r="I1676">
        <v>1274</v>
      </c>
      <c r="J1676" t="s">
        <v>2735</v>
      </c>
      <c r="K1676">
        <v>1</v>
      </c>
      <c r="L1676">
        <v>9.6999999999999993</v>
      </c>
      <c r="M1676">
        <v>-0.7</v>
      </c>
      <c r="N1676">
        <v>9.6999999999999993</v>
      </c>
      <c r="O1676" t="s">
        <v>1594</v>
      </c>
      <c r="P1676" t="s">
        <v>1584</v>
      </c>
      <c r="Q1676" t="s">
        <v>1591</v>
      </c>
      <c r="R1676">
        <v>0.01</v>
      </c>
      <c r="S1676">
        <v>-0.63</v>
      </c>
      <c r="T1676" t="s">
        <v>1584</v>
      </c>
      <c r="U1676" t="s">
        <v>1592</v>
      </c>
      <c r="V1676" t="str" cm="1">
        <f t="array" aca="1" ref="V1676" ca="1">IFERROR(_xlfn.IFS(A1674="  ..............",OFFSET(A1674,2,0),A1673=" X-------------X",OFFSET(A1673,3,0),MATCH("  ..............",A1676:A1685,0)&gt;2,V1675),"-")</f>
        <v xml:space="preserve">  SVP2-A-RS138  </v>
      </c>
      <c r="W1676">
        <f t="shared" ca="1" si="78"/>
        <v>0.999</v>
      </c>
      <c r="X1676" t="str">
        <f t="shared" ca="1" si="79"/>
        <v xml:space="preserve"> MARMEL-RS138 </v>
      </c>
      <c r="Y1676" s="1">
        <f t="shared" ca="1" si="80"/>
        <v>0.10100000000000001</v>
      </c>
    </row>
    <row r="1677" spans="1:25" x14ac:dyDescent="0.25">
      <c r="A1677" t="s">
        <v>1588</v>
      </c>
      <c r="B1677" t="s">
        <v>1587</v>
      </c>
      <c r="C1677">
        <v>97</v>
      </c>
      <c r="D1677">
        <v>141</v>
      </c>
      <c r="E1677">
        <v>141</v>
      </c>
      <c r="F1677" s="1">
        <v>0.10100000000000001</v>
      </c>
      <c r="G1677" t="s">
        <v>1587</v>
      </c>
      <c r="H1677" t="s">
        <v>1587</v>
      </c>
      <c r="I1677">
        <v>1285</v>
      </c>
      <c r="J1677" t="s">
        <v>2736</v>
      </c>
      <c r="K1677">
        <v>1</v>
      </c>
      <c r="L1677">
        <v>2</v>
      </c>
      <c r="M1677">
        <v>-9.6</v>
      </c>
      <c r="N1677">
        <v>9.8000000000000007</v>
      </c>
      <c r="O1677" t="s">
        <v>1594</v>
      </c>
      <c r="P1677" t="s">
        <v>1584</v>
      </c>
      <c r="Q1677" t="s">
        <v>1591</v>
      </c>
      <c r="R1677">
        <v>0.03</v>
      </c>
      <c r="S1677">
        <v>-2.41</v>
      </c>
      <c r="T1677" t="s">
        <v>1584</v>
      </c>
      <c r="U1677" t="s">
        <v>1592</v>
      </c>
      <c r="V1677" t="str" cm="1">
        <f t="array" aca="1" ref="V1677" ca="1">IFERROR(_xlfn.IFS(A1675="  ..............",OFFSET(A1675,2,0),A1674=" X-------------X",OFFSET(A1674,3,0),MATCH("  ..............",A1677:A1686,0)&gt;2,V1676),"-")</f>
        <v xml:space="preserve">  SVP2-A-RS138  </v>
      </c>
      <c r="W1677">
        <f t="shared" ca="1" si="78"/>
        <v>0.999</v>
      </c>
      <c r="X1677" t="str">
        <f t="shared" ca="1" si="79"/>
        <v xml:space="preserve"> SVP--1-RS000 </v>
      </c>
      <c r="Y1677" s="1">
        <f t="shared" ca="1" si="80"/>
        <v>0.104</v>
      </c>
    </row>
    <row r="1678" spans="1:25" x14ac:dyDescent="0.25">
      <c r="A1678" t="s">
        <v>1588</v>
      </c>
      <c r="B1678" t="s">
        <v>1587</v>
      </c>
      <c r="C1678">
        <v>75</v>
      </c>
      <c r="D1678">
        <v>90</v>
      </c>
      <c r="E1678">
        <v>90</v>
      </c>
      <c r="F1678" s="1">
        <v>0.104</v>
      </c>
      <c r="G1678" t="s">
        <v>1587</v>
      </c>
      <c r="H1678" t="s">
        <v>1587</v>
      </c>
      <c r="I1678">
        <v>41386</v>
      </c>
      <c r="J1678" t="s">
        <v>2737</v>
      </c>
      <c r="K1678">
        <v>1</v>
      </c>
      <c r="L1678">
        <v>-5.9</v>
      </c>
      <c r="M1678">
        <v>5.0999999999999996</v>
      </c>
      <c r="N1678">
        <v>7.8</v>
      </c>
      <c r="O1678" t="s">
        <v>2738</v>
      </c>
      <c r="P1678" t="s">
        <v>1584</v>
      </c>
      <c r="Q1678">
        <v>1</v>
      </c>
      <c r="R1678">
        <v>0</v>
      </c>
      <c r="S1678">
        <v>0</v>
      </c>
      <c r="T1678" t="s">
        <v>1584</v>
      </c>
      <c r="U1678" t="s">
        <v>1592</v>
      </c>
      <c r="V1678" t="str" cm="1">
        <f t="array" aca="1" ref="V1678" ca="1">IFERROR(_xlfn.IFS(A1676="  ..............",OFFSET(A1676,2,0),A1675=" X-------------X",OFFSET(A1675,3,0),MATCH("  ..............",A1678:A1687,0)&gt;2,V1677),"-")</f>
        <v xml:space="preserve">  SVP2-A-RS138  </v>
      </c>
      <c r="W1678">
        <f t="shared" ca="1" si="78"/>
        <v>0.999</v>
      </c>
      <c r="X1678" t="str">
        <f t="shared" ca="1" si="79"/>
        <v xml:space="preserve"> SVP2-2-RS000 </v>
      </c>
      <c r="Y1678" s="1">
        <f t="shared" ca="1" si="80"/>
        <v>0.104</v>
      </c>
    </row>
    <row r="1679" spans="1:25" x14ac:dyDescent="0.25">
      <c r="A1679" t="s">
        <v>1588</v>
      </c>
      <c r="B1679" t="s">
        <v>1587</v>
      </c>
      <c r="C1679">
        <v>75</v>
      </c>
      <c r="D1679">
        <v>90</v>
      </c>
      <c r="E1679">
        <v>90</v>
      </c>
      <c r="F1679" s="1">
        <v>0.104</v>
      </c>
      <c r="G1679" t="s">
        <v>1587</v>
      </c>
      <c r="H1679" t="s">
        <v>1587</v>
      </c>
      <c r="I1679">
        <v>43475</v>
      </c>
      <c r="J1679" t="s">
        <v>2739</v>
      </c>
      <c r="K1679">
        <v>2</v>
      </c>
      <c r="L1679">
        <v>-5.9</v>
      </c>
      <c r="M1679">
        <v>5.0999999999999996</v>
      </c>
      <c r="N1679">
        <v>7.8</v>
      </c>
      <c r="O1679" t="s">
        <v>2738</v>
      </c>
      <c r="P1679" t="s">
        <v>1584</v>
      </c>
      <c r="Q1679">
        <v>1</v>
      </c>
      <c r="R1679">
        <v>0</v>
      </c>
      <c r="S1679">
        <v>0</v>
      </c>
      <c r="T1679" t="s">
        <v>1584</v>
      </c>
      <c r="U1679" t="s">
        <v>1592</v>
      </c>
      <c r="V1679" t="str" cm="1">
        <f t="array" aca="1" ref="V1679" ca="1">IFERROR(_xlfn.IFS(A1677="  ..............",OFFSET(A1677,2,0),A1676=" X-------------X",OFFSET(A1676,3,0),MATCH("  ..............",A1679:A1688,0)&gt;2,V1678),"-")</f>
        <v>-</v>
      </c>
      <c r="W1679" t="str">
        <f t="shared" ca="1" si="78"/>
        <v>-</v>
      </c>
      <c r="X1679" t="str">
        <f t="shared" ca="1" si="79"/>
        <v>-</v>
      </c>
      <c r="Y1679" s="1" t="str">
        <f t="shared" ca="1" si="80"/>
        <v>-</v>
      </c>
    </row>
    <row r="1680" spans="1:25" x14ac:dyDescent="0.25">
      <c r="A1680" t="s">
        <v>1572</v>
      </c>
      <c r="B1680" t="s">
        <v>1574</v>
      </c>
      <c r="C1680" t="s">
        <v>1574</v>
      </c>
      <c r="D1680" t="s">
        <v>1574</v>
      </c>
      <c r="E1680" t="s">
        <v>1574</v>
      </c>
      <c r="F1680" t="s">
        <v>1575</v>
      </c>
      <c r="G1680" t="s">
        <v>1574</v>
      </c>
      <c r="H1680" t="s">
        <v>1574</v>
      </c>
      <c r="I1680" t="s">
        <v>1576</v>
      </c>
      <c r="J1680" t="s">
        <v>1573</v>
      </c>
      <c r="K1680" t="s">
        <v>1577</v>
      </c>
      <c r="L1680" t="s">
        <v>1574</v>
      </c>
      <c r="M1680" t="s">
        <v>1574</v>
      </c>
      <c r="N1680" t="s">
        <v>1574</v>
      </c>
      <c r="O1680" t="s">
        <v>1578</v>
      </c>
      <c r="P1680" t="s">
        <v>1576</v>
      </c>
      <c r="Q1680" t="s">
        <v>1579</v>
      </c>
      <c r="R1680" t="s">
        <v>1580</v>
      </c>
      <c r="S1680" t="s">
        <v>1580</v>
      </c>
      <c r="T1680" t="s">
        <v>1576</v>
      </c>
      <c r="U1680" t="s">
        <v>1576</v>
      </c>
      <c r="V1680" t="str" cm="1">
        <f t="array" aca="1" ref="V1680" ca="1">IFERROR(_xlfn.IFS(A1678="  ..............",OFFSET(A1678,2,0),A1677=" X-------------X",OFFSET(A1677,3,0),MATCH("  ..............",A1680:A1689,0)&gt;2,V1679),"-")</f>
        <v>-</v>
      </c>
      <c r="W1680" t="str">
        <f t="shared" ca="1" si="78"/>
        <v>-</v>
      </c>
      <c r="X1680" t="str">
        <f t="shared" ca="1" si="79"/>
        <v/>
      </c>
      <c r="Y1680" s="1" t="str">
        <f t="shared" ca="1" si="80"/>
        <v/>
      </c>
    </row>
    <row r="1681" spans="1:25" x14ac:dyDescent="0.25">
      <c r="A1681" t="s">
        <v>2740</v>
      </c>
      <c r="B1681">
        <v>1.0229999999999999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 t="s">
        <v>1581</v>
      </c>
      <c r="J1681" t="s">
        <v>1581</v>
      </c>
      <c r="K1681" t="s">
        <v>1581</v>
      </c>
      <c r="L1681" t="s">
        <v>1581</v>
      </c>
      <c r="M1681" t="s">
        <v>1581</v>
      </c>
      <c r="N1681" t="s">
        <v>1581</v>
      </c>
      <c r="O1681" t="s">
        <v>1581</v>
      </c>
      <c r="P1681" t="s">
        <v>1581</v>
      </c>
      <c r="Q1681" t="s">
        <v>1581</v>
      </c>
      <c r="R1681" t="s">
        <v>1581</v>
      </c>
      <c r="S1681" t="s">
        <v>1581</v>
      </c>
      <c r="T1681" t="s">
        <v>1581</v>
      </c>
      <c r="U1681" t="s">
        <v>1581</v>
      </c>
      <c r="V1681" t="str" cm="1">
        <f t="array" aca="1" ref="V1681" ca="1">IFERROR(_xlfn.IFS(A1679="  ..............",OFFSET(A1679,2,0),A1678=" X-------------X",OFFSET(A1678,3,0),MATCH("  ..............",A1681:A1690,0)&gt;2,V1680),"-")</f>
        <v>-</v>
      </c>
      <c r="W1681" t="str">
        <f t="shared" ca="1" si="78"/>
        <v>-</v>
      </c>
      <c r="X1681" t="str">
        <f t="shared" ca="1" si="79"/>
        <v xml:space="preserve">              </v>
      </c>
      <c r="Y1681" s="1">
        <f t="shared" ca="1" si="80"/>
        <v>0</v>
      </c>
    </row>
    <row r="1682" spans="1:25" x14ac:dyDescent="0.25">
      <c r="A1682" t="s">
        <v>2741</v>
      </c>
      <c r="B1682">
        <v>-50.5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 t="s">
        <v>1584</v>
      </c>
      <c r="J1682" t="s">
        <v>1585</v>
      </c>
      <c r="K1682" t="s">
        <v>1586</v>
      </c>
      <c r="L1682" t="s">
        <v>1587</v>
      </c>
      <c r="M1682" t="s">
        <v>1587</v>
      </c>
      <c r="N1682" t="s">
        <v>1586</v>
      </c>
      <c r="O1682" t="s">
        <v>1581</v>
      </c>
      <c r="P1682" t="s">
        <v>1581</v>
      </c>
      <c r="Q1682" t="s">
        <v>1581</v>
      </c>
      <c r="R1682" t="s">
        <v>1581</v>
      </c>
      <c r="S1682" t="s">
        <v>1581</v>
      </c>
      <c r="T1682" t="s">
        <v>1581</v>
      </c>
      <c r="U1682" t="s">
        <v>1581</v>
      </c>
      <c r="V1682" t="str" cm="1">
        <f t="array" aca="1" ref="V1682" ca="1">IFERROR(_xlfn.IFS(A1680="  ..............",OFFSET(A1680,2,0),A1679=" X-------------X",OFFSET(A1679,3,0),MATCH("  ..............",A1682:A1691,0)&gt;2,V1681),"-")</f>
        <v xml:space="preserve">  FRASLETAP069  </v>
      </c>
      <c r="W1682">
        <f t="shared" ca="1" si="78"/>
        <v>1.0229999999999999</v>
      </c>
      <c r="X1682" t="str">
        <f t="shared" ca="1" si="79"/>
        <v xml:space="preserve"> FARROU-RS069 </v>
      </c>
      <c r="Y1682" s="1">
        <f t="shared" ca="1" si="80"/>
        <v>0.51900000000000002</v>
      </c>
    </row>
    <row r="1683" spans="1:25" x14ac:dyDescent="0.25">
      <c r="A1683" t="s">
        <v>1588</v>
      </c>
      <c r="B1683" t="s">
        <v>1587</v>
      </c>
      <c r="C1683">
        <v>75</v>
      </c>
      <c r="D1683">
        <v>90</v>
      </c>
      <c r="E1683">
        <v>90</v>
      </c>
      <c r="F1683" s="1">
        <v>0.19700000000000001</v>
      </c>
      <c r="G1683" t="s">
        <v>1587</v>
      </c>
      <c r="H1683" t="s">
        <v>1587</v>
      </c>
      <c r="I1683">
        <v>1207</v>
      </c>
      <c r="J1683" t="s">
        <v>2664</v>
      </c>
      <c r="K1683">
        <v>1</v>
      </c>
      <c r="L1683">
        <v>-14.4</v>
      </c>
      <c r="M1683">
        <v>-4.5999999999999996</v>
      </c>
      <c r="N1683">
        <v>14.8</v>
      </c>
      <c r="O1683" t="s">
        <v>1594</v>
      </c>
      <c r="P1683" t="s">
        <v>1584</v>
      </c>
      <c r="Q1683" t="s">
        <v>1591</v>
      </c>
      <c r="R1683">
        <v>0.03</v>
      </c>
      <c r="S1683">
        <v>0.03</v>
      </c>
      <c r="T1683" t="s">
        <v>1584</v>
      </c>
      <c r="U1683" t="s">
        <v>1592</v>
      </c>
      <c r="V1683" t="str" cm="1">
        <f t="array" aca="1" ref="V1683" ca="1">IFERROR(_xlfn.IFS(A1681="  ..............",OFFSET(A1681,2,0),A1680=" X-------------X",OFFSET(A1680,3,0),MATCH("  ..............",A1683:A1692,0)&gt;2,V1682),"-")</f>
        <v xml:space="preserve">  FRASLETAP069  </v>
      </c>
      <c r="W1683">
        <f t="shared" ca="1" si="78"/>
        <v>1.0229999999999999</v>
      </c>
      <c r="X1683" t="str">
        <f t="shared" ca="1" si="79"/>
        <v xml:space="preserve"> FRASLE-RS069 </v>
      </c>
      <c r="Y1683" s="1">
        <f t="shared" ca="1" si="80"/>
        <v>0.316</v>
      </c>
    </row>
    <row r="1684" spans="1:25" x14ac:dyDescent="0.25">
      <c r="A1684" t="s">
        <v>1588</v>
      </c>
      <c r="B1684" t="s">
        <v>1587</v>
      </c>
      <c r="C1684">
        <v>30</v>
      </c>
      <c r="D1684">
        <v>43</v>
      </c>
      <c r="E1684">
        <v>43</v>
      </c>
      <c r="F1684" s="1">
        <v>0.316</v>
      </c>
      <c r="G1684" t="s">
        <v>1587</v>
      </c>
      <c r="H1684" t="s">
        <v>1587</v>
      </c>
      <c r="I1684">
        <v>9830</v>
      </c>
      <c r="J1684" t="s">
        <v>2742</v>
      </c>
      <c r="K1684">
        <v>1</v>
      </c>
      <c r="L1684">
        <v>9.1999999999999993</v>
      </c>
      <c r="M1684">
        <v>3</v>
      </c>
      <c r="N1684">
        <v>9.5</v>
      </c>
      <c r="O1684" t="s">
        <v>1594</v>
      </c>
      <c r="P1684" t="s">
        <v>1584</v>
      </c>
      <c r="Q1684" t="s">
        <v>1591</v>
      </c>
      <c r="R1684">
        <v>0</v>
      </c>
      <c r="S1684">
        <v>0</v>
      </c>
      <c r="T1684" t="s">
        <v>1584</v>
      </c>
      <c r="U1684" t="s">
        <v>1592</v>
      </c>
      <c r="V1684" t="str" cm="1">
        <f t="array" aca="1" ref="V1684" ca="1">IFERROR(_xlfn.IFS(A1682="  ..............",OFFSET(A1682,2,0),A1681=" X-------------X",OFFSET(A1681,3,0),MATCH("  ..............",A1684:A1693,0)&gt;2,V1683),"-")</f>
        <v xml:space="preserve">  FRASLETAP069  </v>
      </c>
      <c r="W1684">
        <f t="shared" ca="1" si="78"/>
        <v>1.0229999999999999</v>
      </c>
      <c r="X1684" t="str">
        <f t="shared" ca="1" si="79"/>
        <v xml:space="preserve"> TONDO-TAP069 </v>
      </c>
      <c r="Y1684" s="1">
        <f t="shared" ca="1" si="80"/>
        <v>7.0999999999999994E-2</v>
      </c>
    </row>
    <row r="1685" spans="1:25" x14ac:dyDescent="0.25">
      <c r="A1685" t="s">
        <v>1588</v>
      </c>
      <c r="B1685" t="s">
        <v>1587</v>
      </c>
      <c r="C1685">
        <v>75</v>
      </c>
      <c r="D1685">
        <v>90</v>
      </c>
      <c r="E1685">
        <v>90</v>
      </c>
      <c r="F1685" s="1">
        <v>7.0999999999999994E-2</v>
      </c>
      <c r="G1685" t="s">
        <v>1587</v>
      </c>
      <c r="H1685" t="s">
        <v>1587</v>
      </c>
      <c r="I1685">
        <v>10227</v>
      </c>
      <c r="J1685" t="s">
        <v>2743</v>
      </c>
      <c r="K1685">
        <v>1</v>
      </c>
      <c r="L1685">
        <v>5.2</v>
      </c>
      <c r="M1685">
        <v>1.6</v>
      </c>
      <c r="N1685">
        <v>5.3</v>
      </c>
      <c r="O1685" t="s">
        <v>1594</v>
      </c>
      <c r="P1685" t="s">
        <v>1584</v>
      </c>
      <c r="Q1685" t="s">
        <v>1591</v>
      </c>
      <c r="R1685">
        <v>0</v>
      </c>
      <c r="S1685">
        <v>0</v>
      </c>
      <c r="T1685" t="s">
        <v>1584</v>
      </c>
      <c r="U1685" t="s">
        <v>1592</v>
      </c>
      <c r="V1685" t="str" cm="1">
        <f t="array" aca="1" ref="V1685" ca="1">IFERROR(_xlfn.IFS(A1683="  ..............",OFFSET(A1683,2,0),A1682=" X-------------X",OFFSET(A1682,3,0),MATCH("  ..............",A1685:A1694,0)&gt;2,V1684),"-")</f>
        <v>-</v>
      </c>
      <c r="W1685" t="str">
        <f t="shared" ca="1" si="78"/>
        <v>-</v>
      </c>
      <c r="X1685" t="str">
        <f t="shared" ca="1" si="79"/>
        <v>-</v>
      </c>
      <c r="Y1685" s="1" t="str">
        <f t="shared" ca="1" si="80"/>
        <v>-</v>
      </c>
    </row>
    <row r="1686" spans="1:25" x14ac:dyDescent="0.25">
      <c r="A1686" t="s">
        <v>1572</v>
      </c>
      <c r="B1686" t="s">
        <v>1574</v>
      </c>
      <c r="C1686" t="s">
        <v>1574</v>
      </c>
      <c r="D1686" t="s">
        <v>1574</v>
      </c>
      <c r="E1686" t="s">
        <v>1574</v>
      </c>
      <c r="F1686" t="s">
        <v>1575</v>
      </c>
      <c r="G1686" t="s">
        <v>1574</v>
      </c>
      <c r="H1686" t="s">
        <v>1574</v>
      </c>
      <c r="I1686" t="s">
        <v>1576</v>
      </c>
      <c r="J1686" t="s">
        <v>1573</v>
      </c>
      <c r="K1686" t="s">
        <v>1577</v>
      </c>
      <c r="L1686" t="s">
        <v>1574</v>
      </c>
      <c r="M1686" t="s">
        <v>1574</v>
      </c>
      <c r="N1686" t="s">
        <v>1574</v>
      </c>
      <c r="O1686" t="s">
        <v>1578</v>
      </c>
      <c r="P1686" t="s">
        <v>1576</v>
      </c>
      <c r="Q1686" t="s">
        <v>1579</v>
      </c>
      <c r="R1686" t="s">
        <v>1580</v>
      </c>
      <c r="S1686" t="s">
        <v>1580</v>
      </c>
      <c r="T1686" t="s">
        <v>1576</v>
      </c>
      <c r="U1686" t="s">
        <v>1576</v>
      </c>
      <c r="V1686" t="str" cm="1">
        <f t="array" aca="1" ref="V1686" ca="1">IFERROR(_xlfn.IFS(A1684="  ..............",OFFSET(A1684,2,0),A1683=" X-------------X",OFFSET(A1683,3,0),MATCH("  ..............",A1686:A1695,0)&gt;2,V1685),"-")</f>
        <v>-</v>
      </c>
      <c r="W1686" t="str">
        <f t="shared" ca="1" si="78"/>
        <v>-</v>
      </c>
      <c r="X1686" t="str">
        <f t="shared" ca="1" si="79"/>
        <v/>
      </c>
      <c r="Y1686" s="1" t="str">
        <f t="shared" ca="1" si="80"/>
        <v/>
      </c>
    </row>
    <row r="1687" spans="1:25" x14ac:dyDescent="0.25">
      <c r="A1687" t="s">
        <v>2744</v>
      </c>
      <c r="B1687">
        <v>1.022</v>
      </c>
      <c r="C1687">
        <v>0</v>
      </c>
      <c r="D1687">
        <v>0</v>
      </c>
      <c r="E1687">
        <v>9.1999999999999993</v>
      </c>
      <c r="F1687">
        <v>0</v>
      </c>
      <c r="G1687">
        <v>0</v>
      </c>
      <c r="H1687">
        <v>0</v>
      </c>
      <c r="I1687" t="s">
        <v>1581</v>
      </c>
      <c r="J1687" t="s">
        <v>1581</v>
      </c>
      <c r="K1687" t="s">
        <v>1581</v>
      </c>
      <c r="L1687" t="s">
        <v>1581</v>
      </c>
      <c r="M1687" t="s">
        <v>1581</v>
      </c>
      <c r="N1687" t="s">
        <v>1581</v>
      </c>
      <c r="O1687" t="s">
        <v>1581</v>
      </c>
      <c r="P1687" t="s">
        <v>1581</v>
      </c>
      <c r="Q1687" t="s">
        <v>1581</v>
      </c>
      <c r="R1687" t="s">
        <v>1581</v>
      </c>
      <c r="S1687" t="s">
        <v>1581</v>
      </c>
      <c r="T1687" t="s">
        <v>1581</v>
      </c>
      <c r="U1687" t="s">
        <v>1581</v>
      </c>
      <c r="V1687" t="str" cm="1">
        <f t="array" aca="1" ref="V1687" ca="1">IFERROR(_xlfn.IFS(A1685="  ..............",OFFSET(A1685,2,0),A1684=" X-------------X",OFFSET(A1684,3,0),MATCH("  ..............",A1687:A1696,0)&gt;2,V1686),"-")</f>
        <v>-</v>
      </c>
      <c r="W1687" t="str">
        <f t="shared" ca="1" si="78"/>
        <v>-</v>
      </c>
      <c r="X1687" t="str">
        <f t="shared" ca="1" si="79"/>
        <v xml:space="preserve">              </v>
      </c>
      <c r="Y1687" s="1">
        <f t="shared" ca="1" si="80"/>
        <v>0</v>
      </c>
    </row>
    <row r="1688" spans="1:25" x14ac:dyDescent="0.25">
      <c r="A1688" t="s">
        <v>2745</v>
      </c>
      <c r="B1688">
        <v>-50.5</v>
      </c>
      <c r="C1688">
        <v>0</v>
      </c>
      <c r="D1688">
        <v>0</v>
      </c>
      <c r="E1688">
        <v>3</v>
      </c>
      <c r="F1688">
        <v>0</v>
      </c>
      <c r="G1688">
        <v>0</v>
      </c>
      <c r="H1688">
        <v>0</v>
      </c>
      <c r="I1688" t="s">
        <v>1584</v>
      </c>
      <c r="J1688" t="s">
        <v>1585</v>
      </c>
      <c r="K1688" t="s">
        <v>1586</v>
      </c>
      <c r="L1688" t="s">
        <v>1587</v>
      </c>
      <c r="M1688" t="s">
        <v>1587</v>
      </c>
      <c r="N1688" t="s">
        <v>1586</v>
      </c>
      <c r="O1688" t="s">
        <v>1581</v>
      </c>
      <c r="P1688" t="s">
        <v>1581</v>
      </c>
      <c r="Q1688" t="s">
        <v>1581</v>
      </c>
      <c r="R1688" t="s">
        <v>1581</v>
      </c>
      <c r="S1688" t="s">
        <v>1581</v>
      </c>
      <c r="T1688" t="s">
        <v>1581</v>
      </c>
      <c r="U1688" t="s">
        <v>1581</v>
      </c>
      <c r="V1688" t="str" cm="1">
        <f t="array" aca="1" ref="V1688" ca="1">IFERROR(_xlfn.IFS(A1686="  ..............",OFFSET(A1686,2,0),A1685=" X-------------X",OFFSET(A1685,3,0),MATCH("  ..............",A1688:A1697,0)&gt;2,V1687),"-")</f>
        <v xml:space="preserve">  FRASLE-RS069  </v>
      </c>
      <c r="W1688">
        <f t="shared" ca="1" si="78"/>
        <v>1.022</v>
      </c>
      <c r="X1688" t="str">
        <f t="shared" ca="1" si="79"/>
        <v xml:space="preserve"> FRASLETAP069 </v>
      </c>
      <c r="Y1688" s="1">
        <f t="shared" ca="1" si="80"/>
        <v>0.19700000000000001</v>
      </c>
    </row>
    <row r="1689" spans="1:25" x14ac:dyDescent="0.25">
      <c r="A1689" t="s">
        <v>1588</v>
      </c>
      <c r="B1689" t="s">
        <v>1587</v>
      </c>
      <c r="C1689">
        <v>30</v>
      </c>
      <c r="D1689">
        <v>43</v>
      </c>
      <c r="E1689">
        <v>43</v>
      </c>
      <c r="F1689" s="1">
        <v>0.316</v>
      </c>
      <c r="G1689" t="s">
        <v>1587</v>
      </c>
      <c r="H1689" t="s">
        <v>1587</v>
      </c>
      <c r="I1689">
        <v>9829</v>
      </c>
      <c r="J1689" t="s">
        <v>1680</v>
      </c>
      <c r="K1689">
        <v>1</v>
      </c>
      <c r="L1689">
        <v>-9.1999999999999993</v>
      </c>
      <c r="M1689">
        <v>-3</v>
      </c>
      <c r="N1689">
        <v>9.5</v>
      </c>
      <c r="O1689" t="s">
        <v>1594</v>
      </c>
      <c r="P1689" t="s">
        <v>1584</v>
      </c>
      <c r="Q1689" t="s">
        <v>1591</v>
      </c>
      <c r="R1689">
        <v>0</v>
      </c>
      <c r="S1689">
        <v>0</v>
      </c>
      <c r="T1689" t="s">
        <v>1584</v>
      </c>
      <c r="U1689" t="s">
        <v>1592</v>
      </c>
      <c r="V1689" t="str" cm="1">
        <f t="array" aca="1" ref="V1689" ca="1">IFERROR(_xlfn.IFS(A1687="  ..............",OFFSET(A1687,2,0),A1686=" X-------------X",OFFSET(A1686,3,0),MATCH("  ..............",A1689:A1698,0)&gt;2,V1688),"-")</f>
        <v>-</v>
      </c>
      <c r="W1689" t="str">
        <f t="shared" ca="1" si="78"/>
        <v>-</v>
      </c>
      <c r="X1689" t="str">
        <f t="shared" ca="1" si="79"/>
        <v>-</v>
      </c>
      <c r="Y1689" s="1" t="str">
        <f t="shared" ca="1" si="80"/>
        <v>-</v>
      </c>
    </row>
    <row r="1690" spans="1:25" x14ac:dyDescent="0.25">
      <c r="A1690" t="s">
        <v>1572</v>
      </c>
      <c r="B1690" t="s">
        <v>1574</v>
      </c>
      <c r="C1690" t="s">
        <v>1574</v>
      </c>
      <c r="D1690" t="s">
        <v>1574</v>
      </c>
      <c r="E1690" t="s">
        <v>1574</v>
      </c>
      <c r="F1690" t="s">
        <v>1575</v>
      </c>
      <c r="G1690" t="s">
        <v>1574</v>
      </c>
      <c r="H1690" t="s">
        <v>1574</v>
      </c>
      <c r="I1690" t="s">
        <v>1576</v>
      </c>
      <c r="J1690" t="s">
        <v>1573</v>
      </c>
      <c r="K1690" t="s">
        <v>1577</v>
      </c>
      <c r="L1690" t="s">
        <v>1574</v>
      </c>
      <c r="M1690" t="s">
        <v>1574</v>
      </c>
      <c r="N1690" t="s">
        <v>1574</v>
      </c>
      <c r="O1690" t="s">
        <v>1578</v>
      </c>
      <c r="P1690" t="s">
        <v>1576</v>
      </c>
      <c r="Q1690" t="s">
        <v>1579</v>
      </c>
      <c r="R1690" t="s">
        <v>1580</v>
      </c>
      <c r="S1690" t="s">
        <v>1580</v>
      </c>
      <c r="T1690" t="s">
        <v>1576</v>
      </c>
      <c r="U1690" t="s">
        <v>1576</v>
      </c>
      <c r="V1690" t="str" cm="1">
        <f t="array" aca="1" ref="V1690" ca="1">IFERROR(_xlfn.IFS(A1688="  ..............",OFFSET(A1688,2,0),A1687=" X-------------X",OFFSET(A1687,3,0),MATCH("  ..............",A1690:A1699,0)&gt;2,V1689),"-")</f>
        <v>-</v>
      </c>
      <c r="W1690" t="str">
        <f t="shared" ca="1" si="78"/>
        <v>-</v>
      </c>
      <c r="X1690" t="str">
        <f t="shared" ca="1" si="79"/>
        <v/>
      </c>
      <c r="Y1690" s="1" t="str">
        <f t="shared" ca="1" si="80"/>
        <v/>
      </c>
    </row>
    <row r="1691" spans="1:25" x14ac:dyDescent="0.25">
      <c r="A1691" t="s">
        <v>2746</v>
      </c>
      <c r="B1691">
        <v>1.0129999999999999</v>
      </c>
      <c r="C1691">
        <v>8.4</v>
      </c>
      <c r="D1691">
        <v>0</v>
      </c>
      <c r="E1691">
        <v>98.3</v>
      </c>
      <c r="F1691">
        <v>0</v>
      </c>
      <c r="G1691">
        <v>0</v>
      </c>
      <c r="H1691">
        <v>0</v>
      </c>
      <c r="I1691" t="s">
        <v>1581</v>
      </c>
      <c r="J1691" t="s">
        <v>1581</v>
      </c>
      <c r="K1691" t="s">
        <v>1581</v>
      </c>
      <c r="L1691" t="s">
        <v>1581</v>
      </c>
      <c r="M1691" t="s">
        <v>1581</v>
      </c>
      <c r="N1691" t="s">
        <v>1581</v>
      </c>
      <c r="O1691" t="s">
        <v>1581</v>
      </c>
      <c r="P1691" t="s">
        <v>1581</v>
      </c>
      <c r="Q1691" t="s">
        <v>1581</v>
      </c>
      <c r="R1691" t="s">
        <v>1581</v>
      </c>
      <c r="S1691" t="s">
        <v>1581</v>
      </c>
      <c r="T1691" t="s">
        <v>1581</v>
      </c>
      <c r="U1691" t="s">
        <v>1581</v>
      </c>
      <c r="V1691" t="str" cm="1">
        <f t="array" aca="1" ref="V1691" ca="1">IFERROR(_xlfn.IFS(A1689="  ..............",OFFSET(A1689,2,0),A1688=" X-------------X",OFFSET(A1688,3,0),MATCH("  ..............",A1691:A1700,0)&gt;2,V1690),"-")</f>
        <v>-</v>
      </c>
      <c r="W1691" t="str">
        <f t="shared" ca="1" si="78"/>
        <v>-</v>
      </c>
      <c r="X1691" t="str">
        <f t="shared" ca="1" si="79"/>
        <v xml:space="preserve">              </v>
      </c>
      <c r="Y1691" s="1">
        <f t="shared" ca="1" si="80"/>
        <v>0</v>
      </c>
    </row>
    <row r="1692" spans="1:25" x14ac:dyDescent="0.25">
      <c r="A1692" t="s">
        <v>2747</v>
      </c>
      <c r="B1692">
        <v>-50.4</v>
      </c>
      <c r="C1692">
        <v>0</v>
      </c>
      <c r="D1692">
        <v>0</v>
      </c>
      <c r="E1692">
        <v>45</v>
      </c>
      <c r="F1692">
        <v>0</v>
      </c>
      <c r="G1692">
        <v>0</v>
      </c>
      <c r="H1692">
        <v>0</v>
      </c>
      <c r="I1692" t="s">
        <v>1584</v>
      </c>
      <c r="J1692" t="s">
        <v>1585</v>
      </c>
      <c r="K1692" t="s">
        <v>1586</v>
      </c>
      <c r="L1692" t="s">
        <v>1587</v>
      </c>
      <c r="M1692" t="s">
        <v>1587</v>
      </c>
      <c r="N1692" t="s">
        <v>1586</v>
      </c>
      <c r="O1692" t="s">
        <v>1581</v>
      </c>
      <c r="P1692" t="s">
        <v>1581</v>
      </c>
      <c r="Q1692" t="s">
        <v>1581</v>
      </c>
      <c r="R1692" t="s">
        <v>1581</v>
      </c>
      <c r="S1692" t="s">
        <v>1581</v>
      </c>
      <c r="T1692" t="s">
        <v>1581</v>
      </c>
      <c r="U1692" t="s">
        <v>1581</v>
      </c>
      <c r="V1692" t="str" cm="1">
        <f t="array" aca="1" ref="V1692" ca="1">IFERROR(_xlfn.IFS(A1690="  ..............",OFFSET(A1690,2,0),A1689=" X-------------X",OFFSET(A1689,3,0),MATCH("  ..............",A1692:A1701,0)&gt;2,V1691),"-")</f>
        <v xml:space="preserve">  VINHED-RS069  </v>
      </c>
      <c r="W1692">
        <f t="shared" ca="1" si="78"/>
        <v>1.0129999999999999</v>
      </c>
      <c r="X1692" t="str">
        <f t="shared" ca="1" si="79"/>
        <v xml:space="preserve"> VIN-1--RS000 </v>
      </c>
      <c r="Y1692" s="1">
        <f t="shared" ca="1" si="80"/>
        <v>0.30099999999999999</v>
      </c>
    </row>
    <row r="1693" spans="1:25" x14ac:dyDescent="0.25">
      <c r="A1693" t="s">
        <v>1588</v>
      </c>
      <c r="B1693" t="s">
        <v>1587</v>
      </c>
      <c r="C1693">
        <v>165</v>
      </c>
      <c r="D1693">
        <v>198</v>
      </c>
      <c r="E1693">
        <v>198</v>
      </c>
      <c r="F1693" s="1">
        <v>0.30099999999999999</v>
      </c>
      <c r="G1693" t="s">
        <v>1587</v>
      </c>
      <c r="H1693" t="s">
        <v>1587</v>
      </c>
      <c r="I1693">
        <v>43121</v>
      </c>
      <c r="J1693" t="s">
        <v>2748</v>
      </c>
      <c r="K1693">
        <v>1</v>
      </c>
      <c r="L1693">
        <v>-45</v>
      </c>
      <c r="M1693">
        <v>-22.5</v>
      </c>
      <c r="N1693">
        <v>49.7</v>
      </c>
      <c r="O1693" t="s">
        <v>1608</v>
      </c>
      <c r="P1693" t="s">
        <v>1584</v>
      </c>
      <c r="Q1693">
        <v>2</v>
      </c>
      <c r="R1693">
        <v>0.01</v>
      </c>
      <c r="S1693">
        <v>-0.2</v>
      </c>
      <c r="T1693" t="s">
        <v>1584</v>
      </c>
      <c r="U1693" t="s">
        <v>1592</v>
      </c>
      <c r="V1693" t="str" cm="1">
        <f t="array" aca="1" ref="V1693" ca="1">IFERROR(_xlfn.IFS(A1691="  ..............",OFFSET(A1691,2,0),A1690=" X-------------X",OFFSET(A1690,3,0),MATCH("  ..............",A1693:A1702,0)&gt;2,V1692),"-")</f>
        <v xml:space="preserve">  VINHED-RS069  </v>
      </c>
      <c r="W1693">
        <f t="shared" ca="1" si="78"/>
        <v>1.0129999999999999</v>
      </c>
      <c r="X1693" t="str">
        <f t="shared" ca="1" si="79"/>
        <v xml:space="preserve"> VIN-2--RS000 </v>
      </c>
      <c r="Y1693" s="1">
        <f t="shared" ca="1" si="80"/>
        <v>0.3</v>
      </c>
    </row>
    <row r="1694" spans="1:25" x14ac:dyDescent="0.25">
      <c r="A1694" t="s">
        <v>1588</v>
      </c>
      <c r="B1694" t="s">
        <v>1587</v>
      </c>
      <c r="C1694">
        <v>165</v>
      </c>
      <c r="D1694">
        <v>198</v>
      </c>
      <c r="E1694">
        <v>198</v>
      </c>
      <c r="F1694" s="1">
        <v>0.3</v>
      </c>
      <c r="G1694" t="s">
        <v>1587</v>
      </c>
      <c r="H1694" t="s">
        <v>1587</v>
      </c>
      <c r="I1694">
        <v>43123</v>
      </c>
      <c r="J1694" t="s">
        <v>2749</v>
      </c>
      <c r="K1694">
        <v>2</v>
      </c>
      <c r="L1694">
        <v>-44.9</v>
      </c>
      <c r="M1694">
        <v>-22.5</v>
      </c>
      <c r="N1694">
        <v>49.5</v>
      </c>
      <c r="O1694" t="s">
        <v>1608</v>
      </c>
      <c r="P1694" t="s">
        <v>1584</v>
      </c>
      <c r="Q1694">
        <v>2</v>
      </c>
      <c r="R1694">
        <v>0.03</v>
      </c>
      <c r="S1694">
        <v>-0.2</v>
      </c>
      <c r="T1694" t="s">
        <v>1584</v>
      </c>
      <c r="U1694" t="s">
        <v>1592</v>
      </c>
      <c r="V1694" t="str" cm="1">
        <f t="array" aca="1" ref="V1694" ca="1">IFERROR(_xlfn.IFS(A1692="  ..............",OFFSET(A1692,2,0),A1691=" X-------------X",OFFSET(A1691,3,0),MATCH("  ..............",A1694:A1703,0)&gt;2,V1693),"-")</f>
        <v>-</v>
      </c>
      <c r="W1694" t="str">
        <f t="shared" ca="1" si="78"/>
        <v>-</v>
      </c>
      <c r="X1694" t="str">
        <f t="shared" ca="1" si="79"/>
        <v>-</v>
      </c>
      <c r="Y1694" s="1" t="str">
        <f t="shared" ca="1" si="80"/>
        <v>-</v>
      </c>
    </row>
    <row r="1695" spans="1:25" x14ac:dyDescent="0.25">
      <c r="A1695" t="s">
        <v>1572</v>
      </c>
      <c r="B1695" t="s">
        <v>1574</v>
      </c>
      <c r="C1695" t="s">
        <v>1574</v>
      </c>
      <c r="D1695" t="s">
        <v>1574</v>
      </c>
      <c r="E1695" t="s">
        <v>1574</v>
      </c>
      <c r="F1695" t="s">
        <v>1575</v>
      </c>
      <c r="G1695" t="s">
        <v>1574</v>
      </c>
      <c r="H1695" t="s">
        <v>1574</v>
      </c>
      <c r="I1695" t="s">
        <v>1576</v>
      </c>
      <c r="J1695" t="s">
        <v>1573</v>
      </c>
      <c r="K1695" t="s">
        <v>1577</v>
      </c>
      <c r="L1695" t="s">
        <v>1574</v>
      </c>
      <c r="M1695" t="s">
        <v>1574</v>
      </c>
      <c r="N1695" t="s">
        <v>1574</v>
      </c>
      <c r="O1695" t="s">
        <v>1578</v>
      </c>
      <c r="P1695" t="s">
        <v>1576</v>
      </c>
      <c r="Q1695" t="s">
        <v>1579</v>
      </c>
      <c r="R1695" t="s">
        <v>1580</v>
      </c>
      <c r="S1695" t="s">
        <v>1580</v>
      </c>
      <c r="T1695" t="s">
        <v>1576</v>
      </c>
      <c r="U1695" t="s">
        <v>1576</v>
      </c>
      <c r="V1695" t="str" cm="1">
        <f t="array" aca="1" ref="V1695" ca="1">IFERROR(_xlfn.IFS(A1693="  ..............",OFFSET(A1693,2,0),A1692=" X-------------X",OFFSET(A1692,3,0),MATCH("  ..............",A1695:A1704,0)&gt;2,V1694),"-")</f>
        <v>-</v>
      </c>
      <c r="W1695" t="str">
        <f t="shared" ca="1" si="78"/>
        <v>-</v>
      </c>
      <c r="X1695" t="str">
        <f t="shared" ca="1" si="79"/>
        <v xml:space="preserve"> V11.06.02    </v>
      </c>
      <c r="Y1695" s="1" t="str">
        <f t="shared" ca="1" si="80"/>
        <v xml:space="preserve">A - PROGRAMA </v>
      </c>
    </row>
    <row r="1696" spans="1:25" x14ac:dyDescent="0.25">
      <c r="A1696" t="s">
        <v>1725</v>
      </c>
      <c r="B1696" t="s">
        <v>1726</v>
      </c>
      <c r="C1696" t="s">
        <v>1727</v>
      </c>
      <c r="D1696" t="s">
        <v>1728</v>
      </c>
      <c r="E1696" t="s">
        <v>1729</v>
      </c>
      <c r="F1696" t="s">
        <v>1730</v>
      </c>
      <c r="G1696" t="s">
        <v>1731</v>
      </c>
      <c r="H1696" t="s">
        <v>1732</v>
      </c>
      <c r="I1696" t="s">
        <v>1733</v>
      </c>
      <c r="J1696" t="s">
        <v>1734</v>
      </c>
      <c r="K1696" t="s">
        <v>1586</v>
      </c>
      <c r="L1696" t="s">
        <v>1587</v>
      </c>
      <c r="M1696" t="s">
        <v>1587</v>
      </c>
      <c r="N1696" t="s">
        <v>1587</v>
      </c>
      <c r="O1696" t="s">
        <v>1735</v>
      </c>
      <c r="P1696">
        <v>11</v>
      </c>
      <c r="Q1696" t="s">
        <v>1581</v>
      </c>
      <c r="R1696" t="s">
        <v>1581</v>
      </c>
      <c r="S1696" t="s">
        <v>1581</v>
      </c>
      <c r="T1696" t="s">
        <v>1581</v>
      </c>
      <c r="U1696" t="s">
        <v>1581</v>
      </c>
      <c r="V1696" t="str" cm="1">
        <f t="array" aca="1" ref="V1696" ca="1">IFERROR(_xlfn.IFS(A1694="  ..............",OFFSET(A1694,2,0),A1693=" X-------------X",OFFSET(A1693,3,0),MATCH("  ..............",A1696:A1705,0)&gt;2,V1695),"-")</f>
        <v>-</v>
      </c>
      <c r="W1696" t="str">
        <f t="shared" ca="1" si="78"/>
        <v>-</v>
      </c>
      <c r="X1696" t="str">
        <f t="shared" ca="1" si="79"/>
        <v/>
      </c>
      <c r="Y1696" s="1" t="str">
        <f t="shared" ca="1" si="80"/>
        <v/>
      </c>
    </row>
    <row r="1697" spans="1:25" x14ac:dyDescent="0.25">
      <c r="A1697" t="s">
        <v>1581</v>
      </c>
      <c r="B1697" t="s">
        <v>1581</v>
      </c>
      <c r="C1697" t="s">
        <v>1581</v>
      </c>
      <c r="D1697" t="s">
        <v>1581</v>
      </c>
      <c r="E1697" t="s">
        <v>1581</v>
      </c>
      <c r="F1697" t="s">
        <v>1581</v>
      </c>
      <c r="G1697" t="s">
        <v>1581</v>
      </c>
      <c r="H1697" t="s">
        <v>1581</v>
      </c>
      <c r="I1697" t="s">
        <v>1581</v>
      </c>
      <c r="J1697" t="s">
        <v>1581</v>
      </c>
      <c r="K1697" t="s">
        <v>1581</v>
      </c>
      <c r="L1697" t="s">
        <v>1581</v>
      </c>
      <c r="M1697" t="s">
        <v>1581</v>
      </c>
      <c r="N1697" t="s">
        <v>1581</v>
      </c>
      <c r="O1697" t="s">
        <v>1581</v>
      </c>
      <c r="P1697" t="s">
        <v>1581</v>
      </c>
      <c r="Q1697" t="s">
        <v>1581</v>
      </c>
      <c r="R1697" t="s">
        <v>1581</v>
      </c>
      <c r="S1697" t="s">
        <v>1581</v>
      </c>
      <c r="T1697" t="s">
        <v>1581</v>
      </c>
      <c r="U1697" t="s">
        <v>1581</v>
      </c>
      <c r="V1697" t="str" cm="1">
        <f t="array" aca="1" ref="V1697" ca="1">IFERROR(_xlfn.IFS(A1695="  ..............",OFFSET(A1695,2,0),A1694=" X-------------X",OFFSET(A1694,3,0),MATCH("  ..............",A1697:A1706,0)&gt;2,V1696),"-")</f>
        <v/>
      </c>
      <c r="W1697" t="str">
        <f t="shared" ca="1" si="78"/>
        <v>X-------X</v>
      </c>
      <c r="X1697" t="str">
        <f t="shared" ca="1" si="79"/>
        <v/>
      </c>
      <c r="Y1697" s="1" t="str">
        <f t="shared" ca="1" si="80"/>
        <v/>
      </c>
    </row>
    <row r="1698" spans="1:25" x14ac:dyDescent="0.25">
      <c r="A1698" t="s">
        <v>1736</v>
      </c>
      <c r="B1698" t="s">
        <v>1737</v>
      </c>
      <c r="C1698" t="s">
        <v>1738</v>
      </c>
      <c r="D1698" t="s">
        <v>1739</v>
      </c>
      <c r="E1698" t="s">
        <v>1740</v>
      </c>
      <c r="F1698" t="s">
        <v>1741</v>
      </c>
      <c r="G1698" t="s">
        <v>1742</v>
      </c>
      <c r="H1698" t="s">
        <v>1743</v>
      </c>
      <c r="I1698" t="s">
        <v>1744</v>
      </c>
      <c r="J1698" t="s">
        <v>1581</v>
      </c>
      <c r="K1698" t="s">
        <v>1581</v>
      </c>
      <c r="L1698" t="s">
        <v>1581</v>
      </c>
      <c r="M1698" t="s">
        <v>1581</v>
      </c>
      <c r="N1698" t="s">
        <v>1581</v>
      </c>
      <c r="O1698" t="s">
        <v>1581</v>
      </c>
      <c r="P1698" t="s">
        <v>1581</v>
      </c>
      <c r="Q1698" t="s">
        <v>1581</v>
      </c>
      <c r="R1698" t="s">
        <v>1581</v>
      </c>
      <c r="S1698" t="s">
        <v>1581</v>
      </c>
      <c r="T1698" t="s">
        <v>1581</v>
      </c>
      <c r="U1698" t="s">
        <v>1581</v>
      </c>
      <c r="V1698" t="str" cm="1">
        <f t="array" aca="1" ref="V1698" ca="1">IFERROR(_xlfn.IFS(A1696="  ..............",OFFSET(A1696,2,0),A1695=" X-------------X",OFFSET(A1695,3,0),MATCH("  ..............",A1698:A1707,0)&gt;2,V1697),"-")</f>
        <v>-</v>
      </c>
      <c r="W1698" t="str">
        <f t="shared" ca="1" si="78"/>
        <v>-</v>
      </c>
      <c r="X1698" t="str">
        <f t="shared" ca="1" si="79"/>
        <v>-</v>
      </c>
      <c r="Y1698" s="1" t="str">
        <f t="shared" ca="1" si="80"/>
        <v>-</v>
      </c>
    </row>
    <row r="1699" spans="1:25" x14ac:dyDescent="0.25">
      <c r="A1699" t="s">
        <v>1745</v>
      </c>
      <c r="B1699" t="s">
        <v>1746</v>
      </c>
      <c r="C1699" t="s">
        <v>1747</v>
      </c>
      <c r="D1699" t="s">
        <v>1748</v>
      </c>
      <c r="E1699" t="s">
        <v>1749</v>
      </c>
      <c r="F1699" t="s">
        <v>1750</v>
      </c>
      <c r="G1699" t="s">
        <v>1587</v>
      </c>
      <c r="H1699" t="s">
        <v>1587</v>
      </c>
      <c r="I1699" t="s">
        <v>1591</v>
      </c>
      <c r="J1699" t="s">
        <v>1581</v>
      </c>
      <c r="K1699" t="s">
        <v>1581</v>
      </c>
      <c r="L1699" t="s">
        <v>1581</v>
      </c>
      <c r="M1699" t="s">
        <v>1581</v>
      </c>
      <c r="N1699" t="s">
        <v>1581</v>
      </c>
      <c r="O1699" t="s">
        <v>1581</v>
      </c>
      <c r="P1699" t="s">
        <v>1581</v>
      </c>
      <c r="Q1699" t="s">
        <v>1581</v>
      </c>
      <c r="R1699" t="s">
        <v>1581</v>
      </c>
      <c r="S1699" t="s">
        <v>1581</v>
      </c>
      <c r="T1699" t="s">
        <v>1581</v>
      </c>
      <c r="U1699" t="s">
        <v>1581</v>
      </c>
      <c r="V1699" t="str" cm="1">
        <f t="array" aca="1" ref="V1699" ca="1">IFERROR(_xlfn.IFS(A1697="  ..............",OFFSET(A1697,2,0),A1696=" X-------------X",OFFSET(A1696,3,0),MATCH("  ..............",A1699:A1708,0)&gt;2,V1698),"-")</f>
        <v>-</v>
      </c>
      <c r="W1699" t="str">
        <f t="shared" ca="1" si="78"/>
        <v>-</v>
      </c>
      <c r="X1699" t="str">
        <f t="shared" ca="1" si="79"/>
        <v/>
      </c>
      <c r="Y1699" s="1" t="str">
        <f t="shared" ca="1" si="80"/>
        <v/>
      </c>
    </row>
    <row r="1700" spans="1:25" x14ac:dyDescent="0.25">
      <c r="A1700" t="s">
        <v>1581</v>
      </c>
      <c r="B1700" t="s">
        <v>1581</v>
      </c>
      <c r="C1700" t="s">
        <v>1581</v>
      </c>
      <c r="D1700" t="s">
        <v>1581</v>
      </c>
      <c r="E1700" t="s">
        <v>1581</v>
      </c>
      <c r="F1700" t="s">
        <v>1581</v>
      </c>
      <c r="G1700" t="s">
        <v>1581</v>
      </c>
      <c r="H1700" t="s">
        <v>1581</v>
      </c>
      <c r="I1700" t="s">
        <v>1581</v>
      </c>
      <c r="J1700" t="s">
        <v>1581</v>
      </c>
      <c r="K1700" t="s">
        <v>1581</v>
      </c>
      <c r="L1700" t="s">
        <v>1581</v>
      </c>
      <c r="M1700" t="s">
        <v>1581</v>
      </c>
      <c r="N1700" t="s">
        <v>1581</v>
      </c>
      <c r="O1700" t="s">
        <v>1581</v>
      </c>
      <c r="P1700" t="s">
        <v>1581</v>
      </c>
      <c r="Q1700" t="s">
        <v>1581</v>
      </c>
      <c r="R1700" t="s">
        <v>1581</v>
      </c>
      <c r="S1700" t="s">
        <v>1581</v>
      </c>
      <c r="T1700" t="s">
        <v>1581</v>
      </c>
      <c r="U1700" t="s">
        <v>1581</v>
      </c>
      <c r="V1700" t="str" cm="1">
        <f t="array" aca="1" ref="V1700" ca="1">IFERROR(_xlfn.IFS(A1698="  ..............",OFFSET(A1698,2,0),A1697=" X-------------X",OFFSET(A1697,3,0),MATCH("  ..............",A1700:A1709,0)&gt;2,V1699),"-")</f>
        <v>-</v>
      </c>
      <c r="W1700" t="str">
        <f t="shared" ca="1" si="78"/>
        <v>-</v>
      </c>
      <c r="X1700" t="str">
        <f t="shared" ca="1" si="79"/>
        <v>-------- F L U</v>
      </c>
      <c r="Y1700" s="1" t="str">
        <f t="shared" ca="1" si="80"/>
        <v xml:space="preserve"> ------------</v>
      </c>
    </row>
    <row r="1701" spans="1:25" x14ac:dyDescent="0.25">
      <c r="A1701" t="s">
        <v>1751</v>
      </c>
      <c r="B1701" t="s">
        <v>1752</v>
      </c>
      <c r="C1701" t="s">
        <v>1753</v>
      </c>
      <c r="D1701" t="s">
        <v>1754</v>
      </c>
      <c r="E1701" t="s">
        <v>1755</v>
      </c>
      <c r="F1701" t="s">
        <v>1756</v>
      </c>
      <c r="G1701" t="s">
        <v>1757</v>
      </c>
      <c r="H1701" t="s">
        <v>1758</v>
      </c>
      <c r="I1701" t="s">
        <v>1759</v>
      </c>
      <c r="J1701" t="s">
        <v>1760</v>
      </c>
      <c r="K1701" t="s">
        <v>1761</v>
      </c>
      <c r="L1701" t="s">
        <v>1762</v>
      </c>
      <c r="M1701" t="s">
        <v>1763</v>
      </c>
      <c r="N1701" t="s">
        <v>1764</v>
      </c>
      <c r="O1701" t="s">
        <v>1765</v>
      </c>
      <c r="P1701" t="s">
        <v>1766</v>
      </c>
      <c r="Q1701" t="s">
        <v>1767</v>
      </c>
      <c r="R1701" t="s">
        <v>1571</v>
      </c>
      <c r="S1701" t="s">
        <v>1571</v>
      </c>
      <c r="T1701" t="s">
        <v>1759</v>
      </c>
      <c r="U1701" t="s">
        <v>1768</v>
      </c>
      <c r="V1701" t="str" cm="1">
        <f t="array" aca="1" ref="V1701" ca="1">IFERROR(_xlfn.IFS(A1699="  ..............",OFFSET(A1699,2,0),A1698=" X-------------X",OFFSET(A1698,3,0),MATCH("  ..............",A1701:A1710,0)&gt;2,V1700),"-")</f>
        <v>-</v>
      </c>
      <c r="W1701" t="str">
        <f t="shared" ca="1" si="78"/>
        <v>-</v>
      </c>
      <c r="X1701" t="str">
        <f t="shared" ca="1" si="79"/>
        <v xml:space="preserve">              </v>
      </c>
      <c r="Y1701" s="1">
        <f t="shared" ca="1" si="80"/>
        <v>0</v>
      </c>
    </row>
    <row r="1702" spans="1:25" x14ac:dyDescent="0.25">
      <c r="A1702" t="s">
        <v>1769</v>
      </c>
      <c r="B1702" t="s">
        <v>1770</v>
      </c>
      <c r="C1702" t="s">
        <v>1771</v>
      </c>
      <c r="D1702" t="s">
        <v>1772</v>
      </c>
      <c r="E1702" t="s">
        <v>1773</v>
      </c>
      <c r="F1702" t="s">
        <v>1774</v>
      </c>
      <c r="G1702" t="s">
        <v>1775</v>
      </c>
      <c r="H1702" t="s">
        <v>1776</v>
      </c>
      <c r="I1702" t="s">
        <v>1584</v>
      </c>
      <c r="J1702" t="s">
        <v>1585</v>
      </c>
      <c r="K1702" t="s">
        <v>1586</v>
      </c>
      <c r="L1702" t="s">
        <v>1587</v>
      </c>
      <c r="M1702" t="s">
        <v>1587</v>
      </c>
      <c r="N1702" t="s">
        <v>1587</v>
      </c>
      <c r="O1702" t="s">
        <v>1594</v>
      </c>
      <c r="P1702" t="s">
        <v>1584</v>
      </c>
      <c r="Q1702" t="s">
        <v>1591</v>
      </c>
      <c r="R1702" t="s">
        <v>1777</v>
      </c>
      <c r="S1702" t="s">
        <v>1777</v>
      </c>
      <c r="T1702" t="s">
        <v>1584</v>
      </c>
      <c r="U1702" t="s">
        <v>1778</v>
      </c>
      <c r="V1702" t="str" cm="1">
        <f t="array" aca="1" ref="V1702" ca="1">IFERROR(_xlfn.IFS(A1700="  ..............",OFFSET(A1700,2,0),A1699=" X-------------X",OFFSET(A1699,3,0),MATCH("  ..............",A1702:A1711,0)&gt;2,V1701),"-")</f>
        <v>-</v>
      </c>
      <c r="W1702" t="str">
        <f t="shared" ca="1" si="78"/>
        <v>-</v>
      </c>
      <c r="X1702" t="str">
        <f t="shared" ca="1" si="79"/>
        <v xml:space="preserve">              </v>
      </c>
      <c r="Y1702" s="1">
        <f t="shared" ca="1" si="80"/>
        <v>0</v>
      </c>
    </row>
    <row r="1703" spans="1:25" x14ac:dyDescent="0.25">
      <c r="A1703" t="s">
        <v>1779</v>
      </c>
      <c r="B1703" t="s">
        <v>1780</v>
      </c>
      <c r="C1703" t="s">
        <v>1781</v>
      </c>
      <c r="D1703" t="s">
        <v>1781</v>
      </c>
      <c r="E1703" t="s">
        <v>1781</v>
      </c>
      <c r="F1703" t="s">
        <v>1782</v>
      </c>
      <c r="G1703" t="s">
        <v>1783</v>
      </c>
      <c r="H1703" t="s">
        <v>1784</v>
      </c>
      <c r="I1703" t="s">
        <v>1584</v>
      </c>
      <c r="J1703" t="s">
        <v>1585</v>
      </c>
      <c r="K1703" t="s">
        <v>1586</v>
      </c>
      <c r="L1703" t="s">
        <v>1587</v>
      </c>
      <c r="M1703" t="s">
        <v>1587</v>
      </c>
      <c r="N1703" t="s">
        <v>1587</v>
      </c>
      <c r="O1703" t="s">
        <v>1594</v>
      </c>
      <c r="P1703" t="s">
        <v>1584</v>
      </c>
      <c r="Q1703" t="s">
        <v>1785</v>
      </c>
      <c r="R1703" t="s">
        <v>1786</v>
      </c>
      <c r="S1703" t="s">
        <v>1787</v>
      </c>
      <c r="T1703" t="s">
        <v>1788</v>
      </c>
      <c r="U1703" t="s">
        <v>1778</v>
      </c>
      <c r="V1703" t="str" cm="1">
        <f t="array" aca="1" ref="V1703" ca="1">IFERROR(_xlfn.IFS(A1701="  ..............",OFFSET(A1701,2,0),A1700=" X-------------X",OFFSET(A1700,3,0),MATCH("  ..............",A1703:A1712,0)&gt;2,V1702),"-")</f>
        <v>-</v>
      </c>
      <c r="W1703" t="str">
        <f t="shared" ca="1" si="78"/>
        <v>-</v>
      </c>
      <c r="X1703" t="str">
        <f t="shared" ca="1" si="79"/>
        <v xml:space="preserve">A             </v>
      </c>
      <c r="Y1703" s="1" t="str">
        <f t="shared" ca="1" si="80"/>
        <v xml:space="preserve">   Mvar   EQU</v>
      </c>
    </row>
    <row r="1704" spans="1:25" x14ac:dyDescent="0.25">
      <c r="A1704" t="s">
        <v>1789</v>
      </c>
      <c r="B1704" t="s">
        <v>1790</v>
      </c>
      <c r="C1704" t="s">
        <v>1791</v>
      </c>
      <c r="D1704" t="s">
        <v>1791</v>
      </c>
      <c r="E1704" t="s">
        <v>1791</v>
      </c>
      <c r="F1704" t="s">
        <v>1792</v>
      </c>
      <c r="G1704" t="s">
        <v>1793</v>
      </c>
      <c r="H1704" t="s">
        <v>1794</v>
      </c>
      <c r="I1704" t="s">
        <v>1795</v>
      </c>
      <c r="J1704" t="s">
        <v>1796</v>
      </c>
      <c r="K1704" t="s">
        <v>1586</v>
      </c>
      <c r="L1704" t="s">
        <v>1797</v>
      </c>
      <c r="M1704" t="s">
        <v>1798</v>
      </c>
      <c r="N1704" t="s">
        <v>1587</v>
      </c>
      <c r="O1704" t="s">
        <v>1594</v>
      </c>
      <c r="P1704" t="s">
        <v>1584</v>
      </c>
      <c r="Q1704" t="s">
        <v>1799</v>
      </c>
      <c r="R1704" t="s">
        <v>1800</v>
      </c>
      <c r="S1704" t="s">
        <v>1801</v>
      </c>
      <c r="T1704" t="s">
        <v>1802</v>
      </c>
      <c r="U1704" t="s">
        <v>1803</v>
      </c>
      <c r="V1704" t="str" cm="1">
        <f t="array" aca="1" ref="V1704" ca="1">IFERROR(_xlfn.IFS(A1702="  ..............",OFFSET(A1702,2,0),A1701=" X-------------X",OFFSET(A1701,3,0),MATCH("  ..............",A1704:A1713,0)&gt;2,V1703),"-")</f>
        <v>-</v>
      </c>
      <c r="W1704" t="str">
        <f t="shared" ca="1" si="78"/>
        <v>-</v>
      </c>
      <c r="X1704" t="str">
        <f t="shared" ca="1" si="79"/>
        <v xml:space="preserve">     NOME     </v>
      </c>
      <c r="Y1704" s="1" t="str">
        <f t="shared" ca="1" si="80"/>
        <v xml:space="preserve">   FLUXO %   </v>
      </c>
    </row>
    <row r="1705" spans="1:25" x14ac:dyDescent="0.25">
      <c r="A1705" t="s">
        <v>1588</v>
      </c>
      <c r="B1705" t="s">
        <v>1587</v>
      </c>
      <c r="C1705" t="s">
        <v>1804</v>
      </c>
      <c r="D1705" t="s">
        <v>1805</v>
      </c>
      <c r="E1705" t="s">
        <v>1806</v>
      </c>
      <c r="F1705" t="s">
        <v>1807</v>
      </c>
      <c r="G1705" t="s">
        <v>1808</v>
      </c>
      <c r="H1705" t="s">
        <v>1587</v>
      </c>
      <c r="I1705" t="s">
        <v>1809</v>
      </c>
      <c r="J1705" t="s">
        <v>1810</v>
      </c>
      <c r="K1705" t="s">
        <v>1811</v>
      </c>
      <c r="L1705" t="s">
        <v>1812</v>
      </c>
      <c r="M1705" t="s">
        <v>1791</v>
      </c>
      <c r="N1705" t="s">
        <v>1813</v>
      </c>
      <c r="O1705" t="s">
        <v>1814</v>
      </c>
      <c r="P1705" t="s">
        <v>1815</v>
      </c>
      <c r="Q1705" t="s">
        <v>1816</v>
      </c>
      <c r="R1705" t="s">
        <v>1817</v>
      </c>
      <c r="S1705" t="s">
        <v>1818</v>
      </c>
      <c r="T1705" t="s">
        <v>1819</v>
      </c>
      <c r="U1705" t="s">
        <v>1820</v>
      </c>
      <c r="V1705" t="str" cm="1">
        <f t="array" aca="1" ref="V1705" ca="1">IFERROR(_xlfn.IFS(A1703="  ..............",OFFSET(A1703,2,0),A1702=" X-------------X",OFFSET(A1702,3,0),MATCH("  ..............",A1705:A1714,0)&gt;2,V1704),"-")</f>
        <v>-</v>
      </c>
      <c r="W1705" t="str">
        <f t="shared" ca="1" si="78"/>
        <v>-</v>
      </c>
      <c r="X1705" t="str">
        <f t="shared" ca="1" si="79"/>
        <v>X------------X</v>
      </c>
      <c r="Y1705" s="1" t="str">
        <f t="shared" ca="1" si="80"/>
        <v>X-----------X</v>
      </c>
    </row>
    <row r="1706" spans="1:25" x14ac:dyDescent="0.25">
      <c r="A1706" t="s">
        <v>1563</v>
      </c>
      <c r="B1706" t="s">
        <v>1564</v>
      </c>
      <c r="C1706" t="s">
        <v>1564</v>
      </c>
      <c r="D1706" t="s">
        <v>1564</v>
      </c>
      <c r="E1706" t="s">
        <v>1564</v>
      </c>
      <c r="F1706" t="s">
        <v>1565</v>
      </c>
      <c r="G1706" t="s">
        <v>1564</v>
      </c>
      <c r="H1706" t="s">
        <v>1564</v>
      </c>
      <c r="I1706" t="s">
        <v>1566</v>
      </c>
      <c r="J1706" t="s">
        <v>1567</v>
      </c>
      <c r="K1706" t="s">
        <v>1568</v>
      </c>
      <c r="L1706" t="s">
        <v>1564</v>
      </c>
      <c r="M1706" t="s">
        <v>1564</v>
      </c>
      <c r="N1706" t="s">
        <v>1564</v>
      </c>
      <c r="O1706" t="s">
        <v>1569</v>
      </c>
      <c r="P1706" t="s">
        <v>1566</v>
      </c>
      <c r="Q1706" t="s">
        <v>1570</v>
      </c>
      <c r="R1706" t="s">
        <v>1571</v>
      </c>
      <c r="S1706" t="s">
        <v>1571</v>
      </c>
      <c r="T1706" t="s">
        <v>1566</v>
      </c>
      <c r="U1706" t="s">
        <v>1566</v>
      </c>
      <c r="V1706" t="str" cm="1">
        <f t="array" aca="1" ref="V1706" ca="1">IFERROR(_xlfn.IFS(A1704="  ..............",OFFSET(A1704,2,0),A1703=" X-------------X",OFFSET(A1703,3,0),MATCH("  ..............",A1706:A1715,0)&gt;2,V1705),"-")</f>
        <v>-</v>
      </c>
      <c r="W1706" t="str">
        <f t="shared" ca="1" si="78"/>
        <v>-</v>
      </c>
      <c r="X1706" t="str">
        <f t="shared" ca="1" si="79"/>
        <v/>
      </c>
      <c r="Y1706" s="1" t="str">
        <f t="shared" ca="1" si="80"/>
        <v/>
      </c>
    </row>
    <row r="1707" spans="1:25" x14ac:dyDescent="0.25">
      <c r="A1707" t="s">
        <v>1581</v>
      </c>
      <c r="B1707" t="s">
        <v>1581</v>
      </c>
      <c r="C1707" t="s">
        <v>1581</v>
      </c>
      <c r="D1707" t="s">
        <v>1581</v>
      </c>
      <c r="E1707" t="s">
        <v>1581</v>
      </c>
      <c r="F1707" t="s">
        <v>1581</v>
      </c>
      <c r="G1707" t="s">
        <v>1581</v>
      </c>
      <c r="H1707" t="s">
        <v>1581</v>
      </c>
      <c r="I1707" t="s">
        <v>1581</v>
      </c>
      <c r="J1707" t="s">
        <v>1581</v>
      </c>
      <c r="K1707" t="s">
        <v>1581</v>
      </c>
      <c r="L1707" t="s">
        <v>1581</v>
      </c>
      <c r="M1707" t="s">
        <v>1581</v>
      </c>
      <c r="N1707" t="s">
        <v>1581</v>
      </c>
      <c r="O1707" t="s">
        <v>1581</v>
      </c>
      <c r="P1707" t="s">
        <v>1581</v>
      </c>
      <c r="Q1707" t="s">
        <v>1581</v>
      </c>
      <c r="R1707" t="s">
        <v>1581</v>
      </c>
      <c r="S1707" t="s">
        <v>1581</v>
      </c>
      <c r="T1707" t="s">
        <v>1581</v>
      </c>
      <c r="U1707" t="s">
        <v>1581</v>
      </c>
      <c r="V1707" t="str" cm="1">
        <f t="array" aca="1" ref="V1707" ca="1">IFERROR(_xlfn.IFS(A1705="  ..............",OFFSET(A1705,2,0),A1704=" X-------------X",OFFSET(A1704,3,0),MATCH("  ..............",A1707:A1716,0)&gt;2,V1706),"-")</f>
        <v>-</v>
      </c>
      <c r="W1707" t="str">
        <f t="shared" ca="1" si="78"/>
        <v>-</v>
      </c>
      <c r="X1707" t="str">
        <f t="shared" ca="1" si="79"/>
        <v/>
      </c>
      <c r="Y1707" s="1" t="str">
        <f t="shared" ca="1" si="80"/>
        <v/>
      </c>
    </row>
    <row r="1708" spans="1:25" x14ac:dyDescent="0.25">
      <c r="A1708" t="s">
        <v>2750</v>
      </c>
      <c r="B1708">
        <v>1.0009999999999999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 t="s">
        <v>1581</v>
      </c>
      <c r="J1708" t="s">
        <v>1581</v>
      </c>
      <c r="K1708" t="s">
        <v>1581</v>
      </c>
      <c r="L1708" t="s">
        <v>1581</v>
      </c>
      <c r="M1708" t="s">
        <v>1581</v>
      </c>
      <c r="N1708" t="s">
        <v>1581</v>
      </c>
      <c r="O1708" t="s">
        <v>1581</v>
      </c>
      <c r="P1708" t="s">
        <v>1581</v>
      </c>
      <c r="Q1708" t="s">
        <v>1581</v>
      </c>
      <c r="R1708" t="s">
        <v>1581</v>
      </c>
      <c r="S1708" t="s">
        <v>1581</v>
      </c>
      <c r="T1708" t="s">
        <v>1581</v>
      </c>
      <c r="U1708" t="s">
        <v>1581</v>
      </c>
      <c r="V1708" t="str" cm="1">
        <f t="array" aca="1" ref="V1708" ca="1">IFERROR(_xlfn.IFS(A1706="  ..............",OFFSET(A1706,2,0),A1705=" X-------------X",OFFSET(A1705,3,0),MATCH("  ..............",A1708:A1717,0)&gt;2,V1707),"-")</f>
        <v>-</v>
      </c>
      <c r="W1708" t="str">
        <f t="shared" ca="1" si="78"/>
        <v>-</v>
      </c>
      <c r="X1708" t="str">
        <f t="shared" ca="1" si="79"/>
        <v xml:space="preserve">              </v>
      </c>
      <c r="Y1708" s="1">
        <f t="shared" ca="1" si="80"/>
        <v>0</v>
      </c>
    </row>
    <row r="1709" spans="1:25" x14ac:dyDescent="0.25">
      <c r="A1709" t="s">
        <v>2751</v>
      </c>
      <c r="B1709">
        <v>-50.5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 t="s">
        <v>1584</v>
      </c>
      <c r="J1709" t="s">
        <v>1585</v>
      </c>
      <c r="K1709" t="s">
        <v>1586</v>
      </c>
      <c r="L1709" t="s">
        <v>1587</v>
      </c>
      <c r="M1709" t="s">
        <v>1587</v>
      </c>
      <c r="N1709" t="s">
        <v>1586</v>
      </c>
      <c r="O1709" t="s">
        <v>1581</v>
      </c>
      <c r="P1709" t="s">
        <v>1581</v>
      </c>
      <c r="Q1709" t="s">
        <v>1581</v>
      </c>
      <c r="R1709" t="s">
        <v>1581</v>
      </c>
      <c r="S1709" t="s">
        <v>1581</v>
      </c>
      <c r="T1709" t="s">
        <v>1581</v>
      </c>
      <c r="U1709" t="s">
        <v>1581</v>
      </c>
      <c r="V1709" t="str" cm="1">
        <f t="array" aca="1" ref="V1709" ca="1">IFERROR(_xlfn.IFS(A1707="  ..............",OFFSET(A1707,2,0),A1706=" X-------------X",OFFSET(A1706,3,0),MATCH("  ..............",A1709:A1718,0)&gt;2,V1708),"-")</f>
        <v xml:space="preserve">  IJU1-B-RS069  </v>
      </c>
      <c r="W1709">
        <f t="shared" ca="1" si="78"/>
        <v>1.0009999999999999</v>
      </c>
      <c r="X1709" t="str">
        <f t="shared" ca="1" si="79"/>
        <v xml:space="preserve"> IJUI1--RS069 </v>
      </c>
      <c r="Y1709" s="1" t="str">
        <f t="shared" ca="1" si="80"/>
        <v xml:space="preserve">             </v>
      </c>
    </row>
    <row r="1710" spans="1:25" x14ac:dyDescent="0.25">
      <c r="A1710" t="s">
        <v>1588</v>
      </c>
      <c r="B1710" t="s">
        <v>1587</v>
      </c>
      <c r="C1710">
        <v>9999</v>
      </c>
      <c r="D1710">
        <v>9999</v>
      </c>
      <c r="E1710">
        <v>9999</v>
      </c>
      <c r="F1710" s="1">
        <v>0</v>
      </c>
      <c r="G1710" t="s">
        <v>1587</v>
      </c>
      <c r="H1710" t="s">
        <v>1587</v>
      </c>
      <c r="I1710">
        <v>1302</v>
      </c>
      <c r="J1710" t="s">
        <v>2009</v>
      </c>
      <c r="K1710">
        <v>1</v>
      </c>
      <c r="L1710">
        <v>27.1</v>
      </c>
      <c r="M1710">
        <v>7.5</v>
      </c>
      <c r="N1710">
        <v>28.1</v>
      </c>
      <c r="O1710" t="s">
        <v>1594</v>
      </c>
      <c r="P1710" t="s">
        <v>1584</v>
      </c>
      <c r="Q1710" t="s">
        <v>1591</v>
      </c>
      <c r="R1710">
        <v>0</v>
      </c>
      <c r="S1710">
        <v>0</v>
      </c>
      <c r="T1710" t="s">
        <v>1584</v>
      </c>
      <c r="U1710" t="s">
        <v>1592</v>
      </c>
      <c r="V1710" t="str" cm="1">
        <f t="array" aca="1" ref="V1710" ca="1">IFERROR(_xlfn.IFS(A1708="  ..............",OFFSET(A1708,2,0),A1707=" X-------------X",OFFSET(A1707,3,0),MATCH("  ..............",A1710:A1719,0)&gt;2,V1709),"-")</f>
        <v xml:space="preserve">  IJU1-B-RS069  </v>
      </c>
      <c r="W1710">
        <f t="shared" ca="1" si="78"/>
        <v>1.0009999999999999</v>
      </c>
      <c r="X1710" t="str">
        <f t="shared" ca="1" si="79"/>
        <v xml:space="preserve"> IJUI2--RS069 </v>
      </c>
      <c r="Y1710" s="1">
        <f t="shared" ca="1" si="80"/>
        <v>0</v>
      </c>
    </row>
    <row r="1711" spans="1:25" x14ac:dyDescent="0.25">
      <c r="A1711" t="s">
        <v>1588</v>
      </c>
      <c r="B1711" t="s">
        <v>1587</v>
      </c>
      <c r="C1711">
        <v>39</v>
      </c>
      <c r="D1711">
        <v>49</v>
      </c>
      <c r="E1711">
        <v>49</v>
      </c>
      <c r="F1711" t="s">
        <v>2074</v>
      </c>
      <c r="G1711" t="s">
        <v>1587</v>
      </c>
      <c r="H1711" t="s">
        <v>1587</v>
      </c>
      <c r="I1711">
        <v>1322</v>
      </c>
      <c r="J1711" t="s">
        <v>2316</v>
      </c>
      <c r="K1711">
        <v>1</v>
      </c>
      <c r="L1711">
        <v>-41.8</v>
      </c>
      <c r="M1711">
        <v>-5.6</v>
      </c>
      <c r="N1711">
        <v>42.1</v>
      </c>
      <c r="O1711" t="s">
        <v>1594</v>
      </c>
      <c r="P1711" t="s">
        <v>1584</v>
      </c>
      <c r="Q1711" t="s">
        <v>1591</v>
      </c>
      <c r="R1711">
        <v>1.1599999999999999</v>
      </c>
      <c r="S1711">
        <v>1.97</v>
      </c>
      <c r="T1711" t="s">
        <v>1584</v>
      </c>
      <c r="U1711" t="s">
        <v>1592</v>
      </c>
      <c r="V1711" t="str" cm="1">
        <f t="array" aca="1" ref="V1711" ca="1">IFERROR(_xlfn.IFS(A1709="  ..............",OFFSET(A1709,2,0),A1708=" X-------------X",OFFSET(A1708,3,0),MATCH("  ..............",A1711:A1720,0)&gt;2,V1710),"-")</f>
        <v xml:space="preserve">  IJU1-B-RS069  </v>
      </c>
      <c r="W1711">
        <f t="shared" ca="1" si="78"/>
        <v>1.0009999999999999</v>
      </c>
      <c r="X1711" t="str">
        <f t="shared" ca="1" si="79"/>
        <v xml:space="preserve"> IJU1-B-RS023 </v>
      </c>
      <c r="Y1711" s="1">
        <f t="shared" ca="1" si="80"/>
        <v>0.59299999999999997</v>
      </c>
    </row>
    <row r="1712" spans="1:25" x14ac:dyDescent="0.25">
      <c r="A1712" t="s">
        <v>1588</v>
      </c>
      <c r="B1712" t="s">
        <v>1587</v>
      </c>
      <c r="C1712">
        <v>25</v>
      </c>
      <c r="D1712">
        <v>25</v>
      </c>
      <c r="E1712">
        <v>25</v>
      </c>
      <c r="F1712" s="1">
        <v>0.59299999999999997</v>
      </c>
      <c r="G1712" t="s">
        <v>1587</v>
      </c>
      <c r="H1712" t="s">
        <v>1587</v>
      </c>
      <c r="I1712">
        <v>9912</v>
      </c>
      <c r="J1712" t="s">
        <v>2752</v>
      </c>
      <c r="K1712">
        <v>2</v>
      </c>
      <c r="L1712">
        <v>14.7</v>
      </c>
      <c r="M1712">
        <v>-1.9</v>
      </c>
      <c r="N1712">
        <v>14.8</v>
      </c>
      <c r="O1712" t="s">
        <v>2753</v>
      </c>
      <c r="P1712" t="s">
        <v>1584</v>
      </c>
      <c r="Q1712" t="s">
        <v>1591</v>
      </c>
      <c r="R1712">
        <v>0</v>
      </c>
      <c r="S1712">
        <v>0.68</v>
      </c>
      <c r="T1712" t="s">
        <v>1584</v>
      </c>
      <c r="U1712" t="s">
        <v>1592</v>
      </c>
      <c r="V1712" t="str" cm="1">
        <f t="array" aca="1" ref="V1712" ca="1">IFERROR(_xlfn.IFS(A1710="  ..............",OFFSET(A1710,2,0),A1709=" X-------------X",OFFSET(A1709,3,0),MATCH("  ..............",A1712:A1721,0)&gt;2,V1711),"-")</f>
        <v>-</v>
      </c>
      <c r="W1712" t="str">
        <f t="shared" ca="1" si="78"/>
        <v>-</v>
      </c>
      <c r="X1712" t="str">
        <f t="shared" ca="1" si="79"/>
        <v>-</v>
      </c>
      <c r="Y1712" s="1" t="str">
        <f t="shared" ca="1" si="80"/>
        <v>-</v>
      </c>
    </row>
    <row r="1713" spans="1:25" x14ac:dyDescent="0.25">
      <c r="A1713" t="s">
        <v>1572</v>
      </c>
      <c r="B1713" t="s">
        <v>1574</v>
      </c>
      <c r="C1713" t="s">
        <v>1574</v>
      </c>
      <c r="D1713" t="s">
        <v>1574</v>
      </c>
      <c r="E1713" t="s">
        <v>1574</v>
      </c>
      <c r="F1713" t="s">
        <v>1575</v>
      </c>
      <c r="G1713" t="s">
        <v>1574</v>
      </c>
      <c r="H1713" t="s">
        <v>1574</v>
      </c>
      <c r="I1713" t="s">
        <v>1576</v>
      </c>
      <c r="J1713" t="s">
        <v>1573</v>
      </c>
      <c r="K1713" t="s">
        <v>1577</v>
      </c>
      <c r="L1713" t="s">
        <v>1574</v>
      </c>
      <c r="M1713" t="s">
        <v>1574</v>
      </c>
      <c r="N1713" t="s">
        <v>1574</v>
      </c>
      <c r="O1713" t="s">
        <v>1578</v>
      </c>
      <c r="P1713" t="s">
        <v>1576</v>
      </c>
      <c r="Q1713" t="s">
        <v>1579</v>
      </c>
      <c r="R1713" t="s">
        <v>1580</v>
      </c>
      <c r="S1713" t="s">
        <v>1580</v>
      </c>
      <c r="T1713" t="s">
        <v>1576</v>
      </c>
      <c r="U1713" t="s">
        <v>1576</v>
      </c>
      <c r="V1713" t="str" cm="1">
        <f t="array" aca="1" ref="V1713" ca="1">IFERROR(_xlfn.IFS(A1711="  ..............",OFFSET(A1711,2,0),A1710=" X-------------X",OFFSET(A1710,3,0),MATCH("  ..............",A1713:A1722,0)&gt;2,V1712),"-")</f>
        <v>-</v>
      </c>
      <c r="W1713" t="str">
        <f t="shared" ca="1" si="78"/>
        <v>-</v>
      </c>
      <c r="X1713" t="str">
        <f t="shared" ca="1" si="79"/>
        <v/>
      </c>
      <c r="Y1713" s="1" t="str">
        <f t="shared" ca="1" si="80"/>
        <v/>
      </c>
    </row>
    <row r="1714" spans="1:25" x14ac:dyDescent="0.25">
      <c r="A1714" t="s">
        <v>2754</v>
      </c>
      <c r="B1714">
        <v>1.101</v>
      </c>
      <c r="C1714">
        <v>0</v>
      </c>
      <c r="D1714">
        <v>0</v>
      </c>
      <c r="E1714">
        <v>0</v>
      </c>
      <c r="F1714">
        <v>0</v>
      </c>
      <c r="G1714">
        <v>8.6999999999999993</v>
      </c>
      <c r="H1714">
        <v>0</v>
      </c>
      <c r="I1714" t="s">
        <v>1581</v>
      </c>
      <c r="J1714" t="s">
        <v>1581</v>
      </c>
      <c r="K1714" t="s">
        <v>1581</v>
      </c>
      <c r="L1714" t="s">
        <v>1581</v>
      </c>
      <c r="M1714" t="s">
        <v>1581</v>
      </c>
      <c r="N1714" t="s">
        <v>1581</v>
      </c>
      <c r="O1714" t="s">
        <v>1581</v>
      </c>
      <c r="P1714" t="s">
        <v>1581</v>
      </c>
      <c r="Q1714" t="s">
        <v>1581</v>
      </c>
      <c r="R1714" t="s">
        <v>1581</v>
      </c>
      <c r="S1714" t="s">
        <v>1581</v>
      </c>
      <c r="T1714" t="s">
        <v>1581</v>
      </c>
      <c r="U1714" t="s">
        <v>1581</v>
      </c>
      <c r="V1714" t="str" cm="1">
        <f t="array" aca="1" ref="V1714" ca="1">IFERROR(_xlfn.IFS(A1712="  ..............",OFFSET(A1712,2,0),A1711=" X-------------X",OFFSET(A1711,3,0),MATCH("  ..............",A1714:A1723,0)&gt;2,V1713),"-")</f>
        <v>-</v>
      </c>
      <c r="W1714" t="str">
        <f t="shared" ca="1" si="78"/>
        <v>-</v>
      </c>
      <c r="X1714" t="str">
        <f t="shared" ca="1" si="79"/>
        <v xml:space="preserve">              </v>
      </c>
      <c r="Y1714" s="1">
        <f t="shared" ca="1" si="80"/>
        <v>0</v>
      </c>
    </row>
    <row r="1715" spans="1:25" x14ac:dyDescent="0.25">
      <c r="A1715" t="s">
        <v>2755</v>
      </c>
      <c r="B1715">
        <v>-53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 t="s">
        <v>1584</v>
      </c>
      <c r="J1715" t="s">
        <v>1585</v>
      </c>
      <c r="K1715" t="s">
        <v>1586</v>
      </c>
      <c r="L1715" t="s">
        <v>1587</v>
      </c>
      <c r="M1715" t="s">
        <v>1587</v>
      </c>
      <c r="N1715" t="s">
        <v>1586</v>
      </c>
      <c r="O1715" t="s">
        <v>1581</v>
      </c>
      <c r="P1715" t="s">
        <v>1581</v>
      </c>
      <c r="Q1715" t="s">
        <v>1581</v>
      </c>
      <c r="R1715" t="s">
        <v>1581</v>
      </c>
      <c r="S1715" t="s">
        <v>1581</v>
      </c>
      <c r="T1715" t="s">
        <v>1581</v>
      </c>
      <c r="U1715" t="s">
        <v>1581</v>
      </c>
      <c r="V1715" t="str" cm="1">
        <f t="array" aca="1" ref="V1715" ca="1">IFERROR(_xlfn.IFS(A1713="  ..............",OFFSET(A1713,2,0),A1712=" X-------------X",OFFSET(A1712,3,0),MATCH("  ..............",A1715:A1724,0)&gt;2,V1714),"-")</f>
        <v xml:space="preserve">  IJU1-B-RS023  </v>
      </c>
      <c r="W1715">
        <f t="shared" ca="1" si="78"/>
        <v>1.101</v>
      </c>
      <c r="X1715" t="str">
        <f t="shared" ca="1" si="79"/>
        <v xml:space="preserve"> IJU1-B-RS069 </v>
      </c>
      <c r="Y1715" s="1">
        <f t="shared" ca="1" si="80"/>
        <v>0</v>
      </c>
    </row>
    <row r="1716" spans="1:25" x14ac:dyDescent="0.25">
      <c r="A1716" t="s">
        <v>1588</v>
      </c>
      <c r="B1716" t="s">
        <v>1587</v>
      </c>
      <c r="C1716">
        <v>25</v>
      </c>
      <c r="D1716">
        <v>25</v>
      </c>
      <c r="E1716">
        <v>25</v>
      </c>
      <c r="F1716" s="1">
        <v>0.54300000000000004</v>
      </c>
      <c r="G1716" t="s">
        <v>1587</v>
      </c>
      <c r="H1716" t="s">
        <v>1587</v>
      </c>
      <c r="I1716">
        <v>9911</v>
      </c>
      <c r="J1716" t="s">
        <v>2020</v>
      </c>
      <c r="K1716">
        <v>2</v>
      </c>
      <c r="L1716">
        <v>-14.7</v>
      </c>
      <c r="M1716">
        <v>2.6</v>
      </c>
      <c r="N1716">
        <v>13.6</v>
      </c>
      <c r="O1716" t="s">
        <v>1594</v>
      </c>
      <c r="P1716" t="s">
        <v>1584</v>
      </c>
      <c r="Q1716" t="s">
        <v>1591</v>
      </c>
      <c r="R1716">
        <v>0</v>
      </c>
      <c r="S1716">
        <v>0.68</v>
      </c>
      <c r="T1716" t="s">
        <v>1584</v>
      </c>
      <c r="U1716" t="s">
        <v>1592</v>
      </c>
      <c r="V1716" t="str" cm="1">
        <f t="array" aca="1" ref="V1716" ca="1">IFERROR(_xlfn.IFS(A1714="  ..............",OFFSET(A1714,2,0),A1713=" X-------------X",OFFSET(A1713,3,0),MATCH("  ..............",A1716:A1725,0)&gt;2,V1715),"-")</f>
        <v xml:space="preserve">  IJU1-B-RS023  </v>
      </c>
      <c r="W1716">
        <f t="shared" ca="1" si="78"/>
        <v>1.101</v>
      </c>
      <c r="X1716" t="str">
        <f t="shared" ca="1" si="79"/>
        <v xml:space="preserve"> DEME1B-RS023 </v>
      </c>
      <c r="Y1716" s="1">
        <f t="shared" ca="1" si="80"/>
        <v>0</v>
      </c>
    </row>
    <row r="1717" spans="1:25" x14ac:dyDescent="0.25">
      <c r="A1717" t="s">
        <v>1588</v>
      </c>
      <c r="B1717" t="s">
        <v>1587</v>
      </c>
      <c r="C1717">
        <v>9999</v>
      </c>
      <c r="D1717">
        <v>9999</v>
      </c>
      <c r="E1717">
        <v>9999</v>
      </c>
      <c r="F1717" s="1">
        <v>0</v>
      </c>
      <c r="G1717" t="s">
        <v>1587</v>
      </c>
      <c r="H1717" t="s">
        <v>1587</v>
      </c>
      <c r="I1717">
        <v>9913</v>
      </c>
      <c r="J1717" t="s">
        <v>2756</v>
      </c>
      <c r="K1717">
        <v>1</v>
      </c>
      <c r="L1717">
        <v>6.6</v>
      </c>
      <c r="M1717">
        <v>4</v>
      </c>
      <c r="N1717">
        <v>7</v>
      </c>
      <c r="O1717" t="s">
        <v>1594</v>
      </c>
      <c r="P1717" t="s">
        <v>1584</v>
      </c>
      <c r="Q1717" t="s">
        <v>1591</v>
      </c>
      <c r="R1717">
        <v>0</v>
      </c>
      <c r="S1717">
        <v>0</v>
      </c>
      <c r="T1717" t="s">
        <v>1584</v>
      </c>
      <c r="U1717" t="s">
        <v>1592</v>
      </c>
      <c r="V1717" t="str" cm="1">
        <f t="array" aca="1" ref="V1717" ca="1">IFERROR(_xlfn.IFS(A1715="  ..............",OFFSET(A1715,2,0),A1714=" X-------------X",OFFSET(A1714,3,0),MATCH("  ..............",A1717:A1726,0)&gt;2,V1716),"-")</f>
        <v xml:space="preserve">  IJU1-B-RS023  </v>
      </c>
      <c r="W1717">
        <f t="shared" ca="1" si="78"/>
        <v>1.101</v>
      </c>
      <c r="X1717" t="str">
        <f t="shared" ca="1" si="79"/>
        <v xml:space="preserve"> CERILU-RS023 </v>
      </c>
      <c r="Y1717" s="1">
        <f t="shared" ca="1" si="80"/>
        <v>0</v>
      </c>
    </row>
    <row r="1718" spans="1:25" x14ac:dyDescent="0.25">
      <c r="A1718" t="s">
        <v>1588</v>
      </c>
      <c r="B1718" t="s">
        <v>1587</v>
      </c>
      <c r="C1718">
        <v>9999</v>
      </c>
      <c r="D1718">
        <v>9999</v>
      </c>
      <c r="E1718">
        <v>9999</v>
      </c>
      <c r="F1718" s="1">
        <v>0</v>
      </c>
      <c r="G1718" t="s">
        <v>1587</v>
      </c>
      <c r="H1718" t="s">
        <v>1587</v>
      </c>
      <c r="I1718">
        <v>9914</v>
      </c>
      <c r="J1718" t="s">
        <v>2757</v>
      </c>
      <c r="K1718">
        <v>1</v>
      </c>
      <c r="L1718">
        <v>8.1</v>
      </c>
      <c r="M1718">
        <v>2.1</v>
      </c>
      <c r="N1718">
        <v>7.6</v>
      </c>
      <c r="O1718" t="s">
        <v>1594</v>
      </c>
      <c r="P1718" t="s">
        <v>1584</v>
      </c>
      <c r="Q1718" t="s">
        <v>1591</v>
      </c>
      <c r="R1718">
        <v>0</v>
      </c>
      <c r="S1718">
        <v>0</v>
      </c>
      <c r="T1718" t="s">
        <v>1584</v>
      </c>
      <c r="U1718" t="s">
        <v>1592</v>
      </c>
      <c r="V1718" t="str" cm="1">
        <f t="array" aca="1" ref="V1718" ca="1">IFERROR(_xlfn.IFS(A1716="  ..............",OFFSET(A1716,2,0),A1715=" X-------------X",OFFSET(A1715,3,0),MATCH("  ..............",A1718:A1727,0)&gt;2,V1717),"-")</f>
        <v>-</v>
      </c>
      <c r="W1718" t="str">
        <f t="shared" ca="1" si="78"/>
        <v>-</v>
      </c>
      <c r="X1718" t="str">
        <f t="shared" ca="1" si="79"/>
        <v>-</v>
      </c>
      <c r="Y1718" s="1" t="str">
        <f t="shared" ca="1" si="80"/>
        <v>-</v>
      </c>
    </row>
    <row r="1719" spans="1:25" x14ac:dyDescent="0.25">
      <c r="A1719" t="s">
        <v>1572</v>
      </c>
      <c r="B1719" t="s">
        <v>1574</v>
      </c>
      <c r="C1719" t="s">
        <v>1574</v>
      </c>
      <c r="D1719" t="s">
        <v>1574</v>
      </c>
      <c r="E1719" t="s">
        <v>1574</v>
      </c>
      <c r="F1719" t="s">
        <v>1575</v>
      </c>
      <c r="G1719" t="s">
        <v>1574</v>
      </c>
      <c r="H1719" t="s">
        <v>1574</v>
      </c>
      <c r="I1719" t="s">
        <v>1576</v>
      </c>
      <c r="J1719" t="s">
        <v>1573</v>
      </c>
      <c r="K1719" t="s">
        <v>1577</v>
      </c>
      <c r="L1719" t="s">
        <v>1574</v>
      </c>
      <c r="M1719" t="s">
        <v>1574</v>
      </c>
      <c r="N1719" t="s">
        <v>1574</v>
      </c>
      <c r="O1719" t="s">
        <v>1578</v>
      </c>
      <c r="P1719" t="s">
        <v>1576</v>
      </c>
      <c r="Q1719" t="s">
        <v>1579</v>
      </c>
      <c r="R1719" t="s">
        <v>1580</v>
      </c>
      <c r="S1719" t="s">
        <v>1580</v>
      </c>
      <c r="T1719" t="s">
        <v>1576</v>
      </c>
      <c r="U1719" t="s">
        <v>1576</v>
      </c>
      <c r="V1719" t="str" cm="1">
        <f t="array" aca="1" ref="V1719" ca="1">IFERROR(_xlfn.IFS(A1717="  ..............",OFFSET(A1717,2,0),A1716=" X-------------X",OFFSET(A1716,3,0),MATCH("  ..............",A1719:A1728,0)&gt;2,V1718),"-")</f>
        <v>-</v>
      </c>
      <c r="W1719" t="str">
        <f t="shared" ca="1" si="78"/>
        <v>-</v>
      </c>
      <c r="X1719" t="str">
        <f t="shared" ca="1" si="79"/>
        <v/>
      </c>
      <c r="Y1719" s="1" t="str">
        <f t="shared" ca="1" si="80"/>
        <v/>
      </c>
    </row>
    <row r="1720" spans="1:25" x14ac:dyDescent="0.25">
      <c r="A1720" t="s">
        <v>2758</v>
      </c>
      <c r="B1720">
        <v>1.101</v>
      </c>
      <c r="C1720">
        <v>0.8</v>
      </c>
      <c r="D1720">
        <v>0</v>
      </c>
      <c r="E1720">
        <v>7.4</v>
      </c>
      <c r="F1720">
        <v>0</v>
      </c>
      <c r="G1720">
        <v>0</v>
      </c>
      <c r="H1720">
        <v>0</v>
      </c>
      <c r="I1720" t="s">
        <v>1581</v>
      </c>
      <c r="J1720" t="s">
        <v>1581</v>
      </c>
      <c r="K1720" t="s">
        <v>1581</v>
      </c>
      <c r="L1720" t="s">
        <v>1581</v>
      </c>
      <c r="M1720" t="s">
        <v>1581</v>
      </c>
      <c r="N1720" t="s">
        <v>1581</v>
      </c>
      <c r="O1720" t="s">
        <v>1581</v>
      </c>
      <c r="P1720" t="s">
        <v>1581</v>
      </c>
      <c r="Q1720" t="s">
        <v>1581</v>
      </c>
      <c r="R1720" t="s">
        <v>1581</v>
      </c>
      <c r="S1720" t="s">
        <v>1581</v>
      </c>
      <c r="T1720" t="s">
        <v>1581</v>
      </c>
      <c r="U1720" t="s">
        <v>1581</v>
      </c>
      <c r="V1720" t="str" cm="1">
        <f t="array" aca="1" ref="V1720" ca="1">IFERROR(_xlfn.IFS(A1718="  ..............",OFFSET(A1718,2,0),A1717=" X-------------X",OFFSET(A1717,3,0),MATCH("  ..............",A1720:A1729,0)&gt;2,V1719),"-")</f>
        <v>-</v>
      </c>
      <c r="W1720" t="str">
        <f t="shared" ca="1" si="78"/>
        <v>-</v>
      </c>
      <c r="X1720" t="str">
        <f t="shared" ca="1" si="79"/>
        <v xml:space="preserve">              </v>
      </c>
      <c r="Y1720" s="1">
        <f t="shared" ca="1" si="80"/>
        <v>0</v>
      </c>
    </row>
    <row r="1721" spans="1:25" x14ac:dyDescent="0.25">
      <c r="A1721" t="s">
        <v>2759</v>
      </c>
      <c r="B1721">
        <v>-53</v>
      </c>
      <c r="C1721">
        <v>0</v>
      </c>
      <c r="D1721">
        <v>0</v>
      </c>
      <c r="E1721">
        <v>4</v>
      </c>
      <c r="F1721">
        <v>0</v>
      </c>
      <c r="G1721">
        <v>0</v>
      </c>
      <c r="H1721">
        <v>0</v>
      </c>
      <c r="I1721" t="s">
        <v>1584</v>
      </c>
      <c r="J1721" t="s">
        <v>1585</v>
      </c>
      <c r="K1721" t="s">
        <v>1586</v>
      </c>
      <c r="L1721" t="s">
        <v>1587</v>
      </c>
      <c r="M1721" t="s">
        <v>1587</v>
      </c>
      <c r="N1721" t="s">
        <v>1586</v>
      </c>
      <c r="O1721" t="s">
        <v>1581</v>
      </c>
      <c r="P1721" t="s">
        <v>1581</v>
      </c>
      <c r="Q1721" t="s">
        <v>1581</v>
      </c>
      <c r="R1721" t="s">
        <v>1581</v>
      </c>
      <c r="S1721" t="s">
        <v>1581</v>
      </c>
      <c r="T1721" t="s">
        <v>1581</v>
      </c>
      <c r="U1721" t="s">
        <v>1581</v>
      </c>
      <c r="V1721" t="str" cm="1">
        <f t="array" aca="1" ref="V1721" ca="1">IFERROR(_xlfn.IFS(A1719="  ..............",OFFSET(A1719,2,0),A1718=" X-------------X",OFFSET(A1718,3,0),MATCH("  ..............",A1721:A1730,0)&gt;2,V1720),"-")</f>
        <v xml:space="preserve">  DEME1B-RS023  </v>
      </c>
      <c r="W1721">
        <f t="shared" ca="1" si="78"/>
        <v>1.101</v>
      </c>
      <c r="X1721" t="str">
        <f t="shared" ca="1" si="79"/>
        <v xml:space="preserve"> IJU1-B-RS023 </v>
      </c>
      <c r="Y1721" s="1">
        <f t="shared" ca="1" si="80"/>
        <v>0.59299999999999997</v>
      </c>
    </row>
    <row r="1722" spans="1:25" x14ac:dyDescent="0.25">
      <c r="A1722" t="s">
        <v>1588</v>
      </c>
      <c r="B1722" t="s">
        <v>1587</v>
      </c>
      <c r="C1722">
        <v>9999</v>
      </c>
      <c r="D1722">
        <v>9999</v>
      </c>
      <c r="E1722">
        <v>9999</v>
      </c>
      <c r="F1722" s="1">
        <v>0</v>
      </c>
      <c r="G1722" t="s">
        <v>1587</v>
      </c>
      <c r="H1722" t="s">
        <v>1587</v>
      </c>
      <c r="I1722">
        <v>9912</v>
      </c>
      <c r="J1722" t="s">
        <v>2752</v>
      </c>
      <c r="K1722">
        <v>1</v>
      </c>
      <c r="L1722">
        <v>-6.6</v>
      </c>
      <c r="M1722">
        <v>-4</v>
      </c>
      <c r="N1722">
        <v>7</v>
      </c>
      <c r="O1722" t="s">
        <v>1594</v>
      </c>
      <c r="P1722" t="s">
        <v>1584</v>
      </c>
      <c r="Q1722" t="s">
        <v>1591</v>
      </c>
      <c r="R1722">
        <v>0</v>
      </c>
      <c r="S1722">
        <v>0</v>
      </c>
      <c r="T1722" t="s">
        <v>1584</v>
      </c>
      <c r="U1722" t="s">
        <v>1592</v>
      </c>
      <c r="V1722" t="str" cm="1">
        <f t="array" aca="1" ref="V1722" ca="1">IFERROR(_xlfn.IFS(A1720="  ..............",OFFSET(A1720,2,0),A1719=" X-------------X",OFFSET(A1719,3,0),MATCH("  ..............",A1722:A1731,0)&gt;2,V1721),"-")</f>
        <v>-</v>
      </c>
      <c r="W1722" t="str">
        <f t="shared" ca="1" si="78"/>
        <v>-</v>
      </c>
      <c r="X1722" t="str">
        <f t="shared" ca="1" si="79"/>
        <v>-</v>
      </c>
      <c r="Y1722" s="1" t="str">
        <f t="shared" ca="1" si="80"/>
        <v>-</v>
      </c>
    </row>
    <row r="1723" spans="1:25" x14ac:dyDescent="0.25">
      <c r="A1723" t="s">
        <v>1572</v>
      </c>
      <c r="B1723" t="s">
        <v>1574</v>
      </c>
      <c r="C1723" t="s">
        <v>1574</v>
      </c>
      <c r="D1723" t="s">
        <v>1574</v>
      </c>
      <c r="E1723" t="s">
        <v>1574</v>
      </c>
      <c r="F1723" t="s">
        <v>1575</v>
      </c>
      <c r="G1723" t="s">
        <v>1574</v>
      </c>
      <c r="H1723" t="s">
        <v>1574</v>
      </c>
      <c r="I1723" t="s">
        <v>1576</v>
      </c>
      <c r="J1723" t="s">
        <v>1573</v>
      </c>
      <c r="K1723" t="s">
        <v>1577</v>
      </c>
      <c r="L1723" t="s">
        <v>1574</v>
      </c>
      <c r="M1723" t="s">
        <v>1574</v>
      </c>
      <c r="N1723" t="s">
        <v>1574</v>
      </c>
      <c r="O1723" t="s">
        <v>1578</v>
      </c>
      <c r="P1723" t="s">
        <v>1576</v>
      </c>
      <c r="Q1723" t="s">
        <v>1579</v>
      </c>
      <c r="R1723" t="s">
        <v>1580</v>
      </c>
      <c r="S1723" t="s">
        <v>1580</v>
      </c>
      <c r="T1723" t="s">
        <v>1576</v>
      </c>
      <c r="U1723" t="s">
        <v>1576</v>
      </c>
      <c r="V1723" t="str" cm="1">
        <f t="array" aca="1" ref="V1723" ca="1">IFERROR(_xlfn.IFS(A1721="  ..............",OFFSET(A1721,2,0),A1720=" X-------------X",OFFSET(A1720,3,0),MATCH("  ..............",A1723:A1732,0)&gt;2,V1722),"-")</f>
        <v>-</v>
      </c>
      <c r="W1723" t="str">
        <f t="shared" ca="1" si="78"/>
        <v>-</v>
      </c>
      <c r="X1723" t="str">
        <f t="shared" ca="1" si="79"/>
        <v/>
      </c>
      <c r="Y1723" s="1" t="str">
        <f t="shared" ca="1" si="80"/>
        <v/>
      </c>
    </row>
    <row r="1724" spans="1:25" x14ac:dyDescent="0.25">
      <c r="A1724" t="s">
        <v>2760</v>
      </c>
      <c r="B1724">
        <v>1.101</v>
      </c>
      <c r="C1724">
        <v>0.1</v>
      </c>
      <c r="D1724">
        <v>0</v>
      </c>
      <c r="E1724">
        <v>8.1999999999999993</v>
      </c>
      <c r="F1724">
        <v>0</v>
      </c>
      <c r="G1724">
        <v>0</v>
      </c>
      <c r="H1724">
        <v>0</v>
      </c>
      <c r="I1724" t="s">
        <v>1581</v>
      </c>
      <c r="J1724" t="s">
        <v>1581</v>
      </c>
      <c r="K1724" t="s">
        <v>1581</v>
      </c>
      <c r="L1724" t="s">
        <v>1581</v>
      </c>
      <c r="M1724" t="s">
        <v>1581</v>
      </c>
      <c r="N1724" t="s">
        <v>1581</v>
      </c>
      <c r="O1724" t="s">
        <v>1581</v>
      </c>
      <c r="P1724" t="s">
        <v>1581</v>
      </c>
      <c r="Q1724" t="s">
        <v>1581</v>
      </c>
      <c r="R1724" t="s">
        <v>1581</v>
      </c>
      <c r="S1724" t="s">
        <v>1581</v>
      </c>
      <c r="T1724" t="s">
        <v>1581</v>
      </c>
      <c r="U1724" t="s">
        <v>1581</v>
      </c>
      <c r="V1724" t="str" cm="1">
        <f t="array" aca="1" ref="V1724" ca="1">IFERROR(_xlfn.IFS(A1722="  ..............",OFFSET(A1722,2,0),A1721=" X-------------X",OFFSET(A1721,3,0),MATCH("  ..............",A1724:A1733,0)&gt;2,V1723),"-")</f>
        <v>-</v>
      </c>
      <c r="W1724" t="str">
        <f t="shared" ca="1" si="78"/>
        <v>-</v>
      </c>
      <c r="X1724" t="str">
        <f t="shared" ca="1" si="79"/>
        <v xml:space="preserve">              </v>
      </c>
      <c r="Y1724" s="1">
        <f t="shared" ca="1" si="80"/>
        <v>0</v>
      </c>
    </row>
    <row r="1725" spans="1:25" x14ac:dyDescent="0.25">
      <c r="A1725" t="s">
        <v>2761</v>
      </c>
      <c r="B1725">
        <v>-53</v>
      </c>
      <c r="C1725">
        <v>0</v>
      </c>
      <c r="D1725">
        <v>0</v>
      </c>
      <c r="E1725">
        <v>2.1</v>
      </c>
      <c r="F1725">
        <v>0</v>
      </c>
      <c r="G1725">
        <v>0</v>
      </c>
      <c r="H1725">
        <v>0</v>
      </c>
      <c r="I1725" t="s">
        <v>1584</v>
      </c>
      <c r="J1725" t="s">
        <v>1585</v>
      </c>
      <c r="K1725" t="s">
        <v>1586</v>
      </c>
      <c r="L1725" t="s">
        <v>1587</v>
      </c>
      <c r="M1725" t="s">
        <v>1587</v>
      </c>
      <c r="N1725" t="s">
        <v>1586</v>
      </c>
      <c r="O1725" t="s">
        <v>1581</v>
      </c>
      <c r="P1725" t="s">
        <v>1581</v>
      </c>
      <c r="Q1725" t="s">
        <v>1581</v>
      </c>
      <c r="R1725" t="s">
        <v>1581</v>
      </c>
      <c r="S1725" t="s">
        <v>1581</v>
      </c>
      <c r="T1725" t="s">
        <v>1581</v>
      </c>
      <c r="U1725" t="s">
        <v>1581</v>
      </c>
      <c r="V1725" t="str" cm="1">
        <f t="array" aca="1" ref="V1725" ca="1">IFERROR(_xlfn.IFS(A1723="  ..............",OFFSET(A1723,2,0),A1722=" X-------------X",OFFSET(A1722,3,0),MATCH("  ..............",A1725:A1734,0)&gt;2,V1724),"-")</f>
        <v xml:space="preserve">  CERILU-RS023  </v>
      </c>
      <c r="W1725">
        <f t="shared" ca="1" si="78"/>
        <v>1.101</v>
      </c>
      <c r="X1725" t="str">
        <f t="shared" ca="1" si="79"/>
        <v xml:space="preserve"> IJU1-B-RS023 </v>
      </c>
      <c r="Y1725" s="1">
        <f t="shared" ca="1" si="80"/>
        <v>0.59299999999999997</v>
      </c>
    </row>
    <row r="1726" spans="1:25" x14ac:dyDescent="0.25">
      <c r="A1726" t="s">
        <v>1588</v>
      </c>
      <c r="B1726" t="s">
        <v>1587</v>
      </c>
      <c r="C1726">
        <v>9999</v>
      </c>
      <c r="D1726">
        <v>9999</v>
      </c>
      <c r="E1726">
        <v>9999</v>
      </c>
      <c r="F1726" s="1">
        <v>0</v>
      </c>
      <c r="G1726" t="s">
        <v>1587</v>
      </c>
      <c r="H1726" t="s">
        <v>1587</v>
      </c>
      <c r="I1726">
        <v>9912</v>
      </c>
      <c r="J1726" t="s">
        <v>2752</v>
      </c>
      <c r="K1726">
        <v>1</v>
      </c>
      <c r="L1726">
        <v>-8.1</v>
      </c>
      <c r="M1726">
        <v>-2.1</v>
      </c>
      <c r="N1726">
        <v>7.6</v>
      </c>
      <c r="O1726" t="s">
        <v>1594</v>
      </c>
      <c r="P1726" t="s">
        <v>1584</v>
      </c>
      <c r="Q1726" t="s">
        <v>1591</v>
      </c>
      <c r="R1726">
        <v>0</v>
      </c>
      <c r="S1726">
        <v>0</v>
      </c>
      <c r="T1726" t="s">
        <v>1584</v>
      </c>
      <c r="U1726" t="s">
        <v>1592</v>
      </c>
      <c r="V1726" t="str" cm="1">
        <f t="array" aca="1" ref="V1726" ca="1">IFERROR(_xlfn.IFS(A1724="  ..............",OFFSET(A1724,2,0),A1723=" X-------------X",OFFSET(A1723,3,0),MATCH("  ..............",A1726:A1735,0)&gt;2,V1725),"-")</f>
        <v>-</v>
      </c>
      <c r="W1726" t="str">
        <f t="shared" ca="1" si="78"/>
        <v>-</v>
      </c>
      <c r="X1726" t="str">
        <f t="shared" ca="1" si="79"/>
        <v>-</v>
      </c>
      <c r="Y1726" s="1" t="str">
        <f t="shared" ca="1" si="80"/>
        <v>-</v>
      </c>
    </row>
    <row r="1727" spans="1:25" x14ac:dyDescent="0.25">
      <c r="A1727" t="s">
        <v>1572</v>
      </c>
      <c r="B1727" t="s">
        <v>1574</v>
      </c>
      <c r="C1727" t="s">
        <v>1574</v>
      </c>
      <c r="D1727" t="s">
        <v>1574</v>
      </c>
      <c r="E1727" t="s">
        <v>1574</v>
      </c>
      <c r="F1727" t="s">
        <v>1575</v>
      </c>
      <c r="G1727" t="s">
        <v>1574</v>
      </c>
      <c r="H1727" t="s">
        <v>1574</v>
      </c>
      <c r="I1727" t="s">
        <v>1576</v>
      </c>
      <c r="J1727" t="s">
        <v>1573</v>
      </c>
      <c r="K1727" t="s">
        <v>1577</v>
      </c>
      <c r="L1727" t="s">
        <v>1574</v>
      </c>
      <c r="M1727" t="s">
        <v>1574</v>
      </c>
      <c r="N1727" t="s">
        <v>1574</v>
      </c>
      <c r="O1727" t="s">
        <v>1578</v>
      </c>
      <c r="P1727" t="s">
        <v>1576</v>
      </c>
      <c r="Q1727" t="s">
        <v>1579</v>
      </c>
      <c r="R1727" t="s">
        <v>1580</v>
      </c>
      <c r="S1727" t="s">
        <v>1580</v>
      </c>
      <c r="T1727" t="s">
        <v>1576</v>
      </c>
      <c r="U1727" t="s">
        <v>1576</v>
      </c>
      <c r="V1727" t="str" cm="1">
        <f t="array" aca="1" ref="V1727" ca="1">IFERROR(_xlfn.IFS(A1725="  ..............",OFFSET(A1725,2,0),A1724=" X-------------X",OFFSET(A1724,3,0),MATCH("  ..............",A1727:A1736,0)&gt;2,V1726),"-")</f>
        <v>-</v>
      </c>
      <c r="W1727" t="str">
        <f t="shared" ca="1" si="78"/>
        <v>-</v>
      </c>
      <c r="X1727" t="str">
        <f t="shared" ca="1" si="79"/>
        <v/>
      </c>
      <c r="Y1727" s="1" t="str">
        <f t="shared" ca="1" si="80"/>
        <v/>
      </c>
    </row>
    <row r="1728" spans="1:25" x14ac:dyDescent="0.25">
      <c r="A1728" t="s">
        <v>2762</v>
      </c>
      <c r="B1728">
        <v>1.012</v>
      </c>
      <c r="C1728">
        <v>2.9</v>
      </c>
      <c r="D1728">
        <v>0</v>
      </c>
      <c r="E1728">
        <v>8.1</v>
      </c>
      <c r="F1728">
        <v>0</v>
      </c>
      <c r="G1728">
        <v>0</v>
      </c>
      <c r="H1728">
        <v>0</v>
      </c>
      <c r="I1728" t="s">
        <v>1581</v>
      </c>
      <c r="J1728" t="s">
        <v>1581</v>
      </c>
      <c r="K1728" t="s">
        <v>1581</v>
      </c>
      <c r="L1728" t="s">
        <v>1581</v>
      </c>
      <c r="M1728" t="s">
        <v>1581</v>
      </c>
      <c r="N1728" t="s">
        <v>1581</v>
      </c>
      <c r="O1728" t="s">
        <v>1581</v>
      </c>
      <c r="P1728" t="s">
        <v>1581</v>
      </c>
      <c r="Q1728" t="s">
        <v>1581</v>
      </c>
      <c r="R1728" t="s">
        <v>1581</v>
      </c>
      <c r="S1728" t="s">
        <v>1581</v>
      </c>
      <c r="T1728" t="s">
        <v>1581</v>
      </c>
      <c r="U1728" t="s">
        <v>1581</v>
      </c>
      <c r="V1728" t="str" cm="1">
        <f t="array" aca="1" ref="V1728" ca="1">IFERROR(_xlfn.IFS(A1726="  ..............",OFFSET(A1726,2,0),A1725=" X-------------X",OFFSET(A1725,3,0),MATCH("  ..............",A1728:A1737,0)&gt;2,V1727),"-")</f>
        <v>-</v>
      </c>
      <c r="W1728" t="str">
        <f t="shared" ca="1" si="78"/>
        <v>-</v>
      </c>
      <c r="X1728" t="str">
        <f t="shared" ca="1" si="79"/>
        <v xml:space="preserve">              </v>
      </c>
      <c r="Y1728" s="1">
        <f t="shared" ca="1" si="80"/>
        <v>0</v>
      </c>
    </row>
    <row r="1729" spans="1:25" x14ac:dyDescent="0.25">
      <c r="A1729" t="s">
        <v>2763</v>
      </c>
      <c r="B1729">
        <v>-41.8</v>
      </c>
      <c r="C1729">
        <v>0</v>
      </c>
      <c r="D1729">
        <v>0</v>
      </c>
      <c r="E1729">
        <v>2.6</v>
      </c>
      <c r="F1729">
        <v>0</v>
      </c>
      <c r="G1729">
        <v>0</v>
      </c>
      <c r="H1729">
        <v>0</v>
      </c>
      <c r="I1729" t="s">
        <v>1584</v>
      </c>
      <c r="J1729" t="s">
        <v>1585</v>
      </c>
      <c r="K1729" t="s">
        <v>1586</v>
      </c>
      <c r="L1729" t="s">
        <v>1587</v>
      </c>
      <c r="M1729" t="s">
        <v>1587</v>
      </c>
      <c r="N1729" t="s">
        <v>1586</v>
      </c>
      <c r="O1729" t="s">
        <v>1581</v>
      </c>
      <c r="P1729" t="s">
        <v>1581</v>
      </c>
      <c r="Q1729" t="s">
        <v>1581</v>
      </c>
      <c r="R1729" t="s">
        <v>1581</v>
      </c>
      <c r="S1729" t="s">
        <v>1581</v>
      </c>
      <c r="T1729" t="s">
        <v>1581</v>
      </c>
      <c r="U1729" t="s">
        <v>1581</v>
      </c>
      <c r="V1729" t="str" cm="1">
        <f t="array" aca="1" ref="V1729" ca="1">IFERROR(_xlfn.IFS(A1727="  ..............",OFFSET(A1727,2,0),A1726=" X-------------X",OFFSET(A1726,3,0),MATCH("  ..............",A1729:A1738,0)&gt;2,V1728),"-")</f>
        <v xml:space="preserve">  ROQGON-RS069  </v>
      </c>
      <c r="W1729">
        <f t="shared" ca="1" si="78"/>
        <v>1.012</v>
      </c>
      <c r="X1729" t="str">
        <f t="shared" ca="1" si="79"/>
        <v xml:space="preserve"> PSJOAO-RS069 </v>
      </c>
      <c r="Y1729" s="1">
        <f t="shared" ca="1" si="80"/>
        <v>0.17</v>
      </c>
    </row>
    <row r="1730" spans="1:25" x14ac:dyDescent="0.25">
      <c r="A1730" t="s">
        <v>1588</v>
      </c>
      <c r="B1730" t="s">
        <v>1587</v>
      </c>
      <c r="C1730">
        <v>9999</v>
      </c>
      <c r="D1730">
        <v>9999</v>
      </c>
      <c r="E1730">
        <v>9999</v>
      </c>
      <c r="F1730" s="1">
        <v>0</v>
      </c>
      <c r="G1730" t="s">
        <v>1587</v>
      </c>
      <c r="H1730" t="s">
        <v>1587</v>
      </c>
      <c r="I1730">
        <v>9219</v>
      </c>
      <c r="J1730" t="s">
        <v>2239</v>
      </c>
      <c r="K1730">
        <v>1</v>
      </c>
      <c r="L1730">
        <v>-5.2</v>
      </c>
      <c r="M1730">
        <v>-2.6</v>
      </c>
      <c r="N1730">
        <v>5.7</v>
      </c>
      <c r="O1730" t="s">
        <v>1594</v>
      </c>
      <c r="P1730" t="s">
        <v>1584</v>
      </c>
      <c r="Q1730" t="s">
        <v>1591</v>
      </c>
      <c r="R1730">
        <v>0</v>
      </c>
      <c r="S1730">
        <v>0</v>
      </c>
      <c r="T1730" t="s">
        <v>1584</v>
      </c>
      <c r="U1730" t="s">
        <v>1592</v>
      </c>
      <c r="V1730" t="str" cm="1">
        <f t="array" aca="1" ref="V1730" ca="1">IFERROR(_xlfn.IFS(A1728="  ..............",OFFSET(A1728,2,0),A1727=" X-------------X",OFFSET(A1727,3,0),MATCH("  ..............",A1730:A1739,0)&gt;2,V1729),"-")</f>
        <v>-</v>
      </c>
      <c r="W1730" t="str">
        <f t="shared" ca="1" si="78"/>
        <v>-</v>
      </c>
      <c r="X1730" t="str">
        <f t="shared" ca="1" si="79"/>
        <v>-</v>
      </c>
      <c r="Y1730" s="1" t="str">
        <f t="shared" ca="1" si="80"/>
        <v>-</v>
      </c>
    </row>
    <row r="1731" spans="1:25" x14ac:dyDescent="0.25">
      <c r="A1731" t="s">
        <v>1572</v>
      </c>
      <c r="B1731" t="s">
        <v>1574</v>
      </c>
      <c r="C1731" t="s">
        <v>1574</v>
      </c>
      <c r="D1731" t="s">
        <v>1574</v>
      </c>
      <c r="E1731" t="s">
        <v>1574</v>
      </c>
      <c r="F1731" t="s">
        <v>1575</v>
      </c>
      <c r="G1731" t="s">
        <v>1574</v>
      </c>
      <c r="H1731" t="s">
        <v>1574</v>
      </c>
      <c r="I1731" t="s">
        <v>1576</v>
      </c>
      <c r="J1731" t="s">
        <v>1573</v>
      </c>
      <c r="K1731" t="s">
        <v>1577</v>
      </c>
      <c r="L1731" t="s">
        <v>1574</v>
      </c>
      <c r="M1731" t="s">
        <v>1574</v>
      </c>
      <c r="N1731" t="s">
        <v>1574</v>
      </c>
      <c r="O1731" t="s">
        <v>1578</v>
      </c>
      <c r="P1731" t="s">
        <v>1576</v>
      </c>
      <c r="Q1731" t="s">
        <v>1579</v>
      </c>
      <c r="R1731" t="s">
        <v>1580</v>
      </c>
      <c r="S1731" t="s">
        <v>1580</v>
      </c>
      <c r="T1731" t="s">
        <v>1576</v>
      </c>
      <c r="U1731" t="s">
        <v>1576</v>
      </c>
      <c r="V1731" t="str" cm="1">
        <f t="array" aca="1" ref="V1731" ca="1">IFERROR(_xlfn.IFS(A1729="  ..............",OFFSET(A1729,2,0),A1728=" X-------------X",OFFSET(A1728,3,0),MATCH("  ..............",A1731:A1740,0)&gt;2,V1730),"-")</f>
        <v>-</v>
      </c>
      <c r="W1731" t="str">
        <f t="shared" ca="1" si="78"/>
        <v>-</v>
      </c>
      <c r="X1731" t="str">
        <f t="shared" ca="1" si="79"/>
        <v/>
      </c>
      <c r="Y1731" s="1" t="str">
        <f t="shared" ca="1" si="80"/>
        <v/>
      </c>
    </row>
    <row r="1732" spans="1:25" x14ac:dyDescent="0.25">
      <c r="A1732" t="s">
        <v>2764</v>
      </c>
      <c r="B1732">
        <v>1.018</v>
      </c>
      <c r="C1732">
        <v>2</v>
      </c>
      <c r="D1732">
        <v>0</v>
      </c>
      <c r="E1732">
        <v>5</v>
      </c>
      <c r="F1732">
        <v>0</v>
      </c>
      <c r="G1732">
        <v>0</v>
      </c>
      <c r="H1732">
        <v>0</v>
      </c>
      <c r="I1732" t="s">
        <v>1581</v>
      </c>
      <c r="J1732" t="s">
        <v>1581</v>
      </c>
      <c r="K1732" t="s">
        <v>1581</v>
      </c>
      <c r="L1732" t="s">
        <v>1581</v>
      </c>
      <c r="M1732" t="s">
        <v>1581</v>
      </c>
      <c r="N1732" t="s">
        <v>1581</v>
      </c>
      <c r="O1732" t="s">
        <v>1581</v>
      </c>
      <c r="P1732" t="s">
        <v>1581</v>
      </c>
      <c r="Q1732" t="s">
        <v>1581</v>
      </c>
      <c r="R1732" t="s">
        <v>1581</v>
      </c>
      <c r="S1732" t="s">
        <v>1581</v>
      </c>
      <c r="T1732" t="s">
        <v>1581</v>
      </c>
      <c r="U1732" t="s">
        <v>1581</v>
      </c>
      <c r="V1732" t="str" cm="1">
        <f t="array" aca="1" ref="V1732" ca="1">IFERROR(_xlfn.IFS(A1730="  ..............",OFFSET(A1730,2,0),A1729=" X-------------X",OFFSET(A1729,3,0),MATCH("  ..............",A1732:A1741,0)&gt;2,V1731),"-")</f>
        <v>-</v>
      </c>
      <c r="W1732" t="str">
        <f t="shared" ref="W1732:W1795" ca="1" si="81">IFERROR(OFFSET($A$1,MATCH(V1732,A:A,0)-2,1),"-")</f>
        <v>-</v>
      </c>
      <c r="X1732" t="str">
        <f t="shared" ref="X1732:X1795" ca="1" si="82">IFERROR(IF(V1732=V1731,OFFSET($J$1,ROW(X1732),0),OFFSET($J$1,MATCH(V1732,A:A,0),0)),"-")</f>
        <v xml:space="preserve">              </v>
      </c>
      <c r="Y1732" s="1">
        <f t="shared" ref="Y1732:Y1795" ca="1" si="83">IFERROR(OFFSET($F$1,MATCH(X1732,J:J,0)-1,0),"-")</f>
        <v>0</v>
      </c>
    </row>
    <row r="1733" spans="1:25" x14ac:dyDescent="0.25">
      <c r="A1733" t="s">
        <v>2765</v>
      </c>
      <c r="B1733">
        <v>-48.5</v>
      </c>
      <c r="C1733">
        <v>0</v>
      </c>
      <c r="D1733">
        <v>0</v>
      </c>
      <c r="E1733">
        <v>1.2</v>
      </c>
      <c r="F1733">
        <v>0</v>
      </c>
      <c r="G1733">
        <v>0</v>
      </c>
      <c r="H1733">
        <v>0</v>
      </c>
      <c r="I1733" t="s">
        <v>1584</v>
      </c>
      <c r="J1733" t="s">
        <v>1585</v>
      </c>
      <c r="K1733" t="s">
        <v>1586</v>
      </c>
      <c r="L1733" t="s">
        <v>1587</v>
      </c>
      <c r="M1733" t="s">
        <v>1587</v>
      </c>
      <c r="N1733" t="s">
        <v>1586</v>
      </c>
      <c r="O1733" t="s">
        <v>1581</v>
      </c>
      <c r="P1733" t="s">
        <v>1581</v>
      </c>
      <c r="Q1733" t="s">
        <v>1581</v>
      </c>
      <c r="R1733" t="s">
        <v>1581</v>
      </c>
      <c r="S1733" t="s">
        <v>1581</v>
      </c>
      <c r="T1733" t="s">
        <v>1581</v>
      </c>
      <c r="U1733" t="s">
        <v>1581</v>
      </c>
      <c r="V1733" t="str" cm="1">
        <f t="array" aca="1" ref="V1733" ca="1">IFERROR(_xlfn.IFS(A1731="  ..............",OFFSET(A1731,2,0),A1730=" X-------------X",OFFSET(A1730,3,0),MATCH("  ..............",A1733:A1742,0)&gt;2,V1732),"-")</f>
        <v xml:space="preserve">  JCASTI-RS138  </v>
      </c>
      <c r="W1733">
        <f t="shared" ca="1" si="81"/>
        <v>1.018</v>
      </c>
      <c r="X1733" t="str">
        <f t="shared" ca="1" si="82"/>
        <v xml:space="preserve"> JACUI--RS138 </v>
      </c>
      <c r="Y1733" s="1">
        <f t="shared" ca="1" si="83"/>
        <v>0.43</v>
      </c>
    </row>
    <row r="1734" spans="1:25" x14ac:dyDescent="0.25">
      <c r="A1734" t="s">
        <v>1588</v>
      </c>
      <c r="B1734" t="s">
        <v>1587</v>
      </c>
      <c r="C1734">
        <v>82</v>
      </c>
      <c r="D1734">
        <v>82</v>
      </c>
      <c r="E1734">
        <v>82</v>
      </c>
      <c r="F1734" s="1">
        <v>0.30199999999999999</v>
      </c>
      <c r="G1734" t="s">
        <v>1587</v>
      </c>
      <c r="H1734" t="s">
        <v>1587</v>
      </c>
      <c r="I1734">
        <v>1216</v>
      </c>
      <c r="J1734" t="s">
        <v>1623</v>
      </c>
      <c r="K1734">
        <v>1</v>
      </c>
      <c r="L1734">
        <v>-24.8</v>
      </c>
      <c r="M1734">
        <v>4.5999999999999996</v>
      </c>
      <c r="N1734">
        <v>24.7</v>
      </c>
      <c r="O1734" t="s">
        <v>1594</v>
      </c>
      <c r="P1734" t="s">
        <v>1584</v>
      </c>
      <c r="Q1734" t="s">
        <v>1591</v>
      </c>
      <c r="R1734">
        <v>0.24</v>
      </c>
      <c r="S1734">
        <v>-1.58</v>
      </c>
      <c r="T1734" t="s">
        <v>1584</v>
      </c>
      <c r="U1734" t="s">
        <v>1592</v>
      </c>
      <c r="V1734" t="str" cm="1">
        <f t="array" aca="1" ref="V1734" ca="1">IFERROR(_xlfn.IFS(A1732="  ..............",OFFSET(A1732,2,0),A1731=" X-------------X",OFFSET(A1731,3,0),MATCH("  ..............",A1734:A1743,0)&gt;2,V1733),"-")</f>
        <v xml:space="preserve">  JCASTI-RS138  </v>
      </c>
      <c r="W1734">
        <f t="shared" ca="1" si="81"/>
        <v>1.018</v>
      </c>
      <c r="X1734" t="str">
        <f t="shared" ca="1" si="82"/>
        <v xml:space="preserve"> SMARI1-RS138 </v>
      </c>
      <c r="Y1734" s="1">
        <f t="shared" ca="1" si="83"/>
        <v>0.17599999999999999</v>
      </c>
    </row>
    <row r="1735" spans="1:25" x14ac:dyDescent="0.25">
      <c r="A1735" t="s">
        <v>1588</v>
      </c>
      <c r="B1735" t="s">
        <v>1587</v>
      </c>
      <c r="C1735">
        <v>82</v>
      </c>
      <c r="D1735">
        <v>82</v>
      </c>
      <c r="E1735">
        <v>82</v>
      </c>
      <c r="F1735" s="1">
        <v>0.27</v>
      </c>
      <c r="G1735" t="s">
        <v>1587</v>
      </c>
      <c r="H1735" t="s">
        <v>1587</v>
      </c>
      <c r="I1735">
        <v>1276</v>
      </c>
      <c r="J1735" t="s">
        <v>2164</v>
      </c>
      <c r="K1735">
        <v>1</v>
      </c>
      <c r="L1735">
        <v>21.8</v>
      </c>
      <c r="M1735">
        <v>-5.8</v>
      </c>
      <c r="N1735">
        <v>22.1</v>
      </c>
      <c r="O1735" t="s">
        <v>1594</v>
      </c>
      <c r="P1735" t="s">
        <v>1584</v>
      </c>
      <c r="Q1735" t="s">
        <v>1591</v>
      </c>
      <c r="R1735">
        <v>0.27</v>
      </c>
      <c r="S1735">
        <v>-2.54</v>
      </c>
      <c r="T1735" t="s">
        <v>1584</v>
      </c>
      <c r="U1735" t="s">
        <v>1592</v>
      </c>
      <c r="V1735" t="str" cm="1">
        <f t="array" aca="1" ref="V1735" ca="1">IFERROR(_xlfn.IFS(A1733="  ..............",OFFSET(A1733,2,0),A1732=" X-------------X",OFFSET(A1732,3,0),MATCH("  ..............",A1735:A1744,0)&gt;2,V1734),"-")</f>
        <v>-</v>
      </c>
      <c r="W1735" t="str">
        <f t="shared" ca="1" si="81"/>
        <v>-</v>
      </c>
      <c r="X1735" t="str">
        <f t="shared" ca="1" si="82"/>
        <v>-</v>
      </c>
      <c r="Y1735" s="1" t="str">
        <f t="shared" ca="1" si="83"/>
        <v>-</v>
      </c>
    </row>
    <row r="1736" spans="1:25" x14ac:dyDescent="0.25">
      <c r="A1736" t="s">
        <v>1572</v>
      </c>
      <c r="B1736" t="s">
        <v>1574</v>
      </c>
      <c r="C1736" t="s">
        <v>1574</v>
      </c>
      <c r="D1736" t="s">
        <v>1574</v>
      </c>
      <c r="E1736" t="s">
        <v>1574</v>
      </c>
      <c r="F1736" t="s">
        <v>1575</v>
      </c>
      <c r="G1736" t="s">
        <v>1574</v>
      </c>
      <c r="H1736" t="s">
        <v>1574</v>
      </c>
      <c r="I1736" t="s">
        <v>1576</v>
      </c>
      <c r="J1736" t="s">
        <v>1573</v>
      </c>
      <c r="K1736" t="s">
        <v>1577</v>
      </c>
      <c r="L1736" t="s">
        <v>1574</v>
      </c>
      <c r="M1736" t="s">
        <v>1574</v>
      </c>
      <c r="N1736" t="s">
        <v>1574</v>
      </c>
      <c r="O1736" t="s">
        <v>1578</v>
      </c>
      <c r="P1736" t="s">
        <v>1576</v>
      </c>
      <c r="Q1736" t="s">
        <v>1579</v>
      </c>
      <c r="R1736" t="s">
        <v>1580</v>
      </c>
      <c r="S1736" t="s">
        <v>1580</v>
      </c>
      <c r="T1736" t="s">
        <v>1576</v>
      </c>
      <c r="U1736" t="s">
        <v>1576</v>
      </c>
      <c r="V1736" t="str" cm="1">
        <f t="array" aca="1" ref="V1736" ca="1">IFERROR(_xlfn.IFS(A1734="  ..............",OFFSET(A1734,2,0),A1733=" X-------------X",OFFSET(A1733,3,0),MATCH("  ..............",A1736:A1745,0)&gt;2,V1735),"-")</f>
        <v>-</v>
      </c>
      <c r="W1736" t="str">
        <f t="shared" ca="1" si="81"/>
        <v>-</v>
      </c>
      <c r="X1736" t="str">
        <f t="shared" ca="1" si="82"/>
        <v/>
      </c>
      <c r="Y1736" s="1" t="str">
        <f t="shared" ca="1" si="83"/>
        <v/>
      </c>
    </row>
    <row r="1737" spans="1:25" x14ac:dyDescent="0.25">
      <c r="A1737" t="s">
        <v>2766</v>
      </c>
      <c r="B1737">
        <v>1.032</v>
      </c>
      <c r="C1737">
        <v>32.700000000000003</v>
      </c>
      <c r="D1737">
        <v>0</v>
      </c>
      <c r="E1737">
        <v>123.5</v>
      </c>
      <c r="F1737">
        <v>0</v>
      </c>
      <c r="G1737">
        <v>3.8</v>
      </c>
      <c r="H1737">
        <v>0</v>
      </c>
      <c r="I1737" t="s">
        <v>1581</v>
      </c>
      <c r="J1737" t="s">
        <v>1581</v>
      </c>
      <c r="K1737" t="s">
        <v>1581</v>
      </c>
      <c r="L1737" t="s">
        <v>1581</v>
      </c>
      <c r="M1737" t="s">
        <v>1581</v>
      </c>
      <c r="N1737" t="s">
        <v>1581</v>
      </c>
      <c r="O1737" t="s">
        <v>1581</v>
      </c>
      <c r="P1737" t="s">
        <v>1581</v>
      </c>
      <c r="Q1737" t="s">
        <v>1581</v>
      </c>
      <c r="R1737" t="s">
        <v>1581</v>
      </c>
      <c r="S1737" t="s">
        <v>1581</v>
      </c>
      <c r="T1737" t="s">
        <v>1581</v>
      </c>
      <c r="U1737" t="s">
        <v>1581</v>
      </c>
      <c r="V1737" t="str" cm="1">
        <f t="array" aca="1" ref="V1737" ca="1">IFERROR(_xlfn.IFS(A1735="  ..............",OFFSET(A1735,2,0),A1734=" X-------------X",OFFSET(A1734,3,0),MATCH("  ..............",A1737:A1746,0)&gt;2,V1736),"-")</f>
        <v>-</v>
      </c>
      <c r="W1737" t="str">
        <f t="shared" ca="1" si="81"/>
        <v>-</v>
      </c>
      <c r="X1737" t="str">
        <f t="shared" ca="1" si="82"/>
        <v xml:space="preserve">              </v>
      </c>
      <c r="Y1737" s="1">
        <f t="shared" ca="1" si="83"/>
        <v>0</v>
      </c>
    </row>
    <row r="1738" spans="1:25" x14ac:dyDescent="0.25">
      <c r="A1738" t="s">
        <v>2767</v>
      </c>
      <c r="B1738">
        <v>-49.3</v>
      </c>
      <c r="C1738">
        <v>0</v>
      </c>
      <c r="D1738">
        <v>0</v>
      </c>
      <c r="E1738">
        <v>51.4</v>
      </c>
      <c r="F1738">
        <v>0</v>
      </c>
      <c r="G1738">
        <v>0</v>
      </c>
      <c r="H1738">
        <v>0</v>
      </c>
      <c r="I1738" t="s">
        <v>1584</v>
      </c>
      <c r="J1738" t="s">
        <v>1585</v>
      </c>
      <c r="K1738" t="s">
        <v>1586</v>
      </c>
      <c r="L1738" t="s">
        <v>1587</v>
      </c>
      <c r="M1738" t="s">
        <v>1587</v>
      </c>
      <c r="N1738" t="s">
        <v>1586</v>
      </c>
      <c r="O1738" t="s">
        <v>1581</v>
      </c>
      <c r="P1738" t="s">
        <v>1581</v>
      </c>
      <c r="Q1738" t="s">
        <v>1581</v>
      </c>
      <c r="R1738" t="s">
        <v>1581</v>
      </c>
      <c r="S1738" t="s">
        <v>1581</v>
      </c>
      <c r="T1738" t="s">
        <v>1581</v>
      </c>
      <c r="U1738" t="s">
        <v>1581</v>
      </c>
      <c r="V1738" t="str" cm="1">
        <f t="array" aca="1" ref="V1738" ca="1">IFERROR(_xlfn.IFS(A1736="  ..............",OFFSET(A1736,2,0),A1735=" X-------------X",OFFSET(A1735,3,0),MATCH("  ..............",A1738:A1747,0)&gt;2,V1737),"-")</f>
        <v xml:space="preserve">  VILMAR-RS138  </v>
      </c>
      <c r="W1738">
        <f t="shared" ca="1" si="81"/>
        <v>1.032</v>
      </c>
      <c r="X1738" t="str">
        <f t="shared" ca="1" si="82"/>
        <v xml:space="preserve"> MARAU2-RS138 </v>
      </c>
      <c r="Y1738" s="1">
        <f t="shared" ca="1" si="83"/>
        <v>0.16700000000000001</v>
      </c>
    </row>
    <row r="1739" spans="1:25" x14ac:dyDescent="0.25">
      <c r="A1739" t="s">
        <v>1588</v>
      </c>
      <c r="B1739" t="s">
        <v>1587</v>
      </c>
      <c r="C1739">
        <v>70</v>
      </c>
      <c r="D1739">
        <v>90</v>
      </c>
      <c r="E1739">
        <v>90</v>
      </c>
      <c r="F1739" s="1">
        <v>0.16700000000000001</v>
      </c>
      <c r="G1739" t="s">
        <v>1587</v>
      </c>
      <c r="H1739" t="s">
        <v>1587</v>
      </c>
      <c r="I1739">
        <v>10029</v>
      </c>
      <c r="J1739" t="s">
        <v>2768</v>
      </c>
      <c r="K1739">
        <v>1</v>
      </c>
      <c r="L1739">
        <v>11.8</v>
      </c>
      <c r="M1739">
        <v>2.6</v>
      </c>
      <c r="N1739">
        <v>11.7</v>
      </c>
      <c r="O1739" t="s">
        <v>1594</v>
      </c>
      <c r="P1739" t="s">
        <v>1584</v>
      </c>
      <c r="Q1739" t="s">
        <v>1591</v>
      </c>
      <c r="R1739">
        <v>0.02</v>
      </c>
      <c r="S1739">
        <v>-1.05</v>
      </c>
      <c r="T1739" t="s">
        <v>1584</v>
      </c>
      <c r="U1739" t="s">
        <v>1592</v>
      </c>
      <c r="V1739" t="str" cm="1">
        <f t="array" aca="1" ref="V1739" ca="1">IFERROR(_xlfn.IFS(A1737="  ..............",OFFSET(A1737,2,0),A1736=" X-------------X",OFFSET(A1736,3,0),MATCH("  ..............",A1739:A1748,0)&gt;2,V1738),"-")</f>
        <v xml:space="preserve">  VILMAR-RS138  </v>
      </c>
      <c r="W1739">
        <f t="shared" ca="1" si="81"/>
        <v>1.032</v>
      </c>
      <c r="X1739" t="str">
        <f t="shared" ca="1" si="82"/>
        <v xml:space="preserve"> VILM-1-RS000 </v>
      </c>
      <c r="Y1739" s="1">
        <f t="shared" ca="1" si="83"/>
        <v>0.36899999999999999</v>
      </c>
    </row>
    <row r="1740" spans="1:25" x14ac:dyDescent="0.25">
      <c r="A1740" t="s">
        <v>1588</v>
      </c>
      <c r="B1740" t="s">
        <v>1587</v>
      </c>
      <c r="C1740">
        <v>150</v>
      </c>
      <c r="D1740">
        <v>180</v>
      </c>
      <c r="E1740">
        <v>180</v>
      </c>
      <c r="F1740" s="1">
        <v>0.36899999999999999</v>
      </c>
      <c r="G1740" t="s">
        <v>1587</v>
      </c>
      <c r="H1740" t="s">
        <v>1587</v>
      </c>
      <c r="I1740">
        <v>43811</v>
      </c>
      <c r="J1740" t="s">
        <v>2769</v>
      </c>
      <c r="K1740">
        <v>1</v>
      </c>
      <c r="L1740">
        <v>-51.3</v>
      </c>
      <c r="M1740">
        <v>-25.1</v>
      </c>
      <c r="N1740">
        <v>55.3</v>
      </c>
      <c r="O1740" t="s">
        <v>1608</v>
      </c>
      <c r="P1740" t="s">
        <v>1584</v>
      </c>
      <c r="Q1740">
        <v>2</v>
      </c>
      <c r="R1740">
        <v>-0.05</v>
      </c>
      <c r="S1740">
        <v>-0.32</v>
      </c>
      <c r="T1740" t="s">
        <v>1584</v>
      </c>
      <c r="U1740" t="s">
        <v>1592</v>
      </c>
      <c r="V1740" t="str" cm="1">
        <f t="array" aca="1" ref="V1740" ca="1">IFERROR(_xlfn.IFS(A1738="  ..............",OFFSET(A1738,2,0),A1737=" X-------------X",OFFSET(A1737,3,0),MATCH("  ..............",A1740:A1749,0)&gt;2,V1739),"-")</f>
        <v xml:space="preserve">  VILMAR-RS138  </v>
      </c>
      <c r="W1740">
        <f t="shared" ca="1" si="81"/>
        <v>1.032</v>
      </c>
      <c r="X1740" t="str">
        <f t="shared" ca="1" si="82"/>
        <v xml:space="preserve"> VILM-2-RS000 </v>
      </c>
      <c r="Y1740" s="1">
        <f t="shared" ca="1" si="83"/>
        <v>0.36899999999999999</v>
      </c>
    </row>
    <row r="1741" spans="1:25" x14ac:dyDescent="0.25">
      <c r="A1741" t="s">
        <v>1588</v>
      </c>
      <c r="B1741" t="s">
        <v>1587</v>
      </c>
      <c r="C1741">
        <v>150</v>
      </c>
      <c r="D1741">
        <v>180</v>
      </c>
      <c r="E1741">
        <v>180</v>
      </c>
      <c r="F1741" s="1">
        <v>0.36899999999999999</v>
      </c>
      <c r="G1741" t="s">
        <v>1587</v>
      </c>
      <c r="H1741" t="s">
        <v>1587</v>
      </c>
      <c r="I1741">
        <v>43813</v>
      </c>
      <c r="J1741" t="s">
        <v>2770</v>
      </c>
      <c r="K1741">
        <v>2</v>
      </c>
      <c r="L1741">
        <v>-51.3</v>
      </c>
      <c r="M1741">
        <v>-25.1</v>
      </c>
      <c r="N1741">
        <v>55.3</v>
      </c>
      <c r="O1741" t="s">
        <v>1608</v>
      </c>
      <c r="P1741" t="s">
        <v>1584</v>
      </c>
      <c r="Q1741">
        <v>2</v>
      </c>
      <c r="R1741">
        <v>-0.05</v>
      </c>
      <c r="S1741">
        <v>-0.32</v>
      </c>
      <c r="T1741" t="s">
        <v>1584</v>
      </c>
      <c r="U1741" t="s">
        <v>1592</v>
      </c>
      <c r="V1741" t="str" cm="1">
        <f t="array" aca="1" ref="V1741" ca="1">IFERROR(_xlfn.IFS(A1739="  ..............",OFFSET(A1739,2,0),A1738=" X-------------X",OFFSET(A1738,3,0),MATCH("  ..............",A1741:A1750,0)&gt;2,V1740),"-")</f>
        <v>-</v>
      </c>
      <c r="W1741" t="str">
        <f t="shared" ca="1" si="81"/>
        <v>-</v>
      </c>
      <c r="X1741" t="str">
        <f t="shared" ca="1" si="82"/>
        <v>-</v>
      </c>
      <c r="Y1741" s="1" t="str">
        <f t="shared" ca="1" si="83"/>
        <v>-</v>
      </c>
    </row>
    <row r="1742" spans="1:25" x14ac:dyDescent="0.25">
      <c r="A1742" t="s">
        <v>1572</v>
      </c>
      <c r="B1742" t="s">
        <v>1574</v>
      </c>
      <c r="C1742" t="s">
        <v>1574</v>
      </c>
      <c r="D1742" t="s">
        <v>1574</v>
      </c>
      <c r="E1742" t="s">
        <v>1574</v>
      </c>
      <c r="F1742" t="s">
        <v>1575</v>
      </c>
      <c r="G1742" t="s">
        <v>1574</v>
      </c>
      <c r="H1742" t="s">
        <v>1574</v>
      </c>
      <c r="I1742" t="s">
        <v>1576</v>
      </c>
      <c r="J1742" t="s">
        <v>1573</v>
      </c>
      <c r="K1742" t="s">
        <v>1577</v>
      </c>
      <c r="L1742" t="s">
        <v>1574</v>
      </c>
      <c r="M1742" t="s">
        <v>1574</v>
      </c>
      <c r="N1742" t="s">
        <v>1574</v>
      </c>
      <c r="O1742" t="s">
        <v>1578</v>
      </c>
      <c r="P1742" t="s">
        <v>1576</v>
      </c>
      <c r="Q1742" t="s">
        <v>1579</v>
      </c>
      <c r="R1742" t="s">
        <v>1580</v>
      </c>
      <c r="S1742" t="s">
        <v>1580</v>
      </c>
      <c r="T1742" t="s">
        <v>1576</v>
      </c>
      <c r="U1742" t="s">
        <v>1576</v>
      </c>
      <c r="V1742" t="str" cm="1">
        <f t="array" aca="1" ref="V1742" ca="1">IFERROR(_xlfn.IFS(A1740="  ..............",OFFSET(A1740,2,0),A1739=" X-------------X",OFFSET(A1739,3,0),MATCH("  ..............",A1742:A1751,0)&gt;2,V1741),"-")</f>
        <v>-</v>
      </c>
      <c r="W1742" t="str">
        <f t="shared" ca="1" si="81"/>
        <v>-</v>
      </c>
      <c r="X1742" t="str">
        <f t="shared" ca="1" si="82"/>
        <v/>
      </c>
      <c r="Y1742" s="1" t="str">
        <f t="shared" ca="1" si="83"/>
        <v/>
      </c>
    </row>
    <row r="1743" spans="1:25" x14ac:dyDescent="0.25">
      <c r="A1743" t="s">
        <v>2771</v>
      </c>
      <c r="B1743">
        <v>1.012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 t="s">
        <v>1581</v>
      </c>
      <c r="J1743" t="s">
        <v>1581</v>
      </c>
      <c r="K1743" t="s">
        <v>1581</v>
      </c>
      <c r="L1743" t="s">
        <v>1581</v>
      </c>
      <c r="M1743" t="s">
        <v>1581</v>
      </c>
      <c r="N1743" t="s">
        <v>1581</v>
      </c>
      <c r="O1743" t="s">
        <v>1581</v>
      </c>
      <c r="P1743" t="s">
        <v>1581</v>
      </c>
      <c r="Q1743" t="s">
        <v>1581</v>
      </c>
      <c r="R1743" t="s">
        <v>1581</v>
      </c>
      <c r="S1743" t="s">
        <v>1581</v>
      </c>
      <c r="T1743" t="s">
        <v>1581</v>
      </c>
      <c r="U1743" t="s">
        <v>1581</v>
      </c>
      <c r="V1743" t="str" cm="1">
        <f t="array" aca="1" ref="V1743" ca="1">IFERROR(_xlfn.IFS(A1741="  ..............",OFFSET(A1741,2,0),A1740=" X-------------X",OFFSET(A1740,3,0),MATCH("  ..............",A1743:A1752,0)&gt;2,V1742),"-")</f>
        <v>-</v>
      </c>
      <c r="W1743" t="str">
        <f t="shared" ca="1" si="81"/>
        <v>-</v>
      </c>
      <c r="X1743" t="str">
        <f t="shared" ca="1" si="82"/>
        <v xml:space="preserve">              </v>
      </c>
      <c r="Y1743" s="1">
        <f t="shared" ca="1" si="83"/>
        <v>0</v>
      </c>
    </row>
    <row r="1744" spans="1:25" x14ac:dyDescent="0.25">
      <c r="A1744" t="s">
        <v>2772</v>
      </c>
      <c r="B1744">
        <v>-54.5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 t="s">
        <v>1584</v>
      </c>
      <c r="J1744" t="s">
        <v>1585</v>
      </c>
      <c r="K1744" t="s">
        <v>1586</v>
      </c>
      <c r="L1744" t="s">
        <v>1587</v>
      </c>
      <c r="M1744" t="s">
        <v>1587</v>
      </c>
      <c r="N1744" t="s">
        <v>1586</v>
      </c>
      <c r="O1744" t="s">
        <v>1581</v>
      </c>
      <c r="P1744" t="s">
        <v>1581</v>
      </c>
      <c r="Q1744" t="s">
        <v>1581</v>
      </c>
      <c r="R1744" t="s">
        <v>1581</v>
      </c>
      <c r="S1744" t="s">
        <v>1581</v>
      </c>
      <c r="T1744" t="s">
        <v>1581</v>
      </c>
      <c r="U1744" t="s">
        <v>1581</v>
      </c>
      <c r="V1744" t="str" cm="1">
        <f t="array" aca="1" ref="V1744" ca="1">IFERROR(_xlfn.IFS(A1742="  ..............",OFFSET(A1742,2,0),A1741=" X-------------X",OFFSET(A1741,3,0),MATCH("  ..............",A1744:A1753,0)&gt;2,V1743),"-")</f>
        <v xml:space="preserve">  PALEG1-RS069  </v>
      </c>
      <c r="W1744">
        <f t="shared" ca="1" si="81"/>
        <v>1.012</v>
      </c>
      <c r="X1744" t="str">
        <f t="shared" ca="1" si="82"/>
        <v xml:space="preserve"> PALE1A-RS069 </v>
      </c>
      <c r="Y1744" s="1">
        <f t="shared" ca="1" si="83"/>
        <v>0.26900000000000002</v>
      </c>
    </row>
    <row r="1745" spans="1:25" x14ac:dyDescent="0.25">
      <c r="A1745" t="s">
        <v>1588</v>
      </c>
      <c r="B1745" t="s">
        <v>1587</v>
      </c>
      <c r="C1745">
        <v>90</v>
      </c>
      <c r="D1745">
        <v>90</v>
      </c>
      <c r="E1745">
        <v>90</v>
      </c>
      <c r="F1745" s="1">
        <v>0.26900000000000002</v>
      </c>
      <c r="G1745" t="s">
        <v>1587</v>
      </c>
      <c r="H1745" t="s">
        <v>1587</v>
      </c>
      <c r="I1745">
        <v>9234</v>
      </c>
      <c r="J1745" t="s">
        <v>2773</v>
      </c>
      <c r="K1745">
        <v>1</v>
      </c>
      <c r="L1745">
        <v>24.1</v>
      </c>
      <c r="M1745">
        <v>4.4000000000000004</v>
      </c>
      <c r="N1745">
        <v>24.2</v>
      </c>
      <c r="O1745" t="s">
        <v>1594</v>
      </c>
      <c r="P1745" t="s">
        <v>1584</v>
      </c>
      <c r="Q1745" t="s">
        <v>1591</v>
      </c>
      <c r="R1745">
        <v>0</v>
      </c>
      <c r="S1745">
        <v>0</v>
      </c>
      <c r="T1745" t="s">
        <v>1584</v>
      </c>
      <c r="U1745" t="s">
        <v>1592</v>
      </c>
      <c r="V1745" t="str" cm="1">
        <f t="array" aca="1" ref="V1745" ca="1">IFERROR(_xlfn.IFS(A1743="  ..............",OFFSET(A1743,2,0),A1742=" X-------------X",OFFSET(A1742,3,0),MATCH("  ..............",A1745:A1754,0)&gt;2,V1744),"-")</f>
        <v xml:space="preserve">  PALEG1-RS069  </v>
      </c>
      <c r="W1745">
        <f t="shared" ca="1" si="81"/>
        <v>1.012</v>
      </c>
      <c r="X1745" t="str">
        <f t="shared" ca="1" si="82"/>
        <v xml:space="preserve"> PALE1B-RS069 </v>
      </c>
      <c r="Y1745" s="1">
        <f t="shared" ca="1" si="83"/>
        <v>0.27600000000000002</v>
      </c>
    </row>
    <row r="1746" spans="1:25" x14ac:dyDescent="0.25">
      <c r="A1746" t="s">
        <v>1588</v>
      </c>
      <c r="B1746" t="s">
        <v>1587</v>
      </c>
      <c r="C1746">
        <v>90</v>
      </c>
      <c r="D1746">
        <v>90</v>
      </c>
      <c r="E1746">
        <v>90</v>
      </c>
      <c r="F1746" s="1">
        <v>0.27600000000000002</v>
      </c>
      <c r="G1746" t="s">
        <v>1587</v>
      </c>
      <c r="H1746" t="s">
        <v>1587</v>
      </c>
      <c r="I1746">
        <v>9235</v>
      </c>
      <c r="J1746" t="s">
        <v>2774</v>
      </c>
      <c r="K1746">
        <v>1</v>
      </c>
      <c r="L1746">
        <v>25.1</v>
      </c>
      <c r="M1746">
        <v>-0.2</v>
      </c>
      <c r="N1746">
        <v>24.8</v>
      </c>
      <c r="O1746" t="s">
        <v>1594</v>
      </c>
      <c r="P1746" t="s">
        <v>1584</v>
      </c>
      <c r="Q1746" t="s">
        <v>1591</v>
      </c>
      <c r="R1746">
        <v>0</v>
      </c>
      <c r="S1746">
        <v>0</v>
      </c>
      <c r="T1746" t="s">
        <v>1584</v>
      </c>
      <c r="U1746" t="s">
        <v>1592</v>
      </c>
      <c r="V1746" t="str" cm="1">
        <f t="array" aca="1" ref="V1746" ca="1">IFERROR(_xlfn.IFS(A1744="  ..............",OFFSET(A1744,2,0),A1743=" X-------------X",OFFSET(A1743,3,0),MATCH("  ..............",A1746:A1755,0)&gt;2,V1745),"-")</f>
        <v xml:space="preserve">  PALEG1-RS069  </v>
      </c>
      <c r="W1746">
        <f t="shared" ca="1" si="81"/>
        <v>1.012</v>
      </c>
      <c r="X1746" t="str">
        <f t="shared" ca="1" si="82"/>
        <v xml:space="preserve"> FLORES-RS069 </v>
      </c>
      <c r="Y1746" s="1">
        <f t="shared" ca="1" si="83"/>
        <v>0.20699999999999999</v>
      </c>
    </row>
    <row r="1747" spans="1:25" x14ac:dyDescent="0.25">
      <c r="A1747" t="s">
        <v>1588</v>
      </c>
      <c r="B1747" t="s">
        <v>1587</v>
      </c>
      <c r="C1747">
        <v>100</v>
      </c>
      <c r="D1747">
        <v>100</v>
      </c>
      <c r="E1747">
        <v>100</v>
      </c>
      <c r="F1747" s="1">
        <v>0.20699999999999999</v>
      </c>
      <c r="G1747" t="s">
        <v>1587</v>
      </c>
      <c r="H1747" t="s">
        <v>1587</v>
      </c>
      <c r="I1747">
        <v>9255</v>
      </c>
      <c r="J1747" t="s">
        <v>2775</v>
      </c>
      <c r="K1747">
        <v>1</v>
      </c>
      <c r="L1747">
        <v>20.6</v>
      </c>
      <c r="M1747">
        <v>-3.6</v>
      </c>
      <c r="N1747">
        <v>20.7</v>
      </c>
      <c r="O1747" t="s">
        <v>1594</v>
      </c>
      <c r="P1747" t="s">
        <v>1584</v>
      </c>
      <c r="Q1747" t="s">
        <v>1591</v>
      </c>
      <c r="R1747">
        <v>0.01</v>
      </c>
      <c r="S1747">
        <v>-1.3</v>
      </c>
      <c r="T1747" t="s">
        <v>1584</v>
      </c>
      <c r="U1747" t="s">
        <v>1592</v>
      </c>
      <c r="V1747" t="str" cm="1">
        <f t="array" aca="1" ref="V1747" ca="1">IFERROR(_xlfn.IFS(A1745="  ..............",OFFSET(A1745,2,0),A1744=" X-------------X",OFFSET(A1744,3,0),MATCH("  ..............",A1747:A1756,0)&gt;2,V1746),"-")</f>
        <v xml:space="preserve">  PALEG1-RS069  </v>
      </c>
      <c r="W1747">
        <f t="shared" ca="1" si="81"/>
        <v>1.012</v>
      </c>
      <c r="X1747" t="str">
        <f t="shared" ca="1" si="82"/>
        <v xml:space="preserve"> ZAFFAR-RS069 </v>
      </c>
      <c r="Y1747" s="1">
        <f t="shared" ca="1" si="83"/>
        <v>0.06</v>
      </c>
    </row>
    <row r="1748" spans="1:25" x14ac:dyDescent="0.25">
      <c r="A1748" t="s">
        <v>1588</v>
      </c>
      <c r="B1748" t="s">
        <v>1587</v>
      </c>
      <c r="C1748">
        <v>84</v>
      </c>
      <c r="D1748">
        <v>101</v>
      </c>
      <c r="E1748">
        <v>101</v>
      </c>
      <c r="F1748" s="1">
        <v>0.06</v>
      </c>
      <c r="G1748" t="s">
        <v>1587</v>
      </c>
      <c r="H1748" t="s">
        <v>1587</v>
      </c>
      <c r="I1748">
        <v>9277</v>
      </c>
      <c r="J1748" t="s">
        <v>2776</v>
      </c>
      <c r="K1748">
        <v>1</v>
      </c>
      <c r="L1748">
        <v>2.2999999999999998</v>
      </c>
      <c r="M1748">
        <v>-4.5999999999999996</v>
      </c>
      <c r="N1748">
        <v>5.0999999999999996</v>
      </c>
      <c r="O1748" t="s">
        <v>1594</v>
      </c>
      <c r="P1748" t="s">
        <v>1584</v>
      </c>
      <c r="Q1748" t="s">
        <v>1591</v>
      </c>
      <c r="R1748">
        <v>0</v>
      </c>
      <c r="S1748">
        <v>-0.4</v>
      </c>
      <c r="T1748" t="s">
        <v>1584</v>
      </c>
      <c r="U1748" t="s">
        <v>1592</v>
      </c>
      <c r="V1748" t="str" cm="1">
        <f t="array" aca="1" ref="V1748" ca="1">IFERROR(_xlfn.IFS(A1746="  ..............",OFFSET(A1746,2,0),A1745=" X-------------X",OFFSET(A1745,3,0),MATCH("  ..............",A1748:A1757,0)&gt;2,V1747),"-")</f>
        <v xml:space="preserve">  PALEG1-RS069  </v>
      </c>
      <c r="W1748">
        <f t="shared" ca="1" si="81"/>
        <v>1.012</v>
      </c>
      <c r="X1748" t="str">
        <f t="shared" ca="1" si="82"/>
        <v xml:space="preserve"> GERPALTAP069 </v>
      </c>
      <c r="Y1748" s="1">
        <f t="shared" ca="1" si="83"/>
        <v>0.25</v>
      </c>
    </row>
    <row r="1749" spans="1:25" x14ac:dyDescent="0.25">
      <c r="A1749" t="s">
        <v>1588</v>
      </c>
      <c r="B1749" t="s">
        <v>1587</v>
      </c>
      <c r="C1749">
        <v>80</v>
      </c>
      <c r="D1749">
        <v>95</v>
      </c>
      <c r="E1749">
        <v>95</v>
      </c>
      <c r="F1749" s="1">
        <v>0.193</v>
      </c>
      <c r="G1749" t="s">
        <v>1587</v>
      </c>
      <c r="H1749" t="s">
        <v>1587</v>
      </c>
      <c r="I1749">
        <v>9554</v>
      </c>
      <c r="J1749" t="s">
        <v>2410</v>
      </c>
      <c r="K1749">
        <v>1</v>
      </c>
      <c r="L1749">
        <v>15.2</v>
      </c>
      <c r="M1749">
        <v>-3.6</v>
      </c>
      <c r="N1749">
        <v>15.5</v>
      </c>
      <c r="O1749" t="s">
        <v>1594</v>
      </c>
      <c r="P1749" t="s">
        <v>1584</v>
      </c>
      <c r="Q1749" t="s">
        <v>1591</v>
      </c>
      <c r="R1749">
        <v>0.03</v>
      </c>
      <c r="S1749">
        <v>0.02</v>
      </c>
      <c r="T1749" t="s">
        <v>1584</v>
      </c>
      <c r="U1749" t="s">
        <v>1592</v>
      </c>
      <c r="V1749" t="str" cm="1">
        <f t="array" aca="1" ref="V1749" ca="1">IFERROR(_xlfn.IFS(A1747="  ..............",OFFSET(A1747,2,0),A1746=" X-------------X",OFFSET(A1746,3,0),MATCH("  ..............",A1749:A1758,0)&gt;2,V1748),"-")</f>
        <v xml:space="preserve">  PALEG1-RS069  </v>
      </c>
      <c r="W1749">
        <f t="shared" ca="1" si="81"/>
        <v>1.012</v>
      </c>
      <c r="X1749" t="str">
        <f t="shared" ca="1" si="82"/>
        <v xml:space="preserve"> PAL1-1-RS000 </v>
      </c>
      <c r="Y1749" s="1">
        <f t="shared" ca="1" si="83"/>
        <v>0.34799999999999998</v>
      </c>
    </row>
    <row r="1750" spans="1:25" x14ac:dyDescent="0.25">
      <c r="A1750" t="s">
        <v>1588</v>
      </c>
      <c r="B1750" t="s">
        <v>1587</v>
      </c>
      <c r="C1750">
        <v>83</v>
      </c>
      <c r="D1750">
        <v>100</v>
      </c>
      <c r="E1750">
        <v>100</v>
      </c>
      <c r="F1750" s="1">
        <v>0.34799999999999998</v>
      </c>
      <c r="G1750" t="s">
        <v>1587</v>
      </c>
      <c r="H1750" t="s">
        <v>1587</v>
      </c>
      <c r="I1750">
        <v>43843</v>
      </c>
      <c r="J1750" t="s">
        <v>2777</v>
      </c>
      <c r="K1750">
        <v>1</v>
      </c>
      <c r="L1750">
        <v>-29.1</v>
      </c>
      <c r="M1750">
        <v>2.5</v>
      </c>
      <c r="N1750">
        <v>28.9</v>
      </c>
      <c r="O1750" t="s">
        <v>1608</v>
      </c>
      <c r="P1750" t="s">
        <v>1584</v>
      </c>
      <c r="Q1750">
        <v>2</v>
      </c>
      <c r="R1750">
        <v>-0.02</v>
      </c>
      <c r="S1750">
        <v>-0.1</v>
      </c>
      <c r="T1750" t="s">
        <v>1584</v>
      </c>
      <c r="U1750" t="s">
        <v>1592</v>
      </c>
      <c r="V1750" t="str" cm="1">
        <f t="array" aca="1" ref="V1750" ca="1">IFERROR(_xlfn.IFS(A1748="  ..............",OFFSET(A1748,2,0),A1747=" X-------------X",OFFSET(A1747,3,0),MATCH("  ..............",A1750:A1759,0)&gt;2,V1749),"-")</f>
        <v xml:space="preserve">  PALEG1-RS069  </v>
      </c>
      <c r="W1750">
        <f t="shared" ca="1" si="81"/>
        <v>1.012</v>
      </c>
      <c r="X1750" t="str">
        <f t="shared" ca="1" si="82"/>
        <v xml:space="preserve"> PAL1-3-RS000 </v>
      </c>
      <c r="Y1750" s="1">
        <f t="shared" ca="1" si="83"/>
        <v>0.34799999999999998</v>
      </c>
    </row>
    <row r="1751" spans="1:25" x14ac:dyDescent="0.25">
      <c r="A1751" t="s">
        <v>1588</v>
      </c>
      <c r="B1751" t="s">
        <v>1587</v>
      </c>
      <c r="C1751">
        <v>83</v>
      </c>
      <c r="D1751">
        <v>100</v>
      </c>
      <c r="E1751">
        <v>100</v>
      </c>
      <c r="F1751" s="1">
        <v>0.34799999999999998</v>
      </c>
      <c r="G1751" t="s">
        <v>1587</v>
      </c>
      <c r="H1751" t="s">
        <v>1587</v>
      </c>
      <c r="I1751">
        <v>43849</v>
      </c>
      <c r="J1751" t="s">
        <v>2778</v>
      </c>
      <c r="K1751">
        <v>3</v>
      </c>
      <c r="L1751">
        <v>-29.1</v>
      </c>
      <c r="M1751">
        <v>2.5</v>
      </c>
      <c r="N1751">
        <v>28.9</v>
      </c>
      <c r="O1751" t="s">
        <v>1608</v>
      </c>
      <c r="P1751" t="s">
        <v>1584</v>
      </c>
      <c r="Q1751">
        <v>2</v>
      </c>
      <c r="R1751">
        <v>-0.02</v>
      </c>
      <c r="S1751">
        <v>-0.1</v>
      </c>
      <c r="T1751" t="s">
        <v>1584</v>
      </c>
      <c r="U1751" t="s">
        <v>1592</v>
      </c>
      <c r="V1751" t="str" cm="1">
        <f t="array" aca="1" ref="V1751" ca="1">IFERROR(_xlfn.IFS(A1749="  ..............",OFFSET(A1749,2,0),A1748=" X-------------X",OFFSET(A1748,3,0),MATCH("  ..............",A1751:A1760,0)&gt;2,V1750),"-")</f>
        <v xml:space="preserve">  PALEG1-RS069  </v>
      </c>
      <c r="W1751">
        <f t="shared" ca="1" si="81"/>
        <v>1.012</v>
      </c>
      <c r="X1751" t="str">
        <f t="shared" ca="1" si="82"/>
        <v xml:space="preserve"> PAL1-2-RS000 </v>
      </c>
      <c r="Y1751" s="1">
        <f t="shared" ca="1" si="83"/>
        <v>0.34799999999999998</v>
      </c>
    </row>
    <row r="1752" spans="1:25" x14ac:dyDescent="0.25">
      <c r="A1752" t="s">
        <v>1588</v>
      </c>
      <c r="B1752" t="s">
        <v>1587</v>
      </c>
      <c r="C1752">
        <v>83</v>
      </c>
      <c r="D1752">
        <v>100</v>
      </c>
      <c r="E1752">
        <v>100</v>
      </c>
      <c r="F1752" s="1">
        <v>0.34799999999999998</v>
      </c>
      <c r="G1752" t="s">
        <v>1587</v>
      </c>
      <c r="H1752" t="s">
        <v>1587</v>
      </c>
      <c r="I1752">
        <v>43856</v>
      </c>
      <c r="J1752" t="s">
        <v>2779</v>
      </c>
      <c r="K1752">
        <v>2</v>
      </c>
      <c r="L1752">
        <v>-29.1</v>
      </c>
      <c r="M1752">
        <v>2.5</v>
      </c>
      <c r="N1752">
        <v>28.9</v>
      </c>
      <c r="O1752" t="s">
        <v>1608</v>
      </c>
      <c r="P1752" t="s">
        <v>1584</v>
      </c>
      <c r="Q1752">
        <v>2</v>
      </c>
      <c r="R1752">
        <v>-0.02</v>
      </c>
      <c r="S1752">
        <v>-0.1</v>
      </c>
      <c r="T1752" t="s">
        <v>1584</v>
      </c>
      <c r="U1752" t="s">
        <v>1592</v>
      </c>
      <c r="V1752" t="str" cm="1">
        <f t="array" aca="1" ref="V1752" ca="1">IFERROR(_xlfn.IFS(A1750="  ..............",OFFSET(A1750,2,0),A1749=" X-------------X",OFFSET(A1749,3,0),MATCH("  ..............",A1752:A1761,0)&gt;2,V1751),"-")</f>
        <v>-</v>
      </c>
      <c r="W1752" t="str">
        <f t="shared" ca="1" si="81"/>
        <v>-</v>
      </c>
      <c r="X1752" t="str">
        <f t="shared" ca="1" si="82"/>
        <v>-</v>
      </c>
      <c r="Y1752" s="1" t="str">
        <f t="shared" ca="1" si="83"/>
        <v>-</v>
      </c>
    </row>
    <row r="1753" spans="1:25" x14ac:dyDescent="0.25">
      <c r="A1753" t="s">
        <v>1572</v>
      </c>
      <c r="B1753" t="s">
        <v>1574</v>
      </c>
      <c r="C1753" t="s">
        <v>1574</v>
      </c>
      <c r="D1753" t="s">
        <v>1574</v>
      </c>
      <c r="E1753" t="s">
        <v>1574</v>
      </c>
      <c r="F1753" t="s">
        <v>1575</v>
      </c>
      <c r="G1753" t="s">
        <v>1574</v>
      </c>
      <c r="H1753" t="s">
        <v>1574</v>
      </c>
      <c r="I1753" t="s">
        <v>1576</v>
      </c>
      <c r="J1753" t="s">
        <v>1573</v>
      </c>
      <c r="K1753" t="s">
        <v>1577</v>
      </c>
      <c r="L1753" t="s">
        <v>1574</v>
      </c>
      <c r="M1753" t="s">
        <v>1574</v>
      </c>
      <c r="N1753" t="s">
        <v>1574</v>
      </c>
      <c r="O1753" t="s">
        <v>1578</v>
      </c>
      <c r="P1753" t="s">
        <v>1576</v>
      </c>
      <c r="Q1753" t="s">
        <v>1579</v>
      </c>
      <c r="R1753" t="s">
        <v>1580</v>
      </c>
      <c r="S1753" t="s">
        <v>1580</v>
      </c>
      <c r="T1753" t="s">
        <v>1576</v>
      </c>
      <c r="U1753" t="s">
        <v>1576</v>
      </c>
      <c r="V1753" t="str" cm="1">
        <f t="array" aca="1" ref="V1753" ca="1">IFERROR(_xlfn.IFS(A1751="  ..............",OFFSET(A1751,2,0),A1750=" X-------------X",OFFSET(A1750,3,0),MATCH("  ..............",A1753:A1762,0)&gt;2,V1752),"-")</f>
        <v>-</v>
      </c>
      <c r="W1753" t="str">
        <f t="shared" ca="1" si="81"/>
        <v>-</v>
      </c>
      <c r="X1753" t="str">
        <f t="shared" ca="1" si="82"/>
        <v/>
      </c>
      <c r="Y1753" s="1" t="str">
        <f t="shared" ca="1" si="83"/>
        <v/>
      </c>
    </row>
    <row r="1754" spans="1:25" x14ac:dyDescent="0.25">
      <c r="A1754" t="s">
        <v>2780</v>
      </c>
      <c r="B1754">
        <v>1.0029999999999999</v>
      </c>
      <c r="C1754">
        <v>2.9</v>
      </c>
      <c r="D1754">
        <v>0</v>
      </c>
      <c r="E1754">
        <v>25.6</v>
      </c>
      <c r="F1754">
        <v>0</v>
      </c>
      <c r="G1754">
        <v>3.6</v>
      </c>
      <c r="H1754">
        <v>0</v>
      </c>
      <c r="I1754" t="s">
        <v>1581</v>
      </c>
      <c r="J1754" t="s">
        <v>1581</v>
      </c>
      <c r="K1754" t="s">
        <v>1581</v>
      </c>
      <c r="L1754" t="s">
        <v>1581</v>
      </c>
      <c r="M1754" t="s">
        <v>1581</v>
      </c>
      <c r="N1754" t="s">
        <v>1581</v>
      </c>
      <c r="O1754" t="s">
        <v>1581</v>
      </c>
      <c r="P1754" t="s">
        <v>1581</v>
      </c>
      <c r="Q1754" t="s">
        <v>1581</v>
      </c>
      <c r="R1754" t="s">
        <v>1581</v>
      </c>
      <c r="S1754" t="s">
        <v>1581</v>
      </c>
      <c r="T1754" t="s">
        <v>1581</v>
      </c>
      <c r="U1754" t="s">
        <v>1581</v>
      </c>
      <c r="V1754" t="str" cm="1">
        <f t="array" aca="1" ref="V1754" ca="1">IFERROR(_xlfn.IFS(A1752="  ..............",OFFSET(A1752,2,0),A1751=" X-------------X",OFFSET(A1751,3,0),MATCH("  ..............",A1754:A1763,0)&gt;2,V1753),"-")</f>
        <v>-</v>
      </c>
      <c r="W1754" t="str">
        <f t="shared" ca="1" si="81"/>
        <v>-</v>
      </c>
      <c r="X1754" t="str">
        <f t="shared" ca="1" si="82"/>
        <v xml:space="preserve">              </v>
      </c>
      <c r="Y1754" s="1">
        <f t="shared" ca="1" si="83"/>
        <v>0</v>
      </c>
    </row>
    <row r="1755" spans="1:25" x14ac:dyDescent="0.25">
      <c r="A1755" t="s">
        <v>2781</v>
      </c>
      <c r="B1755">
        <v>-53.2</v>
      </c>
      <c r="C1755">
        <v>0</v>
      </c>
      <c r="D1755">
        <v>0</v>
      </c>
      <c r="E1755">
        <v>13.6</v>
      </c>
      <c r="F1755">
        <v>0</v>
      </c>
      <c r="G1755">
        <v>0</v>
      </c>
      <c r="H1755">
        <v>0</v>
      </c>
      <c r="I1755" t="s">
        <v>1584</v>
      </c>
      <c r="J1755" t="s">
        <v>1585</v>
      </c>
      <c r="K1755" t="s">
        <v>1586</v>
      </c>
      <c r="L1755" t="s">
        <v>1587</v>
      </c>
      <c r="M1755" t="s">
        <v>1587</v>
      </c>
      <c r="N1755" t="s">
        <v>1586</v>
      </c>
      <c r="O1755" t="s">
        <v>1581</v>
      </c>
      <c r="P1755" t="s">
        <v>1581</v>
      </c>
      <c r="Q1755" t="s">
        <v>1581</v>
      </c>
      <c r="R1755" t="s">
        <v>1581</v>
      </c>
      <c r="S1755" t="s">
        <v>1581</v>
      </c>
      <c r="T1755" t="s">
        <v>1581</v>
      </c>
      <c r="U1755" t="s">
        <v>1581</v>
      </c>
      <c r="V1755" t="str" cm="1">
        <f t="array" aca="1" ref="V1755" ca="1">IFERROR(_xlfn.IFS(A1753="  ..............",OFFSET(A1753,2,0),A1752=" X-------------X",OFFSET(A1752,3,0),MATCH("  ..............",A1755:A1764,0)&gt;2,V1754),"-")</f>
        <v xml:space="preserve">  BPRINC-RS138  </v>
      </c>
      <c r="W1755">
        <f t="shared" ca="1" si="81"/>
        <v>1.0029999999999999</v>
      </c>
      <c r="X1755" t="str">
        <f t="shared" ca="1" si="82"/>
        <v xml:space="preserve"> SAOSCA-RS138 </v>
      </c>
      <c r="Y1755" s="1" t="str">
        <f t="shared" ca="1" si="83"/>
        <v xml:space="preserve">             </v>
      </c>
    </row>
    <row r="1756" spans="1:25" x14ac:dyDescent="0.25">
      <c r="A1756" t="s">
        <v>1637</v>
      </c>
      <c r="B1756" t="s">
        <v>1638</v>
      </c>
      <c r="C1756">
        <v>134</v>
      </c>
      <c r="D1756">
        <v>162</v>
      </c>
      <c r="E1756">
        <v>162</v>
      </c>
      <c r="F1756" t="s">
        <v>1639</v>
      </c>
      <c r="G1756" t="s">
        <v>1587</v>
      </c>
      <c r="H1756" t="s">
        <v>1587</v>
      </c>
      <c r="I1756">
        <v>1280</v>
      </c>
      <c r="J1756" t="s">
        <v>2782</v>
      </c>
      <c r="K1756">
        <v>1</v>
      </c>
      <c r="L1756">
        <v>0</v>
      </c>
      <c r="M1756">
        <v>0</v>
      </c>
      <c r="N1756">
        <v>0</v>
      </c>
      <c r="O1756" t="s">
        <v>1594</v>
      </c>
      <c r="P1756" t="s">
        <v>1584</v>
      </c>
      <c r="Q1756" t="s">
        <v>1591</v>
      </c>
      <c r="R1756">
        <v>0</v>
      </c>
      <c r="S1756">
        <v>0</v>
      </c>
      <c r="T1756" t="s">
        <v>1584</v>
      </c>
      <c r="U1756" t="s">
        <v>1592</v>
      </c>
      <c r="V1756" t="str" cm="1">
        <f t="array" aca="1" ref="V1756" ca="1">IFERROR(_xlfn.IFS(A1754="  ..............",OFFSET(A1754,2,0),A1753=" X-------------X",OFFSET(A1753,3,0),MATCH("  ..............",A1756:A1765,0)&gt;2,V1755),"-")</f>
        <v xml:space="preserve">  BPRINC-RS138  </v>
      </c>
      <c r="W1756">
        <f t="shared" ca="1" si="81"/>
        <v>1.0029999999999999</v>
      </c>
      <c r="X1756" t="str">
        <f t="shared" ca="1" si="82"/>
        <v xml:space="preserve"> IVOTI2-RS138 </v>
      </c>
      <c r="Y1756" s="1">
        <f t="shared" ca="1" si="83"/>
        <v>0.125</v>
      </c>
    </row>
    <row r="1757" spans="1:25" x14ac:dyDescent="0.25">
      <c r="A1757" t="s">
        <v>1588</v>
      </c>
      <c r="B1757" t="s">
        <v>1587</v>
      </c>
      <c r="C1757">
        <v>197</v>
      </c>
      <c r="D1757">
        <v>240</v>
      </c>
      <c r="E1757">
        <v>240</v>
      </c>
      <c r="F1757" s="1">
        <v>0.125</v>
      </c>
      <c r="G1757" t="s">
        <v>1587</v>
      </c>
      <c r="H1757" t="s">
        <v>1587</v>
      </c>
      <c r="I1757">
        <v>10299</v>
      </c>
      <c r="J1757" t="s">
        <v>2783</v>
      </c>
      <c r="K1757">
        <v>1</v>
      </c>
      <c r="L1757">
        <v>-22.7</v>
      </c>
      <c r="M1757">
        <v>-10</v>
      </c>
      <c r="N1757">
        <v>24.7</v>
      </c>
      <c r="O1757" t="s">
        <v>1594</v>
      </c>
      <c r="P1757" t="s">
        <v>1584</v>
      </c>
      <c r="Q1757" t="s">
        <v>1591</v>
      </c>
      <c r="R1757">
        <v>0.08</v>
      </c>
      <c r="S1757">
        <v>-1.19</v>
      </c>
      <c r="T1757" t="s">
        <v>1584</v>
      </c>
      <c r="U1757" t="s">
        <v>1592</v>
      </c>
      <c r="V1757" t="str" cm="1">
        <f t="array" aca="1" ref="V1757" ca="1">IFERROR(_xlfn.IFS(A1755="  ..............",OFFSET(A1755,2,0),A1754=" X-------------X",OFFSET(A1754,3,0),MATCH("  ..............",A1757:A1766,0)&gt;2,V1756),"-")</f>
        <v>-</v>
      </c>
      <c r="W1757" t="str">
        <f t="shared" ca="1" si="81"/>
        <v>-</v>
      </c>
      <c r="X1757" t="str">
        <f t="shared" ca="1" si="82"/>
        <v>-</v>
      </c>
      <c r="Y1757" s="1" t="str">
        <f t="shared" ca="1" si="83"/>
        <v>-</v>
      </c>
    </row>
    <row r="1758" spans="1:25" x14ac:dyDescent="0.25">
      <c r="A1758" t="s">
        <v>1572</v>
      </c>
      <c r="B1758" t="s">
        <v>1574</v>
      </c>
      <c r="C1758" t="s">
        <v>1574</v>
      </c>
      <c r="D1758" t="s">
        <v>1574</v>
      </c>
      <c r="E1758" t="s">
        <v>1574</v>
      </c>
      <c r="F1758" t="s">
        <v>1575</v>
      </c>
      <c r="G1758" t="s">
        <v>1574</v>
      </c>
      <c r="H1758" t="s">
        <v>1574</v>
      </c>
      <c r="I1758" t="s">
        <v>1576</v>
      </c>
      <c r="J1758" t="s">
        <v>1573</v>
      </c>
      <c r="K1758" t="s">
        <v>1577</v>
      </c>
      <c r="L1758" t="s">
        <v>1574</v>
      </c>
      <c r="M1758" t="s">
        <v>1574</v>
      </c>
      <c r="N1758" t="s">
        <v>1574</v>
      </c>
      <c r="O1758" t="s">
        <v>1578</v>
      </c>
      <c r="P1758" t="s">
        <v>1576</v>
      </c>
      <c r="Q1758" t="s">
        <v>1579</v>
      </c>
      <c r="R1758" t="s">
        <v>1580</v>
      </c>
      <c r="S1758" t="s">
        <v>1580</v>
      </c>
      <c r="T1758" t="s">
        <v>1576</v>
      </c>
      <c r="U1758" t="s">
        <v>1576</v>
      </c>
      <c r="V1758" t="str" cm="1">
        <f t="array" aca="1" ref="V1758" ca="1">IFERROR(_xlfn.IFS(A1756="  ..............",OFFSET(A1756,2,0),A1755=" X-------------X",OFFSET(A1755,3,0),MATCH("  ..............",A1758:A1767,0)&gt;2,V1757),"-")</f>
        <v>-</v>
      </c>
      <c r="W1758" t="str">
        <f t="shared" ca="1" si="81"/>
        <v>-</v>
      </c>
      <c r="X1758" t="str">
        <f t="shared" ca="1" si="82"/>
        <v/>
      </c>
      <c r="Y1758" s="1" t="str">
        <f t="shared" ca="1" si="83"/>
        <v/>
      </c>
    </row>
    <row r="1759" spans="1:25" x14ac:dyDescent="0.25">
      <c r="A1759" t="s">
        <v>2784</v>
      </c>
      <c r="B1759">
        <v>1.0089999999999999</v>
      </c>
      <c r="C1759">
        <v>0</v>
      </c>
      <c r="D1759">
        <v>0</v>
      </c>
      <c r="E1759">
        <v>16.8</v>
      </c>
      <c r="F1759">
        <v>0</v>
      </c>
      <c r="G1759">
        <v>0</v>
      </c>
      <c r="H1759">
        <v>0</v>
      </c>
      <c r="I1759" t="s">
        <v>1581</v>
      </c>
      <c r="J1759" t="s">
        <v>1581</v>
      </c>
      <c r="K1759" t="s">
        <v>1581</v>
      </c>
      <c r="L1759" t="s">
        <v>1581</v>
      </c>
      <c r="M1759" t="s">
        <v>1581</v>
      </c>
      <c r="N1759" t="s">
        <v>1581</v>
      </c>
      <c r="O1759" t="s">
        <v>1581</v>
      </c>
      <c r="P1759" t="s">
        <v>1581</v>
      </c>
      <c r="Q1759" t="s">
        <v>1581</v>
      </c>
      <c r="R1759" t="s">
        <v>1581</v>
      </c>
      <c r="S1759" t="s">
        <v>1581</v>
      </c>
      <c r="T1759" t="s">
        <v>1581</v>
      </c>
      <c r="U1759" t="s">
        <v>1581</v>
      </c>
      <c r="V1759" t="str" cm="1">
        <f t="array" aca="1" ref="V1759" ca="1">IFERROR(_xlfn.IFS(A1757="  ..............",OFFSET(A1757,2,0),A1756=" X-------------X",OFFSET(A1756,3,0),MATCH("  ..............",A1759:A1768,0)&gt;2,V1758),"-")</f>
        <v>-</v>
      </c>
      <c r="W1759" t="str">
        <f t="shared" ca="1" si="81"/>
        <v>-</v>
      </c>
      <c r="X1759" t="str">
        <f t="shared" ca="1" si="82"/>
        <v xml:space="preserve">              </v>
      </c>
      <c r="Y1759" s="1">
        <f t="shared" ca="1" si="83"/>
        <v>0</v>
      </c>
    </row>
    <row r="1760" spans="1:25" x14ac:dyDescent="0.25">
      <c r="A1760" t="s">
        <v>2785</v>
      </c>
      <c r="B1760">
        <v>-52.7</v>
      </c>
      <c r="C1760">
        <v>0</v>
      </c>
      <c r="D1760">
        <v>0</v>
      </c>
      <c r="E1760">
        <v>6.5</v>
      </c>
      <c r="F1760">
        <v>0</v>
      </c>
      <c r="G1760">
        <v>0</v>
      </c>
      <c r="H1760">
        <v>0</v>
      </c>
      <c r="I1760" t="s">
        <v>1584</v>
      </c>
      <c r="J1760" t="s">
        <v>1585</v>
      </c>
      <c r="K1760" t="s">
        <v>1586</v>
      </c>
      <c r="L1760" t="s">
        <v>1587</v>
      </c>
      <c r="M1760" t="s">
        <v>1587</v>
      </c>
      <c r="N1760" t="s">
        <v>1586</v>
      </c>
      <c r="O1760" t="s">
        <v>1581</v>
      </c>
      <c r="P1760" t="s">
        <v>1581</v>
      </c>
      <c r="Q1760" t="s">
        <v>1581</v>
      </c>
      <c r="R1760" t="s">
        <v>1581</v>
      </c>
      <c r="S1760" t="s">
        <v>1581</v>
      </c>
      <c r="T1760" t="s">
        <v>1581</v>
      </c>
      <c r="U1760" t="s">
        <v>1581</v>
      </c>
      <c r="V1760" t="str" cm="1">
        <f t="array" aca="1" ref="V1760" ca="1">IFERROR(_xlfn.IFS(A1758="  ..............",OFFSET(A1758,2,0),A1757=" X-------------X",OFFSET(A1757,3,0),MATCH("  ..............",A1760:A1769,0)&gt;2,V1759),"-")</f>
        <v xml:space="preserve">  IVOTI--RS138  </v>
      </c>
      <c r="W1760">
        <f t="shared" ca="1" si="81"/>
        <v>1.0089999999999999</v>
      </c>
      <c r="X1760" t="str">
        <f t="shared" ca="1" si="82"/>
        <v xml:space="preserve"> 2IRMAO-RS138 </v>
      </c>
      <c r="Y1760" s="1">
        <f t="shared" ca="1" si="83"/>
        <v>0.22600000000000001</v>
      </c>
    </row>
    <row r="1761" spans="1:25" x14ac:dyDescent="0.25">
      <c r="A1761" t="s">
        <v>1588</v>
      </c>
      <c r="B1761" t="s">
        <v>1587</v>
      </c>
      <c r="C1761">
        <v>134</v>
      </c>
      <c r="D1761">
        <v>162</v>
      </c>
      <c r="E1761">
        <v>162</v>
      </c>
      <c r="F1761" s="1">
        <v>0.22600000000000001</v>
      </c>
      <c r="G1761" t="s">
        <v>1587</v>
      </c>
      <c r="H1761" t="s">
        <v>1587</v>
      </c>
      <c r="I1761">
        <v>1184</v>
      </c>
      <c r="J1761" t="s">
        <v>2786</v>
      </c>
      <c r="K1761">
        <v>1</v>
      </c>
      <c r="L1761">
        <v>27.3</v>
      </c>
      <c r="M1761">
        <v>13.9</v>
      </c>
      <c r="N1761">
        <v>30.3</v>
      </c>
      <c r="O1761" t="s">
        <v>1594</v>
      </c>
      <c r="P1761" t="s">
        <v>1584</v>
      </c>
      <c r="Q1761" t="s">
        <v>1591</v>
      </c>
      <c r="R1761">
        <v>0.06</v>
      </c>
      <c r="S1761">
        <v>-0.3</v>
      </c>
      <c r="T1761" t="s">
        <v>1584</v>
      </c>
      <c r="U1761" t="s">
        <v>1592</v>
      </c>
      <c r="V1761" t="str" cm="1">
        <f t="array" aca="1" ref="V1761" ca="1">IFERROR(_xlfn.IFS(A1759="  ..............",OFFSET(A1759,2,0),A1758=" X-------------X",OFFSET(A1758,3,0),MATCH("  ..............",A1761:A1770,0)&gt;2,V1760),"-")</f>
        <v xml:space="preserve">  IVOTI--RS138  </v>
      </c>
      <c r="W1761">
        <f t="shared" ca="1" si="81"/>
        <v>1.0089999999999999</v>
      </c>
      <c r="X1761" t="str">
        <f t="shared" ca="1" si="82"/>
        <v xml:space="preserve"> EVELHA-RS138 </v>
      </c>
      <c r="Y1761" s="1" t="str">
        <f t="shared" ca="1" si="83"/>
        <v xml:space="preserve">             </v>
      </c>
    </row>
    <row r="1762" spans="1:25" x14ac:dyDescent="0.25">
      <c r="A1762" t="s">
        <v>1588</v>
      </c>
      <c r="B1762" t="s">
        <v>1587</v>
      </c>
      <c r="C1762">
        <v>134</v>
      </c>
      <c r="D1762">
        <v>162</v>
      </c>
      <c r="E1762">
        <v>162</v>
      </c>
      <c r="F1762" s="1">
        <v>0.22500000000000001</v>
      </c>
      <c r="G1762" t="s">
        <v>1587</v>
      </c>
      <c r="H1762" t="s">
        <v>1587</v>
      </c>
      <c r="I1762">
        <v>1241</v>
      </c>
      <c r="J1762" t="s">
        <v>2275</v>
      </c>
      <c r="K1762">
        <v>1</v>
      </c>
      <c r="L1762">
        <v>30.4</v>
      </c>
      <c r="M1762">
        <v>1.3</v>
      </c>
      <c r="N1762">
        <v>30.2</v>
      </c>
      <c r="O1762" t="s">
        <v>1594</v>
      </c>
      <c r="P1762" t="s">
        <v>1584</v>
      </c>
      <c r="Q1762" t="s">
        <v>1591</v>
      </c>
      <c r="R1762">
        <v>0.02</v>
      </c>
      <c r="S1762">
        <v>0.05</v>
      </c>
      <c r="T1762" t="s">
        <v>1584</v>
      </c>
      <c r="U1762" t="s">
        <v>1592</v>
      </c>
      <c r="V1762" t="str" cm="1">
        <f t="array" aca="1" ref="V1762" ca="1">IFERROR(_xlfn.IFS(A1760="  ..............",OFFSET(A1760,2,0),A1759=" X-------------X",OFFSET(A1759,3,0),MATCH("  ..............",A1762:A1771,0)&gt;2,V1761),"-")</f>
        <v xml:space="preserve">  IVOTI--RS138  </v>
      </c>
      <c r="W1762">
        <f t="shared" ca="1" si="81"/>
        <v>1.0089999999999999</v>
      </c>
      <c r="X1762" t="str">
        <f t="shared" ca="1" si="82"/>
        <v xml:space="preserve"> IVOTI2-RS138 </v>
      </c>
      <c r="Y1762" s="1">
        <f t="shared" ca="1" si="83"/>
        <v>0.125</v>
      </c>
    </row>
    <row r="1763" spans="1:25" x14ac:dyDescent="0.25">
      <c r="A1763" t="s">
        <v>1588</v>
      </c>
      <c r="B1763" t="s">
        <v>1587</v>
      </c>
      <c r="C1763">
        <v>197</v>
      </c>
      <c r="D1763">
        <v>240</v>
      </c>
      <c r="E1763">
        <v>240</v>
      </c>
      <c r="F1763" s="1">
        <v>0.39</v>
      </c>
      <c r="G1763" t="s">
        <v>1587</v>
      </c>
      <c r="H1763" t="s">
        <v>1587</v>
      </c>
      <c r="I1763">
        <v>10299</v>
      </c>
      <c r="J1763" t="s">
        <v>2783</v>
      </c>
      <c r="K1763">
        <v>1</v>
      </c>
      <c r="L1763">
        <v>-74.5</v>
      </c>
      <c r="M1763">
        <v>-21.7</v>
      </c>
      <c r="N1763">
        <v>76.900000000000006</v>
      </c>
      <c r="O1763" t="s">
        <v>1594</v>
      </c>
      <c r="P1763" t="s">
        <v>1584</v>
      </c>
      <c r="Q1763" t="s">
        <v>1591</v>
      </c>
      <c r="R1763">
        <v>0.11</v>
      </c>
      <c r="S1763">
        <v>0.33</v>
      </c>
      <c r="T1763" t="s">
        <v>1584</v>
      </c>
      <c r="U1763" t="s">
        <v>1592</v>
      </c>
      <c r="V1763" t="str" cm="1">
        <f t="array" aca="1" ref="V1763" ca="1">IFERROR(_xlfn.IFS(A1761="  ..............",OFFSET(A1761,2,0),A1760=" X-------------X",OFFSET(A1760,3,0),MATCH("  ..............",A1763:A1772,0)&gt;2,V1762),"-")</f>
        <v>-</v>
      </c>
      <c r="W1763" t="str">
        <f t="shared" ca="1" si="81"/>
        <v>-</v>
      </c>
      <c r="X1763" t="str">
        <f t="shared" ca="1" si="82"/>
        <v>-</v>
      </c>
      <c r="Y1763" s="1" t="str">
        <f t="shared" ca="1" si="83"/>
        <v>-</v>
      </c>
    </row>
    <row r="1764" spans="1:25" x14ac:dyDescent="0.25">
      <c r="A1764" t="s">
        <v>1572</v>
      </c>
      <c r="B1764" t="s">
        <v>1574</v>
      </c>
      <c r="C1764" t="s">
        <v>1574</v>
      </c>
      <c r="D1764" t="s">
        <v>1574</v>
      </c>
      <c r="E1764" t="s">
        <v>1574</v>
      </c>
      <c r="F1764" t="s">
        <v>1575</v>
      </c>
      <c r="G1764" t="s">
        <v>1574</v>
      </c>
      <c r="H1764" t="s">
        <v>1574</v>
      </c>
      <c r="I1764" t="s">
        <v>1576</v>
      </c>
      <c r="J1764" t="s">
        <v>1573</v>
      </c>
      <c r="K1764" t="s">
        <v>1577</v>
      </c>
      <c r="L1764" t="s">
        <v>1574</v>
      </c>
      <c r="M1764" t="s">
        <v>1574</v>
      </c>
      <c r="N1764" t="s">
        <v>1574</v>
      </c>
      <c r="O1764" t="s">
        <v>1578</v>
      </c>
      <c r="P1764" t="s">
        <v>1576</v>
      </c>
      <c r="Q1764" t="s">
        <v>1579</v>
      </c>
      <c r="R1764" t="s">
        <v>1580</v>
      </c>
      <c r="S1764" t="s">
        <v>1580</v>
      </c>
      <c r="T1764" t="s">
        <v>1576</v>
      </c>
      <c r="U1764" t="s">
        <v>1576</v>
      </c>
      <c r="V1764" t="str" cm="1">
        <f t="array" aca="1" ref="V1764" ca="1">IFERROR(_xlfn.IFS(A1762="  ..............",OFFSET(A1762,2,0),A1761=" X-------------X",OFFSET(A1761,3,0),MATCH("  ..............",A1764:A1773,0)&gt;2,V1763),"-")</f>
        <v>-</v>
      </c>
      <c r="W1764" t="str">
        <f t="shared" ca="1" si="81"/>
        <v>-</v>
      </c>
      <c r="X1764" t="str">
        <f t="shared" ca="1" si="82"/>
        <v/>
      </c>
      <c r="Y1764" s="1" t="str">
        <f t="shared" ca="1" si="83"/>
        <v/>
      </c>
    </row>
    <row r="1765" spans="1:25" x14ac:dyDescent="0.25">
      <c r="A1765" t="s">
        <v>2787</v>
      </c>
      <c r="B1765">
        <v>1.0129999999999999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 t="s">
        <v>1581</v>
      </c>
      <c r="J1765" t="s">
        <v>1581</v>
      </c>
      <c r="K1765" t="s">
        <v>1581</v>
      </c>
      <c r="L1765" t="s">
        <v>1581</v>
      </c>
      <c r="M1765" t="s">
        <v>1581</v>
      </c>
      <c r="N1765" t="s">
        <v>1581</v>
      </c>
      <c r="O1765" t="s">
        <v>1581</v>
      </c>
      <c r="P1765" t="s">
        <v>1581</v>
      </c>
      <c r="Q1765" t="s">
        <v>1581</v>
      </c>
      <c r="R1765" t="s">
        <v>1581</v>
      </c>
      <c r="S1765" t="s">
        <v>1581</v>
      </c>
      <c r="T1765" t="s">
        <v>1581</v>
      </c>
      <c r="U1765" t="s">
        <v>1581</v>
      </c>
      <c r="V1765" t="str" cm="1">
        <f t="array" aca="1" ref="V1765" ca="1">IFERROR(_xlfn.IFS(A1763="  ..............",OFFSET(A1763,2,0),A1762=" X-------------X",OFFSET(A1762,3,0),MATCH("  ..............",A1765:A1774,0)&gt;2,V1764),"-")</f>
        <v>-</v>
      </c>
      <c r="W1765" t="str">
        <f t="shared" ca="1" si="81"/>
        <v>-</v>
      </c>
      <c r="X1765" t="str">
        <f t="shared" ca="1" si="82"/>
        <v xml:space="preserve">              </v>
      </c>
      <c r="Y1765" s="1">
        <f t="shared" ca="1" si="83"/>
        <v>0</v>
      </c>
    </row>
    <row r="1766" spans="1:25" x14ac:dyDescent="0.25">
      <c r="A1766" t="s">
        <v>2788</v>
      </c>
      <c r="B1766">
        <v>-55.1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 t="s">
        <v>1584</v>
      </c>
      <c r="J1766" t="s">
        <v>1585</v>
      </c>
      <c r="K1766" t="s">
        <v>1586</v>
      </c>
      <c r="L1766" t="s">
        <v>1587</v>
      </c>
      <c r="M1766" t="s">
        <v>1587</v>
      </c>
      <c r="N1766" t="s">
        <v>1586</v>
      </c>
      <c r="O1766" t="s">
        <v>1581</v>
      </c>
      <c r="P1766" t="s">
        <v>1581</v>
      </c>
      <c r="Q1766" t="s">
        <v>1581</v>
      </c>
      <c r="R1766" t="s">
        <v>1581</v>
      </c>
      <c r="S1766" t="s">
        <v>1581</v>
      </c>
      <c r="T1766" t="s">
        <v>1581</v>
      </c>
      <c r="U1766" t="s">
        <v>1581</v>
      </c>
      <c r="V1766" t="str" cm="1">
        <f t="array" aca="1" ref="V1766" ca="1">IFERROR(_xlfn.IFS(A1764="  ..............",OFFSET(A1764,2,0),A1763=" X-------------X",OFFSET(A1763,3,0),MATCH("  ..............",A1766:A1775,0)&gt;2,V1765),"-")</f>
        <v xml:space="preserve">  PA16-2TAP069  </v>
      </c>
      <c r="W1766">
        <f t="shared" ca="1" si="81"/>
        <v>1.0129999999999999</v>
      </c>
      <c r="X1766" t="str">
        <f t="shared" ca="1" si="82"/>
        <v xml:space="preserve"> PALGR6-RS069 </v>
      </c>
      <c r="Y1766" s="1">
        <f t="shared" ca="1" si="83"/>
        <v>0.185</v>
      </c>
    </row>
    <row r="1767" spans="1:25" x14ac:dyDescent="0.25">
      <c r="A1767" t="s">
        <v>1588</v>
      </c>
      <c r="B1767" t="s">
        <v>1587</v>
      </c>
      <c r="C1767">
        <v>54</v>
      </c>
      <c r="D1767">
        <v>79</v>
      </c>
      <c r="E1767">
        <v>79</v>
      </c>
      <c r="F1767" s="1">
        <v>0.314</v>
      </c>
      <c r="G1767" t="s">
        <v>1587</v>
      </c>
      <c r="H1767" t="s">
        <v>1587</v>
      </c>
      <c r="I1767">
        <v>1262</v>
      </c>
      <c r="J1767" t="s">
        <v>2438</v>
      </c>
      <c r="K1767">
        <v>1</v>
      </c>
      <c r="L1767">
        <v>-17.100000000000001</v>
      </c>
      <c r="M1767">
        <v>-1.3</v>
      </c>
      <c r="N1767">
        <v>16.899999999999999</v>
      </c>
      <c r="O1767" t="s">
        <v>1594</v>
      </c>
      <c r="P1767" t="s">
        <v>1584</v>
      </c>
      <c r="Q1767" t="s">
        <v>1591</v>
      </c>
      <c r="R1767">
        <v>0.05</v>
      </c>
      <c r="S1767">
        <v>0.1</v>
      </c>
      <c r="T1767" t="s">
        <v>1584</v>
      </c>
      <c r="U1767" t="s">
        <v>1592</v>
      </c>
      <c r="V1767" t="str" cm="1">
        <f t="array" aca="1" ref="V1767" ca="1">IFERROR(_xlfn.IFS(A1765="  ..............",OFFSET(A1765,2,0),A1764=" X-------------X",OFFSET(A1764,3,0),MATCH("  ..............",A1767:A1776,0)&gt;2,V1766),"-")</f>
        <v xml:space="preserve">  PA16-2TAP069  </v>
      </c>
      <c r="W1767">
        <f t="shared" ca="1" si="81"/>
        <v>1.0129999999999999</v>
      </c>
      <c r="X1767" t="str">
        <f t="shared" ca="1" si="82"/>
        <v xml:space="preserve"> PALE16-RS069 </v>
      </c>
      <c r="Y1767" s="1">
        <f t="shared" ca="1" si="83"/>
        <v>0.307</v>
      </c>
    </row>
    <row r="1768" spans="1:25" x14ac:dyDescent="0.25">
      <c r="A1768" t="s">
        <v>1588</v>
      </c>
      <c r="B1768" t="s">
        <v>1587</v>
      </c>
      <c r="C1768">
        <v>84</v>
      </c>
      <c r="D1768">
        <v>101</v>
      </c>
      <c r="E1768">
        <v>101</v>
      </c>
      <c r="F1768" s="1">
        <v>0.20200000000000001</v>
      </c>
      <c r="G1768" t="s">
        <v>1587</v>
      </c>
      <c r="H1768" t="s">
        <v>1587</v>
      </c>
      <c r="I1768">
        <v>9269</v>
      </c>
      <c r="J1768" t="s">
        <v>2472</v>
      </c>
      <c r="K1768">
        <v>1</v>
      </c>
      <c r="L1768">
        <v>17.100000000000001</v>
      </c>
      <c r="M1768">
        <v>1.3</v>
      </c>
      <c r="N1768">
        <v>16.899999999999999</v>
      </c>
      <c r="O1768" t="s">
        <v>1594</v>
      </c>
      <c r="P1768" t="s">
        <v>1584</v>
      </c>
      <c r="Q1768" t="s">
        <v>1591</v>
      </c>
      <c r="R1768">
        <v>0.03</v>
      </c>
      <c r="S1768">
        <v>0.06</v>
      </c>
      <c r="T1768" t="s">
        <v>1584</v>
      </c>
      <c r="U1768" t="s">
        <v>1592</v>
      </c>
      <c r="V1768" t="str" cm="1">
        <f t="array" aca="1" ref="V1768" ca="1">IFERROR(_xlfn.IFS(A1766="  ..............",OFFSET(A1766,2,0),A1765=" X-------------X",OFFSET(A1765,3,0),MATCH("  ..............",A1768:A1777,0)&gt;2,V1767),"-")</f>
        <v>-</v>
      </c>
      <c r="W1768" t="str">
        <f t="shared" ca="1" si="81"/>
        <v>-</v>
      </c>
      <c r="X1768" t="str">
        <f t="shared" ca="1" si="82"/>
        <v>-</v>
      </c>
      <c r="Y1768" s="1" t="str">
        <f t="shared" ca="1" si="83"/>
        <v>-</v>
      </c>
    </row>
    <row r="1769" spans="1:25" x14ac:dyDescent="0.25">
      <c r="A1769" t="s">
        <v>1572</v>
      </c>
      <c r="B1769" t="s">
        <v>1574</v>
      </c>
      <c r="C1769" t="s">
        <v>1574</v>
      </c>
      <c r="D1769" t="s">
        <v>1574</v>
      </c>
      <c r="E1769" t="s">
        <v>1574</v>
      </c>
      <c r="F1769" t="s">
        <v>1575</v>
      </c>
      <c r="G1769" t="s">
        <v>1574</v>
      </c>
      <c r="H1769" t="s">
        <v>1574</v>
      </c>
      <c r="I1769" t="s">
        <v>1576</v>
      </c>
      <c r="J1769" t="s">
        <v>1573</v>
      </c>
      <c r="K1769" t="s">
        <v>1577</v>
      </c>
      <c r="L1769" t="s">
        <v>1574</v>
      </c>
      <c r="M1769" t="s">
        <v>1574</v>
      </c>
      <c r="N1769" t="s">
        <v>1574</v>
      </c>
      <c r="O1769" t="s">
        <v>1578</v>
      </c>
      <c r="P1769" t="s">
        <v>1576</v>
      </c>
      <c r="Q1769" t="s">
        <v>1579</v>
      </c>
      <c r="R1769" t="s">
        <v>1580</v>
      </c>
      <c r="S1769" t="s">
        <v>1580</v>
      </c>
      <c r="T1769" t="s">
        <v>1576</v>
      </c>
      <c r="U1769" t="s">
        <v>1576</v>
      </c>
      <c r="V1769" t="str" cm="1">
        <f t="array" aca="1" ref="V1769" ca="1">IFERROR(_xlfn.IFS(A1767="  ..............",OFFSET(A1767,2,0),A1766=" X-------------X",OFFSET(A1766,3,0),MATCH("  ..............",A1769:A1778,0)&gt;2,V1768),"-")</f>
        <v>-</v>
      </c>
      <c r="W1769" t="str">
        <f t="shared" ca="1" si="81"/>
        <v>-</v>
      </c>
      <c r="X1769" t="str">
        <f t="shared" ca="1" si="82"/>
        <v/>
      </c>
      <c r="Y1769" s="1" t="str">
        <f t="shared" ca="1" si="83"/>
        <v/>
      </c>
    </row>
    <row r="1770" spans="1:25" x14ac:dyDescent="0.25">
      <c r="A1770" t="s">
        <v>2789</v>
      </c>
      <c r="B1770">
        <v>1.016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 t="s">
        <v>1581</v>
      </c>
      <c r="J1770" t="s">
        <v>1581</v>
      </c>
      <c r="K1770" t="s">
        <v>1581</v>
      </c>
      <c r="L1770" t="s">
        <v>1581</v>
      </c>
      <c r="M1770" t="s">
        <v>1581</v>
      </c>
      <c r="N1770" t="s">
        <v>1581</v>
      </c>
      <c r="O1770" t="s">
        <v>1581</v>
      </c>
      <c r="P1770" t="s">
        <v>1581</v>
      </c>
      <c r="Q1770" t="s">
        <v>1581</v>
      </c>
      <c r="R1770" t="s">
        <v>1581</v>
      </c>
      <c r="S1770" t="s">
        <v>1581</v>
      </c>
      <c r="T1770" t="s">
        <v>1581</v>
      </c>
      <c r="U1770" t="s">
        <v>1581</v>
      </c>
      <c r="V1770" t="str" cm="1">
        <f t="array" aca="1" ref="V1770" ca="1">IFERROR(_xlfn.IFS(A1768="  ..............",OFFSET(A1768,2,0),A1767=" X-------------X",OFFSET(A1767,3,0),MATCH("  ..............",A1770:A1779,0)&gt;2,V1769),"-")</f>
        <v>-</v>
      </c>
      <c r="W1770" t="str">
        <f t="shared" ca="1" si="81"/>
        <v>-</v>
      </c>
      <c r="X1770" t="str">
        <f t="shared" ca="1" si="82"/>
        <v xml:space="preserve">              </v>
      </c>
      <c r="Y1770" s="1">
        <f t="shared" ca="1" si="83"/>
        <v>0</v>
      </c>
    </row>
    <row r="1771" spans="1:25" x14ac:dyDescent="0.25">
      <c r="A1771" t="s">
        <v>2790</v>
      </c>
      <c r="B1771">
        <v>-54.9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 t="s">
        <v>1584</v>
      </c>
      <c r="J1771" t="s">
        <v>1585</v>
      </c>
      <c r="K1771" t="s">
        <v>1586</v>
      </c>
      <c r="L1771" t="s">
        <v>1587</v>
      </c>
      <c r="M1771" t="s">
        <v>1587</v>
      </c>
      <c r="N1771" t="s">
        <v>1586</v>
      </c>
      <c r="O1771" t="s">
        <v>1581</v>
      </c>
      <c r="P1771" t="s">
        <v>1581</v>
      </c>
      <c r="Q1771" t="s">
        <v>1581</v>
      </c>
      <c r="R1771" t="s">
        <v>1581</v>
      </c>
      <c r="S1771" t="s">
        <v>1581</v>
      </c>
      <c r="T1771" t="s">
        <v>1581</v>
      </c>
      <c r="U1771" t="s">
        <v>1581</v>
      </c>
      <c r="V1771" t="str" cm="1">
        <f t="array" aca="1" ref="V1771" ca="1">IFERROR(_xlfn.IFS(A1769="  ..............",OFFSET(A1769,2,0),A1768=" X-------------X",OFFSET(A1768,3,0),MATCH("  ..............",A1771:A1780,0)&gt;2,V1770),"-")</f>
        <v xml:space="preserve">  JBOTAN-RS069  </v>
      </c>
      <c r="W1771">
        <f t="shared" ca="1" si="81"/>
        <v>1.016</v>
      </c>
      <c r="X1771" t="str">
        <f t="shared" ca="1" si="82"/>
        <v xml:space="preserve"> PAL12--RS069 </v>
      </c>
      <c r="Y1771" s="1">
        <f t="shared" ca="1" si="83"/>
        <v>0.73899999999999999</v>
      </c>
    </row>
    <row r="1772" spans="1:25" x14ac:dyDescent="0.25">
      <c r="A1772" t="s">
        <v>1588</v>
      </c>
      <c r="B1772" t="s">
        <v>1587</v>
      </c>
      <c r="C1772">
        <v>84</v>
      </c>
      <c r="D1772">
        <v>101</v>
      </c>
      <c r="E1772">
        <v>101</v>
      </c>
      <c r="F1772" s="1">
        <v>0.73899999999999999</v>
      </c>
      <c r="G1772" t="s">
        <v>1587</v>
      </c>
      <c r="H1772" t="s">
        <v>1587</v>
      </c>
      <c r="I1772">
        <v>9247</v>
      </c>
      <c r="J1772" t="s">
        <v>2791</v>
      </c>
      <c r="K1772">
        <v>1</v>
      </c>
      <c r="L1772">
        <v>62.9</v>
      </c>
      <c r="M1772">
        <v>4.7</v>
      </c>
      <c r="N1772">
        <v>62.1</v>
      </c>
      <c r="O1772" t="s">
        <v>1594</v>
      </c>
      <c r="P1772" t="s">
        <v>1584</v>
      </c>
      <c r="Q1772" t="s">
        <v>1591</v>
      </c>
      <c r="R1772">
        <v>0</v>
      </c>
      <c r="S1772">
        <v>0.01</v>
      </c>
      <c r="T1772" t="s">
        <v>1584</v>
      </c>
      <c r="U1772" t="s">
        <v>1592</v>
      </c>
      <c r="V1772" t="str" cm="1">
        <f t="array" aca="1" ref="V1772" ca="1">IFERROR(_xlfn.IFS(A1770="  ..............",OFFSET(A1770,2,0),A1769=" X-------------X",OFFSET(A1769,3,0),MATCH("  ..............",A1772:A1781,0)&gt;2,V1771),"-")</f>
        <v xml:space="preserve">  JBOTAN-RS069  </v>
      </c>
      <c r="W1772">
        <f t="shared" ca="1" si="81"/>
        <v>1.016</v>
      </c>
      <c r="X1772" t="str">
        <f t="shared" ca="1" si="82"/>
        <v xml:space="preserve"> P12-2Y-RS069 </v>
      </c>
      <c r="Y1772" s="1">
        <f t="shared" ca="1" si="83"/>
        <v>0.20399999999999999</v>
      </c>
    </row>
    <row r="1773" spans="1:25" x14ac:dyDescent="0.25">
      <c r="A1773" t="s">
        <v>1588</v>
      </c>
      <c r="B1773" t="s">
        <v>1587</v>
      </c>
      <c r="C1773">
        <v>84</v>
      </c>
      <c r="D1773">
        <v>101</v>
      </c>
      <c r="E1773">
        <v>101</v>
      </c>
      <c r="F1773" s="1">
        <v>0.127</v>
      </c>
      <c r="G1773" t="s">
        <v>1587</v>
      </c>
      <c r="H1773" t="s">
        <v>1587</v>
      </c>
      <c r="I1773">
        <v>9248</v>
      </c>
      <c r="J1773" t="s">
        <v>1917</v>
      </c>
      <c r="K1773">
        <v>1</v>
      </c>
      <c r="L1773">
        <v>10.8</v>
      </c>
      <c r="M1773">
        <v>-0.1</v>
      </c>
      <c r="N1773">
        <v>10.6</v>
      </c>
      <c r="O1773" t="s">
        <v>1594</v>
      </c>
      <c r="P1773" t="s">
        <v>1584</v>
      </c>
      <c r="Q1773" t="s">
        <v>1591</v>
      </c>
      <c r="R1773">
        <v>0.01</v>
      </c>
      <c r="S1773">
        <v>-7.0000000000000007E-2</v>
      </c>
      <c r="T1773" t="s">
        <v>1584</v>
      </c>
      <c r="U1773" t="s">
        <v>1592</v>
      </c>
      <c r="V1773" t="str" cm="1">
        <f t="array" aca="1" ref="V1773" ca="1">IFERROR(_xlfn.IFS(A1771="  ..............",OFFSET(A1771,2,0),A1770=" X-------------X",OFFSET(A1770,3,0),MATCH("  ..............",A1773:A1782,0)&gt;2,V1772),"-")</f>
        <v xml:space="preserve">  JBOTAN-RS069  </v>
      </c>
      <c r="W1773">
        <f t="shared" ca="1" si="81"/>
        <v>1.016</v>
      </c>
      <c r="X1773" t="str">
        <f t="shared" ca="1" si="82"/>
        <v xml:space="preserve"> P12-1Y-RS069 </v>
      </c>
      <c r="Y1773" s="1">
        <f t="shared" ca="1" si="83"/>
        <v>0.185</v>
      </c>
    </row>
    <row r="1774" spans="1:25" x14ac:dyDescent="0.25">
      <c r="A1774" t="s">
        <v>1588</v>
      </c>
      <c r="B1774" t="s">
        <v>1587</v>
      </c>
      <c r="C1774">
        <v>84</v>
      </c>
      <c r="D1774">
        <v>101</v>
      </c>
      <c r="E1774">
        <v>101</v>
      </c>
      <c r="F1774" s="1">
        <v>0.11899999999999999</v>
      </c>
      <c r="G1774" t="s">
        <v>1587</v>
      </c>
      <c r="H1774" t="s">
        <v>1587</v>
      </c>
      <c r="I1774">
        <v>9249</v>
      </c>
      <c r="J1774" t="s">
        <v>1893</v>
      </c>
      <c r="K1774">
        <v>1</v>
      </c>
      <c r="L1774">
        <v>-9.9</v>
      </c>
      <c r="M1774">
        <v>2</v>
      </c>
      <c r="N1774">
        <v>10</v>
      </c>
      <c r="O1774" t="s">
        <v>1594</v>
      </c>
      <c r="P1774" t="s">
        <v>1584</v>
      </c>
      <c r="Q1774" t="s">
        <v>1591</v>
      </c>
      <c r="R1774">
        <v>0</v>
      </c>
      <c r="S1774">
        <v>-7.0000000000000007E-2</v>
      </c>
      <c r="T1774" t="s">
        <v>1584</v>
      </c>
      <c r="U1774" t="s">
        <v>1592</v>
      </c>
      <c r="V1774" t="str" cm="1">
        <f t="array" aca="1" ref="V1774" ca="1">IFERROR(_xlfn.IFS(A1772="  ..............",OFFSET(A1772,2,0),A1771=" X-------------X",OFFSET(A1771,3,0),MATCH("  ..............",A1774:A1783,0)&gt;2,V1773),"-")</f>
        <v xml:space="preserve">  JBOTAN-RS069  </v>
      </c>
      <c r="W1774">
        <f t="shared" ca="1" si="81"/>
        <v>1.016</v>
      </c>
      <c r="X1774" t="str">
        <f t="shared" ca="1" si="82"/>
        <v xml:space="preserve"> PALEG5-RS069 </v>
      </c>
      <c r="Y1774" s="1">
        <f t="shared" ca="1" si="83"/>
        <v>0.38300000000000001</v>
      </c>
    </row>
    <row r="1775" spans="1:25" x14ac:dyDescent="0.25">
      <c r="A1775" t="s">
        <v>1588</v>
      </c>
      <c r="B1775" t="s">
        <v>1587</v>
      </c>
      <c r="C1775">
        <v>100</v>
      </c>
      <c r="D1775">
        <v>100</v>
      </c>
      <c r="E1775">
        <v>100</v>
      </c>
      <c r="F1775" s="1">
        <v>0.38300000000000001</v>
      </c>
      <c r="G1775" t="s">
        <v>1587</v>
      </c>
      <c r="H1775" t="s">
        <v>1587</v>
      </c>
      <c r="I1775">
        <v>9267</v>
      </c>
      <c r="J1775" t="s">
        <v>2792</v>
      </c>
      <c r="K1775">
        <v>1</v>
      </c>
      <c r="L1775">
        <v>38.200000000000003</v>
      </c>
      <c r="M1775">
        <v>-7.1</v>
      </c>
      <c r="N1775">
        <v>38.299999999999997</v>
      </c>
      <c r="O1775" t="s">
        <v>1594</v>
      </c>
      <c r="P1775" t="s">
        <v>1584</v>
      </c>
      <c r="Q1775" t="s">
        <v>1591</v>
      </c>
      <c r="R1775">
        <v>0.04</v>
      </c>
      <c r="S1775">
        <v>-2.09</v>
      </c>
      <c r="T1775" t="s">
        <v>1584</v>
      </c>
      <c r="U1775" t="s">
        <v>1592</v>
      </c>
      <c r="V1775" t="str" cm="1">
        <f t="array" aca="1" ref="V1775" ca="1">IFERROR(_xlfn.IFS(A1773="  ..............",OFFSET(A1773,2,0),A1772=" X-------------X",OFFSET(A1772,3,0),MATCH("  ..............",A1775:A1784,0)&gt;2,V1774),"-")</f>
        <v xml:space="preserve">  JBOTAN-RS069  </v>
      </c>
      <c r="W1775">
        <f t="shared" ca="1" si="81"/>
        <v>1.016</v>
      </c>
      <c r="X1775" t="str">
        <f t="shared" ca="1" si="82"/>
        <v xml:space="preserve"> SHIGUA-RS069 </v>
      </c>
      <c r="Y1775" s="1">
        <f t="shared" ca="1" si="83"/>
        <v>0.17899999999999999</v>
      </c>
    </row>
    <row r="1776" spans="1:25" x14ac:dyDescent="0.25">
      <c r="A1776" t="s">
        <v>1588</v>
      </c>
      <c r="B1776" t="s">
        <v>1587</v>
      </c>
      <c r="C1776">
        <v>50</v>
      </c>
      <c r="D1776">
        <v>50</v>
      </c>
      <c r="E1776">
        <v>50</v>
      </c>
      <c r="F1776" s="1">
        <v>0.17899999999999999</v>
      </c>
      <c r="G1776" t="s">
        <v>1587</v>
      </c>
      <c r="H1776" t="s">
        <v>1587</v>
      </c>
      <c r="I1776">
        <v>9306</v>
      </c>
      <c r="J1776" t="s">
        <v>2793</v>
      </c>
      <c r="K1776">
        <v>1</v>
      </c>
      <c r="L1776">
        <v>8.6</v>
      </c>
      <c r="M1776">
        <v>2.9</v>
      </c>
      <c r="N1776">
        <v>8.9</v>
      </c>
      <c r="O1776" t="s">
        <v>1594</v>
      </c>
      <c r="P1776" t="s">
        <v>1584</v>
      </c>
      <c r="Q1776" t="s">
        <v>1591</v>
      </c>
      <c r="R1776">
        <v>0.01</v>
      </c>
      <c r="S1776">
        <v>-0.69</v>
      </c>
      <c r="T1776" t="s">
        <v>1584</v>
      </c>
      <c r="U1776" t="s">
        <v>1592</v>
      </c>
      <c r="V1776" t="str" cm="1">
        <f t="array" aca="1" ref="V1776" ca="1">IFERROR(_xlfn.IFS(A1774="  ..............",OFFSET(A1774,2,0),A1773=" X-------------X",OFFSET(A1773,3,0),MATCH("  ..............",A1776:A1785,0)&gt;2,V1775),"-")</f>
        <v xml:space="preserve">  JBOTAN-RS069  </v>
      </c>
      <c r="W1776">
        <f t="shared" ca="1" si="81"/>
        <v>1.016</v>
      </c>
      <c r="X1776" t="str">
        <f t="shared" ca="1" si="82"/>
        <v xml:space="preserve"> JBOT-3-RS000 </v>
      </c>
      <c r="Y1776" s="1">
        <f t="shared" ca="1" si="83"/>
        <v>0.437</v>
      </c>
    </row>
    <row r="1777" spans="1:25" x14ac:dyDescent="0.25">
      <c r="A1777" t="s">
        <v>1588</v>
      </c>
      <c r="B1777" t="s">
        <v>1587</v>
      </c>
      <c r="C1777">
        <v>83</v>
      </c>
      <c r="D1777">
        <v>100</v>
      </c>
      <c r="E1777">
        <v>100</v>
      </c>
      <c r="F1777" s="1">
        <v>0.437</v>
      </c>
      <c r="G1777" t="s">
        <v>1587</v>
      </c>
      <c r="H1777" t="s">
        <v>1587</v>
      </c>
      <c r="I1777">
        <v>43841</v>
      </c>
      <c r="J1777" t="s">
        <v>2794</v>
      </c>
      <c r="K1777">
        <v>3</v>
      </c>
      <c r="L1777">
        <v>-36.799999999999997</v>
      </c>
      <c r="M1777">
        <v>-0.8</v>
      </c>
      <c r="N1777">
        <v>36.299999999999997</v>
      </c>
      <c r="O1777" t="s">
        <v>1608</v>
      </c>
      <c r="P1777" t="s">
        <v>1584</v>
      </c>
      <c r="Q1777">
        <v>2</v>
      </c>
      <c r="R1777">
        <v>0.02</v>
      </c>
      <c r="S1777">
        <v>-0.13</v>
      </c>
      <c r="T1777" t="s">
        <v>1584</v>
      </c>
      <c r="U1777" t="s">
        <v>1592</v>
      </c>
      <c r="V1777" t="str" cm="1">
        <f t="array" aca="1" ref="V1777" ca="1">IFERROR(_xlfn.IFS(A1775="  ..............",OFFSET(A1775,2,0),A1774=" X-------------X",OFFSET(A1774,3,0),MATCH("  ..............",A1777:A1786,0)&gt;2,V1776),"-")</f>
        <v xml:space="preserve">  JBOTAN-RS069  </v>
      </c>
      <c r="W1777">
        <f t="shared" ca="1" si="81"/>
        <v>1.016</v>
      </c>
      <c r="X1777" t="str">
        <f t="shared" ca="1" si="82"/>
        <v xml:space="preserve"> JBOT-2-RS000 </v>
      </c>
      <c r="Y1777" s="1">
        <f t="shared" ca="1" si="83"/>
        <v>0.438</v>
      </c>
    </row>
    <row r="1778" spans="1:25" x14ac:dyDescent="0.25">
      <c r="A1778" t="s">
        <v>1588</v>
      </c>
      <c r="B1778" t="s">
        <v>1587</v>
      </c>
      <c r="C1778">
        <v>83</v>
      </c>
      <c r="D1778">
        <v>100</v>
      </c>
      <c r="E1778">
        <v>100</v>
      </c>
      <c r="F1778" s="1">
        <v>0.438</v>
      </c>
      <c r="G1778" t="s">
        <v>1587</v>
      </c>
      <c r="H1778" t="s">
        <v>1587</v>
      </c>
      <c r="I1778">
        <v>43925</v>
      </c>
      <c r="J1778" t="s">
        <v>2795</v>
      </c>
      <c r="K1778">
        <v>2</v>
      </c>
      <c r="L1778">
        <v>-37</v>
      </c>
      <c r="M1778">
        <v>-0.8</v>
      </c>
      <c r="N1778">
        <v>36.4</v>
      </c>
      <c r="O1778" t="s">
        <v>1608</v>
      </c>
      <c r="P1778" t="s">
        <v>1584</v>
      </c>
      <c r="Q1778">
        <v>2</v>
      </c>
      <c r="R1778">
        <v>0.02</v>
      </c>
      <c r="S1778">
        <v>-0.13</v>
      </c>
      <c r="T1778" t="s">
        <v>1584</v>
      </c>
      <c r="U1778" t="s">
        <v>1592</v>
      </c>
      <c r="V1778" t="str" cm="1">
        <f t="array" aca="1" ref="V1778" ca="1">IFERROR(_xlfn.IFS(A1776="  ..............",OFFSET(A1776,2,0),A1775=" X-------------X",OFFSET(A1775,3,0),MATCH("  ..............",A1778:A1787,0)&gt;2,V1777),"-")</f>
        <v xml:space="preserve">  JBOTAN-RS069  </v>
      </c>
      <c r="W1778">
        <f t="shared" ca="1" si="81"/>
        <v>1.016</v>
      </c>
      <c r="X1778" t="str">
        <f t="shared" ca="1" si="82"/>
        <v xml:space="preserve"> JBOT-1-RS000 </v>
      </c>
      <c r="Y1778" s="1">
        <f t="shared" ca="1" si="83"/>
        <v>0.437</v>
      </c>
    </row>
    <row r="1779" spans="1:25" x14ac:dyDescent="0.25">
      <c r="A1779" t="s">
        <v>1588</v>
      </c>
      <c r="B1779" t="s">
        <v>1587</v>
      </c>
      <c r="C1779">
        <v>83</v>
      </c>
      <c r="D1779">
        <v>100</v>
      </c>
      <c r="E1779">
        <v>100</v>
      </c>
      <c r="F1779" s="1">
        <v>0.437</v>
      </c>
      <c r="G1779" t="s">
        <v>1587</v>
      </c>
      <c r="H1779" t="s">
        <v>1587</v>
      </c>
      <c r="I1779">
        <v>43927</v>
      </c>
      <c r="J1779" t="s">
        <v>2796</v>
      </c>
      <c r="K1779">
        <v>1</v>
      </c>
      <c r="L1779">
        <v>-36.799999999999997</v>
      </c>
      <c r="M1779">
        <v>-0.9</v>
      </c>
      <c r="N1779">
        <v>36.299999999999997</v>
      </c>
      <c r="O1779" t="s">
        <v>1608</v>
      </c>
      <c r="P1779" t="s">
        <v>1584</v>
      </c>
      <c r="Q1779">
        <v>2</v>
      </c>
      <c r="R1779">
        <v>0.02</v>
      </c>
      <c r="S1779">
        <v>-0.13</v>
      </c>
      <c r="T1779" t="s">
        <v>1584</v>
      </c>
      <c r="U1779" t="s">
        <v>1592</v>
      </c>
      <c r="V1779" t="str" cm="1">
        <f t="array" aca="1" ref="V1779" ca="1">IFERROR(_xlfn.IFS(A1777="  ..............",OFFSET(A1777,2,0),A1776=" X-------------X",OFFSET(A1776,3,0),MATCH("  ..............",A1779:A1788,0)&gt;2,V1778),"-")</f>
        <v>-</v>
      </c>
      <c r="W1779" t="str">
        <f t="shared" ca="1" si="81"/>
        <v>-</v>
      </c>
      <c r="X1779" t="str">
        <f t="shared" ca="1" si="82"/>
        <v>-</v>
      </c>
      <c r="Y1779" s="1" t="str">
        <f t="shared" ca="1" si="83"/>
        <v>-</v>
      </c>
    </row>
    <row r="1780" spans="1:25" x14ac:dyDescent="0.25">
      <c r="A1780" t="s">
        <v>1572</v>
      </c>
      <c r="B1780" t="s">
        <v>1574</v>
      </c>
      <c r="C1780" t="s">
        <v>1574</v>
      </c>
      <c r="D1780" t="s">
        <v>1574</v>
      </c>
      <c r="E1780" t="s">
        <v>1574</v>
      </c>
      <c r="F1780" t="s">
        <v>1575</v>
      </c>
      <c r="G1780" t="s">
        <v>1574</v>
      </c>
      <c r="H1780" t="s">
        <v>1574</v>
      </c>
      <c r="I1780" t="s">
        <v>1576</v>
      </c>
      <c r="J1780" t="s">
        <v>1573</v>
      </c>
      <c r="K1780" t="s">
        <v>1577</v>
      </c>
      <c r="L1780" t="s">
        <v>1574</v>
      </c>
      <c r="M1780" t="s">
        <v>1574</v>
      </c>
      <c r="N1780" t="s">
        <v>1574</v>
      </c>
      <c r="O1780" t="s">
        <v>1578</v>
      </c>
      <c r="P1780" t="s">
        <v>1576</v>
      </c>
      <c r="Q1780" t="s">
        <v>1579</v>
      </c>
      <c r="R1780" t="s">
        <v>1580</v>
      </c>
      <c r="S1780" t="s">
        <v>1580</v>
      </c>
      <c r="T1780" t="s">
        <v>1576</v>
      </c>
      <c r="U1780" t="s">
        <v>1576</v>
      </c>
      <c r="V1780" t="str" cm="1">
        <f t="array" aca="1" ref="V1780" ca="1">IFERROR(_xlfn.IFS(A1778="  ..............",OFFSET(A1778,2,0),A1777=" X-------------X",OFFSET(A1777,3,0),MATCH("  ..............",A1780:A1789,0)&gt;2,V1779),"-")</f>
        <v>-</v>
      </c>
      <c r="W1780" t="str">
        <f t="shared" ca="1" si="81"/>
        <v>-</v>
      </c>
      <c r="X1780" t="str">
        <f t="shared" ca="1" si="82"/>
        <v/>
      </c>
      <c r="Y1780" s="1" t="str">
        <f t="shared" ca="1" si="83"/>
        <v/>
      </c>
    </row>
    <row r="1781" spans="1:25" x14ac:dyDescent="0.25">
      <c r="A1781" t="s">
        <v>2797</v>
      </c>
      <c r="B1781">
        <v>1.0069999999999999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 t="s">
        <v>1581</v>
      </c>
      <c r="J1781" t="s">
        <v>1581</v>
      </c>
      <c r="K1781" t="s">
        <v>1581</v>
      </c>
      <c r="L1781" t="s">
        <v>1581</v>
      </c>
      <c r="M1781" t="s">
        <v>1581</v>
      </c>
      <c r="N1781" t="s">
        <v>1581</v>
      </c>
      <c r="O1781" t="s">
        <v>1581</v>
      </c>
      <c r="P1781" t="s">
        <v>1581</v>
      </c>
      <c r="Q1781" t="s">
        <v>1581</v>
      </c>
      <c r="R1781" t="s">
        <v>1581</v>
      </c>
      <c r="S1781" t="s">
        <v>1581</v>
      </c>
      <c r="T1781" t="s">
        <v>1581</v>
      </c>
      <c r="U1781" t="s">
        <v>1581</v>
      </c>
      <c r="V1781" t="str" cm="1">
        <f t="array" aca="1" ref="V1781" ca="1">IFERROR(_xlfn.IFS(A1779="  ..............",OFFSET(A1779,2,0),A1778=" X-------------X",OFFSET(A1778,3,0),MATCH("  ..............",A1781:A1790,0)&gt;2,V1780),"-")</f>
        <v>-</v>
      </c>
      <c r="W1781" t="str">
        <f t="shared" ca="1" si="81"/>
        <v>-</v>
      </c>
      <c r="X1781" t="str">
        <f t="shared" ca="1" si="82"/>
        <v xml:space="preserve">              </v>
      </c>
      <c r="Y1781" s="1">
        <f t="shared" ca="1" si="83"/>
        <v>0</v>
      </c>
    </row>
    <row r="1782" spans="1:25" x14ac:dyDescent="0.25">
      <c r="A1782" t="s">
        <v>2798</v>
      </c>
      <c r="B1782">
        <v>-48.3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 t="s">
        <v>1584</v>
      </c>
      <c r="J1782" t="s">
        <v>1585</v>
      </c>
      <c r="K1782" t="s">
        <v>1586</v>
      </c>
      <c r="L1782" t="s">
        <v>1587</v>
      </c>
      <c r="M1782" t="s">
        <v>1587</v>
      </c>
      <c r="N1782" t="s">
        <v>1586</v>
      </c>
      <c r="O1782" t="s">
        <v>1581</v>
      </c>
      <c r="P1782" t="s">
        <v>1581</v>
      </c>
      <c r="Q1782" t="s">
        <v>1581</v>
      </c>
      <c r="R1782" t="s">
        <v>1581</v>
      </c>
      <c r="S1782" t="s">
        <v>1581</v>
      </c>
      <c r="T1782" t="s">
        <v>1581</v>
      </c>
      <c r="U1782" t="s">
        <v>1581</v>
      </c>
      <c r="V1782" t="str" cm="1">
        <f t="array" aca="1" ref="V1782" ca="1">IFERROR(_xlfn.IFS(A1780="  ..............",OFFSET(A1780,2,0),A1779=" X-------------X",OFFSET(A1779,3,0),MATCH("  ..............",A1782:A1791,0)&gt;2,V1781),"-")</f>
        <v xml:space="preserve">  COOLUZ-RS069  </v>
      </c>
      <c r="W1782">
        <f t="shared" ca="1" si="81"/>
        <v>1.0069999999999999</v>
      </c>
      <c r="X1782" t="str">
        <f t="shared" ca="1" si="82"/>
        <v xml:space="preserve"> SROSA--RS069 </v>
      </c>
      <c r="Y1782" s="1">
        <f t="shared" ca="1" si="83"/>
        <v>7.4999999999999997E-2</v>
      </c>
    </row>
    <row r="1783" spans="1:25" x14ac:dyDescent="0.25">
      <c r="A1783" t="s">
        <v>1588</v>
      </c>
      <c r="B1783" t="s">
        <v>1587</v>
      </c>
      <c r="C1783">
        <v>60</v>
      </c>
      <c r="D1783">
        <v>70</v>
      </c>
      <c r="E1783">
        <v>70</v>
      </c>
      <c r="F1783" s="1">
        <v>0.19500000000000001</v>
      </c>
      <c r="G1783" t="s">
        <v>1587</v>
      </c>
      <c r="H1783" t="s">
        <v>1587</v>
      </c>
      <c r="I1783">
        <v>1282</v>
      </c>
      <c r="J1783" t="s">
        <v>2468</v>
      </c>
      <c r="K1783">
        <v>1</v>
      </c>
      <c r="L1783">
        <v>-10.9</v>
      </c>
      <c r="M1783">
        <v>-4.5</v>
      </c>
      <c r="N1783">
        <v>11.7</v>
      </c>
      <c r="O1783" t="s">
        <v>1594</v>
      </c>
      <c r="P1783" t="s">
        <v>1584</v>
      </c>
      <c r="Q1783" t="s">
        <v>1591</v>
      </c>
      <c r="R1783">
        <v>0.01</v>
      </c>
      <c r="S1783">
        <v>-0.01</v>
      </c>
      <c r="T1783" t="s">
        <v>1584</v>
      </c>
      <c r="U1783" t="s">
        <v>1592</v>
      </c>
      <c r="V1783" t="str" cm="1">
        <f t="array" aca="1" ref="V1783" ca="1">IFERROR(_xlfn.IFS(A1781="  ..............",OFFSET(A1781,2,0),A1780=" X-------------X",OFFSET(A1780,3,0),MATCH("  ..............",A1783:A1792,0)&gt;2,V1782),"-")</f>
        <v xml:space="preserve">  COOLUZ-RS069  </v>
      </c>
      <c r="W1783">
        <f t="shared" ca="1" si="81"/>
        <v>1.0069999999999999</v>
      </c>
      <c r="X1783" t="str">
        <f t="shared" ca="1" si="82"/>
        <v xml:space="preserve"> COOLUZ-RS023 </v>
      </c>
      <c r="Y1783" s="1">
        <f t="shared" ca="1" si="83"/>
        <v>0.58599999999999997</v>
      </c>
    </row>
    <row r="1784" spans="1:25" x14ac:dyDescent="0.25">
      <c r="A1784" t="s">
        <v>1588</v>
      </c>
      <c r="B1784" t="s">
        <v>1587</v>
      </c>
      <c r="C1784">
        <v>20</v>
      </c>
      <c r="D1784">
        <v>20</v>
      </c>
      <c r="E1784">
        <v>20</v>
      </c>
      <c r="F1784" s="1">
        <v>0.58599999999999997</v>
      </c>
      <c r="G1784" t="s">
        <v>1587</v>
      </c>
      <c r="H1784" t="s">
        <v>1587</v>
      </c>
      <c r="I1784">
        <v>10023</v>
      </c>
      <c r="J1784" t="s">
        <v>2799</v>
      </c>
      <c r="K1784">
        <v>1</v>
      </c>
      <c r="L1784">
        <v>10.9</v>
      </c>
      <c r="M1784">
        <v>4.5</v>
      </c>
      <c r="N1784">
        <v>11.7</v>
      </c>
      <c r="O1784" t="s">
        <v>2035</v>
      </c>
      <c r="P1784" t="s">
        <v>1584</v>
      </c>
      <c r="Q1784" t="s">
        <v>1591</v>
      </c>
      <c r="R1784">
        <v>0</v>
      </c>
      <c r="S1784">
        <v>0.52</v>
      </c>
      <c r="T1784" t="s">
        <v>1584</v>
      </c>
      <c r="U1784" t="s">
        <v>1592</v>
      </c>
      <c r="V1784" t="str" cm="1">
        <f t="array" aca="1" ref="V1784" ca="1">IFERROR(_xlfn.IFS(A1782="  ..............",OFFSET(A1782,2,0),A1781=" X-------------X",OFFSET(A1781,3,0),MATCH("  ..............",A1784:A1793,0)&gt;2,V1783),"-")</f>
        <v>-</v>
      </c>
      <c r="W1784" t="str">
        <f t="shared" ca="1" si="81"/>
        <v>-</v>
      </c>
      <c r="X1784" t="str">
        <f t="shared" ca="1" si="82"/>
        <v>-</v>
      </c>
      <c r="Y1784" s="1" t="str">
        <f t="shared" ca="1" si="83"/>
        <v>-</v>
      </c>
    </row>
    <row r="1785" spans="1:25" x14ac:dyDescent="0.25">
      <c r="A1785" t="s">
        <v>1572</v>
      </c>
      <c r="B1785" t="s">
        <v>1574</v>
      </c>
      <c r="C1785" t="s">
        <v>1574</v>
      </c>
      <c r="D1785" t="s">
        <v>1574</v>
      </c>
      <c r="E1785" t="s">
        <v>1574</v>
      </c>
      <c r="F1785" t="s">
        <v>1575</v>
      </c>
      <c r="G1785" t="s">
        <v>1574</v>
      </c>
      <c r="H1785" t="s">
        <v>1574</v>
      </c>
      <c r="I1785" t="s">
        <v>1576</v>
      </c>
      <c r="J1785" t="s">
        <v>1573</v>
      </c>
      <c r="K1785" t="s">
        <v>1577</v>
      </c>
      <c r="L1785" t="s">
        <v>1574</v>
      </c>
      <c r="M1785" t="s">
        <v>1574</v>
      </c>
      <c r="N1785" t="s">
        <v>1574</v>
      </c>
      <c r="O1785" t="s">
        <v>1578</v>
      </c>
      <c r="P1785" t="s">
        <v>1576</v>
      </c>
      <c r="Q1785" t="s">
        <v>1579</v>
      </c>
      <c r="R1785" t="s">
        <v>1580</v>
      </c>
      <c r="S1785" t="s">
        <v>1580</v>
      </c>
      <c r="T1785" t="s">
        <v>1576</v>
      </c>
      <c r="U1785" t="s">
        <v>1576</v>
      </c>
      <c r="V1785" t="str" cm="1">
        <f t="array" aca="1" ref="V1785" ca="1">IFERROR(_xlfn.IFS(A1783="  ..............",OFFSET(A1783,2,0),A1782=" X-------------X",OFFSET(A1782,3,0),MATCH("  ..............",A1785:A1794,0)&gt;2,V1784),"-")</f>
        <v>-</v>
      </c>
      <c r="W1785" t="str">
        <f t="shared" ca="1" si="81"/>
        <v>-</v>
      </c>
      <c r="X1785" t="str">
        <f t="shared" ca="1" si="82"/>
        <v/>
      </c>
      <c r="Y1785" s="1" t="str">
        <f t="shared" ca="1" si="83"/>
        <v/>
      </c>
    </row>
    <row r="1786" spans="1:25" x14ac:dyDescent="0.25">
      <c r="A1786" t="s">
        <v>2800</v>
      </c>
      <c r="B1786">
        <v>1.0169999999999999</v>
      </c>
      <c r="C1786">
        <v>4</v>
      </c>
      <c r="D1786">
        <v>0</v>
      </c>
      <c r="E1786">
        <v>14.9</v>
      </c>
      <c r="F1786">
        <v>0</v>
      </c>
      <c r="G1786">
        <v>0</v>
      </c>
      <c r="H1786">
        <v>0</v>
      </c>
      <c r="I1786" t="s">
        <v>1581</v>
      </c>
      <c r="J1786" t="s">
        <v>1581</v>
      </c>
      <c r="K1786" t="s">
        <v>1581</v>
      </c>
      <c r="L1786" t="s">
        <v>1581</v>
      </c>
      <c r="M1786" t="s">
        <v>1581</v>
      </c>
      <c r="N1786" t="s">
        <v>1581</v>
      </c>
      <c r="O1786" t="s">
        <v>1581</v>
      </c>
      <c r="P1786" t="s">
        <v>1581</v>
      </c>
      <c r="Q1786" t="s">
        <v>1581</v>
      </c>
      <c r="R1786" t="s">
        <v>1581</v>
      </c>
      <c r="S1786" t="s">
        <v>1581</v>
      </c>
      <c r="T1786" t="s">
        <v>1581</v>
      </c>
      <c r="U1786" t="s">
        <v>1581</v>
      </c>
      <c r="V1786" t="str" cm="1">
        <f t="array" aca="1" ref="V1786" ca="1">IFERROR(_xlfn.IFS(A1784="  ..............",OFFSET(A1784,2,0),A1783=" X-------------X",OFFSET(A1783,3,0),MATCH("  ..............",A1786:A1795,0)&gt;2,V1785),"-")</f>
        <v>-</v>
      </c>
      <c r="W1786" t="str">
        <f t="shared" ca="1" si="81"/>
        <v>-</v>
      </c>
      <c r="X1786" t="str">
        <f t="shared" ca="1" si="82"/>
        <v xml:space="preserve">              </v>
      </c>
      <c r="Y1786" s="1">
        <f t="shared" ca="1" si="83"/>
        <v>0</v>
      </c>
    </row>
    <row r="1787" spans="1:25" x14ac:dyDescent="0.25">
      <c r="A1787" t="s">
        <v>2801</v>
      </c>
      <c r="B1787">
        <v>-50.6</v>
      </c>
      <c r="C1787">
        <v>0</v>
      </c>
      <c r="D1787">
        <v>0</v>
      </c>
      <c r="E1787">
        <v>4</v>
      </c>
      <c r="F1787">
        <v>0</v>
      </c>
      <c r="G1787">
        <v>0</v>
      </c>
      <c r="H1787">
        <v>0</v>
      </c>
      <c r="I1787" t="s">
        <v>1584</v>
      </c>
      <c r="J1787" t="s">
        <v>1585</v>
      </c>
      <c r="K1787" t="s">
        <v>1586</v>
      </c>
      <c r="L1787" t="s">
        <v>1587</v>
      </c>
      <c r="M1787" t="s">
        <v>1587</v>
      </c>
      <c r="N1787" t="s">
        <v>1586</v>
      </c>
      <c r="O1787" t="s">
        <v>1581</v>
      </c>
      <c r="P1787" t="s">
        <v>1581</v>
      </c>
      <c r="Q1787" t="s">
        <v>1581</v>
      </c>
      <c r="R1787" t="s">
        <v>1581</v>
      </c>
      <c r="S1787" t="s">
        <v>1581</v>
      </c>
      <c r="T1787" t="s">
        <v>1581</v>
      </c>
      <c r="U1787" t="s">
        <v>1581</v>
      </c>
      <c r="V1787" t="str" cm="1">
        <f t="array" aca="1" ref="V1787" ca="1">IFERROR(_xlfn.IFS(A1785="  ..............",OFFSET(A1785,2,0),A1784=" X-------------X",OFFSET(A1784,3,0),MATCH("  ..............",A1787:A1796,0)&gt;2,V1786),"-")</f>
        <v xml:space="preserve">  COOLUZ-RS023  </v>
      </c>
      <c r="W1787">
        <f t="shared" ca="1" si="81"/>
        <v>1.0169999999999999</v>
      </c>
      <c r="X1787" t="str">
        <f t="shared" ca="1" si="82"/>
        <v xml:space="preserve"> COOLUZ-RS069 </v>
      </c>
      <c r="Y1787" s="1">
        <f t="shared" ca="1" si="83"/>
        <v>0.19500000000000001</v>
      </c>
    </row>
    <row r="1788" spans="1:25" x14ac:dyDescent="0.25">
      <c r="A1788" t="s">
        <v>1588</v>
      </c>
      <c r="B1788" t="s">
        <v>1587</v>
      </c>
      <c r="C1788">
        <v>20</v>
      </c>
      <c r="D1788">
        <v>20</v>
      </c>
      <c r="E1788">
        <v>20</v>
      </c>
      <c r="F1788" s="1">
        <v>0.57099999999999995</v>
      </c>
      <c r="G1788" t="s">
        <v>1587</v>
      </c>
      <c r="H1788" t="s">
        <v>1587</v>
      </c>
      <c r="I1788">
        <v>10022</v>
      </c>
      <c r="J1788" t="s">
        <v>1963</v>
      </c>
      <c r="K1788">
        <v>1</v>
      </c>
      <c r="L1788">
        <v>-10.9</v>
      </c>
      <c r="M1788">
        <v>-4</v>
      </c>
      <c r="N1788">
        <v>11.4</v>
      </c>
      <c r="O1788" t="s">
        <v>1594</v>
      </c>
      <c r="P1788" t="s">
        <v>1584</v>
      </c>
      <c r="Q1788" t="s">
        <v>1591</v>
      </c>
      <c r="R1788">
        <v>0</v>
      </c>
      <c r="S1788">
        <v>0.52</v>
      </c>
      <c r="T1788" t="s">
        <v>1584</v>
      </c>
      <c r="U1788" t="s">
        <v>1592</v>
      </c>
      <c r="V1788" t="str" cm="1">
        <f t="array" aca="1" ref="V1788" ca="1">IFERROR(_xlfn.IFS(A1786="  ..............",OFFSET(A1786,2,0),A1785=" X-------------X",OFFSET(A1785,3,0),MATCH("  ..............",A1788:A1797,0)&gt;2,V1787),"-")</f>
        <v>-</v>
      </c>
      <c r="W1788" t="str">
        <f t="shared" ca="1" si="81"/>
        <v>-</v>
      </c>
      <c r="X1788" t="str">
        <f t="shared" ca="1" si="82"/>
        <v>-</v>
      </c>
      <c r="Y1788" s="1" t="str">
        <f t="shared" ca="1" si="83"/>
        <v>-</v>
      </c>
    </row>
    <row r="1789" spans="1:25" x14ac:dyDescent="0.25">
      <c r="A1789" t="s">
        <v>1572</v>
      </c>
      <c r="B1789" t="s">
        <v>1574</v>
      </c>
      <c r="C1789" t="s">
        <v>1574</v>
      </c>
      <c r="D1789" t="s">
        <v>1574</v>
      </c>
      <c r="E1789" t="s">
        <v>1574</v>
      </c>
      <c r="F1789" t="s">
        <v>1575</v>
      </c>
      <c r="G1789" t="s">
        <v>1574</v>
      </c>
      <c r="H1789" t="s">
        <v>1574</v>
      </c>
      <c r="I1789" t="s">
        <v>1576</v>
      </c>
      <c r="J1789" t="s">
        <v>1573</v>
      </c>
      <c r="K1789" t="s">
        <v>1577</v>
      </c>
      <c r="L1789" t="s">
        <v>1574</v>
      </c>
      <c r="M1789" t="s">
        <v>1574</v>
      </c>
      <c r="N1789" t="s">
        <v>1574</v>
      </c>
      <c r="O1789" t="s">
        <v>1578</v>
      </c>
      <c r="P1789" t="s">
        <v>1576</v>
      </c>
      <c r="Q1789" t="s">
        <v>1579</v>
      </c>
      <c r="R1789" t="s">
        <v>1580</v>
      </c>
      <c r="S1789" t="s">
        <v>1580</v>
      </c>
      <c r="T1789" t="s">
        <v>1576</v>
      </c>
      <c r="U1789" t="s">
        <v>1576</v>
      </c>
      <c r="V1789" t="str" cm="1">
        <f t="array" aca="1" ref="V1789" ca="1">IFERROR(_xlfn.IFS(A1787="  ..............",OFFSET(A1787,2,0),A1786=" X-------------X",OFFSET(A1786,3,0),MATCH("  ..............",A1789:A1798,0)&gt;2,V1788),"-")</f>
        <v>-</v>
      </c>
      <c r="W1789" t="str">
        <f t="shared" ca="1" si="81"/>
        <v>-</v>
      </c>
      <c r="X1789" t="str">
        <f t="shared" ca="1" si="82"/>
        <v/>
      </c>
      <c r="Y1789" s="1" t="str">
        <f t="shared" ca="1" si="83"/>
        <v/>
      </c>
    </row>
    <row r="1790" spans="1:25" x14ac:dyDescent="0.25">
      <c r="A1790" t="s">
        <v>2802</v>
      </c>
      <c r="B1790">
        <v>1.0129999999999999</v>
      </c>
      <c r="C1790">
        <v>0</v>
      </c>
      <c r="D1790">
        <v>0</v>
      </c>
      <c r="E1790">
        <v>8.6</v>
      </c>
      <c r="F1790">
        <v>0</v>
      </c>
      <c r="G1790">
        <v>0</v>
      </c>
      <c r="H1790">
        <v>0</v>
      </c>
      <c r="I1790" t="s">
        <v>1581</v>
      </c>
      <c r="J1790" t="s">
        <v>1581</v>
      </c>
      <c r="K1790" t="s">
        <v>1581</v>
      </c>
      <c r="L1790" t="s">
        <v>1581</v>
      </c>
      <c r="M1790" t="s">
        <v>1581</v>
      </c>
      <c r="N1790" t="s">
        <v>1581</v>
      </c>
      <c r="O1790" t="s">
        <v>1581</v>
      </c>
      <c r="P1790" t="s">
        <v>1581</v>
      </c>
      <c r="Q1790" t="s">
        <v>1581</v>
      </c>
      <c r="R1790" t="s">
        <v>1581</v>
      </c>
      <c r="S1790" t="s">
        <v>1581</v>
      </c>
      <c r="T1790" t="s">
        <v>1581</v>
      </c>
      <c r="U1790" t="s">
        <v>1581</v>
      </c>
      <c r="V1790" t="str" cm="1">
        <f t="array" aca="1" ref="V1790" ca="1">IFERROR(_xlfn.IFS(A1788="  ..............",OFFSET(A1788,2,0),A1787=" X-------------X",OFFSET(A1787,3,0),MATCH("  ..............",A1790:A1799,0)&gt;2,V1789),"-")</f>
        <v>-</v>
      </c>
      <c r="W1790" t="str">
        <f t="shared" ca="1" si="81"/>
        <v>-</v>
      </c>
      <c r="X1790" t="str">
        <f t="shared" ca="1" si="82"/>
        <v xml:space="preserve">              </v>
      </c>
      <c r="Y1790" s="1">
        <f t="shared" ca="1" si="83"/>
        <v>0</v>
      </c>
    </row>
    <row r="1791" spans="1:25" x14ac:dyDescent="0.25">
      <c r="A1791" t="s">
        <v>2803</v>
      </c>
      <c r="B1791">
        <v>-55.3</v>
      </c>
      <c r="C1791">
        <v>0</v>
      </c>
      <c r="D1791">
        <v>0</v>
      </c>
      <c r="E1791">
        <v>3.7</v>
      </c>
      <c r="F1791">
        <v>0</v>
      </c>
      <c r="G1791">
        <v>0</v>
      </c>
      <c r="H1791">
        <v>0</v>
      </c>
      <c r="I1791" t="s">
        <v>1584</v>
      </c>
      <c r="J1791" t="s">
        <v>1585</v>
      </c>
      <c r="K1791" t="s">
        <v>1586</v>
      </c>
      <c r="L1791" t="s">
        <v>1587</v>
      </c>
      <c r="M1791" t="s">
        <v>1587</v>
      </c>
      <c r="N1791" t="s">
        <v>1586</v>
      </c>
      <c r="O1791" t="s">
        <v>1581</v>
      </c>
      <c r="P1791" t="s">
        <v>1581</v>
      </c>
      <c r="Q1791" t="s">
        <v>1581</v>
      </c>
      <c r="R1791" t="s">
        <v>1581</v>
      </c>
      <c r="S1791" t="s">
        <v>1581</v>
      </c>
      <c r="T1791" t="s">
        <v>1581</v>
      </c>
      <c r="U1791" t="s">
        <v>1581</v>
      </c>
      <c r="V1791" t="str" cm="1">
        <f t="array" aca="1" ref="V1791" ca="1">IFERROR(_xlfn.IFS(A1789="  ..............",OFFSET(A1789,2,0),A1788=" X-------------X",OFFSET(A1788,3,0),MATCH("  ..............",A1791:A1800,0)&gt;2,V1790),"-")</f>
        <v xml:space="preserve">  HOSCLI-RS069  </v>
      </c>
      <c r="W1791">
        <f t="shared" ca="1" si="81"/>
        <v>1.0129999999999999</v>
      </c>
      <c r="X1791" t="str">
        <f t="shared" ca="1" si="82"/>
        <v xml:space="preserve"> PALG10-RS069 </v>
      </c>
      <c r="Y1791" s="1">
        <f t="shared" ca="1" si="83"/>
        <v>0.20399999999999999</v>
      </c>
    </row>
    <row r="1792" spans="1:25" x14ac:dyDescent="0.25">
      <c r="A1792" t="s">
        <v>1588</v>
      </c>
      <c r="B1792" t="s">
        <v>1587</v>
      </c>
      <c r="C1792">
        <v>80</v>
      </c>
      <c r="D1792">
        <v>95</v>
      </c>
      <c r="E1792">
        <v>95</v>
      </c>
      <c r="F1792" s="1">
        <v>0.46100000000000002</v>
      </c>
      <c r="G1792" t="s">
        <v>1587</v>
      </c>
      <c r="H1792" t="s">
        <v>1587</v>
      </c>
      <c r="I1792">
        <v>1269</v>
      </c>
      <c r="J1792" t="s">
        <v>2435</v>
      </c>
      <c r="K1792">
        <v>1</v>
      </c>
      <c r="L1792">
        <v>-37</v>
      </c>
      <c r="M1792">
        <v>-5.4</v>
      </c>
      <c r="N1792">
        <v>36.9</v>
      </c>
      <c r="O1792" t="s">
        <v>1594</v>
      </c>
      <c r="P1792" t="s">
        <v>1584</v>
      </c>
      <c r="Q1792" t="s">
        <v>1591</v>
      </c>
      <c r="R1792">
        <v>0.04</v>
      </c>
      <c r="S1792">
        <v>0.11</v>
      </c>
      <c r="T1792" t="s">
        <v>1584</v>
      </c>
      <c r="U1792" t="s">
        <v>1592</v>
      </c>
      <c r="V1792" t="str" cm="1">
        <f t="array" aca="1" ref="V1792" ca="1">IFERROR(_xlfn.IFS(A1790="  ..............",OFFSET(A1790,2,0),A1789=" X-------------X",OFFSET(A1789,3,0),MATCH("  ..............",A1792:A1801,0)&gt;2,V1791),"-")</f>
        <v xml:space="preserve">  HOSCLI-RS069  </v>
      </c>
      <c r="W1792">
        <f t="shared" ca="1" si="81"/>
        <v>1.0129999999999999</v>
      </c>
      <c r="X1792" t="str">
        <f t="shared" ca="1" si="82"/>
        <v xml:space="preserve"> MENDEU-RS069 </v>
      </c>
      <c r="Y1792" s="1">
        <f t="shared" ca="1" si="83"/>
        <v>0.35099999999999998</v>
      </c>
    </row>
    <row r="1793" spans="1:25" x14ac:dyDescent="0.25">
      <c r="A1793" t="s">
        <v>1588</v>
      </c>
      <c r="B1793" t="s">
        <v>1587</v>
      </c>
      <c r="C1793">
        <v>80</v>
      </c>
      <c r="D1793">
        <v>95</v>
      </c>
      <c r="E1793">
        <v>95</v>
      </c>
      <c r="F1793" s="1">
        <v>0.35099999999999998</v>
      </c>
      <c r="G1793" t="s">
        <v>1587</v>
      </c>
      <c r="H1793" t="s">
        <v>1587</v>
      </c>
      <c r="I1793">
        <v>9257</v>
      </c>
      <c r="J1793" t="s">
        <v>2804</v>
      </c>
      <c r="K1793">
        <v>1</v>
      </c>
      <c r="L1793">
        <v>28.4</v>
      </c>
      <c r="M1793">
        <v>1.7</v>
      </c>
      <c r="N1793">
        <v>28.1</v>
      </c>
      <c r="O1793" t="s">
        <v>1594</v>
      </c>
      <c r="P1793" t="s">
        <v>1584</v>
      </c>
      <c r="Q1793" t="s">
        <v>1591</v>
      </c>
      <c r="R1793">
        <v>0.09</v>
      </c>
      <c r="S1793">
        <v>-1.68</v>
      </c>
      <c r="T1793" t="s">
        <v>1584</v>
      </c>
      <c r="U1793" t="s">
        <v>1592</v>
      </c>
      <c r="V1793" t="str" cm="1">
        <f t="array" aca="1" ref="V1793" ca="1">IFERROR(_xlfn.IFS(A1791="  ..............",OFFSET(A1791,2,0),A1790=" X-------------X",OFFSET(A1790,3,0),MATCH("  ..............",A1793:A1802,0)&gt;2,V1792),"-")</f>
        <v>-</v>
      </c>
      <c r="W1793" t="str">
        <f t="shared" ca="1" si="81"/>
        <v>-</v>
      </c>
      <c r="X1793" t="str">
        <f t="shared" ca="1" si="82"/>
        <v>-</v>
      </c>
      <c r="Y1793" s="1" t="str">
        <f t="shared" ca="1" si="83"/>
        <v>-</v>
      </c>
    </row>
    <row r="1794" spans="1:25" x14ac:dyDescent="0.25">
      <c r="A1794" t="s">
        <v>1572</v>
      </c>
      <c r="B1794" t="s">
        <v>1574</v>
      </c>
      <c r="C1794" t="s">
        <v>1574</v>
      </c>
      <c r="D1794" t="s">
        <v>1574</v>
      </c>
      <c r="E1794" t="s">
        <v>1574</v>
      </c>
      <c r="F1794" t="s">
        <v>1575</v>
      </c>
      <c r="G1794" t="s">
        <v>1574</v>
      </c>
      <c r="H1794" t="s">
        <v>1574</v>
      </c>
      <c r="I1794" t="s">
        <v>1576</v>
      </c>
      <c r="J1794" t="s">
        <v>1573</v>
      </c>
      <c r="K1794" t="s">
        <v>1577</v>
      </c>
      <c r="L1794" t="s">
        <v>1574</v>
      </c>
      <c r="M1794" t="s">
        <v>1574</v>
      </c>
      <c r="N1794" t="s">
        <v>1574</v>
      </c>
      <c r="O1794" t="s">
        <v>1578</v>
      </c>
      <c r="P1794" t="s">
        <v>1576</v>
      </c>
      <c r="Q1794" t="s">
        <v>1579</v>
      </c>
      <c r="R1794" t="s">
        <v>1580</v>
      </c>
      <c r="S1794" t="s">
        <v>1580</v>
      </c>
      <c r="T1794" t="s">
        <v>1576</v>
      </c>
      <c r="U1794" t="s">
        <v>1576</v>
      </c>
      <c r="V1794" t="str" cm="1">
        <f t="array" aca="1" ref="V1794" ca="1">IFERROR(_xlfn.IFS(A1792="  ..............",OFFSET(A1792,2,0),A1791=" X-------------X",OFFSET(A1791,3,0),MATCH("  ..............",A1794:A1803,0)&gt;2,V1793),"-")</f>
        <v>-</v>
      </c>
      <c r="W1794" t="str">
        <f t="shared" ca="1" si="81"/>
        <v>-</v>
      </c>
      <c r="X1794" t="str">
        <f t="shared" ca="1" si="82"/>
        <v/>
      </c>
      <c r="Y1794" s="1" t="str">
        <f t="shared" ca="1" si="83"/>
        <v/>
      </c>
    </row>
    <row r="1795" spans="1:25" x14ac:dyDescent="0.25">
      <c r="A1795" t="s">
        <v>2805</v>
      </c>
      <c r="B1795">
        <v>1.0349999999999999</v>
      </c>
      <c r="C1795">
        <v>0</v>
      </c>
      <c r="D1795">
        <v>0</v>
      </c>
      <c r="E1795">
        <v>2</v>
      </c>
      <c r="F1795">
        <v>0</v>
      </c>
      <c r="G1795">
        <v>0</v>
      </c>
      <c r="H1795">
        <v>0</v>
      </c>
      <c r="I1795" t="s">
        <v>1581</v>
      </c>
      <c r="J1795" t="s">
        <v>1581</v>
      </c>
      <c r="K1795" t="s">
        <v>1581</v>
      </c>
      <c r="L1795" t="s">
        <v>1581</v>
      </c>
      <c r="M1795" t="s">
        <v>1581</v>
      </c>
      <c r="N1795" t="s">
        <v>1581</v>
      </c>
      <c r="O1795" t="s">
        <v>1581</v>
      </c>
      <c r="P1795" t="s">
        <v>1581</v>
      </c>
      <c r="Q1795" t="s">
        <v>1581</v>
      </c>
      <c r="R1795" t="s">
        <v>1581</v>
      </c>
      <c r="S1795" t="s">
        <v>1581</v>
      </c>
      <c r="T1795" t="s">
        <v>1581</v>
      </c>
      <c r="U1795" t="s">
        <v>1581</v>
      </c>
      <c r="V1795" t="str" cm="1">
        <f t="array" aca="1" ref="V1795" ca="1">IFERROR(_xlfn.IFS(A1793="  ..............",OFFSET(A1793,2,0),A1792=" X-------------X",OFFSET(A1792,3,0),MATCH("  ..............",A1795:A1804,0)&gt;2,V1794),"-")</f>
        <v>-</v>
      </c>
      <c r="W1795" t="str">
        <f t="shared" ca="1" si="81"/>
        <v>-</v>
      </c>
      <c r="X1795" t="str">
        <f t="shared" ca="1" si="82"/>
        <v xml:space="preserve">              </v>
      </c>
      <c r="Y1795" s="1">
        <f t="shared" ca="1" si="83"/>
        <v>0</v>
      </c>
    </row>
    <row r="1796" spans="1:25" x14ac:dyDescent="0.25">
      <c r="A1796" t="s">
        <v>2806</v>
      </c>
      <c r="B1796">
        <v>-48.6</v>
      </c>
      <c r="C1796">
        <v>0</v>
      </c>
      <c r="D1796">
        <v>0</v>
      </c>
      <c r="E1796">
        <v>0.8</v>
      </c>
      <c r="F1796">
        <v>0</v>
      </c>
      <c r="G1796">
        <v>0</v>
      </c>
      <c r="H1796">
        <v>0</v>
      </c>
      <c r="I1796" t="s">
        <v>1584</v>
      </c>
      <c r="J1796" t="s">
        <v>1585</v>
      </c>
      <c r="K1796" t="s">
        <v>1586</v>
      </c>
      <c r="L1796" t="s">
        <v>1587</v>
      </c>
      <c r="M1796" t="s">
        <v>1587</v>
      </c>
      <c r="N1796" t="s">
        <v>1586</v>
      </c>
      <c r="O1796" t="s">
        <v>1581</v>
      </c>
      <c r="P1796" t="s">
        <v>1581</v>
      </c>
      <c r="Q1796" t="s">
        <v>1581</v>
      </c>
      <c r="R1796" t="s">
        <v>1581</v>
      </c>
      <c r="S1796" t="s">
        <v>1581</v>
      </c>
      <c r="T1796" t="s">
        <v>1581</v>
      </c>
      <c r="U1796" t="s">
        <v>1581</v>
      </c>
      <c r="V1796" t="str" cm="1">
        <f t="array" aca="1" ref="V1796" ca="1">IFERROR(_xlfn.IFS(A1794="  ..............",OFFSET(A1794,2,0),A1793=" X-------------X",OFFSET(A1793,3,0),MATCH("  ..............",A1796:A1805,0)&gt;2,V1795),"-")</f>
        <v xml:space="preserve">  JACUIC-RS023  </v>
      </c>
      <c r="W1796">
        <f t="shared" ref="W1796:W1859" ca="1" si="84">IFERROR(OFFSET($A$1,MATCH(V1796,A:A,0)-2,1),"-")</f>
        <v>1.0349999999999999</v>
      </c>
      <c r="X1796" t="str">
        <f t="shared" ref="X1796:X1859" ca="1" si="85">IFERROR(IF(V1796=V1795,OFFSET($J$1,ROW(X1796),0),OFFSET($J$1,MATCH(V1796,A:A,0),0)),"-")</f>
        <v xml:space="preserve"> JACUIR-RS023 </v>
      </c>
      <c r="Y1796" s="1">
        <f t="shared" ref="Y1796:Y1859" ca="1" si="86">IFERROR(OFFSET($F$1,MATCH(X1796,J:J,0)-1,0),"-")</f>
        <v>0</v>
      </c>
    </row>
    <row r="1797" spans="1:25" x14ac:dyDescent="0.25">
      <c r="A1797" t="s">
        <v>1588</v>
      </c>
      <c r="B1797" t="s">
        <v>1587</v>
      </c>
      <c r="C1797">
        <v>9999</v>
      </c>
      <c r="D1797">
        <v>9999</v>
      </c>
      <c r="E1797">
        <v>9999</v>
      </c>
      <c r="F1797" s="1">
        <v>0</v>
      </c>
      <c r="G1797" t="s">
        <v>1587</v>
      </c>
      <c r="H1797" t="s">
        <v>1587</v>
      </c>
      <c r="I1797">
        <v>1220</v>
      </c>
      <c r="J1797" t="s">
        <v>1697</v>
      </c>
      <c r="K1797">
        <v>1</v>
      </c>
      <c r="L1797">
        <v>-2</v>
      </c>
      <c r="M1797">
        <v>-0.8</v>
      </c>
      <c r="N1797">
        <v>2.1</v>
      </c>
      <c r="O1797" t="s">
        <v>1594</v>
      </c>
      <c r="P1797" t="s">
        <v>1584</v>
      </c>
      <c r="Q1797" t="s">
        <v>1591</v>
      </c>
      <c r="R1797">
        <v>0</v>
      </c>
      <c r="S1797">
        <v>0</v>
      </c>
      <c r="T1797" t="s">
        <v>1584</v>
      </c>
      <c r="U1797" t="s">
        <v>1592</v>
      </c>
      <c r="V1797" t="str" cm="1">
        <f t="array" aca="1" ref="V1797" ca="1">IFERROR(_xlfn.IFS(A1795="  ..............",OFFSET(A1795,2,0),A1794=" X-------------X",OFFSET(A1794,3,0),MATCH("  ..............",A1797:A1806,0)&gt;2,V1796),"-")</f>
        <v>-</v>
      </c>
      <c r="W1797" t="str">
        <f t="shared" ca="1" si="84"/>
        <v>-</v>
      </c>
      <c r="X1797" t="str">
        <f t="shared" ca="1" si="85"/>
        <v>-</v>
      </c>
      <c r="Y1797" s="1" t="str">
        <f t="shared" ca="1" si="86"/>
        <v>-</v>
      </c>
    </row>
    <row r="1798" spans="1:25" x14ac:dyDescent="0.25">
      <c r="A1798" t="s">
        <v>1572</v>
      </c>
      <c r="B1798" t="s">
        <v>1574</v>
      </c>
      <c r="C1798" t="s">
        <v>1574</v>
      </c>
      <c r="D1798" t="s">
        <v>1574</v>
      </c>
      <c r="E1798" t="s">
        <v>1574</v>
      </c>
      <c r="F1798" t="s">
        <v>1575</v>
      </c>
      <c r="G1798" t="s">
        <v>1574</v>
      </c>
      <c r="H1798" t="s">
        <v>1574</v>
      </c>
      <c r="I1798" t="s">
        <v>1576</v>
      </c>
      <c r="J1798" t="s">
        <v>1573</v>
      </c>
      <c r="K1798" t="s">
        <v>1577</v>
      </c>
      <c r="L1798" t="s">
        <v>1574</v>
      </c>
      <c r="M1798" t="s">
        <v>1574</v>
      </c>
      <c r="N1798" t="s">
        <v>1574</v>
      </c>
      <c r="O1798" t="s">
        <v>1578</v>
      </c>
      <c r="P1798" t="s">
        <v>1576</v>
      </c>
      <c r="Q1798" t="s">
        <v>1579</v>
      </c>
      <c r="R1798" t="s">
        <v>1580</v>
      </c>
      <c r="S1798" t="s">
        <v>1580</v>
      </c>
      <c r="T1798" t="s">
        <v>1576</v>
      </c>
      <c r="U1798" t="s">
        <v>1576</v>
      </c>
      <c r="V1798" t="str" cm="1">
        <f t="array" aca="1" ref="V1798" ca="1">IFERROR(_xlfn.IFS(A1796="  ..............",OFFSET(A1796,2,0),A1795=" X-------------X",OFFSET(A1795,3,0),MATCH("  ..............",A1798:A1807,0)&gt;2,V1797),"-")</f>
        <v>-</v>
      </c>
      <c r="W1798" t="str">
        <f t="shared" ca="1" si="84"/>
        <v>-</v>
      </c>
      <c r="X1798" t="str">
        <f t="shared" ca="1" si="85"/>
        <v/>
      </c>
      <c r="Y1798" s="1" t="str">
        <f t="shared" ca="1" si="86"/>
        <v/>
      </c>
    </row>
    <row r="1799" spans="1:25" x14ac:dyDescent="0.25">
      <c r="A1799" t="s">
        <v>2807</v>
      </c>
      <c r="B1799">
        <v>1.0289999999999999</v>
      </c>
      <c r="C1799">
        <v>0</v>
      </c>
      <c r="D1799">
        <v>0</v>
      </c>
      <c r="E1799">
        <v>11.8</v>
      </c>
      <c r="F1799">
        <v>0</v>
      </c>
      <c r="G1799">
        <v>0</v>
      </c>
      <c r="H1799">
        <v>0</v>
      </c>
      <c r="I1799" t="s">
        <v>1581</v>
      </c>
      <c r="J1799" t="s">
        <v>1581</v>
      </c>
      <c r="K1799" t="s">
        <v>1581</v>
      </c>
      <c r="L1799" t="s">
        <v>1581</v>
      </c>
      <c r="M1799" t="s">
        <v>1581</v>
      </c>
      <c r="N1799" t="s">
        <v>1581</v>
      </c>
      <c r="O1799" t="s">
        <v>1581</v>
      </c>
      <c r="P1799" t="s">
        <v>1581</v>
      </c>
      <c r="Q1799" t="s">
        <v>1581</v>
      </c>
      <c r="R1799" t="s">
        <v>1581</v>
      </c>
      <c r="S1799" t="s">
        <v>1581</v>
      </c>
      <c r="T1799" t="s">
        <v>1581</v>
      </c>
      <c r="U1799" t="s">
        <v>1581</v>
      </c>
      <c r="V1799" t="str" cm="1">
        <f t="array" aca="1" ref="V1799" ca="1">IFERROR(_xlfn.IFS(A1797="  ..............",OFFSET(A1797,2,0),A1796=" X-------------X",OFFSET(A1796,3,0),MATCH("  ..............",A1799:A1808,0)&gt;2,V1798),"-")</f>
        <v>-</v>
      </c>
      <c r="W1799" t="str">
        <f t="shared" ca="1" si="84"/>
        <v>-</v>
      </c>
      <c r="X1799" t="str">
        <f t="shared" ca="1" si="85"/>
        <v xml:space="preserve">              </v>
      </c>
      <c r="Y1799" s="1">
        <f t="shared" ca="1" si="86"/>
        <v>0</v>
      </c>
    </row>
    <row r="1800" spans="1:25" x14ac:dyDescent="0.25">
      <c r="A1800" t="s">
        <v>2808</v>
      </c>
      <c r="B1800">
        <v>-49.5</v>
      </c>
      <c r="C1800">
        <v>0</v>
      </c>
      <c r="D1800">
        <v>0</v>
      </c>
      <c r="E1800">
        <v>3.6</v>
      </c>
      <c r="F1800">
        <v>0</v>
      </c>
      <c r="G1800">
        <v>0</v>
      </c>
      <c r="H1800">
        <v>0</v>
      </c>
      <c r="I1800" t="s">
        <v>1584</v>
      </c>
      <c r="J1800" t="s">
        <v>1585</v>
      </c>
      <c r="K1800" t="s">
        <v>1586</v>
      </c>
      <c r="L1800" t="s">
        <v>1587</v>
      </c>
      <c r="M1800" t="s">
        <v>1587</v>
      </c>
      <c r="N1800" t="s">
        <v>1586</v>
      </c>
      <c r="O1800" t="s">
        <v>1581</v>
      </c>
      <c r="P1800" t="s">
        <v>1581</v>
      </c>
      <c r="Q1800" t="s">
        <v>1581</v>
      </c>
      <c r="R1800" t="s">
        <v>1581</v>
      </c>
      <c r="S1800" t="s">
        <v>1581</v>
      </c>
      <c r="T1800" t="s">
        <v>1581</v>
      </c>
      <c r="U1800" t="s">
        <v>1581</v>
      </c>
      <c r="V1800" t="str" cm="1">
        <f t="array" aca="1" ref="V1800" ca="1">IFERROR(_xlfn.IFS(A1798="  ..............",OFFSET(A1798,2,0),A1797=" X-------------X",OFFSET(A1797,3,0),MATCH("  ..............",A1800:A1809,0)&gt;2,V1799),"-")</f>
        <v xml:space="preserve">  MARAU2-RS138  </v>
      </c>
      <c r="W1800">
        <f t="shared" ca="1" si="84"/>
        <v>1.0289999999999999</v>
      </c>
      <c r="X1800" t="str">
        <f t="shared" ca="1" si="85"/>
        <v xml:space="preserve"> VILMAR-RS138 </v>
      </c>
      <c r="Y1800" s="1">
        <f t="shared" ca="1" si="86"/>
        <v>0.17100000000000001</v>
      </c>
    </row>
    <row r="1801" spans="1:25" x14ac:dyDescent="0.25">
      <c r="A1801" t="s">
        <v>1588</v>
      </c>
      <c r="B1801" t="s">
        <v>1587</v>
      </c>
      <c r="C1801">
        <v>70</v>
      </c>
      <c r="D1801">
        <v>90</v>
      </c>
      <c r="E1801">
        <v>90</v>
      </c>
      <c r="F1801" s="1">
        <v>0.17100000000000001</v>
      </c>
      <c r="G1801" t="s">
        <v>1587</v>
      </c>
      <c r="H1801" t="s">
        <v>1587</v>
      </c>
      <c r="I1801">
        <v>9921</v>
      </c>
      <c r="J1801" t="s">
        <v>2809</v>
      </c>
      <c r="K1801">
        <v>1</v>
      </c>
      <c r="L1801">
        <v>-11.8</v>
      </c>
      <c r="M1801">
        <v>-3.6</v>
      </c>
      <c r="N1801">
        <v>12</v>
      </c>
      <c r="O1801" t="s">
        <v>1594</v>
      </c>
      <c r="P1801" t="s">
        <v>1584</v>
      </c>
      <c r="Q1801" t="s">
        <v>1591</v>
      </c>
      <c r="R1801">
        <v>0.02</v>
      </c>
      <c r="S1801">
        <v>-1.05</v>
      </c>
      <c r="T1801" t="s">
        <v>1584</v>
      </c>
      <c r="U1801" t="s">
        <v>1592</v>
      </c>
      <c r="V1801" t="str" cm="1">
        <f t="array" aca="1" ref="V1801" ca="1">IFERROR(_xlfn.IFS(A1799="  ..............",OFFSET(A1799,2,0),A1798=" X-------------X",OFFSET(A1798,3,0),MATCH("  ..............",A1801:A1810,0)&gt;2,V1800),"-")</f>
        <v>-</v>
      </c>
      <c r="W1801" t="str">
        <f t="shared" ca="1" si="84"/>
        <v>-</v>
      </c>
      <c r="X1801" t="str">
        <f t="shared" ca="1" si="85"/>
        <v>-</v>
      </c>
      <c r="Y1801" s="1" t="str">
        <f t="shared" ca="1" si="86"/>
        <v>-</v>
      </c>
    </row>
    <row r="1802" spans="1:25" x14ac:dyDescent="0.25">
      <c r="A1802" t="s">
        <v>1572</v>
      </c>
      <c r="B1802" t="s">
        <v>1574</v>
      </c>
      <c r="C1802" t="s">
        <v>1574</v>
      </c>
      <c r="D1802" t="s">
        <v>1574</v>
      </c>
      <c r="E1802" t="s">
        <v>1574</v>
      </c>
      <c r="F1802" t="s">
        <v>1575</v>
      </c>
      <c r="G1802" t="s">
        <v>1574</v>
      </c>
      <c r="H1802" t="s">
        <v>1574</v>
      </c>
      <c r="I1802" t="s">
        <v>1576</v>
      </c>
      <c r="J1802" t="s">
        <v>1573</v>
      </c>
      <c r="K1802" t="s">
        <v>1577</v>
      </c>
      <c r="L1802" t="s">
        <v>1574</v>
      </c>
      <c r="M1802" t="s">
        <v>1574</v>
      </c>
      <c r="N1802" t="s">
        <v>1574</v>
      </c>
      <c r="O1802" t="s">
        <v>1578</v>
      </c>
      <c r="P1802" t="s">
        <v>1576</v>
      </c>
      <c r="Q1802" t="s">
        <v>1579</v>
      </c>
      <c r="R1802" t="s">
        <v>1580</v>
      </c>
      <c r="S1802" t="s">
        <v>1580</v>
      </c>
      <c r="T1802" t="s">
        <v>1576</v>
      </c>
      <c r="U1802" t="s">
        <v>1576</v>
      </c>
      <c r="V1802" t="str" cm="1">
        <f t="array" aca="1" ref="V1802" ca="1">IFERROR(_xlfn.IFS(A1800="  ..............",OFFSET(A1800,2,0),A1799=" X-------------X",OFFSET(A1799,3,0),MATCH("  ..............",A1802:A1811,0)&gt;2,V1801),"-")</f>
        <v>-</v>
      </c>
      <c r="W1802" t="str">
        <f t="shared" ca="1" si="84"/>
        <v>-</v>
      </c>
      <c r="X1802" t="str">
        <f t="shared" ca="1" si="85"/>
        <v/>
      </c>
      <c r="Y1802" s="1" t="str">
        <f t="shared" ca="1" si="86"/>
        <v/>
      </c>
    </row>
    <row r="1803" spans="1:25" x14ac:dyDescent="0.25">
      <c r="A1803" t="s">
        <v>2810</v>
      </c>
      <c r="B1803">
        <v>1.0129999999999999</v>
      </c>
      <c r="C1803">
        <v>0</v>
      </c>
      <c r="D1803">
        <v>0</v>
      </c>
      <c r="E1803">
        <v>2.7</v>
      </c>
      <c r="F1803">
        <v>0</v>
      </c>
      <c r="G1803">
        <v>0</v>
      </c>
      <c r="H1803">
        <v>0</v>
      </c>
      <c r="I1803" t="s">
        <v>1581</v>
      </c>
      <c r="J1803" t="s">
        <v>1581</v>
      </c>
      <c r="K1803" t="s">
        <v>1581</v>
      </c>
      <c r="L1803" t="s">
        <v>1581</v>
      </c>
      <c r="M1803" t="s">
        <v>1581</v>
      </c>
      <c r="N1803" t="s">
        <v>1581</v>
      </c>
      <c r="O1803" t="s">
        <v>1581</v>
      </c>
      <c r="P1803" t="s">
        <v>1581</v>
      </c>
      <c r="Q1803" t="s">
        <v>1581</v>
      </c>
      <c r="R1803" t="s">
        <v>1581</v>
      </c>
      <c r="S1803" t="s">
        <v>1581</v>
      </c>
      <c r="T1803" t="s">
        <v>1581</v>
      </c>
      <c r="U1803" t="s">
        <v>1581</v>
      </c>
      <c r="V1803" t="str" cm="1">
        <f t="array" aca="1" ref="V1803" ca="1">IFERROR(_xlfn.IFS(A1801="  ..............",OFFSET(A1801,2,0),A1800=" X-------------X",OFFSET(A1800,3,0),MATCH("  ..............",A1803:A1812,0)&gt;2,V1802),"-")</f>
        <v>-</v>
      </c>
      <c r="W1803" t="str">
        <f t="shared" ca="1" si="84"/>
        <v>-</v>
      </c>
      <c r="X1803" t="str">
        <f t="shared" ca="1" si="85"/>
        <v xml:space="preserve">              </v>
      </c>
      <c r="Y1803" s="1">
        <f t="shared" ca="1" si="86"/>
        <v>0</v>
      </c>
    </row>
    <row r="1804" spans="1:25" x14ac:dyDescent="0.25">
      <c r="A1804" t="s">
        <v>2811</v>
      </c>
      <c r="B1804">
        <v>-54.5</v>
      </c>
      <c r="C1804">
        <v>0</v>
      </c>
      <c r="D1804">
        <v>0</v>
      </c>
      <c r="E1804">
        <v>0.9</v>
      </c>
      <c r="F1804">
        <v>0</v>
      </c>
      <c r="G1804">
        <v>0</v>
      </c>
      <c r="H1804">
        <v>0</v>
      </c>
      <c r="I1804" t="s">
        <v>1584</v>
      </c>
      <c r="J1804" t="s">
        <v>1585</v>
      </c>
      <c r="K1804" t="s">
        <v>1586</v>
      </c>
      <c r="L1804" t="s">
        <v>1587</v>
      </c>
      <c r="M1804" t="s">
        <v>1587</v>
      </c>
      <c r="N1804" t="s">
        <v>1586</v>
      </c>
      <c r="O1804" t="s">
        <v>1581</v>
      </c>
      <c r="P1804" t="s">
        <v>1581</v>
      </c>
      <c r="Q1804" t="s">
        <v>1581</v>
      </c>
      <c r="R1804" t="s">
        <v>1581</v>
      </c>
      <c r="S1804" t="s">
        <v>1581</v>
      </c>
      <c r="T1804" t="s">
        <v>1581</v>
      </c>
      <c r="U1804" t="s">
        <v>1581</v>
      </c>
      <c r="V1804" t="str" cm="1">
        <f t="array" aca="1" ref="V1804" ca="1">IFERROR(_xlfn.IFS(A1802="  ..............",OFFSET(A1802,2,0),A1801=" X-------------X",OFFSET(A1801,3,0),MATCH("  ..............",A1804:A1813,0)&gt;2,V1803),"-")</f>
        <v xml:space="preserve">  HOCONC-RS069  </v>
      </c>
      <c r="W1804">
        <f t="shared" ca="1" si="84"/>
        <v>1.0129999999999999</v>
      </c>
      <c r="X1804" t="str">
        <f t="shared" ca="1" si="85"/>
        <v xml:space="preserve"> PALGR8-RS069 </v>
      </c>
      <c r="Y1804" s="1">
        <f t="shared" ca="1" si="86"/>
        <v>0.628</v>
      </c>
    </row>
    <row r="1805" spans="1:25" x14ac:dyDescent="0.25">
      <c r="A1805" t="s">
        <v>1588</v>
      </c>
      <c r="B1805" t="s">
        <v>1587</v>
      </c>
      <c r="C1805">
        <v>80</v>
      </c>
      <c r="D1805">
        <v>95</v>
      </c>
      <c r="E1805">
        <v>95</v>
      </c>
      <c r="F1805" s="1">
        <v>0.1</v>
      </c>
      <c r="G1805" t="s">
        <v>1587</v>
      </c>
      <c r="H1805" t="s">
        <v>1587</v>
      </c>
      <c r="I1805">
        <v>1271</v>
      </c>
      <c r="J1805" t="s">
        <v>2383</v>
      </c>
      <c r="K1805">
        <v>1</v>
      </c>
      <c r="L1805">
        <v>-4.5</v>
      </c>
      <c r="M1805">
        <v>-6.8</v>
      </c>
      <c r="N1805">
        <v>8</v>
      </c>
      <c r="O1805" t="s">
        <v>1594</v>
      </c>
      <c r="P1805" t="s">
        <v>1584</v>
      </c>
      <c r="Q1805" t="s">
        <v>1591</v>
      </c>
      <c r="R1805">
        <v>0</v>
      </c>
      <c r="S1805">
        <v>-0.03</v>
      </c>
      <c r="T1805" t="s">
        <v>1584</v>
      </c>
      <c r="U1805" t="s">
        <v>1592</v>
      </c>
      <c r="V1805" t="str" cm="1">
        <f t="array" aca="1" ref="V1805" ca="1">IFERROR(_xlfn.IFS(A1803="  ..............",OFFSET(A1803,2,0),A1802=" X-------------X",OFFSET(A1802,3,0),MATCH("  ..............",A1805:A1814,0)&gt;2,V1804),"-")</f>
        <v xml:space="preserve">  HOCONC-RS069  </v>
      </c>
      <c r="W1805">
        <f t="shared" ca="1" si="84"/>
        <v>1.0129999999999999</v>
      </c>
      <c r="X1805" t="str">
        <f t="shared" ca="1" si="85"/>
        <v xml:space="preserve"> ZAFFAR-RS069 </v>
      </c>
      <c r="Y1805" s="1">
        <f t="shared" ca="1" si="86"/>
        <v>0.06</v>
      </c>
    </row>
    <row r="1806" spans="1:25" x14ac:dyDescent="0.25">
      <c r="A1806" t="s">
        <v>1588</v>
      </c>
      <c r="B1806" t="s">
        <v>1587</v>
      </c>
      <c r="C1806">
        <v>80</v>
      </c>
      <c r="D1806">
        <v>95</v>
      </c>
      <c r="E1806">
        <v>95</v>
      </c>
      <c r="F1806" s="1">
        <v>7.5999999999999998E-2</v>
      </c>
      <c r="G1806" t="s">
        <v>1587</v>
      </c>
      <c r="H1806" t="s">
        <v>1587</v>
      </c>
      <c r="I1806">
        <v>9277</v>
      </c>
      <c r="J1806" t="s">
        <v>2776</v>
      </c>
      <c r="K1806">
        <v>1</v>
      </c>
      <c r="L1806">
        <v>1.8</v>
      </c>
      <c r="M1806">
        <v>5.9</v>
      </c>
      <c r="N1806">
        <v>6.1</v>
      </c>
      <c r="O1806" t="s">
        <v>1594</v>
      </c>
      <c r="P1806" t="s">
        <v>1584</v>
      </c>
      <c r="Q1806" t="s">
        <v>1591</v>
      </c>
      <c r="R1806">
        <v>0</v>
      </c>
      <c r="S1806">
        <v>-0.01</v>
      </c>
      <c r="T1806" t="s">
        <v>1584</v>
      </c>
      <c r="U1806" t="s">
        <v>1592</v>
      </c>
      <c r="V1806" t="str" cm="1">
        <f t="array" aca="1" ref="V1806" ca="1">IFERROR(_xlfn.IFS(A1804="  ..............",OFFSET(A1804,2,0),A1803=" X-------------X",OFFSET(A1803,3,0),MATCH("  ..............",A1806:A1815,0)&gt;2,V1805),"-")</f>
        <v>-</v>
      </c>
      <c r="W1806" t="str">
        <f t="shared" ca="1" si="84"/>
        <v>-</v>
      </c>
      <c r="X1806" t="str">
        <f t="shared" ca="1" si="85"/>
        <v>-</v>
      </c>
      <c r="Y1806" s="1" t="str">
        <f t="shared" ca="1" si="86"/>
        <v>-</v>
      </c>
    </row>
    <row r="1807" spans="1:25" x14ac:dyDescent="0.25">
      <c r="A1807" t="s">
        <v>1572</v>
      </c>
      <c r="B1807" t="s">
        <v>1574</v>
      </c>
      <c r="C1807" t="s">
        <v>1574</v>
      </c>
      <c r="D1807" t="s">
        <v>1574</v>
      </c>
      <c r="E1807" t="s">
        <v>1574</v>
      </c>
      <c r="F1807" t="s">
        <v>1575</v>
      </c>
      <c r="G1807" t="s">
        <v>1574</v>
      </c>
      <c r="H1807" t="s">
        <v>1574</v>
      </c>
      <c r="I1807" t="s">
        <v>1576</v>
      </c>
      <c r="J1807" t="s">
        <v>1573</v>
      </c>
      <c r="K1807" t="s">
        <v>1577</v>
      </c>
      <c r="L1807" t="s">
        <v>1574</v>
      </c>
      <c r="M1807" t="s">
        <v>1574</v>
      </c>
      <c r="N1807" t="s">
        <v>1574</v>
      </c>
      <c r="O1807" t="s">
        <v>1578</v>
      </c>
      <c r="P1807" t="s">
        <v>1576</v>
      </c>
      <c r="Q1807" t="s">
        <v>1579</v>
      </c>
      <c r="R1807" t="s">
        <v>1580</v>
      </c>
      <c r="S1807" t="s">
        <v>1580</v>
      </c>
      <c r="T1807" t="s">
        <v>1576</v>
      </c>
      <c r="U1807" t="s">
        <v>1576</v>
      </c>
      <c r="V1807" t="str" cm="1">
        <f t="array" aca="1" ref="V1807" ca="1">IFERROR(_xlfn.IFS(A1805="  ..............",OFFSET(A1805,2,0),A1804=" X-------------X",OFFSET(A1804,3,0),MATCH("  ..............",A1807:A1816,0)&gt;2,V1806),"-")</f>
        <v>-</v>
      </c>
      <c r="W1807" t="str">
        <f t="shared" ca="1" si="84"/>
        <v>-</v>
      </c>
      <c r="X1807" t="str">
        <f t="shared" ca="1" si="85"/>
        <v/>
      </c>
      <c r="Y1807" s="1" t="str">
        <f t="shared" ca="1" si="86"/>
        <v/>
      </c>
    </row>
    <row r="1808" spans="1:25" x14ac:dyDescent="0.25">
      <c r="A1808" t="s">
        <v>2812</v>
      </c>
      <c r="B1808">
        <v>1.0029999999999999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 t="s">
        <v>1581</v>
      </c>
      <c r="J1808" t="s">
        <v>1581</v>
      </c>
      <c r="K1808" t="s">
        <v>1581</v>
      </c>
      <c r="L1808" t="s">
        <v>1581</v>
      </c>
      <c r="M1808" t="s">
        <v>1581</v>
      </c>
      <c r="N1808" t="s">
        <v>1581</v>
      </c>
      <c r="O1808" t="s">
        <v>1581</v>
      </c>
      <c r="P1808" t="s">
        <v>1581</v>
      </c>
      <c r="Q1808" t="s">
        <v>1581</v>
      </c>
      <c r="R1808" t="s">
        <v>1581</v>
      </c>
      <c r="S1808" t="s">
        <v>1581</v>
      </c>
      <c r="T1808" t="s">
        <v>1581</v>
      </c>
      <c r="U1808" t="s">
        <v>1581</v>
      </c>
      <c r="V1808" t="str" cm="1">
        <f t="array" aca="1" ref="V1808" ca="1">IFERROR(_xlfn.IFS(A1806="  ..............",OFFSET(A1806,2,0),A1805=" X-------------X",OFFSET(A1805,3,0),MATCH("  ..............",A1808:A1817,0)&gt;2,V1807),"-")</f>
        <v>-</v>
      </c>
      <c r="W1808" t="str">
        <f t="shared" ca="1" si="84"/>
        <v>-</v>
      </c>
      <c r="X1808" t="str">
        <f t="shared" ca="1" si="85"/>
        <v xml:space="preserve">              </v>
      </c>
      <c r="Y1808" s="1">
        <f t="shared" ca="1" si="86"/>
        <v>0</v>
      </c>
    </row>
    <row r="1809" spans="1:25" x14ac:dyDescent="0.25">
      <c r="A1809" t="s">
        <v>2813</v>
      </c>
      <c r="B1809">
        <v>-48.1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 t="s">
        <v>1584</v>
      </c>
      <c r="J1809" t="s">
        <v>1585</v>
      </c>
      <c r="K1809" t="s">
        <v>1586</v>
      </c>
      <c r="L1809" t="s">
        <v>1587</v>
      </c>
      <c r="M1809" t="s">
        <v>1587</v>
      </c>
      <c r="N1809" t="s">
        <v>1586</v>
      </c>
      <c r="O1809" t="s">
        <v>1581</v>
      </c>
      <c r="P1809" t="s">
        <v>1581</v>
      </c>
      <c r="Q1809" t="s">
        <v>1581</v>
      </c>
      <c r="R1809" t="s">
        <v>1581</v>
      </c>
      <c r="S1809" t="s">
        <v>1581</v>
      </c>
      <c r="T1809" t="s">
        <v>1581</v>
      </c>
      <c r="U1809" t="s">
        <v>1581</v>
      </c>
      <c r="V1809" t="str" cm="1">
        <f t="array" aca="1" ref="V1809" ca="1">IFERROR(_xlfn.IFS(A1807="  ..............",OFFSET(A1807,2,0),A1806=" X-------------X",OFFSET(A1806,3,0),MATCH("  ..............",A1809:A1818,0)&gt;2,V1808),"-")</f>
        <v xml:space="preserve">  XANGRI-RS034  </v>
      </c>
      <c r="W1809">
        <f t="shared" ca="1" si="84"/>
        <v>1.0029999999999999</v>
      </c>
      <c r="X1809" t="str">
        <f t="shared" ca="1" si="85"/>
        <v xml:space="preserve"> XANGRI-RS069 </v>
      </c>
      <c r="Y1809" s="1">
        <f t="shared" ca="1" si="86"/>
        <v>0.20799999999999999</v>
      </c>
    </row>
    <row r="1810" spans="1:25" x14ac:dyDescent="0.25">
      <c r="A1810" t="s">
        <v>1588</v>
      </c>
      <c r="B1810" t="s">
        <v>1587</v>
      </c>
      <c r="C1810">
        <v>33</v>
      </c>
      <c r="D1810">
        <v>33</v>
      </c>
      <c r="E1810">
        <v>33</v>
      </c>
      <c r="F1810" s="1">
        <v>0.252</v>
      </c>
      <c r="G1810" t="s">
        <v>1587</v>
      </c>
      <c r="H1810" t="s">
        <v>1587</v>
      </c>
      <c r="I1810">
        <v>9182</v>
      </c>
      <c r="J1810" t="s">
        <v>2092</v>
      </c>
      <c r="K1810">
        <v>1</v>
      </c>
      <c r="L1810">
        <v>8.3000000000000007</v>
      </c>
      <c r="M1810">
        <v>-1</v>
      </c>
      <c r="N1810">
        <v>8.3000000000000007</v>
      </c>
      <c r="O1810" t="s">
        <v>1594</v>
      </c>
      <c r="P1810" t="s">
        <v>1584</v>
      </c>
      <c r="Q1810" t="s">
        <v>1591</v>
      </c>
      <c r="R1810">
        <v>0.01</v>
      </c>
      <c r="S1810">
        <v>0.27</v>
      </c>
      <c r="T1810" t="s">
        <v>1584</v>
      </c>
      <c r="U1810" t="s">
        <v>1592</v>
      </c>
      <c r="V1810" t="str" cm="1">
        <f t="array" aca="1" ref="V1810" ca="1">IFERROR(_xlfn.IFS(A1808="  ..............",OFFSET(A1808,2,0),A1807=" X-------------X",OFFSET(A1807,3,0),MATCH("  ..............",A1810:A1819,0)&gt;2,V1809),"-")</f>
        <v xml:space="preserve">  XANGRI-RS034  </v>
      </c>
      <c r="W1810">
        <f t="shared" ca="1" si="84"/>
        <v>1.0029999999999999</v>
      </c>
      <c r="X1810" t="str">
        <f t="shared" ca="1" si="85"/>
        <v xml:space="preserve"> XANGRIEOL034 </v>
      </c>
      <c r="Y1810" s="1">
        <f t="shared" ca="1" si="86"/>
        <v>0</v>
      </c>
    </row>
    <row r="1811" spans="1:25" x14ac:dyDescent="0.25">
      <c r="A1811" t="s">
        <v>1588</v>
      </c>
      <c r="B1811" t="s">
        <v>1587</v>
      </c>
      <c r="C1811">
        <v>9999</v>
      </c>
      <c r="D1811">
        <v>9999</v>
      </c>
      <c r="E1811">
        <v>9999</v>
      </c>
      <c r="F1811" s="1">
        <v>0</v>
      </c>
      <c r="G1811" t="s">
        <v>1587</v>
      </c>
      <c r="H1811" t="s">
        <v>1587</v>
      </c>
      <c r="I1811">
        <v>9183</v>
      </c>
      <c r="J1811" t="s">
        <v>2814</v>
      </c>
      <c r="K1811">
        <v>1</v>
      </c>
      <c r="L1811">
        <v>-8.3000000000000007</v>
      </c>
      <c r="M1811">
        <v>1</v>
      </c>
      <c r="N1811">
        <v>8.3000000000000007</v>
      </c>
      <c r="O1811" t="s">
        <v>1594</v>
      </c>
      <c r="P1811" t="s">
        <v>1584</v>
      </c>
      <c r="Q1811" t="s">
        <v>1591</v>
      </c>
      <c r="R1811">
        <v>0.02</v>
      </c>
      <c r="S1811">
        <v>-0.11</v>
      </c>
      <c r="T1811" t="s">
        <v>1584</v>
      </c>
      <c r="U1811" t="s">
        <v>1592</v>
      </c>
      <c r="V1811" t="str" cm="1">
        <f t="array" aca="1" ref="V1811" ca="1">IFERROR(_xlfn.IFS(A1809="  ..............",OFFSET(A1809,2,0),A1808=" X-------------X",OFFSET(A1808,3,0),MATCH("  ..............",A1811:A1820,0)&gt;2,V1810),"-")</f>
        <v>-</v>
      </c>
      <c r="W1811" t="str">
        <f t="shared" ca="1" si="84"/>
        <v>-</v>
      </c>
      <c r="X1811" t="str">
        <f t="shared" ca="1" si="85"/>
        <v>-</v>
      </c>
      <c r="Y1811" s="1" t="str">
        <f t="shared" ca="1" si="86"/>
        <v>-</v>
      </c>
    </row>
    <row r="1812" spans="1:25" x14ac:dyDescent="0.25">
      <c r="A1812" t="s">
        <v>1572</v>
      </c>
      <c r="B1812" t="s">
        <v>1574</v>
      </c>
      <c r="C1812" t="s">
        <v>1574</v>
      </c>
      <c r="D1812" t="s">
        <v>1574</v>
      </c>
      <c r="E1812" t="s">
        <v>1574</v>
      </c>
      <c r="F1812" t="s">
        <v>1575</v>
      </c>
      <c r="G1812" t="s">
        <v>1574</v>
      </c>
      <c r="H1812" t="s">
        <v>1574</v>
      </c>
      <c r="I1812" t="s">
        <v>1576</v>
      </c>
      <c r="J1812" t="s">
        <v>1573</v>
      </c>
      <c r="K1812" t="s">
        <v>1577</v>
      </c>
      <c r="L1812" t="s">
        <v>1574</v>
      </c>
      <c r="M1812" t="s">
        <v>1574</v>
      </c>
      <c r="N1812" t="s">
        <v>1574</v>
      </c>
      <c r="O1812" t="s">
        <v>1578</v>
      </c>
      <c r="P1812" t="s">
        <v>1576</v>
      </c>
      <c r="Q1812" t="s">
        <v>1579</v>
      </c>
      <c r="R1812" t="s">
        <v>1580</v>
      </c>
      <c r="S1812" t="s">
        <v>1580</v>
      </c>
      <c r="T1812" t="s">
        <v>1576</v>
      </c>
      <c r="U1812" t="s">
        <v>1576</v>
      </c>
      <c r="V1812" t="str" cm="1">
        <f t="array" aca="1" ref="V1812" ca="1">IFERROR(_xlfn.IFS(A1810="  ..............",OFFSET(A1810,2,0),A1809=" X-------------X",OFFSET(A1809,3,0),MATCH("  ..............",A1812:A1821,0)&gt;2,V1811),"-")</f>
        <v>-</v>
      </c>
      <c r="W1812" t="str">
        <f t="shared" ca="1" si="84"/>
        <v>-</v>
      </c>
      <c r="X1812" t="str">
        <f t="shared" ca="1" si="85"/>
        <v/>
      </c>
      <c r="Y1812" s="1" t="str">
        <f t="shared" ca="1" si="86"/>
        <v/>
      </c>
    </row>
    <row r="1813" spans="1:25" x14ac:dyDescent="0.25">
      <c r="A1813" t="s">
        <v>2815</v>
      </c>
      <c r="B1813">
        <v>1.012</v>
      </c>
      <c r="C1813">
        <v>17.100000000000001</v>
      </c>
      <c r="D1813">
        <v>0</v>
      </c>
      <c r="E1813">
        <v>0</v>
      </c>
      <c r="F1813">
        <v>0</v>
      </c>
      <c r="G1813">
        <v>0</v>
      </c>
      <c r="H1813">
        <v>0</v>
      </c>
      <c r="I1813" t="s">
        <v>1581</v>
      </c>
      <c r="J1813" t="s">
        <v>1581</v>
      </c>
      <c r="K1813" t="s">
        <v>1581</v>
      </c>
      <c r="L1813" t="s">
        <v>1581</v>
      </c>
      <c r="M1813" t="s">
        <v>1581</v>
      </c>
      <c r="N1813" t="s">
        <v>1581</v>
      </c>
      <c r="O1813" t="s">
        <v>1581</v>
      </c>
      <c r="P1813" t="s">
        <v>1581</v>
      </c>
      <c r="Q1813" t="s">
        <v>1581</v>
      </c>
      <c r="R1813" t="s">
        <v>1581</v>
      </c>
      <c r="S1813" t="s">
        <v>1581</v>
      </c>
      <c r="T1813" t="s">
        <v>1581</v>
      </c>
      <c r="U1813" t="s">
        <v>1581</v>
      </c>
      <c r="V1813" t="str" cm="1">
        <f t="array" aca="1" ref="V1813" ca="1">IFERROR(_xlfn.IFS(A1811="  ..............",OFFSET(A1811,2,0),A1810=" X-------------X",OFFSET(A1810,3,0),MATCH("  ..............",A1813:A1822,0)&gt;2,V1812),"-")</f>
        <v>-</v>
      </c>
      <c r="W1813" t="str">
        <f t="shared" ca="1" si="84"/>
        <v>-</v>
      </c>
      <c r="X1813" t="str">
        <f t="shared" ca="1" si="85"/>
        <v xml:space="preserve">              </v>
      </c>
      <c r="Y1813" s="1">
        <f t="shared" ca="1" si="86"/>
        <v>0</v>
      </c>
    </row>
    <row r="1814" spans="1:25" x14ac:dyDescent="0.25">
      <c r="A1814" t="s">
        <v>2816</v>
      </c>
      <c r="B1814">
        <v>-44.7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 t="s">
        <v>1584</v>
      </c>
      <c r="J1814" t="s">
        <v>1585</v>
      </c>
      <c r="K1814" t="s">
        <v>1586</v>
      </c>
      <c r="L1814" t="s">
        <v>1587</v>
      </c>
      <c r="M1814" t="s">
        <v>1587</v>
      </c>
      <c r="N1814" t="s">
        <v>1586</v>
      </c>
      <c r="O1814" t="s">
        <v>1581</v>
      </c>
      <c r="P1814" t="s">
        <v>1581</v>
      </c>
      <c r="Q1814" t="s">
        <v>1581</v>
      </c>
      <c r="R1814" t="s">
        <v>1581</v>
      </c>
      <c r="S1814" t="s">
        <v>1581</v>
      </c>
      <c r="T1814" t="s">
        <v>1581</v>
      </c>
      <c r="U1814" t="s">
        <v>1581</v>
      </c>
      <c r="V1814" t="str" cm="1">
        <f t="array" aca="1" ref="V1814" ca="1">IFERROR(_xlfn.IFS(A1812="  ..............",OFFSET(A1812,2,0),A1811=" X-------------X",OFFSET(A1811,3,0),MATCH("  ..............",A1814:A1823,0)&gt;2,V1813),"-")</f>
        <v xml:space="preserve">  PALMAREOL034  </v>
      </c>
      <c r="W1814">
        <f t="shared" ca="1" si="84"/>
        <v>1.012</v>
      </c>
      <c r="X1814" t="str">
        <f t="shared" ca="1" si="85"/>
        <v xml:space="preserve"> COLPAL-RS034 </v>
      </c>
      <c r="Y1814" s="1">
        <f t="shared" ca="1" si="86"/>
        <v>0.376</v>
      </c>
    </row>
    <row r="1815" spans="1:25" x14ac:dyDescent="0.25">
      <c r="A1815" t="s">
        <v>1588</v>
      </c>
      <c r="B1815" t="s">
        <v>1587</v>
      </c>
      <c r="C1815">
        <v>9999</v>
      </c>
      <c r="D1815">
        <v>9999</v>
      </c>
      <c r="E1815">
        <v>9999</v>
      </c>
      <c r="F1815" s="1">
        <v>0</v>
      </c>
      <c r="G1815" t="s">
        <v>1587</v>
      </c>
      <c r="H1815" t="s">
        <v>1587</v>
      </c>
      <c r="I1815">
        <v>9727</v>
      </c>
      <c r="J1815" t="s">
        <v>2681</v>
      </c>
      <c r="K1815">
        <v>1</v>
      </c>
      <c r="L1815">
        <v>17.100000000000001</v>
      </c>
      <c r="M1815">
        <v>0</v>
      </c>
      <c r="N1815">
        <v>16.899999999999999</v>
      </c>
      <c r="O1815" t="s">
        <v>1594</v>
      </c>
      <c r="P1815" t="s">
        <v>1584</v>
      </c>
      <c r="Q1815">
        <v>2</v>
      </c>
      <c r="R1815">
        <v>0.06</v>
      </c>
      <c r="S1815">
        <v>-0.74</v>
      </c>
      <c r="T1815" t="s">
        <v>1584</v>
      </c>
      <c r="U1815" t="s">
        <v>1592</v>
      </c>
      <c r="V1815" t="str" cm="1">
        <f t="array" aca="1" ref="V1815" ca="1">IFERROR(_xlfn.IFS(A1813="  ..............",OFFSET(A1813,2,0),A1812=" X-------------X",OFFSET(A1812,3,0),MATCH("  ..............",A1815:A1824,0)&gt;2,V1814),"-")</f>
        <v>-</v>
      </c>
      <c r="W1815" t="str">
        <f t="shared" ca="1" si="84"/>
        <v>-</v>
      </c>
      <c r="X1815" t="str">
        <f t="shared" ca="1" si="85"/>
        <v>-</v>
      </c>
      <c r="Y1815" s="1" t="str">
        <f t="shared" ca="1" si="86"/>
        <v>-</v>
      </c>
    </row>
    <row r="1816" spans="1:25" x14ac:dyDescent="0.25">
      <c r="A1816" t="s">
        <v>1572</v>
      </c>
      <c r="B1816" t="s">
        <v>1574</v>
      </c>
      <c r="C1816" t="s">
        <v>1574</v>
      </c>
      <c r="D1816" t="s">
        <v>1574</v>
      </c>
      <c r="E1816" t="s">
        <v>1574</v>
      </c>
      <c r="F1816" t="s">
        <v>1575</v>
      </c>
      <c r="G1816" t="s">
        <v>1574</v>
      </c>
      <c r="H1816" t="s">
        <v>1574</v>
      </c>
      <c r="I1816" t="s">
        <v>1576</v>
      </c>
      <c r="J1816" t="s">
        <v>1573</v>
      </c>
      <c r="K1816" t="s">
        <v>1577</v>
      </c>
      <c r="L1816" t="s">
        <v>1574</v>
      </c>
      <c r="M1816" t="s">
        <v>1574</v>
      </c>
      <c r="N1816" t="s">
        <v>1574</v>
      </c>
      <c r="O1816" t="s">
        <v>1578</v>
      </c>
      <c r="P1816" t="s">
        <v>1576</v>
      </c>
      <c r="Q1816" t="s">
        <v>1579</v>
      </c>
      <c r="R1816" t="s">
        <v>1580</v>
      </c>
      <c r="S1816" t="s">
        <v>1580</v>
      </c>
      <c r="T1816" t="s">
        <v>1576</v>
      </c>
      <c r="U1816" t="s">
        <v>1576</v>
      </c>
      <c r="V1816" t="str" cm="1">
        <f t="array" aca="1" ref="V1816" ca="1">IFERROR(_xlfn.IFS(A1814="  ..............",OFFSET(A1814,2,0),A1813=" X-------------X",OFFSET(A1813,3,0),MATCH("  ..............",A1816:A1825,0)&gt;2,V1815),"-")</f>
        <v>-</v>
      </c>
      <c r="W1816" t="str">
        <f t="shared" ca="1" si="84"/>
        <v>-</v>
      </c>
      <c r="X1816" t="str">
        <f t="shared" ca="1" si="85"/>
        <v/>
      </c>
      <c r="Y1816" s="1" t="str">
        <f t="shared" ca="1" si="86"/>
        <v/>
      </c>
    </row>
    <row r="1817" spans="1:25" x14ac:dyDescent="0.25">
      <c r="A1817" t="s">
        <v>2817</v>
      </c>
      <c r="B1817">
        <v>1.0129999999999999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 t="s">
        <v>1581</v>
      </c>
      <c r="J1817" t="s">
        <v>1581</v>
      </c>
      <c r="K1817" t="s">
        <v>1581</v>
      </c>
      <c r="L1817" t="s">
        <v>1581</v>
      </c>
      <c r="M1817" t="s">
        <v>1581</v>
      </c>
      <c r="N1817" t="s">
        <v>1581</v>
      </c>
      <c r="O1817" t="s">
        <v>1581</v>
      </c>
      <c r="P1817" t="s">
        <v>1581</v>
      </c>
      <c r="Q1817" t="s">
        <v>1581</v>
      </c>
      <c r="R1817" t="s">
        <v>1581</v>
      </c>
      <c r="S1817" t="s">
        <v>1581</v>
      </c>
      <c r="T1817" t="s">
        <v>1581</v>
      </c>
      <c r="U1817" t="s">
        <v>1581</v>
      </c>
      <c r="V1817" t="str" cm="1">
        <f t="array" aca="1" ref="V1817" ca="1">IFERROR(_xlfn.IFS(A1815="  ..............",OFFSET(A1815,2,0),A1814=" X-------------X",OFFSET(A1814,3,0),MATCH("  ..............",A1817:A1826,0)&gt;2,V1816),"-")</f>
        <v>-</v>
      </c>
      <c r="W1817" t="str">
        <f t="shared" ca="1" si="84"/>
        <v>-</v>
      </c>
      <c r="X1817" t="str">
        <f t="shared" ca="1" si="85"/>
        <v xml:space="preserve">              </v>
      </c>
      <c r="Y1817" s="1">
        <f t="shared" ca="1" si="86"/>
        <v>0</v>
      </c>
    </row>
    <row r="1818" spans="1:25" x14ac:dyDescent="0.25">
      <c r="A1818" t="s">
        <v>2818</v>
      </c>
      <c r="B1818">
        <v>-45.7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 t="s">
        <v>1584</v>
      </c>
      <c r="J1818" t="s">
        <v>1585</v>
      </c>
      <c r="K1818" t="s">
        <v>1586</v>
      </c>
      <c r="L1818" t="s">
        <v>1587</v>
      </c>
      <c r="M1818" t="s">
        <v>1587</v>
      </c>
      <c r="N1818" t="s">
        <v>1586</v>
      </c>
      <c r="O1818" t="s">
        <v>1581</v>
      </c>
      <c r="P1818" t="s">
        <v>1581</v>
      </c>
      <c r="Q1818" t="s">
        <v>1581</v>
      </c>
      <c r="R1818" t="s">
        <v>1581</v>
      </c>
      <c r="S1818" t="s">
        <v>1581</v>
      </c>
      <c r="T1818" t="s">
        <v>1581</v>
      </c>
      <c r="U1818" t="s">
        <v>1581</v>
      </c>
      <c r="V1818" t="str" cm="1">
        <f t="array" aca="1" ref="V1818" ca="1">IFERROR(_xlfn.IFS(A1816="  ..............",OFFSET(A1816,2,0),A1815=" X-------------X",OFFSET(A1815,3,0),MATCH("  ..............",A1818:A1827,0)&gt;2,V1817),"-")</f>
        <v xml:space="preserve">  CIDREI-RS034  </v>
      </c>
      <c r="W1818">
        <f t="shared" ca="1" si="84"/>
        <v>1.0129999999999999</v>
      </c>
      <c r="X1818" t="str">
        <f t="shared" ca="1" si="85"/>
        <v xml:space="preserve"> CIDR13-RS069 </v>
      </c>
      <c r="Y1818" s="1">
        <f t="shared" ca="1" si="86"/>
        <v>0.249</v>
      </c>
    </row>
    <row r="1819" spans="1:25" x14ac:dyDescent="0.25">
      <c r="A1819" t="s">
        <v>1588</v>
      </c>
      <c r="B1819" t="s">
        <v>1587</v>
      </c>
      <c r="C1819">
        <v>82</v>
      </c>
      <c r="D1819">
        <v>82</v>
      </c>
      <c r="E1819">
        <v>82</v>
      </c>
      <c r="F1819" s="1">
        <v>0.255</v>
      </c>
      <c r="G1819" t="s">
        <v>1587</v>
      </c>
      <c r="H1819" t="s">
        <v>1587</v>
      </c>
      <c r="I1819">
        <v>1321</v>
      </c>
      <c r="J1819" t="s">
        <v>1839</v>
      </c>
      <c r="K1819">
        <v>1</v>
      </c>
      <c r="L1819">
        <v>21.2</v>
      </c>
      <c r="M1819">
        <v>0.1</v>
      </c>
      <c r="N1819">
        <v>20.9</v>
      </c>
      <c r="O1819" t="s">
        <v>1594</v>
      </c>
      <c r="P1819" t="s">
        <v>1584</v>
      </c>
      <c r="Q1819" t="s">
        <v>1591</v>
      </c>
      <c r="R1819">
        <v>0</v>
      </c>
      <c r="S1819">
        <v>0.71</v>
      </c>
      <c r="T1819" t="s">
        <v>1584</v>
      </c>
      <c r="U1819" t="s">
        <v>1592</v>
      </c>
      <c r="V1819" t="str" cm="1">
        <f t="array" aca="1" ref="V1819" ca="1">IFERROR(_xlfn.IFS(A1817="  ..............",OFFSET(A1817,2,0),A1816=" X-------------X",OFFSET(A1816,3,0),MATCH("  ..............",A1819:A1828,0)&gt;2,V1818),"-")</f>
        <v xml:space="preserve">  CIDREI-RS034  </v>
      </c>
      <c r="W1819">
        <f t="shared" ca="1" si="84"/>
        <v>1.0129999999999999</v>
      </c>
      <c r="X1819" t="str">
        <f t="shared" ca="1" si="85"/>
        <v xml:space="preserve"> CIDREIEOL034 </v>
      </c>
      <c r="Y1819" s="1">
        <f t="shared" ca="1" si="86"/>
        <v>0</v>
      </c>
    </row>
    <row r="1820" spans="1:25" x14ac:dyDescent="0.25">
      <c r="A1820" t="s">
        <v>1588</v>
      </c>
      <c r="B1820" t="s">
        <v>1587</v>
      </c>
      <c r="C1820">
        <v>9999</v>
      </c>
      <c r="D1820">
        <v>9999</v>
      </c>
      <c r="E1820">
        <v>9999</v>
      </c>
      <c r="F1820" s="1">
        <v>0</v>
      </c>
      <c r="G1820" t="s">
        <v>1587</v>
      </c>
      <c r="H1820" t="s">
        <v>1587</v>
      </c>
      <c r="I1820">
        <v>1347</v>
      </c>
      <c r="J1820" t="s">
        <v>2819</v>
      </c>
      <c r="K1820">
        <v>1</v>
      </c>
      <c r="L1820">
        <v>-21.2</v>
      </c>
      <c r="M1820">
        <v>-0.1</v>
      </c>
      <c r="N1820">
        <v>20.9</v>
      </c>
      <c r="O1820" t="s">
        <v>1594</v>
      </c>
      <c r="P1820" t="s">
        <v>1584</v>
      </c>
      <c r="Q1820" t="s">
        <v>1591</v>
      </c>
      <c r="R1820">
        <v>0.09</v>
      </c>
      <c r="S1820">
        <v>-2.16</v>
      </c>
      <c r="T1820" t="s">
        <v>1584</v>
      </c>
      <c r="U1820" t="s">
        <v>1592</v>
      </c>
      <c r="V1820" t="str" cm="1">
        <f t="array" aca="1" ref="V1820" ca="1">IFERROR(_xlfn.IFS(A1818="  ..............",OFFSET(A1818,2,0),A1817=" X-------------X",OFFSET(A1817,3,0),MATCH("  ..............",A1820:A1829,0)&gt;2,V1819),"-")</f>
        <v>-</v>
      </c>
      <c r="W1820" t="str">
        <f t="shared" ca="1" si="84"/>
        <v>-</v>
      </c>
      <c r="X1820" t="str">
        <f t="shared" ca="1" si="85"/>
        <v>-</v>
      </c>
      <c r="Y1820" s="1" t="str">
        <f t="shared" ca="1" si="86"/>
        <v>-</v>
      </c>
    </row>
    <row r="1821" spans="1:25" x14ac:dyDescent="0.25">
      <c r="A1821" t="s">
        <v>1572</v>
      </c>
      <c r="B1821" t="s">
        <v>1574</v>
      </c>
      <c r="C1821" t="s">
        <v>1574</v>
      </c>
      <c r="D1821" t="s">
        <v>1574</v>
      </c>
      <c r="E1821" t="s">
        <v>1574</v>
      </c>
      <c r="F1821" t="s">
        <v>1575</v>
      </c>
      <c r="G1821" t="s">
        <v>1574</v>
      </c>
      <c r="H1821" t="s">
        <v>1574</v>
      </c>
      <c r="I1821" t="s">
        <v>1576</v>
      </c>
      <c r="J1821" t="s">
        <v>1573</v>
      </c>
      <c r="K1821" t="s">
        <v>1577</v>
      </c>
      <c r="L1821" t="s">
        <v>1574</v>
      </c>
      <c r="M1821" t="s">
        <v>1574</v>
      </c>
      <c r="N1821" t="s">
        <v>1574</v>
      </c>
      <c r="O1821" t="s">
        <v>1578</v>
      </c>
      <c r="P1821" t="s">
        <v>1576</v>
      </c>
      <c r="Q1821" t="s">
        <v>1579</v>
      </c>
      <c r="R1821" t="s">
        <v>1580</v>
      </c>
      <c r="S1821" t="s">
        <v>1580</v>
      </c>
      <c r="T1821" t="s">
        <v>1576</v>
      </c>
      <c r="U1821" t="s">
        <v>1576</v>
      </c>
      <c r="V1821" t="str" cm="1">
        <f t="array" aca="1" ref="V1821" ca="1">IFERROR(_xlfn.IFS(A1819="  ..............",OFFSET(A1819,2,0),A1818=" X-------------X",OFFSET(A1818,3,0),MATCH("  ..............",A1821:A1830,0)&gt;2,V1820),"-")</f>
        <v>-</v>
      </c>
      <c r="W1821" t="str">
        <f t="shared" ca="1" si="84"/>
        <v>-</v>
      </c>
      <c r="X1821" t="str">
        <f t="shared" ca="1" si="85"/>
        <v/>
      </c>
      <c r="Y1821" s="1" t="str">
        <f t="shared" ca="1" si="86"/>
        <v/>
      </c>
    </row>
    <row r="1822" spans="1:25" x14ac:dyDescent="0.25">
      <c r="A1822" t="s">
        <v>2820</v>
      </c>
      <c r="B1822">
        <v>1.0429999999999999</v>
      </c>
      <c r="C1822">
        <v>3.2</v>
      </c>
      <c r="D1822">
        <v>0</v>
      </c>
      <c r="E1822">
        <v>21.8</v>
      </c>
      <c r="F1822">
        <v>0</v>
      </c>
      <c r="G1822">
        <v>0</v>
      </c>
      <c r="H1822">
        <v>0</v>
      </c>
      <c r="I1822" t="s">
        <v>1581</v>
      </c>
      <c r="J1822" t="s">
        <v>1581</v>
      </c>
      <c r="K1822" t="s">
        <v>1581</v>
      </c>
      <c r="L1822" t="s">
        <v>1581</v>
      </c>
      <c r="M1822" t="s">
        <v>1581</v>
      </c>
      <c r="N1822" t="s">
        <v>1581</v>
      </c>
      <c r="O1822" t="s">
        <v>1581</v>
      </c>
      <c r="P1822" t="s">
        <v>1581</v>
      </c>
      <c r="Q1822" t="s">
        <v>1581</v>
      </c>
      <c r="R1822" t="s">
        <v>1581</v>
      </c>
      <c r="S1822" t="s">
        <v>1581</v>
      </c>
      <c r="T1822" t="s">
        <v>1581</v>
      </c>
      <c r="U1822" t="s">
        <v>1581</v>
      </c>
      <c r="V1822" t="str" cm="1">
        <f t="array" aca="1" ref="V1822" ca="1">IFERROR(_xlfn.IFS(A1820="  ..............",OFFSET(A1820,2,0),A1819=" X-------------X",OFFSET(A1819,3,0),MATCH("  ..............",A1822:A1831,0)&gt;2,V1821),"-")</f>
        <v>-</v>
      </c>
      <c r="W1822" t="str">
        <f t="shared" ca="1" si="84"/>
        <v>-</v>
      </c>
      <c r="X1822" t="str">
        <f t="shared" ca="1" si="85"/>
        <v xml:space="preserve">              </v>
      </c>
      <c r="Y1822" s="1">
        <f t="shared" ca="1" si="86"/>
        <v>0</v>
      </c>
    </row>
    <row r="1823" spans="1:25" x14ac:dyDescent="0.25">
      <c r="A1823" t="s">
        <v>2821</v>
      </c>
      <c r="B1823">
        <v>-58.8</v>
      </c>
      <c r="C1823">
        <v>0</v>
      </c>
      <c r="D1823">
        <v>0</v>
      </c>
      <c r="E1823">
        <v>6.1</v>
      </c>
      <c r="F1823">
        <v>0</v>
      </c>
      <c r="G1823">
        <v>0</v>
      </c>
      <c r="H1823">
        <v>0</v>
      </c>
      <c r="I1823" t="s">
        <v>1584</v>
      </c>
      <c r="J1823" t="s">
        <v>1585</v>
      </c>
      <c r="K1823" t="s">
        <v>1586</v>
      </c>
      <c r="L1823" t="s">
        <v>1587</v>
      </c>
      <c r="M1823" t="s">
        <v>1587</v>
      </c>
      <c r="N1823" t="s">
        <v>1586</v>
      </c>
      <c r="O1823" t="s">
        <v>1581</v>
      </c>
      <c r="P1823" t="s">
        <v>1581</v>
      </c>
      <c r="Q1823" t="s">
        <v>1581</v>
      </c>
      <c r="R1823" t="s">
        <v>1581</v>
      </c>
      <c r="S1823" t="s">
        <v>1581</v>
      </c>
      <c r="T1823" t="s">
        <v>1581</v>
      </c>
      <c r="U1823" t="s">
        <v>1581</v>
      </c>
      <c r="V1823" t="str" cm="1">
        <f t="array" aca="1" ref="V1823" ca="1">IFERROR(_xlfn.IFS(A1821="  ..............",OFFSET(A1821,2,0),A1820=" X-------------X",OFFSET(A1820,3,0),MATCH("  ..............",A1823:A1832,0)&gt;2,V1822),"-")</f>
        <v xml:space="preserve">  LAJE2B-RS013  </v>
      </c>
      <c r="W1823">
        <f t="shared" ca="1" si="84"/>
        <v>1.0429999999999999</v>
      </c>
      <c r="X1823" t="str">
        <f t="shared" ca="1" si="85"/>
        <v xml:space="preserve"> LAJEA2-RS069 </v>
      </c>
      <c r="Y1823" s="1">
        <f t="shared" ca="1" si="86"/>
        <v>0.623</v>
      </c>
    </row>
    <row r="1824" spans="1:25" x14ac:dyDescent="0.25">
      <c r="A1824" t="s">
        <v>1588</v>
      </c>
      <c r="B1824" t="s">
        <v>1587</v>
      </c>
      <c r="C1824">
        <v>25</v>
      </c>
      <c r="D1824">
        <v>37</v>
      </c>
      <c r="E1824">
        <v>37</v>
      </c>
      <c r="F1824" s="1">
        <v>0.75</v>
      </c>
      <c r="G1824" t="s">
        <v>1587</v>
      </c>
      <c r="H1824" t="s">
        <v>1587</v>
      </c>
      <c r="I1824">
        <v>2081</v>
      </c>
      <c r="J1824" t="s">
        <v>2257</v>
      </c>
      <c r="K1824">
        <v>5</v>
      </c>
      <c r="L1824">
        <v>-18.600000000000001</v>
      </c>
      <c r="M1824">
        <v>-6.1</v>
      </c>
      <c r="N1824">
        <v>18.8</v>
      </c>
      <c r="O1824" t="s">
        <v>1594</v>
      </c>
      <c r="P1824" t="s">
        <v>1584</v>
      </c>
      <c r="Q1824" t="s">
        <v>1591</v>
      </c>
      <c r="R1824">
        <v>0</v>
      </c>
      <c r="S1824">
        <v>1.32</v>
      </c>
      <c r="T1824" t="s">
        <v>1584</v>
      </c>
      <c r="U1824" t="s">
        <v>1592</v>
      </c>
      <c r="V1824" t="str" cm="1">
        <f t="array" aca="1" ref="V1824" ca="1">IFERROR(_xlfn.IFS(A1822="  ..............",OFFSET(A1822,2,0),A1821=" X-------------X",OFFSET(A1821,3,0),MATCH("  ..............",A1824:A1833,0)&gt;2,V1823),"-")</f>
        <v xml:space="preserve">  LAJE2B-RS013  </v>
      </c>
      <c r="W1824">
        <f t="shared" ca="1" si="84"/>
        <v>1.0429999999999999</v>
      </c>
      <c r="X1824" t="str">
        <f t="shared" ca="1" si="85"/>
        <v xml:space="preserve"> LAJE2A-RS013 </v>
      </c>
      <c r="Y1824" s="1">
        <f t="shared" ca="1" si="86"/>
        <v>0.63500000000000001</v>
      </c>
    </row>
    <row r="1825" spans="1:25" x14ac:dyDescent="0.25">
      <c r="A1825" t="s">
        <v>1637</v>
      </c>
      <c r="B1825" t="s">
        <v>1638</v>
      </c>
      <c r="C1825">
        <v>9999</v>
      </c>
      <c r="D1825">
        <v>9999</v>
      </c>
      <c r="E1825">
        <v>9999</v>
      </c>
      <c r="F1825" t="s">
        <v>1639</v>
      </c>
      <c r="G1825" t="s">
        <v>1587</v>
      </c>
      <c r="H1825" t="s">
        <v>1587</v>
      </c>
      <c r="I1825">
        <v>2083</v>
      </c>
      <c r="J1825" t="s">
        <v>2246</v>
      </c>
      <c r="K1825">
        <v>1</v>
      </c>
      <c r="L1825">
        <v>0</v>
      </c>
      <c r="M1825">
        <v>0</v>
      </c>
      <c r="N1825">
        <v>0</v>
      </c>
      <c r="O1825" t="s">
        <v>1594</v>
      </c>
      <c r="P1825" t="s">
        <v>1584</v>
      </c>
      <c r="Q1825" t="s">
        <v>1591</v>
      </c>
      <c r="R1825">
        <v>0</v>
      </c>
      <c r="S1825">
        <v>0</v>
      </c>
      <c r="T1825" t="s">
        <v>1584</v>
      </c>
      <c r="U1825" t="s">
        <v>1592</v>
      </c>
      <c r="V1825" t="str" cm="1">
        <f t="array" aca="1" ref="V1825" ca="1">IFERROR(_xlfn.IFS(A1823="  ..............",OFFSET(A1823,2,0),A1822=" X-------------X",OFFSET(A1822,3,0),MATCH("  ..............",A1825:A1834,0)&gt;2,V1824),"-")</f>
        <v>-</v>
      </c>
      <c r="W1825" t="str">
        <f t="shared" ca="1" si="84"/>
        <v>-</v>
      </c>
      <c r="X1825" t="str">
        <f t="shared" ca="1" si="85"/>
        <v>-</v>
      </c>
      <c r="Y1825" s="1" t="str">
        <f t="shared" ca="1" si="86"/>
        <v>-</v>
      </c>
    </row>
    <row r="1826" spans="1:25" x14ac:dyDescent="0.25">
      <c r="A1826" t="s">
        <v>1572</v>
      </c>
      <c r="B1826" t="s">
        <v>1574</v>
      </c>
      <c r="C1826" t="s">
        <v>1574</v>
      </c>
      <c r="D1826" t="s">
        <v>1574</v>
      </c>
      <c r="E1826" t="s">
        <v>1574</v>
      </c>
      <c r="F1826" t="s">
        <v>1575</v>
      </c>
      <c r="G1826" t="s">
        <v>1574</v>
      </c>
      <c r="H1826" t="s">
        <v>1574</v>
      </c>
      <c r="I1826" t="s">
        <v>1576</v>
      </c>
      <c r="J1826" t="s">
        <v>1573</v>
      </c>
      <c r="K1826" t="s">
        <v>1577</v>
      </c>
      <c r="L1826" t="s">
        <v>1574</v>
      </c>
      <c r="M1826" t="s">
        <v>1574</v>
      </c>
      <c r="N1826" t="s">
        <v>1574</v>
      </c>
      <c r="O1826" t="s">
        <v>1578</v>
      </c>
      <c r="P1826" t="s">
        <v>1576</v>
      </c>
      <c r="Q1826" t="s">
        <v>1579</v>
      </c>
      <c r="R1826" t="s">
        <v>1580</v>
      </c>
      <c r="S1826" t="s">
        <v>1580</v>
      </c>
      <c r="T1826" t="s">
        <v>1576</v>
      </c>
      <c r="U1826" t="s">
        <v>1576</v>
      </c>
      <c r="V1826" t="str" cm="1">
        <f t="array" aca="1" ref="V1826" ca="1">IFERROR(_xlfn.IFS(A1824="  ..............",OFFSET(A1824,2,0),A1823=" X-------------X",OFFSET(A1823,3,0),MATCH("  ..............",A1826:A1835,0)&gt;2,V1825),"-")</f>
        <v>-</v>
      </c>
      <c r="W1826" t="str">
        <f t="shared" ca="1" si="84"/>
        <v>-</v>
      </c>
      <c r="X1826" t="str">
        <f t="shared" ca="1" si="85"/>
        <v/>
      </c>
      <c r="Y1826" s="1" t="str">
        <f t="shared" ca="1" si="86"/>
        <v/>
      </c>
    </row>
    <row r="1827" spans="1:25" x14ac:dyDescent="0.25">
      <c r="A1827" t="s">
        <v>2822</v>
      </c>
      <c r="B1827">
        <v>0.98099999999999998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 t="s">
        <v>1581</v>
      </c>
      <c r="J1827" t="s">
        <v>1581</v>
      </c>
      <c r="K1827" t="s">
        <v>1581</v>
      </c>
      <c r="L1827" t="s">
        <v>1581</v>
      </c>
      <c r="M1827" t="s">
        <v>1581</v>
      </c>
      <c r="N1827" t="s">
        <v>1581</v>
      </c>
      <c r="O1827" t="s">
        <v>1581</v>
      </c>
      <c r="P1827" t="s">
        <v>1581</v>
      </c>
      <c r="Q1827" t="s">
        <v>1581</v>
      </c>
      <c r="R1827" t="s">
        <v>1581</v>
      </c>
      <c r="S1827" t="s">
        <v>1581</v>
      </c>
      <c r="T1827" t="s">
        <v>1581</v>
      </c>
      <c r="U1827" t="s">
        <v>1581</v>
      </c>
      <c r="V1827" t="str" cm="1">
        <f t="array" aca="1" ref="V1827" ca="1">IFERROR(_xlfn.IFS(A1825="  ..............",OFFSET(A1825,2,0),A1824=" X-------------X",OFFSET(A1824,3,0),MATCH("  ..............",A1827:A1836,0)&gt;2,V1826),"-")</f>
        <v>-</v>
      </c>
      <c r="W1827" t="str">
        <f t="shared" ca="1" si="84"/>
        <v>-</v>
      </c>
      <c r="X1827" t="str">
        <f t="shared" ca="1" si="85"/>
        <v xml:space="preserve">              </v>
      </c>
      <c r="Y1827" s="1">
        <f t="shared" ca="1" si="86"/>
        <v>0</v>
      </c>
    </row>
    <row r="1828" spans="1:25" x14ac:dyDescent="0.25">
      <c r="A1828" t="s">
        <v>2823</v>
      </c>
      <c r="B1828">
        <v>-51.6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 t="s">
        <v>1584</v>
      </c>
      <c r="J1828" t="s">
        <v>1585</v>
      </c>
      <c r="K1828" t="s">
        <v>1586</v>
      </c>
      <c r="L1828" t="s">
        <v>1587</v>
      </c>
      <c r="M1828" t="s">
        <v>1587</v>
      </c>
      <c r="N1828" t="s">
        <v>1586</v>
      </c>
      <c r="O1828" t="s">
        <v>1581</v>
      </c>
      <c r="P1828" t="s">
        <v>1581</v>
      </c>
      <c r="Q1828" t="s">
        <v>1581</v>
      </c>
      <c r="R1828" t="s">
        <v>1581</v>
      </c>
      <c r="S1828" t="s">
        <v>1581</v>
      </c>
      <c r="T1828" t="s">
        <v>1581</v>
      </c>
      <c r="U1828" t="s">
        <v>1581</v>
      </c>
      <c r="V1828" t="str" cm="1">
        <f t="array" aca="1" ref="V1828" ca="1">IFERROR(_xlfn.IFS(A1826="  ..............",OFFSET(A1826,2,0),A1825=" X-------------X",OFFSET(A1825,3,0),MATCH("  ..............",A1828:A1837,0)&gt;2,V1827),"-")</f>
        <v xml:space="preserve">  FORMIG-RS138  </v>
      </c>
      <c r="W1828">
        <f t="shared" ca="1" si="84"/>
        <v>0.98099999999999998</v>
      </c>
      <c r="X1828" t="str">
        <f t="shared" ca="1" si="85"/>
        <v xml:space="preserve"> SMARI3-RS138 </v>
      </c>
      <c r="Y1828" s="1">
        <f t="shared" ca="1" si="86"/>
        <v>6.7000000000000004E-2</v>
      </c>
    </row>
    <row r="1829" spans="1:25" x14ac:dyDescent="0.25">
      <c r="A1829" t="s">
        <v>1588</v>
      </c>
      <c r="B1829" t="s">
        <v>1587</v>
      </c>
      <c r="C1829">
        <v>134</v>
      </c>
      <c r="D1829">
        <v>162</v>
      </c>
      <c r="E1829">
        <v>162</v>
      </c>
      <c r="F1829" s="1">
        <v>0.19800000000000001</v>
      </c>
      <c r="G1829" t="s">
        <v>1587</v>
      </c>
      <c r="H1829" t="s">
        <v>1587</v>
      </c>
      <c r="I1829">
        <v>1383</v>
      </c>
      <c r="J1829" t="s">
        <v>1593</v>
      </c>
      <c r="K1829">
        <v>1</v>
      </c>
      <c r="L1829">
        <v>-21.6</v>
      </c>
      <c r="M1829">
        <v>-14.4</v>
      </c>
      <c r="N1829">
        <v>26.5</v>
      </c>
      <c r="O1829" t="s">
        <v>1594</v>
      </c>
      <c r="P1829" t="s">
        <v>1584</v>
      </c>
      <c r="Q1829" t="s">
        <v>1591</v>
      </c>
      <c r="R1829">
        <v>0.41</v>
      </c>
      <c r="S1829">
        <v>-3.08</v>
      </c>
      <c r="T1829" t="s">
        <v>1584</v>
      </c>
      <c r="U1829" t="s">
        <v>1592</v>
      </c>
      <c r="V1829" t="str" cm="1">
        <f t="array" aca="1" ref="V1829" ca="1">IFERROR(_xlfn.IFS(A1827="  ..............",OFFSET(A1827,2,0),A1826=" X-------------X",OFFSET(A1826,3,0),MATCH("  ..............",A1829:A1838,0)&gt;2,V1828),"-")</f>
        <v xml:space="preserve">  FORMIG-RS138  </v>
      </c>
      <c r="W1829">
        <f t="shared" ca="1" si="84"/>
        <v>0.98099999999999998</v>
      </c>
      <c r="X1829" t="str">
        <f t="shared" ca="1" si="85"/>
        <v xml:space="preserve"> FORMIG-RS069 </v>
      </c>
      <c r="Y1829" s="1">
        <f t="shared" ca="1" si="86"/>
        <v>0.35299999999999998</v>
      </c>
    </row>
    <row r="1830" spans="1:25" x14ac:dyDescent="0.25">
      <c r="A1830" t="s">
        <v>1588</v>
      </c>
      <c r="B1830" t="s">
        <v>1587</v>
      </c>
      <c r="C1830">
        <v>37.5</v>
      </c>
      <c r="D1830">
        <v>55</v>
      </c>
      <c r="E1830">
        <v>55</v>
      </c>
      <c r="F1830" s="1">
        <v>0.35299999999999998</v>
      </c>
      <c r="G1830" t="s">
        <v>1587</v>
      </c>
      <c r="H1830" t="s">
        <v>1587</v>
      </c>
      <c r="I1830">
        <v>10170</v>
      </c>
      <c r="J1830" t="s">
        <v>2824</v>
      </c>
      <c r="K1830">
        <v>1</v>
      </c>
      <c r="L1830">
        <v>10.8</v>
      </c>
      <c r="M1830">
        <v>7.2</v>
      </c>
      <c r="N1830">
        <v>13.2</v>
      </c>
      <c r="O1830" t="s">
        <v>2825</v>
      </c>
      <c r="P1830" t="s">
        <v>1584</v>
      </c>
      <c r="Q1830" t="s">
        <v>1591</v>
      </c>
      <c r="R1830">
        <v>0.02</v>
      </c>
      <c r="S1830">
        <v>0.33</v>
      </c>
      <c r="T1830" t="s">
        <v>1584</v>
      </c>
      <c r="U1830" t="s">
        <v>1592</v>
      </c>
      <c r="V1830" t="str" cm="1">
        <f t="array" aca="1" ref="V1830" ca="1">IFERROR(_xlfn.IFS(A1828="  ..............",OFFSET(A1828,2,0),A1827=" X-------------X",OFFSET(A1827,3,0),MATCH("  ..............",A1830:A1839,0)&gt;2,V1829),"-")</f>
        <v xml:space="preserve">  FORMIG-RS138  </v>
      </c>
      <c r="W1830">
        <f t="shared" ca="1" si="84"/>
        <v>0.98099999999999998</v>
      </c>
      <c r="X1830" t="str">
        <f t="shared" ca="1" si="85"/>
        <v xml:space="preserve"> FORMIG-RS069 </v>
      </c>
      <c r="Y1830" s="1">
        <f t="shared" ca="1" si="86"/>
        <v>0.35299999999999998</v>
      </c>
    </row>
    <row r="1831" spans="1:25" x14ac:dyDescent="0.25">
      <c r="A1831" t="s">
        <v>1588</v>
      </c>
      <c r="B1831" t="s">
        <v>1587</v>
      </c>
      <c r="C1831">
        <v>37.5</v>
      </c>
      <c r="D1831">
        <v>55</v>
      </c>
      <c r="E1831">
        <v>55</v>
      </c>
      <c r="F1831" s="1">
        <v>0.35299999999999998</v>
      </c>
      <c r="G1831" t="s">
        <v>1587</v>
      </c>
      <c r="H1831" t="s">
        <v>1587</v>
      </c>
      <c r="I1831">
        <v>10170</v>
      </c>
      <c r="J1831" t="s">
        <v>2824</v>
      </c>
      <c r="K1831">
        <v>2</v>
      </c>
      <c r="L1831">
        <v>10.8</v>
      </c>
      <c r="M1831">
        <v>7.2</v>
      </c>
      <c r="N1831">
        <v>13.2</v>
      </c>
      <c r="O1831" t="s">
        <v>2825</v>
      </c>
      <c r="P1831" t="s">
        <v>1584</v>
      </c>
      <c r="Q1831" t="s">
        <v>1591</v>
      </c>
      <c r="R1831">
        <v>0.02</v>
      </c>
      <c r="S1831">
        <v>0.33</v>
      </c>
      <c r="T1831" t="s">
        <v>1584</v>
      </c>
      <c r="U1831" t="s">
        <v>1592</v>
      </c>
      <c r="V1831" t="str" cm="1">
        <f t="array" aca="1" ref="V1831" ca="1">IFERROR(_xlfn.IFS(A1829="  ..............",OFFSET(A1829,2,0),A1828=" X-------------X",OFFSET(A1828,3,0),MATCH("  ..............",A1831:A1840,0)&gt;2,V1830),"-")</f>
        <v>-</v>
      </c>
      <c r="W1831" t="str">
        <f t="shared" ca="1" si="84"/>
        <v>-</v>
      </c>
      <c r="X1831" t="str">
        <f t="shared" ca="1" si="85"/>
        <v>-</v>
      </c>
      <c r="Y1831" s="1" t="str">
        <f t="shared" ca="1" si="86"/>
        <v>-</v>
      </c>
    </row>
    <row r="1832" spans="1:25" x14ac:dyDescent="0.25">
      <c r="A1832" t="s">
        <v>1572</v>
      </c>
      <c r="B1832" t="s">
        <v>1574</v>
      </c>
      <c r="C1832" t="s">
        <v>1574</v>
      </c>
      <c r="D1832" t="s">
        <v>1574</v>
      </c>
      <c r="E1832" t="s">
        <v>1574</v>
      </c>
      <c r="F1832" t="s">
        <v>1575</v>
      </c>
      <c r="G1832" t="s">
        <v>1574</v>
      </c>
      <c r="H1832" t="s">
        <v>1574</v>
      </c>
      <c r="I1832" t="s">
        <v>1576</v>
      </c>
      <c r="J1832" t="s">
        <v>1573</v>
      </c>
      <c r="K1832" t="s">
        <v>1577</v>
      </c>
      <c r="L1832" t="s">
        <v>1574</v>
      </c>
      <c r="M1832" t="s">
        <v>1574</v>
      </c>
      <c r="N1832" t="s">
        <v>1574</v>
      </c>
      <c r="O1832" t="s">
        <v>1578</v>
      </c>
      <c r="P1832" t="s">
        <v>1576</v>
      </c>
      <c r="Q1832" t="s">
        <v>1579</v>
      </c>
      <c r="R1832" t="s">
        <v>1580</v>
      </c>
      <c r="S1832" t="s">
        <v>1580</v>
      </c>
      <c r="T1832" t="s">
        <v>1576</v>
      </c>
      <c r="U1832" t="s">
        <v>1576</v>
      </c>
      <c r="V1832" t="str" cm="1">
        <f t="array" aca="1" ref="V1832" ca="1">IFERROR(_xlfn.IFS(A1830="  ..............",OFFSET(A1830,2,0),A1829=" X-------------X",OFFSET(A1829,3,0),MATCH("  ..............",A1832:A1841,0)&gt;2,V1831),"-")</f>
        <v>-</v>
      </c>
      <c r="W1832" t="str">
        <f t="shared" ca="1" si="84"/>
        <v>-</v>
      </c>
      <c r="X1832" t="str">
        <f t="shared" ca="1" si="85"/>
        <v/>
      </c>
      <c r="Y1832" s="1" t="str">
        <f t="shared" ca="1" si="86"/>
        <v/>
      </c>
    </row>
    <row r="1833" spans="1:25" x14ac:dyDescent="0.25">
      <c r="A1833" t="s">
        <v>2826</v>
      </c>
      <c r="B1833">
        <v>1.0029999999999999</v>
      </c>
      <c r="C1833">
        <v>4.3</v>
      </c>
      <c r="D1833">
        <v>0</v>
      </c>
      <c r="E1833">
        <v>32.700000000000003</v>
      </c>
      <c r="F1833">
        <v>0</v>
      </c>
      <c r="G1833">
        <v>0</v>
      </c>
      <c r="H1833">
        <v>0</v>
      </c>
      <c r="I1833" t="s">
        <v>1581</v>
      </c>
      <c r="J1833" t="s">
        <v>1581</v>
      </c>
      <c r="K1833" t="s">
        <v>1581</v>
      </c>
      <c r="L1833" t="s">
        <v>1581</v>
      </c>
      <c r="M1833" t="s">
        <v>1581</v>
      </c>
      <c r="N1833" t="s">
        <v>1581</v>
      </c>
      <c r="O1833" t="s">
        <v>1581</v>
      </c>
      <c r="P1833" t="s">
        <v>1581</v>
      </c>
      <c r="Q1833" t="s">
        <v>1581</v>
      </c>
      <c r="R1833" t="s">
        <v>1581</v>
      </c>
      <c r="S1833" t="s">
        <v>1581</v>
      </c>
      <c r="T1833" t="s">
        <v>1581</v>
      </c>
      <c r="U1833" t="s">
        <v>1581</v>
      </c>
      <c r="V1833" t="str" cm="1">
        <f t="array" aca="1" ref="V1833" ca="1">IFERROR(_xlfn.IFS(A1831="  ..............",OFFSET(A1831,2,0),A1830=" X-------------X",OFFSET(A1830,3,0),MATCH("  ..............",A1833:A1842,0)&gt;2,V1832),"-")</f>
        <v>-</v>
      </c>
      <c r="W1833" t="str">
        <f t="shared" ca="1" si="84"/>
        <v>-</v>
      </c>
      <c r="X1833" t="str">
        <f t="shared" ca="1" si="85"/>
        <v xml:space="preserve">              </v>
      </c>
      <c r="Y1833" s="1">
        <f t="shared" ca="1" si="86"/>
        <v>0</v>
      </c>
    </row>
    <row r="1834" spans="1:25" x14ac:dyDescent="0.25">
      <c r="A1834" t="s">
        <v>2827</v>
      </c>
      <c r="B1834">
        <v>-52.8</v>
      </c>
      <c r="C1834">
        <v>0</v>
      </c>
      <c r="D1834">
        <v>0</v>
      </c>
      <c r="E1834">
        <v>13.7</v>
      </c>
      <c r="F1834">
        <v>0</v>
      </c>
      <c r="G1834">
        <v>0</v>
      </c>
      <c r="H1834">
        <v>0</v>
      </c>
      <c r="I1834" t="s">
        <v>1584</v>
      </c>
      <c r="J1834" t="s">
        <v>1585</v>
      </c>
      <c r="K1834" t="s">
        <v>1586</v>
      </c>
      <c r="L1834" t="s">
        <v>1587</v>
      </c>
      <c r="M1834" t="s">
        <v>1587</v>
      </c>
      <c r="N1834" t="s">
        <v>1586</v>
      </c>
      <c r="O1834" t="s">
        <v>1581</v>
      </c>
      <c r="P1834" t="s">
        <v>1581</v>
      </c>
      <c r="Q1834" t="s">
        <v>1581</v>
      </c>
      <c r="R1834" t="s">
        <v>1581</v>
      </c>
      <c r="S1834" t="s">
        <v>1581</v>
      </c>
      <c r="T1834" t="s">
        <v>1581</v>
      </c>
      <c r="U1834" t="s">
        <v>1581</v>
      </c>
      <c r="V1834" t="str" cm="1">
        <f t="array" aca="1" ref="V1834" ca="1">IFERROR(_xlfn.IFS(A1832="  ..............",OFFSET(A1832,2,0),A1831=" X-------------X",OFFSET(A1831,3,0),MATCH("  ..............",A1834:A1843,0)&gt;2,V1833),"-")</f>
        <v xml:space="preserve">  FORMIG-RS069  </v>
      </c>
      <c r="W1834">
        <f t="shared" ca="1" si="84"/>
        <v>1.0029999999999999</v>
      </c>
      <c r="X1834" t="str">
        <f t="shared" ca="1" si="85"/>
        <v xml:space="preserve"> FORMIG-RS138 </v>
      </c>
      <c r="Y1834" s="1">
        <f t="shared" ca="1" si="86"/>
        <v>0.182</v>
      </c>
    </row>
    <row r="1835" spans="1:25" x14ac:dyDescent="0.25">
      <c r="A1835" t="s">
        <v>1588</v>
      </c>
      <c r="B1835" t="s">
        <v>1587</v>
      </c>
      <c r="C1835">
        <v>37.5</v>
      </c>
      <c r="D1835">
        <v>55</v>
      </c>
      <c r="E1835">
        <v>55</v>
      </c>
      <c r="F1835" s="1">
        <v>0.34</v>
      </c>
      <c r="G1835" t="s">
        <v>1587</v>
      </c>
      <c r="H1835" t="s">
        <v>1587</v>
      </c>
      <c r="I1835">
        <v>10169</v>
      </c>
      <c r="J1835" t="s">
        <v>2165</v>
      </c>
      <c r="K1835">
        <v>1</v>
      </c>
      <c r="L1835">
        <v>-10.8</v>
      </c>
      <c r="M1835">
        <v>-6.9</v>
      </c>
      <c r="N1835">
        <v>12.8</v>
      </c>
      <c r="O1835" t="s">
        <v>1594</v>
      </c>
      <c r="P1835" t="s">
        <v>1584</v>
      </c>
      <c r="Q1835" t="s">
        <v>1591</v>
      </c>
      <c r="R1835">
        <v>0.02</v>
      </c>
      <c r="S1835">
        <v>0.33</v>
      </c>
      <c r="T1835" t="s">
        <v>1584</v>
      </c>
      <c r="U1835" t="s">
        <v>1592</v>
      </c>
      <c r="V1835" t="str" cm="1">
        <f t="array" aca="1" ref="V1835" ca="1">IFERROR(_xlfn.IFS(A1833="  ..............",OFFSET(A1833,2,0),A1832=" X-------------X",OFFSET(A1832,3,0),MATCH("  ..............",A1835:A1844,0)&gt;2,V1834),"-")</f>
        <v xml:space="preserve">  FORMIG-RS069  </v>
      </c>
      <c r="W1835">
        <f t="shared" ca="1" si="84"/>
        <v>1.0029999999999999</v>
      </c>
      <c r="X1835" t="str">
        <f t="shared" ca="1" si="85"/>
        <v xml:space="preserve"> FORMIG-RS138 </v>
      </c>
      <c r="Y1835" s="1">
        <f t="shared" ca="1" si="86"/>
        <v>0.182</v>
      </c>
    </row>
    <row r="1836" spans="1:25" x14ac:dyDescent="0.25">
      <c r="A1836" t="s">
        <v>1588</v>
      </c>
      <c r="B1836" t="s">
        <v>1587</v>
      </c>
      <c r="C1836">
        <v>37.5</v>
      </c>
      <c r="D1836">
        <v>55</v>
      </c>
      <c r="E1836">
        <v>55</v>
      </c>
      <c r="F1836" s="1">
        <v>0.34</v>
      </c>
      <c r="G1836" t="s">
        <v>1587</v>
      </c>
      <c r="H1836" t="s">
        <v>1587</v>
      </c>
      <c r="I1836">
        <v>10169</v>
      </c>
      <c r="J1836" t="s">
        <v>2165</v>
      </c>
      <c r="K1836">
        <v>2</v>
      </c>
      <c r="L1836">
        <v>-10.8</v>
      </c>
      <c r="M1836">
        <v>-6.9</v>
      </c>
      <c r="N1836">
        <v>12.8</v>
      </c>
      <c r="O1836" t="s">
        <v>1594</v>
      </c>
      <c r="P1836" t="s">
        <v>1584</v>
      </c>
      <c r="Q1836" t="s">
        <v>1591</v>
      </c>
      <c r="R1836">
        <v>0.02</v>
      </c>
      <c r="S1836">
        <v>0.33</v>
      </c>
      <c r="T1836" t="s">
        <v>1584</v>
      </c>
      <c r="U1836" t="s">
        <v>1592</v>
      </c>
      <c r="V1836" t="str" cm="1">
        <f t="array" aca="1" ref="V1836" ca="1">IFERROR(_xlfn.IFS(A1834="  ..............",OFFSET(A1834,2,0),A1833=" X-------------X",OFFSET(A1833,3,0),MATCH("  ..............",A1836:A1845,0)&gt;2,V1835),"-")</f>
        <v xml:space="preserve">  FORMIG-RS069  </v>
      </c>
      <c r="W1836">
        <f t="shared" ca="1" si="84"/>
        <v>1.0029999999999999</v>
      </c>
      <c r="X1836" t="str">
        <f t="shared" ca="1" si="85"/>
        <v xml:space="preserve"> SAOSEPUTE001 </v>
      </c>
      <c r="Y1836" s="1">
        <f t="shared" ca="1" si="86"/>
        <v>0</v>
      </c>
    </row>
    <row r="1837" spans="1:25" x14ac:dyDescent="0.25">
      <c r="A1837" t="s">
        <v>1588</v>
      </c>
      <c r="B1837" t="s">
        <v>1587</v>
      </c>
      <c r="C1837">
        <v>9999</v>
      </c>
      <c r="D1837">
        <v>9999</v>
      </c>
      <c r="E1837">
        <v>9999</v>
      </c>
      <c r="F1837" s="1">
        <v>0</v>
      </c>
      <c r="G1837" t="s">
        <v>1587</v>
      </c>
      <c r="H1837" t="s">
        <v>1587</v>
      </c>
      <c r="I1837">
        <v>10314</v>
      </c>
      <c r="J1837" t="s">
        <v>2828</v>
      </c>
      <c r="K1837">
        <v>1</v>
      </c>
      <c r="L1837">
        <v>-6.8</v>
      </c>
      <c r="M1837">
        <v>0</v>
      </c>
      <c r="N1837">
        <v>6.8</v>
      </c>
      <c r="O1837" t="s">
        <v>1594</v>
      </c>
      <c r="P1837" t="s">
        <v>1584</v>
      </c>
      <c r="Q1837" t="s">
        <v>1591</v>
      </c>
      <c r="R1837">
        <v>0</v>
      </c>
      <c r="S1837">
        <v>0.01</v>
      </c>
      <c r="T1837" t="s">
        <v>1584</v>
      </c>
      <c r="U1837" t="s">
        <v>1592</v>
      </c>
      <c r="V1837" t="str" cm="1">
        <f t="array" aca="1" ref="V1837" ca="1">IFERROR(_xlfn.IFS(A1835="  ..............",OFFSET(A1835,2,0),A1834=" X-------------X",OFFSET(A1834,3,0),MATCH("  ..............",A1837:A1846,0)&gt;2,V1836),"-")</f>
        <v>-</v>
      </c>
      <c r="W1837" t="str">
        <f t="shared" ca="1" si="84"/>
        <v>-</v>
      </c>
      <c r="X1837" t="str">
        <f t="shared" ca="1" si="85"/>
        <v>-</v>
      </c>
      <c r="Y1837" s="1" t="str">
        <f t="shared" ca="1" si="86"/>
        <v>-</v>
      </c>
    </row>
    <row r="1838" spans="1:25" x14ac:dyDescent="0.25">
      <c r="A1838" t="s">
        <v>1572</v>
      </c>
      <c r="B1838" t="s">
        <v>1574</v>
      </c>
      <c r="C1838" t="s">
        <v>1574</v>
      </c>
      <c r="D1838" t="s">
        <v>1574</v>
      </c>
      <c r="E1838" t="s">
        <v>1574</v>
      </c>
      <c r="F1838" t="s">
        <v>1575</v>
      </c>
      <c r="G1838" t="s">
        <v>1574</v>
      </c>
      <c r="H1838" t="s">
        <v>1574</v>
      </c>
      <c r="I1838" t="s">
        <v>1576</v>
      </c>
      <c r="J1838" t="s">
        <v>1573</v>
      </c>
      <c r="K1838" t="s">
        <v>1577</v>
      </c>
      <c r="L1838" t="s">
        <v>1574</v>
      </c>
      <c r="M1838" t="s">
        <v>1574</v>
      </c>
      <c r="N1838" t="s">
        <v>1574</v>
      </c>
      <c r="O1838" t="s">
        <v>1578</v>
      </c>
      <c r="P1838" t="s">
        <v>1576</v>
      </c>
      <c r="Q1838" t="s">
        <v>1579</v>
      </c>
      <c r="R1838" t="s">
        <v>1580</v>
      </c>
      <c r="S1838" t="s">
        <v>1580</v>
      </c>
      <c r="T1838" t="s">
        <v>1576</v>
      </c>
      <c r="U1838" t="s">
        <v>1576</v>
      </c>
      <c r="V1838" t="str" cm="1">
        <f t="array" aca="1" ref="V1838" ca="1">IFERROR(_xlfn.IFS(A1836="  ..............",OFFSET(A1836,2,0),A1835=" X-------------X",OFFSET(A1835,3,0),MATCH("  ..............",A1838:A1847,0)&gt;2,V1837),"-")</f>
        <v>-</v>
      </c>
      <c r="W1838" t="str">
        <f t="shared" ca="1" si="84"/>
        <v>-</v>
      </c>
      <c r="X1838" t="str">
        <f t="shared" ca="1" si="85"/>
        <v/>
      </c>
      <c r="Y1838" s="1" t="str">
        <f t="shared" ca="1" si="86"/>
        <v/>
      </c>
    </row>
    <row r="1839" spans="1:25" x14ac:dyDescent="0.25">
      <c r="A1839" t="s">
        <v>2829</v>
      </c>
      <c r="B1839">
        <v>1.123</v>
      </c>
      <c r="C1839">
        <v>4.5999999999999996</v>
      </c>
      <c r="D1839">
        <v>0</v>
      </c>
      <c r="E1839">
        <v>2.6</v>
      </c>
      <c r="F1839">
        <v>0</v>
      </c>
      <c r="G1839">
        <v>0</v>
      </c>
      <c r="H1839">
        <v>0</v>
      </c>
      <c r="I1839" t="s">
        <v>1581</v>
      </c>
      <c r="J1839" t="s">
        <v>1581</v>
      </c>
      <c r="K1839" t="s">
        <v>1581</v>
      </c>
      <c r="L1839" t="s">
        <v>1581</v>
      </c>
      <c r="M1839" t="s">
        <v>1581</v>
      </c>
      <c r="N1839" t="s">
        <v>1581</v>
      </c>
      <c r="O1839" t="s">
        <v>1581</v>
      </c>
      <c r="P1839" t="s">
        <v>1581</v>
      </c>
      <c r="Q1839" t="s">
        <v>1581</v>
      </c>
      <c r="R1839" t="s">
        <v>1581</v>
      </c>
      <c r="S1839" t="s">
        <v>1581</v>
      </c>
      <c r="T1839" t="s">
        <v>1581</v>
      </c>
      <c r="U1839" t="s">
        <v>1581</v>
      </c>
      <c r="V1839" t="str" cm="1">
        <f t="array" aca="1" ref="V1839" ca="1">IFERROR(_xlfn.IFS(A1837="  ..............",OFFSET(A1837,2,0),A1836=" X-------------X",OFFSET(A1836,3,0),MATCH("  ..............",A1839:A1848,0)&gt;2,V1838),"-")</f>
        <v>-</v>
      </c>
      <c r="W1839" t="str">
        <f t="shared" ca="1" si="84"/>
        <v>-</v>
      </c>
      <c r="X1839" t="str">
        <f t="shared" ca="1" si="85"/>
        <v xml:space="preserve">              </v>
      </c>
      <c r="Y1839" s="1">
        <f t="shared" ca="1" si="86"/>
        <v>0</v>
      </c>
    </row>
    <row r="1840" spans="1:25" x14ac:dyDescent="0.25">
      <c r="A1840" t="s">
        <v>2830</v>
      </c>
      <c r="B1840">
        <v>-47</v>
      </c>
      <c r="C1840">
        <v>0</v>
      </c>
      <c r="D1840">
        <v>0</v>
      </c>
      <c r="E1840">
        <v>1.1000000000000001</v>
      </c>
      <c r="F1840">
        <v>0</v>
      </c>
      <c r="G1840">
        <v>0</v>
      </c>
      <c r="H1840">
        <v>0</v>
      </c>
      <c r="I1840" t="s">
        <v>1584</v>
      </c>
      <c r="J1840" t="s">
        <v>1585</v>
      </c>
      <c r="K1840" t="s">
        <v>1586</v>
      </c>
      <c r="L1840" t="s">
        <v>1587</v>
      </c>
      <c r="M1840" t="s">
        <v>1587</v>
      </c>
      <c r="N1840" t="s">
        <v>1586</v>
      </c>
      <c r="O1840" t="s">
        <v>1581</v>
      </c>
      <c r="P1840" t="s">
        <v>1581</v>
      </c>
      <c r="Q1840" t="s">
        <v>1581</v>
      </c>
      <c r="R1840" t="s">
        <v>1581</v>
      </c>
      <c r="S1840" t="s">
        <v>1581</v>
      </c>
      <c r="T1840" t="s">
        <v>1581</v>
      </c>
      <c r="U1840" t="s">
        <v>1581</v>
      </c>
      <c r="V1840" t="str" cm="1">
        <f t="array" aca="1" ref="V1840" ca="1">IFERROR(_xlfn.IFS(A1838="  ..............",OFFSET(A1838,2,0),A1837=" X-------------X",OFFSET(A1837,3,0),MATCH("  ..............",A1840:A1849,0)&gt;2,V1839),"-")</f>
        <v xml:space="preserve">  CERMIS-RS023  </v>
      </c>
      <c r="W1840">
        <f t="shared" ca="1" si="84"/>
        <v>1.123</v>
      </c>
      <c r="X1840" t="str">
        <f t="shared" ca="1" si="85"/>
        <v xml:space="preserve"> SANGEL-RS023 </v>
      </c>
      <c r="Y1840" s="1">
        <f t="shared" ca="1" si="86"/>
        <v>0.38500000000000001</v>
      </c>
    </row>
    <row r="1841" spans="1:25" x14ac:dyDescent="0.25">
      <c r="A1841" t="s">
        <v>1588</v>
      </c>
      <c r="B1841" t="s">
        <v>1587</v>
      </c>
      <c r="C1841">
        <v>9999</v>
      </c>
      <c r="D1841">
        <v>9999</v>
      </c>
      <c r="E1841">
        <v>9999</v>
      </c>
      <c r="F1841" s="1">
        <v>0</v>
      </c>
      <c r="G1841" t="s">
        <v>1587</v>
      </c>
      <c r="H1841" t="s">
        <v>1587</v>
      </c>
      <c r="I1841">
        <v>9285</v>
      </c>
      <c r="J1841" t="s">
        <v>1870</v>
      </c>
      <c r="K1841">
        <v>1</v>
      </c>
      <c r="L1841">
        <v>2</v>
      </c>
      <c r="M1841">
        <v>-1.1000000000000001</v>
      </c>
      <c r="N1841">
        <v>2</v>
      </c>
      <c r="O1841" t="s">
        <v>1594</v>
      </c>
      <c r="P1841" t="s">
        <v>1584</v>
      </c>
      <c r="Q1841" t="s">
        <v>1591</v>
      </c>
      <c r="R1841">
        <v>0</v>
      </c>
      <c r="S1841">
        <v>0</v>
      </c>
      <c r="T1841" t="s">
        <v>1584</v>
      </c>
      <c r="U1841" t="s">
        <v>1592</v>
      </c>
      <c r="V1841" t="str" cm="1">
        <f t="array" aca="1" ref="V1841" ca="1">IFERROR(_xlfn.IFS(A1839="  ..............",OFFSET(A1839,2,0),A1838=" X-------------X",OFFSET(A1838,3,0),MATCH("  ..............",A1841:A1850,0)&gt;2,V1840),"-")</f>
        <v>-</v>
      </c>
      <c r="W1841" t="str">
        <f t="shared" ca="1" si="84"/>
        <v>-</v>
      </c>
      <c r="X1841" t="str">
        <f t="shared" ca="1" si="85"/>
        <v>-</v>
      </c>
      <c r="Y1841" s="1" t="str">
        <f t="shared" ca="1" si="86"/>
        <v>-</v>
      </c>
    </row>
    <row r="1842" spans="1:25" x14ac:dyDescent="0.25">
      <c r="A1842" t="s">
        <v>1572</v>
      </c>
      <c r="B1842" t="s">
        <v>1574</v>
      </c>
      <c r="C1842" t="s">
        <v>1574</v>
      </c>
      <c r="D1842" t="s">
        <v>1574</v>
      </c>
      <c r="E1842" t="s">
        <v>1574</v>
      </c>
      <c r="F1842" t="s">
        <v>1575</v>
      </c>
      <c r="G1842" t="s">
        <v>1574</v>
      </c>
      <c r="H1842" t="s">
        <v>1574</v>
      </c>
      <c r="I1842" t="s">
        <v>1576</v>
      </c>
      <c r="J1842" t="s">
        <v>1573</v>
      </c>
      <c r="K1842" t="s">
        <v>1577</v>
      </c>
      <c r="L1842" t="s">
        <v>1574</v>
      </c>
      <c r="M1842" t="s">
        <v>1574</v>
      </c>
      <c r="N1842" t="s">
        <v>1574</v>
      </c>
      <c r="O1842" t="s">
        <v>1578</v>
      </c>
      <c r="P1842" t="s">
        <v>1576</v>
      </c>
      <c r="Q1842" t="s">
        <v>1579</v>
      </c>
      <c r="R1842" t="s">
        <v>1580</v>
      </c>
      <c r="S1842" t="s">
        <v>1580</v>
      </c>
      <c r="T1842" t="s">
        <v>1576</v>
      </c>
      <c r="U1842" t="s">
        <v>1576</v>
      </c>
      <c r="V1842" t="str" cm="1">
        <f t="array" aca="1" ref="V1842" ca="1">IFERROR(_xlfn.IFS(A1840="  ..............",OFFSET(A1840,2,0),A1839=" X-------------X",OFFSET(A1839,3,0),MATCH("  ..............",A1842:A1851,0)&gt;2,V1841),"-")</f>
        <v>-</v>
      </c>
      <c r="W1842" t="str">
        <f t="shared" ca="1" si="84"/>
        <v>-</v>
      </c>
      <c r="X1842" t="str">
        <f t="shared" ca="1" si="85"/>
        <v/>
      </c>
      <c r="Y1842" s="1" t="str">
        <f t="shared" ca="1" si="86"/>
        <v/>
      </c>
    </row>
    <row r="1843" spans="1:25" x14ac:dyDescent="0.25">
      <c r="A1843" t="s">
        <v>2831</v>
      </c>
      <c r="B1843">
        <v>1.028</v>
      </c>
      <c r="C1843">
        <v>0</v>
      </c>
      <c r="D1843">
        <v>0</v>
      </c>
      <c r="E1843">
        <v>1.7</v>
      </c>
      <c r="F1843">
        <v>0</v>
      </c>
      <c r="G1843">
        <v>0</v>
      </c>
      <c r="H1843">
        <v>0</v>
      </c>
      <c r="I1843" t="s">
        <v>1581</v>
      </c>
      <c r="J1843" t="s">
        <v>1581</v>
      </c>
      <c r="K1843" t="s">
        <v>1581</v>
      </c>
      <c r="L1843" t="s">
        <v>1581</v>
      </c>
      <c r="M1843" t="s">
        <v>1581</v>
      </c>
      <c r="N1843" t="s">
        <v>1581</v>
      </c>
      <c r="O1843" t="s">
        <v>1581</v>
      </c>
      <c r="P1843" t="s">
        <v>1581</v>
      </c>
      <c r="Q1843" t="s">
        <v>1581</v>
      </c>
      <c r="R1843" t="s">
        <v>1581</v>
      </c>
      <c r="S1843" t="s">
        <v>1581</v>
      </c>
      <c r="T1843" t="s">
        <v>1581</v>
      </c>
      <c r="U1843" t="s">
        <v>1581</v>
      </c>
      <c r="V1843" t="str" cm="1">
        <f t="array" aca="1" ref="V1843" ca="1">IFERROR(_xlfn.IFS(A1841="  ..............",OFFSET(A1841,2,0),A1840=" X-------------X",OFFSET(A1840,3,0),MATCH("  ..............",A1843:A1852,0)&gt;2,V1842),"-")</f>
        <v>-</v>
      </c>
      <c r="W1843" t="str">
        <f t="shared" ca="1" si="84"/>
        <v>-</v>
      </c>
      <c r="X1843" t="str">
        <f t="shared" ca="1" si="85"/>
        <v xml:space="preserve">              </v>
      </c>
      <c r="Y1843" s="1">
        <f t="shared" ca="1" si="86"/>
        <v>0</v>
      </c>
    </row>
    <row r="1844" spans="1:25" x14ac:dyDescent="0.25">
      <c r="A1844" t="s">
        <v>2832</v>
      </c>
      <c r="B1844">
        <v>-49.4</v>
      </c>
      <c r="C1844">
        <v>0</v>
      </c>
      <c r="D1844">
        <v>0</v>
      </c>
      <c r="E1844">
        <v>0.7</v>
      </c>
      <c r="F1844">
        <v>0</v>
      </c>
      <c r="G1844">
        <v>0</v>
      </c>
      <c r="H1844">
        <v>0</v>
      </c>
      <c r="I1844" t="s">
        <v>1584</v>
      </c>
      <c r="J1844" t="s">
        <v>1585</v>
      </c>
      <c r="K1844" t="s">
        <v>1586</v>
      </c>
      <c r="L1844" t="s">
        <v>1587</v>
      </c>
      <c r="M1844" t="s">
        <v>1587</v>
      </c>
      <c r="N1844" t="s">
        <v>1586</v>
      </c>
      <c r="O1844" t="s">
        <v>1581</v>
      </c>
      <c r="P1844" t="s">
        <v>1581</v>
      </c>
      <c r="Q1844" t="s">
        <v>1581</v>
      </c>
      <c r="R1844" t="s">
        <v>1581</v>
      </c>
      <c r="S1844" t="s">
        <v>1581</v>
      </c>
      <c r="T1844" t="s">
        <v>1581</v>
      </c>
      <c r="U1844" t="s">
        <v>1581</v>
      </c>
      <c r="V1844" t="str" cm="1">
        <f t="array" aca="1" ref="V1844" ca="1">IFERROR(_xlfn.IFS(A1842="  ..............",OFFSET(A1842,2,0),A1841=" X-------------X",OFFSET(A1841,3,0),MATCH("  ..............",A1844:A1853,0)&gt;2,V1843),"-")</f>
        <v xml:space="preserve">  SMARTA-RS013  </v>
      </c>
      <c r="W1844">
        <f t="shared" ca="1" si="84"/>
        <v>1.028</v>
      </c>
      <c r="X1844" t="str">
        <f t="shared" ca="1" si="85"/>
        <v xml:space="preserve"> SMARTA-RS138 </v>
      </c>
      <c r="Y1844" s="1">
        <f t="shared" ca="1" si="86"/>
        <v>0.55500000000000005</v>
      </c>
    </row>
    <row r="1845" spans="1:25" x14ac:dyDescent="0.25">
      <c r="A1845" t="s">
        <v>1588</v>
      </c>
      <c r="B1845" t="s">
        <v>1587</v>
      </c>
      <c r="C1845">
        <v>12.5</v>
      </c>
      <c r="D1845">
        <v>12.5</v>
      </c>
      <c r="E1845">
        <v>12.5</v>
      </c>
      <c r="F1845" s="1">
        <v>0.14299999999999999</v>
      </c>
      <c r="G1845" t="s">
        <v>1587</v>
      </c>
      <c r="H1845" t="s">
        <v>1587</v>
      </c>
      <c r="I1845">
        <v>1275</v>
      </c>
      <c r="J1845" t="s">
        <v>1949</v>
      </c>
      <c r="K1845">
        <v>1</v>
      </c>
      <c r="L1845">
        <v>-1.7</v>
      </c>
      <c r="M1845">
        <v>-0.7</v>
      </c>
      <c r="N1845">
        <v>1.8</v>
      </c>
      <c r="O1845" t="s">
        <v>1594</v>
      </c>
      <c r="P1845" t="s">
        <v>1584</v>
      </c>
      <c r="Q1845" t="s">
        <v>1591</v>
      </c>
      <c r="R1845">
        <v>0</v>
      </c>
      <c r="S1845">
        <v>0.02</v>
      </c>
      <c r="T1845" t="s">
        <v>1584</v>
      </c>
      <c r="U1845" t="s">
        <v>1592</v>
      </c>
      <c r="V1845" t="str" cm="1">
        <f t="array" aca="1" ref="V1845" ca="1">IFERROR(_xlfn.IFS(A1843="  ..............",OFFSET(A1843,2,0),A1842=" X-------------X",OFFSET(A1842,3,0),MATCH("  ..............",A1845:A1854,0)&gt;2,V1844),"-")</f>
        <v>-</v>
      </c>
      <c r="W1845" t="str">
        <f t="shared" ca="1" si="84"/>
        <v>-</v>
      </c>
      <c r="X1845" t="str">
        <f t="shared" ca="1" si="85"/>
        <v>-</v>
      </c>
      <c r="Y1845" s="1" t="str">
        <f t="shared" ca="1" si="86"/>
        <v>-</v>
      </c>
    </row>
    <row r="1846" spans="1:25" x14ac:dyDescent="0.25">
      <c r="A1846" t="s">
        <v>1572</v>
      </c>
      <c r="B1846" t="s">
        <v>1574</v>
      </c>
      <c r="C1846" t="s">
        <v>1574</v>
      </c>
      <c r="D1846" t="s">
        <v>1574</v>
      </c>
      <c r="E1846" t="s">
        <v>1574</v>
      </c>
      <c r="F1846" t="s">
        <v>1575</v>
      </c>
      <c r="G1846" t="s">
        <v>1574</v>
      </c>
      <c r="H1846" t="s">
        <v>1574</v>
      </c>
      <c r="I1846" t="s">
        <v>1576</v>
      </c>
      <c r="J1846" t="s">
        <v>1573</v>
      </c>
      <c r="K1846" t="s">
        <v>1577</v>
      </c>
      <c r="L1846" t="s">
        <v>1574</v>
      </c>
      <c r="M1846" t="s">
        <v>1574</v>
      </c>
      <c r="N1846" t="s">
        <v>1574</v>
      </c>
      <c r="O1846" t="s">
        <v>1578</v>
      </c>
      <c r="P1846" t="s">
        <v>1576</v>
      </c>
      <c r="Q1846" t="s">
        <v>1579</v>
      </c>
      <c r="R1846" t="s">
        <v>1580</v>
      </c>
      <c r="S1846" t="s">
        <v>1580</v>
      </c>
      <c r="T1846" t="s">
        <v>1576</v>
      </c>
      <c r="U1846" t="s">
        <v>1576</v>
      </c>
      <c r="V1846" t="str" cm="1">
        <f t="array" aca="1" ref="V1846" ca="1">IFERROR(_xlfn.IFS(A1844="  ..............",OFFSET(A1844,2,0),A1843=" X-------------X",OFFSET(A1843,3,0),MATCH("  ..............",A1846:A1855,0)&gt;2,V1845),"-")</f>
        <v>-</v>
      </c>
      <c r="W1846" t="str">
        <f t="shared" ca="1" si="84"/>
        <v>-</v>
      </c>
      <c r="X1846" t="str">
        <f t="shared" ca="1" si="85"/>
        <v/>
      </c>
      <c r="Y1846" s="1" t="str">
        <f t="shared" ca="1" si="86"/>
        <v/>
      </c>
    </row>
    <row r="1847" spans="1:25" x14ac:dyDescent="0.25">
      <c r="A1847" t="s">
        <v>2833</v>
      </c>
      <c r="B1847">
        <v>1.0049999999999999</v>
      </c>
      <c r="C1847">
        <v>4.5999999999999996</v>
      </c>
      <c r="D1847">
        <v>0</v>
      </c>
      <c r="E1847">
        <v>19.899999999999999</v>
      </c>
      <c r="F1847">
        <v>0</v>
      </c>
      <c r="G1847">
        <v>0</v>
      </c>
      <c r="H1847">
        <v>0</v>
      </c>
      <c r="I1847" t="s">
        <v>1581</v>
      </c>
      <c r="J1847" t="s">
        <v>1581</v>
      </c>
      <c r="K1847" t="s">
        <v>1581</v>
      </c>
      <c r="L1847" t="s">
        <v>1581</v>
      </c>
      <c r="M1847" t="s">
        <v>1581</v>
      </c>
      <c r="N1847" t="s">
        <v>1581</v>
      </c>
      <c r="O1847" t="s">
        <v>1581</v>
      </c>
      <c r="P1847" t="s">
        <v>1581</v>
      </c>
      <c r="Q1847" t="s">
        <v>1581</v>
      </c>
      <c r="R1847" t="s">
        <v>1581</v>
      </c>
      <c r="S1847" t="s">
        <v>1581</v>
      </c>
      <c r="T1847" t="s">
        <v>1581</v>
      </c>
      <c r="U1847" t="s">
        <v>1581</v>
      </c>
      <c r="V1847" t="str" cm="1">
        <f t="array" aca="1" ref="V1847" ca="1">IFERROR(_xlfn.IFS(A1845="  ..............",OFFSET(A1845,2,0),A1844=" X-------------X",OFFSET(A1844,3,0),MATCH("  ..............",A1847:A1856,0)&gt;2,V1846),"-")</f>
        <v>-</v>
      </c>
      <c r="W1847" t="str">
        <f t="shared" ca="1" si="84"/>
        <v>-</v>
      </c>
      <c r="X1847" t="str">
        <f t="shared" ca="1" si="85"/>
        <v xml:space="preserve">              </v>
      </c>
      <c r="Y1847" s="1">
        <f t="shared" ca="1" si="86"/>
        <v>0</v>
      </c>
    </row>
    <row r="1848" spans="1:25" x14ac:dyDescent="0.25">
      <c r="A1848" t="s">
        <v>2834</v>
      </c>
      <c r="B1848">
        <v>-44.5</v>
      </c>
      <c r="C1848">
        <v>0</v>
      </c>
      <c r="D1848">
        <v>0</v>
      </c>
      <c r="E1848">
        <v>6.6</v>
      </c>
      <c r="F1848">
        <v>0</v>
      </c>
      <c r="G1848">
        <v>0</v>
      </c>
      <c r="H1848">
        <v>0</v>
      </c>
      <c r="I1848" t="s">
        <v>1584</v>
      </c>
      <c r="J1848" t="s">
        <v>1585</v>
      </c>
      <c r="K1848" t="s">
        <v>1586</v>
      </c>
      <c r="L1848" t="s">
        <v>1587</v>
      </c>
      <c r="M1848" t="s">
        <v>1587</v>
      </c>
      <c r="N1848" t="s">
        <v>1586</v>
      </c>
      <c r="O1848" t="s">
        <v>1581</v>
      </c>
      <c r="P1848" t="s">
        <v>1581</v>
      </c>
      <c r="Q1848" t="s">
        <v>1581</v>
      </c>
      <c r="R1848" t="s">
        <v>1581</v>
      </c>
      <c r="S1848" t="s">
        <v>1581</v>
      </c>
      <c r="T1848" t="s">
        <v>1581</v>
      </c>
      <c r="U1848" t="s">
        <v>1581</v>
      </c>
      <c r="V1848" t="str" cm="1">
        <f t="array" aca="1" ref="V1848" ca="1">IFERROR(_xlfn.IFS(A1846="  ..............",OFFSET(A1846,2,0),A1845=" X-------------X",OFFSET(A1845,3,0),MATCH("  ..............",A1848:A1857,0)&gt;2,V1847),"-")</f>
        <v xml:space="preserve">  CERMIS-RS069  </v>
      </c>
      <c r="W1848">
        <f t="shared" ca="1" si="84"/>
        <v>1.0049999999999999</v>
      </c>
      <c r="X1848" t="str">
        <f t="shared" ca="1" si="85"/>
        <v xml:space="preserve"> MISSOE-RS069 </v>
      </c>
      <c r="Y1848" s="1">
        <f t="shared" ca="1" si="86"/>
        <v>0.17</v>
      </c>
    </row>
    <row r="1849" spans="1:25" x14ac:dyDescent="0.25">
      <c r="A1849" t="s">
        <v>1588</v>
      </c>
      <c r="B1849" t="s">
        <v>1587</v>
      </c>
      <c r="C1849">
        <v>9999</v>
      </c>
      <c r="D1849">
        <v>9999</v>
      </c>
      <c r="E1849">
        <v>9999</v>
      </c>
      <c r="F1849" s="1">
        <v>0</v>
      </c>
      <c r="G1849" t="s">
        <v>1587</v>
      </c>
      <c r="H1849" t="s">
        <v>1587</v>
      </c>
      <c r="I1849">
        <v>2079</v>
      </c>
      <c r="J1849" t="s">
        <v>2360</v>
      </c>
      <c r="K1849">
        <v>1</v>
      </c>
      <c r="L1849">
        <v>-15.3</v>
      </c>
      <c r="M1849">
        <v>-6.6</v>
      </c>
      <c r="N1849">
        <v>16.600000000000001</v>
      </c>
      <c r="O1849" t="s">
        <v>1594</v>
      </c>
      <c r="P1849" t="s">
        <v>1584</v>
      </c>
      <c r="Q1849" t="s">
        <v>1591</v>
      </c>
      <c r="R1849">
        <v>0</v>
      </c>
      <c r="S1849">
        <v>0</v>
      </c>
      <c r="T1849" t="s">
        <v>1584</v>
      </c>
      <c r="U1849" t="s">
        <v>1592</v>
      </c>
      <c r="V1849" t="str" cm="1">
        <f t="array" aca="1" ref="V1849" ca="1">IFERROR(_xlfn.IFS(A1847="  ..............",OFFSET(A1847,2,0),A1846=" X-------------X",OFFSET(A1846,3,0),MATCH("  ..............",A1849:A1858,0)&gt;2,V1848),"-")</f>
        <v>-</v>
      </c>
      <c r="W1849" t="str">
        <f t="shared" ca="1" si="84"/>
        <v>-</v>
      </c>
      <c r="X1849" t="str">
        <f t="shared" ca="1" si="85"/>
        <v>-</v>
      </c>
      <c r="Y1849" s="1" t="str">
        <f t="shared" ca="1" si="86"/>
        <v>-</v>
      </c>
    </row>
    <row r="1850" spans="1:25" x14ac:dyDescent="0.25">
      <c r="A1850" t="s">
        <v>1572</v>
      </c>
      <c r="B1850" t="s">
        <v>1574</v>
      </c>
      <c r="C1850" t="s">
        <v>1574</v>
      </c>
      <c r="D1850" t="s">
        <v>1574</v>
      </c>
      <c r="E1850" t="s">
        <v>1574</v>
      </c>
      <c r="F1850" t="s">
        <v>1575</v>
      </c>
      <c r="G1850" t="s">
        <v>1574</v>
      </c>
      <c r="H1850" t="s">
        <v>1574</v>
      </c>
      <c r="I1850" t="s">
        <v>1576</v>
      </c>
      <c r="J1850" t="s">
        <v>1573</v>
      </c>
      <c r="K1850" t="s">
        <v>1577</v>
      </c>
      <c r="L1850" t="s">
        <v>1574</v>
      </c>
      <c r="M1850" t="s">
        <v>1574</v>
      </c>
      <c r="N1850" t="s">
        <v>1574</v>
      </c>
      <c r="O1850" t="s">
        <v>1578</v>
      </c>
      <c r="P1850" t="s">
        <v>1576</v>
      </c>
      <c r="Q1850" t="s">
        <v>1579</v>
      </c>
      <c r="R1850" t="s">
        <v>1580</v>
      </c>
      <c r="S1850" t="s">
        <v>1580</v>
      </c>
      <c r="T1850" t="s">
        <v>1576</v>
      </c>
      <c r="U1850" t="s">
        <v>1576</v>
      </c>
      <c r="V1850" t="str" cm="1">
        <f t="array" aca="1" ref="V1850" ca="1">IFERROR(_xlfn.IFS(A1848="  ..............",OFFSET(A1848,2,0),A1847=" X-------------X",OFFSET(A1847,3,0),MATCH("  ..............",A1850:A1859,0)&gt;2,V1849),"-")</f>
        <v>-</v>
      </c>
      <c r="W1850" t="str">
        <f t="shared" ca="1" si="84"/>
        <v>-</v>
      </c>
      <c r="X1850" t="str">
        <f t="shared" ca="1" si="85"/>
        <v/>
      </c>
      <c r="Y1850" s="1" t="str">
        <f t="shared" ca="1" si="86"/>
        <v/>
      </c>
    </row>
    <row r="1851" spans="1:25" x14ac:dyDescent="0.25">
      <c r="A1851" t="s">
        <v>2835</v>
      </c>
      <c r="B1851">
        <v>1.032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 t="s">
        <v>1581</v>
      </c>
      <c r="J1851" t="s">
        <v>1581</v>
      </c>
      <c r="K1851" t="s">
        <v>1581</v>
      </c>
      <c r="L1851" t="s">
        <v>1581</v>
      </c>
      <c r="M1851" t="s">
        <v>1581</v>
      </c>
      <c r="N1851" t="s">
        <v>1581</v>
      </c>
      <c r="O1851" t="s">
        <v>1581</v>
      </c>
      <c r="P1851" t="s">
        <v>1581</v>
      </c>
      <c r="Q1851" t="s">
        <v>1581</v>
      </c>
      <c r="R1851" t="s">
        <v>1581</v>
      </c>
      <c r="S1851" t="s">
        <v>1581</v>
      </c>
      <c r="T1851" t="s">
        <v>1581</v>
      </c>
      <c r="U1851" t="s">
        <v>1581</v>
      </c>
      <c r="V1851" t="str" cm="1">
        <f t="array" aca="1" ref="V1851" ca="1">IFERROR(_xlfn.IFS(A1849="  ..............",OFFSET(A1849,2,0),A1848=" X-------------X",OFFSET(A1848,3,0),MATCH("  ..............",A1851:A1860,0)&gt;2,V1850),"-")</f>
        <v>-</v>
      </c>
      <c r="W1851" t="str">
        <f t="shared" ca="1" si="84"/>
        <v>-</v>
      </c>
      <c r="X1851" t="str">
        <f t="shared" ca="1" si="85"/>
        <v xml:space="preserve">              </v>
      </c>
      <c r="Y1851" s="1">
        <f t="shared" ca="1" si="86"/>
        <v>0</v>
      </c>
    </row>
    <row r="1852" spans="1:25" x14ac:dyDescent="0.25">
      <c r="A1852" t="s">
        <v>2836</v>
      </c>
      <c r="B1852">
        <v>-48.2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 t="s">
        <v>1584</v>
      </c>
      <c r="J1852" t="s">
        <v>1585</v>
      </c>
      <c r="K1852" t="s">
        <v>1586</v>
      </c>
      <c r="L1852" t="s">
        <v>1587</v>
      </c>
      <c r="M1852" t="s">
        <v>1587</v>
      </c>
      <c r="N1852" t="s">
        <v>1586</v>
      </c>
      <c r="O1852" t="s">
        <v>1581</v>
      </c>
      <c r="P1852" t="s">
        <v>1581</v>
      </c>
      <c r="Q1852" t="s">
        <v>1581</v>
      </c>
      <c r="R1852" t="s">
        <v>1581</v>
      </c>
      <c r="S1852" t="s">
        <v>1581</v>
      </c>
      <c r="T1852" t="s">
        <v>1581</v>
      </c>
      <c r="U1852" t="s">
        <v>1581</v>
      </c>
      <c r="V1852" t="str" cm="1">
        <f t="array" aca="1" ref="V1852" ca="1">IFERROR(_xlfn.IFS(A1850="  ..............",OFFSET(A1850,2,0),A1849=" X-------------X",OFFSET(A1849,3,0),MATCH("  ..............",A1852:A1861,0)&gt;2,V1851),"-")</f>
        <v xml:space="preserve">  CAXNOR-RS138  </v>
      </c>
      <c r="W1852">
        <f t="shared" ca="1" si="84"/>
        <v>1.032</v>
      </c>
      <c r="X1852" t="str">
        <f t="shared" ca="1" si="85"/>
        <v xml:space="preserve"> CAXIA8-RS138 </v>
      </c>
      <c r="Y1852" s="1">
        <f t="shared" ca="1" si="86"/>
        <v>0.223</v>
      </c>
    </row>
    <row r="1853" spans="1:25" x14ac:dyDescent="0.25">
      <c r="A1853" t="s">
        <v>1588</v>
      </c>
      <c r="B1853" t="s">
        <v>1587</v>
      </c>
      <c r="C1853">
        <v>197</v>
      </c>
      <c r="D1853">
        <v>240</v>
      </c>
      <c r="E1853">
        <v>240</v>
      </c>
      <c r="F1853" s="1">
        <v>0.223</v>
      </c>
      <c r="G1853" t="s">
        <v>1587</v>
      </c>
      <c r="H1853" t="s">
        <v>1587</v>
      </c>
      <c r="I1853">
        <v>10220</v>
      </c>
      <c r="J1853" t="s">
        <v>2837</v>
      </c>
      <c r="K1853">
        <v>1</v>
      </c>
      <c r="L1853">
        <v>41.5</v>
      </c>
      <c r="M1853">
        <v>18.100000000000001</v>
      </c>
      <c r="N1853">
        <v>43.8</v>
      </c>
      <c r="O1853" t="s">
        <v>1594</v>
      </c>
      <c r="P1853" t="s">
        <v>1584</v>
      </c>
      <c r="Q1853" t="s">
        <v>1591</v>
      </c>
      <c r="R1853">
        <v>0.15</v>
      </c>
      <c r="S1853">
        <v>-0.32</v>
      </c>
      <c r="T1853" t="s">
        <v>1584</v>
      </c>
      <c r="U1853" t="s">
        <v>1592</v>
      </c>
      <c r="V1853" t="str" cm="1">
        <f t="array" aca="1" ref="V1853" ca="1">IFERROR(_xlfn.IFS(A1851="  ..............",OFFSET(A1851,2,0),A1850=" X-------------X",OFFSET(A1850,3,0),MATCH("  ..............",A1853:A1862,0)&gt;2,V1852),"-")</f>
        <v xml:space="preserve">  CAXNOR-RS138  </v>
      </c>
      <c r="W1853">
        <f t="shared" ca="1" si="84"/>
        <v>1.032</v>
      </c>
      <c r="X1853" t="str">
        <f t="shared" ca="1" si="85"/>
        <v xml:space="preserve"> CAXIA8-RS138 </v>
      </c>
      <c r="Y1853" s="1">
        <f t="shared" ca="1" si="86"/>
        <v>0.223</v>
      </c>
    </row>
    <row r="1854" spans="1:25" x14ac:dyDescent="0.25">
      <c r="A1854" t="s">
        <v>1588</v>
      </c>
      <c r="B1854" t="s">
        <v>1587</v>
      </c>
      <c r="C1854">
        <v>197</v>
      </c>
      <c r="D1854">
        <v>240</v>
      </c>
      <c r="E1854">
        <v>240</v>
      </c>
      <c r="F1854" s="1">
        <v>0.223</v>
      </c>
      <c r="G1854" t="s">
        <v>1587</v>
      </c>
      <c r="H1854" t="s">
        <v>1587</v>
      </c>
      <c r="I1854">
        <v>10220</v>
      </c>
      <c r="J1854" t="s">
        <v>2837</v>
      </c>
      <c r="K1854">
        <v>2</v>
      </c>
      <c r="L1854">
        <v>41.5</v>
      </c>
      <c r="M1854">
        <v>18.100000000000001</v>
      </c>
      <c r="N1854">
        <v>43.8</v>
      </c>
      <c r="O1854" t="s">
        <v>1594</v>
      </c>
      <c r="P1854" t="s">
        <v>1584</v>
      </c>
      <c r="Q1854" t="s">
        <v>1591</v>
      </c>
      <c r="R1854">
        <v>0.15</v>
      </c>
      <c r="S1854">
        <v>-0.32</v>
      </c>
      <c r="T1854" t="s">
        <v>1584</v>
      </c>
      <c r="U1854" t="s">
        <v>1592</v>
      </c>
      <c r="V1854" t="str" cm="1">
        <f t="array" aca="1" ref="V1854" ca="1">IFERROR(_xlfn.IFS(A1852="  ..............",OFFSET(A1852,2,0),A1851=" X-------------X",OFFSET(A1851,3,0),MATCH("  ..............",A1854:A1863,0)&gt;2,V1853),"-")</f>
        <v xml:space="preserve">  CAXNOR-RS138  </v>
      </c>
      <c r="W1854">
        <f t="shared" ca="1" si="84"/>
        <v>1.032</v>
      </c>
      <c r="X1854" t="str">
        <f t="shared" ca="1" si="85"/>
        <v xml:space="preserve"> CXN--4-RS000 </v>
      </c>
      <c r="Y1854" s="1">
        <f t="shared" ca="1" si="86"/>
        <v>0.13</v>
      </c>
    </row>
    <row r="1855" spans="1:25" x14ac:dyDescent="0.25">
      <c r="A1855" t="s">
        <v>1588</v>
      </c>
      <c r="B1855" t="s">
        <v>1587</v>
      </c>
      <c r="C1855">
        <v>225</v>
      </c>
      <c r="D1855">
        <v>270</v>
      </c>
      <c r="E1855">
        <v>270</v>
      </c>
      <c r="F1855" s="1">
        <v>0.13</v>
      </c>
      <c r="G1855" t="s">
        <v>1587</v>
      </c>
      <c r="H1855" t="s">
        <v>1587</v>
      </c>
      <c r="I1855">
        <v>43428</v>
      </c>
      <c r="J1855" t="s">
        <v>2838</v>
      </c>
      <c r="K1855">
        <v>4</v>
      </c>
      <c r="L1855">
        <v>-27.6</v>
      </c>
      <c r="M1855">
        <v>-12</v>
      </c>
      <c r="N1855">
        <v>29.2</v>
      </c>
      <c r="O1855" t="s">
        <v>1608</v>
      </c>
      <c r="P1855" t="s">
        <v>1584</v>
      </c>
      <c r="Q1855">
        <v>2</v>
      </c>
      <c r="R1855">
        <v>0.02</v>
      </c>
      <c r="S1855">
        <v>0.27</v>
      </c>
      <c r="T1855" t="s">
        <v>1584</v>
      </c>
      <c r="U1855" t="s">
        <v>1592</v>
      </c>
      <c r="V1855" t="str" cm="1">
        <f t="array" aca="1" ref="V1855" ca="1">IFERROR(_xlfn.IFS(A1853="  ..............",OFFSET(A1853,2,0),A1852=" X-------------X",OFFSET(A1852,3,0),MATCH("  ..............",A1855:A1864,0)&gt;2,V1854),"-")</f>
        <v xml:space="preserve">  CAXNOR-RS138  </v>
      </c>
      <c r="W1855">
        <f t="shared" ca="1" si="84"/>
        <v>1.032</v>
      </c>
      <c r="X1855" t="str">
        <f t="shared" ca="1" si="85"/>
        <v xml:space="preserve"> CXN--5-RS000 </v>
      </c>
      <c r="Y1855" s="1">
        <f t="shared" ca="1" si="86"/>
        <v>0.13</v>
      </c>
    </row>
    <row r="1856" spans="1:25" x14ac:dyDescent="0.25">
      <c r="A1856" t="s">
        <v>1588</v>
      </c>
      <c r="B1856" t="s">
        <v>1587</v>
      </c>
      <c r="C1856">
        <v>225</v>
      </c>
      <c r="D1856">
        <v>270</v>
      </c>
      <c r="E1856">
        <v>270</v>
      </c>
      <c r="F1856" s="1">
        <v>0.13</v>
      </c>
      <c r="G1856" t="s">
        <v>1587</v>
      </c>
      <c r="H1856" t="s">
        <v>1587</v>
      </c>
      <c r="I1856">
        <v>43429</v>
      </c>
      <c r="J1856" t="s">
        <v>2839</v>
      </c>
      <c r="K1856">
        <v>5</v>
      </c>
      <c r="L1856">
        <v>-27.6</v>
      </c>
      <c r="M1856">
        <v>-12</v>
      </c>
      <c r="N1856">
        <v>29.2</v>
      </c>
      <c r="O1856" t="s">
        <v>1608</v>
      </c>
      <c r="P1856" t="s">
        <v>1584</v>
      </c>
      <c r="Q1856">
        <v>2</v>
      </c>
      <c r="R1856">
        <v>0.02</v>
      </c>
      <c r="S1856">
        <v>0.27</v>
      </c>
      <c r="T1856" t="s">
        <v>1584</v>
      </c>
      <c r="U1856" t="s">
        <v>1592</v>
      </c>
      <c r="V1856" t="str" cm="1">
        <f t="array" aca="1" ref="V1856" ca="1">IFERROR(_xlfn.IFS(A1854="  ..............",OFFSET(A1854,2,0),A1853=" X-------------X",OFFSET(A1853,3,0),MATCH("  ..............",A1856:A1865,0)&gt;2,V1855),"-")</f>
        <v xml:space="preserve">  CAXNOR-RS138  </v>
      </c>
      <c r="W1856">
        <f t="shared" ca="1" si="84"/>
        <v>1.032</v>
      </c>
      <c r="X1856" t="str">
        <f t="shared" ca="1" si="85"/>
        <v xml:space="preserve"> CXN--6-RS000 </v>
      </c>
      <c r="Y1856" s="1">
        <f t="shared" ca="1" si="86"/>
        <v>0.13</v>
      </c>
    </row>
    <row r="1857" spans="1:25" x14ac:dyDescent="0.25">
      <c r="A1857" t="s">
        <v>1588</v>
      </c>
      <c r="B1857" t="s">
        <v>1587</v>
      </c>
      <c r="C1857">
        <v>225</v>
      </c>
      <c r="D1857">
        <v>270</v>
      </c>
      <c r="E1857">
        <v>270</v>
      </c>
      <c r="F1857" s="1">
        <v>0.13</v>
      </c>
      <c r="G1857" t="s">
        <v>1587</v>
      </c>
      <c r="H1857" t="s">
        <v>1587</v>
      </c>
      <c r="I1857">
        <v>43430</v>
      </c>
      <c r="J1857" t="s">
        <v>2840</v>
      </c>
      <c r="K1857">
        <v>6</v>
      </c>
      <c r="L1857">
        <v>-27.6</v>
      </c>
      <c r="M1857">
        <v>-12</v>
      </c>
      <c r="N1857">
        <v>29.2</v>
      </c>
      <c r="O1857" t="s">
        <v>1608</v>
      </c>
      <c r="P1857" t="s">
        <v>1584</v>
      </c>
      <c r="Q1857">
        <v>2</v>
      </c>
      <c r="R1857">
        <v>0.02</v>
      </c>
      <c r="S1857">
        <v>0.27</v>
      </c>
      <c r="T1857" t="s">
        <v>1584</v>
      </c>
      <c r="U1857" t="s">
        <v>1592</v>
      </c>
      <c r="V1857" t="str" cm="1">
        <f t="array" aca="1" ref="V1857" ca="1">IFERROR(_xlfn.IFS(A1855="  ..............",OFFSET(A1855,2,0),A1854=" X-------------X",OFFSET(A1854,3,0),MATCH("  ..............",A1857:A1866,0)&gt;2,V1856),"-")</f>
        <v>-</v>
      </c>
      <c r="W1857" t="str">
        <f t="shared" ca="1" si="84"/>
        <v>-</v>
      </c>
      <c r="X1857" t="str">
        <f t="shared" ca="1" si="85"/>
        <v>-</v>
      </c>
      <c r="Y1857" s="1" t="str">
        <f t="shared" ca="1" si="86"/>
        <v>-</v>
      </c>
    </row>
    <row r="1858" spans="1:25" x14ac:dyDescent="0.25">
      <c r="A1858" t="s">
        <v>1572</v>
      </c>
      <c r="B1858" t="s">
        <v>1574</v>
      </c>
      <c r="C1858" t="s">
        <v>1574</v>
      </c>
      <c r="D1858" t="s">
        <v>1574</v>
      </c>
      <c r="E1858" t="s">
        <v>1574</v>
      </c>
      <c r="F1858" t="s">
        <v>1575</v>
      </c>
      <c r="G1858" t="s">
        <v>1574</v>
      </c>
      <c r="H1858" t="s">
        <v>1574</v>
      </c>
      <c r="I1858" t="s">
        <v>1576</v>
      </c>
      <c r="J1858" t="s">
        <v>1573</v>
      </c>
      <c r="K1858" t="s">
        <v>1577</v>
      </c>
      <c r="L1858" t="s">
        <v>1574</v>
      </c>
      <c r="M1858" t="s">
        <v>1574</v>
      </c>
      <c r="N1858" t="s">
        <v>1574</v>
      </c>
      <c r="O1858" t="s">
        <v>1578</v>
      </c>
      <c r="P1858" t="s">
        <v>1576</v>
      </c>
      <c r="Q1858" t="s">
        <v>1579</v>
      </c>
      <c r="R1858" t="s">
        <v>1580</v>
      </c>
      <c r="S1858" t="s">
        <v>1580</v>
      </c>
      <c r="T1858" t="s">
        <v>1576</v>
      </c>
      <c r="U1858" t="s">
        <v>1576</v>
      </c>
      <c r="V1858" t="str" cm="1">
        <f t="array" aca="1" ref="V1858" ca="1">IFERROR(_xlfn.IFS(A1856="  ..............",OFFSET(A1856,2,0),A1855=" X-------------X",OFFSET(A1855,3,0),MATCH("  ..............",A1858:A1867,0)&gt;2,V1857),"-")</f>
        <v>-</v>
      </c>
      <c r="W1858" t="str">
        <f t="shared" ca="1" si="84"/>
        <v>-</v>
      </c>
      <c r="X1858" t="str">
        <f t="shared" ca="1" si="85"/>
        <v/>
      </c>
      <c r="Y1858" s="1" t="str">
        <f t="shared" ca="1" si="86"/>
        <v/>
      </c>
    </row>
    <row r="1859" spans="1:25" x14ac:dyDescent="0.25">
      <c r="A1859" t="s">
        <v>2841</v>
      </c>
      <c r="B1859">
        <v>1.0409999999999999</v>
      </c>
      <c r="C1859">
        <v>1.7</v>
      </c>
      <c r="D1859">
        <v>0</v>
      </c>
      <c r="E1859">
        <v>21.4</v>
      </c>
      <c r="F1859">
        <v>0</v>
      </c>
      <c r="G1859">
        <v>9.6999999999999993</v>
      </c>
      <c r="H1859">
        <v>0</v>
      </c>
      <c r="I1859" t="s">
        <v>1581</v>
      </c>
      <c r="J1859" t="s">
        <v>1581</v>
      </c>
      <c r="K1859" t="s">
        <v>1581</v>
      </c>
      <c r="L1859" t="s">
        <v>1581</v>
      </c>
      <c r="M1859" t="s">
        <v>1581</v>
      </c>
      <c r="N1859" t="s">
        <v>1581</v>
      </c>
      <c r="O1859" t="s">
        <v>1581</v>
      </c>
      <c r="P1859" t="s">
        <v>1581</v>
      </c>
      <c r="Q1859" t="s">
        <v>1581</v>
      </c>
      <c r="R1859" t="s">
        <v>1581</v>
      </c>
      <c r="S1859" t="s">
        <v>1581</v>
      </c>
      <c r="T1859" t="s">
        <v>1581</v>
      </c>
      <c r="U1859" t="s">
        <v>1581</v>
      </c>
      <c r="V1859" t="str" cm="1">
        <f t="array" aca="1" ref="V1859" ca="1">IFERROR(_xlfn.IFS(A1857="  ..............",OFFSET(A1857,2,0),A1856=" X-------------X",OFFSET(A1856,3,0),MATCH("  ..............",A1859:A1868,0)&gt;2,V1858),"-")</f>
        <v>-</v>
      </c>
      <c r="W1859" t="str">
        <f t="shared" ca="1" si="84"/>
        <v>-</v>
      </c>
      <c r="X1859" t="str">
        <f t="shared" ca="1" si="85"/>
        <v xml:space="preserve">              </v>
      </c>
      <c r="Y1859" s="1">
        <f t="shared" ca="1" si="86"/>
        <v>0</v>
      </c>
    </row>
    <row r="1860" spans="1:25" x14ac:dyDescent="0.25">
      <c r="A1860" t="s">
        <v>2842</v>
      </c>
      <c r="B1860">
        <v>-49.2</v>
      </c>
      <c r="C1860">
        <v>0</v>
      </c>
      <c r="D1860">
        <v>0</v>
      </c>
      <c r="E1860">
        <v>8.4</v>
      </c>
      <c r="F1860">
        <v>0</v>
      </c>
      <c r="G1860">
        <v>0</v>
      </c>
      <c r="H1860">
        <v>0</v>
      </c>
      <c r="I1860" t="s">
        <v>1584</v>
      </c>
      <c r="J1860" t="s">
        <v>1585</v>
      </c>
      <c r="K1860" t="s">
        <v>1586</v>
      </c>
      <c r="L1860" t="s">
        <v>1587</v>
      </c>
      <c r="M1860" t="s">
        <v>1587</v>
      </c>
      <c r="N1860" t="s">
        <v>1586</v>
      </c>
      <c r="O1860" t="s">
        <v>1581</v>
      </c>
      <c r="P1860" t="s">
        <v>1581</v>
      </c>
      <c r="Q1860" t="s">
        <v>1581</v>
      </c>
      <c r="R1860" t="s">
        <v>1581</v>
      </c>
      <c r="S1860" t="s">
        <v>1581</v>
      </c>
      <c r="T1860" t="s">
        <v>1581</v>
      </c>
      <c r="U1860" t="s">
        <v>1581</v>
      </c>
      <c r="V1860" t="str" cm="1">
        <f t="array" aca="1" ref="V1860" ca="1">IFERROR(_xlfn.IFS(A1858="  ..............",OFFSET(A1858,2,0),A1857=" X-------------X",OFFSET(A1857,3,0),MATCH("  ..............",A1860:A1869,0)&gt;2,V1859),"-")</f>
        <v xml:space="preserve">  CALTA2-RS069  </v>
      </c>
      <c r="W1860">
        <f t="shared" ref="W1860:W1923" ca="1" si="87">IFERROR(OFFSET($A$1,MATCH(V1860,A:A,0)-2,1),"-")</f>
        <v>1.0409999999999999</v>
      </c>
      <c r="X1860" t="str">
        <f t="shared" ref="X1860:X1923" ca="1" si="88">IFERROR(IF(V1860=V1859,OFFSET($J$1,ROW(X1860),0),OFFSET($J$1,MATCH(V1860,A:A,0),0)),"-")</f>
        <v xml:space="preserve"> CALTA1-RS069 </v>
      </c>
      <c r="Y1860" s="1" t="str">
        <f t="shared" ref="Y1860:Y1923" ca="1" si="89">IFERROR(OFFSET($F$1,MATCH(X1860,J:J,0)-1,0),"-")</f>
        <v xml:space="preserve">             </v>
      </c>
    </row>
    <row r="1861" spans="1:25" x14ac:dyDescent="0.25">
      <c r="A1861" t="s">
        <v>1588</v>
      </c>
      <c r="B1861" t="s">
        <v>1587</v>
      </c>
      <c r="C1861">
        <v>84</v>
      </c>
      <c r="D1861">
        <v>101</v>
      </c>
      <c r="E1861">
        <v>101</v>
      </c>
      <c r="F1861" s="1">
        <v>0.13500000000000001</v>
      </c>
      <c r="G1861" t="s">
        <v>1587</v>
      </c>
      <c r="H1861" t="s">
        <v>1587</v>
      </c>
      <c r="I1861">
        <v>1301</v>
      </c>
      <c r="J1861" t="s">
        <v>2016</v>
      </c>
      <c r="K1861">
        <v>1</v>
      </c>
      <c r="L1861">
        <v>11.7</v>
      </c>
      <c r="M1861">
        <v>-1</v>
      </c>
      <c r="N1861">
        <v>11.3</v>
      </c>
      <c r="O1861" t="s">
        <v>1594</v>
      </c>
      <c r="P1861" t="s">
        <v>1584</v>
      </c>
      <c r="Q1861" t="s">
        <v>1591</v>
      </c>
      <c r="R1861">
        <v>0.03</v>
      </c>
      <c r="S1861">
        <v>-0.06</v>
      </c>
      <c r="T1861" t="s">
        <v>1584</v>
      </c>
      <c r="U1861" t="s">
        <v>1592</v>
      </c>
      <c r="V1861" t="str" cm="1">
        <f t="array" aca="1" ref="V1861" ca="1">IFERROR(_xlfn.IFS(A1859="  ..............",OFFSET(A1859,2,0),A1858=" X-------------X",OFFSET(A1858,3,0),MATCH("  ..............",A1861:A1870,0)&gt;2,V1860),"-")</f>
        <v xml:space="preserve">  CALTA2-RS069  </v>
      </c>
      <c r="W1861">
        <f t="shared" ca="1" si="87"/>
        <v>1.0409999999999999</v>
      </c>
      <c r="X1861" t="str">
        <f t="shared" ca="1" si="88"/>
        <v xml:space="preserve"> CALTA1-RS069 </v>
      </c>
      <c r="Y1861" s="1" t="str">
        <f t="shared" ca="1" si="89"/>
        <v xml:space="preserve">             </v>
      </c>
    </row>
    <row r="1862" spans="1:25" x14ac:dyDescent="0.25">
      <c r="A1862" t="s">
        <v>1588</v>
      </c>
      <c r="B1862" t="s">
        <v>1587</v>
      </c>
      <c r="C1862">
        <v>84</v>
      </c>
      <c r="D1862">
        <v>101</v>
      </c>
      <c r="E1862">
        <v>101</v>
      </c>
      <c r="F1862" s="1">
        <v>0.13500000000000001</v>
      </c>
      <c r="G1862" t="s">
        <v>1587</v>
      </c>
      <c r="H1862" t="s">
        <v>1587</v>
      </c>
      <c r="I1862">
        <v>1301</v>
      </c>
      <c r="J1862" t="s">
        <v>2016</v>
      </c>
      <c r="K1862">
        <v>2</v>
      </c>
      <c r="L1862">
        <v>11.7</v>
      </c>
      <c r="M1862">
        <v>-1</v>
      </c>
      <c r="N1862">
        <v>11.3</v>
      </c>
      <c r="O1862" t="s">
        <v>1594</v>
      </c>
      <c r="P1862" t="s">
        <v>1584</v>
      </c>
      <c r="Q1862" t="s">
        <v>1591</v>
      </c>
      <c r="R1862">
        <v>0.03</v>
      </c>
      <c r="S1862">
        <v>-0.06</v>
      </c>
      <c r="T1862" t="s">
        <v>1584</v>
      </c>
      <c r="U1862" t="s">
        <v>1592</v>
      </c>
      <c r="V1862" t="str" cm="1">
        <f t="array" aca="1" ref="V1862" ca="1">IFERROR(_xlfn.IFS(A1860="  ..............",OFFSET(A1860,2,0),A1859=" X-------------X",OFFSET(A1859,3,0),MATCH("  ..............",A1862:A1871,0)&gt;2,V1861),"-")</f>
        <v xml:space="preserve">  CALTA2-RS069  </v>
      </c>
      <c r="W1862">
        <f t="shared" ca="1" si="87"/>
        <v>1.0409999999999999</v>
      </c>
      <c r="X1862" t="str">
        <f t="shared" ca="1" si="88"/>
        <v xml:space="preserve"> CAL--1-RS000 </v>
      </c>
      <c r="Y1862" s="1">
        <f t="shared" ca="1" si="89"/>
        <v>0.25</v>
      </c>
    </row>
    <row r="1863" spans="1:25" x14ac:dyDescent="0.25">
      <c r="A1863" t="s">
        <v>1588</v>
      </c>
      <c r="B1863" t="s">
        <v>1587</v>
      </c>
      <c r="C1863">
        <v>83</v>
      </c>
      <c r="D1863">
        <v>100</v>
      </c>
      <c r="E1863">
        <v>100</v>
      </c>
      <c r="F1863" s="1">
        <v>0.25</v>
      </c>
      <c r="G1863" t="s">
        <v>1587</v>
      </c>
      <c r="H1863" t="s">
        <v>1587</v>
      </c>
      <c r="I1863">
        <v>43839</v>
      </c>
      <c r="J1863" t="s">
        <v>2843</v>
      </c>
      <c r="K1863">
        <v>1</v>
      </c>
      <c r="L1863">
        <v>-21.6</v>
      </c>
      <c r="M1863">
        <v>1.6</v>
      </c>
      <c r="N1863">
        <v>20.8</v>
      </c>
      <c r="O1863" t="s">
        <v>1608</v>
      </c>
      <c r="P1863" t="s">
        <v>1584</v>
      </c>
      <c r="Q1863">
        <v>2</v>
      </c>
      <c r="R1863">
        <v>0.01</v>
      </c>
      <c r="S1863">
        <v>-0.04</v>
      </c>
      <c r="T1863" t="s">
        <v>1584</v>
      </c>
      <c r="U1863" t="s">
        <v>1592</v>
      </c>
      <c r="V1863" t="str" cm="1">
        <f t="array" aca="1" ref="V1863" ca="1">IFERROR(_xlfn.IFS(A1861="  ..............",OFFSET(A1861,2,0),A1860=" X-------------X",OFFSET(A1860,3,0),MATCH("  ..............",A1863:A1872,0)&gt;2,V1862),"-")</f>
        <v xml:space="preserve">  CALTA2-RS069  </v>
      </c>
      <c r="W1863">
        <f t="shared" ca="1" si="87"/>
        <v>1.0409999999999999</v>
      </c>
      <c r="X1863" t="str">
        <f t="shared" ca="1" si="88"/>
        <v xml:space="preserve"> CAL--2-RS000 </v>
      </c>
      <c r="Y1863" s="1">
        <f t="shared" ca="1" si="89"/>
        <v>0.25</v>
      </c>
    </row>
    <row r="1864" spans="1:25" x14ac:dyDescent="0.25">
      <c r="A1864" t="s">
        <v>1588</v>
      </c>
      <c r="B1864" t="s">
        <v>1587</v>
      </c>
      <c r="C1864">
        <v>83</v>
      </c>
      <c r="D1864">
        <v>100</v>
      </c>
      <c r="E1864">
        <v>100</v>
      </c>
      <c r="F1864" s="1">
        <v>0.25</v>
      </c>
      <c r="G1864" t="s">
        <v>1587</v>
      </c>
      <c r="H1864" t="s">
        <v>1587</v>
      </c>
      <c r="I1864">
        <v>43840</v>
      </c>
      <c r="J1864" t="s">
        <v>2844</v>
      </c>
      <c r="K1864">
        <v>2</v>
      </c>
      <c r="L1864">
        <v>-21.6</v>
      </c>
      <c r="M1864">
        <v>1.6</v>
      </c>
      <c r="N1864">
        <v>20.8</v>
      </c>
      <c r="O1864" t="s">
        <v>1608</v>
      </c>
      <c r="P1864" t="s">
        <v>1584</v>
      </c>
      <c r="Q1864">
        <v>2</v>
      </c>
      <c r="R1864">
        <v>0.01</v>
      </c>
      <c r="S1864">
        <v>-0.04</v>
      </c>
      <c r="T1864" t="s">
        <v>1584</v>
      </c>
      <c r="U1864" t="s">
        <v>1592</v>
      </c>
      <c r="V1864" t="str" cm="1">
        <f t="array" aca="1" ref="V1864" ca="1">IFERROR(_xlfn.IFS(A1862="  ..............",OFFSET(A1862,2,0),A1861=" X-------------X",OFFSET(A1861,3,0),MATCH("  ..............",A1864:A1873,0)&gt;2,V1863),"-")</f>
        <v>-</v>
      </c>
      <c r="W1864" t="str">
        <f t="shared" ca="1" si="87"/>
        <v>-</v>
      </c>
      <c r="X1864" t="str">
        <f t="shared" ca="1" si="88"/>
        <v>-</v>
      </c>
      <c r="Y1864" s="1" t="str">
        <f t="shared" ca="1" si="89"/>
        <v>-</v>
      </c>
    </row>
    <row r="1865" spans="1:25" x14ac:dyDescent="0.25">
      <c r="A1865" t="s">
        <v>1572</v>
      </c>
      <c r="B1865" t="s">
        <v>1574</v>
      </c>
      <c r="C1865" t="s">
        <v>1574</v>
      </c>
      <c r="D1865" t="s">
        <v>1574</v>
      </c>
      <c r="E1865" t="s">
        <v>1574</v>
      </c>
      <c r="F1865" t="s">
        <v>1575</v>
      </c>
      <c r="G1865" t="s">
        <v>1574</v>
      </c>
      <c r="H1865" t="s">
        <v>1574</v>
      </c>
      <c r="I1865" t="s">
        <v>1576</v>
      </c>
      <c r="J1865" t="s">
        <v>1573</v>
      </c>
      <c r="K1865" t="s">
        <v>1577</v>
      </c>
      <c r="L1865" t="s">
        <v>1574</v>
      </c>
      <c r="M1865" t="s">
        <v>1574</v>
      </c>
      <c r="N1865" t="s">
        <v>1574</v>
      </c>
      <c r="O1865" t="s">
        <v>1578</v>
      </c>
      <c r="P1865" t="s">
        <v>1576</v>
      </c>
      <c r="Q1865" t="s">
        <v>1579</v>
      </c>
      <c r="R1865" t="s">
        <v>1580</v>
      </c>
      <c r="S1865" t="s">
        <v>1580</v>
      </c>
      <c r="T1865" t="s">
        <v>1576</v>
      </c>
      <c r="U1865" t="s">
        <v>1576</v>
      </c>
      <c r="V1865" t="str" cm="1">
        <f t="array" aca="1" ref="V1865" ca="1">IFERROR(_xlfn.IFS(A1863="  ..............",OFFSET(A1863,2,0),A1862=" X-------------X",OFFSET(A1862,3,0),MATCH("  ..............",A1865:A1874,0)&gt;2,V1864),"-")</f>
        <v>-</v>
      </c>
      <c r="W1865" t="str">
        <f t="shared" ca="1" si="87"/>
        <v>-</v>
      </c>
      <c r="X1865" t="str">
        <f t="shared" ca="1" si="88"/>
        <v xml:space="preserve"> V11.06.02    </v>
      </c>
      <c r="Y1865" s="1" t="str">
        <f t="shared" ca="1" si="89"/>
        <v xml:space="preserve">A - PROGRAMA </v>
      </c>
    </row>
    <row r="1866" spans="1:25" x14ac:dyDescent="0.25">
      <c r="A1866" t="s">
        <v>1725</v>
      </c>
      <c r="B1866" t="s">
        <v>1726</v>
      </c>
      <c r="C1866" t="s">
        <v>1727</v>
      </c>
      <c r="D1866" t="s">
        <v>1728</v>
      </c>
      <c r="E1866" t="s">
        <v>1729</v>
      </c>
      <c r="F1866" t="s">
        <v>1730</v>
      </c>
      <c r="G1866" t="s">
        <v>1731</v>
      </c>
      <c r="H1866" t="s">
        <v>1732</v>
      </c>
      <c r="I1866" t="s">
        <v>1733</v>
      </c>
      <c r="J1866" t="s">
        <v>1734</v>
      </c>
      <c r="K1866" t="s">
        <v>1586</v>
      </c>
      <c r="L1866" t="s">
        <v>1587</v>
      </c>
      <c r="M1866" t="s">
        <v>1587</v>
      </c>
      <c r="N1866" t="s">
        <v>1587</v>
      </c>
      <c r="O1866" t="s">
        <v>1735</v>
      </c>
      <c r="P1866">
        <v>12</v>
      </c>
      <c r="Q1866" t="s">
        <v>1581</v>
      </c>
      <c r="R1866" t="s">
        <v>1581</v>
      </c>
      <c r="S1866" t="s">
        <v>1581</v>
      </c>
      <c r="T1866" t="s">
        <v>1581</v>
      </c>
      <c r="U1866" t="s">
        <v>1581</v>
      </c>
      <c r="V1866" t="str" cm="1">
        <f t="array" aca="1" ref="V1866" ca="1">IFERROR(_xlfn.IFS(A1864="  ..............",OFFSET(A1864,2,0),A1863=" X-------------X",OFFSET(A1863,3,0),MATCH("  ..............",A1866:A1875,0)&gt;2,V1865),"-")</f>
        <v>-</v>
      </c>
      <c r="W1866" t="str">
        <f t="shared" ca="1" si="87"/>
        <v>-</v>
      </c>
      <c r="X1866" t="str">
        <f t="shared" ca="1" si="88"/>
        <v/>
      </c>
      <c r="Y1866" s="1" t="str">
        <f t="shared" ca="1" si="89"/>
        <v/>
      </c>
    </row>
    <row r="1867" spans="1:25" x14ac:dyDescent="0.25">
      <c r="A1867" t="s">
        <v>1581</v>
      </c>
      <c r="B1867" t="s">
        <v>1581</v>
      </c>
      <c r="C1867" t="s">
        <v>1581</v>
      </c>
      <c r="D1867" t="s">
        <v>1581</v>
      </c>
      <c r="E1867" t="s">
        <v>1581</v>
      </c>
      <c r="F1867" t="s">
        <v>1581</v>
      </c>
      <c r="G1867" t="s">
        <v>1581</v>
      </c>
      <c r="H1867" t="s">
        <v>1581</v>
      </c>
      <c r="I1867" t="s">
        <v>1581</v>
      </c>
      <c r="J1867" t="s">
        <v>1581</v>
      </c>
      <c r="K1867" t="s">
        <v>1581</v>
      </c>
      <c r="L1867" t="s">
        <v>1581</v>
      </c>
      <c r="M1867" t="s">
        <v>1581</v>
      </c>
      <c r="N1867" t="s">
        <v>1581</v>
      </c>
      <c r="O1867" t="s">
        <v>1581</v>
      </c>
      <c r="P1867" t="s">
        <v>1581</v>
      </c>
      <c r="Q1867" t="s">
        <v>1581</v>
      </c>
      <c r="R1867" t="s">
        <v>1581</v>
      </c>
      <c r="S1867" t="s">
        <v>1581</v>
      </c>
      <c r="T1867" t="s">
        <v>1581</v>
      </c>
      <c r="U1867" t="s">
        <v>1581</v>
      </c>
      <c r="V1867" t="str" cm="1">
        <f t="array" aca="1" ref="V1867" ca="1">IFERROR(_xlfn.IFS(A1865="  ..............",OFFSET(A1865,2,0),A1864=" X-------------X",OFFSET(A1864,3,0),MATCH("  ..............",A1867:A1876,0)&gt;2,V1866),"-")</f>
        <v/>
      </c>
      <c r="W1867" t="str">
        <f t="shared" ca="1" si="87"/>
        <v>X-------X</v>
      </c>
      <c r="X1867" t="str">
        <f t="shared" ca="1" si="88"/>
        <v/>
      </c>
      <c r="Y1867" s="1" t="str">
        <f t="shared" ca="1" si="89"/>
        <v/>
      </c>
    </row>
    <row r="1868" spans="1:25" x14ac:dyDescent="0.25">
      <c r="A1868" t="s">
        <v>1736</v>
      </c>
      <c r="B1868" t="s">
        <v>1737</v>
      </c>
      <c r="C1868" t="s">
        <v>1738</v>
      </c>
      <c r="D1868" t="s">
        <v>1739</v>
      </c>
      <c r="E1868" t="s">
        <v>1740</v>
      </c>
      <c r="F1868" t="s">
        <v>1741</v>
      </c>
      <c r="G1868" t="s">
        <v>1742</v>
      </c>
      <c r="H1868" t="s">
        <v>1743</v>
      </c>
      <c r="I1868" t="s">
        <v>1744</v>
      </c>
      <c r="J1868" t="s">
        <v>1581</v>
      </c>
      <c r="K1868" t="s">
        <v>1581</v>
      </c>
      <c r="L1868" t="s">
        <v>1581</v>
      </c>
      <c r="M1868" t="s">
        <v>1581</v>
      </c>
      <c r="N1868" t="s">
        <v>1581</v>
      </c>
      <c r="O1868" t="s">
        <v>1581</v>
      </c>
      <c r="P1868" t="s">
        <v>1581</v>
      </c>
      <c r="Q1868" t="s">
        <v>1581</v>
      </c>
      <c r="R1868" t="s">
        <v>1581</v>
      </c>
      <c r="S1868" t="s">
        <v>1581</v>
      </c>
      <c r="T1868" t="s">
        <v>1581</v>
      </c>
      <c r="U1868" t="s">
        <v>1581</v>
      </c>
      <c r="V1868" t="str" cm="1">
        <f t="array" aca="1" ref="V1868" ca="1">IFERROR(_xlfn.IFS(A1866="  ..............",OFFSET(A1866,2,0),A1865=" X-------------X",OFFSET(A1865,3,0),MATCH("  ..............",A1868:A1877,0)&gt;2,V1867),"-")</f>
        <v>-</v>
      </c>
      <c r="W1868" t="str">
        <f t="shared" ca="1" si="87"/>
        <v>-</v>
      </c>
      <c r="X1868" t="str">
        <f t="shared" ca="1" si="88"/>
        <v>-</v>
      </c>
      <c r="Y1868" s="1" t="str">
        <f t="shared" ca="1" si="89"/>
        <v>-</v>
      </c>
    </row>
    <row r="1869" spans="1:25" x14ac:dyDescent="0.25">
      <c r="A1869" t="s">
        <v>1745</v>
      </c>
      <c r="B1869" t="s">
        <v>1746</v>
      </c>
      <c r="C1869" t="s">
        <v>1747</v>
      </c>
      <c r="D1869" t="s">
        <v>1748</v>
      </c>
      <c r="E1869" t="s">
        <v>1749</v>
      </c>
      <c r="F1869" t="s">
        <v>1750</v>
      </c>
      <c r="G1869" t="s">
        <v>1587</v>
      </c>
      <c r="H1869" t="s">
        <v>1587</v>
      </c>
      <c r="I1869" t="s">
        <v>1591</v>
      </c>
      <c r="J1869" t="s">
        <v>1581</v>
      </c>
      <c r="K1869" t="s">
        <v>1581</v>
      </c>
      <c r="L1869" t="s">
        <v>1581</v>
      </c>
      <c r="M1869" t="s">
        <v>1581</v>
      </c>
      <c r="N1869" t="s">
        <v>1581</v>
      </c>
      <c r="O1869" t="s">
        <v>1581</v>
      </c>
      <c r="P1869" t="s">
        <v>1581</v>
      </c>
      <c r="Q1869" t="s">
        <v>1581</v>
      </c>
      <c r="R1869" t="s">
        <v>1581</v>
      </c>
      <c r="S1869" t="s">
        <v>1581</v>
      </c>
      <c r="T1869" t="s">
        <v>1581</v>
      </c>
      <c r="U1869" t="s">
        <v>1581</v>
      </c>
      <c r="V1869" t="str" cm="1">
        <f t="array" aca="1" ref="V1869" ca="1">IFERROR(_xlfn.IFS(A1867="  ..............",OFFSET(A1867,2,0),A1866=" X-------------X",OFFSET(A1866,3,0),MATCH("  ..............",A1869:A1878,0)&gt;2,V1868),"-")</f>
        <v>-</v>
      </c>
      <c r="W1869" t="str">
        <f t="shared" ca="1" si="87"/>
        <v>-</v>
      </c>
      <c r="X1869" t="str">
        <f t="shared" ca="1" si="88"/>
        <v/>
      </c>
      <c r="Y1869" s="1" t="str">
        <f t="shared" ca="1" si="89"/>
        <v/>
      </c>
    </row>
    <row r="1870" spans="1:25" x14ac:dyDescent="0.25">
      <c r="A1870" t="s">
        <v>1581</v>
      </c>
      <c r="B1870" t="s">
        <v>1581</v>
      </c>
      <c r="C1870" t="s">
        <v>1581</v>
      </c>
      <c r="D1870" t="s">
        <v>1581</v>
      </c>
      <c r="E1870" t="s">
        <v>1581</v>
      </c>
      <c r="F1870" t="s">
        <v>1581</v>
      </c>
      <c r="G1870" t="s">
        <v>1581</v>
      </c>
      <c r="H1870" t="s">
        <v>1581</v>
      </c>
      <c r="I1870" t="s">
        <v>1581</v>
      </c>
      <c r="J1870" t="s">
        <v>1581</v>
      </c>
      <c r="K1870" t="s">
        <v>1581</v>
      </c>
      <c r="L1870" t="s">
        <v>1581</v>
      </c>
      <c r="M1870" t="s">
        <v>1581</v>
      </c>
      <c r="N1870" t="s">
        <v>1581</v>
      </c>
      <c r="O1870" t="s">
        <v>1581</v>
      </c>
      <c r="P1870" t="s">
        <v>1581</v>
      </c>
      <c r="Q1870" t="s">
        <v>1581</v>
      </c>
      <c r="R1870" t="s">
        <v>1581</v>
      </c>
      <c r="S1870" t="s">
        <v>1581</v>
      </c>
      <c r="T1870" t="s">
        <v>1581</v>
      </c>
      <c r="U1870" t="s">
        <v>1581</v>
      </c>
      <c r="V1870" t="str" cm="1">
        <f t="array" aca="1" ref="V1870" ca="1">IFERROR(_xlfn.IFS(A1868="  ..............",OFFSET(A1868,2,0),A1867=" X-------------X",OFFSET(A1867,3,0),MATCH("  ..............",A1870:A1879,0)&gt;2,V1869),"-")</f>
        <v>-</v>
      </c>
      <c r="W1870" t="str">
        <f t="shared" ca="1" si="87"/>
        <v>-</v>
      </c>
      <c r="X1870" t="str">
        <f t="shared" ca="1" si="88"/>
        <v>-------- F L U</v>
      </c>
      <c r="Y1870" s="1" t="str">
        <f t="shared" ca="1" si="89"/>
        <v xml:space="preserve"> ------------</v>
      </c>
    </row>
    <row r="1871" spans="1:25" x14ac:dyDescent="0.25">
      <c r="A1871" t="s">
        <v>1751</v>
      </c>
      <c r="B1871" t="s">
        <v>1752</v>
      </c>
      <c r="C1871" t="s">
        <v>1753</v>
      </c>
      <c r="D1871" t="s">
        <v>1754</v>
      </c>
      <c r="E1871" t="s">
        <v>1755</v>
      </c>
      <c r="F1871" t="s">
        <v>1756</v>
      </c>
      <c r="G1871" t="s">
        <v>1757</v>
      </c>
      <c r="H1871" t="s">
        <v>1758</v>
      </c>
      <c r="I1871" t="s">
        <v>1759</v>
      </c>
      <c r="J1871" t="s">
        <v>1760</v>
      </c>
      <c r="K1871" t="s">
        <v>1761</v>
      </c>
      <c r="L1871" t="s">
        <v>1762</v>
      </c>
      <c r="M1871" t="s">
        <v>1763</v>
      </c>
      <c r="N1871" t="s">
        <v>1764</v>
      </c>
      <c r="O1871" t="s">
        <v>1765</v>
      </c>
      <c r="P1871" t="s">
        <v>1766</v>
      </c>
      <c r="Q1871" t="s">
        <v>1767</v>
      </c>
      <c r="R1871" t="s">
        <v>1571</v>
      </c>
      <c r="S1871" t="s">
        <v>1571</v>
      </c>
      <c r="T1871" t="s">
        <v>1759</v>
      </c>
      <c r="U1871" t="s">
        <v>1768</v>
      </c>
      <c r="V1871" t="str" cm="1">
        <f t="array" aca="1" ref="V1871" ca="1">IFERROR(_xlfn.IFS(A1869="  ..............",OFFSET(A1869,2,0),A1868=" X-------------X",OFFSET(A1868,3,0),MATCH("  ..............",A1871:A1880,0)&gt;2,V1870),"-")</f>
        <v>-</v>
      </c>
      <c r="W1871" t="str">
        <f t="shared" ca="1" si="87"/>
        <v>-</v>
      </c>
      <c r="X1871" t="str">
        <f t="shared" ca="1" si="88"/>
        <v xml:space="preserve">              </v>
      </c>
      <c r="Y1871" s="1">
        <f t="shared" ca="1" si="89"/>
        <v>0</v>
      </c>
    </row>
    <row r="1872" spans="1:25" x14ac:dyDescent="0.25">
      <c r="A1872" t="s">
        <v>1769</v>
      </c>
      <c r="B1872" t="s">
        <v>1770</v>
      </c>
      <c r="C1872" t="s">
        <v>1771</v>
      </c>
      <c r="D1872" t="s">
        <v>1772</v>
      </c>
      <c r="E1872" t="s">
        <v>1773</v>
      </c>
      <c r="F1872" t="s">
        <v>1774</v>
      </c>
      <c r="G1872" t="s">
        <v>1775</v>
      </c>
      <c r="H1872" t="s">
        <v>1776</v>
      </c>
      <c r="I1872" t="s">
        <v>1584</v>
      </c>
      <c r="J1872" t="s">
        <v>1585</v>
      </c>
      <c r="K1872" t="s">
        <v>1586</v>
      </c>
      <c r="L1872" t="s">
        <v>1587</v>
      </c>
      <c r="M1872" t="s">
        <v>1587</v>
      </c>
      <c r="N1872" t="s">
        <v>1587</v>
      </c>
      <c r="O1872" t="s">
        <v>1594</v>
      </c>
      <c r="P1872" t="s">
        <v>1584</v>
      </c>
      <c r="Q1872" t="s">
        <v>1591</v>
      </c>
      <c r="R1872" t="s">
        <v>1777</v>
      </c>
      <c r="S1872" t="s">
        <v>1777</v>
      </c>
      <c r="T1872" t="s">
        <v>1584</v>
      </c>
      <c r="U1872" t="s">
        <v>1778</v>
      </c>
      <c r="V1872" t="str" cm="1">
        <f t="array" aca="1" ref="V1872" ca="1">IFERROR(_xlfn.IFS(A1870="  ..............",OFFSET(A1870,2,0),A1869=" X-------------X",OFFSET(A1869,3,0),MATCH("  ..............",A1872:A1881,0)&gt;2,V1871),"-")</f>
        <v>-</v>
      </c>
      <c r="W1872" t="str">
        <f t="shared" ca="1" si="87"/>
        <v>-</v>
      </c>
      <c r="X1872" t="str">
        <f t="shared" ca="1" si="88"/>
        <v xml:space="preserve">              </v>
      </c>
      <c r="Y1872" s="1">
        <f t="shared" ca="1" si="89"/>
        <v>0</v>
      </c>
    </row>
    <row r="1873" spans="1:25" x14ac:dyDescent="0.25">
      <c r="A1873" t="s">
        <v>1779</v>
      </c>
      <c r="B1873" t="s">
        <v>1780</v>
      </c>
      <c r="C1873" t="s">
        <v>1781</v>
      </c>
      <c r="D1873" t="s">
        <v>1781</v>
      </c>
      <c r="E1873" t="s">
        <v>1781</v>
      </c>
      <c r="F1873" t="s">
        <v>1782</v>
      </c>
      <c r="G1873" t="s">
        <v>1783</v>
      </c>
      <c r="H1873" t="s">
        <v>1784</v>
      </c>
      <c r="I1873" t="s">
        <v>1584</v>
      </c>
      <c r="J1873" t="s">
        <v>1585</v>
      </c>
      <c r="K1873" t="s">
        <v>1586</v>
      </c>
      <c r="L1873" t="s">
        <v>1587</v>
      </c>
      <c r="M1873" t="s">
        <v>1587</v>
      </c>
      <c r="N1873" t="s">
        <v>1587</v>
      </c>
      <c r="O1873" t="s">
        <v>1594</v>
      </c>
      <c r="P1873" t="s">
        <v>1584</v>
      </c>
      <c r="Q1873" t="s">
        <v>1785</v>
      </c>
      <c r="R1873" t="s">
        <v>1786</v>
      </c>
      <c r="S1873" t="s">
        <v>1787</v>
      </c>
      <c r="T1873" t="s">
        <v>1788</v>
      </c>
      <c r="U1873" t="s">
        <v>1778</v>
      </c>
      <c r="V1873" t="str" cm="1">
        <f t="array" aca="1" ref="V1873" ca="1">IFERROR(_xlfn.IFS(A1871="  ..............",OFFSET(A1871,2,0),A1870=" X-------------X",OFFSET(A1870,3,0),MATCH("  ..............",A1873:A1882,0)&gt;2,V1872),"-")</f>
        <v>-</v>
      </c>
      <c r="W1873" t="str">
        <f t="shared" ca="1" si="87"/>
        <v>-</v>
      </c>
      <c r="X1873" t="str">
        <f t="shared" ca="1" si="88"/>
        <v xml:space="preserve">A             </v>
      </c>
      <c r="Y1873" s="1" t="str">
        <f t="shared" ca="1" si="89"/>
        <v xml:space="preserve">   Mvar   EQU</v>
      </c>
    </row>
    <row r="1874" spans="1:25" x14ac:dyDescent="0.25">
      <c r="A1874" t="s">
        <v>1789</v>
      </c>
      <c r="B1874" t="s">
        <v>1790</v>
      </c>
      <c r="C1874" t="s">
        <v>1791</v>
      </c>
      <c r="D1874" t="s">
        <v>1791</v>
      </c>
      <c r="E1874" t="s">
        <v>1791</v>
      </c>
      <c r="F1874" t="s">
        <v>1792</v>
      </c>
      <c r="G1874" t="s">
        <v>1793</v>
      </c>
      <c r="H1874" t="s">
        <v>1794</v>
      </c>
      <c r="I1874" t="s">
        <v>1795</v>
      </c>
      <c r="J1874" t="s">
        <v>1796</v>
      </c>
      <c r="K1874" t="s">
        <v>1586</v>
      </c>
      <c r="L1874" t="s">
        <v>1797</v>
      </c>
      <c r="M1874" t="s">
        <v>1798</v>
      </c>
      <c r="N1874" t="s">
        <v>1587</v>
      </c>
      <c r="O1874" t="s">
        <v>1594</v>
      </c>
      <c r="P1874" t="s">
        <v>1584</v>
      </c>
      <c r="Q1874" t="s">
        <v>1799</v>
      </c>
      <c r="R1874" t="s">
        <v>1800</v>
      </c>
      <c r="S1874" t="s">
        <v>1801</v>
      </c>
      <c r="T1874" t="s">
        <v>1802</v>
      </c>
      <c r="U1874" t="s">
        <v>1803</v>
      </c>
      <c r="V1874" t="str" cm="1">
        <f t="array" aca="1" ref="V1874" ca="1">IFERROR(_xlfn.IFS(A1872="  ..............",OFFSET(A1872,2,0),A1871=" X-------------X",OFFSET(A1871,3,0),MATCH("  ..............",A1874:A1883,0)&gt;2,V1873),"-")</f>
        <v>-</v>
      </c>
      <c r="W1874" t="str">
        <f t="shared" ca="1" si="87"/>
        <v>-</v>
      </c>
      <c r="X1874" t="str">
        <f t="shared" ca="1" si="88"/>
        <v xml:space="preserve">     NOME     </v>
      </c>
      <c r="Y1874" s="1" t="str">
        <f t="shared" ca="1" si="89"/>
        <v xml:space="preserve">   FLUXO %   </v>
      </c>
    </row>
    <row r="1875" spans="1:25" x14ac:dyDescent="0.25">
      <c r="A1875" t="s">
        <v>1588</v>
      </c>
      <c r="B1875" t="s">
        <v>1587</v>
      </c>
      <c r="C1875" t="s">
        <v>1804</v>
      </c>
      <c r="D1875" t="s">
        <v>1805</v>
      </c>
      <c r="E1875" t="s">
        <v>1806</v>
      </c>
      <c r="F1875" t="s">
        <v>1807</v>
      </c>
      <c r="G1875" t="s">
        <v>1808</v>
      </c>
      <c r="H1875" t="s">
        <v>1587</v>
      </c>
      <c r="I1875" t="s">
        <v>1809</v>
      </c>
      <c r="J1875" t="s">
        <v>1810</v>
      </c>
      <c r="K1875" t="s">
        <v>1811</v>
      </c>
      <c r="L1875" t="s">
        <v>1812</v>
      </c>
      <c r="M1875" t="s">
        <v>1791</v>
      </c>
      <c r="N1875" t="s">
        <v>1813</v>
      </c>
      <c r="O1875" t="s">
        <v>1814</v>
      </c>
      <c r="P1875" t="s">
        <v>1815</v>
      </c>
      <c r="Q1875" t="s">
        <v>1816</v>
      </c>
      <c r="R1875" t="s">
        <v>1817</v>
      </c>
      <c r="S1875" t="s">
        <v>1818</v>
      </c>
      <c r="T1875" t="s">
        <v>1819</v>
      </c>
      <c r="U1875" t="s">
        <v>1820</v>
      </c>
      <c r="V1875" t="str" cm="1">
        <f t="array" aca="1" ref="V1875" ca="1">IFERROR(_xlfn.IFS(A1873="  ..............",OFFSET(A1873,2,0),A1872=" X-------------X",OFFSET(A1872,3,0),MATCH("  ..............",A1875:A1884,0)&gt;2,V1874),"-")</f>
        <v>-</v>
      </c>
      <c r="W1875" t="str">
        <f t="shared" ca="1" si="87"/>
        <v>-</v>
      </c>
      <c r="X1875" t="str">
        <f t="shared" ca="1" si="88"/>
        <v>X------------X</v>
      </c>
      <c r="Y1875" s="1" t="str">
        <f t="shared" ca="1" si="89"/>
        <v>X-----------X</v>
      </c>
    </row>
    <row r="1876" spans="1:25" x14ac:dyDescent="0.25">
      <c r="A1876" t="s">
        <v>1563</v>
      </c>
      <c r="B1876" t="s">
        <v>1564</v>
      </c>
      <c r="C1876" t="s">
        <v>1564</v>
      </c>
      <c r="D1876" t="s">
        <v>1564</v>
      </c>
      <c r="E1876" t="s">
        <v>1564</v>
      </c>
      <c r="F1876" t="s">
        <v>1565</v>
      </c>
      <c r="G1876" t="s">
        <v>1564</v>
      </c>
      <c r="H1876" t="s">
        <v>1564</v>
      </c>
      <c r="I1876" t="s">
        <v>1566</v>
      </c>
      <c r="J1876" t="s">
        <v>1567</v>
      </c>
      <c r="K1876" t="s">
        <v>1568</v>
      </c>
      <c r="L1876" t="s">
        <v>1564</v>
      </c>
      <c r="M1876" t="s">
        <v>1564</v>
      </c>
      <c r="N1876" t="s">
        <v>1564</v>
      </c>
      <c r="O1876" t="s">
        <v>1569</v>
      </c>
      <c r="P1876" t="s">
        <v>1566</v>
      </c>
      <c r="Q1876" t="s">
        <v>1570</v>
      </c>
      <c r="R1876" t="s">
        <v>1571</v>
      </c>
      <c r="S1876" t="s">
        <v>1571</v>
      </c>
      <c r="T1876" t="s">
        <v>1566</v>
      </c>
      <c r="U1876" t="s">
        <v>1566</v>
      </c>
      <c r="V1876" t="str" cm="1">
        <f t="array" aca="1" ref="V1876" ca="1">IFERROR(_xlfn.IFS(A1874="  ..............",OFFSET(A1874,2,0),A1873=" X-------------X",OFFSET(A1873,3,0),MATCH("  ..............",A1876:A1885,0)&gt;2,V1875),"-")</f>
        <v>-</v>
      </c>
      <c r="W1876" t="str">
        <f t="shared" ca="1" si="87"/>
        <v>-</v>
      </c>
      <c r="X1876" t="str">
        <f t="shared" ca="1" si="88"/>
        <v/>
      </c>
      <c r="Y1876" s="1" t="str">
        <f t="shared" ca="1" si="89"/>
        <v/>
      </c>
    </row>
    <row r="1877" spans="1:25" x14ac:dyDescent="0.25">
      <c r="A1877" t="s">
        <v>1581</v>
      </c>
      <c r="B1877" t="s">
        <v>1581</v>
      </c>
      <c r="C1877" t="s">
        <v>1581</v>
      </c>
      <c r="D1877" t="s">
        <v>1581</v>
      </c>
      <c r="E1877" t="s">
        <v>1581</v>
      </c>
      <c r="F1877" t="s">
        <v>1581</v>
      </c>
      <c r="G1877" t="s">
        <v>1581</v>
      </c>
      <c r="H1877" t="s">
        <v>1581</v>
      </c>
      <c r="I1877" t="s">
        <v>1581</v>
      </c>
      <c r="J1877" t="s">
        <v>1581</v>
      </c>
      <c r="K1877" t="s">
        <v>1581</v>
      </c>
      <c r="L1877" t="s">
        <v>1581</v>
      </c>
      <c r="M1877" t="s">
        <v>1581</v>
      </c>
      <c r="N1877" t="s">
        <v>1581</v>
      </c>
      <c r="O1877" t="s">
        <v>1581</v>
      </c>
      <c r="P1877" t="s">
        <v>1581</v>
      </c>
      <c r="Q1877" t="s">
        <v>1581</v>
      </c>
      <c r="R1877" t="s">
        <v>1581</v>
      </c>
      <c r="S1877" t="s">
        <v>1581</v>
      </c>
      <c r="T1877" t="s">
        <v>1581</v>
      </c>
      <c r="U1877" t="s">
        <v>1581</v>
      </c>
      <c r="V1877" t="str" cm="1">
        <f t="array" aca="1" ref="V1877" ca="1">IFERROR(_xlfn.IFS(A1875="  ..............",OFFSET(A1875,2,0),A1874=" X-------------X",OFFSET(A1874,3,0),MATCH("  ..............",A1877:A1886,0)&gt;2,V1876),"-")</f>
        <v>-</v>
      </c>
      <c r="W1877" t="str">
        <f t="shared" ca="1" si="87"/>
        <v>-</v>
      </c>
      <c r="X1877" t="str">
        <f t="shared" ca="1" si="88"/>
        <v/>
      </c>
      <c r="Y1877" s="1" t="str">
        <f t="shared" ca="1" si="89"/>
        <v/>
      </c>
    </row>
    <row r="1878" spans="1:25" x14ac:dyDescent="0.25">
      <c r="A1878" t="s">
        <v>2845</v>
      </c>
      <c r="B1878">
        <v>1.022</v>
      </c>
      <c r="C1878">
        <v>2.6</v>
      </c>
      <c r="D1878">
        <v>0</v>
      </c>
      <c r="E1878">
        <v>30.6</v>
      </c>
      <c r="F1878">
        <v>0</v>
      </c>
      <c r="G1878">
        <v>7.5</v>
      </c>
      <c r="H1878">
        <v>0</v>
      </c>
      <c r="I1878" t="s">
        <v>1581</v>
      </c>
      <c r="J1878" t="s">
        <v>1581</v>
      </c>
      <c r="K1878" t="s">
        <v>1581</v>
      </c>
      <c r="L1878" t="s">
        <v>1581</v>
      </c>
      <c r="M1878" t="s">
        <v>1581</v>
      </c>
      <c r="N1878" t="s">
        <v>1581</v>
      </c>
      <c r="O1878" t="s">
        <v>1581</v>
      </c>
      <c r="P1878" t="s">
        <v>1581</v>
      </c>
      <c r="Q1878" t="s">
        <v>1581</v>
      </c>
      <c r="R1878" t="s">
        <v>1581</v>
      </c>
      <c r="S1878" t="s">
        <v>1581</v>
      </c>
      <c r="T1878" t="s">
        <v>1581</v>
      </c>
      <c r="U1878" t="s">
        <v>1581</v>
      </c>
      <c r="V1878" t="str" cm="1">
        <f t="array" aca="1" ref="V1878" ca="1">IFERROR(_xlfn.IFS(A1876="  ..............",OFFSET(A1876,2,0),A1875=" X-------------X",OFFSET(A1875,3,0),MATCH("  ..............",A1878:A1887,0)&gt;2,V1877),"-")</f>
        <v>-</v>
      </c>
      <c r="W1878" t="str">
        <f t="shared" ca="1" si="87"/>
        <v>-</v>
      </c>
      <c r="X1878" t="str">
        <f t="shared" ca="1" si="88"/>
        <v xml:space="preserve">              </v>
      </c>
      <c r="Y1878" s="1">
        <f t="shared" ca="1" si="89"/>
        <v>0</v>
      </c>
    </row>
    <row r="1879" spans="1:25" x14ac:dyDescent="0.25">
      <c r="A1879" t="s">
        <v>2846</v>
      </c>
      <c r="B1879">
        <v>-49</v>
      </c>
      <c r="C1879">
        <v>0</v>
      </c>
      <c r="D1879">
        <v>0</v>
      </c>
      <c r="E1879">
        <v>13.8</v>
      </c>
      <c r="F1879">
        <v>0</v>
      </c>
      <c r="G1879">
        <v>0</v>
      </c>
      <c r="H1879">
        <v>0</v>
      </c>
      <c r="I1879" t="s">
        <v>1584</v>
      </c>
      <c r="J1879" t="s">
        <v>1585</v>
      </c>
      <c r="K1879" t="s">
        <v>1586</v>
      </c>
      <c r="L1879" t="s">
        <v>1587</v>
      </c>
      <c r="M1879" t="s">
        <v>1587</v>
      </c>
      <c r="N1879" t="s">
        <v>1586</v>
      </c>
      <c r="O1879" t="s">
        <v>1581</v>
      </c>
      <c r="P1879" t="s">
        <v>1581</v>
      </c>
      <c r="Q1879" t="s">
        <v>1581</v>
      </c>
      <c r="R1879" t="s">
        <v>1581</v>
      </c>
      <c r="S1879" t="s">
        <v>1581</v>
      </c>
      <c r="T1879" t="s">
        <v>1581</v>
      </c>
      <c r="U1879" t="s">
        <v>1581</v>
      </c>
      <c r="V1879" t="str" cm="1">
        <f t="array" aca="1" ref="V1879" ca="1">IFERROR(_xlfn.IFS(A1877="  ..............",OFFSET(A1877,2,0),A1876=" X-------------X",OFFSET(A1876,3,0),MATCH("  ..............",A1879:A1888,0)&gt;2,V1878),"-")</f>
        <v xml:space="preserve">  CAXIA8-RS138  </v>
      </c>
      <c r="W1879">
        <f t="shared" ca="1" si="87"/>
        <v>1.022</v>
      </c>
      <c r="X1879" t="str">
        <f t="shared" ca="1" si="88"/>
        <v xml:space="preserve"> CAXNOR-RS138 </v>
      </c>
      <c r="Y1879" s="1">
        <f t="shared" ca="1" si="89"/>
        <v>0.22500000000000001</v>
      </c>
    </row>
    <row r="1880" spans="1:25" x14ac:dyDescent="0.25">
      <c r="A1880" t="s">
        <v>1588</v>
      </c>
      <c r="B1880" t="s">
        <v>1587</v>
      </c>
      <c r="C1880">
        <v>197</v>
      </c>
      <c r="D1880">
        <v>240</v>
      </c>
      <c r="E1880">
        <v>240</v>
      </c>
      <c r="F1880" s="1">
        <v>0.22500000000000001</v>
      </c>
      <c r="G1880" t="s">
        <v>1587</v>
      </c>
      <c r="H1880" t="s">
        <v>1587</v>
      </c>
      <c r="I1880">
        <v>10217</v>
      </c>
      <c r="J1880" t="s">
        <v>2847</v>
      </c>
      <c r="K1880">
        <v>1</v>
      </c>
      <c r="L1880">
        <v>-41.3</v>
      </c>
      <c r="M1880">
        <v>-18.399999999999999</v>
      </c>
      <c r="N1880">
        <v>44.2</v>
      </c>
      <c r="O1880" t="s">
        <v>1594</v>
      </c>
      <c r="P1880" t="s">
        <v>1584</v>
      </c>
      <c r="Q1880" t="s">
        <v>1591</v>
      </c>
      <c r="R1880">
        <v>0.15</v>
      </c>
      <c r="S1880">
        <v>-0.32</v>
      </c>
      <c r="T1880" t="s">
        <v>1584</v>
      </c>
      <c r="U1880" t="s">
        <v>1592</v>
      </c>
      <c r="V1880" t="str" cm="1">
        <f t="array" aca="1" ref="V1880" ca="1">IFERROR(_xlfn.IFS(A1878="  ..............",OFFSET(A1878,2,0),A1877=" X-------------X",OFFSET(A1877,3,0),MATCH("  ..............",A1880:A1889,0)&gt;2,V1879),"-")</f>
        <v xml:space="preserve">  CAXIA8-RS138  </v>
      </c>
      <c r="W1880">
        <f t="shared" ca="1" si="87"/>
        <v>1.022</v>
      </c>
      <c r="X1880" t="str">
        <f t="shared" ca="1" si="88"/>
        <v xml:space="preserve"> CAXNOR-RS138 </v>
      </c>
      <c r="Y1880" s="1">
        <f t="shared" ca="1" si="89"/>
        <v>0.22500000000000001</v>
      </c>
    </row>
    <row r="1881" spans="1:25" x14ac:dyDescent="0.25">
      <c r="A1881" t="s">
        <v>1588</v>
      </c>
      <c r="B1881" t="s">
        <v>1587</v>
      </c>
      <c r="C1881">
        <v>197</v>
      </c>
      <c r="D1881">
        <v>240</v>
      </c>
      <c r="E1881">
        <v>240</v>
      </c>
      <c r="F1881" s="1">
        <v>0.22500000000000001</v>
      </c>
      <c r="G1881" t="s">
        <v>1587</v>
      </c>
      <c r="H1881" t="s">
        <v>1587</v>
      </c>
      <c r="I1881">
        <v>10217</v>
      </c>
      <c r="J1881" t="s">
        <v>2847</v>
      </c>
      <c r="K1881">
        <v>2</v>
      </c>
      <c r="L1881">
        <v>-41.3</v>
      </c>
      <c r="M1881">
        <v>-18.399999999999999</v>
      </c>
      <c r="N1881">
        <v>44.2</v>
      </c>
      <c r="O1881" t="s">
        <v>1594</v>
      </c>
      <c r="P1881" t="s">
        <v>1584</v>
      </c>
      <c r="Q1881" t="s">
        <v>1591</v>
      </c>
      <c r="R1881">
        <v>0.15</v>
      </c>
      <c r="S1881">
        <v>-0.32</v>
      </c>
      <c r="T1881" t="s">
        <v>1584</v>
      </c>
      <c r="U1881" t="s">
        <v>1592</v>
      </c>
      <c r="V1881" t="str" cm="1">
        <f t="array" aca="1" ref="V1881" ca="1">IFERROR(_xlfn.IFS(A1879="  ..............",OFFSET(A1879,2,0),A1878=" X-------------X",OFFSET(A1878,3,0),MATCH("  ..............",A1881:A1890,0)&gt;2,V1880),"-")</f>
        <v xml:space="preserve">  CAXIA8-RS138  </v>
      </c>
      <c r="W1881">
        <f t="shared" ca="1" si="87"/>
        <v>1.022</v>
      </c>
      <c r="X1881" t="str">
        <f t="shared" ca="1" si="88"/>
        <v xml:space="preserve"> CAXIA8-RS069 </v>
      </c>
      <c r="Y1881" s="1">
        <f t="shared" ca="1" si="89"/>
        <v>0.61199999999999999</v>
      </c>
    </row>
    <row r="1882" spans="1:25" x14ac:dyDescent="0.25">
      <c r="A1882" t="s">
        <v>1588</v>
      </c>
      <c r="B1882" t="s">
        <v>1587</v>
      </c>
      <c r="C1882">
        <v>50</v>
      </c>
      <c r="D1882">
        <v>50</v>
      </c>
      <c r="E1882">
        <v>50</v>
      </c>
      <c r="F1882" s="1">
        <v>0.61199999999999999</v>
      </c>
      <c r="G1882" t="s">
        <v>1587</v>
      </c>
      <c r="H1882" t="s">
        <v>1587</v>
      </c>
      <c r="I1882">
        <v>10221</v>
      </c>
      <c r="J1882" t="s">
        <v>2848</v>
      </c>
      <c r="K1882">
        <v>1</v>
      </c>
      <c r="L1882">
        <v>27.3</v>
      </c>
      <c r="M1882">
        <v>15.2</v>
      </c>
      <c r="N1882">
        <v>30.6</v>
      </c>
      <c r="O1882" t="s">
        <v>2285</v>
      </c>
      <c r="P1882" t="s">
        <v>1584</v>
      </c>
      <c r="Q1882" t="s">
        <v>1591</v>
      </c>
      <c r="R1882">
        <v>0</v>
      </c>
      <c r="S1882">
        <v>1.77</v>
      </c>
      <c r="T1882" t="s">
        <v>1584</v>
      </c>
      <c r="U1882" t="s">
        <v>1592</v>
      </c>
      <c r="V1882" t="str" cm="1">
        <f t="array" aca="1" ref="V1882" ca="1">IFERROR(_xlfn.IFS(A1880="  ..............",OFFSET(A1880,2,0),A1879=" X-------------X",OFFSET(A1879,3,0),MATCH("  ..............",A1882:A1891,0)&gt;2,V1881),"-")</f>
        <v xml:space="preserve">  CAXIA8-RS138  </v>
      </c>
      <c r="W1882">
        <f t="shared" ca="1" si="87"/>
        <v>1.022</v>
      </c>
      <c r="X1882" t="str">
        <f t="shared" ca="1" si="88"/>
        <v xml:space="preserve"> CAXIA8-RS069 </v>
      </c>
      <c r="Y1882" s="1">
        <f t="shared" ca="1" si="89"/>
        <v>0.61199999999999999</v>
      </c>
    </row>
    <row r="1883" spans="1:25" x14ac:dyDescent="0.25">
      <c r="A1883" t="s">
        <v>1588</v>
      </c>
      <c r="B1883" t="s">
        <v>1587</v>
      </c>
      <c r="C1883">
        <v>50</v>
      </c>
      <c r="D1883">
        <v>50</v>
      </c>
      <c r="E1883">
        <v>50</v>
      </c>
      <c r="F1883" s="1">
        <v>0.61199999999999999</v>
      </c>
      <c r="G1883" t="s">
        <v>1587</v>
      </c>
      <c r="H1883" t="s">
        <v>1587</v>
      </c>
      <c r="I1883">
        <v>10221</v>
      </c>
      <c r="J1883" t="s">
        <v>2848</v>
      </c>
      <c r="K1883">
        <v>2</v>
      </c>
      <c r="L1883">
        <v>27.3</v>
      </c>
      <c r="M1883">
        <v>15.2</v>
      </c>
      <c r="N1883">
        <v>30.6</v>
      </c>
      <c r="O1883" t="s">
        <v>2285</v>
      </c>
      <c r="P1883" t="s">
        <v>1584</v>
      </c>
      <c r="Q1883" t="s">
        <v>1591</v>
      </c>
      <c r="R1883">
        <v>0</v>
      </c>
      <c r="S1883">
        <v>1.77</v>
      </c>
      <c r="T1883" t="s">
        <v>1584</v>
      </c>
      <c r="U1883" t="s">
        <v>1592</v>
      </c>
      <c r="V1883" t="str" cm="1">
        <f t="array" aca="1" ref="V1883" ca="1">IFERROR(_xlfn.IFS(A1881="  ..............",OFFSET(A1881,2,0),A1880=" X-------------X",OFFSET(A1880,3,0),MATCH("  ..............",A1883:A1892,0)&gt;2,V1882),"-")</f>
        <v>-</v>
      </c>
      <c r="W1883" t="str">
        <f t="shared" ca="1" si="87"/>
        <v>-</v>
      </c>
      <c r="X1883" t="str">
        <f t="shared" ca="1" si="88"/>
        <v>-</v>
      </c>
      <c r="Y1883" s="1" t="str">
        <f t="shared" ca="1" si="89"/>
        <v>-</v>
      </c>
    </row>
    <row r="1884" spans="1:25" x14ac:dyDescent="0.25">
      <c r="A1884" t="s">
        <v>1572</v>
      </c>
      <c r="B1884" t="s">
        <v>1574</v>
      </c>
      <c r="C1884" t="s">
        <v>1574</v>
      </c>
      <c r="D1884" t="s">
        <v>1574</v>
      </c>
      <c r="E1884" t="s">
        <v>1574</v>
      </c>
      <c r="F1884" t="s">
        <v>1575</v>
      </c>
      <c r="G1884" t="s">
        <v>1574</v>
      </c>
      <c r="H1884" t="s">
        <v>1574</v>
      </c>
      <c r="I1884" t="s">
        <v>1576</v>
      </c>
      <c r="J1884" t="s">
        <v>1573</v>
      </c>
      <c r="K1884" t="s">
        <v>1577</v>
      </c>
      <c r="L1884" t="s">
        <v>1574</v>
      </c>
      <c r="M1884" t="s">
        <v>1574</v>
      </c>
      <c r="N1884" t="s">
        <v>1574</v>
      </c>
      <c r="O1884" t="s">
        <v>1578</v>
      </c>
      <c r="P1884" t="s">
        <v>1576</v>
      </c>
      <c r="Q1884" t="s">
        <v>1579</v>
      </c>
      <c r="R1884" t="s">
        <v>1580</v>
      </c>
      <c r="S1884" t="s">
        <v>1580</v>
      </c>
      <c r="T1884" t="s">
        <v>1576</v>
      </c>
      <c r="U1884" t="s">
        <v>1576</v>
      </c>
      <c r="V1884" t="str" cm="1">
        <f t="array" aca="1" ref="V1884" ca="1">IFERROR(_xlfn.IFS(A1882="  ..............",OFFSET(A1882,2,0),A1881=" X-------------X",OFFSET(A1881,3,0),MATCH("  ..............",A1884:A1893,0)&gt;2,V1883),"-")</f>
        <v>-</v>
      </c>
      <c r="W1884" t="str">
        <f t="shared" ca="1" si="87"/>
        <v>-</v>
      </c>
      <c r="X1884" t="str">
        <f t="shared" ca="1" si="88"/>
        <v/>
      </c>
      <c r="Y1884" s="1" t="str">
        <f t="shared" ca="1" si="89"/>
        <v/>
      </c>
    </row>
    <row r="1885" spans="1:25" x14ac:dyDescent="0.25">
      <c r="A1885" t="s">
        <v>2849</v>
      </c>
      <c r="B1885">
        <v>1.0229999999999999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 t="s">
        <v>1581</v>
      </c>
      <c r="J1885" t="s">
        <v>1581</v>
      </c>
      <c r="K1885" t="s">
        <v>1581</v>
      </c>
      <c r="L1885" t="s">
        <v>1581</v>
      </c>
      <c r="M1885" t="s">
        <v>1581</v>
      </c>
      <c r="N1885" t="s">
        <v>1581</v>
      </c>
      <c r="O1885" t="s">
        <v>1581</v>
      </c>
      <c r="P1885" t="s">
        <v>1581</v>
      </c>
      <c r="Q1885" t="s">
        <v>1581</v>
      </c>
      <c r="R1885" t="s">
        <v>1581</v>
      </c>
      <c r="S1885" t="s">
        <v>1581</v>
      </c>
      <c r="T1885" t="s">
        <v>1581</v>
      </c>
      <c r="U1885" t="s">
        <v>1581</v>
      </c>
      <c r="V1885" t="str" cm="1">
        <f t="array" aca="1" ref="V1885" ca="1">IFERROR(_xlfn.IFS(A1883="  ..............",OFFSET(A1883,2,0),A1882=" X-------------X",OFFSET(A1882,3,0),MATCH("  ..............",A1885:A1894,0)&gt;2,V1884),"-")</f>
        <v>-</v>
      </c>
      <c r="W1885" t="str">
        <f t="shared" ca="1" si="87"/>
        <v>-</v>
      </c>
      <c r="X1885" t="str">
        <f t="shared" ca="1" si="88"/>
        <v xml:space="preserve">              </v>
      </c>
      <c r="Y1885" s="1">
        <f t="shared" ca="1" si="89"/>
        <v>0</v>
      </c>
    </row>
    <row r="1886" spans="1:25" x14ac:dyDescent="0.25">
      <c r="A1886" t="s">
        <v>2850</v>
      </c>
      <c r="B1886">
        <v>-51.9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 t="s">
        <v>1584</v>
      </c>
      <c r="J1886" t="s">
        <v>1585</v>
      </c>
      <c r="K1886" t="s">
        <v>1586</v>
      </c>
      <c r="L1886" t="s">
        <v>1587</v>
      </c>
      <c r="M1886" t="s">
        <v>1587</v>
      </c>
      <c r="N1886" t="s">
        <v>1586</v>
      </c>
      <c r="O1886" t="s">
        <v>1581</v>
      </c>
      <c r="P1886" t="s">
        <v>1581</v>
      </c>
      <c r="Q1886" t="s">
        <v>1581</v>
      </c>
      <c r="R1886" t="s">
        <v>1581</v>
      </c>
      <c r="S1886" t="s">
        <v>1581</v>
      </c>
      <c r="T1886" t="s">
        <v>1581</v>
      </c>
      <c r="U1886" t="s">
        <v>1581</v>
      </c>
      <c r="V1886" t="str" cm="1">
        <f t="array" aca="1" ref="V1886" ca="1">IFERROR(_xlfn.IFS(A1884="  ..............",OFFSET(A1884,2,0),A1883=" X-------------X",OFFSET(A1883,3,0),MATCH("  ..............",A1886:A1895,0)&gt;2,V1885),"-")</f>
        <v xml:space="preserve">  CAXIA8-RS069  </v>
      </c>
      <c r="W1886">
        <f t="shared" ca="1" si="87"/>
        <v>1.0229999999999999</v>
      </c>
      <c r="X1886" t="str">
        <f t="shared" ca="1" si="88"/>
        <v xml:space="preserve"> CAXIA8-RS138 </v>
      </c>
      <c r="Y1886" s="1">
        <f t="shared" ca="1" si="89"/>
        <v>0.223</v>
      </c>
    </row>
    <row r="1887" spans="1:25" x14ac:dyDescent="0.25">
      <c r="A1887" t="s">
        <v>1588</v>
      </c>
      <c r="B1887" t="s">
        <v>1587</v>
      </c>
      <c r="C1887">
        <v>50</v>
      </c>
      <c r="D1887">
        <v>50</v>
      </c>
      <c r="E1887">
        <v>50</v>
      </c>
      <c r="F1887" s="1">
        <v>0.59499999999999997</v>
      </c>
      <c r="G1887" t="s">
        <v>1587</v>
      </c>
      <c r="H1887" t="s">
        <v>1587</v>
      </c>
      <c r="I1887">
        <v>10220</v>
      </c>
      <c r="J1887" t="s">
        <v>2837</v>
      </c>
      <c r="K1887">
        <v>1</v>
      </c>
      <c r="L1887">
        <v>-27.3</v>
      </c>
      <c r="M1887">
        <v>-13.5</v>
      </c>
      <c r="N1887">
        <v>29.7</v>
      </c>
      <c r="O1887" t="s">
        <v>1594</v>
      </c>
      <c r="P1887" t="s">
        <v>1584</v>
      </c>
      <c r="Q1887" t="s">
        <v>1591</v>
      </c>
      <c r="R1887">
        <v>0</v>
      </c>
      <c r="S1887">
        <v>1.77</v>
      </c>
      <c r="T1887" t="s">
        <v>1584</v>
      </c>
      <c r="U1887" t="s">
        <v>1592</v>
      </c>
      <c r="V1887" t="str" cm="1">
        <f t="array" aca="1" ref="V1887" ca="1">IFERROR(_xlfn.IFS(A1885="  ..............",OFFSET(A1885,2,0),A1884=" X-------------X",OFFSET(A1884,3,0),MATCH("  ..............",A1887:A1896,0)&gt;2,V1886),"-")</f>
        <v xml:space="preserve">  CAXIA8-RS069  </v>
      </c>
      <c r="W1887">
        <f t="shared" ca="1" si="87"/>
        <v>1.0229999999999999</v>
      </c>
      <c r="X1887" t="str">
        <f t="shared" ca="1" si="88"/>
        <v xml:space="preserve"> CAXIA8-RS138 </v>
      </c>
      <c r="Y1887" s="1">
        <f t="shared" ca="1" si="89"/>
        <v>0.223</v>
      </c>
    </row>
    <row r="1888" spans="1:25" x14ac:dyDescent="0.25">
      <c r="A1888" t="s">
        <v>1588</v>
      </c>
      <c r="B1888" t="s">
        <v>1587</v>
      </c>
      <c r="C1888">
        <v>50</v>
      </c>
      <c r="D1888">
        <v>50</v>
      </c>
      <c r="E1888">
        <v>50</v>
      </c>
      <c r="F1888" s="1">
        <v>0.59499999999999997</v>
      </c>
      <c r="G1888" t="s">
        <v>1587</v>
      </c>
      <c r="H1888" t="s">
        <v>1587</v>
      </c>
      <c r="I1888">
        <v>10220</v>
      </c>
      <c r="J1888" t="s">
        <v>2837</v>
      </c>
      <c r="K1888">
        <v>2</v>
      </c>
      <c r="L1888">
        <v>-27.3</v>
      </c>
      <c r="M1888">
        <v>-13.5</v>
      </c>
      <c r="N1888">
        <v>29.7</v>
      </c>
      <c r="O1888" t="s">
        <v>1594</v>
      </c>
      <c r="P1888" t="s">
        <v>1584</v>
      </c>
      <c r="Q1888" t="s">
        <v>1591</v>
      </c>
      <c r="R1888">
        <v>0</v>
      </c>
      <c r="S1888">
        <v>1.77</v>
      </c>
      <c r="T1888" t="s">
        <v>1584</v>
      </c>
      <c r="U1888" t="s">
        <v>1592</v>
      </c>
      <c r="V1888" t="str" cm="1">
        <f t="array" aca="1" ref="V1888" ca="1">IFERROR(_xlfn.IFS(A1886="  ..............",OFFSET(A1886,2,0),A1885=" X-------------X",OFFSET(A1885,3,0),MATCH("  ..............",A1888:A1897,0)&gt;2,V1887),"-")</f>
        <v xml:space="preserve">  CAXIA8-RS069  </v>
      </c>
      <c r="W1888">
        <f t="shared" ca="1" si="87"/>
        <v>1.0229999999999999</v>
      </c>
      <c r="X1888" t="str">
        <f t="shared" ca="1" si="88"/>
        <v xml:space="preserve"> LUPATETAP069 </v>
      </c>
      <c r="Y1888" s="1">
        <f t="shared" ca="1" si="89"/>
        <v>0.77200000000000002</v>
      </c>
    </row>
    <row r="1889" spans="1:25" x14ac:dyDescent="0.25">
      <c r="A1889" t="s">
        <v>1588</v>
      </c>
      <c r="B1889" t="s">
        <v>1587</v>
      </c>
      <c r="C1889">
        <v>75</v>
      </c>
      <c r="D1889">
        <v>90</v>
      </c>
      <c r="E1889">
        <v>90</v>
      </c>
      <c r="F1889" s="1">
        <v>0.79300000000000004</v>
      </c>
      <c r="G1889" t="s">
        <v>1587</v>
      </c>
      <c r="H1889" t="s">
        <v>1587</v>
      </c>
      <c r="I1889">
        <v>10222</v>
      </c>
      <c r="J1889" t="s">
        <v>1641</v>
      </c>
      <c r="K1889">
        <v>1</v>
      </c>
      <c r="L1889">
        <v>54.6</v>
      </c>
      <c r="M1889">
        <v>26.9</v>
      </c>
      <c r="N1889">
        <v>59.5</v>
      </c>
      <c r="O1889" t="s">
        <v>1594</v>
      </c>
      <c r="P1889" t="s">
        <v>1584</v>
      </c>
      <c r="Q1889" t="s">
        <v>1591</v>
      </c>
      <c r="R1889">
        <v>0.11</v>
      </c>
      <c r="S1889">
        <v>0.34</v>
      </c>
      <c r="T1889" t="s">
        <v>1584</v>
      </c>
      <c r="U1889" t="s">
        <v>1592</v>
      </c>
      <c r="V1889" t="str" cm="1">
        <f t="array" aca="1" ref="V1889" ca="1">IFERROR(_xlfn.IFS(A1887="  ..............",OFFSET(A1887,2,0),A1886=" X-------------X",OFFSET(A1886,3,0),MATCH("  ..............",A1889:A1898,0)&gt;2,V1888),"-")</f>
        <v xml:space="preserve">  CAXIA8-RS069  </v>
      </c>
      <c r="W1889">
        <f t="shared" ca="1" si="87"/>
        <v>1.0229999999999999</v>
      </c>
      <c r="X1889" t="str">
        <f t="shared" ca="1" si="88"/>
        <v xml:space="preserve"> TONDO-TAP069 </v>
      </c>
      <c r="Y1889" s="1">
        <f t="shared" ca="1" si="89"/>
        <v>7.0999999999999994E-2</v>
      </c>
    </row>
    <row r="1890" spans="1:25" x14ac:dyDescent="0.25">
      <c r="A1890" t="s">
        <v>1637</v>
      </c>
      <c r="B1890" t="s">
        <v>1638</v>
      </c>
      <c r="C1890">
        <v>75</v>
      </c>
      <c r="D1890">
        <v>90</v>
      </c>
      <c r="E1890">
        <v>90</v>
      </c>
      <c r="F1890" t="s">
        <v>1639</v>
      </c>
      <c r="G1890" t="s">
        <v>1587</v>
      </c>
      <c r="H1890" t="s">
        <v>1587</v>
      </c>
      <c r="I1890">
        <v>10227</v>
      </c>
      <c r="J1890" t="s">
        <v>2743</v>
      </c>
      <c r="K1890">
        <v>1</v>
      </c>
      <c r="L1890">
        <v>0</v>
      </c>
      <c r="M1890">
        <v>0</v>
      </c>
      <c r="N1890">
        <v>0</v>
      </c>
      <c r="O1890" t="s">
        <v>1594</v>
      </c>
      <c r="P1890" t="s">
        <v>1584</v>
      </c>
      <c r="Q1890" t="s">
        <v>1591</v>
      </c>
      <c r="R1890">
        <v>0</v>
      </c>
      <c r="S1890">
        <v>0</v>
      </c>
      <c r="T1890" t="s">
        <v>1584</v>
      </c>
      <c r="U1890" t="s">
        <v>1592</v>
      </c>
      <c r="V1890" t="str" cm="1">
        <f t="array" aca="1" ref="V1890" ca="1">IFERROR(_xlfn.IFS(A1888="  ..............",OFFSET(A1888,2,0),A1887=" X-------------X",OFFSET(A1887,3,0),MATCH("  ..............",A1890:A1899,0)&gt;2,V1889),"-")</f>
        <v>-</v>
      </c>
      <c r="W1890" t="str">
        <f t="shared" ca="1" si="87"/>
        <v>-</v>
      </c>
      <c r="X1890" t="str">
        <f t="shared" ca="1" si="88"/>
        <v>-</v>
      </c>
      <c r="Y1890" s="1" t="str">
        <f t="shared" ca="1" si="89"/>
        <v>-</v>
      </c>
    </row>
    <row r="1891" spans="1:25" x14ac:dyDescent="0.25">
      <c r="A1891" t="s">
        <v>1572</v>
      </c>
      <c r="B1891" t="s">
        <v>1574</v>
      </c>
      <c r="C1891" t="s">
        <v>1574</v>
      </c>
      <c r="D1891" t="s">
        <v>1574</v>
      </c>
      <c r="E1891" t="s">
        <v>1574</v>
      </c>
      <c r="F1891" t="s">
        <v>1575</v>
      </c>
      <c r="G1891" t="s">
        <v>1574</v>
      </c>
      <c r="H1891" t="s">
        <v>1574</v>
      </c>
      <c r="I1891" t="s">
        <v>1576</v>
      </c>
      <c r="J1891" t="s">
        <v>1573</v>
      </c>
      <c r="K1891" t="s">
        <v>1577</v>
      </c>
      <c r="L1891" t="s">
        <v>1574</v>
      </c>
      <c r="M1891" t="s">
        <v>1574</v>
      </c>
      <c r="N1891" t="s">
        <v>1574</v>
      </c>
      <c r="O1891" t="s">
        <v>1578</v>
      </c>
      <c r="P1891" t="s">
        <v>1576</v>
      </c>
      <c r="Q1891" t="s">
        <v>1579</v>
      </c>
      <c r="R1891" t="s">
        <v>1580</v>
      </c>
      <c r="S1891" t="s">
        <v>1580</v>
      </c>
      <c r="T1891" t="s">
        <v>1576</v>
      </c>
      <c r="U1891" t="s">
        <v>1576</v>
      </c>
      <c r="V1891" t="str" cm="1">
        <f t="array" aca="1" ref="V1891" ca="1">IFERROR(_xlfn.IFS(A1889="  ..............",OFFSET(A1889,2,0),A1888=" X-------------X",OFFSET(A1888,3,0),MATCH("  ..............",A1891:A1900,0)&gt;2,V1890),"-")</f>
        <v>-</v>
      </c>
      <c r="W1891" t="str">
        <f t="shared" ca="1" si="87"/>
        <v>-</v>
      </c>
      <c r="X1891" t="str">
        <f t="shared" ca="1" si="88"/>
        <v/>
      </c>
      <c r="Y1891" s="1" t="str">
        <f t="shared" ca="1" si="89"/>
        <v/>
      </c>
    </row>
    <row r="1892" spans="1:25" x14ac:dyDescent="0.25">
      <c r="A1892" t="s">
        <v>2851</v>
      </c>
      <c r="B1892">
        <v>1.0189999999999999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 t="s">
        <v>1581</v>
      </c>
      <c r="J1892" t="s">
        <v>1581</v>
      </c>
      <c r="K1892" t="s">
        <v>1581</v>
      </c>
      <c r="L1892" t="s">
        <v>1581</v>
      </c>
      <c r="M1892" t="s">
        <v>1581</v>
      </c>
      <c r="N1892" t="s">
        <v>1581</v>
      </c>
      <c r="O1892" t="s">
        <v>1581</v>
      </c>
      <c r="P1892" t="s">
        <v>1581</v>
      </c>
      <c r="Q1892" t="s">
        <v>1581</v>
      </c>
      <c r="R1892" t="s">
        <v>1581</v>
      </c>
      <c r="S1892" t="s">
        <v>1581</v>
      </c>
      <c r="T1892" t="s">
        <v>1581</v>
      </c>
      <c r="U1892" t="s">
        <v>1581</v>
      </c>
      <c r="V1892" t="str" cm="1">
        <f t="array" aca="1" ref="V1892" ca="1">IFERROR(_xlfn.IFS(A1890="  ..............",OFFSET(A1890,2,0),A1889=" X-------------X",OFFSET(A1889,3,0),MATCH("  ..............",A1892:A1901,0)&gt;2,V1891),"-")</f>
        <v>-</v>
      </c>
      <c r="W1892" t="str">
        <f t="shared" ca="1" si="87"/>
        <v>-</v>
      </c>
      <c r="X1892" t="str">
        <f t="shared" ca="1" si="88"/>
        <v xml:space="preserve">              </v>
      </c>
      <c r="Y1892" s="1">
        <f t="shared" ca="1" si="89"/>
        <v>0</v>
      </c>
    </row>
    <row r="1893" spans="1:25" x14ac:dyDescent="0.25">
      <c r="A1893" t="s">
        <v>2852</v>
      </c>
      <c r="B1893">
        <v>-52.1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 t="s">
        <v>1584</v>
      </c>
      <c r="J1893" t="s">
        <v>1585</v>
      </c>
      <c r="K1893" t="s">
        <v>1586</v>
      </c>
      <c r="L1893" t="s">
        <v>1587</v>
      </c>
      <c r="M1893" t="s">
        <v>1587</v>
      </c>
      <c r="N1893" t="s">
        <v>1586</v>
      </c>
      <c r="O1893" t="s">
        <v>1581</v>
      </c>
      <c r="P1893" t="s">
        <v>1581</v>
      </c>
      <c r="Q1893" t="s">
        <v>1581</v>
      </c>
      <c r="R1893" t="s">
        <v>1581</v>
      </c>
      <c r="S1893" t="s">
        <v>1581</v>
      </c>
      <c r="T1893" t="s">
        <v>1581</v>
      </c>
      <c r="U1893" t="s">
        <v>1581</v>
      </c>
      <c r="V1893" t="str" cm="1">
        <f t="array" aca="1" ref="V1893" ca="1">IFERROR(_xlfn.IFS(A1891="  ..............",OFFSET(A1891,2,0),A1890=" X-------------X",OFFSET(A1890,3,0),MATCH("  ..............",A1893:A1902,0)&gt;2,V1892),"-")</f>
        <v xml:space="preserve">  LUPATETAP069  </v>
      </c>
      <c r="W1893">
        <f t="shared" ca="1" si="87"/>
        <v>1.0189999999999999</v>
      </c>
      <c r="X1893" t="str">
        <f t="shared" ca="1" si="88"/>
        <v xml:space="preserve"> CAXIA1-RS069 </v>
      </c>
      <c r="Y1893" s="1" t="str">
        <f t="shared" ca="1" si="89"/>
        <v xml:space="preserve">             </v>
      </c>
    </row>
    <row r="1894" spans="1:25" x14ac:dyDescent="0.25">
      <c r="A1894" t="s">
        <v>1588</v>
      </c>
      <c r="B1894" t="s">
        <v>1587</v>
      </c>
      <c r="C1894">
        <v>75</v>
      </c>
      <c r="D1894">
        <v>90</v>
      </c>
      <c r="E1894">
        <v>90</v>
      </c>
      <c r="F1894" s="1">
        <v>0.77200000000000002</v>
      </c>
      <c r="G1894" t="s">
        <v>1587</v>
      </c>
      <c r="H1894" t="s">
        <v>1587</v>
      </c>
      <c r="I1894">
        <v>1187</v>
      </c>
      <c r="J1894" t="s">
        <v>1644</v>
      </c>
      <c r="K1894">
        <v>1</v>
      </c>
      <c r="L1894">
        <v>52.9</v>
      </c>
      <c r="M1894">
        <v>26.1</v>
      </c>
      <c r="N1894">
        <v>57.9</v>
      </c>
      <c r="O1894" t="s">
        <v>1594</v>
      </c>
      <c r="P1894" t="s">
        <v>1584</v>
      </c>
      <c r="Q1894" t="s">
        <v>1591</v>
      </c>
      <c r="R1894">
        <v>0.28999999999999998</v>
      </c>
      <c r="S1894">
        <v>0.88</v>
      </c>
      <c r="T1894" t="s">
        <v>1584</v>
      </c>
      <c r="U1894" t="s">
        <v>1592</v>
      </c>
      <c r="V1894" t="str" cm="1">
        <f t="array" aca="1" ref="V1894" ca="1">IFERROR(_xlfn.IFS(A1892="  ..............",OFFSET(A1892,2,0),A1891=" X-------------X",OFFSET(A1891,3,0),MATCH("  ..............",A1894:A1903,0)&gt;2,V1893),"-")</f>
        <v xml:space="preserve">  LUPATETAP069  </v>
      </c>
      <c r="W1894">
        <f t="shared" ca="1" si="87"/>
        <v>1.0189999999999999</v>
      </c>
      <c r="X1894" t="str">
        <f t="shared" ca="1" si="88"/>
        <v xml:space="preserve"> CAXIA8-RS069 </v>
      </c>
      <c r="Y1894" s="1">
        <f t="shared" ca="1" si="89"/>
        <v>0.61199999999999999</v>
      </c>
    </row>
    <row r="1895" spans="1:25" x14ac:dyDescent="0.25">
      <c r="A1895" t="s">
        <v>1588</v>
      </c>
      <c r="B1895" t="s">
        <v>1587</v>
      </c>
      <c r="C1895">
        <v>75</v>
      </c>
      <c r="D1895">
        <v>90</v>
      </c>
      <c r="E1895">
        <v>90</v>
      </c>
      <c r="F1895" s="1">
        <v>0.79300000000000004</v>
      </c>
      <c r="G1895" t="s">
        <v>1587</v>
      </c>
      <c r="H1895" t="s">
        <v>1587</v>
      </c>
      <c r="I1895">
        <v>10221</v>
      </c>
      <c r="J1895" t="s">
        <v>2848</v>
      </c>
      <c r="K1895">
        <v>1</v>
      </c>
      <c r="L1895">
        <v>-54.5</v>
      </c>
      <c r="M1895">
        <v>-26.6</v>
      </c>
      <c r="N1895">
        <v>59.5</v>
      </c>
      <c r="O1895" t="s">
        <v>1594</v>
      </c>
      <c r="P1895" t="s">
        <v>1584</v>
      </c>
      <c r="Q1895" t="s">
        <v>1591</v>
      </c>
      <c r="R1895">
        <v>0.11</v>
      </c>
      <c r="S1895">
        <v>0.34</v>
      </c>
      <c r="T1895" t="s">
        <v>1584</v>
      </c>
      <c r="U1895" t="s">
        <v>1592</v>
      </c>
      <c r="V1895" t="str" cm="1">
        <f t="array" aca="1" ref="V1895" ca="1">IFERROR(_xlfn.IFS(A1893="  ..............",OFFSET(A1893,2,0),A1892=" X-------------X",OFFSET(A1892,3,0),MATCH("  ..............",A1895:A1904,0)&gt;2,V1894),"-")</f>
        <v xml:space="preserve">  LUPATETAP069  </v>
      </c>
      <c r="W1895">
        <f t="shared" ca="1" si="87"/>
        <v>1.0189999999999999</v>
      </c>
      <c r="X1895" t="str">
        <f t="shared" ca="1" si="88"/>
        <v xml:space="preserve"> LUPATE-RS069 </v>
      </c>
      <c r="Y1895" s="1">
        <f t="shared" ca="1" si="89"/>
        <v>5.5E-2</v>
      </c>
    </row>
    <row r="1896" spans="1:25" x14ac:dyDescent="0.25">
      <c r="A1896" t="s">
        <v>1588</v>
      </c>
      <c r="B1896" t="s">
        <v>1587</v>
      </c>
      <c r="C1896">
        <v>30</v>
      </c>
      <c r="D1896">
        <v>43</v>
      </c>
      <c r="E1896">
        <v>43</v>
      </c>
      <c r="F1896" s="1">
        <v>5.5E-2</v>
      </c>
      <c r="G1896" t="s">
        <v>1587</v>
      </c>
      <c r="H1896" t="s">
        <v>1587</v>
      </c>
      <c r="I1896">
        <v>10223</v>
      </c>
      <c r="J1896" t="s">
        <v>2853</v>
      </c>
      <c r="K1896">
        <v>1</v>
      </c>
      <c r="L1896">
        <v>1.6</v>
      </c>
      <c r="M1896">
        <v>0.5</v>
      </c>
      <c r="N1896">
        <v>1.6</v>
      </c>
      <c r="O1896" t="s">
        <v>1594</v>
      </c>
      <c r="P1896" t="s">
        <v>1584</v>
      </c>
      <c r="Q1896" t="s">
        <v>1591</v>
      </c>
      <c r="R1896">
        <v>0</v>
      </c>
      <c r="S1896">
        <v>-0.03</v>
      </c>
      <c r="T1896" t="s">
        <v>1584</v>
      </c>
      <c r="U1896" t="s">
        <v>1592</v>
      </c>
      <c r="V1896" t="str" cm="1">
        <f t="array" aca="1" ref="V1896" ca="1">IFERROR(_xlfn.IFS(A1894="  ..............",OFFSET(A1894,2,0),A1893=" X-------------X",OFFSET(A1893,3,0),MATCH("  ..............",A1896:A1905,0)&gt;2,V1895),"-")</f>
        <v>-</v>
      </c>
      <c r="W1896" t="str">
        <f t="shared" ca="1" si="87"/>
        <v>-</v>
      </c>
      <c r="X1896" t="str">
        <f t="shared" ca="1" si="88"/>
        <v>-</v>
      </c>
      <c r="Y1896" s="1" t="str">
        <f t="shared" ca="1" si="89"/>
        <v>-</v>
      </c>
    </row>
    <row r="1897" spans="1:25" x14ac:dyDescent="0.25">
      <c r="A1897" t="s">
        <v>1572</v>
      </c>
      <c r="B1897" t="s">
        <v>1574</v>
      </c>
      <c r="C1897" t="s">
        <v>1574</v>
      </c>
      <c r="D1897" t="s">
        <v>1574</v>
      </c>
      <c r="E1897" t="s">
        <v>1574</v>
      </c>
      <c r="F1897" t="s">
        <v>1575</v>
      </c>
      <c r="G1897" t="s">
        <v>1574</v>
      </c>
      <c r="H1897" t="s">
        <v>1574</v>
      </c>
      <c r="I1897" t="s">
        <v>1576</v>
      </c>
      <c r="J1897" t="s">
        <v>1573</v>
      </c>
      <c r="K1897" t="s">
        <v>1577</v>
      </c>
      <c r="L1897" t="s">
        <v>1574</v>
      </c>
      <c r="M1897" t="s">
        <v>1574</v>
      </c>
      <c r="N1897" t="s">
        <v>1574</v>
      </c>
      <c r="O1897" t="s">
        <v>1578</v>
      </c>
      <c r="P1897" t="s">
        <v>1576</v>
      </c>
      <c r="Q1897" t="s">
        <v>1579</v>
      </c>
      <c r="R1897" t="s">
        <v>1580</v>
      </c>
      <c r="S1897" t="s">
        <v>1580</v>
      </c>
      <c r="T1897" t="s">
        <v>1576</v>
      </c>
      <c r="U1897" t="s">
        <v>1576</v>
      </c>
      <c r="V1897" t="str" cm="1">
        <f t="array" aca="1" ref="V1897" ca="1">IFERROR(_xlfn.IFS(A1895="  ..............",OFFSET(A1895,2,0),A1894=" X-------------X",OFFSET(A1894,3,0),MATCH("  ..............",A1897:A1906,0)&gt;2,V1896),"-")</f>
        <v>-</v>
      </c>
      <c r="W1897" t="str">
        <f t="shared" ca="1" si="87"/>
        <v>-</v>
      </c>
      <c r="X1897" t="str">
        <f t="shared" ca="1" si="88"/>
        <v/>
      </c>
      <c r="Y1897" s="1" t="str">
        <f t="shared" ca="1" si="89"/>
        <v/>
      </c>
    </row>
    <row r="1898" spans="1:25" x14ac:dyDescent="0.25">
      <c r="A1898" t="s">
        <v>2854</v>
      </c>
      <c r="B1898">
        <v>1.0189999999999999</v>
      </c>
      <c r="C1898">
        <v>0</v>
      </c>
      <c r="D1898">
        <v>0</v>
      </c>
      <c r="E1898">
        <v>1.6</v>
      </c>
      <c r="F1898">
        <v>0</v>
      </c>
      <c r="G1898">
        <v>0</v>
      </c>
      <c r="H1898">
        <v>0</v>
      </c>
      <c r="I1898" t="s">
        <v>1581</v>
      </c>
      <c r="J1898" t="s">
        <v>1581</v>
      </c>
      <c r="K1898" t="s">
        <v>1581</v>
      </c>
      <c r="L1898" t="s">
        <v>1581</v>
      </c>
      <c r="M1898" t="s">
        <v>1581</v>
      </c>
      <c r="N1898" t="s">
        <v>1581</v>
      </c>
      <c r="O1898" t="s">
        <v>1581</v>
      </c>
      <c r="P1898" t="s">
        <v>1581</v>
      </c>
      <c r="Q1898" t="s">
        <v>1581</v>
      </c>
      <c r="R1898" t="s">
        <v>1581</v>
      </c>
      <c r="S1898" t="s">
        <v>1581</v>
      </c>
      <c r="T1898" t="s">
        <v>1581</v>
      </c>
      <c r="U1898" t="s">
        <v>1581</v>
      </c>
      <c r="V1898" t="str" cm="1">
        <f t="array" aca="1" ref="V1898" ca="1">IFERROR(_xlfn.IFS(A1896="  ..............",OFFSET(A1896,2,0),A1895=" X-------------X",OFFSET(A1895,3,0),MATCH("  ..............",A1898:A1907,0)&gt;2,V1897),"-")</f>
        <v>-</v>
      </c>
      <c r="W1898" t="str">
        <f t="shared" ca="1" si="87"/>
        <v>-</v>
      </c>
      <c r="X1898" t="str">
        <f t="shared" ca="1" si="88"/>
        <v xml:space="preserve">              </v>
      </c>
      <c r="Y1898" s="1">
        <f t="shared" ca="1" si="89"/>
        <v>0</v>
      </c>
    </row>
    <row r="1899" spans="1:25" x14ac:dyDescent="0.25">
      <c r="A1899" t="s">
        <v>2855</v>
      </c>
      <c r="B1899">
        <v>-52.1</v>
      </c>
      <c r="C1899">
        <v>0</v>
      </c>
      <c r="D1899">
        <v>0</v>
      </c>
      <c r="E1899">
        <v>0.5</v>
      </c>
      <c r="F1899">
        <v>0</v>
      </c>
      <c r="G1899">
        <v>0</v>
      </c>
      <c r="H1899">
        <v>0</v>
      </c>
      <c r="I1899" t="s">
        <v>1584</v>
      </c>
      <c r="J1899" t="s">
        <v>1585</v>
      </c>
      <c r="K1899" t="s">
        <v>1586</v>
      </c>
      <c r="L1899" t="s">
        <v>1587</v>
      </c>
      <c r="M1899" t="s">
        <v>1587</v>
      </c>
      <c r="N1899" t="s">
        <v>1586</v>
      </c>
      <c r="O1899" t="s">
        <v>1581</v>
      </c>
      <c r="P1899" t="s">
        <v>1581</v>
      </c>
      <c r="Q1899" t="s">
        <v>1581</v>
      </c>
      <c r="R1899" t="s">
        <v>1581</v>
      </c>
      <c r="S1899" t="s">
        <v>1581</v>
      </c>
      <c r="T1899" t="s">
        <v>1581</v>
      </c>
      <c r="U1899" t="s">
        <v>1581</v>
      </c>
      <c r="V1899" t="str" cm="1">
        <f t="array" aca="1" ref="V1899" ca="1">IFERROR(_xlfn.IFS(A1897="  ..............",OFFSET(A1897,2,0),A1896=" X-------------X",OFFSET(A1896,3,0),MATCH("  ..............",A1899:A1908,0)&gt;2,V1898),"-")</f>
        <v xml:space="preserve">  LUPATE-RS069  </v>
      </c>
      <c r="W1899">
        <f t="shared" ca="1" si="87"/>
        <v>1.0189999999999999</v>
      </c>
      <c r="X1899" t="str">
        <f t="shared" ca="1" si="88"/>
        <v xml:space="preserve"> LUPATETAP069 </v>
      </c>
      <c r="Y1899" s="1">
        <f t="shared" ca="1" si="89"/>
        <v>0.77200000000000002</v>
      </c>
    </row>
    <row r="1900" spans="1:25" x14ac:dyDescent="0.25">
      <c r="A1900" t="s">
        <v>1588</v>
      </c>
      <c r="B1900" t="s">
        <v>1587</v>
      </c>
      <c r="C1900">
        <v>30</v>
      </c>
      <c r="D1900">
        <v>43</v>
      </c>
      <c r="E1900">
        <v>43</v>
      </c>
      <c r="F1900" s="1">
        <v>5.5E-2</v>
      </c>
      <c r="G1900" t="s">
        <v>1587</v>
      </c>
      <c r="H1900" t="s">
        <v>1587</v>
      </c>
      <c r="I1900">
        <v>10222</v>
      </c>
      <c r="J1900" t="s">
        <v>1641</v>
      </c>
      <c r="K1900">
        <v>1</v>
      </c>
      <c r="L1900">
        <v>-1.6</v>
      </c>
      <c r="M1900">
        <v>-0.5</v>
      </c>
      <c r="N1900">
        <v>1.6</v>
      </c>
      <c r="O1900" t="s">
        <v>1594</v>
      </c>
      <c r="P1900" t="s">
        <v>1584</v>
      </c>
      <c r="Q1900" t="s">
        <v>1591</v>
      </c>
      <c r="R1900">
        <v>0</v>
      </c>
      <c r="S1900">
        <v>-0.03</v>
      </c>
      <c r="T1900" t="s">
        <v>1584</v>
      </c>
      <c r="U1900" t="s">
        <v>1592</v>
      </c>
      <c r="V1900" t="str" cm="1">
        <f t="array" aca="1" ref="V1900" ca="1">IFERROR(_xlfn.IFS(A1898="  ..............",OFFSET(A1898,2,0),A1897=" X-------------X",OFFSET(A1897,3,0),MATCH("  ..............",A1900:A1909,0)&gt;2,V1899),"-")</f>
        <v>-</v>
      </c>
      <c r="W1900" t="str">
        <f t="shared" ca="1" si="87"/>
        <v>-</v>
      </c>
      <c r="X1900" t="str">
        <f t="shared" ca="1" si="88"/>
        <v>-</v>
      </c>
      <c r="Y1900" s="1" t="str">
        <f t="shared" ca="1" si="89"/>
        <v>-</v>
      </c>
    </row>
    <row r="1901" spans="1:25" x14ac:dyDescent="0.25">
      <c r="A1901" t="s">
        <v>1572</v>
      </c>
      <c r="B1901" t="s">
        <v>1574</v>
      </c>
      <c r="C1901" t="s">
        <v>1574</v>
      </c>
      <c r="D1901" t="s">
        <v>1574</v>
      </c>
      <c r="E1901" t="s">
        <v>1574</v>
      </c>
      <c r="F1901" t="s">
        <v>1575</v>
      </c>
      <c r="G1901" t="s">
        <v>1574</v>
      </c>
      <c r="H1901" t="s">
        <v>1574</v>
      </c>
      <c r="I1901" t="s">
        <v>1576</v>
      </c>
      <c r="J1901" t="s">
        <v>1573</v>
      </c>
      <c r="K1901" t="s">
        <v>1577</v>
      </c>
      <c r="L1901" t="s">
        <v>1574</v>
      </c>
      <c r="M1901" t="s">
        <v>1574</v>
      </c>
      <c r="N1901" t="s">
        <v>1574</v>
      </c>
      <c r="O1901" t="s">
        <v>1578</v>
      </c>
      <c r="P1901" t="s">
        <v>1576</v>
      </c>
      <c r="Q1901" t="s">
        <v>1579</v>
      </c>
      <c r="R1901" t="s">
        <v>1580</v>
      </c>
      <c r="S1901" t="s">
        <v>1580</v>
      </c>
      <c r="T1901" t="s">
        <v>1576</v>
      </c>
      <c r="U1901" t="s">
        <v>1576</v>
      </c>
      <c r="V1901" t="str" cm="1">
        <f t="array" aca="1" ref="V1901" ca="1">IFERROR(_xlfn.IFS(A1899="  ..............",OFFSET(A1899,2,0),A1898=" X-------------X",OFFSET(A1898,3,0),MATCH("  ..............",A1901:A1910,0)&gt;2,V1900),"-")</f>
        <v>-</v>
      </c>
      <c r="W1901" t="str">
        <f t="shared" ca="1" si="87"/>
        <v>-</v>
      </c>
      <c r="X1901" t="str">
        <f t="shared" ca="1" si="88"/>
        <v/>
      </c>
      <c r="Y1901" s="1" t="str">
        <f t="shared" ca="1" si="89"/>
        <v/>
      </c>
    </row>
    <row r="1902" spans="1:25" x14ac:dyDescent="0.25">
      <c r="A1902" t="s">
        <v>2856</v>
      </c>
      <c r="B1902">
        <v>1.0589999999999999</v>
      </c>
      <c r="C1902">
        <v>0</v>
      </c>
      <c r="D1902">
        <v>0</v>
      </c>
      <c r="E1902">
        <v>21.5</v>
      </c>
      <c r="F1902">
        <v>0</v>
      </c>
      <c r="G1902">
        <v>0</v>
      </c>
      <c r="H1902">
        <v>0</v>
      </c>
      <c r="I1902" t="s">
        <v>1581</v>
      </c>
      <c r="J1902" t="s">
        <v>1581</v>
      </c>
      <c r="K1902" t="s">
        <v>1581</v>
      </c>
      <c r="L1902" t="s">
        <v>1581</v>
      </c>
      <c r="M1902" t="s">
        <v>1581</v>
      </c>
      <c r="N1902" t="s">
        <v>1581</v>
      </c>
      <c r="O1902" t="s">
        <v>1581</v>
      </c>
      <c r="P1902" t="s">
        <v>1581</v>
      </c>
      <c r="Q1902" t="s">
        <v>1581</v>
      </c>
      <c r="R1902" t="s">
        <v>1581</v>
      </c>
      <c r="S1902" t="s">
        <v>1581</v>
      </c>
      <c r="T1902" t="s">
        <v>1581</v>
      </c>
      <c r="U1902" t="s">
        <v>1581</v>
      </c>
      <c r="V1902" t="str" cm="1">
        <f t="array" aca="1" ref="V1902" ca="1">IFERROR(_xlfn.IFS(A1900="  ..............",OFFSET(A1900,2,0),A1899=" X-------------X",OFFSET(A1899,3,0),MATCH("  ..............",A1902:A1911,0)&gt;2,V1901),"-")</f>
        <v>-</v>
      </c>
      <c r="W1902" t="str">
        <f t="shared" ca="1" si="87"/>
        <v>-</v>
      </c>
      <c r="X1902" t="str">
        <f t="shared" ca="1" si="88"/>
        <v xml:space="preserve">              </v>
      </c>
      <c r="Y1902" s="1">
        <f t="shared" ca="1" si="89"/>
        <v>0</v>
      </c>
    </row>
    <row r="1903" spans="1:25" x14ac:dyDescent="0.25">
      <c r="A1903" t="s">
        <v>2857</v>
      </c>
      <c r="B1903">
        <v>-50.7</v>
      </c>
      <c r="C1903">
        <v>0</v>
      </c>
      <c r="D1903">
        <v>0</v>
      </c>
      <c r="E1903">
        <v>6</v>
      </c>
      <c r="F1903">
        <v>0</v>
      </c>
      <c r="G1903">
        <v>0</v>
      </c>
      <c r="H1903">
        <v>0</v>
      </c>
      <c r="I1903" t="s">
        <v>1584</v>
      </c>
      <c r="J1903" t="s">
        <v>1585</v>
      </c>
      <c r="K1903" t="s">
        <v>1586</v>
      </c>
      <c r="L1903" t="s">
        <v>1587</v>
      </c>
      <c r="M1903" t="s">
        <v>1587</v>
      </c>
      <c r="N1903" t="s">
        <v>1586</v>
      </c>
      <c r="O1903" t="s">
        <v>1581</v>
      </c>
      <c r="P1903" t="s">
        <v>1581</v>
      </c>
      <c r="Q1903" t="s">
        <v>1581</v>
      </c>
      <c r="R1903" t="s">
        <v>1581</v>
      </c>
      <c r="S1903" t="s">
        <v>1581</v>
      </c>
      <c r="T1903" t="s">
        <v>1581</v>
      </c>
      <c r="U1903" t="s">
        <v>1581</v>
      </c>
      <c r="V1903" t="str" cm="1">
        <f t="array" aca="1" ref="V1903" ca="1">IFERROR(_xlfn.IFS(A1901="  ..............",OFFSET(A1901,2,0),A1900=" X-------------X",OFFSET(A1900,3,0),MATCH("  ..............",A1903:A1912,0)&gt;2,V1902),"-")</f>
        <v xml:space="preserve">  CAX5-C-RS013  </v>
      </c>
      <c r="W1903">
        <f t="shared" ca="1" si="87"/>
        <v>1.0589999999999999</v>
      </c>
      <c r="X1903" t="str">
        <f t="shared" ca="1" si="88"/>
        <v xml:space="preserve"> CAX5-4-RS000 </v>
      </c>
      <c r="Y1903" s="1">
        <f t="shared" ca="1" si="89"/>
        <v>0.42199999999999999</v>
      </c>
    </row>
    <row r="1904" spans="1:25" x14ac:dyDescent="0.25">
      <c r="A1904" t="s">
        <v>1588</v>
      </c>
      <c r="B1904" t="s">
        <v>1587</v>
      </c>
      <c r="C1904">
        <v>50</v>
      </c>
      <c r="D1904">
        <v>60</v>
      </c>
      <c r="E1904">
        <v>60</v>
      </c>
      <c r="F1904" s="1">
        <v>0.42199999999999999</v>
      </c>
      <c r="G1904" t="s">
        <v>1587</v>
      </c>
      <c r="H1904" t="s">
        <v>1587</v>
      </c>
      <c r="I1904">
        <v>43873</v>
      </c>
      <c r="J1904" t="s">
        <v>2858</v>
      </c>
      <c r="K1904">
        <v>4</v>
      </c>
      <c r="L1904">
        <v>-21.5</v>
      </c>
      <c r="M1904">
        <v>-6</v>
      </c>
      <c r="N1904">
        <v>21.1</v>
      </c>
      <c r="O1904" t="s">
        <v>1608</v>
      </c>
      <c r="P1904" t="s">
        <v>1584</v>
      </c>
      <c r="Q1904">
        <v>2</v>
      </c>
      <c r="R1904">
        <v>0.01</v>
      </c>
      <c r="S1904">
        <v>-7.0000000000000007E-2</v>
      </c>
      <c r="T1904" t="s">
        <v>1584</v>
      </c>
      <c r="U1904" t="s">
        <v>1592</v>
      </c>
      <c r="V1904" t="str" cm="1">
        <f t="array" aca="1" ref="V1904" ca="1">IFERROR(_xlfn.IFS(A1902="  ..............",OFFSET(A1902,2,0),A1901=" X-------------X",OFFSET(A1901,3,0),MATCH("  ..............",A1904:A1913,0)&gt;2,V1903),"-")</f>
        <v>-</v>
      </c>
      <c r="W1904" t="str">
        <f t="shared" ca="1" si="87"/>
        <v>-</v>
      </c>
      <c r="X1904" t="str">
        <f t="shared" ca="1" si="88"/>
        <v>-</v>
      </c>
      <c r="Y1904" s="1" t="str">
        <f t="shared" ca="1" si="89"/>
        <v>-</v>
      </c>
    </row>
    <row r="1905" spans="1:25" x14ac:dyDescent="0.25">
      <c r="A1905" t="s">
        <v>1572</v>
      </c>
      <c r="B1905" t="s">
        <v>1574</v>
      </c>
      <c r="C1905" t="s">
        <v>1574</v>
      </c>
      <c r="D1905" t="s">
        <v>1574</v>
      </c>
      <c r="E1905" t="s">
        <v>1574</v>
      </c>
      <c r="F1905" t="s">
        <v>1575</v>
      </c>
      <c r="G1905" t="s">
        <v>1574</v>
      </c>
      <c r="H1905" t="s">
        <v>1574</v>
      </c>
      <c r="I1905" t="s">
        <v>1576</v>
      </c>
      <c r="J1905" t="s">
        <v>1573</v>
      </c>
      <c r="K1905" t="s">
        <v>1577</v>
      </c>
      <c r="L1905" t="s">
        <v>1574</v>
      </c>
      <c r="M1905" t="s">
        <v>1574</v>
      </c>
      <c r="N1905" t="s">
        <v>1574</v>
      </c>
      <c r="O1905" t="s">
        <v>1578</v>
      </c>
      <c r="P1905" t="s">
        <v>1576</v>
      </c>
      <c r="Q1905" t="s">
        <v>1579</v>
      </c>
      <c r="R1905" t="s">
        <v>1580</v>
      </c>
      <c r="S1905" t="s">
        <v>1580</v>
      </c>
      <c r="T1905" t="s">
        <v>1576</v>
      </c>
      <c r="U1905" t="s">
        <v>1576</v>
      </c>
      <c r="V1905" t="str" cm="1">
        <f t="array" aca="1" ref="V1905" ca="1">IFERROR(_xlfn.IFS(A1903="  ..............",OFFSET(A1903,2,0),A1902=" X-------------X",OFFSET(A1902,3,0),MATCH("  ..............",A1905:A1914,0)&gt;2,V1904),"-")</f>
        <v>-</v>
      </c>
      <c r="W1905" t="str">
        <f t="shared" ca="1" si="87"/>
        <v>-</v>
      </c>
      <c r="X1905" t="str">
        <f t="shared" ca="1" si="88"/>
        <v/>
      </c>
      <c r="Y1905" s="1" t="str">
        <f t="shared" ca="1" si="89"/>
        <v/>
      </c>
    </row>
    <row r="1906" spans="1:25" x14ac:dyDescent="0.25">
      <c r="A1906" t="s">
        <v>2859</v>
      </c>
      <c r="B1906">
        <v>1.022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 t="s">
        <v>1581</v>
      </c>
      <c r="J1906" t="s">
        <v>1581</v>
      </c>
      <c r="K1906" t="s">
        <v>1581</v>
      </c>
      <c r="L1906" t="s">
        <v>1581</v>
      </c>
      <c r="M1906" t="s">
        <v>1581</v>
      </c>
      <c r="N1906" t="s">
        <v>1581</v>
      </c>
      <c r="O1906" t="s">
        <v>1581</v>
      </c>
      <c r="P1906" t="s">
        <v>1581</v>
      </c>
      <c r="Q1906" t="s">
        <v>1581</v>
      </c>
      <c r="R1906" t="s">
        <v>1581</v>
      </c>
      <c r="S1906" t="s">
        <v>1581</v>
      </c>
      <c r="T1906" t="s">
        <v>1581</v>
      </c>
      <c r="U1906" t="s">
        <v>1581</v>
      </c>
      <c r="V1906" t="str" cm="1">
        <f t="array" aca="1" ref="V1906" ca="1">IFERROR(_xlfn.IFS(A1904="  ..............",OFFSET(A1904,2,0),A1903=" X-------------X",OFFSET(A1903,3,0),MATCH("  ..............",A1906:A1915,0)&gt;2,V1905),"-")</f>
        <v>-</v>
      </c>
      <c r="W1906" t="str">
        <f t="shared" ca="1" si="87"/>
        <v>-</v>
      </c>
      <c r="X1906" t="str">
        <f t="shared" ca="1" si="88"/>
        <v xml:space="preserve">              </v>
      </c>
      <c r="Y1906" s="1">
        <f t="shared" ca="1" si="89"/>
        <v>0</v>
      </c>
    </row>
    <row r="1907" spans="1:25" x14ac:dyDescent="0.25">
      <c r="A1907" t="s">
        <v>2860</v>
      </c>
      <c r="B1907">
        <v>-50.5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 t="s">
        <v>1584</v>
      </c>
      <c r="J1907" t="s">
        <v>1585</v>
      </c>
      <c r="K1907" t="s">
        <v>1586</v>
      </c>
      <c r="L1907" t="s">
        <v>1587</v>
      </c>
      <c r="M1907" t="s">
        <v>1587</v>
      </c>
      <c r="N1907" t="s">
        <v>1586</v>
      </c>
      <c r="O1907" t="s">
        <v>1581</v>
      </c>
      <c r="P1907" t="s">
        <v>1581</v>
      </c>
      <c r="Q1907" t="s">
        <v>1581</v>
      </c>
      <c r="R1907" t="s">
        <v>1581</v>
      </c>
      <c r="S1907" t="s">
        <v>1581</v>
      </c>
      <c r="T1907" t="s">
        <v>1581</v>
      </c>
      <c r="U1907" t="s">
        <v>1581</v>
      </c>
      <c r="V1907" t="str" cm="1">
        <f t="array" aca="1" ref="V1907" ca="1">IFERROR(_xlfn.IFS(A1905="  ..............",OFFSET(A1905,2,0),A1904=" X-------------X",OFFSET(A1904,3,0),MATCH("  ..............",A1907:A1916,0)&gt;2,V1906),"-")</f>
        <v xml:space="preserve">  TONDO-TAP069  </v>
      </c>
      <c r="W1907">
        <f t="shared" ca="1" si="87"/>
        <v>1.022</v>
      </c>
      <c r="X1907" t="str">
        <f t="shared" ca="1" si="88"/>
        <v xml:space="preserve"> FRASLETAP069 </v>
      </c>
      <c r="Y1907" s="1">
        <f t="shared" ca="1" si="89"/>
        <v>0.19700000000000001</v>
      </c>
    </row>
    <row r="1908" spans="1:25" x14ac:dyDescent="0.25">
      <c r="A1908" t="s">
        <v>1588</v>
      </c>
      <c r="B1908" t="s">
        <v>1587</v>
      </c>
      <c r="C1908">
        <v>75</v>
      </c>
      <c r="D1908">
        <v>90</v>
      </c>
      <c r="E1908">
        <v>90</v>
      </c>
      <c r="F1908" s="1">
        <v>7.0999999999999994E-2</v>
      </c>
      <c r="G1908" t="s">
        <v>1587</v>
      </c>
      <c r="H1908" t="s">
        <v>1587</v>
      </c>
      <c r="I1908">
        <v>9829</v>
      </c>
      <c r="J1908" t="s">
        <v>1680</v>
      </c>
      <c r="K1908">
        <v>1</v>
      </c>
      <c r="L1908">
        <v>-5.2</v>
      </c>
      <c r="M1908">
        <v>-1.6</v>
      </c>
      <c r="N1908">
        <v>5.3</v>
      </c>
      <c r="O1908" t="s">
        <v>1594</v>
      </c>
      <c r="P1908" t="s">
        <v>1584</v>
      </c>
      <c r="Q1908" t="s">
        <v>1591</v>
      </c>
      <c r="R1908">
        <v>0</v>
      </c>
      <c r="S1908">
        <v>0</v>
      </c>
      <c r="T1908" t="s">
        <v>1584</v>
      </c>
      <c r="U1908" t="s">
        <v>1592</v>
      </c>
      <c r="V1908" t="str" cm="1">
        <f t="array" aca="1" ref="V1908" ca="1">IFERROR(_xlfn.IFS(A1906="  ..............",OFFSET(A1906,2,0),A1905=" X-------------X",OFFSET(A1905,3,0),MATCH("  ..............",A1908:A1917,0)&gt;2,V1907),"-")</f>
        <v xml:space="preserve">  TONDO-TAP069  </v>
      </c>
      <c r="W1908">
        <f t="shared" ca="1" si="87"/>
        <v>1.022</v>
      </c>
      <c r="X1908" t="str">
        <f t="shared" ca="1" si="88"/>
        <v xml:space="preserve"> CAXIA8-RS069 </v>
      </c>
      <c r="Y1908" s="1">
        <f t="shared" ca="1" si="89"/>
        <v>0.61199999999999999</v>
      </c>
    </row>
    <row r="1909" spans="1:25" x14ac:dyDescent="0.25">
      <c r="A1909" t="s">
        <v>1637</v>
      </c>
      <c r="B1909" t="s">
        <v>1638</v>
      </c>
      <c r="C1909">
        <v>75</v>
      </c>
      <c r="D1909">
        <v>90</v>
      </c>
      <c r="E1909">
        <v>90</v>
      </c>
      <c r="F1909" t="s">
        <v>1639</v>
      </c>
      <c r="G1909" t="s">
        <v>1587</v>
      </c>
      <c r="H1909" t="s">
        <v>1587</v>
      </c>
      <c r="I1909">
        <v>10221</v>
      </c>
      <c r="J1909" t="s">
        <v>2848</v>
      </c>
      <c r="K1909">
        <v>1</v>
      </c>
      <c r="L1909">
        <v>0</v>
      </c>
      <c r="M1909">
        <v>-0.1</v>
      </c>
      <c r="N1909">
        <v>0.1</v>
      </c>
      <c r="O1909" t="s">
        <v>1594</v>
      </c>
      <c r="P1909" t="s">
        <v>1584</v>
      </c>
      <c r="Q1909" t="s">
        <v>1591</v>
      </c>
      <c r="R1909">
        <v>0</v>
      </c>
      <c r="S1909">
        <v>-0.06</v>
      </c>
      <c r="T1909">
        <v>1.022</v>
      </c>
      <c r="U1909">
        <v>-50.5</v>
      </c>
      <c r="V1909" t="str" cm="1">
        <f t="array" aca="1" ref="V1909" ca="1">IFERROR(_xlfn.IFS(A1907="  ..............",OFFSET(A1907,2,0),A1906=" X-------------X",OFFSET(A1906,3,0),MATCH("  ..............",A1909:A1918,0)&gt;2,V1908),"-")</f>
        <v xml:space="preserve">  TONDO-TAP069  </v>
      </c>
      <c r="W1909">
        <f t="shared" ca="1" si="87"/>
        <v>1.022</v>
      </c>
      <c r="X1909" t="str">
        <f t="shared" ca="1" si="88"/>
        <v xml:space="preserve"> TONDO--RS069 </v>
      </c>
      <c r="Y1909" s="1">
        <f t="shared" ca="1" si="89"/>
        <v>0.08</v>
      </c>
    </row>
    <row r="1910" spans="1:25" x14ac:dyDescent="0.25">
      <c r="A1910" t="s">
        <v>1588</v>
      </c>
      <c r="B1910" t="s">
        <v>1587</v>
      </c>
      <c r="C1910">
        <v>67</v>
      </c>
      <c r="D1910">
        <v>81</v>
      </c>
      <c r="E1910">
        <v>81</v>
      </c>
      <c r="F1910" s="1">
        <v>0.08</v>
      </c>
      <c r="G1910" t="s">
        <v>1587</v>
      </c>
      <c r="H1910" t="s">
        <v>1587</v>
      </c>
      <c r="I1910">
        <v>10228</v>
      </c>
      <c r="J1910" t="s">
        <v>2861</v>
      </c>
      <c r="K1910">
        <v>1</v>
      </c>
      <c r="L1910">
        <v>5.2</v>
      </c>
      <c r="M1910">
        <v>1.7</v>
      </c>
      <c r="N1910">
        <v>5.3</v>
      </c>
      <c r="O1910" t="s">
        <v>1594</v>
      </c>
      <c r="P1910" t="s">
        <v>1584</v>
      </c>
      <c r="Q1910" t="s">
        <v>1591</v>
      </c>
      <c r="R1910">
        <v>0</v>
      </c>
      <c r="S1910">
        <v>-0.01</v>
      </c>
      <c r="T1910" t="s">
        <v>1584</v>
      </c>
      <c r="U1910" t="s">
        <v>1592</v>
      </c>
      <c r="V1910" t="str" cm="1">
        <f t="array" aca="1" ref="V1910" ca="1">IFERROR(_xlfn.IFS(A1908="  ..............",OFFSET(A1908,2,0),A1907=" X-------------X",OFFSET(A1907,3,0),MATCH("  ..............",A1910:A1919,0)&gt;2,V1909),"-")</f>
        <v>-</v>
      </c>
      <c r="W1910" t="str">
        <f t="shared" ca="1" si="87"/>
        <v>-</v>
      </c>
      <c r="X1910" t="str">
        <f t="shared" ca="1" si="88"/>
        <v>-</v>
      </c>
      <c r="Y1910" s="1" t="str">
        <f t="shared" ca="1" si="89"/>
        <v>-</v>
      </c>
    </row>
    <row r="1911" spans="1:25" x14ac:dyDescent="0.25">
      <c r="A1911" t="s">
        <v>1572</v>
      </c>
      <c r="B1911" t="s">
        <v>1574</v>
      </c>
      <c r="C1911" t="s">
        <v>1574</v>
      </c>
      <c r="D1911" t="s">
        <v>1574</v>
      </c>
      <c r="E1911" t="s">
        <v>1574</v>
      </c>
      <c r="F1911" t="s">
        <v>1575</v>
      </c>
      <c r="G1911" t="s">
        <v>1574</v>
      </c>
      <c r="H1911" t="s">
        <v>1574</v>
      </c>
      <c r="I1911" t="s">
        <v>1576</v>
      </c>
      <c r="J1911" t="s">
        <v>1573</v>
      </c>
      <c r="K1911" t="s">
        <v>1577</v>
      </c>
      <c r="L1911" t="s">
        <v>1574</v>
      </c>
      <c r="M1911" t="s">
        <v>1574</v>
      </c>
      <c r="N1911" t="s">
        <v>1574</v>
      </c>
      <c r="O1911" t="s">
        <v>1578</v>
      </c>
      <c r="P1911" t="s">
        <v>1576</v>
      </c>
      <c r="Q1911" t="s">
        <v>1579</v>
      </c>
      <c r="R1911" t="s">
        <v>1580</v>
      </c>
      <c r="S1911" t="s">
        <v>1580</v>
      </c>
      <c r="T1911" t="s">
        <v>1576</v>
      </c>
      <c r="U1911" t="s">
        <v>1576</v>
      </c>
      <c r="V1911" t="str" cm="1">
        <f t="array" aca="1" ref="V1911" ca="1">IFERROR(_xlfn.IFS(A1909="  ..............",OFFSET(A1909,2,0),A1908=" X-------------X",OFFSET(A1908,3,0),MATCH("  ..............",A1911:A1920,0)&gt;2,V1910),"-")</f>
        <v>-</v>
      </c>
      <c r="W1911" t="str">
        <f t="shared" ca="1" si="87"/>
        <v>-</v>
      </c>
      <c r="X1911" t="str">
        <f t="shared" ca="1" si="88"/>
        <v/>
      </c>
      <c r="Y1911" s="1" t="str">
        <f t="shared" ca="1" si="89"/>
        <v/>
      </c>
    </row>
    <row r="1912" spans="1:25" x14ac:dyDescent="0.25">
      <c r="A1912" t="s">
        <v>2862</v>
      </c>
      <c r="B1912">
        <v>1.022</v>
      </c>
      <c r="C1912">
        <v>0</v>
      </c>
      <c r="D1912">
        <v>0</v>
      </c>
      <c r="E1912">
        <v>5.2</v>
      </c>
      <c r="F1912">
        <v>0</v>
      </c>
      <c r="G1912">
        <v>0</v>
      </c>
      <c r="H1912">
        <v>0</v>
      </c>
      <c r="I1912" t="s">
        <v>1581</v>
      </c>
      <c r="J1912" t="s">
        <v>1581</v>
      </c>
      <c r="K1912" t="s">
        <v>1581</v>
      </c>
      <c r="L1912" t="s">
        <v>1581</v>
      </c>
      <c r="M1912" t="s">
        <v>1581</v>
      </c>
      <c r="N1912" t="s">
        <v>1581</v>
      </c>
      <c r="O1912" t="s">
        <v>1581</v>
      </c>
      <c r="P1912" t="s">
        <v>1581</v>
      </c>
      <c r="Q1912" t="s">
        <v>1581</v>
      </c>
      <c r="R1912" t="s">
        <v>1581</v>
      </c>
      <c r="S1912" t="s">
        <v>1581</v>
      </c>
      <c r="T1912" t="s">
        <v>1581</v>
      </c>
      <c r="U1912" t="s">
        <v>1581</v>
      </c>
      <c r="V1912" t="str" cm="1">
        <f t="array" aca="1" ref="V1912" ca="1">IFERROR(_xlfn.IFS(A1910="  ..............",OFFSET(A1910,2,0),A1909=" X-------------X",OFFSET(A1909,3,0),MATCH("  ..............",A1912:A1921,0)&gt;2,V1911),"-")</f>
        <v>-</v>
      </c>
      <c r="W1912" t="str">
        <f t="shared" ca="1" si="87"/>
        <v>-</v>
      </c>
      <c r="X1912" t="str">
        <f t="shared" ca="1" si="88"/>
        <v xml:space="preserve">              </v>
      </c>
      <c r="Y1912" s="1">
        <f t="shared" ca="1" si="89"/>
        <v>0</v>
      </c>
    </row>
    <row r="1913" spans="1:25" x14ac:dyDescent="0.25">
      <c r="A1913" t="s">
        <v>2863</v>
      </c>
      <c r="B1913">
        <v>-50.5</v>
      </c>
      <c r="C1913">
        <v>0</v>
      </c>
      <c r="D1913">
        <v>0</v>
      </c>
      <c r="E1913">
        <v>1.7</v>
      </c>
      <c r="F1913">
        <v>0</v>
      </c>
      <c r="G1913">
        <v>0</v>
      </c>
      <c r="H1913">
        <v>0</v>
      </c>
      <c r="I1913" t="s">
        <v>1584</v>
      </c>
      <c r="J1913" t="s">
        <v>1585</v>
      </c>
      <c r="K1913" t="s">
        <v>1586</v>
      </c>
      <c r="L1913" t="s">
        <v>1587</v>
      </c>
      <c r="M1913" t="s">
        <v>1587</v>
      </c>
      <c r="N1913" t="s">
        <v>1586</v>
      </c>
      <c r="O1913" t="s">
        <v>1581</v>
      </c>
      <c r="P1913" t="s">
        <v>1581</v>
      </c>
      <c r="Q1913" t="s">
        <v>1581</v>
      </c>
      <c r="R1913" t="s">
        <v>1581</v>
      </c>
      <c r="S1913" t="s">
        <v>1581</v>
      </c>
      <c r="T1913" t="s">
        <v>1581</v>
      </c>
      <c r="U1913" t="s">
        <v>1581</v>
      </c>
      <c r="V1913" t="str" cm="1">
        <f t="array" aca="1" ref="V1913" ca="1">IFERROR(_xlfn.IFS(A1911="  ..............",OFFSET(A1911,2,0),A1910=" X-------------X",OFFSET(A1910,3,0),MATCH("  ..............",A1913:A1922,0)&gt;2,V1912),"-")</f>
        <v xml:space="preserve">  TONDO--RS069  </v>
      </c>
      <c r="W1913">
        <f t="shared" ca="1" si="87"/>
        <v>1.022</v>
      </c>
      <c r="X1913" t="str">
        <f t="shared" ca="1" si="88"/>
        <v xml:space="preserve"> TONDO-TAP069 </v>
      </c>
      <c r="Y1913" s="1">
        <f t="shared" ca="1" si="89"/>
        <v>7.0999999999999994E-2</v>
      </c>
    </row>
    <row r="1914" spans="1:25" x14ac:dyDescent="0.25">
      <c r="A1914" t="s">
        <v>1588</v>
      </c>
      <c r="B1914" t="s">
        <v>1587</v>
      </c>
      <c r="C1914">
        <v>67</v>
      </c>
      <c r="D1914">
        <v>81</v>
      </c>
      <c r="E1914">
        <v>81</v>
      </c>
      <c r="F1914" s="1">
        <v>0.08</v>
      </c>
      <c r="G1914" t="s">
        <v>1587</v>
      </c>
      <c r="H1914" t="s">
        <v>1587</v>
      </c>
      <c r="I1914">
        <v>10227</v>
      </c>
      <c r="J1914" t="s">
        <v>2743</v>
      </c>
      <c r="K1914">
        <v>1</v>
      </c>
      <c r="L1914">
        <v>-5.2</v>
      </c>
      <c r="M1914">
        <v>-1.7</v>
      </c>
      <c r="N1914">
        <v>5.4</v>
      </c>
      <c r="O1914" t="s">
        <v>1594</v>
      </c>
      <c r="P1914" t="s">
        <v>1584</v>
      </c>
      <c r="Q1914" t="s">
        <v>1591</v>
      </c>
      <c r="R1914">
        <v>0</v>
      </c>
      <c r="S1914">
        <v>-0.01</v>
      </c>
      <c r="T1914" t="s">
        <v>1584</v>
      </c>
      <c r="U1914" t="s">
        <v>1592</v>
      </c>
      <c r="V1914" t="str" cm="1">
        <f t="array" aca="1" ref="V1914" ca="1">IFERROR(_xlfn.IFS(A1912="  ..............",OFFSET(A1912,2,0),A1911=" X-------------X",OFFSET(A1911,3,0),MATCH("  ..............",A1914:A1923,0)&gt;2,V1913),"-")</f>
        <v>-</v>
      </c>
      <c r="W1914" t="str">
        <f t="shared" ca="1" si="87"/>
        <v>-</v>
      </c>
      <c r="X1914" t="str">
        <f t="shared" ca="1" si="88"/>
        <v>-</v>
      </c>
      <c r="Y1914" s="1" t="str">
        <f t="shared" ca="1" si="89"/>
        <v>-</v>
      </c>
    </row>
    <row r="1915" spans="1:25" x14ac:dyDescent="0.25">
      <c r="A1915" t="s">
        <v>1572</v>
      </c>
      <c r="B1915" t="s">
        <v>1574</v>
      </c>
      <c r="C1915" t="s">
        <v>1574</v>
      </c>
      <c r="D1915" t="s">
        <v>1574</v>
      </c>
      <c r="E1915" t="s">
        <v>1574</v>
      </c>
      <c r="F1915" t="s">
        <v>1575</v>
      </c>
      <c r="G1915" t="s">
        <v>1574</v>
      </c>
      <c r="H1915" t="s">
        <v>1574</v>
      </c>
      <c r="I1915" t="s">
        <v>1576</v>
      </c>
      <c r="J1915" t="s">
        <v>1573</v>
      </c>
      <c r="K1915" t="s">
        <v>1577</v>
      </c>
      <c r="L1915" t="s">
        <v>1574</v>
      </c>
      <c r="M1915" t="s">
        <v>1574</v>
      </c>
      <c r="N1915" t="s">
        <v>1574</v>
      </c>
      <c r="O1915" t="s">
        <v>1578</v>
      </c>
      <c r="P1915" t="s">
        <v>1576</v>
      </c>
      <c r="Q1915" t="s">
        <v>1579</v>
      </c>
      <c r="R1915" t="s">
        <v>1580</v>
      </c>
      <c r="S1915" t="s">
        <v>1580</v>
      </c>
      <c r="T1915" t="s">
        <v>1576</v>
      </c>
      <c r="U1915" t="s">
        <v>1576</v>
      </c>
      <c r="V1915" t="str" cm="1">
        <f t="array" aca="1" ref="V1915" ca="1">IFERROR(_xlfn.IFS(A1913="  ..............",OFFSET(A1913,2,0),A1912=" X-------------X",OFFSET(A1912,3,0),MATCH("  ..............",A1915:A1924,0)&gt;2,V1914),"-")</f>
        <v>-</v>
      </c>
      <c r="W1915" t="str">
        <f t="shared" ca="1" si="87"/>
        <v>-</v>
      </c>
      <c r="X1915" t="str">
        <f t="shared" ca="1" si="88"/>
        <v/>
      </c>
      <c r="Y1915" s="1" t="str">
        <f t="shared" ca="1" si="89"/>
        <v/>
      </c>
    </row>
    <row r="1916" spans="1:25" x14ac:dyDescent="0.25">
      <c r="A1916" t="s">
        <v>2864</v>
      </c>
      <c r="B1916">
        <v>1.016</v>
      </c>
      <c r="C1916">
        <v>0</v>
      </c>
      <c r="D1916">
        <v>0</v>
      </c>
      <c r="E1916">
        <v>5.0999999999999996</v>
      </c>
      <c r="F1916">
        <v>0</v>
      </c>
      <c r="G1916">
        <v>0</v>
      </c>
      <c r="H1916">
        <v>0</v>
      </c>
      <c r="I1916" t="s">
        <v>1581</v>
      </c>
      <c r="J1916" t="s">
        <v>1581</v>
      </c>
      <c r="K1916" t="s">
        <v>1581</v>
      </c>
      <c r="L1916" t="s">
        <v>1581</v>
      </c>
      <c r="M1916" t="s">
        <v>1581</v>
      </c>
      <c r="N1916" t="s">
        <v>1581</v>
      </c>
      <c r="O1916" t="s">
        <v>1581</v>
      </c>
      <c r="P1916" t="s">
        <v>1581</v>
      </c>
      <c r="Q1916" t="s">
        <v>1581</v>
      </c>
      <c r="R1916" t="s">
        <v>1581</v>
      </c>
      <c r="S1916" t="s">
        <v>1581</v>
      </c>
      <c r="T1916" t="s">
        <v>1581</v>
      </c>
      <c r="U1916" t="s">
        <v>1581</v>
      </c>
      <c r="V1916" t="str" cm="1">
        <f t="array" aca="1" ref="V1916" ca="1">IFERROR(_xlfn.IFS(A1914="  ..............",OFFSET(A1914,2,0),A1913=" X-------------X",OFFSET(A1913,3,0),MATCH("  ..............",A1916:A1925,0)&gt;2,V1915),"-")</f>
        <v>-</v>
      </c>
      <c r="W1916" t="str">
        <f t="shared" ca="1" si="87"/>
        <v>-</v>
      </c>
      <c r="X1916" t="str">
        <f t="shared" ca="1" si="88"/>
        <v xml:space="preserve">              </v>
      </c>
      <c r="Y1916" s="1">
        <f t="shared" ca="1" si="89"/>
        <v>0</v>
      </c>
    </row>
    <row r="1917" spans="1:25" x14ac:dyDescent="0.25">
      <c r="A1917" t="s">
        <v>2865</v>
      </c>
      <c r="B1917">
        <v>-54.6</v>
      </c>
      <c r="C1917">
        <v>0</v>
      </c>
      <c r="D1917">
        <v>0</v>
      </c>
      <c r="E1917">
        <v>2.2000000000000002</v>
      </c>
      <c r="F1917">
        <v>0</v>
      </c>
      <c r="G1917">
        <v>0</v>
      </c>
      <c r="H1917">
        <v>0</v>
      </c>
      <c r="I1917" t="s">
        <v>1584</v>
      </c>
      <c r="J1917" t="s">
        <v>1585</v>
      </c>
      <c r="K1917" t="s">
        <v>1586</v>
      </c>
      <c r="L1917" t="s">
        <v>1587</v>
      </c>
      <c r="M1917" t="s">
        <v>1587</v>
      </c>
      <c r="N1917" t="s">
        <v>1586</v>
      </c>
      <c r="O1917" t="s">
        <v>1581</v>
      </c>
      <c r="P1917" t="s">
        <v>1581</v>
      </c>
      <c r="Q1917" t="s">
        <v>1581</v>
      </c>
      <c r="R1917" t="s">
        <v>1581</v>
      </c>
      <c r="S1917" t="s">
        <v>1581</v>
      </c>
      <c r="T1917" t="s">
        <v>1581</v>
      </c>
      <c r="U1917" t="s">
        <v>1581</v>
      </c>
      <c r="V1917" t="str" cm="1">
        <f t="array" aca="1" ref="V1917" ca="1">IFERROR(_xlfn.IFS(A1915="  ..............",OFFSET(A1915,2,0),A1914=" X-------------X",OFFSET(A1914,3,0),MATCH("  ..............",A1917:A1926,0)&gt;2,V1916),"-")</f>
        <v xml:space="preserve">  UFRGS--RS069  </v>
      </c>
      <c r="W1917">
        <f t="shared" ca="1" si="87"/>
        <v>1.016</v>
      </c>
      <c r="X1917" t="str">
        <f t="shared" ca="1" si="88"/>
        <v xml:space="preserve"> PALGR6-RS069 </v>
      </c>
      <c r="Y1917" s="1">
        <f t="shared" ca="1" si="89"/>
        <v>0.185</v>
      </c>
    </row>
    <row r="1918" spans="1:25" x14ac:dyDescent="0.25">
      <c r="A1918" t="s">
        <v>1588</v>
      </c>
      <c r="B1918" t="s">
        <v>1587</v>
      </c>
      <c r="C1918">
        <v>30</v>
      </c>
      <c r="D1918">
        <v>35</v>
      </c>
      <c r="E1918">
        <v>35</v>
      </c>
      <c r="F1918" s="1">
        <v>0.182</v>
      </c>
      <c r="G1918" t="s">
        <v>1587</v>
      </c>
      <c r="H1918" t="s">
        <v>1587</v>
      </c>
      <c r="I1918">
        <v>1262</v>
      </c>
      <c r="J1918" t="s">
        <v>2438</v>
      </c>
      <c r="K1918">
        <v>1</v>
      </c>
      <c r="L1918">
        <v>-5.0999999999999996</v>
      </c>
      <c r="M1918">
        <v>-2.2000000000000002</v>
      </c>
      <c r="N1918">
        <v>5.5</v>
      </c>
      <c r="O1918" t="s">
        <v>1594</v>
      </c>
      <c r="P1918" t="s">
        <v>1584</v>
      </c>
      <c r="Q1918" t="s">
        <v>1591</v>
      </c>
      <c r="R1918">
        <v>0</v>
      </c>
      <c r="S1918">
        <v>-0.49</v>
      </c>
      <c r="T1918" t="s">
        <v>1584</v>
      </c>
      <c r="U1918" t="s">
        <v>1592</v>
      </c>
      <c r="V1918" t="str" cm="1">
        <f t="array" aca="1" ref="V1918" ca="1">IFERROR(_xlfn.IFS(A1916="  ..............",OFFSET(A1916,2,0),A1915=" X-------------X",OFFSET(A1915,3,0),MATCH("  ..............",A1918:A1927,0)&gt;2,V1917),"-")</f>
        <v>-</v>
      </c>
      <c r="W1918" t="str">
        <f t="shared" ca="1" si="87"/>
        <v>-</v>
      </c>
      <c r="X1918" t="str">
        <f t="shared" ca="1" si="88"/>
        <v>-</v>
      </c>
      <c r="Y1918" s="1" t="str">
        <f t="shared" ca="1" si="89"/>
        <v>-</v>
      </c>
    </row>
    <row r="1919" spans="1:25" x14ac:dyDescent="0.25">
      <c r="A1919" t="s">
        <v>1572</v>
      </c>
      <c r="B1919" t="s">
        <v>1574</v>
      </c>
      <c r="C1919" t="s">
        <v>1574</v>
      </c>
      <c r="D1919" t="s">
        <v>1574</v>
      </c>
      <c r="E1919" t="s">
        <v>1574</v>
      </c>
      <c r="F1919" t="s">
        <v>1575</v>
      </c>
      <c r="G1919" t="s">
        <v>1574</v>
      </c>
      <c r="H1919" t="s">
        <v>1574</v>
      </c>
      <c r="I1919" t="s">
        <v>1576</v>
      </c>
      <c r="J1919" t="s">
        <v>1573</v>
      </c>
      <c r="K1919" t="s">
        <v>1577</v>
      </c>
      <c r="L1919" t="s">
        <v>1574</v>
      </c>
      <c r="M1919" t="s">
        <v>1574</v>
      </c>
      <c r="N1919" t="s">
        <v>1574</v>
      </c>
      <c r="O1919" t="s">
        <v>1578</v>
      </c>
      <c r="P1919" t="s">
        <v>1576</v>
      </c>
      <c r="Q1919" t="s">
        <v>1579</v>
      </c>
      <c r="R1919" t="s">
        <v>1580</v>
      </c>
      <c r="S1919" t="s">
        <v>1580</v>
      </c>
      <c r="T1919" t="s">
        <v>1576</v>
      </c>
      <c r="U1919" t="s">
        <v>1576</v>
      </c>
      <c r="V1919" t="str" cm="1">
        <f t="array" aca="1" ref="V1919" ca="1">IFERROR(_xlfn.IFS(A1917="  ..............",OFFSET(A1917,2,0),A1916=" X-------------X",OFFSET(A1916,3,0),MATCH("  ..............",A1919:A1928,0)&gt;2,V1918),"-")</f>
        <v>-</v>
      </c>
      <c r="W1919" t="str">
        <f t="shared" ca="1" si="87"/>
        <v>-</v>
      </c>
      <c r="X1919" t="str">
        <f t="shared" ca="1" si="88"/>
        <v/>
      </c>
      <c r="Y1919" s="1" t="str">
        <f t="shared" ca="1" si="89"/>
        <v/>
      </c>
    </row>
    <row r="1920" spans="1:25" x14ac:dyDescent="0.25">
      <c r="A1920" t="s">
        <v>2866</v>
      </c>
      <c r="B1920">
        <v>1.0109999999999999</v>
      </c>
      <c r="C1920">
        <v>0</v>
      </c>
      <c r="D1920">
        <v>0</v>
      </c>
      <c r="E1920">
        <v>5.5</v>
      </c>
      <c r="F1920">
        <v>0</v>
      </c>
      <c r="G1920">
        <v>0</v>
      </c>
      <c r="H1920">
        <v>0</v>
      </c>
      <c r="I1920" t="s">
        <v>1581</v>
      </c>
      <c r="J1920" t="s">
        <v>1581</v>
      </c>
      <c r="K1920" t="s">
        <v>1581</v>
      </c>
      <c r="L1920" t="s">
        <v>1581</v>
      </c>
      <c r="M1920" t="s">
        <v>1581</v>
      </c>
      <c r="N1920" t="s">
        <v>1581</v>
      </c>
      <c r="O1920" t="s">
        <v>1581</v>
      </c>
      <c r="P1920" t="s">
        <v>1581</v>
      </c>
      <c r="Q1920" t="s">
        <v>1581</v>
      </c>
      <c r="R1920" t="s">
        <v>1581</v>
      </c>
      <c r="S1920" t="s">
        <v>1581</v>
      </c>
      <c r="T1920" t="s">
        <v>1581</v>
      </c>
      <c r="U1920" t="s">
        <v>1581</v>
      </c>
      <c r="V1920" t="str" cm="1">
        <f t="array" aca="1" ref="V1920" ca="1">IFERROR(_xlfn.IFS(A1918="  ..............",OFFSET(A1918,2,0),A1917=" X-------------X",OFFSET(A1917,3,0),MATCH("  ..............",A1920:A1929,0)&gt;2,V1919),"-")</f>
        <v>-</v>
      </c>
      <c r="W1920" t="str">
        <f t="shared" ca="1" si="87"/>
        <v>-</v>
      </c>
      <c r="X1920" t="str">
        <f t="shared" ca="1" si="88"/>
        <v xml:space="preserve">              </v>
      </c>
      <c r="Y1920" s="1">
        <f t="shared" ca="1" si="89"/>
        <v>0</v>
      </c>
    </row>
    <row r="1921" spans="1:25" x14ac:dyDescent="0.25">
      <c r="A1921" t="s">
        <v>2867</v>
      </c>
      <c r="B1921">
        <v>-55.1</v>
      </c>
      <c r="C1921">
        <v>0</v>
      </c>
      <c r="D1921">
        <v>0</v>
      </c>
      <c r="E1921">
        <v>2.2000000000000002</v>
      </c>
      <c r="F1921">
        <v>0</v>
      </c>
      <c r="G1921">
        <v>0</v>
      </c>
      <c r="H1921">
        <v>0</v>
      </c>
      <c r="I1921" t="s">
        <v>1584</v>
      </c>
      <c r="J1921" t="s">
        <v>1585</v>
      </c>
      <c r="K1921" t="s">
        <v>1586</v>
      </c>
      <c r="L1921" t="s">
        <v>1587</v>
      </c>
      <c r="M1921" t="s">
        <v>1587</v>
      </c>
      <c r="N1921" t="s">
        <v>1586</v>
      </c>
      <c r="O1921" t="s">
        <v>1581</v>
      </c>
      <c r="P1921" t="s">
        <v>1581</v>
      </c>
      <c r="Q1921" t="s">
        <v>1581</v>
      </c>
      <c r="R1921" t="s">
        <v>1581</v>
      </c>
      <c r="S1921" t="s">
        <v>1581</v>
      </c>
      <c r="T1921" t="s">
        <v>1581</v>
      </c>
      <c r="U1921" t="s">
        <v>1581</v>
      </c>
      <c r="V1921" t="str" cm="1">
        <f t="array" aca="1" ref="V1921" ca="1">IFERROR(_xlfn.IFS(A1919="  ..............",OFFSET(A1919,2,0),A1918=" X-------------X",OFFSET(A1918,3,0),MATCH("  ..............",A1921:A1930,0)&gt;2,V1920),"-")</f>
        <v xml:space="preserve">  FRAPOR-RS069  </v>
      </c>
      <c r="W1921">
        <f t="shared" ca="1" si="87"/>
        <v>1.0109999999999999</v>
      </c>
      <c r="X1921" t="str">
        <f t="shared" ca="1" si="88"/>
        <v xml:space="preserve"> PALE20-RS069 </v>
      </c>
      <c r="Y1921" s="1">
        <f t="shared" ca="1" si="89"/>
        <v>0.48199999999999998</v>
      </c>
    </row>
    <row r="1922" spans="1:25" x14ac:dyDescent="0.25">
      <c r="A1922" t="s">
        <v>1588</v>
      </c>
      <c r="B1922" t="s">
        <v>1587</v>
      </c>
      <c r="C1922">
        <v>80</v>
      </c>
      <c r="D1922">
        <v>95</v>
      </c>
      <c r="E1922">
        <v>95</v>
      </c>
      <c r="F1922" s="1">
        <v>7.2999999999999995E-2</v>
      </c>
      <c r="G1922" t="s">
        <v>1587</v>
      </c>
      <c r="H1922" t="s">
        <v>1587</v>
      </c>
      <c r="I1922">
        <v>9256</v>
      </c>
      <c r="J1922" t="s">
        <v>2384</v>
      </c>
      <c r="K1922">
        <v>1</v>
      </c>
      <c r="L1922">
        <v>-5.5</v>
      </c>
      <c r="M1922">
        <v>-2.2000000000000002</v>
      </c>
      <c r="N1922">
        <v>5.9</v>
      </c>
      <c r="O1922" t="s">
        <v>1594</v>
      </c>
      <c r="P1922" t="s">
        <v>1584</v>
      </c>
      <c r="Q1922" t="s">
        <v>1591</v>
      </c>
      <c r="R1922">
        <v>0</v>
      </c>
      <c r="S1922">
        <v>-0.05</v>
      </c>
      <c r="T1922" t="s">
        <v>1584</v>
      </c>
      <c r="U1922" t="s">
        <v>1592</v>
      </c>
      <c r="V1922" t="str" cm="1">
        <f t="array" aca="1" ref="V1922" ca="1">IFERROR(_xlfn.IFS(A1920="  ..............",OFFSET(A1920,2,0),A1919=" X-------------X",OFFSET(A1919,3,0),MATCH("  ..............",A1922:A1931,0)&gt;2,V1921),"-")</f>
        <v>-</v>
      </c>
      <c r="W1922" t="str">
        <f t="shared" ca="1" si="87"/>
        <v>-</v>
      </c>
      <c r="X1922" t="str">
        <f t="shared" ca="1" si="88"/>
        <v>-</v>
      </c>
      <c r="Y1922" s="1" t="str">
        <f t="shared" ca="1" si="89"/>
        <v>-</v>
      </c>
    </row>
    <row r="1923" spans="1:25" x14ac:dyDescent="0.25">
      <c r="A1923" t="s">
        <v>1572</v>
      </c>
      <c r="B1923" t="s">
        <v>1574</v>
      </c>
      <c r="C1923" t="s">
        <v>1574</v>
      </c>
      <c r="D1923" t="s">
        <v>1574</v>
      </c>
      <c r="E1923" t="s">
        <v>1574</v>
      </c>
      <c r="F1923" t="s">
        <v>1575</v>
      </c>
      <c r="G1923" t="s">
        <v>1574</v>
      </c>
      <c r="H1923" t="s">
        <v>1574</v>
      </c>
      <c r="I1923" t="s">
        <v>1576</v>
      </c>
      <c r="J1923" t="s">
        <v>1573</v>
      </c>
      <c r="K1923" t="s">
        <v>1577</v>
      </c>
      <c r="L1923" t="s">
        <v>1574</v>
      </c>
      <c r="M1923" t="s">
        <v>1574</v>
      </c>
      <c r="N1923" t="s">
        <v>1574</v>
      </c>
      <c r="O1923" t="s">
        <v>1578</v>
      </c>
      <c r="P1923" t="s">
        <v>1576</v>
      </c>
      <c r="Q1923" t="s">
        <v>1579</v>
      </c>
      <c r="R1923" t="s">
        <v>1580</v>
      </c>
      <c r="S1923" t="s">
        <v>1580</v>
      </c>
      <c r="T1923" t="s">
        <v>1576</v>
      </c>
      <c r="U1923" t="s">
        <v>1576</v>
      </c>
      <c r="V1923" t="str" cm="1">
        <f t="array" aca="1" ref="V1923" ca="1">IFERROR(_xlfn.IFS(A1921="  ..............",OFFSET(A1921,2,0),A1920=" X-------------X",OFFSET(A1920,3,0),MATCH("  ..............",A1923:A1932,0)&gt;2,V1922),"-")</f>
        <v>-</v>
      </c>
      <c r="W1923" t="str">
        <f t="shared" ca="1" si="87"/>
        <v>-</v>
      </c>
      <c r="X1923" t="str">
        <f t="shared" ca="1" si="88"/>
        <v/>
      </c>
      <c r="Y1923" s="1" t="str">
        <f t="shared" ca="1" si="89"/>
        <v/>
      </c>
    </row>
    <row r="1924" spans="1:25" x14ac:dyDescent="0.25">
      <c r="A1924" t="s">
        <v>2868</v>
      </c>
      <c r="B1924">
        <v>1.0169999999999999</v>
      </c>
      <c r="C1924">
        <v>5.9</v>
      </c>
      <c r="D1924">
        <v>0</v>
      </c>
      <c r="E1924">
        <v>59.1</v>
      </c>
      <c r="F1924">
        <v>0</v>
      </c>
      <c r="G1924">
        <v>0</v>
      </c>
      <c r="H1924">
        <v>0</v>
      </c>
      <c r="I1924" t="s">
        <v>1581</v>
      </c>
      <c r="J1924" t="s">
        <v>1581</v>
      </c>
      <c r="K1924" t="s">
        <v>1581</v>
      </c>
      <c r="L1924" t="s">
        <v>1581</v>
      </c>
      <c r="M1924" t="s">
        <v>1581</v>
      </c>
      <c r="N1924" t="s">
        <v>1581</v>
      </c>
      <c r="O1924" t="s">
        <v>1581</v>
      </c>
      <c r="P1924" t="s">
        <v>1581</v>
      </c>
      <c r="Q1924" t="s">
        <v>1581</v>
      </c>
      <c r="R1924" t="s">
        <v>1581</v>
      </c>
      <c r="S1924" t="s">
        <v>1581</v>
      </c>
      <c r="T1924" t="s">
        <v>1581</v>
      </c>
      <c r="U1924" t="s">
        <v>1581</v>
      </c>
      <c r="V1924" t="str" cm="1">
        <f t="array" aca="1" ref="V1924" ca="1">IFERROR(_xlfn.IFS(A1922="  ..............",OFFSET(A1922,2,0),A1921=" X-------------X",OFFSET(A1921,3,0),MATCH("  ..............",A1924:A1933,0)&gt;2,V1923),"-")</f>
        <v>-</v>
      </c>
      <c r="W1924" t="str">
        <f t="shared" ref="W1924:W1987" ca="1" si="90">IFERROR(OFFSET($A$1,MATCH(V1924,A:A,0)-2,1),"-")</f>
        <v>-</v>
      </c>
      <c r="X1924" t="str">
        <f t="shared" ref="X1924:X1987" ca="1" si="91">IFERROR(IF(V1924=V1923,OFFSET($J$1,ROW(X1924),0),OFFSET($J$1,MATCH(V1924,A:A,0),0)),"-")</f>
        <v xml:space="preserve">              </v>
      </c>
      <c r="Y1924" s="1">
        <f t="shared" ref="Y1924:Y1987" ca="1" si="92">IFERROR(OFFSET($F$1,MATCH(X1924,J:J,0)-1,0),"-")</f>
        <v>0</v>
      </c>
    </row>
    <row r="1925" spans="1:25" x14ac:dyDescent="0.25">
      <c r="A1925" t="s">
        <v>2869</v>
      </c>
      <c r="B1925">
        <v>-55.4</v>
      </c>
      <c r="C1925">
        <v>0</v>
      </c>
      <c r="D1925">
        <v>0</v>
      </c>
      <c r="E1925">
        <v>6.4</v>
      </c>
      <c r="F1925">
        <v>0</v>
      </c>
      <c r="G1925">
        <v>0</v>
      </c>
      <c r="H1925">
        <v>0</v>
      </c>
      <c r="I1925" t="s">
        <v>1584</v>
      </c>
      <c r="J1925" t="s">
        <v>1585</v>
      </c>
      <c r="K1925" t="s">
        <v>1586</v>
      </c>
      <c r="L1925" t="s">
        <v>1587</v>
      </c>
      <c r="M1925" t="s">
        <v>1587</v>
      </c>
      <c r="N1925" t="s">
        <v>1586</v>
      </c>
      <c r="O1925" t="s">
        <v>1581</v>
      </c>
      <c r="P1925" t="s">
        <v>1581</v>
      </c>
      <c r="Q1925" t="s">
        <v>1581</v>
      </c>
      <c r="R1925" t="s">
        <v>1581</v>
      </c>
      <c r="S1925" t="s">
        <v>1581</v>
      </c>
      <c r="T1925" t="s">
        <v>1581</v>
      </c>
      <c r="U1925" t="s">
        <v>1581</v>
      </c>
      <c r="V1925" t="str" cm="1">
        <f t="array" aca="1" ref="V1925" ca="1">IFERROR(_xlfn.IFS(A1923="  ..............",OFFSET(A1923,2,0),A1922=" X-------------X",OFFSET(A1922,3,0),MATCH("  ..............",A1925:A1934,0)&gt;2,V1924),"-")</f>
        <v xml:space="preserve">  CERTE1-RS069  </v>
      </c>
      <c r="W1925">
        <f t="shared" ca="1" si="90"/>
        <v>1.0169999999999999</v>
      </c>
      <c r="X1925" t="str">
        <f t="shared" ca="1" si="91"/>
        <v xml:space="preserve"> LAJEA3-RS069 </v>
      </c>
      <c r="Y1925" s="1">
        <f t="shared" ca="1" si="92"/>
        <v>0.19500000000000001</v>
      </c>
    </row>
    <row r="1926" spans="1:25" x14ac:dyDescent="0.25">
      <c r="A1926" t="s">
        <v>1588</v>
      </c>
      <c r="B1926" t="s">
        <v>1587</v>
      </c>
      <c r="C1926">
        <v>68</v>
      </c>
      <c r="D1926">
        <v>68</v>
      </c>
      <c r="E1926">
        <v>68</v>
      </c>
      <c r="F1926" s="1">
        <v>0.38700000000000001</v>
      </c>
      <c r="G1926" t="s">
        <v>1587</v>
      </c>
      <c r="H1926" t="s">
        <v>1587</v>
      </c>
      <c r="I1926">
        <v>9782</v>
      </c>
      <c r="J1926" t="s">
        <v>2732</v>
      </c>
      <c r="K1926">
        <v>1</v>
      </c>
      <c r="L1926">
        <v>-26.6</v>
      </c>
      <c r="M1926">
        <v>-3.2</v>
      </c>
      <c r="N1926">
        <v>26.3</v>
      </c>
      <c r="O1926" t="s">
        <v>1594</v>
      </c>
      <c r="P1926" t="s">
        <v>1584</v>
      </c>
      <c r="Q1926" t="s">
        <v>1591</v>
      </c>
      <c r="R1926">
        <v>0.2</v>
      </c>
      <c r="S1926">
        <v>0.49</v>
      </c>
      <c r="T1926" t="s">
        <v>1584</v>
      </c>
      <c r="U1926" t="s">
        <v>1592</v>
      </c>
      <c r="V1926" t="str" cm="1">
        <f t="array" aca="1" ref="V1926" ca="1">IFERROR(_xlfn.IFS(A1924="  ..............",OFFSET(A1924,2,0),A1923=" X-------------X",OFFSET(A1923,3,0),MATCH("  ..............",A1926:A1935,0)&gt;2,V1925),"-")</f>
        <v xml:space="preserve">  CERTE1-RS069  </v>
      </c>
      <c r="W1926">
        <f t="shared" ca="1" si="90"/>
        <v>1.0169999999999999</v>
      </c>
      <c r="X1926" t="str">
        <f t="shared" ca="1" si="91"/>
        <v xml:space="preserve"> LAJEA3-RS069 </v>
      </c>
      <c r="Y1926" s="1">
        <f t="shared" ca="1" si="92"/>
        <v>0.19500000000000001</v>
      </c>
    </row>
    <row r="1927" spans="1:25" x14ac:dyDescent="0.25">
      <c r="A1927" t="s">
        <v>1588</v>
      </c>
      <c r="B1927" t="s">
        <v>1587</v>
      </c>
      <c r="C1927">
        <v>68</v>
      </c>
      <c r="D1927">
        <v>68</v>
      </c>
      <c r="E1927">
        <v>68</v>
      </c>
      <c r="F1927" s="1">
        <v>0.38700000000000001</v>
      </c>
      <c r="G1927" t="s">
        <v>1587</v>
      </c>
      <c r="H1927" t="s">
        <v>1587</v>
      </c>
      <c r="I1927">
        <v>9782</v>
      </c>
      <c r="J1927" t="s">
        <v>2732</v>
      </c>
      <c r="K1927">
        <v>2</v>
      </c>
      <c r="L1927">
        <v>-26.6</v>
      </c>
      <c r="M1927">
        <v>-3.2</v>
      </c>
      <c r="N1927">
        <v>26.3</v>
      </c>
      <c r="O1927" t="s">
        <v>1594</v>
      </c>
      <c r="P1927" t="s">
        <v>1584</v>
      </c>
      <c r="Q1927" t="s">
        <v>1591</v>
      </c>
      <c r="R1927">
        <v>0.2</v>
      </c>
      <c r="S1927">
        <v>0.49</v>
      </c>
      <c r="T1927" t="s">
        <v>1584</v>
      </c>
      <c r="U1927" t="s">
        <v>1592</v>
      </c>
      <c r="V1927" t="str" cm="1">
        <f t="array" aca="1" ref="V1927" ca="1">IFERROR(_xlfn.IFS(A1925="  ..............",OFFSET(A1925,2,0),A1924=" X-------------X",OFFSET(A1924,3,0),MATCH("  ..............",A1927:A1936,0)&gt;2,V1926),"-")</f>
        <v>-</v>
      </c>
      <c r="W1927" t="str">
        <f t="shared" ca="1" si="90"/>
        <v>-</v>
      </c>
      <c r="X1927" t="str">
        <f t="shared" ca="1" si="91"/>
        <v>-</v>
      </c>
      <c r="Y1927" s="1" t="str">
        <f t="shared" ca="1" si="92"/>
        <v>-</v>
      </c>
    </row>
    <row r="1928" spans="1:25" x14ac:dyDescent="0.25">
      <c r="A1928" t="s">
        <v>1572</v>
      </c>
      <c r="B1928" t="s">
        <v>1574</v>
      </c>
      <c r="C1928" t="s">
        <v>1574</v>
      </c>
      <c r="D1928" t="s">
        <v>1574</v>
      </c>
      <c r="E1928" t="s">
        <v>1574</v>
      </c>
      <c r="F1928" t="s">
        <v>1575</v>
      </c>
      <c r="G1928" t="s">
        <v>1574</v>
      </c>
      <c r="H1928" t="s">
        <v>1574</v>
      </c>
      <c r="I1928" t="s">
        <v>1576</v>
      </c>
      <c r="J1928" t="s">
        <v>1573</v>
      </c>
      <c r="K1928" t="s">
        <v>1577</v>
      </c>
      <c r="L1928" t="s">
        <v>1574</v>
      </c>
      <c r="M1928" t="s">
        <v>1574</v>
      </c>
      <c r="N1928" t="s">
        <v>1574</v>
      </c>
      <c r="O1928" t="s">
        <v>1578</v>
      </c>
      <c r="P1928" t="s">
        <v>1576</v>
      </c>
      <c r="Q1928" t="s">
        <v>1579</v>
      </c>
      <c r="R1928" t="s">
        <v>1580</v>
      </c>
      <c r="S1928" t="s">
        <v>1580</v>
      </c>
      <c r="T1928" t="s">
        <v>1576</v>
      </c>
      <c r="U1928" t="s">
        <v>1576</v>
      </c>
      <c r="V1928" t="str" cm="1">
        <f t="array" aca="1" ref="V1928" ca="1">IFERROR(_xlfn.IFS(A1926="  ..............",OFFSET(A1926,2,0),A1925=" X-------------X",OFFSET(A1925,3,0),MATCH("  ..............",A1928:A1937,0)&gt;2,V1927),"-")</f>
        <v>-</v>
      </c>
      <c r="W1928" t="str">
        <f t="shared" ca="1" si="90"/>
        <v>-</v>
      </c>
      <c r="X1928" t="str">
        <f t="shared" ca="1" si="91"/>
        <v/>
      </c>
      <c r="Y1928" s="1" t="str">
        <f t="shared" ca="1" si="92"/>
        <v/>
      </c>
    </row>
    <row r="1929" spans="1:25" x14ac:dyDescent="0.25">
      <c r="A1929" t="s">
        <v>2870</v>
      </c>
      <c r="B1929">
        <v>1.0509999999999999</v>
      </c>
      <c r="C1929">
        <v>1.1000000000000001</v>
      </c>
      <c r="D1929">
        <v>0</v>
      </c>
      <c r="E1929">
        <v>13.9</v>
      </c>
      <c r="F1929">
        <v>0</v>
      </c>
      <c r="G1929">
        <v>4</v>
      </c>
      <c r="H1929">
        <v>0</v>
      </c>
      <c r="I1929" t="s">
        <v>1581</v>
      </c>
      <c r="J1929" t="s">
        <v>1581</v>
      </c>
      <c r="K1929" t="s">
        <v>1581</v>
      </c>
      <c r="L1929" t="s">
        <v>1581</v>
      </c>
      <c r="M1929" t="s">
        <v>1581</v>
      </c>
      <c r="N1929" t="s">
        <v>1581</v>
      </c>
      <c r="O1929" t="s">
        <v>1581</v>
      </c>
      <c r="P1929" t="s">
        <v>1581</v>
      </c>
      <c r="Q1929" t="s">
        <v>1581</v>
      </c>
      <c r="R1929" t="s">
        <v>1581</v>
      </c>
      <c r="S1929" t="s">
        <v>1581</v>
      </c>
      <c r="T1929" t="s">
        <v>1581</v>
      </c>
      <c r="U1929" t="s">
        <v>1581</v>
      </c>
      <c r="V1929" t="str" cm="1">
        <f t="array" aca="1" ref="V1929" ca="1">IFERROR(_xlfn.IFS(A1927="  ..............",OFFSET(A1927,2,0),A1926=" X-------------X",OFFSET(A1926,3,0),MATCH("  ..............",A1929:A1938,0)&gt;2,V1928),"-")</f>
        <v>-</v>
      </c>
      <c r="W1929" t="str">
        <f t="shared" ca="1" si="90"/>
        <v>-</v>
      </c>
      <c r="X1929" t="str">
        <f t="shared" ca="1" si="91"/>
        <v xml:space="preserve">              </v>
      </c>
      <c r="Y1929" s="1">
        <f t="shared" ca="1" si="92"/>
        <v>0</v>
      </c>
    </row>
    <row r="1930" spans="1:25" x14ac:dyDescent="0.25">
      <c r="A1930" t="s">
        <v>2871</v>
      </c>
      <c r="B1930">
        <v>-53.4</v>
      </c>
      <c r="C1930">
        <v>0</v>
      </c>
      <c r="D1930">
        <v>0</v>
      </c>
      <c r="E1930">
        <v>4.7</v>
      </c>
      <c r="F1930">
        <v>0</v>
      </c>
      <c r="G1930">
        <v>0</v>
      </c>
      <c r="H1930">
        <v>0</v>
      </c>
      <c r="I1930" t="s">
        <v>1584</v>
      </c>
      <c r="J1930" t="s">
        <v>1585</v>
      </c>
      <c r="K1930" t="s">
        <v>1586</v>
      </c>
      <c r="L1930" t="s">
        <v>1587</v>
      </c>
      <c r="M1930" t="s">
        <v>1587</v>
      </c>
      <c r="N1930" t="s">
        <v>1586</v>
      </c>
      <c r="O1930" t="s">
        <v>1581</v>
      </c>
      <c r="P1930" t="s">
        <v>1581</v>
      </c>
      <c r="Q1930" t="s">
        <v>1581</v>
      </c>
      <c r="R1930" t="s">
        <v>1581</v>
      </c>
      <c r="S1930" t="s">
        <v>1581</v>
      </c>
      <c r="T1930" t="s">
        <v>1581</v>
      </c>
      <c r="U1930" t="s">
        <v>1581</v>
      </c>
      <c r="V1930" t="str" cm="1">
        <f t="array" aca="1" ref="V1930" ca="1">IFERROR(_xlfn.IFS(A1928="  ..............",OFFSET(A1928,2,0),A1927=" X-------------X",OFFSET(A1927,3,0),MATCH("  ..............",A1930:A1939,0)&gt;2,V1929),"-")</f>
        <v xml:space="preserve">  ELDO-B-RS023  </v>
      </c>
      <c r="W1930">
        <f t="shared" ca="1" si="90"/>
        <v>1.0509999999999999</v>
      </c>
      <c r="X1930" t="str">
        <f t="shared" ca="1" si="91"/>
        <v xml:space="preserve"> ELDO-2-RS000 </v>
      </c>
      <c r="Y1930" s="1">
        <f t="shared" ca="1" si="92"/>
        <v>0.16300000000000001</v>
      </c>
    </row>
    <row r="1931" spans="1:25" x14ac:dyDescent="0.25">
      <c r="A1931" t="s">
        <v>1588</v>
      </c>
      <c r="B1931" t="s">
        <v>1587</v>
      </c>
      <c r="C1931">
        <v>75</v>
      </c>
      <c r="D1931">
        <v>90</v>
      </c>
      <c r="E1931">
        <v>90</v>
      </c>
      <c r="F1931" s="1">
        <v>0.16300000000000001</v>
      </c>
      <c r="G1931" t="s">
        <v>1587</v>
      </c>
      <c r="H1931" t="s">
        <v>1587</v>
      </c>
      <c r="I1931">
        <v>43918</v>
      </c>
      <c r="J1931" t="s">
        <v>2872</v>
      </c>
      <c r="K1931">
        <v>2</v>
      </c>
      <c r="L1931">
        <v>-12.8</v>
      </c>
      <c r="M1931">
        <v>-0.7</v>
      </c>
      <c r="N1931">
        <v>12.2</v>
      </c>
      <c r="O1931" t="s">
        <v>1608</v>
      </c>
      <c r="P1931" t="s">
        <v>1584</v>
      </c>
      <c r="Q1931">
        <v>2</v>
      </c>
      <c r="R1931">
        <v>0</v>
      </c>
      <c r="S1931">
        <v>-0.01</v>
      </c>
      <c r="T1931" t="s">
        <v>1584</v>
      </c>
      <c r="U1931" t="s">
        <v>1592</v>
      </c>
      <c r="V1931" t="str" cm="1">
        <f t="array" aca="1" ref="V1931" ca="1">IFERROR(_xlfn.IFS(A1929="  ..............",OFFSET(A1929,2,0),A1928=" X-------------X",OFFSET(A1928,3,0),MATCH("  ..............",A1931:A1940,0)&gt;2,V1930),"-")</f>
        <v>-</v>
      </c>
      <c r="W1931" t="str">
        <f t="shared" ca="1" si="90"/>
        <v>-</v>
      </c>
      <c r="X1931" t="str">
        <f t="shared" ca="1" si="91"/>
        <v>-</v>
      </c>
      <c r="Y1931" s="1" t="str">
        <f t="shared" ca="1" si="92"/>
        <v>-</v>
      </c>
    </row>
    <row r="1932" spans="1:25" x14ac:dyDescent="0.25">
      <c r="A1932" t="s">
        <v>1572</v>
      </c>
      <c r="B1932" t="s">
        <v>1574</v>
      </c>
      <c r="C1932" t="s">
        <v>1574</v>
      </c>
      <c r="D1932" t="s">
        <v>1574</v>
      </c>
      <c r="E1932" t="s">
        <v>1574</v>
      </c>
      <c r="F1932" t="s">
        <v>1575</v>
      </c>
      <c r="G1932" t="s">
        <v>1574</v>
      </c>
      <c r="H1932" t="s">
        <v>1574</v>
      </c>
      <c r="I1932" t="s">
        <v>1576</v>
      </c>
      <c r="J1932" t="s">
        <v>1573</v>
      </c>
      <c r="K1932" t="s">
        <v>1577</v>
      </c>
      <c r="L1932" t="s">
        <v>1574</v>
      </c>
      <c r="M1932" t="s">
        <v>1574</v>
      </c>
      <c r="N1932" t="s">
        <v>1574</v>
      </c>
      <c r="O1932" t="s">
        <v>1578</v>
      </c>
      <c r="P1932" t="s">
        <v>1576</v>
      </c>
      <c r="Q1932" t="s">
        <v>1579</v>
      </c>
      <c r="R1932" t="s">
        <v>1580</v>
      </c>
      <c r="S1932" t="s">
        <v>1580</v>
      </c>
      <c r="T1932" t="s">
        <v>1576</v>
      </c>
      <c r="U1932" t="s">
        <v>1576</v>
      </c>
      <c r="V1932" t="str" cm="1">
        <f t="array" aca="1" ref="V1932" ca="1">IFERROR(_xlfn.IFS(A1930="  ..............",OFFSET(A1930,2,0),A1929=" X-------------X",OFFSET(A1929,3,0),MATCH("  ..............",A1932:A1941,0)&gt;2,V1931),"-")</f>
        <v>-</v>
      </c>
      <c r="W1932" t="str">
        <f t="shared" ca="1" si="90"/>
        <v>-</v>
      </c>
      <c r="X1932" t="str">
        <f t="shared" ca="1" si="91"/>
        <v/>
      </c>
      <c r="Y1932" s="1" t="str">
        <f t="shared" ca="1" si="92"/>
        <v/>
      </c>
    </row>
    <row r="1933" spans="1:25" x14ac:dyDescent="0.25">
      <c r="A1933" t="s">
        <v>2873</v>
      </c>
      <c r="B1933">
        <v>1.052</v>
      </c>
      <c r="C1933">
        <v>0</v>
      </c>
      <c r="D1933">
        <v>0</v>
      </c>
      <c r="E1933">
        <v>9.5</v>
      </c>
      <c r="F1933">
        <v>0</v>
      </c>
      <c r="G1933">
        <v>8</v>
      </c>
      <c r="H1933">
        <v>0</v>
      </c>
      <c r="I1933" t="s">
        <v>1581</v>
      </c>
      <c r="J1933" t="s">
        <v>1581</v>
      </c>
      <c r="K1933" t="s">
        <v>1581</v>
      </c>
      <c r="L1933" t="s">
        <v>1581</v>
      </c>
      <c r="M1933" t="s">
        <v>1581</v>
      </c>
      <c r="N1933" t="s">
        <v>1581</v>
      </c>
      <c r="O1933" t="s">
        <v>1581</v>
      </c>
      <c r="P1933" t="s">
        <v>1581</v>
      </c>
      <c r="Q1933" t="s">
        <v>1581</v>
      </c>
      <c r="R1933" t="s">
        <v>1581</v>
      </c>
      <c r="S1933" t="s">
        <v>1581</v>
      </c>
      <c r="T1933" t="s">
        <v>1581</v>
      </c>
      <c r="U1933" t="s">
        <v>1581</v>
      </c>
      <c r="V1933" t="str" cm="1">
        <f t="array" aca="1" ref="V1933" ca="1">IFERROR(_xlfn.IFS(A1931="  ..............",OFFSET(A1931,2,0),A1930=" X-------------X",OFFSET(A1930,3,0),MATCH("  ..............",A1933:A1942,0)&gt;2,V1932),"-")</f>
        <v>-</v>
      </c>
      <c r="W1933" t="str">
        <f t="shared" ca="1" si="90"/>
        <v>-</v>
      </c>
      <c r="X1933" t="str">
        <f t="shared" ca="1" si="91"/>
        <v xml:space="preserve">              </v>
      </c>
      <c r="Y1933" s="1">
        <f t="shared" ca="1" si="92"/>
        <v>0</v>
      </c>
    </row>
    <row r="1934" spans="1:25" x14ac:dyDescent="0.25">
      <c r="A1934" t="s">
        <v>2874</v>
      </c>
      <c r="B1934">
        <v>-52.3</v>
      </c>
      <c r="C1934">
        <v>0</v>
      </c>
      <c r="D1934">
        <v>0</v>
      </c>
      <c r="E1934">
        <v>3.6</v>
      </c>
      <c r="F1934">
        <v>0</v>
      </c>
      <c r="G1934">
        <v>0</v>
      </c>
      <c r="H1934">
        <v>0</v>
      </c>
      <c r="I1934" t="s">
        <v>1584</v>
      </c>
      <c r="J1934" t="s">
        <v>1585</v>
      </c>
      <c r="K1934" t="s">
        <v>1586</v>
      </c>
      <c r="L1934" t="s">
        <v>1587</v>
      </c>
      <c r="M1934" t="s">
        <v>1587</v>
      </c>
      <c r="N1934" t="s">
        <v>1586</v>
      </c>
      <c r="O1934" t="s">
        <v>1581</v>
      </c>
      <c r="P1934" t="s">
        <v>1581</v>
      </c>
      <c r="Q1934" t="s">
        <v>1581</v>
      </c>
      <c r="R1934" t="s">
        <v>1581</v>
      </c>
      <c r="S1934" t="s">
        <v>1581</v>
      </c>
      <c r="T1934" t="s">
        <v>1581</v>
      </c>
      <c r="U1934" t="s">
        <v>1581</v>
      </c>
      <c r="V1934" t="str" cm="1">
        <f t="array" aca="1" ref="V1934" ca="1">IFERROR(_xlfn.IFS(A1932="  ..............",OFFSET(A1932,2,0),A1931=" X-------------X",OFFSET(A1931,3,0),MATCH("  ..............",A1934:A1943,0)&gt;2,V1933),"-")</f>
        <v xml:space="preserve">  GRAV-B-RS023  </v>
      </c>
      <c r="W1934">
        <f t="shared" ca="1" si="90"/>
        <v>1.052</v>
      </c>
      <c r="X1934" t="str">
        <f t="shared" ca="1" si="91"/>
        <v xml:space="preserve"> GRA2-4-RS000 </v>
      </c>
      <c r="Y1934" s="1">
        <f t="shared" ca="1" si="92"/>
        <v>0.13300000000000001</v>
      </c>
    </row>
    <row r="1935" spans="1:25" x14ac:dyDescent="0.25">
      <c r="A1935" t="s">
        <v>1588</v>
      </c>
      <c r="B1935" t="s">
        <v>1587</v>
      </c>
      <c r="C1935">
        <v>75</v>
      </c>
      <c r="D1935">
        <v>90</v>
      </c>
      <c r="E1935">
        <v>90</v>
      </c>
      <c r="F1935" s="1">
        <v>0.13300000000000001</v>
      </c>
      <c r="G1935" t="s">
        <v>1587</v>
      </c>
      <c r="H1935" t="s">
        <v>1587</v>
      </c>
      <c r="I1935">
        <v>43920</v>
      </c>
      <c r="J1935" t="s">
        <v>2875</v>
      </c>
      <c r="K1935">
        <v>4</v>
      </c>
      <c r="L1935">
        <v>-9.5</v>
      </c>
      <c r="M1935">
        <v>4.4000000000000004</v>
      </c>
      <c r="N1935">
        <v>9.9</v>
      </c>
      <c r="O1935" t="s">
        <v>1608</v>
      </c>
      <c r="P1935" t="s">
        <v>1584</v>
      </c>
      <c r="Q1935">
        <v>2</v>
      </c>
      <c r="R1935">
        <v>0</v>
      </c>
      <c r="S1935">
        <v>-0.01</v>
      </c>
      <c r="T1935" t="s">
        <v>1584</v>
      </c>
      <c r="U1935" t="s">
        <v>1592</v>
      </c>
      <c r="V1935" t="str" cm="1">
        <f t="array" aca="1" ref="V1935" ca="1">IFERROR(_xlfn.IFS(A1933="  ..............",OFFSET(A1933,2,0),A1932=" X-------------X",OFFSET(A1932,3,0),MATCH("  ..............",A1935:A1944,0)&gt;2,V1934),"-")</f>
        <v>-</v>
      </c>
      <c r="W1935" t="str">
        <f t="shared" ca="1" si="90"/>
        <v>-</v>
      </c>
      <c r="X1935" t="str">
        <f t="shared" ca="1" si="91"/>
        <v>-</v>
      </c>
      <c r="Y1935" s="1" t="str">
        <f t="shared" ca="1" si="92"/>
        <v>-</v>
      </c>
    </row>
    <row r="1936" spans="1:25" x14ac:dyDescent="0.25">
      <c r="A1936" t="s">
        <v>1572</v>
      </c>
      <c r="B1936" t="s">
        <v>1574</v>
      </c>
      <c r="C1936" t="s">
        <v>1574</v>
      </c>
      <c r="D1936" t="s">
        <v>1574</v>
      </c>
      <c r="E1936" t="s">
        <v>1574</v>
      </c>
      <c r="F1936" t="s">
        <v>1575</v>
      </c>
      <c r="G1936" t="s">
        <v>1574</v>
      </c>
      <c r="H1936" t="s">
        <v>1574</v>
      </c>
      <c r="I1936" t="s">
        <v>1576</v>
      </c>
      <c r="J1936" t="s">
        <v>1573</v>
      </c>
      <c r="K1936" t="s">
        <v>1577</v>
      </c>
      <c r="L1936" t="s">
        <v>1574</v>
      </c>
      <c r="M1936" t="s">
        <v>1574</v>
      </c>
      <c r="N1936" t="s">
        <v>1574</v>
      </c>
      <c r="O1936" t="s">
        <v>1578</v>
      </c>
      <c r="P1936" t="s">
        <v>1576</v>
      </c>
      <c r="Q1936" t="s">
        <v>1579</v>
      </c>
      <c r="R1936" t="s">
        <v>1580</v>
      </c>
      <c r="S1936" t="s">
        <v>1580</v>
      </c>
      <c r="T1936" t="s">
        <v>1576</v>
      </c>
      <c r="U1936" t="s">
        <v>1576</v>
      </c>
      <c r="V1936" t="str" cm="1">
        <f t="array" aca="1" ref="V1936" ca="1">IFERROR(_xlfn.IFS(A1934="  ..............",OFFSET(A1934,2,0),A1933=" X-------------X",OFFSET(A1933,3,0),MATCH("  ..............",A1936:A1945,0)&gt;2,V1935),"-")</f>
        <v>-</v>
      </c>
      <c r="W1936" t="str">
        <f t="shared" ca="1" si="90"/>
        <v>-</v>
      </c>
      <c r="X1936" t="str">
        <f t="shared" ca="1" si="91"/>
        <v/>
      </c>
      <c r="Y1936" s="1" t="str">
        <f t="shared" ca="1" si="92"/>
        <v/>
      </c>
    </row>
    <row r="1937" spans="1:25" x14ac:dyDescent="0.25">
      <c r="A1937" t="s">
        <v>2876</v>
      </c>
      <c r="B1937">
        <v>1.06</v>
      </c>
      <c r="C1937">
        <v>1</v>
      </c>
      <c r="D1937">
        <v>0</v>
      </c>
      <c r="E1937">
        <v>17.3</v>
      </c>
      <c r="F1937">
        <v>0</v>
      </c>
      <c r="G1937">
        <v>0</v>
      </c>
      <c r="H1937">
        <v>0</v>
      </c>
      <c r="I1937" t="s">
        <v>1581</v>
      </c>
      <c r="J1937" t="s">
        <v>1581</v>
      </c>
      <c r="K1937" t="s">
        <v>1581</v>
      </c>
      <c r="L1937" t="s">
        <v>1581</v>
      </c>
      <c r="M1937" t="s">
        <v>1581</v>
      </c>
      <c r="N1937" t="s">
        <v>1581</v>
      </c>
      <c r="O1937" t="s">
        <v>1581</v>
      </c>
      <c r="P1937" t="s">
        <v>1581</v>
      </c>
      <c r="Q1937" t="s">
        <v>1581</v>
      </c>
      <c r="R1937" t="s">
        <v>1581</v>
      </c>
      <c r="S1937" t="s">
        <v>1581</v>
      </c>
      <c r="T1937" t="s">
        <v>1581</v>
      </c>
      <c r="U1937" t="s">
        <v>1581</v>
      </c>
      <c r="V1937" t="str" cm="1">
        <f t="array" aca="1" ref="V1937" ca="1">IFERROR(_xlfn.IFS(A1935="  ..............",OFFSET(A1935,2,0),A1934=" X-------------X",OFFSET(A1934,3,0),MATCH("  ..............",A1937:A1946,0)&gt;2,V1936),"-")</f>
        <v>-</v>
      </c>
      <c r="W1937" t="str">
        <f t="shared" ca="1" si="90"/>
        <v>-</v>
      </c>
      <c r="X1937" t="str">
        <f t="shared" ca="1" si="91"/>
        <v xml:space="preserve">              </v>
      </c>
      <c r="Y1937" s="1">
        <f t="shared" ca="1" si="92"/>
        <v>0</v>
      </c>
    </row>
    <row r="1938" spans="1:25" x14ac:dyDescent="0.25">
      <c r="A1938" t="s">
        <v>2877</v>
      </c>
      <c r="B1938">
        <v>-57.8</v>
      </c>
      <c r="C1938">
        <v>0</v>
      </c>
      <c r="D1938">
        <v>0</v>
      </c>
      <c r="E1938">
        <v>4.9000000000000004</v>
      </c>
      <c r="F1938">
        <v>0</v>
      </c>
      <c r="G1938">
        <v>0</v>
      </c>
      <c r="H1938">
        <v>0</v>
      </c>
      <c r="I1938" t="s">
        <v>1584</v>
      </c>
      <c r="J1938" t="s">
        <v>1585</v>
      </c>
      <c r="K1938" t="s">
        <v>1586</v>
      </c>
      <c r="L1938" t="s">
        <v>1587</v>
      </c>
      <c r="M1938" t="s">
        <v>1587</v>
      </c>
      <c r="N1938" t="s">
        <v>1586</v>
      </c>
      <c r="O1938" t="s">
        <v>1581</v>
      </c>
      <c r="P1938" t="s">
        <v>1581</v>
      </c>
      <c r="Q1938" t="s">
        <v>1581</v>
      </c>
      <c r="R1938" t="s">
        <v>1581</v>
      </c>
      <c r="S1938" t="s">
        <v>1581</v>
      </c>
      <c r="T1938" t="s">
        <v>1581</v>
      </c>
      <c r="U1938" t="s">
        <v>1581</v>
      </c>
      <c r="V1938" t="str" cm="1">
        <f t="array" aca="1" ref="V1938" ca="1">IFERROR(_xlfn.IFS(A1936="  ..............",OFFSET(A1936,2,0),A1935=" X-------------X",OFFSET(A1935,3,0),MATCH("  ..............",A1938:A1947,0)&gt;2,V1937),"-")</f>
        <v xml:space="preserve">  PAL6-B-RS013  </v>
      </c>
      <c r="W1938">
        <f t="shared" ca="1" si="90"/>
        <v>1.06</v>
      </c>
      <c r="X1938" t="str">
        <f t="shared" ca="1" si="91"/>
        <v xml:space="preserve"> PAL6-7-RS000 </v>
      </c>
      <c r="Y1938" s="1">
        <f t="shared" ca="1" si="92"/>
        <v>0</v>
      </c>
    </row>
    <row r="1939" spans="1:25" x14ac:dyDescent="0.25">
      <c r="A1939" t="s">
        <v>1588</v>
      </c>
      <c r="B1939" t="s">
        <v>1587</v>
      </c>
      <c r="C1939">
        <v>9999</v>
      </c>
      <c r="D1939">
        <v>9999</v>
      </c>
      <c r="E1939">
        <v>9999</v>
      </c>
      <c r="F1939" s="1">
        <v>0</v>
      </c>
      <c r="G1939" t="s">
        <v>1587</v>
      </c>
      <c r="H1939" t="s">
        <v>1587</v>
      </c>
      <c r="I1939">
        <v>43497</v>
      </c>
      <c r="J1939" t="s">
        <v>2878</v>
      </c>
      <c r="K1939">
        <v>7</v>
      </c>
      <c r="L1939">
        <v>-16.3</v>
      </c>
      <c r="M1939">
        <v>-4.9000000000000004</v>
      </c>
      <c r="N1939">
        <v>16.100000000000001</v>
      </c>
      <c r="O1939" t="s">
        <v>1608</v>
      </c>
      <c r="P1939" t="s">
        <v>1584</v>
      </c>
      <c r="Q1939">
        <v>2</v>
      </c>
      <c r="R1939">
        <v>0.03</v>
      </c>
      <c r="S1939">
        <v>1.05</v>
      </c>
      <c r="T1939" t="s">
        <v>1584</v>
      </c>
      <c r="U1939" t="s">
        <v>1592</v>
      </c>
      <c r="V1939" t="str" cm="1">
        <f t="array" aca="1" ref="V1939" ca="1">IFERROR(_xlfn.IFS(A1937="  ..............",OFFSET(A1937,2,0),A1936=" X-------------X",OFFSET(A1936,3,0),MATCH("  ..............",A1939:A1948,0)&gt;2,V1938),"-")</f>
        <v>-</v>
      </c>
      <c r="W1939" t="str">
        <f t="shared" ca="1" si="90"/>
        <v>-</v>
      </c>
      <c r="X1939" t="str">
        <f t="shared" ca="1" si="91"/>
        <v>-</v>
      </c>
      <c r="Y1939" s="1" t="str">
        <f t="shared" ca="1" si="92"/>
        <v>-</v>
      </c>
    </row>
    <row r="1940" spans="1:25" x14ac:dyDescent="0.25">
      <c r="A1940" t="s">
        <v>1572</v>
      </c>
      <c r="B1940" t="s">
        <v>1574</v>
      </c>
      <c r="C1940" t="s">
        <v>1574</v>
      </c>
      <c r="D1940" t="s">
        <v>1574</v>
      </c>
      <c r="E1940" t="s">
        <v>1574</v>
      </c>
      <c r="F1940" t="s">
        <v>1575</v>
      </c>
      <c r="G1940" t="s">
        <v>1574</v>
      </c>
      <c r="H1940" t="s">
        <v>1574</v>
      </c>
      <c r="I1940" t="s">
        <v>1576</v>
      </c>
      <c r="J1940" t="s">
        <v>1573</v>
      </c>
      <c r="K1940" t="s">
        <v>1577</v>
      </c>
      <c r="L1940" t="s">
        <v>1574</v>
      </c>
      <c r="M1940" t="s">
        <v>1574</v>
      </c>
      <c r="N1940" t="s">
        <v>1574</v>
      </c>
      <c r="O1940" t="s">
        <v>1578</v>
      </c>
      <c r="P1940" t="s">
        <v>1576</v>
      </c>
      <c r="Q1940" t="s">
        <v>1579</v>
      </c>
      <c r="R1940" t="s">
        <v>1580</v>
      </c>
      <c r="S1940" t="s">
        <v>1580</v>
      </c>
      <c r="T1940" t="s">
        <v>1576</v>
      </c>
      <c r="U1940" t="s">
        <v>1576</v>
      </c>
      <c r="V1940" t="str" cm="1">
        <f t="array" aca="1" ref="V1940" ca="1">IFERROR(_xlfn.IFS(A1938="  ..............",OFFSET(A1938,2,0),A1937=" X-------------X",OFFSET(A1937,3,0),MATCH("  ..............",A1940:A1949,0)&gt;2,V1939),"-")</f>
        <v>-</v>
      </c>
      <c r="W1940" t="str">
        <f t="shared" ca="1" si="90"/>
        <v>-</v>
      </c>
      <c r="X1940" t="str">
        <f t="shared" ca="1" si="91"/>
        <v/>
      </c>
      <c r="Y1940" s="1" t="str">
        <f t="shared" ca="1" si="92"/>
        <v/>
      </c>
    </row>
    <row r="1941" spans="1:25" x14ac:dyDescent="0.25">
      <c r="A1941" t="s">
        <v>2879</v>
      </c>
      <c r="B1941">
        <v>1.075</v>
      </c>
      <c r="C1941">
        <v>1.4</v>
      </c>
      <c r="D1941">
        <v>0</v>
      </c>
      <c r="E1941">
        <v>21</v>
      </c>
      <c r="F1941">
        <v>0</v>
      </c>
      <c r="G1941">
        <v>4.2</v>
      </c>
      <c r="H1941">
        <v>0</v>
      </c>
      <c r="I1941" t="s">
        <v>1581</v>
      </c>
      <c r="J1941" t="s">
        <v>1581</v>
      </c>
      <c r="K1941" t="s">
        <v>1581</v>
      </c>
      <c r="L1941" t="s">
        <v>1581</v>
      </c>
      <c r="M1941" t="s">
        <v>1581</v>
      </c>
      <c r="N1941" t="s">
        <v>1581</v>
      </c>
      <c r="O1941" t="s">
        <v>1581</v>
      </c>
      <c r="P1941" t="s">
        <v>1581</v>
      </c>
      <c r="Q1941" t="s">
        <v>1581</v>
      </c>
      <c r="R1941" t="s">
        <v>1581</v>
      </c>
      <c r="S1941" t="s">
        <v>1581</v>
      </c>
      <c r="T1941" t="s">
        <v>1581</v>
      </c>
      <c r="U1941" t="s">
        <v>1581</v>
      </c>
      <c r="V1941" t="str" cm="1">
        <f t="array" aca="1" ref="V1941" ca="1">IFERROR(_xlfn.IFS(A1939="  ..............",OFFSET(A1939,2,0),A1938=" X-------------X",OFFSET(A1938,3,0),MATCH("  ..............",A1941:A1950,0)&gt;2,V1940),"-")</f>
        <v>-</v>
      </c>
      <c r="W1941" t="str">
        <f t="shared" ca="1" si="90"/>
        <v>-</v>
      </c>
      <c r="X1941" t="str">
        <f t="shared" ca="1" si="91"/>
        <v xml:space="preserve">              </v>
      </c>
      <c r="Y1941" s="1">
        <f t="shared" ca="1" si="92"/>
        <v>0</v>
      </c>
    </row>
    <row r="1942" spans="1:25" x14ac:dyDescent="0.25">
      <c r="A1942" t="s">
        <v>2880</v>
      </c>
      <c r="B1942">
        <v>-55</v>
      </c>
      <c r="C1942">
        <v>0</v>
      </c>
      <c r="D1942">
        <v>0</v>
      </c>
      <c r="E1942">
        <v>4.5999999999999996</v>
      </c>
      <c r="F1942">
        <v>0</v>
      </c>
      <c r="G1942">
        <v>0</v>
      </c>
      <c r="H1942">
        <v>0</v>
      </c>
      <c r="I1942" t="s">
        <v>1584</v>
      </c>
      <c r="J1942" t="s">
        <v>1585</v>
      </c>
      <c r="K1942" t="s">
        <v>1586</v>
      </c>
      <c r="L1942" t="s">
        <v>1587</v>
      </c>
      <c r="M1942" t="s">
        <v>1587</v>
      </c>
      <c r="N1942" t="s">
        <v>1586</v>
      </c>
      <c r="O1942" t="s">
        <v>1581</v>
      </c>
      <c r="P1942" t="s">
        <v>1581</v>
      </c>
      <c r="Q1942" t="s">
        <v>1581</v>
      </c>
      <c r="R1942" t="s">
        <v>1581</v>
      </c>
      <c r="S1942" t="s">
        <v>1581</v>
      </c>
      <c r="T1942" t="s">
        <v>1581</v>
      </c>
      <c r="U1942" t="s">
        <v>1581</v>
      </c>
      <c r="V1942" t="str" cm="1">
        <f t="array" aca="1" ref="V1942" ca="1">IFERROR(_xlfn.IFS(A1940="  ..............",OFFSET(A1940,2,0),A1939=" X-------------X",OFFSET(A1939,3,0),MATCH("  ..............",A1942:A1951,0)&gt;2,V1941),"-")</f>
        <v xml:space="preserve">  PAL9-B-RS013  </v>
      </c>
      <c r="W1942">
        <f t="shared" ca="1" si="90"/>
        <v>1.075</v>
      </c>
      <c r="X1942" t="str">
        <f t="shared" ca="1" si="91"/>
        <v xml:space="preserve"> PAL9-6-RS000 </v>
      </c>
      <c r="Y1942" s="1">
        <f t="shared" ca="1" si="92"/>
        <v>0.24299999999999999</v>
      </c>
    </row>
    <row r="1943" spans="1:25" x14ac:dyDescent="0.25">
      <c r="A1943" t="s">
        <v>1588</v>
      </c>
      <c r="B1943" t="s">
        <v>1587</v>
      </c>
      <c r="C1943">
        <v>75</v>
      </c>
      <c r="D1943">
        <v>90</v>
      </c>
      <c r="E1943">
        <v>90</v>
      </c>
      <c r="F1943" s="1">
        <v>0.24299999999999999</v>
      </c>
      <c r="G1943" t="s">
        <v>1587</v>
      </c>
      <c r="H1943" t="s">
        <v>1587</v>
      </c>
      <c r="I1943">
        <v>43878</v>
      </c>
      <c r="J1943" t="s">
        <v>2881</v>
      </c>
      <c r="K1943">
        <v>6</v>
      </c>
      <c r="L1943">
        <v>-19.600000000000001</v>
      </c>
      <c r="M1943">
        <v>-0.4</v>
      </c>
      <c r="N1943">
        <v>18.2</v>
      </c>
      <c r="O1943" t="s">
        <v>1608</v>
      </c>
      <c r="P1943" t="s">
        <v>1584</v>
      </c>
      <c r="Q1943">
        <v>2</v>
      </c>
      <c r="R1943">
        <v>0</v>
      </c>
      <c r="S1943">
        <v>-0.02</v>
      </c>
      <c r="T1943" t="s">
        <v>1584</v>
      </c>
      <c r="U1943" t="s">
        <v>1592</v>
      </c>
      <c r="V1943" t="str" cm="1">
        <f t="array" aca="1" ref="V1943" ca="1">IFERROR(_xlfn.IFS(A1941="  ..............",OFFSET(A1941,2,0),A1940=" X-------------X",OFFSET(A1940,3,0),MATCH("  ..............",A1943:A1952,0)&gt;2,V1942),"-")</f>
        <v>-</v>
      </c>
      <c r="W1943" t="str">
        <f t="shared" ca="1" si="90"/>
        <v>-</v>
      </c>
      <c r="X1943" t="str">
        <f t="shared" ca="1" si="91"/>
        <v>-</v>
      </c>
      <c r="Y1943" s="1" t="str">
        <f t="shared" ca="1" si="92"/>
        <v>-</v>
      </c>
    </row>
    <row r="1944" spans="1:25" x14ac:dyDescent="0.25">
      <c r="A1944" t="s">
        <v>1572</v>
      </c>
      <c r="B1944" t="s">
        <v>1574</v>
      </c>
      <c r="C1944" t="s">
        <v>1574</v>
      </c>
      <c r="D1944" t="s">
        <v>1574</v>
      </c>
      <c r="E1944" t="s">
        <v>1574</v>
      </c>
      <c r="F1944" t="s">
        <v>1575</v>
      </c>
      <c r="G1944" t="s">
        <v>1574</v>
      </c>
      <c r="H1944" t="s">
        <v>1574</v>
      </c>
      <c r="I1944" t="s">
        <v>1576</v>
      </c>
      <c r="J1944" t="s">
        <v>1573</v>
      </c>
      <c r="K1944" t="s">
        <v>1577</v>
      </c>
      <c r="L1944" t="s">
        <v>1574</v>
      </c>
      <c r="M1944" t="s">
        <v>1574</v>
      </c>
      <c r="N1944" t="s">
        <v>1574</v>
      </c>
      <c r="O1944" t="s">
        <v>1578</v>
      </c>
      <c r="P1944" t="s">
        <v>1576</v>
      </c>
      <c r="Q1944" t="s">
        <v>1579</v>
      </c>
      <c r="R1944" t="s">
        <v>1580</v>
      </c>
      <c r="S1944" t="s">
        <v>1580</v>
      </c>
      <c r="T1944" t="s">
        <v>1576</v>
      </c>
      <c r="U1944" t="s">
        <v>1576</v>
      </c>
      <c r="V1944" t="str" cm="1">
        <f t="array" aca="1" ref="V1944" ca="1">IFERROR(_xlfn.IFS(A1942="  ..............",OFFSET(A1942,2,0),A1941=" X-------------X",OFFSET(A1941,3,0),MATCH("  ..............",A1944:A1953,0)&gt;2,V1943),"-")</f>
        <v>-</v>
      </c>
      <c r="W1944" t="str">
        <f t="shared" ca="1" si="90"/>
        <v>-</v>
      </c>
      <c r="X1944" t="str">
        <f t="shared" ca="1" si="91"/>
        <v/>
      </c>
      <c r="Y1944" s="1" t="str">
        <f t="shared" ca="1" si="92"/>
        <v/>
      </c>
    </row>
    <row r="1945" spans="1:25" x14ac:dyDescent="0.25">
      <c r="A1945" t="s">
        <v>2882</v>
      </c>
      <c r="B1945">
        <v>1.046</v>
      </c>
      <c r="C1945">
        <v>0</v>
      </c>
      <c r="D1945">
        <v>0</v>
      </c>
      <c r="E1945">
        <v>0</v>
      </c>
      <c r="F1945">
        <v>0</v>
      </c>
      <c r="G1945">
        <v>3.9</v>
      </c>
      <c r="H1945">
        <v>0</v>
      </c>
      <c r="I1945" t="s">
        <v>1581</v>
      </c>
      <c r="J1945" t="s">
        <v>1581</v>
      </c>
      <c r="K1945" t="s">
        <v>1581</v>
      </c>
      <c r="L1945" t="s">
        <v>1581</v>
      </c>
      <c r="M1945" t="s">
        <v>1581</v>
      </c>
      <c r="N1945" t="s">
        <v>1581</v>
      </c>
      <c r="O1945" t="s">
        <v>1581</v>
      </c>
      <c r="P1945" t="s">
        <v>1581</v>
      </c>
      <c r="Q1945" t="s">
        <v>1581</v>
      </c>
      <c r="R1945" t="s">
        <v>1581</v>
      </c>
      <c r="S1945" t="s">
        <v>1581</v>
      </c>
      <c r="T1945" t="s">
        <v>1581</v>
      </c>
      <c r="U1945" t="s">
        <v>1581</v>
      </c>
      <c r="V1945" t="str" cm="1">
        <f t="array" aca="1" ref="V1945" ca="1">IFERROR(_xlfn.IFS(A1943="  ..............",OFFSET(A1943,2,0),A1942=" X-------------X",OFFSET(A1942,3,0),MATCH("  ..............",A1945:A1954,0)&gt;2,V1944),"-")</f>
        <v>-</v>
      </c>
      <c r="W1945" t="str">
        <f t="shared" ca="1" si="90"/>
        <v>-</v>
      </c>
      <c r="X1945" t="str">
        <f t="shared" ca="1" si="91"/>
        <v xml:space="preserve">              </v>
      </c>
      <c r="Y1945" s="1">
        <f t="shared" ca="1" si="92"/>
        <v>0</v>
      </c>
    </row>
    <row r="1946" spans="1:25" x14ac:dyDescent="0.25">
      <c r="A1946" t="s">
        <v>2883</v>
      </c>
      <c r="B1946">
        <v>-51.9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 t="s">
        <v>1584</v>
      </c>
      <c r="J1946" t="s">
        <v>1585</v>
      </c>
      <c r="K1946" t="s">
        <v>1586</v>
      </c>
      <c r="L1946" t="s">
        <v>1587</v>
      </c>
      <c r="M1946" t="s">
        <v>1587</v>
      </c>
      <c r="N1946" t="s">
        <v>1586</v>
      </c>
      <c r="O1946" t="s">
        <v>1581</v>
      </c>
      <c r="P1946" t="s">
        <v>1581</v>
      </c>
      <c r="Q1946" t="s">
        <v>1581</v>
      </c>
      <c r="R1946" t="s">
        <v>1581</v>
      </c>
      <c r="S1946" t="s">
        <v>1581</v>
      </c>
      <c r="T1946" t="s">
        <v>1581</v>
      </c>
      <c r="U1946" t="s">
        <v>1581</v>
      </c>
      <c r="V1946" t="str" cm="1">
        <f t="array" aca="1" ref="V1946" ca="1">IFERROR(_xlfn.IFS(A1944="  ..............",OFFSET(A1944,2,0),A1943=" X-------------X",OFFSET(A1943,3,0),MATCH("  ..............",A1946:A1955,0)&gt;2,V1945),"-")</f>
        <v xml:space="preserve">  CHARQ3-RS069  </v>
      </c>
      <c r="W1946">
        <f t="shared" ca="1" si="90"/>
        <v>1.046</v>
      </c>
      <c r="X1946" t="str">
        <f t="shared" ca="1" si="91"/>
        <v xml:space="preserve"> GUAIB2-RS069 </v>
      </c>
      <c r="Y1946" s="1">
        <f t="shared" ca="1" si="92"/>
        <v>0.42599999999999999</v>
      </c>
    </row>
    <row r="1947" spans="1:25" x14ac:dyDescent="0.25">
      <c r="A1947" t="s">
        <v>1637</v>
      </c>
      <c r="B1947" t="s">
        <v>1638</v>
      </c>
      <c r="C1947">
        <v>54</v>
      </c>
      <c r="D1947">
        <v>79</v>
      </c>
      <c r="E1947">
        <v>79</v>
      </c>
      <c r="F1947" t="s">
        <v>1639</v>
      </c>
      <c r="G1947" t="s">
        <v>1587</v>
      </c>
      <c r="H1947" t="s">
        <v>1587</v>
      </c>
      <c r="I1947">
        <v>1197</v>
      </c>
      <c r="J1947" t="s">
        <v>2695</v>
      </c>
      <c r="K1947">
        <v>1</v>
      </c>
      <c r="L1947">
        <v>0</v>
      </c>
      <c r="M1947">
        <v>0</v>
      </c>
      <c r="N1947">
        <v>0</v>
      </c>
      <c r="O1947" t="s">
        <v>1594</v>
      </c>
      <c r="P1947" t="s">
        <v>1584</v>
      </c>
      <c r="Q1947" t="s">
        <v>1591</v>
      </c>
      <c r="R1947">
        <v>0</v>
      </c>
      <c r="S1947">
        <v>0</v>
      </c>
      <c r="T1947" t="s">
        <v>1584</v>
      </c>
      <c r="U1947" t="s">
        <v>1592</v>
      </c>
      <c r="V1947" t="str" cm="1">
        <f t="array" aca="1" ref="V1947" ca="1">IFERROR(_xlfn.IFS(A1945="  ..............",OFFSET(A1945,2,0),A1944=" X-------------X",OFFSET(A1944,3,0),MATCH("  ..............",A1947:A1956,0)&gt;2,V1946),"-")</f>
        <v xml:space="preserve">  CHARQ3-RS069  </v>
      </c>
      <c r="W1947">
        <f t="shared" ca="1" si="90"/>
        <v>1.046</v>
      </c>
      <c r="X1947" t="str">
        <f t="shared" ca="1" si="91"/>
        <v xml:space="preserve"> TRIUNF-RS069 </v>
      </c>
      <c r="Y1947" s="1">
        <f t="shared" ca="1" si="92"/>
        <v>0.17199999999999999</v>
      </c>
    </row>
    <row r="1948" spans="1:25" x14ac:dyDescent="0.25">
      <c r="A1948" t="s">
        <v>1588</v>
      </c>
      <c r="B1948" t="s">
        <v>1587</v>
      </c>
      <c r="C1948">
        <v>48</v>
      </c>
      <c r="D1948">
        <v>48</v>
      </c>
      <c r="E1948">
        <v>48</v>
      </c>
      <c r="F1948" s="1">
        <v>0.29599999999999999</v>
      </c>
      <c r="G1948" t="s">
        <v>1587</v>
      </c>
      <c r="H1948" t="s">
        <v>1587</v>
      </c>
      <c r="I1948">
        <v>1208</v>
      </c>
      <c r="J1948" t="s">
        <v>2192</v>
      </c>
      <c r="K1948">
        <v>1</v>
      </c>
      <c r="L1948">
        <v>13.8</v>
      </c>
      <c r="M1948">
        <v>5.5</v>
      </c>
      <c r="N1948">
        <v>14.2</v>
      </c>
      <c r="O1948" t="s">
        <v>1594</v>
      </c>
      <c r="P1948" t="s">
        <v>1584</v>
      </c>
      <c r="Q1948" t="s">
        <v>1591</v>
      </c>
      <c r="R1948">
        <v>0.11</v>
      </c>
      <c r="S1948">
        <v>0.06</v>
      </c>
      <c r="T1948" t="s">
        <v>1584</v>
      </c>
      <c r="U1948" t="s">
        <v>1592</v>
      </c>
      <c r="V1948" t="str" cm="1">
        <f t="array" aca="1" ref="V1948" ca="1">IFERROR(_xlfn.IFS(A1946="  ..............",OFFSET(A1946,2,0),A1945=" X-------------X",OFFSET(A1945,3,0),MATCH("  ..............",A1948:A1957,0)&gt;2,V1947),"-")</f>
        <v xml:space="preserve">  CHARQ3-RS069  </v>
      </c>
      <c r="W1948">
        <f t="shared" ca="1" si="90"/>
        <v>1.046</v>
      </c>
      <c r="X1948" t="str">
        <f t="shared" ca="1" si="91"/>
        <v xml:space="preserve"> TAQUAR-RS069 </v>
      </c>
      <c r="Y1948" s="1">
        <f t="shared" ca="1" si="92"/>
        <v>0.496</v>
      </c>
    </row>
    <row r="1949" spans="1:25" x14ac:dyDescent="0.25">
      <c r="A1949" t="s">
        <v>1588</v>
      </c>
      <c r="B1949" t="s">
        <v>1587</v>
      </c>
      <c r="C1949">
        <v>46</v>
      </c>
      <c r="D1949">
        <v>55</v>
      </c>
      <c r="E1949">
        <v>55</v>
      </c>
      <c r="F1949" s="1">
        <v>0.496</v>
      </c>
      <c r="G1949" t="s">
        <v>1587</v>
      </c>
      <c r="H1949" t="s">
        <v>1587</v>
      </c>
      <c r="I1949">
        <v>1304</v>
      </c>
      <c r="J1949" t="s">
        <v>2884</v>
      </c>
      <c r="K1949">
        <v>1</v>
      </c>
      <c r="L1949">
        <v>21.4</v>
      </c>
      <c r="M1949">
        <v>10.6</v>
      </c>
      <c r="N1949">
        <v>22.8</v>
      </c>
      <c r="O1949" t="s">
        <v>1594</v>
      </c>
      <c r="P1949" t="s">
        <v>1584</v>
      </c>
      <c r="Q1949" t="s">
        <v>1591</v>
      </c>
      <c r="R1949">
        <v>1.29</v>
      </c>
      <c r="S1949">
        <v>1.64</v>
      </c>
      <c r="T1949" t="s">
        <v>1584</v>
      </c>
      <c r="U1949" t="s">
        <v>1592</v>
      </c>
      <c r="V1949" t="str" cm="1">
        <f t="array" aca="1" ref="V1949" ca="1">IFERROR(_xlfn.IFS(A1947="  ..............",OFFSET(A1947,2,0),A1946=" X-------------X",OFFSET(A1946,3,0),MATCH("  ..............",A1949:A1958,0)&gt;2,V1948),"-")</f>
        <v xml:space="preserve">  CHARQ3-RS069  </v>
      </c>
      <c r="W1949">
        <f t="shared" ca="1" si="90"/>
        <v>1.046</v>
      </c>
      <c r="X1949" t="str">
        <f t="shared" ca="1" si="91"/>
        <v xml:space="preserve"> CHQ3-1-RS000 </v>
      </c>
      <c r="Y1949" s="1">
        <f t="shared" ca="1" si="92"/>
        <v>0.22600000000000001</v>
      </c>
    </row>
    <row r="1950" spans="1:25" x14ac:dyDescent="0.25">
      <c r="A1950" t="s">
        <v>1588</v>
      </c>
      <c r="B1950" t="s">
        <v>1587</v>
      </c>
      <c r="C1950">
        <v>150</v>
      </c>
      <c r="D1950">
        <v>180</v>
      </c>
      <c r="E1950">
        <v>180</v>
      </c>
      <c r="F1950" s="1">
        <v>0.22600000000000001</v>
      </c>
      <c r="G1950" t="s">
        <v>1587</v>
      </c>
      <c r="H1950" t="s">
        <v>1587</v>
      </c>
      <c r="I1950">
        <v>10278</v>
      </c>
      <c r="J1950" t="s">
        <v>2885</v>
      </c>
      <c r="K1950">
        <v>1</v>
      </c>
      <c r="L1950">
        <v>-33.4</v>
      </c>
      <c r="M1950">
        <v>-11.9</v>
      </c>
      <c r="N1950">
        <v>33.9</v>
      </c>
      <c r="O1950" t="s">
        <v>1608</v>
      </c>
      <c r="P1950" t="s">
        <v>1584</v>
      </c>
      <c r="Q1950">
        <v>2</v>
      </c>
      <c r="R1950">
        <v>0.01</v>
      </c>
      <c r="S1950">
        <v>-0.05</v>
      </c>
      <c r="T1950" t="s">
        <v>1584</v>
      </c>
      <c r="U1950" t="s">
        <v>1592</v>
      </c>
      <c r="V1950" t="str" cm="1">
        <f t="array" aca="1" ref="V1950" ca="1">IFERROR(_xlfn.IFS(A1948="  ..............",OFFSET(A1948,2,0),A1947=" X-------------X",OFFSET(A1947,3,0),MATCH("  ..............",A1950:A1959,0)&gt;2,V1949),"-")</f>
        <v xml:space="preserve">  CHARQ3-RS069  </v>
      </c>
      <c r="W1950">
        <f t="shared" ca="1" si="90"/>
        <v>1.046</v>
      </c>
      <c r="X1950" t="str">
        <f t="shared" ca="1" si="91"/>
        <v xml:space="preserve"> CHQ3-2-RS000 </v>
      </c>
      <c r="Y1950" s="1">
        <f t="shared" ca="1" si="92"/>
        <v>0.22600000000000001</v>
      </c>
    </row>
    <row r="1951" spans="1:25" x14ac:dyDescent="0.25">
      <c r="A1951" t="s">
        <v>1588</v>
      </c>
      <c r="B1951" t="s">
        <v>1587</v>
      </c>
      <c r="C1951">
        <v>150</v>
      </c>
      <c r="D1951">
        <v>180</v>
      </c>
      <c r="E1951">
        <v>180</v>
      </c>
      <c r="F1951" s="1">
        <v>0.22600000000000001</v>
      </c>
      <c r="G1951" t="s">
        <v>1587</v>
      </c>
      <c r="H1951" t="s">
        <v>1587</v>
      </c>
      <c r="I1951">
        <v>10280</v>
      </c>
      <c r="J1951" t="s">
        <v>2886</v>
      </c>
      <c r="K1951">
        <v>2</v>
      </c>
      <c r="L1951">
        <v>-33.4</v>
      </c>
      <c r="M1951">
        <v>-11.9</v>
      </c>
      <c r="N1951">
        <v>33.9</v>
      </c>
      <c r="O1951" t="s">
        <v>1608</v>
      </c>
      <c r="P1951" t="s">
        <v>1584</v>
      </c>
      <c r="Q1951">
        <v>2</v>
      </c>
      <c r="R1951">
        <v>0.01</v>
      </c>
      <c r="S1951">
        <v>-0.05</v>
      </c>
      <c r="T1951" t="s">
        <v>1584</v>
      </c>
      <c r="U1951" t="s">
        <v>1592</v>
      </c>
      <c r="V1951" t="str" cm="1">
        <f t="array" aca="1" ref="V1951" ca="1">IFERROR(_xlfn.IFS(A1949="  ..............",OFFSET(A1949,2,0),A1948=" X-------------X",OFFSET(A1948,3,0),MATCH("  ..............",A1951:A1960,0)&gt;2,V1950),"-")</f>
        <v xml:space="preserve">  CHARQ3-RS069  </v>
      </c>
      <c r="W1951">
        <f t="shared" ca="1" si="90"/>
        <v>1.046</v>
      </c>
      <c r="X1951" t="str">
        <f t="shared" ca="1" si="91"/>
        <v xml:space="preserve"> CHARQ2-RS069 </v>
      </c>
      <c r="Y1951" s="1">
        <f t="shared" ca="1" si="92"/>
        <v>0.46700000000000003</v>
      </c>
    </row>
    <row r="1952" spans="1:25" x14ac:dyDescent="0.25">
      <c r="A1952" t="s">
        <v>1588</v>
      </c>
      <c r="B1952" t="s">
        <v>1587</v>
      </c>
      <c r="C1952">
        <v>69</v>
      </c>
      <c r="D1952">
        <v>88</v>
      </c>
      <c r="E1952">
        <v>88</v>
      </c>
      <c r="F1952" s="1">
        <v>0.46700000000000003</v>
      </c>
      <c r="G1952" t="s">
        <v>1587</v>
      </c>
      <c r="H1952" t="s">
        <v>1587</v>
      </c>
      <c r="I1952">
        <v>10319</v>
      </c>
      <c r="J1952" t="s">
        <v>2887</v>
      </c>
      <c r="K1952">
        <v>1</v>
      </c>
      <c r="L1952">
        <v>31.7</v>
      </c>
      <c r="M1952">
        <v>11.6</v>
      </c>
      <c r="N1952">
        <v>32.200000000000003</v>
      </c>
      <c r="O1952" t="s">
        <v>1594</v>
      </c>
      <c r="P1952" t="s">
        <v>1584</v>
      </c>
      <c r="Q1952" t="s">
        <v>1591</v>
      </c>
      <c r="R1952">
        <v>0.05</v>
      </c>
      <c r="S1952">
        <v>0.14000000000000001</v>
      </c>
      <c r="T1952" t="s">
        <v>1584</v>
      </c>
      <c r="U1952" t="s">
        <v>1592</v>
      </c>
      <c r="V1952" t="str" cm="1">
        <f t="array" aca="1" ref="V1952" ca="1">IFERROR(_xlfn.IFS(A1950="  ..............",OFFSET(A1950,2,0),A1949=" X-------------X",OFFSET(A1949,3,0),MATCH("  ..............",A1952:A1961,0)&gt;2,V1951),"-")</f>
        <v>-</v>
      </c>
      <c r="W1952" t="str">
        <f t="shared" ca="1" si="90"/>
        <v>-</v>
      </c>
      <c r="X1952" t="str">
        <f t="shared" ca="1" si="91"/>
        <v>-</v>
      </c>
      <c r="Y1952" s="1" t="str">
        <f t="shared" ca="1" si="92"/>
        <v>-</v>
      </c>
    </row>
    <row r="1953" spans="1:25" x14ac:dyDescent="0.25">
      <c r="A1953" t="s">
        <v>1572</v>
      </c>
      <c r="B1953" t="s">
        <v>1574</v>
      </c>
      <c r="C1953" t="s">
        <v>1574</v>
      </c>
      <c r="D1953" t="s">
        <v>1574</v>
      </c>
      <c r="E1953" t="s">
        <v>1574</v>
      </c>
      <c r="F1953" t="s">
        <v>1575</v>
      </c>
      <c r="G1953" t="s">
        <v>1574</v>
      </c>
      <c r="H1953" t="s">
        <v>1574</v>
      </c>
      <c r="I1953" t="s">
        <v>1576</v>
      </c>
      <c r="J1953" t="s">
        <v>1573</v>
      </c>
      <c r="K1953" t="s">
        <v>1577</v>
      </c>
      <c r="L1953" t="s">
        <v>1574</v>
      </c>
      <c r="M1953" t="s">
        <v>1574</v>
      </c>
      <c r="N1953" t="s">
        <v>1574</v>
      </c>
      <c r="O1953" t="s">
        <v>1578</v>
      </c>
      <c r="P1953" t="s">
        <v>1576</v>
      </c>
      <c r="Q1953" t="s">
        <v>1579</v>
      </c>
      <c r="R1953" t="s">
        <v>1580</v>
      </c>
      <c r="S1953" t="s">
        <v>1580</v>
      </c>
      <c r="T1953" t="s">
        <v>1576</v>
      </c>
      <c r="U1953" t="s">
        <v>1576</v>
      </c>
      <c r="V1953" t="str" cm="1">
        <f t="array" aca="1" ref="V1953" ca="1">IFERROR(_xlfn.IFS(A1951="  ..............",OFFSET(A1951,2,0),A1950=" X-------------X",OFFSET(A1950,3,0),MATCH("  ..............",A1953:A1962,0)&gt;2,V1952),"-")</f>
        <v>-</v>
      </c>
      <c r="W1953" t="str">
        <f t="shared" ca="1" si="90"/>
        <v>-</v>
      </c>
      <c r="X1953" t="str">
        <f t="shared" ca="1" si="91"/>
        <v/>
      </c>
      <c r="Y1953" s="1" t="str">
        <f t="shared" ca="1" si="92"/>
        <v/>
      </c>
    </row>
    <row r="1954" spans="1:25" x14ac:dyDescent="0.25">
      <c r="A1954" t="s">
        <v>2888</v>
      </c>
      <c r="B1954">
        <v>1.0129999999999999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 t="s">
        <v>1581</v>
      </c>
      <c r="J1954" t="s">
        <v>1581</v>
      </c>
      <c r="K1954" t="s">
        <v>1581</v>
      </c>
      <c r="L1954" t="s">
        <v>1581</v>
      </c>
      <c r="M1954" t="s">
        <v>1581</v>
      </c>
      <c r="N1954" t="s">
        <v>1581</v>
      </c>
      <c r="O1954" t="s">
        <v>1581</v>
      </c>
      <c r="P1954" t="s">
        <v>1581</v>
      </c>
      <c r="Q1954" t="s">
        <v>1581</v>
      </c>
      <c r="R1954" t="s">
        <v>1581</v>
      </c>
      <c r="S1954" t="s">
        <v>1581</v>
      </c>
      <c r="T1954" t="s">
        <v>1581</v>
      </c>
      <c r="U1954" t="s">
        <v>1581</v>
      </c>
      <c r="V1954" t="str" cm="1">
        <f t="array" aca="1" ref="V1954" ca="1">IFERROR(_xlfn.IFS(A1952="  ..............",OFFSET(A1952,2,0),A1951=" X-------------X",OFFSET(A1951,3,0),MATCH("  ..............",A1954:A1963,0)&gt;2,V1953),"-")</f>
        <v>-</v>
      </c>
      <c r="W1954" t="str">
        <f t="shared" ca="1" si="90"/>
        <v>-</v>
      </c>
      <c r="X1954" t="str">
        <f t="shared" ca="1" si="91"/>
        <v xml:space="preserve">              </v>
      </c>
      <c r="Y1954" s="1">
        <f t="shared" ca="1" si="92"/>
        <v>0</v>
      </c>
    </row>
    <row r="1955" spans="1:25" x14ac:dyDescent="0.25">
      <c r="A1955" t="s">
        <v>2889</v>
      </c>
      <c r="B1955">
        <v>-52.4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 t="s">
        <v>1584</v>
      </c>
      <c r="J1955" t="s">
        <v>1585</v>
      </c>
      <c r="K1955" t="s">
        <v>1586</v>
      </c>
      <c r="L1955" t="s">
        <v>1587</v>
      </c>
      <c r="M1955" t="s">
        <v>1587</v>
      </c>
      <c r="N1955" t="s">
        <v>1586</v>
      </c>
      <c r="O1955" t="s">
        <v>1581</v>
      </c>
      <c r="P1955" t="s">
        <v>1581</v>
      </c>
      <c r="Q1955" t="s">
        <v>1581</v>
      </c>
      <c r="R1955" t="s">
        <v>1581</v>
      </c>
      <c r="S1955" t="s">
        <v>1581</v>
      </c>
      <c r="T1955" t="s">
        <v>1581</v>
      </c>
      <c r="U1955" t="s">
        <v>1581</v>
      </c>
      <c r="V1955" t="str" cm="1">
        <f t="array" aca="1" ref="V1955" ca="1">IFERROR(_xlfn.IFS(A1953="  ..............",OFFSET(A1953,2,0),A1952=" X-------------X",OFFSET(A1952,3,0),MATCH("  ..............",A1955:A1964,0)&gt;2,V1954),"-")</f>
        <v xml:space="preserve">  IVOTI2-RS138  </v>
      </c>
      <c r="W1955">
        <f t="shared" ca="1" si="90"/>
        <v>1.0129999999999999</v>
      </c>
      <c r="X1955" t="str">
        <f t="shared" ca="1" si="91"/>
        <v xml:space="preserve"> BPRINC-RS138 </v>
      </c>
      <c r="Y1955" s="1" t="str">
        <f t="shared" ca="1" si="92"/>
        <v xml:space="preserve">             </v>
      </c>
    </row>
    <row r="1956" spans="1:25" x14ac:dyDescent="0.25">
      <c r="A1956" t="s">
        <v>1588</v>
      </c>
      <c r="B1956" t="s">
        <v>1587</v>
      </c>
      <c r="C1956">
        <v>197</v>
      </c>
      <c r="D1956">
        <v>240</v>
      </c>
      <c r="E1956">
        <v>240</v>
      </c>
      <c r="F1956" s="1">
        <v>0.122</v>
      </c>
      <c r="G1956" t="s">
        <v>1587</v>
      </c>
      <c r="H1956" t="s">
        <v>1587</v>
      </c>
      <c r="I1956">
        <v>9964</v>
      </c>
      <c r="J1956" t="s">
        <v>1959</v>
      </c>
      <c r="K1956">
        <v>1</v>
      </c>
      <c r="L1956">
        <v>22.8</v>
      </c>
      <c r="M1956">
        <v>8.8000000000000007</v>
      </c>
      <c r="N1956">
        <v>24.1</v>
      </c>
      <c r="O1956" t="s">
        <v>1594</v>
      </c>
      <c r="P1956" t="s">
        <v>1584</v>
      </c>
      <c r="Q1956" t="s">
        <v>1591</v>
      </c>
      <c r="R1956">
        <v>0.08</v>
      </c>
      <c r="S1956">
        <v>-1.19</v>
      </c>
      <c r="T1956" t="s">
        <v>1584</v>
      </c>
      <c r="U1956" t="s">
        <v>1592</v>
      </c>
      <c r="V1956" t="str" cm="1">
        <f t="array" aca="1" ref="V1956" ca="1">IFERROR(_xlfn.IFS(A1954="  ..............",OFFSET(A1954,2,0),A1953=" X-------------X",OFFSET(A1953,3,0),MATCH("  ..............",A1956:A1965,0)&gt;2,V1955),"-")</f>
        <v xml:space="preserve">  IVOTI2-RS138  </v>
      </c>
      <c r="W1956">
        <f t="shared" ca="1" si="90"/>
        <v>1.0129999999999999</v>
      </c>
      <c r="X1956" t="str">
        <f t="shared" ca="1" si="91"/>
        <v xml:space="preserve"> IVOTI--RS138 </v>
      </c>
      <c r="Y1956" s="1">
        <f t="shared" ca="1" si="92"/>
        <v>0.22800000000000001</v>
      </c>
    </row>
    <row r="1957" spans="1:25" x14ac:dyDescent="0.25">
      <c r="A1957" t="s">
        <v>1588</v>
      </c>
      <c r="B1957" t="s">
        <v>1587</v>
      </c>
      <c r="C1957">
        <v>197</v>
      </c>
      <c r="D1957">
        <v>240</v>
      </c>
      <c r="E1957">
        <v>240</v>
      </c>
      <c r="F1957" s="1">
        <v>0.39</v>
      </c>
      <c r="G1957" t="s">
        <v>1587</v>
      </c>
      <c r="H1957" t="s">
        <v>1587</v>
      </c>
      <c r="I1957">
        <v>9965</v>
      </c>
      <c r="J1957" t="s">
        <v>1630</v>
      </c>
      <c r="K1957">
        <v>1</v>
      </c>
      <c r="L1957">
        <v>74.599999999999994</v>
      </c>
      <c r="M1957">
        <v>22</v>
      </c>
      <c r="N1957">
        <v>76.8</v>
      </c>
      <c r="O1957" t="s">
        <v>1594</v>
      </c>
      <c r="P1957" t="s">
        <v>1584</v>
      </c>
      <c r="Q1957" t="s">
        <v>1591</v>
      </c>
      <c r="R1957">
        <v>0.11</v>
      </c>
      <c r="S1957">
        <v>0.33</v>
      </c>
      <c r="T1957" t="s">
        <v>1584</v>
      </c>
      <c r="U1957" t="s">
        <v>1592</v>
      </c>
      <c r="V1957" t="str" cm="1">
        <f t="array" aca="1" ref="V1957" ca="1">IFERROR(_xlfn.IFS(A1955="  ..............",OFFSET(A1955,2,0),A1954=" X-------------X",OFFSET(A1954,3,0),MATCH("  ..............",A1957:A1966,0)&gt;2,V1956),"-")</f>
        <v xml:space="preserve">  IVOTI2-RS138  </v>
      </c>
      <c r="W1957">
        <f t="shared" ca="1" si="90"/>
        <v>1.0129999999999999</v>
      </c>
      <c r="X1957" t="str">
        <f t="shared" ca="1" si="91"/>
        <v xml:space="preserve"> IVO2-1-RS000 </v>
      </c>
      <c r="Y1957" s="1">
        <f t="shared" ca="1" si="92"/>
        <v>0.33600000000000002</v>
      </c>
    </row>
    <row r="1958" spans="1:25" x14ac:dyDescent="0.25">
      <c r="A1958" t="s">
        <v>1588</v>
      </c>
      <c r="B1958" t="s">
        <v>1587</v>
      </c>
      <c r="C1958">
        <v>150</v>
      </c>
      <c r="D1958">
        <v>180</v>
      </c>
      <c r="E1958">
        <v>180</v>
      </c>
      <c r="F1958" s="1">
        <v>0.33600000000000002</v>
      </c>
      <c r="G1958" t="s">
        <v>1587</v>
      </c>
      <c r="H1958" t="s">
        <v>1587</v>
      </c>
      <c r="I1958">
        <v>10300</v>
      </c>
      <c r="J1958" t="s">
        <v>2890</v>
      </c>
      <c r="K1958">
        <v>1</v>
      </c>
      <c r="L1958">
        <v>-48.7</v>
      </c>
      <c r="M1958">
        <v>-15.4</v>
      </c>
      <c r="N1958">
        <v>50.4</v>
      </c>
      <c r="O1958" t="s">
        <v>2891</v>
      </c>
      <c r="P1958" t="s">
        <v>1584</v>
      </c>
      <c r="Q1958">
        <v>2</v>
      </c>
      <c r="R1958">
        <v>0.02</v>
      </c>
      <c r="S1958">
        <v>-0.12</v>
      </c>
      <c r="T1958" t="s">
        <v>1584</v>
      </c>
      <c r="U1958" t="s">
        <v>1592</v>
      </c>
      <c r="V1958" t="str" cm="1">
        <f t="array" aca="1" ref="V1958" ca="1">IFERROR(_xlfn.IFS(A1956="  ..............",OFFSET(A1956,2,0),A1955=" X-------------X",OFFSET(A1955,3,0),MATCH("  ..............",A1958:A1967,0)&gt;2,V1957),"-")</f>
        <v xml:space="preserve">  IVOTI2-RS138  </v>
      </c>
      <c r="W1958">
        <f t="shared" ca="1" si="90"/>
        <v>1.0129999999999999</v>
      </c>
      <c r="X1958" t="str">
        <f t="shared" ca="1" si="91"/>
        <v xml:space="preserve"> IVO2-2-RS000 </v>
      </c>
      <c r="Y1958" s="1">
        <f t="shared" ca="1" si="92"/>
        <v>0.33600000000000002</v>
      </c>
    </row>
    <row r="1959" spans="1:25" x14ac:dyDescent="0.25">
      <c r="A1959" t="s">
        <v>1588</v>
      </c>
      <c r="B1959" t="s">
        <v>1587</v>
      </c>
      <c r="C1959">
        <v>150</v>
      </c>
      <c r="D1959">
        <v>180</v>
      </c>
      <c r="E1959">
        <v>180</v>
      </c>
      <c r="F1959" s="1">
        <v>0.33600000000000002</v>
      </c>
      <c r="G1959" t="s">
        <v>1587</v>
      </c>
      <c r="H1959" t="s">
        <v>1587</v>
      </c>
      <c r="I1959">
        <v>10301</v>
      </c>
      <c r="J1959" t="s">
        <v>2892</v>
      </c>
      <c r="K1959">
        <v>2</v>
      </c>
      <c r="L1959">
        <v>-48.7</v>
      </c>
      <c r="M1959">
        <v>-15.4</v>
      </c>
      <c r="N1959">
        <v>50.4</v>
      </c>
      <c r="O1959" t="s">
        <v>2891</v>
      </c>
      <c r="P1959" t="s">
        <v>1584</v>
      </c>
      <c r="Q1959">
        <v>2</v>
      </c>
      <c r="R1959">
        <v>0.02</v>
      </c>
      <c r="S1959">
        <v>-0.12</v>
      </c>
      <c r="T1959" t="s">
        <v>1584</v>
      </c>
      <c r="U1959" t="s">
        <v>1592</v>
      </c>
      <c r="V1959" t="str" cm="1">
        <f t="array" aca="1" ref="V1959" ca="1">IFERROR(_xlfn.IFS(A1957="  ..............",OFFSET(A1957,2,0),A1956=" X-------------X",OFFSET(A1956,3,0),MATCH("  ..............",A1959:A1968,0)&gt;2,V1958),"-")</f>
        <v>-</v>
      </c>
      <c r="W1959" t="str">
        <f t="shared" ca="1" si="90"/>
        <v>-</v>
      </c>
      <c r="X1959" t="str">
        <f t="shared" ca="1" si="91"/>
        <v>-</v>
      </c>
      <c r="Y1959" s="1" t="str">
        <f t="shared" ca="1" si="92"/>
        <v>-</v>
      </c>
    </row>
    <row r="1960" spans="1:25" x14ac:dyDescent="0.25">
      <c r="A1960" t="s">
        <v>1572</v>
      </c>
      <c r="B1960" t="s">
        <v>1574</v>
      </c>
      <c r="C1960" t="s">
        <v>1574</v>
      </c>
      <c r="D1960" t="s">
        <v>1574</v>
      </c>
      <c r="E1960" t="s">
        <v>1574</v>
      </c>
      <c r="F1960" t="s">
        <v>1575</v>
      </c>
      <c r="G1960" t="s">
        <v>1574</v>
      </c>
      <c r="H1960" t="s">
        <v>1574</v>
      </c>
      <c r="I1960" t="s">
        <v>1576</v>
      </c>
      <c r="J1960" t="s">
        <v>1573</v>
      </c>
      <c r="K1960" t="s">
        <v>1577</v>
      </c>
      <c r="L1960" t="s">
        <v>1574</v>
      </c>
      <c r="M1960" t="s">
        <v>1574</v>
      </c>
      <c r="N1960" t="s">
        <v>1574</v>
      </c>
      <c r="O1960" t="s">
        <v>1578</v>
      </c>
      <c r="P1960" t="s">
        <v>1576</v>
      </c>
      <c r="Q1960" t="s">
        <v>1579</v>
      </c>
      <c r="R1960" t="s">
        <v>1580</v>
      </c>
      <c r="S1960" t="s">
        <v>1580</v>
      </c>
      <c r="T1960" t="s">
        <v>1576</v>
      </c>
      <c r="U1960" t="s">
        <v>1576</v>
      </c>
      <c r="V1960" t="str" cm="1">
        <f t="array" aca="1" ref="V1960" ca="1">IFERROR(_xlfn.IFS(A1958="  ..............",OFFSET(A1958,2,0),A1957=" X-------------X",OFFSET(A1957,3,0),MATCH("  ..............",A1960:A1969,0)&gt;2,V1959),"-")</f>
        <v>-</v>
      </c>
      <c r="W1960" t="str">
        <f t="shared" ca="1" si="90"/>
        <v>-</v>
      </c>
      <c r="X1960" t="str">
        <f t="shared" ca="1" si="91"/>
        <v/>
      </c>
      <c r="Y1960" s="1" t="str">
        <f t="shared" ca="1" si="92"/>
        <v/>
      </c>
    </row>
    <row r="1961" spans="1:25" x14ac:dyDescent="0.25">
      <c r="A1961" t="s">
        <v>2893</v>
      </c>
      <c r="B1961">
        <v>1.018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 t="s">
        <v>1581</v>
      </c>
      <c r="J1961" t="s">
        <v>1581</v>
      </c>
      <c r="K1961" t="s">
        <v>1581</v>
      </c>
      <c r="L1961" t="s">
        <v>1581</v>
      </c>
      <c r="M1961" t="s">
        <v>1581</v>
      </c>
      <c r="N1961" t="s">
        <v>1581</v>
      </c>
      <c r="O1961" t="s">
        <v>1581</v>
      </c>
      <c r="P1961" t="s">
        <v>1581</v>
      </c>
      <c r="Q1961" t="s">
        <v>1581</v>
      </c>
      <c r="R1961" t="s">
        <v>1581</v>
      </c>
      <c r="S1961" t="s">
        <v>1581</v>
      </c>
      <c r="T1961" t="s">
        <v>1581</v>
      </c>
      <c r="U1961" t="s">
        <v>1581</v>
      </c>
      <c r="V1961" t="str" cm="1">
        <f t="array" aca="1" ref="V1961" ca="1">IFERROR(_xlfn.IFS(A1959="  ..............",OFFSET(A1959,2,0),A1958=" X-------------X",OFFSET(A1958,3,0),MATCH("  ..............",A1961:A1970,0)&gt;2,V1960),"-")</f>
        <v>-</v>
      </c>
      <c r="W1961" t="str">
        <f t="shared" ca="1" si="90"/>
        <v>-</v>
      </c>
      <c r="X1961" t="str">
        <f t="shared" ca="1" si="91"/>
        <v xml:space="preserve">              </v>
      </c>
      <c r="Y1961" s="1">
        <f t="shared" ca="1" si="92"/>
        <v>0</v>
      </c>
    </row>
    <row r="1962" spans="1:25" x14ac:dyDescent="0.25">
      <c r="A1962" t="s">
        <v>2894</v>
      </c>
      <c r="B1962">
        <v>-51.4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 t="s">
        <v>1584</v>
      </c>
      <c r="J1962" t="s">
        <v>1585</v>
      </c>
      <c r="K1962" t="s">
        <v>1586</v>
      </c>
      <c r="L1962" t="s">
        <v>1587</v>
      </c>
      <c r="M1962" t="s">
        <v>1587</v>
      </c>
      <c r="N1962" t="s">
        <v>1586</v>
      </c>
      <c r="O1962" t="s">
        <v>1581</v>
      </c>
      <c r="P1962" t="s">
        <v>1581</v>
      </c>
      <c r="Q1962" t="s">
        <v>1581</v>
      </c>
      <c r="R1962" t="s">
        <v>1581</v>
      </c>
      <c r="S1962" t="s">
        <v>1581</v>
      </c>
      <c r="T1962" t="s">
        <v>1581</v>
      </c>
      <c r="U1962" t="s">
        <v>1581</v>
      </c>
      <c r="V1962" t="str" cm="1">
        <f t="array" aca="1" ref="V1962" ca="1">IFERROR(_xlfn.IFS(A1960="  ..............",OFFSET(A1960,2,0),A1959=" X-------------X",OFFSET(A1959,3,0),MATCH("  ..............",A1962:A1971,0)&gt;2,V1961),"-")</f>
        <v xml:space="preserve">  SSCAI2-RS138  </v>
      </c>
      <c r="W1962">
        <f t="shared" ca="1" si="90"/>
        <v>1.018</v>
      </c>
      <c r="X1962" t="str">
        <f t="shared" ca="1" si="91"/>
        <v xml:space="preserve"> MONTEN-RS138 </v>
      </c>
      <c r="Y1962" s="1">
        <f t="shared" ca="1" si="92"/>
        <v>0.30599999999999999</v>
      </c>
    </row>
    <row r="1963" spans="1:25" x14ac:dyDescent="0.25">
      <c r="A1963" t="s">
        <v>1588</v>
      </c>
      <c r="B1963" t="s">
        <v>1587</v>
      </c>
      <c r="C1963">
        <v>134</v>
      </c>
      <c r="D1963">
        <v>162</v>
      </c>
      <c r="E1963">
        <v>162</v>
      </c>
      <c r="F1963" s="1">
        <v>0.30599999999999999</v>
      </c>
      <c r="G1963" t="s">
        <v>1587</v>
      </c>
      <c r="H1963" t="s">
        <v>1587</v>
      </c>
      <c r="I1963">
        <v>1237</v>
      </c>
      <c r="J1963" t="s">
        <v>2895</v>
      </c>
      <c r="K1963">
        <v>1</v>
      </c>
      <c r="L1963">
        <v>40.299999999999997</v>
      </c>
      <c r="M1963">
        <v>11</v>
      </c>
      <c r="N1963">
        <v>41</v>
      </c>
      <c r="O1963" t="s">
        <v>1594</v>
      </c>
      <c r="P1963" t="s">
        <v>1584</v>
      </c>
      <c r="Q1963" t="s">
        <v>1591</v>
      </c>
      <c r="R1963">
        <v>0.28000000000000003</v>
      </c>
      <c r="S1963">
        <v>-0.41</v>
      </c>
      <c r="T1963" t="s">
        <v>1584</v>
      </c>
      <c r="U1963" t="s">
        <v>1592</v>
      </c>
      <c r="V1963" t="str" cm="1">
        <f t="array" aca="1" ref="V1963" ca="1">IFERROR(_xlfn.IFS(A1961="  ..............",OFFSET(A1961,2,0),A1960=" X-------------X",OFFSET(A1960,3,0),MATCH("  ..............",A1963:A1972,0)&gt;2,V1962),"-")</f>
        <v xml:space="preserve">  SSCAI2-RS138  </v>
      </c>
      <c r="W1963">
        <f t="shared" ca="1" si="90"/>
        <v>1.018</v>
      </c>
      <c r="X1963" t="str">
        <f t="shared" ca="1" si="91"/>
        <v xml:space="preserve"> SAOSCA-RS138 </v>
      </c>
      <c r="Y1963" s="1" t="str">
        <f t="shared" ca="1" si="92"/>
        <v xml:space="preserve">             </v>
      </c>
    </row>
    <row r="1964" spans="1:25" x14ac:dyDescent="0.25">
      <c r="A1964" t="s">
        <v>1588</v>
      </c>
      <c r="B1964" t="s">
        <v>1587</v>
      </c>
      <c r="C1964">
        <v>134</v>
      </c>
      <c r="D1964">
        <v>162</v>
      </c>
      <c r="E1964">
        <v>162</v>
      </c>
      <c r="F1964" s="1">
        <v>0.113</v>
      </c>
      <c r="G1964" t="s">
        <v>1587</v>
      </c>
      <c r="H1964" t="s">
        <v>1587</v>
      </c>
      <c r="I1964">
        <v>1280</v>
      </c>
      <c r="J1964" t="s">
        <v>2782</v>
      </c>
      <c r="K1964">
        <v>1</v>
      </c>
      <c r="L1964">
        <v>14.8</v>
      </c>
      <c r="M1964">
        <v>4.3</v>
      </c>
      <c r="N1964">
        <v>15.1</v>
      </c>
      <c r="O1964" t="s">
        <v>1594</v>
      </c>
      <c r="P1964" t="s">
        <v>1584</v>
      </c>
      <c r="Q1964" t="s">
        <v>1591</v>
      </c>
      <c r="R1964">
        <v>0.01</v>
      </c>
      <c r="S1964">
        <v>-0.26</v>
      </c>
      <c r="T1964" t="s">
        <v>1584</v>
      </c>
      <c r="U1964" t="s">
        <v>1592</v>
      </c>
      <c r="V1964" t="str" cm="1">
        <f t="array" aca="1" ref="V1964" ca="1">IFERROR(_xlfn.IFS(A1962="  ..............",OFFSET(A1962,2,0),A1961=" X-------------X",OFFSET(A1961,3,0),MATCH("  ..............",A1964:A1973,0)&gt;2,V1963),"-")</f>
        <v xml:space="preserve">  SSCAI2-RS138  </v>
      </c>
      <c r="W1964">
        <f t="shared" ca="1" si="90"/>
        <v>1.018</v>
      </c>
      <c r="X1964" t="str">
        <f t="shared" ca="1" si="91"/>
        <v xml:space="preserve"> SAOSCA-RS138 </v>
      </c>
      <c r="Y1964" s="1" t="str">
        <f t="shared" ca="1" si="92"/>
        <v xml:space="preserve">             </v>
      </c>
    </row>
    <row r="1965" spans="1:25" x14ac:dyDescent="0.25">
      <c r="A1965" t="s">
        <v>1588</v>
      </c>
      <c r="B1965" t="s">
        <v>1587</v>
      </c>
      <c r="C1965">
        <v>134</v>
      </c>
      <c r="D1965">
        <v>162</v>
      </c>
      <c r="E1965">
        <v>162</v>
      </c>
      <c r="F1965" s="1">
        <v>0.113</v>
      </c>
      <c r="G1965" t="s">
        <v>1587</v>
      </c>
      <c r="H1965" t="s">
        <v>1587</v>
      </c>
      <c r="I1965">
        <v>1280</v>
      </c>
      <c r="J1965" t="s">
        <v>2782</v>
      </c>
      <c r="K1965">
        <v>2</v>
      </c>
      <c r="L1965">
        <v>14.8</v>
      </c>
      <c r="M1965">
        <v>4.3</v>
      </c>
      <c r="N1965">
        <v>15.1</v>
      </c>
      <c r="O1965" t="s">
        <v>1594</v>
      </c>
      <c r="P1965" t="s">
        <v>1584</v>
      </c>
      <c r="Q1965" t="s">
        <v>1591</v>
      </c>
      <c r="R1965">
        <v>0.01</v>
      </c>
      <c r="S1965">
        <v>-0.26</v>
      </c>
      <c r="T1965" t="s">
        <v>1584</v>
      </c>
      <c r="U1965" t="s">
        <v>1592</v>
      </c>
      <c r="V1965" t="str" cm="1">
        <f t="array" aca="1" ref="V1965" ca="1">IFERROR(_xlfn.IFS(A1963="  ..............",OFFSET(A1963,2,0),A1962=" X-------------X",OFFSET(A1962,3,0),MATCH("  ..............",A1965:A1974,0)&gt;2,V1964),"-")</f>
        <v xml:space="preserve">  SSCAI2-RS138  </v>
      </c>
      <c r="W1965">
        <f t="shared" ca="1" si="90"/>
        <v>1.018</v>
      </c>
      <c r="X1965" t="str">
        <f t="shared" ca="1" si="91"/>
        <v xml:space="preserve"> PORTAO-RS138 </v>
      </c>
      <c r="Y1965" s="1">
        <f t="shared" ca="1" si="92"/>
        <v>0.13900000000000001</v>
      </c>
    </row>
    <row r="1966" spans="1:25" x14ac:dyDescent="0.25">
      <c r="A1966" t="s">
        <v>1637</v>
      </c>
      <c r="B1966" t="s">
        <v>1638</v>
      </c>
      <c r="C1966">
        <v>134</v>
      </c>
      <c r="D1966">
        <v>162</v>
      </c>
      <c r="E1966">
        <v>162</v>
      </c>
      <c r="F1966" t="s">
        <v>1639</v>
      </c>
      <c r="G1966" t="s">
        <v>1587</v>
      </c>
      <c r="H1966" t="s">
        <v>1587</v>
      </c>
      <c r="I1966">
        <v>2076</v>
      </c>
      <c r="J1966" t="s">
        <v>2276</v>
      </c>
      <c r="K1966">
        <v>1</v>
      </c>
      <c r="L1966">
        <v>0</v>
      </c>
      <c r="M1966">
        <v>0</v>
      </c>
      <c r="N1966">
        <v>0</v>
      </c>
      <c r="O1966" t="s">
        <v>1594</v>
      </c>
      <c r="P1966" t="s">
        <v>1584</v>
      </c>
      <c r="Q1966" t="s">
        <v>1591</v>
      </c>
      <c r="R1966">
        <v>0</v>
      </c>
      <c r="S1966">
        <v>0</v>
      </c>
      <c r="T1966" t="s">
        <v>1584</v>
      </c>
      <c r="U1966" t="s">
        <v>1592</v>
      </c>
      <c r="V1966" t="str" cm="1">
        <f t="array" aca="1" ref="V1966" ca="1">IFERROR(_xlfn.IFS(A1964="  ..............",OFFSET(A1964,2,0),A1963=" X-------------X",OFFSET(A1963,3,0),MATCH("  ..............",A1966:A1975,0)&gt;2,V1965),"-")</f>
        <v xml:space="preserve">  SSCAI2-RS138  </v>
      </c>
      <c r="W1966">
        <f t="shared" ca="1" si="90"/>
        <v>1.018</v>
      </c>
      <c r="X1966" t="str">
        <f t="shared" ca="1" si="91"/>
        <v xml:space="preserve"> SSC2-1-RS000 </v>
      </c>
      <c r="Y1966" s="1">
        <f t="shared" ca="1" si="92"/>
        <v>0.23699999999999999</v>
      </c>
    </row>
    <row r="1967" spans="1:25" x14ac:dyDescent="0.25">
      <c r="A1967" t="s">
        <v>1588</v>
      </c>
      <c r="B1967" t="s">
        <v>1587</v>
      </c>
      <c r="C1967">
        <v>150</v>
      </c>
      <c r="D1967">
        <v>180</v>
      </c>
      <c r="E1967">
        <v>180</v>
      </c>
      <c r="F1967" s="1">
        <v>0.23699999999999999</v>
      </c>
      <c r="G1967" t="s">
        <v>1587</v>
      </c>
      <c r="H1967" t="s">
        <v>1587</v>
      </c>
      <c r="I1967">
        <v>10309</v>
      </c>
      <c r="J1967" t="s">
        <v>2896</v>
      </c>
      <c r="K1967">
        <v>1</v>
      </c>
      <c r="L1967">
        <v>-34.9</v>
      </c>
      <c r="M1967">
        <v>-9.8000000000000007</v>
      </c>
      <c r="N1967">
        <v>35.6</v>
      </c>
      <c r="O1967" t="s">
        <v>2891</v>
      </c>
      <c r="P1967" t="s">
        <v>1584</v>
      </c>
      <c r="Q1967">
        <v>2</v>
      </c>
      <c r="R1967">
        <v>0.01</v>
      </c>
      <c r="S1967">
        <v>-0.06</v>
      </c>
      <c r="T1967" t="s">
        <v>1584</v>
      </c>
      <c r="U1967" t="s">
        <v>1592</v>
      </c>
      <c r="V1967" t="str" cm="1">
        <f t="array" aca="1" ref="V1967" ca="1">IFERROR(_xlfn.IFS(A1965="  ..............",OFFSET(A1965,2,0),A1964=" X-------------X",OFFSET(A1964,3,0),MATCH("  ..............",A1967:A1976,0)&gt;2,V1966),"-")</f>
        <v xml:space="preserve">  SSCAI2-RS138  </v>
      </c>
      <c r="W1967">
        <f t="shared" ca="1" si="90"/>
        <v>1.018</v>
      </c>
      <c r="X1967" t="str">
        <f t="shared" ca="1" si="91"/>
        <v xml:space="preserve"> SSC2-2-RS000 </v>
      </c>
      <c r="Y1967" s="1">
        <f t="shared" ca="1" si="92"/>
        <v>0.23699999999999999</v>
      </c>
    </row>
    <row r="1968" spans="1:25" x14ac:dyDescent="0.25">
      <c r="A1968" t="s">
        <v>1588</v>
      </c>
      <c r="B1968" t="s">
        <v>1587</v>
      </c>
      <c r="C1968">
        <v>150</v>
      </c>
      <c r="D1968">
        <v>180</v>
      </c>
      <c r="E1968">
        <v>180</v>
      </c>
      <c r="F1968" s="1">
        <v>0.23699999999999999</v>
      </c>
      <c r="G1968" t="s">
        <v>1587</v>
      </c>
      <c r="H1968" t="s">
        <v>1587</v>
      </c>
      <c r="I1968">
        <v>10310</v>
      </c>
      <c r="J1968" t="s">
        <v>2897</v>
      </c>
      <c r="K1968">
        <v>2</v>
      </c>
      <c r="L1968">
        <v>-34.9</v>
      </c>
      <c r="M1968">
        <v>-9.8000000000000007</v>
      </c>
      <c r="N1968">
        <v>35.6</v>
      </c>
      <c r="O1968" t="s">
        <v>2891</v>
      </c>
      <c r="P1968" t="s">
        <v>1584</v>
      </c>
      <c r="Q1968">
        <v>2</v>
      </c>
      <c r="R1968">
        <v>0.01</v>
      </c>
      <c r="S1968">
        <v>-0.06</v>
      </c>
      <c r="T1968" t="s">
        <v>1584</v>
      </c>
      <c r="U1968" t="s">
        <v>1592</v>
      </c>
      <c r="V1968" t="str" cm="1">
        <f t="array" aca="1" ref="V1968" ca="1">IFERROR(_xlfn.IFS(A1966="  ..............",OFFSET(A1966,2,0),A1965=" X-------------X",OFFSET(A1965,3,0),MATCH("  ..............",A1968:A1977,0)&gt;2,V1967),"-")</f>
        <v>-</v>
      </c>
      <c r="W1968" t="str">
        <f t="shared" ca="1" si="90"/>
        <v>-</v>
      </c>
      <c r="X1968" t="str">
        <f t="shared" ca="1" si="91"/>
        <v>-</v>
      </c>
      <c r="Y1968" s="1" t="str">
        <f t="shared" ca="1" si="92"/>
        <v>-</v>
      </c>
    </row>
    <row r="1969" spans="1:25" x14ac:dyDescent="0.25">
      <c r="A1969" t="s">
        <v>1572</v>
      </c>
      <c r="B1969" t="s">
        <v>1574</v>
      </c>
      <c r="C1969" t="s">
        <v>1574</v>
      </c>
      <c r="D1969" t="s">
        <v>1574</v>
      </c>
      <c r="E1969" t="s">
        <v>1574</v>
      </c>
      <c r="F1969" t="s">
        <v>1575</v>
      </c>
      <c r="G1969" t="s">
        <v>1574</v>
      </c>
      <c r="H1969" t="s">
        <v>1574</v>
      </c>
      <c r="I1969" t="s">
        <v>1576</v>
      </c>
      <c r="J1969" t="s">
        <v>1573</v>
      </c>
      <c r="K1969" t="s">
        <v>1577</v>
      </c>
      <c r="L1969" t="s">
        <v>1574</v>
      </c>
      <c r="M1969" t="s">
        <v>1574</v>
      </c>
      <c r="N1969" t="s">
        <v>1574</v>
      </c>
      <c r="O1969" t="s">
        <v>1578</v>
      </c>
      <c r="P1969" t="s">
        <v>1576</v>
      </c>
      <c r="Q1969" t="s">
        <v>1579</v>
      </c>
      <c r="R1969" t="s">
        <v>1580</v>
      </c>
      <c r="S1969" t="s">
        <v>1580</v>
      </c>
      <c r="T1969" t="s">
        <v>1576</v>
      </c>
      <c r="U1969" t="s">
        <v>1576</v>
      </c>
      <c r="V1969" t="str" cm="1">
        <f t="array" aca="1" ref="V1969" ca="1">IFERROR(_xlfn.IFS(A1967="  ..............",OFFSET(A1967,2,0),A1966=" X-------------X",OFFSET(A1966,3,0),MATCH("  ..............",A1969:A1978,0)&gt;2,V1968),"-")</f>
        <v>-</v>
      </c>
      <c r="W1969" t="str">
        <f t="shared" ca="1" si="90"/>
        <v>-</v>
      </c>
      <c r="X1969" t="str">
        <f t="shared" ca="1" si="91"/>
        <v/>
      </c>
      <c r="Y1969" s="1" t="str">
        <f t="shared" ca="1" si="92"/>
        <v/>
      </c>
    </row>
    <row r="1970" spans="1:25" x14ac:dyDescent="0.25">
      <c r="A1970" t="s">
        <v>2898</v>
      </c>
      <c r="B1970">
        <v>1.012</v>
      </c>
      <c r="C1970">
        <v>0.2</v>
      </c>
      <c r="D1970">
        <v>0</v>
      </c>
      <c r="E1970">
        <v>3</v>
      </c>
      <c r="F1970">
        <v>0</v>
      </c>
      <c r="G1970">
        <v>0</v>
      </c>
      <c r="H1970">
        <v>0</v>
      </c>
      <c r="I1970" t="s">
        <v>1581</v>
      </c>
      <c r="J1970" t="s">
        <v>1581</v>
      </c>
      <c r="K1970" t="s">
        <v>1581</v>
      </c>
      <c r="L1970" t="s">
        <v>1581</v>
      </c>
      <c r="M1970" t="s">
        <v>1581</v>
      </c>
      <c r="N1970" t="s">
        <v>1581</v>
      </c>
      <c r="O1970" t="s">
        <v>1581</v>
      </c>
      <c r="P1970" t="s">
        <v>1581</v>
      </c>
      <c r="Q1970" t="s">
        <v>1581</v>
      </c>
      <c r="R1970" t="s">
        <v>1581</v>
      </c>
      <c r="S1970" t="s">
        <v>1581</v>
      </c>
      <c r="T1970" t="s">
        <v>1581</v>
      </c>
      <c r="U1970" t="s">
        <v>1581</v>
      </c>
      <c r="V1970" t="str" cm="1">
        <f t="array" aca="1" ref="V1970" ca="1">IFERROR(_xlfn.IFS(A1968="  ..............",OFFSET(A1968,2,0),A1967=" X-------------X",OFFSET(A1967,3,0),MATCH("  ..............",A1970:A1979,0)&gt;2,V1969),"-")</f>
        <v>-</v>
      </c>
      <c r="W1970" t="str">
        <f t="shared" ca="1" si="90"/>
        <v>-</v>
      </c>
      <c r="X1970" t="str">
        <f t="shared" ca="1" si="91"/>
        <v xml:space="preserve">              </v>
      </c>
      <c r="Y1970" s="1">
        <f t="shared" ca="1" si="92"/>
        <v>0</v>
      </c>
    </row>
    <row r="1971" spans="1:25" x14ac:dyDescent="0.25">
      <c r="A1971" t="s">
        <v>2899</v>
      </c>
      <c r="B1971">
        <v>-54.8</v>
      </c>
      <c r="C1971">
        <v>0</v>
      </c>
      <c r="D1971">
        <v>0</v>
      </c>
      <c r="E1971">
        <v>0.2</v>
      </c>
      <c r="F1971">
        <v>0</v>
      </c>
      <c r="G1971">
        <v>0</v>
      </c>
      <c r="H1971">
        <v>0</v>
      </c>
      <c r="I1971" t="s">
        <v>1584</v>
      </c>
      <c r="J1971" t="s">
        <v>1585</v>
      </c>
      <c r="K1971" t="s">
        <v>1586</v>
      </c>
      <c r="L1971" t="s">
        <v>1587</v>
      </c>
      <c r="M1971" t="s">
        <v>1587</v>
      </c>
      <c r="N1971" t="s">
        <v>1586</v>
      </c>
      <c r="O1971" t="s">
        <v>1581</v>
      </c>
      <c r="P1971" t="s">
        <v>1581</v>
      </c>
      <c r="Q1971" t="s">
        <v>1581</v>
      </c>
      <c r="R1971" t="s">
        <v>1581</v>
      </c>
      <c r="S1971" t="s">
        <v>1581</v>
      </c>
      <c r="T1971" t="s">
        <v>1581</v>
      </c>
      <c r="U1971" t="s">
        <v>1581</v>
      </c>
      <c r="V1971" t="str" cm="1">
        <f t="array" aca="1" ref="V1971" ca="1">IFERROR(_xlfn.IFS(A1969="  ..............",OFFSET(A1969,2,0),A1968=" X-------------X",OFFSET(A1968,3,0),MATCH("  ..............",A1971:A1980,0)&gt;2,V1970),"-")</f>
        <v xml:space="preserve">  CERTA3-RS069  </v>
      </c>
      <c r="W1971">
        <f t="shared" ca="1" si="90"/>
        <v>1.012</v>
      </c>
      <c r="X1971" t="str">
        <f t="shared" ca="1" si="91"/>
        <v xml:space="preserve"> VENAIR-RS069 </v>
      </c>
      <c r="Y1971" s="1">
        <f t="shared" ca="1" si="92"/>
        <v>0.318</v>
      </c>
    </row>
    <row r="1972" spans="1:25" x14ac:dyDescent="0.25">
      <c r="A1972" t="s">
        <v>1588</v>
      </c>
      <c r="B1972" t="s">
        <v>1587</v>
      </c>
      <c r="C1972">
        <v>9999</v>
      </c>
      <c r="D1972">
        <v>9999</v>
      </c>
      <c r="E1972">
        <v>9999</v>
      </c>
      <c r="F1972" s="1">
        <v>0</v>
      </c>
      <c r="G1972" t="s">
        <v>1587</v>
      </c>
      <c r="H1972" t="s">
        <v>1587</v>
      </c>
      <c r="I1972">
        <v>1298</v>
      </c>
      <c r="J1972" t="s">
        <v>2343</v>
      </c>
      <c r="K1972">
        <v>1</v>
      </c>
      <c r="L1972">
        <v>-2.8</v>
      </c>
      <c r="M1972">
        <v>-0.2</v>
      </c>
      <c r="N1972">
        <v>2.8</v>
      </c>
      <c r="O1972" t="s">
        <v>1594</v>
      </c>
      <c r="P1972" t="s">
        <v>1584</v>
      </c>
      <c r="Q1972" t="s">
        <v>1591</v>
      </c>
      <c r="R1972">
        <v>0</v>
      </c>
      <c r="S1972">
        <v>0</v>
      </c>
      <c r="T1972" t="s">
        <v>1584</v>
      </c>
      <c r="U1972" t="s">
        <v>1592</v>
      </c>
      <c r="V1972" t="str" cm="1">
        <f t="array" aca="1" ref="V1972" ca="1">IFERROR(_xlfn.IFS(A1970="  ..............",OFFSET(A1970,2,0),A1969=" X-------------X",OFFSET(A1969,3,0),MATCH("  ..............",A1972:A1981,0)&gt;2,V1971),"-")</f>
        <v>-</v>
      </c>
      <c r="W1972" t="str">
        <f t="shared" ca="1" si="90"/>
        <v>-</v>
      </c>
      <c r="X1972" t="str">
        <f t="shared" ca="1" si="91"/>
        <v>-</v>
      </c>
      <c r="Y1972" s="1" t="str">
        <f t="shared" ca="1" si="92"/>
        <v>-</v>
      </c>
    </row>
    <row r="1973" spans="1:25" x14ac:dyDescent="0.25">
      <c r="A1973" t="s">
        <v>1572</v>
      </c>
      <c r="B1973" t="s">
        <v>1574</v>
      </c>
      <c r="C1973" t="s">
        <v>1574</v>
      </c>
      <c r="D1973" t="s">
        <v>1574</v>
      </c>
      <c r="E1973" t="s">
        <v>1574</v>
      </c>
      <c r="F1973" t="s">
        <v>1575</v>
      </c>
      <c r="G1973" t="s">
        <v>1574</v>
      </c>
      <c r="H1973" t="s">
        <v>1574</v>
      </c>
      <c r="I1973" t="s">
        <v>1576</v>
      </c>
      <c r="J1973" t="s">
        <v>1573</v>
      </c>
      <c r="K1973" t="s">
        <v>1577</v>
      </c>
      <c r="L1973" t="s">
        <v>1574</v>
      </c>
      <c r="M1973" t="s">
        <v>1574</v>
      </c>
      <c r="N1973" t="s">
        <v>1574</v>
      </c>
      <c r="O1973" t="s">
        <v>1578</v>
      </c>
      <c r="P1973" t="s">
        <v>1576</v>
      </c>
      <c r="Q1973" t="s">
        <v>1579</v>
      </c>
      <c r="R1973" t="s">
        <v>1580</v>
      </c>
      <c r="S1973" t="s">
        <v>1580</v>
      </c>
      <c r="T1973" t="s">
        <v>1576</v>
      </c>
      <c r="U1973" t="s">
        <v>1576</v>
      </c>
      <c r="V1973" t="str" cm="1">
        <f t="array" aca="1" ref="V1973" ca="1">IFERROR(_xlfn.IFS(A1971="  ..............",OFFSET(A1971,2,0),A1970=" X-------------X",OFFSET(A1970,3,0),MATCH("  ..............",A1973:A1982,0)&gt;2,V1972),"-")</f>
        <v>-</v>
      </c>
      <c r="W1973" t="str">
        <f t="shared" ca="1" si="90"/>
        <v>-</v>
      </c>
      <c r="X1973" t="str">
        <f t="shared" ca="1" si="91"/>
        <v/>
      </c>
      <c r="Y1973" s="1" t="str">
        <f t="shared" ca="1" si="92"/>
        <v/>
      </c>
    </row>
    <row r="1974" spans="1:25" x14ac:dyDescent="0.25">
      <c r="A1974" t="s">
        <v>2900</v>
      </c>
      <c r="B1974">
        <v>1.0029999999999999</v>
      </c>
      <c r="C1974">
        <v>6.8</v>
      </c>
      <c r="D1974">
        <v>0</v>
      </c>
      <c r="E1974">
        <v>0</v>
      </c>
      <c r="F1974">
        <v>0</v>
      </c>
      <c r="G1974">
        <v>0</v>
      </c>
      <c r="H1974">
        <v>0</v>
      </c>
      <c r="I1974" t="s">
        <v>1581</v>
      </c>
      <c r="J1974" t="s">
        <v>1581</v>
      </c>
      <c r="K1974" t="s">
        <v>1581</v>
      </c>
      <c r="L1974" t="s">
        <v>1581</v>
      </c>
      <c r="M1974" t="s">
        <v>1581</v>
      </c>
      <c r="N1974" t="s">
        <v>1581</v>
      </c>
      <c r="O1974" t="s">
        <v>1581</v>
      </c>
      <c r="P1974" t="s">
        <v>1581</v>
      </c>
      <c r="Q1974" t="s">
        <v>1581</v>
      </c>
      <c r="R1974" t="s">
        <v>1581</v>
      </c>
      <c r="S1974" t="s">
        <v>1581</v>
      </c>
      <c r="T1974" t="s">
        <v>1581</v>
      </c>
      <c r="U1974" t="s">
        <v>1581</v>
      </c>
      <c r="V1974" t="str" cm="1">
        <f t="array" aca="1" ref="V1974" ca="1">IFERROR(_xlfn.IFS(A1972="  ..............",OFFSET(A1972,2,0),A1971=" X-------------X",OFFSET(A1971,3,0),MATCH("  ..............",A1974:A1983,0)&gt;2,V1973),"-")</f>
        <v>-</v>
      </c>
      <c r="W1974" t="str">
        <f t="shared" ca="1" si="90"/>
        <v>-</v>
      </c>
      <c r="X1974" t="str">
        <f t="shared" ca="1" si="91"/>
        <v xml:space="preserve">              </v>
      </c>
      <c r="Y1974" s="1">
        <f t="shared" ca="1" si="92"/>
        <v>0</v>
      </c>
    </row>
    <row r="1975" spans="1:25" x14ac:dyDescent="0.25">
      <c r="A1975" t="s">
        <v>2901</v>
      </c>
      <c r="B1975">
        <v>-52.7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 t="s">
        <v>1584</v>
      </c>
      <c r="J1975" t="s">
        <v>1585</v>
      </c>
      <c r="K1975" t="s">
        <v>1586</v>
      </c>
      <c r="L1975" t="s">
        <v>1587</v>
      </c>
      <c r="M1975" t="s">
        <v>1587</v>
      </c>
      <c r="N1975" t="s">
        <v>1586</v>
      </c>
      <c r="O1975" t="s">
        <v>1581</v>
      </c>
      <c r="P1975" t="s">
        <v>1581</v>
      </c>
      <c r="Q1975" t="s">
        <v>1581</v>
      </c>
      <c r="R1975" t="s">
        <v>1581</v>
      </c>
      <c r="S1975" t="s">
        <v>1581</v>
      </c>
      <c r="T1975" t="s">
        <v>1581</v>
      </c>
      <c r="U1975" t="s">
        <v>1581</v>
      </c>
      <c r="V1975" t="str" cm="1">
        <f t="array" aca="1" ref="V1975" ca="1">IFERROR(_xlfn.IFS(A1973="  ..............",OFFSET(A1973,2,0),A1972=" X-------------X",OFFSET(A1972,3,0),MATCH("  ..............",A1975:A1984,0)&gt;2,V1974),"-")</f>
        <v xml:space="preserve">  SAOSEPUTE001  </v>
      </c>
      <c r="W1975">
        <f t="shared" ca="1" si="90"/>
        <v>1.0029999999999999</v>
      </c>
      <c r="X1975" t="str">
        <f t="shared" ca="1" si="91"/>
        <v xml:space="preserve"> FORMIG-RS069 </v>
      </c>
      <c r="Y1975" s="1">
        <f t="shared" ca="1" si="92"/>
        <v>0.35299999999999998</v>
      </c>
    </row>
    <row r="1976" spans="1:25" x14ac:dyDescent="0.25">
      <c r="A1976" t="s">
        <v>1588</v>
      </c>
      <c r="B1976" t="s">
        <v>1587</v>
      </c>
      <c r="C1976">
        <v>9999</v>
      </c>
      <c r="D1976">
        <v>9999</v>
      </c>
      <c r="E1976">
        <v>9999</v>
      </c>
      <c r="F1976" s="1">
        <v>0</v>
      </c>
      <c r="G1976" t="s">
        <v>1587</v>
      </c>
      <c r="H1976" t="s">
        <v>1587</v>
      </c>
      <c r="I1976">
        <v>10170</v>
      </c>
      <c r="J1976" t="s">
        <v>2824</v>
      </c>
      <c r="K1976">
        <v>1</v>
      </c>
      <c r="L1976">
        <v>6.8</v>
      </c>
      <c r="M1976">
        <v>0</v>
      </c>
      <c r="N1976">
        <v>6.8</v>
      </c>
      <c r="O1976" t="s">
        <v>1594</v>
      </c>
      <c r="P1976" t="s">
        <v>1584</v>
      </c>
      <c r="Q1976" t="s">
        <v>1591</v>
      </c>
      <c r="R1976">
        <v>0</v>
      </c>
      <c r="S1976">
        <v>0.01</v>
      </c>
      <c r="T1976" t="s">
        <v>1584</v>
      </c>
      <c r="U1976" t="s">
        <v>1592</v>
      </c>
      <c r="V1976" t="str" cm="1">
        <f t="array" aca="1" ref="V1976" ca="1">IFERROR(_xlfn.IFS(A1974="  ..............",OFFSET(A1974,2,0),A1973=" X-------------X",OFFSET(A1973,3,0),MATCH("  ..............",A1976:A1985,0)&gt;2,V1975),"-")</f>
        <v>-</v>
      </c>
      <c r="W1976" t="str">
        <f t="shared" ca="1" si="90"/>
        <v>-</v>
      </c>
      <c r="X1976" t="str">
        <f t="shared" ca="1" si="91"/>
        <v>-</v>
      </c>
      <c r="Y1976" s="1" t="str">
        <f t="shared" ca="1" si="92"/>
        <v>-</v>
      </c>
    </row>
    <row r="1977" spans="1:25" x14ac:dyDescent="0.25">
      <c r="A1977" t="s">
        <v>1572</v>
      </c>
      <c r="B1977" t="s">
        <v>1574</v>
      </c>
      <c r="C1977" t="s">
        <v>1574</v>
      </c>
      <c r="D1977" t="s">
        <v>1574</v>
      </c>
      <c r="E1977" t="s">
        <v>1574</v>
      </c>
      <c r="F1977" t="s">
        <v>1575</v>
      </c>
      <c r="G1977" t="s">
        <v>1574</v>
      </c>
      <c r="H1977" t="s">
        <v>1574</v>
      </c>
      <c r="I1977" t="s">
        <v>1576</v>
      </c>
      <c r="J1977" t="s">
        <v>1573</v>
      </c>
      <c r="K1977" t="s">
        <v>1577</v>
      </c>
      <c r="L1977" t="s">
        <v>1574</v>
      </c>
      <c r="M1977" t="s">
        <v>1574</v>
      </c>
      <c r="N1977" t="s">
        <v>1574</v>
      </c>
      <c r="O1977" t="s">
        <v>1578</v>
      </c>
      <c r="P1977" t="s">
        <v>1576</v>
      </c>
      <c r="Q1977" t="s">
        <v>1579</v>
      </c>
      <c r="R1977" t="s">
        <v>1580</v>
      </c>
      <c r="S1977" t="s">
        <v>1580</v>
      </c>
      <c r="T1977" t="s">
        <v>1576</v>
      </c>
      <c r="U1977" t="s">
        <v>1576</v>
      </c>
      <c r="V1977" t="str" cm="1">
        <f t="array" aca="1" ref="V1977" ca="1">IFERROR(_xlfn.IFS(A1975="  ..............",OFFSET(A1975,2,0),A1974=" X-------------X",OFFSET(A1974,3,0),MATCH("  ..............",A1977:A1986,0)&gt;2,V1976),"-")</f>
        <v>-</v>
      </c>
      <c r="W1977" t="str">
        <f t="shared" ca="1" si="90"/>
        <v>-</v>
      </c>
      <c r="X1977" t="str">
        <f t="shared" ca="1" si="91"/>
        <v/>
      </c>
      <c r="Y1977" s="1" t="str">
        <f t="shared" ca="1" si="92"/>
        <v/>
      </c>
    </row>
    <row r="1978" spans="1:25" x14ac:dyDescent="0.25">
      <c r="A1978" t="s">
        <v>2902</v>
      </c>
      <c r="B1978">
        <v>1.0429999999999999</v>
      </c>
      <c r="C1978">
        <v>6.4</v>
      </c>
      <c r="D1978">
        <v>0</v>
      </c>
      <c r="E1978">
        <v>38</v>
      </c>
      <c r="F1978">
        <v>0</v>
      </c>
      <c r="G1978">
        <v>3.9</v>
      </c>
      <c r="H1978">
        <v>0</v>
      </c>
      <c r="I1978" t="s">
        <v>1581</v>
      </c>
      <c r="J1978" t="s">
        <v>1581</v>
      </c>
      <c r="K1978" t="s">
        <v>1581</v>
      </c>
      <c r="L1978" t="s">
        <v>1581</v>
      </c>
      <c r="M1978" t="s">
        <v>1581</v>
      </c>
      <c r="N1978" t="s">
        <v>1581</v>
      </c>
      <c r="O1978" t="s">
        <v>1581</v>
      </c>
      <c r="P1978" t="s">
        <v>1581</v>
      </c>
      <c r="Q1978" t="s">
        <v>1581</v>
      </c>
      <c r="R1978" t="s">
        <v>1581</v>
      </c>
      <c r="S1978" t="s">
        <v>1581</v>
      </c>
      <c r="T1978" t="s">
        <v>1581</v>
      </c>
      <c r="U1978" t="s">
        <v>1581</v>
      </c>
      <c r="V1978" t="str" cm="1">
        <f t="array" aca="1" ref="V1978" ca="1">IFERROR(_xlfn.IFS(A1976="  ..............",OFFSET(A1976,2,0),A1975=" X-------------X",OFFSET(A1975,3,0),MATCH("  ..............",A1978:A1987,0)&gt;2,V1977),"-")</f>
        <v>-</v>
      </c>
      <c r="W1978" t="str">
        <f t="shared" ca="1" si="90"/>
        <v>-</v>
      </c>
      <c r="X1978" t="str">
        <f t="shared" ca="1" si="91"/>
        <v xml:space="preserve">              </v>
      </c>
      <c r="Y1978" s="1">
        <f t="shared" ca="1" si="92"/>
        <v>0</v>
      </c>
    </row>
    <row r="1979" spans="1:25" x14ac:dyDescent="0.25">
      <c r="A1979" t="s">
        <v>2903</v>
      </c>
      <c r="B1979">
        <v>-52.1</v>
      </c>
      <c r="C1979">
        <v>0</v>
      </c>
      <c r="D1979">
        <v>0</v>
      </c>
      <c r="E1979">
        <v>15.4</v>
      </c>
      <c r="F1979">
        <v>0</v>
      </c>
      <c r="G1979">
        <v>0</v>
      </c>
      <c r="H1979">
        <v>0</v>
      </c>
      <c r="I1979" t="s">
        <v>1584</v>
      </c>
      <c r="J1979" t="s">
        <v>1585</v>
      </c>
      <c r="K1979" t="s">
        <v>1586</v>
      </c>
      <c r="L1979" t="s">
        <v>1587</v>
      </c>
      <c r="M1979" t="s">
        <v>1587</v>
      </c>
      <c r="N1979" t="s">
        <v>1586</v>
      </c>
      <c r="O1979" t="s">
        <v>1581</v>
      </c>
      <c r="P1979" t="s">
        <v>1581</v>
      </c>
      <c r="Q1979" t="s">
        <v>1581</v>
      </c>
      <c r="R1979" t="s">
        <v>1581</v>
      </c>
      <c r="S1979" t="s">
        <v>1581</v>
      </c>
      <c r="T1979" t="s">
        <v>1581</v>
      </c>
      <c r="U1979" t="s">
        <v>1581</v>
      </c>
      <c r="V1979" t="str" cm="1">
        <f t="array" aca="1" ref="V1979" ca="1">IFERROR(_xlfn.IFS(A1977="  ..............",OFFSET(A1977,2,0),A1976=" X-------------X",OFFSET(A1976,3,0),MATCH("  ..............",A1979:A1988,0)&gt;2,V1978),"-")</f>
        <v xml:space="preserve">  CHARQ2-RS069  </v>
      </c>
      <c r="W1979">
        <f t="shared" ca="1" si="90"/>
        <v>1.0429999999999999</v>
      </c>
      <c r="X1979" t="str">
        <f t="shared" ca="1" si="91"/>
        <v xml:space="preserve"> CHARQ3-RS069 </v>
      </c>
      <c r="Y1979" s="1" t="str">
        <f t="shared" ca="1" si="92"/>
        <v xml:space="preserve">             </v>
      </c>
    </row>
    <row r="1980" spans="1:25" x14ac:dyDescent="0.25">
      <c r="A1980" t="s">
        <v>1588</v>
      </c>
      <c r="B1980" t="s">
        <v>1587</v>
      </c>
      <c r="C1980">
        <v>69</v>
      </c>
      <c r="D1980">
        <v>88</v>
      </c>
      <c r="E1980">
        <v>88</v>
      </c>
      <c r="F1980" s="1">
        <v>0.46700000000000003</v>
      </c>
      <c r="G1980" t="s">
        <v>1587</v>
      </c>
      <c r="H1980" t="s">
        <v>1587</v>
      </c>
      <c r="I1980">
        <v>10277</v>
      </c>
      <c r="J1980" t="s">
        <v>1660</v>
      </c>
      <c r="K1980">
        <v>1</v>
      </c>
      <c r="L1980">
        <v>-31.6</v>
      </c>
      <c r="M1980">
        <v>-11.5</v>
      </c>
      <c r="N1980">
        <v>32.200000000000003</v>
      </c>
      <c r="O1980" t="s">
        <v>1594</v>
      </c>
      <c r="P1980" t="s">
        <v>1584</v>
      </c>
      <c r="Q1980" t="s">
        <v>1591</v>
      </c>
      <c r="R1980">
        <v>0.05</v>
      </c>
      <c r="S1980">
        <v>0.14000000000000001</v>
      </c>
      <c r="T1980" t="s">
        <v>1584</v>
      </c>
      <c r="U1980" t="s">
        <v>1592</v>
      </c>
      <c r="V1980" t="str" cm="1">
        <f t="array" aca="1" ref="V1980" ca="1">IFERROR(_xlfn.IFS(A1978="  ..............",OFFSET(A1978,2,0),A1977=" X-------------X",OFFSET(A1977,3,0),MATCH("  ..............",A1980:A1989,0)&gt;2,V1979),"-")</f>
        <v>-</v>
      </c>
      <c r="W1980" t="str">
        <f t="shared" ca="1" si="90"/>
        <v>-</v>
      </c>
      <c r="X1980" t="str">
        <f t="shared" ca="1" si="91"/>
        <v>-</v>
      </c>
      <c r="Y1980" s="1" t="str">
        <f t="shared" ca="1" si="92"/>
        <v>-</v>
      </c>
    </row>
    <row r="1981" spans="1:25" x14ac:dyDescent="0.25">
      <c r="A1981" t="s">
        <v>1572</v>
      </c>
      <c r="B1981" t="s">
        <v>1574</v>
      </c>
      <c r="C1981" t="s">
        <v>1574</v>
      </c>
      <c r="D1981" t="s">
        <v>1574</v>
      </c>
      <c r="E1981" t="s">
        <v>1574</v>
      </c>
      <c r="F1981" t="s">
        <v>1575</v>
      </c>
      <c r="G1981" t="s">
        <v>1574</v>
      </c>
      <c r="H1981" t="s">
        <v>1574</v>
      </c>
      <c r="I1981" t="s">
        <v>1576</v>
      </c>
      <c r="J1981" t="s">
        <v>1573</v>
      </c>
      <c r="K1981" t="s">
        <v>1577</v>
      </c>
      <c r="L1981" t="s">
        <v>1574</v>
      </c>
      <c r="M1981" t="s">
        <v>1574</v>
      </c>
      <c r="N1981" t="s">
        <v>1574</v>
      </c>
      <c r="O1981" t="s">
        <v>1578</v>
      </c>
      <c r="P1981" t="s">
        <v>1576</v>
      </c>
      <c r="Q1981" t="s">
        <v>1579</v>
      </c>
      <c r="R1981" t="s">
        <v>1580</v>
      </c>
      <c r="S1981" t="s">
        <v>1580</v>
      </c>
      <c r="T1981" t="s">
        <v>1576</v>
      </c>
      <c r="U1981" t="s">
        <v>1576</v>
      </c>
      <c r="V1981" t="str" cm="1">
        <f t="array" aca="1" ref="V1981" ca="1">IFERROR(_xlfn.IFS(A1979="  ..............",OFFSET(A1979,2,0),A1978=" X-------------X",OFFSET(A1978,3,0),MATCH("  ..............",A1981:A1990,0)&gt;2,V1980),"-")</f>
        <v>-</v>
      </c>
      <c r="W1981" t="str">
        <f t="shared" ca="1" si="90"/>
        <v>-</v>
      </c>
      <c r="X1981" t="str">
        <f t="shared" ca="1" si="91"/>
        <v/>
      </c>
      <c r="Y1981" s="1" t="str">
        <f t="shared" ca="1" si="92"/>
        <v/>
      </c>
    </row>
    <row r="1982" spans="1:25" x14ac:dyDescent="0.25">
      <c r="A1982" t="s">
        <v>2904</v>
      </c>
      <c r="B1982">
        <v>1.0189999999999999</v>
      </c>
      <c r="C1982">
        <v>0</v>
      </c>
      <c r="D1982">
        <v>0</v>
      </c>
      <c r="E1982">
        <v>19.3</v>
      </c>
      <c r="F1982">
        <v>0</v>
      </c>
      <c r="G1982">
        <v>0</v>
      </c>
      <c r="H1982">
        <v>0</v>
      </c>
      <c r="I1982" t="s">
        <v>1581</v>
      </c>
      <c r="J1982" t="s">
        <v>1581</v>
      </c>
      <c r="K1982" t="s">
        <v>1581</v>
      </c>
      <c r="L1982" t="s">
        <v>1581</v>
      </c>
      <c r="M1982" t="s">
        <v>1581</v>
      </c>
      <c r="N1982" t="s">
        <v>1581</v>
      </c>
      <c r="O1982" t="s">
        <v>1581</v>
      </c>
      <c r="P1982" t="s">
        <v>1581</v>
      </c>
      <c r="Q1982" t="s">
        <v>1581</v>
      </c>
      <c r="R1982" t="s">
        <v>1581</v>
      </c>
      <c r="S1982" t="s">
        <v>1581</v>
      </c>
      <c r="T1982" t="s">
        <v>1581</v>
      </c>
      <c r="U1982" t="s">
        <v>1581</v>
      </c>
      <c r="V1982" t="str" cm="1">
        <f t="array" aca="1" ref="V1982" ca="1">IFERROR(_xlfn.IFS(A1980="  ..............",OFFSET(A1980,2,0),A1979=" X-------------X",OFFSET(A1979,3,0),MATCH("  ..............",A1982:A1991,0)&gt;2,V1981),"-")</f>
        <v>-</v>
      </c>
      <c r="W1982" t="str">
        <f t="shared" ca="1" si="90"/>
        <v>-</v>
      </c>
      <c r="X1982" t="str">
        <f t="shared" ca="1" si="91"/>
        <v xml:space="preserve">              </v>
      </c>
      <c r="Y1982" s="1">
        <f t="shared" ca="1" si="92"/>
        <v>0</v>
      </c>
    </row>
    <row r="1983" spans="1:25" x14ac:dyDescent="0.25">
      <c r="A1983" t="s">
        <v>2905</v>
      </c>
      <c r="B1983">
        <v>-52.3</v>
      </c>
      <c r="C1983">
        <v>0</v>
      </c>
      <c r="D1983">
        <v>0</v>
      </c>
      <c r="E1983">
        <v>7.2</v>
      </c>
      <c r="F1983">
        <v>0</v>
      </c>
      <c r="G1983">
        <v>0</v>
      </c>
      <c r="H1983">
        <v>0</v>
      </c>
      <c r="I1983" t="s">
        <v>1584</v>
      </c>
      <c r="J1983" t="s">
        <v>1585</v>
      </c>
      <c r="K1983" t="s">
        <v>1586</v>
      </c>
      <c r="L1983" t="s">
        <v>1587</v>
      </c>
      <c r="M1983" t="s">
        <v>1587</v>
      </c>
      <c r="N1983" t="s">
        <v>1586</v>
      </c>
      <c r="O1983" t="s">
        <v>1581</v>
      </c>
      <c r="P1983" t="s">
        <v>1581</v>
      </c>
      <c r="Q1983" t="s">
        <v>1581</v>
      </c>
      <c r="R1983" t="s">
        <v>1581</v>
      </c>
      <c r="S1983" t="s">
        <v>1581</v>
      </c>
      <c r="T1983" t="s">
        <v>1581</v>
      </c>
      <c r="U1983" t="s">
        <v>1581</v>
      </c>
      <c r="V1983" t="str" cm="1">
        <f t="array" aca="1" ref="V1983" ca="1">IFERROR(_xlfn.IFS(A1981="  ..............",OFFSET(A1981,2,0),A1980=" X-------------X",OFFSET(A1980,3,0),MATCH("  ..............",A1983:A1992,0)&gt;2,V1982),"-")</f>
        <v xml:space="preserve">  ESTEI2-RS138  </v>
      </c>
      <c r="W1983">
        <f t="shared" ca="1" si="90"/>
        <v>1.0189999999999999</v>
      </c>
      <c r="X1983" t="str">
        <f t="shared" ca="1" si="91"/>
        <v xml:space="preserve"> CACHO3-RS138 </v>
      </c>
      <c r="Y1983" s="1">
        <f t="shared" ca="1" si="92"/>
        <v>0.37</v>
      </c>
    </row>
    <row r="1984" spans="1:25" x14ac:dyDescent="0.25">
      <c r="A1984" t="s">
        <v>1588</v>
      </c>
      <c r="B1984" t="s">
        <v>1587</v>
      </c>
      <c r="C1984">
        <v>167</v>
      </c>
      <c r="D1984">
        <v>203</v>
      </c>
      <c r="E1984">
        <v>203</v>
      </c>
      <c r="F1984" s="1">
        <v>6.0999999999999999E-2</v>
      </c>
      <c r="G1984" t="s">
        <v>1587</v>
      </c>
      <c r="H1984" t="s">
        <v>1587</v>
      </c>
      <c r="I1984">
        <v>9305</v>
      </c>
      <c r="J1984" t="s">
        <v>2226</v>
      </c>
      <c r="K1984">
        <v>1</v>
      </c>
      <c r="L1984">
        <v>-9.6</v>
      </c>
      <c r="M1984">
        <v>-3.6</v>
      </c>
      <c r="N1984">
        <v>10.1</v>
      </c>
      <c r="O1984" t="s">
        <v>1594</v>
      </c>
      <c r="P1984" t="s">
        <v>1584</v>
      </c>
      <c r="Q1984" t="s">
        <v>1591</v>
      </c>
      <c r="R1984">
        <v>0</v>
      </c>
      <c r="S1984">
        <v>-0.47</v>
      </c>
      <c r="T1984" t="s">
        <v>1584</v>
      </c>
      <c r="U1984" t="s">
        <v>1592</v>
      </c>
      <c r="V1984" t="str" cm="1">
        <f t="array" aca="1" ref="V1984" ca="1">IFERROR(_xlfn.IFS(A1982="  ..............",OFFSET(A1982,2,0),A1981=" X-------------X",OFFSET(A1981,3,0),MATCH("  ..............",A1984:A1993,0)&gt;2,V1983),"-")</f>
        <v xml:space="preserve">  ESTEI2-RS138  </v>
      </c>
      <c r="W1984">
        <f t="shared" ca="1" si="90"/>
        <v>1.0189999999999999</v>
      </c>
      <c r="X1984" t="str">
        <f t="shared" ca="1" si="91"/>
        <v xml:space="preserve"> CACHO3-RS138 </v>
      </c>
      <c r="Y1984" s="1">
        <f t="shared" ca="1" si="92"/>
        <v>0.37</v>
      </c>
    </row>
    <row r="1985" spans="1:25" x14ac:dyDescent="0.25">
      <c r="A1985" t="s">
        <v>1588</v>
      </c>
      <c r="B1985" t="s">
        <v>1587</v>
      </c>
      <c r="C1985">
        <v>167</v>
      </c>
      <c r="D1985">
        <v>203</v>
      </c>
      <c r="E1985">
        <v>203</v>
      </c>
      <c r="F1985" s="1">
        <v>6.0999999999999999E-2</v>
      </c>
      <c r="G1985" t="s">
        <v>1587</v>
      </c>
      <c r="H1985" t="s">
        <v>1587</v>
      </c>
      <c r="I1985">
        <v>9305</v>
      </c>
      <c r="J1985" t="s">
        <v>2226</v>
      </c>
      <c r="K1985">
        <v>2</v>
      </c>
      <c r="L1985">
        <v>-9.6</v>
      </c>
      <c r="M1985">
        <v>-3.6</v>
      </c>
      <c r="N1985">
        <v>10.1</v>
      </c>
      <c r="O1985" t="s">
        <v>1594</v>
      </c>
      <c r="P1985" t="s">
        <v>1584</v>
      </c>
      <c r="Q1985" t="s">
        <v>1591</v>
      </c>
      <c r="R1985">
        <v>0</v>
      </c>
      <c r="S1985">
        <v>-0.47</v>
      </c>
      <c r="T1985" t="s">
        <v>1584</v>
      </c>
      <c r="U1985" t="s">
        <v>1592</v>
      </c>
      <c r="V1985" t="str" cm="1">
        <f t="array" aca="1" ref="V1985" ca="1">IFERROR(_xlfn.IFS(A1983="  ..............",OFFSET(A1983,2,0),A1982=" X-------------X",OFFSET(A1982,3,0),MATCH("  ..............",A1985:A1994,0)&gt;2,V1984),"-")</f>
        <v>-</v>
      </c>
      <c r="W1985" t="str">
        <f t="shared" ca="1" si="90"/>
        <v>-</v>
      </c>
      <c r="X1985" t="str">
        <f t="shared" ca="1" si="91"/>
        <v>-</v>
      </c>
      <c r="Y1985" s="1" t="str">
        <f t="shared" ca="1" si="92"/>
        <v>-</v>
      </c>
    </row>
    <row r="1986" spans="1:25" x14ac:dyDescent="0.25">
      <c r="A1986" t="s">
        <v>1572</v>
      </c>
      <c r="B1986" t="s">
        <v>1574</v>
      </c>
      <c r="C1986" t="s">
        <v>1574</v>
      </c>
      <c r="D1986" t="s">
        <v>1574</v>
      </c>
      <c r="E1986" t="s">
        <v>1574</v>
      </c>
      <c r="F1986" t="s">
        <v>1575</v>
      </c>
      <c r="G1986" t="s">
        <v>1574</v>
      </c>
      <c r="H1986" t="s">
        <v>1574</v>
      </c>
      <c r="I1986" t="s">
        <v>1576</v>
      </c>
      <c r="J1986" t="s">
        <v>1573</v>
      </c>
      <c r="K1986" t="s">
        <v>1577</v>
      </c>
      <c r="L1986" t="s">
        <v>1574</v>
      </c>
      <c r="M1986" t="s">
        <v>1574</v>
      </c>
      <c r="N1986" t="s">
        <v>1574</v>
      </c>
      <c r="O1986" t="s">
        <v>1578</v>
      </c>
      <c r="P1986" t="s">
        <v>1576</v>
      </c>
      <c r="Q1986" t="s">
        <v>1579</v>
      </c>
      <c r="R1986" t="s">
        <v>1580</v>
      </c>
      <c r="S1986" t="s">
        <v>1580</v>
      </c>
      <c r="T1986" t="s">
        <v>1576</v>
      </c>
      <c r="U1986" t="s">
        <v>1576</v>
      </c>
      <c r="V1986" t="str" cm="1">
        <f t="array" aca="1" ref="V1986" ca="1">IFERROR(_xlfn.IFS(A1984="  ..............",OFFSET(A1984,2,0),A1983=" X-------------X",OFFSET(A1983,3,0),MATCH("  ..............",A1986:A1995,0)&gt;2,V1985),"-")</f>
        <v>-</v>
      </c>
      <c r="W1986" t="str">
        <f t="shared" ca="1" si="90"/>
        <v>-</v>
      </c>
      <c r="X1986" t="str">
        <f t="shared" ca="1" si="91"/>
        <v/>
      </c>
      <c r="Y1986" s="1" t="str">
        <f t="shared" ca="1" si="92"/>
        <v/>
      </c>
    </row>
    <row r="1987" spans="1:25" x14ac:dyDescent="0.25">
      <c r="A1987" t="s">
        <v>2906</v>
      </c>
      <c r="B1987">
        <v>1.022</v>
      </c>
      <c r="C1987">
        <v>2.9</v>
      </c>
      <c r="D1987">
        <v>0</v>
      </c>
      <c r="E1987">
        <v>0</v>
      </c>
      <c r="F1987">
        <v>0</v>
      </c>
      <c r="G1987">
        <v>0</v>
      </c>
      <c r="H1987">
        <v>0</v>
      </c>
      <c r="I1987" t="s">
        <v>1581</v>
      </c>
      <c r="J1987" t="s">
        <v>1581</v>
      </c>
      <c r="K1987" t="s">
        <v>1581</v>
      </c>
      <c r="L1987" t="s">
        <v>1581</v>
      </c>
      <c r="M1987" t="s">
        <v>1581</v>
      </c>
      <c r="N1987" t="s">
        <v>1581</v>
      </c>
      <c r="O1987" t="s">
        <v>1581</v>
      </c>
      <c r="P1987" t="s">
        <v>1581</v>
      </c>
      <c r="Q1987" t="s">
        <v>1581</v>
      </c>
      <c r="R1987" t="s">
        <v>1581</v>
      </c>
      <c r="S1987" t="s">
        <v>1581</v>
      </c>
      <c r="T1987" t="s">
        <v>1581</v>
      </c>
      <c r="U1987" t="s">
        <v>1581</v>
      </c>
      <c r="V1987" t="str" cm="1">
        <f t="array" aca="1" ref="V1987" ca="1">IFERROR(_xlfn.IFS(A1985="  ..............",OFFSET(A1985,2,0),A1984=" X-------------X",OFFSET(A1984,3,0),MATCH("  ..............",A1987:A1996,0)&gt;2,V1986),"-")</f>
        <v>-</v>
      </c>
      <c r="W1987" t="str">
        <f t="shared" ca="1" si="90"/>
        <v>-</v>
      </c>
      <c r="X1987" t="str">
        <f t="shared" ca="1" si="91"/>
        <v xml:space="preserve">              </v>
      </c>
      <c r="Y1987" s="1">
        <f t="shared" ca="1" si="92"/>
        <v>0</v>
      </c>
    </row>
    <row r="1988" spans="1:25" x14ac:dyDescent="0.25">
      <c r="A1988" t="s">
        <v>2907</v>
      </c>
      <c r="B1988">
        <v>-49.3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 t="s">
        <v>1584</v>
      </c>
      <c r="J1988" t="s">
        <v>1585</v>
      </c>
      <c r="K1988" t="s">
        <v>1586</v>
      </c>
      <c r="L1988" t="s">
        <v>1587</v>
      </c>
      <c r="M1988" t="s">
        <v>1587</v>
      </c>
      <c r="N1988" t="s">
        <v>1586</v>
      </c>
      <c r="O1988" t="s">
        <v>1581</v>
      </c>
      <c r="P1988" t="s">
        <v>1581</v>
      </c>
      <c r="Q1988" t="s">
        <v>1581</v>
      </c>
      <c r="R1988" t="s">
        <v>1581</v>
      </c>
      <c r="S1988" t="s">
        <v>1581</v>
      </c>
      <c r="T1988" t="s">
        <v>1581</v>
      </c>
      <c r="U1988" t="s">
        <v>1581</v>
      </c>
      <c r="V1988" t="str" cm="1">
        <f t="array" aca="1" ref="V1988" ca="1">IFERROR(_xlfn.IFS(A1986="  ..............",OFFSET(A1986,2,0),A1985=" X-------------X",OFFSET(A1985,3,0),MATCH("  ..............",A1988:A1997,0)&gt;2,V1987),"-")</f>
        <v xml:space="preserve">  TIOHUG-RS069  </v>
      </c>
      <c r="W1988">
        <f t="shared" ref="W1988:W2051" ca="1" si="93">IFERROR(OFFSET($A$1,MATCH(V1988,A:A,0)-2,1),"-")</f>
        <v>1.022</v>
      </c>
      <c r="X1988" t="str">
        <f t="shared" ref="X1988:X2034" ca="1" si="94">IFERROR(IF(V1988=V1987,OFFSET($J$1,ROW(X1988),0),OFFSET($J$1,MATCH(V1988,A:A,0),0)),"-")</f>
        <v xml:space="preserve"> SMARTA-RS069 </v>
      </c>
      <c r="Y1988" s="1">
        <f t="shared" ref="Y1988:Y2051" ca="1" si="95">IFERROR(OFFSET($F$1,MATCH(X1988,J:J,0)-1,0),"-")</f>
        <v>0.33700000000000002</v>
      </c>
    </row>
    <row r="1989" spans="1:25" x14ac:dyDescent="0.25">
      <c r="A1989" t="s">
        <v>1588</v>
      </c>
      <c r="B1989" t="s">
        <v>1587</v>
      </c>
      <c r="C1989">
        <v>30</v>
      </c>
      <c r="D1989">
        <v>43</v>
      </c>
      <c r="E1989">
        <v>30</v>
      </c>
      <c r="F1989" s="1">
        <v>9.6000000000000002E-2</v>
      </c>
      <c r="G1989" t="s">
        <v>1587</v>
      </c>
      <c r="H1989" t="s">
        <v>1587</v>
      </c>
      <c r="I1989">
        <v>1279</v>
      </c>
      <c r="J1989" t="s">
        <v>1612</v>
      </c>
      <c r="K1989">
        <v>1</v>
      </c>
      <c r="L1989">
        <v>2.9</v>
      </c>
      <c r="M1989">
        <v>0.5</v>
      </c>
      <c r="N1989">
        <v>2.9</v>
      </c>
      <c r="O1989" t="s">
        <v>1594</v>
      </c>
      <c r="P1989" t="s">
        <v>1584</v>
      </c>
      <c r="Q1989" t="s">
        <v>1591</v>
      </c>
      <c r="R1989">
        <v>0.02</v>
      </c>
      <c r="S1989">
        <v>-0.52</v>
      </c>
      <c r="T1989" t="s">
        <v>1584</v>
      </c>
      <c r="U1989" t="s">
        <v>1592</v>
      </c>
      <c r="V1989" t="str" cm="1">
        <f t="array" aca="1" ref="V1989" ca="1">IFERROR(_xlfn.IFS(A1987="  ..............",OFFSET(A1987,2,0),A1986=" X-------------X",OFFSET(A1986,3,0),MATCH("  ..............",A1989:A1998,0)&gt;2,V1988),"-")</f>
        <v xml:space="preserve">  TIOHUG-RS069  </v>
      </c>
      <c r="W1989">
        <f t="shared" ca="1" si="93"/>
        <v>1.022</v>
      </c>
      <c r="X1989" t="str">
        <f t="shared" ca="1" si="94"/>
        <v xml:space="preserve"> TAPER1-RS069 </v>
      </c>
      <c r="Y1989" s="1">
        <f t="shared" ca="1" si="95"/>
        <v>0.28499999999999998</v>
      </c>
    </row>
    <row r="1990" spans="1:25" x14ac:dyDescent="0.25">
      <c r="A1990" t="s">
        <v>1637</v>
      </c>
      <c r="B1990" t="s">
        <v>1638</v>
      </c>
      <c r="C1990">
        <v>30</v>
      </c>
      <c r="D1990">
        <v>43</v>
      </c>
      <c r="E1990">
        <v>30</v>
      </c>
      <c r="F1990" t="s">
        <v>1639</v>
      </c>
      <c r="G1990" t="s">
        <v>1587</v>
      </c>
      <c r="H1990" t="s">
        <v>1587</v>
      </c>
      <c r="I1990">
        <v>10398</v>
      </c>
      <c r="J1990" t="s">
        <v>1987</v>
      </c>
      <c r="K1990">
        <v>1</v>
      </c>
      <c r="L1990">
        <v>0</v>
      </c>
      <c r="M1990">
        <v>-0.5</v>
      </c>
      <c r="N1990">
        <v>0.5</v>
      </c>
      <c r="O1990" t="s">
        <v>1594</v>
      </c>
      <c r="P1990" t="s">
        <v>1584</v>
      </c>
      <c r="Q1990" t="s">
        <v>1591</v>
      </c>
      <c r="R1990">
        <v>0</v>
      </c>
      <c r="S1990">
        <v>-0.52</v>
      </c>
      <c r="T1990">
        <v>1.0229999999999999</v>
      </c>
      <c r="U1990">
        <v>-49.3</v>
      </c>
      <c r="V1990" t="str" cm="1">
        <f t="array" aca="1" ref="V1990" ca="1">IFERROR(_xlfn.IFS(A1988="  ..............",OFFSET(A1988,2,0),A1987=" X-------------X",OFFSET(A1987,3,0),MATCH("  ..............",A1990:A1999,0)&gt;2,V1989),"-")</f>
        <v>-</v>
      </c>
      <c r="W1990" t="str">
        <f t="shared" ca="1" si="93"/>
        <v>-</v>
      </c>
      <c r="X1990" t="str">
        <f t="shared" ca="1" si="94"/>
        <v>-</v>
      </c>
      <c r="Y1990" s="1" t="str">
        <f t="shared" ca="1" si="95"/>
        <v>-</v>
      </c>
    </row>
    <row r="1991" spans="1:25" x14ac:dyDescent="0.25">
      <c r="A1991" t="s">
        <v>1572</v>
      </c>
      <c r="B1991" t="s">
        <v>1574</v>
      </c>
      <c r="C1991" t="s">
        <v>1574</v>
      </c>
      <c r="D1991" t="s">
        <v>1574</v>
      </c>
      <c r="E1991" t="s">
        <v>1574</v>
      </c>
      <c r="F1991" t="s">
        <v>1575</v>
      </c>
      <c r="G1991" t="s">
        <v>1574</v>
      </c>
      <c r="H1991" t="s">
        <v>1574</v>
      </c>
      <c r="I1991" t="s">
        <v>1576</v>
      </c>
      <c r="J1991" t="s">
        <v>1573</v>
      </c>
      <c r="K1991" t="s">
        <v>1577</v>
      </c>
      <c r="L1991" t="s">
        <v>1574</v>
      </c>
      <c r="M1991" t="s">
        <v>1574</v>
      </c>
      <c r="N1991" t="s">
        <v>1574</v>
      </c>
      <c r="O1991" t="s">
        <v>1578</v>
      </c>
      <c r="P1991" t="s">
        <v>1576</v>
      </c>
      <c r="Q1991" t="s">
        <v>1579</v>
      </c>
      <c r="R1991" t="s">
        <v>1580</v>
      </c>
      <c r="S1991" t="s">
        <v>1580</v>
      </c>
      <c r="T1991" t="s">
        <v>1576</v>
      </c>
      <c r="U1991" t="s">
        <v>1576</v>
      </c>
      <c r="V1991" t="str" cm="1">
        <f t="array" aca="1" ref="V1991" ca="1">IFERROR(_xlfn.IFS(A1989="  ..............",OFFSET(A1989,2,0),A1988=" X-------------X",OFFSET(A1988,3,0),MATCH("  ..............",A1991:A2000,0)&gt;2,V1990),"-")</f>
        <v>-</v>
      </c>
      <c r="W1991" t="str">
        <f t="shared" ca="1" si="93"/>
        <v>-</v>
      </c>
      <c r="X1991" t="str">
        <f t="shared" ca="1" si="94"/>
        <v/>
      </c>
      <c r="Y1991" s="1" t="str">
        <f t="shared" ca="1" si="95"/>
        <v/>
      </c>
    </row>
    <row r="1992" spans="1:25" x14ac:dyDescent="0.25">
      <c r="A1992" t="s">
        <v>2908</v>
      </c>
      <c r="B1992">
        <v>1.0289999999999999</v>
      </c>
      <c r="C1992">
        <v>0</v>
      </c>
      <c r="D1992">
        <v>0</v>
      </c>
      <c r="E1992">
        <v>13</v>
      </c>
      <c r="F1992">
        <v>0</v>
      </c>
      <c r="G1992">
        <v>0</v>
      </c>
      <c r="H1992">
        <v>0</v>
      </c>
      <c r="I1992" t="s">
        <v>1581</v>
      </c>
      <c r="J1992" t="s">
        <v>1581</v>
      </c>
      <c r="K1992" t="s">
        <v>1581</v>
      </c>
      <c r="L1992" t="s">
        <v>1581</v>
      </c>
      <c r="M1992" t="s">
        <v>1581</v>
      </c>
      <c r="N1992" t="s">
        <v>1581</v>
      </c>
      <c r="O1992" t="s">
        <v>1581</v>
      </c>
      <c r="P1992" t="s">
        <v>1581</v>
      </c>
      <c r="Q1992" t="s">
        <v>1581</v>
      </c>
      <c r="R1992" t="s">
        <v>1581</v>
      </c>
      <c r="S1992" t="s">
        <v>1581</v>
      </c>
      <c r="T1992" t="s">
        <v>1581</v>
      </c>
      <c r="U1992" t="s">
        <v>1581</v>
      </c>
      <c r="V1992" t="str" cm="1">
        <f t="array" aca="1" ref="V1992" ca="1">IFERROR(_xlfn.IFS(A1990="  ..............",OFFSET(A1990,2,0),A1989=" X-------------X",OFFSET(A1989,3,0),MATCH("  ..............",A1992:A2001,0)&gt;2,V1991),"-")</f>
        <v>-</v>
      </c>
      <c r="W1992" t="str">
        <f t="shared" ca="1" si="93"/>
        <v>-</v>
      </c>
      <c r="X1992" t="str">
        <f t="shared" ca="1" si="94"/>
        <v xml:space="preserve">              </v>
      </c>
      <c r="Y1992" s="1">
        <f t="shared" ca="1" si="95"/>
        <v>0</v>
      </c>
    </row>
    <row r="1993" spans="1:25" x14ac:dyDescent="0.25">
      <c r="A1993" t="s">
        <v>2909</v>
      </c>
      <c r="B1993">
        <v>-51.8</v>
      </c>
      <c r="C1993">
        <v>0</v>
      </c>
      <c r="D1993">
        <v>0</v>
      </c>
      <c r="E1993">
        <v>6.2</v>
      </c>
      <c r="F1993">
        <v>0</v>
      </c>
      <c r="G1993">
        <v>0</v>
      </c>
      <c r="H1993">
        <v>0</v>
      </c>
      <c r="I1993" t="s">
        <v>1584</v>
      </c>
      <c r="J1993" t="s">
        <v>1585</v>
      </c>
      <c r="K1993" t="s">
        <v>1586</v>
      </c>
      <c r="L1993" t="s">
        <v>1587</v>
      </c>
      <c r="M1993" t="s">
        <v>1587</v>
      </c>
      <c r="N1993" t="s">
        <v>1586</v>
      </c>
      <c r="O1993" t="s">
        <v>1581</v>
      </c>
      <c r="P1993" t="s">
        <v>1581</v>
      </c>
      <c r="Q1993" t="s">
        <v>1581</v>
      </c>
      <c r="R1993" t="s">
        <v>1581</v>
      </c>
      <c r="S1993" t="s">
        <v>1581</v>
      </c>
      <c r="T1993" t="s">
        <v>1581</v>
      </c>
      <c r="U1993" t="s">
        <v>1581</v>
      </c>
      <c r="V1993" t="str" cm="1">
        <f t="array" aca="1" ref="V1993" ca="1">IFERROR(_xlfn.IFS(A1991="  ..............",OFFSET(A1991,2,0),A1990=" X-------------X",OFFSET(A1990,3,0),MATCH("  ..............",A1993:A2002,0)&gt;2,V1992),"-")</f>
        <v xml:space="preserve">  TAPER1-RS069  </v>
      </c>
      <c r="W1993">
        <f t="shared" ca="1" si="93"/>
        <v>1.0289999999999999</v>
      </c>
      <c r="X1993" t="str">
        <f t="shared" ca="1" si="94"/>
        <v xml:space="preserve"> TAPERA-RS069 </v>
      </c>
      <c r="Y1993" s="1">
        <f t="shared" ca="1" si="95"/>
        <v>0.42499999999999999</v>
      </c>
    </row>
    <row r="1994" spans="1:25" x14ac:dyDescent="0.25">
      <c r="A1994" t="s">
        <v>1588</v>
      </c>
      <c r="B1994" t="s">
        <v>1587</v>
      </c>
      <c r="C1994">
        <v>48</v>
      </c>
      <c r="D1994">
        <v>71</v>
      </c>
      <c r="E1994">
        <v>48</v>
      </c>
      <c r="F1994" s="1">
        <v>0.29199999999999998</v>
      </c>
      <c r="G1994" t="s">
        <v>1587</v>
      </c>
      <c r="H1994" t="s">
        <v>1587</v>
      </c>
      <c r="I1994">
        <v>1292</v>
      </c>
      <c r="J1994" t="s">
        <v>2029</v>
      </c>
      <c r="K1994">
        <v>1</v>
      </c>
      <c r="L1994">
        <v>-13</v>
      </c>
      <c r="M1994">
        <v>-6.2</v>
      </c>
      <c r="N1994">
        <v>14</v>
      </c>
      <c r="O1994" t="s">
        <v>1594</v>
      </c>
      <c r="P1994" t="s">
        <v>1584</v>
      </c>
      <c r="Q1994" t="s">
        <v>1591</v>
      </c>
      <c r="R1994">
        <v>0.03</v>
      </c>
      <c r="S1994">
        <v>-0.71</v>
      </c>
      <c r="T1994" t="s">
        <v>1584</v>
      </c>
      <c r="U1994" t="s">
        <v>1592</v>
      </c>
      <c r="V1994" t="str" cm="1">
        <f t="array" aca="1" ref="V1994" ca="1">IFERROR(_xlfn.IFS(A1992="  ..............",OFFSET(A1992,2,0),A1991=" X-------------X",OFFSET(A1991,3,0),MATCH("  ..............",A1994:A2003,0)&gt;2,V1993),"-")</f>
        <v xml:space="preserve">  TAPER1-RS069  </v>
      </c>
      <c r="W1994">
        <f t="shared" ca="1" si="93"/>
        <v>1.0289999999999999</v>
      </c>
      <c r="X1994" t="str">
        <f t="shared" ca="1" si="94"/>
        <v xml:space="preserve"> TIOHUG-RS069 </v>
      </c>
      <c r="Y1994" s="1">
        <f t="shared" ca="1" si="95"/>
        <v>0.10100000000000001</v>
      </c>
    </row>
    <row r="1995" spans="1:25" x14ac:dyDescent="0.25">
      <c r="A1995" t="s">
        <v>1637</v>
      </c>
      <c r="B1995" t="s">
        <v>1638</v>
      </c>
      <c r="C1995">
        <v>30</v>
      </c>
      <c r="D1995">
        <v>43</v>
      </c>
      <c r="E1995">
        <v>30</v>
      </c>
      <c r="F1995" t="s">
        <v>1639</v>
      </c>
      <c r="G1995" t="s">
        <v>1587</v>
      </c>
      <c r="H1995" t="s">
        <v>1587</v>
      </c>
      <c r="I1995">
        <v>10397</v>
      </c>
      <c r="J1995" t="s">
        <v>1954</v>
      </c>
      <c r="K1995">
        <v>1</v>
      </c>
      <c r="L1995">
        <v>0</v>
      </c>
      <c r="M1995">
        <v>0</v>
      </c>
      <c r="N1995">
        <v>0</v>
      </c>
      <c r="O1995" t="s">
        <v>1594</v>
      </c>
      <c r="P1995" t="s">
        <v>1584</v>
      </c>
      <c r="Q1995" t="s">
        <v>1591</v>
      </c>
      <c r="R1995">
        <v>0</v>
      </c>
      <c r="S1995">
        <v>0</v>
      </c>
      <c r="T1995" t="s">
        <v>1584</v>
      </c>
      <c r="U1995" t="s">
        <v>1592</v>
      </c>
      <c r="V1995" t="str" cm="1">
        <f t="array" aca="1" ref="V1995" ca="1">IFERROR(_xlfn.IFS(A1993="  ..............",OFFSET(A1993,2,0),A1992=" X-------------X",OFFSET(A1992,3,0),MATCH("  ..............",A1995:A2004,0)&gt;2,V1994),"-")</f>
        <v>-</v>
      </c>
      <c r="W1995" t="str">
        <f t="shared" ca="1" si="93"/>
        <v>-</v>
      </c>
      <c r="X1995" t="str">
        <f t="shared" ca="1" si="94"/>
        <v>-</v>
      </c>
      <c r="Y1995" s="1" t="str">
        <f t="shared" ca="1" si="95"/>
        <v>-</v>
      </c>
    </row>
    <row r="1996" spans="1:25" x14ac:dyDescent="0.25">
      <c r="A1996" t="s">
        <v>1572</v>
      </c>
      <c r="B1996" t="s">
        <v>1574</v>
      </c>
      <c r="C1996" t="s">
        <v>1574</v>
      </c>
      <c r="D1996" t="s">
        <v>1574</v>
      </c>
      <c r="E1996" t="s">
        <v>1574</v>
      </c>
      <c r="F1996" t="s">
        <v>1575</v>
      </c>
      <c r="G1996" t="s">
        <v>1574</v>
      </c>
      <c r="H1996" t="s">
        <v>1574</v>
      </c>
      <c r="I1996" t="s">
        <v>1576</v>
      </c>
      <c r="J1996" t="s">
        <v>1573</v>
      </c>
      <c r="K1996" t="s">
        <v>1577</v>
      </c>
      <c r="L1996" t="s">
        <v>1574</v>
      </c>
      <c r="M1996" t="s">
        <v>1574</v>
      </c>
      <c r="N1996" t="s">
        <v>1574</v>
      </c>
      <c r="O1996" t="s">
        <v>1578</v>
      </c>
      <c r="P1996" t="s">
        <v>1576</v>
      </c>
      <c r="Q1996" t="s">
        <v>1579</v>
      </c>
      <c r="R1996" t="s">
        <v>1580</v>
      </c>
      <c r="S1996" t="s">
        <v>1580</v>
      </c>
      <c r="T1996" t="s">
        <v>1576</v>
      </c>
      <c r="U1996" t="s">
        <v>1576</v>
      </c>
      <c r="V1996" t="str" cm="1">
        <f t="array" aca="1" ref="V1996" ca="1">IFERROR(_xlfn.IFS(A1994="  ..............",OFFSET(A1994,2,0),A1993=" X-------------X",OFFSET(A1993,3,0),MATCH("  ..............",A1996:A2005,0)&gt;2,V1995),"-")</f>
        <v>-</v>
      </c>
      <c r="W1996" t="str">
        <f t="shared" ca="1" si="93"/>
        <v>-</v>
      </c>
      <c r="X1996" t="str">
        <f t="shared" ca="1" si="94"/>
        <v/>
      </c>
      <c r="Y1996" s="1" t="str">
        <f t="shared" ca="1" si="95"/>
        <v/>
      </c>
    </row>
    <row r="1997" spans="1:25" x14ac:dyDescent="0.25">
      <c r="A1997" t="s">
        <v>2910</v>
      </c>
      <c r="B1997">
        <v>1.026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 t="s">
        <v>1581</v>
      </c>
      <c r="J1997" t="s">
        <v>1581</v>
      </c>
      <c r="K1997" t="s">
        <v>1581</v>
      </c>
      <c r="L1997" t="s">
        <v>1581</v>
      </c>
      <c r="M1997" t="s">
        <v>1581</v>
      </c>
      <c r="N1997" t="s">
        <v>1581</v>
      </c>
      <c r="O1997" t="s">
        <v>1581</v>
      </c>
      <c r="P1997" t="s">
        <v>1581</v>
      </c>
      <c r="Q1997" t="s">
        <v>1581</v>
      </c>
      <c r="R1997" t="s">
        <v>1581</v>
      </c>
      <c r="S1997" t="s">
        <v>1581</v>
      </c>
      <c r="T1997" t="s">
        <v>1581</v>
      </c>
      <c r="U1997" t="s">
        <v>1581</v>
      </c>
      <c r="V1997" t="str" cm="1">
        <f t="array" aca="1" ref="V1997" ca="1">IFERROR(_xlfn.IFS(A1995="  ..............",OFFSET(A1995,2,0),A1994=" X-------------X",OFFSET(A1994,3,0),MATCH("  ..............",A1997:A2006,0)&gt;2,V1996),"-")</f>
        <v>-</v>
      </c>
      <c r="W1997" t="str">
        <f t="shared" ca="1" si="93"/>
        <v>-</v>
      </c>
      <c r="X1997" t="str">
        <f t="shared" ca="1" si="94"/>
        <v xml:space="preserve">              </v>
      </c>
      <c r="Y1997" s="1">
        <f t="shared" ca="1" si="95"/>
        <v>0</v>
      </c>
    </row>
    <row r="1998" spans="1:25" x14ac:dyDescent="0.25">
      <c r="A1998" t="s">
        <v>2911</v>
      </c>
      <c r="B1998">
        <v>-47.3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 t="s">
        <v>1584</v>
      </c>
      <c r="J1998" t="s">
        <v>1585</v>
      </c>
      <c r="K1998" t="s">
        <v>1586</v>
      </c>
      <c r="L1998" t="s">
        <v>1587</v>
      </c>
      <c r="M1998" t="s">
        <v>1587</v>
      </c>
      <c r="N1998" t="s">
        <v>1586</v>
      </c>
      <c r="O1998" t="s">
        <v>1581</v>
      </c>
      <c r="P1998" t="s">
        <v>1581</v>
      </c>
      <c r="Q1998" t="s">
        <v>1581</v>
      </c>
      <c r="R1998" t="s">
        <v>1581</v>
      </c>
      <c r="S1998" t="s">
        <v>1581</v>
      </c>
      <c r="T1998" t="s">
        <v>1581</v>
      </c>
      <c r="U1998" t="s">
        <v>1581</v>
      </c>
      <c r="V1998" t="str" cm="1">
        <f t="array" aca="1" ref="V1998" ca="1">IFERROR(_xlfn.IFS(A1996="  ..............",OFFSET(A1996,2,0),A1995=" X-------------X",OFFSET(A1995,3,0),MATCH("  ..............",A1998:A2007,0)&gt;2,V1997),"-")</f>
        <v xml:space="preserve">  UPME-8-RS000  </v>
      </c>
      <c r="W1998">
        <f t="shared" ca="1" si="93"/>
        <v>1.026</v>
      </c>
      <c r="X1998" t="str">
        <f t="shared" ca="1" si="94"/>
        <v xml:space="preserve"> PMEDIC-RS230 </v>
      </c>
      <c r="Y1998" s="1">
        <f t="shared" ca="1" si="95"/>
        <v>0</v>
      </c>
    </row>
    <row r="1999" spans="1:25" x14ac:dyDescent="0.25">
      <c r="A1999" t="s">
        <v>1588</v>
      </c>
      <c r="B1999" t="s">
        <v>1587</v>
      </c>
      <c r="C1999">
        <v>33.5</v>
      </c>
      <c r="D1999">
        <v>33.5</v>
      </c>
      <c r="E1999">
        <v>33.5</v>
      </c>
      <c r="F1999" s="1">
        <v>0</v>
      </c>
      <c r="G1999" t="s">
        <v>1587</v>
      </c>
      <c r="H1999" t="s">
        <v>1587</v>
      </c>
      <c r="I1999">
        <v>1239</v>
      </c>
      <c r="J1999" t="s">
        <v>2912</v>
      </c>
      <c r="K1999">
        <v>8</v>
      </c>
      <c r="L1999">
        <v>0</v>
      </c>
      <c r="M1999">
        <v>0</v>
      </c>
      <c r="N1999">
        <v>0</v>
      </c>
      <c r="O1999" t="s">
        <v>1594</v>
      </c>
      <c r="P1999" t="s">
        <v>1584</v>
      </c>
      <c r="Q1999">
        <v>2</v>
      </c>
      <c r="R1999">
        <v>0</v>
      </c>
      <c r="S1999">
        <v>0</v>
      </c>
      <c r="T1999" t="s">
        <v>1584</v>
      </c>
      <c r="U1999" t="s">
        <v>1592</v>
      </c>
      <c r="V1999" t="str" cm="1">
        <f t="array" aca="1" ref="V1999" ca="1">IFERROR(_xlfn.IFS(A1997="  ..............",OFFSET(A1997,2,0),A1996=" X-------------X",OFFSET(A1996,3,0),MATCH("  ..............",A1999:A2008,0)&gt;2,V1998),"-")</f>
        <v xml:space="preserve">  UPME-8-RS000  </v>
      </c>
      <c r="W1999">
        <f t="shared" ca="1" si="93"/>
        <v>1.026</v>
      </c>
      <c r="X1999" t="str">
        <f t="shared" ca="1" si="94"/>
        <v xml:space="preserve"> UPME-8-RS013 </v>
      </c>
      <c r="Y1999" s="1">
        <f t="shared" ca="1" si="95"/>
        <v>0</v>
      </c>
    </row>
    <row r="2000" spans="1:25" x14ac:dyDescent="0.25">
      <c r="A2000" t="s">
        <v>1588</v>
      </c>
      <c r="B2000" t="s">
        <v>1587</v>
      </c>
      <c r="C2000">
        <v>33.5</v>
      </c>
      <c r="D2000">
        <v>33.5</v>
      </c>
      <c r="E2000">
        <v>33.5</v>
      </c>
      <c r="F2000" s="1">
        <v>0</v>
      </c>
      <c r="G2000" t="s">
        <v>1587</v>
      </c>
      <c r="H2000" t="s">
        <v>1587</v>
      </c>
      <c r="I2000">
        <v>43489</v>
      </c>
      <c r="J2000" t="s">
        <v>2913</v>
      </c>
      <c r="K2000">
        <v>8</v>
      </c>
      <c r="L2000">
        <v>0</v>
      </c>
      <c r="M2000">
        <v>0</v>
      </c>
      <c r="N2000">
        <v>0</v>
      </c>
      <c r="O2000" t="s">
        <v>1594</v>
      </c>
      <c r="P2000" t="s">
        <v>1584</v>
      </c>
      <c r="Q2000" t="s">
        <v>1591</v>
      </c>
      <c r="R2000">
        <v>0</v>
      </c>
      <c r="S2000">
        <v>0</v>
      </c>
      <c r="T2000" t="s">
        <v>1584</v>
      </c>
      <c r="U2000" t="s">
        <v>1592</v>
      </c>
      <c r="V2000" t="str" cm="1">
        <f t="array" aca="1" ref="V2000" ca="1">IFERROR(_xlfn.IFS(A1998="  ..............",OFFSET(A1998,2,0),A1997=" X-------------X",OFFSET(A1997,3,0),MATCH("  ..............",A2000:A2009,0)&gt;2,V1999),"-")</f>
        <v xml:space="preserve">  UPME-8-RS000  </v>
      </c>
      <c r="W2000">
        <f t="shared" ca="1" si="93"/>
        <v>1.026</v>
      </c>
      <c r="X2000" t="str">
        <f t="shared" ca="1" si="94"/>
        <v xml:space="preserve"> UPME-8-RS006 </v>
      </c>
      <c r="Y2000" s="1">
        <f t="shared" ca="1" si="95"/>
        <v>0</v>
      </c>
    </row>
    <row r="2001" spans="1:25" x14ac:dyDescent="0.25">
      <c r="A2001" t="s">
        <v>1588</v>
      </c>
      <c r="B2001" t="s">
        <v>1587</v>
      </c>
      <c r="C2001">
        <v>33.5</v>
      </c>
      <c r="D2001">
        <v>33.5</v>
      </c>
      <c r="E2001">
        <v>33.5</v>
      </c>
      <c r="F2001" s="1">
        <v>0</v>
      </c>
      <c r="G2001" t="s">
        <v>1587</v>
      </c>
      <c r="H2001" t="s">
        <v>1587</v>
      </c>
      <c r="I2001">
        <v>43490</v>
      </c>
      <c r="J2001" t="s">
        <v>2914</v>
      </c>
      <c r="K2001">
        <v>8</v>
      </c>
      <c r="L2001">
        <v>0</v>
      </c>
      <c r="M2001">
        <v>0</v>
      </c>
      <c r="N2001">
        <v>0</v>
      </c>
      <c r="O2001" t="s">
        <v>1594</v>
      </c>
      <c r="P2001" t="s">
        <v>1584</v>
      </c>
      <c r="Q2001" t="s">
        <v>1591</v>
      </c>
      <c r="R2001">
        <v>0</v>
      </c>
      <c r="S2001">
        <v>0</v>
      </c>
      <c r="T2001" t="s">
        <v>1584</v>
      </c>
      <c r="U2001" t="s">
        <v>1592</v>
      </c>
      <c r="V2001" t="str" cm="1">
        <f t="array" aca="1" ref="V2001" ca="1">IFERROR(_xlfn.IFS(A1999="  ..............",OFFSET(A1999,2,0),A1998=" X-------------X",OFFSET(A1998,3,0),MATCH("  ..............",A2001:A2010,0)&gt;2,V2000),"-")</f>
        <v>-</v>
      </c>
      <c r="W2001" t="str">
        <f t="shared" ca="1" si="93"/>
        <v>-</v>
      </c>
      <c r="X2001" t="str">
        <f t="shared" ca="1" si="94"/>
        <v>-</v>
      </c>
      <c r="Y2001" s="1" t="str">
        <f t="shared" ca="1" si="95"/>
        <v>-</v>
      </c>
    </row>
    <row r="2002" spans="1:25" x14ac:dyDescent="0.25">
      <c r="A2002" t="s">
        <v>1572</v>
      </c>
      <c r="B2002" t="s">
        <v>1574</v>
      </c>
      <c r="C2002" t="s">
        <v>1574</v>
      </c>
      <c r="D2002" t="s">
        <v>1574</v>
      </c>
      <c r="E2002" t="s">
        <v>1574</v>
      </c>
      <c r="F2002" t="s">
        <v>1575</v>
      </c>
      <c r="G2002" t="s">
        <v>1574</v>
      </c>
      <c r="H2002" t="s">
        <v>1574</v>
      </c>
      <c r="I2002" t="s">
        <v>1576</v>
      </c>
      <c r="J2002" t="s">
        <v>1573</v>
      </c>
      <c r="K2002" t="s">
        <v>1577</v>
      </c>
      <c r="L2002" t="s">
        <v>1574</v>
      </c>
      <c r="M2002" t="s">
        <v>1574</v>
      </c>
      <c r="N2002" t="s">
        <v>1574</v>
      </c>
      <c r="O2002" t="s">
        <v>1578</v>
      </c>
      <c r="P2002" t="s">
        <v>1576</v>
      </c>
      <c r="Q2002" t="s">
        <v>1579</v>
      </c>
      <c r="R2002" t="s">
        <v>1580</v>
      </c>
      <c r="S2002" t="s">
        <v>1580</v>
      </c>
      <c r="T2002" t="s">
        <v>1576</v>
      </c>
      <c r="U2002" t="s">
        <v>1576</v>
      </c>
      <c r="V2002" t="str" cm="1">
        <f t="array" aca="1" ref="V2002" ca="1">IFERROR(_xlfn.IFS(A2000="  ..............",OFFSET(A2000,2,0),A1999=" X-------------X",OFFSET(A1999,3,0),MATCH("  ..............",A2002:A2011,0)&gt;2,V2001),"-")</f>
        <v>-</v>
      </c>
      <c r="W2002" t="str">
        <f t="shared" ca="1" si="93"/>
        <v>-</v>
      </c>
      <c r="X2002" t="str">
        <f t="shared" ca="1" si="94"/>
        <v/>
      </c>
      <c r="Y2002" s="1" t="str">
        <f t="shared" ca="1" si="95"/>
        <v/>
      </c>
    </row>
    <row r="2003" spans="1:25" x14ac:dyDescent="0.25">
      <c r="A2003" t="s">
        <v>2915</v>
      </c>
      <c r="B2003">
        <v>1.026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 t="s">
        <v>1581</v>
      </c>
      <c r="J2003" t="s">
        <v>1581</v>
      </c>
      <c r="K2003" t="s">
        <v>1581</v>
      </c>
      <c r="L2003" t="s">
        <v>1581</v>
      </c>
      <c r="M2003" t="s">
        <v>1581</v>
      </c>
      <c r="N2003" t="s">
        <v>1581</v>
      </c>
      <c r="O2003" t="s">
        <v>1581</v>
      </c>
      <c r="P2003" t="s">
        <v>1581</v>
      </c>
      <c r="Q2003" t="s">
        <v>1581</v>
      </c>
      <c r="R2003" t="s">
        <v>1581</v>
      </c>
      <c r="S2003" t="s">
        <v>1581</v>
      </c>
      <c r="T2003" t="s">
        <v>1581</v>
      </c>
      <c r="U2003" t="s">
        <v>1581</v>
      </c>
      <c r="V2003" t="str" cm="1">
        <f t="array" aca="1" ref="V2003" ca="1">IFERROR(_xlfn.IFS(A2001="  ..............",OFFSET(A2001,2,0),A2000=" X-------------X",OFFSET(A2000,3,0),MATCH("  ..............",A2003:A2012,0)&gt;2,V2002),"-")</f>
        <v>-</v>
      </c>
      <c r="W2003" t="str">
        <f t="shared" ca="1" si="93"/>
        <v>-</v>
      </c>
      <c r="X2003" t="str">
        <f t="shared" ca="1" si="94"/>
        <v xml:space="preserve">              </v>
      </c>
      <c r="Y2003" s="1">
        <f t="shared" ca="1" si="95"/>
        <v>0</v>
      </c>
    </row>
    <row r="2004" spans="1:25" x14ac:dyDescent="0.25">
      <c r="A2004" t="s">
        <v>2916</v>
      </c>
      <c r="B2004">
        <v>-47.3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 t="s">
        <v>1584</v>
      </c>
      <c r="J2004" t="s">
        <v>1585</v>
      </c>
      <c r="K2004" t="s">
        <v>1586</v>
      </c>
      <c r="L2004" t="s">
        <v>1587</v>
      </c>
      <c r="M2004" t="s">
        <v>1587</v>
      </c>
      <c r="N2004" t="s">
        <v>1586</v>
      </c>
      <c r="O2004" t="s">
        <v>1581</v>
      </c>
      <c r="P2004" t="s">
        <v>1581</v>
      </c>
      <c r="Q2004" t="s">
        <v>1581</v>
      </c>
      <c r="R2004" t="s">
        <v>1581</v>
      </c>
      <c r="S2004" t="s">
        <v>1581</v>
      </c>
      <c r="T2004" t="s">
        <v>1581</v>
      </c>
      <c r="U2004" t="s">
        <v>1581</v>
      </c>
      <c r="V2004" t="str" cm="1">
        <f t="array" aca="1" ref="V2004" ca="1">IFERROR(_xlfn.IFS(A2002="  ..............",OFFSET(A2002,2,0),A2001=" X-------------X",OFFSET(A2001,3,0),MATCH("  ..............",A2004:A2013,0)&gt;2,V2003),"-")</f>
        <v xml:space="preserve">  UPME-8-RS013  </v>
      </c>
      <c r="W2004">
        <f t="shared" ca="1" si="93"/>
        <v>1.026</v>
      </c>
      <c r="X2004" t="str">
        <f t="shared" ca="1" si="94"/>
        <v xml:space="preserve"> UPME-8-RS000 </v>
      </c>
      <c r="Y2004" s="1">
        <f t="shared" ca="1" si="95"/>
        <v>0</v>
      </c>
    </row>
    <row r="2005" spans="1:25" x14ac:dyDescent="0.25">
      <c r="A2005" t="s">
        <v>1588</v>
      </c>
      <c r="B2005" t="s">
        <v>1587</v>
      </c>
      <c r="C2005">
        <v>33.5</v>
      </c>
      <c r="D2005">
        <v>33.5</v>
      </c>
      <c r="E2005">
        <v>33.5</v>
      </c>
      <c r="F2005" s="1">
        <v>0</v>
      </c>
      <c r="G2005" t="s">
        <v>1587</v>
      </c>
      <c r="H2005" t="s">
        <v>1587</v>
      </c>
      <c r="I2005">
        <v>43488</v>
      </c>
      <c r="J2005" t="s">
        <v>2917</v>
      </c>
      <c r="K2005">
        <v>8</v>
      </c>
      <c r="L2005">
        <v>0</v>
      </c>
      <c r="M2005">
        <v>0</v>
      </c>
      <c r="N2005">
        <v>0</v>
      </c>
      <c r="O2005" t="s">
        <v>1608</v>
      </c>
      <c r="P2005" t="s">
        <v>1584</v>
      </c>
      <c r="Q2005" t="s">
        <v>1591</v>
      </c>
      <c r="R2005">
        <v>0</v>
      </c>
      <c r="S2005">
        <v>0</v>
      </c>
      <c r="T2005" t="s">
        <v>1584</v>
      </c>
      <c r="U2005" t="s">
        <v>1592</v>
      </c>
      <c r="V2005" t="str" cm="1">
        <f t="array" aca="1" ref="V2005" ca="1">IFERROR(_xlfn.IFS(A2003="  ..............",OFFSET(A2003,2,0),A2002=" X-------------X",OFFSET(A2002,3,0),MATCH("  ..............",A2005:A2014,0)&gt;2,V2004),"-")</f>
        <v>-</v>
      </c>
      <c r="W2005" t="str">
        <f t="shared" ca="1" si="93"/>
        <v>-</v>
      </c>
      <c r="X2005" t="str">
        <f t="shared" ca="1" si="94"/>
        <v>-</v>
      </c>
      <c r="Y2005" s="1" t="str">
        <f t="shared" ca="1" si="95"/>
        <v>-</v>
      </c>
    </row>
    <row r="2006" spans="1:25" x14ac:dyDescent="0.25">
      <c r="A2006" t="s">
        <v>1572</v>
      </c>
      <c r="B2006" t="s">
        <v>1574</v>
      </c>
      <c r="C2006" t="s">
        <v>1574</v>
      </c>
      <c r="D2006" t="s">
        <v>1574</v>
      </c>
      <c r="E2006" t="s">
        <v>1574</v>
      </c>
      <c r="F2006" t="s">
        <v>1575</v>
      </c>
      <c r="G2006" t="s">
        <v>1574</v>
      </c>
      <c r="H2006" t="s">
        <v>1574</v>
      </c>
      <c r="I2006" t="s">
        <v>1576</v>
      </c>
      <c r="J2006" t="s">
        <v>1573</v>
      </c>
      <c r="K2006" t="s">
        <v>1577</v>
      </c>
      <c r="L2006" t="s">
        <v>1574</v>
      </c>
      <c r="M2006" t="s">
        <v>1574</v>
      </c>
      <c r="N2006" t="s">
        <v>1574</v>
      </c>
      <c r="O2006" t="s">
        <v>1578</v>
      </c>
      <c r="P2006" t="s">
        <v>1576</v>
      </c>
      <c r="Q2006" t="s">
        <v>1579</v>
      </c>
      <c r="R2006" t="s">
        <v>1580</v>
      </c>
      <c r="S2006" t="s">
        <v>1580</v>
      </c>
      <c r="T2006" t="s">
        <v>1576</v>
      </c>
      <c r="U2006" t="s">
        <v>1576</v>
      </c>
      <c r="V2006" t="str" cm="1">
        <f t="array" aca="1" ref="V2006" ca="1">IFERROR(_xlfn.IFS(A2004="  ..............",OFFSET(A2004,2,0),A2003=" X-------------X",OFFSET(A2003,3,0),MATCH("  ..............",A2006:A2015,0)&gt;2,V2005),"-")</f>
        <v>-</v>
      </c>
      <c r="W2006" t="str">
        <f t="shared" ca="1" si="93"/>
        <v>-</v>
      </c>
      <c r="X2006" t="str">
        <f t="shared" ca="1" si="94"/>
        <v/>
      </c>
      <c r="Y2006" s="1" t="str">
        <f t="shared" ca="1" si="95"/>
        <v/>
      </c>
    </row>
    <row r="2007" spans="1:25" x14ac:dyDescent="0.25">
      <c r="A2007" t="s">
        <v>2918</v>
      </c>
      <c r="B2007">
        <v>1.026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 t="s">
        <v>1581</v>
      </c>
      <c r="J2007" t="s">
        <v>1581</v>
      </c>
      <c r="K2007" t="s">
        <v>1581</v>
      </c>
      <c r="L2007" t="s">
        <v>1581</v>
      </c>
      <c r="M2007" t="s">
        <v>1581</v>
      </c>
      <c r="N2007" t="s">
        <v>1581</v>
      </c>
      <c r="O2007" t="s">
        <v>1581</v>
      </c>
      <c r="P2007" t="s">
        <v>1581</v>
      </c>
      <c r="Q2007" t="s">
        <v>1581</v>
      </c>
      <c r="R2007" t="s">
        <v>1581</v>
      </c>
      <c r="S2007" t="s">
        <v>1581</v>
      </c>
      <c r="T2007" t="s">
        <v>1581</v>
      </c>
      <c r="U2007" t="s">
        <v>1581</v>
      </c>
      <c r="V2007" t="str" cm="1">
        <f t="array" aca="1" ref="V2007" ca="1">IFERROR(_xlfn.IFS(A2005="  ..............",OFFSET(A2005,2,0),A2004=" X-------------X",OFFSET(A2004,3,0),MATCH("  ..............",A2007:A2016,0)&gt;2,V2006),"-")</f>
        <v>-</v>
      </c>
      <c r="W2007" t="str">
        <f t="shared" ca="1" si="93"/>
        <v>-</v>
      </c>
      <c r="X2007" t="str">
        <f t="shared" ca="1" si="94"/>
        <v xml:space="preserve">              </v>
      </c>
      <c r="Y2007" s="1">
        <f t="shared" ca="1" si="95"/>
        <v>0</v>
      </c>
    </row>
    <row r="2008" spans="1:25" x14ac:dyDescent="0.25">
      <c r="A2008" t="s">
        <v>2919</v>
      </c>
      <c r="B2008">
        <v>-47.3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 t="s">
        <v>1584</v>
      </c>
      <c r="J2008" t="s">
        <v>1585</v>
      </c>
      <c r="K2008" t="s">
        <v>1586</v>
      </c>
      <c r="L2008" t="s">
        <v>1587</v>
      </c>
      <c r="M2008" t="s">
        <v>1587</v>
      </c>
      <c r="N2008" t="s">
        <v>1586</v>
      </c>
      <c r="O2008" t="s">
        <v>1581</v>
      </c>
      <c r="P2008" t="s">
        <v>1581</v>
      </c>
      <c r="Q2008" t="s">
        <v>1581</v>
      </c>
      <c r="R2008" t="s">
        <v>1581</v>
      </c>
      <c r="S2008" t="s">
        <v>1581</v>
      </c>
      <c r="T2008" t="s">
        <v>1581</v>
      </c>
      <c r="U2008" t="s">
        <v>1581</v>
      </c>
      <c r="V2008" t="str" cm="1">
        <f t="array" aca="1" ref="V2008" ca="1">IFERROR(_xlfn.IFS(A2006="  ..............",OFFSET(A2006,2,0),A2005=" X-------------X",OFFSET(A2005,3,0),MATCH("  ..............",A2008:A2017,0)&gt;2,V2007),"-")</f>
        <v xml:space="preserve">  UPME-8-RS006  </v>
      </c>
      <c r="W2008">
        <f t="shared" ca="1" si="93"/>
        <v>1.026</v>
      </c>
      <c r="X2008" t="str">
        <f t="shared" ca="1" si="94"/>
        <v xml:space="preserve"> UPME-8-RS000 </v>
      </c>
      <c r="Y2008" s="1">
        <f t="shared" ca="1" si="95"/>
        <v>0</v>
      </c>
    </row>
    <row r="2009" spans="1:25" x14ac:dyDescent="0.25">
      <c r="A2009" t="s">
        <v>1588</v>
      </c>
      <c r="B2009" t="s">
        <v>1587</v>
      </c>
      <c r="C2009">
        <v>33.5</v>
      </c>
      <c r="D2009">
        <v>33.5</v>
      </c>
      <c r="E2009">
        <v>33.5</v>
      </c>
      <c r="F2009" s="1">
        <v>0</v>
      </c>
      <c r="G2009" t="s">
        <v>1587</v>
      </c>
      <c r="H2009" t="s">
        <v>1587</v>
      </c>
      <c r="I2009">
        <v>43488</v>
      </c>
      <c r="J2009" t="s">
        <v>2917</v>
      </c>
      <c r="K2009">
        <v>8</v>
      </c>
      <c r="L2009">
        <v>0</v>
      </c>
      <c r="M2009">
        <v>0</v>
      </c>
      <c r="N2009">
        <v>0</v>
      </c>
      <c r="O2009" t="s">
        <v>1608</v>
      </c>
      <c r="P2009" t="s">
        <v>1584</v>
      </c>
      <c r="Q2009" t="s">
        <v>1591</v>
      </c>
      <c r="R2009">
        <v>0</v>
      </c>
      <c r="S2009">
        <v>0</v>
      </c>
      <c r="T2009" t="s">
        <v>1584</v>
      </c>
      <c r="U2009" t="s">
        <v>1592</v>
      </c>
      <c r="V2009" t="str" cm="1">
        <f t="array" aca="1" ref="V2009" ca="1">IFERROR(_xlfn.IFS(A2007="  ..............",OFFSET(A2007,2,0),A2006=" X-------------X",OFFSET(A2006,3,0),MATCH("  ..............",A2009:A2018,0)&gt;2,V2008),"-")</f>
        <v>-</v>
      </c>
      <c r="W2009" t="str">
        <f t="shared" ca="1" si="93"/>
        <v>-</v>
      </c>
      <c r="X2009" t="str">
        <f t="shared" ca="1" si="94"/>
        <v>-</v>
      </c>
      <c r="Y2009" s="1" t="str">
        <f t="shared" ca="1" si="95"/>
        <v>-</v>
      </c>
    </row>
    <row r="2010" spans="1:25" x14ac:dyDescent="0.25">
      <c r="A2010" t="s">
        <v>1572</v>
      </c>
      <c r="B2010" t="s">
        <v>1574</v>
      </c>
      <c r="C2010" t="s">
        <v>1574</v>
      </c>
      <c r="D2010" t="s">
        <v>1574</v>
      </c>
      <c r="E2010" t="s">
        <v>1574</v>
      </c>
      <c r="F2010" t="s">
        <v>1575</v>
      </c>
      <c r="G2010" t="s">
        <v>1574</v>
      </c>
      <c r="H2010" t="s">
        <v>1574</v>
      </c>
      <c r="I2010" t="s">
        <v>1576</v>
      </c>
      <c r="J2010" t="s">
        <v>1573</v>
      </c>
      <c r="K2010" t="s">
        <v>1577</v>
      </c>
      <c r="L2010" t="s">
        <v>1574</v>
      </c>
      <c r="M2010" t="s">
        <v>1574</v>
      </c>
      <c r="N2010" t="s">
        <v>1574</v>
      </c>
      <c r="O2010" t="s">
        <v>1578</v>
      </c>
      <c r="P2010" t="s">
        <v>1576</v>
      </c>
      <c r="Q2010" t="s">
        <v>1579</v>
      </c>
      <c r="R2010" t="s">
        <v>1580</v>
      </c>
      <c r="S2010" t="s">
        <v>1580</v>
      </c>
      <c r="T2010" t="s">
        <v>1576</v>
      </c>
      <c r="U2010" t="s">
        <v>1576</v>
      </c>
      <c r="V2010" t="str" cm="1">
        <f t="array" aca="1" ref="V2010" ca="1">IFERROR(_xlfn.IFS(A2008="  ..............",OFFSET(A2008,2,0),A2007=" X-------------X",OFFSET(A2007,3,0),MATCH("  ..............",A2010:A2019,0)&gt;2,V2009),"-")</f>
        <v>-</v>
      </c>
      <c r="W2010" t="str">
        <f t="shared" ca="1" si="93"/>
        <v>-</v>
      </c>
      <c r="X2010" t="str">
        <f t="shared" ca="1" si="94"/>
        <v/>
      </c>
      <c r="Y2010" s="1" t="str">
        <f t="shared" ca="1" si="95"/>
        <v/>
      </c>
    </row>
    <row r="2011" spans="1:25" x14ac:dyDescent="0.25">
      <c r="A2011" t="s">
        <v>2920</v>
      </c>
      <c r="B2011">
        <v>1.0249999999999999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 t="s">
        <v>1581</v>
      </c>
      <c r="J2011" t="s">
        <v>1581</v>
      </c>
      <c r="K2011" t="s">
        <v>1581</v>
      </c>
      <c r="L2011" t="s">
        <v>1581</v>
      </c>
      <c r="M2011" t="s">
        <v>1581</v>
      </c>
      <c r="N2011" t="s">
        <v>1581</v>
      </c>
      <c r="O2011" t="s">
        <v>1581</v>
      </c>
      <c r="P2011" t="s">
        <v>1581</v>
      </c>
      <c r="Q2011" t="s">
        <v>1581</v>
      </c>
      <c r="R2011" t="s">
        <v>1581</v>
      </c>
      <c r="S2011" t="s">
        <v>1581</v>
      </c>
      <c r="T2011" t="s">
        <v>1581</v>
      </c>
      <c r="U2011" t="s">
        <v>1581</v>
      </c>
      <c r="V2011" t="str" cm="1">
        <f t="array" aca="1" ref="V2011" ca="1">IFERROR(_xlfn.IFS(A2009="  ..............",OFFSET(A2009,2,0),A2008=" X-------------X",OFFSET(A2008,3,0),MATCH("  ..............",A2011:A2020,0)&gt;2,V2010),"-")</f>
        <v>-</v>
      </c>
      <c r="W2011" t="str">
        <f t="shared" ca="1" si="93"/>
        <v>-</v>
      </c>
      <c r="X2011" t="str">
        <f t="shared" ca="1" si="94"/>
        <v xml:space="preserve">              </v>
      </c>
      <c r="Y2011" s="1">
        <f t="shared" ca="1" si="95"/>
        <v>0</v>
      </c>
    </row>
    <row r="2012" spans="1:25" x14ac:dyDescent="0.25">
      <c r="A2012" t="s">
        <v>2921</v>
      </c>
      <c r="B2012">
        <v>60.2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 t="s">
        <v>1584</v>
      </c>
      <c r="J2012" t="s">
        <v>1585</v>
      </c>
      <c r="K2012" t="s">
        <v>1586</v>
      </c>
      <c r="L2012" t="s">
        <v>1587</v>
      </c>
      <c r="M2012" t="s">
        <v>1587</v>
      </c>
      <c r="N2012" t="s">
        <v>1586</v>
      </c>
      <c r="O2012" t="s">
        <v>1581</v>
      </c>
      <c r="P2012" t="s">
        <v>1581</v>
      </c>
      <c r="Q2012" t="s">
        <v>1581</v>
      </c>
      <c r="R2012" t="s">
        <v>1581</v>
      </c>
      <c r="S2012" t="s">
        <v>1581</v>
      </c>
      <c r="T2012" t="s">
        <v>1581</v>
      </c>
      <c r="U2012" t="s">
        <v>1581</v>
      </c>
      <c r="V2012" t="str" cm="1">
        <f t="array" aca="1" ref="V2012" ca="1">IFERROR(_xlfn.IFS(A2010="  ..............",OFFSET(A2010,2,0),A2009=" X-------------X",OFFSET(A2009,3,0),MATCH("  ..............",A2012:A2021,0)&gt;2,V2011),"-")</f>
        <v xml:space="preserve">  ALVES-SE138   </v>
      </c>
      <c r="W2012">
        <f t="shared" ca="1" si="93"/>
        <v>1.0249999999999999</v>
      </c>
      <c r="X2012" t="str">
        <f t="shared" ca="1" si="94"/>
        <v xml:space="preserve"> ARACUA-MG138 </v>
      </c>
      <c r="Y2012" s="1">
        <f t="shared" ca="1" si="95"/>
        <v>0.65200000000000002</v>
      </c>
    </row>
    <row r="2013" spans="1:25" x14ac:dyDescent="0.25">
      <c r="A2013" t="s">
        <v>1588</v>
      </c>
      <c r="B2013" t="s">
        <v>1587</v>
      </c>
      <c r="C2013">
        <v>180</v>
      </c>
      <c r="D2013">
        <v>180</v>
      </c>
      <c r="E2013">
        <v>180</v>
      </c>
      <c r="F2013" s="1">
        <v>0.65200000000000002</v>
      </c>
      <c r="G2013" t="s">
        <v>1587</v>
      </c>
      <c r="H2013" t="s">
        <v>1587</v>
      </c>
      <c r="I2013">
        <v>4081</v>
      </c>
      <c r="J2013" t="s">
        <v>2922</v>
      </c>
      <c r="K2013">
        <v>1</v>
      </c>
      <c r="L2013">
        <v>120</v>
      </c>
      <c r="M2013">
        <v>-9</v>
      </c>
      <c r="N2013">
        <v>117.4</v>
      </c>
      <c r="O2013" t="s">
        <v>1594</v>
      </c>
      <c r="P2013" t="s">
        <v>1584</v>
      </c>
      <c r="Q2013">
        <v>356</v>
      </c>
      <c r="R2013">
        <v>0.99</v>
      </c>
      <c r="S2013">
        <v>3.6</v>
      </c>
      <c r="T2013" t="s">
        <v>1584</v>
      </c>
      <c r="U2013" t="s">
        <v>1592</v>
      </c>
      <c r="V2013" t="str" cm="1">
        <f t="array" aca="1" ref="V2013" ca="1">IFERROR(_xlfn.IFS(A2011="  ..............",OFFSET(A2011,2,0),A2010=" X-------------X",OFFSET(A2010,3,0),MATCH("  ..............",A2013:A2022,0)&gt;2,V2012),"-")</f>
        <v xml:space="preserve">  ALVES-SE138   </v>
      </c>
      <c r="W2013">
        <f t="shared" ca="1" si="93"/>
        <v>1.0249999999999999</v>
      </c>
      <c r="X2013" t="str">
        <f t="shared" ca="1" si="94"/>
        <v xml:space="preserve"> ALVES-GER34  </v>
      </c>
      <c r="Y2013" s="1">
        <f t="shared" ca="1" si="95"/>
        <v>0.83899999999999997</v>
      </c>
    </row>
    <row r="2014" spans="1:25" x14ac:dyDescent="0.25">
      <c r="A2014" t="s">
        <v>1588</v>
      </c>
      <c r="B2014" t="s">
        <v>1587</v>
      </c>
      <c r="C2014">
        <v>70</v>
      </c>
      <c r="D2014">
        <v>70</v>
      </c>
      <c r="E2014">
        <v>70</v>
      </c>
      <c r="F2014" s="1">
        <v>0.83899999999999997</v>
      </c>
      <c r="G2014" t="s">
        <v>1587</v>
      </c>
      <c r="H2014" t="s">
        <v>1587</v>
      </c>
      <c r="I2014">
        <v>91018</v>
      </c>
      <c r="J2014" t="s">
        <v>2923</v>
      </c>
      <c r="K2014">
        <v>1</v>
      </c>
      <c r="L2014">
        <v>-60</v>
      </c>
      <c r="M2014">
        <v>4.5</v>
      </c>
      <c r="N2014">
        <v>58.7</v>
      </c>
      <c r="O2014" t="s">
        <v>2924</v>
      </c>
      <c r="P2014" t="s">
        <v>1584</v>
      </c>
      <c r="Q2014" t="s">
        <v>1591</v>
      </c>
      <c r="R2014">
        <v>0</v>
      </c>
      <c r="S2014">
        <v>4.5</v>
      </c>
      <c r="T2014" t="s">
        <v>1584</v>
      </c>
      <c r="U2014" t="s">
        <v>1592</v>
      </c>
      <c r="V2014" t="str" cm="1">
        <f t="array" aca="1" ref="V2014" ca="1">IFERROR(_xlfn.IFS(A2012="  ..............",OFFSET(A2012,2,0),A2011=" X-------------X",OFFSET(A2011,3,0),MATCH("  ..............",A2014:A2023,0)&gt;2,V2013),"-")</f>
        <v xml:space="preserve">  ALVES-SE138   </v>
      </c>
      <c r="W2014">
        <f t="shared" ca="1" si="93"/>
        <v>1.0249999999999999</v>
      </c>
      <c r="X2014" t="str">
        <f t="shared" ca="1" si="94"/>
        <v xml:space="preserve"> ALVES-GER34  </v>
      </c>
      <c r="Y2014" s="1">
        <f t="shared" ca="1" si="95"/>
        <v>0.83899999999999997</v>
      </c>
    </row>
    <row r="2015" spans="1:25" x14ac:dyDescent="0.25">
      <c r="A2015" t="s">
        <v>1588</v>
      </c>
      <c r="B2015" t="s">
        <v>1587</v>
      </c>
      <c r="C2015">
        <v>70</v>
      </c>
      <c r="D2015">
        <v>70</v>
      </c>
      <c r="E2015">
        <v>70</v>
      </c>
      <c r="F2015" s="1">
        <v>0.83899999999999997</v>
      </c>
      <c r="G2015" t="s">
        <v>1587</v>
      </c>
      <c r="H2015" t="s">
        <v>1587</v>
      </c>
      <c r="I2015">
        <v>91018</v>
      </c>
      <c r="J2015" t="s">
        <v>2923</v>
      </c>
      <c r="K2015">
        <v>2</v>
      </c>
      <c r="L2015">
        <v>-60</v>
      </c>
      <c r="M2015">
        <v>4.5</v>
      </c>
      <c r="N2015">
        <v>58.7</v>
      </c>
      <c r="O2015" t="s">
        <v>2924</v>
      </c>
      <c r="P2015" t="s">
        <v>1584</v>
      </c>
      <c r="Q2015" t="s">
        <v>1591</v>
      </c>
      <c r="R2015">
        <v>0</v>
      </c>
      <c r="S2015">
        <v>4.5</v>
      </c>
      <c r="T2015" t="s">
        <v>1584</v>
      </c>
      <c r="U2015" t="s">
        <v>1592</v>
      </c>
      <c r="V2015" t="str" cm="1">
        <f t="array" aca="1" ref="V2015" ca="1">IFERROR(_xlfn.IFS(A2013="  ..............",OFFSET(A2013,2,0),A2012=" X-------------X",OFFSET(A2012,3,0),MATCH("  ..............",A2015:A2024,0)&gt;2,V2014),"-")</f>
        <v>-</v>
      </c>
      <c r="W2015" t="str">
        <f t="shared" ca="1" si="93"/>
        <v>-</v>
      </c>
      <c r="X2015" t="str">
        <f t="shared" ca="1" si="94"/>
        <v>-</v>
      </c>
      <c r="Y2015" s="1" t="str">
        <f t="shared" ca="1" si="95"/>
        <v>-</v>
      </c>
    </row>
    <row r="2016" spans="1:25" x14ac:dyDescent="0.25">
      <c r="A2016" t="s">
        <v>1572</v>
      </c>
      <c r="B2016" t="s">
        <v>1574</v>
      </c>
      <c r="C2016" t="s">
        <v>1574</v>
      </c>
      <c r="D2016" t="s">
        <v>1574</v>
      </c>
      <c r="E2016" t="s">
        <v>1574</v>
      </c>
      <c r="F2016" t="s">
        <v>1575</v>
      </c>
      <c r="G2016" t="s">
        <v>1574</v>
      </c>
      <c r="H2016" t="s">
        <v>1574</v>
      </c>
      <c r="I2016" t="s">
        <v>1576</v>
      </c>
      <c r="J2016" t="s">
        <v>1573</v>
      </c>
      <c r="K2016" t="s">
        <v>1577</v>
      </c>
      <c r="L2016" t="s">
        <v>1574</v>
      </c>
      <c r="M2016" t="s">
        <v>1574</v>
      </c>
      <c r="N2016" t="s">
        <v>1574</v>
      </c>
      <c r="O2016" t="s">
        <v>1578</v>
      </c>
      <c r="P2016" t="s">
        <v>1576</v>
      </c>
      <c r="Q2016" t="s">
        <v>1579</v>
      </c>
      <c r="R2016" t="s">
        <v>1580</v>
      </c>
      <c r="S2016" t="s">
        <v>1580</v>
      </c>
      <c r="T2016" t="s">
        <v>1576</v>
      </c>
      <c r="U2016" t="s">
        <v>1576</v>
      </c>
      <c r="V2016" t="str" cm="1">
        <f t="array" aca="1" ref="V2016" ca="1">IFERROR(_xlfn.IFS(A2014="  ..............",OFFSET(A2014,2,0),A2013=" X-------------X",OFFSET(A2013,3,0),MATCH("  ..............",A2016:A2025,0)&gt;2,V2015),"-")</f>
        <v>-</v>
      </c>
      <c r="W2016" t="str">
        <f t="shared" ca="1" si="93"/>
        <v>-</v>
      </c>
      <c r="X2016" t="str">
        <f t="shared" ca="1" si="94"/>
        <v/>
      </c>
      <c r="Y2016" s="1" t="str">
        <f t="shared" ca="1" si="95"/>
        <v/>
      </c>
    </row>
    <row r="2017" spans="1:25" x14ac:dyDescent="0.25">
      <c r="A2017" t="s">
        <v>2925</v>
      </c>
      <c r="B2017">
        <v>1</v>
      </c>
      <c r="C2017">
        <v>120</v>
      </c>
      <c r="D2017">
        <v>0</v>
      </c>
      <c r="E2017">
        <v>0</v>
      </c>
      <c r="F2017">
        <v>0</v>
      </c>
      <c r="G2017">
        <v>0</v>
      </c>
      <c r="H2017">
        <v>0</v>
      </c>
      <c r="I2017" t="s">
        <v>1581</v>
      </c>
      <c r="J2017" t="s">
        <v>1581</v>
      </c>
      <c r="K2017" t="s">
        <v>1581</v>
      </c>
      <c r="L2017" t="s">
        <v>1581</v>
      </c>
      <c r="M2017" t="s">
        <v>1581</v>
      </c>
      <c r="N2017" t="s">
        <v>1581</v>
      </c>
      <c r="O2017" t="s">
        <v>1581</v>
      </c>
      <c r="P2017" t="s">
        <v>1581</v>
      </c>
      <c r="Q2017" t="s">
        <v>1581</v>
      </c>
      <c r="R2017" t="s">
        <v>1581</v>
      </c>
      <c r="S2017" t="s">
        <v>1581</v>
      </c>
      <c r="T2017" t="s">
        <v>1581</v>
      </c>
      <c r="U2017" t="s">
        <v>1581</v>
      </c>
      <c r="V2017" t="str" cm="1">
        <f t="array" aca="1" ref="V2017" ca="1">IFERROR(_xlfn.IFS(A2015="  ..............",OFFSET(A2015,2,0),A2014=" X-------------X",OFFSET(A2014,3,0),MATCH("  ..............",A2017:A2026,0)&gt;2,V2016),"-")</f>
        <v>-</v>
      </c>
      <c r="W2017" t="str">
        <f t="shared" ca="1" si="93"/>
        <v>-</v>
      </c>
      <c r="X2017" t="str">
        <f t="shared" ca="1" si="94"/>
        <v xml:space="preserve">              </v>
      </c>
      <c r="Y2017" s="1">
        <f t="shared" ca="1" si="95"/>
        <v>0</v>
      </c>
    </row>
    <row r="2018" spans="1:25" x14ac:dyDescent="0.25">
      <c r="A2018" t="s">
        <v>2926</v>
      </c>
      <c r="B2018">
        <v>64.5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 t="s">
        <v>1584</v>
      </c>
      <c r="J2018" t="s">
        <v>1585</v>
      </c>
      <c r="K2018" t="s">
        <v>1586</v>
      </c>
      <c r="L2018" t="s">
        <v>1587</v>
      </c>
      <c r="M2018" t="s">
        <v>1587</v>
      </c>
      <c r="N2018" t="s">
        <v>1586</v>
      </c>
      <c r="O2018" t="s">
        <v>1581</v>
      </c>
      <c r="P2018" t="s">
        <v>1581</v>
      </c>
      <c r="Q2018" t="s">
        <v>1581</v>
      </c>
      <c r="R2018" t="s">
        <v>1581</v>
      </c>
      <c r="S2018" t="s">
        <v>1581</v>
      </c>
      <c r="T2018" t="s">
        <v>1581</v>
      </c>
      <c r="U2018" t="s">
        <v>1581</v>
      </c>
      <c r="V2018" t="str" cm="1">
        <f t="array" aca="1" ref="V2018" ca="1">IFERROR(_xlfn.IFS(A2016="  ..............",OFFSET(A2016,2,0),A2015=" X-------------X",OFFSET(A2015,3,0),MATCH("  ..............",A2018:A2027,0)&gt;2,V2017),"-")</f>
        <v xml:space="preserve">  ALVES-GER34   </v>
      </c>
      <c r="W2018">
        <f t="shared" ca="1" si="93"/>
        <v>1</v>
      </c>
      <c r="X2018" t="str">
        <f t="shared" ca="1" si="94"/>
        <v xml:space="preserve"> ALVES-SE138  </v>
      </c>
      <c r="Y2018" s="1">
        <f t="shared" ca="1" si="95"/>
        <v>0.85699999999999998</v>
      </c>
    </row>
    <row r="2019" spans="1:25" x14ac:dyDescent="0.25">
      <c r="A2019" t="s">
        <v>1588</v>
      </c>
      <c r="B2019" t="s">
        <v>1587</v>
      </c>
      <c r="C2019">
        <v>70</v>
      </c>
      <c r="D2019">
        <v>70</v>
      </c>
      <c r="E2019">
        <v>70</v>
      </c>
      <c r="F2019" s="1">
        <v>0.85699999999999998</v>
      </c>
      <c r="G2019" t="s">
        <v>1587</v>
      </c>
      <c r="H2019" t="s">
        <v>1587</v>
      </c>
      <c r="I2019">
        <v>91017</v>
      </c>
      <c r="J2019" t="s">
        <v>2927</v>
      </c>
      <c r="K2019">
        <v>1</v>
      </c>
      <c r="L2019">
        <v>60</v>
      </c>
      <c r="M2019">
        <v>0</v>
      </c>
      <c r="N2019">
        <v>60</v>
      </c>
      <c r="O2019" t="s">
        <v>1594</v>
      </c>
      <c r="P2019" t="s">
        <v>1584</v>
      </c>
      <c r="Q2019" t="s">
        <v>1591</v>
      </c>
      <c r="R2019">
        <v>0</v>
      </c>
      <c r="S2019">
        <v>4.5</v>
      </c>
      <c r="T2019" t="s">
        <v>1584</v>
      </c>
      <c r="U2019" t="s">
        <v>1592</v>
      </c>
      <c r="V2019" t="str" cm="1">
        <f t="array" aca="1" ref="V2019" ca="1">IFERROR(_xlfn.IFS(A2017="  ..............",OFFSET(A2017,2,0),A2016=" X-------------X",OFFSET(A2016,3,0),MATCH("  ..............",A2019:A2028,0)&gt;2,V2018),"-")</f>
        <v xml:space="preserve">  ALVES-GER34   </v>
      </c>
      <c r="W2019">
        <f t="shared" ca="1" si="93"/>
        <v>1</v>
      </c>
      <c r="X2019" t="str">
        <f t="shared" ca="1" si="94"/>
        <v xml:space="preserve"> ALVES-SE138  </v>
      </c>
      <c r="Y2019" s="1">
        <f t="shared" ca="1" si="95"/>
        <v>0.85699999999999998</v>
      </c>
    </row>
    <row r="2020" spans="1:25" x14ac:dyDescent="0.25">
      <c r="A2020" t="s">
        <v>1588</v>
      </c>
      <c r="B2020" t="s">
        <v>1587</v>
      </c>
      <c r="C2020">
        <v>70</v>
      </c>
      <c r="D2020">
        <v>70</v>
      </c>
      <c r="E2020">
        <v>70</v>
      </c>
      <c r="F2020" s="1">
        <v>0.85699999999999998</v>
      </c>
      <c r="G2020" t="s">
        <v>1587</v>
      </c>
      <c r="H2020" t="s">
        <v>1587</v>
      </c>
      <c r="I2020">
        <v>91017</v>
      </c>
      <c r="J2020" t="s">
        <v>2927</v>
      </c>
      <c r="K2020">
        <v>2</v>
      </c>
      <c r="L2020">
        <v>60</v>
      </c>
      <c r="M2020">
        <v>0</v>
      </c>
      <c r="N2020">
        <v>60</v>
      </c>
      <c r="O2020" t="s">
        <v>1594</v>
      </c>
      <c r="P2020" t="s">
        <v>1584</v>
      </c>
      <c r="Q2020" t="s">
        <v>1591</v>
      </c>
      <c r="R2020">
        <v>0</v>
      </c>
      <c r="S2020">
        <v>4.5</v>
      </c>
      <c r="T2020" t="s">
        <v>1584</v>
      </c>
      <c r="U2020" t="s">
        <v>1592</v>
      </c>
      <c r="V2020" t="str" cm="1">
        <f t="array" aca="1" ref="V2020" ca="1">IFERROR(_xlfn.IFS(A2018="  ..............",OFFSET(A2018,2,0),A2017=" X-------------X",OFFSET(A2017,3,0),MATCH("  ..............",A2020:A2029,0)&gt;2,V2019),"-")</f>
        <v>-</v>
      </c>
      <c r="W2020" t="str">
        <f t="shared" ca="1" si="93"/>
        <v>-</v>
      </c>
      <c r="X2020" t="str">
        <f t="shared" ca="1" si="94"/>
        <v>-</v>
      </c>
      <c r="Y2020" s="1" t="str">
        <f t="shared" ca="1" si="95"/>
        <v>-</v>
      </c>
    </row>
    <row r="2021" spans="1:25" x14ac:dyDescent="0.25">
      <c r="A2021" t="s">
        <v>1572</v>
      </c>
      <c r="B2021" t="s">
        <v>1574</v>
      </c>
      <c r="C2021" t="s">
        <v>1574</v>
      </c>
      <c r="D2021" t="s">
        <v>1574</v>
      </c>
      <c r="E2021" t="s">
        <v>1574</v>
      </c>
      <c r="F2021" t="s">
        <v>1575</v>
      </c>
      <c r="G2021" t="s">
        <v>1574</v>
      </c>
      <c r="H2021" t="s">
        <v>1574</v>
      </c>
      <c r="I2021" t="s">
        <v>1576</v>
      </c>
      <c r="J2021" t="s">
        <v>1573</v>
      </c>
      <c r="K2021" t="s">
        <v>1577</v>
      </c>
      <c r="L2021" t="s">
        <v>1574</v>
      </c>
      <c r="M2021" t="s">
        <v>1574</v>
      </c>
      <c r="N2021" t="s">
        <v>1574</v>
      </c>
      <c r="O2021" t="s">
        <v>1578</v>
      </c>
      <c r="P2021" t="s">
        <v>1576</v>
      </c>
      <c r="Q2021" t="s">
        <v>1579</v>
      </c>
      <c r="R2021" t="s">
        <v>1580</v>
      </c>
      <c r="S2021" t="s">
        <v>1580</v>
      </c>
      <c r="T2021" t="s">
        <v>1576</v>
      </c>
      <c r="U2021" t="s">
        <v>1576</v>
      </c>
      <c r="V2021" t="str" cm="1">
        <f t="array" aca="1" ref="V2021" ca="1">IFERROR(_xlfn.IFS(A2019="  ..............",OFFSET(A2019,2,0),A2018=" X-------------X",OFFSET(A2018,3,0),MATCH("  ..............",A2021:A2030,0)&gt;2,V2020),"-")</f>
        <v>-</v>
      </c>
      <c r="W2021" t="str">
        <f t="shared" ca="1" si="93"/>
        <v>-</v>
      </c>
      <c r="X2021" t="str">
        <f t="shared" ca="1" si="94"/>
        <v/>
      </c>
      <c r="Y2021" s="1" t="str">
        <f t="shared" ca="1" si="95"/>
        <v/>
      </c>
    </row>
    <row r="2022" spans="1:25" x14ac:dyDescent="0.25">
      <c r="A2022" t="s">
        <v>1581</v>
      </c>
      <c r="B2022" t="s">
        <v>1581</v>
      </c>
      <c r="C2022" t="s">
        <v>1581</v>
      </c>
      <c r="D2022" t="s">
        <v>1581</v>
      </c>
      <c r="E2022" t="s">
        <v>1581</v>
      </c>
      <c r="F2022" t="s">
        <v>1581</v>
      </c>
      <c r="G2022" t="s">
        <v>1581</v>
      </c>
      <c r="H2022" t="s">
        <v>1581</v>
      </c>
      <c r="I2022" t="s">
        <v>1581</v>
      </c>
      <c r="J2022" t="s">
        <v>1581</v>
      </c>
      <c r="K2022" t="s">
        <v>1581</v>
      </c>
      <c r="L2022" t="s">
        <v>1581</v>
      </c>
      <c r="M2022" t="s">
        <v>1581</v>
      </c>
      <c r="N2022" t="s">
        <v>1581</v>
      </c>
      <c r="O2022" t="s">
        <v>1581</v>
      </c>
      <c r="P2022" t="s">
        <v>1581</v>
      </c>
      <c r="Q2022" t="s">
        <v>1581</v>
      </c>
      <c r="R2022" t="s">
        <v>1581</v>
      </c>
      <c r="S2022" t="s">
        <v>1581</v>
      </c>
      <c r="T2022" t="s">
        <v>1581</v>
      </c>
      <c r="U2022" t="s">
        <v>1581</v>
      </c>
      <c r="V2022" t="str" cm="1">
        <f t="array" aca="1" ref="V2022" ca="1">IFERROR(_xlfn.IFS(A2020="  ..............",OFFSET(A2020,2,0),A2019=" X-------------X",OFFSET(A2019,3,0),MATCH("  ..............",A2022:A2031,0)&gt;2,V2021),"-")</f>
        <v>-</v>
      </c>
      <c r="W2022" t="str">
        <f t="shared" ca="1" si="93"/>
        <v>-</v>
      </c>
      <c r="X2022" t="str">
        <f t="shared" ca="1" si="94"/>
        <v/>
      </c>
      <c r="Y2022" s="1" t="str">
        <f t="shared" ca="1" si="95"/>
        <v/>
      </c>
    </row>
    <row r="2023" spans="1:25" x14ac:dyDescent="0.25">
      <c r="A2023" t="s">
        <v>1581</v>
      </c>
      <c r="B2023" t="s">
        <v>1581</v>
      </c>
      <c r="C2023" t="s">
        <v>1581</v>
      </c>
      <c r="D2023" t="s">
        <v>1581</v>
      </c>
      <c r="E2023" t="s">
        <v>1581</v>
      </c>
      <c r="F2023" t="s">
        <v>1581</v>
      </c>
      <c r="G2023" t="s">
        <v>1581</v>
      </c>
      <c r="H2023" t="s">
        <v>1581</v>
      </c>
      <c r="I2023" t="s">
        <v>1581</v>
      </c>
      <c r="J2023" t="s">
        <v>1581</v>
      </c>
      <c r="K2023" t="s">
        <v>1581</v>
      </c>
      <c r="L2023" t="s">
        <v>1581</v>
      </c>
      <c r="M2023" t="s">
        <v>1581</v>
      </c>
      <c r="N2023" t="s">
        <v>1581</v>
      </c>
      <c r="O2023" t="s">
        <v>1581</v>
      </c>
      <c r="P2023" t="s">
        <v>1581</v>
      </c>
      <c r="Q2023" t="s">
        <v>1581</v>
      </c>
      <c r="R2023" t="s">
        <v>1581</v>
      </c>
      <c r="S2023" t="s">
        <v>1581</v>
      </c>
      <c r="T2023" t="s">
        <v>1581</v>
      </c>
      <c r="U2023" t="s">
        <v>1581</v>
      </c>
      <c r="V2023" t="str" cm="1">
        <f t="array" aca="1" ref="V2023" ca="1">IFERROR(_xlfn.IFS(A2021="  ..............",OFFSET(A2021,2,0),A2020=" X-------------X",OFFSET(A2020,3,0),MATCH("  ..............",A2023:A2032,0)&gt;2,V2022),"-")</f>
        <v/>
      </c>
      <c r="W2023" t="str">
        <f t="shared" ca="1" si="93"/>
        <v>X-------X</v>
      </c>
      <c r="X2023" t="str">
        <f t="shared" ca="1" si="94"/>
        <v/>
      </c>
      <c r="Y2023" s="1" t="str">
        <f t="shared" ca="1" si="95"/>
        <v/>
      </c>
    </row>
    <row r="2024" spans="1:25" x14ac:dyDescent="0.25">
      <c r="A2024" t="s">
        <v>2928</v>
      </c>
      <c r="B2024">
        <v>3</v>
      </c>
      <c r="C2024" t="s">
        <v>1581</v>
      </c>
      <c r="D2024" t="s">
        <v>1581</v>
      </c>
      <c r="E2024" t="s">
        <v>1581</v>
      </c>
      <c r="F2024" t="s">
        <v>1581</v>
      </c>
      <c r="G2024" t="s">
        <v>1581</v>
      </c>
      <c r="H2024" t="s">
        <v>1581</v>
      </c>
      <c r="I2024" t="s">
        <v>1581</v>
      </c>
      <c r="J2024" t="s">
        <v>1581</v>
      </c>
      <c r="K2024" t="s">
        <v>1581</v>
      </c>
      <c r="L2024" t="s">
        <v>1581</v>
      </c>
      <c r="M2024" t="s">
        <v>1581</v>
      </c>
      <c r="N2024" t="s">
        <v>1581</v>
      </c>
      <c r="O2024" t="s">
        <v>1581</v>
      </c>
      <c r="P2024" t="s">
        <v>1581</v>
      </c>
      <c r="Q2024" t="s">
        <v>1581</v>
      </c>
      <c r="R2024" t="s">
        <v>1581</v>
      </c>
      <c r="S2024" t="s">
        <v>1581</v>
      </c>
      <c r="T2024" t="s">
        <v>1581</v>
      </c>
      <c r="U2024" t="s">
        <v>1581</v>
      </c>
      <c r="V2024" t="str" cm="1">
        <f t="array" aca="1" ref="V2024" ca="1">IFERROR(_xlfn.IFS(A2022="  ..............",OFFSET(A2022,2,0),A2021=" X-------------X",OFFSET(A2021,3,0),MATCH("  ..............",A2024:A2033,0)&gt;2,V2023),"-")</f>
        <v>-</v>
      </c>
      <c r="W2024" t="str">
        <f t="shared" ca="1" si="93"/>
        <v>-</v>
      </c>
      <c r="X2024" t="str">
        <f t="shared" ca="1" si="94"/>
        <v>-</v>
      </c>
      <c r="Y2024" s="1" t="str">
        <f t="shared" ca="1" si="95"/>
        <v>-</v>
      </c>
    </row>
    <row r="2025" spans="1:25" x14ac:dyDescent="0.25">
      <c r="A2025" t="s">
        <v>1581</v>
      </c>
      <c r="B2025" t="s">
        <v>1581</v>
      </c>
      <c r="C2025" t="s">
        <v>1581</v>
      </c>
      <c r="D2025" t="s">
        <v>1581</v>
      </c>
      <c r="E2025" t="s">
        <v>1581</v>
      </c>
      <c r="F2025" t="s">
        <v>1581</v>
      </c>
      <c r="G2025" t="s">
        <v>1581</v>
      </c>
      <c r="H2025" t="s">
        <v>1581</v>
      </c>
      <c r="I2025" t="s">
        <v>1581</v>
      </c>
      <c r="J2025" t="s">
        <v>1581</v>
      </c>
      <c r="K2025" t="s">
        <v>1581</v>
      </c>
      <c r="L2025" t="s">
        <v>1581</v>
      </c>
      <c r="M2025" t="s">
        <v>1581</v>
      </c>
      <c r="N2025" t="s">
        <v>1581</v>
      </c>
      <c r="O2025" t="s">
        <v>1581</v>
      </c>
      <c r="P2025" t="s">
        <v>1581</v>
      </c>
      <c r="Q2025" t="s">
        <v>1581</v>
      </c>
      <c r="R2025" t="s">
        <v>1581</v>
      </c>
      <c r="S2025" t="s">
        <v>1581</v>
      </c>
      <c r="T2025" t="s">
        <v>1581</v>
      </c>
      <c r="U2025" t="s">
        <v>1581</v>
      </c>
      <c r="V2025" t="str" cm="1">
        <f t="array" aca="1" ref="V2025" ca="1">IFERROR(_xlfn.IFS(A2023="  ..............",OFFSET(A2023,2,0),A2022=" X-------------X",OFFSET(A2022,3,0),MATCH("  ..............",A2025:A2034,0)&gt;2,V2024),"-")</f>
        <v>-</v>
      </c>
      <c r="W2025" t="str">
        <f t="shared" ca="1" si="93"/>
        <v>-</v>
      </c>
      <c r="X2025" t="str">
        <f t="shared" ca="1" si="94"/>
        <v/>
      </c>
      <c r="Y2025" s="1" t="str">
        <f t="shared" ca="1" si="95"/>
        <v/>
      </c>
    </row>
    <row r="2026" spans="1:25" x14ac:dyDescent="0.25">
      <c r="A2026" t="s">
        <v>1581</v>
      </c>
      <c r="B2026" t="s">
        <v>1581</v>
      </c>
      <c r="C2026" t="s">
        <v>1581</v>
      </c>
      <c r="D2026" t="s">
        <v>1581</v>
      </c>
      <c r="E2026" t="s">
        <v>1581</v>
      </c>
      <c r="F2026" t="s">
        <v>1581</v>
      </c>
      <c r="G2026" t="s">
        <v>1581</v>
      </c>
      <c r="H2026" t="s">
        <v>1581</v>
      </c>
      <c r="I2026" t="s">
        <v>1581</v>
      </c>
      <c r="J2026" t="s">
        <v>1581</v>
      </c>
      <c r="K2026" t="s">
        <v>1581</v>
      </c>
      <c r="L2026" t="s">
        <v>1581</v>
      </c>
      <c r="M2026" t="s">
        <v>1581</v>
      </c>
      <c r="N2026" t="s">
        <v>1581</v>
      </c>
      <c r="O2026" t="s">
        <v>1581</v>
      </c>
      <c r="P2026" t="s">
        <v>1581</v>
      </c>
      <c r="Q2026" t="s">
        <v>1581</v>
      </c>
      <c r="R2026" t="s">
        <v>1581</v>
      </c>
      <c r="S2026" t="s">
        <v>1581</v>
      </c>
      <c r="T2026" t="s">
        <v>1581</v>
      </c>
      <c r="U2026" t="s">
        <v>1581</v>
      </c>
      <c r="V2026" t="str" cm="1">
        <f t="array" aca="1" ref="V2026" ca="1">IFERROR(_xlfn.IFS(A2024="  ..............",OFFSET(A2024,2,0),A2023=" X-------------X",OFFSET(A2023,3,0),MATCH("  ..............",A2026:A2035,0)&gt;2,V2025),"-")</f>
        <v>-</v>
      </c>
      <c r="W2026" t="str">
        <f t="shared" ca="1" si="93"/>
        <v>-</v>
      </c>
      <c r="X2026" t="str">
        <f t="shared" ca="1" si="94"/>
        <v/>
      </c>
      <c r="Y2026" s="1" t="str">
        <f t="shared" ca="1" si="95"/>
        <v/>
      </c>
    </row>
    <row r="2027" spans="1:25" x14ac:dyDescent="0.25">
      <c r="A2027" t="s">
        <v>2929</v>
      </c>
      <c r="B2027" t="s">
        <v>2930</v>
      </c>
      <c r="C2027" t="s">
        <v>2931</v>
      </c>
      <c r="D2027" t="s">
        <v>2932</v>
      </c>
      <c r="E2027" t="s">
        <v>2933</v>
      </c>
      <c r="F2027" t="s">
        <v>2934</v>
      </c>
      <c r="G2027" t="s">
        <v>2931</v>
      </c>
      <c r="H2027" t="s">
        <v>1768</v>
      </c>
      <c r="I2027" t="s">
        <v>1581</v>
      </c>
      <c r="J2027" t="s">
        <v>1581</v>
      </c>
      <c r="K2027" t="s">
        <v>1581</v>
      </c>
      <c r="L2027" t="s">
        <v>1581</v>
      </c>
      <c r="M2027" t="s">
        <v>1581</v>
      </c>
      <c r="N2027" t="s">
        <v>1581</v>
      </c>
      <c r="O2027" t="s">
        <v>1581</v>
      </c>
      <c r="P2027" t="s">
        <v>1581</v>
      </c>
      <c r="Q2027" t="s">
        <v>1581</v>
      </c>
      <c r="R2027" t="s">
        <v>1581</v>
      </c>
      <c r="S2027" t="s">
        <v>1581</v>
      </c>
      <c r="T2027" t="s">
        <v>1581</v>
      </c>
      <c r="U2027" t="s">
        <v>1581</v>
      </c>
      <c r="V2027" t="str" cm="1">
        <f t="array" aca="1" ref="V2027" ca="1">IFERROR(_xlfn.IFS(A2025="  ..............",OFFSET(A2025,2,0),A2024=" X-------------X",OFFSET(A2024,3,0),MATCH("  ..............",A2027:A2036,0)&gt;2,V2026),"-")</f>
        <v>-</v>
      </c>
      <c r="W2027" t="str">
        <f t="shared" ca="1" si="93"/>
        <v>-</v>
      </c>
      <c r="X2027" t="str">
        <f t="shared" ca="1" si="94"/>
        <v/>
      </c>
      <c r="Y2027" s="1" t="str">
        <f t="shared" ca="1" si="95"/>
        <v/>
      </c>
    </row>
    <row r="2028" spans="1:25" x14ac:dyDescent="0.25">
      <c r="A2028" t="s">
        <v>2935</v>
      </c>
      <c r="B2028" t="s">
        <v>2936</v>
      </c>
      <c r="C2028" t="s">
        <v>2937</v>
      </c>
      <c r="D2028" t="s">
        <v>2938</v>
      </c>
      <c r="E2028" t="s">
        <v>2939</v>
      </c>
      <c r="F2028" t="s">
        <v>2940</v>
      </c>
      <c r="G2028" t="s">
        <v>2941</v>
      </c>
      <c r="H2028" t="s">
        <v>2942</v>
      </c>
      <c r="I2028" t="s">
        <v>1581</v>
      </c>
      <c r="J2028" t="s">
        <v>1581</v>
      </c>
      <c r="K2028" t="s">
        <v>1581</v>
      </c>
      <c r="L2028" t="s">
        <v>1581</v>
      </c>
      <c r="M2028" t="s">
        <v>1581</v>
      </c>
      <c r="N2028" t="s">
        <v>1581</v>
      </c>
      <c r="O2028" t="s">
        <v>1581</v>
      </c>
      <c r="P2028" t="s">
        <v>1581</v>
      </c>
      <c r="Q2028" t="s">
        <v>1581</v>
      </c>
      <c r="R2028" t="s">
        <v>1581</v>
      </c>
      <c r="S2028" t="s">
        <v>1581</v>
      </c>
      <c r="T2028" t="s">
        <v>1581</v>
      </c>
      <c r="U2028" t="s">
        <v>1581</v>
      </c>
      <c r="V2028" t="str" cm="1">
        <f t="array" aca="1" ref="V2028" ca="1">IFERROR(_xlfn.IFS(A2026="  ..............",OFFSET(A2026,2,0),A2025=" X-------------X",OFFSET(A2025,3,0),MATCH("  ..............",A2028:A2037,0)&gt;2,V2027),"-")</f>
        <v>-</v>
      </c>
      <c r="W2028" t="str">
        <f t="shared" ca="1" si="93"/>
        <v>-</v>
      </c>
      <c r="X2028" t="str">
        <f t="shared" ca="1" si="94"/>
        <v/>
      </c>
      <c r="Y2028" s="1" t="str">
        <f t="shared" ca="1" si="95"/>
        <v/>
      </c>
    </row>
    <row r="2029" spans="1:25" x14ac:dyDescent="0.25">
      <c r="A2029" t="s">
        <v>2943</v>
      </c>
      <c r="B2029" t="s">
        <v>2944</v>
      </c>
      <c r="C2029" t="s">
        <v>1784</v>
      </c>
      <c r="D2029" t="s">
        <v>2945</v>
      </c>
      <c r="E2029" t="s">
        <v>2946</v>
      </c>
      <c r="F2029" t="s">
        <v>2947</v>
      </c>
      <c r="G2029" t="s">
        <v>1784</v>
      </c>
      <c r="H2029" t="s">
        <v>2948</v>
      </c>
      <c r="I2029" t="s">
        <v>1581</v>
      </c>
      <c r="J2029" t="s">
        <v>1581</v>
      </c>
      <c r="K2029" t="s">
        <v>1581</v>
      </c>
      <c r="L2029" t="s">
        <v>1581</v>
      </c>
      <c r="M2029" t="s">
        <v>1581</v>
      </c>
      <c r="N2029" t="s">
        <v>1581</v>
      </c>
      <c r="O2029" t="s">
        <v>1581</v>
      </c>
      <c r="P2029" t="s">
        <v>1581</v>
      </c>
      <c r="Q2029" t="s">
        <v>1581</v>
      </c>
      <c r="R2029" t="s">
        <v>1581</v>
      </c>
      <c r="S2029" t="s">
        <v>1581</v>
      </c>
      <c r="T2029" t="s">
        <v>1581</v>
      </c>
      <c r="U2029" t="s">
        <v>1581</v>
      </c>
      <c r="V2029" t="str" cm="1">
        <f t="array" aca="1" ref="V2029" ca="1">IFERROR(_xlfn.IFS(A2027="  ..............",OFFSET(A2027,2,0),A2026=" X-------------X",OFFSET(A2026,3,0),MATCH("  ..............",A2029:A2038,0)&gt;2,V2028),"-")</f>
        <v>-</v>
      </c>
      <c r="W2029" t="str">
        <f t="shared" ca="1" si="93"/>
        <v>-</v>
      </c>
      <c r="X2029" t="str">
        <f t="shared" ca="1" si="94"/>
        <v/>
      </c>
      <c r="Y2029" s="1" t="str">
        <f t="shared" ca="1" si="95"/>
        <v/>
      </c>
    </row>
    <row r="2030" spans="1:25" x14ac:dyDescent="0.25">
      <c r="A2030" t="s">
        <v>2949</v>
      </c>
      <c r="B2030" t="s">
        <v>2950</v>
      </c>
      <c r="C2030" t="s">
        <v>2951</v>
      </c>
      <c r="D2030" t="s">
        <v>2952</v>
      </c>
      <c r="E2030" t="s">
        <v>2953</v>
      </c>
      <c r="F2030" t="s">
        <v>2954</v>
      </c>
      <c r="G2030" t="s">
        <v>2951</v>
      </c>
      <c r="H2030" t="s">
        <v>2955</v>
      </c>
      <c r="I2030" t="s">
        <v>1581</v>
      </c>
      <c r="J2030" t="s">
        <v>1581</v>
      </c>
      <c r="K2030" t="s">
        <v>1581</v>
      </c>
      <c r="L2030" t="s">
        <v>1581</v>
      </c>
      <c r="M2030" t="s">
        <v>1581</v>
      </c>
      <c r="N2030" t="s">
        <v>1581</v>
      </c>
      <c r="O2030" t="s">
        <v>1581</v>
      </c>
      <c r="P2030" t="s">
        <v>1581</v>
      </c>
      <c r="Q2030" t="s">
        <v>1581</v>
      </c>
      <c r="R2030" t="s">
        <v>1581</v>
      </c>
      <c r="S2030" t="s">
        <v>1581</v>
      </c>
      <c r="T2030" t="s">
        <v>1581</v>
      </c>
      <c r="U2030" t="s">
        <v>1581</v>
      </c>
      <c r="V2030" t="str" cm="1">
        <f t="array" aca="1" ref="V2030" ca="1">IFERROR(_xlfn.IFS(A2028="  ..............",OFFSET(A2028,2,0),A2027=" X-------------X",OFFSET(A2027,3,0),MATCH("  ..............",A2030:A2039,0)&gt;2,V2029),"-")</f>
        <v>-</v>
      </c>
      <c r="W2030" t="str">
        <f t="shared" ca="1" si="93"/>
        <v>-</v>
      </c>
      <c r="X2030" t="str">
        <f t="shared" ca="1" si="94"/>
        <v/>
      </c>
      <c r="Y2030" s="1" t="str">
        <f t="shared" ca="1" si="95"/>
        <v/>
      </c>
    </row>
    <row r="2031" spans="1:25" x14ac:dyDescent="0.25">
      <c r="A2031" t="s">
        <v>2929</v>
      </c>
      <c r="B2031" t="s">
        <v>2930</v>
      </c>
      <c r="C2031" t="s">
        <v>2931</v>
      </c>
      <c r="D2031" t="s">
        <v>2932</v>
      </c>
      <c r="E2031" t="s">
        <v>2933</v>
      </c>
      <c r="F2031" t="s">
        <v>2934</v>
      </c>
      <c r="G2031" t="s">
        <v>2931</v>
      </c>
      <c r="H2031" t="s">
        <v>1768</v>
      </c>
      <c r="I2031" t="s">
        <v>1581</v>
      </c>
      <c r="J2031" t="s">
        <v>1581</v>
      </c>
      <c r="K2031" t="s">
        <v>1581</v>
      </c>
      <c r="L2031" t="s">
        <v>1581</v>
      </c>
      <c r="M2031" t="s">
        <v>1581</v>
      </c>
      <c r="N2031" t="s">
        <v>1581</v>
      </c>
      <c r="O2031" t="s">
        <v>1581</v>
      </c>
      <c r="P2031" t="s">
        <v>1581</v>
      </c>
      <c r="Q2031" t="s">
        <v>1581</v>
      </c>
      <c r="R2031" t="s">
        <v>1581</v>
      </c>
      <c r="S2031" t="s">
        <v>1581</v>
      </c>
      <c r="T2031" t="s">
        <v>1581</v>
      </c>
      <c r="U2031" t="s">
        <v>1581</v>
      </c>
      <c r="V2031" t="str" cm="1">
        <f t="array" aca="1" ref="V2031" ca="1">IFERROR(_xlfn.IFS(A2029="  ..............",OFFSET(A2029,2,0),A2028=" X-------------X",OFFSET(A2028,3,0),MATCH("  ..............",A2031:A2040,0)&gt;2,V2030),"-")</f>
        <v>-</v>
      </c>
      <c r="W2031" t="str">
        <f t="shared" ca="1" si="93"/>
        <v>-</v>
      </c>
      <c r="X2031" t="str">
        <f t="shared" ca="1" si="94"/>
        <v/>
      </c>
      <c r="Y2031" s="1" t="str">
        <f t="shared" ca="1" si="95"/>
        <v/>
      </c>
    </row>
    <row r="2032" spans="1:25" x14ac:dyDescent="0.25">
      <c r="A2032" t="s">
        <v>1581</v>
      </c>
      <c r="B2032" t="s">
        <v>1581</v>
      </c>
      <c r="C2032" t="s">
        <v>1581</v>
      </c>
      <c r="D2032" t="s">
        <v>1581</v>
      </c>
      <c r="E2032" t="s">
        <v>1581</v>
      </c>
      <c r="F2032" t="s">
        <v>1581</v>
      </c>
      <c r="G2032" t="s">
        <v>1581</v>
      </c>
      <c r="H2032" t="s">
        <v>1581</v>
      </c>
      <c r="I2032" t="s">
        <v>1581</v>
      </c>
      <c r="J2032" t="s">
        <v>1581</v>
      </c>
      <c r="K2032" t="s">
        <v>1581</v>
      </c>
      <c r="L2032" t="s">
        <v>1581</v>
      </c>
      <c r="M2032" t="s">
        <v>1581</v>
      </c>
      <c r="N2032" t="s">
        <v>1581</v>
      </c>
      <c r="O2032" t="s">
        <v>1581</v>
      </c>
      <c r="P2032" t="s">
        <v>1581</v>
      </c>
      <c r="Q2032" t="s">
        <v>1581</v>
      </c>
      <c r="R2032" t="s">
        <v>1581</v>
      </c>
      <c r="S2032" t="s">
        <v>1581</v>
      </c>
      <c r="T2032" t="s">
        <v>1581</v>
      </c>
      <c r="U2032" t="s">
        <v>1581</v>
      </c>
      <c r="V2032" t="str" cm="1">
        <f t="array" aca="1" ref="V2032" ca="1">IFERROR(_xlfn.IFS(A2030="  ..............",OFFSET(A2030,2,0),A2029=" X-------------X",OFFSET(A2029,3,0),MATCH("  ..............",A2032:A2041,0)&gt;2,V2031),"-")</f>
        <v>-</v>
      </c>
      <c r="W2032" t="str">
        <f t="shared" ca="1" si="93"/>
        <v>-</v>
      </c>
      <c r="X2032" t="str">
        <f t="shared" ca="1" si="94"/>
        <v/>
      </c>
      <c r="Y2032" s="1" t="str">
        <f t="shared" ca="1" si="95"/>
        <v/>
      </c>
    </row>
    <row r="2033" spans="1:25" x14ac:dyDescent="0.25">
      <c r="A2033" t="s">
        <v>2956</v>
      </c>
      <c r="B2033" t="s">
        <v>2957</v>
      </c>
      <c r="C2033">
        <v>122.9</v>
      </c>
      <c r="D2033">
        <v>0</v>
      </c>
      <c r="E2033">
        <v>881.5</v>
      </c>
      <c r="F2033" t="s">
        <v>2958</v>
      </c>
      <c r="G2033">
        <v>983.2</v>
      </c>
      <c r="H2033">
        <v>31.8</v>
      </c>
      <c r="I2033" t="s">
        <v>1581</v>
      </c>
      <c r="J2033" t="s">
        <v>1581</v>
      </c>
      <c r="K2033" t="s">
        <v>1581</v>
      </c>
      <c r="L2033" t="s">
        <v>1581</v>
      </c>
      <c r="M2033" t="s">
        <v>1581</v>
      </c>
      <c r="N2033" t="s">
        <v>1581</v>
      </c>
      <c r="O2033" t="s">
        <v>1581</v>
      </c>
      <c r="P2033" t="s">
        <v>1581</v>
      </c>
      <c r="Q2033" t="s">
        <v>1581</v>
      </c>
      <c r="R2033" t="s">
        <v>1581</v>
      </c>
      <c r="S2033" t="s">
        <v>1581</v>
      </c>
      <c r="T2033" t="s">
        <v>1581</v>
      </c>
      <c r="U2033" t="s">
        <v>1581</v>
      </c>
      <c r="V2033" t="str" cm="1">
        <f t="array" aca="1" ref="V2033" ca="1">IFERROR(_xlfn.IFS(A2031="  ..............",OFFSET(A2031,2,0),A2030=" X-------------X",OFFSET(A2030,3,0),MATCH("  ..............",A2033:A2042,0)&gt;2,V2032),"-")</f>
        <v>-</v>
      </c>
      <c r="W2033" t="str">
        <f t="shared" ca="1" si="93"/>
        <v>-</v>
      </c>
      <c r="X2033" t="str">
        <f t="shared" ca="1" si="94"/>
        <v/>
      </c>
      <c r="Y2033" s="1" t="str">
        <f t="shared" ca="1" si="95"/>
        <v/>
      </c>
    </row>
    <row r="2034" spans="1:25" x14ac:dyDescent="0.25">
      <c r="A2034" t="s">
        <v>2959</v>
      </c>
      <c r="B2034" t="s">
        <v>2960</v>
      </c>
      <c r="C2034">
        <v>184.7</v>
      </c>
      <c r="D2034">
        <v>0</v>
      </c>
      <c r="E2034">
        <v>0</v>
      </c>
      <c r="F2034" t="s">
        <v>2961</v>
      </c>
      <c r="G2034">
        <v>382</v>
      </c>
      <c r="H2034">
        <v>-1.2</v>
      </c>
      <c r="I2034" t="s">
        <v>1581</v>
      </c>
      <c r="J2034" t="s">
        <v>1581</v>
      </c>
      <c r="K2034" t="s">
        <v>1581</v>
      </c>
      <c r="L2034" t="s">
        <v>1581</v>
      </c>
      <c r="M2034" t="s">
        <v>1581</v>
      </c>
      <c r="N2034" t="s">
        <v>1581</v>
      </c>
      <c r="O2034" t="s">
        <v>1581</v>
      </c>
      <c r="P2034" t="s">
        <v>1581</v>
      </c>
      <c r="Q2034" t="s">
        <v>1581</v>
      </c>
      <c r="R2034" t="s">
        <v>1581</v>
      </c>
      <c r="S2034" t="s">
        <v>1581</v>
      </c>
      <c r="T2034" t="s">
        <v>1581</v>
      </c>
      <c r="U2034" t="s">
        <v>1581</v>
      </c>
      <c r="V2034" t="str" cm="1">
        <f t="array" aca="1" ref="V2034" ca="1">IFERROR(_xlfn.IFS(A2032="  ..............",OFFSET(A2032,2,0),A2031=" X-------------X",OFFSET(A2031,3,0),MATCH("  ..............",A2034:A2043,0)&gt;2,V2033),"-")</f>
        <v>-</v>
      </c>
      <c r="W2034" t="str">
        <f t="shared" ca="1" si="93"/>
        <v>-</v>
      </c>
      <c r="X2034">
        <f t="shared" ca="1" si="94"/>
        <v>0</v>
      </c>
      <c r="Y2034" s="1" t="str">
        <f t="shared" ca="1" si="95"/>
        <v>-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B576-2298-455C-B51B-D11740CD8D9D}">
  <dimension ref="A1:D820"/>
  <sheetViews>
    <sheetView workbookViewId="0">
      <selection activeCell="A20" sqref="A20"/>
    </sheetView>
  </sheetViews>
  <sheetFormatPr defaultRowHeight="15" x14ac:dyDescent="0.25"/>
  <cols>
    <col min="1" max="1" width="17.42578125" bestFit="1" customWidth="1"/>
    <col min="2" max="2" width="10.42578125" style="2" bestFit="1" customWidth="1"/>
    <col min="3" max="3" width="16.42578125" bestFit="1" customWidth="1"/>
    <col min="4" max="4" width="12.28515625" style="3" bestFit="1" customWidth="1"/>
    <col min="5" max="5" width="10.28515625" customWidth="1"/>
  </cols>
  <sheetData>
    <row r="1" spans="1:4" x14ac:dyDescent="0.25">
      <c r="A1" t="s">
        <v>2963</v>
      </c>
      <c r="B1" s="4" t="s">
        <v>2964</v>
      </c>
      <c r="C1" t="s">
        <v>2965</v>
      </c>
      <c r="D1" s="4" t="s">
        <v>2966</v>
      </c>
    </row>
    <row r="2" spans="1:4" x14ac:dyDescent="0.25">
      <c r="A2" t="s">
        <v>1583</v>
      </c>
      <c r="B2" s="2">
        <v>1.0109999999999999</v>
      </c>
      <c r="C2" t="s">
        <v>1589</v>
      </c>
      <c r="D2" s="3">
        <v>0.13100000000000001</v>
      </c>
    </row>
    <row r="3" spans="1:4" x14ac:dyDescent="0.25">
      <c r="A3" t="s">
        <v>1583</v>
      </c>
      <c r="B3" s="2">
        <v>1.0109999999999999</v>
      </c>
      <c r="C3" t="s">
        <v>1589</v>
      </c>
      <c r="D3" s="3">
        <v>0.13100000000000001</v>
      </c>
    </row>
    <row r="4" spans="1:4" x14ac:dyDescent="0.25">
      <c r="A4" t="s">
        <v>1583</v>
      </c>
      <c r="B4" s="2">
        <v>1.0109999999999999</v>
      </c>
      <c r="C4" t="s">
        <v>1593</v>
      </c>
      <c r="D4" s="3">
        <v>6.7000000000000004E-2</v>
      </c>
    </row>
    <row r="5" spans="1:4" x14ac:dyDescent="0.25">
      <c r="A5" t="s">
        <v>1596</v>
      </c>
      <c r="B5" s="2">
        <v>1.016</v>
      </c>
      <c r="C5" t="s">
        <v>1597</v>
      </c>
      <c r="D5" s="3">
        <v>0.21099999999999999</v>
      </c>
    </row>
    <row r="6" spans="1:4" x14ac:dyDescent="0.25">
      <c r="A6" t="s">
        <v>1599</v>
      </c>
      <c r="B6" s="2">
        <v>1.0429999999999999</v>
      </c>
      <c r="C6" t="s">
        <v>1600</v>
      </c>
      <c r="D6" s="3">
        <v>0.20599999999999999</v>
      </c>
    </row>
    <row r="7" spans="1:4" x14ac:dyDescent="0.25">
      <c r="A7" t="s">
        <v>1599</v>
      </c>
      <c r="B7" s="2">
        <v>1.0429999999999999</v>
      </c>
      <c r="C7" t="s">
        <v>1602</v>
      </c>
      <c r="D7" s="3">
        <v>0.39100000000000001</v>
      </c>
    </row>
    <row r="8" spans="1:4" x14ac:dyDescent="0.25">
      <c r="A8" t="s">
        <v>1604</v>
      </c>
      <c r="B8" s="2">
        <v>0.998</v>
      </c>
      <c r="C8" t="s">
        <v>1605</v>
      </c>
      <c r="D8" s="3">
        <v>1.6E-2</v>
      </c>
    </row>
    <row r="9" spans="1:4" x14ac:dyDescent="0.25">
      <c r="A9" t="s">
        <v>1604</v>
      </c>
      <c r="B9" s="2">
        <v>0.998</v>
      </c>
      <c r="C9" t="s">
        <v>1606</v>
      </c>
      <c r="D9" s="3">
        <v>2.8000000000000001E-2</v>
      </c>
    </row>
    <row r="10" spans="1:4" x14ac:dyDescent="0.25">
      <c r="A10" t="s">
        <v>1604</v>
      </c>
      <c r="B10" s="2">
        <v>0.998</v>
      </c>
      <c r="C10" t="s">
        <v>1607</v>
      </c>
      <c r="D10" s="3">
        <v>1.7000000000000001E-2</v>
      </c>
    </row>
    <row r="11" spans="1:4" x14ac:dyDescent="0.25">
      <c r="A11" t="s">
        <v>1604</v>
      </c>
      <c r="B11" s="2">
        <v>0.998</v>
      </c>
      <c r="C11" t="s">
        <v>1609</v>
      </c>
      <c r="D11" s="3">
        <v>1.7000000000000001E-2</v>
      </c>
    </row>
    <row r="12" spans="1:4" x14ac:dyDescent="0.25">
      <c r="A12" t="s">
        <v>1611</v>
      </c>
      <c r="B12" s="2">
        <v>1.0069999999999999</v>
      </c>
      <c r="C12" t="s">
        <v>1612</v>
      </c>
      <c r="D12" s="3">
        <v>0.33700000000000002</v>
      </c>
    </row>
    <row r="13" spans="1:4" x14ac:dyDescent="0.25">
      <c r="A13" t="s">
        <v>1614</v>
      </c>
      <c r="B13" s="2">
        <v>1.04</v>
      </c>
      <c r="C13" t="s">
        <v>1597</v>
      </c>
      <c r="D13" s="3">
        <v>0.21099999999999999</v>
      </c>
    </row>
    <row r="14" spans="1:4" x14ac:dyDescent="0.25">
      <c r="A14" t="s">
        <v>1614</v>
      </c>
      <c r="B14" s="2">
        <v>1.04</v>
      </c>
      <c r="C14" t="s">
        <v>1615</v>
      </c>
      <c r="D14" s="3">
        <v>0.38500000000000001</v>
      </c>
    </row>
    <row r="15" spans="1:4" x14ac:dyDescent="0.25">
      <c r="A15" t="s">
        <v>1614</v>
      </c>
      <c r="B15" s="2">
        <v>1.04</v>
      </c>
      <c r="C15" t="s">
        <v>1616</v>
      </c>
      <c r="D15" s="3">
        <v>0.65400000000000003</v>
      </c>
    </row>
    <row r="16" spans="1:4" x14ac:dyDescent="0.25">
      <c r="A16" t="s">
        <v>1614</v>
      </c>
      <c r="B16" s="2">
        <v>1.04</v>
      </c>
      <c r="C16" t="s">
        <v>1618</v>
      </c>
      <c r="D16" s="3">
        <v>0.26400000000000001</v>
      </c>
    </row>
    <row r="17" spans="1:4" x14ac:dyDescent="0.25">
      <c r="A17" t="s">
        <v>1614</v>
      </c>
      <c r="B17" s="2">
        <v>1.04</v>
      </c>
      <c r="C17" t="s">
        <v>1620</v>
      </c>
      <c r="D17" s="3">
        <v>0.27700000000000002</v>
      </c>
    </row>
    <row r="18" spans="1:4" x14ac:dyDescent="0.25">
      <c r="A18" t="s">
        <v>1622</v>
      </c>
      <c r="B18" s="2">
        <v>0.96599999999999997</v>
      </c>
      <c r="C18" t="s">
        <v>1623</v>
      </c>
      <c r="D18" s="3">
        <v>0.43</v>
      </c>
    </row>
    <row r="19" spans="1:4" x14ac:dyDescent="0.25">
      <c r="A19" t="s">
        <v>1625</v>
      </c>
      <c r="B19" s="2">
        <v>1.0169999999999999</v>
      </c>
      <c r="C19" t="s">
        <v>1626</v>
      </c>
      <c r="D19" s="3">
        <v>0.128</v>
      </c>
    </row>
    <row r="20" spans="1:4" x14ac:dyDescent="0.25">
      <c r="A20" t="s">
        <v>1625</v>
      </c>
      <c r="B20" s="2">
        <v>1.0169999999999999</v>
      </c>
      <c r="C20" t="s">
        <v>1626</v>
      </c>
      <c r="D20" s="3">
        <v>0.128</v>
      </c>
    </row>
    <row r="21" spans="1:4" x14ac:dyDescent="0.25">
      <c r="A21" t="s">
        <v>1625</v>
      </c>
      <c r="B21" s="2">
        <v>1.0169999999999999</v>
      </c>
      <c r="C21" t="s">
        <v>1627</v>
      </c>
      <c r="D21" s="3">
        <v>0.45200000000000001</v>
      </c>
    </row>
    <row r="22" spans="1:4" x14ac:dyDescent="0.25">
      <c r="A22" t="s">
        <v>1629</v>
      </c>
      <c r="B22" s="2">
        <v>1.0049999999999999</v>
      </c>
      <c r="C22" t="s">
        <v>1630</v>
      </c>
      <c r="D22" s="3">
        <v>0.22800000000000001</v>
      </c>
    </row>
    <row r="23" spans="1:4" x14ac:dyDescent="0.25">
      <c r="A23" t="s">
        <v>1632</v>
      </c>
      <c r="B23" s="2">
        <v>1.0189999999999999</v>
      </c>
      <c r="C23" t="s">
        <v>1589</v>
      </c>
      <c r="D23" s="3">
        <v>0.13100000000000001</v>
      </c>
    </row>
    <row r="24" spans="1:4" x14ac:dyDescent="0.25">
      <c r="A24" t="s">
        <v>1632</v>
      </c>
      <c r="B24" s="2">
        <v>1.0189999999999999</v>
      </c>
      <c r="C24" t="s">
        <v>1633</v>
      </c>
      <c r="D24" s="3">
        <v>0.18099999999999999</v>
      </c>
    </row>
    <row r="25" spans="1:4" x14ac:dyDescent="0.25">
      <c r="A25" t="s">
        <v>1632</v>
      </c>
      <c r="B25" s="2">
        <v>1.0189999999999999</v>
      </c>
      <c r="C25" t="s">
        <v>1634</v>
      </c>
      <c r="D25" s="3">
        <v>0.185</v>
      </c>
    </row>
    <row r="26" spans="1:4" x14ac:dyDescent="0.25">
      <c r="A26" t="s">
        <v>1636</v>
      </c>
      <c r="B26" s="2">
        <v>1.008</v>
      </c>
      <c r="C26" t="s">
        <v>1640</v>
      </c>
      <c r="D26" s="3" t="s">
        <v>2962</v>
      </c>
    </row>
    <row r="27" spans="1:4" x14ac:dyDescent="0.25">
      <c r="A27" t="s">
        <v>1636</v>
      </c>
      <c r="B27" s="2">
        <v>1.008</v>
      </c>
      <c r="C27" t="s">
        <v>1641</v>
      </c>
      <c r="D27" s="3">
        <v>0.77200000000000002</v>
      </c>
    </row>
    <row r="28" spans="1:4" x14ac:dyDescent="0.25">
      <c r="A28" t="s">
        <v>1643</v>
      </c>
      <c r="B28" s="2">
        <v>1.012</v>
      </c>
      <c r="C28" t="s">
        <v>1644</v>
      </c>
      <c r="D28" s="3" t="s">
        <v>2962</v>
      </c>
    </row>
    <row r="29" spans="1:4" x14ac:dyDescent="0.25">
      <c r="A29" t="s">
        <v>1643</v>
      </c>
      <c r="B29" s="2">
        <v>1.012</v>
      </c>
      <c r="C29" t="s">
        <v>1645</v>
      </c>
      <c r="D29" s="3">
        <v>2E-3</v>
      </c>
    </row>
    <row r="30" spans="1:4" x14ac:dyDescent="0.25">
      <c r="A30" t="s">
        <v>1647</v>
      </c>
      <c r="B30" s="2">
        <v>1.0089999999999999</v>
      </c>
      <c r="C30" t="s">
        <v>1648</v>
      </c>
      <c r="D30" s="3">
        <v>0.33400000000000002</v>
      </c>
    </row>
    <row r="31" spans="1:4" x14ac:dyDescent="0.25">
      <c r="A31" t="s">
        <v>1647</v>
      </c>
      <c r="B31" s="2">
        <v>1.0089999999999999</v>
      </c>
      <c r="C31" t="s">
        <v>1649</v>
      </c>
      <c r="D31" s="3">
        <v>0.23899999999999999</v>
      </c>
    </row>
    <row r="32" spans="1:4" x14ac:dyDescent="0.25">
      <c r="A32" t="s">
        <v>1647</v>
      </c>
      <c r="B32" s="2">
        <v>1.0089999999999999</v>
      </c>
      <c r="C32" t="s">
        <v>1650</v>
      </c>
      <c r="D32" s="3">
        <v>0.23799999999999999</v>
      </c>
    </row>
    <row r="33" spans="1:4" x14ac:dyDescent="0.25">
      <c r="A33" t="s">
        <v>1652</v>
      </c>
      <c r="B33" s="2">
        <v>1.0209999999999999</v>
      </c>
      <c r="C33" t="s">
        <v>1653</v>
      </c>
      <c r="D33" s="3">
        <v>0.45</v>
      </c>
    </row>
    <row r="34" spans="1:4" x14ac:dyDescent="0.25">
      <c r="A34" t="s">
        <v>1652</v>
      </c>
      <c r="B34" s="2">
        <v>1.0209999999999999</v>
      </c>
      <c r="C34" t="s">
        <v>1654</v>
      </c>
      <c r="D34" s="3">
        <v>0.44800000000000001</v>
      </c>
    </row>
    <row r="35" spans="1:4" x14ac:dyDescent="0.25">
      <c r="A35" t="s">
        <v>1652</v>
      </c>
      <c r="B35" s="2">
        <v>1.0209999999999999</v>
      </c>
      <c r="C35" t="s">
        <v>1655</v>
      </c>
      <c r="D35" s="3">
        <v>0.46899999999999997</v>
      </c>
    </row>
    <row r="36" spans="1:4" x14ac:dyDescent="0.25">
      <c r="A36" t="s">
        <v>1657</v>
      </c>
      <c r="B36" s="2">
        <v>1.0169999999999999</v>
      </c>
      <c r="C36" t="s">
        <v>1658</v>
      </c>
      <c r="D36" s="3">
        <v>0.42499999999999999</v>
      </c>
    </row>
    <row r="37" spans="1:4" x14ac:dyDescent="0.25">
      <c r="A37" t="s">
        <v>1657</v>
      </c>
      <c r="B37" s="2">
        <v>1.0169999999999999</v>
      </c>
      <c r="C37" t="s">
        <v>1659</v>
      </c>
      <c r="D37" s="3">
        <v>0.77400000000000002</v>
      </c>
    </row>
    <row r="38" spans="1:4" x14ac:dyDescent="0.25">
      <c r="A38" t="s">
        <v>1657</v>
      </c>
      <c r="B38" s="2">
        <v>1.0169999999999999</v>
      </c>
      <c r="C38" t="s">
        <v>1660</v>
      </c>
      <c r="D38" s="3" t="s">
        <v>2962</v>
      </c>
    </row>
    <row r="39" spans="1:4" x14ac:dyDescent="0.25">
      <c r="A39" t="s">
        <v>1657</v>
      </c>
      <c r="B39" s="2">
        <v>1.0169999999999999</v>
      </c>
      <c r="C39" t="s">
        <v>1661</v>
      </c>
      <c r="D39" s="3">
        <v>0.41399999999999998</v>
      </c>
    </row>
    <row r="40" spans="1:4" x14ac:dyDescent="0.25">
      <c r="A40" t="s">
        <v>1657</v>
      </c>
      <c r="B40" s="2">
        <v>1.0169999999999999</v>
      </c>
      <c r="C40" t="s">
        <v>1662</v>
      </c>
      <c r="D40" s="3">
        <v>0.41699999999999998</v>
      </c>
    </row>
    <row r="41" spans="1:4" x14ac:dyDescent="0.25">
      <c r="A41" t="s">
        <v>1657</v>
      </c>
      <c r="B41" s="2">
        <v>1.0169999999999999</v>
      </c>
      <c r="C41" t="s">
        <v>1663</v>
      </c>
      <c r="D41" s="3">
        <v>0.41299999999999998</v>
      </c>
    </row>
    <row r="42" spans="1:4" x14ac:dyDescent="0.25">
      <c r="A42" t="s">
        <v>1665</v>
      </c>
      <c r="B42" s="2">
        <v>1.0109999999999999</v>
      </c>
      <c r="C42" t="s">
        <v>1640</v>
      </c>
      <c r="D42" s="3" t="s">
        <v>2962</v>
      </c>
    </row>
    <row r="43" spans="1:4" x14ac:dyDescent="0.25">
      <c r="A43" t="s">
        <v>1665</v>
      </c>
      <c r="B43" s="2">
        <v>1.0109999999999999</v>
      </c>
      <c r="C43" t="s">
        <v>1666</v>
      </c>
      <c r="D43" s="3" t="s">
        <v>2962</v>
      </c>
    </row>
    <row r="44" spans="1:4" x14ac:dyDescent="0.25">
      <c r="A44" t="s">
        <v>1665</v>
      </c>
      <c r="B44" s="2">
        <v>1.0109999999999999</v>
      </c>
      <c r="C44" t="s">
        <v>1667</v>
      </c>
      <c r="D44" s="3">
        <v>0.67300000000000004</v>
      </c>
    </row>
    <row r="45" spans="1:4" x14ac:dyDescent="0.25">
      <c r="A45" t="s">
        <v>1665</v>
      </c>
      <c r="B45" s="2">
        <v>1.0109999999999999</v>
      </c>
      <c r="C45" t="s">
        <v>1669</v>
      </c>
      <c r="D45" s="3">
        <v>9.7000000000000003E-2</v>
      </c>
    </row>
    <row r="46" spans="1:4" x14ac:dyDescent="0.25">
      <c r="A46" t="s">
        <v>1665</v>
      </c>
      <c r="B46" s="2">
        <v>1.0109999999999999</v>
      </c>
      <c r="C46" t="s">
        <v>1670</v>
      </c>
      <c r="D46" s="3">
        <v>0.30199999999999999</v>
      </c>
    </row>
    <row r="47" spans="1:4" x14ac:dyDescent="0.25">
      <c r="A47" t="s">
        <v>1665</v>
      </c>
      <c r="B47" s="2">
        <v>1.0109999999999999</v>
      </c>
      <c r="C47" t="s">
        <v>1671</v>
      </c>
      <c r="D47" s="3">
        <v>0.184</v>
      </c>
    </row>
    <row r="48" spans="1:4" x14ac:dyDescent="0.25">
      <c r="A48" t="s">
        <v>1665</v>
      </c>
      <c r="B48" s="2">
        <v>1.0109999999999999</v>
      </c>
      <c r="C48" t="s">
        <v>1672</v>
      </c>
      <c r="D48" s="3">
        <v>0.184</v>
      </c>
    </row>
    <row r="49" spans="1:4" x14ac:dyDescent="0.25">
      <c r="A49" t="s">
        <v>1674</v>
      </c>
      <c r="B49" s="2">
        <v>1.0169999999999999</v>
      </c>
      <c r="C49" t="s">
        <v>1675</v>
      </c>
      <c r="D49" s="3">
        <v>0.312</v>
      </c>
    </row>
    <row r="50" spans="1:4" x14ac:dyDescent="0.25">
      <c r="A50" t="s">
        <v>1674</v>
      </c>
      <c r="B50" s="2">
        <v>1.0169999999999999</v>
      </c>
      <c r="C50" t="s">
        <v>1676</v>
      </c>
      <c r="D50" s="3">
        <v>0.315</v>
      </c>
    </row>
    <row r="51" spans="1:4" x14ac:dyDescent="0.25">
      <c r="A51" t="s">
        <v>1678</v>
      </c>
      <c r="B51" s="2">
        <v>1.026</v>
      </c>
      <c r="C51" t="s">
        <v>1679</v>
      </c>
      <c r="D51" s="3">
        <v>0.51600000000000001</v>
      </c>
    </row>
    <row r="52" spans="1:4" x14ac:dyDescent="0.25">
      <c r="A52" t="s">
        <v>1678</v>
      </c>
      <c r="B52" s="2">
        <v>1.026</v>
      </c>
      <c r="C52" t="s">
        <v>1680</v>
      </c>
      <c r="D52" s="3">
        <v>0.19700000000000001</v>
      </c>
    </row>
    <row r="53" spans="1:4" x14ac:dyDescent="0.25">
      <c r="A53" t="s">
        <v>1678</v>
      </c>
      <c r="B53" s="2">
        <v>1.026</v>
      </c>
      <c r="C53" t="s">
        <v>1681</v>
      </c>
      <c r="D53" s="3">
        <v>0.40300000000000002</v>
      </c>
    </row>
    <row r="54" spans="1:4" x14ac:dyDescent="0.25">
      <c r="A54" t="s">
        <v>1678</v>
      </c>
      <c r="B54" s="2">
        <v>1.026</v>
      </c>
      <c r="C54" t="s">
        <v>1682</v>
      </c>
      <c r="D54" s="3">
        <v>0.39700000000000002</v>
      </c>
    </row>
    <row r="55" spans="1:4" x14ac:dyDescent="0.25">
      <c r="A55" t="s">
        <v>1678</v>
      </c>
      <c r="B55" s="2">
        <v>1.026</v>
      </c>
      <c r="C55" t="s">
        <v>1683</v>
      </c>
      <c r="D55" s="3">
        <v>0.373</v>
      </c>
    </row>
    <row r="56" spans="1:4" x14ac:dyDescent="0.25">
      <c r="A56" t="s">
        <v>1685</v>
      </c>
      <c r="B56" s="2">
        <v>1.03</v>
      </c>
      <c r="C56" t="s">
        <v>1686</v>
      </c>
      <c r="D56" s="3">
        <v>0.17199999999999999</v>
      </c>
    </row>
    <row r="57" spans="1:4" x14ac:dyDescent="0.25">
      <c r="A57" t="s">
        <v>1685</v>
      </c>
      <c r="B57" s="2">
        <v>1.03</v>
      </c>
      <c r="C57" t="s">
        <v>1660</v>
      </c>
      <c r="D57" s="3" t="s">
        <v>2962</v>
      </c>
    </row>
    <row r="58" spans="1:4" x14ac:dyDescent="0.25">
      <c r="A58" t="s">
        <v>1688</v>
      </c>
      <c r="B58" s="2">
        <v>1.024</v>
      </c>
      <c r="C58" t="s">
        <v>1689</v>
      </c>
      <c r="D58" s="3">
        <v>0.47199999999999998</v>
      </c>
    </row>
    <row r="59" spans="1:4" x14ac:dyDescent="0.25">
      <c r="A59" t="s">
        <v>1688</v>
      </c>
      <c r="B59" s="2">
        <v>1.024</v>
      </c>
      <c r="C59" t="s">
        <v>1689</v>
      </c>
      <c r="D59" s="3">
        <v>0.47199999999999998</v>
      </c>
    </row>
    <row r="60" spans="1:4" x14ac:dyDescent="0.25">
      <c r="A60" t="s">
        <v>1688</v>
      </c>
      <c r="B60" s="2">
        <v>1.024</v>
      </c>
      <c r="C60" t="s">
        <v>1690</v>
      </c>
      <c r="D60" s="3">
        <v>0.40200000000000002</v>
      </c>
    </row>
    <row r="61" spans="1:4" x14ac:dyDescent="0.25">
      <c r="A61" t="s">
        <v>1688</v>
      </c>
      <c r="B61" s="2">
        <v>1.024</v>
      </c>
      <c r="C61" t="s">
        <v>1691</v>
      </c>
      <c r="D61" s="3">
        <v>0.21299999999999999</v>
      </c>
    </row>
    <row r="62" spans="1:4" x14ac:dyDescent="0.25">
      <c r="A62" t="s">
        <v>1688</v>
      </c>
      <c r="B62" s="2">
        <v>1.024</v>
      </c>
      <c r="C62" t="s">
        <v>1692</v>
      </c>
      <c r="D62" s="3">
        <v>0.161</v>
      </c>
    </row>
    <row r="63" spans="1:4" x14ac:dyDescent="0.25">
      <c r="A63" t="s">
        <v>1688</v>
      </c>
      <c r="B63" s="2">
        <v>1.024</v>
      </c>
      <c r="C63" t="s">
        <v>1693</v>
      </c>
      <c r="D63" s="3">
        <v>0.35199999999999998</v>
      </c>
    </row>
    <row r="64" spans="1:4" x14ac:dyDescent="0.25">
      <c r="A64" t="s">
        <v>1688</v>
      </c>
      <c r="B64" s="2">
        <v>1.024</v>
      </c>
      <c r="C64" t="s">
        <v>1694</v>
      </c>
      <c r="D64" s="3">
        <v>0.36599999999999999</v>
      </c>
    </row>
    <row r="65" spans="1:4" x14ac:dyDescent="0.25">
      <c r="A65" t="s">
        <v>1696</v>
      </c>
      <c r="B65" s="2">
        <v>1.0349999999999999</v>
      </c>
      <c r="C65" t="s">
        <v>1697</v>
      </c>
      <c r="D65" s="3">
        <v>0</v>
      </c>
    </row>
    <row r="66" spans="1:4" x14ac:dyDescent="0.25">
      <c r="A66" t="s">
        <v>1699</v>
      </c>
      <c r="B66" s="2">
        <v>1.026</v>
      </c>
      <c r="C66" t="s">
        <v>1700</v>
      </c>
      <c r="D66" s="3">
        <v>0.114</v>
      </c>
    </row>
    <row r="67" spans="1:4" x14ac:dyDescent="0.25">
      <c r="A67" t="s">
        <v>1699</v>
      </c>
      <c r="B67" s="2">
        <v>1.026</v>
      </c>
      <c r="C67" t="s">
        <v>1701</v>
      </c>
      <c r="D67" s="3">
        <v>0.627</v>
      </c>
    </row>
    <row r="68" spans="1:4" x14ac:dyDescent="0.25">
      <c r="A68" t="s">
        <v>1699</v>
      </c>
      <c r="B68" s="2">
        <v>1.026</v>
      </c>
      <c r="C68" t="s">
        <v>1702</v>
      </c>
      <c r="D68" s="3">
        <v>0.62</v>
      </c>
    </row>
    <row r="69" spans="1:4" x14ac:dyDescent="0.25">
      <c r="A69" t="s">
        <v>1699</v>
      </c>
      <c r="B69" s="2">
        <v>1.026</v>
      </c>
      <c r="C69" t="s">
        <v>1703</v>
      </c>
      <c r="D69" s="3">
        <v>0.64200000000000002</v>
      </c>
    </row>
    <row r="70" spans="1:4" x14ac:dyDescent="0.25">
      <c r="A70" t="s">
        <v>1705</v>
      </c>
      <c r="B70" s="2">
        <v>1.0229999999999999</v>
      </c>
      <c r="C70" t="s">
        <v>1706</v>
      </c>
      <c r="D70" s="3">
        <v>0.4</v>
      </c>
    </row>
    <row r="71" spans="1:4" x14ac:dyDescent="0.25">
      <c r="A71" t="s">
        <v>1705</v>
      </c>
      <c r="B71" s="2">
        <v>1.0229999999999999</v>
      </c>
      <c r="C71" t="s">
        <v>1697</v>
      </c>
      <c r="D71" s="3">
        <v>0</v>
      </c>
    </row>
    <row r="72" spans="1:4" x14ac:dyDescent="0.25">
      <c r="A72" t="s">
        <v>1705</v>
      </c>
      <c r="B72" s="2">
        <v>1.0229999999999999</v>
      </c>
      <c r="C72" t="s">
        <v>1709</v>
      </c>
      <c r="D72" s="3">
        <v>0.20200000000000001</v>
      </c>
    </row>
    <row r="73" spans="1:4" x14ac:dyDescent="0.25">
      <c r="A73" t="s">
        <v>1705</v>
      </c>
      <c r="B73" s="2">
        <v>1.0229999999999999</v>
      </c>
      <c r="C73" t="s">
        <v>1709</v>
      </c>
      <c r="D73" s="3">
        <v>0.20200000000000001</v>
      </c>
    </row>
    <row r="74" spans="1:4" x14ac:dyDescent="0.25">
      <c r="A74" t="s">
        <v>1705</v>
      </c>
      <c r="B74" s="2">
        <v>1.0229999999999999</v>
      </c>
      <c r="C74" t="s">
        <v>1710</v>
      </c>
      <c r="D74" s="3">
        <v>0.187</v>
      </c>
    </row>
    <row r="75" spans="1:4" x14ac:dyDescent="0.25">
      <c r="A75" t="s">
        <v>1705</v>
      </c>
      <c r="B75" s="2">
        <v>1.0229999999999999</v>
      </c>
      <c r="C75" t="s">
        <v>1711</v>
      </c>
      <c r="D75" s="3">
        <v>9.9000000000000005E-2</v>
      </c>
    </row>
    <row r="76" spans="1:4" x14ac:dyDescent="0.25">
      <c r="A76" t="s">
        <v>1705</v>
      </c>
      <c r="B76" s="2">
        <v>1.0229999999999999</v>
      </c>
      <c r="C76" t="s">
        <v>1712</v>
      </c>
      <c r="D76" s="3">
        <v>0.307</v>
      </c>
    </row>
    <row r="77" spans="1:4" x14ac:dyDescent="0.25">
      <c r="A77" t="s">
        <v>1714</v>
      </c>
      <c r="B77" s="2">
        <v>1.018</v>
      </c>
      <c r="C77" t="s">
        <v>1715</v>
      </c>
      <c r="D77" s="3">
        <v>0.18099999999999999</v>
      </c>
    </row>
    <row r="78" spans="1:4" x14ac:dyDescent="0.25">
      <c r="A78" t="s">
        <v>1714</v>
      </c>
      <c r="B78" s="2">
        <v>1.018</v>
      </c>
      <c r="C78" t="s">
        <v>1716</v>
      </c>
      <c r="D78" s="3">
        <v>0.14599999999999999</v>
      </c>
    </row>
    <row r="79" spans="1:4" x14ac:dyDescent="0.25">
      <c r="A79" t="s">
        <v>1718</v>
      </c>
      <c r="B79" s="2">
        <v>1.0349999999999999</v>
      </c>
      <c r="C79" t="s">
        <v>1719</v>
      </c>
      <c r="D79" s="3">
        <v>0</v>
      </c>
    </row>
    <row r="80" spans="1:4" x14ac:dyDescent="0.25">
      <c r="A80" t="s">
        <v>1718</v>
      </c>
      <c r="B80" s="2">
        <v>1.0349999999999999</v>
      </c>
      <c r="C80" t="s">
        <v>1623</v>
      </c>
      <c r="D80" s="3">
        <v>0.43</v>
      </c>
    </row>
    <row r="81" spans="1:4" x14ac:dyDescent="0.25">
      <c r="A81" t="s">
        <v>1718</v>
      </c>
      <c r="B81" s="2">
        <v>1.0349999999999999</v>
      </c>
      <c r="C81" t="s">
        <v>1720</v>
      </c>
      <c r="D81" s="3">
        <v>0</v>
      </c>
    </row>
    <row r="82" spans="1:4" x14ac:dyDescent="0.25">
      <c r="A82" t="s">
        <v>1722</v>
      </c>
      <c r="B82" s="2">
        <v>1.0449999999999999</v>
      </c>
      <c r="C82" t="s">
        <v>1723</v>
      </c>
      <c r="D82" s="3" t="s">
        <v>2962</v>
      </c>
    </row>
    <row r="83" spans="1:4" x14ac:dyDescent="0.25">
      <c r="A83" t="s">
        <v>1722</v>
      </c>
      <c r="B83" s="2">
        <v>1.0449999999999999</v>
      </c>
      <c r="C83" t="s">
        <v>1724</v>
      </c>
      <c r="D83" s="3">
        <v>0.17199999999999999</v>
      </c>
    </row>
    <row r="84" spans="1:4" x14ac:dyDescent="0.25">
      <c r="A84" t="s">
        <v>1822</v>
      </c>
      <c r="B84" s="2">
        <v>1.02</v>
      </c>
      <c r="C84" t="s">
        <v>1823</v>
      </c>
      <c r="D84" s="3">
        <v>0.379</v>
      </c>
    </row>
    <row r="85" spans="1:4" x14ac:dyDescent="0.25">
      <c r="A85" t="s">
        <v>1822</v>
      </c>
      <c r="B85" s="2">
        <v>1.02</v>
      </c>
      <c r="C85" t="s">
        <v>1824</v>
      </c>
      <c r="D85" s="3">
        <v>0.373</v>
      </c>
    </row>
    <row r="86" spans="1:4" x14ac:dyDescent="0.25">
      <c r="A86" t="s">
        <v>1822</v>
      </c>
      <c r="B86" s="2">
        <v>1.02</v>
      </c>
      <c r="C86" t="s">
        <v>1825</v>
      </c>
      <c r="D86" s="3">
        <v>0.09</v>
      </c>
    </row>
    <row r="87" spans="1:4" x14ac:dyDescent="0.25">
      <c r="A87" t="s">
        <v>1822</v>
      </c>
      <c r="B87" s="2">
        <v>1.02</v>
      </c>
      <c r="C87" t="s">
        <v>1826</v>
      </c>
      <c r="D87" s="3">
        <v>0.09</v>
      </c>
    </row>
    <row r="88" spans="1:4" x14ac:dyDescent="0.25">
      <c r="A88" t="s">
        <v>1828</v>
      </c>
      <c r="B88" s="2">
        <v>1.018</v>
      </c>
      <c r="C88" t="s">
        <v>1829</v>
      </c>
      <c r="D88" s="3">
        <v>0.309</v>
      </c>
    </row>
    <row r="89" spans="1:4" x14ac:dyDescent="0.25">
      <c r="A89" t="s">
        <v>1828</v>
      </c>
      <c r="B89" s="2">
        <v>1.018</v>
      </c>
      <c r="C89" t="s">
        <v>1830</v>
      </c>
      <c r="D89" s="3">
        <v>0.26200000000000001</v>
      </c>
    </row>
    <row r="90" spans="1:4" x14ac:dyDescent="0.25">
      <c r="A90" t="s">
        <v>1832</v>
      </c>
      <c r="B90" s="2">
        <v>0.998</v>
      </c>
      <c r="C90" t="s">
        <v>1833</v>
      </c>
      <c r="D90" s="3">
        <v>8.9999999999999993E-3</v>
      </c>
    </row>
    <row r="91" spans="1:4" x14ac:dyDescent="0.25">
      <c r="A91" t="s">
        <v>1832</v>
      </c>
      <c r="B91" s="2">
        <v>0.998</v>
      </c>
      <c r="C91" t="s">
        <v>1834</v>
      </c>
      <c r="D91" s="3">
        <v>0.11</v>
      </c>
    </row>
    <row r="92" spans="1:4" x14ac:dyDescent="0.25">
      <c r="A92" t="s">
        <v>1836</v>
      </c>
      <c r="B92" s="2">
        <v>1.006</v>
      </c>
      <c r="C92" t="s">
        <v>1837</v>
      </c>
      <c r="D92" s="3" t="s">
        <v>2962</v>
      </c>
    </row>
    <row r="93" spans="1:4" x14ac:dyDescent="0.25">
      <c r="A93" t="s">
        <v>1836</v>
      </c>
      <c r="B93" s="2">
        <v>1.006</v>
      </c>
      <c r="C93" t="s">
        <v>1839</v>
      </c>
      <c r="D93" s="3">
        <v>0.249</v>
      </c>
    </row>
    <row r="94" spans="1:4" x14ac:dyDescent="0.25">
      <c r="A94" t="s">
        <v>1836</v>
      </c>
      <c r="B94" s="2">
        <v>1.006</v>
      </c>
      <c r="C94" t="s">
        <v>1840</v>
      </c>
      <c r="D94" s="3">
        <v>0.14699999999999999</v>
      </c>
    </row>
    <row r="95" spans="1:4" x14ac:dyDescent="0.25">
      <c r="A95" t="s">
        <v>1836</v>
      </c>
      <c r="B95" s="2">
        <v>1.006</v>
      </c>
      <c r="C95" t="s">
        <v>1841</v>
      </c>
      <c r="D95" s="3">
        <v>0.14599999999999999</v>
      </c>
    </row>
    <row r="96" spans="1:4" x14ac:dyDescent="0.25">
      <c r="A96" t="s">
        <v>1836</v>
      </c>
      <c r="B96" s="2">
        <v>1.006</v>
      </c>
      <c r="C96" t="s">
        <v>1842</v>
      </c>
      <c r="D96" s="3">
        <v>0.14699999999999999</v>
      </c>
    </row>
    <row r="97" spans="1:4" x14ac:dyDescent="0.25">
      <c r="A97" t="s">
        <v>1844</v>
      </c>
      <c r="B97" s="2">
        <v>0.998</v>
      </c>
      <c r="C97" t="s">
        <v>1845</v>
      </c>
      <c r="D97" s="3">
        <v>7.0000000000000007E-2</v>
      </c>
    </row>
    <row r="98" spans="1:4" x14ac:dyDescent="0.25">
      <c r="A98" t="s">
        <v>1847</v>
      </c>
      <c r="B98" s="2">
        <v>1.0069999999999999</v>
      </c>
      <c r="C98" t="s">
        <v>1848</v>
      </c>
      <c r="D98" s="3">
        <v>0.109</v>
      </c>
    </row>
    <row r="99" spans="1:4" x14ac:dyDescent="0.25">
      <c r="A99" t="s">
        <v>1847</v>
      </c>
      <c r="B99" s="2">
        <v>1.0069999999999999</v>
      </c>
      <c r="C99" t="s">
        <v>1848</v>
      </c>
      <c r="D99" s="3">
        <v>0.109</v>
      </c>
    </row>
    <row r="100" spans="1:4" x14ac:dyDescent="0.25">
      <c r="A100" t="s">
        <v>1847</v>
      </c>
      <c r="B100" s="2">
        <v>1.0069999999999999</v>
      </c>
      <c r="C100" t="s">
        <v>1850</v>
      </c>
      <c r="D100" s="3">
        <v>0.13</v>
      </c>
    </row>
    <row r="101" spans="1:4" x14ac:dyDescent="0.25">
      <c r="A101" t="s">
        <v>1847</v>
      </c>
      <c r="B101" s="2">
        <v>1.0069999999999999</v>
      </c>
      <c r="C101" t="s">
        <v>1851</v>
      </c>
      <c r="D101" s="3">
        <v>0.127</v>
      </c>
    </row>
    <row r="102" spans="1:4" x14ac:dyDescent="0.25">
      <c r="A102" t="s">
        <v>1847</v>
      </c>
      <c r="B102" s="2">
        <v>1.0069999999999999</v>
      </c>
      <c r="C102" t="s">
        <v>1852</v>
      </c>
      <c r="D102" s="3">
        <v>0.13600000000000001</v>
      </c>
    </row>
    <row r="103" spans="1:4" x14ac:dyDescent="0.25">
      <c r="A103" t="s">
        <v>1854</v>
      </c>
      <c r="B103" s="2">
        <v>1.0069999999999999</v>
      </c>
      <c r="C103" t="s">
        <v>1855</v>
      </c>
      <c r="D103" s="3">
        <v>0.308</v>
      </c>
    </row>
    <row r="104" spans="1:4" x14ac:dyDescent="0.25">
      <c r="A104" t="s">
        <v>1857</v>
      </c>
      <c r="B104" s="2">
        <v>1.0089999999999999</v>
      </c>
      <c r="C104" t="s">
        <v>1858</v>
      </c>
      <c r="D104" s="3" t="s">
        <v>2962</v>
      </c>
    </row>
    <row r="105" spans="1:4" x14ac:dyDescent="0.25">
      <c r="A105" t="s">
        <v>1857</v>
      </c>
      <c r="B105" s="2">
        <v>1.0089999999999999</v>
      </c>
      <c r="C105" t="s">
        <v>1630</v>
      </c>
      <c r="D105" s="3">
        <v>0.22800000000000001</v>
      </c>
    </row>
    <row r="106" spans="1:4" x14ac:dyDescent="0.25">
      <c r="A106" t="s">
        <v>1860</v>
      </c>
      <c r="B106" s="2">
        <v>1.0209999999999999</v>
      </c>
      <c r="C106" t="s">
        <v>1623</v>
      </c>
      <c r="D106" s="3">
        <v>0.43</v>
      </c>
    </row>
    <row r="107" spans="1:4" x14ac:dyDescent="0.25">
      <c r="A107" t="s">
        <v>1860</v>
      </c>
      <c r="B107" s="2">
        <v>1.0209999999999999</v>
      </c>
      <c r="C107" t="s">
        <v>1623</v>
      </c>
      <c r="D107" s="3">
        <v>0.43</v>
      </c>
    </row>
    <row r="108" spans="1:4" x14ac:dyDescent="0.25">
      <c r="A108" t="s">
        <v>1860</v>
      </c>
      <c r="B108" s="2">
        <v>1.0209999999999999</v>
      </c>
      <c r="C108" t="s">
        <v>1861</v>
      </c>
      <c r="D108" s="3">
        <v>0.126</v>
      </c>
    </row>
    <row r="109" spans="1:4" x14ac:dyDescent="0.25">
      <c r="A109" t="s">
        <v>1860</v>
      </c>
      <c r="B109" s="2">
        <v>1.0209999999999999</v>
      </c>
      <c r="C109" t="s">
        <v>1863</v>
      </c>
      <c r="D109" s="3">
        <v>0.13300000000000001</v>
      </c>
    </row>
    <row r="110" spans="1:4" x14ac:dyDescent="0.25">
      <c r="A110" t="s">
        <v>1865</v>
      </c>
      <c r="B110" s="2">
        <v>0.999</v>
      </c>
      <c r="C110" t="s">
        <v>1866</v>
      </c>
      <c r="D110" s="3" t="s">
        <v>2962</v>
      </c>
    </row>
    <row r="111" spans="1:4" x14ac:dyDescent="0.25">
      <c r="A111" t="s">
        <v>1865</v>
      </c>
      <c r="B111" s="2">
        <v>0.999</v>
      </c>
      <c r="C111" t="s">
        <v>1606</v>
      </c>
      <c r="D111" s="3">
        <v>2.8000000000000001E-2</v>
      </c>
    </row>
    <row r="112" spans="1:4" x14ac:dyDescent="0.25">
      <c r="A112" t="s">
        <v>1868</v>
      </c>
      <c r="B112" s="2">
        <v>1.0269999999999999</v>
      </c>
      <c r="C112" t="s">
        <v>1869</v>
      </c>
      <c r="D112" s="3">
        <v>0.312</v>
      </c>
    </row>
    <row r="113" spans="1:4" x14ac:dyDescent="0.25">
      <c r="A113" t="s">
        <v>1868</v>
      </c>
      <c r="B113" s="2">
        <v>1.0269999999999999</v>
      </c>
      <c r="C113" t="s">
        <v>1870</v>
      </c>
      <c r="D113" s="3">
        <v>0.38500000000000001</v>
      </c>
    </row>
    <row r="114" spans="1:4" x14ac:dyDescent="0.25">
      <c r="A114" t="s">
        <v>1868</v>
      </c>
      <c r="B114" s="2">
        <v>1.0269999999999999</v>
      </c>
      <c r="C114" t="s">
        <v>1870</v>
      </c>
      <c r="D114" s="3">
        <v>0.38500000000000001</v>
      </c>
    </row>
    <row r="115" spans="1:4" x14ac:dyDescent="0.25">
      <c r="A115" t="s">
        <v>1868</v>
      </c>
      <c r="B115" s="2">
        <v>1.0269999999999999</v>
      </c>
      <c r="C115" t="s">
        <v>1872</v>
      </c>
      <c r="D115" s="3">
        <v>0.34899999999999998</v>
      </c>
    </row>
    <row r="116" spans="1:4" x14ac:dyDescent="0.25">
      <c r="A116" t="s">
        <v>1868</v>
      </c>
      <c r="B116" s="2">
        <v>1.0269999999999999</v>
      </c>
      <c r="C116" t="s">
        <v>1873</v>
      </c>
      <c r="D116" s="3">
        <v>0.34699999999999998</v>
      </c>
    </row>
    <row r="117" spans="1:4" x14ac:dyDescent="0.25">
      <c r="A117" t="s">
        <v>1875</v>
      </c>
      <c r="B117" s="2">
        <v>1.018</v>
      </c>
      <c r="C117" t="s">
        <v>1876</v>
      </c>
      <c r="D117" s="3">
        <v>0.31</v>
      </c>
    </row>
    <row r="118" spans="1:4" x14ac:dyDescent="0.25">
      <c r="A118" t="s">
        <v>1875</v>
      </c>
      <c r="B118" s="2">
        <v>1.018</v>
      </c>
      <c r="C118" t="s">
        <v>1877</v>
      </c>
      <c r="D118" s="3">
        <v>0.36</v>
      </c>
    </row>
    <row r="119" spans="1:4" x14ac:dyDescent="0.25">
      <c r="A119" t="s">
        <v>1879</v>
      </c>
      <c r="B119" s="2">
        <v>1.0069999999999999</v>
      </c>
      <c r="C119" t="s">
        <v>1880</v>
      </c>
      <c r="D119" s="3">
        <v>0.23200000000000001</v>
      </c>
    </row>
    <row r="120" spans="1:4" x14ac:dyDescent="0.25">
      <c r="A120" t="s">
        <v>1879</v>
      </c>
      <c r="B120" s="2">
        <v>1.0069999999999999</v>
      </c>
      <c r="C120" t="s">
        <v>1880</v>
      </c>
      <c r="D120" s="3">
        <v>0.23200000000000001</v>
      </c>
    </row>
    <row r="121" spans="1:4" x14ac:dyDescent="0.25">
      <c r="A121" t="s">
        <v>1879</v>
      </c>
      <c r="B121" s="2">
        <v>1.0069999999999999</v>
      </c>
      <c r="C121" t="s">
        <v>1882</v>
      </c>
      <c r="D121" s="3">
        <v>0.14299999999999999</v>
      </c>
    </row>
    <row r="122" spans="1:4" x14ac:dyDescent="0.25">
      <c r="A122" t="s">
        <v>1879</v>
      </c>
      <c r="B122" s="2">
        <v>1.0069999999999999</v>
      </c>
      <c r="C122" t="s">
        <v>1883</v>
      </c>
      <c r="D122" s="3">
        <v>0.14199999999999999</v>
      </c>
    </row>
    <row r="123" spans="1:4" x14ac:dyDescent="0.25">
      <c r="A123" t="s">
        <v>1879</v>
      </c>
      <c r="B123" s="2">
        <v>1.0069999999999999</v>
      </c>
      <c r="C123" t="s">
        <v>1884</v>
      </c>
      <c r="D123" s="3">
        <v>0.13900000000000001</v>
      </c>
    </row>
    <row r="124" spans="1:4" x14ac:dyDescent="0.25">
      <c r="A124" t="s">
        <v>1886</v>
      </c>
      <c r="B124" s="2">
        <v>1.0189999999999999</v>
      </c>
      <c r="C124" t="s">
        <v>1829</v>
      </c>
      <c r="D124" s="3">
        <v>0.309</v>
      </c>
    </row>
    <row r="125" spans="1:4" x14ac:dyDescent="0.25">
      <c r="A125" t="s">
        <v>1886</v>
      </c>
      <c r="B125" s="2">
        <v>1.0189999999999999</v>
      </c>
      <c r="C125" t="s">
        <v>1715</v>
      </c>
      <c r="D125" s="3">
        <v>0.18099999999999999</v>
      </c>
    </row>
    <row r="126" spans="1:4" x14ac:dyDescent="0.25">
      <c r="A126" t="s">
        <v>1886</v>
      </c>
      <c r="B126" s="2">
        <v>1.0189999999999999</v>
      </c>
      <c r="C126" t="s">
        <v>1887</v>
      </c>
      <c r="D126" s="3">
        <v>5.3999999999999999E-2</v>
      </c>
    </row>
    <row r="127" spans="1:4" x14ac:dyDescent="0.25">
      <c r="A127" t="s">
        <v>1886</v>
      </c>
      <c r="B127" s="2">
        <v>1.0189999999999999</v>
      </c>
      <c r="C127" t="s">
        <v>1887</v>
      </c>
      <c r="D127" s="3">
        <v>5.3999999999999999E-2</v>
      </c>
    </row>
    <row r="128" spans="1:4" x14ac:dyDescent="0.25">
      <c r="A128" t="s">
        <v>1886</v>
      </c>
      <c r="B128" s="2">
        <v>1.0189999999999999</v>
      </c>
      <c r="C128" t="s">
        <v>1888</v>
      </c>
      <c r="D128" s="3">
        <v>0.34100000000000003</v>
      </c>
    </row>
    <row r="129" spans="1:4" x14ac:dyDescent="0.25">
      <c r="A129" t="s">
        <v>1886</v>
      </c>
      <c r="B129" s="2">
        <v>1.0189999999999999</v>
      </c>
      <c r="C129" t="s">
        <v>1889</v>
      </c>
      <c r="D129" s="3">
        <v>0.27200000000000002</v>
      </c>
    </row>
    <row r="130" spans="1:4" x14ac:dyDescent="0.25">
      <c r="A130" t="s">
        <v>1886</v>
      </c>
      <c r="B130" s="2">
        <v>1.0189999999999999</v>
      </c>
      <c r="C130" t="s">
        <v>1890</v>
      </c>
      <c r="D130" s="3">
        <v>0.27200000000000002</v>
      </c>
    </row>
    <row r="131" spans="1:4" x14ac:dyDescent="0.25">
      <c r="A131" t="s">
        <v>1892</v>
      </c>
      <c r="B131" s="2">
        <v>1.0169999999999999</v>
      </c>
      <c r="C131" t="s">
        <v>1893</v>
      </c>
      <c r="D131" s="3">
        <v>0.185</v>
      </c>
    </row>
    <row r="132" spans="1:4" x14ac:dyDescent="0.25">
      <c r="A132" t="s">
        <v>1892</v>
      </c>
      <c r="B132" s="2">
        <v>1.0169999999999999</v>
      </c>
      <c r="C132" t="s">
        <v>1894</v>
      </c>
      <c r="D132" s="3" t="s">
        <v>2962</v>
      </c>
    </row>
    <row r="133" spans="1:4" x14ac:dyDescent="0.25">
      <c r="A133" t="s">
        <v>1892</v>
      </c>
      <c r="B133" s="2">
        <v>1.0169999999999999</v>
      </c>
      <c r="C133" t="s">
        <v>1895</v>
      </c>
      <c r="D133" s="3">
        <v>0.33700000000000002</v>
      </c>
    </row>
    <row r="134" spans="1:4" x14ac:dyDescent="0.25">
      <c r="A134" t="s">
        <v>1892</v>
      </c>
      <c r="B134" s="2">
        <v>1.0169999999999999</v>
      </c>
      <c r="C134" t="s">
        <v>1896</v>
      </c>
      <c r="D134" s="3">
        <v>8.7999999999999995E-2</v>
      </c>
    </row>
    <row r="135" spans="1:4" x14ac:dyDescent="0.25">
      <c r="A135" t="s">
        <v>1892</v>
      </c>
      <c r="B135" s="2">
        <v>1.0169999999999999</v>
      </c>
      <c r="C135" t="s">
        <v>1898</v>
      </c>
      <c r="D135" s="3">
        <v>0.13900000000000001</v>
      </c>
    </row>
    <row r="136" spans="1:4" x14ac:dyDescent="0.25">
      <c r="A136" t="s">
        <v>1892</v>
      </c>
      <c r="B136" s="2">
        <v>1.0169999999999999</v>
      </c>
      <c r="C136" t="s">
        <v>1899</v>
      </c>
      <c r="D136" s="3">
        <v>0.313</v>
      </c>
    </row>
    <row r="137" spans="1:4" x14ac:dyDescent="0.25">
      <c r="A137" t="s">
        <v>1892</v>
      </c>
      <c r="B137" s="2">
        <v>1.0169999999999999</v>
      </c>
      <c r="C137" t="s">
        <v>1900</v>
      </c>
      <c r="D137" s="3">
        <v>0.17599999999999999</v>
      </c>
    </row>
    <row r="138" spans="1:4" x14ac:dyDescent="0.25">
      <c r="A138" t="s">
        <v>1892</v>
      </c>
      <c r="B138" s="2">
        <v>1.0169999999999999</v>
      </c>
      <c r="C138" t="s">
        <v>1901</v>
      </c>
      <c r="D138" s="3">
        <v>0.39800000000000002</v>
      </c>
    </row>
    <row r="139" spans="1:4" x14ac:dyDescent="0.25">
      <c r="A139" t="s">
        <v>1892</v>
      </c>
      <c r="B139" s="2">
        <v>1.0169999999999999</v>
      </c>
      <c r="C139" t="s">
        <v>1902</v>
      </c>
      <c r="D139" s="3">
        <v>0.39800000000000002</v>
      </c>
    </row>
    <row r="140" spans="1:4" x14ac:dyDescent="0.25">
      <c r="A140" t="s">
        <v>1904</v>
      </c>
      <c r="B140" s="2">
        <v>1.018</v>
      </c>
      <c r="C140" t="s">
        <v>1905</v>
      </c>
      <c r="D140" s="3">
        <v>0.182</v>
      </c>
    </row>
    <row r="141" spans="1:4" x14ac:dyDescent="0.25">
      <c r="A141" t="s">
        <v>1904</v>
      </c>
      <c r="B141" s="2">
        <v>1.018</v>
      </c>
      <c r="C141" t="s">
        <v>1877</v>
      </c>
      <c r="D141" s="3">
        <v>0.36</v>
      </c>
    </row>
    <row r="142" spans="1:4" x14ac:dyDescent="0.25">
      <c r="A142" t="s">
        <v>1907</v>
      </c>
      <c r="B142" s="2">
        <v>1.016</v>
      </c>
      <c r="C142" t="s">
        <v>1908</v>
      </c>
      <c r="D142" s="3">
        <v>0</v>
      </c>
    </row>
    <row r="143" spans="1:4" x14ac:dyDescent="0.25">
      <c r="A143" t="s">
        <v>1907</v>
      </c>
      <c r="B143" s="2">
        <v>1.016</v>
      </c>
      <c r="C143" t="s">
        <v>1909</v>
      </c>
      <c r="D143" s="3">
        <v>0.28899999999999998</v>
      </c>
    </row>
    <row r="144" spans="1:4" x14ac:dyDescent="0.25">
      <c r="A144" t="s">
        <v>1907</v>
      </c>
      <c r="B144" s="2">
        <v>1.016</v>
      </c>
      <c r="C144" t="s">
        <v>1910</v>
      </c>
      <c r="D144" s="3">
        <v>0.28399999999999997</v>
      </c>
    </row>
    <row r="145" spans="1:4" x14ac:dyDescent="0.25">
      <c r="A145" t="s">
        <v>1907</v>
      </c>
      <c r="B145" s="2">
        <v>1.016</v>
      </c>
      <c r="C145" t="s">
        <v>1910</v>
      </c>
      <c r="D145" s="3">
        <v>0.28399999999999997</v>
      </c>
    </row>
    <row r="146" spans="1:4" x14ac:dyDescent="0.25">
      <c r="A146" t="s">
        <v>1907</v>
      </c>
      <c r="B146" s="2">
        <v>1.016</v>
      </c>
      <c r="C146" t="s">
        <v>1911</v>
      </c>
      <c r="D146" s="3">
        <v>0.33800000000000002</v>
      </c>
    </row>
    <row r="147" spans="1:4" x14ac:dyDescent="0.25">
      <c r="A147" t="s">
        <v>1907</v>
      </c>
      <c r="B147" s="2">
        <v>1.016</v>
      </c>
      <c r="C147" t="s">
        <v>1912</v>
      </c>
      <c r="D147" s="3">
        <v>5.7000000000000002E-2</v>
      </c>
    </row>
    <row r="148" spans="1:4" x14ac:dyDescent="0.25">
      <c r="A148" t="s">
        <v>1907</v>
      </c>
      <c r="B148" s="2">
        <v>1.016</v>
      </c>
      <c r="C148" t="s">
        <v>1913</v>
      </c>
      <c r="D148" s="3">
        <v>0.27200000000000002</v>
      </c>
    </row>
    <row r="149" spans="1:4" x14ac:dyDescent="0.25">
      <c r="A149" t="s">
        <v>1907</v>
      </c>
      <c r="B149" s="2">
        <v>1.016</v>
      </c>
      <c r="C149" t="s">
        <v>1914</v>
      </c>
      <c r="D149" s="3">
        <v>0.27800000000000002</v>
      </c>
    </row>
    <row r="150" spans="1:4" x14ac:dyDescent="0.25">
      <c r="A150" t="s">
        <v>1916</v>
      </c>
      <c r="B150" s="2">
        <v>1.0149999999999999</v>
      </c>
      <c r="C150" t="s">
        <v>1917</v>
      </c>
      <c r="D150" s="3">
        <v>0.20399999999999999</v>
      </c>
    </row>
    <row r="151" spans="1:4" x14ac:dyDescent="0.25">
      <c r="A151" t="s">
        <v>1916</v>
      </c>
      <c r="B151" s="2">
        <v>1.0149999999999999</v>
      </c>
      <c r="C151" t="s">
        <v>1918</v>
      </c>
      <c r="D151" s="3">
        <v>0.54400000000000004</v>
      </c>
    </row>
    <row r="152" spans="1:4" x14ac:dyDescent="0.25">
      <c r="A152" t="s">
        <v>1916</v>
      </c>
      <c r="B152" s="2">
        <v>1.0149999999999999</v>
      </c>
      <c r="C152" t="s">
        <v>1895</v>
      </c>
      <c r="D152" s="3">
        <v>0.33700000000000002</v>
      </c>
    </row>
    <row r="153" spans="1:4" x14ac:dyDescent="0.25">
      <c r="A153" t="s">
        <v>1916</v>
      </c>
      <c r="B153" s="2">
        <v>1.0149999999999999</v>
      </c>
      <c r="C153" t="s">
        <v>1919</v>
      </c>
      <c r="D153" s="3">
        <v>0.46100000000000002</v>
      </c>
    </row>
    <row r="154" spans="1:4" x14ac:dyDescent="0.25">
      <c r="A154" t="s">
        <v>1916</v>
      </c>
      <c r="B154" s="2">
        <v>1.0149999999999999</v>
      </c>
      <c r="C154" t="s">
        <v>1920</v>
      </c>
      <c r="D154" s="3">
        <v>0.38900000000000001</v>
      </c>
    </row>
    <row r="155" spans="1:4" x14ac:dyDescent="0.25">
      <c r="A155" t="s">
        <v>1916</v>
      </c>
      <c r="B155" s="2">
        <v>1.0149999999999999</v>
      </c>
      <c r="C155" t="s">
        <v>1921</v>
      </c>
      <c r="D155" s="3">
        <v>0.39800000000000002</v>
      </c>
    </row>
    <row r="156" spans="1:4" x14ac:dyDescent="0.25">
      <c r="A156" t="s">
        <v>1923</v>
      </c>
      <c r="B156" s="2">
        <v>1.0149999999999999</v>
      </c>
      <c r="C156" t="s">
        <v>1924</v>
      </c>
      <c r="D156" s="3">
        <v>0.628</v>
      </c>
    </row>
    <row r="157" spans="1:4" x14ac:dyDescent="0.25">
      <c r="A157" t="s">
        <v>1923</v>
      </c>
      <c r="B157" s="2">
        <v>1.0149999999999999</v>
      </c>
      <c r="C157" t="s">
        <v>1925</v>
      </c>
      <c r="D157" s="3">
        <v>0.17</v>
      </c>
    </row>
    <row r="158" spans="1:4" x14ac:dyDescent="0.25">
      <c r="A158" t="s">
        <v>1923</v>
      </c>
      <c r="B158" s="2">
        <v>1.0149999999999999</v>
      </c>
      <c r="C158" t="s">
        <v>1692</v>
      </c>
      <c r="D158" s="3">
        <v>0.161</v>
      </c>
    </row>
    <row r="159" spans="1:4" x14ac:dyDescent="0.25">
      <c r="A159" t="s">
        <v>1923</v>
      </c>
      <c r="B159" s="2">
        <v>1.0149999999999999</v>
      </c>
      <c r="C159" t="s">
        <v>1926</v>
      </c>
      <c r="D159" s="3">
        <v>0.1</v>
      </c>
    </row>
    <row r="160" spans="1:4" x14ac:dyDescent="0.25">
      <c r="A160" t="s">
        <v>1923</v>
      </c>
      <c r="B160" s="2">
        <v>1.0149999999999999</v>
      </c>
      <c r="C160" t="s">
        <v>1927</v>
      </c>
      <c r="D160" s="3">
        <v>0.45</v>
      </c>
    </row>
    <row r="161" spans="1:4" x14ac:dyDescent="0.25">
      <c r="A161" t="s">
        <v>1923</v>
      </c>
      <c r="B161" s="2">
        <v>1.0149999999999999</v>
      </c>
      <c r="C161" t="s">
        <v>1928</v>
      </c>
      <c r="D161" s="3">
        <v>0.45700000000000002</v>
      </c>
    </row>
    <row r="162" spans="1:4" x14ac:dyDescent="0.25">
      <c r="A162" t="s">
        <v>1923</v>
      </c>
      <c r="B162" s="2">
        <v>1.0149999999999999</v>
      </c>
      <c r="C162" t="s">
        <v>1929</v>
      </c>
      <c r="D162" s="3">
        <v>0.47399999999999998</v>
      </c>
    </row>
    <row r="163" spans="1:4" x14ac:dyDescent="0.25">
      <c r="A163" t="s">
        <v>1931</v>
      </c>
      <c r="B163" s="2">
        <v>1.016</v>
      </c>
      <c r="C163" t="s">
        <v>1932</v>
      </c>
      <c r="D163" s="3">
        <v>0</v>
      </c>
    </row>
    <row r="164" spans="1:4" x14ac:dyDescent="0.25">
      <c r="A164" t="s">
        <v>1934</v>
      </c>
      <c r="B164" s="2">
        <v>0.999</v>
      </c>
      <c r="C164" t="s">
        <v>1935</v>
      </c>
      <c r="D164" s="3">
        <v>0.1</v>
      </c>
    </row>
    <row r="165" spans="1:4" x14ac:dyDescent="0.25">
      <c r="A165" t="s">
        <v>1937</v>
      </c>
      <c r="B165" s="2">
        <v>1.024</v>
      </c>
      <c r="C165" t="s">
        <v>1723</v>
      </c>
      <c r="D165" s="3" t="s">
        <v>2962</v>
      </c>
    </row>
    <row r="166" spans="1:4" x14ac:dyDescent="0.25">
      <c r="A166" t="s">
        <v>1937</v>
      </c>
      <c r="B166" s="2">
        <v>1.024</v>
      </c>
      <c r="C166" t="s">
        <v>1938</v>
      </c>
      <c r="D166" s="3">
        <v>8.3000000000000004E-2</v>
      </c>
    </row>
    <row r="167" spans="1:4" x14ac:dyDescent="0.25">
      <c r="A167" t="s">
        <v>1937</v>
      </c>
      <c r="B167" s="2">
        <v>1.024</v>
      </c>
      <c r="C167" t="s">
        <v>1939</v>
      </c>
      <c r="D167" s="3">
        <v>0.14399999999999999</v>
      </c>
    </row>
    <row r="168" spans="1:4" x14ac:dyDescent="0.25">
      <c r="A168" t="s">
        <v>1937</v>
      </c>
      <c r="B168" s="2">
        <v>1.024</v>
      </c>
      <c r="C168" t="s">
        <v>1941</v>
      </c>
      <c r="D168" s="3">
        <v>0.33200000000000002</v>
      </c>
    </row>
    <row r="169" spans="1:4" x14ac:dyDescent="0.25">
      <c r="A169" t="s">
        <v>1937</v>
      </c>
      <c r="B169" s="2">
        <v>1.024</v>
      </c>
      <c r="C169" t="s">
        <v>1943</v>
      </c>
      <c r="D169" s="3">
        <v>0.32800000000000001</v>
      </c>
    </row>
    <row r="170" spans="1:4" x14ac:dyDescent="0.25">
      <c r="A170" t="s">
        <v>1945</v>
      </c>
      <c r="B170" s="2">
        <v>1.012</v>
      </c>
      <c r="C170" t="s">
        <v>1593</v>
      </c>
      <c r="D170" s="3">
        <v>6.7000000000000004E-2</v>
      </c>
    </row>
    <row r="171" spans="1:4" x14ac:dyDescent="0.25">
      <c r="A171" t="s">
        <v>1945</v>
      </c>
      <c r="B171" s="2">
        <v>1.012</v>
      </c>
      <c r="C171" t="s">
        <v>1712</v>
      </c>
      <c r="D171" s="3">
        <v>0.307</v>
      </c>
    </row>
    <row r="172" spans="1:4" x14ac:dyDescent="0.25">
      <c r="A172" t="s">
        <v>1947</v>
      </c>
      <c r="B172" s="2">
        <v>1.0149999999999999</v>
      </c>
      <c r="C172" t="s">
        <v>1948</v>
      </c>
      <c r="D172" s="3" t="s">
        <v>2962</v>
      </c>
    </row>
    <row r="173" spans="1:4" x14ac:dyDescent="0.25">
      <c r="A173" t="s">
        <v>1947</v>
      </c>
      <c r="B173" s="2">
        <v>1.0149999999999999</v>
      </c>
      <c r="C173" t="s">
        <v>1949</v>
      </c>
      <c r="D173" s="3">
        <v>0.55500000000000005</v>
      </c>
    </row>
    <row r="174" spans="1:4" x14ac:dyDescent="0.25">
      <c r="A174" t="s">
        <v>1951</v>
      </c>
      <c r="B174" s="2">
        <v>1.0109999999999999</v>
      </c>
      <c r="C174" t="s">
        <v>1952</v>
      </c>
      <c r="D174" s="3">
        <v>0.33600000000000002</v>
      </c>
    </row>
    <row r="175" spans="1:4" x14ac:dyDescent="0.25">
      <c r="A175" t="s">
        <v>1951</v>
      </c>
      <c r="B175" s="2">
        <v>1.0109999999999999</v>
      </c>
      <c r="C175" t="s">
        <v>1953</v>
      </c>
      <c r="D175" s="3">
        <v>0.221</v>
      </c>
    </row>
    <row r="176" spans="1:4" x14ac:dyDescent="0.25">
      <c r="A176" t="s">
        <v>1951</v>
      </c>
      <c r="B176" s="2">
        <v>1.0109999999999999</v>
      </c>
      <c r="C176" t="s">
        <v>1954</v>
      </c>
      <c r="D176" s="3">
        <v>0.10100000000000001</v>
      </c>
    </row>
    <row r="177" spans="1:4" x14ac:dyDescent="0.25">
      <c r="A177" t="s">
        <v>1951</v>
      </c>
      <c r="B177" s="2">
        <v>1.0109999999999999</v>
      </c>
      <c r="C177" t="s">
        <v>1955</v>
      </c>
      <c r="D177" s="3">
        <v>0.35799999999999998</v>
      </c>
    </row>
    <row r="178" spans="1:4" x14ac:dyDescent="0.25">
      <c r="A178" t="s">
        <v>1951</v>
      </c>
      <c r="B178" s="2">
        <v>1.0109999999999999</v>
      </c>
      <c r="C178" t="s">
        <v>1956</v>
      </c>
      <c r="D178" s="3">
        <v>0.35899999999999999</v>
      </c>
    </row>
    <row r="179" spans="1:4" x14ac:dyDescent="0.25">
      <c r="A179" t="s">
        <v>1958</v>
      </c>
      <c r="B179" s="2">
        <v>1.0169999999999999</v>
      </c>
      <c r="C179" t="s">
        <v>1959</v>
      </c>
      <c r="D179" s="3" t="s">
        <v>2962</v>
      </c>
    </row>
    <row r="180" spans="1:4" x14ac:dyDescent="0.25">
      <c r="A180" t="s">
        <v>1958</v>
      </c>
      <c r="B180" s="2">
        <v>1.0169999999999999</v>
      </c>
      <c r="C180" t="s">
        <v>1855</v>
      </c>
      <c r="D180" s="3">
        <v>0.308</v>
      </c>
    </row>
    <row r="181" spans="1:4" x14ac:dyDescent="0.25">
      <c r="A181" t="s">
        <v>1958</v>
      </c>
      <c r="B181" s="2">
        <v>1.0169999999999999</v>
      </c>
      <c r="C181" t="s">
        <v>1855</v>
      </c>
      <c r="D181" s="3">
        <v>0.308</v>
      </c>
    </row>
    <row r="182" spans="1:4" x14ac:dyDescent="0.25">
      <c r="A182" t="s">
        <v>1961</v>
      </c>
      <c r="B182" s="2">
        <v>1.0089999999999999</v>
      </c>
      <c r="C182" t="s">
        <v>1962</v>
      </c>
      <c r="D182" s="3">
        <v>6.5000000000000002E-2</v>
      </c>
    </row>
    <row r="183" spans="1:4" x14ac:dyDescent="0.25">
      <c r="A183" t="s">
        <v>1961</v>
      </c>
      <c r="B183" s="2">
        <v>1.0089999999999999</v>
      </c>
      <c r="C183" t="s">
        <v>1963</v>
      </c>
      <c r="D183" s="3">
        <v>0.19500000000000001</v>
      </c>
    </row>
    <row r="184" spans="1:4" x14ac:dyDescent="0.25">
      <c r="A184" t="s">
        <v>1961</v>
      </c>
      <c r="B184" s="2">
        <v>1.0089999999999999</v>
      </c>
      <c r="C184" t="s">
        <v>1964</v>
      </c>
      <c r="D184" s="3">
        <v>0.58799999999999997</v>
      </c>
    </row>
    <row r="185" spans="1:4" x14ac:dyDescent="0.25">
      <c r="A185" t="s">
        <v>1961</v>
      </c>
      <c r="B185" s="2">
        <v>1.0089999999999999</v>
      </c>
      <c r="C185" t="s">
        <v>1965</v>
      </c>
      <c r="D185" s="3">
        <v>0.57699999999999996</v>
      </c>
    </row>
    <row r="186" spans="1:4" x14ac:dyDescent="0.25">
      <c r="A186" t="s">
        <v>1961</v>
      </c>
      <c r="B186" s="2">
        <v>1.0089999999999999</v>
      </c>
      <c r="C186" t="s">
        <v>1966</v>
      </c>
      <c r="D186" s="3">
        <v>0.57899999999999996</v>
      </c>
    </row>
    <row r="187" spans="1:4" x14ac:dyDescent="0.25">
      <c r="A187" t="s">
        <v>1968</v>
      </c>
      <c r="B187" s="2">
        <v>0.99099999999999999</v>
      </c>
      <c r="C187" t="s">
        <v>1949</v>
      </c>
      <c r="D187" s="3">
        <v>0.55500000000000005</v>
      </c>
    </row>
    <row r="188" spans="1:4" x14ac:dyDescent="0.25">
      <c r="A188" t="s">
        <v>1970</v>
      </c>
      <c r="B188" s="2">
        <v>1.0109999999999999</v>
      </c>
      <c r="C188" t="s">
        <v>1971</v>
      </c>
      <c r="D188" s="3" t="s">
        <v>2962</v>
      </c>
    </row>
    <row r="189" spans="1:4" x14ac:dyDescent="0.25">
      <c r="A189" t="s">
        <v>1970</v>
      </c>
      <c r="B189" s="2">
        <v>1.0109999999999999</v>
      </c>
      <c r="C189" t="s">
        <v>1935</v>
      </c>
      <c r="D189" s="3">
        <v>0.1</v>
      </c>
    </row>
    <row r="190" spans="1:4" x14ac:dyDescent="0.25">
      <c r="A190" t="s">
        <v>1973</v>
      </c>
      <c r="B190" s="2">
        <v>1.012</v>
      </c>
      <c r="C190" t="s">
        <v>1974</v>
      </c>
      <c r="D190" s="3">
        <v>0.216</v>
      </c>
    </row>
    <row r="191" spans="1:4" x14ac:dyDescent="0.25">
      <c r="A191" t="s">
        <v>1973</v>
      </c>
      <c r="B191" s="2">
        <v>1.012</v>
      </c>
      <c r="C191" t="s">
        <v>1976</v>
      </c>
      <c r="D191" s="3">
        <v>0.34899999999999998</v>
      </c>
    </row>
    <row r="192" spans="1:4" x14ac:dyDescent="0.25">
      <c r="A192" t="s">
        <v>1973</v>
      </c>
      <c r="B192" s="2">
        <v>1.012</v>
      </c>
      <c r="C192" t="s">
        <v>1977</v>
      </c>
      <c r="D192" s="3">
        <v>0.33700000000000002</v>
      </c>
    </row>
    <row r="193" spans="1:4" x14ac:dyDescent="0.25">
      <c r="A193" t="s">
        <v>1973</v>
      </c>
      <c r="B193" s="2">
        <v>1.012</v>
      </c>
      <c r="C193" t="s">
        <v>1978</v>
      </c>
      <c r="D193" s="3">
        <v>0.34799999999999998</v>
      </c>
    </row>
    <row r="194" spans="1:4" x14ac:dyDescent="0.25">
      <c r="A194" t="s">
        <v>1980</v>
      </c>
      <c r="B194" s="2">
        <v>1.004</v>
      </c>
      <c r="C194" t="s">
        <v>1981</v>
      </c>
      <c r="D194" s="3">
        <v>0</v>
      </c>
    </row>
    <row r="195" spans="1:4" x14ac:dyDescent="0.25">
      <c r="A195" t="s">
        <v>1980</v>
      </c>
      <c r="B195" s="2">
        <v>1.004</v>
      </c>
      <c r="C195" t="s">
        <v>1982</v>
      </c>
      <c r="D195" s="3">
        <v>3.1E-2</v>
      </c>
    </row>
    <row r="196" spans="1:4" x14ac:dyDescent="0.25">
      <c r="A196" t="s">
        <v>1980</v>
      </c>
      <c r="B196" s="2">
        <v>1.004</v>
      </c>
      <c r="C196" t="s">
        <v>1983</v>
      </c>
      <c r="D196" s="3">
        <v>0.33500000000000002</v>
      </c>
    </row>
    <row r="197" spans="1:4" x14ac:dyDescent="0.25">
      <c r="A197" t="s">
        <v>1985</v>
      </c>
      <c r="B197" s="2">
        <v>1.0329999999999999</v>
      </c>
      <c r="C197" t="s">
        <v>1986</v>
      </c>
      <c r="D197" s="3">
        <v>0.41799999999999998</v>
      </c>
    </row>
    <row r="198" spans="1:4" x14ac:dyDescent="0.25">
      <c r="A198" t="s">
        <v>1985</v>
      </c>
      <c r="B198" s="2">
        <v>1.0329999999999999</v>
      </c>
      <c r="C198" t="s">
        <v>1986</v>
      </c>
      <c r="D198" s="3">
        <v>0.41799999999999998</v>
      </c>
    </row>
    <row r="199" spans="1:4" x14ac:dyDescent="0.25">
      <c r="A199" t="s">
        <v>1985</v>
      </c>
      <c r="B199" s="2">
        <v>1.0329999999999999</v>
      </c>
      <c r="C199" t="s">
        <v>1987</v>
      </c>
      <c r="D199" s="3">
        <v>0.28499999999999998</v>
      </c>
    </row>
    <row r="200" spans="1:4" x14ac:dyDescent="0.25">
      <c r="A200" t="s">
        <v>1985</v>
      </c>
      <c r="B200" s="2">
        <v>1.0329999999999999</v>
      </c>
      <c r="C200" t="s">
        <v>1988</v>
      </c>
      <c r="D200" s="3">
        <v>0</v>
      </c>
    </row>
    <row r="201" spans="1:4" x14ac:dyDescent="0.25">
      <c r="A201" t="s">
        <v>1985</v>
      </c>
      <c r="B201" s="2">
        <v>1.0329999999999999</v>
      </c>
      <c r="C201" t="s">
        <v>1989</v>
      </c>
      <c r="D201" s="3">
        <v>0</v>
      </c>
    </row>
    <row r="202" spans="1:4" x14ac:dyDescent="0.25">
      <c r="A202" t="s">
        <v>1985</v>
      </c>
      <c r="B202" s="2">
        <v>1.0329999999999999</v>
      </c>
      <c r="C202" t="s">
        <v>1990</v>
      </c>
      <c r="D202" s="3">
        <v>0.40300000000000002</v>
      </c>
    </row>
    <row r="203" spans="1:4" x14ac:dyDescent="0.25">
      <c r="A203" t="s">
        <v>1992</v>
      </c>
      <c r="B203" s="2">
        <v>1.0069999999999999</v>
      </c>
      <c r="C203" t="s">
        <v>1993</v>
      </c>
      <c r="D203" s="3">
        <v>0.23100000000000001</v>
      </c>
    </row>
    <row r="204" spans="1:4" x14ac:dyDescent="0.25">
      <c r="A204" t="s">
        <v>1992</v>
      </c>
      <c r="B204" s="2">
        <v>1.0069999999999999</v>
      </c>
      <c r="C204" t="s">
        <v>1994</v>
      </c>
      <c r="D204" s="3">
        <v>0.221</v>
      </c>
    </row>
    <row r="205" spans="1:4" x14ac:dyDescent="0.25">
      <c r="A205" t="s">
        <v>1992</v>
      </c>
      <c r="B205" s="2">
        <v>1.0069999999999999</v>
      </c>
      <c r="C205" t="s">
        <v>1995</v>
      </c>
      <c r="D205" s="3">
        <v>0.23599999999999999</v>
      </c>
    </row>
    <row r="206" spans="1:4" x14ac:dyDescent="0.25">
      <c r="A206" t="s">
        <v>1997</v>
      </c>
      <c r="B206" s="2">
        <v>1.012</v>
      </c>
      <c r="C206" t="s">
        <v>1998</v>
      </c>
      <c r="D206" s="3">
        <v>0.45500000000000002</v>
      </c>
    </row>
    <row r="207" spans="1:4" x14ac:dyDescent="0.25">
      <c r="A207" t="s">
        <v>1997</v>
      </c>
      <c r="B207" s="2">
        <v>1.012</v>
      </c>
      <c r="C207" t="s">
        <v>1999</v>
      </c>
      <c r="D207" s="3">
        <v>0.34799999999999998</v>
      </c>
    </row>
    <row r="208" spans="1:4" x14ac:dyDescent="0.25">
      <c r="A208" t="s">
        <v>1997</v>
      </c>
      <c r="B208" s="2">
        <v>1.012</v>
      </c>
      <c r="C208" t="s">
        <v>2001</v>
      </c>
      <c r="D208" s="3">
        <v>0.51400000000000001</v>
      </c>
    </row>
    <row r="209" spans="1:4" x14ac:dyDescent="0.25">
      <c r="A209" t="s">
        <v>1997</v>
      </c>
      <c r="B209" s="2">
        <v>1.012</v>
      </c>
      <c r="C209" t="s">
        <v>2003</v>
      </c>
      <c r="D209" s="3">
        <v>0</v>
      </c>
    </row>
    <row r="210" spans="1:4" x14ac:dyDescent="0.25">
      <c r="A210" t="s">
        <v>1997</v>
      </c>
      <c r="B210" s="2">
        <v>1.012</v>
      </c>
      <c r="C210" t="s">
        <v>2004</v>
      </c>
      <c r="D210" s="3">
        <v>0.40500000000000003</v>
      </c>
    </row>
    <row r="211" spans="1:4" x14ac:dyDescent="0.25">
      <c r="A211" t="s">
        <v>1997</v>
      </c>
      <c r="B211" s="2">
        <v>1.012</v>
      </c>
      <c r="C211" t="s">
        <v>2006</v>
      </c>
      <c r="D211" s="3">
        <v>0.46200000000000002</v>
      </c>
    </row>
    <row r="212" spans="1:4" x14ac:dyDescent="0.25">
      <c r="A212" t="s">
        <v>2008</v>
      </c>
      <c r="B212" s="2">
        <v>1.0389999999999999</v>
      </c>
      <c r="C212" t="s">
        <v>2009</v>
      </c>
      <c r="D212" s="3" t="s">
        <v>2962</v>
      </c>
    </row>
    <row r="213" spans="1:4" x14ac:dyDescent="0.25">
      <c r="A213" t="s">
        <v>2008</v>
      </c>
      <c r="B213" s="2">
        <v>1.0389999999999999</v>
      </c>
      <c r="C213" t="s">
        <v>2010</v>
      </c>
      <c r="D213" s="3">
        <v>0.85599999999999998</v>
      </c>
    </row>
    <row r="214" spans="1:4" x14ac:dyDescent="0.25">
      <c r="A214" t="s">
        <v>2008</v>
      </c>
      <c r="B214" s="2">
        <v>1.0389999999999999</v>
      </c>
      <c r="C214" t="s">
        <v>1710</v>
      </c>
      <c r="D214" s="3">
        <v>0.187</v>
      </c>
    </row>
    <row r="215" spans="1:4" x14ac:dyDescent="0.25">
      <c r="A215" t="s">
        <v>2008</v>
      </c>
      <c r="B215" s="2">
        <v>1.0389999999999999</v>
      </c>
      <c r="C215" t="s">
        <v>2012</v>
      </c>
      <c r="D215" s="3">
        <v>0.375</v>
      </c>
    </row>
    <row r="216" spans="1:4" x14ac:dyDescent="0.25">
      <c r="A216" t="s">
        <v>2008</v>
      </c>
      <c r="B216" s="2">
        <v>1.0389999999999999</v>
      </c>
      <c r="C216" t="s">
        <v>2013</v>
      </c>
      <c r="D216" s="3">
        <v>0.13400000000000001</v>
      </c>
    </row>
    <row r="217" spans="1:4" x14ac:dyDescent="0.25">
      <c r="A217" t="s">
        <v>2008</v>
      </c>
      <c r="B217" s="2">
        <v>1.0389999999999999</v>
      </c>
      <c r="C217" t="s">
        <v>2013</v>
      </c>
      <c r="D217" s="3">
        <v>0.13400000000000001</v>
      </c>
    </row>
    <row r="218" spans="1:4" x14ac:dyDescent="0.25">
      <c r="A218" t="s">
        <v>2015</v>
      </c>
      <c r="B218" s="2">
        <v>1.0009999999999999</v>
      </c>
      <c r="C218" t="s">
        <v>2016</v>
      </c>
      <c r="D218" s="3" t="s">
        <v>2962</v>
      </c>
    </row>
    <row r="219" spans="1:4" x14ac:dyDescent="0.25">
      <c r="A219" t="s">
        <v>2015</v>
      </c>
      <c r="B219" s="2">
        <v>1.0009999999999999</v>
      </c>
      <c r="C219" t="s">
        <v>1869</v>
      </c>
      <c r="D219" s="3">
        <v>0.312</v>
      </c>
    </row>
    <row r="220" spans="1:4" x14ac:dyDescent="0.25">
      <c r="A220" t="s">
        <v>2015</v>
      </c>
      <c r="B220" s="2">
        <v>1.0009999999999999</v>
      </c>
      <c r="C220" t="s">
        <v>2018</v>
      </c>
      <c r="D220" s="3" t="s">
        <v>2017</v>
      </c>
    </row>
    <row r="221" spans="1:4" x14ac:dyDescent="0.25">
      <c r="A221" t="s">
        <v>2015</v>
      </c>
      <c r="B221" s="2">
        <v>1.0009999999999999</v>
      </c>
      <c r="C221" t="s">
        <v>2020</v>
      </c>
      <c r="D221" s="3">
        <v>0</v>
      </c>
    </row>
    <row r="222" spans="1:4" x14ac:dyDescent="0.25">
      <c r="A222" t="s">
        <v>2022</v>
      </c>
      <c r="B222" s="2">
        <v>0.999</v>
      </c>
      <c r="C222" t="s">
        <v>2023</v>
      </c>
      <c r="D222" s="3">
        <v>5.8000000000000003E-2</v>
      </c>
    </row>
    <row r="223" spans="1:4" x14ac:dyDescent="0.25">
      <c r="A223" t="s">
        <v>2022</v>
      </c>
      <c r="B223" s="2">
        <v>0.999</v>
      </c>
      <c r="C223" t="s">
        <v>2024</v>
      </c>
      <c r="D223" s="3">
        <v>0.152</v>
      </c>
    </row>
    <row r="224" spans="1:4" x14ac:dyDescent="0.25">
      <c r="A224" t="s">
        <v>2026</v>
      </c>
      <c r="B224" s="2">
        <v>0.95399999999999996</v>
      </c>
      <c r="C224" t="s">
        <v>1660</v>
      </c>
      <c r="D224" s="3" t="s">
        <v>2962</v>
      </c>
    </row>
    <row r="225" spans="1:4" x14ac:dyDescent="0.25">
      <c r="A225" t="s">
        <v>2028</v>
      </c>
      <c r="B225" s="2">
        <v>1.0029999999999999</v>
      </c>
      <c r="C225" t="s">
        <v>2029</v>
      </c>
      <c r="D225" s="3">
        <v>0.42499999999999999</v>
      </c>
    </row>
    <row r="226" spans="1:4" x14ac:dyDescent="0.25">
      <c r="A226" t="s">
        <v>2028</v>
      </c>
      <c r="B226" s="2">
        <v>1.0029999999999999</v>
      </c>
      <c r="C226" t="s">
        <v>2029</v>
      </c>
      <c r="D226" s="3">
        <v>0.42499999999999999</v>
      </c>
    </row>
    <row r="227" spans="1:4" x14ac:dyDescent="0.25">
      <c r="A227" t="s">
        <v>2031</v>
      </c>
      <c r="B227" s="2">
        <v>0.99399999999999999</v>
      </c>
      <c r="C227" t="s">
        <v>1612</v>
      </c>
      <c r="D227" s="3">
        <v>0.33700000000000002</v>
      </c>
    </row>
    <row r="228" spans="1:4" x14ac:dyDescent="0.25">
      <c r="A228" t="s">
        <v>2033</v>
      </c>
      <c r="B228" s="2">
        <v>0.98499999999999999</v>
      </c>
      <c r="C228" t="s">
        <v>2016</v>
      </c>
      <c r="D228" s="3" t="s">
        <v>2962</v>
      </c>
    </row>
    <row r="229" spans="1:4" x14ac:dyDescent="0.25">
      <c r="A229" t="s">
        <v>2033</v>
      </c>
      <c r="B229" s="2">
        <v>0.98499999999999999</v>
      </c>
      <c r="C229" t="s">
        <v>2034</v>
      </c>
      <c r="D229" s="3">
        <v>0.79300000000000004</v>
      </c>
    </row>
    <row r="230" spans="1:4" x14ac:dyDescent="0.25">
      <c r="A230" t="s">
        <v>2037</v>
      </c>
      <c r="B230" s="2">
        <v>1.0329999999999999</v>
      </c>
      <c r="C230" t="s">
        <v>2038</v>
      </c>
      <c r="D230" s="3">
        <v>0</v>
      </c>
    </row>
    <row r="231" spans="1:4" x14ac:dyDescent="0.25">
      <c r="A231" t="s">
        <v>2040</v>
      </c>
      <c r="B231" s="2">
        <v>0.96299999999999997</v>
      </c>
      <c r="C231" t="s">
        <v>2041</v>
      </c>
      <c r="D231" s="3">
        <v>0.25800000000000001</v>
      </c>
    </row>
    <row r="232" spans="1:4" x14ac:dyDescent="0.25">
      <c r="A232" t="s">
        <v>2040</v>
      </c>
      <c r="B232" s="2">
        <v>0.96299999999999997</v>
      </c>
      <c r="C232" t="s">
        <v>1615</v>
      </c>
      <c r="D232" s="3">
        <v>0.38500000000000001</v>
      </c>
    </row>
    <row r="233" spans="1:4" x14ac:dyDescent="0.25">
      <c r="A233" t="s">
        <v>2043</v>
      </c>
      <c r="B233" s="2">
        <v>1.01</v>
      </c>
      <c r="C233" t="s">
        <v>2044</v>
      </c>
      <c r="D233" s="3">
        <v>0.313</v>
      </c>
    </row>
    <row r="234" spans="1:4" x14ac:dyDescent="0.25">
      <c r="A234" t="s">
        <v>2043</v>
      </c>
      <c r="B234" s="2">
        <v>1.01</v>
      </c>
      <c r="C234" t="s">
        <v>2009</v>
      </c>
      <c r="D234" s="3" t="s">
        <v>2962</v>
      </c>
    </row>
    <row r="235" spans="1:4" x14ac:dyDescent="0.25">
      <c r="A235" t="s">
        <v>2046</v>
      </c>
      <c r="B235" s="2">
        <v>0.998</v>
      </c>
      <c r="C235" t="s">
        <v>2047</v>
      </c>
      <c r="D235" s="3">
        <v>5.8000000000000003E-2</v>
      </c>
    </row>
    <row r="236" spans="1:4" x14ac:dyDescent="0.25">
      <c r="A236" t="s">
        <v>2046</v>
      </c>
      <c r="B236" s="2">
        <v>0.998</v>
      </c>
      <c r="C236" t="s">
        <v>2048</v>
      </c>
      <c r="D236" s="3">
        <v>0.45800000000000002</v>
      </c>
    </row>
    <row r="237" spans="1:4" x14ac:dyDescent="0.25">
      <c r="A237" t="s">
        <v>2050</v>
      </c>
      <c r="B237" s="2">
        <v>1.0369999999999999</v>
      </c>
      <c r="C237" t="s">
        <v>2051</v>
      </c>
      <c r="D237" s="3">
        <v>0.89500000000000002</v>
      </c>
    </row>
    <row r="238" spans="1:4" x14ac:dyDescent="0.25">
      <c r="A238" t="s">
        <v>2050</v>
      </c>
      <c r="B238" s="2">
        <v>1.0369999999999999</v>
      </c>
      <c r="C238" t="s">
        <v>2052</v>
      </c>
      <c r="D238" s="3">
        <v>0.13200000000000001</v>
      </c>
    </row>
    <row r="239" spans="1:4" x14ac:dyDescent="0.25">
      <c r="A239" t="s">
        <v>2050</v>
      </c>
      <c r="B239" s="2">
        <v>1.0369999999999999</v>
      </c>
      <c r="C239" t="s">
        <v>2053</v>
      </c>
      <c r="D239" s="3">
        <v>0.64200000000000002</v>
      </c>
    </row>
    <row r="240" spans="1:4" x14ac:dyDescent="0.25">
      <c r="A240" t="s">
        <v>2050</v>
      </c>
      <c r="B240" s="2">
        <v>1.0369999999999999</v>
      </c>
      <c r="C240" t="s">
        <v>2054</v>
      </c>
      <c r="D240" s="3">
        <v>0.27700000000000002</v>
      </c>
    </row>
    <row r="241" spans="1:4" x14ac:dyDescent="0.25">
      <c r="A241" t="s">
        <v>2050</v>
      </c>
      <c r="B241" s="2">
        <v>1.0369999999999999</v>
      </c>
      <c r="C241" t="s">
        <v>2055</v>
      </c>
      <c r="D241" s="3">
        <v>0.27700000000000002</v>
      </c>
    </row>
    <row r="242" spans="1:4" x14ac:dyDescent="0.25">
      <c r="A242" t="s">
        <v>2057</v>
      </c>
      <c r="B242" s="2">
        <v>1.036</v>
      </c>
      <c r="C242" t="s">
        <v>2058</v>
      </c>
      <c r="D242" s="3">
        <v>0.379</v>
      </c>
    </row>
    <row r="243" spans="1:4" x14ac:dyDescent="0.25">
      <c r="A243" t="s">
        <v>2060</v>
      </c>
      <c r="B243" s="2">
        <v>1.034</v>
      </c>
      <c r="C243" t="s">
        <v>2058</v>
      </c>
      <c r="D243" s="3">
        <v>0.379</v>
      </c>
    </row>
    <row r="244" spans="1:4" x14ac:dyDescent="0.25">
      <c r="A244" t="s">
        <v>2062</v>
      </c>
      <c r="B244" s="2">
        <v>1.028</v>
      </c>
      <c r="C244" t="s">
        <v>2063</v>
      </c>
      <c r="D244" s="3">
        <v>0.114</v>
      </c>
    </row>
    <row r="245" spans="1:4" x14ac:dyDescent="0.25">
      <c r="A245" t="s">
        <v>2065</v>
      </c>
      <c r="B245" s="2">
        <v>1.0129999999999999</v>
      </c>
      <c r="C245" t="s">
        <v>1866</v>
      </c>
      <c r="D245" s="3" t="s">
        <v>2962</v>
      </c>
    </row>
    <row r="246" spans="1:4" x14ac:dyDescent="0.25">
      <c r="A246" t="s">
        <v>2065</v>
      </c>
      <c r="B246" s="2">
        <v>1.0129999999999999</v>
      </c>
      <c r="C246" t="s">
        <v>2066</v>
      </c>
      <c r="D246" s="3">
        <v>0.255</v>
      </c>
    </row>
    <row r="247" spans="1:4" x14ac:dyDescent="0.25">
      <c r="A247" t="s">
        <v>2069</v>
      </c>
      <c r="B247" s="2">
        <v>1.036</v>
      </c>
      <c r="C247" t="s">
        <v>2070</v>
      </c>
      <c r="D247" s="3">
        <v>0</v>
      </c>
    </row>
    <row r="248" spans="1:4" x14ac:dyDescent="0.25">
      <c r="A248" t="s">
        <v>2069</v>
      </c>
      <c r="B248" s="2">
        <v>1.036</v>
      </c>
      <c r="C248" t="s">
        <v>2071</v>
      </c>
      <c r="D248" s="3">
        <v>6.6000000000000003E-2</v>
      </c>
    </row>
    <row r="249" spans="1:4" x14ac:dyDescent="0.25">
      <c r="A249" t="s">
        <v>2069</v>
      </c>
      <c r="B249" s="2">
        <v>1.036</v>
      </c>
      <c r="C249" t="s">
        <v>2072</v>
      </c>
      <c r="D249" s="3">
        <v>0.10100000000000001</v>
      </c>
    </row>
    <row r="250" spans="1:4" x14ac:dyDescent="0.25">
      <c r="A250" t="s">
        <v>2069</v>
      </c>
      <c r="B250" s="2">
        <v>1.036</v>
      </c>
      <c r="C250" t="s">
        <v>2073</v>
      </c>
      <c r="D250" s="3">
        <v>0.36399999999999999</v>
      </c>
    </row>
    <row r="251" spans="1:4" x14ac:dyDescent="0.25">
      <c r="A251" t="s">
        <v>2069</v>
      </c>
      <c r="B251" s="2">
        <v>1.036</v>
      </c>
      <c r="C251" t="s">
        <v>2020</v>
      </c>
      <c r="D251" s="3">
        <v>0</v>
      </c>
    </row>
    <row r="252" spans="1:4" x14ac:dyDescent="0.25">
      <c r="A252" t="s">
        <v>2069</v>
      </c>
      <c r="B252" s="2">
        <v>1.036</v>
      </c>
      <c r="C252" t="s">
        <v>2075</v>
      </c>
      <c r="D252" s="3">
        <v>0.27300000000000002</v>
      </c>
    </row>
    <row r="253" spans="1:4" x14ac:dyDescent="0.25">
      <c r="A253" t="s">
        <v>2069</v>
      </c>
      <c r="B253" s="2">
        <v>1.036</v>
      </c>
      <c r="C253" t="s">
        <v>2076</v>
      </c>
      <c r="D253" s="3">
        <v>0.27300000000000002</v>
      </c>
    </row>
    <row r="254" spans="1:4" x14ac:dyDescent="0.25">
      <c r="A254" t="s">
        <v>2069</v>
      </c>
      <c r="B254" s="2">
        <v>1.036</v>
      </c>
      <c r="C254" t="s">
        <v>2077</v>
      </c>
      <c r="D254" s="3">
        <v>0.25600000000000001</v>
      </c>
    </row>
    <row r="255" spans="1:4" x14ac:dyDescent="0.25">
      <c r="A255" t="s">
        <v>2079</v>
      </c>
      <c r="B255" s="2">
        <v>1.0960000000000001</v>
      </c>
      <c r="C255" t="s">
        <v>2080</v>
      </c>
      <c r="D255" s="3">
        <v>0.317</v>
      </c>
    </row>
    <row r="256" spans="1:4" x14ac:dyDescent="0.25">
      <c r="A256" t="s">
        <v>2082</v>
      </c>
      <c r="B256" s="2">
        <v>1.0469999999999999</v>
      </c>
      <c r="C256" t="s">
        <v>1948</v>
      </c>
      <c r="D256" s="3" t="s">
        <v>2962</v>
      </c>
    </row>
    <row r="257" spans="1:4" x14ac:dyDescent="0.25">
      <c r="A257" t="s">
        <v>2082</v>
      </c>
      <c r="B257" s="2">
        <v>1.0469999999999999</v>
      </c>
      <c r="C257" t="s">
        <v>2083</v>
      </c>
      <c r="D257" s="3" t="s">
        <v>2962</v>
      </c>
    </row>
    <row r="258" spans="1:4" x14ac:dyDescent="0.25">
      <c r="A258" t="s">
        <v>2082</v>
      </c>
      <c r="B258" s="2">
        <v>1.0469999999999999</v>
      </c>
      <c r="C258" t="s">
        <v>2084</v>
      </c>
      <c r="D258" s="3">
        <v>0.42599999999999999</v>
      </c>
    </row>
    <row r="259" spans="1:4" x14ac:dyDescent="0.25">
      <c r="A259" t="s">
        <v>2082</v>
      </c>
      <c r="B259" s="2">
        <v>1.0469999999999999</v>
      </c>
      <c r="C259" t="s">
        <v>2085</v>
      </c>
      <c r="D259" s="3">
        <v>0.315</v>
      </c>
    </row>
    <row r="260" spans="1:4" x14ac:dyDescent="0.25">
      <c r="A260" t="s">
        <v>2082</v>
      </c>
      <c r="B260" s="2">
        <v>1.0469999999999999</v>
      </c>
      <c r="C260" t="s">
        <v>2086</v>
      </c>
      <c r="D260" s="3">
        <v>0.32200000000000001</v>
      </c>
    </row>
    <row r="261" spans="1:4" x14ac:dyDescent="0.25">
      <c r="A261" t="s">
        <v>2088</v>
      </c>
      <c r="B261" s="2">
        <v>1.0049999999999999</v>
      </c>
      <c r="C261" t="s">
        <v>1724</v>
      </c>
      <c r="D261" s="3">
        <v>0.17199999999999999</v>
      </c>
    </row>
    <row r="262" spans="1:4" x14ac:dyDescent="0.25">
      <c r="A262" t="s">
        <v>2088</v>
      </c>
      <c r="B262" s="2">
        <v>1.0049999999999999</v>
      </c>
      <c r="C262" t="s">
        <v>2089</v>
      </c>
      <c r="D262" s="3">
        <v>8.5999999999999993E-2</v>
      </c>
    </row>
    <row r="263" spans="1:4" x14ac:dyDescent="0.25">
      <c r="A263" t="s">
        <v>2091</v>
      </c>
      <c r="B263" s="2">
        <v>1.006</v>
      </c>
      <c r="C263" t="s">
        <v>2092</v>
      </c>
      <c r="D263" s="3">
        <v>0.20799999999999999</v>
      </c>
    </row>
    <row r="264" spans="1:4" x14ac:dyDescent="0.25">
      <c r="A264" t="s">
        <v>2091</v>
      </c>
      <c r="B264" s="2">
        <v>1.006</v>
      </c>
      <c r="C264" t="s">
        <v>2093</v>
      </c>
      <c r="D264" s="3">
        <v>0.125</v>
      </c>
    </row>
    <row r="265" spans="1:4" x14ac:dyDescent="0.25">
      <c r="A265" t="s">
        <v>2091</v>
      </c>
      <c r="B265" s="2">
        <v>1.006</v>
      </c>
      <c r="C265" t="s">
        <v>2094</v>
      </c>
      <c r="D265" s="3">
        <v>0.125</v>
      </c>
    </row>
    <row r="266" spans="1:4" x14ac:dyDescent="0.25">
      <c r="A266" t="s">
        <v>2091</v>
      </c>
      <c r="B266" s="2">
        <v>1.006</v>
      </c>
      <c r="C266" t="s">
        <v>2095</v>
      </c>
      <c r="D266" s="3">
        <v>0.124</v>
      </c>
    </row>
    <row r="267" spans="1:4" x14ac:dyDescent="0.25">
      <c r="A267" t="s">
        <v>2097</v>
      </c>
      <c r="B267" s="2">
        <v>1.0049999999999999</v>
      </c>
      <c r="C267" t="s">
        <v>2047</v>
      </c>
      <c r="D267" s="3">
        <v>5.8000000000000003E-2</v>
      </c>
    </row>
    <row r="268" spans="1:4" x14ac:dyDescent="0.25">
      <c r="A268" t="s">
        <v>2097</v>
      </c>
      <c r="B268" s="2">
        <v>1.0049999999999999</v>
      </c>
      <c r="C268" t="s">
        <v>2098</v>
      </c>
      <c r="D268" s="3">
        <v>0.29899999999999999</v>
      </c>
    </row>
    <row r="269" spans="1:4" x14ac:dyDescent="0.25">
      <c r="A269" t="s">
        <v>2100</v>
      </c>
      <c r="B269" s="2">
        <v>1.0009999999999999</v>
      </c>
      <c r="C269" t="s">
        <v>2010</v>
      </c>
      <c r="D269" s="3">
        <v>0.85599999999999998</v>
      </c>
    </row>
    <row r="270" spans="1:4" x14ac:dyDescent="0.25">
      <c r="A270" t="s">
        <v>2100</v>
      </c>
      <c r="B270" s="2">
        <v>1.0009999999999999</v>
      </c>
      <c r="C270" t="s">
        <v>2101</v>
      </c>
      <c r="D270" s="3">
        <v>0</v>
      </c>
    </row>
    <row r="271" spans="1:4" x14ac:dyDescent="0.25">
      <c r="A271" t="s">
        <v>2100</v>
      </c>
      <c r="B271" s="2">
        <v>1.0009999999999999</v>
      </c>
      <c r="C271" t="s">
        <v>2102</v>
      </c>
      <c r="D271" s="3">
        <v>0</v>
      </c>
    </row>
    <row r="272" spans="1:4" x14ac:dyDescent="0.25">
      <c r="A272" t="s">
        <v>2104</v>
      </c>
      <c r="B272" s="2">
        <v>1.014</v>
      </c>
      <c r="C272" t="s">
        <v>2105</v>
      </c>
      <c r="D272" s="3">
        <v>0.217</v>
      </c>
    </row>
    <row r="273" spans="1:4" x14ac:dyDescent="0.25">
      <c r="A273" t="s">
        <v>2104</v>
      </c>
      <c r="B273" s="2">
        <v>1.014</v>
      </c>
      <c r="C273" t="s">
        <v>2106</v>
      </c>
      <c r="D273" s="3">
        <v>0.379</v>
      </c>
    </row>
    <row r="274" spans="1:4" x14ac:dyDescent="0.25">
      <c r="A274" t="s">
        <v>2108</v>
      </c>
      <c r="B274" s="2">
        <v>1.014</v>
      </c>
      <c r="C274" t="s">
        <v>2109</v>
      </c>
      <c r="D274" s="3">
        <v>3.6999999999999998E-2</v>
      </c>
    </row>
    <row r="275" spans="1:4" x14ac:dyDescent="0.25">
      <c r="A275" t="s">
        <v>2111</v>
      </c>
      <c r="B275" s="2">
        <v>1.0169999999999999</v>
      </c>
      <c r="C275" t="s">
        <v>1877</v>
      </c>
      <c r="D275" s="3">
        <v>0.36</v>
      </c>
    </row>
    <row r="276" spans="1:4" x14ac:dyDescent="0.25">
      <c r="A276" t="s">
        <v>2111</v>
      </c>
      <c r="B276" s="2">
        <v>1.0169999999999999</v>
      </c>
      <c r="C276" t="s">
        <v>1877</v>
      </c>
      <c r="D276" s="3">
        <v>0.36</v>
      </c>
    </row>
    <row r="277" spans="1:4" x14ac:dyDescent="0.25">
      <c r="A277" t="s">
        <v>2113</v>
      </c>
      <c r="B277" s="2">
        <v>1.0189999999999999</v>
      </c>
      <c r="C277" t="s">
        <v>2048</v>
      </c>
      <c r="D277" s="3">
        <v>0.45800000000000002</v>
      </c>
    </row>
    <row r="278" spans="1:4" x14ac:dyDescent="0.25">
      <c r="A278" t="s">
        <v>2113</v>
      </c>
      <c r="B278" s="2">
        <v>1.0189999999999999</v>
      </c>
      <c r="C278" t="s">
        <v>2105</v>
      </c>
      <c r="D278" s="3">
        <v>0.217</v>
      </c>
    </row>
    <row r="279" spans="1:4" x14ac:dyDescent="0.25">
      <c r="A279" t="s">
        <v>2115</v>
      </c>
      <c r="B279" s="2">
        <v>0.99099999999999999</v>
      </c>
      <c r="C279" t="s">
        <v>2116</v>
      </c>
      <c r="D279" s="3">
        <v>0.251</v>
      </c>
    </row>
    <row r="280" spans="1:4" x14ac:dyDescent="0.25">
      <c r="A280" t="s">
        <v>2115</v>
      </c>
      <c r="B280" s="2">
        <v>0.99099999999999999</v>
      </c>
      <c r="C280" t="s">
        <v>2084</v>
      </c>
      <c r="D280" s="3">
        <v>0.42599999999999999</v>
      </c>
    </row>
    <row r="281" spans="1:4" x14ac:dyDescent="0.25">
      <c r="A281" t="s">
        <v>2118</v>
      </c>
      <c r="B281" s="2">
        <v>1.008</v>
      </c>
      <c r="C281" t="s">
        <v>2023</v>
      </c>
      <c r="D281" s="3">
        <v>5.8000000000000003E-2</v>
      </c>
    </row>
    <row r="282" spans="1:4" x14ac:dyDescent="0.25">
      <c r="A282" t="s">
        <v>2118</v>
      </c>
      <c r="B282" s="2">
        <v>1.008</v>
      </c>
      <c r="C282" t="s">
        <v>2119</v>
      </c>
      <c r="D282" s="3">
        <v>0.56499999999999995</v>
      </c>
    </row>
    <row r="283" spans="1:4" x14ac:dyDescent="0.25">
      <c r="A283" t="s">
        <v>2121</v>
      </c>
      <c r="B283" s="2">
        <v>1.034</v>
      </c>
      <c r="C283" t="s">
        <v>2122</v>
      </c>
      <c r="D283" s="3">
        <v>0</v>
      </c>
    </row>
    <row r="284" spans="1:4" x14ac:dyDescent="0.25">
      <c r="A284" t="s">
        <v>2124</v>
      </c>
      <c r="B284" s="2">
        <v>1.016</v>
      </c>
      <c r="C284" t="s">
        <v>2066</v>
      </c>
      <c r="D284" s="3">
        <v>0.255</v>
      </c>
    </row>
    <row r="285" spans="1:4" x14ac:dyDescent="0.25">
      <c r="A285" t="s">
        <v>2126</v>
      </c>
      <c r="B285" s="2">
        <v>1.05</v>
      </c>
      <c r="C285" t="s">
        <v>2127</v>
      </c>
      <c r="D285" s="3">
        <v>0.184</v>
      </c>
    </row>
    <row r="286" spans="1:4" x14ac:dyDescent="0.25">
      <c r="A286" t="s">
        <v>2129</v>
      </c>
      <c r="B286" s="2">
        <v>0.999</v>
      </c>
      <c r="C286" t="s">
        <v>1833</v>
      </c>
      <c r="D286" s="3">
        <v>8.9999999999999993E-3</v>
      </c>
    </row>
    <row r="287" spans="1:4" x14ac:dyDescent="0.25">
      <c r="A287" t="s">
        <v>2129</v>
      </c>
      <c r="B287" s="2">
        <v>0.999</v>
      </c>
      <c r="C287" t="s">
        <v>1837</v>
      </c>
      <c r="D287" s="3" t="s">
        <v>2962</v>
      </c>
    </row>
    <row r="288" spans="1:4" x14ac:dyDescent="0.25">
      <c r="A288" t="s">
        <v>2129</v>
      </c>
      <c r="B288" s="2">
        <v>0.999</v>
      </c>
      <c r="C288" t="s">
        <v>2130</v>
      </c>
      <c r="D288" s="3" t="s">
        <v>2962</v>
      </c>
    </row>
    <row r="289" spans="1:4" x14ac:dyDescent="0.25">
      <c r="A289" t="s">
        <v>2132</v>
      </c>
      <c r="B289" s="2">
        <v>1.008</v>
      </c>
      <c r="C289" t="s">
        <v>2133</v>
      </c>
      <c r="D289" s="3">
        <v>0.47299999999999998</v>
      </c>
    </row>
    <row r="290" spans="1:4" x14ac:dyDescent="0.25">
      <c r="A290" t="s">
        <v>2132</v>
      </c>
      <c r="B290" s="2">
        <v>1.008</v>
      </c>
      <c r="C290" t="s">
        <v>2133</v>
      </c>
      <c r="D290" s="3">
        <v>0.47299999999999998</v>
      </c>
    </row>
    <row r="291" spans="1:4" x14ac:dyDescent="0.25">
      <c r="A291" t="s">
        <v>2132</v>
      </c>
      <c r="B291" s="2">
        <v>1.008</v>
      </c>
      <c r="C291" t="s">
        <v>2134</v>
      </c>
      <c r="D291" s="3">
        <v>5.8000000000000003E-2</v>
      </c>
    </row>
    <row r="292" spans="1:4" x14ac:dyDescent="0.25">
      <c r="A292" t="s">
        <v>2132</v>
      </c>
      <c r="B292" s="2">
        <v>1.008</v>
      </c>
      <c r="C292" t="s">
        <v>2135</v>
      </c>
      <c r="D292" s="3">
        <v>0.35299999999999998</v>
      </c>
    </row>
    <row r="293" spans="1:4" x14ac:dyDescent="0.25">
      <c r="A293" t="s">
        <v>2137</v>
      </c>
      <c r="B293" s="2">
        <v>0.999</v>
      </c>
      <c r="C293" t="s">
        <v>2138</v>
      </c>
      <c r="D293" s="3">
        <v>0.15</v>
      </c>
    </row>
    <row r="294" spans="1:4" x14ac:dyDescent="0.25">
      <c r="A294" t="s">
        <v>2137</v>
      </c>
      <c r="B294" s="2">
        <v>0.999</v>
      </c>
      <c r="C294" t="s">
        <v>2135</v>
      </c>
      <c r="D294" s="3">
        <v>0.35299999999999998</v>
      </c>
    </row>
    <row r="295" spans="1:4" x14ac:dyDescent="0.25">
      <c r="A295" t="s">
        <v>2140</v>
      </c>
      <c r="B295" s="2">
        <v>1.012</v>
      </c>
      <c r="C295" t="s">
        <v>2051</v>
      </c>
      <c r="D295" s="3">
        <v>0.89500000000000002</v>
      </c>
    </row>
    <row r="296" spans="1:4" x14ac:dyDescent="0.25">
      <c r="A296" t="s">
        <v>2140</v>
      </c>
      <c r="B296" s="2">
        <v>1.012</v>
      </c>
      <c r="C296" t="s">
        <v>2134</v>
      </c>
      <c r="D296" s="3">
        <v>5.8000000000000003E-2</v>
      </c>
    </row>
    <row r="297" spans="1:4" x14ac:dyDescent="0.25">
      <c r="A297" t="s">
        <v>2140</v>
      </c>
      <c r="B297" s="2">
        <v>1.012</v>
      </c>
      <c r="C297" t="s">
        <v>2053</v>
      </c>
      <c r="D297" s="3">
        <v>0.64200000000000002</v>
      </c>
    </row>
    <row r="298" spans="1:4" x14ac:dyDescent="0.25">
      <c r="A298" t="s">
        <v>2140</v>
      </c>
      <c r="B298" s="2">
        <v>1.012</v>
      </c>
      <c r="C298" t="s">
        <v>2135</v>
      </c>
      <c r="D298" s="3">
        <v>0.35299999999999998</v>
      </c>
    </row>
    <row r="299" spans="1:4" x14ac:dyDescent="0.25">
      <c r="A299" t="s">
        <v>2142</v>
      </c>
      <c r="B299" s="2">
        <v>1.016</v>
      </c>
      <c r="C299" t="s">
        <v>2053</v>
      </c>
      <c r="D299" s="3">
        <v>0.64200000000000002</v>
      </c>
    </row>
    <row r="300" spans="1:4" x14ac:dyDescent="0.25">
      <c r="A300" t="s">
        <v>2144</v>
      </c>
      <c r="B300" s="2">
        <v>1.0209999999999999</v>
      </c>
      <c r="C300" t="s">
        <v>2145</v>
      </c>
      <c r="D300" s="3">
        <v>0.89500000000000002</v>
      </c>
    </row>
    <row r="301" spans="1:4" x14ac:dyDescent="0.25">
      <c r="A301" t="s">
        <v>2144</v>
      </c>
      <c r="B301" s="2">
        <v>1.0209999999999999</v>
      </c>
      <c r="C301" t="s">
        <v>2146</v>
      </c>
      <c r="D301" s="3">
        <v>0.57899999999999996</v>
      </c>
    </row>
    <row r="302" spans="1:4" x14ac:dyDescent="0.25">
      <c r="A302" t="s">
        <v>2148</v>
      </c>
      <c r="B302" s="2">
        <v>0.998</v>
      </c>
      <c r="C302" t="s">
        <v>2149</v>
      </c>
      <c r="D302" s="3">
        <v>0.151</v>
      </c>
    </row>
    <row r="303" spans="1:4" x14ac:dyDescent="0.25">
      <c r="A303" t="s">
        <v>2151</v>
      </c>
      <c r="B303" s="2">
        <v>1.0069999999999999</v>
      </c>
      <c r="C303" t="s">
        <v>1689</v>
      </c>
      <c r="D303" s="3">
        <v>0.47199999999999998</v>
      </c>
    </row>
    <row r="304" spans="1:4" x14ac:dyDescent="0.25">
      <c r="A304" t="s">
        <v>2151</v>
      </c>
      <c r="B304" s="2">
        <v>1.0069999999999999</v>
      </c>
      <c r="C304" t="s">
        <v>2146</v>
      </c>
      <c r="D304" s="3">
        <v>0.57899999999999996</v>
      </c>
    </row>
    <row r="305" spans="1:4" x14ac:dyDescent="0.25">
      <c r="A305" t="s">
        <v>2153</v>
      </c>
      <c r="B305" s="2">
        <v>1.02</v>
      </c>
      <c r="C305" t="s">
        <v>2145</v>
      </c>
      <c r="D305" s="3">
        <v>0.89500000000000002</v>
      </c>
    </row>
    <row r="306" spans="1:4" x14ac:dyDescent="0.25">
      <c r="A306" t="s">
        <v>2155</v>
      </c>
      <c r="B306" s="2">
        <v>1.004</v>
      </c>
      <c r="C306" t="s">
        <v>2156</v>
      </c>
      <c r="D306" s="3">
        <v>0</v>
      </c>
    </row>
    <row r="307" spans="1:4" x14ac:dyDescent="0.25">
      <c r="A307" t="s">
        <v>2158</v>
      </c>
      <c r="B307" s="2">
        <v>1.0169999999999999</v>
      </c>
      <c r="C307" t="s">
        <v>2145</v>
      </c>
      <c r="D307" s="3">
        <v>0.89500000000000002</v>
      </c>
    </row>
    <row r="308" spans="1:4" x14ac:dyDescent="0.25">
      <c r="A308" t="s">
        <v>2158</v>
      </c>
      <c r="B308" s="2">
        <v>1.0169999999999999</v>
      </c>
      <c r="C308" t="s">
        <v>2146</v>
      </c>
      <c r="D308" s="3">
        <v>0.57899999999999996</v>
      </c>
    </row>
    <row r="309" spans="1:4" x14ac:dyDescent="0.25">
      <c r="A309" t="s">
        <v>2158</v>
      </c>
      <c r="B309" s="2">
        <v>1.0169999999999999</v>
      </c>
      <c r="C309" t="s">
        <v>2159</v>
      </c>
      <c r="D309" s="3">
        <v>0.13800000000000001</v>
      </c>
    </row>
    <row r="310" spans="1:4" x14ac:dyDescent="0.25">
      <c r="A310" t="s">
        <v>2161</v>
      </c>
      <c r="B310" s="2">
        <v>1</v>
      </c>
      <c r="C310" t="s">
        <v>1689</v>
      </c>
      <c r="D310" s="3">
        <v>0.47199999999999998</v>
      </c>
    </row>
    <row r="311" spans="1:4" x14ac:dyDescent="0.25">
      <c r="A311" t="s">
        <v>2161</v>
      </c>
      <c r="B311" s="2">
        <v>1</v>
      </c>
      <c r="C311" t="s">
        <v>2149</v>
      </c>
      <c r="D311" s="3">
        <v>0.151</v>
      </c>
    </row>
    <row r="312" spans="1:4" x14ac:dyDescent="0.25">
      <c r="A312" t="s">
        <v>2161</v>
      </c>
      <c r="B312" s="2">
        <v>1</v>
      </c>
      <c r="C312" t="s">
        <v>2146</v>
      </c>
      <c r="D312" s="3">
        <v>0.57899999999999996</v>
      </c>
    </row>
    <row r="313" spans="1:4" x14ac:dyDescent="0.25">
      <c r="A313" t="s">
        <v>2163</v>
      </c>
      <c r="B313" s="2">
        <v>1.0149999999999999</v>
      </c>
      <c r="C313" t="s">
        <v>1626</v>
      </c>
      <c r="D313" s="3">
        <v>0.128</v>
      </c>
    </row>
    <row r="314" spans="1:4" x14ac:dyDescent="0.25">
      <c r="A314" t="s">
        <v>2163</v>
      </c>
      <c r="B314" s="2">
        <v>1.0149999999999999</v>
      </c>
      <c r="C314" t="s">
        <v>2164</v>
      </c>
      <c r="D314" s="3">
        <v>0.17599999999999999</v>
      </c>
    </row>
    <row r="315" spans="1:4" x14ac:dyDescent="0.25">
      <c r="A315" t="s">
        <v>2163</v>
      </c>
      <c r="B315" s="2">
        <v>1.0149999999999999</v>
      </c>
      <c r="C315" t="s">
        <v>2165</v>
      </c>
      <c r="D315" s="3">
        <v>0.182</v>
      </c>
    </row>
    <row r="316" spans="1:4" x14ac:dyDescent="0.25">
      <c r="A316" t="s">
        <v>2163</v>
      </c>
      <c r="B316" s="2">
        <v>1.0149999999999999</v>
      </c>
      <c r="C316" t="s">
        <v>2166</v>
      </c>
      <c r="D316" s="3">
        <v>0.249</v>
      </c>
    </row>
    <row r="317" spans="1:4" x14ac:dyDescent="0.25">
      <c r="A317" t="s">
        <v>2163</v>
      </c>
      <c r="B317" s="2">
        <v>1.0149999999999999</v>
      </c>
      <c r="C317" t="s">
        <v>2167</v>
      </c>
      <c r="D317" s="3">
        <v>0.249</v>
      </c>
    </row>
    <row r="318" spans="1:4" x14ac:dyDescent="0.25">
      <c r="A318" t="s">
        <v>2169</v>
      </c>
      <c r="B318" s="2">
        <v>1.0089999999999999</v>
      </c>
      <c r="C318" t="s">
        <v>2106</v>
      </c>
      <c r="D318" s="3">
        <v>0.379</v>
      </c>
    </row>
    <row r="319" spans="1:4" x14ac:dyDescent="0.25">
      <c r="A319" t="s">
        <v>2171</v>
      </c>
      <c r="B319" s="2">
        <v>1.0349999999999999</v>
      </c>
      <c r="C319" t="s">
        <v>2172</v>
      </c>
      <c r="D319" s="3">
        <v>0.29499999999999998</v>
      </c>
    </row>
    <row r="320" spans="1:4" x14ac:dyDescent="0.25">
      <c r="A320" t="s">
        <v>2171</v>
      </c>
      <c r="B320" s="2">
        <v>1.0349999999999999</v>
      </c>
      <c r="C320" t="s">
        <v>1666</v>
      </c>
      <c r="D320" s="3" t="s">
        <v>2962</v>
      </c>
    </row>
    <row r="321" spans="1:4" x14ac:dyDescent="0.25">
      <c r="A321" t="s">
        <v>2171</v>
      </c>
      <c r="B321" s="2">
        <v>1.0349999999999999</v>
      </c>
      <c r="C321" t="s">
        <v>2173</v>
      </c>
      <c r="D321" s="3">
        <v>0.14299999999999999</v>
      </c>
    </row>
    <row r="322" spans="1:4" x14ac:dyDescent="0.25">
      <c r="A322" t="s">
        <v>2171</v>
      </c>
      <c r="B322" s="2">
        <v>1.0349999999999999</v>
      </c>
      <c r="C322" t="s">
        <v>2173</v>
      </c>
      <c r="D322" s="3">
        <v>0.14299999999999999</v>
      </c>
    </row>
    <row r="323" spans="1:4" x14ac:dyDescent="0.25">
      <c r="A323" t="s">
        <v>2171</v>
      </c>
      <c r="B323" s="2">
        <v>1.0349999999999999</v>
      </c>
      <c r="C323" t="s">
        <v>2174</v>
      </c>
      <c r="D323" s="3">
        <v>0.35299999999999998</v>
      </c>
    </row>
    <row r="324" spans="1:4" x14ac:dyDescent="0.25">
      <c r="A324" t="s">
        <v>2171</v>
      </c>
      <c r="B324" s="2">
        <v>1.0349999999999999</v>
      </c>
      <c r="C324" t="s">
        <v>2175</v>
      </c>
      <c r="D324" s="3">
        <v>0.35299999999999998</v>
      </c>
    </row>
    <row r="325" spans="1:4" x14ac:dyDescent="0.25">
      <c r="A325" t="s">
        <v>2177</v>
      </c>
      <c r="B325" s="2">
        <v>1.03</v>
      </c>
      <c r="C325" t="s">
        <v>2178</v>
      </c>
      <c r="D325" s="3">
        <v>0.29499999999999998</v>
      </c>
    </row>
    <row r="326" spans="1:4" x14ac:dyDescent="0.25">
      <c r="A326" t="s">
        <v>2177</v>
      </c>
      <c r="B326" s="2">
        <v>1.03</v>
      </c>
      <c r="C326" t="s">
        <v>2179</v>
      </c>
      <c r="D326" s="3" t="s">
        <v>2962</v>
      </c>
    </row>
    <row r="327" spans="1:4" x14ac:dyDescent="0.25">
      <c r="A327" t="s">
        <v>2181</v>
      </c>
      <c r="B327" s="2">
        <v>1.0089999999999999</v>
      </c>
      <c r="C327" t="s">
        <v>1645</v>
      </c>
      <c r="D327" s="3">
        <v>2E-3</v>
      </c>
    </row>
    <row r="328" spans="1:4" x14ac:dyDescent="0.25">
      <c r="A328" t="s">
        <v>2181</v>
      </c>
      <c r="B328" s="2">
        <v>1.0089999999999999</v>
      </c>
      <c r="C328" t="s">
        <v>2178</v>
      </c>
      <c r="D328" s="3">
        <v>0.29499999999999998</v>
      </c>
    </row>
    <row r="329" spans="1:4" x14ac:dyDescent="0.25">
      <c r="A329" t="s">
        <v>2181</v>
      </c>
      <c r="B329" s="2">
        <v>1.0089999999999999</v>
      </c>
      <c r="C329" t="s">
        <v>2182</v>
      </c>
      <c r="D329" s="3">
        <v>0.433</v>
      </c>
    </row>
    <row r="330" spans="1:4" x14ac:dyDescent="0.25">
      <c r="A330" t="s">
        <v>2184</v>
      </c>
      <c r="B330" s="2">
        <v>1.0289999999999999</v>
      </c>
      <c r="C330" t="s">
        <v>2185</v>
      </c>
      <c r="D330" s="3">
        <v>5.8000000000000003E-2</v>
      </c>
    </row>
    <row r="331" spans="1:4" x14ac:dyDescent="0.25">
      <c r="A331" t="s">
        <v>2187</v>
      </c>
      <c r="B331" s="2">
        <v>1.026</v>
      </c>
      <c r="C331" t="s">
        <v>2188</v>
      </c>
      <c r="D331" s="3">
        <v>0.54600000000000004</v>
      </c>
    </row>
    <row r="332" spans="1:4" x14ac:dyDescent="0.25">
      <c r="A332" t="s">
        <v>2187</v>
      </c>
      <c r="B332" s="2">
        <v>1.026</v>
      </c>
      <c r="C332" t="s">
        <v>2189</v>
      </c>
      <c r="D332" s="3">
        <v>0.80500000000000005</v>
      </c>
    </row>
    <row r="333" spans="1:4" x14ac:dyDescent="0.25">
      <c r="A333" t="s">
        <v>2191</v>
      </c>
      <c r="B333" s="2">
        <v>1.0269999999999999</v>
      </c>
      <c r="C333" t="s">
        <v>2192</v>
      </c>
      <c r="D333" s="3">
        <v>0.17199999999999999</v>
      </c>
    </row>
    <row r="334" spans="1:4" x14ac:dyDescent="0.25">
      <c r="A334" t="s">
        <v>2194</v>
      </c>
      <c r="B334" s="2">
        <v>0.99099999999999999</v>
      </c>
      <c r="C334" t="s">
        <v>1606</v>
      </c>
      <c r="D334" s="3">
        <v>2.8000000000000001E-2</v>
      </c>
    </row>
    <row r="335" spans="1:4" x14ac:dyDescent="0.25">
      <c r="A335" t="s">
        <v>2194</v>
      </c>
      <c r="B335" s="2">
        <v>0.99099999999999999</v>
      </c>
      <c r="C335" t="s">
        <v>1983</v>
      </c>
      <c r="D335" s="3">
        <v>0.33500000000000002</v>
      </c>
    </row>
    <row r="336" spans="1:4" x14ac:dyDescent="0.25">
      <c r="A336" t="s">
        <v>2194</v>
      </c>
      <c r="B336" s="2">
        <v>0.99099999999999999</v>
      </c>
      <c r="C336" t="s">
        <v>2196</v>
      </c>
      <c r="D336" s="3" t="s">
        <v>2195</v>
      </c>
    </row>
    <row r="337" spans="1:4" x14ac:dyDescent="0.25">
      <c r="A337" t="s">
        <v>2199</v>
      </c>
      <c r="B337" s="2">
        <v>1.0169999999999999</v>
      </c>
      <c r="C337" t="s">
        <v>2200</v>
      </c>
      <c r="D337" s="3">
        <v>5.8000000000000003E-2</v>
      </c>
    </row>
    <row r="338" spans="1:4" x14ac:dyDescent="0.25">
      <c r="A338" t="s">
        <v>2199</v>
      </c>
      <c r="B338" s="2">
        <v>1.0169999999999999</v>
      </c>
      <c r="C338" t="s">
        <v>2202</v>
      </c>
      <c r="D338" s="3">
        <v>5.8000000000000003E-2</v>
      </c>
    </row>
    <row r="339" spans="1:4" x14ac:dyDescent="0.25">
      <c r="A339" t="s">
        <v>2204</v>
      </c>
      <c r="B339" s="2">
        <v>1.0029999999999999</v>
      </c>
      <c r="C339" t="s">
        <v>2205</v>
      </c>
      <c r="D339" s="3">
        <v>0.54600000000000004</v>
      </c>
    </row>
    <row r="340" spans="1:4" x14ac:dyDescent="0.25">
      <c r="A340" t="s">
        <v>2204</v>
      </c>
      <c r="B340" s="2">
        <v>1.0029999999999999</v>
      </c>
      <c r="C340" t="s">
        <v>2202</v>
      </c>
      <c r="D340" s="3">
        <v>5.8000000000000003E-2</v>
      </c>
    </row>
    <row r="341" spans="1:4" x14ac:dyDescent="0.25">
      <c r="A341" t="s">
        <v>2204</v>
      </c>
      <c r="B341" s="2">
        <v>1.0029999999999999</v>
      </c>
      <c r="C341" t="s">
        <v>1982</v>
      </c>
      <c r="D341" s="3">
        <v>3.1E-2</v>
      </c>
    </row>
    <row r="342" spans="1:4" x14ac:dyDescent="0.25">
      <c r="A342" t="s">
        <v>2207</v>
      </c>
      <c r="B342" s="2">
        <v>1.014</v>
      </c>
      <c r="C342" t="s">
        <v>1623</v>
      </c>
      <c r="D342" s="3">
        <v>0.43</v>
      </c>
    </row>
    <row r="343" spans="1:4" x14ac:dyDescent="0.25">
      <c r="A343" t="s">
        <v>2207</v>
      </c>
      <c r="B343" s="2">
        <v>1.014</v>
      </c>
      <c r="C343" t="s">
        <v>2016</v>
      </c>
      <c r="D343" s="3" t="s">
        <v>2962</v>
      </c>
    </row>
    <row r="344" spans="1:4" x14ac:dyDescent="0.25">
      <c r="A344" t="s">
        <v>2207</v>
      </c>
      <c r="B344" s="2">
        <v>1.014</v>
      </c>
      <c r="C344" t="s">
        <v>2208</v>
      </c>
      <c r="D344" s="3">
        <v>0.45200000000000001</v>
      </c>
    </row>
    <row r="345" spans="1:4" x14ac:dyDescent="0.25">
      <c r="A345" t="s">
        <v>2211</v>
      </c>
      <c r="B345" s="2">
        <v>1.016</v>
      </c>
      <c r="C345" t="s">
        <v>2205</v>
      </c>
      <c r="D345" s="3">
        <v>0.54600000000000004</v>
      </c>
    </row>
    <row r="346" spans="1:4" x14ac:dyDescent="0.25">
      <c r="A346" t="s">
        <v>2211</v>
      </c>
      <c r="B346" s="2">
        <v>1.016</v>
      </c>
      <c r="C346" t="s">
        <v>2202</v>
      </c>
      <c r="D346" s="3">
        <v>5.8000000000000003E-2</v>
      </c>
    </row>
    <row r="347" spans="1:4" x14ac:dyDescent="0.25">
      <c r="A347" t="s">
        <v>2211</v>
      </c>
      <c r="B347" s="2">
        <v>1.016</v>
      </c>
      <c r="C347" t="s">
        <v>1982</v>
      </c>
      <c r="D347" s="3">
        <v>3.1E-2</v>
      </c>
    </row>
    <row r="348" spans="1:4" x14ac:dyDescent="0.25">
      <c r="A348" t="s">
        <v>2213</v>
      </c>
      <c r="B348" s="2">
        <v>1.016</v>
      </c>
      <c r="C348" t="s">
        <v>2185</v>
      </c>
      <c r="D348" s="3">
        <v>5.8000000000000003E-2</v>
      </c>
    </row>
    <row r="349" spans="1:4" x14ac:dyDescent="0.25">
      <c r="A349" t="s">
        <v>2213</v>
      </c>
      <c r="B349" s="2">
        <v>1.016</v>
      </c>
      <c r="C349" t="s">
        <v>2188</v>
      </c>
      <c r="D349" s="3">
        <v>0.54600000000000004</v>
      </c>
    </row>
    <row r="350" spans="1:4" x14ac:dyDescent="0.25">
      <c r="A350" t="s">
        <v>2213</v>
      </c>
      <c r="B350" s="2">
        <v>1.016</v>
      </c>
      <c r="C350" t="s">
        <v>2189</v>
      </c>
      <c r="D350" s="3">
        <v>0.80500000000000005</v>
      </c>
    </row>
    <row r="351" spans="1:4" x14ac:dyDescent="0.25">
      <c r="A351" t="s">
        <v>2215</v>
      </c>
      <c r="B351" s="2">
        <v>1.004</v>
      </c>
      <c r="C351" t="s">
        <v>2156</v>
      </c>
      <c r="D351" s="3">
        <v>0</v>
      </c>
    </row>
    <row r="352" spans="1:4" x14ac:dyDescent="0.25">
      <c r="A352" t="s">
        <v>2215</v>
      </c>
      <c r="B352" s="2">
        <v>1.004</v>
      </c>
      <c r="C352" t="s">
        <v>2188</v>
      </c>
      <c r="D352" s="3">
        <v>0.54600000000000004</v>
      </c>
    </row>
    <row r="353" spans="1:4" x14ac:dyDescent="0.25">
      <c r="A353" t="s">
        <v>2215</v>
      </c>
      <c r="B353" s="2">
        <v>1.004</v>
      </c>
      <c r="C353" t="s">
        <v>2189</v>
      </c>
      <c r="D353" s="3">
        <v>0.80500000000000005</v>
      </c>
    </row>
    <row r="354" spans="1:4" x14ac:dyDescent="0.25">
      <c r="A354" t="s">
        <v>2215</v>
      </c>
      <c r="B354" s="2">
        <v>1.004</v>
      </c>
      <c r="C354" t="s">
        <v>2216</v>
      </c>
      <c r="D354" s="3">
        <v>0.33800000000000002</v>
      </c>
    </row>
    <row r="355" spans="1:4" x14ac:dyDescent="0.25">
      <c r="A355" t="s">
        <v>2218</v>
      </c>
      <c r="B355" s="2">
        <v>1.004</v>
      </c>
      <c r="C355" t="s">
        <v>1982</v>
      </c>
      <c r="D355" s="3">
        <v>3.1E-2</v>
      </c>
    </row>
    <row r="356" spans="1:4" x14ac:dyDescent="0.25">
      <c r="A356" t="s">
        <v>2218</v>
      </c>
      <c r="B356" s="2">
        <v>1.004</v>
      </c>
      <c r="C356" t="s">
        <v>2219</v>
      </c>
      <c r="D356" s="3">
        <v>0.505</v>
      </c>
    </row>
    <row r="357" spans="1:4" x14ac:dyDescent="0.25">
      <c r="A357" t="s">
        <v>2222</v>
      </c>
      <c r="B357" s="2">
        <v>1.014</v>
      </c>
      <c r="C357" t="s">
        <v>2024</v>
      </c>
      <c r="D357" s="3">
        <v>0.152</v>
      </c>
    </row>
    <row r="358" spans="1:4" x14ac:dyDescent="0.25">
      <c r="A358" t="s">
        <v>2222</v>
      </c>
      <c r="B358" s="2">
        <v>1.014</v>
      </c>
      <c r="C358" t="s">
        <v>2223</v>
      </c>
      <c r="D358" s="3" t="s">
        <v>2962</v>
      </c>
    </row>
    <row r="359" spans="1:4" x14ac:dyDescent="0.25">
      <c r="A359" t="s">
        <v>2222</v>
      </c>
      <c r="B359" s="2">
        <v>1.014</v>
      </c>
      <c r="C359" t="s">
        <v>2223</v>
      </c>
      <c r="D359" s="3" t="s">
        <v>2962</v>
      </c>
    </row>
    <row r="360" spans="1:4" x14ac:dyDescent="0.25">
      <c r="A360" t="s">
        <v>2225</v>
      </c>
      <c r="B360" s="2">
        <v>1.0169999999999999</v>
      </c>
      <c r="C360" t="s">
        <v>2098</v>
      </c>
      <c r="D360" s="3">
        <v>0.29899999999999999</v>
      </c>
    </row>
    <row r="361" spans="1:4" x14ac:dyDescent="0.25">
      <c r="A361" t="s">
        <v>2225</v>
      </c>
      <c r="B361" s="2">
        <v>1.0169999999999999</v>
      </c>
      <c r="C361" t="s">
        <v>2098</v>
      </c>
      <c r="D361" s="3">
        <v>0.29899999999999999</v>
      </c>
    </row>
    <row r="362" spans="1:4" x14ac:dyDescent="0.25">
      <c r="A362" t="s">
        <v>2225</v>
      </c>
      <c r="B362" s="2">
        <v>1.0169999999999999</v>
      </c>
      <c r="C362" t="s">
        <v>2226</v>
      </c>
      <c r="D362" s="3">
        <v>0.37</v>
      </c>
    </row>
    <row r="363" spans="1:4" x14ac:dyDescent="0.25">
      <c r="A363" t="s">
        <v>2225</v>
      </c>
      <c r="B363" s="2">
        <v>1.0169999999999999</v>
      </c>
      <c r="C363" t="s">
        <v>2226</v>
      </c>
      <c r="D363" s="3">
        <v>0.37</v>
      </c>
    </row>
    <row r="364" spans="1:4" x14ac:dyDescent="0.25">
      <c r="A364" t="s">
        <v>2228</v>
      </c>
      <c r="B364" s="2">
        <v>1.0129999999999999</v>
      </c>
      <c r="C364" t="s">
        <v>1602</v>
      </c>
      <c r="D364" s="3">
        <v>0.39100000000000001</v>
      </c>
    </row>
    <row r="365" spans="1:4" x14ac:dyDescent="0.25">
      <c r="A365" t="s">
        <v>2228</v>
      </c>
      <c r="B365" s="2">
        <v>1.0129999999999999</v>
      </c>
      <c r="C365" t="s">
        <v>2116</v>
      </c>
      <c r="D365" s="3">
        <v>0.251</v>
      </c>
    </row>
    <row r="366" spans="1:4" x14ac:dyDescent="0.25">
      <c r="A366" t="s">
        <v>2230</v>
      </c>
      <c r="B366" s="2">
        <v>1.0169999999999999</v>
      </c>
      <c r="C366" t="s">
        <v>1858</v>
      </c>
      <c r="D366" s="3" t="s">
        <v>2962</v>
      </c>
    </row>
    <row r="367" spans="1:4" x14ac:dyDescent="0.25">
      <c r="A367" t="s">
        <v>2230</v>
      </c>
      <c r="B367" s="2">
        <v>1.0169999999999999</v>
      </c>
      <c r="C367" t="s">
        <v>1855</v>
      </c>
      <c r="D367" s="3">
        <v>0.308</v>
      </c>
    </row>
    <row r="368" spans="1:4" x14ac:dyDescent="0.25">
      <c r="A368" t="s">
        <v>2232</v>
      </c>
      <c r="B368" s="2">
        <v>1.0229999999999999</v>
      </c>
      <c r="C368" t="s">
        <v>2233</v>
      </c>
      <c r="D368" s="3">
        <v>0.217</v>
      </c>
    </row>
    <row r="369" spans="1:4" x14ac:dyDescent="0.25">
      <c r="A369" t="s">
        <v>2232</v>
      </c>
      <c r="B369" s="2">
        <v>1.0229999999999999</v>
      </c>
      <c r="C369" t="s">
        <v>2119</v>
      </c>
      <c r="D369" s="3">
        <v>0.56499999999999995</v>
      </c>
    </row>
    <row r="370" spans="1:4" x14ac:dyDescent="0.25">
      <c r="A370" t="s">
        <v>2232</v>
      </c>
      <c r="B370" s="2">
        <v>1.0229999999999999</v>
      </c>
      <c r="C370" t="s">
        <v>2234</v>
      </c>
      <c r="D370" s="3">
        <v>0.34</v>
      </c>
    </row>
    <row r="371" spans="1:4" x14ac:dyDescent="0.25">
      <c r="A371" t="s">
        <v>2232</v>
      </c>
      <c r="B371" s="2">
        <v>1.0229999999999999</v>
      </c>
      <c r="C371" t="s">
        <v>2235</v>
      </c>
      <c r="D371" s="3">
        <v>0.20399999999999999</v>
      </c>
    </row>
    <row r="372" spans="1:4" x14ac:dyDescent="0.25">
      <c r="A372" t="s">
        <v>2232</v>
      </c>
      <c r="B372" s="2">
        <v>1.0229999999999999</v>
      </c>
      <c r="C372" t="s">
        <v>2236</v>
      </c>
      <c r="D372" s="3">
        <v>0.20200000000000001</v>
      </c>
    </row>
    <row r="373" spans="1:4" x14ac:dyDescent="0.25">
      <c r="A373" t="s">
        <v>2238</v>
      </c>
      <c r="B373" s="2">
        <v>1.0049999999999999</v>
      </c>
      <c r="C373" t="s">
        <v>2239</v>
      </c>
      <c r="D373" s="3">
        <v>0.17</v>
      </c>
    </row>
    <row r="374" spans="1:4" x14ac:dyDescent="0.25">
      <c r="A374" t="s">
        <v>2238</v>
      </c>
      <c r="B374" s="2">
        <v>1.0049999999999999</v>
      </c>
      <c r="C374" t="s">
        <v>2239</v>
      </c>
      <c r="D374" s="3">
        <v>0.17</v>
      </c>
    </row>
    <row r="375" spans="1:4" x14ac:dyDescent="0.25">
      <c r="A375" t="s">
        <v>2238</v>
      </c>
      <c r="B375" s="2">
        <v>1.0049999999999999</v>
      </c>
      <c r="C375" t="s">
        <v>2240</v>
      </c>
      <c r="D375" s="3">
        <v>0</v>
      </c>
    </row>
    <row r="376" spans="1:4" x14ac:dyDescent="0.25">
      <c r="A376" t="s">
        <v>2238</v>
      </c>
      <c r="B376" s="2">
        <v>1.0049999999999999</v>
      </c>
      <c r="C376" t="s">
        <v>2241</v>
      </c>
      <c r="D376" s="3">
        <v>0.109</v>
      </c>
    </row>
    <row r="377" spans="1:4" x14ac:dyDescent="0.25">
      <c r="A377" t="s">
        <v>2238</v>
      </c>
      <c r="B377" s="2">
        <v>1.0049999999999999</v>
      </c>
      <c r="C377" t="s">
        <v>2242</v>
      </c>
      <c r="D377" s="3">
        <v>0.109</v>
      </c>
    </row>
    <row r="378" spans="1:4" x14ac:dyDescent="0.25">
      <c r="A378" t="s">
        <v>2238</v>
      </c>
      <c r="B378" s="2">
        <v>1.0049999999999999</v>
      </c>
      <c r="C378" t="s">
        <v>2243</v>
      </c>
      <c r="D378" s="3">
        <v>0.108</v>
      </c>
    </row>
    <row r="379" spans="1:4" x14ac:dyDescent="0.25">
      <c r="A379" t="s">
        <v>2245</v>
      </c>
      <c r="B379" s="2">
        <v>1.0469999999999999</v>
      </c>
      <c r="C379" t="s">
        <v>2246</v>
      </c>
      <c r="D379" s="3">
        <v>0.63500000000000001</v>
      </c>
    </row>
    <row r="380" spans="1:4" x14ac:dyDescent="0.25">
      <c r="A380" t="s">
        <v>2245</v>
      </c>
      <c r="B380" s="2">
        <v>1.0469999999999999</v>
      </c>
      <c r="C380" t="s">
        <v>2247</v>
      </c>
      <c r="D380" s="3">
        <v>0.41599999999999998</v>
      </c>
    </row>
    <row r="381" spans="1:4" x14ac:dyDescent="0.25">
      <c r="A381" t="s">
        <v>2245</v>
      </c>
      <c r="B381" s="2">
        <v>1.0469999999999999</v>
      </c>
      <c r="C381" t="s">
        <v>2248</v>
      </c>
      <c r="D381" s="3">
        <v>7.6999999999999999E-2</v>
      </c>
    </row>
    <row r="382" spans="1:4" x14ac:dyDescent="0.25">
      <c r="A382" t="s">
        <v>2245</v>
      </c>
      <c r="B382" s="2">
        <v>1.0469999999999999</v>
      </c>
      <c r="C382" t="s">
        <v>2248</v>
      </c>
      <c r="D382" s="3">
        <v>7.6999999999999999E-2</v>
      </c>
    </row>
    <row r="383" spans="1:4" x14ac:dyDescent="0.25">
      <c r="A383" t="s">
        <v>2245</v>
      </c>
      <c r="B383" s="2">
        <v>1.0469999999999999</v>
      </c>
      <c r="C383" t="s">
        <v>2249</v>
      </c>
      <c r="D383" s="3">
        <v>0.89900000000000002</v>
      </c>
    </row>
    <row r="384" spans="1:4" x14ac:dyDescent="0.25">
      <c r="A384" t="s">
        <v>2245</v>
      </c>
      <c r="B384" s="2">
        <v>1.0469999999999999</v>
      </c>
      <c r="C384" t="s">
        <v>2250</v>
      </c>
      <c r="D384" s="3">
        <v>0.76500000000000001</v>
      </c>
    </row>
    <row r="385" spans="1:4" x14ac:dyDescent="0.25">
      <c r="A385" t="s">
        <v>2245</v>
      </c>
      <c r="B385" s="2">
        <v>1.0469999999999999</v>
      </c>
      <c r="C385" t="s">
        <v>2252</v>
      </c>
      <c r="D385" s="3">
        <v>0.48099999999999998</v>
      </c>
    </row>
    <row r="386" spans="1:4" x14ac:dyDescent="0.25">
      <c r="A386" t="s">
        <v>2245</v>
      </c>
      <c r="B386" s="2">
        <v>1.0469999999999999</v>
      </c>
      <c r="C386" t="s">
        <v>2253</v>
      </c>
      <c r="D386" s="3">
        <v>0.47599999999999998</v>
      </c>
    </row>
    <row r="387" spans="1:4" x14ac:dyDescent="0.25">
      <c r="A387" t="s">
        <v>2245</v>
      </c>
      <c r="B387" s="2">
        <v>1.0469999999999999</v>
      </c>
      <c r="C387" t="s">
        <v>2254</v>
      </c>
      <c r="D387" s="3">
        <v>0.49</v>
      </c>
    </row>
    <row r="388" spans="1:4" x14ac:dyDescent="0.25">
      <c r="A388" t="s">
        <v>2256</v>
      </c>
      <c r="B388" s="2">
        <v>1.048</v>
      </c>
      <c r="C388" t="s">
        <v>2257</v>
      </c>
      <c r="D388" s="3">
        <v>0.623</v>
      </c>
    </row>
    <row r="389" spans="1:4" x14ac:dyDescent="0.25">
      <c r="A389" t="s">
        <v>2256</v>
      </c>
      <c r="B389" s="2">
        <v>1.048</v>
      </c>
      <c r="C389" t="s">
        <v>2250</v>
      </c>
      <c r="D389" s="3">
        <v>0.76500000000000001</v>
      </c>
    </row>
    <row r="390" spans="1:4" x14ac:dyDescent="0.25">
      <c r="A390" t="s">
        <v>2259</v>
      </c>
      <c r="B390" s="2">
        <v>1.018</v>
      </c>
      <c r="C390" t="s">
        <v>1905</v>
      </c>
      <c r="D390" s="3">
        <v>0.182</v>
      </c>
    </row>
    <row r="391" spans="1:4" x14ac:dyDescent="0.25">
      <c r="A391" t="s">
        <v>2259</v>
      </c>
      <c r="B391" s="2">
        <v>1.018</v>
      </c>
      <c r="C391" t="s">
        <v>1858</v>
      </c>
      <c r="D391" s="3" t="s">
        <v>2962</v>
      </c>
    </row>
    <row r="392" spans="1:4" x14ac:dyDescent="0.25">
      <c r="A392" t="s">
        <v>2261</v>
      </c>
      <c r="B392" s="2">
        <v>1.02</v>
      </c>
      <c r="C392" t="s">
        <v>2262</v>
      </c>
      <c r="D392" s="3">
        <v>0.41299999999999998</v>
      </c>
    </row>
    <row r="393" spans="1:4" x14ac:dyDescent="0.25">
      <c r="A393" t="s">
        <v>2261</v>
      </c>
      <c r="B393" s="2">
        <v>1.02</v>
      </c>
      <c r="C393" t="s">
        <v>2263</v>
      </c>
      <c r="D393" s="3">
        <v>0.43</v>
      </c>
    </row>
    <row r="394" spans="1:4" x14ac:dyDescent="0.25">
      <c r="A394" t="s">
        <v>2261</v>
      </c>
      <c r="B394" s="2">
        <v>1.02</v>
      </c>
      <c r="C394" t="s">
        <v>2264</v>
      </c>
      <c r="D394" s="3">
        <v>0.41599999999999998</v>
      </c>
    </row>
    <row r="395" spans="1:4" x14ac:dyDescent="0.25">
      <c r="A395" t="s">
        <v>2266</v>
      </c>
      <c r="B395" s="2">
        <v>1.0109999999999999</v>
      </c>
      <c r="C395" t="s">
        <v>2267</v>
      </c>
      <c r="D395" s="3">
        <v>0.32900000000000001</v>
      </c>
    </row>
    <row r="396" spans="1:4" x14ac:dyDescent="0.25">
      <c r="A396" t="s">
        <v>2266</v>
      </c>
      <c r="B396" s="2">
        <v>1.0109999999999999</v>
      </c>
      <c r="C396" t="s">
        <v>2268</v>
      </c>
      <c r="D396" s="3">
        <v>0.32500000000000001</v>
      </c>
    </row>
    <row r="397" spans="1:4" x14ac:dyDescent="0.25">
      <c r="A397" t="s">
        <v>2266</v>
      </c>
      <c r="B397" s="2">
        <v>1.0109999999999999</v>
      </c>
      <c r="C397" t="s">
        <v>2269</v>
      </c>
      <c r="D397" s="3">
        <v>0.34599999999999997</v>
      </c>
    </row>
    <row r="398" spans="1:4" x14ac:dyDescent="0.25">
      <c r="A398" t="s">
        <v>2271</v>
      </c>
      <c r="B398" s="2">
        <v>1.022</v>
      </c>
      <c r="C398" t="s">
        <v>2272</v>
      </c>
      <c r="D398" s="3">
        <v>0</v>
      </c>
    </row>
    <row r="399" spans="1:4" x14ac:dyDescent="0.25">
      <c r="A399" t="s">
        <v>2274</v>
      </c>
      <c r="B399" s="2">
        <v>1.02</v>
      </c>
      <c r="C399" t="s">
        <v>2275</v>
      </c>
      <c r="D399" s="3" t="s">
        <v>2962</v>
      </c>
    </row>
    <row r="400" spans="1:4" x14ac:dyDescent="0.25">
      <c r="A400" t="s">
        <v>2284</v>
      </c>
      <c r="B400" s="2">
        <v>0.99299999999999999</v>
      </c>
      <c r="C400" t="s">
        <v>2272</v>
      </c>
      <c r="D400" s="3">
        <v>0</v>
      </c>
    </row>
    <row r="401" spans="1:4" x14ac:dyDescent="0.25">
      <c r="A401" t="s">
        <v>2287</v>
      </c>
      <c r="B401" s="2">
        <v>1.0089999999999999</v>
      </c>
      <c r="C401" t="s">
        <v>1983</v>
      </c>
      <c r="D401" s="3">
        <v>0.33500000000000002</v>
      </c>
    </row>
    <row r="402" spans="1:4" x14ac:dyDescent="0.25">
      <c r="A402" t="s">
        <v>2289</v>
      </c>
      <c r="B402" s="2">
        <v>1.022</v>
      </c>
      <c r="C402" t="s">
        <v>2290</v>
      </c>
      <c r="D402" s="3">
        <v>0</v>
      </c>
    </row>
    <row r="403" spans="1:4" x14ac:dyDescent="0.25">
      <c r="A403" t="s">
        <v>2289</v>
      </c>
      <c r="B403" s="2">
        <v>1.022</v>
      </c>
      <c r="C403" t="s">
        <v>1858</v>
      </c>
      <c r="D403" s="3" t="s">
        <v>2962</v>
      </c>
    </row>
    <row r="404" spans="1:4" x14ac:dyDescent="0.25">
      <c r="A404" t="s">
        <v>2289</v>
      </c>
      <c r="B404" s="2">
        <v>1.022</v>
      </c>
      <c r="C404" t="s">
        <v>2291</v>
      </c>
      <c r="D404" s="3">
        <v>5.0999999999999997E-2</v>
      </c>
    </row>
    <row r="405" spans="1:4" x14ac:dyDescent="0.25">
      <c r="A405" t="s">
        <v>2293</v>
      </c>
      <c r="B405" s="2">
        <v>1.014</v>
      </c>
      <c r="C405" t="s">
        <v>2156</v>
      </c>
      <c r="D405" s="3">
        <v>0</v>
      </c>
    </row>
    <row r="406" spans="1:4" x14ac:dyDescent="0.25">
      <c r="A406" t="s">
        <v>2293</v>
      </c>
      <c r="B406" s="2">
        <v>1.014</v>
      </c>
      <c r="C406" t="s">
        <v>2130</v>
      </c>
      <c r="D406" s="3" t="s">
        <v>2962</v>
      </c>
    </row>
    <row r="407" spans="1:4" x14ac:dyDescent="0.25">
      <c r="A407" t="s">
        <v>2293</v>
      </c>
      <c r="B407" s="2">
        <v>1.014</v>
      </c>
      <c r="C407" t="s">
        <v>2294</v>
      </c>
      <c r="D407" s="3">
        <v>0.32700000000000001</v>
      </c>
    </row>
    <row r="408" spans="1:4" x14ac:dyDescent="0.25">
      <c r="A408" t="s">
        <v>2293</v>
      </c>
      <c r="B408" s="2">
        <v>1.014</v>
      </c>
      <c r="C408" t="s">
        <v>2226</v>
      </c>
      <c r="D408" s="3">
        <v>0.37</v>
      </c>
    </row>
    <row r="409" spans="1:4" x14ac:dyDescent="0.25">
      <c r="A409" t="s">
        <v>2293</v>
      </c>
      <c r="B409" s="2">
        <v>1.014</v>
      </c>
      <c r="C409" t="s">
        <v>2295</v>
      </c>
      <c r="D409" s="3">
        <v>9.7000000000000003E-2</v>
      </c>
    </row>
    <row r="410" spans="1:4" x14ac:dyDescent="0.25">
      <c r="A410" t="s">
        <v>2293</v>
      </c>
      <c r="B410" s="2">
        <v>1.014</v>
      </c>
      <c r="C410" t="s">
        <v>2296</v>
      </c>
      <c r="D410" s="3">
        <v>0.32500000000000001</v>
      </c>
    </row>
    <row r="411" spans="1:4" x14ac:dyDescent="0.25">
      <c r="A411" t="s">
        <v>2293</v>
      </c>
      <c r="B411" s="2">
        <v>1.014</v>
      </c>
      <c r="C411" t="s">
        <v>2297</v>
      </c>
      <c r="D411" s="3">
        <v>0.32300000000000001</v>
      </c>
    </row>
    <row r="412" spans="1:4" x14ac:dyDescent="0.25">
      <c r="A412" t="s">
        <v>2293</v>
      </c>
      <c r="B412" s="2">
        <v>1.014</v>
      </c>
      <c r="C412" t="s">
        <v>2298</v>
      </c>
      <c r="D412" s="3">
        <v>0.32300000000000001</v>
      </c>
    </row>
    <row r="413" spans="1:4" x14ac:dyDescent="0.25">
      <c r="A413" t="s">
        <v>2300</v>
      </c>
      <c r="B413" s="2">
        <v>1.0680000000000001</v>
      </c>
      <c r="C413" t="s">
        <v>1602</v>
      </c>
      <c r="D413" s="3">
        <v>0.39100000000000001</v>
      </c>
    </row>
    <row r="414" spans="1:4" x14ac:dyDescent="0.25">
      <c r="A414" t="s">
        <v>2302</v>
      </c>
      <c r="B414" s="2">
        <v>1.016</v>
      </c>
      <c r="C414" t="s">
        <v>1876</v>
      </c>
      <c r="D414" s="3">
        <v>0.31</v>
      </c>
    </row>
    <row r="415" spans="1:4" x14ac:dyDescent="0.25">
      <c r="A415" t="s">
        <v>2302</v>
      </c>
      <c r="B415" s="2">
        <v>1.016</v>
      </c>
      <c r="C415" t="s">
        <v>1858</v>
      </c>
      <c r="D415" s="3" t="s">
        <v>2962</v>
      </c>
    </row>
    <row r="416" spans="1:4" x14ac:dyDescent="0.25">
      <c r="A416" t="s">
        <v>2304</v>
      </c>
      <c r="B416" s="2">
        <v>1.012</v>
      </c>
      <c r="C416" t="s">
        <v>2305</v>
      </c>
      <c r="D416" s="3" t="s">
        <v>2962</v>
      </c>
    </row>
    <row r="417" spans="1:4" x14ac:dyDescent="0.25">
      <c r="A417" t="s">
        <v>2304</v>
      </c>
      <c r="B417" s="2">
        <v>1.012</v>
      </c>
      <c r="C417" t="s">
        <v>2226</v>
      </c>
      <c r="D417" s="3">
        <v>0.37</v>
      </c>
    </row>
    <row r="418" spans="1:4" x14ac:dyDescent="0.25">
      <c r="A418" t="s">
        <v>2307</v>
      </c>
      <c r="B418" s="2">
        <v>1.0089999999999999</v>
      </c>
      <c r="C418" t="s">
        <v>2305</v>
      </c>
      <c r="D418" s="3" t="s">
        <v>2962</v>
      </c>
    </row>
    <row r="419" spans="1:4" x14ac:dyDescent="0.25">
      <c r="A419" t="s">
        <v>2307</v>
      </c>
      <c r="B419" s="2">
        <v>1.0089999999999999</v>
      </c>
      <c r="C419" t="s">
        <v>2278</v>
      </c>
      <c r="D419" s="3">
        <v>0.41299999999999998</v>
      </c>
    </row>
    <row r="420" spans="1:4" x14ac:dyDescent="0.25">
      <c r="A420" t="s">
        <v>2309</v>
      </c>
      <c r="B420" s="2">
        <v>1.006</v>
      </c>
      <c r="C420" t="s">
        <v>2310</v>
      </c>
      <c r="D420" s="3">
        <v>0.20799999999999999</v>
      </c>
    </row>
    <row r="421" spans="1:4" x14ac:dyDescent="0.25">
      <c r="A421" t="s">
        <v>2309</v>
      </c>
      <c r="B421" s="2">
        <v>1.006</v>
      </c>
      <c r="C421" t="s">
        <v>2311</v>
      </c>
      <c r="D421" s="3">
        <v>0.252</v>
      </c>
    </row>
    <row r="422" spans="1:4" x14ac:dyDescent="0.25">
      <c r="A422" t="s">
        <v>2313</v>
      </c>
      <c r="B422" s="2">
        <v>1.0029999999999999</v>
      </c>
      <c r="C422" t="s">
        <v>2311</v>
      </c>
      <c r="D422" s="3">
        <v>0.252</v>
      </c>
    </row>
    <row r="423" spans="1:4" x14ac:dyDescent="0.25">
      <c r="A423" t="s">
        <v>2315</v>
      </c>
      <c r="B423" s="2">
        <v>1.036</v>
      </c>
      <c r="C423" t="s">
        <v>2316</v>
      </c>
      <c r="D423" s="3">
        <v>0</v>
      </c>
    </row>
    <row r="424" spans="1:4" x14ac:dyDescent="0.25">
      <c r="A424" t="s">
        <v>2318</v>
      </c>
      <c r="B424" s="2">
        <v>1.008</v>
      </c>
      <c r="C424" t="s">
        <v>2319</v>
      </c>
      <c r="D424" s="3" t="s">
        <v>2962</v>
      </c>
    </row>
    <row r="425" spans="1:4" x14ac:dyDescent="0.25">
      <c r="A425" t="s">
        <v>2318</v>
      </c>
      <c r="B425" s="2">
        <v>1.008</v>
      </c>
      <c r="C425" t="s">
        <v>2320</v>
      </c>
      <c r="D425" s="3">
        <v>9.5000000000000001E-2</v>
      </c>
    </row>
    <row r="426" spans="1:4" x14ac:dyDescent="0.25">
      <c r="A426" t="s">
        <v>2322</v>
      </c>
      <c r="B426" s="2">
        <v>1.0109999999999999</v>
      </c>
      <c r="C426" t="s">
        <v>1858</v>
      </c>
      <c r="D426" s="3" t="s">
        <v>2962</v>
      </c>
    </row>
    <row r="427" spans="1:4" x14ac:dyDescent="0.25">
      <c r="A427" t="s">
        <v>2322</v>
      </c>
      <c r="B427" s="2">
        <v>1.0109999999999999</v>
      </c>
      <c r="C427" t="s">
        <v>2320</v>
      </c>
      <c r="D427" s="3">
        <v>9.5000000000000001E-2</v>
      </c>
    </row>
    <row r="428" spans="1:4" x14ac:dyDescent="0.25">
      <c r="A428" t="s">
        <v>2324</v>
      </c>
      <c r="B428" s="2">
        <v>1.0740000000000001</v>
      </c>
      <c r="C428" t="s">
        <v>2325</v>
      </c>
      <c r="D428" s="3">
        <v>0.33</v>
      </c>
    </row>
    <row r="429" spans="1:4" x14ac:dyDescent="0.25">
      <c r="A429" t="s">
        <v>2327</v>
      </c>
      <c r="B429" s="2">
        <v>1.018</v>
      </c>
      <c r="C429" t="s">
        <v>2328</v>
      </c>
      <c r="D429" s="3">
        <v>0.108</v>
      </c>
    </row>
    <row r="430" spans="1:4" x14ac:dyDescent="0.25">
      <c r="A430" t="s">
        <v>2327</v>
      </c>
      <c r="B430" s="2">
        <v>1.018</v>
      </c>
      <c r="C430" t="s">
        <v>2328</v>
      </c>
      <c r="D430" s="3">
        <v>0.108</v>
      </c>
    </row>
    <row r="431" spans="1:4" x14ac:dyDescent="0.25">
      <c r="A431" t="s">
        <v>2330</v>
      </c>
      <c r="B431" s="2">
        <v>1.01</v>
      </c>
      <c r="C431" t="s">
        <v>2331</v>
      </c>
      <c r="D431" s="3">
        <v>0.23100000000000001</v>
      </c>
    </row>
    <row r="432" spans="1:4" x14ac:dyDescent="0.25">
      <c r="A432" t="s">
        <v>2330</v>
      </c>
      <c r="B432" s="2">
        <v>1.01</v>
      </c>
      <c r="C432" t="s">
        <v>2331</v>
      </c>
      <c r="D432" s="3">
        <v>0.23100000000000001</v>
      </c>
    </row>
    <row r="433" spans="1:4" x14ac:dyDescent="0.25">
      <c r="A433" t="s">
        <v>2333</v>
      </c>
      <c r="B433" s="2">
        <v>1.0629999999999999</v>
      </c>
      <c r="C433" t="s">
        <v>2334</v>
      </c>
      <c r="D433" s="3">
        <v>0.17699999999999999</v>
      </c>
    </row>
    <row r="434" spans="1:4" x14ac:dyDescent="0.25">
      <c r="A434" t="s">
        <v>2336</v>
      </c>
      <c r="B434" s="2">
        <v>1.097</v>
      </c>
      <c r="C434" t="s">
        <v>2337</v>
      </c>
      <c r="D434" s="3">
        <v>0.19800000000000001</v>
      </c>
    </row>
    <row r="435" spans="1:4" x14ac:dyDescent="0.25">
      <c r="A435" t="s">
        <v>2339</v>
      </c>
      <c r="B435" s="2">
        <v>1.052</v>
      </c>
      <c r="C435" t="s">
        <v>2340</v>
      </c>
      <c r="D435" s="3">
        <v>0.21299999999999999</v>
      </c>
    </row>
    <row r="436" spans="1:4" x14ac:dyDescent="0.25">
      <c r="A436" t="s">
        <v>2342</v>
      </c>
      <c r="B436" s="2">
        <v>1.097</v>
      </c>
      <c r="C436" t="s">
        <v>2343</v>
      </c>
      <c r="D436" s="3">
        <v>0.318</v>
      </c>
    </row>
    <row r="437" spans="1:4" x14ac:dyDescent="0.25">
      <c r="A437" t="s">
        <v>2345</v>
      </c>
      <c r="B437" s="2">
        <v>1.111</v>
      </c>
      <c r="C437" t="s">
        <v>2343</v>
      </c>
      <c r="D437" s="3">
        <v>0.318</v>
      </c>
    </row>
    <row r="438" spans="1:4" x14ac:dyDescent="0.25">
      <c r="A438" t="s">
        <v>2347</v>
      </c>
      <c r="B438" s="2">
        <v>1.0149999999999999</v>
      </c>
      <c r="C438" t="s">
        <v>1877</v>
      </c>
      <c r="D438" s="3">
        <v>0.36</v>
      </c>
    </row>
    <row r="439" spans="1:4" x14ac:dyDescent="0.25">
      <c r="A439" t="s">
        <v>2347</v>
      </c>
      <c r="B439" s="2">
        <v>1.0149999999999999</v>
      </c>
      <c r="C439" t="s">
        <v>2226</v>
      </c>
      <c r="D439" s="3">
        <v>0.37</v>
      </c>
    </row>
    <row r="440" spans="1:4" x14ac:dyDescent="0.25">
      <c r="A440" t="s">
        <v>2349</v>
      </c>
      <c r="B440" s="2">
        <v>1.0149999999999999</v>
      </c>
      <c r="C440" t="s">
        <v>1858</v>
      </c>
      <c r="D440" s="3" t="s">
        <v>2962</v>
      </c>
    </row>
    <row r="441" spans="1:4" x14ac:dyDescent="0.25">
      <c r="A441" t="s">
        <v>2351</v>
      </c>
      <c r="B441" s="2">
        <v>1.083</v>
      </c>
      <c r="C441" t="s">
        <v>2352</v>
      </c>
      <c r="D441" s="3">
        <v>0.27100000000000002</v>
      </c>
    </row>
    <row r="442" spans="1:4" x14ac:dyDescent="0.25">
      <c r="A442" t="s">
        <v>2354</v>
      </c>
      <c r="B442" s="2">
        <v>1.093</v>
      </c>
      <c r="C442" t="s">
        <v>2355</v>
      </c>
      <c r="D442" s="3">
        <v>0.28699999999999998</v>
      </c>
    </row>
    <row r="443" spans="1:4" x14ac:dyDescent="0.25">
      <c r="A443" t="s">
        <v>2357</v>
      </c>
      <c r="B443" s="2">
        <v>0.98899999999999999</v>
      </c>
      <c r="C443" t="s">
        <v>2239</v>
      </c>
      <c r="D443" s="3">
        <v>0.17</v>
      </c>
    </row>
    <row r="444" spans="1:4" x14ac:dyDescent="0.25">
      <c r="A444" t="s">
        <v>2359</v>
      </c>
      <c r="B444" s="2">
        <v>1.012</v>
      </c>
      <c r="C444" t="s">
        <v>2360</v>
      </c>
      <c r="D444" s="3">
        <v>0.17</v>
      </c>
    </row>
    <row r="445" spans="1:4" x14ac:dyDescent="0.25">
      <c r="A445" t="s">
        <v>2359</v>
      </c>
      <c r="B445" s="2">
        <v>1.012</v>
      </c>
      <c r="C445" t="s">
        <v>2360</v>
      </c>
      <c r="D445" s="3">
        <v>0.17</v>
      </c>
    </row>
    <row r="446" spans="1:4" x14ac:dyDescent="0.25">
      <c r="A446" t="s">
        <v>2359</v>
      </c>
      <c r="B446" s="2">
        <v>1.012</v>
      </c>
      <c r="C446" t="s">
        <v>2361</v>
      </c>
      <c r="D446" s="3">
        <v>0.216</v>
      </c>
    </row>
    <row r="447" spans="1:4" x14ac:dyDescent="0.25">
      <c r="A447" t="s">
        <v>2359</v>
      </c>
      <c r="B447" s="2">
        <v>1.012</v>
      </c>
      <c r="C447" t="s">
        <v>2362</v>
      </c>
      <c r="D447" s="3">
        <v>0</v>
      </c>
    </row>
    <row r="448" spans="1:4" x14ac:dyDescent="0.25">
      <c r="A448" t="s">
        <v>2364</v>
      </c>
      <c r="B448" s="2">
        <v>1.0009999999999999</v>
      </c>
      <c r="C448" t="s">
        <v>2365</v>
      </c>
      <c r="D448" s="3">
        <v>0.183</v>
      </c>
    </row>
    <row r="449" spans="1:4" x14ac:dyDescent="0.25">
      <c r="A449" t="s">
        <v>2367</v>
      </c>
      <c r="B449" s="2">
        <v>1.018</v>
      </c>
      <c r="C449" t="s">
        <v>2368</v>
      </c>
      <c r="D449" s="3">
        <v>0.17399999999999999</v>
      </c>
    </row>
    <row r="450" spans="1:4" x14ac:dyDescent="0.25">
      <c r="A450" t="s">
        <v>2367</v>
      </c>
      <c r="B450" s="2">
        <v>1.018</v>
      </c>
      <c r="C450" t="s">
        <v>1962</v>
      </c>
      <c r="D450" s="3">
        <v>6.5000000000000002E-2</v>
      </c>
    </row>
    <row r="451" spans="1:4" x14ac:dyDescent="0.25">
      <c r="A451" t="s">
        <v>2371</v>
      </c>
      <c r="B451" s="2">
        <v>1.018</v>
      </c>
      <c r="C451" t="s">
        <v>1711</v>
      </c>
      <c r="D451" s="3">
        <v>9.9000000000000005E-2</v>
      </c>
    </row>
    <row r="452" spans="1:4" x14ac:dyDescent="0.25">
      <c r="A452" t="s">
        <v>2373</v>
      </c>
      <c r="B452" s="2">
        <v>1.024</v>
      </c>
      <c r="C452" t="s">
        <v>1623</v>
      </c>
      <c r="D452" s="3">
        <v>0.43</v>
      </c>
    </row>
    <row r="453" spans="1:4" x14ac:dyDescent="0.25">
      <c r="A453" t="s">
        <v>2373</v>
      </c>
      <c r="B453" s="2">
        <v>1.024</v>
      </c>
      <c r="C453" t="s">
        <v>2374</v>
      </c>
      <c r="D453" s="3">
        <v>0.27300000000000002</v>
      </c>
    </row>
    <row r="454" spans="1:4" x14ac:dyDescent="0.25">
      <c r="A454" t="s">
        <v>2373</v>
      </c>
      <c r="B454" s="2">
        <v>1.024</v>
      </c>
      <c r="C454" t="s">
        <v>2375</v>
      </c>
      <c r="D454" s="3">
        <v>5.6000000000000001E-2</v>
      </c>
    </row>
    <row r="455" spans="1:4" x14ac:dyDescent="0.25">
      <c r="A455" t="s">
        <v>2377</v>
      </c>
      <c r="B455" s="2">
        <v>1.02</v>
      </c>
      <c r="C455" t="s">
        <v>2375</v>
      </c>
      <c r="D455" s="3">
        <v>5.6000000000000001E-2</v>
      </c>
    </row>
    <row r="456" spans="1:4" x14ac:dyDescent="0.25">
      <c r="A456" t="s">
        <v>2379</v>
      </c>
      <c r="B456" s="2">
        <v>1.024</v>
      </c>
      <c r="C456" t="s">
        <v>1711</v>
      </c>
      <c r="D456" s="3">
        <v>9.9000000000000005E-2</v>
      </c>
    </row>
    <row r="457" spans="1:4" x14ac:dyDescent="0.25">
      <c r="A457" t="s">
        <v>2379</v>
      </c>
      <c r="B457" s="2">
        <v>1.024</v>
      </c>
      <c r="C457" t="s">
        <v>2380</v>
      </c>
      <c r="D457" s="3">
        <v>0.224</v>
      </c>
    </row>
    <row r="458" spans="1:4" x14ac:dyDescent="0.25">
      <c r="A458" t="s">
        <v>2382</v>
      </c>
      <c r="B458" s="2">
        <v>1.014</v>
      </c>
      <c r="C458" t="s">
        <v>2383</v>
      </c>
      <c r="D458" s="3">
        <v>0.628</v>
      </c>
    </row>
    <row r="459" spans="1:4" x14ac:dyDescent="0.25">
      <c r="A459" t="s">
        <v>2382</v>
      </c>
      <c r="B459" s="2">
        <v>1.014</v>
      </c>
      <c r="C459" t="s">
        <v>2384</v>
      </c>
      <c r="D459" s="3">
        <v>0.48199999999999998</v>
      </c>
    </row>
    <row r="460" spans="1:4" x14ac:dyDescent="0.25">
      <c r="A460" t="s">
        <v>2386</v>
      </c>
      <c r="B460" s="2">
        <v>1</v>
      </c>
      <c r="C460" t="s">
        <v>2387</v>
      </c>
      <c r="D460" s="3">
        <v>0.127</v>
      </c>
    </row>
    <row r="461" spans="1:4" x14ac:dyDescent="0.25">
      <c r="A461" t="s">
        <v>2389</v>
      </c>
      <c r="B461" s="2">
        <v>1.0009999999999999</v>
      </c>
      <c r="C461" t="s">
        <v>2387</v>
      </c>
      <c r="D461" s="3">
        <v>0.127</v>
      </c>
    </row>
    <row r="462" spans="1:4" x14ac:dyDescent="0.25">
      <c r="A462" t="s">
        <v>2391</v>
      </c>
      <c r="B462" s="2">
        <v>1.012</v>
      </c>
      <c r="C462" t="s">
        <v>2392</v>
      </c>
      <c r="D462" s="3">
        <v>0.06</v>
      </c>
    </row>
    <row r="463" spans="1:4" x14ac:dyDescent="0.25">
      <c r="A463" t="s">
        <v>2394</v>
      </c>
      <c r="B463" s="2">
        <v>1.012</v>
      </c>
      <c r="C463" t="s">
        <v>2392</v>
      </c>
      <c r="D463" s="3">
        <v>0.06</v>
      </c>
    </row>
    <row r="464" spans="1:4" x14ac:dyDescent="0.25">
      <c r="A464" t="s">
        <v>2396</v>
      </c>
      <c r="B464" s="2">
        <v>1.0129999999999999</v>
      </c>
      <c r="C464" t="s">
        <v>1911</v>
      </c>
      <c r="D464" s="3">
        <v>0.33800000000000002</v>
      </c>
    </row>
    <row r="465" spans="1:4" x14ac:dyDescent="0.25">
      <c r="A465" t="s">
        <v>2398</v>
      </c>
      <c r="B465" s="2">
        <v>1.014</v>
      </c>
      <c r="C465" t="s">
        <v>2133</v>
      </c>
      <c r="D465" s="3">
        <v>0.47299999999999998</v>
      </c>
    </row>
    <row r="466" spans="1:4" x14ac:dyDescent="0.25">
      <c r="A466" t="s">
        <v>2398</v>
      </c>
      <c r="B466" s="2">
        <v>1.014</v>
      </c>
      <c r="C466" t="s">
        <v>2399</v>
      </c>
      <c r="D466" s="3" t="s">
        <v>2962</v>
      </c>
    </row>
    <row r="467" spans="1:4" x14ac:dyDescent="0.25">
      <c r="A467" t="s">
        <v>2401</v>
      </c>
      <c r="B467" s="2">
        <v>1.0069999999999999</v>
      </c>
      <c r="C467" t="s">
        <v>2399</v>
      </c>
      <c r="D467" s="3" t="s">
        <v>2962</v>
      </c>
    </row>
    <row r="468" spans="1:4" x14ac:dyDescent="0.25">
      <c r="A468" t="s">
        <v>2401</v>
      </c>
      <c r="B468" s="2">
        <v>1.0069999999999999</v>
      </c>
      <c r="C468" t="s">
        <v>2402</v>
      </c>
      <c r="D468" s="3" t="s">
        <v>2962</v>
      </c>
    </row>
    <row r="469" spans="1:4" x14ac:dyDescent="0.25">
      <c r="A469" t="s">
        <v>2404</v>
      </c>
      <c r="B469" s="2">
        <v>1.012</v>
      </c>
      <c r="C469" t="s">
        <v>2405</v>
      </c>
      <c r="D469" s="3">
        <v>0.26900000000000002</v>
      </c>
    </row>
    <row r="470" spans="1:4" x14ac:dyDescent="0.25">
      <c r="A470" t="s">
        <v>2407</v>
      </c>
      <c r="B470" s="2">
        <v>1.012</v>
      </c>
      <c r="C470" t="s">
        <v>2405</v>
      </c>
      <c r="D470" s="3">
        <v>0.26900000000000002</v>
      </c>
    </row>
    <row r="471" spans="1:4" x14ac:dyDescent="0.25">
      <c r="A471" t="s">
        <v>2409</v>
      </c>
      <c r="B471" s="2">
        <v>1.012</v>
      </c>
      <c r="C471" t="s">
        <v>1932</v>
      </c>
      <c r="D471" s="3">
        <v>0</v>
      </c>
    </row>
    <row r="472" spans="1:4" x14ac:dyDescent="0.25">
      <c r="A472" t="s">
        <v>2409</v>
      </c>
      <c r="B472" s="2">
        <v>1.012</v>
      </c>
      <c r="C472" t="s">
        <v>2410</v>
      </c>
      <c r="D472" s="3">
        <v>0.25</v>
      </c>
    </row>
    <row r="473" spans="1:4" x14ac:dyDescent="0.25">
      <c r="A473" t="s">
        <v>2409</v>
      </c>
      <c r="B473" s="2">
        <v>1.012</v>
      </c>
      <c r="C473" t="s">
        <v>1911</v>
      </c>
      <c r="D473" s="3">
        <v>0.33800000000000002</v>
      </c>
    </row>
    <row r="474" spans="1:4" x14ac:dyDescent="0.25">
      <c r="A474" t="s">
        <v>2412</v>
      </c>
      <c r="B474" s="2">
        <v>1.0129999999999999</v>
      </c>
      <c r="C474" t="s">
        <v>2383</v>
      </c>
      <c r="D474" s="3">
        <v>0.628</v>
      </c>
    </row>
    <row r="475" spans="1:4" x14ac:dyDescent="0.25">
      <c r="A475" t="s">
        <v>2414</v>
      </c>
      <c r="B475" s="2">
        <v>1.02</v>
      </c>
      <c r="C475" t="s">
        <v>1932</v>
      </c>
      <c r="D475" s="3">
        <v>0</v>
      </c>
    </row>
    <row r="476" spans="1:4" x14ac:dyDescent="0.25">
      <c r="A476" t="s">
        <v>2414</v>
      </c>
      <c r="B476" s="2">
        <v>1.02</v>
      </c>
      <c r="C476" t="s">
        <v>1932</v>
      </c>
      <c r="D476" s="3">
        <v>0</v>
      </c>
    </row>
    <row r="477" spans="1:4" x14ac:dyDescent="0.25">
      <c r="A477" t="s">
        <v>2416</v>
      </c>
      <c r="B477" s="2">
        <v>1.0509999999999999</v>
      </c>
      <c r="C477" t="s">
        <v>2417</v>
      </c>
      <c r="D477" s="3">
        <v>0.16300000000000001</v>
      </c>
    </row>
    <row r="478" spans="1:4" x14ac:dyDescent="0.25">
      <c r="A478" t="s">
        <v>2419</v>
      </c>
      <c r="B478" s="2">
        <v>1.0109999999999999</v>
      </c>
      <c r="C478" t="s">
        <v>2420</v>
      </c>
      <c r="D478" s="3">
        <v>0.51100000000000001</v>
      </c>
    </row>
    <row r="479" spans="1:4" x14ac:dyDescent="0.25">
      <c r="A479" t="s">
        <v>2422</v>
      </c>
      <c r="B479" s="2">
        <v>1.0509999999999999</v>
      </c>
      <c r="C479" t="s">
        <v>2423</v>
      </c>
      <c r="D479" s="3">
        <v>0.19500000000000001</v>
      </c>
    </row>
    <row r="480" spans="1:4" x14ac:dyDescent="0.25">
      <c r="A480" t="s">
        <v>2425</v>
      </c>
      <c r="B480" s="2">
        <v>1.0580000000000001</v>
      </c>
      <c r="C480" t="s">
        <v>2426</v>
      </c>
      <c r="D480" s="3">
        <v>0.16400000000000001</v>
      </c>
    </row>
    <row r="481" spans="1:4" x14ac:dyDescent="0.25">
      <c r="A481" t="s">
        <v>2428</v>
      </c>
      <c r="B481" s="2">
        <v>1.04</v>
      </c>
      <c r="C481" t="s">
        <v>2429</v>
      </c>
      <c r="D481" s="3">
        <v>0.19700000000000001</v>
      </c>
    </row>
    <row r="482" spans="1:4" x14ac:dyDescent="0.25">
      <c r="A482" t="s">
        <v>2431</v>
      </c>
      <c r="B482" s="2">
        <v>1.016</v>
      </c>
      <c r="C482" t="s">
        <v>2432</v>
      </c>
      <c r="D482" s="3">
        <v>0.73899999999999999</v>
      </c>
    </row>
    <row r="483" spans="1:4" x14ac:dyDescent="0.25">
      <c r="A483" t="s">
        <v>2434</v>
      </c>
      <c r="B483" s="2">
        <v>1.016</v>
      </c>
      <c r="C483" t="s">
        <v>2435</v>
      </c>
      <c r="D483" s="3">
        <v>0.20399999999999999</v>
      </c>
    </row>
    <row r="484" spans="1:4" x14ac:dyDescent="0.25">
      <c r="A484" t="s">
        <v>2434</v>
      </c>
      <c r="B484" s="2">
        <v>1.016</v>
      </c>
      <c r="C484" t="s">
        <v>2432</v>
      </c>
      <c r="D484" s="3">
        <v>0.73899999999999999</v>
      </c>
    </row>
    <row r="485" spans="1:4" x14ac:dyDescent="0.25">
      <c r="A485" t="s">
        <v>2437</v>
      </c>
      <c r="B485" s="2">
        <v>1.016</v>
      </c>
      <c r="C485" t="s">
        <v>2438</v>
      </c>
      <c r="D485" s="3">
        <v>0.185</v>
      </c>
    </row>
    <row r="486" spans="1:4" x14ac:dyDescent="0.25">
      <c r="A486" t="s">
        <v>2437</v>
      </c>
      <c r="B486" s="2">
        <v>1.016</v>
      </c>
      <c r="C486" t="s">
        <v>2432</v>
      </c>
      <c r="D486" s="3">
        <v>0.73899999999999999</v>
      </c>
    </row>
    <row r="487" spans="1:4" x14ac:dyDescent="0.25">
      <c r="A487" t="s">
        <v>2440</v>
      </c>
      <c r="B487" s="2">
        <v>1.0609999999999999</v>
      </c>
      <c r="C487" t="s">
        <v>2130</v>
      </c>
      <c r="D487" s="3" t="s">
        <v>2962</v>
      </c>
    </row>
    <row r="488" spans="1:4" x14ac:dyDescent="0.25">
      <c r="A488" t="s">
        <v>2443</v>
      </c>
      <c r="B488" s="2">
        <v>1.0780000000000001</v>
      </c>
      <c r="C488" t="s">
        <v>2444</v>
      </c>
      <c r="D488" s="3">
        <v>0.30299999999999999</v>
      </c>
    </row>
    <row r="489" spans="1:4" x14ac:dyDescent="0.25">
      <c r="A489" t="s">
        <v>2446</v>
      </c>
      <c r="B489" s="2">
        <v>1.08</v>
      </c>
      <c r="C489" t="s">
        <v>2447</v>
      </c>
      <c r="D489" s="3">
        <v>0.317</v>
      </c>
    </row>
    <row r="490" spans="1:4" x14ac:dyDescent="0.25">
      <c r="A490" t="s">
        <v>2449</v>
      </c>
      <c r="B490" s="2">
        <v>1.105</v>
      </c>
      <c r="C490" t="s">
        <v>2450</v>
      </c>
      <c r="D490" s="3">
        <v>0.31900000000000001</v>
      </c>
    </row>
    <row r="491" spans="1:4" x14ac:dyDescent="0.25">
      <c r="A491" t="s">
        <v>2452</v>
      </c>
      <c r="B491" s="2">
        <v>1.085</v>
      </c>
      <c r="C491" t="s">
        <v>2453</v>
      </c>
      <c r="D491" s="3">
        <v>0.26300000000000001</v>
      </c>
    </row>
    <row r="492" spans="1:4" x14ac:dyDescent="0.25">
      <c r="A492" t="s">
        <v>2455</v>
      </c>
      <c r="B492" s="2">
        <v>1.012</v>
      </c>
      <c r="C492" t="s">
        <v>2405</v>
      </c>
      <c r="D492" s="3">
        <v>0.26900000000000002</v>
      </c>
    </row>
    <row r="493" spans="1:4" x14ac:dyDescent="0.25">
      <c r="A493" t="s">
        <v>2457</v>
      </c>
      <c r="B493" s="2">
        <v>1.012</v>
      </c>
      <c r="C493" t="s">
        <v>1924</v>
      </c>
      <c r="D493" s="3">
        <v>0.628</v>
      </c>
    </row>
    <row r="494" spans="1:4" x14ac:dyDescent="0.25">
      <c r="A494" t="s">
        <v>2457</v>
      </c>
      <c r="B494" s="2">
        <v>1.012</v>
      </c>
      <c r="C494" t="s">
        <v>2458</v>
      </c>
      <c r="D494" s="3">
        <v>7.2999999999999995E-2</v>
      </c>
    </row>
    <row r="495" spans="1:4" x14ac:dyDescent="0.25">
      <c r="A495" t="s">
        <v>2460</v>
      </c>
      <c r="B495" s="2">
        <v>1.0089999999999999</v>
      </c>
      <c r="C495" t="s">
        <v>1919</v>
      </c>
      <c r="D495" s="3">
        <v>0.46100000000000002</v>
      </c>
    </row>
    <row r="496" spans="1:4" x14ac:dyDescent="0.25">
      <c r="A496" t="s">
        <v>2462</v>
      </c>
      <c r="B496" s="2">
        <v>1.018</v>
      </c>
      <c r="C496" t="s">
        <v>2133</v>
      </c>
      <c r="D496" s="3">
        <v>0.47299999999999998</v>
      </c>
    </row>
    <row r="497" spans="1:4" x14ac:dyDescent="0.25">
      <c r="A497" t="s">
        <v>2462</v>
      </c>
      <c r="B497" s="2">
        <v>1.018</v>
      </c>
      <c r="C497" t="s">
        <v>2399</v>
      </c>
      <c r="D497" s="3" t="s">
        <v>2962</v>
      </c>
    </row>
    <row r="498" spans="1:4" x14ac:dyDescent="0.25">
      <c r="A498" t="s">
        <v>2464</v>
      </c>
      <c r="B498" s="2">
        <v>1.099</v>
      </c>
      <c r="C498" t="s">
        <v>2465</v>
      </c>
      <c r="D498" s="3">
        <v>0.36599999999999999</v>
      </c>
    </row>
    <row r="499" spans="1:4" x14ac:dyDescent="0.25">
      <c r="A499" t="s">
        <v>2467</v>
      </c>
      <c r="B499" s="2">
        <v>1.004</v>
      </c>
      <c r="C499" t="s">
        <v>2468</v>
      </c>
      <c r="D499" s="3">
        <v>7.4999999999999997E-2</v>
      </c>
    </row>
    <row r="500" spans="1:4" x14ac:dyDescent="0.25">
      <c r="A500" t="s">
        <v>2467</v>
      </c>
      <c r="B500" s="2">
        <v>1.004</v>
      </c>
      <c r="C500" t="s">
        <v>2365</v>
      </c>
      <c r="D500" s="3">
        <v>0.183</v>
      </c>
    </row>
    <row r="501" spans="1:4" x14ac:dyDescent="0.25">
      <c r="A501" t="s">
        <v>2470</v>
      </c>
      <c r="B501" s="2">
        <v>1.018</v>
      </c>
      <c r="C501" t="s">
        <v>1690</v>
      </c>
      <c r="D501" s="3">
        <v>0.40200000000000002</v>
      </c>
    </row>
    <row r="502" spans="1:4" x14ac:dyDescent="0.25">
      <c r="A502" t="s">
        <v>2470</v>
      </c>
      <c r="B502" s="2">
        <v>1.018</v>
      </c>
      <c r="C502" t="s">
        <v>2471</v>
      </c>
      <c r="D502" s="3">
        <v>0.97799999999999998</v>
      </c>
    </row>
    <row r="503" spans="1:4" x14ac:dyDescent="0.25">
      <c r="A503" t="s">
        <v>2470</v>
      </c>
      <c r="B503" s="2">
        <v>1.018</v>
      </c>
      <c r="C503" t="s">
        <v>1691</v>
      </c>
      <c r="D503" s="3">
        <v>0.21299999999999999</v>
      </c>
    </row>
    <row r="504" spans="1:4" x14ac:dyDescent="0.25">
      <c r="A504" t="s">
        <v>2470</v>
      </c>
      <c r="B504" s="2">
        <v>1.018</v>
      </c>
      <c r="C504" t="s">
        <v>2472</v>
      </c>
      <c r="D504" s="3">
        <v>0.307</v>
      </c>
    </row>
    <row r="505" spans="1:4" x14ac:dyDescent="0.25">
      <c r="A505" t="s">
        <v>2470</v>
      </c>
      <c r="B505" s="2">
        <v>1.018</v>
      </c>
      <c r="C505" t="s">
        <v>1894</v>
      </c>
      <c r="D505" s="3" t="s">
        <v>2962</v>
      </c>
    </row>
    <row r="506" spans="1:4" x14ac:dyDescent="0.25">
      <c r="A506" t="s">
        <v>2470</v>
      </c>
      <c r="B506" s="2">
        <v>1.018</v>
      </c>
      <c r="C506" t="s">
        <v>2402</v>
      </c>
      <c r="D506" s="3" t="s">
        <v>2962</v>
      </c>
    </row>
    <row r="507" spans="1:4" x14ac:dyDescent="0.25">
      <c r="A507" t="s">
        <v>2470</v>
      </c>
      <c r="B507" s="2">
        <v>1.018</v>
      </c>
      <c r="C507" t="s">
        <v>2473</v>
      </c>
      <c r="D507" s="3">
        <v>0.49299999999999999</v>
      </c>
    </row>
    <row r="508" spans="1:4" x14ac:dyDescent="0.25">
      <c r="A508" t="s">
        <v>2470</v>
      </c>
      <c r="B508" s="2">
        <v>1.018</v>
      </c>
      <c r="C508" t="s">
        <v>2474</v>
      </c>
      <c r="D508" s="3">
        <v>0.49</v>
      </c>
    </row>
    <row r="509" spans="1:4" x14ac:dyDescent="0.25">
      <c r="A509" t="s">
        <v>2470</v>
      </c>
      <c r="B509" s="2">
        <v>1.018</v>
      </c>
      <c r="C509" t="s">
        <v>2475</v>
      </c>
      <c r="D509" s="3">
        <v>0.49399999999999999</v>
      </c>
    </row>
    <row r="510" spans="1:4" x14ac:dyDescent="0.25">
      <c r="A510" t="s">
        <v>2477</v>
      </c>
      <c r="B510" s="2">
        <v>1.0089999999999999</v>
      </c>
      <c r="C510" t="s">
        <v>2435</v>
      </c>
      <c r="D510" s="3">
        <v>0.20399999999999999</v>
      </c>
    </row>
    <row r="511" spans="1:4" x14ac:dyDescent="0.25">
      <c r="A511" t="s">
        <v>2479</v>
      </c>
      <c r="B511" s="2">
        <v>1.016</v>
      </c>
      <c r="C511" t="s">
        <v>2432</v>
      </c>
      <c r="D511" s="3">
        <v>0.73899999999999999</v>
      </c>
    </row>
    <row r="512" spans="1:4" x14ac:dyDescent="0.25">
      <c r="A512" t="s">
        <v>2481</v>
      </c>
      <c r="B512" s="2">
        <v>1.01</v>
      </c>
      <c r="C512" t="s">
        <v>2482</v>
      </c>
      <c r="D512" s="3">
        <v>0.69399999999999995</v>
      </c>
    </row>
    <row r="513" spans="1:4" x14ac:dyDescent="0.25">
      <c r="A513" t="s">
        <v>2484</v>
      </c>
      <c r="B513" s="2">
        <v>1.0109999999999999</v>
      </c>
      <c r="C513" t="s">
        <v>2399</v>
      </c>
      <c r="D513" s="3" t="s">
        <v>2962</v>
      </c>
    </row>
    <row r="514" spans="1:4" x14ac:dyDescent="0.25">
      <c r="A514" t="s">
        <v>2484</v>
      </c>
      <c r="B514" s="2">
        <v>1.0109999999999999</v>
      </c>
      <c r="C514" t="s">
        <v>1899</v>
      </c>
      <c r="D514" s="3">
        <v>0.313</v>
      </c>
    </row>
    <row r="515" spans="1:4" x14ac:dyDescent="0.25">
      <c r="A515" t="s">
        <v>2486</v>
      </c>
      <c r="B515" s="2">
        <v>1.014</v>
      </c>
      <c r="C515" t="s">
        <v>2438</v>
      </c>
      <c r="D515" s="3">
        <v>0.185</v>
      </c>
    </row>
    <row r="516" spans="1:4" x14ac:dyDescent="0.25">
      <c r="A516" t="s">
        <v>2486</v>
      </c>
      <c r="B516" s="2">
        <v>1.014</v>
      </c>
      <c r="C516" t="s">
        <v>2399</v>
      </c>
      <c r="D516" s="3" t="s">
        <v>2962</v>
      </c>
    </row>
    <row r="517" spans="1:4" x14ac:dyDescent="0.25">
      <c r="A517" t="s">
        <v>2488</v>
      </c>
      <c r="B517" s="2">
        <v>1.004</v>
      </c>
      <c r="C517" t="s">
        <v>2489</v>
      </c>
      <c r="D517" s="3">
        <v>0.312</v>
      </c>
    </row>
    <row r="518" spans="1:4" x14ac:dyDescent="0.25">
      <c r="A518" t="s">
        <v>2491</v>
      </c>
      <c r="B518" s="2">
        <v>1.01</v>
      </c>
      <c r="C518" t="s">
        <v>2492</v>
      </c>
      <c r="D518" s="3">
        <v>0.312</v>
      </c>
    </row>
    <row r="519" spans="1:4" x14ac:dyDescent="0.25">
      <c r="A519" t="s">
        <v>2491</v>
      </c>
      <c r="B519" s="2">
        <v>1.01</v>
      </c>
      <c r="C519" t="s">
        <v>2482</v>
      </c>
      <c r="D519" s="3">
        <v>0.69399999999999995</v>
      </c>
    </row>
    <row r="520" spans="1:4" x14ac:dyDescent="0.25">
      <c r="A520" t="s">
        <v>2494</v>
      </c>
      <c r="B520" s="2">
        <v>1.0169999999999999</v>
      </c>
      <c r="C520" t="s">
        <v>2133</v>
      </c>
      <c r="D520" s="3">
        <v>0.47299999999999998</v>
      </c>
    </row>
    <row r="521" spans="1:4" x14ac:dyDescent="0.25">
      <c r="A521" t="s">
        <v>2494</v>
      </c>
      <c r="B521" s="2">
        <v>1.0169999999999999</v>
      </c>
      <c r="C521" t="s">
        <v>2383</v>
      </c>
      <c r="D521" s="3">
        <v>0.628</v>
      </c>
    </row>
    <row r="522" spans="1:4" x14ac:dyDescent="0.25">
      <c r="A522" t="s">
        <v>2494</v>
      </c>
      <c r="B522" s="2">
        <v>1.0169999999999999</v>
      </c>
      <c r="C522" t="s">
        <v>2495</v>
      </c>
      <c r="D522" s="3">
        <v>7.3999999999999996E-2</v>
      </c>
    </row>
    <row r="523" spans="1:4" x14ac:dyDescent="0.25">
      <c r="A523" t="s">
        <v>2497</v>
      </c>
      <c r="B523" s="2">
        <v>1.0169999999999999</v>
      </c>
      <c r="C523" t="s">
        <v>1692</v>
      </c>
      <c r="D523" s="3">
        <v>0.161</v>
      </c>
    </row>
    <row r="524" spans="1:4" x14ac:dyDescent="0.25">
      <c r="A524" t="s">
        <v>2499</v>
      </c>
      <c r="B524" s="2">
        <v>1.002</v>
      </c>
      <c r="C524" t="s">
        <v>2402</v>
      </c>
      <c r="D524" s="3" t="s">
        <v>2962</v>
      </c>
    </row>
    <row r="525" spans="1:4" x14ac:dyDescent="0.25">
      <c r="A525" t="s">
        <v>2499</v>
      </c>
      <c r="B525" s="2">
        <v>1.002</v>
      </c>
      <c r="C525" t="s">
        <v>2387</v>
      </c>
      <c r="D525" s="3">
        <v>0.127</v>
      </c>
    </row>
    <row r="526" spans="1:4" x14ac:dyDescent="0.25">
      <c r="A526" t="s">
        <v>2501</v>
      </c>
      <c r="B526" s="2">
        <v>1.014</v>
      </c>
      <c r="C526" t="s">
        <v>2482</v>
      </c>
      <c r="D526" s="3">
        <v>0.69399999999999995</v>
      </c>
    </row>
    <row r="527" spans="1:4" x14ac:dyDescent="0.25">
      <c r="A527" t="s">
        <v>2501</v>
      </c>
      <c r="B527" s="2">
        <v>1.014</v>
      </c>
      <c r="C527" t="s">
        <v>1898</v>
      </c>
      <c r="D527" s="3">
        <v>0.13900000000000001</v>
      </c>
    </row>
    <row r="528" spans="1:4" x14ac:dyDescent="0.25">
      <c r="A528" t="s">
        <v>2503</v>
      </c>
      <c r="B528" s="2">
        <v>1.0129999999999999</v>
      </c>
      <c r="C528" t="s">
        <v>2405</v>
      </c>
      <c r="D528" s="3">
        <v>0.26900000000000002</v>
      </c>
    </row>
    <row r="529" spans="1:4" x14ac:dyDescent="0.25">
      <c r="A529" t="s">
        <v>2503</v>
      </c>
      <c r="B529" s="2">
        <v>1.0129999999999999</v>
      </c>
      <c r="C529" t="s">
        <v>1926</v>
      </c>
      <c r="D529" s="3">
        <v>0.1</v>
      </c>
    </row>
    <row r="530" spans="1:4" x14ac:dyDescent="0.25">
      <c r="A530" t="s">
        <v>2505</v>
      </c>
      <c r="B530" s="2">
        <v>1.0660000000000001</v>
      </c>
      <c r="C530" t="s">
        <v>2506</v>
      </c>
      <c r="D530" s="3">
        <v>0.41499999999999998</v>
      </c>
    </row>
    <row r="531" spans="1:4" x14ac:dyDescent="0.25">
      <c r="A531" t="s">
        <v>2508</v>
      </c>
      <c r="B531" s="2">
        <v>1.103</v>
      </c>
      <c r="C531" t="s">
        <v>1645</v>
      </c>
      <c r="D531" s="3">
        <v>2E-3</v>
      </c>
    </row>
    <row r="532" spans="1:4" x14ac:dyDescent="0.25">
      <c r="A532" t="s">
        <v>2510</v>
      </c>
      <c r="B532" s="2">
        <v>1.06</v>
      </c>
      <c r="C532" t="s">
        <v>2511</v>
      </c>
      <c r="D532" s="3">
        <v>0.42099999999999999</v>
      </c>
    </row>
    <row r="533" spans="1:4" x14ac:dyDescent="0.25">
      <c r="A533" t="s">
        <v>2513</v>
      </c>
      <c r="B533" s="2">
        <v>1.046</v>
      </c>
      <c r="C533" t="s">
        <v>2514</v>
      </c>
      <c r="D533" s="3">
        <v>9.6000000000000002E-2</v>
      </c>
    </row>
    <row r="534" spans="1:4" x14ac:dyDescent="0.25">
      <c r="A534" t="s">
        <v>2516</v>
      </c>
      <c r="B534" s="2">
        <v>1.123</v>
      </c>
      <c r="C534" t="s">
        <v>2044</v>
      </c>
      <c r="D534" s="3">
        <v>0.313</v>
      </c>
    </row>
    <row r="535" spans="1:4" x14ac:dyDescent="0.25">
      <c r="A535" t="s">
        <v>2516</v>
      </c>
      <c r="B535" s="2">
        <v>1.123</v>
      </c>
      <c r="C535" t="s">
        <v>2044</v>
      </c>
      <c r="D535" s="3">
        <v>0.313</v>
      </c>
    </row>
    <row r="536" spans="1:4" x14ac:dyDescent="0.25">
      <c r="A536" t="s">
        <v>2516</v>
      </c>
      <c r="B536" s="2">
        <v>1.123</v>
      </c>
      <c r="C536" t="s">
        <v>2517</v>
      </c>
      <c r="D536" s="3">
        <v>0</v>
      </c>
    </row>
    <row r="537" spans="1:4" x14ac:dyDescent="0.25">
      <c r="A537" t="s">
        <v>2519</v>
      </c>
      <c r="B537" s="2">
        <v>1.014</v>
      </c>
      <c r="C537" t="s">
        <v>2438</v>
      </c>
      <c r="D537" s="3">
        <v>0.185</v>
      </c>
    </row>
    <row r="538" spans="1:4" x14ac:dyDescent="0.25">
      <c r="A538" t="s">
        <v>2519</v>
      </c>
      <c r="B538" s="2">
        <v>1.014</v>
      </c>
      <c r="C538" t="s">
        <v>2435</v>
      </c>
      <c r="D538" s="3">
        <v>0.20399999999999999</v>
      </c>
    </row>
    <row r="539" spans="1:4" x14ac:dyDescent="0.25">
      <c r="A539" t="s">
        <v>2521</v>
      </c>
      <c r="B539" s="2">
        <v>0.98699999999999999</v>
      </c>
      <c r="C539" t="s">
        <v>2182</v>
      </c>
      <c r="D539" s="3">
        <v>0.433</v>
      </c>
    </row>
    <row r="540" spans="1:4" x14ac:dyDescent="0.25">
      <c r="A540" t="s">
        <v>2523</v>
      </c>
      <c r="B540" s="2">
        <v>1.006</v>
      </c>
      <c r="C540" t="s">
        <v>1666</v>
      </c>
      <c r="D540" s="3" t="s">
        <v>2962</v>
      </c>
    </row>
    <row r="541" spans="1:4" x14ac:dyDescent="0.25">
      <c r="A541" t="s">
        <v>2523</v>
      </c>
      <c r="B541" s="2">
        <v>1.006</v>
      </c>
      <c r="C541" t="s">
        <v>2524</v>
      </c>
      <c r="D541" s="3">
        <v>0.23300000000000001</v>
      </c>
    </row>
    <row r="542" spans="1:4" x14ac:dyDescent="0.25">
      <c r="A542" t="s">
        <v>2523</v>
      </c>
      <c r="B542" s="2">
        <v>1.006</v>
      </c>
      <c r="C542" t="s">
        <v>2525</v>
      </c>
      <c r="D542" s="3">
        <v>0.26400000000000001</v>
      </c>
    </row>
    <row r="543" spans="1:4" x14ac:dyDescent="0.25">
      <c r="A543" t="s">
        <v>2527</v>
      </c>
      <c r="B543" s="2">
        <v>1.006</v>
      </c>
      <c r="C543" t="s">
        <v>2182</v>
      </c>
      <c r="D543" s="3">
        <v>0.433</v>
      </c>
    </row>
    <row r="544" spans="1:4" x14ac:dyDescent="0.25">
      <c r="A544" t="s">
        <v>2529</v>
      </c>
      <c r="B544" s="2">
        <v>1.0109999999999999</v>
      </c>
      <c r="C544" t="s">
        <v>2172</v>
      </c>
      <c r="D544" s="3">
        <v>0.29499999999999998</v>
      </c>
    </row>
    <row r="545" spans="1:4" x14ac:dyDescent="0.25">
      <c r="A545" t="s">
        <v>2529</v>
      </c>
      <c r="B545" s="2">
        <v>1.0109999999999999</v>
      </c>
      <c r="C545" t="s">
        <v>2530</v>
      </c>
      <c r="D545" s="3">
        <v>0</v>
      </c>
    </row>
    <row r="546" spans="1:4" x14ac:dyDescent="0.25">
      <c r="A546" t="s">
        <v>2529</v>
      </c>
      <c r="B546" s="2">
        <v>1.0109999999999999</v>
      </c>
      <c r="C546" t="s">
        <v>1669</v>
      </c>
      <c r="D546" s="3">
        <v>9.7000000000000003E-2</v>
      </c>
    </row>
    <row r="547" spans="1:4" x14ac:dyDescent="0.25">
      <c r="A547" t="s">
        <v>2532</v>
      </c>
      <c r="B547" s="2">
        <v>1.0109999999999999</v>
      </c>
      <c r="C547" t="s">
        <v>2179</v>
      </c>
      <c r="D547" s="3" t="s">
        <v>2962</v>
      </c>
    </row>
    <row r="548" spans="1:4" x14ac:dyDescent="0.25">
      <c r="A548" t="s">
        <v>2534</v>
      </c>
      <c r="B548" s="2">
        <v>1.0109999999999999</v>
      </c>
      <c r="C548" t="s">
        <v>1645</v>
      </c>
      <c r="D548" s="3">
        <v>2E-3</v>
      </c>
    </row>
    <row r="549" spans="1:4" x14ac:dyDescent="0.25">
      <c r="A549" t="s">
        <v>2534</v>
      </c>
      <c r="B549" s="2">
        <v>1.0109999999999999</v>
      </c>
      <c r="C549" t="s">
        <v>2179</v>
      </c>
      <c r="D549" s="3" t="s">
        <v>2962</v>
      </c>
    </row>
    <row r="550" spans="1:4" x14ac:dyDescent="0.25">
      <c r="A550" t="s">
        <v>2534</v>
      </c>
      <c r="B550" s="2">
        <v>1.0109999999999999</v>
      </c>
      <c r="C550" t="s">
        <v>2535</v>
      </c>
      <c r="D550" s="3">
        <v>0.16900000000000001</v>
      </c>
    </row>
    <row r="551" spans="1:4" x14ac:dyDescent="0.25">
      <c r="A551" t="s">
        <v>2537</v>
      </c>
      <c r="B551" s="2">
        <v>1.0109999999999999</v>
      </c>
      <c r="C551" t="s">
        <v>1669</v>
      </c>
      <c r="D551" s="3">
        <v>9.7000000000000003E-2</v>
      </c>
    </row>
    <row r="552" spans="1:4" x14ac:dyDescent="0.25">
      <c r="A552" t="s">
        <v>2539</v>
      </c>
      <c r="B552" s="2">
        <v>0.98899999999999999</v>
      </c>
      <c r="C552" t="s">
        <v>1645</v>
      </c>
      <c r="D552" s="3">
        <v>2E-3</v>
      </c>
    </row>
    <row r="553" spans="1:4" x14ac:dyDescent="0.25">
      <c r="A553" t="s">
        <v>2541</v>
      </c>
      <c r="B553" s="2">
        <v>0.96499999999999997</v>
      </c>
      <c r="C553" t="s">
        <v>2438</v>
      </c>
      <c r="D553" s="3">
        <v>0.185</v>
      </c>
    </row>
    <row r="554" spans="1:4" x14ac:dyDescent="0.25">
      <c r="A554" t="s">
        <v>2543</v>
      </c>
      <c r="B554" s="2">
        <v>1.0509999999999999</v>
      </c>
      <c r="C554" t="s">
        <v>2544</v>
      </c>
      <c r="D554" s="3">
        <v>0.33100000000000002</v>
      </c>
    </row>
    <row r="555" spans="1:4" x14ac:dyDescent="0.25">
      <c r="A555" t="s">
        <v>2546</v>
      </c>
      <c r="B555" s="2">
        <v>1.014</v>
      </c>
      <c r="C555" t="s">
        <v>2547</v>
      </c>
      <c r="D555" s="3">
        <v>0.69399999999999995</v>
      </c>
    </row>
    <row r="556" spans="1:4" x14ac:dyDescent="0.25">
      <c r="A556" t="s">
        <v>2546</v>
      </c>
      <c r="B556" s="2">
        <v>1.014</v>
      </c>
      <c r="C556" t="s">
        <v>2489</v>
      </c>
      <c r="D556" s="3">
        <v>0.312</v>
      </c>
    </row>
    <row r="557" spans="1:4" x14ac:dyDescent="0.25">
      <c r="A557" t="s">
        <v>2546</v>
      </c>
      <c r="B557" s="2">
        <v>1.014</v>
      </c>
      <c r="C557" t="s">
        <v>2548</v>
      </c>
      <c r="D557" s="3">
        <v>0.14099999999999999</v>
      </c>
    </row>
    <row r="558" spans="1:4" x14ac:dyDescent="0.25">
      <c r="A558" t="s">
        <v>2546</v>
      </c>
      <c r="B558" s="2">
        <v>1.014</v>
      </c>
      <c r="C558" t="s">
        <v>2549</v>
      </c>
      <c r="D558" s="3">
        <v>0.42799999999999999</v>
      </c>
    </row>
    <row r="559" spans="1:4" x14ac:dyDescent="0.25">
      <c r="A559" t="s">
        <v>2546</v>
      </c>
      <c r="B559" s="2">
        <v>1.014</v>
      </c>
      <c r="C559" t="s">
        <v>2550</v>
      </c>
      <c r="D559" s="3">
        <v>0.42799999999999999</v>
      </c>
    </row>
    <row r="560" spans="1:4" x14ac:dyDescent="0.25">
      <c r="A560" t="s">
        <v>2552</v>
      </c>
      <c r="B560" s="2">
        <v>1.02</v>
      </c>
      <c r="C560" t="s">
        <v>2223</v>
      </c>
      <c r="D560" s="3" t="s">
        <v>2962</v>
      </c>
    </row>
    <row r="561" spans="1:4" x14ac:dyDescent="0.25">
      <c r="A561" t="s">
        <v>2558</v>
      </c>
      <c r="B561" s="2">
        <v>1.0149999999999999</v>
      </c>
      <c r="C561" t="s">
        <v>2432</v>
      </c>
      <c r="D561" s="3">
        <v>0.73899999999999999</v>
      </c>
    </row>
    <row r="562" spans="1:4" x14ac:dyDescent="0.25">
      <c r="A562" t="s">
        <v>2560</v>
      </c>
      <c r="B562" s="2">
        <v>1.0149999999999999</v>
      </c>
      <c r="C562" t="s">
        <v>2438</v>
      </c>
      <c r="D562" s="3">
        <v>0.185</v>
      </c>
    </row>
    <row r="563" spans="1:4" x14ac:dyDescent="0.25">
      <c r="A563" t="s">
        <v>2560</v>
      </c>
      <c r="B563" s="2">
        <v>1.0149999999999999</v>
      </c>
      <c r="C563" t="s">
        <v>2548</v>
      </c>
      <c r="D563" s="3">
        <v>0.14099999999999999</v>
      </c>
    </row>
    <row r="564" spans="1:4" x14ac:dyDescent="0.25">
      <c r="A564" t="s">
        <v>2562</v>
      </c>
      <c r="B564" s="2">
        <v>1.034</v>
      </c>
      <c r="C564" t="s">
        <v>2563</v>
      </c>
      <c r="D564" s="3">
        <v>0.253</v>
      </c>
    </row>
    <row r="565" spans="1:4" x14ac:dyDescent="0.25">
      <c r="A565" t="s">
        <v>2562</v>
      </c>
      <c r="B565" s="2">
        <v>1.034</v>
      </c>
      <c r="C565" t="s">
        <v>2564</v>
      </c>
      <c r="D565" s="3">
        <v>0.23699999999999999</v>
      </c>
    </row>
    <row r="566" spans="1:4" x14ac:dyDescent="0.25">
      <c r="A566" t="s">
        <v>2562</v>
      </c>
      <c r="B566" s="2">
        <v>1.034</v>
      </c>
      <c r="C566" t="s">
        <v>2565</v>
      </c>
      <c r="D566" s="3">
        <v>0.26800000000000002</v>
      </c>
    </row>
    <row r="567" spans="1:4" x14ac:dyDescent="0.25">
      <c r="A567" t="s">
        <v>2562</v>
      </c>
      <c r="B567" s="2">
        <v>1.034</v>
      </c>
      <c r="C567" t="s">
        <v>2566</v>
      </c>
      <c r="D567" s="3">
        <v>0.25600000000000001</v>
      </c>
    </row>
    <row r="568" spans="1:4" x14ac:dyDescent="0.25">
      <c r="A568" t="s">
        <v>2568</v>
      </c>
      <c r="B568" s="2">
        <v>1.0169999999999999</v>
      </c>
      <c r="C568" t="s">
        <v>2569</v>
      </c>
      <c r="D568" s="3">
        <v>0.28799999999999998</v>
      </c>
    </row>
    <row r="569" spans="1:4" x14ac:dyDescent="0.25">
      <c r="A569" t="s">
        <v>2568</v>
      </c>
      <c r="B569" s="2">
        <v>1.0169999999999999</v>
      </c>
      <c r="C569" t="s">
        <v>2570</v>
      </c>
      <c r="D569" s="3">
        <v>3.3000000000000002E-2</v>
      </c>
    </row>
    <row r="570" spans="1:4" x14ac:dyDescent="0.25">
      <c r="A570" t="s">
        <v>2572</v>
      </c>
      <c r="B570" s="2">
        <v>1.0069999999999999</v>
      </c>
      <c r="C570" t="s">
        <v>2573</v>
      </c>
      <c r="D570" s="3">
        <v>0.255</v>
      </c>
    </row>
    <row r="571" spans="1:4" x14ac:dyDescent="0.25">
      <c r="A571" t="s">
        <v>2572</v>
      </c>
      <c r="B571" s="2">
        <v>1.0069999999999999</v>
      </c>
      <c r="C571" t="s">
        <v>2574</v>
      </c>
      <c r="D571" s="3" t="s">
        <v>2962</v>
      </c>
    </row>
    <row r="572" spans="1:4" x14ac:dyDescent="0.25">
      <c r="A572" t="s">
        <v>2576</v>
      </c>
      <c r="B572" s="2">
        <v>1.0089999999999999</v>
      </c>
      <c r="C572" t="s">
        <v>2574</v>
      </c>
      <c r="D572" s="3" t="s">
        <v>2962</v>
      </c>
    </row>
    <row r="573" spans="1:4" x14ac:dyDescent="0.25">
      <c r="A573" t="s">
        <v>2578</v>
      </c>
      <c r="B573" s="2">
        <v>1.016</v>
      </c>
      <c r="C573" t="s">
        <v>2471</v>
      </c>
      <c r="D573" s="3">
        <v>0.97799999999999998</v>
      </c>
    </row>
    <row r="574" spans="1:4" x14ac:dyDescent="0.25">
      <c r="A574" t="s">
        <v>2578</v>
      </c>
      <c r="B574" s="2">
        <v>1.016</v>
      </c>
      <c r="C574" t="s">
        <v>2399</v>
      </c>
      <c r="D574" s="3" t="s">
        <v>2962</v>
      </c>
    </row>
    <row r="575" spans="1:4" x14ac:dyDescent="0.25">
      <c r="A575" t="s">
        <v>2578</v>
      </c>
      <c r="B575" s="2">
        <v>1.016</v>
      </c>
      <c r="C575" t="s">
        <v>2579</v>
      </c>
      <c r="D575" s="3">
        <v>0.191</v>
      </c>
    </row>
    <row r="576" spans="1:4" x14ac:dyDescent="0.25">
      <c r="A576" t="s">
        <v>2581</v>
      </c>
      <c r="B576" s="2">
        <v>1.0009999999999999</v>
      </c>
      <c r="C576" t="s">
        <v>2582</v>
      </c>
      <c r="D576" s="3">
        <v>0.126</v>
      </c>
    </row>
    <row r="577" spans="1:4" x14ac:dyDescent="0.25">
      <c r="A577" t="s">
        <v>2581</v>
      </c>
      <c r="B577" s="2">
        <v>1.0009999999999999</v>
      </c>
      <c r="C577" t="s">
        <v>2583</v>
      </c>
      <c r="D577" s="3">
        <v>4.1000000000000002E-2</v>
      </c>
    </row>
    <row r="578" spans="1:4" x14ac:dyDescent="0.25">
      <c r="A578" t="s">
        <v>2581</v>
      </c>
      <c r="B578" s="2">
        <v>1.0009999999999999</v>
      </c>
      <c r="C578" t="s">
        <v>2579</v>
      </c>
      <c r="D578" s="3">
        <v>0.191</v>
      </c>
    </row>
    <row r="579" spans="1:4" x14ac:dyDescent="0.25">
      <c r="A579" t="s">
        <v>2585</v>
      </c>
      <c r="B579" s="2">
        <v>1.012</v>
      </c>
      <c r="C579" t="s">
        <v>1909</v>
      </c>
      <c r="D579" s="3">
        <v>0.28899999999999998</v>
      </c>
    </row>
    <row r="580" spans="1:4" x14ac:dyDescent="0.25">
      <c r="A580" t="s">
        <v>2585</v>
      </c>
      <c r="B580" s="2">
        <v>1.012</v>
      </c>
      <c r="C580" t="s">
        <v>2392</v>
      </c>
      <c r="D580" s="3">
        <v>0.06</v>
      </c>
    </row>
    <row r="581" spans="1:4" x14ac:dyDescent="0.25">
      <c r="A581" t="s">
        <v>2585</v>
      </c>
      <c r="B581" s="2">
        <v>1.012</v>
      </c>
      <c r="C581" t="s">
        <v>2405</v>
      </c>
      <c r="D581" s="3">
        <v>0.26900000000000002</v>
      </c>
    </row>
    <row r="582" spans="1:4" x14ac:dyDescent="0.25">
      <c r="A582" t="s">
        <v>2587</v>
      </c>
      <c r="B582" s="2">
        <v>1.012</v>
      </c>
      <c r="C582" t="s">
        <v>2588</v>
      </c>
      <c r="D582" s="3">
        <v>0.06</v>
      </c>
    </row>
    <row r="583" spans="1:4" x14ac:dyDescent="0.25">
      <c r="A583" t="s">
        <v>2587</v>
      </c>
      <c r="B583" s="2">
        <v>1.012</v>
      </c>
      <c r="C583" t="s">
        <v>2589</v>
      </c>
      <c r="D583" s="3">
        <v>0</v>
      </c>
    </row>
    <row r="584" spans="1:4" x14ac:dyDescent="0.25">
      <c r="A584" t="s">
        <v>2587</v>
      </c>
      <c r="B584" s="2">
        <v>1.012</v>
      </c>
      <c r="C584" t="s">
        <v>2410</v>
      </c>
      <c r="D584" s="3">
        <v>0.25</v>
      </c>
    </row>
    <row r="585" spans="1:4" x14ac:dyDescent="0.25">
      <c r="A585" t="s">
        <v>2591</v>
      </c>
      <c r="B585" s="2">
        <v>1.0129999999999999</v>
      </c>
      <c r="C585" t="s">
        <v>1932</v>
      </c>
      <c r="D585" s="3">
        <v>0</v>
      </c>
    </row>
    <row r="586" spans="1:4" x14ac:dyDescent="0.25">
      <c r="A586" t="s">
        <v>2591</v>
      </c>
      <c r="B586" s="2">
        <v>1.0129999999999999</v>
      </c>
      <c r="C586" t="s">
        <v>2592</v>
      </c>
      <c r="D586" s="3">
        <v>8.7999999999999995E-2</v>
      </c>
    </row>
    <row r="587" spans="1:4" x14ac:dyDescent="0.25">
      <c r="A587" t="s">
        <v>2591</v>
      </c>
      <c r="B587" s="2">
        <v>1.0129999999999999</v>
      </c>
      <c r="C587" t="s">
        <v>1909</v>
      </c>
      <c r="D587" s="3">
        <v>0.28899999999999998</v>
      </c>
    </row>
    <row r="588" spans="1:4" x14ac:dyDescent="0.25">
      <c r="A588" t="s">
        <v>2594</v>
      </c>
      <c r="B588" s="2">
        <v>1.03</v>
      </c>
      <c r="C588" t="s">
        <v>2216</v>
      </c>
      <c r="D588" s="3">
        <v>0.33800000000000002</v>
      </c>
    </row>
    <row r="589" spans="1:4" x14ac:dyDescent="0.25">
      <c r="A589" t="s">
        <v>2594</v>
      </c>
      <c r="B589" s="2">
        <v>1.03</v>
      </c>
      <c r="C589" t="s">
        <v>2574</v>
      </c>
      <c r="D589" s="3" t="s">
        <v>2962</v>
      </c>
    </row>
    <row r="590" spans="1:4" x14ac:dyDescent="0.25">
      <c r="A590" t="s">
        <v>2596</v>
      </c>
      <c r="B590" s="2">
        <v>1.036</v>
      </c>
      <c r="C590" t="s">
        <v>2316</v>
      </c>
      <c r="D590" s="3">
        <v>0</v>
      </c>
    </row>
    <row r="591" spans="1:4" x14ac:dyDescent="0.25">
      <c r="A591" t="s">
        <v>2598</v>
      </c>
      <c r="B591" s="2">
        <v>1.0309999999999999</v>
      </c>
      <c r="C591" t="s">
        <v>2316</v>
      </c>
      <c r="D591" s="3">
        <v>0</v>
      </c>
    </row>
    <row r="592" spans="1:4" x14ac:dyDescent="0.25">
      <c r="A592" t="s">
        <v>2600</v>
      </c>
      <c r="B592" s="2">
        <v>1.012</v>
      </c>
      <c r="C592" t="s">
        <v>2601</v>
      </c>
      <c r="D592" s="3">
        <v>0.33400000000000002</v>
      </c>
    </row>
    <row r="593" spans="1:4" x14ac:dyDescent="0.25">
      <c r="A593" t="s">
        <v>2600</v>
      </c>
      <c r="B593" s="2">
        <v>1.012</v>
      </c>
      <c r="C593" t="s">
        <v>2602</v>
      </c>
      <c r="D593" s="3">
        <v>0.255</v>
      </c>
    </row>
    <row r="594" spans="1:4" x14ac:dyDescent="0.25">
      <c r="A594" t="s">
        <v>2600</v>
      </c>
      <c r="B594" s="2">
        <v>1.012</v>
      </c>
      <c r="C594" t="s">
        <v>2603</v>
      </c>
      <c r="D594" s="3">
        <v>0.254</v>
      </c>
    </row>
    <row r="595" spans="1:4" x14ac:dyDescent="0.25">
      <c r="A595" t="s">
        <v>2605</v>
      </c>
      <c r="B595" s="2">
        <v>1.016</v>
      </c>
      <c r="C595" t="s">
        <v>2573</v>
      </c>
      <c r="D595" s="3">
        <v>0.255</v>
      </c>
    </row>
    <row r="596" spans="1:4" x14ac:dyDescent="0.25">
      <c r="A596" t="s">
        <v>2605</v>
      </c>
      <c r="B596" s="2">
        <v>1.016</v>
      </c>
      <c r="C596" t="s">
        <v>1679</v>
      </c>
      <c r="D596" s="3">
        <v>0.51600000000000001</v>
      </c>
    </row>
    <row r="597" spans="1:4" x14ac:dyDescent="0.25">
      <c r="A597" t="s">
        <v>2607</v>
      </c>
      <c r="B597" s="2">
        <v>1.016</v>
      </c>
      <c r="C597" t="s">
        <v>2608</v>
      </c>
      <c r="D597" s="3">
        <v>0.435</v>
      </c>
    </row>
    <row r="598" spans="1:4" x14ac:dyDescent="0.25">
      <c r="A598" t="s">
        <v>2607</v>
      </c>
      <c r="B598" s="2">
        <v>1.016</v>
      </c>
      <c r="C598" t="s">
        <v>2609</v>
      </c>
      <c r="D598" s="3">
        <v>0.438</v>
      </c>
    </row>
    <row r="599" spans="1:4" x14ac:dyDescent="0.25">
      <c r="A599" t="s">
        <v>2611</v>
      </c>
      <c r="B599" s="2">
        <v>1.05</v>
      </c>
      <c r="C599" t="s">
        <v>2612</v>
      </c>
      <c r="D599" s="3">
        <v>0.215</v>
      </c>
    </row>
    <row r="600" spans="1:4" x14ac:dyDescent="0.25">
      <c r="A600" t="s">
        <v>2614</v>
      </c>
      <c r="B600" s="2">
        <v>1.0740000000000001</v>
      </c>
      <c r="C600" t="s">
        <v>2615</v>
      </c>
      <c r="D600" s="3">
        <v>0.224</v>
      </c>
    </row>
    <row r="601" spans="1:4" x14ac:dyDescent="0.25">
      <c r="A601" t="s">
        <v>2617</v>
      </c>
      <c r="B601" s="2">
        <v>1.0229999999999999</v>
      </c>
      <c r="C601" t="s">
        <v>2083</v>
      </c>
      <c r="D601" s="3" t="s">
        <v>2962</v>
      </c>
    </row>
    <row r="602" spans="1:4" x14ac:dyDescent="0.25">
      <c r="A602" t="s">
        <v>2617</v>
      </c>
      <c r="B602" s="2">
        <v>1.0229999999999999</v>
      </c>
      <c r="C602" t="s">
        <v>2618</v>
      </c>
      <c r="D602" s="3">
        <v>6.7000000000000004E-2</v>
      </c>
    </row>
    <row r="603" spans="1:4" x14ac:dyDescent="0.25">
      <c r="A603" t="s">
        <v>2617</v>
      </c>
      <c r="B603" s="2">
        <v>1.0229999999999999</v>
      </c>
      <c r="C603" t="s">
        <v>2619</v>
      </c>
      <c r="D603" s="3">
        <v>6.6000000000000003E-2</v>
      </c>
    </row>
    <row r="604" spans="1:4" x14ac:dyDescent="0.25">
      <c r="A604" t="s">
        <v>2621</v>
      </c>
      <c r="B604" s="2">
        <v>1.006</v>
      </c>
      <c r="C604" t="s">
        <v>2316</v>
      </c>
      <c r="D604" s="3">
        <v>0</v>
      </c>
    </row>
    <row r="605" spans="1:4" x14ac:dyDescent="0.25">
      <c r="A605" t="s">
        <v>2621</v>
      </c>
      <c r="B605" s="2">
        <v>1.006</v>
      </c>
      <c r="C605" t="s">
        <v>2622</v>
      </c>
      <c r="D605" s="3">
        <v>0.58499999999999996</v>
      </c>
    </row>
    <row r="606" spans="1:4" x14ac:dyDescent="0.25">
      <c r="A606" t="s">
        <v>2624</v>
      </c>
      <c r="B606" s="2">
        <v>1.034</v>
      </c>
      <c r="C606" t="s">
        <v>2073</v>
      </c>
      <c r="D606" s="3">
        <v>0.36399999999999999</v>
      </c>
    </row>
    <row r="607" spans="1:4" x14ac:dyDescent="0.25">
      <c r="A607" t="s">
        <v>2626</v>
      </c>
      <c r="B607" s="2">
        <v>1.0009999999999999</v>
      </c>
      <c r="C607" t="s">
        <v>2034</v>
      </c>
      <c r="D607" s="3">
        <v>0.79300000000000004</v>
      </c>
    </row>
    <row r="608" spans="1:4" x14ac:dyDescent="0.25">
      <c r="A608" t="s">
        <v>2628</v>
      </c>
      <c r="B608" s="2">
        <v>1.0009999999999999</v>
      </c>
      <c r="C608" t="s">
        <v>2034</v>
      </c>
      <c r="D608" s="3">
        <v>0.79300000000000004</v>
      </c>
    </row>
    <row r="609" spans="1:4" x14ac:dyDescent="0.25">
      <c r="A609" t="s">
        <v>2630</v>
      </c>
      <c r="B609" s="2">
        <v>1.0209999999999999</v>
      </c>
      <c r="C609" t="s">
        <v>2208</v>
      </c>
      <c r="D609" s="3">
        <v>0.45200000000000001</v>
      </c>
    </row>
    <row r="610" spans="1:4" x14ac:dyDescent="0.25">
      <c r="A610" t="s">
        <v>2632</v>
      </c>
      <c r="B610" s="2">
        <v>1.0620000000000001</v>
      </c>
      <c r="C610" t="s">
        <v>2018</v>
      </c>
      <c r="D610" s="3" t="s">
        <v>2017</v>
      </c>
    </row>
    <row r="611" spans="1:4" x14ac:dyDescent="0.25">
      <c r="A611" t="s">
        <v>2634</v>
      </c>
      <c r="B611" s="2">
        <v>1.0620000000000001</v>
      </c>
      <c r="C611" t="s">
        <v>2018</v>
      </c>
      <c r="D611" s="3" t="s">
        <v>2017</v>
      </c>
    </row>
    <row r="612" spans="1:4" x14ac:dyDescent="0.25">
      <c r="A612" t="s">
        <v>2636</v>
      </c>
      <c r="B612" s="2">
        <v>1.046</v>
      </c>
      <c r="C612" t="s">
        <v>2016</v>
      </c>
      <c r="D612" s="3" t="s">
        <v>2962</v>
      </c>
    </row>
    <row r="613" spans="1:4" x14ac:dyDescent="0.25">
      <c r="A613" t="s">
        <v>2638</v>
      </c>
      <c r="B613" s="2">
        <v>1.016</v>
      </c>
      <c r="C613" t="s">
        <v>1932</v>
      </c>
      <c r="D613" s="3">
        <v>0</v>
      </c>
    </row>
    <row r="614" spans="1:4" x14ac:dyDescent="0.25">
      <c r="A614" t="s">
        <v>2640</v>
      </c>
      <c r="B614" s="2">
        <v>1.0629999999999999</v>
      </c>
      <c r="C614" t="s">
        <v>2009</v>
      </c>
      <c r="D614" s="3" t="s">
        <v>2962</v>
      </c>
    </row>
    <row r="615" spans="1:4" x14ac:dyDescent="0.25">
      <c r="A615" t="s">
        <v>2640</v>
      </c>
      <c r="B615" s="2">
        <v>1.0629999999999999</v>
      </c>
      <c r="C615" t="s">
        <v>2642</v>
      </c>
      <c r="D615" s="3">
        <v>0</v>
      </c>
    </row>
    <row r="616" spans="1:4" x14ac:dyDescent="0.25">
      <c r="A616" t="s">
        <v>2640</v>
      </c>
      <c r="B616" s="2">
        <v>1.0629999999999999</v>
      </c>
      <c r="C616" t="s">
        <v>2643</v>
      </c>
      <c r="D616" s="3">
        <v>0</v>
      </c>
    </row>
    <row r="617" spans="1:4" x14ac:dyDescent="0.25">
      <c r="A617" t="s">
        <v>2645</v>
      </c>
      <c r="B617" s="2">
        <v>1.0209999999999999</v>
      </c>
      <c r="C617" t="s">
        <v>1710</v>
      </c>
      <c r="D617" s="3">
        <v>0.187</v>
      </c>
    </row>
    <row r="618" spans="1:4" x14ac:dyDescent="0.25">
      <c r="A618" t="s">
        <v>2645</v>
      </c>
      <c r="B618" s="2">
        <v>1.0209999999999999</v>
      </c>
      <c r="C618" t="s">
        <v>2646</v>
      </c>
      <c r="D618" s="3">
        <v>0</v>
      </c>
    </row>
    <row r="619" spans="1:4" x14ac:dyDescent="0.25">
      <c r="A619" t="s">
        <v>2648</v>
      </c>
      <c r="B619" s="2">
        <v>1.028</v>
      </c>
      <c r="C619" t="s">
        <v>2178</v>
      </c>
      <c r="D619" s="3">
        <v>0.29499999999999998</v>
      </c>
    </row>
    <row r="620" spans="1:4" x14ac:dyDescent="0.25">
      <c r="A620" t="s">
        <v>2648</v>
      </c>
      <c r="B620" s="2">
        <v>1.028</v>
      </c>
      <c r="C620" t="s">
        <v>2178</v>
      </c>
      <c r="D620" s="3">
        <v>0.29499999999999998</v>
      </c>
    </row>
    <row r="621" spans="1:4" x14ac:dyDescent="0.25">
      <c r="A621" t="s">
        <v>2650</v>
      </c>
      <c r="B621" s="2">
        <v>1.0069999999999999</v>
      </c>
      <c r="C621" t="s">
        <v>1983</v>
      </c>
      <c r="D621" s="3">
        <v>0.33500000000000002</v>
      </c>
    </row>
    <row r="622" spans="1:4" x14ac:dyDescent="0.25">
      <c r="A622" t="s">
        <v>2652</v>
      </c>
      <c r="B622" s="2">
        <v>1.016</v>
      </c>
      <c r="C622" t="s">
        <v>2084</v>
      </c>
      <c r="D622" s="3">
        <v>0.42599999999999999</v>
      </c>
    </row>
    <row r="623" spans="1:4" x14ac:dyDescent="0.25">
      <c r="A623" t="s">
        <v>2654</v>
      </c>
      <c r="B623" s="2">
        <v>1.02</v>
      </c>
      <c r="C623" t="s">
        <v>1724</v>
      </c>
      <c r="D623" s="3">
        <v>0.17199999999999999</v>
      </c>
    </row>
    <row r="624" spans="1:4" x14ac:dyDescent="0.25">
      <c r="A624" t="s">
        <v>2654</v>
      </c>
      <c r="B624" s="2">
        <v>1.02</v>
      </c>
      <c r="C624" t="s">
        <v>2041</v>
      </c>
      <c r="D624" s="3">
        <v>0.25800000000000001</v>
      </c>
    </row>
    <row r="625" spans="1:4" x14ac:dyDescent="0.25">
      <c r="A625" t="s">
        <v>2654</v>
      </c>
      <c r="B625" s="2">
        <v>1.02</v>
      </c>
      <c r="C625" t="s">
        <v>2655</v>
      </c>
      <c r="D625" s="3">
        <v>5.6000000000000001E-2</v>
      </c>
    </row>
    <row r="626" spans="1:4" x14ac:dyDescent="0.25">
      <c r="A626" t="s">
        <v>2657</v>
      </c>
      <c r="B626" s="2">
        <v>1.0069999999999999</v>
      </c>
      <c r="C626" t="s">
        <v>2105</v>
      </c>
      <c r="D626" s="3">
        <v>0.217</v>
      </c>
    </row>
    <row r="627" spans="1:4" x14ac:dyDescent="0.25">
      <c r="A627" t="s">
        <v>2659</v>
      </c>
      <c r="B627" s="2">
        <v>1.008</v>
      </c>
      <c r="C627" t="s">
        <v>2660</v>
      </c>
      <c r="D627" s="3">
        <v>0.121</v>
      </c>
    </row>
    <row r="628" spans="1:4" x14ac:dyDescent="0.25">
      <c r="A628" t="s">
        <v>2659</v>
      </c>
      <c r="B628" s="2">
        <v>1.008</v>
      </c>
      <c r="C628" t="s">
        <v>2661</v>
      </c>
      <c r="D628" s="3">
        <v>0.121</v>
      </c>
    </row>
    <row r="629" spans="1:4" x14ac:dyDescent="0.25">
      <c r="A629" t="s">
        <v>2663</v>
      </c>
      <c r="B629" s="2">
        <v>0.98099999999999998</v>
      </c>
      <c r="C629" t="s">
        <v>2664</v>
      </c>
      <c r="D629" s="3">
        <v>0.51900000000000002</v>
      </c>
    </row>
    <row r="630" spans="1:4" x14ac:dyDescent="0.25">
      <c r="A630" t="s">
        <v>2663</v>
      </c>
      <c r="B630" s="2">
        <v>0.98099999999999998</v>
      </c>
      <c r="C630" t="s">
        <v>2564</v>
      </c>
      <c r="D630" s="3">
        <v>0.23699999999999999</v>
      </c>
    </row>
    <row r="631" spans="1:4" x14ac:dyDescent="0.25">
      <c r="A631" t="s">
        <v>2666</v>
      </c>
      <c r="B631" s="2">
        <v>1.046</v>
      </c>
      <c r="C631" t="s">
        <v>2257</v>
      </c>
      <c r="D631" s="3">
        <v>0.623</v>
      </c>
    </row>
    <row r="632" spans="1:4" x14ac:dyDescent="0.25">
      <c r="A632" t="s">
        <v>2668</v>
      </c>
      <c r="B632" s="2">
        <v>1.0129999999999999</v>
      </c>
      <c r="C632" t="s">
        <v>2233</v>
      </c>
      <c r="D632" s="3">
        <v>0.217</v>
      </c>
    </row>
    <row r="633" spans="1:4" x14ac:dyDescent="0.25">
      <c r="A633" t="s">
        <v>2668</v>
      </c>
      <c r="B633" s="2">
        <v>1.0129999999999999</v>
      </c>
      <c r="C633" t="s">
        <v>2669</v>
      </c>
      <c r="D633" s="3">
        <v>0.34</v>
      </c>
    </row>
    <row r="634" spans="1:4" x14ac:dyDescent="0.25">
      <c r="A634" t="s">
        <v>2671</v>
      </c>
      <c r="B634" s="2">
        <v>1.0049999999999999</v>
      </c>
      <c r="C634" t="s">
        <v>2672</v>
      </c>
      <c r="D634" s="3">
        <v>6.4000000000000001E-2</v>
      </c>
    </row>
    <row r="635" spans="1:4" x14ac:dyDescent="0.25">
      <c r="A635" t="s">
        <v>2671</v>
      </c>
      <c r="B635" s="2">
        <v>1.0049999999999999</v>
      </c>
      <c r="C635" t="s">
        <v>2673</v>
      </c>
      <c r="D635" s="3">
        <v>5.3999999999999999E-2</v>
      </c>
    </row>
    <row r="636" spans="1:4" x14ac:dyDescent="0.25">
      <c r="A636" t="s">
        <v>2675</v>
      </c>
      <c r="B636" s="2">
        <v>1.004</v>
      </c>
      <c r="C636" t="s">
        <v>1834</v>
      </c>
      <c r="D636" s="3">
        <v>0.11</v>
      </c>
    </row>
    <row r="637" spans="1:4" x14ac:dyDescent="0.25">
      <c r="A637" t="s">
        <v>2675</v>
      </c>
      <c r="B637" s="2">
        <v>1.004</v>
      </c>
      <c r="C637" t="s">
        <v>2673</v>
      </c>
      <c r="D637" s="3">
        <v>5.3999999999999999E-2</v>
      </c>
    </row>
    <row r="638" spans="1:4" x14ac:dyDescent="0.25">
      <c r="A638" t="s">
        <v>2677</v>
      </c>
      <c r="B638" s="2">
        <v>1.0029999999999999</v>
      </c>
      <c r="C638" t="s">
        <v>1605</v>
      </c>
      <c r="D638" s="3">
        <v>1.6E-2</v>
      </c>
    </row>
    <row r="639" spans="1:4" x14ac:dyDescent="0.25">
      <c r="A639" t="s">
        <v>2677</v>
      </c>
      <c r="B639" s="2">
        <v>1.0029999999999999</v>
      </c>
      <c r="C639" t="s">
        <v>2678</v>
      </c>
      <c r="D639" s="3">
        <v>0.106</v>
      </c>
    </row>
    <row r="640" spans="1:4" x14ac:dyDescent="0.25">
      <c r="A640" t="s">
        <v>2680</v>
      </c>
      <c r="B640" s="2">
        <v>1.006</v>
      </c>
      <c r="C640" t="s">
        <v>2681</v>
      </c>
      <c r="D640" s="3">
        <v>0.376</v>
      </c>
    </row>
    <row r="641" spans="1:4" x14ac:dyDescent="0.25">
      <c r="A641" t="s">
        <v>2680</v>
      </c>
      <c r="B641" s="2">
        <v>1.006</v>
      </c>
      <c r="C641" t="s">
        <v>1845</v>
      </c>
      <c r="D641" s="3">
        <v>7.0000000000000007E-2</v>
      </c>
    </row>
    <row r="642" spans="1:4" x14ac:dyDescent="0.25">
      <c r="A642" t="s">
        <v>2680</v>
      </c>
      <c r="B642" s="2">
        <v>1.006</v>
      </c>
      <c r="C642" t="s">
        <v>2678</v>
      </c>
      <c r="D642" s="3">
        <v>0.106</v>
      </c>
    </row>
    <row r="643" spans="1:4" x14ac:dyDescent="0.25">
      <c r="A643" t="s">
        <v>2683</v>
      </c>
      <c r="B643" s="2">
        <v>1.0409999999999999</v>
      </c>
      <c r="C643" t="s">
        <v>2684</v>
      </c>
      <c r="D643" s="3">
        <v>0</v>
      </c>
    </row>
    <row r="644" spans="1:4" x14ac:dyDescent="0.25">
      <c r="A644" t="s">
        <v>2683</v>
      </c>
      <c r="B644" s="2">
        <v>1.0409999999999999</v>
      </c>
      <c r="C644" t="s">
        <v>2685</v>
      </c>
      <c r="D644" s="3">
        <v>0.27800000000000002</v>
      </c>
    </row>
    <row r="645" spans="1:4" x14ac:dyDescent="0.25">
      <c r="A645" t="s">
        <v>2687</v>
      </c>
      <c r="B645" s="2">
        <v>1.038</v>
      </c>
      <c r="C645" t="s">
        <v>2688</v>
      </c>
      <c r="D645" s="3">
        <v>0</v>
      </c>
    </row>
    <row r="646" spans="1:4" x14ac:dyDescent="0.25">
      <c r="A646" t="s">
        <v>2687</v>
      </c>
      <c r="B646" s="2">
        <v>1.038</v>
      </c>
      <c r="C646" t="s">
        <v>2689</v>
      </c>
      <c r="D646" s="3">
        <v>0.192</v>
      </c>
    </row>
    <row r="647" spans="1:4" x14ac:dyDescent="0.25">
      <c r="A647" t="s">
        <v>2691</v>
      </c>
      <c r="B647" s="2">
        <v>1.0129999999999999</v>
      </c>
      <c r="C647" t="s">
        <v>2563</v>
      </c>
      <c r="D647" s="3">
        <v>0.253</v>
      </c>
    </row>
    <row r="648" spans="1:4" x14ac:dyDescent="0.25">
      <c r="A648" t="s">
        <v>2691</v>
      </c>
      <c r="B648" s="2">
        <v>1.0129999999999999</v>
      </c>
      <c r="C648" t="s">
        <v>2692</v>
      </c>
      <c r="D648" s="3">
        <v>0.59699999999999998</v>
      </c>
    </row>
    <row r="649" spans="1:4" x14ac:dyDescent="0.25">
      <c r="A649" t="s">
        <v>2691</v>
      </c>
      <c r="B649" s="2">
        <v>1.0129999999999999</v>
      </c>
      <c r="C649" t="s">
        <v>2219</v>
      </c>
      <c r="D649" s="3">
        <v>0.505</v>
      </c>
    </row>
    <row r="650" spans="1:4" x14ac:dyDescent="0.25">
      <c r="A650" t="s">
        <v>2694</v>
      </c>
      <c r="B650" s="2">
        <v>1.01</v>
      </c>
      <c r="C650" t="s">
        <v>2695</v>
      </c>
      <c r="D650" s="3">
        <v>0.42599999999999999</v>
      </c>
    </row>
    <row r="651" spans="1:4" x14ac:dyDescent="0.25">
      <c r="A651" t="s">
        <v>2694</v>
      </c>
      <c r="B651" s="2">
        <v>1.01</v>
      </c>
      <c r="C651" t="s">
        <v>2696</v>
      </c>
      <c r="D651" s="3">
        <v>0.186</v>
      </c>
    </row>
    <row r="652" spans="1:4" x14ac:dyDescent="0.25">
      <c r="A652" t="s">
        <v>2694</v>
      </c>
      <c r="B652" s="2">
        <v>1.01</v>
      </c>
      <c r="C652" t="s">
        <v>2697</v>
      </c>
      <c r="D652" s="3">
        <v>0.33700000000000002</v>
      </c>
    </row>
    <row r="653" spans="1:4" x14ac:dyDescent="0.25">
      <c r="A653" t="s">
        <v>2699</v>
      </c>
      <c r="B653" s="2">
        <v>1.008</v>
      </c>
      <c r="C653" t="s">
        <v>1658</v>
      </c>
      <c r="D653" s="3">
        <v>0.42499999999999999</v>
      </c>
    </row>
    <row r="654" spans="1:4" x14ac:dyDescent="0.25">
      <c r="A654" t="s">
        <v>2701</v>
      </c>
      <c r="B654" s="2">
        <v>1.0049999999999999</v>
      </c>
      <c r="C654" t="s">
        <v>2695</v>
      </c>
      <c r="D654" s="3">
        <v>0.42599999999999999</v>
      </c>
    </row>
    <row r="655" spans="1:4" x14ac:dyDescent="0.25">
      <c r="A655" t="s">
        <v>2701</v>
      </c>
      <c r="B655" s="2">
        <v>1.0049999999999999</v>
      </c>
      <c r="C655" t="s">
        <v>2702</v>
      </c>
      <c r="D655" s="3">
        <v>0</v>
      </c>
    </row>
    <row r="656" spans="1:4" x14ac:dyDescent="0.25">
      <c r="A656" t="s">
        <v>2704</v>
      </c>
      <c r="B656" s="2">
        <v>1.0049999999999999</v>
      </c>
      <c r="C656" t="s">
        <v>1659</v>
      </c>
      <c r="D656" s="3">
        <v>0.77400000000000002</v>
      </c>
    </row>
    <row r="657" spans="1:4" x14ac:dyDescent="0.25">
      <c r="A657" t="s">
        <v>2706</v>
      </c>
      <c r="B657" s="2">
        <v>1.008</v>
      </c>
      <c r="C657" t="s">
        <v>1658</v>
      </c>
      <c r="D657" s="3">
        <v>0.42499999999999999</v>
      </c>
    </row>
    <row r="658" spans="1:4" x14ac:dyDescent="0.25">
      <c r="A658" t="s">
        <v>2706</v>
      </c>
      <c r="B658" s="2">
        <v>1.008</v>
      </c>
      <c r="C658" t="s">
        <v>2707</v>
      </c>
      <c r="D658" s="3">
        <v>1E-3</v>
      </c>
    </row>
    <row r="659" spans="1:4" x14ac:dyDescent="0.25">
      <c r="A659" t="s">
        <v>2706</v>
      </c>
      <c r="B659" s="2">
        <v>1.008</v>
      </c>
      <c r="C659" t="s">
        <v>2708</v>
      </c>
      <c r="D659" s="3">
        <v>0.55800000000000005</v>
      </c>
    </row>
    <row r="660" spans="1:4" x14ac:dyDescent="0.25">
      <c r="A660" t="s">
        <v>2710</v>
      </c>
      <c r="B660" s="2">
        <v>1.008</v>
      </c>
      <c r="C660" t="s">
        <v>2697</v>
      </c>
      <c r="D660" s="3">
        <v>0.33700000000000002</v>
      </c>
    </row>
    <row r="661" spans="1:4" x14ac:dyDescent="0.25">
      <c r="A661" t="s">
        <v>2712</v>
      </c>
      <c r="B661" s="2">
        <v>1.0069999999999999</v>
      </c>
      <c r="C661" t="s">
        <v>2697</v>
      </c>
      <c r="D661" s="3">
        <v>0.33700000000000002</v>
      </c>
    </row>
    <row r="662" spans="1:4" x14ac:dyDescent="0.25">
      <c r="A662" t="s">
        <v>2714</v>
      </c>
      <c r="B662" s="2">
        <v>1.046</v>
      </c>
      <c r="C662" t="s">
        <v>2257</v>
      </c>
      <c r="D662" s="3">
        <v>0.623</v>
      </c>
    </row>
    <row r="663" spans="1:4" x14ac:dyDescent="0.25">
      <c r="A663" t="s">
        <v>2714</v>
      </c>
      <c r="B663" s="2">
        <v>1.046</v>
      </c>
      <c r="C663" t="s">
        <v>2257</v>
      </c>
      <c r="D663" s="3">
        <v>0.623</v>
      </c>
    </row>
    <row r="664" spans="1:4" x14ac:dyDescent="0.25">
      <c r="A664" t="s">
        <v>2714</v>
      </c>
      <c r="B664" s="2">
        <v>1.046</v>
      </c>
      <c r="C664" t="s">
        <v>2249</v>
      </c>
      <c r="D664" s="3">
        <v>0.89900000000000002</v>
      </c>
    </row>
    <row r="665" spans="1:4" x14ac:dyDescent="0.25">
      <c r="A665" t="s">
        <v>2716</v>
      </c>
      <c r="B665" s="2">
        <v>1.028</v>
      </c>
      <c r="C665" t="s">
        <v>2717</v>
      </c>
      <c r="D665" s="3">
        <v>0.19400000000000001</v>
      </c>
    </row>
    <row r="666" spans="1:4" x14ac:dyDescent="0.25">
      <c r="A666" t="s">
        <v>2716</v>
      </c>
      <c r="B666" s="2">
        <v>1.028</v>
      </c>
      <c r="C666" t="s">
        <v>2717</v>
      </c>
      <c r="D666" s="3">
        <v>0.19400000000000001</v>
      </c>
    </row>
    <row r="667" spans="1:4" x14ac:dyDescent="0.25">
      <c r="A667" t="s">
        <v>2716</v>
      </c>
      <c r="B667" s="2">
        <v>1.028</v>
      </c>
      <c r="C667" t="s">
        <v>2718</v>
      </c>
      <c r="D667" s="3">
        <v>0.38700000000000001</v>
      </c>
    </row>
    <row r="668" spans="1:4" x14ac:dyDescent="0.25">
      <c r="A668" t="s">
        <v>2716</v>
      </c>
      <c r="B668" s="2">
        <v>1.028</v>
      </c>
      <c r="C668" t="s">
        <v>2718</v>
      </c>
      <c r="D668" s="3">
        <v>0.38700000000000001</v>
      </c>
    </row>
    <row r="669" spans="1:4" x14ac:dyDescent="0.25">
      <c r="A669" t="s">
        <v>2716</v>
      </c>
      <c r="B669" s="2">
        <v>1.028</v>
      </c>
      <c r="C669" t="s">
        <v>2719</v>
      </c>
      <c r="D669" s="3">
        <v>0</v>
      </c>
    </row>
    <row r="670" spans="1:4" x14ac:dyDescent="0.25">
      <c r="A670" t="s">
        <v>2716</v>
      </c>
      <c r="B670" s="2">
        <v>1.028</v>
      </c>
      <c r="C670" t="s">
        <v>2720</v>
      </c>
      <c r="D670" s="3">
        <v>0</v>
      </c>
    </row>
    <row r="671" spans="1:4" x14ac:dyDescent="0.25">
      <c r="A671" t="s">
        <v>2716</v>
      </c>
      <c r="B671" s="2">
        <v>1.028</v>
      </c>
      <c r="C671" t="s">
        <v>2721</v>
      </c>
      <c r="D671" s="3">
        <v>0.317</v>
      </c>
    </row>
    <row r="672" spans="1:4" x14ac:dyDescent="0.25">
      <c r="A672" t="s">
        <v>2723</v>
      </c>
      <c r="B672" s="2">
        <v>0.95299999999999996</v>
      </c>
      <c r="C672" t="s">
        <v>2724</v>
      </c>
      <c r="D672" s="3">
        <v>0.69599999999999995</v>
      </c>
    </row>
    <row r="673" spans="1:4" x14ac:dyDescent="0.25">
      <c r="A673" t="s">
        <v>2726</v>
      </c>
      <c r="B673" s="2">
        <v>0.97899999999999998</v>
      </c>
      <c r="C673" t="s">
        <v>2727</v>
      </c>
      <c r="D673" s="3">
        <v>0.69599999999999995</v>
      </c>
    </row>
    <row r="674" spans="1:4" x14ac:dyDescent="0.25">
      <c r="A674" t="s">
        <v>2726</v>
      </c>
      <c r="B674" s="2">
        <v>0.97899999999999998</v>
      </c>
      <c r="C674" t="s">
        <v>2249</v>
      </c>
      <c r="D674" s="3">
        <v>0.89900000000000002</v>
      </c>
    </row>
    <row r="675" spans="1:4" x14ac:dyDescent="0.25">
      <c r="A675" t="s">
        <v>2729</v>
      </c>
      <c r="B675" s="2">
        <v>1.024</v>
      </c>
      <c r="C675" t="s">
        <v>2257</v>
      </c>
      <c r="D675" s="3">
        <v>0.623</v>
      </c>
    </row>
    <row r="676" spans="1:4" x14ac:dyDescent="0.25">
      <c r="A676" t="s">
        <v>2729</v>
      </c>
      <c r="B676" s="2">
        <v>1.024</v>
      </c>
      <c r="C676" t="s">
        <v>2248</v>
      </c>
      <c r="D676" s="3">
        <v>7.6999999999999999E-2</v>
      </c>
    </row>
    <row r="677" spans="1:4" x14ac:dyDescent="0.25">
      <c r="A677" t="s">
        <v>2729</v>
      </c>
      <c r="B677" s="2">
        <v>1.024</v>
      </c>
      <c r="C677" t="s">
        <v>2724</v>
      </c>
      <c r="D677" s="3">
        <v>0.69599999999999995</v>
      </c>
    </row>
    <row r="678" spans="1:4" x14ac:dyDescent="0.25">
      <c r="A678" t="s">
        <v>2731</v>
      </c>
      <c r="B678" s="2">
        <v>1.0229999999999999</v>
      </c>
      <c r="C678" t="s">
        <v>2732</v>
      </c>
      <c r="D678" s="3">
        <v>0.19500000000000001</v>
      </c>
    </row>
    <row r="679" spans="1:4" x14ac:dyDescent="0.25">
      <c r="A679" t="s">
        <v>2731</v>
      </c>
      <c r="B679" s="2">
        <v>1.0229999999999999</v>
      </c>
      <c r="C679" t="s">
        <v>2732</v>
      </c>
      <c r="D679" s="3">
        <v>0.19500000000000001</v>
      </c>
    </row>
    <row r="680" spans="1:4" x14ac:dyDescent="0.25">
      <c r="A680" t="s">
        <v>2734</v>
      </c>
      <c r="B680" s="2">
        <v>0.999</v>
      </c>
      <c r="C680" t="s">
        <v>2735</v>
      </c>
      <c r="D680" s="3">
        <v>0.1</v>
      </c>
    </row>
    <row r="681" spans="1:4" x14ac:dyDescent="0.25">
      <c r="A681" t="s">
        <v>2734</v>
      </c>
      <c r="B681" s="2">
        <v>0.999</v>
      </c>
      <c r="C681" t="s">
        <v>2736</v>
      </c>
      <c r="D681" s="3">
        <v>0.10100000000000001</v>
      </c>
    </row>
    <row r="682" spans="1:4" x14ac:dyDescent="0.25">
      <c r="A682" t="s">
        <v>2734</v>
      </c>
      <c r="B682" s="2">
        <v>0.999</v>
      </c>
      <c r="C682" t="s">
        <v>2737</v>
      </c>
      <c r="D682" s="3">
        <v>0.104</v>
      </c>
    </row>
    <row r="683" spans="1:4" x14ac:dyDescent="0.25">
      <c r="A683" t="s">
        <v>2734</v>
      </c>
      <c r="B683" s="2">
        <v>0.999</v>
      </c>
      <c r="C683" t="s">
        <v>2739</v>
      </c>
      <c r="D683" s="3">
        <v>0.104</v>
      </c>
    </row>
    <row r="684" spans="1:4" x14ac:dyDescent="0.25">
      <c r="A684" t="s">
        <v>2741</v>
      </c>
      <c r="B684" s="2">
        <v>1.0229999999999999</v>
      </c>
      <c r="C684" t="s">
        <v>2664</v>
      </c>
      <c r="D684" s="3">
        <v>0.51900000000000002</v>
      </c>
    </row>
    <row r="685" spans="1:4" x14ac:dyDescent="0.25">
      <c r="A685" t="s">
        <v>2741</v>
      </c>
      <c r="B685" s="2">
        <v>1.0229999999999999</v>
      </c>
      <c r="C685" t="s">
        <v>2742</v>
      </c>
      <c r="D685" s="3">
        <v>0.316</v>
      </c>
    </row>
    <row r="686" spans="1:4" x14ac:dyDescent="0.25">
      <c r="A686" t="s">
        <v>2741</v>
      </c>
      <c r="B686" s="2">
        <v>1.0229999999999999</v>
      </c>
      <c r="C686" t="s">
        <v>2743</v>
      </c>
      <c r="D686" s="3">
        <v>7.0999999999999994E-2</v>
      </c>
    </row>
    <row r="687" spans="1:4" x14ac:dyDescent="0.25">
      <c r="A687" t="s">
        <v>2745</v>
      </c>
      <c r="B687" s="2">
        <v>1.022</v>
      </c>
      <c r="C687" t="s">
        <v>1680</v>
      </c>
      <c r="D687" s="3">
        <v>0.19700000000000001</v>
      </c>
    </row>
    <row r="688" spans="1:4" x14ac:dyDescent="0.25">
      <c r="A688" t="s">
        <v>2747</v>
      </c>
      <c r="B688" s="2">
        <v>1.0129999999999999</v>
      </c>
      <c r="C688" t="s">
        <v>2748</v>
      </c>
      <c r="D688" s="3">
        <v>0.30099999999999999</v>
      </c>
    </row>
    <row r="689" spans="1:4" x14ac:dyDescent="0.25">
      <c r="A689" t="s">
        <v>2747</v>
      </c>
      <c r="B689" s="2">
        <v>1.0129999999999999</v>
      </c>
      <c r="C689" t="s">
        <v>2749</v>
      </c>
      <c r="D689" s="3">
        <v>0.3</v>
      </c>
    </row>
    <row r="690" spans="1:4" x14ac:dyDescent="0.25">
      <c r="A690" t="s">
        <v>2751</v>
      </c>
      <c r="B690" s="2">
        <v>1.0009999999999999</v>
      </c>
      <c r="C690" t="s">
        <v>2009</v>
      </c>
      <c r="D690" s="3" t="s">
        <v>2962</v>
      </c>
    </row>
    <row r="691" spans="1:4" x14ac:dyDescent="0.25">
      <c r="A691" t="s">
        <v>2751</v>
      </c>
      <c r="B691" s="2">
        <v>1.0009999999999999</v>
      </c>
      <c r="C691" t="s">
        <v>2316</v>
      </c>
      <c r="D691" s="3">
        <v>0</v>
      </c>
    </row>
    <row r="692" spans="1:4" x14ac:dyDescent="0.25">
      <c r="A692" t="s">
        <v>2751</v>
      </c>
      <c r="B692" s="2">
        <v>1.0009999999999999</v>
      </c>
      <c r="C692" t="s">
        <v>2752</v>
      </c>
      <c r="D692" s="3">
        <v>0.59299999999999997</v>
      </c>
    </row>
    <row r="693" spans="1:4" x14ac:dyDescent="0.25">
      <c r="A693" t="s">
        <v>2755</v>
      </c>
      <c r="B693" s="2">
        <v>1.101</v>
      </c>
      <c r="C693" t="s">
        <v>2020</v>
      </c>
      <c r="D693" s="3">
        <v>0</v>
      </c>
    </row>
    <row r="694" spans="1:4" x14ac:dyDescent="0.25">
      <c r="A694" t="s">
        <v>2755</v>
      </c>
      <c r="B694" s="2">
        <v>1.101</v>
      </c>
      <c r="C694" t="s">
        <v>2756</v>
      </c>
      <c r="D694" s="3">
        <v>0</v>
      </c>
    </row>
    <row r="695" spans="1:4" x14ac:dyDescent="0.25">
      <c r="A695" t="s">
        <v>2755</v>
      </c>
      <c r="B695" s="2">
        <v>1.101</v>
      </c>
      <c r="C695" t="s">
        <v>2757</v>
      </c>
      <c r="D695" s="3">
        <v>0</v>
      </c>
    </row>
    <row r="696" spans="1:4" x14ac:dyDescent="0.25">
      <c r="A696" t="s">
        <v>2759</v>
      </c>
      <c r="B696" s="2">
        <v>1.101</v>
      </c>
      <c r="C696" t="s">
        <v>2752</v>
      </c>
      <c r="D696" s="3">
        <v>0.59299999999999997</v>
      </c>
    </row>
    <row r="697" spans="1:4" x14ac:dyDescent="0.25">
      <c r="A697" t="s">
        <v>2761</v>
      </c>
      <c r="B697" s="2">
        <v>1.101</v>
      </c>
      <c r="C697" t="s">
        <v>2752</v>
      </c>
      <c r="D697" s="3">
        <v>0.59299999999999997</v>
      </c>
    </row>
    <row r="698" spans="1:4" x14ac:dyDescent="0.25">
      <c r="A698" t="s">
        <v>2763</v>
      </c>
      <c r="B698" s="2">
        <v>1.012</v>
      </c>
      <c r="C698" t="s">
        <v>2239</v>
      </c>
      <c r="D698" s="3">
        <v>0.17</v>
      </c>
    </row>
    <row r="699" spans="1:4" x14ac:dyDescent="0.25">
      <c r="A699" t="s">
        <v>2765</v>
      </c>
      <c r="B699" s="2">
        <v>1.018</v>
      </c>
      <c r="C699" t="s">
        <v>1623</v>
      </c>
      <c r="D699" s="3">
        <v>0.43</v>
      </c>
    </row>
    <row r="700" spans="1:4" x14ac:dyDescent="0.25">
      <c r="A700" t="s">
        <v>2765</v>
      </c>
      <c r="B700" s="2">
        <v>1.018</v>
      </c>
      <c r="C700" t="s">
        <v>2164</v>
      </c>
      <c r="D700" s="3">
        <v>0.17599999999999999</v>
      </c>
    </row>
    <row r="701" spans="1:4" x14ac:dyDescent="0.25">
      <c r="A701" t="s">
        <v>2767</v>
      </c>
      <c r="B701" s="2">
        <v>1.032</v>
      </c>
      <c r="C701" t="s">
        <v>2768</v>
      </c>
      <c r="D701" s="3">
        <v>0.16700000000000001</v>
      </c>
    </row>
    <row r="702" spans="1:4" x14ac:dyDescent="0.25">
      <c r="A702" t="s">
        <v>2767</v>
      </c>
      <c r="B702" s="2">
        <v>1.032</v>
      </c>
      <c r="C702" t="s">
        <v>2769</v>
      </c>
      <c r="D702" s="3">
        <v>0.36899999999999999</v>
      </c>
    </row>
    <row r="703" spans="1:4" x14ac:dyDescent="0.25">
      <c r="A703" t="s">
        <v>2767</v>
      </c>
      <c r="B703" s="2">
        <v>1.032</v>
      </c>
      <c r="C703" t="s">
        <v>2770</v>
      </c>
      <c r="D703" s="3">
        <v>0.36899999999999999</v>
      </c>
    </row>
    <row r="704" spans="1:4" x14ac:dyDescent="0.25">
      <c r="A704" t="s">
        <v>2772</v>
      </c>
      <c r="B704" s="2">
        <v>1.012</v>
      </c>
      <c r="C704" t="s">
        <v>2773</v>
      </c>
      <c r="D704" s="3">
        <v>0.26900000000000002</v>
      </c>
    </row>
    <row r="705" spans="1:4" x14ac:dyDescent="0.25">
      <c r="A705" t="s">
        <v>2772</v>
      </c>
      <c r="B705" s="2">
        <v>1.012</v>
      </c>
      <c r="C705" t="s">
        <v>2774</v>
      </c>
      <c r="D705" s="3">
        <v>0.27600000000000002</v>
      </c>
    </row>
    <row r="706" spans="1:4" x14ac:dyDescent="0.25">
      <c r="A706" t="s">
        <v>2772</v>
      </c>
      <c r="B706" s="2">
        <v>1.012</v>
      </c>
      <c r="C706" t="s">
        <v>2775</v>
      </c>
      <c r="D706" s="3">
        <v>0.20699999999999999</v>
      </c>
    </row>
    <row r="707" spans="1:4" x14ac:dyDescent="0.25">
      <c r="A707" t="s">
        <v>2772</v>
      </c>
      <c r="B707" s="2">
        <v>1.012</v>
      </c>
      <c r="C707" t="s">
        <v>2776</v>
      </c>
      <c r="D707" s="3">
        <v>0.06</v>
      </c>
    </row>
    <row r="708" spans="1:4" x14ac:dyDescent="0.25">
      <c r="A708" t="s">
        <v>2772</v>
      </c>
      <c r="B708" s="2">
        <v>1.012</v>
      </c>
      <c r="C708" t="s">
        <v>2410</v>
      </c>
      <c r="D708" s="3">
        <v>0.25</v>
      </c>
    </row>
    <row r="709" spans="1:4" x14ac:dyDescent="0.25">
      <c r="A709" t="s">
        <v>2772</v>
      </c>
      <c r="B709" s="2">
        <v>1.012</v>
      </c>
      <c r="C709" t="s">
        <v>2777</v>
      </c>
      <c r="D709" s="3">
        <v>0.34799999999999998</v>
      </c>
    </row>
    <row r="710" spans="1:4" x14ac:dyDescent="0.25">
      <c r="A710" t="s">
        <v>2772</v>
      </c>
      <c r="B710" s="2">
        <v>1.012</v>
      </c>
      <c r="C710" t="s">
        <v>2778</v>
      </c>
      <c r="D710" s="3">
        <v>0.34799999999999998</v>
      </c>
    </row>
    <row r="711" spans="1:4" x14ac:dyDescent="0.25">
      <c r="A711" t="s">
        <v>2772</v>
      </c>
      <c r="B711" s="2">
        <v>1.012</v>
      </c>
      <c r="C711" t="s">
        <v>2779</v>
      </c>
      <c r="D711" s="3">
        <v>0.34799999999999998</v>
      </c>
    </row>
    <row r="712" spans="1:4" x14ac:dyDescent="0.25">
      <c r="A712" t="s">
        <v>2781</v>
      </c>
      <c r="B712" s="2">
        <v>1.0029999999999999</v>
      </c>
      <c r="C712" t="s">
        <v>2782</v>
      </c>
      <c r="D712" s="3" t="s">
        <v>2962</v>
      </c>
    </row>
    <row r="713" spans="1:4" x14ac:dyDescent="0.25">
      <c r="A713" t="s">
        <v>2781</v>
      </c>
      <c r="B713" s="2">
        <v>1.0029999999999999</v>
      </c>
      <c r="C713" t="s">
        <v>2783</v>
      </c>
      <c r="D713" s="3">
        <v>0.125</v>
      </c>
    </row>
    <row r="714" spans="1:4" x14ac:dyDescent="0.25">
      <c r="A714" t="s">
        <v>2785</v>
      </c>
      <c r="B714" s="2">
        <v>1.0089999999999999</v>
      </c>
      <c r="C714" t="s">
        <v>2786</v>
      </c>
      <c r="D714" s="3">
        <v>0.22600000000000001</v>
      </c>
    </row>
    <row r="715" spans="1:4" x14ac:dyDescent="0.25">
      <c r="A715" t="s">
        <v>2785</v>
      </c>
      <c r="B715" s="2">
        <v>1.0089999999999999</v>
      </c>
      <c r="C715" t="s">
        <v>2275</v>
      </c>
      <c r="D715" s="3" t="s">
        <v>2962</v>
      </c>
    </row>
    <row r="716" spans="1:4" x14ac:dyDescent="0.25">
      <c r="A716" t="s">
        <v>2785</v>
      </c>
      <c r="B716" s="2">
        <v>1.0089999999999999</v>
      </c>
      <c r="C716" t="s">
        <v>2783</v>
      </c>
      <c r="D716" s="3">
        <v>0.125</v>
      </c>
    </row>
    <row r="717" spans="1:4" x14ac:dyDescent="0.25">
      <c r="A717" t="s">
        <v>2788</v>
      </c>
      <c r="B717" s="2">
        <v>1.0129999999999999</v>
      </c>
      <c r="C717" t="s">
        <v>2438</v>
      </c>
      <c r="D717" s="3">
        <v>0.185</v>
      </c>
    </row>
    <row r="718" spans="1:4" x14ac:dyDescent="0.25">
      <c r="A718" t="s">
        <v>2788</v>
      </c>
      <c r="B718" s="2">
        <v>1.0129999999999999</v>
      </c>
      <c r="C718" t="s">
        <v>2472</v>
      </c>
      <c r="D718" s="3">
        <v>0.307</v>
      </c>
    </row>
    <row r="719" spans="1:4" x14ac:dyDescent="0.25">
      <c r="A719" t="s">
        <v>2790</v>
      </c>
      <c r="B719" s="2">
        <v>1.016</v>
      </c>
      <c r="C719" t="s">
        <v>2791</v>
      </c>
      <c r="D719" s="3">
        <v>0.73899999999999999</v>
      </c>
    </row>
    <row r="720" spans="1:4" x14ac:dyDescent="0.25">
      <c r="A720" t="s">
        <v>2790</v>
      </c>
      <c r="B720" s="2">
        <v>1.016</v>
      </c>
      <c r="C720" t="s">
        <v>1917</v>
      </c>
      <c r="D720" s="3">
        <v>0.20399999999999999</v>
      </c>
    </row>
    <row r="721" spans="1:4" x14ac:dyDescent="0.25">
      <c r="A721" t="s">
        <v>2790</v>
      </c>
      <c r="B721" s="2">
        <v>1.016</v>
      </c>
      <c r="C721" t="s">
        <v>1893</v>
      </c>
      <c r="D721" s="3">
        <v>0.185</v>
      </c>
    </row>
    <row r="722" spans="1:4" x14ac:dyDescent="0.25">
      <c r="A722" t="s">
        <v>2790</v>
      </c>
      <c r="B722" s="2">
        <v>1.016</v>
      </c>
      <c r="C722" t="s">
        <v>2792</v>
      </c>
      <c r="D722" s="3">
        <v>0.38300000000000001</v>
      </c>
    </row>
    <row r="723" spans="1:4" x14ac:dyDescent="0.25">
      <c r="A723" t="s">
        <v>2790</v>
      </c>
      <c r="B723" s="2">
        <v>1.016</v>
      </c>
      <c r="C723" t="s">
        <v>2793</v>
      </c>
      <c r="D723" s="3">
        <v>0.17899999999999999</v>
      </c>
    </row>
    <row r="724" spans="1:4" x14ac:dyDescent="0.25">
      <c r="A724" t="s">
        <v>2790</v>
      </c>
      <c r="B724" s="2">
        <v>1.016</v>
      </c>
      <c r="C724" t="s">
        <v>2794</v>
      </c>
      <c r="D724" s="3">
        <v>0.437</v>
      </c>
    </row>
    <row r="725" spans="1:4" x14ac:dyDescent="0.25">
      <c r="A725" t="s">
        <v>2790</v>
      </c>
      <c r="B725" s="2">
        <v>1.016</v>
      </c>
      <c r="C725" t="s">
        <v>2795</v>
      </c>
      <c r="D725" s="3">
        <v>0.438</v>
      </c>
    </row>
    <row r="726" spans="1:4" x14ac:dyDescent="0.25">
      <c r="A726" t="s">
        <v>2790</v>
      </c>
      <c r="B726" s="2">
        <v>1.016</v>
      </c>
      <c r="C726" t="s">
        <v>2796</v>
      </c>
      <c r="D726" s="3">
        <v>0.437</v>
      </c>
    </row>
    <row r="727" spans="1:4" x14ac:dyDescent="0.25">
      <c r="A727" t="s">
        <v>2798</v>
      </c>
      <c r="B727" s="2">
        <v>1.0069999999999999</v>
      </c>
      <c r="C727" t="s">
        <v>2468</v>
      </c>
      <c r="D727" s="3">
        <v>7.4999999999999997E-2</v>
      </c>
    </row>
    <row r="728" spans="1:4" x14ac:dyDescent="0.25">
      <c r="A728" t="s">
        <v>2798</v>
      </c>
      <c r="B728" s="2">
        <v>1.0069999999999999</v>
      </c>
      <c r="C728" t="s">
        <v>2799</v>
      </c>
      <c r="D728" s="3">
        <v>0.58599999999999997</v>
      </c>
    </row>
    <row r="729" spans="1:4" x14ac:dyDescent="0.25">
      <c r="A729" t="s">
        <v>2801</v>
      </c>
      <c r="B729" s="2">
        <v>1.0169999999999999</v>
      </c>
      <c r="C729" t="s">
        <v>1963</v>
      </c>
      <c r="D729" s="3">
        <v>0.19500000000000001</v>
      </c>
    </row>
    <row r="730" spans="1:4" x14ac:dyDescent="0.25">
      <c r="A730" t="s">
        <v>2803</v>
      </c>
      <c r="B730" s="2">
        <v>1.0129999999999999</v>
      </c>
      <c r="C730" t="s">
        <v>2435</v>
      </c>
      <c r="D730" s="3">
        <v>0.20399999999999999</v>
      </c>
    </row>
    <row r="731" spans="1:4" x14ac:dyDescent="0.25">
      <c r="A731" t="s">
        <v>2803</v>
      </c>
      <c r="B731" s="2">
        <v>1.0129999999999999</v>
      </c>
      <c r="C731" t="s">
        <v>2804</v>
      </c>
      <c r="D731" s="3">
        <v>0.35099999999999998</v>
      </c>
    </row>
    <row r="732" spans="1:4" x14ac:dyDescent="0.25">
      <c r="A732" t="s">
        <v>2806</v>
      </c>
      <c r="B732" s="2">
        <v>1.0349999999999999</v>
      </c>
      <c r="C732" t="s">
        <v>1697</v>
      </c>
      <c r="D732" s="3">
        <v>0</v>
      </c>
    </row>
    <row r="733" spans="1:4" x14ac:dyDescent="0.25">
      <c r="A733" t="s">
        <v>2808</v>
      </c>
      <c r="B733" s="2">
        <v>1.0289999999999999</v>
      </c>
      <c r="C733" t="s">
        <v>2809</v>
      </c>
      <c r="D733" s="3">
        <v>0.17100000000000001</v>
      </c>
    </row>
    <row r="734" spans="1:4" x14ac:dyDescent="0.25">
      <c r="A734" t="s">
        <v>2811</v>
      </c>
      <c r="B734" s="2">
        <v>1.0129999999999999</v>
      </c>
      <c r="C734" t="s">
        <v>2383</v>
      </c>
      <c r="D734" s="3">
        <v>0.628</v>
      </c>
    </row>
    <row r="735" spans="1:4" x14ac:dyDescent="0.25">
      <c r="A735" t="s">
        <v>2811</v>
      </c>
      <c r="B735" s="2">
        <v>1.0129999999999999</v>
      </c>
      <c r="C735" t="s">
        <v>2776</v>
      </c>
      <c r="D735" s="3">
        <v>0.06</v>
      </c>
    </row>
    <row r="736" spans="1:4" x14ac:dyDescent="0.25">
      <c r="A736" t="s">
        <v>2813</v>
      </c>
      <c r="B736" s="2">
        <v>1.0029999999999999</v>
      </c>
      <c r="C736" t="s">
        <v>2092</v>
      </c>
      <c r="D736" s="3">
        <v>0.20799999999999999</v>
      </c>
    </row>
    <row r="737" spans="1:4" x14ac:dyDescent="0.25">
      <c r="A737" t="s">
        <v>2813</v>
      </c>
      <c r="B737" s="2">
        <v>1.0029999999999999</v>
      </c>
      <c r="C737" t="s">
        <v>2814</v>
      </c>
      <c r="D737" s="3">
        <v>0</v>
      </c>
    </row>
    <row r="738" spans="1:4" x14ac:dyDescent="0.25">
      <c r="A738" t="s">
        <v>2816</v>
      </c>
      <c r="B738" s="2">
        <v>1.012</v>
      </c>
      <c r="C738" t="s">
        <v>2681</v>
      </c>
      <c r="D738" s="3">
        <v>0.376</v>
      </c>
    </row>
    <row r="739" spans="1:4" x14ac:dyDescent="0.25">
      <c r="A739" t="s">
        <v>2818</v>
      </c>
      <c r="B739" s="2">
        <v>1.0129999999999999</v>
      </c>
      <c r="C739" t="s">
        <v>1839</v>
      </c>
      <c r="D739" s="3">
        <v>0.249</v>
      </c>
    </row>
    <row r="740" spans="1:4" x14ac:dyDescent="0.25">
      <c r="A740" t="s">
        <v>2818</v>
      </c>
      <c r="B740" s="2">
        <v>1.0129999999999999</v>
      </c>
      <c r="C740" t="s">
        <v>2819</v>
      </c>
      <c r="D740" s="3">
        <v>0</v>
      </c>
    </row>
    <row r="741" spans="1:4" x14ac:dyDescent="0.25">
      <c r="A741" t="s">
        <v>2821</v>
      </c>
      <c r="B741" s="2">
        <v>1.0429999999999999</v>
      </c>
      <c r="C741" t="s">
        <v>2257</v>
      </c>
      <c r="D741" s="3">
        <v>0.623</v>
      </c>
    </row>
    <row r="742" spans="1:4" x14ac:dyDescent="0.25">
      <c r="A742" t="s">
        <v>2821</v>
      </c>
      <c r="B742" s="2">
        <v>1.0429999999999999</v>
      </c>
      <c r="C742" t="s">
        <v>2246</v>
      </c>
      <c r="D742" s="3">
        <v>0.63500000000000001</v>
      </c>
    </row>
    <row r="743" spans="1:4" x14ac:dyDescent="0.25">
      <c r="A743" t="s">
        <v>2823</v>
      </c>
      <c r="B743" s="2">
        <v>0.98099999999999998</v>
      </c>
      <c r="C743" t="s">
        <v>1593</v>
      </c>
      <c r="D743" s="3">
        <v>6.7000000000000004E-2</v>
      </c>
    </row>
    <row r="744" spans="1:4" x14ac:dyDescent="0.25">
      <c r="A744" t="s">
        <v>2823</v>
      </c>
      <c r="B744" s="2">
        <v>0.98099999999999998</v>
      </c>
      <c r="C744" t="s">
        <v>2824</v>
      </c>
      <c r="D744" s="3">
        <v>0.35299999999999998</v>
      </c>
    </row>
    <row r="745" spans="1:4" x14ac:dyDescent="0.25">
      <c r="A745" t="s">
        <v>2823</v>
      </c>
      <c r="B745" s="2">
        <v>0.98099999999999998</v>
      </c>
      <c r="C745" t="s">
        <v>2824</v>
      </c>
      <c r="D745" s="3">
        <v>0.35299999999999998</v>
      </c>
    </row>
    <row r="746" spans="1:4" x14ac:dyDescent="0.25">
      <c r="A746" t="s">
        <v>2827</v>
      </c>
      <c r="B746" s="2">
        <v>1.0029999999999999</v>
      </c>
      <c r="C746" t="s">
        <v>2165</v>
      </c>
      <c r="D746" s="3">
        <v>0.182</v>
      </c>
    </row>
    <row r="747" spans="1:4" x14ac:dyDescent="0.25">
      <c r="A747" t="s">
        <v>2827</v>
      </c>
      <c r="B747" s="2">
        <v>1.0029999999999999</v>
      </c>
      <c r="C747" t="s">
        <v>2165</v>
      </c>
      <c r="D747" s="3">
        <v>0.182</v>
      </c>
    </row>
    <row r="748" spans="1:4" x14ac:dyDescent="0.25">
      <c r="A748" t="s">
        <v>2827</v>
      </c>
      <c r="B748" s="2">
        <v>1.0029999999999999</v>
      </c>
      <c r="C748" t="s">
        <v>2828</v>
      </c>
      <c r="D748" s="3">
        <v>0</v>
      </c>
    </row>
    <row r="749" spans="1:4" x14ac:dyDescent="0.25">
      <c r="A749" t="s">
        <v>2830</v>
      </c>
      <c r="B749" s="2">
        <v>1.123</v>
      </c>
      <c r="C749" t="s">
        <v>1870</v>
      </c>
      <c r="D749" s="3">
        <v>0.38500000000000001</v>
      </c>
    </row>
    <row r="750" spans="1:4" x14ac:dyDescent="0.25">
      <c r="A750" t="s">
        <v>2832</v>
      </c>
      <c r="B750" s="2">
        <v>1.028</v>
      </c>
      <c r="C750" t="s">
        <v>1949</v>
      </c>
      <c r="D750" s="3">
        <v>0.55500000000000005</v>
      </c>
    </row>
    <row r="751" spans="1:4" x14ac:dyDescent="0.25">
      <c r="A751" t="s">
        <v>2834</v>
      </c>
      <c r="B751" s="2">
        <v>1.0049999999999999</v>
      </c>
      <c r="C751" t="s">
        <v>2360</v>
      </c>
      <c r="D751" s="3">
        <v>0.17</v>
      </c>
    </row>
    <row r="752" spans="1:4" x14ac:dyDescent="0.25">
      <c r="A752" t="s">
        <v>2836</v>
      </c>
      <c r="B752" s="2">
        <v>1.032</v>
      </c>
      <c r="C752" t="s">
        <v>2837</v>
      </c>
      <c r="D752" s="3">
        <v>0.223</v>
      </c>
    </row>
    <row r="753" spans="1:4" x14ac:dyDescent="0.25">
      <c r="A753" t="s">
        <v>2836</v>
      </c>
      <c r="B753" s="2">
        <v>1.032</v>
      </c>
      <c r="C753" t="s">
        <v>2837</v>
      </c>
      <c r="D753" s="3">
        <v>0.223</v>
      </c>
    </row>
    <row r="754" spans="1:4" x14ac:dyDescent="0.25">
      <c r="A754" t="s">
        <v>2836</v>
      </c>
      <c r="B754" s="2">
        <v>1.032</v>
      </c>
      <c r="C754" t="s">
        <v>2838</v>
      </c>
      <c r="D754" s="3">
        <v>0.13</v>
      </c>
    </row>
    <row r="755" spans="1:4" x14ac:dyDescent="0.25">
      <c r="A755" t="s">
        <v>2836</v>
      </c>
      <c r="B755" s="2">
        <v>1.032</v>
      </c>
      <c r="C755" t="s">
        <v>2839</v>
      </c>
      <c r="D755" s="3">
        <v>0.13</v>
      </c>
    </row>
    <row r="756" spans="1:4" x14ac:dyDescent="0.25">
      <c r="A756" t="s">
        <v>2836</v>
      </c>
      <c r="B756" s="2">
        <v>1.032</v>
      </c>
      <c r="C756" t="s">
        <v>2840</v>
      </c>
      <c r="D756" s="3">
        <v>0.13</v>
      </c>
    </row>
    <row r="757" spans="1:4" x14ac:dyDescent="0.25">
      <c r="A757" t="s">
        <v>2842</v>
      </c>
      <c r="B757" s="2">
        <v>1.0409999999999999</v>
      </c>
      <c r="C757" t="s">
        <v>2016</v>
      </c>
      <c r="D757" s="3" t="s">
        <v>2962</v>
      </c>
    </row>
    <row r="758" spans="1:4" x14ac:dyDescent="0.25">
      <c r="A758" t="s">
        <v>2842</v>
      </c>
      <c r="B758" s="2">
        <v>1.0409999999999999</v>
      </c>
      <c r="C758" t="s">
        <v>2016</v>
      </c>
      <c r="D758" s="3" t="s">
        <v>2962</v>
      </c>
    </row>
    <row r="759" spans="1:4" x14ac:dyDescent="0.25">
      <c r="A759" t="s">
        <v>2842</v>
      </c>
      <c r="B759" s="2">
        <v>1.0409999999999999</v>
      </c>
      <c r="C759" t="s">
        <v>2843</v>
      </c>
      <c r="D759" s="3">
        <v>0.25</v>
      </c>
    </row>
    <row r="760" spans="1:4" x14ac:dyDescent="0.25">
      <c r="A760" t="s">
        <v>2842</v>
      </c>
      <c r="B760" s="2">
        <v>1.0409999999999999</v>
      </c>
      <c r="C760" t="s">
        <v>2844</v>
      </c>
      <c r="D760" s="3">
        <v>0.25</v>
      </c>
    </row>
    <row r="761" spans="1:4" x14ac:dyDescent="0.25">
      <c r="A761" t="s">
        <v>2846</v>
      </c>
      <c r="B761" s="2">
        <v>1.022</v>
      </c>
      <c r="C761" t="s">
        <v>2847</v>
      </c>
      <c r="D761" s="3">
        <v>0.22500000000000001</v>
      </c>
    </row>
    <row r="762" spans="1:4" x14ac:dyDescent="0.25">
      <c r="A762" t="s">
        <v>2846</v>
      </c>
      <c r="B762" s="2">
        <v>1.022</v>
      </c>
      <c r="C762" t="s">
        <v>2847</v>
      </c>
      <c r="D762" s="3">
        <v>0.22500000000000001</v>
      </c>
    </row>
    <row r="763" spans="1:4" x14ac:dyDescent="0.25">
      <c r="A763" t="s">
        <v>2846</v>
      </c>
      <c r="B763" s="2">
        <v>1.022</v>
      </c>
      <c r="C763" t="s">
        <v>2848</v>
      </c>
      <c r="D763" s="3">
        <v>0.61199999999999999</v>
      </c>
    </row>
    <row r="764" spans="1:4" x14ac:dyDescent="0.25">
      <c r="A764" t="s">
        <v>2846</v>
      </c>
      <c r="B764" s="2">
        <v>1.022</v>
      </c>
      <c r="C764" t="s">
        <v>2848</v>
      </c>
      <c r="D764" s="3">
        <v>0.61199999999999999</v>
      </c>
    </row>
    <row r="765" spans="1:4" x14ac:dyDescent="0.25">
      <c r="A765" t="s">
        <v>2850</v>
      </c>
      <c r="B765" s="2">
        <v>1.0229999999999999</v>
      </c>
      <c r="C765" t="s">
        <v>2837</v>
      </c>
      <c r="D765" s="3">
        <v>0.223</v>
      </c>
    </row>
    <row r="766" spans="1:4" x14ac:dyDescent="0.25">
      <c r="A766" t="s">
        <v>2850</v>
      </c>
      <c r="B766" s="2">
        <v>1.0229999999999999</v>
      </c>
      <c r="C766" t="s">
        <v>2837</v>
      </c>
      <c r="D766" s="3">
        <v>0.223</v>
      </c>
    </row>
    <row r="767" spans="1:4" x14ac:dyDescent="0.25">
      <c r="A767" t="s">
        <v>2850</v>
      </c>
      <c r="B767" s="2">
        <v>1.0229999999999999</v>
      </c>
      <c r="C767" t="s">
        <v>1641</v>
      </c>
      <c r="D767" s="3">
        <v>0.77200000000000002</v>
      </c>
    </row>
    <row r="768" spans="1:4" x14ac:dyDescent="0.25">
      <c r="A768" t="s">
        <v>2850</v>
      </c>
      <c r="B768" s="2">
        <v>1.0229999999999999</v>
      </c>
      <c r="C768" t="s">
        <v>2743</v>
      </c>
      <c r="D768" s="3">
        <v>7.0999999999999994E-2</v>
      </c>
    </row>
    <row r="769" spans="1:4" x14ac:dyDescent="0.25">
      <c r="A769" t="s">
        <v>2852</v>
      </c>
      <c r="B769" s="2">
        <v>1.0189999999999999</v>
      </c>
      <c r="C769" t="s">
        <v>1644</v>
      </c>
      <c r="D769" s="3" t="s">
        <v>2962</v>
      </c>
    </row>
    <row r="770" spans="1:4" x14ac:dyDescent="0.25">
      <c r="A770" t="s">
        <v>2852</v>
      </c>
      <c r="B770" s="2">
        <v>1.0189999999999999</v>
      </c>
      <c r="C770" t="s">
        <v>2848</v>
      </c>
      <c r="D770" s="3">
        <v>0.61199999999999999</v>
      </c>
    </row>
    <row r="771" spans="1:4" x14ac:dyDescent="0.25">
      <c r="A771" t="s">
        <v>2852</v>
      </c>
      <c r="B771" s="2">
        <v>1.0189999999999999</v>
      </c>
      <c r="C771" t="s">
        <v>2853</v>
      </c>
      <c r="D771" s="3">
        <v>5.5E-2</v>
      </c>
    </row>
    <row r="772" spans="1:4" x14ac:dyDescent="0.25">
      <c r="A772" t="s">
        <v>2855</v>
      </c>
      <c r="B772" s="2">
        <v>1.0189999999999999</v>
      </c>
      <c r="C772" t="s">
        <v>1641</v>
      </c>
      <c r="D772" s="3">
        <v>0.77200000000000002</v>
      </c>
    </row>
    <row r="773" spans="1:4" x14ac:dyDescent="0.25">
      <c r="A773" t="s">
        <v>2857</v>
      </c>
      <c r="B773" s="2">
        <v>1.0589999999999999</v>
      </c>
      <c r="C773" t="s">
        <v>2858</v>
      </c>
      <c r="D773" s="3">
        <v>0.42199999999999999</v>
      </c>
    </row>
    <row r="774" spans="1:4" x14ac:dyDescent="0.25">
      <c r="A774" t="s">
        <v>2860</v>
      </c>
      <c r="B774" s="2">
        <v>1.022</v>
      </c>
      <c r="C774" t="s">
        <v>1680</v>
      </c>
      <c r="D774" s="3">
        <v>0.19700000000000001</v>
      </c>
    </row>
    <row r="775" spans="1:4" x14ac:dyDescent="0.25">
      <c r="A775" t="s">
        <v>2860</v>
      </c>
      <c r="B775" s="2">
        <v>1.022</v>
      </c>
      <c r="C775" t="s">
        <v>2848</v>
      </c>
      <c r="D775" s="3">
        <v>0.61199999999999999</v>
      </c>
    </row>
    <row r="776" spans="1:4" x14ac:dyDescent="0.25">
      <c r="A776" t="s">
        <v>2860</v>
      </c>
      <c r="B776" s="2">
        <v>1.022</v>
      </c>
      <c r="C776" t="s">
        <v>2861</v>
      </c>
      <c r="D776" s="3">
        <v>0.08</v>
      </c>
    </row>
    <row r="777" spans="1:4" x14ac:dyDescent="0.25">
      <c r="A777" t="s">
        <v>2863</v>
      </c>
      <c r="B777" s="2">
        <v>1.022</v>
      </c>
      <c r="C777" t="s">
        <v>2743</v>
      </c>
      <c r="D777" s="3">
        <v>7.0999999999999994E-2</v>
      </c>
    </row>
    <row r="778" spans="1:4" x14ac:dyDescent="0.25">
      <c r="A778" t="s">
        <v>2865</v>
      </c>
      <c r="B778" s="2">
        <v>1.016</v>
      </c>
      <c r="C778" t="s">
        <v>2438</v>
      </c>
      <c r="D778" s="3">
        <v>0.185</v>
      </c>
    </row>
    <row r="779" spans="1:4" x14ac:dyDescent="0.25">
      <c r="A779" t="s">
        <v>2867</v>
      </c>
      <c r="B779" s="2">
        <v>1.0109999999999999</v>
      </c>
      <c r="C779" t="s">
        <v>2384</v>
      </c>
      <c r="D779" s="3">
        <v>0.48199999999999998</v>
      </c>
    </row>
    <row r="780" spans="1:4" x14ac:dyDescent="0.25">
      <c r="A780" t="s">
        <v>2869</v>
      </c>
      <c r="B780" s="2">
        <v>1.0169999999999999</v>
      </c>
      <c r="C780" t="s">
        <v>2732</v>
      </c>
      <c r="D780" s="3">
        <v>0.19500000000000001</v>
      </c>
    </row>
    <row r="781" spans="1:4" x14ac:dyDescent="0.25">
      <c r="A781" t="s">
        <v>2869</v>
      </c>
      <c r="B781" s="2">
        <v>1.0169999999999999</v>
      </c>
      <c r="C781" t="s">
        <v>2732</v>
      </c>
      <c r="D781" s="3">
        <v>0.19500000000000001</v>
      </c>
    </row>
    <row r="782" spans="1:4" x14ac:dyDescent="0.25">
      <c r="A782" t="s">
        <v>2871</v>
      </c>
      <c r="B782" s="2">
        <v>1.0509999999999999</v>
      </c>
      <c r="C782" t="s">
        <v>2872</v>
      </c>
      <c r="D782" s="3">
        <v>0.16300000000000001</v>
      </c>
    </row>
    <row r="783" spans="1:4" x14ac:dyDescent="0.25">
      <c r="A783" t="s">
        <v>2874</v>
      </c>
      <c r="B783" s="2">
        <v>1.052</v>
      </c>
      <c r="C783" t="s">
        <v>2875</v>
      </c>
      <c r="D783" s="3">
        <v>0.13300000000000001</v>
      </c>
    </row>
    <row r="784" spans="1:4" x14ac:dyDescent="0.25">
      <c r="A784" t="s">
        <v>2877</v>
      </c>
      <c r="B784" s="2">
        <v>1.06</v>
      </c>
      <c r="C784" t="s">
        <v>2878</v>
      </c>
      <c r="D784" s="3">
        <v>0</v>
      </c>
    </row>
    <row r="785" spans="1:4" x14ac:dyDescent="0.25">
      <c r="A785" t="s">
        <v>2880</v>
      </c>
      <c r="B785" s="2">
        <v>1.075</v>
      </c>
      <c r="C785" t="s">
        <v>2881</v>
      </c>
      <c r="D785" s="3">
        <v>0.24299999999999999</v>
      </c>
    </row>
    <row r="786" spans="1:4" x14ac:dyDescent="0.25">
      <c r="A786" t="s">
        <v>2883</v>
      </c>
      <c r="B786" s="2">
        <v>1.046</v>
      </c>
      <c r="C786" t="s">
        <v>2695</v>
      </c>
      <c r="D786" s="3">
        <v>0.42599999999999999</v>
      </c>
    </row>
    <row r="787" spans="1:4" x14ac:dyDescent="0.25">
      <c r="A787" t="s">
        <v>2883</v>
      </c>
      <c r="B787" s="2">
        <v>1.046</v>
      </c>
      <c r="C787" t="s">
        <v>2192</v>
      </c>
      <c r="D787" s="3">
        <v>0.17199999999999999</v>
      </c>
    </row>
    <row r="788" spans="1:4" x14ac:dyDescent="0.25">
      <c r="A788" t="s">
        <v>2883</v>
      </c>
      <c r="B788" s="2">
        <v>1.046</v>
      </c>
      <c r="C788" t="s">
        <v>2884</v>
      </c>
      <c r="D788" s="3">
        <v>0.496</v>
      </c>
    </row>
    <row r="789" spans="1:4" x14ac:dyDescent="0.25">
      <c r="A789" t="s">
        <v>2883</v>
      </c>
      <c r="B789" s="2">
        <v>1.046</v>
      </c>
      <c r="C789" t="s">
        <v>2885</v>
      </c>
      <c r="D789" s="3">
        <v>0.22600000000000001</v>
      </c>
    </row>
    <row r="790" spans="1:4" x14ac:dyDescent="0.25">
      <c r="A790" t="s">
        <v>2883</v>
      </c>
      <c r="B790" s="2">
        <v>1.046</v>
      </c>
      <c r="C790" t="s">
        <v>2886</v>
      </c>
      <c r="D790" s="3">
        <v>0.22600000000000001</v>
      </c>
    </row>
    <row r="791" spans="1:4" x14ac:dyDescent="0.25">
      <c r="A791" t="s">
        <v>2883</v>
      </c>
      <c r="B791" s="2">
        <v>1.046</v>
      </c>
      <c r="C791" t="s">
        <v>2887</v>
      </c>
      <c r="D791" s="3">
        <v>0.46700000000000003</v>
      </c>
    </row>
    <row r="792" spans="1:4" x14ac:dyDescent="0.25">
      <c r="A792" t="s">
        <v>2889</v>
      </c>
      <c r="B792" s="2">
        <v>1.0129999999999999</v>
      </c>
      <c r="C792" t="s">
        <v>1959</v>
      </c>
      <c r="D792" s="3" t="s">
        <v>2962</v>
      </c>
    </row>
    <row r="793" spans="1:4" x14ac:dyDescent="0.25">
      <c r="A793" t="s">
        <v>2889</v>
      </c>
      <c r="B793" s="2">
        <v>1.0129999999999999</v>
      </c>
      <c r="C793" t="s">
        <v>1630</v>
      </c>
      <c r="D793" s="3">
        <v>0.22800000000000001</v>
      </c>
    </row>
    <row r="794" spans="1:4" x14ac:dyDescent="0.25">
      <c r="A794" t="s">
        <v>2889</v>
      </c>
      <c r="B794" s="2">
        <v>1.0129999999999999</v>
      </c>
      <c r="C794" t="s">
        <v>2890</v>
      </c>
      <c r="D794" s="3">
        <v>0.33600000000000002</v>
      </c>
    </row>
    <row r="795" spans="1:4" x14ac:dyDescent="0.25">
      <c r="A795" t="s">
        <v>2889</v>
      </c>
      <c r="B795" s="2">
        <v>1.0129999999999999</v>
      </c>
      <c r="C795" t="s">
        <v>2892</v>
      </c>
      <c r="D795" s="3">
        <v>0.33600000000000002</v>
      </c>
    </row>
    <row r="796" spans="1:4" x14ac:dyDescent="0.25">
      <c r="A796" t="s">
        <v>2894</v>
      </c>
      <c r="B796" s="2">
        <v>1.018</v>
      </c>
      <c r="C796" t="s">
        <v>2895</v>
      </c>
      <c r="D796" s="3">
        <v>0.30599999999999999</v>
      </c>
    </row>
    <row r="797" spans="1:4" x14ac:dyDescent="0.25">
      <c r="A797" t="s">
        <v>2894</v>
      </c>
      <c r="B797" s="2">
        <v>1.018</v>
      </c>
      <c r="C797" t="s">
        <v>2782</v>
      </c>
      <c r="D797" s="3" t="s">
        <v>2962</v>
      </c>
    </row>
    <row r="798" spans="1:4" x14ac:dyDescent="0.25">
      <c r="A798" t="s">
        <v>2894</v>
      </c>
      <c r="B798" s="2">
        <v>1.018</v>
      </c>
      <c r="C798" t="s">
        <v>2782</v>
      </c>
      <c r="D798" s="3" t="s">
        <v>2962</v>
      </c>
    </row>
    <row r="799" spans="1:4" x14ac:dyDescent="0.25">
      <c r="A799" t="s">
        <v>2894</v>
      </c>
      <c r="B799" s="2">
        <v>1.018</v>
      </c>
      <c r="C799" t="s">
        <v>2276</v>
      </c>
      <c r="D799" s="3">
        <v>0.13900000000000001</v>
      </c>
    </row>
    <row r="800" spans="1:4" x14ac:dyDescent="0.25">
      <c r="A800" t="s">
        <v>2894</v>
      </c>
      <c r="B800" s="2">
        <v>1.018</v>
      </c>
      <c r="C800" t="s">
        <v>2896</v>
      </c>
      <c r="D800" s="3">
        <v>0.23699999999999999</v>
      </c>
    </row>
    <row r="801" spans="1:4" x14ac:dyDescent="0.25">
      <c r="A801" t="s">
        <v>2894</v>
      </c>
      <c r="B801" s="2">
        <v>1.018</v>
      </c>
      <c r="C801" t="s">
        <v>2897</v>
      </c>
      <c r="D801" s="3">
        <v>0.23699999999999999</v>
      </c>
    </row>
    <row r="802" spans="1:4" x14ac:dyDescent="0.25">
      <c r="A802" t="s">
        <v>2899</v>
      </c>
      <c r="B802" s="2">
        <v>1.012</v>
      </c>
      <c r="C802" t="s">
        <v>2343</v>
      </c>
      <c r="D802" s="3">
        <v>0.318</v>
      </c>
    </row>
    <row r="803" spans="1:4" x14ac:dyDescent="0.25">
      <c r="A803" t="s">
        <v>2901</v>
      </c>
      <c r="B803" s="2">
        <v>1.0029999999999999</v>
      </c>
      <c r="C803" t="s">
        <v>2824</v>
      </c>
      <c r="D803" s="3">
        <v>0.35299999999999998</v>
      </c>
    </row>
    <row r="804" spans="1:4" x14ac:dyDescent="0.25">
      <c r="A804" t="s">
        <v>2903</v>
      </c>
      <c r="B804" s="2">
        <v>1.0429999999999999</v>
      </c>
      <c r="C804" t="s">
        <v>1660</v>
      </c>
      <c r="D804" s="3" t="s">
        <v>2962</v>
      </c>
    </row>
    <row r="805" spans="1:4" x14ac:dyDescent="0.25">
      <c r="A805" t="s">
        <v>2905</v>
      </c>
      <c r="B805" s="2">
        <v>1.0189999999999999</v>
      </c>
      <c r="C805" t="s">
        <v>2226</v>
      </c>
      <c r="D805" s="3">
        <v>0.37</v>
      </c>
    </row>
    <row r="806" spans="1:4" x14ac:dyDescent="0.25">
      <c r="A806" t="s">
        <v>2905</v>
      </c>
      <c r="B806" s="2">
        <v>1.0189999999999999</v>
      </c>
      <c r="C806" t="s">
        <v>2226</v>
      </c>
      <c r="D806" s="3">
        <v>0.37</v>
      </c>
    </row>
    <row r="807" spans="1:4" x14ac:dyDescent="0.25">
      <c r="A807" t="s">
        <v>2907</v>
      </c>
      <c r="B807" s="2">
        <v>1.022</v>
      </c>
      <c r="C807" t="s">
        <v>1612</v>
      </c>
      <c r="D807" s="3">
        <v>0.33700000000000002</v>
      </c>
    </row>
    <row r="808" spans="1:4" x14ac:dyDescent="0.25">
      <c r="A808" t="s">
        <v>2907</v>
      </c>
      <c r="B808" s="2">
        <v>1.022</v>
      </c>
      <c r="C808" t="s">
        <v>1987</v>
      </c>
      <c r="D808" s="3">
        <v>0.28499999999999998</v>
      </c>
    </row>
    <row r="809" spans="1:4" x14ac:dyDescent="0.25">
      <c r="A809" t="s">
        <v>2909</v>
      </c>
      <c r="B809" s="2">
        <v>1.0289999999999999</v>
      </c>
      <c r="C809" t="s">
        <v>2029</v>
      </c>
      <c r="D809" s="3">
        <v>0.42499999999999999</v>
      </c>
    </row>
    <row r="810" spans="1:4" x14ac:dyDescent="0.25">
      <c r="A810" t="s">
        <v>2909</v>
      </c>
      <c r="B810" s="2">
        <v>1.0289999999999999</v>
      </c>
      <c r="C810" t="s">
        <v>1954</v>
      </c>
      <c r="D810" s="3">
        <v>0.10100000000000001</v>
      </c>
    </row>
    <row r="811" spans="1:4" x14ac:dyDescent="0.25">
      <c r="A811" t="s">
        <v>2911</v>
      </c>
      <c r="B811" s="2">
        <v>1.026</v>
      </c>
      <c r="C811" t="s">
        <v>2912</v>
      </c>
      <c r="D811" s="3">
        <v>0</v>
      </c>
    </row>
    <row r="812" spans="1:4" x14ac:dyDescent="0.25">
      <c r="A812" t="s">
        <v>2911</v>
      </c>
      <c r="B812" s="2">
        <v>1.026</v>
      </c>
      <c r="C812" t="s">
        <v>2913</v>
      </c>
      <c r="D812" s="3">
        <v>0</v>
      </c>
    </row>
    <row r="813" spans="1:4" x14ac:dyDescent="0.25">
      <c r="A813" t="s">
        <v>2911</v>
      </c>
      <c r="B813" s="2">
        <v>1.026</v>
      </c>
      <c r="C813" t="s">
        <v>2914</v>
      </c>
      <c r="D813" s="3">
        <v>0</v>
      </c>
    </row>
    <row r="814" spans="1:4" x14ac:dyDescent="0.25">
      <c r="A814" t="s">
        <v>2916</v>
      </c>
      <c r="B814" s="2">
        <v>1.026</v>
      </c>
      <c r="C814" t="s">
        <v>2917</v>
      </c>
      <c r="D814" s="3">
        <v>0</v>
      </c>
    </row>
    <row r="815" spans="1:4" x14ac:dyDescent="0.25">
      <c r="A815" t="s">
        <v>2919</v>
      </c>
      <c r="B815" s="2">
        <v>1.026</v>
      </c>
      <c r="C815" t="s">
        <v>2917</v>
      </c>
      <c r="D815" s="3">
        <v>0</v>
      </c>
    </row>
    <row r="816" spans="1:4" x14ac:dyDescent="0.25">
      <c r="A816" t="s">
        <v>2921</v>
      </c>
      <c r="B816" s="2">
        <v>1.0249999999999999</v>
      </c>
      <c r="C816" t="s">
        <v>2922</v>
      </c>
      <c r="D816" s="3">
        <v>0.65200000000000002</v>
      </c>
    </row>
    <row r="817" spans="1:4" x14ac:dyDescent="0.25">
      <c r="A817" t="s">
        <v>2921</v>
      </c>
      <c r="B817" s="2">
        <v>1.0249999999999999</v>
      </c>
      <c r="C817" t="s">
        <v>2923</v>
      </c>
      <c r="D817" s="3">
        <v>0.83899999999999997</v>
      </c>
    </row>
    <row r="818" spans="1:4" x14ac:dyDescent="0.25">
      <c r="A818" t="s">
        <v>2921</v>
      </c>
      <c r="B818" s="2">
        <v>1.0249999999999999</v>
      </c>
      <c r="C818" t="s">
        <v>2923</v>
      </c>
      <c r="D818" s="3">
        <v>0.83899999999999997</v>
      </c>
    </row>
    <row r="819" spans="1:4" x14ac:dyDescent="0.25">
      <c r="A819" t="s">
        <v>2926</v>
      </c>
      <c r="B819" s="2">
        <v>1</v>
      </c>
      <c r="C819" t="s">
        <v>2927</v>
      </c>
      <c r="D819" s="3">
        <v>0.85699999999999998</v>
      </c>
    </row>
    <row r="820" spans="1:4" x14ac:dyDescent="0.25">
      <c r="A820" t="s">
        <v>2926</v>
      </c>
      <c r="B820" s="2">
        <v>1</v>
      </c>
      <c r="C820" t="s">
        <v>2927</v>
      </c>
      <c r="D820" s="3">
        <v>0.85699999999999998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Caio Albuquerque</cp:lastModifiedBy>
  <dcterms:created xsi:type="dcterms:W3CDTF">2022-09-06T21:15:29Z</dcterms:created>
  <dcterms:modified xsi:type="dcterms:W3CDTF">2023-01-28T14:55:53Z</dcterms:modified>
</cp:coreProperties>
</file>